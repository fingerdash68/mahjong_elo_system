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uilh\Downloads\"/>
    </mc:Choice>
  </mc:AlternateContent>
  <xr:revisionPtr revIDLastSave="0" documentId="13_ncr:1_{6E8351AE-B0FE-414B-AED0-234F5A70B035}" xr6:coauthVersionLast="47" xr6:coauthVersionMax="47" xr10:uidLastSave="{00000000-0000-0000-0000-000000000000}"/>
  <bookViews>
    <workbookView xWindow="-120" yWindow="-120" windowWidth="29040" windowHeight="15840" activeTab="1" xr2:uid="{AFCF88CC-DD2C-4716-BDCF-C5B28876ED84}"/>
  </bookViews>
  <sheets>
    <sheet name="Donnees" sheetId="1" r:id="rId1"/>
    <sheet name="Check" sheetId="2" r:id="rId2"/>
    <sheet name="EMA points" sheetId="4" r:id="rId3"/>
    <sheet name="Elo calculation" sheetId="3" r:id="rId4"/>
    <sheet name="Constant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8" i="3" l="1" a="1"/>
  <c r="B438" i="3" s="1"/>
  <c r="B442" i="3" a="1"/>
  <c r="B442" i="3" s="1"/>
  <c r="R443" i="3" s="1" a="1"/>
  <c r="R443" i="3" s="1"/>
  <c r="B446" i="3" a="1"/>
  <c r="B446" i="3" s="1"/>
  <c r="B450" i="3" a="1"/>
  <c r="B450" i="3" s="1"/>
  <c r="C450" i="3" s="1" a="1"/>
  <c r="C450" i="3" s="1"/>
  <c r="B454" i="3" a="1"/>
  <c r="B454" i="3" s="1"/>
  <c r="O455" i="3" s="1" a="1"/>
  <c r="O455" i="3" s="1"/>
  <c r="B458" i="3" a="1"/>
  <c r="B458" i="3" s="1"/>
  <c r="F459" i="3" s="1" a="1"/>
  <c r="F459" i="3" s="1"/>
  <c r="T459" i="3" a="1"/>
  <c r="T459" i="3" s="1"/>
  <c r="B462" i="3" a="1"/>
  <c r="B462" i="3" s="1"/>
  <c r="M463" i="3" s="1" a="1"/>
  <c r="M463" i="3" s="1"/>
  <c r="W463" i="3" a="1"/>
  <c r="W463" i="3" s="1"/>
  <c r="AI463" i="3" a="1"/>
  <c r="AI463" i="3" s="1"/>
  <c r="AJ463" i="3" a="1"/>
  <c r="AJ463" i="3" s="1"/>
  <c r="B466" i="3" a="1"/>
  <c r="B466" i="3"/>
  <c r="AM467" i="3" s="1" a="1"/>
  <c r="AM467" i="3" s="1"/>
  <c r="I467" i="3" a="1"/>
  <c r="I467" i="3" s="1"/>
  <c r="B470" i="3" a="1"/>
  <c r="B470" i="3" s="1"/>
  <c r="B474" i="3" a="1"/>
  <c r="B474" i="3" s="1"/>
  <c r="U475" i="3" s="1" a="1"/>
  <c r="C474" i="3" a="1"/>
  <c r="C474" i="3" s="1"/>
  <c r="D475" i="3" a="1"/>
  <c r="D475" i="3" s="1"/>
  <c r="F475" i="3" a="1"/>
  <c r="F475" i="3"/>
  <c r="G475" i="3" a="1"/>
  <c r="G475" i="3" s="1"/>
  <c r="K475" i="3" a="1"/>
  <c r="K475" i="3" s="1"/>
  <c r="L475" i="3" a="1"/>
  <c r="L475" i="3" s="1"/>
  <c r="M475" i="3" a="1"/>
  <c r="M475" i="3" s="1"/>
  <c r="O475" i="3" a="1"/>
  <c r="O475" i="3" s="1"/>
  <c r="P475" i="3" a="1"/>
  <c r="P475" i="3"/>
  <c r="U475" i="3"/>
  <c r="W475" i="3" a="1"/>
  <c r="W475" i="3" s="1"/>
  <c r="X475" i="3" a="1"/>
  <c r="X475" i="3" s="1"/>
  <c r="Y475" i="3" a="1"/>
  <c r="Y475" i="3" s="1"/>
  <c r="Z475" i="3" a="1"/>
  <c r="Z475" i="3" s="1"/>
  <c r="AD475" i="3" a="1"/>
  <c r="AD475" i="3" s="1"/>
  <c r="AF475" i="3" a="1"/>
  <c r="AF475" i="3" s="1"/>
  <c r="AG475" i="3" a="1"/>
  <c r="AG475" i="3"/>
  <c r="AI475" i="3" a="1"/>
  <c r="AI475" i="3" s="1"/>
  <c r="AJ475" i="3" a="1"/>
  <c r="AJ475" i="3" s="1"/>
  <c r="AK475" i="3" a="1"/>
  <c r="AK475" i="3" s="1"/>
  <c r="AM475" i="3" a="1"/>
  <c r="AM475" i="3" s="1"/>
  <c r="B478" i="3" a="1"/>
  <c r="B478" i="3" s="1"/>
  <c r="B482" i="3" a="1"/>
  <c r="B482" i="3"/>
  <c r="AB483" i="3" a="1"/>
  <c r="AB483" i="3" s="1"/>
  <c r="B486" i="3" a="1"/>
  <c r="B486" i="3" s="1"/>
  <c r="C486" i="3" s="1" a="1"/>
  <c r="C486" i="3" s="1"/>
  <c r="B490" i="3" a="1"/>
  <c r="B490" i="3"/>
  <c r="P491" i="3" s="1" a="1"/>
  <c r="P491" i="3" s="1"/>
  <c r="AL491" i="3" a="1"/>
  <c r="AL491" i="3" s="1"/>
  <c r="B494" i="3" a="1"/>
  <c r="B494" i="3"/>
  <c r="O495" i="3" s="1" a="1"/>
  <c r="O495" i="3" s="1"/>
  <c r="C494" i="3" a="1"/>
  <c r="C494" i="3" s="1"/>
  <c r="E495" i="3" a="1"/>
  <c r="E495" i="3" s="1"/>
  <c r="H495" i="3" a="1"/>
  <c r="H495" i="3" s="1"/>
  <c r="L495" i="3" a="1"/>
  <c r="L495" i="3" s="1"/>
  <c r="P495" i="3" a="1"/>
  <c r="P495" i="3" s="1"/>
  <c r="R495" i="3" a="1"/>
  <c r="R495" i="3" s="1"/>
  <c r="T495" i="3" a="1"/>
  <c r="T495" i="3" s="1"/>
  <c r="Z495" i="3" a="1"/>
  <c r="Z495" i="3" s="1"/>
  <c r="AD495" i="3" a="1"/>
  <c r="AD495" i="3" s="1"/>
  <c r="AE495" i="3" a="1"/>
  <c r="AE495" i="3" s="1"/>
  <c r="AI495" i="3" a="1"/>
  <c r="AI495" i="3" s="1"/>
  <c r="AK495" i="3" a="1"/>
  <c r="AK495" i="3" s="1"/>
  <c r="B498" i="3" a="1"/>
  <c r="B498" i="3" s="1"/>
  <c r="AG499" i="3" a="1"/>
  <c r="AG499" i="3" s="1"/>
  <c r="B502" i="3" a="1"/>
  <c r="B502" i="3" s="1"/>
  <c r="C502" i="3" s="1" a="1"/>
  <c r="C502" i="3" s="1"/>
  <c r="I403" i="3" a="1"/>
  <c r="I403" i="3" s="1"/>
  <c r="R403" i="3" a="1"/>
  <c r="R403" i="3" s="1"/>
  <c r="AC403" i="3" a="1"/>
  <c r="AC403" i="3" s="1"/>
  <c r="AM403" i="3" a="1"/>
  <c r="AM403" i="3" s="1"/>
  <c r="B406" i="3" a="1"/>
  <c r="B406" i="3" s="1"/>
  <c r="C406" i="3" s="1" a="1"/>
  <c r="C406" i="3" s="1"/>
  <c r="T407" i="3" a="1"/>
  <c r="T407" i="3" s="1"/>
  <c r="U407" i="3" a="1"/>
  <c r="U407" i="3" s="1"/>
  <c r="X407" i="3" a="1"/>
  <c r="X407" i="3" s="1"/>
  <c r="B410" i="3" a="1"/>
  <c r="B410" i="3" s="1"/>
  <c r="J411" i="3" s="1" a="1"/>
  <c r="J411" i="3" s="1"/>
  <c r="C410" i="3" a="1"/>
  <c r="C410" i="3" s="1"/>
  <c r="G411" i="3" a="1"/>
  <c r="G411" i="3" s="1"/>
  <c r="K411" i="3" a="1"/>
  <c r="K411" i="3" s="1"/>
  <c r="N411" i="3" a="1"/>
  <c r="N411" i="3" s="1"/>
  <c r="O411" i="3" a="1"/>
  <c r="O411" i="3" s="1"/>
  <c r="S411" i="3" a="1"/>
  <c r="S411" i="3" s="1"/>
  <c r="W411" i="3" a="1"/>
  <c r="W411" i="3" s="1"/>
  <c r="Y411" i="3" a="1"/>
  <c r="Y411" i="3" s="1"/>
  <c r="Z411" i="3" a="1"/>
  <c r="Z411" i="3" s="1"/>
  <c r="AH411" i="3" a="1"/>
  <c r="AH411" i="3" s="1"/>
  <c r="AK411" i="3" a="1"/>
  <c r="AK411" i="3" s="1"/>
  <c r="AL411" i="3" a="1"/>
  <c r="AL411" i="3" s="1"/>
  <c r="B414" i="3" a="1"/>
  <c r="B414" i="3" s="1"/>
  <c r="D415" i="3" s="1" a="1"/>
  <c r="D415" i="3" s="1"/>
  <c r="C414" i="3" a="1"/>
  <c r="C414" i="3" s="1"/>
  <c r="E415" i="3" a="1"/>
  <c r="E415" i="3" s="1"/>
  <c r="G415" i="3" a="1"/>
  <c r="G415" i="3" s="1"/>
  <c r="J415" i="3" a="1"/>
  <c r="J415" i="3" s="1"/>
  <c r="L415" i="3" a="1"/>
  <c r="L415" i="3" s="1"/>
  <c r="M415" i="3" a="1"/>
  <c r="M415" i="3"/>
  <c r="N415" i="3" a="1"/>
  <c r="N415" i="3" s="1"/>
  <c r="O415" i="3" a="1"/>
  <c r="O415" i="3" s="1"/>
  <c r="P415" i="3" a="1"/>
  <c r="P415" i="3" s="1"/>
  <c r="Q415" i="3" a="1"/>
  <c r="Q415" i="3" s="1"/>
  <c r="R415" i="3" a="1"/>
  <c r="R415" i="3" s="1"/>
  <c r="S415" i="3" a="1"/>
  <c r="S415" i="3" s="1"/>
  <c r="X415" i="3" a="1"/>
  <c r="X415" i="3" s="1"/>
  <c r="Y415" i="3" a="1"/>
  <c r="Y415" i="3" s="1"/>
  <c r="Z415" i="3" a="1"/>
  <c r="Z415" i="3" s="1"/>
  <c r="AA415" i="3" a="1"/>
  <c r="AA415" i="3" s="1"/>
  <c r="AB415" i="3" a="1"/>
  <c r="AB415" i="3" s="1"/>
  <c r="AC415" i="3" a="1"/>
  <c r="AC415" i="3" s="1"/>
  <c r="AD415" i="3" a="1"/>
  <c r="AD415" i="3" s="1"/>
  <c r="AF415" i="3" a="1"/>
  <c r="AF415" i="3" s="1"/>
  <c r="AG415" i="3" a="1"/>
  <c r="AG415" i="3" s="1"/>
  <c r="AH415" i="3" a="1"/>
  <c r="AH415" i="3" s="1"/>
  <c r="AK415" i="3" a="1"/>
  <c r="AK415" i="3" s="1"/>
  <c r="AL415" i="3" a="1"/>
  <c r="AL415" i="3" s="1"/>
  <c r="AM415" i="3" a="1"/>
  <c r="AM415" i="3" s="1"/>
  <c r="B418" i="3" a="1"/>
  <c r="B418" i="3" s="1"/>
  <c r="W419" i="3" s="1" a="1"/>
  <c r="W419" i="3" s="1"/>
  <c r="C418" i="3" a="1"/>
  <c r="C418" i="3" s="1"/>
  <c r="M419" i="3" a="1"/>
  <c r="M419" i="3" s="1"/>
  <c r="O419" i="3" a="1"/>
  <c r="O419" i="3" s="1"/>
  <c r="U419" i="3" a="1"/>
  <c r="U419" i="3" s="1"/>
  <c r="Y419" i="3" a="1"/>
  <c r="Y419" i="3" s="1"/>
  <c r="AI419" i="3" a="1"/>
  <c r="AI419" i="3" s="1"/>
  <c r="AK419" i="3" a="1"/>
  <c r="AK419" i="3" s="1"/>
  <c r="AL419" i="3" a="1"/>
  <c r="AL419" i="3" s="1"/>
  <c r="B422" i="3" a="1"/>
  <c r="B422" i="3" s="1"/>
  <c r="C422" i="3" s="1" a="1"/>
  <c r="C422" i="3" s="1"/>
  <c r="O423" i="3" a="1"/>
  <c r="O423" i="3" s="1"/>
  <c r="S423" i="3" a="1"/>
  <c r="S423" i="3" s="1"/>
  <c r="AC423" i="3" a="1"/>
  <c r="AC423" i="3" s="1"/>
  <c r="AF423" i="3" a="1"/>
  <c r="AF423" i="3" s="1"/>
  <c r="B426" i="3" a="1"/>
  <c r="B426" i="3" s="1"/>
  <c r="B430" i="3" a="1"/>
  <c r="B430" i="3"/>
  <c r="C430" i="3" s="1" a="1"/>
  <c r="C430" i="3" s="1"/>
  <c r="E431" i="3" a="1"/>
  <c r="E431" i="3" s="1"/>
  <c r="L431" i="3" a="1"/>
  <c r="L431" i="3" s="1"/>
  <c r="R431" i="3" a="1"/>
  <c r="R431" i="3" s="1"/>
  <c r="W431" i="3" a="1"/>
  <c r="W431" i="3"/>
  <c r="AA431" i="3" a="1"/>
  <c r="AA431" i="3" s="1"/>
  <c r="AM431" i="3" a="1"/>
  <c r="AM431" i="3" s="1"/>
  <c r="B434" i="3" a="1"/>
  <c r="B434" i="3" s="1"/>
  <c r="D435" i="3" s="1" a="1"/>
  <c r="D435" i="3" s="1"/>
  <c r="C434" i="3" a="1"/>
  <c r="C434" i="3"/>
  <c r="D291" i="3" a="1"/>
  <c r="D291" i="3" s="1"/>
  <c r="J291" i="3" a="1"/>
  <c r="J291" i="3" s="1"/>
  <c r="M291" i="3" a="1"/>
  <c r="M291" i="3" s="1"/>
  <c r="S291" i="3" a="1"/>
  <c r="S291" i="3" s="1"/>
  <c r="W291" i="3" a="1"/>
  <c r="W291" i="3" s="1"/>
  <c r="AB291" i="3" a="1"/>
  <c r="AB291" i="3" s="1"/>
  <c r="AL291" i="3" a="1"/>
  <c r="AL291" i="3" s="1"/>
  <c r="B294" i="3" a="1"/>
  <c r="B294" i="3" s="1"/>
  <c r="M295" i="3" s="1" a="1"/>
  <c r="M295" i="3" s="1"/>
  <c r="AK295" i="3" a="1"/>
  <c r="AK295" i="3" s="1"/>
  <c r="B298" i="3" a="1"/>
  <c r="B298" i="3" s="1"/>
  <c r="X299" i="3" s="1" a="1"/>
  <c r="X299" i="3" s="1"/>
  <c r="F299" i="3" a="1"/>
  <c r="F299" i="3" s="1"/>
  <c r="J299" i="3" a="1"/>
  <c r="J299" i="3" s="1"/>
  <c r="L299" i="3" a="1"/>
  <c r="L299" i="3" s="1"/>
  <c r="M299" i="3" a="1"/>
  <c r="M299" i="3" s="1"/>
  <c r="N299" i="3" a="1"/>
  <c r="N299" i="3" s="1"/>
  <c r="O299" i="3" a="1"/>
  <c r="O299" i="3" s="1"/>
  <c r="R299" i="3" a="1"/>
  <c r="R299" i="3" s="1"/>
  <c r="V299" i="3" a="1"/>
  <c r="V299" i="3" s="1"/>
  <c r="Y299" i="3" a="1"/>
  <c r="Y299" i="3" s="1"/>
  <c r="Z299" i="3" a="1"/>
  <c r="Z299" i="3" s="1"/>
  <c r="AA299" i="3" a="1"/>
  <c r="AA299" i="3" s="1"/>
  <c r="AD299" i="3" a="1"/>
  <c r="AD299" i="3" s="1"/>
  <c r="AI299" i="3" a="1"/>
  <c r="AI299" i="3" s="1"/>
  <c r="AJ299" i="3" a="1"/>
  <c r="AJ299" i="3" s="1"/>
  <c r="AK299" i="3" a="1"/>
  <c r="AK299" i="3" s="1"/>
  <c r="AL299" i="3" a="1"/>
  <c r="AL299" i="3" s="1"/>
  <c r="B302" i="3" a="1"/>
  <c r="B302" i="3" s="1"/>
  <c r="L303" i="3" s="1" a="1"/>
  <c r="L303" i="3" s="1"/>
  <c r="C302" i="3" a="1"/>
  <c r="C302" i="3" s="1"/>
  <c r="N303" i="3" a="1"/>
  <c r="N303" i="3" s="1"/>
  <c r="T303" i="3" a="1"/>
  <c r="T303" i="3" s="1"/>
  <c r="AA303" i="3" a="1"/>
  <c r="AA303" i="3" s="1"/>
  <c r="B306" i="3" a="1"/>
  <c r="B306" i="3" s="1"/>
  <c r="M307" i="3" s="1" a="1"/>
  <c r="M307" i="3" s="1"/>
  <c r="C306" i="3" a="1"/>
  <c r="C306" i="3" s="1"/>
  <c r="S307" i="3" a="1"/>
  <c r="S307" i="3" s="1"/>
  <c r="Z307" i="3" a="1"/>
  <c r="Z307" i="3" s="1"/>
  <c r="AA307" i="3" a="1"/>
  <c r="AA307" i="3" s="1"/>
  <c r="AH307" i="3" a="1"/>
  <c r="AH307" i="3" s="1"/>
  <c r="AI307" i="3" a="1"/>
  <c r="AI307" i="3" s="1"/>
  <c r="B310" i="3" a="1"/>
  <c r="B310" i="3" s="1"/>
  <c r="N311" i="3" s="1" a="1"/>
  <c r="N311" i="3" s="1"/>
  <c r="E311" i="3" a="1"/>
  <c r="E311" i="3" s="1"/>
  <c r="F311" i="3" a="1"/>
  <c r="F311" i="3" s="1"/>
  <c r="L311" i="3" a="1"/>
  <c r="L311" i="3" s="1"/>
  <c r="O311" i="3" a="1"/>
  <c r="O311" i="3" s="1"/>
  <c r="R311" i="3" a="1"/>
  <c r="R311" i="3" s="1"/>
  <c r="S311" i="3" a="1"/>
  <c r="S311" i="3" s="1"/>
  <c r="Y311" i="3" a="1"/>
  <c r="Y311" i="3" s="1"/>
  <c r="AC311" i="3" a="1"/>
  <c r="AC311" i="3" s="1"/>
  <c r="AF311" i="3" a="1"/>
  <c r="AF311" i="3" s="1"/>
  <c r="AG311" i="3" a="1"/>
  <c r="AG311" i="3" s="1"/>
  <c r="AM311" i="3" a="1"/>
  <c r="AM311" i="3" s="1"/>
  <c r="B314" i="3" a="1"/>
  <c r="B314" i="3" s="1"/>
  <c r="H315" i="3" s="1" a="1"/>
  <c r="H315" i="3" s="1"/>
  <c r="Z315" i="3" a="1"/>
  <c r="Z315" i="3" s="1"/>
  <c r="B318" i="3" a="1"/>
  <c r="B318" i="3" s="1"/>
  <c r="C318" i="3" s="1" a="1"/>
  <c r="C318" i="3" s="1"/>
  <c r="D319" i="3" a="1"/>
  <c r="D319" i="3" s="1"/>
  <c r="B322" i="3" a="1"/>
  <c r="B322" i="3" s="1"/>
  <c r="X323" i="3" s="1" a="1"/>
  <c r="X323" i="3" s="1"/>
  <c r="AI323" i="3" a="1"/>
  <c r="AI323" i="3" s="1"/>
  <c r="B326" i="3" a="1"/>
  <c r="B326" i="3" s="1"/>
  <c r="C326" i="3" s="1" a="1"/>
  <c r="C326" i="3" s="1"/>
  <c r="I327" i="3" a="1"/>
  <c r="I327" i="3" s="1"/>
  <c r="V327" i="3" a="1"/>
  <c r="V327" i="3" s="1"/>
  <c r="AI327" i="3" a="1"/>
  <c r="AI327" i="3" s="1"/>
  <c r="B330" i="3" a="1"/>
  <c r="B330" i="3" s="1"/>
  <c r="J331" i="3" s="1" a="1"/>
  <c r="J331" i="3" s="1"/>
  <c r="B334" i="3" a="1"/>
  <c r="B334" i="3"/>
  <c r="AD335" i="3" s="1" a="1"/>
  <c r="AD335" i="3" s="1"/>
  <c r="AF335" i="3" a="1"/>
  <c r="AF335" i="3" s="1"/>
  <c r="B338" i="3" a="1"/>
  <c r="B338" i="3"/>
  <c r="I339" i="3" s="1" a="1"/>
  <c r="I339" i="3" s="1"/>
  <c r="C338" i="3" a="1"/>
  <c r="C338" i="3" s="1"/>
  <c r="H339" i="3" a="1"/>
  <c r="H339" i="3" s="1"/>
  <c r="O339" i="3" a="1"/>
  <c r="O339" i="3" s="1"/>
  <c r="V339" i="3" a="1"/>
  <c r="V339" i="3" s="1"/>
  <c r="X339" i="3" a="1"/>
  <c r="X339" i="3" s="1"/>
  <c r="AB339" i="3" a="1"/>
  <c r="AB339" i="3" s="1"/>
  <c r="AE339" i="3" a="1"/>
  <c r="AE339" i="3" s="1"/>
  <c r="AI339" i="3" a="1"/>
  <c r="AI339" i="3" s="1"/>
  <c r="AL339" i="3" a="1"/>
  <c r="AL339" i="3" s="1"/>
  <c r="AM339" i="3" a="1"/>
  <c r="AM339" i="3" s="1"/>
  <c r="B342" i="3" a="1"/>
  <c r="B342" i="3" s="1"/>
  <c r="AG343" i="3" s="1" a="1"/>
  <c r="AG343" i="3" s="1"/>
  <c r="B346" i="3" a="1"/>
  <c r="B346" i="3" s="1"/>
  <c r="AE347" i="3" s="1" a="1"/>
  <c r="AE347" i="3" s="1"/>
  <c r="B350" i="3" a="1"/>
  <c r="B350" i="3" s="1"/>
  <c r="B354" i="3" a="1"/>
  <c r="B354" i="3" s="1"/>
  <c r="V355" i="3" s="1" a="1"/>
  <c r="V355" i="3" s="1"/>
  <c r="B358" i="3" a="1"/>
  <c r="B358" i="3" s="1"/>
  <c r="B362" i="3" a="1"/>
  <c r="B362" i="3" s="1"/>
  <c r="D363" i="3" s="1" a="1"/>
  <c r="D363" i="3" s="1"/>
  <c r="B366" i="3" a="1"/>
  <c r="B366" i="3" s="1"/>
  <c r="P367" i="3" s="1" a="1"/>
  <c r="P367" i="3" s="1"/>
  <c r="AC367" i="3" a="1"/>
  <c r="AC367" i="3" s="1"/>
  <c r="B370" i="3" a="1"/>
  <c r="B370" i="3" s="1"/>
  <c r="AM371" i="3" s="1" a="1"/>
  <c r="AM371" i="3" s="1"/>
  <c r="E371" i="3" a="1"/>
  <c r="E371" i="3" s="1"/>
  <c r="H371" i="3" a="1"/>
  <c r="H371" i="3" s="1"/>
  <c r="Q371" i="3" a="1"/>
  <c r="Q371" i="3" s="1"/>
  <c r="AE371" i="3" a="1"/>
  <c r="AE371" i="3" s="1"/>
  <c r="AG371" i="3" a="1"/>
  <c r="AG371" i="3" s="1"/>
  <c r="AK371" i="3" a="1"/>
  <c r="AK371" i="3" s="1"/>
  <c r="AL371" i="3" a="1"/>
  <c r="AL371" i="3" s="1"/>
  <c r="B374" i="3" a="1"/>
  <c r="B374" i="3" s="1"/>
  <c r="G375" i="3" s="1" a="1"/>
  <c r="G375" i="3" s="1"/>
  <c r="S375" i="3" a="1"/>
  <c r="S375" i="3" s="1"/>
  <c r="B378" i="3" a="1"/>
  <c r="B378" i="3" s="1"/>
  <c r="G379" i="3" a="1"/>
  <c r="G379" i="3" s="1"/>
  <c r="U379" i="3" a="1"/>
  <c r="U379" i="3" s="1"/>
  <c r="X379" i="3" a="1"/>
  <c r="X379" i="3" s="1"/>
  <c r="Z379" i="3" a="1"/>
  <c r="Z379" i="3" s="1"/>
  <c r="AL379" i="3" a="1"/>
  <c r="AL379" i="3" s="1"/>
  <c r="B382" i="3" a="1"/>
  <c r="B382" i="3" s="1"/>
  <c r="AK383" i="3" a="1"/>
  <c r="AK383" i="3" s="1"/>
  <c r="B386" i="3" a="1"/>
  <c r="B386" i="3" s="1"/>
  <c r="B390" i="3" a="1"/>
  <c r="B390" i="3" s="1"/>
  <c r="X391" i="3" s="1" a="1"/>
  <c r="X391" i="3" s="1"/>
  <c r="B394" i="3" a="1"/>
  <c r="B394" i="3" s="1"/>
  <c r="B398" i="3" a="1"/>
  <c r="B398" i="3" s="1"/>
  <c r="F399" i="3" s="1" a="1"/>
  <c r="F399" i="3" s="1"/>
  <c r="H399" i="3" a="1"/>
  <c r="H399" i="3" s="1"/>
  <c r="R399" i="3" a="1"/>
  <c r="R399" i="3" s="1"/>
  <c r="U399" i="3" a="1"/>
  <c r="U399" i="3" s="1"/>
  <c r="AE399" i="3" a="1"/>
  <c r="AE399" i="3" s="1"/>
  <c r="AK399" i="3" a="1"/>
  <c r="AK399" i="3" s="1"/>
  <c r="B402" i="3" a="1"/>
  <c r="B402" i="3" s="1"/>
  <c r="C402" i="3" s="1" a="1"/>
  <c r="C402" i="3" s="1"/>
  <c r="D287" i="3" a="1"/>
  <c r="D287" i="3" s="1"/>
  <c r="G287" i="3" a="1"/>
  <c r="G287" i="3" s="1"/>
  <c r="H287" i="3" a="1"/>
  <c r="H287" i="3"/>
  <c r="I287" i="3" a="1"/>
  <c r="I287" i="3" s="1"/>
  <c r="K287" i="3" a="1"/>
  <c r="K287" i="3"/>
  <c r="O287" i="3" a="1"/>
  <c r="O287" i="3" s="1"/>
  <c r="P287" i="3" a="1"/>
  <c r="P287" i="3" s="1"/>
  <c r="R287" i="3" a="1"/>
  <c r="R287" i="3"/>
  <c r="U287" i="3" a="1"/>
  <c r="U287" i="3" s="1"/>
  <c r="V287" i="3" a="1"/>
  <c r="V287" i="3"/>
  <c r="W287" i="3" a="1"/>
  <c r="W287" i="3" s="1"/>
  <c r="Y287" i="3" a="1"/>
  <c r="Y287" i="3" s="1"/>
  <c r="AB287" i="3" a="1"/>
  <c r="AB287" i="3" s="1"/>
  <c r="AD287" i="3" a="1"/>
  <c r="AD287" i="3" s="1"/>
  <c r="AE287" i="3" a="1"/>
  <c r="AE287" i="3" s="1"/>
  <c r="AG287" i="3" a="1"/>
  <c r="AG287" i="3" s="1"/>
  <c r="AI287" i="3" a="1"/>
  <c r="AI287" i="3" s="1"/>
  <c r="AK287" i="3" a="1"/>
  <c r="AK287" i="3" s="1"/>
  <c r="AL287" i="3" a="1"/>
  <c r="AL287" i="3" s="1"/>
  <c r="AM287" i="3" a="1"/>
  <c r="AM287" i="3" s="1"/>
  <c r="B290" i="3" a="1"/>
  <c r="B290" i="3" s="1"/>
  <c r="C290" i="3" s="1" a="1"/>
  <c r="C290" i="3" s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2" i="5"/>
  <c r="B10" i="3" a="1"/>
  <c r="B10" i="3" s="1"/>
  <c r="C10" i="3" s="1" a="1"/>
  <c r="C10" i="3" s="1"/>
  <c r="B14" i="3" a="1"/>
  <c r="B14" i="3" s="1"/>
  <c r="B18" i="3" a="1"/>
  <c r="B18" i="3" s="1"/>
  <c r="C18" i="3" s="1" a="1"/>
  <c r="C18" i="3" s="1"/>
  <c r="B22" i="3" a="1"/>
  <c r="B22" i="3" s="1"/>
  <c r="B26" i="3" a="1"/>
  <c r="B26" i="3" s="1"/>
  <c r="B30" i="3" a="1"/>
  <c r="B30" i="3" s="1"/>
  <c r="B34" i="3" a="1"/>
  <c r="B34" i="3" s="1"/>
  <c r="B38" i="3" a="1"/>
  <c r="B38" i="3" s="1"/>
  <c r="B42" i="3" a="1"/>
  <c r="B42" i="3" s="1"/>
  <c r="B46" i="3" a="1"/>
  <c r="B46" i="3" s="1"/>
  <c r="B50" i="3" a="1"/>
  <c r="B50" i="3" s="1"/>
  <c r="B54" i="3" a="1"/>
  <c r="B54" i="3" s="1"/>
  <c r="B58" i="3" a="1"/>
  <c r="B58" i="3" s="1"/>
  <c r="B62" i="3" a="1"/>
  <c r="B62" i="3" s="1"/>
  <c r="B66" i="3" a="1"/>
  <c r="B66" i="3" s="1"/>
  <c r="C66" i="3" s="1" a="1"/>
  <c r="C66" i="3" s="1"/>
  <c r="B70" i="3" a="1"/>
  <c r="B70" i="3" s="1"/>
  <c r="C70" i="3" s="1" a="1"/>
  <c r="C70" i="3" s="1"/>
  <c r="B74" i="3" a="1"/>
  <c r="B74" i="3" s="1"/>
  <c r="B78" i="3" a="1"/>
  <c r="B78" i="3" s="1"/>
  <c r="C78" i="3" s="1" a="1"/>
  <c r="C78" i="3" s="1"/>
  <c r="B82" i="3" a="1"/>
  <c r="B82" i="3" s="1"/>
  <c r="B86" i="3" a="1"/>
  <c r="B86" i="3" s="1"/>
  <c r="B90" i="3" a="1"/>
  <c r="B90" i="3" s="1"/>
  <c r="B94" i="3" a="1"/>
  <c r="B94" i="3" s="1"/>
  <c r="B98" i="3" a="1"/>
  <c r="B98" i="3" s="1"/>
  <c r="C98" i="3" s="1" a="1"/>
  <c r="C98" i="3" s="1"/>
  <c r="B102" i="3" a="1"/>
  <c r="B102" i="3" s="1"/>
  <c r="B106" i="3" a="1"/>
  <c r="B106" i="3" s="1"/>
  <c r="B110" i="3" a="1"/>
  <c r="B110" i="3" s="1"/>
  <c r="C110" i="3" s="1" a="1"/>
  <c r="C110" i="3" s="1"/>
  <c r="B114" i="3" a="1"/>
  <c r="B114" i="3" s="1"/>
  <c r="C114" i="3" s="1" a="1"/>
  <c r="C114" i="3" s="1"/>
  <c r="B118" i="3" a="1"/>
  <c r="B118" i="3" s="1"/>
  <c r="B122" i="3" a="1"/>
  <c r="B122" i="3" s="1"/>
  <c r="B126" i="3" a="1"/>
  <c r="B126" i="3" s="1"/>
  <c r="B130" i="3" a="1"/>
  <c r="B130" i="3" s="1"/>
  <c r="C130" i="3" s="1" a="1"/>
  <c r="C130" i="3" s="1"/>
  <c r="B134" i="3" a="1"/>
  <c r="B134" i="3" s="1"/>
  <c r="B138" i="3" a="1"/>
  <c r="B138" i="3" s="1"/>
  <c r="B142" i="3" a="1"/>
  <c r="B142" i="3" s="1"/>
  <c r="C142" i="3" s="1" a="1"/>
  <c r="C142" i="3" s="1"/>
  <c r="B146" i="3" a="1"/>
  <c r="B146" i="3" s="1"/>
  <c r="C146" i="3" s="1" a="1"/>
  <c r="C146" i="3" s="1"/>
  <c r="B150" i="3" a="1"/>
  <c r="B150" i="3" s="1"/>
  <c r="C150" i="3" s="1" a="1"/>
  <c r="C150" i="3" s="1"/>
  <c r="B154" i="3" a="1"/>
  <c r="B154" i="3" s="1"/>
  <c r="B158" i="3" a="1"/>
  <c r="B158" i="3" s="1"/>
  <c r="C158" i="3" s="1" a="1"/>
  <c r="C158" i="3" s="1"/>
  <c r="B162" i="3" a="1"/>
  <c r="B162" i="3" s="1"/>
  <c r="C162" i="3" s="1" a="1"/>
  <c r="C162" i="3" s="1"/>
  <c r="B166" i="3" a="1"/>
  <c r="B166" i="3" s="1"/>
  <c r="C166" i="3" s="1" a="1"/>
  <c r="C166" i="3" s="1"/>
  <c r="B170" i="3" a="1"/>
  <c r="B170" i="3" s="1"/>
  <c r="B174" i="3" a="1"/>
  <c r="B174" i="3" s="1"/>
  <c r="B178" i="3" a="1"/>
  <c r="B178" i="3" s="1"/>
  <c r="C178" i="3" s="1" a="1"/>
  <c r="C178" i="3" s="1"/>
  <c r="B182" i="3" a="1"/>
  <c r="B182" i="3" s="1"/>
  <c r="B186" i="3" a="1"/>
  <c r="B186" i="3" s="1"/>
  <c r="B190" i="3" a="1"/>
  <c r="B190" i="3" s="1"/>
  <c r="B194" i="3" a="1"/>
  <c r="B194" i="3" s="1"/>
  <c r="C194" i="3" s="1" a="1"/>
  <c r="C194" i="3" s="1"/>
  <c r="B198" i="3" a="1"/>
  <c r="B198" i="3" s="1"/>
  <c r="R199" i="3" s="1" a="1"/>
  <c r="R199" i="3" s="1"/>
  <c r="B202" i="3" a="1"/>
  <c r="B202" i="3" s="1"/>
  <c r="C202" i="3" s="1" a="1"/>
  <c r="C202" i="3" s="1"/>
  <c r="B206" i="3" a="1"/>
  <c r="B206" i="3" s="1"/>
  <c r="C206" i="3" s="1" a="1"/>
  <c r="C206" i="3" s="1"/>
  <c r="B210" i="3" a="1"/>
  <c r="B210" i="3" s="1"/>
  <c r="C210" i="3" s="1" a="1"/>
  <c r="C210" i="3" s="1"/>
  <c r="B214" i="3" a="1"/>
  <c r="B214" i="3" s="1"/>
  <c r="K215" i="3" s="1" a="1"/>
  <c r="K215" i="3" s="1"/>
  <c r="B218" i="3" a="1"/>
  <c r="B218" i="3" s="1"/>
  <c r="C218" i="3" s="1" a="1"/>
  <c r="C218" i="3" s="1"/>
  <c r="B222" i="3" a="1"/>
  <c r="B222" i="3" s="1"/>
  <c r="C222" i="3" s="1" a="1"/>
  <c r="C222" i="3" s="1"/>
  <c r="B226" i="3" a="1"/>
  <c r="B226" i="3" s="1"/>
  <c r="B230" i="3" a="1"/>
  <c r="B230" i="3" s="1"/>
  <c r="AH231" i="3" s="1" a="1"/>
  <c r="AH231" i="3" s="1"/>
  <c r="B234" i="3" a="1"/>
  <c r="B234" i="3" s="1"/>
  <c r="B238" i="3" a="1"/>
  <c r="B238" i="3" s="1"/>
  <c r="R239" i="3" s="1" a="1"/>
  <c r="R239" i="3" s="1"/>
  <c r="B242" i="3" a="1"/>
  <c r="B242" i="3" s="1"/>
  <c r="B246" i="3" a="1"/>
  <c r="B246" i="3" s="1"/>
  <c r="C246" i="3" s="1" a="1"/>
  <c r="C246" i="3" s="1"/>
  <c r="B250" i="3" a="1"/>
  <c r="B250" i="3" s="1"/>
  <c r="B254" i="3" a="1"/>
  <c r="B254" i="3" s="1"/>
  <c r="B258" i="3" a="1"/>
  <c r="B258" i="3" s="1"/>
  <c r="G259" i="3" s="1" a="1"/>
  <c r="G259" i="3" s="1"/>
  <c r="B262" i="3" a="1"/>
  <c r="B262" i="3" s="1"/>
  <c r="B266" i="3" a="1"/>
  <c r="B266" i="3" s="1"/>
  <c r="C266" i="3" s="1" a="1"/>
  <c r="C266" i="3" s="1"/>
  <c r="B270" i="3" a="1"/>
  <c r="B270" i="3" s="1"/>
  <c r="B274" i="3" a="1"/>
  <c r="B274" i="3" s="1"/>
  <c r="B278" i="3" a="1"/>
  <c r="B278" i="3" s="1"/>
  <c r="B282" i="3" a="1"/>
  <c r="B282" i="3" s="1"/>
  <c r="B286" i="3" a="1"/>
  <c r="B286" i="3" s="1"/>
  <c r="C286" i="3" s="1" a="1"/>
  <c r="C286" i="3" s="1"/>
  <c r="F401" i="2"/>
  <c r="I401" i="2"/>
  <c r="K402" i="2" a="1"/>
  <c r="K402" i="2" s="1"/>
  <c r="K403" i="2" a="1"/>
  <c r="K403" i="2" s="1"/>
  <c r="I404" i="2"/>
  <c r="F405" i="2"/>
  <c r="I405" i="2"/>
  <c r="K406" i="2" a="1"/>
  <c r="K406" i="2" s="1"/>
  <c r="K407" i="2" a="1"/>
  <c r="K407" i="2" s="1"/>
  <c r="I408" i="2"/>
  <c r="F409" i="2"/>
  <c r="I409" i="2"/>
  <c r="K410" i="2" a="1"/>
  <c r="K410" i="2" s="1"/>
  <c r="K411" i="2" a="1"/>
  <c r="K411" i="2" s="1"/>
  <c r="I412" i="2"/>
  <c r="F413" i="2"/>
  <c r="I413" i="2"/>
  <c r="K414" i="2" a="1"/>
  <c r="K414" i="2" s="1"/>
  <c r="K415" i="2" a="1"/>
  <c r="K415" i="2" s="1"/>
  <c r="I416" i="2"/>
  <c r="F417" i="2"/>
  <c r="I417" i="2"/>
  <c r="K418" i="2" a="1"/>
  <c r="K418" i="2" s="1"/>
  <c r="K419" i="2" a="1"/>
  <c r="K419" i="2" s="1"/>
  <c r="E420" i="2"/>
  <c r="I420" i="2"/>
  <c r="F421" i="2"/>
  <c r="I421" i="2"/>
  <c r="K422" i="2" a="1"/>
  <c r="K422" i="2" s="1"/>
  <c r="K423" i="2" a="1"/>
  <c r="K423" i="2" s="1"/>
  <c r="B424" i="2"/>
  <c r="I424" i="2"/>
  <c r="F425" i="2"/>
  <c r="I425" i="2"/>
  <c r="K426" i="2" a="1"/>
  <c r="K426" i="2" s="1"/>
  <c r="K427" i="2" a="1"/>
  <c r="K427" i="2" s="1"/>
  <c r="I428" i="2"/>
  <c r="F429" i="2"/>
  <c r="I429" i="2"/>
  <c r="K430" i="2" a="1"/>
  <c r="K430" i="2" s="1"/>
  <c r="K431" i="2" a="1"/>
  <c r="K431" i="2" s="1"/>
  <c r="I432" i="2"/>
  <c r="F433" i="2"/>
  <c r="I433" i="2"/>
  <c r="K434" i="2" a="1"/>
  <c r="K434" i="2" s="1"/>
  <c r="K435" i="2" a="1"/>
  <c r="K435" i="2" s="1"/>
  <c r="E436" i="2"/>
  <c r="I436" i="2"/>
  <c r="F437" i="2"/>
  <c r="I437" i="2"/>
  <c r="K438" i="2" a="1"/>
  <c r="K438" i="2" s="1"/>
  <c r="K439" i="2" a="1"/>
  <c r="K439" i="2" s="1"/>
  <c r="I440" i="2"/>
  <c r="F441" i="2"/>
  <c r="I441" i="2"/>
  <c r="K442" i="2" a="1"/>
  <c r="K442" i="2" s="1"/>
  <c r="K443" i="2" a="1"/>
  <c r="K443" i="2" s="1"/>
  <c r="I444" i="2"/>
  <c r="F445" i="2"/>
  <c r="I445" i="2"/>
  <c r="K446" i="2" a="1"/>
  <c r="K446" i="2" s="1"/>
  <c r="K447" i="2" a="1"/>
  <c r="K447" i="2" s="1"/>
  <c r="I448" i="2"/>
  <c r="F449" i="2"/>
  <c r="I449" i="2"/>
  <c r="K450" i="2" a="1"/>
  <c r="K450" i="2" s="1"/>
  <c r="K451" i="2" a="1"/>
  <c r="K451" i="2" s="1"/>
  <c r="I452" i="2"/>
  <c r="F453" i="2"/>
  <c r="I453" i="2"/>
  <c r="K454" i="2" a="1"/>
  <c r="K454" i="2" s="1"/>
  <c r="K455" i="2" a="1"/>
  <c r="K455" i="2" s="1"/>
  <c r="I456" i="2"/>
  <c r="F457" i="2"/>
  <c r="I457" i="2"/>
  <c r="K458" i="2" a="1"/>
  <c r="K458" i="2" s="1"/>
  <c r="K459" i="2" a="1"/>
  <c r="K459" i="2" s="1"/>
  <c r="I460" i="2"/>
  <c r="F461" i="2"/>
  <c r="I461" i="2"/>
  <c r="K462" i="2" a="1"/>
  <c r="K462" i="2" s="1"/>
  <c r="K463" i="2" a="1"/>
  <c r="K463" i="2" s="1"/>
  <c r="I464" i="2"/>
  <c r="F465" i="2"/>
  <c r="I465" i="2"/>
  <c r="K466" i="2" a="1"/>
  <c r="K466" i="2" s="1"/>
  <c r="K467" i="2" a="1"/>
  <c r="K467" i="2" s="1"/>
  <c r="I468" i="2"/>
  <c r="F469" i="2"/>
  <c r="I469" i="2"/>
  <c r="K470" i="2" a="1"/>
  <c r="K470" i="2" s="1"/>
  <c r="K471" i="2" a="1"/>
  <c r="K471" i="2" s="1"/>
  <c r="I472" i="2"/>
  <c r="F473" i="2"/>
  <c r="I473" i="2"/>
  <c r="K474" i="2" a="1"/>
  <c r="K474" i="2" s="1"/>
  <c r="K475" i="2" a="1"/>
  <c r="K475" i="2" s="1"/>
  <c r="I476" i="2"/>
  <c r="F477" i="2"/>
  <c r="I477" i="2"/>
  <c r="K478" i="2" a="1"/>
  <c r="K478" i="2" s="1"/>
  <c r="K479" i="2" a="1"/>
  <c r="K479" i="2" s="1"/>
  <c r="I480" i="2"/>
  <c r="F481" i="2"/>
  <c r="I481" i="2"/>
  <c r="K482" i="2" a="1"/>
  <c r="K482" i="2" s="1"/>
  <c r="K483" i="2" a="1"/>
  <c r="K483" i="2" s="1"/>
  <c r="I484" i="2"/>
  <c r="F485" i="2"/>
  <c r="I485" i="2"/>
  <c r="K486" i="2" a="1"/>
  <c r="K486" i="2" s="1"/>
  <c r="K487" i="2" a="1"/>
  <c r="K487" i="2" s="1"/>
  <c r="I488" i="2"/>
  <c r="F489" i="2"/>
  <c r="I490" i="2" s="1" a="1"/>
  <c r="I490" i="2" s="1"/>
  <c r="I489" i="2"/>
  <c r="K490" i="2" a="1"/>
  <c r="K490" i="2"/>
  <c r="K491" i="2" a="1"/>
  <c r="K491" i="2" s="1"/>
  <c r="B492" i="2"/>
  <c r="C492" i="2"/>
  <c r="D492" i="2"/>
  <c r="E492" i="2"/>
  <c r="I492" i="2"/>
  <c r="F493" i="2"/>
  <c r="I493" i="2"/>
  <c r="K494" i="2" a="1"/>
  <c r="K494" i="2"/>
  <c r="K495" i="2" a="1"/>
  <c r="K495" i="2" s="1"/>
  <c r="B496" i="2"/>
  <c r="I494" i="2" s="1" a="1"/>
  <c r="I494" i="2" s="1"/>
  <c r="C496" i="2"/>
  <c r="D496" i="2"/>
  <c r="E496" i="2"/>
  <c r="I496" i="2"/>
  <c r="F497" i="2"/>
  <c r="I498" i="2" s="1" a="1"/>
  <c r="I498" i="2" s="1"/>
  <c r="I497" i="2"/>
  <c r="K498" i="2" a="1"/>
  <c r="K498" i="2"/>
  <c r="K499" i="2" a="1"/>
  <c r="K499" i="2" s="1"/>
  <c r="B500" i="2"/>
  <c r="C500" i="2"/>
  <c r="D500" i="2"/>
  <c r="E500" i="2"/>
  <c r="I500" i="2"/>
  <c r="F501" i="2"/>
  <c r="I502" i="2" s="1" a="1"/>
  <c r="I502" i="2" s="1"/>
  <c r="I501" i="2"/>
  <c r="K502" i="2" a="1"/>
  <c r="K502" i="2"/>
  <c r="K503" i="2" a="1"/>
  <c r="K503" i="2" s="1"/>
  <c r="B504" i="2"/>
  <c r="C504" i="2"/>
  <c r="D504" i="2"/>
  <c r="E504" i="2"/>
  <c r="I504" i="2"/>
  <c r="F505" i="2"/>
  <c r="I505" i="2"/>
  <c r="K506" i="2" a="1"/>
  <c r="K506" i="2" s="1"/>
  <c r="K507" i="2" a="1"/>
  <c r="K507" i="2" s="1"/>
  <c r="B508" i="2"/>
  <c r="I506" i="2" s="1" a="1"/>
  <c r="I506" i="2" s="1"/>
  <c r="C508" i="2"/>
  <c r="D508" i="2"/>
  <c r="E508" i="2"/>
  <c r="I508" i="2"/>
  <c r="F509" i="2"/>
  <c r="I510" i="2" s="1" a="1"/>
  <c r="I510" i="2" s="1"/>
  <c r="I509" i="2"/>
  <c r="K510" i="2" a="1"/>
  <c r="K510" i="2"/>
  <c r="K511" i="2" a="1"/>
  <c r="K511" i="2" s="1"/>
  <c r="B512" i="2"/>
  <c r="C512" i="2"/>
  <c r="D512" i="2"/>
  <c r="E512" i="2"/>
  <c r="I512" i="2"/>
  <c r="F513" i="2"/>
  <c r="I513" i="2"/>
  <c r="I514" i="2" a="1"/>
  <c r="I514" i="2"/>
  <c r="K514" i="2" a="1"/>
  <c r="K514" i="2"/>
  <c r="K515" i="2" a="1"/>
  <c r="K515" i="2" s="1"/>
  <c r="B516" i="2"/>
  <c r="C516" i="2"/>
  <c r="D516" i="2"/>
  <c r="E516" i="2"/>
  <c r="I516" i="2"/>
  <c r="F517" i="2"/>
  <c r="I517" i="2"/>
  <c r="I518" i="2" a="1"/>
  <c r="I518" i="2" s="1"/>
  <c r="K518" i="2" a="1"/>
  <c r="K518" i="2" s="1"/>
  <c r="K519" i="2" a="1"/>
  <c r="K519" i="2" s="1"/>
  <c r="B520" i="2"/>
  <c r="C520" i="2"/>
  <c r="D520" i="2"/>
  <c r="E520" i="2"/>
  <c r="I520" i="2"/>
  <c r="F521" i="2"/>
  <c r="I521" i="2"/>
  <c r="K522" i="2" a="1"/>
  <c r="K522" i="2"/>
  <c r="K523" i="2" a="1"/>
  <c r="K523" i="2" s="1"/>
  <c r="B524" i="2"/>
  <c r="I522" i="2" s="1" a="1"/>
  <c r="I522" i="2" s="1"/>
  <c r="C524" i="2"/>
  <c r="D524" i="2"/>
  <c r="E524" i="2"/>
  <c r="I524" i="2"/>
  <c r="F525" i="2"/>
  <c r="I525" i="2"/>
  <c r="I526" i="2" a="1"/>
  <c r="I526" i="2"/>
  <c r="K526" i="2" a="1"/>
  <c r="K526" i="2" s="1"/>
  <c r="K527" i="2" a="1"/>
  <c r="K527" i="2" s="1"/>
  <c r="B528" i="2"/>
  <c r="C528" i="2"/>
  <c r="D528" i="2"/>
  <c r="E528" i="2"/>
  <c r="I528" i="2"/>
  <c r="F529" i="2"/>
  <c r="I530" i="2" s="1" a="1"/>
  <c r="I530" i="2" s="1"/>
  <c r="I529" i="2"/>
  <c r="K530" i="2" a="1"/>
  <c r="K530" i="2"/>
  <c r="K531" i="2" a="1"/>
  <c r="K531" i="2" s="1"/>
  <c r="B532" i="2"/>
  <c r="C532" i="2"/>
  <c r="D532" i="2"/>
  <c r="E532" i="2"/>
  <c r="I532" i="2"/>
  <c r="F533" i="2"/>
  <c r="I533" i="2"/>
  <c r="K534" i="2" a="1"/>
  <c r="K534" i="2"/>
  <c r="K535" i="2" a="1"/>
  <c r="K535" i="2" s="1"/>
  <c r="B536" i="2"/>
  <c r="I534" i="2" s="1" a="1"/>
  <c r="I534" i="2" s="1"/>
  <c r="C536" i="2"/>
  <c r="D536" i="2"/>
  <c r="E536" i="2"/>
  <c r="I536" i="2"/>
  <c r="F537" i="2"/>
  <c r="I537" i="2"/>
  <c r="I538" i="2" a="1"/>
  <c r="I538" i="2" s="1"/>
  <c r="K538" i="2" a="1"/>
  <c r="K538" i="2"/>
  <c r="K539" i="2" a="1"/>
  <c r="K539" i="2" s="1"/>
  <c r="B540" i="2"/>
  <c r="C540" i="2"/>
  <c r="D540" i="2"/>
  <c r="E540" i="2"/>
  <c r="I540" i="2"/>
  <c r="F541" i="2"/>
  <c r="I542" i="2" s="1" a="1"/>
  <c r="I542" i="2" s="1"/>
  <c r="I541" i="2"/>
  <c r="K542" i="2" a="1"/>
  <c r="K542" i="2"/>
  <c r="K543" i="2" a="1"/>
  <c r="K543" i="2" s="1"/>
  <c r="B544" i="2"/>
  <c r="C544" i="2"/>
  <c r="D544" i="2"/>
  <c r="E544" i="2"/>
  <c r="I544" i="2"/>
  <c r="F545" i="2"/>
  <c r="I545" i="2"/>
  <c r="K546" i="2" a="1"/>
  <c r="K546" i="2"/>
  <c r="K547" i="2" a="1"/>
  <c r="K547" i="2" s="1"/>
  <c r="B548" i="2"/>
  <c r="I546" i="2" s="1" a="1"/>
  <c r="I546" i="2" s="1"/>
  <c r="C548" i="2"/>
  <c r="D548" i="2"/>
  <c r="E548" i="2"/>
  <c r="I548" i="2"/>
  <c r="F549" i="2"/>
  <c r="I550" i="2" s="1" a="1"/>
  <c r="I550" i="2" s="1"/>
  <c r="I549" i="2"/>
  <c r="K550" i="2" a="1"/>
  <c r="K550" i="2"/>
  <c r="K551" i="2" a="1"/>
  <c r="K551" i="2" s="1"/>
  <c r="B552" i="2"/>
  <c r="C552" i="2"/>
  <c r="D552" i="2"/>
  <c r="E552" i="2"/>
  <c r="I552" i="2"/>
  <c r="F553" i="2"/>
  <c r="I553" i="2"/>
  <c r="K554" i="2" a="1"/>
  <c r="K554" i="2"/>
  <c r="K555" i="2" a="1"/>
  <c r="K555" i="2" s="1"/>
  <c r="B556" i="2"/>
  <c r="I554" i="2" s="1" a="1"/>
  <c r="I554" i="2" s="1"/>
  <c r="C556" i="2"/>
  <c r="D556" i="2"/>
  <c r="E556" i="2"/>
  <c r="I556" i="2"/>
  <c r="F557" i="2"/>
  <c r="I557" i="2"/>
  <c r="I558" i="2" a="1"/>
  <c r="I558" i="2"/>
  <c r="K558" i="2" a="1"/>
  <c r="K558" i="2"/>
  <c r="K559" i="2" a="1"/>
  <c r="K559" i="2" s="1"/>
  <c r="B560" i="2"/>
  <c r="C560" i="2"/>
  <c r="D560" i="2"/>
  <c r="E560" i="2"/>
  <c r="I560" i="2"/>
  <c r="F561" i="2"/>
  <c r="I562" i="2" s="1" a="1"/>
  <c r="I562" i="2" s="1"/>
  <c r="I561" i="2"/>
  <c r="K562" i="2" a="1"/>
  <c r="K562" i="2"/>
  <c r="K563" i="2" a="1"/>
  <c r="K563" i="2"/>
  <c r="B564" i="2"/>
  <c r="C564" i="2"/>
  <c r="D564" i="2"/>
  <c r="E564" i="2"/>
  <c r="I564" i="2"/>
  <c r="F565" i="2"/>
  <c r="I565" i="2"/>
  <c r="I566" i="2" a="1"/>
  <c r="I566" i="2"/>
  <c r="K566" i="2" a="1"/>
  <c r="K566" i="2"/>
  <c r="K567" i="2" a="1"/>
  <c r="K567" i="2" s="1"/>
  <c r="B568" i="2"/>
  <c r="C568" i="2"/>
  <c r="D568" i="2"/>
  <c r="E568" i="2"/>
  <c r="I568" i="2"/>
  <c r="F569" i="2"/>
  <c r="I569" i="2"/>
  <c r="K570" i="2" a="1"/>
  <c r="K570" i="2"/>
  <c r="K571" i="2" a="1"/>
  <c r="K571" i="2"/>
  <c r="B572" i="2"/>
  <c r="I570" i="2" s="1" a="1"/>
  <c r="I570" i="2" s="1"/>
  <c r="C572" i="2"/>
  <c r="D572" i="2"/>
  <c r="E572" i="2"/>
  <c r="I572" i="2"/>
  <c r="F573" i="2"/>
  <c r="I573" i="2"/>
  <c r="K574" i="2" a="1"/>
  <c r="K574" i="2"/>
  <c r="K575" i="2" a="1"/>
  <c r="K575" i="2" s="1"/>
  <c r="B576" i="2"/>
  <c r="I574" i="2" s="1" a="1"/>
  <c r="I574" i="2" s="1"/>
  <c r="C576" i="2"/>
  <c r="D576" i="2"/>
  <c r="E576" i="2"/>
  <c r="I576" i="2"/>
  <c r="F577" i="2"/>
  <c r="I578" i="2" s="1" a="1"/>
  <c r="I578" i="2" s="1"/>
  <c r="I577" i="2"/>
  <c r="K578" i="2" a="1"/>
  <c r="K578" i="2"/>
  <c r="K579" i="2" a="1"/>
  <c r="K579" i="2" s="1"/>
  <c r="B580" i="2"/>
  <c r="C580" i="2"/>
  <c r="D580" i="2"/>
  <c r="E580" i="2"/>
  <c r="I580" i="2"/>
  <c r="F581" i="2"/>
  <c r="I582" i="2" s="1" a="1"/>
  <c r="I582" i="2" s="1"/>
  <c r="I581" i="2"/>
  <c r="K582" i="2" a="1"/>
  <c r="K582" i="2"/>
  <c r="K583" i="2" a="1"/>
  <c r="K583" i="2" s="1"/>
  <c r="B584" i="2"/>
  <c r="C584" i="2"/>
  <c r="D584" i="2"/>
  <c r="E584" i="2"/>
  <c r="I584" i="2"/>
  <c r="F585" i="2"/>
  <c r="I585" i="2"/>
  <c r="K586" i="2" a="1"/>
  <c r="K586" i="2"/>
  <c r="K587" i="2" a="1"/>
  <c r="K587" i="2" s="1"/>
  <c r="B588" i="2"/>
  <c r="I586" i="2" s="1" a="1"/>
  <c r="I586" i="2" s="1"/>
  <c r="C588" i="2"/>
  <c r="D588" i="2"/>
  <c r="E588" i="2"/>
  <c r="I588" i="2"/>
  <c r="F589" i="2"/>
  <c r="I590" i="2" s="1" a="1"/>
  <c r="I590" i="2" s="1"/>
  <c r="I589" i="2"/>
  <c r="K590" i="2" a="1"/>
  <c r="K590" i="2"/>
  <c r="K591" i="2" a="1"/>
  <c r="K591" i="2" s="1"/>
  <c r="B592" i="2"/>
  <c r="C592" i="2"/>
  <c r="D592" i="2"/>
  <c r="E592" i="2"/>
  <c r="I592" i="2"/>
  <c r="F593" i="2"/>
  <c r="I593" i="2"/>
  <c r="K594" i="2" a="1"/>
  <c r="K594" i="2"/>
  <c r="K595" i="2" a="1"/>
  <c r="K595" i="2" s="1"/>
  <c r="B596" i="2"/>
  <c r="I594" i="2" s="1" a="1"/>
  <c r="I594" i="2" s="1"/>
  <c r="C596" i="2"/>
  <c r="D596" i="2"/>
  <c r="E596" i="2"/>
  <c r="I596" i="2"/>
  <c r="F597" i="2"/>
  <c r="I597" i="2"/>
  <c r="I598" i="2" a="1"/>
  <c r="I598" i="2"/>
  <c r="K598" i="2" a="1"/>
  <c r="K598" i="2"/>
  <c r="K599" i="2" a="1"/>
  <c r="K599" i="2" s="1"/>
  <c r="B600" i="2"/>
  <c r="C600" i="2"/>
  <c r="D600" i="2"/>
  <c r="E600" i="2"/>
  <c r="I600" i="2"/>
  <c r="F601" i="2"/>
  <c r="I601" i="2"/>
  <c r="K602" i="2" a="1"/>
  <c r="K602" i="2"/>
  <c r="K603" i="2" a="1"/>
  <c r="K603" i="2" s="1"/>
  <c r="B604" i="2"/>
  <c r="I602" i="2" s="1" a="1"/>
  <c r="I602" i="2" s="1"/>
  <c r="C604" i="2"/>
  <c r="D604" i="2"/>
  <c r="E604" i="2"/>
  <c r="I604" i="2"/>
  <c r="F605" i="2"/>
  <c r="I605" i="2"/>
  <c r="I606" i="2" a="1"/>
  <c r="I606" i="2"/>
  <c r="K606" i="2" a="1"/>
  <c r="K606" i="2"/>
  <c r="K607" i="2" a="1"/>
  <c r="K607" i="2" s="1"/>
  <c r="B608" i="2"/>
  <c r="C608" i="2"/>
  <c r="D608" i="2"/>
  <c r="E608" i="2"/>
  <c r="I608" i="2"/>
  <c r="F609" i="2"/>
  <c r="I609" i="2"/>
  <c r="K610" i="2" a="1"/>
  <c r="K610" i="2"/>
  <c r="K611" i="2" a="1"/>
  <c r="K611" i="2"/>
  <c r="B612" i="2"/>
  <c r="I610" i="2" s="1" a="1"/>
  <c r="I610" i="2" s="1"/>
  <c r="C612" i="2"/>
  <c r="D612" i="2"/>
  <c r="E612" i="2"/>
  <c r="I612" i="2"/>
  <c r="F613" i="2"/>
  <c r="I614" i="2" s="1" a="1"/>
  <c r="I614" i="2" s="1"/>
  <c r="I613" i="2"/>
  <c r="K614" i="2" a="1"/>
  <c r="K614" i="2"/>
  <c r="K615" i="2" a="1"/>
  <c r="K615" i="2" s="1"/>
  <c r="B616" i="2"/>
  <c r="C616" i="2"/>
  <c r="D616" i="2"/>
  <c r="E616" i="2"/>
  <c r="I616" i="2"/>
  <c r="F617" i="2"/>
  <c r="I618" i="2" s="1" a="1"/>
  <c r="I618" i="2" s="1"/>
  <c r="I617" i="2"/>
  <c r="K618" i="2" a="1"/>
  <c r="K618" i="2"/>
  <c r="K619" i="2" a="1"/>
  <c r="K619" i="2" s="1"/>
  <c r="B620" i="2"/>
  <c r="C620" i="2"/>
  <c r="D620" i="2"/>
  <c r="E620" i="2"/>
  <c r="I620" i="2"/>
  <c r="F621" i="2"/>
  <c r="I622" i="2" s="1" a="1"/>
  <c r="I622" i="2" s="1"/>
  <c r="I621" i="2"/>
  <c r="K622" i="2" a="1"/>
  <c r="K622" i="2"/>
  <c r="K623" i="2" a="1"/>
  <c r="K623" i="2" s="1"/>
  <c r="B624" i="2"/>
  <c r="C624" i="2"/>
  <c r="D624" i="2"/>
  <c r="E624" i="2"/>
  <c r="I624" i="2"/>
  <c r="F625" i="2"/>
  <c r="I625" i="2"/>
  <c r="K626" i="2" a="1"/>
  <c r="K626" i="2"/>
  <c r="K627" i="2" a="1"/>
  <c r="K627" i="2" s="1"/>
  <c r="B628" i="2"/>
  <c r="I626" i="2" s="1" a="1"/>
  <c r="I626" i="2" s="1"/>
  <c r="C628" i="2"/>
  <c r="D628" i="2"/>
  <c r="E628" i="2"/>
  <c r="I628" i="2"/>
  <c r="F629" i="2"/>
  <c r="I630" i="2" s="1" a="1"/>
  <c r="I630" i="2" s="1"/>
  <c r="I629" i="2"/>
  <c r="K630" i="2" a="1"/>
  <c r="K630" i="2"/>
  <c r="K631" i="2" a="1"/>
  <c r="K631" i="2" s="1"/>
  <c r="B632" i="2"/>
  <c r="C632" i="2"/>
  <c r="D632" i="2"/>
  <c r="E632" i="2"/>
  <c r="I632" i="2"/>
  <c r="F633" i="2"/>
  <c r="I633" i="2"/>
  <c r="K634" i="2" a="1"/>
  <c r="K634" i="2"/>
  <c r="K635" i="2" a="1"/>
  <c r="K635" i="2" s="1"/>
  <c r="B636" i="2"/>
  <c r="I634" i="2" s="1" a="1"/>
  <c r="I634" i="2" s="1"/>
  <c r="C636" i="2"/>
  <c r="D636" i="2"/>
  <c r="E636" i="2"/>
  <c r="I636" i="2"/>
  <c r="F637" i="2"/>
  <c r="I637" i="2"/>
  <c r="I638" i="2" a="1"/>
  <c r="I638" i="2"/>
  <c r="K638" i="2" a="1"/>
  <c r="K638" i="2"/>
  <c r="K639" i="2" a="1"/>
  <c r="K639" i="2" s="1"/>
  <c r="B640" i="2"/>
  <c r="C640" i="2"/>
  <c r="D640" i="2"/>
  <c r="E640" i="2"/>
  <c r="I640" i="2"/>
  <c r="F641" i="2"/>
  <c r="I641" i="2"/>
  <c r="K642" i="2" a="1"/>
  <c r="K642" i="2"/>
  <c r="K643" i="2" a="1"/>
  <c r="K643" i="2"/>
  <c r="B644" i="2"/>
  <c r="I642" i="2" s="1" a="1"/>
  <c r="I642" i="2" s="1"/>
  <c r="C644" i="2"/>
  <c r="D644" i="2"/>
  <c r="E644" i="2"/>
  <c r="I644" i="2"/>
  <c r="F645" i="2"/>
  <c r="I645" i="2"/>
  <c r="I646" i="2" a="1"/>
  <c r="I646" i="2"/>
  <c r="K646" i="2" a="1"/>
  <c r="K646" i="2"/>
  <c r="K647" i="2" a="1"/>
  <c r="K647" i="2" s="1"/>
  <c r="B648" i="2"/>
  <c r="C648" i="2"/>
  <c r="D648" i="2"/>
  <c r="E648" i="2"/>
  <c r="I648" i="2"/>
  <c r="F649" i="2"/>
  <c r="I649" i="2"/>
  <c r="K650" i="2" a="1"/>
  <c r="K650" i="2"/>
  <c r="K651" i="2" a="1"/>
  <c r="K651" i="2"/>
  <c r="B652" i="2"/>
  <c r="I650" i="2" s="1" a="1"/>
  <c r="I650" i="2" s="1"/>
  <c r="C652" i="2"/>
  <c r="D652" i="2"/>
  <c r="E652" i="2"/>
  <c r="I652" i="2"/>
  <c r="F653" i="2"/>
  <c r="I654" i="2" s="1" a="1"/>
  <c r="I654" i="2" s="1"/>
  <c r="I653" i="2"/>
  <c r="K654" i="2" a="1"/>
  <c r="K654" i="2"/>
  <c r="K655" i="2" a="1"/>
  <c r="K655" i="2" s="1"/>
  <c r="B656" i="2"/>
  <c r="C656" i="2"/>
  <c r="D656" i="2"/>
  <c r="E656" i="2"/>
  <c r="I656" i="2"/>
  <c r="F657" i="2"/>
  <c r="I658" i="2" s="1" a="1"/>
  <c r="I658" i="2" s="1"/>
  <c r="I657" i="2"/>
  <c r="K658" i="2" a="1"/>
  <c r="K658" i="2"/>
  <c r="K659" i="2" a="1"/>
  <c r="K659" i="2" s="1"/>
  <c r="B660" i="2"/>
  <c r="C660" i="2"/>
  <c r="D660" i="2"/>
  <c r="E660" i="2"/>
  <c r="I660" i="2"/>
  <c r="F661" i="2"/>
  <c r="I662" i="2" s="1" a="1"/>
  <c r="I662" i="2" s="1"/>
  <c r="I661" i="2"/>
  <c r="K662" i="2" a="1"/>
  <c r="K662" i="2"/>
  <c r="K663" i="2" a="1"/>
  <c r="K663" i="2" s="1"/>
  <c r="B664" i="2"/>
  <c r="C664" i="2"/>
  <c r="D664" i="2"/>
  <c r="E664" i="2"/>
  <c r="I664" i="2"/>
  <c r="F665" i="2"/>
  <c r="I665" i="2"/>
  <c r="K666" i="2" a="1"/>
  <c r="K666" i="2"/>
  <c r="K667" i="2" a="1"/>
  <c r="K667" i="2" s="1"/>
  <c r="B668" i="2"/>
  <c r="I666" i="2" s="1" a="1"/>
  <c r="I666" i="2" s="1"/>
  <c r="C668" i="2"/>
  <c r="D668" i="2"/>
  <c r="E668" i="2"/>
  <c r="I668" i="2"/>
  <c r="F669" i="2"/>
  <c r="I670" i="2" s="1" a="1"/>
  <c r="I670" i="2" s="1"/>
  <c r="I669" i="2"/>
  <c r="K670" i="2" a="1"/>
  <c r="K670" i="2"/>
  <c r="K671" i="2" a="1"/>
  <c r="K671" i="2" s="1"/>
  <c r="B672" i="2"/>
  <c r="C672" i="2"/>
  <c r="D672" i="2"/>
  <c r="E672" i="2"/>
  <c r="I672" i="2"/>
  <c r="F673" i="2"/>
  <c r="I673" i="2"/>
  <c r="K674" i="2" a="1"/>
  <c r="K674" i="2"/>
  <c r="K675" i="2" a="1"/>
  <c r="K675" i="2" s="1"/>
  <c r="B676" i="2"/>
  <c r="I674" i="2" s="1" a="1"/>
  <c r="I674" i="2" s="1"/>
  <c r="C676" i="2"/>
  <c r="D676" i="2"/>
  <c r="E676" i="2"/>
  <c r="I676" i="2"/>
  <c r="F677" i="2"/>
  <c r="I677" i="2"/>
  <c r="I678" i="2" a="1"/>
  <c r="I678" i="2"/>
  <c r="K678" i="2" a="1"/>
  <c r="K678" i="2"/>
  <c r="K679" i="2" a="1"/>
  <c r="K679" i="2" s="1"/>
  <c r="B680" i="2"/>
  <c r="C680" i="2"/>
  <c r="D680" i="2"/>
  <c r="E680" i="2"/>
  <c r="I680" i="2"/>
  <c r="F681" i="2"/>
  <c r="I682" i="2" s="1" a="1"/>
  <c r="I682" i="2" s="1"/>
  <c r="I681" i="2"/>
  <c r="K682" i="2" a="1"/>
  <c r="K682" i="2"/>
  <c r="K683" i="2" a="1"/>
  <c r="K683" i="2" s="1"/>
  <c r="B684" i="2"/>
  <c r="C684" i="2"/>
  <c r="D684" i="2"/>
  <c r="E684" i="2"/>
  <c r="I684" i="2"/>
  <c r="F685" i="2"/>
  <c r="I685" i="2"/>
  <c r="I686" i="2" a="1"/>
  <c r="I686" i="2"/>
  <c r="K686" i="2" a="1"/>
  <c r="K686" i="2"/>
  <c r="K687" i="2" a="1"/>
  <c r="K687" i="2" s="1"/>
  <c r="B688" i="2"/>
  <c r="C688" i="2"/>
  <c r="D688" i="2"/>
  <c r="E688" i="2"/>
  <c r="I688" i="2"/>
  <c r="F689" i="2"/>
  <c r="I689" i="2"/>
  <c r="K690" i="2" a="1"/>
  <c r="K690" i="2"/>
  <c r="K691" i="2" a="1"/>
  <c r="K691" i="2" s="1"/>
  <c r="B692" i="2"/>
  <c r="I690" i="2" s="1" a="1"/>
  <c r="I690" i="2" s="1"/>
  <c r="C692" i="2"/>
  <c r="D692" i="2"/>
  <c r="E692" i="2"/>
  <c r="I692" i="2"/>
  <c r="F693" i="2"/>
  <c r="I694" i="2" s="1" a="1"/>
  <c r="I694" i="2" s="1"/>
  <c r="I693" i="2"/>
  <c r="K694" i="2" a="1"/>
  <c r="K694" i="2"/>
  <c r="K695" i="2" a="1"/>
  <c r="K695" i="2" s="1"/>
  <c r="B696" i="2"/>
  <c r="C696" i="2"/>
  <c r="D696" i="2"/>
  <c r="E696" i="2"/>
  <c r="I696" i="2"/>
  <c r="F697" i="2"/>
  <c r="I698" i="2" s="1" a="1"/>
  <c r="I698" i="2" s="1"/>
  <c r="I697" i="2"/>
  <c r="K698" i="2" a="1"/>
  <c r="K698" i="2"/>
  <c r="K699" i="2" a="1"/>
  <c r="K699" i="2" s="1"/>
  <c r="B700" i="2"/>
  <c r="C700" i="2"/>
  <c r="D700" i="2"/>
  <c r="E700" i="2"/>
  <c r="I700" i="2"/>
  <c r="F701" i="2"/>
  <c r="I702" i="2" s="1" a="1"/>
  <c r="I702" i="2" s="1"/>
  <c r="I701" i="2"/>
  <c r="K702" i="2" a="1"/>
  <c r="K702" i="2"/>
  <c r="K703" i="2" a="1"/>
  <c r="K703" i="2" s="1"/>
  <c r="B704" i="2"/>
  <c r="C704" i="2"/>
  <c r="D704" i="2"/>
  <c r="E704" i="2"/>
  <c r="I704" i="2"/>
  <c r="F705" i="2"/>
  <c r="I705" i="2"/>
  <c r="K706" i="2" a="1"/>
  <c r="K706" i="2"/>
  <c r="K707" i="2" a="1"/>
  <c r="K707" i="2" s="1"/>
  <c r="B708" i="2"/>
  <c r="I706" i="2" s="1" a="1"/>
  <c r="I706" i="2" s="1"/>
  <c r="C708" i="2"/>
  <c r="D708" i="2"/>
  <c r="E708" i="2"/>
  <c r="I708" i="2"/>
  <c r="F709" i="2"/>
  <c r="I710" i="2" s="1" a="1"/>
  <c r="I710" i="2" s="1"/>
  <c r="I709" i="2"/>
  <c r="K710" i="2" a="1"/>
  <c r="K710" i="2"/>
  <c r="K711" i="2" a="1"/>
  <c r="K711" i="2" s="1"/>
  <c r="B712" i="2"/>
  <c r="C712" i="2"/>
  <c r="D712" i="2"/>
  <c r="E712" i="2"/>
  <c r="I712" i="2"/>
  <c r="F713" i="2"/>
  <c r="I713" i="2"/>
  <c r="K714" i="2" a="1"/>
  <c r="K714" i="2"/>
  <c r="K715" i="2" a="1"/>
  <c r="K715" i="2" s="1"/>
  <c r="B716" i="2"/>
  <c r="I714" i="2" s="1" a="1"/>
  <c r="I714" i="2" s="1"/>
  <c r="C716" i="2"/>
  <c r="D716" i="2"/>
  <c r="E716" i="2"/>
  <c r="I716" i="2"/>
  <c r="F717" i="2"/>
  <c r="I717" i="2"/>
  <c r="K718" i="2" a="1"/>
  <c r="K718" i="2"/>
  <c r="K719" i="2" a="1"/>
  <c r="K719" i="2" s="1"/>
  <c r="B720" i="2"/>
  <c r="I718" i="2" s="1" a="1"/>
  <c r="I718" i="2" s="1"/>
  <c r="C720" i="2"/>
  <c r="D720" i="2"/>
  <c r="E720" i="2"/>
  <c r="I720" i="2"/>
  <c r="F721" i="2"/>
  <c r="I722" i="2" s="1" a="1"/>
  <c r="I722" i="2" s="1"/>
  <c r="I721" i="2"/>
  <c r="K722" i="2" a="1"/>
  <c r="K722" i="2"/>
  <c r="K723" i="2" a="1"/>
  <c r="K723" i="2" s="1"/>
  <c r="B724" i="2"/>
  <c r="C724" i="2"/>
  <c r="D724" i="2"/>
  <c r="E724" i="2"/>
  <c r="I724" i="2"/>
  <c r="F725" i="2"/>
  <c r="I725" i="2"/>
  <c r="K726" i="2" a="1"/>
  <c r="K726" i="2"/>
  <c r="K727" i="2" a="1"/>
  <c r="K727" i="2" s="1"/>
  <c r="B728" i="2"/>
  <c r="I726" i="2" s="1" a="1"/>
  <c r="I726" i="2" s="1"/>
  <c r="C728" i="2"/>
  <c r="D728" i="2"/>
  <c r="E728" i="2"/>
  <c r="I728" i="2"/>
  <c r="F729" i="2"/>
  <c r="I729" i="2"/>
  <c r="K730" i="2" a="1"/>
  <c r="K730" i="2"/>
  <c r="K731" i="2" a="1"/>
  <c r="K731" i="2" s="1"/>
  <c r="B732" i="2"/>
  <c r="I730" i="2" s="1" a="1"/>
  <c r="I730" i="2" s="1"/>
  <c r="C732" i="2"/>
  <c r="D732" i="2"/>
  <c r="E732" i="2"/>
  <c r="I732" i="2"/>
  <c r="F733" i="2"/>
  <c r="I733" i="2"/>
  <c r="K734" i="2" a="1"/>
  <c r="K734" i="2"/>
  <c r="K735" i="2" a="1"/>
  <c r="K735" i="2" s="1"/>
  <c r="B736" i="2"/>
  <c r="I734" i="2" s="1" a="1"/>
  <c r="I734" i="2" s="1"/>
  <c r="C736" i="2"/>
  <c r="D736" i="2"/>
  <c r="E736" i="2"/>
  <c r="I736" i="2"/>
  <c r="F737" i="2"/>
  <c r="I738" i="2" s="1" a="1"/>
  <c r="I738" i="2" s="1"/>
  <c r="I737" i="2"/>
  <c r="K738" i="2" a="1"/>
  <c r="K738" i="2"/>
  <c r="K739" i="2" a="1"/>
  <c r="K739" i="2" s="1"/>
  <c r="B740" i="2"/>
  <c r="C740" i="2"/>
  <c r="D740" i="2"/>
  <c r="E740" i="2"/>
  <c r="I740" i="2"/>
  <c r="F741" i="2"/>
  <c r="I742" i="2" s="1" a="1"/>
  <c r="I742" i="2" s="1"/>
  <c r="I741" i="2"/>
  <c r="K742" i="2" a="1"/>
  <c r="K742" i="2"/>
  <c r="K743" i="2" a="1"/>
  <c r="K743" i="2" s="1"/>
  <c r="B744" i="2"/>
  <c r="C744" i="2"/>
  <c r="D744" i="2"/>
  <c r="E744" i="2"/>
  <c r="I744" i="2"/>
  <c r="F745" i="2"/>
  <c r="I745" i="2"/>
  <c r="K746" i="2" a="1"/>
  <c r="K746" i="2"/>
  <c r="K747" i="2" a="1"/>
  <c r="K747" i="2" s="1"/>
  <c r="B748" i="2"/>
  <c r="I746" i="2" s="1" a="1"/>
  <c r="I746" i="2" s="1"/>
  <c r="C748" i="2"/>
  <c r="D748" i="2"/>
  <c r="E748" i="2"/>
  <c r="I748" i="2"/>
  <c r="F749" i="2"/>
  <c r="I750" i="2" s="1" a="1"/>
  <c r="I750" i="2" s="1"/>
  <c r="I749" i="2"/>
  <c r="K750" i="2" a="1"/>
  <c r="K750" i="2"/>
  <c r="K751" i="2" a="1"/>
  <c r="K751" i="2" s="1"/>
  <c r="B752" i="2"/>
  <c r="C752" i="2"/>
  <c r="D752" i="2"/>
  <c r="E752" i="2"/>
  <c r="I752" i="2"/>
  <c r="F753" i="2"/>
  <c r="I753" i="2"/>
  <c r="K754" i="2" a="1"/>
  <c r="K754" i="2"/>
  <c r="K755" i="2" a="1"/>
  <c r="K755" i="2" s="1"/>
  <c r="B756" i="2"/>
  <c r="I754" i="2" s="1" a="1"/>
  <c r="I754" i="2" s="1"/>
  <c r="C756" i="2"/>
  <c r="D756" i="2"/>
  <c r="E756" i="2"/>
  <c r="I756" i="2"/>
  <c r="F757" i="2"/>
  <c r="I757" i="2"/>
  <c r="K758" i="2" a="1"/>
  <c r="K758" i="2"/>
  <c r="K759" i="2" a="1"/>
  <c r="K759" i="2" s="1"/>
  <c r="B760" i="2"/>
  <c r="I758" i="2" s="1" a="1"/>
  <c r="I758" i="2" s="1"/>
  <c r="C760" i="2"/>
  <c r="D760" i="2"/>
  <c r="E760" i="2"/>
  <c r="I760" i="2"/>
  <c r="F761" i="2"/>
  <c r="I762" i="2" s="1" a="1"/>
  <c r="I762" i="2" s="1"/>
  <c r="I761" i="2"/>
  <c r="K762" i="2" a="1"/>
  <c r="K762" i="2"/>
  <c r="K763" i="2" a="1"/>
  <c r="K763" i="2" s="1"/>
  <c r="B764" i="2"/>
  <c r="C764" i="2"/>
  <c r="D764" i="2"/>
  <c r="E764" i="2"/>
  <c r="I764" i="2"/>
  <c r="F765" i="2"/>
  <c r="I765" i="2"/>
  <c r="K766" i="2" a="1"/>
  <c r="K766" i="2"/>
  <c r="K767" i="2" a="1"/>
  <c r="K767" i="2" s="1"/>
  <c r="B768" i="2"/>
  <c r="I766" i="2" s="1" a="1"/>
  <c r="I766" i="2" s="1"/>
  <c r="C768" i="2"/>
  <c r="D768" i="2"/>
  <c r="E768" i="2"/>
  <c r="I768" i="2"/>
  <c r="F769" i="2"/>
  <c r="I769" i="2"/>
  <c r="K770" i="2" a="1"/>
  <c r="K770" i="2"/>
  <c r="K771" i="2" a="1"/>
  <c r="K771" i="2" s="1"/>
  <c r="B772" i="2"/>
  <c r="I770" i="2" s="1" a="1"/>
  <c r="I770" i="2" s="1"/>
  <c r="C772" i="2"/>
  <c r="D772" i="2"/>
  <c r="E772" i="2"/>
  <c r="I772" i="2"/>
  <c r="F773" i="2"/>
  <c r="I773" i="2"/>
  <c r="K774" i="2" a="1"/>
  <c r="K774" i="2"/>
  <c r="K775" i="2" a="1"/>
  <c r="K775" i="2" s="1"/>
  <c r="B776" i="2"/>
  <c r="I774" i="2" s="1" a="1"/>
  <c r="I774" i="2" s="1"/>
  <c r="C776" i="2"/>
  <c r="D776" i="2"/>
  <c r="E776" i="2"/>
  <c r="I776" i="2"/>
  <c r="F777" i="2"/>
  <c r="I778" i="2" s="1" a="1"/>
  <c r="I778" i="2" s="1"/>
  <c r="I777" i="2"/>
  <c r="K778" i="2" a="1"/>
  <c r="K778" i="2"/>
  <c r="K779" i="2" a="1"/>
  <c r="K779" i="2" s="1"/>
  <c r="B780" i="2"/>
  <c r="C780" i="2"/>
  <c r="D780" i="2"/>
  <c r="E780" i="2"/>
  <c r="I780" i="2"/>
  <c r="F781" i="2"/>
  <c r="I782" i="2" s="1" a="1"/>
  <c r="I782" i="2" s="1"/>
  <c r="I781" i="2"/>
  <c r="K782" i="2" a="1"/>
  <c r="K782" i="2"/>
  <c r="K783" i="2" a="1"/>
  <c r="K783" i="2" s="1"/>
  <c r="B784" i="2"/>
  <c r="C784" i="2"/>
  <c r="D784" i="2"/>
  <c r="E784" i="2"/>
  <c r="I784" i="2"/>
  <c r="F785" i="2"/>
  <c r="I785" i="2"/>
  <c r="K786" i="2" a="1"/>
  <c r="K786" i="2"/>
  <c r="K787" i="2" a="1"/>
  <c r="K787" i="2" s="1"/>
  <c r="B788" i="2"/>
  <c r="I786" i="2" s="1" a="1"/>
  <c r="I786" i="2" s="1"/>
  <c r="C788" i="2"/>
  <c r="D788" i="2"/>
  <c r="E788" i="2"/>
  <c r="I788" i="2"/>
  <c r="F789" i="2"/>
  <c r="I790" i="2" s="1" a="1"/>
  <c r="I790" i="2" s="1"/>
  <c r="I789" i="2"/>
  <c r="K790" i="2" a="1"/>
  <c r="K790" i="2"/>
  <c r="K791" i="2" a="1"/>
  <c r="K791" i="2" s="1"/>
  <c r="B792" i="2"/>
  <c r="C792" i="2"/>
  <c r="D792" i="2"/>
  <c r="E792" i="2"/>
  <c r="I792" i="2"/>
  <c r="F793" i="2"/>
  <c r="I793" i="2"/>
  <c r="K794" i="2" a="1"/>
  <c r="K794" i="2"/>
  <c r="K795" i="2" a="1"/>
  <c r="K795" i="2" s="1"/>
  <c r="B796" i="2"/>
  <c r="I794" i="2" s="1" a="1"/>
  <c r="I794" i="2" s="1"/>
  <c r="C796" i="2"/>
  <c r="D796" i="2"/>
  <c r="E796" i="2"/>
  <c r="I796" i="2"/>
  <c r="F797" i="2"/>
  <c r="I797" i="2"/>
  <c r="K798" i="2" a="1"/>
  <c r="K798" i="2"/>
  <c r="K799" i="2" a="1"/>
  <c r="K799" i="2" s="1"/>
  <c r="B800" i="2"/>
  <c r="I798" i="2" s="1" a="1"/>
  <c r="I798" i="2" s="1"/>
  <c r="C800" i="2"/>
  <c r="D800" i="2"/>
  <c r="E800" i="2"/>
  <c r="I800" i="2"/>
  <c r="F401" i="1"/>
  <c r="B404" i="1"/>
  <c r="B404" i="2" s="1"/>
  <c r="C404" i="1"/>
  <c r="C404" i="2" s="1"/>
  <c r="D404" i="1"/>
  <c r="D404" i="2" s="1"/>
  <c r="E404" i="1"/>
  <c r="E404" i="2" s="1"/>
  <c r="F405" i="1"/>
  <c r="B408" i="1"/>
  <c r="C408" i="1"/>
  <c r="C408" i="2" s="1"/>
  <c r="D408" i="1"/>
  <c r="D408" i="2" s="1"/>
  <c r="E408" i="1"/>
  <c r="E408" i="2" s="1"/>
  <c r="F409" i="1"/>
  <c r="B412" i="1"/>
  <c r="B412" i="2" s="1"/>
  <c r="C412" i="1"/>
  <c r="C412" i="2" s="1"/>
  <c r="D412" i="1"/>
  <c r="D412" i="2" s="1"/>
  <c r="E412" i="1"/>
  <c r="E412" i="2" s="1"/>
  <c r="F413" i="1"/>
  <c r="B416" i="1"/>
  <c r="B416" i="2" s="1"/>
  <c r="C416" i="1"/>
  <c r="C416" i="2" s="1"/>
  <c r="D416" i="1"/>
  <c r="D416" i="2" s="1"/>
  <c r="E416" i="1"/>
  <c r="E416" i="2" s="1"/>
  <c r="F417" i="1"/>
  <c r="B420" i="1"/>
  <c r="B420" i="2" s="1"/>
  <c r="C420" i="1"/>
  <c r="C420" i="2" s="1"/>
  <c r="D420" i="1"/>
  <c r="D420" i="2" s="1"/>
  <c r="E420" i="1"/>
  <c r="F421" i="1"/>
  <c r="B424" i="1"/>
  <c r="C424" i="1"/>
  <c r="C424" i="2" s="1"/>
  <c r="D424" i="1"/>
  <c r="D424" i="2" s="1"/>
  <c r="E424" i="1"/>
  <c r="E424" i="2" s="1"/>
  <c r="F425" i="1"/>
  <c r="B428" i="1"/>
  <c r="B428" i="2" s="1"/>
  <c r="C428" i="1"/>
  <c r="C428" i="2" s="1"/>
  <c r="D428" i="1"/>
  <c r="D428" i="2" s="1"/>
  <c r="E428" i="1"/>
  <c r="E428" i="2" s="1"/>
  <c r="F429" i="1"/>
  <c r="B432" i="1"/>
  <c r="B432" i="2" s="1"/>
  <c r="C432" i="1"/>
  <c r="C432" i="2" s="1"/>
  <c r="D432" i="1"/>
  <c r="D432" i="2" s="1"/>
  <c r="E432" i="1"/>
  <c r="E432" i="2" s="1"/>
  <c r="F433" i="1"/>
  <c r="B436" i="1"/>
  <c r="C436" i="1"/>
  <c r="C436" i="2" s="1"/>
  <c r="D436" i="1"/>
  <c r="D436" i="2" s="1"/>
  <c r="E436" i="1"/>
  <c r="F437" i="1"/>
  <c r="B440" i="1"/>
  <c r="C440" i="1"/>
  <c r="C440" i="2" s="1"/>
  <c r="D440" i="1"/>
  <c r="D440" i="2" s="1"/>
  <c r="E440" i="1"/>
  <c r="E440" i="2" s="1"/>
  <c r="F441" i="1"/>
  <c r="B444" i="1"/>
  <c r="B444" i="2" s="1"/>
  <c r="C444" i="1"/>
  <c r="C444" i="2" s="1"/>
  <c r="D444" i="1"/>
  <c r="D444" i="2" s="1"/>
  <c r="E444" i="1"/>
  <c r="E444" i="2" s="1"/>
  <c r="F445" i="1"/>
  <c r="B448" i="1"/>
  <c r="B448" i="2" s="1"/>
  <c r="C448" i="1"/>
  <c r="C448" i="2" s="1"/>
  <c r="D448" i="1"/>
  <c r="D448" i="2" s="1"/>
  <c r="E448" i="1"/>
  <c r="E448" i="2" s="1"/>
  <c r="F449" i="1"/>
  <c r="B452" i="1"/>
  <c r="B452" i="2" s="1"/>
  <c r="C452" i="1"/>
  <c r="C452" i="2" s="1"/>
  <c r="D452" i="1"/>
  <c r="D452" i="2" s="1"/>
  <c r="E452" i="1"/>
  <c r="E452" i="2" s="1"/>
  <c r="F453" i="1"/>
  <c r="B456" i="1"/>
  <c r="B456" i="2" s="1"/>
  <c r="C456" i="1"/>
  <c r="C456" i="2" s="1"/>
  <c r="D456" i="1"/>
  <c r="D456" i="2" s="1"/>
  <c r="E456" i="1"/>
  <c r="E456" i="2" s="1"/>
  <c r="F457" i="1"/>
  <c r="B460" i="1"/>
  <c r="B460" i="2" s="1"/>
  <c r="C460" i="1"/>
  <c r="C460" i="2" s="1"/>
  <c r="D460" i="1"/>
  <c r="D460" i="2" s="1"/>
  <c r="E460" i="1"/>
  <c r="E460" i="2" s="1"/>
  <c r="F461" i="1"/>
  <c r="B464" i="1"/>
  <c r="B464" i="2" s="1"/>
  <c r="C464" i="1"/>
  <c r="C464" i="2" s="1"/>
  <c r="D464" i="1"/>
  <c r="D464" i="2" s="1"/>
  <c r="E464" i="1"/>
  <c r="E464" i="2" s="1"/>
  <c r="F465" i="1"/>
  <c r="B468" i="1"/>
  <c r="B468" i="2" s="1"/>
  <c r="C468" i="1"/>
  <c r="C468" i="2" s="1"/>
  <c r="D468" i="1"/>
  <c r="D468" i="2" s="1"/>
  <c r="E468" i="1"/>
  <c r="E468" i="2" s="1"/>
  <c r="F469" i="1"/>
  <c r="B472" i="1"/>
  <c r="B472" i="2" s="1"/>
  <c r="C472" i="1"/>
  <c r="C472" i="2" s="1"/>
  <c r="D472" i="1"/>
  <c r="D472" i="2" s="1"/>
  <c r="E472" i="1"/>
  <c r="E472" i="2" s="1"/>
  <c r="F473" i="1"/>
  <c r="B476" i="1"/>
  <c r="B476" i="2" s="1"/>
  <c r="C476" i="1"/>
  <c r="C476" i="2" s="1"/>
  <c r="D476" i="1"/>
  <c r="D476" i="2" s="1"/>
  <c r="E476" i="1"/>
  <c r="E476" i="2" s="1"/>
  <c r="F477" i="1"/>
  <c r="B480" i="1"/>
  <c r="C480" i="1"/>
  <c r="C480" i="2" s="1"/>
  <c r="D480" i="1"/>
  <c r="D480" i="2" s="1"/>
  <c r="E480" i="1"/>
  <c r="E480" i="2" s="1"/>
  <c r="F481" i="1"/>
  <c r="B484" i="1"/>
  <c r="B484" i="2" s="1"/>
  <c r="C484" i="1"/>
  <c r="C484" i="2" s="1"/>
  <c r="D484" i="1"/>
  <c r="D484" i="2" s="1"/>
  <c r="E484" i="1"/>
  <c r="E484" i="2" s="1"/>
  <c r="F485" i="1"/>
  <c r="B488" i="1"/>
  <c r="B488" i="2" s="1"/>
  <c r="C488" i="1"/>
  <c r="C488" i="2" s="1"/>
  <c r="D488" i="1"/>
  <c r="D488" i="2" s="1"/>
  <c r="E488" i="1"/>
  <c r="E488" i="2" s="1"/>
  <c r="F489" i="1"/>
  <c r="B492" i="1"/>
  <c r="C492" i="1"/>
  <c r="D492" i="1"/>
  <c r="E492" i="1"/>
  <c r="F493" i="1"/>
  <c r="B496" i="1"/>
  <c r="C496" i="1"/>
  <c r="D496" i="1"/>
  <c r="E496" i="1"/>
  <c r="F497" i="1"/>
  <c r="B500" i="1"/>
  <c r="C500" i="1"/>
  <c r="D500" i="1"/>
  <c r="E500" i="1"/>
  <c r="F501" i="1"/>
  <c r="B504" i="1"/>
  <c r="C504" i="1"/>
  <c r="D504" i="1"/>
  <c r="E504" i="1"/>
  <c r="F505" i="1"/>
  <c r="B508" i="1"/>
  <c r="C508" i="1"/>
  <c r="D508" i="1"/>
  <c r="E508" i="1"/>
  <c r="F509" i="1"/>
  <c r="B512" i="1"/>
  <c r="C512" i="1"/>
  <c r="D512" i="1"/>
  <c r="E512" i="1"/>
  <c r="F513" i="1"/>
  <c r="B516" i="1"/>
  <c r="C516" i="1"/>
  <c r="D516" i="1"/>
  <c r="E516" i="1"/>
  <c r="F517" i="1"/>
  <c r="B520" i="1"/>
  <c r="C520" i="1"/>
  <c r="D520" i="1"/>
  <c r="E520" i="1"/>
  <c r="F521" i="1"/>
  <c r="B524" i="1"/>
  <c r="C524" i="1"/>
  <c r="D524" i="1"/>
  <c r="E524" i="1"/>
  <c r="F525" i="1"/>
  <c r="B528" i="1"/>
  <c r="C528" i="1"/>
  <c r="D528" i="1"/>
  <c r="E528" i="1"/>
  <c r="F529" i="1"/>
  <c r="B532" i="1"/>
  <c r="C532" i="1"/>
  <c r="D532" i="1"/>
  <c r="E532" i="1"/>
  <c r="F533" i="1"/>
  <c r="B536" i="1"/>
  <c r="C536" i="1"/>
  <c r="D536" i="1"/>
  <c r="E536" i="1"/>
  <c r="F537" i="1"/>
  <c r="B540" i="1"/>
  <c r="C540" i="1"/>
  <c r="D540" i="1"/>
  <c r="E540" i="1"/>
  <c r="F541" i="1"/>
  <c r="B544" i="1"/>
  <c r="C544" i="1"/>
  <c r="D544" i="1"/>
  <c r="E544" i="1"/>
  <c r="F545" i="1"/>
  <c r="B548" i="1"/>
  <c r="C548" i="1"/>
  <c r="D548" i="1"/>
  <c r="E548" i="1"/>
  <c r="F549" i="1"/>
  <c r="B552" i="1"/>
  <c r="C552" i="1"/>
  <c r="D552" i="1"/>
  <c r="E552" i="1"/>
  <c r="F553" i="1"/>
  <c r="B556" i="1"/>
  <c r="C556" i="1"/>
  <c r="D556" i="1"/>
  <c r="E556" i="1"/>
  <c r="F557" i="1"/>
  <c r="B560" i="1"/>
  <c r="C560" i="1"/>
  <c r="D560" i="1"/>
  <c r="E560" i="1"/>
  <c r="F561" i="1"/>
  <c r="B564" i="1"/>
  <c r="C564" i="1"/>
  <c r="D564" i="1"/>
  <c r="E564" i="1"/>
  <c r="F565" i="1"/>
  <c r="B568" i="1"/>
  <c r="C568" i="1"/>
  <c r="D568" i="1"/>
  <c r="E568" i="1"/>
  <c r="F569" i="1"/>
  <c r="B572" i="1"/>
  <c r="C572" i="1"/>
  <c r="D572" i="1"/>
  <c r="E572" i="1"/>
  <c r="F573" i="1"/>
  <c r="B576" i="1"/>
  <c r="C576" i="1"/>
  <c r="D576" i="1"/>
  <c r="E576" i="1"/>
  <c r="F577" i="1"/>
  <c r="B580" i="1"/>
  <c r="C580" i="1"/>
  <c r="D580" i="1"/>
  <c r="E580" i="1"/>
  <c r="F581" i="1"/>
  <c r="B584" i="1"/>
  <c r="C584" i="1"/>
  <c r="D584" i="1"/>
  <c r="E584" i="1"/>
  <c r="F585" i="1"/>
  <c r="B588" i="1"/>
  <c r="C588" i="1"/>
  <c r="D588" i="1"/>
  <c r="E588" i="1"/>
  <c r="F589" i="1"/>
  <c r="B592" i="1"/>
  <c r="C592" i="1"/>
  <c r="D592" i="1"/>
  <c r="E592" i="1"/>
  <c r="F593" i="1"/>
  <c r="B596" i="1"/>
  <c r="C596" i="1"/>
  <c r="D596" i="1"/>
  <c r="E596" i="1"/>
  <c r="F597" i="1"/>
  <c r="B600" i="1"/>
  <c r="C600" i="1"/>
  <c r="D600" i="1"/>
  <c r="E600" i="1"/>
  <c r="F601" i="1"/>
  <c r="B604" i="1"/>
  <c r="C604" i="1"/>
  <c r="D604" i="1"/>
  <c r="E604" i="1"/>
  <c r="F605" i="1"/>
  <c r="B608" i="1"/>
  <c r="C608" i="1"/>
  <c r="D608" i="1"/>
  <c r="E608" i="1"/>
  <c r="F609" i="1"/>
  <c r="B612" i="1"/>
  <c r="C612" i="1"/>
  <c r="D612" i="1"/>
  <c r="E612" i="1"/>
  <c r="F613" i="1"/>
  <c r="B616" i="1"/>
  <c r="C616" i="1"/>
  <c r="D616" i="1"/>
  <c r="E616" i="1"/>
  <c r="F617" i="1"/>
  <c r="B620" i="1"/>
  <c r="C620" i="1"/>
  <c r="D620" i="1"/>
  <c r="E620" i="1"/>
  <c r="F621" i="1"/>
  <c r="B624" i="1"/>
  <c r="C624" i="1"/>
  <c r="D624" i="1"/>
  <c r="E624" i="1"/>
  <c r="F625" i="1"/>
  <c r="B628" i="1"/>
  <c r="C628" i="1"/>
  <c r="D628" i="1"/>
  <c r="E628" i="1"/>
  <c r="F629" i="1"/>
  <c r="B632" i="1"/>
  <c r="C632" i="1"/>
  <c r="D632" i="1"/>
  <c r="E632" i="1"/>
  <c r="F633" i="1"/>
  <c r="B636" i="1"/>
  <c r="C636" i="1"/>
  <c r="D636" i="1"/>
  <c r="E636" i="1"/>
  <c r="F637" i="1"/>
  <c r="B640" i="1"/>
  <c r="C640" i="1"/>
  <c r="D640" i="1"/>
  <c r="E640" i="1"/>
  <c r="F641" i="1"/>
  <c r="B644" i="1"/>
  <c r="C644" i="1"/>
  <c r="D644" i="1"/>
  <c r="E644" i="1"/>
  <c r="F645" i="1"/>
  <c r="B648" i="1"/>
  <c r="C648" i="1"/>
  <c r="D648" i="1"/>
  <c r="E648" i="1"/>
  <c r="F649" i="1"/>
  <c r="B652" i="1"/>
  <c r="C652" i="1"/>
  <c r="D652" i="1"/>
  <c r="E652" i="1"/>
  <c r="F653" i="1"/>
  <c r="B656" i="1"/>
  <c r="C656" i="1"/>
  <c r="D656" i="1"/>
  <c r="E656" i="1"/>
  <c r="F657" i="1"/>
  <c r="B660" i="1"/>
  <c r="C660" i="1"/>
  <c r="D660" i="1"/>
  <c r="E660" i="1"/>
  <c r="F661" i="1"/>
  <c r="B664" i="1"/>
  <c r="C664" i="1"/>
  <c r="D664" i="1"/>
  <c r="E664" i="1"/>
  <c r="F665" i="1"/>
  <c r="B668" i="1"/>
  <c r="C668" i="1"/>
  <c r="D668" i="1"/>
  <c r="E668" i="1"/>
  <c r="F669" i="1"/>
  <c r="B672" i="1"/>
  <c r="C672" i="1"/>
  <c r="D672" i="1"/>
  <c r="E672" i="1"/>
  <c r="F673" i="1"/>
  <c r="B676" i="1"/>
  <c r="C676" i="1"/>
  <c r="D676" i="1"/>
  <c r="E676" i="1"/>
  <c r="F677" i="1"/>
  <c r="B680" i="1"/>
  <c r="C680" i="1"/>
  <c r="D680" i="1"/>
  <c r="E680" i="1"/>
  <c r="F681" i="1"/>
  <c r="B684" i="1"/>
  <c r="C684" i="1"/>
  <c r="D684" i="1"/>
  <c r="E684" i="1"/>
  <c r="F685" i="1"/>
  <c r="B688" i="1"/>
  <c r="C688" i="1"/>
  <c r="D688" i="1"/>
  <c r="E688" i="1"/>
  <c r="F689" i="1"/>
  <c r="B692" i="1"/>
  <c r="C692" i="1"/>
  <c r="D692" i="1"/>
  <c r="E692" i="1"/>
  <c r="F693" i="1"/>
  <c r="B696" i="1"/>
  <c r="C696" i="1"/>
  <c r="D696" i="1"/>
  <c r="E696" i="1"/>
  <c r="F697" i="1"/>
  <c r="B700" i="1"/>
  <c r="C700" i="1"/>
  <c r="D700" i="1"/>
  <c r="E700" i="1"/>
  <c r="F701" i="1"/>
  <c r="B704" i="1"/>
  <c r="C704" i="1"/>
  <c r="D704" i="1"/>
  <c r="E704" i="1"/>
  <c r="F705" i="1"/>
  <c r="B708" i="1"/>
  <c r="C708" i="1"/>
  <c r="D708" i="1"/>
  <c r="E708" i="1"/>
  <c r="F709" i="1"/>
  <c r="B712" i="1"/>
  <c r="C712" i="1"/>
  <c r="D712" i="1"/>
  <c r="E712" i="1"/>
  <c r="F713" i="1"/>
  <c r="B716" i="1"/>
  <c r="C716" i="1"/>
  <c r="D716" i="1"/>
  <c r="E716" i="1"/>
  <c r="F717" i="1"/>
  <c r="B720" i="1"/>
  <c r="C720" i="1"/>
  <c r="D720" i="1"/>
  <c r="E720" i="1"/>
  <c r="F721" i="1"/>
  <c r="B724" i="1"/>
  <c r="C724" i="1"/>
  <c r="D724" i="1"/>
  <c r="E724" i="1"/>
  <c r="F725" i="1"/>
  <c r="B728" i="1"/>
  <c r="C728" i="1"/>
  <c r="D728" i="1"/>
  <c r="E728" i="1"/>
  <c r="F729" i="1"/>
  <c r="B732" i="1"/>
  <c r="C732" i="1"/>
  <c r="D732" i="1"/>
  <c r="E732" i="1"/>
  <c r="F733" i="1"/>
  <c r="B736" i="1"/>
  <c r="C736" i="1"/>
  <c r="D736" i="1"/>
  <c r="E736" i="1"/>
  <c r="F737" i="1"/>
  <c r="B740" i="1"/>
  <c r="C740" i="1"/>
  <c r="D740" i="1"/>
  <c r="E740" i="1"/>
  <c r="F741" i="1"/>
  <c r="B744" i="1"/>
  <c r="C744" i="1"/>
  <c r="D744" i="1"/>
  <c r="E744" i="1"/>
  <c r="F745" i="1"/>
  <c r="B748" i="1"/>
  <c r="C748" i="1"/>
  <c r="D748" i="1"/>
  <c r="E748" i="1"/>
  <c r="F749" i="1"/>
  <c r="B752" i="1"/>
  <c r="C752" i="1"/>
  <c r="D752" i="1"/>
  <c r="E752" i="1"/>
  <c r="F753" i="1"/>
  <c r="B756" i="1"/>
  <c r="C756" i="1"/>
  <c r="D756" i="1"/>
  <c r="E756" i="1"/>
  <c r="F757" i="1"/>
  <c r="B760" i="1"/>
  <c r="C760" i="1"/>
  <c r="D760" i="1"/>
  <c r="E760" i="1"/>
  <c r="F761" i="1"/>
  <c r="B764" i="1"/>
  <c r="C764" i="1"/>
  <c r="D764" i="1"/>
  <c r="E764" i="1"/>
  <c r="F765" i="1"/>
  <c r="B768" i="1"/>
  <c r="C768" i="1"/>
  <c r="D768" i="1"/>
  <c r="E768" i="1"/>
  <c r="F769" i="1"/>
  <c r="B772" i="1"/>
  <c r="C772" i="1"/>
  <c r="D772" i="1"/>
  <c r="E772" i="1"/>
  <c r="F773" i="1"/>
  <c r="B776" i="1"/>
  <c r="C776" i="1"/>
  <c r="D776" i="1"/>
  <c r="E776" i="1"/>
  <c r="F777" i="1"/>
  <c r="B780" i="1"/>
  <c r="C780" i="1"/>
  <c r="D780" i="1"/>
  <c r="E780" i="1"/>
  <c r="F781" i="1"/>
  <c r="B784" i="1"/>
  <c r="C784" i="1"/>
  <c r="D784" i="1"/>
  <c r="E784" i="1"/>
  <c r="F785" i="1"/>
  <c r="B788" i="1"/>
  <c r="C788" i="1"/>
  <c r="D788" i="1"/>
  <c r="E788" i="1"/>
  <c r="F789" i="1"/>
  <c r="B792" i="1"/>
  <c r="C792" i="1"/>
  <c r="D792" i="1"/>
  <c r="E792" i="1"/>
  <c r="F793" i="1"/>
  <c r="B796" i="1"/>
  <c r="C796" i="1"/>
  <c r="D796" i="1"/>
  <c r="E796" i="1"/>
  <c r="F797" i="1"/>
  <c r="B800" i="1"/>
  <c r="C800" i="1"/>
  <c r="D800" i="1"/>
  <c r="E800" i="1"/>
  <c r="AM1" i="3" a="1"/>
  <c r="AM1" i="3" s="1"/>
  <c r="AJ1" i="3" a="1"/>
  <c r="AJ1" i="3" s="1"/>
  <c r="AK1" i="3" a="1"/>
  <c r="AK1" i="3" s="1"/>
  <c r="AL1" i="3" a="1"/>
  <c r="AL1" i="3" s="1"/>
  <c r="AH1" i="3" a="1"/>
  <c r="AH1" i="3" s="1"/>
  <c r="AI1" i="3" a="1"/>
  <c r="AI1" i="3" s="1"/>
  <c r="AE1" i="3" a="1"/>
  <c r="AE1" i="3" s="1"/>
  <c r="AF1" i="3" a="1"/>
  <c r="AF1" i="3" s="1"/>
  <c r="AG1" i="3" a="1"/>
  <c r="AG1" i="3" s="1"/>
  <c r="AD1" i="3" a="1"/>
  <c r="AD1" i="3" s="1"/>
  <c r="AD2" i="3" s="1"/>
  <c r="AC1" i="3" a="1"/>
  <c r="AC1" i="3" s="1"/>
  <c r="AB1" i="3" a="1"/>
  <c r="AB1" i="3" s="1"/>
  <c r="AA1" i="3" a="1"/>
  <c r="AA1" i="3" s="1"/>
  <c r="Z1" i="3" a="1"/>
  <c r="Z1" i="3" s="1"/>
  <c r="Y1" i="3" a="1"/>
  <c r="Y1" i="3" s="1"/>
  <c r="X1" i="3" a="1"/>
  <c r="X1" i="3" s="1"/>
  <c r="W1" i="3" a="1"/>
  <c r="W1" i="3" s="1"/>
  <c r="U1" i="3" a="1"/>
  <c r="U1" i="3" s="1"/>
  <c r="V1" i="3" a="1"/>
  <c r="V1" i="3" s="1"/>
  <c r="V2" i="3" s="1"/>
  <c r="R1" i="3" a="1"/>
  <c r="R1" i="3" s="1"/>
  <c r="S1" i="3" a="1"/>
  <c r="S1" i="3" s="1"/>
  <c r="T1" i="3" a="1"/>
  <c r="T1" i="3" s="1"/>
  <c r="I5" i="2"/>
  <c r="I7" i="2" s="1"/>
  <c r="I6" i="2" a="1"/>
  <c r="I6" i="2" s="1"/>
  <c r="K6" i="2" a="1"/>
  <c r="K6" i="2" s="1"/>
  <c r="K7" i="2" a="1"/>
  <c r="K7" i="2" s="1"/>
  <c r="I8" i="2"/>
  <c r="I9" i="2"/>
  <c r="I10" i="2" a="1"/>
  <c r="I10" i="2"/>
  <c r="K10" i="2" a="1"/>
  <c r="K10" i="2" s="1"/>
  <c r="K11" i="2" a="1"/>
  <c r="K11" i="2" s="1"/>
  <c r="I12" i="2"/>
  <c r="I13" i="2"/>
  <c r="I14" i="2" a="1"/>
  <c r="I14" i="2" s="1"/>
  <c r="K14" i="2" a="1"/>
  <c r="K14" i="2" s="1"/>
  <c r="K15" i="2" a="1"/>
  <c r="K15" i="2" s="1"/>
  <c r="I16" i="2"/>
  <c r="I17" i="2"/>
  <c r="I18" i="2" a="1"/>
  <c r="I18" i="2" s="1"/>
  <c r="K18" i="2" a="1"/>
  <c r="K18" i="2" s="1"/>
  <c r="K19" i="2" a="1"/>
  <c r="K19" i="2" s="1"/>
  <c r="I20" i="2"/>
  <c r="I21" i="2"/>
  <c r="I22" i="2" a="1"/>
  <c r="I22" i="2"/>
  <c r="K22" i="2" a="1"/>
  <c r="K22" i="2" s="1"/>
  <c r="K23" i="2" a="1"/>
  <c r="K23" i="2" s="1"/>
  <c r="I24" i="2"/>
  <c r="I25" i="2"/>
  <c r="I26" i="2" a="1"/>
  <c r="I26" i="2"/>
  <c r="K26" i="2" a="1"/>
  <c r="K26" i="2" s="1"/>
  <c r="K27" i="2" a="1"/>
  <c r="K27" i="2" s="1"/>
  <c r="I28" i="2"/>
  <c r="I29" i="2"/>
  <c r="I30" i="2" a="1"/>
  <c r="I30" i="2" s="1"/>
  <c r="K30" i="2" a="1"/>
  <c r="K30" i="2" s="1"/>
  <c r="K31" i="2" a="1"/>
  <c r="K31" i="2" s="1"/>
  <c r="I32" i="2"/>
  <c r="I33" i="2"/>
  <c r="I34" i="2" a="1"/>
  <c r="I34" i="2" s="1"/>
  <c r="K34" i="2" a="1"/>
  <c r="K34" i="2" s="1"/>
  <c r="K35" i="2" a="1"/>
  <c r="K35" i="2" s="1"/>
  <c r="I36" i="2"/>
  <c r="I37" i="2"/>
  <c r="K38" i="2" a="1"/>
  <c r="K38" i="2" s="1"/>
  <c r="K39" i="2" a="1"/>
  <c r="K39" i="2" s="1"/>
  <c r="I40" i="2"/>
  <c r="I41" i="2"/>
  <c r="K42" i="2" a="1"/>
  <c r="K42" i="2" s="1"/>
  <c r="K43" i="2" a="1"/>
  <c r="K43" i="2" s="1"/>
  <c r="I44" i="2"/>
  <c r="I45" i="2"/>
  <c r="K46" i="2" a="1"/>
  <c r="K46" i="2" s="1"/>
  <c r="K47" i="2" a="1"/>
  <c r="K47" i="2" s="1"/>
  <c r="I48" i="2"/>
  <c r="I49" i="2"/>
  <c r="K50" i="2" a="1"/>
  <c r="K50" i="2" s="1"/>
  <c r="K51" i="2" a="1"/>
  <c r="K51" i="2" s="1"/>
  <c r="I52" i="2"/>
  <c r="I53" i="2"/>
  <c r="K54" i="2" a="1"/>
  <c r="K54" i="2" s="1"/>
  <c r="K55" i="2" a="1"/>
  <c r="K55" i="2" s="1"/>
  <c r="I56" i="2"/>
  <c r="I57" i="2"/>
  <c r="K58" i="2" a="1"/>
  <c r="K58" i="2" s="1"/>
  <c r="K59" i="2" a="1"/>
  <c r="K59" i="2" s="1"/>
  <c r="I60" i="2"/>
  <c r="I61" i="2"/>
  <c r="K62" i="2" a="1"/>
  <c r="K62" i="2" s="1"/>
  <c r="K63" i="2" a="1"/>
  <c r="K63" i="2" s="1"/>
  <c r="I64" i="2"/>
  <c r="I65" i="2"/>
  <c r="K66" i="2" a="1"/>
  <c r="K66" i="2" s="1"/>
  <c r="K67" i="2" a="1"/>
  <c r="K67" i="2" s="1"/>
  <c r="I68" i="2"/>
  <c r="I69" i="2"/>
  <c r="K70" i="2" a="1"/>
  <c r="K70" i="2" s="1"/>
  <c r="K71" i="2" a="1"/>
  <c r="K71" i="2" s="1"/>
  <c r="I72" i="2"/>
  <c r="I73" i="2"/>
  <c r="K74" i="2" a="1"/>
  <c r="K74" i="2" s="1"/>
  <c r="K75" i="2" a="1"/>
  <c r="K75" i="2" s="1"/>
  <c r="I76" i="2"/>
  <c r="I77" i="2"/>
  <c r="K78" i="2" a="1"/>
  <c r="K78" i="2" s="1"/>
  <c r="K79" i="2" a="1"/>
  <c r="K79" i="2" s="1"/>
  <c r="I80" i="2"/>
  <c r="I81" i="2"/>
  <c r="K82" i="2" a="1"/>
  <c r="K82" i="2" s="1"/>
  <c r="K83" i="2" a="1"/>
  <c r="K83" i="2" s="1"/>
  <c r="I84" i="2"/>
  <c r="I85" i="2"/>
  <c r="K86" i="2" a="1"/>
  <c r="K86" i="2" s="1"/>
  <c r="K87" i="2" a="1"/>
  <c r="K87" i="2" s="1"/>
  <c r="I88" i="2"/>
  <c r="I89" i="2"/>
  <c r="K90" i="2" a="1"/>
  <c r="K90" i="2" s="1"/>
  <c r="K91" i="2" a="1"/>
  <c r="K91" i="2" s="1"/>
  <c r="I92" i="2"/>
  <c r="I93" i="2"/>
  <c r="K94" i="2" a="1"/>
  <c r="K94" i="2" s="1"/>
  <c r="K95" i="2" a="1"/>
  <c r="K95" i="2" s="1"/>
  <c r="I96" i="2"/>
  <c r="I97" i="2"/>
  <c r="K98" i="2" a="1"/>
  <c r="K98" i="2" s="1"/>
  <c r="K99" i="2" a="1"/>
  <c r="K99" i="2" s="1"/>
  <c r="I100" i="2"/>
  <c r="I101" i="2"/>
  <c r="K102" i="2" a="1"/>
  <c r="K102" i="2" s="1"/>
  <c r="K103" i="2" a="1"/>
  <c r="K103" i="2" s="1"/>
  <c r="I104" i="2"/>
  <c r="I105" i="2"/>
  <c r="K106" i="2" a="1"/>
  <c r="K106" i="2" s="1"/>
  <c r="K107" i="2" a="1"/>
  <c r="K107" i="2" s="1"/>
  <c r="I108" i="2"/>
  <c r="I109" i="2"/>
  <c r="K110" i="2" a="1"/>
  <c r="K110" i="2" s="1"/>
  <c r="K111" i="2" a="1"/>
  <c r="K111" i="2" s="1"/>
  <c r="I112" i="2"/>
  <c r="I113" i="2"/>
  <c r="K114" i="2" a="1"/>
  <c r="K114" i="2" s="1"/>
  <c r="K115" i="2" a="1"/>
  <c r="K115" i="2" s="1"/>
  <c r="I116" i="2"/>
  <c r="I117" i="2"/>
  <c r="K118" i="2" a="1"/>
  <c r="K118" i="2" s="1"/>
  <c r="K119" i="2" a="1"/>
  <c r="K119" i="2" s="1"/>
  <c r="I120" i="2"/>
  <c r="I121" i="2"/>
  <c r="K122" i="2" a="1"/>
  <c r="K122" i="2" s="1"/>
  <c r="K123" i="2" a="1"/>
  <c r="K123" i="2" s="1"/>
  <c r="I124" i="2"/>
  <c r="I125" i="2"/>
  <c r="K126" i="2" a="1"/>
  <c r="K126" i="2" s="1"/>
  <c r="K127" i="2" a="1"/>
  <c r="K127" i="2" s="1"/>
  <c r="I128" i="2"/>
  <c r="I129" i="2"/>
  <c r="K130" i="2" a="1"/>
  <c r="K130" i="2" s="1"/>
  <c r="K131" i="2" a="1"/>
  <c r="K131" i="2" s="1"/>
  <c r="I132" i="2"/>
  <c r="I133" i="2"/>
  <c r="I134" i="2" a="1"/>
  <c r="I134" i="2" s="1"/>
  <c r="K134" i="2" a="1"/>
  <c r="K134" i="2" s="1"/>
  <c r="K135" i="2" a="1"/>
  <c r="K135" i="2" s="1"/>
  <c r="I136" i="2"/>
  <c r="I137" i="2"/>
  <c r="K138" i="2" a="1"/>
  <c r="K138" i="2" s="1"/>
  <c r="K139" i="2" a="1"/>
  <c r="K139" i="2" s="1"/>
  <c r="I140" i="2"/>
  <c r="I141" i="2"/>
  <c r="K142" i="2" a="1"/>
  <c r="K142" i="2" s="1"/>
  <c r="K143" i="2" a="1"/>
  <c r="K143" i="2" s="1"/>
  <c r="I144" i="2"/>
  <c r="I145" i="2"/>
  <c r="K146" i="2" a="1"/>
  <c r="K146" i="2" s="1"/>
  <c r="K147" i="2" a="1"/>
  <c r="K147" i="2" s="1"/>
  <c r="I148" i="2"/>
  <c r="I149" i="2"/>
  <c r="K150" i="2" a="1"/>
  <c r="K150" i="2" s="1"/>
  <c r="K151" i="2" a="1"/>
  <c r="K151" i="2" s="1"/>
  <c r="I152" i="2"/>
  <c r="I153" i="2"/>
  <c r="K154" i="2" a="1"/>
  <c r="K154" i="2" s="1"/>
  <c r="K155" i="2" a="1"/>
  <c r="K155" i="2" s="1"/>
  <c r="I156" i="2"/>
  <c r="I157" i="2"/>
  <c r="K158" i="2" a="1"/>
  <c r="K158" i="2" s="1"/>
  <c r="K159" i="2" a="1"/>
  <c r="K159" i="2" s="1"/>
  <c r="I160" i="2"/>
  <c r="I161" i="2"/>
  <c r="K162" i="2" a="1"/>
  <c r="K162" i="2" s="1"/>
  <c r="K163" i="2" a="1"/>
  <c r="K163" i="2" s="1"/>
  <c r="I164" i="2"/>
  <c r="I165" i="2"/>
  <c r="K166" i="2" a="1"/>
  <c r="K166" i="2" s="1"/>
  <c r="K167" i="2" a="1"/>
  <c r="K167" i="2" s="1"/>
  <c r="I168" i="2"/>
  <c r="I169" i="2"/>
  <c r="K170" i="2" a="1"/>
  <c r="K170" i="2" s="1"/>
  <c r="K171" i="2" a="1"/>
  <c r="K171" i="2" s="1"/>
  <c r="I172" i="2"/>
  <c r="I173" i="2"/>
  <c r="K174" i="2" a="1"/>
  <c r="K174" i="2" s="1"/>
  <c r="K175" i="2" a="1"/>
  <c r="K175" i="2" s="1"/>
  <c r="I176" i="2"/>
  <c r="I177" i="2"/>
  <c r="K178" i="2" a="1"/>
  <c r="K178" i="2" s="1"/>
  <c r="K179" i="2" a="1"/>
  <c r="K179" i="2" s="1"/>
  <c r="I180" i="2"/>
  <c r="I181" i="2"/>
  <c r="K182" i="2" a="1"/>
  <c r="K182" i="2" s="1"/>
  <c r="K183" i="2" a="1"/>
  <c r="K183" i="2" s="1"/>
  <c r="I184" i="2"/>
  <c r="I185" i="2"/>
  <c r="K186" i="2" a="1"/>
  <c r="K186" i="2" s="1"/>
  <c r="K187" i="2" a="1"/>
  <c r="K187" i="2" s="1"/>
  <c r="I188" i="2"/>
  <c r="I189" i="2"/>
  <c r="K190" i="2" a="1"/>
  <c r="K190" i="2" s="1"/>
  <c r="K191" i="2" a="1"/>
  <c r="K191" i="2" s="1"/>
  <c r="I192" i="2"/>
  <c r="I193" i="2"/>
  <c r="K194" i="2" a="1"/>
  <c r="K194" i="2" s="1"/>
  <c r="K195" i="2" a="1"/>
  <c r="K195" i="2" s="1"/>
  <c r="I196" i="2"/>
  <c r="I197" i="2"/>
  <c r="K198" i="2" a="1"/>
  <c r="K198" i="2" s="1"/>
  <c r="K199" i="2" a="1"/>
  <c r="K199" i="2" s="1"/>
  <c r="I200" i="2"/>
  <c r="I201" i="2"/>
  <c r="K202" i="2" a="1"/>
  <c r="K202" i="2" s="1"/>
  <c r="K203" i="2" a="1"/>
  <c r="K203" i="2" s="1"/>
  <c r="I204" i="2"/>
  <c r="I205" i="2"/>
  <c r="K206" i="2" a="1"/>
  <c r="K206" i="2" s="1"/>
  <c r="K207" i="2" a="1"/>
  <c r="K207" i="2" s="1"/>
  <c r="I208" i="2"/>
  <c r="I209" i="2"/>
  <c r="K210" i="2" a="1"/>
  <c r="K210" i="2" s="1"/>
  <c r="K211" i="2" a="1"/>
  <c r="K211" i="2" s="1"/>
  <c r="I212" i="2"/>
  <c r="I213" i="2"/>
  <c r="K214" i="2" a="1"/>
  <c r="K214" i="2" s="1"/>
  <c r="K215" i="2" a="1"/>
  <c r="K215" i="2" s="1"/>
  <c r="I216" i="2"/>
  <c r="I217" i="2"/>
  <c r="K218" i="2" a="1"/>
  <c r="K218" i="2" s="1"/>
  <c r="K219" i="2" a="1"/>
  <c r="K219" i="2" s="1"/>
  <c r="I220" i="2"/>
  <c r="I221" i="2"/>
  <c r="K222" i="2" a="1"/>
  <c r="K222" i="2" s="1"/>
  <c r="K223" i="2" a="1"/>
  <c r="K223" i="2" s="1"/>
  <c r="I224" i="2"/>
  <c r="I225" i="2"/>
  <c r="K226" i="2" a="1"/>
  <c r="K226" i="2" s="1"/>
  <c r="K227" i="2" a="1"/>
  <c r="K227" i="2" s="1"/>
  <c r="I228" i="2"/>
  <c r="I229" i="2"/>
  <c r="K230" i="2" a="1"/>
  <c r="K230" i="2" s="1"/>
  <c r="K231" i="2" a="1"/>
  <c r="K231" i="2" s="1"/>
  <c r="I232" i="2"/>
  <c r="I233" i="2"/>
  <c r="K234" i="2" a="1"/>
  <c r="K234" i="2" s="1"/>
  <c r="K235" i="2" a="1"/>
  <c r="K235" i="2" s="1"/>
  <c r="I236" i="2"/>
  <c r="I237" i="2"/>
  <c r="K238" i="2" a="1"/>
  <c r="K238" i="2" s="1"/>
  <c r="K239" i="2" a="1"/>
  <c r="K239" i="2" s="1"/>
  <c r="I240" i="2"/>
  <c r="I241" i="2"/>
  <c r="K242" i="2" a="1"/>
  <c r="K242" i="2" s="1"/>
  <c r="K243" i="2" a="1"/>
  <c r="K243" i="2" s="1"/>
  <c r="I244" i="2"/>
  <c r="I245" i="2"/>
  <c r="K246" i="2" a="1"/>
  <c r="K246" i="2" s="1"/>
  <c r="K247" i="2" a="1"/>
  <c r="K247" i="2" s="1"/>
  <c r="I248" i="2"/>
  <c r="I249" i="2"/>
  <c r="K250" i="2" a="1"/>
  <c r="K250" i="2" s="1"/>
  <c r="K251" i="2" a="1"/>
  <c r="K251" i="2" s="1"/>
  <c r="I252" i="2"/>
  <c r="I253" i="2"/>
  <c r="K254" i="2" a="1"/>
  <c r="K254" i="2" s="1"/>
  <c r="K255" i="2" a="1"/>
  <c r="K255" i="2" s="1"/>
  <c r="I256" i="2"/>
  <c r="I257" i="2"/>
  <c r="K258" i="2" a="1"/>
  <c r="K258" i="2" s="1"/>
  <c r="K259" i="2" a="1"/>
  <c r="K259" i="2" s="1"/>
  <c r="I260" i="2"/>
  <c r="I261" i="2"/>
  <c r="K262" i="2" a="1"/>
  <c r="K262" i="2" s="1"/>
  <c r="K263" i="2" a="1"/>
  <c r="K263" i="2" s="1"/>
  <c r="I264" i="2"/>
  <c r="I265" i="2"/>
  <c r="K266" i="2" a="1"/>
  <c r="K266" i="2" s="1"/>
  <c r="K267" i="2" a="1"/>
  <c r="K267" i="2" s="1"/>
  <c r="I268" i="2"/>
  <c r="I269" i="2"/>
  <c r="K270" i="2" a="1"/>
  <c r="K270" i="2" s="1"/>
  <c r="K271" i="2" a="1"/>
  <c r="K271" i="2" s="1"/>
  <c r="I272" i="2"/>
  <c r="I273" i="2"/>
  <c r="K274" i="2" a="1"/>
  <c r="K274" i="2" s="1"/>
  <c r="K275" i="2" a="1"/>
  <c r="K275" i="2" s="1"/>
  <c r="I276" i="2"/>
  <c r="I277" i="2"/>
  <c r="K278" i="2" a="1"/>
  <c r="K278" i="2" s="1"/>
  <c r="K279" i="2" a="1"/>
  <c r="K279" i="2" s="1"/>
  <c r="I280" i="2"/>
  <c r="I281" i="2"/>
  <c r="K282" i="2" a="1"/>
  <c r="K282" i="2" s="1"/>
  <c r="K283" i="2" a="1"/>
  <c r="K283" i="2" s="1"/>
  <c r="I284" i="2"/>
  <c r="I285" i="2"/>
  <c r="K286" i="2" a="1"/>
  <c r="K286" i="2" s="1"/>
  <c r="K287" i="2" a="1"/>
  <c r="K287" i="2" s="1"/>
  <c r="I288" i="2"/>
  <c r="I289" i="2"/>
  <c r="K290" i="2" a="1"/>
  <c r="K290" i="2" s="1"/>
  <c r="K291" i="2" a="1"/>
  <c r="K291" i="2" s="1"/>
  <c r="I292" i="2"/>
  <c r="I293" i="2"/>
  <c r="K294" i="2" a="1"/>
  <c r="K294" i="2" s="1"/>
  <c r="K295" i="2" a="1"/>
  <c r="K295" i="2" s="1"/>
  <c r="I296" i="2"/>
  <c r="I297" i="2"/>
  <c r="K298" i="2" a="1"/>
  <c r="K298" i="2" s="1"/>
  <c r="K299" i="2" a="1"/>
  <c r="K299" i="2" s="1"/>
  <c r="I300" i="2"/>
  <c r="I301" i="2"/>
  <c r="K302" i="2" a="1"/>
  <c r="K302" i="2" s="1"/>
  <c r="K303" i="2" a="1"/>
  <c r="K303" i="2" s="1"/>
  <c r="I304" i="2"/>
  <c r="I305" i="2"/>
  <c r="K306" i="2" a="1"/>
  <c r="K306" i="2" s="1"/>
  <c r="K307" i="2" a="1"/>
  <c r="K307" i="2" s="1"/>
  <c r="I308" i="2"/>
  <c r="I309" i="2"/>
  <c r="I310" i="2" a="1"/>
  <c r="I310" i="2" s="1"/>
  <c r="K310" i="2" a="1"/>
  <c r="K310" i="2" s="1"/>
  <c r="K311" i="2" a="1"/>
  <c r="K311" i="2" s="1"/>
  <c r="I312" i="2"/>
  <c r="I313" i="2"/>
  <c r="K314" i="2" a="1"/>
  <c r="K314" i="2" s="1"/>
  <c r="K315" i="2" a="1"/>
  <c r="K315" i="2" s="1"/>
  <c r="I316" i="2"/>
  <c r="I317" i="2"/>
  <c r="K318" i="2" a="1"/>
  <c r="K318" i="2" s="1"/>
  <c r="K319" i="2" a="1"/>
  <c r="K319" i="2" s="1"/>
  <c r="I320" i="2"/>
  <c r="I321" i="2"/>
  <c r="K322" i="2" a="1"/>
  <c r="K322" i="2" s="1"/>
  <c r="K323" i="2" a="1"/>
  <c r="K323" i="2" s="1"/>
  <c r="I324" i="2"/>
  <c r="I325" i="2"/>
  <c r="K326" i="2" a="1"/>
  <c r="K326" i="2" s="1"/>
  <c r="K327" i="2" a="1"/>
  <c r="K327" i="2" s="1"/>
  <c r="I328" i="2"/>
  <c r="I329" i="2"/>
  <c r="K330" i="2" a="1"/>
  <c r="K330" i="2" s="1"/>
  <c r="K331" i="2" a="1"/>
  <c r="K331" i="2" s="1"/>
  <c r="I332" i="2"/>
  <c r="I333" i="2"/>
  <c r="K334" i="2" a="1"/>
  <c r="K334" i="2" s="1"/>
  <c r="K335" i="2" a="1"/>
  <c r="K335" i="2" s="1"/>
  <c r="I336" i="2"/>
  <c r="I337" i="2"/>
  <c r="K338" i="2" a="1"/>
  <c r="K338" i="2" s="1"/>
  <c r="K339" i="2" a="1"/>
  <c r="K339" i="2" s="1"/>
  <c r="I340" i="2"/>
  <c r="I341" i="2"/>
  <c r="K342" i="2" a="1"/>
  <c r="K342" i="2" s="1"/>
  <c r="K343" i="2" a="1"/>
  <c r="K343" i="2" s="1"/>
  <c r="I344" i="2"/>
  <c r="I345" i="2"/>
  <c r="K346" i="2" a="1"/>
  <c r="K346" i="2" s="1"/>
  <c r="K347" i="2" a="1"/>
  <c r="K347" i="2" s="1"/>
  <c r="I348" i="2"/>
  <c r="I349" i="2"/>
  <c r="K350" i="2" a="1"/>
  <c r="K350" i="2" s="1"/>
  <c r="K351" i="2" a="1"/>
  <c r="K351" i="2" s="1"/>
  <c r="I352" i="2"/>
  <c r="I353" i="2"/>
  <c r="K354" i="2" a="1"/>
  <c r="K354" i="2" s="1"/>
  <c r="K355" i="2" a="1"/>
  <c r="K355" i="2" s="1"/>
  <c r="I356" i="2"/>
  <c r="I357" i="2"/>
  <c r="K358" i="2" a="1"/>
  <c r="K358" i="2" s="1"/>
  <c r="K359" i="2" a="1"/>
  <c r="K359" i="2" s="1"/>
  <c r="I360" i="2"/>
  <c r="I361" i="2"/>
  <c r="K362" i="2" a="1"/>
  <c r="K362" i="2" s="1"/>
  <c r="K363" i="2" a="1"/>
  <c r="K363" i="2" s="1"/>
  <c r="I364" i="2"/>
  <c r="I365" i="2"/>
  <c r="K366" i="2" a="1"/>
  <c r="K366" i="2" s="1"/>
  <c r="K367" i="2" a="1"/>
  <c r="K367" i="2" s="1"/>
  <c r="I368" i="2"/>
  <c r="I369" i="2"/>
  <c r="K370" i="2" a="1"/>
  <c r="K370" i="2" s="1"/>
  <c r="K371" i="2" a="1"/>
  <c r="K371" i="2" s="1"/>
  <c r="I372" i="2"/>
  <c r="I373" i="2"/>
  <c r="K374" i="2" a="1"/>
  <c r="K374" i="2" s="1"/>
  <c r="K375" i="2" a="1"/>
  <c r="K375" i="2" s="1"/>
  <c r="I376" i="2"/>
  <c r="I377" i="2"/>
  <c r="K378" i="2" a="1"/>
  <c r="K378" i="2" s="1"/>
  <c r="K379" i="2" a="1"/>
  <c r="K379" i="2" s="1"/>
  <c r="I380" i="2"/>
  <c r="I381" i="2"/>
  <c r="K382" i="2" a="1"/>
  <c r="K382" i="2" s="1"/>
  <c r="K383" i="2" a="1"/>
  <c r="K383" i="2" s="1"/>
  <c r="I384" i="2"/>
  <c r="I385" i="2"/>
  <c r="K386" i="2" a="1"/>
  <c r="K386" i="2" s="1"/>
  <c r="K387" i="2" a="1"/>
  <c r="K387" i="2" s="1"/>
  <c r="I388" i="2"/>
  <c r="I389" i="2"/>
  <c r="K390" i="2" a="1"/>
  <c r="K390" i="2" s="1"/>
  <c r="K391" i="2" a="1"/>
  <c r="K391" i="2" s="1"/>
  <c r="I392" i="2"/>
  <c r="I393" i="2"/>
  <c r="K394" i="2" a="1"/>
  <c r="K394" i="2" s="1"/>
  <c r="K395" i="2" a="1"/>
  <c r="K395" i="2" s="1"/>
  <c r="I396" i="2"/>
  <c r="I397" i="2"/>
  <c r="K398" i="2" a="1"/>
  <c r="K398" i="2" s="1"/>
  <c r="K399" i="2" a="1"/>
  <c r="K399" i="2" s="1"/>
  <c r="I400" i="2"/>
  <c r="I3" i="2"/>
  <c r="O1" i="3" a="1"/>
  <c r="O1" i="3" s="1"/>
  <c r="P1" i="3" a="1"/>
  <c r="P1" i="3" s="1"/>
  <c r="Q1" i="3" a="1"/>
  <c r="Q1" i="3" s="1"/>
  <c r="Q2" i="3" s="1"/>
  <c r="L1" i="3" a="1"/>
  <c r="L1" i="3" s="1"/>
  <c r="M1" i="3" a="1"/>
  <c r="M1" i="3" s="1"/>
  <c r="N1" i="3" a="1"/>
  <c r="N1" i="3" s="1"/>
  <c r="K1" i="3" a="1"/>
  <c r="K1" i="3" s="1"/>
  <c r="J1" i="3" a="1"/>
  <c r="J1" i="3" s="1"/>
  <c r="I1" i="3" a="1"/>
  <c r="I1" i="3" s="1"/>
  <c r="F13" i="1"/>
  <c r="F13" i="2" s="1"/>
  <c r="B16" i="1"/>
  <c r="B16" i="2" s="1"/>
  <c r="C16" i="1"/>
  <c r="C16" i="2" s="1"/>
  <c r="D16" i="1"/>
  <c r="D16" i="2" s="1"/>
  <c r="E16" i="1"/>
  <c r="E16" i="2" s="1"/>
  <c r="F17" i="1"/>
  <c r="B20" i="1"/>
  <c r="B20" i="2" s="1"/>
  <c r="C20" i="1"/>
  <c r="C20" i="2" s="1"/>
  <c r="D20" i="1"/>
  <c r="D20" i="2" s="1"/>
  <c r="E20" i="1"/>
  <c r="E20" i="2" s="1"/>
  <c r="F21" i="1"/>
  <c r="B24" i="1"/>
  <c r="B24" i="2" s="1"/>
  <c r="C24" i="1"/>
  <c r="C24" i="2" s="1"/>
  <c r="D24" i="1"/>
  <c r="D24" i="2" s="1"/>
  <c r="E24" i="1"/>
  <c r="E24" i="2" s="1"/>
  <c r="F25" i="1"/>
  <c r="B28" i="1"/>
  <c r="B28" i="2" s="1"/>
  <c r="C28" i="1"/>
  <c r="C28" i="2" s="1"/>
  <c r="D28" i="1"/>
  <c r="D28" i="2" s="1"/>
  <c r="E28" i="1"/>
  <c r="E28" i="2" s="1"/>
  <c r="F29" i="1"/>
  <c r="B32" i="1"/>
  <c r="C32" i="1"/>
  <c r="D32" i="1"/>
  <c r="E32" i="1"/>
  <c r="F33" i="1"/>
  <c r="B36" i="1"/>
  <c r="B36" i="2" s="1"/>
  <c r="C36" i="1"/>
  <c r="C36" i="2" s="1"/>
  <c r="D36" i="1"/>
  <c r="D36" i="2" s="1"/>
  <c r="E36" i="1"/>
  <c r="E36" i="2" s="1"/>
  <c r="F37" i="1"/>
  <c r="B40" i="1"/>
  <c r="B40" i="2" s="1"/>
  <c r="C40" i="1"/>
  <c r="D40" i="1"/>
  <c r="D40" i="2" s="1"/>
  <c r="E40" i="1"/>
  <c r="E40" i="2" s="1"/>
  <c r="F41" i="1"/>
  <c r="F41" i="2" s="1"/>
  <c r="B44" i="1"/>
  <c r="B44" i="2" s="1"/>
  <c r="C44" i="1"/>
  <c r="C44" i="2" s="1"/>
  <c r="D44" i="1"/>
  <c r="D44" i="2" s="1"/>
  <c r="E44" i="1"/>
  <c r="E44" i="2" s="1"/>
  <c r="F45" i="1"/>
  <c r="B48" i="1"/>
  <c r="B48" i="2" s="1"/>
  <c r="C48" i="1"/>
  <c r="C48" i="2" s="1"/>
  <c r="D48" i="1"/>
  <c r="D48" i="2" s="1"/>
  <c r="E48" i="1"/>
  <c r="E48" i="2" s="1"/>
  <c r="F49" i="1"/>
  <c r="B52" i="1"/>
  <c r="C52" i="1"/>
  <c r="C52" i="2" s="1"/>
  <c r="D52" i="1"/>
  <c r="D52" i="2" s="1"/>
  <c r="E52" i="1"/>
  <c r="E52" i="2" s="1"/>
  <c r="F53" i="1"/>
  <c r="B56" i="1"/>
  <c r="B56" i="2" s="1"/>
  <c r="C56" i="1"/>
  <c r="C56" i="2" s="1"/>
  <c r="D56" i="1"/>
  <c r="D56" i="2" s="1"/>
  <c r="E56" i="1"/>
  <c r="E56" i="2" s="1"/>
  <c r="F57" i="1"/>
  <c r="F57" i="2" s="1"/>
  <c r="B60" i="1"/>
  <c r="B60" i="2" s="1"/>
  <c r="C60" i="1"/>
  <c r="C60" i="2" s="1"/>
  <c r="D60" i="1"/>
  <c r="D60" i="2" s="1"/>
  <c r="E60" i="1"/>
  <c r="E60" i="2" s="1"/>
  <c r="F61" i="1"/>
  <c r="B64" i="1"/>
  <c r="C64" i="1"/>
  <c r="C64" i="2" s="1"/>
  <c r="D64" i="1"/>
  <c r="D64" i="2" s="1"/>
  <c r="E64" i="1"/>
  <c r="E64" i="2" s="1"/>
  <c r="F65" i="1"/>
  <c r="B68" i="1"/>
  <c r="B68" i="2" s="1"/>
  <c r="C68" i="1"/>
  <c r="C68" i="2" s="1"/>
  <c r="D68" i="1"/>
  <c r="D68" i="2" s="1"/>
  <c r="E68" i="1"/>
  <c r="E68" i="2" s="1"/>
  <c r="F69" i="1"/>
  <c r="B72" i="1"/>
  <c r="B72" i="2" s="1"/>
  <c r="C72" i="1"/>
  <c r="C72" i="2" s="1"/>
  <c r="D72" i="1"/>
  <c r="D72" i="2" s="1"/>
  <c r="E72" i="1"/>
  <c r="E72" i="2" s="1"/>
  <c r="F73" i="1"/>
  <c r="F73" i="2" s="1"/>
  <c r="B76" i="1"/>
  <c r="B76" i="2" s="1"/>
  <c r="C76" i="1"/>
  <c r="C76" i="2" s="1"/>
  <c r="D76" i="1"/>
  <c r="D76" i="2" s="1"/>
  <c r="E76" i="1"/>
  <c r="E76" i="2" s="1"/>
  <c r="F77" i="1"/>
  <c r="B80" i="1"/>
  <c r="C80" i="1"/>
  <c r="D80" i="1"/>
  <c r="E80" i="1"/>
  <c r="E80" i="2" s="1"/>
  <c r="F81" i="1"/>
  <c r="B84" i="1"/>
  <c r="C84" i="1"/>
  <c r="D84" i="1"/>
  <c r="D84" i="2" s="1"/>
  <c r="E84" i="1"/>
  <c r="E84" i="2" s="1"/>
  <c r="F85" i="1"/>
  <c r="F85" i="2" s="1"/>
  <c r="B88" i="1"/>
  <c r="B88" i="2" s="1"/>
  <c r="C88" i="1"/>
  <c r="C88" i="2" s="1"/>
  <c r="D88" i="1"/>
  <c r="D88" i="2" s="1"/>
  <c r="E88" i="1"/>
  <c r="E88" i="2" s="1"/>
  <c r="F89" i="1"/>
  <c r="F89" i="2" s="1"/>
  <c r="B92" i="1"/>
  <c r="B92" i="2" s="1"/>
  <c r="C92" i="1"/>
  <c r="C92" i="2" s="1"/>
  <c r="D92" i="1"/>
  <c r="D92" i="2" s="1"/>
  <c r="E92" i="1"/>
  <c r="E92" i="2" s="1"/>
  <c r="F93" i="1"/>
  <c r="B96" i="1"/>
  <c r="B96" i="2" s="1"/>
  <c r="C96" i="1"/>
  <c r="C96" i="2" s="1"/>
  <c r="D96" i="1"/>
  <c r="D96" i="2" s="1"/>
  <c r="E96" i="1"/>
  <c r="E96" i="2" s="1"/>
  <c r="F97" i="1"/>
  <c r="B100" i="1"/>
  <c r="C100" i="1"/>
  <c r="C100" i="2" s="1"/>
  <c r="D100" i="1"/>
  <c r="D100" i="2" s="1"/>
  <c r="E100" i="1"/>
  <c r="E100" i="2" s="1"/>
  <c r="F101" i="1"/>
  <c r="B104" i="1"/>
  <c r="C104" i="1"/>
  <c r="C104" i="2" s="1"/>
  <c r="D104" i="1"/>
  <c r="D104" i="2" s="1"/>
  <c r="E104" i="1"/>
  <c r="E104" i="2" s="1"/>
  <c r="F105" i="1"/>
  <c r="B108" i="1"/>
  <c r="B108" i="2" s="1"/>
  <c r="C108" i="1"/>
  <c r="C108" i="2" s="1"/>
  <c r="D108" i="1"/>
  <c r="D108" i="2" s="1"/>
  <c r="E108" i="1"/>
  <c r="E108" i="2" s="1"/>
  <c r="F109" i="1"/>
  <c r="B112" i="1"/>
  <c r="C112" i="1"/>
  <c r="D112" i="1"/>
  <c r="E112" i="1"/>
  <c r="F113" i="1"/>
  <c r="B116" i="1"/>
  <c r="C116" i="1"/>
  <c r="C116" i="2" s="1"/>
  <c r="D116" i="1"/>
  <c r="D116" i="2" s="1"/>
  <c r="E116" i="1"/>
  <c r="E116" i="2" s="1"/>
  <c r="F117" i="1"/>
  <c r="B120" i="1"/>
  <c r="B120" i="2" s="1"/>
  <c r="C120" i="1"/>
  <c r="C120" i="2" s="1"/>
  <c r="D120" i="1"/>
  <c r="D120" i="2" s="1"/>
  <c r="E120" i="1"/>
  <c r="E120" i="2" s="1"/>
  <c r="F121" i="1"/>
  <c r="F121" i="2" s="1"/>
  <c r="B124" i="1"/>
  <c r="B124" i="2" s="1"/>
  <c r="C124" i="1"/>
  <c r="C124" i="2" s="1"/>
  <c r="D124" i="1"/>
  <c r="D124" i="2" s="1"/>
  <c r="E124" i="1"/>
  <c r="E124" i="2" s="1"/>
  <c r="F125" i="1"/>
  <c r="B128" i="1"/>
  <c r="C128" i="1"/>
  <c r="C128" i="2" s="1"/>
  <c r="D128" i="1"/>
  <c r="D128" i="2" s="1"/>
  <c r="E128" i="1"/>
  <c r="E128" i="2" s="1"/>
  <c r="F129" i="1"/>
  <c r="B132" i="1"/>
  <c r="B132" i="2" s="1"/>
  <c r="C132" i="1"/>
  <c r="C132" i="2" s="1"/>
  <c r="D132" i="1"/>
  <c r="D132" i="2" s="1"/>
  <c r="E132" i="1"/>
  <c r="F133" i="1"/>
  <c r="B136" i="1"/>
  <c r="B136" i="2" s="1"/>
  <c r="C136" i="1"/>
  <c r="C136" i="2" s="1"/>
  <c r="D136" i="1"/>
  <c r="D136" i="2" s="1"/>
  <c r="E136" i="1"/>
  <c r="E136" i="2" s="1"/>
  <c r="F137" i="1"/>
  <c r="B140" i="1"/>
  <c r="B140" i="2" s="1"/>
  <c r="C140" i="1"/>
  <c r="C140" i="2" s="1"/>
  <c r="D140" i="1"/>
  <c r="D140" i="2" s="1"/>
  <c r="E140" i="1"/>
  <c r="E140" i="2" s="1"/>
  <c r="F141" i="1"/>
  <c r="B144" i="1"/>
  <c r="C144" i="1"/>
  <c r="C144" i="2" s="1"/>
  <c r="D144" i="1"/>
  <c r="D144" i="2" s="1"/>
  <c r="E144" i="1"/>
  <c r="E144" i="2" s="1"/>
  <c r="F145" i="1"/>
  <c r="B148" i="1"/>
  <c r="B148" i="2" s="1"/>
  <c r="C148" i="1"/>
  <c r="C148" i="2" s="1"/>
  <c r="D148" i="1"/>
  <c r="D148" i="2" s="1"/>
  <c r="E148" i="1"/>
  <c r="E148" i="2" s="1"/>
  <c r="F149" i="1"/>
  <c r="B152" i="1"/>
  <c r="B152" i="2" s="1"/>
  <c r="C152" i="1"/>
  <c r="C152" i="2" s="1"/>
  <c r="D152" i="1"/>
  <c r="D152" i="2" s="1"/>
  <c r="E152" i="1"/>
  <c r="E152" i="2" s="1"/>
  <c r="F153" i="1"/>
  <c r="F153" i="2" s="1"/>
  <c r="B156" i="1"/>
  <c r="B156" i="2" s="1"/>
  <c r="C156" i="1"/>
  <c r="C156" i="2" s="1"/>
  <c r="D156" i="1"/>
  <c r="D156" i="2" s="1"/>
  <c r="E156" i="1"/>
  <c r="E156" i="2" s="1"/>
  <c r="F157" i="1"/>
  <c r="B160" i="1"/>
  <c r="B160" i="2" s="1"/>
  <c r="C160" i="1"/>
  <c r="C160" i="2" s="1"/>
  <c r="D160" i="1"/>
  <c r="D160" i="2" s="1"/>
  <c r="E160" i="1"/>
  <c r="E160" i="2" s="1"/>
  <c r="F161" i="1"/>
  <c r="B164" i="1"/>
  <c r="B164" i="2" s="1"/>
  <c r="C164" i="1"/>
  <c r="D164" i="1"/>
  <c r="E164" i="1"/>
  <c r="F165" i="1"/>
  <c r="B168" i="1"/>
  <c r="C168" i="1"/>
  <c r="C168" i="2" s="1"/>
  <c r="D168" i="1"/>
  <c r="E168" i="1"/>
  <c r="E168" i="2" s="1"/>
  <c r="F169" i="1"/>
  <c r="F169" i="2" s="1"/>
  <c r="B172" i="1"/>
  <c r="B172" i="2" s="1"/>
  <c r="C172" i="1"/>
  <c r="C172" i="2" s="1"/>
  <c r="D172" i="1"/>
  <c r="D172" i="2" s="1"/>
  <c r="E172" i="1"/>
  <c r="E172" i="2" s="1"/>
  <c r="F173" i="1"/>
  <c r="B176" i="1"/>
  <c r="B176" i="2" s="1"/>
  <c r="C176" i="1"/>
  <c r="C176" i="2" s="1"/>
  <c r="D176" i="1"/>
  <c r="D176" i="2" s="1"/>
  <c r="E176" i="1"/>
  <c r="E176" i="2" s="1"/>
  <c r="F177" i="1"/>
  <c r="B180" i="1"/>
  <c r="C180" i="1"/>
  <c r="C180" i="2" s="1"/>
  <c r="D180" i="1"/>
  <c r="D180" i="2" s="1"/>
  <c r="E180" i="1"/>
  <c r="E180" i="2" s="1"/>
  <c r="F181" i="1"/>
  <c r="B184" i="1"/>
  <c r="B184" i="2" s="1"/>
  <c r="C184" i="1"/>
  <c r="C184" i="2" s="1"/>
  <c r="D184" i="1"/>
  <c r="D184" i="2" s="1"/>
  <c r="E184" i="1"/>
  <c r="E184" i="2" s="1"/>
  <c r="F185" i="1"/>
  <c r="F185" i="2" s="1"/>
  <c r="B188" i="1"/>
  <c r="B188" i="2" s="1"/>
  <c r="C188" i="1"/>
  <c r="C188" i="2" s="1"/>
  <c r="D188" i="1"/>
  <c r="D188" i="2" s="1"/>
  <c r="E188" i="1"/>
  <c r="E188" i="2" s="1"/>
  <c r="F189" i="1"/>
  <c r="B192" i="1"/>
  <c r="B192" i="2" s="1"/>
  <c r="C192" i="1"/>
  <c r="C192" i="2" s="1"/>
  <c r="D192" i="1"/>
  <c r="D192" i="2" s="1"/>
  <c r="E192" i="1"/>
  <c r="E192" i="2" s="1"/>
  <c r="F193" i="1"/>
  <c r="B196" i="1"/>
  <c r="B196" i="2" s="1"/>
  <c r="C196" i="1"/>
  <c r="C196" i="2" s="1"/>
  <c r="D196" i="1"/>
  <c r="D196" i="2" s="1"/>
  <c r="E196" i="1"/>
  <c r="E196" i="2" s="1"/>
  <c r="F197" i="1"/>
  <c r="B200" i="1"/>
  <c r="B200" i="2" s="1"/>
  <c r="C200" i="1"/>
  <c r="C200" i="2" s="1"/>
  <c r="D200" i="1"/>
  <c r="D200" i="2" s="1"/>
  <c r="E200" i="1"/>
  <c r="E200" i="2" s="1"/>
  <c r="F201" i="1"/>
  <c r="B204" i="1"/>
  <c r="B204" i="2" s="1"/>
  <c r="C204" i="1"/>
  <c r="C204" i="2" s="1"/>
  <c r="D204" i="1"/>
  <c r="D204" i="2" s="1"/>
  <c r="E204" i="1"/>
  <c r="E204" i="2" s="1"/>
  <c r="F205" i="1"/>
  <c r="B208" i="1"/>
  <c r="C208" i="1"/>
  <c r="C208" i="2" s="1"/>
  <c r="D208" i="1"/>
  <c r="D208" i="2" s="1"/>
  <c r="E208" i="1"/>
  <c r="E208" i="2" s="1"/>
  <c r="F209" i="1"/>
  <c r="B212" i="1"/>
  <c r="C212" i="1"/>
  <c r="C212" i="2" s="1"/>
  <c r="D212" i="1"/>
  <c r="E212" i="1"/>
  <c r="E212" i="2" s="1"/>
  <c r="F213" i="1"/>
  <c r="B216" i="1"/>
  <c r="C216" i="1"/>
  <c r="D216" i="1"/>
  <c r="E216" i="1"/>
  <c r="E216" i="2" s="1"/>
  <c r="F217" i="1"/>
  <c r="F217" i="2" s="1"/>
  <c r="B220" i="1"/>
  <c r="B220" i="2" s="1"/>
  <c r="C220" i="1"/>
  <c r="C220" i="2" s="1"/>
  <c r="D220" i="1"/>
  <c r="D220" i="2" s="1"/>
  <c r="E220" i="1"/>
  <c r="E220" i="2" s="1"/>
  <c r="F221" i="1"/>
  <c r="B224" i="1"/>
  <c r="C224" i="1"/>
  <c r="D224" i="1"/>
  <c r="D224" i="2" s="1"/>
  <c r="E224" i="1"/>
  <c r="E224" i="2" s="1"/>
  <c r="F225" i="1"/>
  <c r="B228" i="1"/>
  <c r="B228" i="2" s="1"/>
  <c r="C228" i="1"/>
  <c r="D228" i="1"/>
  <c r="E228" i="1"/>
  <c r="F229" i="1"/>
  <c r="B232" i="1"/>
  <c r="B232" i="2" s="1"/>
  <c r="C232" i="1"/>
  <c r="C232" i="2" s="1"/>
  <c r="D232" i="1"/>
  <c r="D232" i="2" s="1"/>
  <c r="E232" i="1"/>
  <c r="E232" i="2" s="1"/>
  <c r="F233" i="1"/>
  <c r="F233" i="2" s="1"/>
  <c r="B236" i="1"/>
  <c r="B236" i="2" s="1"/>
  <c r="C236" i="1"/>
  <c r="C236" i="2" s="1"/>
  <c r="D236" i="1"/>
  <c r="D236" i="2" s="1"/>
  <c r="E236" i="1"/>
  <c r="E236" i="2" s="1"/>
  <c r="F237" i="1"/>
  <c r="B240" i="1"/>
  <c r="C240" i="1"/>
  <c r="C240" i="2" s="1"/>
  <c r="D240" i="1"/>
  <c r="D240" i="2" s="1"/>
  <c r="E240" i="1"/>
  <c r="E240" i="2" s="1"/>
  <c r="F241" i="1"/>
  <c r="B244" i="1"/>
  <c r="C244" i="1"/>
  <c r="C244" i="2" s="1"/>
  <c r="D244" i="1"/>
  <c r="D244" i="2" s="1"/>
  <c r="E244" i="1"/>
  <c r="E244" i="2" s="1"/>
  <c r="F245" i="1"/>
  <c r="B248" i="1"/>
  <c r="B248" i="2" s="1"/>
  <c r="C248" i="1"/>
  <c r="C248" i="2" s="1"/>
  <c r="D248" i="1"/>
  <c r="D248" i="2" s="1"/>
  <c r="E248" i="1"/>
  <c r="E248" i="2" s="1"/>
  <c r="F249" i="1"/>
  <c r="F249" i="2" s="1"/>
  <c r="B252" i="1"/>
  <c r="B252" i="2" s="1"/>
  <c r="C252" i="1"/>
  <c r="D252" i="1"/>
  <c r="E252" i="1"/>
  <c r="E252" i="2" s="1"/>
  <c r="F253" i="1"/>
  <c r="B256" i="1"/>
  <c r="C256" i="1"/>
  <c r="C256" i="2" s="1"/>
  <c r="D256" i="1"/>
  <c r="D256" i="2" s="1"/>
  <c r="E256" i="1"/>
  <c r="E256" i="2" s="1"/>
  <c r="F257" i="1"/>
  <c r="B260" i="1"/>
  <c r="C260" i="1"/>
  <c r="C260" i="2" s="1"/>
  <c r="D260" i="1"/>
  <c r="D260" i="2" s="1"/>
  <c r="E260" i="1"/>
  <c r="E260" i="2" s="1"/>
  <c r="F261" i="1"/>
  <c r="B264" i="1"/>
  <c r="C264" i="1"/>
  <c r="C264" i="2" s="1"/>
  <c r="D264" i="1"/>
  <c r="D264" i="2" s="1"/>
  <c r="E264" i="1"/>
  <c r="E264" i="2" s="1"/>
  <c r="F265" i="1"/>
  <c r="F265" i="2" s="1"/>
  <c r="B268" i="1"/>
  <c r="B268" i="2" s="1"/>
  <c r="C268" i="1"/>
  <c r="C268" i="2" s="1"/>
  <c r="D268" i="1"/>
  <c r="D268" i="2" s="1"/>
  <c r="E268" i="1"/>
  <c r="E268" i="2" s="1"/>
  <c r="F269" i="1"/>
  <c r="B272" i="1"/>
  <c r="B272" i="2" s="1"/>
  <c r="I270" i="2" s="1" a="1"/>
  <c r="I270" i="2" s="1"/>
  <c r="C272" i="1"/>
  <c r="C272" i="2" s="1"/>
  <c r="D272" i="1"/>
  <c r="D272" i="2" s="1"/>
  <c r="E272" i="1"/>
  <c r="E272" i="2" s="1"/>
  <c r="F273" i="1"/>
  <c r="B276" i="1"/>
  <c r="B276" i="2" s="1"/>
  <c r="C276" i="1"/>
  <c r="C276" i="2" s="1"/>
  <c r="D276" i="1"/>
  <c r="D276" i="2" s="1"/>
  <c r="E276" i="1"/>
  <c r="E276" i="2" s="1"/>
  <c r="F277" i="1"/>
  <c r="B280" i="1"/>
  <c r="C280" i="1"/>
  <c r="C280" i="2" s="1"/>
  <c r="D280" i="1"/>
  <c r="D280" i="2" s="1"/>
  <c r="E280" i="1"/>
  <c r="E280" i="2" s="1"/>
  <c r="F281" i="1"/>
  <c r="B284" i="1"/>
  <c r="B284" i="2" s="1"/>
  <c r="C284" i="1"/>
  <c r="C284" i="2" s="1"/>
  <c r="D284" i="1"/>
  <c r="D284" i="2" s="1"/>
  <c r="E284" i="1"/>
  <c r="E284" i="2" s="1"/>
  <c r="F285" i="1"/>
  <c r="B288" i="1"/>
  <c r="B288" i="2" s="1"/>
  <c r="C288" i="1"/>
  <c r="C288" i="2" s="1"/>
  <c r="D288" i="1"/>
  <c r="D288" i="2" s="1"/>
  <c r="E288" i="1"/>
  <c r="F289" i="1"/>
  <c r="B292" i="1"/>
  <c r="C292" i="1"/>
  <c r="C292" i="2" s="1"/>
  <c r="D292" i="1"/>
  <c r="D292" i="2" s="1"/>
  <c r="E292" i="1"/>
  <c r="E292" i="2" s="1"/>
  <c r="F293" i="1"/>
  <c r="B296" i="1"/>
  <c r="C296" i="1"/>
  <c r="D296" i="1"/>
  <c r="D296" i="2" s="1"/>
  <c r="E296" i="1"/>
  <c r="E296" i="2" s="1"/>
  <c r="F297" i="1"/>
  <c r="F297" i="2" s="1"/>
  <c r="B300" i="1"/>
  <c r="B300" i="2" s="1"/>
  <c r="C300" i="1"/>
  <c r="C300" i="2" s="1"/>
  <c r="D300" i="1"/>
  <c r="D300" i="2" s="1"/>
  <c r="E300" i="1"/>
  <c r="E300" i="2" s="1"/>
  <c r="F301" i="1"/>
  <c r="B304" i="1"/>
  <c r="C304" i="1"/>
  <c r="C304" i="2" s="1"/>
  <c r="D304" i="1"/>
  <c r="D304" i="2" s="1"/>
  <c r="E304" i="1"/>
  <c r="E304" i="2" s="1"/>
  <c r="F305" i="1"/>
  <c r="B308" i="1"/>
  <c r="C308" i="1"/>
  <c r="C308" i="2" s="1"/>
  <c r="D308" i="1"/>
  <c r="D308" i="2" s="1"/>
  <c r="E308" i="1"/>
  <c r="E308" i="2" s="1"/>
  <c r="F309" i="1"/>
  <c r="B312" i="1"/>
  <c r="B312" i="2" s="1"/>
  <c r="C312" i="1"/>
  <c r="C312" i="2" s="1"/>
  <c r="D312" i="1"/>
  <c r="D312" i="2" s="1"/>
  <c r="E312" i="1"/>
  <c r="E312" i="2" s="1"/>
  <c r="F313" i="1"/>
  <c r="F313" i="2" s="1"/>
  <c r="B316" i="1"/>
  <c r="B316" i="2" s="1"/>
  <c r="C316" i="1"/>
  <c r="C316" i="2" s="1"/>
  <c r="D316" i="1"/>
  <c r="D316" i="2" s="1"/>
  <c r="E316" i="1"/>
  <c r="E316" i="2" s="1"/>
  <c r="F317" i="1"/>
  <c r="B320" i="1"/>
  <c r="B320" i="2" s="1"/>
  <c r="C320" i="1"/>
  <c r="C320" i="2" s="1"/>
  <c r="D320" i="1"/>
  <c r="D320" i="2" s="1"/>
  <c r="E320" i="1"/>
  <c r="E320" i="2" s="1"/>
  <c r="F321" i="1"/>
  <c r="B324" i="1"/>
  <c r="C324" i="1"/>
  <c r="C324" i="2" s="1"/>
  <c r="D324" i="1"/>
  <c r="D324" i="2" s="1"/>
  <c r="E324" i="1"/>
  <c r="E324" i="2" s="1"/>
  <c r="F325" i="1"/>
  <c r="B328" i="1"/>
  <c r="B328" i="2" s="1"/>
  <c r="C328" i="1"/>
  <c r="C328" i="2" s="1"/>
  <c r="D328" i="1"/>
  <c r="D328" i="2" s="1"/>
  <c r="E328" i="1"/>
  <c r="E328" i="2" s="1"/>
  <c r="F329" i="1"/>
  <c r="F329" i="2" s="1"/>
  <c r="B332" i="1"/>
  <c r="B332" i="2" s="1"/>
  <c r="C332" i="1"/>
  <c r="C332" i="2" s="1"/>
  <c r="D332" i="1"/>
  <c r="D332" i="2" s="1"/>
  <c r="E332" i="1"/>
  <c r="E332" i="2" s="1"/>
  <c r="F333" i="1"/>
  <c r="B336" i="1"/>
  <c r="B336" i="2" s="1"/>
  <c r="C336" i="1"/>
  <c r="C336" i="2" s="1"/>
  <c r="D336" i="1"/>
  <c r="E336" i="1"/>
  <c r="E336" i="2" s="1"/>
  <c r="F337" i="1"/>
  <c r="B340" i="1"/>
  <c r="B340" i="2" s="1"/>
  <c r="C340" i="1"/>
  <c r="C340" i="2" s="1"/>
  <c r="D340" i="1"/>
  <c r="D340" i="2" s="1"/>
  <c r="E340" i="1"/>
  <c r="E340" i="2" s="1"/>
  <c r="F341" i="1"/>
  <c r="B344" i="1"/>
  <c r="B344" i="2" s="1"/>
  <c r="C344" i="1"/>
  <c r="C344" i="2" s="1"/>
  <c r="D344" i="1"/>
  <c r="D344" i="2" s="1"/>
  <c r="E344" i="1"/>
  <c r="E344" i="2" s="1"/>
  <c r="F345" i="1"/>
  <c r="F345" i="2" s="1"/>
  <c r="B348" i="1"/>
  <c r="B348" i="2" s="1"/>
  <c r="C348" i="1"/>
  <c r="C348" i="2" s="1"/>
  <c r="D348" i="1"/>
  <c r="D348" i="2" s="1"/>
  <c r="E348" i="1"/>
  <c r="E348" i="2" s="1"/>
  <c r="F349" i="1"/>
  <c r="B352" i="1"/>
  <c r="C352" i="1"/>
  <c r="C352" i="2" s="1"/>
  <c r="D352" i="1"/>
  <c r="D352" i="2" s="1"/>
  <c r="E352" i="1"/>
  <c r="E352" i="2" s="1"/>
  <c r="F353" i="1"/>
  <c r="B356" i="1"/>
  <c r="B356" i="2" s="1"/>
  <c r="C356" i="1"/>
  <c r="C356" i="2" s="1"/>
  <c r="D356" i="1"/>
  <c r="D356" i="2" s="1"/>
  <c r="E356" i="1"/>
  <c r="E356" i="2" s="1"/>
  <c r="F357" i="1"/>
  <c r="B360" i="1"/>
  <c r="B360" i="2" s="1"/>
  <c r="I358" i="2" s="1" a="1"/>
  <c r="I358" i="2" s="1"/>
  <c r="C360" i="1"/>
  <c r="C360" i="2" s="1"/>
  <c r="D360" i="1"/>
  <c r="D360" i="2" s="1"/>
  <c r="E360" i="1"/>
  <c r="E360" i="2" s="1"/>
  <c r="F361" i="1"/>
  <c r="F361" i="2" s="1"/>
  <c r="B364" i="1"/>
  <c r="C364" i="1"/>
  <c r="C364" i="2" s="1"/>
  <c r="D364" i="1"/>
  <c r="D364" i="2" s="1"/>
  <c r="E364" i="1"/>
  <c r="E364" i="2" s="1"/>
  <c r="F365" i="1"/>
  <c r="B368" i="1"/>
  <c r="B368" i="2" s="1"/>
  <c r="C368" i="1"/>
  <c r="C368" i="2" s="1"/>
  <c r="D368" i="1"/>
  <c r="D368" i="2" s="1"/>
  <c r="E368" i="1"/>
  <c r="E368" i="2" s="1"/>
  <c r="F369" i="1"/>
  <c r="B372" i="1"/>
  <c r="B372" i="2" s="1"/>
  <c r="C372" i="1"/>
  <c r="C372" i="2" s="1"/>
  <c r="D372" i="1"/>
  <c r="D372" i="2" s="1"/>
  <c r="E372" i="1"/>
  <c r="E372" i="2" s="1"/>
  <c r="F373" i="1"/>
  <c r="B376" i="1"/>
  <c r="B376" i="2" s="1"/>
  <c r="C376" i="1"/>
  <c r="C376" i="2" s="1"/>
  <c r="D376" i="1"/>
  <c r="D376" i="2" s="1"/>
  <c r="E376" i="1"/>
  <c r="E376" i="2" s="1"/>
  <c r="F377" i="1"/>
  <c r="B380" i="1"/>
  <c r="B380" i="2" s="1"/>
  <c r="C380" i="1"/>
  <c r="C380" i="2" s="1"/>
  <c r="D380" i="1"/>
  <c r="D380" i="2" s="1"/>
  <c r="E380" i="1"/>
  <c r="E380" i="2" s="1"/>
  <c r="F381" i="1"/>
  <c r="B384" i="1"/>
  <c r="B384" i="2" s="1"/>
  <c r="C384" i="1"/>
  <c r="C384" i="2" s="1"/>
  <c r="D384" i="1"/>
  <c r="D384" i="2" s="1"/>
  <c r="E384" i="1"/>
  <c r="E384" i="2" s="1"/>
  <c r="F385" i="1"/>
  <c r="B388" i="1"/>
  <c r="B388" i="2" s="1"/>
  <c r="C388" i="1"/>
  <c r="C388" i="2" s="1"/>
  <c r="D388" i="1"/>
  <c r="D388" i="2" s="1"/>
  <c r="E388" i="1"/>
  <c r="E388" i="2" s="1"/>
  <c r="F389" i="1"/>
  <c r="B392" i="1"/>
  <c r="C392" i="1"/>
  <c r="C392" i="2" s="1"/>
  <c r="D392" i="1"/>
  <c r="D392" i="2" s="1"/>
  <c r="E392" i="1"/>
  <c r="E392" i="2" s="1"/>
  <c r="F393" i="1"/>
  <c r="B396" i="1"/>
  <c r="B396" i="2" s="1"/>
  <c r="C396" i="1"/>
  <c r="C396" i="2" s="1"/>
  <c r="D396" i="1"/>
  <c r="D396" i="2" s="1"/>
  <c r="E396" i="1"/>
  <c r="E396" i="2" s="1"/>
  <c r="F397" i="1"/>
  <c r="B400" i="1"/>
  <c r="B400" i="2" s="1"/>
  <c r="C400" i="1"/>
  <c r="C400" i="2" s="1"/>
  <c r="D400" i="1"/>
  <c r="D400" i="2" s="1"/>
  <c r="E400" i="1"/>
  <c r="E400" i="2" s="1"/>
  <c r="F17" i="2"/>
  <c r="F21" i="2"/>
  <c r="F25" i="2"/>
  <c r="F29" i="2"/>
  <c r="B32" i="2"/>
  <c r="C32" i="2"/>
  <c r="D32" i="2"/>
  <c r="E32" i="2"/>
  <c r="F33" i="2"/>
  <c r="F37" i="2"/>
  <c r="C40" i="2"/>
  <c r="F45" i="2"/>
  <c r="F49" i="2"/>
  <c r="F53" i="2"/>
  <c r="F61" i="2"/>
  <c r="F65" i="2"/>
  <c r="F69" i="2"/>
  <c r="F77" i="2"/>
  <c r="B80" i="2"/>
  <c r="C80" i="2"/>
  <c r="D80" i="2"/>
  <c r="F81" i="2"/>
  <c r="C84" i="2"/>
  <c r="F93" i="2"/>
  <c r="F97" i="2"/>
  <c r="F101" i="2"/>
  <c r="F105" i="2"/>
  <c r="F109" i="2"/>
  <c r="B112" i="2"/>
  <c r="C112" i="2"/>
  <c r="D112" i="2"/>
  <c r="E112" i="2"/>
  <c r="F113" i="2"/>
  <c r="B116" i="2"/>
  <c r="F117" i="2"/>
  <c r="F125" i="2"/>
  <c r="F129" i="2"/>
  <c r="E132" i="2"/>
  <c r="F133" i="2"/>
  <c r="F141" i="2"/>
  <c r="F145" i="2"/>
  <c r="F149" i="2"/>
  <c r="F157" i="2"/>
  <c r="F161" i="2"/>
  <c r="C164" i="2"/>
  <c r="D164" i="2"/>
  <c r="E164" i="2"/>
  <c r="F165" i="2"/>
  <c r="B168" i="2"/>
  <c r="D168" i="2"/>
  <c r="I166" i="2" s="1" a="1"/>
  <c r="I166" i="2" s="1"/>
  <c r="F173" i="2"/>
  <c r="F177" i="2"/>
  <c r="F181" i="2"/>
  <c r="F189" i="2"/>
  <c r="F193" i="2"/>
  <c r="F197" i="2"/>
  <c r="F201" i="2"/>
  <c r="F205" i="2"/>
  <c r="F209" i="2"/>
  <c r="D212" i="2"/>
  <c r="F213" i="2"/>
  <c r="B216" i="2"/>
  <c r="C216" i="2"/>
  <c r="D216" i="2"/>
  <c r="F221" i="2"/>
  <c r="B224" i="2"/>
  <c r="C224" i="2"/>
  <c r="F225" i="2"/>
  <c r="C228" i="2"/>
  <c r="D228" i="2"/>
  <c r="E228" i="2"/>
  <c r="F229" i="2"/>
  <c r="F237" i="2"/>
  <c r="F241" i="2"/>
  <c r="F245" i="2"/>
  <c r="C252" i="2"/>
  <c r="D252" i="2"/>
  <c r="F253" i="2"/>
  <c r="B256" i="2"/>
  <c r="F257" i="2"/>
  <c r="F261" i="2"/>
  <c r="F269" i="2"/>
  <c r="F273" i="2"/>
  <c r="F277" i="2"/>
  <c r="F281" i="2"/>
  <c r="F285" i="2"/>
  <c r="F289" i="2"/>
  <c r="F293" i="2"/>
  <c r="B296" i="2"/>
  <c r="C296" i="2"/>
  <c r="F301" i="2"/>
  <c r="F305" i="2"/>
  <c r="F309" i="2"/>
  <c r="F317" i="2"/>
  <c r="F321" i="2"/>
  <c r="F325" i="2"/>
  <c r="F333" i="2"/>
  <c r="D336" i="2"/>
  <c r="F337" i="2"/>
  <c r="F341" i="2"/>
  <c r="F349" i="2"/>
  <c r="F353" i="2"/>
  <c r="F357" i="2"/>
  <c r="F365" i="2"/>
  <c r="F369" i="2"/>
  <c r="F373" i="2"/>
  <c r="F381" i="2"/>
  <c r="F385" i="2"/>
  <c r="F389" i="2"/>
  <c r="F393" i="2"/>
  <c r="F397" i="2"/>
  <c r="F9" i="2"/>
  <c r="F9" i="1"/>
  <c r="B12" i="1"/>
  <c r="B12" i="2" s="1"/>
  <c r="C12" i="1"/>
  <c r="C12" i="2" s="1"/>
  <c r="D12" i="1"/>
  <c r="D12" i="2" s="1"/>
  <c r="E12" i="1"/>
  <c r="E12" i="2" s="1"/>
  <c r="F5" i="2"/>
  <c r="B8" i="2"/>
  <c r="C8" i="2"/>
  <c r="D8" i="2"/>
  <c r="E8" i="2"/>
  <c r="F5" i="1"/>
  <c r="B8" i="1"/>
  <c r="C8" i="1"/>
  <c r="D8" i="1"/>
  <c r="E8" i="1"/>
  <c r="K3" i="2" a="1"/>
  <c r="K3" i="2" s="1"/>
  <c r="I4" i="2"/>
  <c r="K2" i="2" a="1"/>
  <c r="K2" i="2" s="1"/>
  <c r="E1" i="3" a="1"/>
  <c r="E1" i="3" s="1"/>
  <c r="F1" i="3" a="1"/>
  <c r="F1" i="3" s="1"/>
  <c r="G1" i="3" a="1"/>
  <c r="G1" i="3" s="1"/>
  <c r="H1" i="3" a="1"/>
  <c r="H1" i="3" s="1"/>
  <c r="D1" i="3" a="1"/>
  <c r="D1" i="3" s="1"/>
  <c r="X395" i="3" l="1" a="1"/>
  <c r="X395" i="3" s="1"/>
  <c r="AA395" i="3" a="1"/>
  <c r="AA395" i="3" s="1"/>
  <c r="AB395" i="3" a="1"/>
  <c r="AB395" i="3" s="1"/>
  <c r="D395" i="3" a="1"/>
  <c r="D395" i="3" s="1"/>
  <c r="AH395" i="3" a="1"/>
  <c r="AH395" i="3" s="1"/>
  <c r="AJ395" i="3" a="1"/>
  <c r="AJ395" i="3" s="1"/>
  <c r="K395" i="3" a="1"/>
  <c r="K395" i="3" s="1"/>
  <c r="AM395" i="3" a="1"/>
  <c r="AM395" i="3" s="1"/>
  <c r="O395" i="3" a="1"/>
  <c r="O395" i="3" s="1"/>
  <c r="P395" i="3" a="1"/>
  <c r="P395" i="3" s="1"/>
  <c r="Y395" i="3" a="1"/>
  <c r="Y395" i="3" s="1"/>
  <c r="AF395" i="3" a="1"/>
  <c r="AF395" i="3" s="1"/>
  <c r="M395" i="3" a="1"/>
  <c r="M395" i="3" s="1"/>
  <c r="S399" i="3" a="1"/>
  <c r="S399" i="3" s="1"/>
  <c r="K375" i="3" a="1"/>
  <c r="K375" i="3" s="1"/>
  <c r="M375" i="3" a="1"/>
  <c r="M375" i="3" s="1"/>
  <c r="W375" i="3" a="1"/>
  <c r="W375" i="3" s="1"/>
  <c r="Y375" i="3" a="1"/>
  <c r="Y375" i="3" s="1"/>
  <c r="AD375" i="3" a="1"/>
  <c r="AD375" i="3" s="1"/>
  <c r="AI375" i="3" a="1"/>
  <c r="AI375" i="3" s="1"/>
  <c r="V367" i="3" a="1"/>
  <c r="V367" i="3" s="1"/>
  <c r="O367" i="3" a="1"/>
  <c r="O367" i="3" s="1"/>
  <c r="P335" i="3" a="1"/>
  <c r="P335" i="3" s="1"/>
  <c r="O335" i="3" a="1"/>
  <c r="O335" i="3" s="1"/>
  <c r="Q335" i="3" a="1"/>
  <c r="Q335" i="3" s="1"/>
  <c r="AI335" i="3" a="1"/>
  <c r="AI335" i="3" s="1"/>
  <c r="V319" i="3" a="1"/>
  <c r="V319" i="3" s="1"/>
  <c r="Q319" i="3" a="1"/>
  <c r="Q319" i="3" s="1"/>
  <c r="T319" i="3" a="1"/>
  <c r="T319" i="3" s="1"/>
  <c r="U319" i="3" a="1"/>
  <c r="U319" i="3" s="1"/>
  <c r="E319" i="3" a="1"/>
  <c r="E319" i="3" s="1"/>
  <c r="F319" i="3" a="1"/>
  <c r="F319" i="3" s="1"/>
  <c r="AC319" i="3" a="1"/>
  <c r="AC319" i="3" s="1"/>
  <c r="H319" i="3" a="1"/>
  <c r="H319" i="3" s="1"/>
  <c r="AG319" i="3" a="1"/>
  <c r="AG319" i="3" s="1"/>
  <c r="I319" i="3" a="1"/>
  <c r="I319" i="3" s="1"/>
  <c r="AM319" i="3" a="1"/>
  <c r="AM319" i="3" s="1"/>
  <c r="P319" i="3" a="1"/>
  <c r="P319" i="3" s="1"/>
  <c r="P399" i="3" a="1"/>
  <c r="P399" i="3" s="1"/>
  <c r="AJ391" i="3" a="1"/>
  <c r="AJ391" i="3" s="1"/>
  <c r="C382" i="3" a="1"/>
  <c r="C382" i="3" s="1"/>
  <c r="K383" i="3" a="1"/>
  <c r="K383" i="3" s="1"/>
  <c r="AL315" i="3" a="1"/>
  <c r="AL315" i="3" s="1"/>
  <c r="I399" i="3" a="1"/>
  <c r="I399" i="3" s="1"/>
  <c r="Y331" i="3" a="1"/>
  <c r="Y331" i="3" s="1"/>
  <c r="U315" i="3" a="1"/>
  <c r="U315" i="3" s="1"/>
  <c r="X331" i="3" a="1"/>
  <c r="X331" i="3" s="1"/>
  <c r="O315" i="3" a="1"/>
  <c r="O315" i="3" s="1"/>
  <c r="W483" i="3" a="1"/>
  <c r="W483" i="3" s="1"/>
  <c r="P483" i="3" a="1"/>
  <c r="P483" i="3" s="1"/>
  <c r="AM483" i="3" a="1"/>
  <c r="AM483" i="3" s="1"/>
  <c r="Q483" i="3" a="1"/>
  <c r="Q483" i="3" s="1"/>
  <c r="R483" i="3" a="1"/>
  <c r="R483" i="3" s="1"/>
  <c r="V483" i="3" a="1"/>
  <c r="V483" i="3" s="1"/>
  <c r="G483" i="3" a="1"/>
  <c r="G483" i="3" s="1"/>
  <c r="AE483" i="3" a="1"/>
  <c r="AE483" i="3" s="1"/>
  <c r="J483" i="3" a="1"/>
  <c r="J483" i="3" s="1"/>
  <c r="AG483" i="3" a="1"/>
  <c r="AG483" i="3" s="1"/>
  <c r="K483" i="3" a="1"/>
  <c r="K483" i="3" s="1"/>
  <c r="AH483" i="3" a="1"/>
  <c r="AH483" i="3" s="1"/>
  <c r="L483" i="3" a="1"/>
  <c r="L483" i="3" s="1"/>
  <c r="AK483" i="3" a="1"/>
  <c r="AK483" i="3" s="1"/>
  <c r="M483" i="3" a="1"/>
  <c r="M483" i="3" s="1"/>
  <c r="AL483" i="3" a="1"/>
  <c r="AL483" i="3" s="1"/>
  <c r="C354" i="3" a="1"/>
  <c r="C354" i="3" s="1"/>
  <c r="G355" i="3" a="1"/>
  <c r="G355" i="3" s="1"/>
  <c r="AM355" i="3" a="1"/>
  <c r="AM355" i="3" s="1"/>
  <c r="T331" i="3" a="1"/>
  <c r="T331" i="3" s="1"/>
  <c r="AJ319" i="3" a="1"/>
  <c r="AJ319" i="3" s="1"/>
  <c r="T391" i="3" a="1"/>
  <c r="T391" i="3" s="1"/>
  <c r="Q391" i="3" a="1"/>
  <c r="Q391" i="3" s="1"/>
  <c r="AI391" i="3" a="1"/>
  <c r="AI391" i="3" s="1"/>
  <c r="D391" i="3" a="1"/>
  <c r="D391" i="3" s="1"/>
  <c r="R391" i="3" a="1"/>
  <c r="R391" i="3" s="1"/>
  <c r="E391" i="3" a="1"/>
  <c r="E391" i="3" s="1"/>
  <c r="U391" i="3" a="1"/>
  <c r="U391" i="3" s="1"/>
  <c r="AM391" i="3" a="1"/>
  <c r="AM391" i="3" s="1"/>
  <c r="I391" i="3" a="1"/>
  <c r="I391" i="3" s="1"/>
  <c r="AA391" i="3" a="1"/>
  <c r="AA391" i="3" s="1"/>
  <c r="K391" i="3" a="1"/>
  <c r="K391" i="3" s="1"/>
  <c r="AC391" i="3" a="1"/>
  <c r="AC391" i="3" s="1"/>
  <c r="AD391" i="3" a="1"/>
  <c r="AD391" i="3" s="1"/>
  <c r="N391" i="3" a="1"/>
  <c r="N391" i="3" s="1"/>
  <c r="AF391" i="3" a="1"/>
  <c r="AF391" i="3" s="1"/>
  <c r="P391" i="3" a="1"/>
  <c r="P391" i="3" s="1"/>
  <c r="AH391" i="3" a="1"/>
  <c r="AH391" i="3" s="1"/>
  <c r="AE391" i="3" a="1"/>
  <c r="AE391" i="3" s="1"/>
  <c r="AK331" i="3" a="1"/>
  <c r="AK331" i="3" s="1"/>
  <c r="J399" i="3" a="1"/>
  <c r="J399" i="3" s="1"/>
  <c r="E399" i="3" a="1"/>
  <c r="E399" i="3" s="1"/>
  <c r="O399" i="3" a="1"/>
  <c r="O399" i="3" s="1"/>
  <c r="Y399" i="3" a="1"/>
  <c r="Y399" i="3" s="1"/>
  <c r="AI399" i="3" a="1"/>
  <c r="AI399" i="3" s="1"/>
  <c r="Q399" i="3" a="1"/>
  <c r="Q399" i="3" s="1"/>
  <c r="AJ399" i="3" a="1"/>
  <c r="AJ399" i="3" s="1"/>
  <c r="G399" i="3" a="1"/>
  <c r="G399" i="3" s="1"/>
  <c r="AA399" i="3" a="1"/>
  <c r="AA399" i="3" s="1"/>
  <c r="K399" i="3" a="1"/>
  <c r="K399" i="3" s="1"/>
  <c r="AC399" i="3" a="1"/>
  <c r="AC399" i="3" s="1"/>
  <c r="AL399" i="3" a="1"/>
  <c r="AL399" i="3" s="1"/>
  <c r="T399" i="3" a="1"/>
  <c r="T399" i="3" s="1"/>
  <c r="AM399" i="3" a="1"/>
  <c r="AM399" i="3" s="1"/>
  <c r="L399" i="3" a="1"/>
  <c r="L399" i="3" s="1"/>
  <c r="AD399" i="3" a="1"/>
  <c r="AD399" i="3" s="1"/>
  <c r="C398" i="3" a="1"/>
  <c r="C398" i="3" s="1"/>
  <c r="M399" i="3" a="1"/>
  <c r="M399" i="3" s="1"/>
  <c r="W399" i="3" a="1"/>
  <c r="W399" i="3" s="1"/>
  <c r="AF399" i="3" a="1"/>
  <c r="AF399" i="3" s="1"/>
  <c r="D399" i="3" a="1"/>
  <c r="D399" i="3" s="1"/>
  <c r="N399" i="3" a="1"/>
  <c r="N399" i="3" s="1"/>
  <c r="X399" i="3" a="1"/>
  <c r="X399" i="3" s="1"/>
  <c r="M391" i="3" a="1"/>
  <c r="M391" i="3" s="1"/>
  <c r="P331" i="3" a="1"/>
  <c r="P331" i="3" s="1"/>
  <c r="AB319" i="3" a="1"/>
  <c r="AB319" i="3" s="1"/>
  <c r="AC315" i="3" a="1"/>
  <c r="AC315" i="3" s="1"/>
  <c r="E315" i="3" a="1"/>
  <c r="E315" i="3" s="1"/>
  <c r="AI315" i="3" a="1"/>
  <c r="AI315" i="3" s="1"/>
  <c r="N315" i="3" a="1"/>
  <c r="N315" i="3" s="1"/>
  <c r="W315" i="3" a="1"/>
  <c r="W315" i="3" s="1"/>
  <c r="X315" i="3" a="1"/>
  <c r="X315" i="3" s="1"/>
  <c r="AA315" i="3" a="1"/>
  <c r="AA315" i="3" s="1"/>
  <c r="AH315" i="3" a="1"/>
  <c r="AH315" i="3" s="1"/>
  <c r="J347" i="3" a="1"/>
  <c r="J347" i="3" s="1"/>
  <c r="U347" i="3" a="1"/>
  <c r="U347" i="3" s="1"/>
  <c r="K331" i="3" a="1"/>
  <c r="K331" i="3" s="1"/>
  <c r="X319" i="3" a="1"/>
  <c r="X319" i="3" s="1"/>
  <c r="AB399" i="3" a="1"/>
  <c r="AB399" i="3" s="1"/>
  <c r="G391" i="3" a="1"/>
  <c r="G391" i="3" s="1"/>
  <c r="AF375" i="3" a="1"/>
  <c r="AF375" i="3" s="1"/>
  <c r="C498" i="3" a="1"/>
  <c r="C498" i="3" s="1"/>
  <c r="F499" i="3" a="1"/>
  <c r="F499" i="3" s="1"/>
  <c r="Y499" i="3" a="1"/>
  <c r="Y499" i="3" s="1"/>
  <c r="G499" i="3" a="1"/>
  <c r="G499" i="3" s="1"/>
  <c r="Z499" i="3" a="1"/>
  <c r="Z499" i="3" s="1"/>
  <c r="K499" i="3" a="1"/>
  <c r="K499" i="3" s="1"/>
  <c r="AB499" i="3" a="1"/>
  <c r="AB499" i="3" s="1"/>
  <c r="L499" i="3" a="1"/>
  <c r="L499" i="3" s="1"/>
  <c r="AC499" i="3" a="1"/>
  <c r="AC499" i="3" s="1"/>
  <c r="N499" i="3" a="1"/>
  <c r="N499" i="3" s="1"/>
  <c r="AF499" i="3" a="1"/>
  <c r="AF499" i="3" s="1"/>
  <c r="O499" i="3" a="1"/>
  <c r="O499" i="3" s="1"/>
  <c r="AH499" i="3" a="1"/>
  <c r="AH499" i="3" s="1"/>
  <c r="Q499" i="3" a="1"/>
  <c r="Q499" i="3" s="1"/>
  <c r="AK499" i="3" a="1"/>
  <c r="AK499" i="3" s="1"/>
  <c r="R499" i="3" a="1"/>
  <c r="R499" i="3" s="1"/>
  <c r="AM499" i="3" a="1"/>
  <c r="AM499" i="3" s="1"/>
  <c r="U499" i="3" a="1"/>
  <c r="U499" i="3" s="1"/>
  <c r="V499" i="3" a="1"/>
  <c r="V499" i="3" s="1"/>
  <c r="D499" i="3" a="1"/>
  <c r="D499" i="3" s="1"/>
  <c r="W499" i="3" a="1"/>
  <c r="W499" i="3" s="1"/>
  <c r="M331" i="3" a="1"/>
  <c r="M331" i="3" s="1"/>
  <c r="D331" i="3" a="1"/>
  <c r="D331" i="3" s="1"/>
  <c r="G331" i="3" a="1"/>
  <c r="G331" i="3" s="1"/>
  <c r="U331" i="3" a="1"/>
  <c r="U331" i="3" s="1"/>
  <c r="AE331" i="3" a="1"/>
  <c r="AE331" i="3" s="1"/>
  <c r="L331" i="3" a="1"/>
  <c r="L331" i="3" s="1"/>
  <c r="N331" i="3" a="1"/>
  <c r="N331" i="3" s="1"/>
  <c r="AH331" i="3" a="1"/>
  <c r="AH331" i="3" s="1"/>
  <c r="C330" i="3" a="1"/>
  <c r="C330" i="3" s="1"/>
  <c r="Q331" i="3" a="1"/>
  <c r="Q331" i="3" s="1"/>
  <c r="AL331" i="3" a="1"/>
  <c r="AL331" i="3" s="1"/>
  <c r="Z399" i="3" a="1"/>
  <c r="Z399" i="3" s="1"/>
  <c r="C390" i="3" a="1"/>
  <c r="C390" i="3" s="1"/>
  <c r="T375" i="3" a="1"/>
  <c r="T375" i="3" s="1"/>
  <c r="F331" i="3" a="1"/>
  <c r="F331" i="3" s="1"/>
  <c r="AH287" i="3" a="1"/>
  <c r="AH287" i="3" s="1"/>
  <c r="AA287" i="3" a="1"/>
  <c r="AA287" i="3" s="1"/>
  <c r="E287" i="3" a="1"/>
  <c r="E287" i="3" s="1"/>
  <c r="L343" i="3" a="1"/>
  <c r="L343" i="3" s="1"/>
  <c r="AA339" i="3" a="1"/>
  <c r="AA339" i="3" s="1"/>
  <c r="F339" i="3" a="1"/>
  <c r="F339" i="3" s="1"/>
  <c r="AA311" i="3" a="1"/>
  <c r="AA311" i="3" s="1"/>
  <c r="AK307" i="3" a="1"/>
  <c r="AK307" i="3" s="1"/>
  <c r="J307" i="3" a="1"/>
  <c r="J307" i="3" s="1"/>
  <c r="K303" i="3" a="1"/>
  <c r="K303" i="3" s="1"/>
  <c r="AF299" i="3" a="1"/>
  <c r="AF299" i="3" s="1"/>
  <c r="T299" i="3" a="1"/>
  <c r="T299" i="3" s="1"/>
  <c r="H299" i="3" a="1"/>
  <c r="H299" i="3" s="1"/>
  <c r="AJ291" i="3" a="1"/>
  <c r="AJ291" i="3" s="1"/>
  <c r="AA291" i="3" a="1"/>
  <c r="AA291" i="3" s="1"/>
  <c r="I291" i="3" a="1"/>
  <c r="I291" i="3" s="1"/>
  <c r="F431" i="3" a="1"/>
  <c r="F431" i="3" s="1"/>
  <c r="Q423" i="3" a="1"/>
  <c r="Q423" i="3" s="1"/>
  <c r="AG419" i="3" a="1"/>
  <c r="AG419" i="3" s="1"/>
  <c r="T419" i="3" a="1"/>
  <c r="T419" i="3" s="1"/>
  <c r="H419" i="3" a="1"/>
  <c r="H419" i="3" s="1"/>
  <c r="AI415" i="3" a="1"/>
  <c r="AI415" i="3" s="1"/>
  <c r="T415" i="3" a="1"/>
  <c r="T415" i="3" s="1"/>
  <c r="H415" i="3" a="1"/>
  <c r="H415" i="3" s="1"/>
  <c r="AF411" i="3" a="1"/>
  <c r="AF411" i="3" s="1"/>
  <c r="U411" i="3" a="1"/>
  <c r="U411" i="3" s="1"/>
  <c r="H411" i="3" a="1"/>
  <c r="H411" i="3" s="1"/>
  <c r="D407" i="3" a="1"/>
  <c r="D407" i="3" s="1"/>
  <c r="AI403" i="3" a="1"/>
  <c r="AI403" i="3" s="1"/>
  <c r="X403" i="3" a="1"/>
  <c r="X403" i="3" s="1"/>
  <c r="D403" i="3" a="1"/>
  <c r="D403" i="3" s="1"/>
  <c r="G495" i="3" a="1"/>
  <c r="G495" i="3" s="1"/>
  <c r="AL475" i="3" a="1"/>
  <c r="AL475" i="3" s="1"/>
  <c r="AB475" i="3" a="1"/>
  <c r="AB475" i="3" s="1"/>
  <c r="R475" i="3" a="1"/>
  <c r="R475" i="3" s="1"/>
  <c r="H475" i="3" a="1"/>
  <c r="H475" i="3" s="1"/>
  <c r="W467" i="3" a="1"/>
  <c r="W467" i="3" s="1"/>
  <c r="K463" i="3" a="1"/>
  <c r="K463" i="3" s="1"/>
  <c r="U451" i="3" a="1"/>
  <c r="U451" i="3" s="1"/>
  <c r="AJ435" i="3" a="1"/>
  <c r="AJ435" i="3" s="1"/>
  <c r="AB435" i="3" a="1"/>
  <c r="AB435" i="3" s="1"/>
  <c r="T435" i="3" a="1"/>
  <c r="T435" i="3" s="1"/>
  <c r="K435" i="3" a="1"/>
  <c r="K435" i="3" s="1"/>
  <c r="Z287" i="3" a="1"/>
  <c r="Z287" i="3" s="1"/>
  <c r="S287" i="3" a="1"/>
  <c r="S287" i="3" s="1"/>
  <c r="L287" i="3" a="1"/>
  <c r="L287" i="3" s="1"/>
  <c r="J371" i="3" a="1"/>
  <c r="J371" i="3" s="1"/>
  <c r="Y339" i="3" a="1"/>
  <c r="Y339" i="3" s="1"/>
  <c r="D339" i="3" a="1"/>
  <c r="D339" i="3" s="1"/>
  <c r="Z311" i="3" a="1"/>
  <c r="Z311" i="3" s="1"/>
  <c r="M311" i="3" a="1"/>
  <c r="M311" i="3" s="1"/>
  <c r="AJ307" i="3" a="1"/>
  <c r="AJ307" i="3" s="1"/>
  <c r="E307" i="3" a="1"/>
  <c r="E307" i="3" s="1"/>
  <c r="D303" i="3" a="1"/>
  <c r="D303" i="3" s="1"/>
  <c r="AE299" i="3" a="1"/>
  <c r="AE299" i="3" s="1"/>
  <c r="S299" i="3" a="1"/>
  <c r="S299" i="3" s="1"/>
  <c r="G299" i="3" a="1"/>
  <c r="G299" i="3" s="1"/>
  <c r="AI291" i="3" a="1"/>
  <c r="AI291" i="3" s="1"/>
  <c r="Z291" i="3" a="1"/>
  <c r="Z291" i="3" s="1"/>
  <c r="Q291" i="3" a="1"/>
  <c r="Q291" i="3" s="1"/>
  <c r="H291" i="3" a="1"/>
  <c r="H291" i="3" s="1"/>
  <c r="AH431" i="3" a="1"/>
  <c r="AH431" i="3" s="1"/>
  <c r="P423" i="3" a="1"/>
  <c r="P423" i="3" s="1"/>
  <c r="AF419" i="3" a="1"/>
  <c r="AF419" i="3" s="1"/>
  <c r="S419" i="3" a="1"/>
  <c r="S419" i="3" s="1"/>
  <c r="AE411" i="3" a="1"/>
  <c r="AE411" i="3" s="1"/>
  <c r="T411" i="3" a="1"/>
  <c r="T411" i="3" s="1"/>
  <c r="AH403" i="3" a="1"/>
  <c r="AH403" i="3" s="1"/>
  <c r="W403" i="3" a="1"/>
  <c r="W403" i="3" s="1"/>
  <c r="M403" i="3" a="1"/>
  <c r="M403" i="3" s="1"/>
  <c r="U495" i="3" a="1"/>
  <c r="U495" i="3" s="1"/>
  <c r="F495" i="3" a="1"/>
  <c r="F495" i="3" s="1"/>
  <c r="AA475" i="3" a="1"/>
  <c r="AA475" i="3" s="1"/>
  <c r="Q475" i="3" a="1"/>
  <c r="Q475" i="3" s="1"/>
  <c r="S467" i="3" a="1"/>
  <c r="S467" i="3" s="1"/>
  <c r="C462" i="3" a="1"/>
  <c r="C462" i="3" s="1"/>
  <c r="Q451" i="3" a="1"/>
  <c r="Q451" i="3" s="1"/>
  <c r="AI435" i="3" a="1"/>
  <c r="AI435" i="3" s="1"/>
  <c r="AA435" i="3" a="1"/>
  <c r="AA435" i="3" s="1"/>
  <c r="J435" i="3" a="1"/>
  <c r="J435" i="3" s="1"/>
  <c r="Y291" i="3" a="1"/>
  <c r="Y291" i="3" s="1"/>
  <c r="P291" i="3" a="1"/>
  <c r="P291" i="3" s="1"/>
  <c r="G291" i="3" a="1"/>
  <c r="G291" i="3" s="1"/>
  <c r="G419" i="3" a="1"/>
  <c r="G419" i="3" s="1"/>
  <c r="AG403" i="3" a="1"/>
  <c r="AG403" i="3" s="1"/>
  <c r="V403" i="3" a="1"/>
  <c r="V403" i="3" s="1"/>
  <c r="L403" i="3" a="1"/>
  <c r="L403" i="3" s="1"/>
  <c r="E451" i="3" a="1"/>
  <c r="E451" i="3" s="1"/>
  <c r="Z435" i="3" a="1"/>
  <c r="Z435" i="3" s="1"/>
  <c r="S435" i="3" a="1"/>
  <c r="S435" i="3" s="1"/>
  <c r="AJ311" i="3" a="1"/>
  <c r="AJ311" i="3" s="1"/>
  <c r="V311" i="3" a="1"/>
  <c r="V311" i="3" s="1"/>
  <c r="AC299" i="3" a="1"/>
  <c r="AC299" i="3" s="1"/>
  <c r="Q299" i="3" a="1"/>
  <c r="Q299" i="3" s="1"/>
  <c r="E299" i="3" a="1"/>
  <c r="E299" i="3" s="1"/>
  <c r="AH291" i="3" a="1"/>
  <c r="AH291" i="3" s="1"/>
  <c r="O291" i="3" a="1"/>
  <c r="O291" i="3" s="1"/>
  <c r="F291" i="3" a="1"/>
  <c r="F291" i="3" s="1"/>
  <c r="AC431" i="3" a="1"/>
  <c r="AC431" i="3" s="1"/>
  <c r="D431" i="3" a="1"/>
  <c r="D431" i="3" s="1"/>
  <c r="N423" i="3" a="1"/>
  <c r="N423" i="3" s="1"/>
  <c r="AE419" i="3" a="1"/>
  <c r="AE419" i="3" s="1"/>
  <c r="R419" i="3" a="1"/>
  <c r="R419" i="3" s="1"/>
  <c r="F419" i="3" a="1"/>
  <c r="F419" i="3" s="1"/>
  <c r="AD411" i="3" a="1"/>
  <c r="AD411" i="3" s="1"/>
  <c r="R411" i="3" a="1"/>
  <c r="R411" i="3" s="1"/>
  <c r="F411" i="3" a="1"/>
  <c r="F411" i="3" s="1"/>
  <c r="AF403" i="3" a="1"/>
  <c r="AF403" i="3" s="1"/>
  <c r="U403" i="3" a="1"/>
  <c r="U403" i="3" s="1"/>
  <c r="AH435" i="3" a="1"/>
  <c r="AH435" i="3" s="1"/>
  <c r="R435" i="3" a="1"/>
  <c r="R435" i="3" s="1"/>
  <c r="I435" i="3" a="1"/>
  <c r="I435" i="3" s="1"/>
  <c r="AF287" i="3" a="1"/>
  <c r="AF287" i="3" s="1"/>
  <c r="X287" i="3" a="1"/>
  <c r="X287" i="3" s="1"/>
  <c r="J287" i="3" a="1"/>
  <c r="J287" i="3" s="1"/>
  <c r="AI371" i="3" a="1"/>
  <c r="AI371" i="3" s="1"/>
  <c r="C370" i="3" a="1"/>
  <c r="C370" i="3" s="1"/>
  <c r="AK339" i="3" a="1"/>
  <c r="AK339" i="3" s="1"/>
  <c r="T339" i="3" a="1"/>
  <c r="T339" i="3" s="1"/>
  <c r="AC327" i="3" a="1"/>
  <c r="AC327" i="3" s="1"/>
  <c r="AI311" i="3" a="1"/>
  <c r="AI311" i="3" s="1"/>
  <c r="U311" i="3" a="1"/>
  <c r="U311" i="3" s="1"/>
  <c r="K311" i="3" a="1"/>
  <c r="K311" i="3" s="1"/>
  <c r="AD307" i="3" a="1"/>
  <c r="AD307" i="3" s="1"/>
  <c r="AM303" i="3" a="1"/>
  <c r="AM303" i="3" s="1"/>
  <c r="AM299" i="3" a="1"/>
  <c r="AM299" i="3" s="1"/>
  <c r="AB299" i="3" a="1"/>
  <c r="AB299" i="3" s="1"/>
  <c r="P299" i="3" a="1"/>
  <c r="P299" i="3" s="1"/>
  <c r="C298" i="3" a="1"/>
  <c r="C298" i="3" s="1"/>
  <c r="AG291" i="3" a="1"/>
  <c r="AG291" i="3" s="1"/>
  <c r="X291" i="3" a="1"/>
  <c r="X291" i="3" s="1"/>
  <c r="E291" i="3" a="1"/>
  <c r="E291" i="3" s="1"/>
  <c r="AB419" i="3" a="1"/>
  <c r="AB419" i="3" s="1"/>
  <c r="Q419" i="3" a="1"/>
  <c r="Q419" i="3" s="1"/>
  <c r="E419" i="3" a="1"/>
  <c r="E419" i="3" s="1"/>
  <c r="AB411" i="3" a="1"/>
  <c r="AB411" i="3" s="1"/>
  <c r="Q411" i="3" a="1"/>
  <c r="Q411" i="3" s="1"/>
  <c r="E411" i="3" a="1"/>
  <c r="E411" i="3" s="1"/>
  <c r="AE403" i="3" a="1"/>
  <c r="AE403" i="3" s="1"/>
  <c r="T403" i="3" a="1"/>
  <c r="T403" i="3" s="1"/>
  <c r="K403" i="3" a="1"/>
  <c r="K403" i="3" s="1"/>
  <c r="S459" i="3" a="1"/>
  <c r="S459" i="3" s="1"/>
  <c r="Y435" i="3" a="1"/>
  <c r="Y435" i="3" s="1"/>
  <c r="H435" i="3" a="1"/>
  <c r="H435" i="3" s="1"/>
  <c r="Q287" i="3" a="1"/>
  <c r="Q287" i="3" s="1"/>
  <c r="AJ339" i="3" a="1"/>
  <c r="AJ339" i="3" s="1"/>
  <c r="P339" i="3" a="1"/>
  <c r="P339" i="3" s="1"/>
  <c r="Z327" i="3" a="1"/>
  <c r="Z327" i="3" s="1"/>
  <c r="AH311" i="3" a="1"/>
  <c r="AH311" i="3" s="1"/>
  <c r="H311" i="3" a="1"/>
  <c r="H311" i="3" s="1"/>
  <c r="AC307" i="3" a="1"/>
  <c r="AC307" i="3" s="1"/>
  <c r="AG303" i="3" a="1"/>
  <c r="AG303" i="3" s="1"/>
  <c r="AF291" i="3" a="1"/>
  <c r="AF291" i="3" s="1"/>
  <c r="N291" i="3" a="1"/>
  <c r="N291" i="3" s="1"/>
  <c r="Y431" i="3" a="1"/>
  <c r="Y431" i="3" s="1"/>
  <c r="AM419" i="3" a="1"/>
  <c r="AM419" i="3" s="1"/>
  <c r="Z419" i="3" a="1"/>
  <c r="Z419" i="3" s="1"/>
  <c r="P419" i="3" a="1"/>
  <c r="P419" i="3" s="1"/>
  <c r="D419" i="3" a="1"/>
  <c r="D419" i="3" s="1"/>
  <c r="AA411" i="3" a="1"/>
  <c r="AA411" i="3" s="1"/>
  <c r="P411" i="3" a="1"/>
  <c r="P411" i="3" s="1"/>
  <c r="D411" i="3" a="1"/>
  <c r="D411" i="3" s="1"/>
  <c r="AD403" i="3" a="1"/>
  <c r="AD403" i="3" s="1"/>
  <c r="S403" i="3" a="1"/>
  <c r="S403" i="3" s="1"/>
  <c r="J403" i="3" a="1"/>
  <c r="J403" i="3" s="1"/>
  <c r="AJ495" i="3" a="1"/>
  <c r="AJ495" i="3" s="1"/>
  <c r="AH475" i="3" a="1"/>
  <c r="AH475" i="3" s="1"/>
  <c r="N475" i="3" a="1"/>
  <c r="N475" i="3" s="1"/>
  <c r="E475" i="3" a="1"/>
  <c r="E475" i="3" s="1"/>
  <c r="AK463" i="3" a="1"/>
  <c r="AK463" i="3" s="1"/>
  <c r="Q459" i="3" a="1"/>
  <c r="Q459" i="3" s="1"/>
  <c r="AG435" i="3" a="1"/>
  <c r="AG435" i="3" s="1"/>
  <c r="Q435" i="3" a="1"/>
  <c r="Q435" i="3" s="1"/>
  <c r="P459" i="3" a="1"/>
  <c r="P459" i="3" s="1"/>
  <c r="X435" i="3" a="1"/>
  <c r="X435" i="3" s="1"/>
  <c r="P435" i="3" a="1"/>
  <c r="P435" i="3" s="1"/>
  <c r="G435" i="3" a="1"/>
  <c r="G435" i="3" s="1"/>
  <c r="AE291" i="3" a="1"/>
  <c r="AE291" i="3" s="1"/>
  <c r="V291" i="3" a="1"/>
  <c r="V291" i="3" s="1"/>
  <c r="L291" i="3" a="1"/>
  <c r="L291" i="3" s="1"/>
  <c r="AL403" i="3" a="1"/>
  <c r="AL403" i="3" s="1"/>
  <c r="AB403" i="3" a="1"/>
  <c r="AB403" i="3" s="1"/>
  <c r="Q403" i="3" a="1"/>
  <c r="Q403" i="3" s="1"/>
  <c r="H403" i="3" a="1"/>
  <c r="H403" i="3" s="1"/>
  <c r="AJ491" i="3" a="1"/>
  <c r="AJ491" i="3" s="1"/>
  <c r="AF435" i="3" a="1"/>
  <c r="AF435" i="3" s="1"/>
  <c r="W435" i="3" a="1"/>
  <c r="W435" i="3" s="1"/>
  <c r="O435" i="3" a="1"/>
  <c r="O435" i="3" s="1"/>
  <c r="F435" i="3" a="1"/>
  <c r="F435" i="3" s="1"/>
  <c r="W371" i="3" a="1"/>
  <c r="W371" i="3" s="1"/>
  <c r="AD339" i="3" a="1"/>
  <c r="AD339" i="3" s="1"/>
  <c r="L339" i="3" a="1"/>
  <c r="L339" i="3" s="1"/>
  <c r="G327" i="3" a="1"/>
  <c r="G327" i="3" s="1"/>
  <c r="AE311" i="3" a="1"/>
  <c r="AE311" i="3" s="1"/>
  <c r="Q311" i="3" a="1"/>
  <c r="Q311" i="3" s="1"/>
  <c r="D311" i="3" a="1"/>
  <c r="D311" i="3" s="1"/>
  <c r="T307" i="3" a="1"/>
  <c r="T307" i="3" s="1"/>
  <c r="S303" i="3" a="1"/>
  <c r="S303" i="3" s="1"/>
  <c r="AD291" i="3" a="1"/>
  <c r="AD291" i="3" s="1"/>
  <c r="U291" i="3" a="1"/>
  <c r="U291" i="3" s="1"/>
  <c r="AJ419" i="3" a="1"/>
  <c r="AJ419" i="3" s="1"/>
  <c r="X419" i="3" a="1"/>
  <c r="X419" i="3" s="1"/>
  <c r="K419" i="3" a="1"/>
  <c r="K419" i="3" s="1"/>
  <c r="AJ411" i="3" a="1"/>
  <c r="AJ411" i="3" s="1"/>
  <c r="M411" i="3" a="1"/>
  <c r="M411" i="3" s="1"/>
  <c r="AA403" i="3" a="1"/>
  <c r="AA403" i="3" s="1"/>
  <c r="G403" i="3" a="1"/>
  <c r="G403" i="3" s="1"/>
  <c r="AD463" i="3" a="1"/>
  <c r="AD463" i="3" s="1"/>
  <c r="AC455" i="3" a="1"/>
  <c r="AC455" i="3" s="1"/>
  <c r="AM435" i="3" a="1"/>
  <c r="AM435" i="3" s="1"/>
  <c r="AE435" i="3" a="1"/>
  <c r="AE435" i="3" s="1"/>
  <c r="N435" i="3" a="1"/>
  <c r="N435" i="3" s="1"/>
  <c r="AJ287" i="3" a="1"/>
  <c r="AJ287" i="3" s="1"/>
  <c r="AC287" i="3" a="1"/>
  <c r="AC287" i="3" s="1"/>
  <c r="N287" i="3" a="1"/>
  <c r="N287" i="3" s="1"/>
  <c r="V371" i="3" a="1"/>
  <c r="V371" i="3" s="1"/>
  <c r="AC339" i="3" a="1"/>
  <c r="AC339" i="3" s="1"/>
  <c r="P311" i="3" a="1"/>
  <c r="P311" i="3" s="1"/>
  <c r="C310" i="3" a="1"/>
  <c r="C310" i="3" s="1"/>
  <c r="Q303" i="3" a="1"/>
  <c r="Q303" i="3" s="1"/>
  <c r="AH299" i="3" a="1"/>
  <c r="AH299" i="3" s="1"/>
  <c r="W299" i="3" a="1"/>
  <c r="W299" i="3" s="1"/>
  <c r="K299" i="3" a="1"/>
  <c r="K299" i="3" s="1"/>
  <c r="AM291" i="3" a="1"/>
  <c r="AM291" i="3" s="1"/>
  <c r="AC291" i="3" a="1"/>
  <c r="AC291" i="3" s="1"/>
  <c r="T291" i="3" a="1"/>
  <c r="T291" i="3" s="1"/>
  <c r="K291" i="3" a="1"/>
  <c r="K291" i="3" s="1"/>
  <c r="Q431" i="3" a="1"/>
  <c r="Q431" i="3" s="1"/>
  <c r="AB423" i="3" a="1"/>
  <c r="AB423" i="3" s="1"/>
  <c r="V419" i="3" a="1"/>
  <c r="V419" i="3" s="1"/>
  <c r="J419" i="3" a="1"/>
  <c r="J419" i="3" s="1"/>
  <c r="AI411" i="3" a="1"/>
  <c r="AI411" i="3" s="1"/>
  <c r="X411" i="3" a="1"/>
  <c r="X411" i="3" s="1"/>
  <c r="L411" i="3" a="1"/>
  <c r="L411" i="3" s="1"/>
  <c r="AK403" i="3" a="1"/>
  <c r="AK403" i="3" s="1"/>
  <c r="P403" i="3" a="1"/>
  <c r="P403" i="3" s="1"/>
  <c r="AA495" i="3" a="1"/>
  <c r="AA495" i="3" s="1"/>
  <c r="J495" i="3" a="1"/>
  <c r="J495" i="3" s="1"/>
  <c r="AE475" i="3" a="1"/>
  <c r="AE475" i="3" s="1"/>
  <c r="T475" i="3" a="1"/>
  <c r="T475" i="3" s="1"/>
  <c r="J475" i="3" a="1"/>
  <c r="J475" i="3" s="1"/>
  <c r="X463" i="3" a="1"/>
  <c r="X463" i="3" s="1"/>
  <c r="AL435" i="3" a="1"/>
  <c r="AL435" i="3" s="1"/>
  <c r="AD435" i="3" a="1"/>
  <c r="AD435" i="3" s="1"/>
  <c r="V435" i="3" a="1"/>
  <c r="V435" i="3" s="1"/>
  <c r="M435" i="3" a="1"/>
  <c r="M435" i="3" s="1"/>
  <c r="E435" i="3" a="1"/>
  <c r="E435" i="3" s="1"/>
  <c r="Z403" i="3" a="1"/>
  <c r="Z403" i="3" s="1"/>
  <c r="O403" i="3" a="1"/>
  <c r="O403" i="3" s="1"/>
  <c r="F403" i="3" a="1"/>
  <c r="F403" i="3" s="1"/>
  <c r="U435" i="3" a="1"/>
  <c r="U435" i="3" s="1"/>
  <c r="T287" i="3" a="1"/>
  <c r="T287" i="3" s="1"/>
  <c r="M287" i="3" a="1"/>
  <c r="M287" i="3" s="1"/>
  <c r="F287" i="3" a="1"/>
  <c r="F287" i="3" s="1"/>
  <c r="K371" i="3" a="1"/>
  <c r="K371" i="3" s="1"/>
  <c r="G339" i="3" a="1"/>
  <c r="G339" i="3" s="1"/>
  <c r="W323" i="3" a="1"/>
  <c r="W323" i="3" s="1"/>
  <c r="AB311" i="3" a="1"/>
  <c r="AB311" i="3" s="1"/>
  <c r="AM307" i="3" a="1"/>
  <c r="AM307" i="3" s="1"/>
  <c r="AG299" i="3" a="1"/>
  <c r="AG299" i="3" s="1"/>
  <c r="U299" i="3" a="1"/>
  <c r="U299" i="3" s="1"/>
  <c r="I299" i="3" a="1"/>
  <c r="I299" i="3" s="1"/>
  <c r="AK291" i="3" a="1"/>
  <c r="AK291" i="3" s="1"/>
  <c r="R291" i="3" a="1"/>
  <c r="R291" i="3" s="1"/>
  <c r="AI431" i="3" a="1"/>
  <c r="AI431" i="3" s="1"/>
  <c r="H431" i="3" a="1"/>
  <c r="H431" i="3" s="1"/>
  <c r="R423" i="3" a="1"/>
  <c r="R423" i="3" s="1"/>
  <c r="AH419" i="3" a="1"/>
  <c r="AH419" i="3" s="1"/>
  <c r="I419" i="3" a="1"/>
  <c r="I419" i="3" s="1"/>
  <c r="AJ415" i="3" a="1"/>
  <c r="AJ415" i="3" s="1"/>
  <c r="V415" i="3" a="1"/>
  <c r="V415" i="3" s="1"/>
  <c r="I415" i="3" a="1"/>
  <c r="I415" i="3" s="1"/>
  <c r="AG411" i="3" a="1"/>
  <c r="AG411" i="3" s="1"/>
  <c r="V411" i="3" a="1"/>
  <c r="V411" i="3" s="1"/>
  <c r="J407" i="3" a="1"/>
  <c r="J407" i="3" s="1"/>
  <c r="AJ403" i="3" a="1"/>
  <c r="AJ403" i="3" s="1"/>
  <c r="Y403" i="3" a="1"/>
  <c r="Y403" i="3" s="1"/>
  <c r="N403" i="3" a="1"/>
  <c r="N403" i="3" s="1"/>
  <c r="E403" i="3" a="1"/>
  <c r="E403" i="3" s="1"/>
  <c r="V495" i="3" a="1"/>
  <c r="V495" i="3" s="1"/>
  <c r="AC475" i="3" a="1"/>
  <c r="AC475" i="3" s="1"/>
  <c r="S475" i="3" a="1"/>
  <c r="S475" i="3" s="1"/>
  <c r="I475" i="3" a="1"/>
  <c r="I475" i="3" s="1"/>
  <c r="L463" i="3" a="1"/>
  <c r="L463" i="3" s="1"/>
  <c r="AA451" i="3" a="1"/>
  <c r="AA451" i="3" s="1"/>
  <c r="AK435" i="3" a="1"/>
  <c r="AK435" i="3" s="1"/>
  <c r="AC435" i="3" a="1"/>
  <c r="AC435" i="3" s="1"/>
  <c r="L435" i="3" a="1"/>
  <c r="L435" i="3" s="1"/>
  <c r="E499" i="3" a="1"/>
  <c r="E499" i="3" s="1"/>
  <c r="AL499" i="3" a="1"/>
  <c r="AL499" i="3" s="1"/>
  <c r="AA499" i="3" a="1"/>
  <c r="AA499" i="3" s="1"/>
  <c r="P499" i="3" a="1"/>
  <c r="P499" i="3" s="1"/>
  <c r="U487" i="3" a="1"/>
  <c r="U487" i="3" s="1"/>
  <c r="K487" i="3" a="1"/>
  <c r="K487" i="3" s="1"/>
  <c r="AF487" i="3" a="1"/>
  <c r="AF487" i="3" s="1"/>
  <c r="V487" i="3" a="1"/>
  <c r="V487" i="3" s="1"/>
  <c r="L487" i="3" a="1"/>
  <c r="L487" i="3" s="1"/>
  <c r="AG487" i="3" a="1"/>
  <c r="AG487" i="3" s="1"/>
  <c r="W487" i="3" a="1"/>
  <c r="W487" i="3" s="1"/>
  <c r="AH487" i="3" a="1"/>
  <c r="AH487" i="3" s="1"/>
  <c r="M487" i="3" a="1"/>
  <c r="M487" i="3" s="1"/>
  <c r="X487" i="3" a="1"/>
  <c r="X487" i="3" s="1"/>
  <c r="N487" i="3" a="1"/>
  <c r="N487" i="3" s="1"/>
  <c r="AI487" i="3" a="1"/>
  <c r="AI487" i="3" s="1"/>
  <c r="D487" i="3" a="1"/>
  <c r="D487" i="3" s="1"/>
  <c r="Y487" i="3" a="1"/>
  <c r="Y487" i="3" s="1"/>
  <c r="O487" i="3" a="1"/>
  <c r="O487" i="3" s="1"/>
  <c r="AJ487" i="3" a="1"/>
  <c r="AJ487" i="3" s="1"/>
  <c r="E487" i="3" a="1"/>
  <c r="E487" i="3" s="1"/>
  <c r="Z487" i="3" a="1"/>
  <c r="Z487" i="3" s="1"/>
  <c r="P487" i="3" a="1"/>
  <c r="P487" i="3" s="1"/>
  <c r="AK487" i="3" a="1"/>
  <c r="AK487" i="3" s="1"/>
  <c r="Q487" i="3" a="1"/>
  <c r="Q487" i="3" s="1"/>
  <c r="AL487" i="3" a="1"/>
  <c r="AL487" i="3" s="1"/>
  <c r="G487" i="3" a="1"/>
  <c r="G487" i="3" s="1"/>
  <c r="AB487" i="3" a="1"/>
  <c r="AB487" i="3" s="1"/>
  <c r="R487" i="3" a="1"/>
  <c r="R487" i="3" s="1"/>
  <c r="AM487" i="3" a="1"/>
  <c r="AM487" i="3" s="1"/>
  <c r="H487" i="3" a="1"/>
  <c r="H487" i="3" s="1"/>
  <c r="AC487" i="3" a="1"/>
  <c r="AC487" i="3" s="1"/>
  <c r="S487" i="3" a="1"/>
  <c r="S487" i="3" s="1"/>
  <c r="I487" i="3" a="1"/>
  <c r="I487" i="3" s="1"/>
  <c r="AD487" i="3" a="1"/>
  <c r="AD487" i="3" s="1"/>
  <c r="T487" i="3" a="1"/>
  <c r="T487" i="3" s="1"/>
  <c r="J487" i="3" a="1"/>
  <c r="J487" i="3" s="1"/>
  <c r="AE487" i="3" a="1"/>
  <c r="AE487" i="3" s="1"/>
  <c r="AJ499" i="3" a="1"/>
  <c r="AJ499" i="3" s="1"/>
  <c r="AF495" i="3" a="1"/>
  <c r="AF495" i="3" s="1"/>
  <c r="R491" i="3" a="1"/>
  <c r="R491" i="3" s="1"/>
  <c r="AI499" i="3" a="1"/>
  <c r="AI499" i="3" s="1"/>
  <c r="X499" i="3" a="1"/>
  <c r="X499" i="3" s="1"/>
  <c r="M499" i="3" a="1"/>
  <c r="M499" i="3" s="1"/>
  <c r="Q495" i="3" a="1"/>
  <c r="Q495" i="3" s="1"/>
  <c r="I479" i="3" a="1"/>
  <c r="I479" i="3" s="1"/>
  <c r="AI479" i="3" a="1"/>
  <c r="AI479" i="3" s="1"/>
  <c r="N479" i="3" a="1"/>
  <c r="N479" i="3" s="1"/>
  <c r="Y479" i="3" a="1"/>
  <c r="Y479" i="3" s="1"/>
  <c r="AJ479" i="3" a="1"/>
  <c r="AJ479" i="3" s="1"/>
  <c r="D479" i="3" a="1"/>
  <c r="D479" i="3" s="1"/>
  <c r="O479" i="3" a="1"/>
  <c r="O479" i="3" s="1"/>
  <c r="Z479" i="3" a="1"/>
  <c r="Z479" i="3" s="1"/>
  <c r="AK479" i="3" a="1"/>
  <c r="AK479" i="3" s="1"/>
  <c r="E479" i="3" a="1"/>
  <c r="E479" i="3" s="1"/>
  <c r="P479" i="3" a="1"/>
  <c r="P479" i="3" s="1"/>
  <c r="AA479" i="3" a="1"/>
  <c r="AA479" i="3" s="1"/>
  <c r="Q479" i="3" a="1"/>
  <c r="Q479" i="3" s="1"/>
  <c r="AL479" i="3" a="1"/>
  <c r="AL479" i="3" s="1"/>
  <c r="F479" i="3" a="1"/>
  <c r="F479" i="3" s="1"/>
  <c r="AB479" i="3" a="1"/>
  <c r="AB479" i="3" s="1"/>
  <c r="G479" i="3" a="1"/>
  <c r="G479" i="3" s="1"/>
  <c r="R479" i="3" a="1"/>
  <c r="R479" i="3" s="1"/>
  <c r="AM479" i="3" a="1"/>
  <c r="AM479" i="3" s="1"/>
  <c r="C478" i="3" a="1"/>
  <c r="C478" i="3" s="1"/>
  <c r="AC479" i="3" a="1"/>
  <c r="AC479" i="3" s="1"/>
  <c r="H479" i="3" a="1"/>
  <c r="H479" i="3" s="1"/>
  <c r="S479" i="3" a="1"/>
  <c r="S479" i="3" s="1"/>
  <c r="AD479" i="3" a="1"/>
  <c r="AD479" i="3" s="1"/>
  <c r="T479" i="3" a="1"/>
  <c r="T479" i="3" s="1"/>
  <c r="AE479" i="3" a="1"/>
  <c r="AE479" i="3" s="1"/>
  <c r="J479" i="3" a="1"/>
  <c r="J479" i="3" s="1"/>
  <c r="U479" i="3" a="1"/>
  <c r="U479" i="3" s="1"/>
  <c r="AF479" i="3" a="1"/>
  <c r="AF479" i="3" s="1"/>
  <c r="K479" i="3" a="1"/>
  <c r="K479" i="3" s="1"/>
  <c r="V479" i="3" a="1"/>
  <c r="V479" i="3" s="1"/>
  <c r="AG479" i="3" a="1"/>
  <c r="AG479" i="3" s="1"/>
  <c r="L479" i="3" a="1"/>
  <c r="L479" i="3" s="1"/>
  <c r="W479" i="3" a="1"/>
  <c r="W479" i="3" s="1"/>
  <c r="AH479" i="3" a="1"/>
  <c r="AH479" i="3" s="1"/>
  <c r="M479" i="3" a="1"/>
  <c r="M479" i="3" s="1"/>
  <c r="X479" i="3" a="1"/>
  <c r="X479" i="3" s="1"/>
  <c r="AB495" i="3" a="1"/>
  <c r="AB495" i="3" s="1"/>
  <c r="J499" i="3" a="1"/>
  <c r="J499" i="3" s="1"/>
  <c r="T499" i="3" a="1"/>
  <c r="T499" i="3" s="1"/>
  <c r="I499" i="3" a="1"/>
  <c r="I499" i="3" s="1"/>
  <c r="M495" i="3" a="1"/>
  <c r="M495" i="3" s="1"/>
  <c r="W495" i="3" a="1"/>
  <c r="W495" i="3" s="1"/>
  <c r="AG495" i="3" a="1"/>
  <c r="AG495" i="3" s="1"/>
  <c r="D495" i="3" a="1"/>
  <c r="D495" i="3" s="1"/>
  <c r="N495" i="3" a="1"/>
  <c r="N495" i="3" s="1"/>
  <c r="X495" i="3" a="1"/>
  <c r="X495" i="3" s="1"/>
  <c r="AH495" i="3" a="1"/>
  <c r="AH495" i="3" s="1"/>
  <c r="I495" i="3" a="1"/>
  <c r="I495" i="3" s="1"/>
  <c r="S495" i="3" a="1"/>
  <c r="S495" i="3" s="1"/>
  <c r="AC495" i="3" a="1"/>
  <c r="AC495" i="3" s="1"/>
  <c r="AM495" i="3" a="1"/>
  <c r="AM495" i="3" s="1"/>
  <c r="I491" i="3" a="1"/>
  <c r="I491" i="3" s="1"/>
  <c r="S491" i="3" a="1"/>
  <c r="S491" i="3" s="1"/>
  <c r="AC491" i="3" a="1"/>
  <c r="AC491" i="3" s="1"/>
  <c r="AM491" i="3" a="1"/>
  <c r="AM491" i="3" s="1"/>
  <c r="J491" i="3" a="1"/>
  <c r="J491" i="3" s="1"/>
  <c r="T491" i="3" a="1"/>
  <c r="T491" i="3" s="1"/>
  <c r="AD491" i="3" a="1"/>
  <c r="AD491" i="3" s="1"/>
  <c r="K491" i="3" a="1"/>
  <c r="K491" i="3" s="1"/>
  <c r="U491" i="3" a="1"/>
  <c r="U491" i="3" s="1"/>
  <c r="AE491" i="3" a="1"/>
  <c r="AE491" i="3" s="1"/>
  <c r="L491" i="3" a="1"/>
  <c r="L491" i="3" s="1"/>
  <c r="V491" i="3" a="1"/>
  <c r="V491" i="3" s="1"/>
  <c r="AF491" i="3" a="1"/>
  <c r="AF491" i="3" s="1"/>
  <c r="M491" i="3" a="1"/>
  <c r="M491" i="3" s="1"/>
  <c r="W491" i="3" a="1"/>
  <c r="W491" i="3" s="1"/>
  <c r="AG491" i="3" a="1"/>
  <c r="AG491" i="3" s="1"/>
  <c r="N491" i="3" a="1"/>
  <c r="N491" i="3" s="1"/>
  <c r="X491" i="3" a="1"/>
  <c r="X491" i="3" s="1"/>
  <c r="AH491" i="3" a="1"/>
  <c r="AH491" i="3" s="1"/>
  <c r="O491" i="3" a="1"/>
  <c r="O491" i="3" s="1"/>
  <c r="Y491" i="3" a="1"/>
  <c r="Y491" i="3" s="1"/>
  <c r="AI491" i="3" a="1"/>
  <c r="AI491" i="3" s="1"/>
  <c r="C490" i="3" a="1"/>
  <c r="C490" i="3" s="1"/>
  <c r="G491" i="3" a="1"/>
  <c r="G491" i="3" s="1"/>
  <c r="Q491" i="3" a="1"/>
  <c r="Q491" i="3" s="1"/>
  <c r="AA491" i="3" a="1"/>
  <c r="AA491" i="3" s="1"/>
  <c r="AK491" i="3" a="1"/>
  <c r="AK491" i="3" s="1"/>
  <c r="H491" i="3" a="1"/>
  <c r="H491" i="3" s="1"/>
  <c r="AE499" i="3" a="1"/>
  <c r="AE499" i="3" s="1"/>
  <c r="AD499" i="3" a="1"/>
  <c r="AD499" i="3" s="1"/>
  <c r="S499" i="3" a="1"/>
  <c r="S499" i="3" s="1"/>
  <c r="H499" i="3" a="1"/>
  <c r="H499" i="3" s="1"/>
  <c r="K495" i="3" a="1"/>
  <c r="K495" i="3" s="1"/>
  <c r="F491" i="3" a="1"/>
  <c r="F491" i="3" s="1"/>
  <c r="AL495" i="3" a="1"/>
  <c r="AL495" i="3" s="1"/>
  <c r="Y495" i="3" a="1"/>
  <c r="Y495" i="3" s="1"/>
  <c r="AB491" i="3" a="1"/>
  <c r="AB491" i="3" s="1"/>
  <c r="E491" i="3" a="1"/>
  <c r="E491" i="3" s="1"/>
  <c r="Z491" i="3" a="1"/>
  <c r="Z491" i="3" s="1"/>
  <c r="D491" i="3" a="1"/>
  <c r="D491" i="3" s="1"/>
  <c r="AA487" i="3" a="1"/>
  <c r="AA487" i="3" s="1"/>
  <c r="F487" i="3" a="1"/>
  <c r="F487" i="3" s="1"/>
  <c r="I471" i="3" a="1"/>
  <c r="I471" i="3" s="1"/>
  <c r="S471" i="3" a="1"/>
  <c r="S471" i="3" s="1"/>
  <c r="AC471" i="3" a="1"/>
  <c r="AC471" i="3" s="1"/>
  <c r="AM471" i="3" a="1"/>
  <c r="AM471" i="3" s="1"/>
  <c r="T471" i="3" a="1"/>
  <c r="T471" i="3" s="1"/>
  <c r="AE471" i="3" a="1"/>
  <c r="AE471" i="3" s="1"/>
  <c r="J471" i="3" a="1"/>
  <c r="J471" i="3" s="1"/>
  <c r="U471" i="3" a="1"/>
  <c r="U471" i="3" s="1"/>
  <c r="AF471" i="3" a="1"/>
  <c r="AF471" i="3" s="1"/>
  <c r="C470" i="3" a="1"/>
  <c r="C470" i="3" s="1"/>
  <c r="G471" i="3" a="1"/>
  <c r="G471" i="3" s="1"/>
  <c r="R471" i="3" a="1"/>
  <c r="R471" i="3" s="1"/>
  <c r="AG471" i="3" a="1"/>
  <c r="AG471" i="3" s="1"/>
  <c r="P471" i="3" a="1"/>
  <c r="P471" i="3" s="1"/>
  <c r="AF483" i="3" a="1"/>
  <c r="AF483" i="3" s="1"/>
  <c r="U483" i="3" a="1"/>
  <c r="U483" i="3" s="1"/>
  <c r="AD471" i="3" a="1"/>
  <c r="AD471" i="3" s="1"/>
  <c r="O471" i="3" a="1"/>
  <c r="O471" i="3" s="1"/>
  <c r="T483" i="3" a="1"/>
  <c r="T483" i="3" s="1"/>
  <c r="N471" i="3" a="1"/>
  <c r="N471" i="3" s="1"/>
  <c r="D467" i="3" a="1"/>
  <c r="D467" i="3" s="1"/>
  <c r="N467" i="3" a="1"/>
  <c r="N467" i="3" s="1"/>
  <c r="X467" i="3" a="1"/>
  <c r="X467" i="3" s="1"/>
  <c r="AH467" i="3" a="1"/>
  <c r="AH467" i="3" s="1"/>
  <c r="E467" i="3" a="1"/>
  <c r="E467" i="3" s="1"/>
  <c r="O467" i="3" a="1"/>
  <c r="O467" i="3" s="1"/>
  <c r="Y467" i="3" a="1"/>
  <c r="Y467" i="3" s="1"/>
  <c r="AI467" i="3" a="1"/>
  <c r="AI467" i="3" s="1"/>
  <c r="C466" i="3" a="1"/>
  <c r="C466" i="3" s="1"/>
  <c r="F467" i="3" a="1"/>
  <c r="F467" i="3" s="1"/>
  <c r="P467" i="3" a="1"/>
  <c r="P467" i="3" s="1"/>
  <c r="Z467" i="3" a="1"/>
  <c r="Z467" i="3" s="1"/>
  <c r="AJ467" i="3" a="1"/>
  <c r="AJ467" i="3" s="1"/>
  <c r="G467" i="3" a="1"/>
  <c r="G467" i="3" s="1"/>
  <c r="Q467" i="3" a="1"/>
  <c r="Q467" i="3" s="1"/>
  <c r="AA467" i="3" a="1"/>
  <c r="AA467" i="3" s="1"/>
  <c r="AK467" i="3" a="1"/>
  <c r="AK467" i="3" s="1"/>
  <c r="H467" i="3" a="1"/>
  <c r="H467" i="3" s="1"/>
  <c r="R467" i="3" a="1"/>
  <c r="R467" i="3" s="1"/>
  <c r="AB467" i="3" a="1"/>
  <c r="AB467" i="3" s="1"/>
  <c r="AL467" i="3" a="1"/>
  <c r="AL467" i="3" s="1"/>
  <c r="L467" i="3" a="1"/>
  <c r="L467" i="3" s="1"/>
  <c r="V467" i="3" a="1"/>
  <c r="V467" i="3" s="1"/>
  <c r="AF467" i="3" a="1"/>
  <c r="AF467" i="3" s="1"/>
  <c r="M467" i="3" a="1"/>
  <c r="M467" i="3" s="1"/>
  <c r="AC467" i="3" a="1"/>
  <c r="AC467" i="3" s="1"/>
  <c r="AD467" i="3" a="1"/>
  <c r="AD467" i="3" s="1"/>
  <c r="AE467" i="3" a="1"/>
  <c r="AE467" i="3" s="1"/>
  <c r="AG467" i="3" a="1"/>
  <c r="AG467" i="3" s="1"/>
  <c r="T467" i="3" a="1"/>
  <c r="T467" i="3" s="1"/>
  <c r="U467" i="3" a="1"/>
  <c r="U467" i="3" s="1"/>
  <c r="K467" i="3" a="1"/>
  <c r="K467" i="3" s="1"/>
  <c r="AD483" i="3" a="1"/>
  <c r="AD483" i="3" s="1"/>
  <c r="I483" i="3" a="1"/>
  <c r="I483" i="3" s="1"/>
  <c r="AB471" i="3" a="1"/>
  <c r="AB471" i="3" s="1"/>
  <c r="M471" i="3" a="1"/>
  <c r="M471" i="3" s="1"/>
  <c r="S483" i="3" a="1"/>
  <c r="S483" i="3" s="1"/>
  <c r="L471" i="3" a="1"/>
  <c r="L471" i="3" s="1"/>
  <c r="AC483" i="3" a="1"/>
  <c r="AC483" i="3" s="1"/>
  <c r="H483" i="3" a="1"/>
  <c r="H483" i="3" s="1"/>
  <c r="AA471" i="3" a="1"/>
  <c r="AA471" i="3" s="1"/>
  <c r="K471" i="3" a="1"/>
  <c r="K471" i="3" s="1"/>
  <c r="Z471" i="3" a="1"/>
  <c r="Z471" i="3" s="1"/>
  <c r="Y471" i="3" a="1"/>
  <c r="Y471" i="3" s="1"/>
  <c r="H471" i="3" a="1"/>
  <c r="H471" i="3" s="1"/>
  <c r="J467" i="3" a="1"/>
  <c r="J467" i="3" s="1"/>
  <c r="AA483" i="3" a="1"/>
  <c r="AA483" i="3" s="1"/>
  <c r="F483" i="3" a="1"/>
  <c r="F483" i="3" s="1"/>
  <c r="C482" i="3" a="1"/>
  <c r="C482" i="3" s="1"/>
  <c r="X471" i="3" a="1"/>
  <c r="X471" i="3" s="1"/>
  <c r="Z483" i="3" a="1"/>
  <c r="Z483" i="3" s="1"/>
  <c r="E483" i="3" a="1"/>
  <c r="E483" i="3" s="1"/>
  <c r="AL471" i="3" a="1"/>
  <c r="AL471" i="3" s="1"/>
  <c r="W471" i="3" a="1"/>
  <c r="W471" i="3" s="1"/>
  <c r="F471" i="3" a="1"/>
  <c r="F471" i="3" s="1"/>
  <c r="AJ483" i="3" a="1"/>
  <c r="AJ483" i="3" s="1"/>
  <c r="O483" i="3" a="1"/>
  <c r="O483" i="3" s="1"/>
  <c r="V471" i="3" a="1"/>
  <c r="V471" i="3" s="1"/>
  <c r="Y483" i="3" a="1"/>
  <c r="Y483" i="3" s="1"/>
  <c r="D483" i="3" a="1"/>
  <c r="D483" i="3" s="1"/>
  <c r="AK471" i="3" a="1"/>
  <c r="AK471" i="3" s="1"/>
  <c r="E471" i="3" a="1"/>
  <c r="E471" i="3" s="1"/>
  <c r="AI483" i="3" a="1"/>
  <c r="AI483" i="3" s="1"/>
  <c r="N483" i="3" a="1"/>
  <c r="N483" i="3" s="1"/>
  <c r="AJ471" i="3" a="1"/>
  <c r="AJ471" i="3" s="1"/>
  <c r="X483" i="3" a="1"/>
  <c r="X483" i="3" s="1"/>
  <c r="AI471" i="3" a="1"/>
  <c r="AI471" i="3" s="1"/>
  <c r="D471" i="3" a="1"/>
  <c r="D471" i="3" s="1"/>
  <c r="AH471" i="3" a="1"/>
  <c r="AH471" i="3" s="1"/>
  <c r="Q471" i="3" a="1"/>
  <c r="Q471" i="3" s="1"/>
  <c r="Z463" i="3" a="1"/>
  <c r="Z463" i="3" s="1"/>
  <c r="Y463" i="3" a="1"/>
  <c r="Y463" i="3" s="1"/>
  <c r="V463" i="3" a="1"/>
  <c r="V463" i="3" s="1"/>
  <c r="G459" i="3" a="1"/>
  <c r="G459" i="3" s="1"/>
  <c r="S463" i="3" a="1"/>
  <c r="S463" i="3" s="1"/>
  <c r="O463" i="3" a="1"/>
  <c r="O463" i="3" s="1"/>
  <c r="N463" i="3" a="1"/>
  <c r="N463" i="3" s="1"/>
  <c r="H463" i="3" a="1"/>
  <c r="H463" i="3" s="1"/>
  <c r="R463" i="3" a="1"/>
  <c r="R463" i="3" s="1"/>
  <c r="AB463" i="3" a="1"/>
  <c r="AB463" i="3" s="1"/>
  <c r="AL463" i="3" a="1"/>
  <c r="AL463" i="3" s="1"/>
  <c r="E463" i="3" a="1"/>
  <c r="E463" i="3" s="1"/>
  <c r="P463" i="3" a="1"/>
  <c r="P463" i="3" s="1"/>
  <c r="AA463" i="3" a="1"/>
  <c r="AA463" i="3" s="1"/>
  <c r="AM463" i="3" a="1"/>
  <c r="AM463" i="3" s="1"/>
  <c r="F463" i="3" a="1"/>
  <c r="F463" i="3" s="1"/>
  <c r="Q463" i="3" a="1"/>
  <c r="Q463" i="3" s="1"/>
  <c r="AC463" i="3" a="1"/>
  <c r="AC463" i="3" s="1"/>
  <c r="I463" i="3" a="1"/>
  <c r="I463" i="3" s="1"/>
  <c r="T463" i="3" a="1"/>
  <c r="T463" i="3" s="1"/>
  <c r="AE463" i="3" a="1"/>
  <c r="AE463" i="3" s="1"/>
  <c r="J463" i="3" a="1"/>
  <c r="J463" i="3" s="1"/>
  <c r="U463" i="3" a="1"/>
  <c r="U463" i="3" s="1"/>
  <c r="AF463" i="3" a="1"/>
  <c r="AF463" i="3" s="1"/>
  <c r="V475" i="3" a="1"/>
  <c r="V475" i="3" s="1"/>
  <c r="AH463" i="3" a="1"/>
  <c r="AH463" i="3" s="1"/>
  <c r="G463" i="3" a="1"/>
  <c r="G463" i="3" s="1"/>
  <c r="O459" i="3" a="1"/>
  <c r="O459" i="3" s="1"/>
  <c r="AL459" i="3" a="1"/>
  <c r="AL459" i="3" s="1"/>
  <c r="D459" i="3" a="1"/>
  <c r="D459" i="3" s="1"/>
  <c r="AA459" i="3" a="1"/>
  <c r="AA459" i="3" s="1"/>
  <c r="AM459" i="3" a="1"/>
  <c r="AM459" i="3" s="1"/>
  <c r="U459" i="3" a="1"/>
  <c r="U459" i="3" s="1"/>
  <c r="AH459" i="3" a="1"/>
  <c r="AH459" i="3" s="1"/>
  <c r="H459" i="3" a="1"/>
  <c r="H459" i="3" s="1"/>
  <c r="I459" i="3" a="1"/>
  <c r="I459" i="3" s="1"/>
  <c r="V459" i="3" a="1"/>
  <c r="V459" i="3" s="1"/>
  <c r="AI459" i="3" a="1"/>
  <c r="AI459" i="3" s="1"/>
  <c r="J459" i="3" a="1"/>
  <c r="J459" i="3" s="1"/>
  <c r="W459" i="3" a="1"/>
  <c r="W459" i="3" s="1"/>
  <c r="AJ459" i="3" a="1"/>
  <c r="AJ459" i="3" s="1"/>
  <c r="C458" i="3" a="1"/>
  <c r="C458" i="3" s="1"/>
  <c r="K459" i="3" a="1"/>
  <c r="K459" i="3" s="1"/>
  <c r="X459" i="3" a="1"/>
  <c r="X459" i="3" s="1"/>
  <c r="AK459" i="3" a="1"/>
  <c r="AK459" i="3" s="1"/>
  <c r="L459" i="3" a="1"/>
  <c r="L459" i="3" s="1"/>
  <c r="Y459" i="3" a="1"/>
  <c r="Y459" i="3" s="1"/>
  <c r="M459" i="3" a="1"/>
  <c r="M459" i="3" s="1"/>
  <c r="Z459" i="3" a="1"/>
  <c r="Z459" i="3" s="1"/>
  <c r="N459" i="3" a="1"/>
  <c r="N459" i="3" s="1"/>
  <c r="AB459" i="3" a="1"/>
  <c r="AB459" i="3" s="1"/>
  <c r="E459" i="3" a="1"/>
  <c r="E459" i="3" s="1"/>
  <c r="AE459" i="3" a="1"/>
  <c r="AE459" i="3" s="1"/>
  <c r="R459" i="3" a="1"/>
  <c r="R459" i="3" s="1"/>
  <c r="AG463" i="3" a="1"/>
  <c r="AG463" i="3" s="1"/>
  <c r="D463" i="3" a="1"/>
  <c r="D463" i="3" s="1"/>
  <c r="AG459" i="3" a="1"/>
  <c r="AG459" i="3" s="1"/>
  <c r="AF459" i="3" a="1"/>
  <c r="AF459" i="3" s="1"/>
  <c r="AD459" i="3" a="1"/>
  <c r="AD459" i="3" s="1"/>
  <c r="AC459" i="3" a="1"/>
  <c r="AC459" i="3" s="1"/>
  <c r="Y455" i="3" a="1"/>
  <c r="Y455" i="3" s="1"/>
  <c r="AK455" i="3" a="1"/>
  <c r="AK455" i="3" s="1"/>
  <c r="N455" i="3" a="1"/>
  <c r="N455" i="3" s="1"/>
  <c r="G455" i="3" a="1"/>
  <c r="G455" i="3" s="1"/>
  <c r="S455" i="3" a="1"/>
  <c r="S455" i="3" s="1"/>
  <c r="P455" i="3" a="1"/>
  <c r="P455" i="3" s="1"/>
  <c r="AD455" i="3" a="1"/>
  <c r="AD455" i="3" s="1"/>
  <c r="Q455" i="3" a="1"/>
  <c r="Q455" i="3" s="1"/>
  <c r="AE455" i="3" a="1"/>
  <c r="AE455" i="3" s="1"/>
  <c r="D455" i="3" a="1"/>
  <c r="D455" i="3" s="1"/>
  <c r="AF455" i="3" a="1"/>
  <c r="AF455" i="3" s="1"/>
  <c r="R455" i="3" a="1"/>
  <c r="R455" i="3" s="1"/>
  <c r="E455" i="3" a="1"/>
  <c r="E455" i="3" s="1"/>
  <c r="AG455" i="3" a="1"/>
  <c r="AG455" i="3" s="1"/>
  <c r="T455" i="3" a="1"/>
  <c r="T455" i="3" s="1"/>
  <c r="F455" i="3" a="1"/>
  <c r="F455" i="3" s="1"/>
  <c r="AH455" i="3" a="1"/>
  <c r="AH455" i="3" s="1"/>
  <c r="U455" i="3" a="1"/>
  <c r="U455" i="3" s="1"/>
  <c r="H455" i="3" a="1"/>
  <c r="H455" i="3" s="1"/>
  <c r="V455" i="3" a="1"/>
  <c r="V455" i="3" s="1"/>
  <c r="AI455" i="3" a="1"/>
  <c r="AI455" i="3" s="1"/>
  <c r="I455" i="3" a="1"/>
  <c r="I455" i="3" s="1"/>
  <c r="W455" i="3" a="1"/>
  <c r="W455" i="3" s="1"/>
  <c r="AJ455" i="3" a="1"/>
  <c r="AJ455" i="3" s="1"/>
  <c r="J455" i="3" a="1"/>
  <c r="J455" i="3" s="1"/>
  <c r="AL455" i="3" a="1"/>
  <c r="AL455" i="3" s="1"/>
  <c r="X455" i="3" a="1"/>
  <c r="X455" i="3" s="1"/>
  <c r="AM455" i="3" a="1"/>
  <c r="AM455" i="3" s="1"/>
  <c r="K455" i="3" a="1"/>
  <c r="K455" i="3" s="1"/>
  <c r="L455" i="3" a="1"/>
  <c r="L455" i="3" s="1"/>
  <c r="Z455" i="3" a="1"/>
  <c r="Z455" i="3" s="1"/>
  <c r="C454" i="3" a="1"/>
  <c r="C454" i="3" s="1"/>
  <c r="AA455" i="3" a="1"/>
  <c r="AA455" i="3" s="1"/>
  <c r="M455" i="3" a="1"/>
  <c r="M455" i="3" s="1"/>
  <c r="AB455" i="3" a="1"/>
  <c r="AB455" i="3" s="1"/>
  <c r="I447" i="3" a="1"/>
  <c r="I447" i="3" s="1"/>
  <c r="AF447" i="3" a="1"/>
  <c r="AF447" i="3" s="1"/>
  <c r="U447" i="3" a="1"/>
  <c r="U447" i="3" s="1"/>
  <c r="AG447" i="3" a="1"/>
  <c r="AG447" i="3" s="1"/>
  <c r="J447" i="3" a="1"/>
  <c r="J447" i="3" s="1"/>
  <c r="V447" i="3" a="1"/>
  <c r="V447" i="3" s="1"/>
  <c r="AH447" i="3" a="1"/>
  <c r="AH447" i="3" s="1"/>
  <c r="K447" i="3" a="1"/>
  <c r="K447" i="3" s="1"/>
  <c r="W447" i="3" a="1"/>
  <c r="W447" i="3" s="1"/>
  <c r="AI447" i="3" a="1"/>
  <c r="AI447" i="3" s="1"/>
  <c r="L447" i="3" a="1"/>
  <c r="L447" i="3" s="1"/>
  <c r="X447" i="3" a="1"/>
  <c r="X447" i="3" s="1"/>
  <c r="AJ447" i="3" a="1"/>
  <c r="AJ447" i="3" s="1"/>
  <c r="M447" i="3" a="1"/>
  <c r="M447" i="3" s="1"/>
  <c r="Y447" i="3" a="1"/>
  <c r="Y447" i="3" s="1"/>
  <c r="AK447" i="3" a="1"/>
  <c r="AK447" i="3" s="1"/>
  <c r="N447" i="3" a="1"/>
  <c r="N447" i="3" s="1"/>
  <c r="Z447" i="3" a="1"/>
  <c r="Z447" i="3" s="1"/>
  <c r="AL447" i="3" a="1"/>
  <c r="AL447" i="3" s="1"/>
  <c r="O447" i="3" a="1"/>
  <c r="O447" i="3" s="1"/>
  <c r="AA447" i="3" a="1"/>
  <c r="AA447" i="3" s="1"/>
  <c r="AM447" i="3" a="1"/>
  <c r="AM447" i="3" s="1"/>
  <c r="D447" i="3" a="1"/>
  <c r="D447" i="3" s="1"/>
  <c r="P447" i="3" a="1"/>
  <c r="P447" i="3" s="1"/>
  <c r="AB447" i="3" a="1"/>
  <c r="AB447" i="3" s="1"/>
  <c r="E447" i="3" a="1"/>
  <c r="E447" i="3" s="1"/>
  <c r="Q447" i="3" a="1"/>
  <c r="Q447" i="3" s="1"/>
  <c r="AC447" i="3" a="1"/>
  <c r="AC447" i="3" s="1"/>
  <c r="F447" i="3" a="1"/>
  <c r="F447" i="3" s="1"/>
  <c r="R447" i="3" a="1"/>
  <c r="R447" i="3" s="1"/>
  <c r="AK451" i="3" a="1"/>
  <c r="AK451" i="3" s="1"/>
  <c r="O451" i="3" a="1"/>
  <c r="O451" i="3" s="1"/>
  <c r="AG451" i="3" a="1"/>
  <c r="AG451" i="3" s="1"/>
  <c r="M451" i="3" a="1"/>
  <c r="M451" i="3" s="1"/>
  <c r="AE447" i="3" a="1"/>
  <c r="AE447" i="3" s="1"/>
  <c r="AF451" i="3" a="1"/>
  <c r="AF451" i="3" s="1"/>
  <c r="J451" i="3" a="1"/>
  <c r="J451" i="3" s="1"/>
  <c r="AD447" i="3" a="1"/>
  <c r="AD447" i="3" s="1"/>
  <c r="G443" i="3" a="1"/>
  <c r="G443" i="3" s="1"/>
  <c r="AD443" i="3" a="1"/>
  <c r="AD443" i="3" s="1"/>
  <c r="S443" i="3" a="1"/>
  <c r="S443" i="3" s="1"/>
  <c r="AE443" i="3" a="1"/>
  <c r="AE443" i="3" s="1"/>
  <c r="H443" i="3" a="1"/>
  <c r="H443" i="3" s="1"/>
  <c r="C442" i="3" a="1"/>
  <c r="C442" i="3" s="1"/>
  <c r="T443" i="3" a="1"/>
  <c r="T443" i="3" s="1"/>
  <c r="AF443" i="3" a="1"/>
  <c r="AF443" i="3" s="1"/>
  <c r="I443" i="3" a="1"/>
  <c r="I443" i="3" s="1"/>
  <c r="U443" i="3" a="1"/>
  <c r="U443" i="3" s="1"/>
  <c r="AG443" i="3" a="1"/>
  <c r="AG443" i="3" s="1"/>
  <c r="J443" i="3" a="1"/>
  <c r="J443" i="3" s="1"/>
  <c r="V443" i="3" a="1"/>
  <c r="V443" i="3" s="1"/>
  <c r="AH443" i="3" a="1"/>
  <c r="AH443" i="3" s="1"/>
  <c r="K443" i="3" a="1"/>
  <c r="K443" i="3" s="1"/>
  <c r="W443" i="3" a="1"/>
  <c r="W443" i="3" s="1"/>
  <c r="AI443" i="3" a="1"/>
  <c r="AI443" i="3" s="1"/>
  <c r="L443" i="3" a="1"/>
  <c r="L443" i="3" s="1"/>
  <c r="X443" i="3" a="1"/>
  <c r="X443" i="3" s="1"/>
  <c r="AJ443" i="3" a="1"/>
  <c r="AJ443" i="3" s="1"/>
  <c r="M443" i="3" a="1"/>
  <c r="M443" i="3" s="1"/>
  <c r="Y443" i="3" a="1"/>
  <c r="Y443" i="3" s="1"/>
  <c r="AK443" i="3" a="1"/>
  <c r="AK443" i="3" s="1"/>
  <c r="N443" i="3" a="1"/>
  <c r="N443" i="3" s="1"/>
  <c r="Z443" i="3" a="1"/>
  <c r="Z443" i="3" s="1"/>
  <c r="AL443" i="3" a="1"/>
  <c r="AL443" i="3" s="1"/>
  <c r="O443" i="3" a="1"/>
  <c r="O443" i="3" s="1"/>
  <c r="AA443" i="3" a="1"/>
  <c r="AA443" i="3" s="1"/>
  <c r="D443" i="3" a="1"/>
  <c r="D443" i="3" s="1"/>
  <c r="P443" i="3" a="1"/>
  <c r="P443" i="3" s="1"/>
  <c r="AM443" i="3" a="1"/>
  <c r="AM443" i="3" s="1"/>
  <c r="AB443" i="3" a="1"/>
  <c r="AB443" i="3" s="1"/>
  <c r="E443" i="3" a="1"/>
  <c r="E443" i="3" s="1"/>
  <c r="Q443" i="3" a="1"/>
  <c r="Q443" i="3" s="1"/>
  <c r="F443" i="3" a="1"/>
  <c r="F443" i="3" s="1"/>
  <c r="AC443" i="3" a="1"/>
  <c r="AC443" i="3" s="1"/>
  <c r="I451" i="3" a="1"/>
  <c r="I451" i="3" s="1"/>
  <c r="T447" i="3" a="1"/>
  <c r="T447" i="3" s="1"/>
  <c r="H451" i="3" a="1"/>
  <c r="H451" i="3" s="1"/>
  <c r="S447" i="3" a="1"/>
  <c r="S447" i="3" s="1"/>
  <c r="G451" i="3" a="1"/>
  <c r="G451" i="3" s="1"/>
  <c r="K451" i="3" a="1"/>
  <c r="K451" i="3" s="1"/>
  <c r="AH451" i="3" a="1"/>
  <c r="AH451" i="3" s="1"/>
  <c r="W451" i="3" a="1"/>
  <c r="W451" i="3" s="1"/>
  <c r="AI451" i="3" a="1"/>
  <c r="AI451" i="3" s="1"/>
  <c r="L451" i="3" a="1"/>
  <c r="L451" i="3" s="1"/>
  <c r="X451" i="3" a="1"/>
  <c r="X451" i="3" s="1"/>
  <c r="AJ451" i="3" a="1"/>
  <c r="AJ451" i="3" s="1"/>
  <c r="N451" i="3" a="1"/>
  <c r="N451" i="3" s="1"/>
  <c r="Z451" i="3" a="1"/>
  <c r="Z451" i="3" s="1"/>
  <c r="AL451" i="3" a="1"/>
  <c r="AL451" i="3" s="1"/>
  <c r="D451" i="3" a="1"/>
  <c r="D451" i="3" s="1"/>
  <c r="P451" i="3" a="1"/>
  <c r="P451" i="3" s="1"/>
  <c r="AB451" i="3" a="1"/>
  <c r="AB451" i="3" s="1"/>
  <c r="AC451" i="3" a="1"/>
  <c r="AC451" i="3" s="1"/>
  <c r="F451" i="3" a="1"/>
  <c r="F451" i="3" s="1"/>
  <c r="R451" i="3" a="1"/>
  <c r="R451" i="3" s="1"/>
  <c r="AD451" i="3" a="1"/>
  <c r="AD451" i="3" s="1"/>
  <c r="S451" i="3" a="1"/>
  <c r="S451" i="3" s="1"/>
  <c r="AE451" i="3" a="1"/>
  <c r="AE451" i="3" s="1"/>
  <c r="Q439" i="3" a="1"/>
  <c r="Q439" i="3" s="1"/>
  <c r="AC439" i="3" a="1"/>
  <c r="AC439" i="3" s="1"/>
  <c r="F439" i="3" a="1"/>
  <c r="F439" i="3" s="1"/>
  <c r="R439" i="3" a="1"/>
  <c r="R439" i="3" s="1"/>
  <c r="AD439" i="3" a="1"/>
  <c r="AD439" i="3" s="1"/>
  <c r="G439" i="3" a="1"/>
  <c r="G439" i="3" s="1"/>
  <c r="S439" i="3" a="1"/>
  <c r="S439" i="3" s="1"/>
  <c r="AE439" i="3" a="1"/>
  <c r="AE439" i="3" s="1"/>
  <c r="C438" i="3" a="1"/>
  <c r="C438" i="3" s="1"/>
  <c r="H439" i="3" a="1"/>
  <c r="H439" i="3" s="1"/>
  <c r="T439" i="3" a="1"/>
  <c r="T439" i="3" s="1"/>
  <c r="AF439" i="3" a="1"/>
  <c r="AF439" i="3" s="1"/>
  <c r="I439" i="3" a="1"/>
  <c r="I439" i="3" s="1"/>
  <c r="U439" i="3" a="1"/>
  <c r="U439" i="3" s="1"/>
  <c r="AG439" i="3" a="1"/>
  <c r="AG439" i="3" s="1"/>
  <c r="J439" i="3" a="1"/>
  <c r="J439" i="3" s="1"/>
  <c r="V439" i="3" a="1"/>
  <c r="V439" i="3" s="1"/>
  <c r="AH439" i="3" a="1"/>
  <c r="AH439" i="3" s="1"/>
  <c r="K439" i="3" a="1"/>
  <c r="K439" i="3" s="1"/>
  <c r="W439" i="3" a="1"/>
  <c r="W439" i="3" s="1"/>
  <c r="AI439" i="3" a="1"/>
  <c r="AI439" i="3" s="1"/>
  <c r="L439" i="3" a="1"/>
  <c r="L439" i="3" s="1"/>
  <c r="X439" i="3" a="1"/>
  <c r="X439" i="3" s="1"/>
  <c r="AJ439" i="3" a="1"/>
  <c r="AJ439" i="3" s="1"/>
  <c r="M439" i="3" a="1"/>
  <c r="M439" i="3" s="1"/>
  <c r="Y439" i="3" a="1"/>
  <c r="Y439" i="3" s="1"/>
  <c r="N439" i="3" a="1"/>
  <c r="N439" i="3" s="1"/>
  <c r="AK439" i="3" a="1"/>
  <c r="AK439" i="3" s="1"/>
  <c r="Z439" i="3" a="1"/>
  <c r="Z439" i="3" s="1"/>
  <c r="O439" i="3" a="1"/>
  <c r="O439" i="3" s="1"/>
  <c r="AL439" i="3" a="1"/>
  <c r="AL439" i="3" s="1"/>
  <c r="D439" i="3" a="1"/>
  <c r="D439" i="3" s="1"/>
  <c r="AA439" i="3" a="1"/>
  <c r="AA439" i="3" s="1"/>
  <c r="AM439" i="3" a="1"/>
  <c r="AM439" i="3" s="1"/>
  <c r="P439" i="3" a="1"/>
  <c r="P439" i="3" s="1"/>
  <c r="E439" i="3" a="1"/>
  <c r="E439" i="3" s="1"/>
  <c r="AB439" i="3" a="1"/>
  <c r="AB439" i="3" s="1"/>
  <c r="H447" i="3" a="1"/>
  <c r="H447" i="3" s="1"/>
  <c r="Y451" i="3" a="1"/>
  <c r="Y451" i="3" s="1"/>
  <c r="G447" i="3" a="1"/>
  <c r="G447" i="3" s="1"/>
  <c r="V451" i="3" a="1"/>
  <c r="V451" i="3" s="1"/>
  <c r="T451" i="3" a="1"/>
  <c r="T451" i="3" s="1"/>
  <c r="AM451" i="3" a="1"/>
  <c r="AM451" i="3" s="1"/>
  <c r="C446" i="3" a="1"/>
  <c r="C446" i="3" s="1"/>
  <c r="AK427" i="3" a="1"/>
  <c r="AK427" i="3" s="1"/>
  <c r="O427" i="3" a="1"/>
  <c r="O427" i="3" s="1"/>
  <c r="AB427" i="3" a="1"/>
  <c r="AB427" i="3" s="1"/>
  <c r="Q427" i="3" a="1"/>
  <c r="Q427" i="3" s="1"/>
  <c r="X427" i="3" a="1"/>
  <c r="X427" i="3" s="1"/>
  <c r="J427" i="3" a="1"/>
  <c r="J427" i="3" s="1"/>
  <c r="Y427" i="3" a="1"/>
  <c r="Y427" i="3" s="1"/>
  <c r="Z427" i="3" a="1"/>
  <c r="Z427" i="3" s="1"/>
  <c r="K427" i="3" a="1"/>
  <c r="K427" i="3" s="1"/>
  <c r="AA427" i="3" a="1"/>
  <c r="AA427" i="3" s="1"/>
  <c r="L427" i="3" a="1"/>
  <c r="L427" i="3" s="1"/>
  <c r="M427" i="3" a="1"/>
  <c r="M427" i="3" s="1"/>
  <c r="AC427" i="3" a="1"/>
  <c r="AC427" i="3" s="1"/>
  <c r="N427" i="3" a="1"/>
  <c r="N427" i="3" s="1"/>
  <c r="AD427" i="3" a="1"/>
  <c r="AD427" i="3" s="1"/>
  <c r="AE427" i="3" a="1"/>
  <c r="AE427" i="3" s="1"/>
  <c r="P427" i="3" a="1"/>
  <c r="P427" i="3" s="1"/>
  <c r="AF427" i="3" a="1"/>
  <c r="AF427" i="3" s="1"/>
  <c r="R427" i="3" a="1"/>
  <c r="R427" i="3" s="1"/>
  <c r="C426" i="3" a="1"/>
  <c r="C426" i="3" s="1"/>
  <c r="AG427" i="3" a="1"/>
  <c r="AG427" i="3" s="1"/>
  <c r="S427" i="3" a="1"/>
  <c r="S427" i="3" s="1"/>
  <c r="AH427" i="3" a="1"/>
  <c r="AH427" i="3" s="1"/>
  <c r="H427" i="3" a="1"/>
  <c r="H427" i="3" s="1"/>
  <c r="W427" i="3" a="1"/>
  <c r="W427" i="3" s="1"/>
  <c r="AM427" i="3" a="1"/>
  <c r="AM427" i="3" s="1"/>
  <c r="I427" i="3" a="1"/>
  <c r="I427" i="3" s="1"/>
  <c r="D427" i="3" a="1"/>
  <c r="D427" i="3" s="1"/>
  <c r="T427" i="3" a="1"/>
  <c r="T427" i="3" s="1"/>
  <c r="E427" i="3" a="1"/>
  <c r="E427" i="3" s="1"/>
  <c r="AI427" i="3" a="1"/>
  <c r="AI427" i="3" s="1"/>
  <c r="G427" i="3" a="1"/>
  <c r="G427" i="3" s="1"/>
  <c r="V427" i="3" a="1"/>
  <c r="V427" i="3" s="1"/>
  <c r="AL427" i="3" a="1"/>
  <c r="AL427" i="3" s="1"/>
  <c r="U427" i="3" a="1"/>
  <c r="U427" i="3" s="1"/>
  <c r="F427" i="3" a="1"/>
  <c r="F427" i="3" s="1"/>
  <c r="AJ427" i="3" a="1"/>
  <c r="AJ427" i="3" s="1"/>
  <c r="V431" i="3" a="1"/>
  <c r="V431" i="3" s="1"/>
  <c r="AG431" i="3" a="1"/>
  <c r="AG431" i="3" s="1"/>
  <c r="U431" i="3" a="1"/>
  <c r="U431" i="3" s="1"/>
  <c r="I431" i="3" a="1"/>
  <c r="I431" i="3" s="1"/>
  <c r="M423" i="3" a="1"/>
  <c r="M423" i="3" s="1"/>
  <c r="T431" i="3" a="1"/>
  <c r="T431" i="3" s="1"/>
  <c r="Y423" i="3" a="1"/>
  <c r="Y423" i="3" s="1"/>
  <c r="E423" i="3" a="1"/>
  <c r="E423" i="3" s="1"/>
  <c r="T423" i="3" a="1"/>
  <c r="T423" i="3" s="1"/>
  <c r="AI423" i="3" a="1"/>
  <c r="AI423" i="3" s="1"/>
  <c r="F423" i="3" a="1"/>
  <c r="F423" i="3" s="1"/>
  <c r="U423" i="3" a="1"/>
  <c r="U423" i="3" s="1"/>
  <c r="AJ423" i="3" a="1"/>
  <c r="AJ423" i="3" s="1"/>
  <c r="G423" i="3" a="1"/>
  <c r="G423" i="3" s="1"/>
  <c r="V423" i="3" a="1"/>
  <c r="V423" i="3" s="1"/>
  <c r="AK423" i="3" a="1"/>
  <c r="AK423" i="3" s="1"/>
  <c r="H423" i="3" a="1"/>
  <c r="H423" i="3" s="1"/>
  <c r="W423" i="3" a="1"/>
  <c r="W423" i="3" s="1"/>
  <c r="AL423" i="3" a="1"/>
  <c r="AL423" i="3" s="1"/>
  <c r="I423" i="3" a="1"/>
  <c r="I423" i="3" s="1"/>
  <c r="J423" i="3" a="1"/>
  <c r="J423" i="3" s="1"/>
  <c r="X423" i="3" a="1"/>
  <c r="X423" i="3" s="1"/>
  <c r="AM423" i="3" a="1"/>
  <c r="AM423" i="3" s="1"/>
  <c r="L423" i="3" a="1"/>
  <c r="L423" i="3" s="1"/>
  <c r="AA423" i="3" a="1"/>
  <c r="AA423" i="3" s="1"/>
  <c r="AE423" i="3" a="1"/>
  <c r="AE423" i="3" s="1"/>
  <c r="J431" i="3" a="1"/>
  <c r="J431" i="3" s="1"/>
  <c r="AE431" i="3" a="1"/>
  <c r="AE431" i="3" s="1"/>
  <c r="K431" i="3" a="1"/>
  <c r="K431" i="3" s="1"/>
  <c r="AF431" i="3" a="1"/>
  <c r="AF431" i="3" s="1"/>
  <c r="AH423" i="3" a="1"/>
  <c r="AH423" i="3" s="1"/>
  <c r="S431" i="3" a="1"/>
  <c r="S431" i="3" s="1"/>
  <c r="G431" i="3" a="1"/>
  <c r="G431" i="3" s="1"/>
  <c r="K423" i="3" a="1"/>
  <c r="K423" i="3" s="1"/>
  <c r="AD431" i="3" a="1"/>
  <c r="AD431" i="3" s="1"/>
  <c r="AG423" i="3" a="1"/>
  <c r="AG423" i="3" s="1"/>
  <c r="D423" i="3" a="1"/>
  <c r="D423" i="3" s="1"/>
  <c r="AD423" i="3" a="1"/>
  <c r="AD423" i="3" s="1"/>
  <c r="AB431" i="3" a="1"/>
  <c r="AB431" i="3" s="1"/>
  <c r="P431" i="3" a="1"/>
  <c r="P431" i="3" s="1"/>
  <c r="O431" i="3" a="1"/>
  <c r="O431" i="3" s="1"/>
  <c r="AL431" i="3" a="1"/>
  <c r="AL431" i="3" s="1"/>
  <c r="Z431" i="3" a="1"/>
  <c r="Z431" i="3" s="1"/>
  <c r="AK431" i="3" a="1"/>
  <c r="AK431" i="3" s="1"/>
  <c r="N431" i="3" a="1"/>
  <c r="N431" i="3" s="1"/>
  <c r="Z423" i="3" a="1"/>
  <c r="Z423" i="3" s="1"/>
  <c r="AJ431" i="3" a="1"/>
  <c r="AJ431" i="3" s="1"/>
  <c r="M431" i="3" a="1"/>
  <c r="M431" i="3" s="1"/>
  <c r="X431" i="3" a="1"/>
  <c r="X431" i="3" s="1"/>
  <c r="AD407" i="3" a="1"/>
  <c r="AD407" i="3" s="1"/>
  <c r="I407" i="3" a="1"/>
  <c r="I407" i="3" s="1"/>
  <c r="AC407" i="3" a="1"/>
  <c r="AC407" i="3" s="1"/>
  <c r="AB407" i="3" a="1"/>
  <c r="AB407" i="3" s="1"/>
  <c r="H407" i="3" a="1"/>
  <c r="H407" i="3" s="1"/>
  <c r="Z407" i="3" a="1"/>
  <c r="Z407" i="3" s="1"/>
  <c r="F407" i="3" a="1"/>
  <c r="F407" i="3" s="1"/>
  <c r="Y407" i="3" a="1"/>
  <c r="Y407" i="3" s="1"/>
  <c r="E407" i="3" a="1"/>
  <c r="E407" i="3" s="1"/>
  <c r="AK407" i="3" a="1"/>
  <c r="AK407" i="3" s="1"/>
  <c r="AA407" i="3" a="1"/>
  <c r="AA407" i="3" s="1"/>
  <c r="Q407" i="3" a="1"/>
  <c r="Q407" i="3" s="1"/>
  <c r="G407" i="3" a="1"/>
  <c r="G407" i="3" s="1"/>
  <c r="W407" i="3" a="1"/>
  <c r="W407" i="3" s="1"/>
  <c r="V407" i="3" a="1"/>
  <c r="V407" i="3" s="1"/>
  <c r="AD419" i="3" a="1"/>
  <c r="AD419" i="3" s="1"/>
  <c r="N419" i="3" a="1"/>
  <c r="N419" i="3" s="1"/>
  <c r="F415" i="3" a="1"/>
  <c r="F415" i="3" s="1"/>
  <c r="AM407" i="3" a="1"/>
  <c r="AM407" i="3" s="1"/>
  <c r="S407" i="3" a="1"/>
  <c r="S407" i="3" s="1"/>
  <c r="AL407" i="3" a="1"/>
  <c r="AL407" i="3" s="1"/>
  <c r="R407" i="3" a="1"/>
  <c r="R407" i="3" s="1"/>
  <c r="AC419" i="3" a="1"/>
  <c r="AC419" i="3" s="1"/>
  <c r="L419" i="3" a="1"/>
  <c r="L419" i="3" s="1"/>
  <c r="W415" i="3" a="1"/>
  <c r="W415" i="3" s="1"/>
  <c r="AM411" i="3" a="1"/>
  <c r="AM411" i="3" s="1"/>
  <c r="AC411" i="3" a="1"/>
  <c r="AC411" i="3" s="1"/>
  <c r="I411" i="3" a="1"/>
  <c r="I411" i="3" s="1"/>
  <c r="AJ407" i="3" a="1"/>
  <c r="AJ407" i="3" s="1"/>
  <c r="P407" i="3" a="1"/>
  <c r="P407" i="3" s="1"/>
  <c r="AI407" i="3" a="1"/>
  <c r="AI407" i="3" s="1"/>
  <c r="O407" i="3" a="1"/>
  <c r="O407" i="3" s="1"/>
  <c r="AA419" i="3" a="1"/>
  <c r="AA419" i="3" s="1"/>
  <c r="U415" i="3" a="1"/>
  <c r="U415" i="3" s="1"/>
  <c r="K415" i="3" a="1"/>
  <c r="K415" i="3" s="1"/>
  <c r="AE415" i="3" a="1"/>
  <c r="AE415" i="3" s="1"/>
  <c r="AH407" i="3" a="1"/>
  <c r="AH407" i="3" s="1"/>
  <c r="N407" i="3" a="1"/>
  <c r="N407" i="3" s="1"/>
  <c r="AG407" i="3" a="1"/>
  <c r="AG407" i="3" s="1"/>
  <c r="M407" i="3" a="1"/>
  <c r="M407" i="3" s="1"/>
  <c r="AF407" i="3" a="1"/>
  <c r="AF407" i="3" s="1"/>
  <c r="L407" i="3" a="1"/>
  <c r="L407" i="3" s="1"/>
  <c r="AE407" i="3" a="1"/>
  <c r="AE407" i="3" s="1"/>
  <c r="K407" i="3" a="1"/>
  <c r="K407" i="3" s="1"/>
  <c r="V395" i="3" a="1"/>
  <c r="V395" i="3" s="1"/>
  <c r="Z395" i="3" a="1"/>
  <c r="Z395" i="3" s="1"/>
  <c r="AL395" i="3" a="1"/>
  <c r="AL395" i="3" s="1"/>
  <c r="N395" i="3" a="1"/>
  <c r="N395" i="3" s="1"/>
  <c r="E395" i="3" a="1"/>
  <c r="E395" i="3" s="1"/>
  <c r="Q395" i="3" a="1"/>
  <c r="Q395" i="3" s="1"/>
  <c r="AC395" i="3" a="1"/>
  <c r="AC395" i="3" s="1"/>
  <c r="F395" i="3" a="1"/>
  <c r="F395" i="3" s="1"/>
  <c r="R395" i="3" a="1"/>
  <c r="R395" i="3" s="1"/>
  <c r="AD395" i="3" a="1"/>
  <c r="AD395" i="3" s="1"/>
  <c r="G395" i="3" a="1"/>
  <c r="G395" i="3" s="1"/>
  <c r="S395" i="3" a="1"/>
  <c r="S395" i="3" s="1"/>
  <c r="AE395" i="3" a="1"/>
  <c r="AE395" i="3" s="1"/>
  <c r="H395" i="3" a="1"/>
  <c r="H395" i="3" s="1"/>
  <c r="T395" i="3" a="1"/>
  <c r="T395" i="3" s="1"/>
  <c r="AG395" i="3" a="1"/>
  <c r="AG395" i="3" s="1"/>
  <c r="C394" i="3" a="1"/>
  <c r="C394" i="3" s="1"/>
  <c r="I395" i="3" a="1"/>
  <c r="I395" i="3" s="1"/>
  <c r="U395" i="3" a="1"/>
  <c r="U395" i="3" s="1"/>
  <c r="W395" i="3" a="1"/>
  <c r="W395" i="3" s="1"/>
  <c r="AI395" i="3" a="1"/>
  <c r="AI395" i="3" s="1"/>
  <c r="J395" i="3" a="1"/>
  <c r="J395" i="3" s="1"/>
  <c r="L395" i="3" a="1"/>
  <c r="L395" i="3" s="1"/>
  <c r="AK395" i="3" a="1"/>
  <c r="AK395" i="3" s="1"/>
  <c r="Y387" i="3" a="1"/>
  <c r="Y387" i="3" s="1"/>
  <c r="AM387" i="3" a="1"/>
  <c r="AM387" i="3" s="1"/>
  <c r="M387" i="3" a="1"/>
  <c r="M387" i="3" s="1"/>
  <c r="Z387" i="3" a="1"/>
  <c r="Z387" i="3" s="1"/>
  <c r="N387" i="3" a="1"/>
  <c r="N387" i="3" s="1"/>
  <c r="AA387" i="3" a="1"/>
  <c r="AA387" i="3" s="1"/>
  <c r="O387" i="3" a="1"/>
  <c r="O387" i="3" s="1"/>
  <c r="AB387" i="3" a="1"/>
  <c r="AB387" i="3" s="1"/>
  <c r="AC387" i="3" a="1"/>
  <c r="AC387" i="3" s="1"/>
  <c r="P387" i="3" a="1"/>
  <c r="P387" i="3" s="1"/>
  <c r="D387" i="3" a="1"/>
  <c r="D387" i="3" s="1"/>
  <c r="AD387" i="3" a="1"/>
  <c r="AD387" i="3" s="1"/>
  <c r="Q387" i="3" a="1"/>
  <c r="Q387" i="3" s="1"/>
  <c r="E387" i="3" a="1"/>
  <c r="E387" i="3" s="1"/>
  <c r="R387" i="3" a="1"/>
  <c r="R387" i="3" s="1"/>
  <c r="AE387" i="3" a="1"/>
  <c r="AE387" i="3" s="1"/>
  <c r="S387" i="3" a="1"/>
  <c r="S387" i="3" s="1"/>
  <c r="F387" i="3" a="1"/>
  <c r="F387" i="3" s="1"/>
  <c r="AF387" i="3" a="1"/>
  <c r="AF387" i="3" s="1"/>
  <c r="T387" i="3" a="1"/>
  <c r="T387" i="3" s="1"/>
  <c r="AG387" i="3" a="1"/>
  <c r="AG387" i="3" s="1"/>
  <c r="G387" i="3" a="1"/>
  <c r="G387" i="3" s="1"/>
  <c r="AH387" i="3" a="1"/>
  <c r="AH387" i="3" s="1"/>
  <c r="H387" i="3" a="1"/>
  <c r="H387" i="3" s="1"/>
  <c r="U387" i="3" a="1"/>
  <c r="U387" i="3" s="1"/>
  <c r="I387" i="3" a="1"/>
  <c r="I387" i="3" s="1"/>
  <c r="V387" i="3" a="1"/>
  <c r="V387" i="3" s="1"/>
  <c r="AI387" i="3" a="1"/>
  <c r="AI387" i="3" s="1"/>
  <c r="W387" i="3" a="1"/>
  <c r="W387" i="3" s="1"/>
  <c r="J387" i="3" a="1"/>
  <c r="J387" i="3" s="1"/>
  <c r="AJ387" i="3" a="1"/>
  <c r="AJ387" i="3" s="1"/>
  <c r="K387" i="3" a="1"/>
  <c r="K387" i="3" s="1"/>
  <c r="X387" i="3" a="1"/>
  <c r="X387" i="3" s="1"/>
  <c r="AK387" i="3" a="1"/>
  <c r="AK387" i="3" s="1"/>
  <c r="C386" i="3" a="1"/>
  <c r="C386" i="3" s="1"/>
  <c r="L387" i="3" a="1"/>
  <c r="L387" i="3" s="1"/>
  <c r="AL387" i="3" a="1"/>
  <c r="AL387" i="3" s="1"/>
  <c r="V383" i="3" a="1"/>
  <c r="V383" i="3" s="1"/>
  <c r="I383" i="3" a="1"/>
  <c r="I383" i="3" s="1"/>
  <c r="H379" i="3" a="1"/>
  <c r="H379" i="3" s="1"/>
  <c r="S379" i="3" a="1"/>
  <c r="S379" i="3" s="1"/>
  <c r="AD379" i="3" a="1"/>
  <c r="AD379" i="3" s="1"/>
  <c r="AH379" i="3" a="1"/>
  <c r="AH379" i="3" s="1"/>
  <c r="M379" i="3" a="1"/>
  <c r="M379" i="3" s="1"/>
  <c r="Y379" i="3" a="1"/>
  <c r="Y379" i="3" s="1"/>
  <c r="AJ379" i="3" a="1"/>
  <c r="AJ379" i="3" s="1"/>
  <c r="D379" i="3" a="1"/>
  <c r="D379" i="3" s="1"/>
  <c r="F379" i="3" a="1"/>
  <c r="F379" i="3" s="1"/>
  <c r="Q379" i="3" a="1"/>
  <c r="Q379" i="3" s="1"/>
  <c r="AB379" i="3" a="1"/>
  <c r="AB379" i="3" s="1"/>
  <c r="AM379" i="3" a="1"/>
  <c r="AM379" i="3" s="1"/>
  <c r="Z391" i="3" a="1"/>
  <c r="Z391" i="3" s="1"/>
  <c r="AH383" i="3" a="1"/>
  <c r="AH383" i="3" s="1"/>
  <c r="T379" i="3" a="1"/>
  <c r="T379" i="3" s="1"/>
  <c r="U383" i="3" a="1"/>
  <c r="U383" i="3" s="1"/>
  <c r="H383" i="3" a="1"/>
  <c r="H383" i="3" s="1"/>
  <c r="AL391" i="3" a="1"/>
  <c r="AL391" i="3" s="1"/>
  <c r="Y391" i="3" a="1"/>
  <c r="Y391" i="3" s="1"/>
  <c r="AG383" i="3" a="1"/>
  <c r="AG383" i="3" s="1"/>
  <c r="T383" i="3" a="1"/>
  <c r="T383" i="3" s="1"/>
  <c r="AK379" i="3" a="1"/>
  <c r="AK379" i="3" s="1"/>
  <c r="R379" i="3" a="1"/>
  <c r="R379" i="3" s="1"/>
  <c r="AK391" i="3" a="1"/>
  <c r="AK391" i="3" s="1"/>
  <c r="L391" i="3" a="1"/>
  <c r="L391" i="3" s="1"/>
  <c r="G383" i="3" a="1"/>
  <c r="G383" i="3" s="1"/>
  <c r="AF383" i="3" a="1"/>
  <c r="AF383" i="3" s="1"/>
  <c r="S383" i="3" a="1"/>
  <c r="S383" i="3" s="1"/>
  <c r="E383" i="3" a="1"/>
  <c r="E383" i="3" s="1"/>
  <c r="AE383" i="3" a="1"/>
  <c r="AE383" i="3" s="1"/>
  <c r="D383" i="3" a="1"/>
  <c r="D383" i="3" s="1"/>
  <c r="AI379" i="3" a="1"/>
  <c r="AI379" i="3" s="1"/>
  <c r="P379" i="3" a="1"/>
  <c r="P379" i="3" s="1"/>
  <c r="W391" i="3" a="1"/>
  <c r="W391" i="3" s="1"/>
  <c r="J391" i="3" a="1"/>
  <c r="J391" i="3" s="1"/>
  <c r="R383" i="3" a="1"/>
  <c r="R383" i="3" s="1"/>
  <c r="AG379" i="3" a="1"/>
  <c r="AG379" i="3" s="1"/>
  <c r="O379" i="3" a="1"/>
  <c r="O379" i="3" s="1"/>
  <c r="AD383" i="3" a="1"/>
  <c r="AD383" i="3" s="1"/>
  <c r="Q383" i="3" a="1"/>
  <c r="Q383" i="3" s="1"/>
  <c r="AF379" i="3" a="1"/>
  <c r="AF379" i="3" s="1"/>
  <c r="N379" i="3" a="1"/>
  <c r="N379" i="3" s="1"/>
  <c r="V391" i="3" a="1"/>
  <c r="V391" i="3" s="1"/>
  <c r="H391" i="3" a="1"/>
  <c r="H391" i="3" s="1"/>
  <c r="O383" i="3" a="1"/>
  <c r="O383" i="3" s="1"/>
  <c r="AE379" i="3" a="1"/>
  <c r="AE379" i="3" s="1"/>
  <c r="AC383" i="3" a="1"/>
  <c r="AC383" i="3" s="1"/>
  <c r="L379" i="3" a="1"/>
  <c r="L379" i="3" s="1"/>
  <c r="AB383" i="3" a="1"/>
  <c r="AB383" i="3" s="1"/>
  <c r="N383" i="3" a="1"/>
  <c r="N383" i="3" s="1"/>
  <c r="AC379" i="3" a="1"/>
  <c r="AC379" i="3" s="1"/>
  <c r="K379" i="3" a="1"/>
  <c r="K379" i="3" s="1"/>
  <c r="AH399" i="3" a="1"/>
  <c r="AH399" i="3" s="1"/>
  <c r="V399" i="3" a="1"/>
  <c r="V399" i="3" s="1"/>
  <c r="AG391" i="3" a="1"/>
  <c r="AG391" i="3" s="1"/>
  <c r="S391" i="3" a="1"/>
  <c r="S391" i="3" s="1"/>
  <c r="AA383" i="3" a="1"/>
  <c r="AA383" i="3" s="1"/>
  <c r="J379" i="3" a="1"/>
  <c r="J379" i="3" s="1"/>
  <c r="AG399" i="3" a="1"/>
  <c r="AG399" i="3" s="1"/>
  <c r="F391" i="3" a="1"/>
  <c r="F391" i="3" s="1"/>
  <c r="Z383" i="3" a="1"/>
  <c r="Z383" i="3" s="1"/>
  <c r="M383" i="3" a="1"/>
  <c r="M383" i="3" s="1"/>
  <c r="I379" i="3" a="1"/>
  <c r="I379" i="3" s="1"/>
  <c r="AM383" i="3" a="1"/>
  <c r="AM383" i="3" s="1"/>
  <c r="Y383" i="3" a="1"/>
  <c r="Y383" i="3" s="1"/>
  <c r="AA379" i="3" a="1"/>
  <c r="AA379" i="3" s="1"/>
  <c r="AL383" i="3" a="1"/>
  <c r="AL383" i="3" s="1"/>
  <c r="L383" i="3" a="1"/>
  <c r="L383" i="3" s="1"/>
  <c r="X383" i="3" a="1"/>
  <c r="X383" i="3" s="1"/>
  <c r="P383" i="3" a="1"/>
  <c r="P383" i="3" s="1"/>
  <c r="F383" i="3" a="1"/>
  <c r="F383" i="3" s="1"/>
  <c r="O391" i="3" a="1"/>
  <c r="O391" i="3" s="1"/>
  <c r="AJ383" i="3" a="1"/>
  <c r="AJ383" i="3" s="1"/>
  <c r="W383" i="3" a="1"/>
  <c r="W383" i="3" s="1"/>
  <c r="W379" i="3" a="1"/>
  <c r="W379" i="3" s="1"/>
  <c r="E379" i="3" a="1"/>
  <c r="E379" i="3" s="1"/>
  <c r="AB391" i="3" a="1"/>
  <c r="AB391" i="3" s="1"/>
  <c r="AI383" i="3" a="1"/>
  <c r="AI383" i="3" s="1"/>
  <c r="J383" i="3" a="1"/>
  <c r="J383" i="3" s="1"/>
  <c r="V379" i="3" a="1"/>
  <c r="V379" i="3" s="1"/>
  <c r="C378" i="3" a="1"/>
  <c r="C378" i="3" s="1"/>
  <c r="D375" i="3" a="1"/>
  <c r="D375" i="3" s="1"/>
  <c r="N375" i="3" a="1"/>
  <c r="N375" i="3" s="1"/>
  <c r="X375" i="3" a="1"/>
  <c r="X375" i="3" s="1"/>
  <c r="AH375" i="3" a="1"/>
  <c r="AH375" i="3" s="1"/>
  <c r="T371" i="3" a="1"/>
  <c r="T371" i="3" s="1"/>
  <c r="AE375" i="3" a="1"/>
  <c r="AE375" i="3" s="1"/>
  <c r="H375" i="3" a="1"/>
  <c r="H375" i="3" s="1"/>
  <c r="AF371" i="3" a="1"/>
  <c r="AF371" i="3" s="1"/>
  <c r="G371" i="3" a="1"/>
  <c r="G371" i="3" s="1"/>
  <c r="S371" i="3" a="1"/>
  <c r="S371" i="3" s="1"/>
  <c r="R375" i="3" a="1"/>
  <c r="R375" i="3" s="1"/>
  <c r="R371" i="3" a="1"/>
  <c r="R371" i="3" s="1"/>
  <c r="M367" i="3" a="1"/>
  <c r="M367" i="3" s="1"/>
  <c r="X367" i="3" a="1"/>
  <c r="X367" i="3" s="1"/>
  <c r="D367" i="3" a="1"/>
  <c r="D367" i="3" s="1"/>
  <c r="Y367" i="3" a="1"/>
  <c r="Y367" i="3" s="1"/>
  <c r="E367" i="3" a="1"/>
  <c r="E367" i="3" s="1"/>
  <c r="Z367" i="3" a="1"/>
  <c r="Z367" i="3" s="1"/>
  <c r="C366" i="3" a="1"/>
  <c r="C366" i="3" s="1"/>
  <c r="F367" i="3" a="1"/>
  <c r="F367" i="3" s="1"/>
  <c r="AA367" i="3" a="1"/>
  <c r="AA367" i="3" s="1"/>
  <c r="Q367" i="3" a="1"/>
  <c r="Q367" i="3" s="1"/>
  <c r="AL367" i="3" a="1"/>
  <c r="AL367" i="3" s="1"/>
  <c r="G367" i="3" a="1"/>
  <c r="G367" i="3" s="1"/>
  <c r="AB367" i="3" a="1"/>
  <c r="AB367" i="3" s="1"/>
  <c r="R367" i="3" a="1"/>
  <c r="R367" i="3" s="1"/>
  <c r="AM367" i="3" a="1"/>
  <c r="AM367" i="3" s="1"/>
  <c r="S367" i="3" a="1"/>
  <c r="S367" i="3" s="1"/>
  <c r="I367" i="3" a="1"/>
  <c r="I367" i="3" s="1"/>
  <c r="AD367" i="3" a="1"/>
  <c r="AD367" i="3" s="1"/>
  <c r="T367" i="3" a="1"/>
  <c r="T367" i="3" s="1"/>
  <c r="U367" i="3" a="1"/>
  <c r="U367" i="3" s="1"/>
  <c r="K367" i="3" a="1"/>
  <c r="K367" i="3" s="1"/>
  <c r="AF367" i="3" a="1"/>
  <c r="AF367" i="3" s="1"/>
  <c r="L367" i="3" a="1"/>
  <c r="L367" i="3" s="1"/>
  <c r="AG367" i="3" a="1"/>
  <c r="AG367" i="3" s="1"/>
  <c r="AC375" i="3" a="1"/>
  <c r="AC375" i="3" s="1"/>
  <c r="F375" i="3" a="1"/>
  <c r="F375" i="3" s="1"/>
  <c r="AD371" i="3" a="1"/>
  <c r="AD371" i="3" s="1"/>
  <c r="N367" i="3" a="1"/>
  <c r="N367" i="3" s="1"/>
  <c r="K359" i="3" a="1"/>
  <c r="K359" i="3" s="1"/>
  <c r="AF359" i="3" a="1"/>
  <c r="AF359" i="3" s="1"/>
  <c r="L359" i="3" a="1"/>
  <c r="L359" i="3" s="1"/>
  <c r="W359" i="3" a="1"/>
  <c r="W359" i="3" s="1"/>
  <c r="M359" i="3" a="1"/>
  <c r="M359" i="3" s="1"/>
  <c r="AH359" i="3" a="1"/>
  <c r="AH359" i="3" s="1"/>
  <c r="E359" i="3" a="1"/>
  <c r="E359" i="3" s="1"/>
  <c r="Q359" i="3" a="1"/>
  <c r="Q359" i="3" s="1"/>
  <c r="AC359" i="3" a="1"/>
  <c r="AC359" i="3" s="1"/>
  <c r="F359" i="3" a="1"/>
  <c r="F359" i="3" s="1"/>
  <c r="R359" i="3" a="1"/>
  <c r="R359" i="3" s="1"/>
  <c r="AD359" i="3" a="1"/>
  <c r="AD359" i="3" s="1"/>
  <c r="G359" i="3" a="1"/>
  <c r="G359" i="3" s="1"/>
  <c r="S359" i="3" a="1"/>
  <c r="S359" i="3" s="1"/>
  <c r="AE359" i="3" a="1"/>
  <c r="AE359" i="3" s="1"/>
  <c r="H359" i="3" a="1"/>
  <c r="H359" i="3" s="1"/>
  <c r="T359" i="3" a="1"/>
  <c r="T359" i="3" s="1"/>
  <c r="AG359" i="3" a="1"/>
  <c r="AG359" i="3" s="1"/>
  <c r="C358" i="3" a="1"/>
  <c r="C358" i="3" s="1"/>
  <c r="I359" i="3" a="1"/>
  <c r="I359" i="3" s="1"/>
  <c r="U359" i="3" a="1"/>
  <c r="U359" i="3" s="1"/>
  <c r="AI359" i="3" a="1"/>
  <c r="AI359" i="3" s="1"/>
  <c r="V359" i="3" a="1"/>
  <c r="V359" i="3" s="1"/>
  <c r="J359" i="3" a="1"/>
  <c r="J359" i="3" s="1"/>
  <c r="X359" i="3" a="1"/>
  <c r="X359" i="3" s="1"/>
  <c r="AJ359" i="3" a="1"/>
  <c r="AJ359" i="3" s="1"/>
  <c r="Y359" i="3" a="1"/>
  <c r="Y359" i="3" s="1"/>
  <c r="AK359" i="3" a="1"/>
  <c r="AK359" i="3" s="1"/>
  <c r="N359" i="3" a="1"/>
  <c r="N359" i="3" s="1"/>
  <c r="Z359" i="3" a="1"/>
  <c r="Z359" i="3" s="1"/>
  <c r="AL359" i="3" a="1"/>
  <c r="AL359" i="3" s="1"/>
  <c r="O359" i="3" a="1"/>
  <c r="O359" i="3" s="1"/>
  <c r="AA359" i="3" a="1"/>
  <c r="AA359" i="3" s="1"/>
  <c r="AM359" i="3" a="1"/>
  <c r="AM359" i="3" s="1"/>
  <c r="D359" i="3" a="1"/>
  <c r="D359" i="3" s="1"/>
  <c r="P359" i="3" a="1"/>
  <c r="P359" i="3" s="1"/>
  <c r="AB359" i="3" a="1"/>
  <c r="AB359" i="3" s="1"/>
  <c r="Q375" i="3" a="1"/>
  <c r="Q375" i="3" s="1"/>
  <c r="AB375" i="3" a="1"/>
  <c r="AB375" i="3" s="1"/>
  <c r="E375" i="3" a="1"/>
  <c r="E375" i="3" s="1"/>
  <c r="AC371" i="3" a="1"/>
  <c r="AC371" i="3" s="1"/>
  <c r="P371" i="3" a="1"/>
  <c r="P371" i="3" s="1"/>
  <c r="AB363" i="3" a="1"/>
  <c r="AB363" i="3" s="1"/>
  <c r="AM375" i="3" a="1"/>
  <c r="AM375" i="3" s="1"/>
  <c r="P375" i="3" a="1"/>
  <c r="P375" i="3" s="1"/>
  <c r="N371" i="3" a="1"/>
  <c r="N371" i="3" s="1"/>
  <c r="J367" i="3" a="1"/>
  <c r="J367" i="3" s="1"/>
  <c r="Z363" i="3" a="1"/>
  <c r="Z363" i="3" s="1"/>
  <c r="AA375" i="3" a="1"/>
  <c r="AA375" i="3" s="1"/>
  <c r="AB371" i="3" a="1"/>
  <c r="AB371" i="3" s="1"/>
  <c r="M371" i="3" a="1"/>
  <c r="M371" i="3" s="1"/>
  <c r="AK367" i="3" a="1"/>
  <c r="AK367" i="3" s="1"/>
  <c r="H367" i="3" a="1"/>
  <c r="H367" i="3" s="1"/>
  <c r="AL375" i="3" a="1"/>
  <c r="AL375" i="3" s="1"/>
  <c r="O375" i="3" a="1"/>
  <c r="O375" i="3" s="1"/>
  <c r="AJ367" i="3" a="1"/>
  <c r="AJ367" i="3" s="1"/>
  <c r="Z375" i="3" a="1"/>
  <c r="Z375" i="3" s="1"/>
  <c r="L371" i="3" a="1"/>
  <c r="L371" i="3" s="1"/>
  <c r="AI367" i="3" a="1"/>
  <c r="AI367" i="3" s="1"/>
  <c r="AK375" i="3" a="1"/>
  <c r="AK375" i="3" s="1"/>
  <c r="AH367" i="3" a="1"/>
  <c r="AH367" i="3" s="1"/>
  <c r="AJ375" i="3" a="1"/>
  <c r="AJ375" i="3" s="1"/>
  <c r="L375" i="3" a="1"/>
  <c r="L375" i="3" s="1"/>
  <c r="AE367" i="3" a="1"/>
  <c r="AE367" i="3" s="1"/>
  <c r="X371" i="3" a="1"/>
  <c r="X371" i="3" s="1"/>
  <c r="D371" i="3" a="1"/>
  <c r="D371" i="3" s="1"/>
  <c r="Y371" i="3" a="1"/>
  <c r="Y371" i="3" s="1"/>
  <c r="AJ371" i="3" a="1"/>
  <c r="AJ371" i="3" s="1"/>
  <c r="O371" i="3" a="1"/>
  <c r="O371" i="3" s="1"/>
  <c r="Z371" i="3" a="1"/>
  <c r="Z371" i="3" s="1"/>
  <c r="F371" i="3" a="1"/>
  <c r="F371" i="3" s="1"/>
  <c r="AA371" i="3" a="1"/>
  <c r="AA371" i="3" s="1"/>
  <c r="K363" i="3" a="1"/>
  <c r="K363" i="3" s="1"/>
  <c r="O363" i="3" a="1"/>
  <c r="O363" i="3" s="1"/>
  <c r="AJ363" i="3" a="1"/>
  <c r="AJ363" i="3" s="1"/>
  <c r="E363" i="3" a="1"/>
  <c r="E363" i="3" s="1"/>
  <c r="P363" i="3" a="1"/>
  <c r="P363" i="3" s="1"/>
  <c r="AK363" i="3" a="1"/>
  <c r="AK363" i="3" s="1"/>
  <c r="AA363" i="3" a="1"/>
  <c r="AA363" i="3" s="1"/>
  <c r="F363" i="3" a="1"/>
  <c r="F363" i="3" s="1"/>
  <c r="Q363" i="3" a="1"/>
  <c r="Q363" i="3" s="1"/>
  <c r="AL363" i="3" a="1"/>
  <c r="AL363" i="3" s="1"/>
  <c r="C362" i="3" a="1"/>
  <c r="C362" i="3" s="1"/>
  <c r="G363" i="3" a="1"/>
  <c r="G363" i="3" s="1"/>
  <c r="R363" i="3" a="1"/>
  <c r="R363" i="3" s="1"/>
  <c r="AM363" i="3" a="1"/>
  <c r="AM363" i="3" s="1"/>
  <c r="AC363" i="3" a="1"/>
  <c r="AC363" i="3" s="1"/>
  <c r="H363" i="3" a="1"/>
  <c r="H363" i="3" s="1"/>
  <c r="S363" i="3" a="1"/>
  <c r="S363" i="3" s="1"/>
  <c r="AD363" i="3" a="1"/>
  <c r="AD363" i="3" s="1"/>
  <c r="I363" i="3" a="1"/>
  <c r="I363" i="3" s="1"/>
  <c r="T363" i="3" a="1"/>
  <c r="T363" i="3" s="1"/>
  <c r="AE363" i="3" a="1"/>
  <c r="AE363" i="3" s="1"/>
  <c r="J363" i="3" a="1"/>
  <c r="J363" i="3" s="1"/>
  <c r="U363" i="3" a="1"/>
  <c r="U363" i="3" s="1"/>
  <c r="AF363" i="3" a="1"/>
  <c r="AF363" i="3" s="1"/>
  <c r="V363" i="3" a="1"/>
  <c r="V363" i="3" s="1"/>
  <c r="AG363" i="3" a="1"/>
  <c r="AG363" i="3" s="1"/>
  <c r="L363" i="3" a="1"/>
  <c r="L363" i="3" s="1"/>
  <c r="W363" i="3" a="1"/>
  <c r="W363" i="3" s="1"/>
  <c r="AH363" i="3" a="1"/>
  <c r="AH363" i="3" s="1"/>
  <c r="M363" i="3" a="1"/>
  <c r="M363" i="3" s="1"/>
  <c r="X363" i="3" a="1"/>
  <c r="X363" i="3" s="1"/>
  <c r="AI363" i="3" a="1"/>
  <c r="AI363" i="3" s="1"/>
  <c r="N363" i="3" a="1"/>
  <c r="N363" i="3" s="1"/>
  <c r="Y363" i="3" a="1"/>
  <c r="Y363" i="3" s="1"/>
  <c r="V375" i="3" a="1"/>
  <c r="V375" i="3" s="1"/>
  <c r="J375" i="3" a="1"/>
  <c r="J375" i="3" s="1"/>
  <c r="AH371" i="3" a="1"/>
  <c r="AH371" i="3" s="1"/>
  <c r="I371" i="3" a="1"/>
  <c r="I371" i="3" s="1"/>
  <c r="U375" i="3" a="1"/>
  <c r="U375" i="3" s="1"/>
  <c r="U371" i="3" a="1"/>
  <c r="U371" i="3" s="1"/>
  <c r="AG375" i="3" a="1"/>
  <c r="AG375" i="3" s="1"/>
  <c r="I375" i="3" a="1"/>
  <c r="I375" i="3" s="1"/>
  <c r="C374" i="3" a="1"/>
  <c r="C374" i="3" s="1"/>
  <c r="W367" i="3" a="1"/>
  <c r="W367" i="3" s="1"/>
  <c r="AL355" i="3" a="1"/>
  <c r="AL355" i="3" s="1"/>
  <c r="U355" i="3" a="1"/>
  <c r="U355" i="3" s="1"/>
  <c r="F355" i="3" a="1"/>
  <c r="F355" i="3" s="1"/>
  <c r="D351" i="3" a="1"/>
  <c r="D351" i="3" s="1"/>
  <c r="Y351" i="3" a="1"/>
  <c r="Y351" i="3" s="1"/>
  <c r="O351" i="3" a="1"/>
  <c r="O351" i="3" s="1"/>
  <c r="AJ351" i="3" a="1"/>
  <c r="AJ351" i="3" s="1"/>
  <c r="C350" i="3" a="1"/>
  <c r="C350" i="3" s="1"/>
  <c r="F351" i="3" a="1"/>
  <c r="F351" i="3" s="1"/>
  <c r="AA351" i="3" a="1"/>
  <c r="AA351" i="3" s="1"/>
  <c r="K351" i="3" a="1"/>
  <c r="K351" i="3" s="1"/>
  <c r="V351" i="3" a="1"/>
  <c r="V351" i="3" s="1"/>
  <c r="M351" i="3" a="1"/>
  <c r="M351" i="3" s="1"/>
  <c r="AH351" i="3" a="1"/>
  <c r="AH351" i="3" s="1"/>
  <c r="AK351" i="3" a="1"/>
  <c r="AK351" i="3" s="1"/>
  <c r="I351" i="3" a="1"/>
  <c r="I351" i="3" s="1"/>
  <c r="W351" i="3" a="1"/>
  <c r="W351" i="3" s="1"/>
  <c r="AL351" i="3" a="1"/>
  <c r="AL351" i="3" s="1"/>
  <c r="X351" i="3" a="1"/>
  <c r="X351" i="3" s="1"/>
  <c r="J351" i="3" a="1"/>
  <c r="J351" i="3" s="1"/>
  <c r="AM351" i="3" a="1"/>
  <c r="AM351" i="3" s="1"/>
  <c r="Z351" i="3" a="1"/>
  <c r="Z351" i="3" s="1"/>
  <c r="L351" i="3" a="1"/>
  <c r="L351" i="3" s="1"/>
  <c r="AB351" i="3" a="1"/>
  <c r="AB351" i="3" s="1"/>
  <c r="N351" i="3" a="1"/>
  <c r="N351" i="3" s="1"/>
  <c r="AC351" i="3" a="1"/>
  <c r="AC351" i="3" s="1"/>
  <c r="P351" i="3" a="1"/>
  <c r="P351" i="3" s="1"/>
  <c r="Q351" i="3" a="1"/>
  <c r="Q351" i="3" s="1"/>
  <c r="AD351" i="3" a="1"/>
  <c r="AD351" i="3" s="1"/>
  <c r="S351" i="3" a="1"/>
  <c r="S351" i="3" s="1"/>
  <c r="AG351" i="3" a="1"/>
  <c r="AG351" i="3" s="1"/>
  <c r="G351" i="3" a="1"/>
  <c r="G351" i="3" s="1"/>
  <c r="T351" i="3" a="1"/>
  <c r="T351" i="3" s="1"/>
  <c r="AI351" i="3" a="1"/>
  <c r="AI351" i="3" s="1"/>
  <c r="H351" i="3" a="1"/>
  <c r="H351" i="3" s="1"/>
  <c r="U351" i="3" a="1"/>
  <c r="U351" i="3" s="1"/>
  <c r="AK355" i="3" a="1"/>
  <c r="AK355" i="3" s="1"/>
  <c r="S355" i="3" a="1"/>
  <c r="S355" i="3" s="1"/>
  <c r="R355" i="3" a="1"/>
  <c r="R355" i="3" s="1"/>
  <c r="AF355" i="3" a="1"/>
  <c r="AF355" i="3" s="1"/>
  <c r="Q355" i="3" a="1"/>
  <c r="Q355" i="3" s="1"/>
  <c r="L355" i="3" a="1"/>
  <c r="L355" i="3" s="1"/>
  <c r="AG355" i="3" a="1"/>
  <c r="AG355" i="3" s="1"/>
  <c r="M355" i="3" a="1"/>
  <c r="M355" i="3" s="1"/>
  <c r="AH355" i="3" a="1"/>
  <c r="AH355" i="3" s="1"/>
  <c r="N355" i="3" a="1"/>
  <c r="N355" i="3" s="1"/>
  <c r="AI355" i="3" a="1"/>
  <c r="AI355" i="3" s="1"/>
  <c r="D355" i="3" a="1"/>
  <c r="D355" i="3" s="1"/>
  <c r="Y355" i="3" a="1"/>
  <c r="Y355" i="3" s="1"/>
  <c r="O355" i="3" a="1"/>
  <c r="O355" i="3" s="1"/>
  <c r="AJ355" i="3" a="1"/>
  <c r="AJ355" i="3" s="1"/>
  <c r="E355" i="3" a="1"/>
  <c r="E355" i="3" s="1"/>
  <c r="Z355" i="3" a="1"/>
  <c r="Z355" i="3" s="1"/>
  <c r="T355" i="3" a="1"/>
  <c r="T355" i="3" s="1"/>
  <c r="AE355" i="3" a="1"/>
  <c r="AE355" i="3" s="1"/>
  <c r="AD355" i="3" a="1"/>
  <c r="AD355" i="3" s="1"/>
  <c r="P355" i="3" a="1"/>
  <c r="P355" i="3" s="1"/>
  <c r="AF351" i="3" a="1"/>
  <c r="AF351" i="3" s="1"/>
  <c r="AE351" i="3" a="1"/>
  <c r="AE351" i="3" s="1"/>
  <c r="AC355" i="3" a="1"/>
  <c r="AC355" i="3" s="1"/>
  <c r="AB355" i="3" a="1"/>
  <c r="AB355" i="3" s="1"/>
  <c r="K355" i="3" a="1"/>
  <c r="K355" i="3" s="1"/>
  <c r="R351" i="3" a="1"/>
  <c r="R351" i="3" s="1"/>
  <c r="J355" i="3" a="1"/>
  <c r="J355" i="3" s="1"/>
  <c r="AA355" i="3" a="1"/>
  <c r="AA355" i="3" s="1"/>
  <c r="I355" i="3" a="1"/>
  <c r="I355" i="3" s="1"/>
  <c r="E351" i="3" a="1"/>
  <c r="E351" i="3" s="1"/>
  <c r="X355" i="3" a="1"/>
  <c r="X355" i="3" s="1"/>
  <c r="H355" i="3" a="1"/>
  <c r="H355" i="3" s="1"/>
  <c r="W355" i="3" a="1"/>
  <c r="W355" i="3" s="1"/>
  <c r="E347" i="3" a="1"/>
  <c r="E347" i="3" s="1"/>
  <c r="Z347" i="3" a="1"/>
  <c r="Z347" i="3" s="1"/>
  <c r="P347" i="3" a="1"/>
  <c r="P347" i="3" s="1"/>
  <c r="AK347" i="3" a="1"/>
  <c r="AK347" i="3" s="1"/>
  <c r="C346" i="3" a="1"/>
  <c r="C346" i="3" s="1"/>
  <c r="F347" i="3" a="1"/>
  <c r="F347" i="3" s="1"/>
  <c r="AA347" i="3" a="1"/>
  <c r="AA347" i="3" s="1"/>
  <c r="R347" i="3" a="1"/>
  <c r="R347" i="3" s="1"/>
  <c r="AM347" i="3" a="1"/>
  <c r="AM347" i="3" s="1"/>
  <c r="H347" i="3" a="1"/>
  <c r="H347" i="3" s="1"/>
  <c r="AC347" i="3" a="1"/>
  <c r="AC347" i="3" s="1"/>
  <c r="I347" i="3" a="1"/>
  <c r="I347" i="3" s="1"/>
  <c r="T347" i="3" a="1"/>
  <c r="T347" i="3" s="1"/>
  <c r="L347" i="3" a="1"/>
  <c r="L347" i="3" s="1"/>
  <c r="AG347" i="3" a="1"/>
  <c r="AG347" i="3" s="1"/>
  <c r="M347" i="3" a="1"/>
  <c r="M347" i="3" s="1"/>
  <c r="AH347" i="3" a="1"/>
  <c r="AH347" i="3" s="1"/>
  <c r="D347" i="3" a="1"/>
  <c r="D347" i="3" s="1"/>
  <c r="Y347" i="3" a="1"/>
  <c r="Y347" i="3" s="1"/>
  <c r="O347" i="3" a="1"/>
  <c r="O347" i="3" s="1"/>
  <c r="AJ347" i="3" a="1"/>
  <c r="AJ347" i="3" s="1"/>
  <c r="X347" i="3" a="1"/>
  <c r="X347" i="3" s="1"/>
  <c r="W347" i="3" a="1"/>
  <c r="W347" i="3" s="1"/>
  <c r="V347" i="3" a="1"/>
  <c r="V347" i="3" s="1"/>
  <c r="S347" i="3" a="1"/>
  <c r="S347" i="3" s="1"/>
  <c r="AL347" i="3" a="1"/>
  <c r="AL347" i="3" s="1"/>
  <c r="Q347" i="3" a="1"/>
  <c r="Q347" i="3" s="1"/>
  <c r="AI347" i="3" a="1"/>
  <c r="AI347" i="3" s="1"/>
  <c r="N347" i="3" a="1"/>
  <c r="N347" i="3" s="1"/>
  <c r="AF347" i="3" a="1"/>
  <c r="AF347" i="3" s="1"/>
  <c r="K347" i="3" a="1"/>
  <c r="K347" i="3" s="1"/>
  <c r="Q343" i="3" a="1"/>
  <c r="Q343" i="3" s="1"/>
  <c r="AB343" i="3" a="1"/>
  <c r="AB343" i="3" s="1"/>
  <c r="G343" i="3" a="1"/>
  <c r="G343" i="3" s="1"/>
  <c r="R343" i="3" a="1"/>
  <c r="R343" i="3" s="1"/>
  <c r="AM343" i="3" a="1"/>
  <c r="AM343" i="3" s="1"/>
  <c r="H343" i="3" a="1"/>
  <c r="H343" i="3" s="1"/>
  <c r="AC343" i="3" a="1"/>
  <c r="AC343" i="3" s="1"/>
  <c r="S343" i="3" a="1"/>
  <c r="S343" i="3" s="1"/>
  <c r="I343" i="3" a="1"/>
  <c r="I343" i="3" s="1"/>
  <c r="AD343" i="3" a="1"/>
  <c r="AD343" i="3" s="1"/>
  <c r="T343" i="3" a="1"/>
  <c r="T343" i="3" s="1"/>
  <c r="J343" i="3" a="1"/>
  <c r="J343" i="3" s="1"/>
  <c r="AE343" i="3" a="1"/>
  <c r="AE343" i="3" s="1"/>
  <c r="U343" i="3" a="1"/>
  <c r="U343" i="3" s="1"/>
  <c r="K343" i="3" a="1"/>
  <c r="K343" i="3" s="1"/>
  <c r="AF343" i="3" a="1"/>
  <c r="AF343" i="3" s="1"/>
  <c r="V343" i="3" a="1"/>
  <c r="V343" i="3" s="1"/>
  <c r="W343" i="3" a="1"/>
  <c r="W343" i="3" s="1"/>
  <c r="M343" i="3" a="1"/>
  <c r="M343" i="3" s="1"/>
  <c r="AH343" i="3" a="1"/>
  <c r="AH343" i="3" s="1"/>
  <c r="X343" i="3" a="1"/>
  <c r="X343" i="3" s="1"/>
  <c r="N343" i="3" a="1"/>
  <c r="N343" i="3" s="1"/>
  <c r="AI343" i="3" a="1"/>
  <c r="AI343" i="3" s="1"/>
  <c r="D343" i="3" a="1"/>
  <c r="D343" i="3" s="1"/>
  <c r="Y343" i="3" a="1"/>
  <c r="Y343" i="3" s="1"/>
  <c r="O343" i="3" a="1"/>
  <c r="O343" i="3" s="1"/>
  <c r="AJ343" i="3" a="1"/>
  <c r="AJ343" i="3" s="1"/>
  <c r="E343" i="3" a="1"/>
  <c r="E343" i="3" s="1"/>
  <c r="Z343" i="3" a="1"/>
  <c r="Z343" i="3" s="1"/>
  <c r="P343" i="3" a="1"/>
  <c r="P343" i="3" s="1"/>
  <c r="AK343" i="3" a="1"/>
  <c r="AK343" i="3" s="1"/>
  <c r="C342" i="3" a="1"/>
  <c r="C342" i="3" s="1"/>
  <c r="F343" i="3" a="1"/>
  <c r="F343" i="3" s="1"/>
  <c r="AA343" i="3" a="1"/>
  <c r="AA343" i="3" s="1"/>
  <c r="AL343" i="3" a="1"/>
  <c r="AL343" i="3" s="1"/>
  <c r="AD347" i="3" a="1"/>
  <c r="AD347" i="3" s="1"/>
  <c r="AB347" i="3" a="1"/>
  <c r="AB347" i="3" s="1"/>
  <c r="G347" i="3" a="1"/>
  <c r="G347" i="3" s="1"/>
  <c r="AG339" i="3" a="1"/>
  <c r="AG339" i="3" s="1"/>
  <c r="T335" i="3" a="1"/>
  <c r="T335" i="3" s="1"/>
  <c r="J335" i="3" a="1"/>
  <c r="J335" i="3" s="1"/>
  <c r="AE335" i="3" a="1"/>
  <c r="AE335" i="3" s="1"/>
  <c r="U335" i="3" a="1"/>
  <c r="U335" i="3" s="1"/>
  <c r="V335" i="3" a="1"/>
  <c r="V335" i="3" s="1"/>
  <c r="L335" i="3" a="1"/>
  <c r="L335" i="3" s="1"/>
  <c r="AG335" i="3" a="1"/>
  <c r="AG335" i="3" s="1"/>
  <c r="W335" i="3" a="1"/>
  <c r="W335" i="3" s="1"/>
  <c r="AH335" i="3" a="1"/>
  <c r="AH335" i="3" s="1"/>
  <c r="M335" i="3" a="1"/>
  <c r="M335" i="3" s="1"/>
  <c r="X335" i="3" a="1"/>
  <c r="X335" i="3" s="1"/>
  <c r="D335" i="3" a="1"/>
  <c r="D335" i="3" s="1"/>
  <c r="Y335" i="3" a="1"/>
  <c r="Y335" i="3" s="1"/>
  <c r="E335" i="3" a="1"/>
  <c r="E335" i="3" s="1"/>
  <c r="Z335" i="3" a="1"/>
  <c r="Z335" i="3" s="1"/>
  <c r="C334" i="3" a="1"/>
  <c r="C334" i="3" s="1"/>
  <c r="F335" i="3" a="1"/>
  <c r="F335" i="3" s="1"/>
  <c r="AA335" i="3" a="1"/>
  <c r="AA335" i="3" s="1"/>
  <c r="G335" i="3" a="1"/>
  <c r="G335" i="3" s="1"/>
  <c r="AB335" i="3" a="1"/>
  <c r="AB335" i="3" s="1"/>
  <c r="R335" i="3" a="1"/>
  <c r="R335" i="3" s="1"/>
  <c r="AM335" i="3" a="1"/>
  <c r="AM335" i="3" s="1"/>
  <c r="H335" i="3" a="1"/>
  <c r="H335" i="3" s="1"/>
  <c r="AC335" i="3" a="1"/>
  <c r="AC335" i="3" s="1"/>
  <c r="U339" i="3" a="1"/>
  <c r="U339" i="3" s="1"/>
  <c r="K339" i="3" a="1"/>
  <c r="K339" i="3" s="1"/>
  <c r="AF339" i="3" a="1"/>
  <c r="AF339" i="3" s="1"/>
  <c r="N335" i="3" a="1"/>
  <c r="N335" i="3" s="1"/>
  <c r="S339" i="3" a="1"/>
  <c r="S339" i="3" s="1"/>
  <c r="K335" i="3" a="1"/>
  <c r="K335" i="3" s="1"/>
  <c r="I335" i="3" a="1"/>
  <c r="I335" i="3" s="1"/>
  <c r="R339" i="3" a="1"/>
  <c r="R339" i="3" s="1"/>
  <c r="AL335" i="3" a="1"/>
  <c r="AL335" i="3" s="1"/>
  <c r="AK335" i="3" a="1"/>
  <c r="AK335" i="3" s="1"/>
  <c r="Q339" i="3" a="1"/>
  <c r="Q339" i="3" s="1"/>
  <c r="E339" i="3" a="1"/>
  <c r="E339" i="3" s="1"/>
  <c r="AJ335" i="3" a="1"/>
  <c r="AJ335" i="3" s="1"/>
  <c r="Z339" i="3" a="1"/>
  <c r="Z339" i="3" s="1"/>
  <c r="N339" i="3" a="1"/>
  <c r="N339" i="3" s="1"/>
  <c r="M339" i="3" a="1"/>
  <c r="M339" i="3" s="1"/>
  <c r="W339" i="3" a="1"/>
  <c r="W339" i="3" s="1"/>
  <c r="AH339" i="3" a="1"/>
  <c r="AH339" i="3" s="1"/>
  <c r="J339" i="3" a="1"/>
  <c r="J339" i="3" s="1"/>
  <c r="S335" i="3" a="1"/>
  <c r="S335" i="3" s="1"/>
  <c r="AL323" i="3" a="1"/>
  <c r="AL323" i="3" s="1"/>
  <c r="AI331" i="3" a="1"/>
  <c r="AI331" i="3" s="1"/>
  <c r="V331" i="3" a="1"/>
  <c r="V331" i="3" s="1"/>
  <c r="AH327" i="3" a="1"/>
  <c r="AH327" i="3" s="1"/>
  <c r="AH323" i="3" a="1"/>
  <c r="AH323" i="3" s="1"/>
  <c r="AG331" i="3" a="1"/>
  <c r="AG331" i="3" s="1"/>
  <c r="N327" i="3" a="1"/>
  <c r="N327" i="3" s="1"/>
  <c r="AE323" i="3" a="1"/>
  <c r="AE323" i="3" s="1"/>
  <c r="AG327" i="3" a="1"/>
  <c r="AG327" i="3" s="1"/>
  <c r="M327" i="3" a="1"/>
  <c r="M327" i="3" s="1"/>
  <c r="AF331" i="3" a="1"/>
  <c r="AF331" i="3" s="1"/>
  <c r="R331" i="3" a="1"/>
  <c r="R331" i="3" s="1"/>
  <c r="AF327" i="3" a="1"/>
  <c r="AF327" i="3" s="1"/>
  <c r="L327" i="3" a="1"/>
  <c r="L327" i="3" s="1"/>
  <c r="AA323" i="3" a="1"/>
  <c r="AA323" i="3" s="1"/>
  <c r="AD327" i="3" a="1"/>
  <c r="AD327" i="3" s="1"/>
  <c r="K327" i="3" a="1"/>
  <c r="K327" i="3" s="1"/>
  <c r="T323" i="3" a="1"/>
  <c r="T323" i="3" s="1"/>
  <c r="R323" i="3" a="1"/>
  <c r="R323" i="3" s="1"/>
  <c r="AC323" i="3" a="1"/>
  <c r="AC323" i="3" s="1"/>
  <c r="C322" i="3" a="1"/>
  <c r="C322" i="3" s="1"/>
  <c r="G323" i="3" a="1"/>
  <c r="G323" i="3" s="1"/>
  <c r="H323" i="3" a="1"/>
  <c r="H323" i="3" s="1"/>
  <c r="S323" i="3" a="1"/>
  <c r="S323" i="3" s="1"/>
  <c r="AD323" i="3" a="1"/>
  <c r="AD323" i="3" s="1"/>
  <c r="I323" i="3" a="1"/>
  <c r="I323" i="3" s="1"/>
  <c r="J323" i="3" a="1"/>
  <c r="J323" i="3" s="1"/>
  <c r="U323" i="3" a="1"/>
  <c r="U323" i="3" s="1"/>
  <c r="AF323" i="3" a="1"/>
  <c r="AF323" i="3" s="1"/>
  <c r="K323" i="3" a="1"/>
  <c r="K323" i="3" s="1"/>
  <c r="V323" i="3" a="1"/>
  <c r="V323" i="3" s="1"/>
  <c r="AG323" i="3" a="1"/>
  <c r="AG323" i="3" s="1"/>
  <c r="N323" i="3" a="1"/>
  <c r="N323" i="3" s="1"/>
  <c r="Y323" i="3" a="1"/>
  <c r="Y323" i="3" s="1"/>
  <c r="AJ323" i="3" a="1"/>
  <c r="AJ323" i="3" s="1"/>
  <c r="D323" i="3" a="1"/>
  <c r="D323" i="3" s="1"/>
  <c r="O323" i="3" a="1"/>
  <c r="O323" i="3" s="1"/>
  <c r="Z323" i="3" a="1"/>
  <c r="Z323" i="3" s="1"/>
  <c r="AK323" i="3" a="1"/>
  <c r="AK323" i="3" s="1"/>
  <c r="AB323" i="3" a="1"/>
  <c r="AB323" i="3" s="1"/>
  <c r="AB327" i="3" a="1"/>
  <c r="AB327" i="3" s="1"/>
  <c r="AB331" i="3" a="1"/>
  <c r="AB331" i="3" s="1"/>
  <c r="O331" i="3" a="1"/>
  <c r="O331" i="3" s="1"/>
  <c r="AA327" i="3" a="1"/>
  <c r="AA327" i="3" s="1"/>
  <c r="H327" i="3" a="1"/>
  <c r="H327" i="3" s="1"/>
  <c r="Q323" i="3" a="1"/>
  <c r="Q323" i="3" s="1"/>
  <c r="P323" i="3" a="1"/>
  <c r="P323" i="3" s="1"/>
  <c r="AA331" i="3" a="1"/>
  <c r="AA331" i="3" s="1"/>
  <c r="F327" i="3" a="1"/>
  <c r="F327" i="3" s="1"/>
  <c r="AM331" i="3" a="1"/>
  <c r="AM331" i="3" s="1"/>
  <c r="E327" i="3" a="1"/>
  <c r="E327" i="3" s="1"/>
  <c r="M323" i="3" a="1"/>
  <c r="M323" i="3" s="1"/>
  <c r="W327" i="3" a="1"/>
  <c r="W327" i="3" s="1"/>
  <c r="L323" i="3" a="1"/>
  <c r="L323" i="3" s="1"/>
  <c r="Q327" i="3" a="1"/>
  <c r="Q327" i="3" s="1"/>
  <c r="AL327" i="3" a="1"/>
  <c r="AL327" i="3" s="1"/>
  <c r="R327" i="3" a="1"/>
  <c r="R327" i="3" s="1"/>
  <c r="AM327" i="3" a="1"/>
  <c r="AM327" i="3" s="1"/>
  <c r="T327" i="3" a="1"/>
  <c r="T327" i="3" s="1"/>
  <c r="J327" i="3" a="1"/>
  <c r="J327" i="3" s="1"/>
  <c r="AE327" i="3" a="1"/>
  <c r="AE327" i="3" s="1"/>
  <c r="U327" i="3" a="1"/>
  <c r="U327" i="3" s="1"/>
  <c r="X327" i="3" a="1"/>
  <c r="X327" i="3" s="1"/>
  <c r="D327" i="3" a="1"/>
  <c r="D327" i="3" s="1"/>
  <c r="Y327" i="3" a="1"/>
  <c r="Y327" i="3" s="1"/>
  <c r="O327" i="3" a="1"/>
  <c r="O327" i="3" s="1"/>
  <c r="AJ327" i="3" a="1"/>
  <c r="AJ327" i="3" s="1"/>
  <c r="P327" i="3" a="1"/>
  <c r="P327" i="3" s="1"/>
  <c r="AK327" i="3" a="1"/>
  <c r="AK327" i="3" s="1"/>
  <c r="F323" i="3" a="1"/>
  <c r="F323" i="3" s="1"/>
  <c r="E331" i="3" a="1"/>
  <c r="E331" i="3" s="1"/>
  <c r="Z331" i="3" a="1"/>
  <c r="Z331" i="3" s="1"/>
  <c r="H331" i="3" a="1"/>
  <c r="H331" i="3" s="1"/>
  <c r="AC331" i="3" a="1"/>
  <c r="AC331" i="3" s="1"/>
  <c r="S331" i="3" a="1"/>
  <c r="S331" i="3" s="1"/>
  <c r="I331" i="3" a="1"/>
  <c r="I331" i="3" s="1"/>
  <c r="AD331" i="3" a="1"/>
  <c r="AD331" i="3" s="1"/>
  <c r="E323" i="3" a="1"/>
  <c r="E323" i="3" s="1"/>
  <c r="AJ331" i="3" a="1"/>
  <c r="AJ331" i="3" s="1"/>
  <c r="W331" i="3" a="1"/>
  <c r="W331" i="3" s="1"/>
  <c r="S327" i="3" a="1"/>
  <c r="S327" i="3" s="1"/>
  <c r="AM323" i="3" a="1"/>
  <c r="AM323" i="3" s="1"/>
  <c r="J319" i="3" a="1"/>
  <c r="J319" i="3" s="1"/>
  <c r="AE319" i="3" a="1"/>
  <c r="AE319" i="3" s="1"/>
  <c r="K319" i="3" a="1"/>
  <c r="K319" i="3" s="1"/>
  <c r="AF319" i="3" a="1"/>
  <c r="AF319" i="3" s="1"/>
  <c r="S319" i="3" a="1"/>
  <c r="S319" i="3" s="1"/>
  <c r="T315" i="3" a="1"/>
  <c r="T315" i="3" s="1"/>
  <c r="AD319" i="3" a="1"/>
  <c r="AD319" i="3" s="1"/>
  <c r="G319" i="3" a="1"/>
  <c r="G319" i="3" s="1"/>
  <c r="AM315" i="3" a="1"/>
  <c r="AM315" i="3" s="1"/>
  <c r="S315" i="3" a="1"/>
  <c r="S315" i="3" s="1"/>
  <c r="R319" i="3" a="1"/>
  <c r="R319" i="3" s="1"/>
  <c r="Q315" i="3" a="1"/>
  <c r="Q315" i="3" s="1"/>
  <c r="AA319" i="3" a="1"/>
  <c r="AA319" i="3" s="1"/>
  <c r="O319" i="3" a="1"/>
  <c r="O319" i="3" s="1"/>
  <c r="AL319" i="3" a="1"/>
  <c r="AL319" i="3" s="1"/>
  <c r="AG315" i="3" a="1"/>
  <c r="AG315" i="3" s="1"/>
  <c r="Z319" i="3" a="1"/>
  <c r="Z319" i="3" s="1"/>
  <c r="N319" i="3" a="1"/>
  <c r="N319" i="3" s="1"/>
  <c r="J315" i="3" a="1"/>
  <c r="J315" i="3" s="1"/>
  <c r="AK319" i="3" a="1"/>
  <c r="AK319" i="3" s="1"/>
  <c r="Y319" i="3" a="1"/>
  <c r="Y319" i="3" s="1"/>
  <c r="I315" i="3" a="1"/>
  <c r="I315" i="3" s="1"/>
  <c r="M319" i="3" a="1"/>
  <c r="M319" i="3" s="1"/>
  <c r="AI319" i="3" a="1"/>
  <c r="AI319" i="3" s="1"/>
  <c r="L319" i="3" a="1"/>
  <c r="L319" i="3" s="1"/>
  <c r="W319" i="3" a="1"/>
  <c r="W319" i="3" s="1"/>
  <c r="M315" i="3" a="1"/>
  <c r="M315" i="3" s="1"/>
  <c r="AJ315" i="3" a="1"/>
  <c r="AJ315" i="3" s="1"/>
  <c r="C314" i="3" a="1"/>
  <c r="C314" i="3" s="1"/>
  <c r="V315" i="3" a="1"/>
  <c r="V315" i="3" s="1"/>
  <c r="K315" i="3" a="1"/>
  <c r="K315" i="3" s="1"/>
  <c r="L315" i="3" a="1"/>
  <c r="L315" i="3" s="1"/>
  <c r="Y315" i="3" a="1"/>
  <c r="Y315" i="3" s="1"/>
  <c r="AK315" i="3" a="1"/>
  <c r="AK315" i="3" s="1"/>
  <c r="AB315" i="3" a="1"/>
  <c r="AB315" i="3" s="1"/>
  <c r="D315" i="3" a="1"/>
  <c r="D315" i="3" s="1"/>
  <c r="P315" i="3" a="1"/>
  <c r="P315" i="3" s="1"/>
  <c r="R315" i="3" a="1"/>
  <c r="R315" i="3" s="1"/>
  <c r="AD315" i="3" a="1"/>
  <c r="AD315" i="3" s="1"/>
  <c r="F315" i="3" a="1"/>
  <c r="F315" i="3" s="1"/>
  <c r="AE315" i="3" a="1"/>
  <c r="AE315" i="3" s="1"/>
  <c r="G315" i="3" a="1"/>
  <c r="G315" i="3" s="1"/>
  <c r="AF315" i="3" a="1"/>
  <c r="AF315" i="3" s="1"/>
  <c r="AH319" i="3" a="1"/>
  <c r="AH319" i="3" s="1"/>
  <c r="R307" i="3" a="1"/>
  <c r="R307" i="3" s="1"/>
  <c r="H307" i="3" a="1"/>
  <c r="H307" i="3" s="1"/>
  <c r="AL307" i="3" a="1"/>
  <c r="AL307" i="3" s="1"/>
  <c r="AB307" i="3" a="1"/>
  <c r="AB307" i="3" s="1"/>
  <c r="J303" i="3" a="1"/>
  <c r="J303" i="3" s="1"/>
  <c r="W303" i="3" a="1"/>
  <c r="W303" i="3" s="1"/>
  <c r="AJ303" i="3" a="1"/>
  <c r="AJ303" i="3" s="1"/>
  <c r="M303" i="3" a="1"/>
  <c r="M303" i="3" s="1"/>
  <c r="AL303" i="3" a="1"/>
  <c r="AL303" i="3" s="1"/>
  <c r="Z303" i="3" a="1"/>
  <c r="Z303" i="3" s="1"/>
  <c r="O303" i="3" a="1"/>
  <c r="O303" i="3" s="1"/>
  <c r="P303" i="3" a="1"/>
  <c r="P303" i="3" s="1"/>
  <c r="E303" i="3" a="1"/>
  <c r="E303" i="3" s="1"/>
  <c r="R303" i="3" a="1"/>
  <c r="R303" i="3" s="1"/>
  <c r="AD303" i="3" a="1"/>
  <c r="AD303" i="3" s="1"/>
  <c r="F303" i="3" a="1"/>
  <c r="F303" i="3" s="1"/>
  <c r="AF303" i="3" a="1"/>
  <c r="AF303" i="3" s="1"/>
  <c r="Y295" i="3" a="1"/>
  <c r="Y295" i="3" s="1"/>
  <c r="AG307" i="3" a="1"/>
  <c r="AG307" i="3" s="1"/>
  <c r="Q307" i="3" a="1"/>
  <c r="Q307" i="3" s="1"/>
  <c r="AF307" i="3" a="1"/>
  <c r="AF307" i="3" s="1"/>
  <c r="P307" i="3" a="1"/>
  <c r="P307" i="3" s="1"/>
  <c r="AK303" i="3" a="1"/>
  <c r="AK303" i="3" s="1"/>
  <c r="I303" i="3" a="1"/>
  <c r="I303" i="3" s="1"/>
  <c r="AD311" i="3" a="1"/>
  <c r="AD311" i="3" s="1"/>
  <c r="T311" i="3" a="1"/>
  <c r="T311" i="3" s="1"/>
  <c r="J311" i="3" a="1"/>
  <c r="J311" i="3" s="1"/>
  <c r="AK311" i="3" a="1"/>
  <c r="AK311" i="3" s="1"/>
  <c r="O307" i="3" a="1"/>
  <c r="O307" i="3" s="1"/>
  <c r="AI303" i="3" a="1"/>
  <c r="AI303" i="3" s="1"/>
  <c r="H303" i="3" a="1"/>
  <c r="H303" i="3" s="1"/>
  <c r="AE307" i="3" a="1"/>
  <c r="AE307" i="3" s="1"/>
  <c r="N307" i="3" a="1"/>
  <c r="N307" i="3" s="1"/>
  <c r="AH303" i="3" a="1"/>
  <c r="AH303" i="3" s="1"/>
  <c r="G303" i="3" a="1"/>
  <c r="G303" i="3" s="1"/>
  <c r="O295" i="3" a="1"/>
  <c r="O295" i="3" s="1"/>
  <c r="AA295" i="3" a="1"/>
  <c r="AA295" i="3" s="1"/>
  <c r="AB295" i="3" a="1"/>
  <c r="AB295" i="3" s="1"/>
  <c r="D295" i="3" a="1"/>
  <c r="D295" i="3" s="1"/>
  <c r="P295" i="3" a="1"/>
  <c r="P295" i="3" s="1"/>
  <c r="AC295" i="3" a="1"/>
  <c r="AC295" i="3" s="1"/>
  <c r="E295" i="3" a="1"/>
  <c r="E295" i="3" s="1"/>
  <c r="Q295" i="3" a="1"/>
  <c r="Q295" i="3" s="1"/>
  <c r="AD295" i="3" a="1"/>
  <c r="AD295" i="3" s="1"/>
  <c r="R295" i="3" a="1"/>
  <c r="R295" i="3" s="1"/>
  <c r="AE295" i="3" a="1"/>
  <c r="AE295" i="3" s="1"/>
  <c r="F295" i="3" a="1"/>
  <c r="F295" i="3" s="1"/>
  <c r="S295" i="3" a="1"/>
  <c r="S295" i="3" s="1"/>
  <c r="AF295" i="3" a="1"/>
  <c r="AF295" i="3" s="1"/>
  <c r="G295" i="3" a="1"/>
  <c r="G295" i="3" s="1"/>
  <c r="T295" i="3" a="1"/>
  <c r="T295" i="3" s="1"/>
  <c r="AG295" i="3" a="1"/>
  <c r="AG295" i="3" s="1"/>
  <c r="H295" i="3" a="1"/>
  <c r="H295" i="3" s="1"/>
  <c r="U295" i="3" a="1"/>
  <c r="U295" i="3" s="1"/>
  <c r="I295" i="3" a="1"/>
  <c r="I295" i="3" s="1"/>
  <c r="AH295" i="3" a="1"/>
  <c r="AH295" i="3" s="1"/>
  <c r="V295" i="3" a="1"/>
  <c r="V295" i="3" s="1"/>
  <c r="C294" i="3" a="1"/>
  <c r="C294" i="3" s="1"/>
  <c r="J295" i="3" a="1"/>
  <c r="J295" i="3" s="1"/>
  <c r="W295" i="3" a="1"/>
  <c r="W295" i="3" s="1"/>
  <c r="AI295" i="3" a="1"/>
  <c r="AI295" i="3" s="1"/>
  <c r="K295" i="3" a="1"/>
  <c r="K295" i="3" s="1"/>
  <c r="X295" i="3" a="1"/>
  <c r="X295" i="3" s="1"/>
  <c r="AJ295" i="3" a="1"/>
  <c r="AJ295" i="3" s="1"/>
  <c r="L295" i="3" a="1"/>
  <c r="L295" i="3" s="1"/>
  <c r="AL295" i="3" a="1"/>
  <c r="AL295" i="3" s="1"/>
  <c r="N295" i="3" a="1"/>
  <c r="N295" i="3" s="1"/>
  <c r="Z295" i="3" a="1"/>
  <c r="Z295" i="3" s="1"/>
  <c r="AM295" i="3" a="1"/>
  <c r="AM295" i="3" s="1"/>
  <c r="L307" i="3" a="1"/>
  <c r="L307" i="3" s="1"/>
  <c r="AE303" i="3" a="1"/>
  <c r="AE303" i="3" s="1"/>
  <c r="AC303" i="3" a="1"/>
  <c r="AC303" i="3" s="1"/>
  <c r="K307" i="3" a="1"/>
  <c r="K307" i="3" s="1"/>
  <c r="AB303" i="3" a="1"/>
  <c r="AB303" i="3" s="1"/>
  <c r="Y303" i="3" a="1"/>
  <c r="Y303" i="3" s="1"/>
  <c r="Y307" i="3" a="1"/>
  <c r="Y307" i="3" s="1"/>
  <c r="I307" i="3" a="1"/>
  <c r="I307" i="3" s="1"/>
  <c r="X303" i="3" a="1"/>
  <c r="X303" i="3" s="1"/>
  <c r="X311" i="3" a="1"/>
  <c r="X311" i="3" s="1"/>
  <c r="I311" i="3" a="1"/>
  <c r="I311" i="3" s="1"/>
  <c r="X307" i="3" a="1"/>
  <c r="X307" i="3" s="1"/>
  <c r="V303" i="3" a="1"/>
  <c r="V303" i="3" s="1"/>
  <c r="W307" i="3" a="1"/>
  <c r="W307" i="3" s="1"/>
  <c r="G307" i="3" a="1"/>
  <c r="G307" i="3" s="1"/>
  <c r="U303" i="3" a="1"/>
  <c r="U303" i="3" s="1"/>
  <c r="AL311" i="3" a="1"/>
  <c r="AL311" i="3" s="1"/>
  <c r="W311" i="3" a="1"/>
  <c r="W311" i="3" s="1"/>
  <c r="G311" i="3" a="1"/>
  <c r="G311" i="3" s="1"/>
  <c r="V307" i="3" a="1"/>
  <c r="V307" i="3" s="1"/>
  <c r="F307" i="3" a="1"/>
  <c r="F307" i="3" s="1"/>
  <c r="U307" i="3" a="1"/>
  <c r="U307" i="3" s="1"/>
  <c r="D307" i="3" a="1"/>
  <c r="D307" i="3" s="1"/>
  <c r="D299" i="3" a="1"/>
  <c r="D299" i="3" s="1"/>
  <c r="I486" i="2" a="1"/>
  <c r="I486" i="2" s="1"/>
  <c r="I482" i="2" a="1"/>
  <c r="I482" i="2" s="1"/>
  <c r="B480" i="2"/>
  <c r="I478" i="2" s="1" a="1"/>
  <c r="I478" i="2" s="1"/>
  <c r="I474" i="2" a="1"/>
  <c r="I474" i="2" s="1"/>
  <c r="I470" i="2" a="1"/>
  <c r="I470" i="2" s="1"/>
  <c r="I466" i="2" a="1"/>
  <c r="I466" i="2" s="1"/>
  <c r="I462" i="2" a="1"/>
  <c r="I462" i="2" s="1"/>
  <c r="I458" i="2" a="1"/>
  <c r="I458" i="2" s="1"/>
  <c r="I454" i="2" a="1"/>
  <c r="I454" i="2" s="1"/>
  <c r="I450" i="2" a="1"/>
  <c r="I450" i="2" s="1"/>
  <c r="I446" i="2" a="1"/>
  <c r="I446" i="2" s="1"/>
  <c r="I442" i="2" a="1"/>
  <c r="I442" i="2" s="1"/>
  <c r="B440" i="2"/>
  <c r="I438" i="2" s="1" a="1"/>
  <c r="I438" i="2" s="1"/>
  <c r="B436" i="2"/>
  <c r="I434" i="2" s="1" a="1"/>
  <c r="I434" i="2" s="1"/>
  <c r="I430" i="2" a="1"/>
  <c r="I430" i="2" s="1"/>
  <c r="I426" i="2" a="1"/>
  <c r="I426" i="2" s="1"/>
  <c r="X227" i="3" a="1"/>
  <c r="X227" i="3" s="1"/>
  <c r="I422" i="2" a="1"/>
  <c r="I422" i="2" s="1"/>
  <c r="C122" i="3" a="1"/>
  <c r="C122" i="3" s="1"/>
  <c r="AE123" i="3" a="1"/>
  <c r="AE123" i="3" s="1"/>
  <c r="H163" i="3" a="1"/>
  <c r="H163" i="3" s="1"/>
  <c r="J67" i="3" a="1"/>
  <c r="J67" i="3" s="1"/>
  <c r="G167" i="3" a="1"/>
  <c r="G167" i="3" s="1"/>
  <c r="K267" i="3" a="1"/>
  <c r="K267" i="3" s="1"/>
  <c r="L67" i="3" a="1"/>
  <c r="L67" i="3" s="1"/>
  <c r="I418" i="2" a="1"/>
  <c r="I418" i="2" s="1"/>
  <c r="AD271" i="3" a="1"/>
  <c r="AD271" i="3" s="1"/>
  <c r="C270" i="3" a="1"/>
  <c r="C270" i="3" s="1"/>
  <c r="C254" i="3" a="1"/>
  <c r="C254" i="3" s="1"/>
  <c r="R255" i="3" a="1"/>
  <c r="R255" i="3" s="1"/>
  <c r="U195" i="3" a="1"/>
  <c r="U195" i="3" s="1"/>
  <c r="P195" i="3" a="1"/>
  <c r="P195" i="3" s="1"/>
  <c r="R91" i="3" a="1"/>
  <c r="R91" i="3" s="1"/>
  <c r="E79" i="3" a="1"/>
  <c r="E79" i="3" s="1"/>
  <c r="G163" i="3" a="1"/>
  <c r="G163" i="3" s="1"/>
  <c r="AC67" i="3" a="1"/>
  <c r="AC67" i="3" s="1"/>
  <c r="AE199" i="3" a="1"/>
  <c r="AE199" i="3" s="1"/>
  <c r="AI115" i="3" a="1"/>
  <c r="AI115" i="3" s="1"/>
  <c r="I414" i="2" a="1"/>
  <c r="I414" i="2" s="1"/>
  <c r="C282" i="3" a="1"/>
  <c r="C282" i="3" s="1"/>
  <c r="U283" i="3" a="1"/>
  <c r="U283" i="3" s="1"/>
  <c r="AD283" i="3" a="1"/>
  <c r="AD283" i="3" s="1"/>
  <c r="C278" i="3" a="1"/>
  <c r="C278" i="3" s="1"/>
  <c r="G279" i="3" a="1"/>
  <c r="G279" i="3" s="1"/>
  <c r="AB279" i="3" a="1"/>
  <c r="AB279" i="3" s="1"/>
  <c r="R107" i="3" a="1"/>
  <c r="R107" i="3" s="1"/>
  <c r="AE107" i="3" a="1"/>
  <c r="AE107" i="3" s="1"/>
  <c r="C106" i="3" a="1"/>
  <c r="C106" i="3" s="1"/>
  <c r="F143" i="3" a="1"/>
  <c r="F143" i="3" s="1"/>
  <c r="X215" i="3" a="1"/>
  <c r="X215" i="3" s="1"/>
  <c r="V247" i="3" a="1"/>
  <c r="V247" i="3" s="1"/>
  <c r="AG123" i="3" a="1"/>
  <c r="AG123" i="3" s="1"/>
  <c r="Y151" i="3" a="1"/>
  <c r="Y151" i="3" s="1"/>
  <c r="AH119" i="3" a="1"/>
  <c r="AH119" i="3" s="1"/>
  <c r="U19" i="3" a="1"/>
  <c r="U19" i="3" s="1"/>
  <c r="M279" i="3" a="1"/>
  <c r="M279" i="3" s="1"/>
  <c r="W19" i="3" a="1"/>
  <c r="W19" i="3" s="1"/>
  <c r="Z63" i="3" a="1"/>
  <c r="Z63" i="3" s="1"/>
  <c r="AL51" i="3" a="1"/>
  <c r="AL51" i="3" s="1"/>
  <c r="AF267" i="3" a="1"/>
  <c r="AF267" i="3" s="1"/>
  <c r="AB143" i="3" a="1"/>
  <c r="AB143" i="3" s="1"/>
  <c r="AK223" i="3" a="1"/>
  <c r="AK223" i="3" s="1"/>
  <c r="X267" i="3" a="1"/>
  <c r="X267" i="3" s="1"/>
  <c r="T31" i="3" a="1"/>
  <c r="T31" i="3" s="1"/>
  <c r="AJ79" i="3" a="1"/>
  <c r="AJ79" i="3" s="1"/>
  <c r="AA63" i="3" a="1"/>
  <c r="AA63" i="3" s="1"/>
  <c r="D143" i="3" a="1"/>
  <c r="D143" i="3" s="1"/>
  <c r="I279" i="3" a="1"/>
  <c r="I279" i="3" s="1"/>
  <c r="S111" i="3" a="1"/>
  <c r="S111" i="3" s="1"/>
  <c r="AM51" i="3" a="1"/>
  <c r="AM51" i="3" s="1"/>
  <c r="S283" i="3" a="1"/>
  <c r="S283" i="3" s="1"/>
  <c r="AA279" i="3" a="1"/>
  <c r="AA279" i="3" s="1"/>
  <c r="AC271" i="3" a="1"/>
  <c r="AC271" i="3" s="1"/>
  <c r="M271" i="3" a="1"/>
  <c r="M271" i="3" s="1"/>
  <c r="P259" i="3" a="1"/>
  <c r="P259" i="3" s="1"/>
  <c r="Q255" i="3" a="1"/>
  <c r="Q255" i="3" s="1"/>
  <c r="AM247" i="3" a="1"/>
  <c r="AM247" i="3" s="1"/>
  <c r="U247" i="3" a="1"/>
  <c r="U247" i="3" s="1"/>
  <c r="X247" i="3" a="1"/>
  <c r="X247" i="3" s="1"/>
  <c r="AA231" i="3" a="1"/>
  <c r="AA231" i="3" s="1"/>
  <c r="AD223" i="3" a="1"/>
  <c r="AD223" i="3" s="1"/>
  <c r="AE211" i="3" a="1"/>
  <c r="AE211" i="3" s="1"/>
  <c r="N207" i="3" a="1"/>
  <c r="N207" i="3" s="1"/>
  <c r="K199" i="3" a="1"/>
  <c r="K199" i="3" s="1"/>
  <c r="J195" i="3" a="1"/>
  <c r="J195" i="3" s="1"/>
  <c r="AB167" i="3" a="1"/>
  <c r="AB167" i="3" s="1"/>
  <c r="F167" i="3" a="1"/>
  <c r="F167" i="3" s="1"/>
  <c r="D163" i="3" a="1"/>
  <c r="D163" i="3" s="1"/>
  <c r="U151" i="3" a="1"/>
  <c r="U151" i="3" s="1"/>
  <c r="S147" i="3" a="1"/>
  <c r="S147" i="3" s="1"/>
  <c r="AA143" i="3" a="1"/>
  <c r="AA143" i="3" s="1"/>
  <c r="AC123" i="3" a="1"/>
  <c r="AC123" i="3" s="1"/>
  <c r="Y119" i="3" a="1"/>
  <c r="Y119" i="3" s="1"/>
  <c r="Y115" i="3" a="1"/>
  <c r="Y115" i="3" s="1"/>
  <c r="M111" i="3" a="1"/>
  <c r="M111" i="3" s="1"/>
  <c r="AL103" i="3" a="1"/>
  <c r="AL103" i="3" s="1"/>
  <c r="AD99" i="3" a="1"/>
  <c r="AD99" i="3" s="1"/>
  <c r="P91" i="3" a="1"/>
  <c r="P91" i="3" s="1"/>
  <c r="AI79" i="3" a="1"/>
  <c r="AI79" i="3" s="1"/>
  <c r="AB67" i="3" a="1"/>
  <c r="AB67" i="3" s="1"/>
  <c r="H67" i="3" a="1"/>
  <c r="H67" i="3" s="1"/>
  <c r="W63" i="3" a="1"/>
  <c r="W63" i="3" s="1"/>
  <c r="AG51" i="3" a="1"/>
  <c r="AG51" i="3" s="1"/>
  <c r="AJ47" i="3" a="1"/>
  <c r="AJ47" i="3" s="1"/>
  <c r="P31" i="3" a="1"/>
  <c r="P31" i="3" s="1"/>
  <c r="T19" i="3" a="1"/>
  <c r="T19" i="3" s="1"/>
  <c r="J283" i="3" a="1"/>
  <c r="J283" i="3" s="1"/>
  <c r="E279" i="3" a="1"/>
  <c r="E279" i="3" s="1"/>
  <c r="AB271" i="3" a="1"/>
  <c r="AB271" i="3" s="1"/>
  <c r="L271" i="3" a="1"/>
  <c r="L271" i="3" s="1"/>
  <c r="AJ267" i="3" a="1"/>
  <c r="AJ267" i="3" s="1"/>
  <c r="W267" i="3" a="1"/>
  <c r="W267" i="3" s="1"/>
  <c r="H267" i="3" a="1"/>
  <c r="H267" i="3" s="1"/>
  <c r="T247" i="3" a="1"/>
  <c r="T247" i="3" s="1"/>
  <c r="V215" i="3" a="1"/>
  <c r="V215" i="3" s="1"/>
  <c r="V211" i="3" a="1"/>
  <c r="V211" i="3" s="1"/>
  <c r="K207" i="3" a="1"/>
  <c r="K207" i="3" s="1"/>
  <c r="I199" i="3" a="1"/>
  <c r="I199" i="3" s="1"/>
  <c r="I195" i="3" a="1"/>
  <c r="I195" i="3" s="1"/>
  <c r="AC175" i="3" a="1"/>
  <c r="AC175" i="3" s="1"/>
  <c r="AA167" i="3" a="1"/>
  <c r="AA167" i="3" s="1"/>
  <c r="T151" i="3" a="1"/>
  <c r="T151" i="3" s="1"/>
  <c r="R147" i="3" a="1"/>
  <c r="R147" i="3" s="1"/>
  <c r="Y143" i="3" a="1"/>
  <c r="Y143" i="3" s="1"/>
  <c r="S143" i="3" a="1"/>
  <c r="S143" i="3" s="1"/>
  <c r="U115" i="3" a="1"/>
  <c r="U115" i="3" s="1"/>
  <c r="AK111" i="3" a="1"/>
  <c r="AK111" i="3" s="1"/>
  <c r="AD107" i="3" a="1"/>
  <c r="AD107" i="3" s="1"/>
  <c r="AE103" i="3" a="1"/>
  <c r="AE103" i="3" s="1"/>
  <c r="I99" i="3" a="1"/>
  <c r="I99" i="3" s="1"/>
  <c r="N91" i="3" a="1"/>
  <c r="N91" i="3" s="1"/>
  <c r="AH79" i="3" a="1"/>
  <c r="AH79" i="3" s="1"/>
  <c r="M79" i="3" a="1"/>
  <c r="M79" i="3" s="1"/>
  <c r="T63" i="3" a="1"/>
  <c r="T63" i="3" s="1"/>
  <c r="AF51" i="3" a="1"/>
  <c r="AF51" i="3" s="1"/>
  <c r="O31" i="3" a="1"/>
  <c r="O31" i="3" s="1"/>
  <c r="S19" i="3" a="1"/>
  <c r="S19" i="3" s="1"/>
  <c r="AM11" i="3" a="1"/>
  <c r="AM11" i="3" s="1"/>
  <c r="AJ223" i="3" a="1"/>
  <c r="AJ223" i="3" s="1"/>
  <c r="O207" i="3" a="1"/>
  <c r="O207" i="3" s="1"/>
  <c r="AC167" i="3" a="1"/>
  <c r="AC167" i="3" s="1"/>
  <c r="W151" i="3" a="1"/>
  <c r="W151" i="3" s="1"/>
  <c r="Z147" i="3" a="1"/>
  <c r="Z147" i="3" s="1"/>
  <c r="AA119" i="3" a="1"/>
  <c r="AA119" i="3" s="1"/>
  <c r="AM111" i="3" a="1"/>
  <c r="AM111" i="3" s="1"/>
  <c r="P111" i="3" a="1"/>
  <c r="P111" i="3" s="1"/>
  <c r="AM103" i="3" a="1"/>
  <c r="AM103" i="3" s="1"/>
  <c r="Q91" i="3" a="1"/>
  <c r="Q91" i="3" s="1"/>
  <c r="D79" i="3" a="1"/>
  <c r="D79" i="3" s="1"/>
  <c r="I67" i="3" a="1"/>
  <c r="I67" i="3" s="1"/>
  <c r="Y63" i="3" a="1"/>
  <c r="Y63" i="3" s="1"/>
  <c r="AK51" i="3" a="1"/>
  <c r="AK51" i="3" s="1"/>
  <c r="Q31" i="3" a="1"/>
  <c r="Q31" i="3" s="1"/>
  <c r="Z279" i="3" a="1"/>
  <c r="Z279" i="3" s="1"/>
  <c r="AM255" i="3" a="1"/>
  <c r="AM255" i="3" s="1"/>
  <c r="P255" i="3" a="1"/>
  <c r="P255" i="3" s="1"/>
  <c r="AK247" i="3" a="1"/>
  <c r="AK247" i="3" s="1"/>
  <c r="S247" i="3" a="1"/>
  <c r="S247" i="3" s="1"/>
  <c r="Z231" i="3" a="1"/>
  <c r="Z231" i="3" s="1"/>
  <c r="AG219" i="3" a="1"/>
  <c r="AG219" i="3" s="1"/>
  <c r="L211" i="3" a="1"/>
  <c r="L211" i="3" s="1"/>
  <c r="F207" i="3" a="1"/>
  <c r="F207" i="3" s="1"/>
  <c r="AB175" i="3" a="1"/>
  <c r="AB175" i="3" s="1"/>
  <c r="Z167" i="3" a="1"/>
  <c r="Z167" i="3" s="1"/>
  <c r="E167" i="3" a="1"/>
  <c r="E167" i="3" s="1"/>
  <c r="AG159" i="3" a="1"/>
  <c r="AG159" i="3" s="1"/>
  <c r="P147" i="3" a="1"/>
  <c r="P147" i="3" s="1"/>
  <c r="W123" i="3" a="1"/>
  <c r="W123" i="3" s="1"/>
  <c r="U119" i="3" a="1"/>
  <c r="U119" i="3" s="1"/>
  <c r="T115" i="3" a="1"/>
  <c r="T115" i="3" s="1"/>
  <c r="AH111" i="3" a="1"/>
  <c r="AH111" i="3" s="1"/>
  <c r="L111" i="3" a="1"/>
  <c r="L111" i="3" s="1"/>
  <c r="W107" i="3" a="1"/>
  <c r="W107" i="3" s="1"/>
  <c r="AC103" i="3" a="1"/>
  <c r="AC103" i="3" s="1"/>
  <c r="G99" i="3" a="1"/>
  <c r="G99" i="3" s="1"/>
  <c r="M91" i="3" a="1"/>
  <c r="M91" i="3" s="1"/>
  <c r="AG79" i="3" a="1"/>
  <c r="AG79" i="3" s="1"/>
  <c r="AA67" i="3" a="1"/>
  <c r="AA67" i="3" s="1"/>
  <c r="G67" i="3" a="1"/>
  <c r="G67" i="3" s="1"/>
  <c r="AE51" i="3" a="1"/>
  <c r="AE51" i="3" s="1"/>
  <c r="N31" i="3" a="1"/>
  <c r="N31" i="3" s="1"/>
  <c r="R19" i="3" a="1"/>
  <c r="R19" i="3" s="1"/>
  <c r="AG11" i="3" a="1"/>
  <c r="AG11" i="3" s="1"/>
  <c r="G283" i="3" a="1"/>
  <c r="G283" i="3" s="1"/>
  <c r="D279" i="3" a="1"/>
  <c r="D279" i="3" s="1"/>
  <c r="AA271" i="3" a="1"/>
  <c r="AA271" i="3" s="1"/>
  <c r="K271" i="3" a="1"/>
  <c r="K271" i="3" s="1"/>
  <c r="AI267" i="3" a="1"/>
  <c r="AI267" i="3" s="1"/>
  <c r="V267" i="3" a="1"/>
  <c r="V267" i="3" s="1"/>
  <c r="G267" i="3" a="1"/>
  <c r="G267" i="3" s="1"/>
  <c r="AL255" i="3" a="1"/>
  <c r="AL255" i="3" s="1"/>
  <c r="N255" i="3" a="1"/>
  <c r="N255" i="3" s="1"/>
  <c r="AH247" i="3" a="1"/>
  <c r="AH247" i="3" s="1"/>
  <c r="R247" i="3" a="1"/>
  <c r="R247" i="3" s="1"/>
  <c r="AL239" i="3" a="1"/>
  <c r="AL239" i="3" s="1"/>
  <c r="AD219" i="3" a="1"/>
  <c r="AD219" i="3" s="1"/>
  <c r="U215" i="3" a="1"/>
  <c r="U215" i="3" s="1"/>
  <c r="K211" i="3" a="1"/>
  <c r="K211" i="3" s="1"/>
  <c r="E207" i="3" a="1"/>
  <c r="E207" i="3" s="1"/>
  <c r="AM195" i="3" a="1"/>
  <c r="AM195" i="3" s="1"/>
  <c r="G195" i="3" a="1"/>
  <c r="G195" i="3" s="1"/>
  <c r="M175" i="3" a="1"/>
  <c r="M175" i="3" s="1"/>
  <c r="X167" i="3" a="1"/>
  <c r="X167" i="3" s="1"/>
  <c r="AF159" i="3" a="1"/>
  <c r="AF159" i="3" s="1"/>
  <c r="Q151" i="3" a="1"/>
  <c r="Q151" i="3" s="1"/>
  <c r="K147" i="3" a="1"/>
  <c r="K147" i="3" s="1"/>
  <c r="T143" i="3" a="1"/>
  <c r="T143" i="3" s="1"/>
  <c r="V123" i="3" a="1"/>
  <c r="V123" i="3" s="1"/>
  <c r="P119" i="3" a="1"/>
  <c r="P119" i="3" s="1"/>
  <c r="S115" i="3" a="1"/>
  <c r="S115" i="3" s="1"/>
  <c r="K111" i="3" a="1"/>
  <c r="K111" i="3" s="1"/>
  <c r="U107" i="3" a="1"/>
  <c r="U107" i="3" s="1"/>
  <c r="K91" i="3" a="1"/>
  <c r="K91" i="3" s="1"/>
  <c r="O71" i="3" a="1"/>
  <c r="O71" i="3" s="1"/>
  <c r="R63" i="3" a="1"/>
  <c r="R63" i="3" s="1"/>
  <c r="AD51" i="3" a="1"/>
  <c r="AD51" i="3" s="1"/>
  <c r="M31" i="3" a="1"/>
  <c r="M31" i="3" s="1"/>
  <c r="O19" i="3" a="1"/>
  <c r="O19" i="3" s="1"/>
  <c r="AK267" i="3" a="1"/>
  <c r="AK267" i="3" s="1"/>
  <c r="I267" i="3" a="1"/>
  <c r="I267" i="3" s="1"/>
  <c r="Y279" i="3" a="1"/>
  <c r="Y279" i="3" s="1"/>
  <c r="Y271" i="3" a="1"/>
  <c r="Y271" i="3" s="1"/>
  <c r="AH267" i="3" a="1"/>
  <c r="AH267" i="3" s="1"/>
  <c r="U267" i="3" a="1"/>
  <c r="U267" i="3" s="1"/>
  <c r="F267" i="3" a="1"/>
  <c r="F267" i="3" s="1"/>
  <c r="M255" i="3" a="1"/>
  <c r="M255" i="3" s="1"/>
  <c r="AG247" i="3" a="1"/>
  <c r="AG247" i="3" s="1"/>
  <c r="AE239" i="3" a="1"/>
  <c r="AE239" i="3" s="1"/>
  <c r="Y231" i="3" a="1"/>
  <c r="Y231" i="3" s="1"/>
  <c r="R219" i="3" a="1"/>
  <c r="R219" i="3" s="1"/>
  <c r="J211" i="3" a="1"/>
  <c r="J211" i="3" s="1"/>
  <c r="D207" i="3" a="1"/>
  <c r="D207" i="3" s="1"/>
  <c r="F195" i="3" a="1"/>
  <c r="F195" i="3" s="1"/>
  <c r="N175" i="3" a="1"/>
  <c r="N175" i="3" s="1"/>
  <c r="W167" i="3" a="1"/>
  <c r="W167" i="3" s="1"/>
  <c r="AI167" i="3" a="1"/>
  <c r="AI167" i="3" s="1"/>
  <c r="AC159" i="3" a="1"/>
  <c r="AC159" i="3" s="1"/>
  <c r="P151" i="3" a="1"/>
  <c r="P151" i="3" s="1"/>
  <c r="H147" i="3" a="1"/>
  <c r="H147" i="3" s="1"/>
  <c r="R143" i="3" a="1"/>
  <c r="R143" i="3" s="1"/>
  <c r="T123" i="3" a="1"/>
  <c r="T123" i="3" s="1"/>
  <c r="O119" i="3" a="1"/>
  <c r="O119" i="3" s="1"/>
  <c r="R115" i="3" a="1"/>
  <c r="R115" i="3" s="1"/>
  <c r="AG111" i="3" a="1"/>
  <c r="AG111" i="3" s="1"/>
  <c r="J111" i="3" a="1"/>
  <c r="J111" i="3" s="1"/>
  <c r="AB103" i="3" a="1"/>
  <c r="AB103" i="3" s="1"/>
  <c r="AJ95" i="3" a="1"/>
  <c r="AJ95" i="3" s="1"/>
  <c r="J91" i="3" a="1"/>
  <c r="J91" i="3" s="1"/>
  <c r="Y79" i="3" a="1"/>
  <c r="Y79" i="3" s="1"/>
  <c r="M71" i="3" a="1"/>
  <c r="M71" i="3" s="1"/>
  <c r="Y67" i="3" a="1"/>
  <c r="Y67" i="3" s="1"/>
  <c r="F67" i="3" a="1"/>
  <c r="F67" i="3" s="1"/>
  <c r="J31" i="3" a="1"/>
  <c r="J31" i="3" s="1"/>
  <c r="N19" i="3" a="1"/>
  <c r="N19" i="3" s="1"/>
  <c r="AF11" i="3" a="1"/>
  <c r="AF11" i="3" s="1"/>
  <c r="I283" i="3" a="1"/>
  <c r="I283" i="3" s="1"/>
  <c r="V279" i="3" a="1"/>
  <c r="V279" i="3" s="1"/>
  <c r="J279" i="3" a="1"/>
  <c r="J279" i="3" s="1"/>
  <c r="X271" i="3" a="1"/>
  <c r="X271" i="3" s="1"/>
  <c r="J271" i="3" a="1"/>
  <c r="J271" i="3" s="1"/>
  <c r="AG267" i="3" a="1"/>
  <c r="AG267" i="3" s="1"/>
  <c r="E267" i="3" a="1"/>
  <c r="E267" i="3" s="1"/>
  <c r="AK255" i="3" a="1"/>
  <c r="AK255" i="3" s="1"/>
  <c r="K255" i="3" a="1"/>
  <c r="K255" i="3" s="1"/>
  <c r="P247" i="3" a="1"/>
  <c r="P247" i="3" s="1"/>
  <c r="T239" i="3" a="1"/>
  <c r="T239" i="3" s="1"/>
  <c r="O231" i="3" a="1"/>
  <c r="O231" i="3" s="1"/>
  <c r="M219" i="3" a="1"/>
  <c r="M219" i="3" s="1"/>
  <c r="S215" i="3" a="1"/>
  <c r="S215" i="3" s="1"/>
  <c r="AK195" i="3" a="1"/>
  <c r="AK195" i="3" s="1"/>
  <c r="AJ171" i="3" a="1"/>
  <c r="AJ171" i="3" s="1"/>
  <c r="V167" i="3" a="1"/>
  <c r="V167" i="3" s="1"/>
  <c r="AM163" i="3" a="1"/>
  <c r="AM163" i="3" s="1"/>
  <c r="Z159" i="3" a="1"/>
  <c r="Z159" i="3" s="1"/>
  <c r="O151" i="3" a="1"/>
  <c r="O151" i="3" s="1"/>
  <c r="E147" i="3" a="1"/>
  <c r="E147" i="3" s="1"/>
  <c r="Q143" i="3" a="1"/>
  <c r="Q143" i="3" s="1"/>
  <c r="AJ131" i="3" a="1"/>
  <c r="AJ131" i="3" s="1"/>
  <c r="S123" i="3" a="1"/>
  <c r="S123" i="3" s="1"/>
  <c r="N119" i="3" a="1"/>
  <c r="N119" i="3" s="1"/>
  <c r="Q115" i="3" a="1"/>
  <c r="Q115" i="3" s="1"/>
  <c r="AE111" i="3" a="1"/>
  <c r="AE111" i="3" s="1"/>
  <c r="T107" i="3" a="1"/>
  <c r="T107" i="3" s="1"/>
  <c r="W103" i="3" a="1"/>
  <c r="W103" i="3" s="1"/>
  <c r="X95" i="3" a="1"/>
  <c r="X95" i="3" s="1"/>
  <c r="G91" i="3" a="1"/>
  <c r="G91" i="3" s="1"/>
  <c r="L63" i="3" a="1"/>
  <c r="L63" i="3" s="1"/>
  <c r="AC51" i="3" a="1"/>
  <c r="AC51" i="3" s="1"/>
  <c r="H31" i="3" a="1"/>
  <c r="H31" i="3" s="1"/>
  <c r="L19" i="3" a="1"/>
  <c r="L19" i="3" s="1"/>
  <c r="AD11" i="3" a="1"/>
  <c r="AD11" i="3" s="1"/>
  <c r="U279" i="3" a="1"/>
  <c r="U279" i="3" s="1"/>
  <c r="T267" i="3" a="1"/>
  <c r="T267" i="3" s="1"/>
  <c r="D267" i="3" a="1"/>
  <c r="D267" i="3" s="1"/>
  <c r="AI255" i="3" a="1"/>
  <c r="AI255" i="3" s="1"/>
  <c r="J255" i="3" a="1"/>
  <c r="J255" i="3" s="1"/>
  <c r="AF247" i="3" a="1"/>
  <c r="AF247" i="3" s="1"/>
  <c r="N247" i="3" a="1"/>
  <c r="N247" i="3" s="1"/>
  <c r="K231" i="3" a="1"/>
  <c r="K231" i="3" s="1"/>
  <c r="R215" i="3" a="1"/>
  <c r="R215" i="3" s="1"/>
  <c r="L207" i="3" a="1"/>
  <c r="L207" i="3" s="1"/>
  <c r="AI195" i="3" a="1"/>
  <c r="AI195" i="3" s="1"/>
  <c r="H195" i="3" a="1"/>
  <c r="H195" i="3" s="1"/>
  <c r="AH171" i="3" a="1"/>
  <c r="AH171" i="3" s="1"/>
  <c r="U167" i="3" a="1"/>
  <c r="U167" i="3" s="1"/>
  <c r="AD163" i="3" a="1"/>
  <c r="AD163" i="3" s="1"/>
  <c r="Y159" i="3" a="1"/>
  <c r="Y159" i="3" s="1"/>
  <c r="N151" i="3" a="1"/>
  <c r="N151" i="3" s="1"/>
  <c r="R123" i="3" a="1"/>
  <c r="R123" i="3" s="1"/>
  <c r="M119" i="3" a="1"/>
  <c r="M119" i="3" s="1"/>
  <c r="P115" i="3" a="1"/>
  <c r="P115" i="3" s="1"/>
  <c r="AD111" i="3" a="1"/>
  <c r="AD111" i="3" s="1"/>
  <c r="I111" i="3" a="1"/>
  <c r="I111" i="3" s="1"/>
  <c r="V103" i="3" a="1"/>
  <c r="V103" i="3" s="1"/>
  <c r="L95" i="3" a="1"/>
  <c r="L95" i="3" s="1"/>
  <c r="L91" i="3" a="1"/>
  <c r="L91" i="3" s="1"/>
  <c r="X79" i="3" a="1"/>
  <c r="X79" i="3" s="1"/>
  <c r="W67" i="3" a="1"/>
  <c r="W67" i="3" s="1"/>
  <c r="D67" i="3" a="1"/>
  <c r="D67" i="3" s="1"/>
  <c r="K63" i="3" a="1"/>
  <c r="K63" i="3" s="1"/>
  <c r="X51" i="3" a="1"/>
  <c r="X51" i="3" s="1"/>
  <c r="AM31" i="3" a="1"/>
  <c r="AM31" i="3" s="1"/>
  <c r="F31" i="3" a="1"/>
  <c r="F31" i="3" s="1"/>
  <c r="J19" i="3" a="1"/>
  <c r="J19" i="3" s="1"/>
  <c r="AA11" i="3" a="1"/>
  <c r="AA11" i="3" s="1"/>
  <c r="S279" i="3" a="1"/>
  <c r="S279" i="3" s="1"/>
  <c r="W271" i="3" a="1"/>
  <c r="W271" i="3" s="1"/>
  <c r="I271" i="3" a="1"/>
  <c r="I271" i="3" s="1"/>
  <c r="S267" i="3" a="1"/>
  <c r="S267" i="3" s="1"/>
  <c r="AH255" i="3" a="1"/>
  <c r="AH255" i="3" s="1"/>
  <c r="I255" i="3" a="1"/>
  <c r="I255" i="3" s="1"/>
  <c r="M247" i="3" a="1"/>
  <c r="M247" i="3" s="1"/>
  <c r="J231" i="3" a="1"/>
  <c r="J231" i="3" s="1"/>
  <c r="N215" i="3" a="1"/>
  <c r="N215" i="3" s="1"/>
  <c r="AM207" i="3" a="1"/>
  <c r="AM207" i="3" s="1"/>
  <c r="AE171" i="3" a="1"/>
  <c r="AE171" i="3" s="1"/>
  <c r="T167" i="3" a="1"/>
  <c r="T167" i="3" s="1"/>
  <c r="AC163" i="3" a="1"/>
  <c r="AC163" i="3" s="1"/>
  <c r="K151" i="3" a="1"/>
  <c r="K151" i="3" s="1"/>
  <c r="AM143" i="3" a="1"/>
  <c r="AM143" i="3" s="1"/>
  <c r="P143" i="3" a="1"/>
  <c r="P143" i="3" s="1"/>
  <c r="AA131" i="3" a="1"/>
  <c r="AA131" i="3" s="1"/>
  <c r="O115" i="3" a="1"/>
  <c r="O115" i="3" s="1"/>
  <c r="AC111" i="3" a="1"/>
  <c r="AC111" i="3" s="1"/>
  <c r="H111" i="3" a="1"/>
  <c r="H111" i="3" s="1"/>
  <c r="U103" i="3" a="1"/>
  <c r="U103" i="3" s="1"/>
  <c r="W79" i="3" a="1"/>
  <c r="W79" i="3" s="1"/>
  <c r="AM67" i="3" a="1"/>
  <c r="AM67" i="3" s="1"/>
  <c r="U67" i="3" a="1"/>
  <c r="U67" i="3" s="1"/>
  <c r="J63" i="3" a="1"/>
  <c r="J63" i="3" s="1"/>
  <c r="S51" i="3" a="1"/>
  <c r="S51" i="3" s="1"/>
  <c r="AK31" i="3" a="1"/>
  <c r="AK31" i="3" s="1"/>
  <c r="D31" i="3" a="1"/>
  <c r="D31" i="3" s="1"/>
  <c r="W11" i="3" a="1"/>
  <c r="W11" i="3" s="1"/>
  <c r="AM279" i="3" a="1"/>
  <c r="AM279" i="3" s="1"/>
  <c r="H271" i="3" a="1"/>
  <c r="H271" i="3" s="1"/>
  <c r="Q267" i="3" a="1"/>
  <c r="Q267" i="3" s="1"/>
  <c r="AF255" i="3" a="1"/>
  <c r="AF255" i="3" s="1"/>
  <c r="H255" i="3" a="1"/>
  <c r="H255" i="3" s="1"/>
  <c r="AE247" i="3" a="1"/>
  <c r="AE247" i="3" s="1"/>
  <c r="L247" i="3" a="1"/>
  <c r="L247" i="3" s="1"/>
  <c r="M239" i="3" a="1"/>
  <c r="M239" i="3" s="1"/>
  <c r="W231" i="3" a="1"/>
  <c r="W231" i="3" s="1"/>
  <c r="AM215" i="3" a="1"/>
  <c r="AM215" i="3" s="1"/>
  <c r="AL207" i="3" a="1"/>
  <c r="AL207" i="3" s="1"/>
  <c r="AK203" i="3" a="1"/>
  <c r="AK203" i="3" s="1"/>
  <c r="AE195" i="3" a="1"/>
  <c r="AE195" i="3" s="1"/>
  <c r="AF187" i="3" a="1"/>
  <c r="AF187" i="3" s="1"/>
  <c r="T171" i="3" a="1"/>
  <c r="T171" i="3" s="1"/>
  <c r="S167" i="3" a="1"/>
  <c r="S167" i="3" s="1"/>
  <c r="AB163" i="3" a="1"/>
  <c r="AB163" i="3" s="1"/>
  <c r="F159" i="3" a="1"/>
  <c r="F159" i="3" s="1"/>
  <c r="G151" i="3" a="1"/>
  <c r="G151" i="3" s="1"/>
  <c r="AL143" i="3" a="1"/>
  <c r="AL143" i="3" s="1"/>
  <c r="N143" i="3" a="1"/>
  <c r="N143" i="3" s="1"/>
  <c r="W131" i="3" a="1"/>
  <c r="W131" i="3" s="1"/>
  <c r="L123" i="3" a="1"/>
  <c r="L123" i="3" s="1"/>
  <c r="E119" i="3" a="1"/>
  <c r="E119" i="3" s="1"/>
  <c r="K115" i="3" a="1"/>
  <c r="K115" i="3" s="1"/>
  <c r="L107" i="3" a="1"/>
  <c r="L107" i="3" s="1"/>
  <c r="T103" i="3" a="1"/>
  <c r="T103" i="3" s="1"/>
  <c r="AM91" i="3" a="1"/>
  <c r="AM91" i="3" s="1"/>
  <c r="AK87" i="3" a="1"/>
  <c r="AK87" i="3" s="1"/>
  <c r="AL67" i="3" a="1"/>
  <c r="AL67" i="3" s="1"/>
  <c r="I63" i="3" a="1"/>
  <c r="I63" i="3" s="1"/>
  <c r="R51" i="3" a="1"/>
  <c r="R51" i="3" s="1"/>
  <c r="AJ31" i="3" a="1"/>
  <c r="AJ31" i="3" s="1"/>
  <c r="AD31" i="3" a="1"/>
  <c r="AD31" i="3" s="1"/>
  <c r="H19" i="3" a="1"/>
  <c r="H19" i="3" s="1"/>
  <c r="Q279" i="3" a="1"/>
  <c r="Q279" i="3" s="1"/>
  <c r="AM271" i="3" a="1"/>
  <c r="AM271" i="3" s="1"/>
  <c r="V271" i="3" a="1"/>
  <c r="V271" i="3" s="1"/>
  <c r="AE267" i="3" a="1"/>
  <c r="AE267" i="3" s="1"/>
  <c r="R267" i="3" a="1"/>
  <c r="R267" i="3" s="1"/>
  <c r="AF263" i="3" a="1"/>
  <c r="AF263" i="3" s="1"/>
  <c r="AE255" i="3" a="1"/>
  <c r="AE255" i="3" s="1"/>
  <c r="G255" i="3" a="1"/>
  <c r="G255" i="3" s="1"/>
  <c r="M215" i="3" a="1"/>
  <c r="M215" i="3" s="1"/>
  <c r="AI207" i="3" a="1"/>
  <c r="AI207" i="3" s="1"/>
  <c r="AB203" i="3" a="1"/>
  <c r="AB203" i="3" s="1"/>
  <c r="AD195" i="3" a="1"/>
  <c r="AD195" i="3" s="1"/>
  <c r="U187" i="3" a="1"/>
  <c r="U187" i="3" s="1"/>
  <c r="R167" i="3" a="1"/>
  <c r="R167" i="3" s="1"/>
  <c r="AA163" i="3" a="1"/>
  <c r="AA163" i="3" s="1"/>
  <c r="M143" i="3" a="1"/>
  <c r="M143" i="3" s="1"/>
  <c r="V131" i="3" a="1"/>
  <c r="V131" i="3" s="1"/>
  <c r="K123" i="3" a="1"/>
  <c r="K123" i="3" s="1"/>
  <c r="D119" i="3" a="1"/>
  <c r="D119" i="3" s="1"/>
  <c r="AB111" i="3" a="1"/>
  <c r="AB111" i="3" s="1"/>
  <c r="G111" i="3" a="1"/>
  <c r="G111" i="3" s="1"/>
  <c r="J107" i="3" a="1"/>
  <c r="J107" i="3" s="1"/>
  <c r="S103" i="3" a="1"/>
  <c r="S103" i="3" s="1"/>
  <c r="AK91" i="3" a="1"/>
  <c r="AK91" i="3" s="1"/>
  <c r="AE87" i="3" a="1"/>
  <c r="AE87" i="3" s="1"/>
  <c r="V79" i="3" a="1"/>
  <c r="V79" i="3" s="1"/>
  <c r="S67" i="3" a="1"/>
  <c r="S67" i="3" s="1"/>
  <c r="T67" i="3" a="1"/>
  <c r="T67" i="3" s="1"/>
  <c r="H63" i="3" a="1"/>
  <c r="H63" i="3" s="1"/>
  <c r="Q51" i="3" a="1"/>
  <c r="Q51" i="3" s="1"/>
  <c r="AI31" i="3" a="1"/>
  <c r="AI31" i="3" s="1"/>
  <c r="G19" i="3" a="1"/>
  <c r="G19" i="3" s="1"/>
  <c r="U11" i="3" a="1"/>
  <c r="U11" i="3" s="1"/>
  <c r="AL279" i="3" a="1"/>
  <c r="AL279" i="3" s="1"/>
  <c r="AL271" i="3" a="1"/>
  <c r="AL271" i="3" s="1"/>
  <c r="G271" i="3" a="1"/>
  <c r="G271" i="3" s="1"/>
  <c r="T263" i="3" a="1"/>
  <c r="T263" i="3" s="1"/>
  <c r="AD255" i="3" a="1"/>
  <c r="AD255" i="3" s="1"/>
  <c r="AD247" i="3" a="1"/>
  <c r="AD247" i="3" s="1"/>
  <c r="K247" i="3" a="1"/>
  <c r="K247" i="3" s="1"/>
  <c r="AH235" i="3" a="1"/>
  <c r="AH235" i="3" s="1"/>
  <c r="AI227" i="3" a="1"/>
  <c r="AI227" i="3" s="1"/>
  <c r="AJ215" i="3" a="1"/>
  <c r="AJ215" i="3" s="1"/>
  <c r="L215" i="3" a="1"/>
  <c r="L215" i="3" s="1"/>
  <c r="AF207" i="3" a="1"/>
  <c r="AF207" i="3" s="1"/>
  <c r="AA203" i="3" a="1"/>
  <c r="AA203" i="3" s="1"/>
  <c r="AB195" i="3" a="1"/>
  <c r="AB195" i="3" s="1"/>
  <c r="J187" i="3" a="1"/>
  <c r="J187" i="3" s="1"/>
  <c r="AM167" i="3" a="1"/>
  <c r="AM167" i="3" s="1"/>
  <c r="Z163" i="3" a="1"/>
  <c r="Z163" i="3" s="1"/>
  <c r="K155" i="3" a="1"/>
  <c r="K155" i="3" s="1"/>
  <c r="D151" i="3" a="1"/>
  <c r="D151" i="3" s="1"/>
  <c r="AK143" i="3" a="1"/>
  <c r="AK143" i="3" s="1"/>
  <c r="K143" i="3" a="1"/>
  <c r="K143" i="3" s="1"/>
  <c r="O131" i="3" a="1"/>
  <c r="O131" i="3" s="1"/>
  <c r="H123" i="3" a="1"/>
  <c r="H123" i="3" s="1"/>
  <c r="J115" i="3" a="1"/>
  <c r="J115" i="3" s="1"/>
  <c r="AA111" i="3" a="1"/>
  <c r="AA111" i="3" s="1"/>
  <c r="F111" i="3" a="1"/>
  <c r="F111" i="3" s="1"/>
  <c r="AI91" i="3" a="1"/>
  <c r="AI91" i="3" s="1"/>
  <c r="AH87" i="3" a="1"/>
  <c r="AH87" i="3" s="1"/>
  <c r="T79" i="3" a="1"/>
  <c r="T79" i="3" s="1"/>
  <c r="AK67" i="3" a="1"/>
  <c r="AK67" i="3" s="1"/>
  <c r="R67" i="3" a="1"/>
  <c r="R67" i="3" s="1"/>
  <c r="F63" i="3" a="1"/>
  <c r="F63" i="3" s="1"/>
  <c r="P51" i="3" a="1"/>
  <c r="P51" i="3" s="1"/>
  <c r="AH31" i="3" a="1"/>
  <c r="AH31" i="3" s="1"/>
  <c r="T11" i="3" a="1"/>
  <c r="T11" i="3" s="1"/>
  <c r="P279" i="3" a="1"/>
  <c r="P279" i="3" s="1"/>
  <c r="U271" i="3" a="1"/>
  <c r="U271" i="3" s="1"/>
  <c r="F271" i="3" a="1"/>
  <c r="F271" i="3" s="1"/>
  <c r="AD267" i="3" a="1"/>
  <c r="AD267" i="3" s="1"/>
  <c r="P267" i="3" a="1"/>
  <c r="P267" i="3" s="1"/>
  <c r="Q263" i="3" a="1"/>
  <c r="Q263" i="3" s="1"/>
  <c r="F255" i="3" a="1"/>
  <c r="F255" i="3" s="1"/>
  <c r="AC247" i="3" a="1"/>
  <c r="AC247" i="3" s="1"/>
  <c r="AG227" i="3" a="1"/>
  <c r="AG227" i="3" s="1"/>
  <c r="AI215" i="3" a="1"/>
  <c r="AI215" i="3" s="1"/>
  <c r="AC207" i="3" a="1"/>
  <c r="AC207" i="3" s="1"/>
  <c r="Y203" i="3" a="1"/>
  <c r="Y203" i="3" s="1"/>
  <c r="AA195" i="3" a="1"/>
  <c r="AA195" i="3" s="1"/>
  <c r="AL167" i="3" a="1"/>
  <c r="AL167" i="3" s="1"/>
  <c r="Q167" i="3" a="1"/>
  <c r="Q167" i="3" s="1"/>
  <c r="X163" i="3" a="1"/>
  <c r="X163" i="3" s="1"/>
  <c r="AL151" i="3" a="1"/>
  <c r="AL151" i="3" s="1"/>
  <c r="AI143" i="3" a="1"/>
  <c r="AI143" i="3" s="1"/>
  <c r="J143" i="3" a="1"/>
  <c r="J143" i="3" s="1"/>
  <c r="F131" i="3" a="1"/>
  <c r="F131" i="3" s="1"/>
  <c r="G123" i="3" a="1"/>
  <c r="G123" i="3" s="1"/>
  <c r="I115" i="3" a="1"/>
  <c r="I115" i="3" s="1"/>
  <c r="Z111" i="3" a="1"/>
  <c r="Z111" i="3" s="1"/>
  <c r="H107" i="3" a="1"/>
  <c r="H107" i="3" s="1"/>
  <c r="R103" i="3" a="1"/>
  <c r="R103" i="3" s="1"/>
  <c r="AH91" i="3" a="1"/>
  <c r="AH91" i="3" s="1"/>
  <c r="AJ83" i="3" a="1"/>
  <c r="AJ83" i="3" s="1"/>
  <c r="Q79" i="3" a="1"/>
  <c r="Q79" i="3" s="1"/>
  <c r="AJ67" i="3" a="1"/>
  <c r="AJ67" i="3" s="1"/>
  <c r="Q67" i="3" a="1"/>
  <c r="Q67" i="3" s="1"/>
  <c r="AM63" i="3" a="1"/>
  <c r="AM63" i="3" s="1"/>
  <c r="E63" i="3" a="1"/>
  <c r="E63" i="3" s="1"/>
  <c r="M51" i="3" a="1"/>
  <c r="M51" i="3" s="1"/>
  <c r="AG31" i="3" a="1"/>
  <c r="AG31" i="3" s="1"/>
  <c r="AK19" i="3" a="1"/>
  <c r="AK19" i="3" s="1"/>
  <c r="I19" i="3" a="1"/>
  <c r="I19" i="3" s="1"/>
  <c r="Q11" i="3" a="1"/>
  <c r="Q11" i="3" s="1"/>
  <c r="AK279" i="3" a="1"/>
  <c r="AK279" i="3" s="1"/>
  <c r="AH271" i="3" a="1"/>
  <c r="AH271" i="3" s="1"/>
  <c r="T271" i="3" a="1"/>
  <c r="T271" i="3" s="1"/>
  <c r="D271" i="3" a="1"/>
  <c r="D271" i="3" s="1"/>
  <c r="O267" i="3" a="1"/>
  <c r="O267" i="3" s="1"/>
  <c r="J263" i="3" a="1"/>
  <c r="J263" i="3" s="1"/>
  <c r="AC255" i="3" a="1"/>
  <c r="AC255" i="3" s="1"/>
  <c r="D255" i="3" a="1"/>
  <c r="D255" i="3" s="1"/>
  <c r="AB247" i="3" a="1"/>
  <c r="AB247" i="3" s="1"/>
  <c r="J247" i="3" a="1"/>
  <c r="J247" i="3" s="1"/>
  <c r="AC235" i="3" a="1"/>
  <c r="AC235" i="3" s="1"/>
  <c r="AE227" i="3" a="1"/>
  <c r="AE227" i="3" s="1"/>
  <c r="AH215" i="3" a="1"/>
  <c r="AH215" i="3" s="1"/>
  <c r="AB207" i="3" a="1"/>
  <c r="AB207" i="3" s="1"/>
  <c r="S203" i="3" a="1"/>
  <c r="S203" i="3" s="1"/>
  <c r="X195" i="3" a="1"/>
  <c r="X195" i="3" s="1"/>
  <c r="AK167" i="3" a="1"/>
  <c r="AK167" i="3" s="1"/>
  <c r="P167" i="3" a="1"/>
  <c r="P167" i="3" s="1"/>
  <c r="W163" i="3" a="1"/>
  <c r="W163" i="3" s="1"/>
  <c r="AJ151" i="3" a="1"/>
  <c r="AJ151" i="3" s="1"/>
  <c r="X151" i="3" a="1"/>
  <c r="X151" i="3" s="1"/>
  <c r="AH143" i="3" a="1"/>
  <c r="AH143" i="3" s="1"/>
  <c r="I143" i="3" a="1"/>
  <c r="I143" i="3" s="1"/>
  <c r="AL115" i="3" a="1"/>
  <c r="AL115" i="3" s="1"/>
  <c r="E111" i="3" a="1"/>
  <c r="E111" i="3" s="1"/>
  <c r="P103" i="3" a="1"/>
  <c r="P103" i="3" s="1"/>
  <c r="AG91" i="3" a="1"/>
  <c r="AG91" i="3" s="1"/>
  <c r="O83" i="3" a="1"/>
  <c r="O83" i="3" s="1"/>
  <c r="O79" i="3" a="1"/>
  <c r="O79" i="3" s="1"/>
  <c r="AI67" i="3" a="1"/>
  <c r="AI67" i="3" s="1"/>
  <c r="D63" i="3" a="1"/>
  <c r="D63" i="3" s="1"/>
  <c r="L51" i="3" a="1"/>
  <c r="L51" i="3" s="1"/>
  <c r="AI19" i="3" a="1"/>
  <c r="AI19" i="3" s="1"/>
  <c r="AJ15" i="3" a="1"/>
  <c r="AJ15" i="3" s="1"/>
  <c r="O11" i="3" a="1"/>
  <c r="O11" i="3" s="1"/>
  <c r="AI279" i="3" a="1"/>
  <c r="AI279" i="3" s="1"/>
  <c r="O279" i="3" a="1"/>
  <c r="O279" i="3" s="1"/>
  <c r="AC267" i="3" a="1"/>
  <c r="AC267" i="3" s="1"/>
  <c r="N267" i="3" a="1"/>
  <c r="N267" i="3" s="1"/>
  <c r="R263" i="3" a="1"/>
  <c r="R263" i="3" s="1"/>
  <c r="AB255" i="3" a="1"/>
  <c r="AB255" i="3" s="1"/>
  <c r="AA247" i="3" a="1"/>
  <c r="AA247" i="3" s="1"/>
  <c r="Y235" i="3" a="1"/>
  <c r="Y235" i="3" s="1"/>
  <c r="J215" i="3" a="1"/>
  <c r="J215" i="3" s="1"/>
  <c r="AA207" i="3" a="1"/>
  <c r="AA207" i="3" s="1"/>
  <c r="N203" i="3" a="1"/>
  <c r="N203" i="3" s="1"/>
  <c r="W195" i="3" a="1"/>
  <c r="W195" i="3" s="1"/>
  <c r="AM179" i="3" a="1"/>
  <c r="AM179" i="3" s="1"/>
  <c r="AJ167" i="3" a="1"/>
  <c r="AJ167" i="3" s="1"/>
  <c r="O167" i="3" a="1"/>
  <c r="O167" i="3" s="1"/>
  <c r="L163" i="3" a="1"/>
  <c r="L163" i="3" s="1"/>
  <c r="AF143" i="3" a="1"/>
  <c r="AF143" i="3" s="1"/>
  <c r="H143" i="3" a="1"/>
  <c r="H143" i="3" s="1"/>
  <c r="K131" i="3" a="1"/>
  <c r="K131" i="3" s="1"/>
  <c r="AD123" i="3" a="1"/>
  <c r="AD123" i="3" s="1"/>
  <c r="G115" i="3" a="1"/>
  <c r="G115" i="3" s="1"/>
  <c r="W111" i="3" a="1"/>
  <c r="W111" i="3" s="1"/>
  <c r="G107" i="3" a="1"/>
  <c r="G107" i="3" s="1"/>
  <c r="O103" i="3" a="1"/>
  <c r="O103" i="3" s="1"/>
  <c r="AE91" i="3" a="1"/>
  <c r="AE91" i="3" s="1"/>
  <c r="AH67" i="3" a="1"/>
  <c r="AH67" i="3" s="1"/>
  <c r="P67" i="3" a="1"/>
  <c r="P67" i="3" s="1"/>
  <c r="AG63" i="3" a="1"/>
  <c r="AG63" i="3" s="1"/>
  <c r="S63" i="3" a="1"/>
  <c r="S63" i="3" s="1"/>
  <c r="K51" i="3" a="1"/>
  <c r="K51" i="3" s="1"/>
  <c r="AE31" i="3" a="1"/>
  <c r="AE31" i="3" s="1"/>
  <c r="AH19" i="3" a="1"/>
  <c r="AH19" i="3" s="1"/>
  <c r="AC15" i="3" a="1"/>
  <c r="AC15" i="3" s="1"/>
  <c r="AJ283" i="3" a="1"/>
  <c r="AJ283" i="3" s="1"/>
  <c r="AE279" i="3" a="1"/>
  <c r="AE279" i="3" s="1"/>
  <c r="AG271" i="3" a="1"/>
  <c r="AG271" i="3" s="1"/>
  <c r="S271" i="3" a="1"/>
  <c r="S271" i="3" s="1"/>
  <c r="N271" i="3" a="1"/>
  <c r="N271" i="3" s="1"/>
  <c r="M267" i="3" a="1"/>
  <c r="M267" i="3" s="1"/>
  <c r="AA255" i="3" a="1"/>
  <c r="AA255" i="3" s="1"/>
  <c r="Z247" i="3" a="1"/>
  <c r="Z247" i="3" s="1"/>
  <c r="I247" i="3" a="1"/>
  <c r="I247" i="3" s="1"/>
  <c r="T235" i="3" a="1"/>
  <c r="T235" i="3" s="1"/>
  <c r="K227" i="3" a="1"/>
  <c r="K227" i="3" s="1"/>
  <c r="AG215" i="3" a="1"/>
  <c r="AG215" i="3" s="1"/>
  <c r="Z207" i="3" a="1"/>
  <c r="Z207" i="3" s="1"/>
  <c r="G203" i="3" a="1"/>
  <c r="G203" i="3" s="1"/>
  <c r="V195" i="3" a="1"/>
  <c r="V195" i="3" s="1"/>
  <c r="AC179" i="3" a="1"/>
  <c r="AC179" i="3" s="1"/>
  <c r="AH167" i="3" a="1"/>
  <c r="AH167" i="3" s="1"/>
  <c r="M167" i="3" a="1"/>
  <c r="M167" i="3" s="1"/>
  <c r="K163" i="3" a="1"/>
  <c r="K163" i="3" s="1"/>
  <c r="AI151" i="3" a="1"/>
  <c r="AI151" i="3" s="1"/>
  <c r="AE143" i="3" a="1"/>
  <c r="AE143" i="3" s="1"/>
  <c r="AK115" i="3" a="1"/>
  <c r="AK115" i="3" s="1"/>
  <c r="V111" i="3" a="1"/>
  <c r="V111" i="3" s="1"/>
  <c r="N103" i="3" a="1"/>
  <c r="N103" i="3" s="1"/>
  <c r="AB91" i="3" a="1"/>
  <c r="AB91" i="3" s="1"/>
  <c r="L79" i="3" a="1"/>
  <c r="L79" i="3" s="1"/>
  <c r="AG67" i="3" a="1"/>
  <c r="AG67" i="3" s="1"/>
  <c r="O67" i="3" a="1"/>
  <c r="O67" i="3" s="1"/>
  <c r="AF63" i="3" a="1"/>
  <c r="AF63" i="3" s="1"/>
  <c r="J51" i="3" a="1"/>
  <c r="J51" i="3" s="1"/>
  <c r="AB31" i="3" a="1"/>
  <c r="AB31" i="3" s="1"/>
  <c r="AF19" i="3" a="1"/>
  <c r="AF19" i="3" s="1"/>
  <c r="Y15" i="3" a="1"/>
  <c r="Y15" i="3" s="1"/>
  <c r="I11" i="3" a="1"/>
  <c r="I11" i="3" s="1"/>
  <c r="AE283" i="3" a="1"/>
  <c r="AE283" i="3" s="1"/>
  <c r="N279" i="3" a="1"/>
  <c r="N279" i="3" s="1"/>
  <c r="AF271" i="3" a="1"/>
  <c r="AF271" i="3" s="1"/>
  <c r="R271" i="3" a="1"/>
  <c r="R271" i="3" s="1"/>
  <c r="AB267" i="3" a="1"/>
  <c r="AB267" i="3" s="1"/>
  <c r="L267" i="3" a="1"/>
  <c r="L267" i="3" s="1"/>
  <c r="AL259" i="3" a="1"/>
  <c r="AL259" i="3" s="1"/>
  <c r="Y255" i="3" a="1"/>
  <c r="Y255" i="3" s="1"/>
  <c r="T255" i="3" a="1"/>
  <c r="T255" i="3" s="1"/>
  <c r="Y247" i="3" a="1"/>
  <c r="Y247" i="3" s="1"/>
  <c r="H247" i="3" a="1"/>
  <c r="H247" i="3" s="1"/>
  <c r="S235" i="3" a="1"/>
  <c r="S235" i="3" s="1"/>
  <c r="I227" i="3" a="1"/>
  <c r="I227" i="3" s="1"/>
  <c r="I215" i="3" a="1"/>
  <c r="I215" i="3" s="1"/>
  <c r="W207" i="3" a="1"/>
  <c r="W207" i="3" s="1"/>
  <c r="AA179" i="3" a="1"/>
  <c r="AA179" i="3" s="1"/>
  <c r="AG167" i="3" a="1"/>
  <c r="AG167" i="3" s="1"/>
  <c r="L167" i="3" a="1"/>
  <c r="L167" i="3" s="1"/>
  <c r="AD151" i="3" a="1"/>
  <c r="AD151" i="3" s="1"/>
  <c r="AM147" i="3" a="1"/>
  <c r="AM147" i="3" s="1"/>
  <c r="AD143" i="3" a="1"/>
  <c r="AD143" i="3" s="1"/>
  <c r="G143" i="3" a="1"/>
  <c r="G143" i="3" s="1"/>
  <c r="AJ115" i="3" a="1"/>
  <c r="AJ115" i="3" s="1"/>
  <c r="J103" i="3" a="1"/>
  <c r="J103" i="3" s="1"/>
  <c r="W91" i="3" a="1"/>
  <c r="W91" i="3" s="1"/>
  <c r="AL79" i="3" a="1"/>
  <c r="AL79" i="3" s="1"/>
  <c r="J79" i="3" a="1"/>
  <c r="J79" i="3" s="1"/>
  <c r="AF67" i="3" a="1"/>
  <c r="AF67" i="3" s="1"/>
  <c r="N67" i="3" a="1"/>
  <c r="N67" i="3" s="1"/>
  <c r="AE63" i="3" a="1"/>
  <c r="AE63" i="3" s="1"/>
  <c r="V59" i="3" a="1"/>
  <c r="V59" i="3" s="1"/>
  <c r="I51" i="3" a="1"/>
  <c r="I51" i="3" s="1"/>
  <c r="AA31" i="3" a="1"/>
  <c r="AA31" i="3" s="1"/>
  <c r="AE19" i="3" a="1"/>
  <c r="AE19" i="3" s="1"/>
  <c r="R15" i="3" a="1"/>
  <c r="R15" i="3" s="1"/>
  <c r="G11" i="3" a="1"/>
  <c r="G11" i="3" s="1"/>
  <c r="AC279" i="3" a="1"/>
  <c r="AC279" i="3" s="1"/>
  <c r="AA267" i="3" a="1"/>
  <c r="AA267" i="3" s="1"/>
  <c r="AK259" i="3" a="1"/>
  <c r="AK259" i="3" s="1"/>
  <c r="G247" i="3" a="1"/>
  <c r="G247" i="3" s="1"/>
  <c r="R235" i="3" a="1"/>
  <c r="R235" i="3" s="1"/>
  <c r="D227" i="3" a="1"/>
  <c r="D227" i="3" s="1"/>
  <c r="AE215" i="3" a="1"/>
  <c r="AE215" i="3" s="1"/>
  <c r="R207" i="3" a="1"/>
  <c r="R207" i="3" s="1"/>
  <c r="R195" i="3" a="1"/>
  <c r="R195" i="3" s="1"/>
  <c r="T179" i="3" a="1"/>
  <c r="T179" i="3" s="1"/>
  <c r="I167" i="3" a="1"/>
  <c r="I167" i="3" s="1"/>
  <c r="J163" i="3" a="1"/>
  <c r="J163" i="3" s="1"/>
  <c r="AB151" i="3" a="1"/>
  <c r="AB151" i="3" s="1"/>
  <c r="AK147" i="3" a="1"/>
  <c r="AK147" i="3" s="1"/>
  <c r="AC143" i="3" a="1"/>
  <c r="AC143" i="3" s="1"/>
  <c r="AI119" i="3" a="1"/>
  <c r="AI119" i="3" s="1"/>
  <c r="N115" i="3" a="1"/>
  <c r="N115" i="3" s="1"/>
  <c r="T111" i="3" a="1"/>
  <c r="T111" i="3" s="1"/>
  <c r="AH107" i="3" a="1"/>
  <c r="AH107" i="3" s="1"/>
  <c r="K107" i="3" a="1"/>
  <c r="K107" i="3" s="1"/>
  <c r="H103" i="3" a="1"/>
  <c r="H103" i="3" s="1"/>
  <c r="V91" i="3" a="1"/>
  <c r="V91" i="3" s="1"/>
  <c r="I79" i="3" a="1"/>
  <c r="I79" i="3" s="1"/>
  <c r="AE67" i="3" a="1"/>
  <c r="AE67" i="3" s="1"/>
  <c r="M67" i="3" a="1"/>
  <c r="M67" i="3" s="1"/>
  <c r="AC63" i="3" a="1"/>
  <c r="AC63" i="3" s="1"/>
  <c r="Z31" i="3" a="1"/>
  <c r="Z31" i="3" s="1"/>
  <c r="AC19" i="3" a="1"/>
  <c r="AC19" i="3" s="1"/>
  <c r="N15" i="3" a="1"/>
  <c r="N15" i="3" s="1"/>
  <c r="AE271" i="3" a="1"/>
  <c r="AE271" i="3" s="1"/>
  <c r="Q271" i="3" a="1"/>
  <c r="Q271" i="3" s="1"/>
  <c r="AM267" i="3" a="1"/>
  <c r="AM267" i="3" s="1"/>
  <c r="Z267" i="3" a="1"/>
  <c r="Z267" i="3" s="1"/>
  <c r="J267" i="3" a="1"/>
  <c r="J267" i="3" s="1"/>
  <c r="AC259" i="3" a="1"/>
  <c r="AC259" i="3" s="1"/>
  <c r="S255" i="3" a="1"/>
  <c r="S255" i="3" s="1"/>
  <c r="AC251" i="3" a="1"/>
  <c r="AC251" i="3" s="1"/>
  <c r="W247" i="3" a="1"/>
  <c r="W247" i="3" s="1"/>
  <c r="F247" i="3" a="1"/>
  <c r="F247" i="3" s="1"/>
  <c r="AH227" i="3" a="1"/>
  <c r="AH227" i="3" s="1"/>
  <c r="AD215" i="3" a="1"/>
  <c r="AD215" i="3" s="1"/>
  <c r="E215" i="3" a="1"/>
  <c r="E215" i="3" s="1"/>
  <c r="Q207" i="3" a="1"/>
  <c r="Q207" i="3" s="1"/>
  <c r="R179" i="3" a="1"/>
  <c r="R179" i="3" s="1"/>
  <c r="AD167" i="3" a="1"/>
  <c r="AD167" i="3" s="1"/>
  <c r="H167" i="3" a="1"/>
  <c r="H167" i="3" s="1"/>
  <c r="I163" i="3" a="1"/>
  <c r="I163" i="3" s="1"/>
  <c r="AA151" i="3" a="1"/>
  <c r="AA151" i="3" s="1"/>
  <c r="AF147" i="3" a="1"/>
  <c r="AF147" i="3" s="1"/>
  <c r="AH123" i="3" a="1"/>
  <c r="AH123" i="3" s="1"/>
  <c r="AF115" i="3" a="1"/>
  <c r="AF115" i="3" s="1"/>
  <c r="AF107" i="3" a="1"/>
  <c r="AF107" i="3" s="1"/>
  <c r="G103" i="3" a="1"/>
  <c r="G103" i="3" s="1"/>
  <c r="S91" i="3" a="1"/>
  <c r="S91" i="3" s="1"/>
  <c r="AK79" i="3" a="1"/>
  <c r="AK79" i="3" s="1"/>
  <c r="G79" i="3" a="1"/>
  <c r="G79" i="3" s="1"/>
  <c r="AD67" i="3" a="1"/>
  <c r="AD67" i="3" s="1"/>
  <c r="H51" i="3" a="1"/>
  <c r="H51" i="3" s="1"/>
  <c r="W31" i="3" a="1"/>
  <c r="W31" i="3" s="1"/>
  <c r="Z19" i="3" a="1"/>
  <c r="Z19" i="3" s="1"/>
  <c r="D15" i="3" a="1"/>
  <c r="D15" i="3" s="1"/>
  <c r="E11" i="3" a="1"/>
  <c r="E11" i="3" s="1"/>
  <c r="AC283" i="3" a="1"/>
  <c r="AC283" i="3" s="1"/>
  <c r="P271" i="3" a="1"/>
  <c r="P271" i="3" s="1"/>
  <c r="Y267" i="3" a="1"/>
  <c r="Y267" i="3" s="1"/>
  <c r="Z259" i="3" a="1"/>
  <c r="Z259" i="3" s="1"/>
  <c r="H251" i="3" a="1"/>
  <c r="H251" i="3" s="1"/>
  <c r="E247" i="3" a="1"/>
  <c r="E247" i="3" s="1"/>
  <c r="AK231" i="3" a="1"/>
  <c r="AK231" i="3" s="1"/>
  <c r="Z215" i="3" a="1"/>
  <c r="Z215" i="3" s="1"/>
  <c r="D215" i="3" a="1"/>
  <c r="D215" i="3" s="1"/>
  <c r="P207" i="3" a="1"/>
  <c r="P207" i="3" s="1"/>
  <c r="Z199" i="3" a="1"/>
  <c r="Z199" i="3" s="1"/>
  <c r="H179" i="3" a="1"/>
  <c r="H179" i="3" s="1"/>
  <c r="AC147" i="3" a="1"/>
  <c r="AC147" i="3" s="1"/>
  <c r="AF119" i="3" a="1"/>
  <c r="AF119" i="3" s="1"/>
  <c r="Z115" i="3" a="1"/>
  <c r="Z115" i="3" s="1"/>
  <c r="W275" i="3" a="1"/>
  <c r="W275" i="3" s="1"/>
  <c r="X275" i="3" a="1"/>
  <c r="X275" i="3" s="1"/>
  <c r="N275" i="3" a="1"/>
  <c r="N275" i="3" s="1"/>
  <c r="AI275" i="3" a="1"/>
  <c r="AI275" i="3" s="1"/>
  <c r="L275" i="3" a="1"/>
  <c r="L275" i="3" s="1"/>
  <c r="M275" i="3" a="1"/>
  <c r="M275" i="3" s="1"/>
  <c r="Z275" i="3" a="1"/>
  <c r="Z275" i="3" s="1"/>
  <c r="AL275" i="3" a="1"/>
  <c r="AL275" i="3" s="1"/>
  <c r="AM275" i="3" a="1"/>
  <c r="AM275" i="3" s="1"/>
  <c r="O275" i="3" a="1"/>
  <c r="O275" i="3" s="1"/>
  <c r="AA275" i="3" a="1"/>
  <c r="AA275" i="3" s="1"/>
  <c r="D275" i="3" a="1"/>
  <c r="D275" i="3" s="1"/>
  <c r="P275" i="3" a="1"/>
  <c r="P275" i="3" s="1"/>
  <c r="AB275" i="3" a="1"/>
  <c r="AB275" i="3" s="1"/>
  <c r="E275" i="3" a="1"/>
  <c r="E275" i="3" s="1"/>
  <c r="Q275" i="3" a="1"/>
  <c r="Q275" i="3" s="1"/>
  <c r="AC275" i="3" a="1"/>
  <c r="AC275" i="3" s="1"/>
  <c r="AD275" i="3" a="1"/>
  <c r="AD275" i="3" s="1"/>
  <c r="F275" i="3" a="1"/>
  <c r="F275" i="3" s="1"/>
  <c r="R275" i="3" a="1"/>
  <c r="R275" i="3" s="1"/>
  <c r="S275" i="3" a="1"/>
  <c r="S275" i="3" s="1"/>
  <c r="AE275" i="3" a="1"/>
  <c r="AE275" i="3" s="1"/>
  <c r="G275" i="3" a="1"/>
  <c r="G275" i="3" s="1"/>
  <c r="T275" i="3" a="1"/>
  <c r="T275" i="3" s="1"/>
  <c r="AF275" i="3" a="1"/>
  <c r="AF275" i="3" s="1"/>
  <c r="H275" i="3" a="1"/>
  <c r="H275" i="3" s="1"/>
  <c r="I275" i="3" a="1"/>
  <c r="I275" i="3" s="1"/>
  <c r="U275" i="3" a="1"/>
  <c r="U275" i="3" s="1"/>
  <c r="AG275" i="3" a="1"/>
  <c r="AG275" i="3" s="1"/>
  <c r="C274" i="3" a="1"/>
  <c r="C274" i="3" s="1"/>
  <c r="AH275" i="3" a="1"/>
  <c r="AH275" i="3" s="1"/>
  <c r="J275" i="3" a="1"/>
  <c r="J275" i="3" s="1"/>
  <c r="V275" i="3" a="1"/>
  <c r="V275" i="3" s="1"/>
  <c r="AJ275" i="3" a="1"/>
  <c r="AJ275" i="3" s="1"/>
  <c r="K275" i="3" a="1"/>
  <c r="K275" i="3" s="1"/>
  <c r="Y275" i="3" a="1"/>
  <c r="Y275" i="3" s="1"/>
  <c r="AK275" i="3" a="1"/>
  <c r="AK275" i="3" s="1"/>
  <c r="AF283" i="3" a="1"/>
  <c r="AF283" i="3" s="1"/>
  <c r="AI263" i="3" a="1"/>
  <c r="AI263" i="3" s="1"/>
  <c r="C262" i="3" a="1"/>
  <c r="C262" i="3" s="1"/>
  <c r="F263" i="3" a="1"/>
  <c r="F263" i="3" s="1"/>
  <c r="AA263" i="3" a="1"/>
  <c r="AA263" i="3" s="1"/>
  <c r="G263" i="3" a="1"/>
  <c r="G263" i="3" s="1"/>
  <c r="AB263" i="3" a="1"/>
  <c r="AB263" i="3" s="1"/>
  <c r="H263" i="3" a="1"/>
  <c r="H263" i="3" s="1"/>
  <c r="AC263" i="3" a="1"/>
  <c r="AC263" i="3" s="1"/>
  <c r="S263" i="3" a="1"/>
  <c r="S263" i="3" s="1"/>
  <c r="I263" i="3" a="1"/>
  <c r="I263" i="3" s="1"/>
  <c r="AD263" i="3" a="1"/>
  <c r="AD263" i="3" s="1"/>
  <c r="V263" i="3" a="1"/>
  <c r="V263" i="3" s="1"/>
  <c r="AG263" i="3" a="1"/>
  <c r="AG263" i="3" s="1"/>
  <c r="L263" i="3" a="1"/>
  <c r="L263" i="3" s="1"/>
  <c r="W263" i="3" a="1"/>
  <c r="W263" i="3" s="1"/>
  <c r="T283" i="3" a="1"/>
  <c r="T283" i="3" s="1"/>
  <c r="AD279" i="3" a="1"/>
  <c r="AD279" i="3" s="1"/>
  <c r="R279" i="3" a="1"/>
  <c r="R279" i="3" s="1"/>
  <c r="F279" i="3" a="1"/>
  <c r="F279" i="3" s="1"/>
  <c r="AH263" i="3" a="1"/>
  <c r="AH263" i="3" s="1"/>
  <c r="P263" i="3" a="1"/>
  <c r="P263" i="3" s="1"/>
  <c r="AJ259" i="3" a="1"/>
  <c r="AJ259" i="3" s="1"/>
  <c r="E259" i="3" a="1"/>
  <c r="E259" i="3" s="1"/>
  <c r="AD259" i="3" a="1"/>
  <c r="AD259" i="3" s="1"/>
  <c r="O263" i="3" a="1"/>
  <c r="O263" i="3" s="1"/>
  <c r="H283" i="3" a="1"/>
  <c r="H283" i="3" s="1"/>
  <c r="R283" i="3" a="1"/>
  <c r="R283" i="3" s="1"/>
  <c r="AB283" i="3" a="1"/>
  <c r="AB283" i="3" s="1"/>
  <c r="AL283" i="3" a="1"/>
  <c r="AL283" i="3" s="1"/>
  <c r="AE263" i="3" a="1"/>
  <c r="AE263" i="3" s="1"/>
  <c r="AB259" i="3" a="1"/>
  <c r="AB259" i="3" s="1"/>
  <c r="N263" i="3" a="1"/>
  <c r="N263" i="3" s="1"/>
  <c r="G243" i="3" a="1"/>
  <c r="G243" i="3" s="1"/>
  <c r="AB243" i="3" a="1"/>
  <c r="AB243" i="3" s="1"/>
  <c r="J243" i="3" a="1"/>
  <c r="J243" i="3" s="1"/>
  <c r="AE243" i="3" a="1"/>
  <c r="AE243" i="3" s="1"/>
  <c r="V243" i="3" a="1"/>
  <c r="V243" i="3" s="1"/>
  <c r="AG243" i="3" a="1"/>
  <c r="AG243" i="3" s="1"/>
  <c r="F243" i="3" a="1"/>
  <c r="F243" i="3" s="1"/>
  <c r="S243" i="3" a="1"/>
  <c r="S243" i="3" s="1"/>
  <c r="AF243" i="3" a="1"/>
  <c r="AF243" i="3" s="1"/>
  <c r="H243" i="3" a="1"/>
  <c r="H243" i="3" s="1"/>
  <c r="T243" i="3" a="1"/>
  <c r="T243" i="3" s="1"/>
  <c r="U243" i="3" a="1"/>
  <c r="U243" i="3" s="1"/>
  <c r="AH243" i="3" a="1"/>
  <c r="AH243" i="3" s="1"/>
  <c r="I243" i="3" a="1"/>
  <c r="I243" i="3" s="1"/>
  <c r="C242" i="3" a="1"/>
  <c r="C242" i="3" s="1"/>
  <c r="W243" i="3" a="1"/>
  <c r="W243" i="3" s="1"/>
  <c r="AI243" i="3" a="1"/>
  <c r="AI243" i="3" s="1"/>
  <c r="K243" i="3" a="1"/>
  <c r="K243" i="3" s="1"/>
  <c r="X243" i="3" a="1"/>
  <c r="X243" i="3" s="1"/>
  <c r="AJ243" i="3" a="1"/>
  <c r="AJ243" i="3" s="1"/>
  <c r="L243" i="3" a="1"/>
  <c r="L243" i="3" s="1"/>
  <c r="M243" i="3" a="1"/>
  <c r="M243" i="3" s="1"/>
  <c r="Y243" i="3" a="1"/>
  <c r="Y243" i="3" s="1"/>
  <c r="AK243" i="3" a="1"/>
  <c r="AK243" i="3" s="1"/>
  <c r="N243" i="3" a="1"/>
  <c r="N243" i="3" s="1"/>
  <c r="Z243" i="3" a="1"/>
  <c r="Z243" i="3" s="1"/>
  <c r="AL243" i="3" a="1"/>
  <c r="AL243" i="3" s="1"/>
  <c r="AM243" i="3" a="1"/>
  <c r="AM243" i="3" s="1"/>
  <c r="O243" i="3" a="1"/>
  <c r="O243" i="3" s="1"/>
  <c r="AA243" i="3" a="1"/>
  <c r="AA243" i="3" s="1"/>
  <c r="D243" i="3" a="1"/>
  <c r="D243" i="3" s="1"/>
  <c r="P243" i="3" a="1"/>
  <c r="P243" i="3" s="1"/>
  <c r="AC243" i="3" a="1"/>
  <c r="AC243" i="3" s="1"/>
  <c r="E243" i="3" a="1"/>
  <c r="E243" i="3" s="1"/>
  <c r="Q243" i="3" a="1"/>
  <c r="Q243" i="3" s="1"/>
  <c r="R243" i="3" a="1"/>
  <c r="R243" i="3" s="1"/>
  <c r="AD243" i="3" a="1"/>
  <c r="AD243" i="3" s="1"/>
  <c r="M263" i="3" a="1"/>
  <c r="M263" i="3" s="1"/>
  <c r="AA283" i="3" a="1"/>
  <c r="AA283" i="3" s="1"/>
  <c r="P283" i="3" a="1"/>
  <c r="P283" i="3" s="1"/>
  <c r="E283" i="3" a="1"/>
  <c r="E283" i="3" s="1"/>
  <c r="K263" i="3" a="1"/>
  <c r="K263" i="3" s="1"/>
  <c r="AM283" i="3" a="1"/>
  <c r="AM283" i="3" s="1"/>
  <c r="Q283" i="3" a="1"/>
  <c r="Q283" i="3" s="1"/>
  <c r="F283" i="3" a="1"/>
  <c r="F283" i="3" s="1"/>
  <c r="AK283" i="3" a="1"/>
  <c r="AK283" i="3" s="1"/>
  <c r="Z283" i="3" a="1"/>
  <c r="Z283" i="3" s="1"/>
  <c r="O283" i="3" a="1"/>
  <c r="O283" i="3" s="1"/>
  <c r="D283" i="3" a="1"/>
  <c r="D283" i="3" s="1"/>
  <c r="Z263" i="3" a="1"/>
  <c r="Z263" i="3" s="1"/>
  <c r="Y263" i="3" a="1"/>
  <c r="Y263" i="3" s="1"/>
  <c r="Q259" i="3" a="1"/>
  <c r="Q259" i="3" s="1"/>
  <c r="Y283" i="3" a="1"/>
  <c r="Y283" i="3" s="1"/>
  <c r="N283" i="3" a="1"/>
  <c r="N283" i="3" s="1"/>
  <c r="AI283" i="3" a="1"/>
  <c r="AI283" i="3" s="1"/>
  <c r="X283" i="3" a="1"/>
  <c r="X283" i="3" s="1"/>
  <c r="M283" i="3" a="1"/>
  <c r="M283" i="3" s="1"/>
  <c r="AJ279" i="3" a="1"/>
  <c r="AJ279" i="3" s="1"/>
  <c r="X279" i="3" a="1"/>
  <c r="X279" i="3" s="1"/>
  <c r="AM263" i="3" a="1"/>
  <c r="AM263" i="3" s="1"/>
  <c r="X263" i="3" a="1"/>
  <c r="X263" i="3" s="1"/>
  <c r="AH283" i="3" a="1"/>
  <c r="AH283" i="3" s="1"/>
  <c r="AL263" i="3" a="1"/>
  <c r="AL263" i="3" s="1"/>
  <c r="R259" i="3" a="1"/>
  <c r="R259" i="3" s="1"/>
  <c r="AM259" i="3" a="1"/>
  <c r="AM259" i="3" s="1"/>
  <c r="S259" i="3" a="1"/>
  <c r="S259" i="3" s="1"/>
  <c r="T259" i="3" a="1"/>
  <c r="T259" i="3" s="1"/>
  <c r="AE259" i="3" a="1"/>
  <c r="AE259" i="3" s="1"/>
  <c r="J259" i="3" a="1"/>
  <c r="J259" i="3" s="1"/>
  <c r="U259" i="3" a="1"/>
  <c r="U259" i="3" s="1"/>
  <c r="K259" i="3" a="1"/>
  <c r="K259" i="3" s="1"/>
  <c r="AF259" i="3" a="1"/>
  <c r="AF259" i="3" s="1"/>
  <c r="V259" i="3" a="1"/>
  <c r="V259" i="3" s="1"/>
  <c r="L259" i="3" a="1"/>
  <c r="L259" i="3" s="1"/>
  <c r="AG259" i="3" a="1"/>
  <c r="AG259" i="3" s="1"/>
  <c r="W259" i="3" a="1"/>
  <c r="W259" i="3" s="1"/>
  <c r="M259" i="3" a="1"/>
  <c r="M259" i="3" s="1"/>
  <c r="AH259" i="3" a="1"/>
  <c r="AH259" i="3" s="1"/>
  <c r="X259" i="3" a="1"/>
  <c r="X259" i="3" s="1"/>
  <c r="N259" i="3" a="1"/>
  <c r="N259" i="3" s="1"/>
  <c r="AI259" i="3" a="1"/>
  <c r="AI259" i="3" s="1"/>
  <c r="D259" i="3" a="1"/>
  <c r="D259" i="3" s="1"/>
  <c r="Y259" i="3" a="1"/>
  <c r="Y259" i="3" s="1"/>
  <c r="C258" i="3" a="1"/>
  <c r="C258" i="3" s="1"/>
  <c r="F259" i="3" a="1"/>
  <c r="F259" i="3" s="1"/>
  <c r="AA259" i="3" a="1"/>
  <c r="AA259" i="3" s="1"/>
  <c r="AK263" i="3" a="1"/>
  <c r="AK263" i="3" s="1"/>
  <c r="E263" i="3" a="1"/>
  <c r="E263" i="3" s="1"/>
  <c r="O259" i="3" a="1"/>
  <c r="O259" i="3" s="1"/>
  <c r="AG283" i="3" a="1"/>
  <c r="AG283" i="3" s="1"/>
  <c r="K279" i="3" a="1"/>
  <c r="K279" i="3" s="1"/>
  <c r="AF279" i="3" a="1"/>
  <c r="AF279" i="3" s="1"/>
  <c r="L279" i="3" a="1"/>
  <c r="L279" i="3" s="1"/>
  <c r="AG279" i="3" a="1"/>
  <c r="AG279" i="3" s="1"/>
  <c r="W279" i="3" a="1"/>
  <c r="W279" i="3" s="1"/>
  <c r="U263" i="3" a="1"/>
  <c r="U263" i="3" s="1"/>
  <c r="I259" i="3" a="1"/>
  <c r="I259" i="3" s="1"/>
  <c r="W283" i="3" a="1"/>
  <c r="W283" i="3" s="1"/>
  <c r="L283" i="3" a="1"/>
  <c r="L283" i="3" s="1"/>
  <c r="V283" i="3" a="1"/>
  <c r="V283" i="3" s="1"/>
  <c r="K283" i="3" a="1"/>
  <c r="K283" i="3" s="1"/>
  <c r="AH279" i="3" a="1"/>
  <c r="AH279" i="3" s="1"/>
  <c r="T279" i="3" a="1"/>
  <c r="T279" i="3" s="1"/>
  <c r="H279" i="3" a="1"/>
  <c r="H279" i="3" s="1"/>
  <c r="AJ263" i="3" a="1"/>
  <c r="AJ263" i="3" s="1"/>
  <c r="D263" i="3" a="1"/>
  <c r="D263" i="3" s="1"/>
  <c r="H259" i="3" a="1"/>
  <c r="H259" i="3" s="1"/>
  <c r="U251" i="3" a="1"/>
  <c r="U251" i="3" s="1"/>
  <c r="K251" i="3" a="1"/>
  <c r="K251" i="3" s="1"/>
  <c r="AF251" i="3" a="1"/>
  <c r="AF251" i="3" s="1"/>
  <c r="V251" i="3" a="1"/>
  <c r="V251" i="3" s="1"/>
  <c r="L251" i="3" a="1"/>
  <c r="L251" i="3" s="1"/>
  <c r="AG251" i="3" a="1"/>
  <c r="AG251" i="3" s="1"/>
  <c r="W251" i="3" a="1"/>
  <c r="W251" i="3" s="1"/>
  <c r="M251" i="3" a="1"/>
  <c r="M251" i="3" s="1"/>
  <c r="AH251" i="3" a="1"/>
  <c r="AH251" i="3" s="1"/>
  <c r="X251" i="3" a="1"/>
  <c r="X251" i="3" s="1"/>
  <c r="N251" i="3" a="1"/>
  <c r="N251" i="3" s="1"/>
  <c r="AI251" i="3" a="1"/>
  <c r="AI251" i="3" s="1"/>
  <c r="D251" i="3" a="1"/>
  <c r="D251" i="3" s="1"/>
  <c r="Y251" i="3" a="1"/>
  <c r="Y251" i="3" s="1"/>
  <c r="O251" i="3" a="1"/>
  <c r="O251" i="3" s="1"/>
  <c r="AJ251" i="3" a="1"/>
  <c r="AJ251" i="3" s="1"/>
  <c r="E251" i="3" a="1"/>
  <c r="E251" i="3" s="1"/>
  <c r="Z251" i="3" a="1"/>
  <c r="Z251" i="3" s="1"/>
  <c r="AK251" i="3" a="1"/>
  <c r="AK251" i="3" s="1"/>
  <c r="P251" i="3" a="1"/>
  <c r="P251" i="3" s="1"/>
  <c r="AA251" i="3" a="1"/>
  <c r="AA251" i="3" s="1"/>
  <c r="C250" i="3" a="1"/>
  <c r="C250" i="3" s="1"/>
  <c r="F251" i="3" a="1"/>
  <c r="F251" i="3" s="1"/>
  <c r="Q251" i="3" a="1"/>
  <c r="Q251" i="3" s="1"/>
  <c r="AL251" i="3" a="1"/>
  <c r="AL251" i="3" s="1"/>
  <c r="G251" i="3" a="1"/>
  <c r="G251" i="3" s="1"/>
  <c r="AB251" i="3" a="1"/>
  <c r="AB251" i="3" s="1"/>
  <c r="R251" i="3" a="1"/>
  <c r="R251" i="3" s="1"/>
  <c r="AM251" i="3" a="1"/>
  <c r="AM251" i="3" s="1"/>
  <c r="S251" i="3" a="1"/>
  <c r="S251" i="3" s="1"/>
  <c r="I251" i="3" a="1"/>
  <c r="I251" i="3" s="1"/>
  <c r="AD251" i="3" a="1"/>
  <c r="AD251" i="3" s="1"/>
  <c r="T251" i="3" a="1"/>
  <c r="T251" i="3" s="1"/>
  <c r="J251" i="3" a="1"/>
  <c r="J251" i="3" s="1"/>
  <c r="AE251" i="3" a="1"/>
  <c r="AE251" i="3" s="1"/>
  <c r="S239" i="3" a="1"/>
  <c r="S239" i="3" s="1"/>
  <c r="J239" i="3" a="1"/>
  <c r="J239" i="3" s="1"/>
  <c r="U239" i="3" a="1"/>
  <c r="U239" i="3" s="1"/>
  <c r="K239" i="3" a="1"/>
  <c r="K239" i="3" s="1"/>
  <c r="AF239" i="3" a="1"/>
  <c r="AF239" i="3" s="1"/>
  <c r="L239" i="3" a="1"/>
  <c r="L239" i="3" s="1"/>
  <c r="AG239" i="3" a="1"/>
  <c r="AG239" i="3" s="1"/>
  <c r="W239" i="3" a="1"/>
  <c r="W239" i="3" s="1"/>
  <c r="X239" i="3" a="1"/>
  <c r="X239" i="3" s="1"/>
  <c r="D239" i="3" a="1"/>
  <c r="D239" i="3" s="1"/>
  <c r="Y239" i="3" a="1"/>
  <c r="Y239" i="3" s="1"/>
  <c r="O239" i="3" a="1"/>
  <c r="O239" i="3" s="1"/>
  <c r="AJ239" i="3" a="1"/>
  <c r="AJ239" i="3" s="1"/>
  <c r="P239" i="3" a="1"/>
  <c r="P239" i="3" s="1"/>
  <c r="AK239" i="3" a="1"/>
  <c r="AK239" i="3" s="1"/>
  <c r="AM239" i="3" a="1"/>
  <c r="AM239" i="3" s="1"/>
  <c r="Q239" i="3" a="1"/>
  <c r="Q239" i="3" s="1"/>
  <c r="Z255" i="3" a="1"/>
  <c r="Z255" i="3" s="1"/>
  <c r="E255" i="3" a="1"/>
  <c r="E255" i="3" s="1"/>
  <c r="AI239" i="3" a="1"/>
  <c r="AI239" i="3" s="1"/>
  <c r="AJ255" i="3" a="1"/>
  <c r="AJ255" i="3" s="1"/>
  <c r="O255" i="3" a="1"/>
  <c r="O255" i="3" s="1"/>
  <c r="AH239" i="3" a="1"/>
  <c r="AH239" i="3" s="1"/>
  <c r="J235" i="3" a="1"/>
  <c r="J235" i="3" s="1"/>
  <c r="AE235" i="3" a="1"/>
  <c r="AE235" i="3" s="1"/>
  <c r="U235" i="3" a="1"/>
  <c r="U235" i="3" s="1"/>
  <c r="K235" i="3" a="1"/>
  <c r="K235" i="3" s="1"/>
  <c r="AF235" i="3" a="1"/>
  <c r="AF235" i="3" s="1"/>
  <c r="V235" i="3" a="1"/>
  <c r="V235" i="3" s="1"/>
  <c r="L235" i="3" a="1"/>
  <c r="L235" i="3" s="1"/>
  <c r="AG235" i="3" a="1"/>
  <c r="AG235" i="3" s="1"/>
  <c r="W235" i="3" a="1"/>
  <c r="W235" i="3" s="1"/>
  <c r="X235" i="3" a="1"/>
  <c r="X235" i="3" s="1"/>
  <c r="N235" i="3" a="1"/>
  <c r="N235" i="3" s="1"/>
  <c r="AI235" i="3" a="1"/>
  <c r="AI235" i="3" s="1"/>
  <c r="O235" i="3" a="1"/>
  <c r="O235" i="3" s="1"/>
  <c r="AJ235" i="3" a="1"/>
  <c r="AJ235" i="3" s="1"/>
  <c r="E235" i="3" a="1"/>
  <c r="E235" i="3" s="1"/>
  <c r="Z235" i="3" a="1"/>
  <c r="Z235" i="3" s="1"/>
  <c r="P235" i="3" a="1"/>
  <c r="P235" i="3" s="1"/>
  <c r="AK235" i="3" a="1"/>
  <c r="AK235" i="3" s="1"/>
  <c r="C234" i="3" a="1"/>
  <c r="C234" i="3" s="1"/>
  <c r="F235" i="3" a="1"/>
  <c r="F235" i="3" s="1"/>
  <c r="AA235" i="3" a="1"/>
  <c r="AA235" i="3" s="1"/>
  <c r="Q235" i="3" a="1"/>
  <c r="Q235" i="3" s="1"/>
  <c r="AL235" i="3" a="1"/>
  <c r="AL235" i="3" s="1"/>
  <c r="G235" i="3" a="1"/>
  <c r="G235" i="3" s="1"/>
  <c r="AB235" i="3" a="1"/>
  <c r="AB235" i="3" s="1"/>
  <c r="AM235" i="3" a="1"/>
  <c r="AM235" i="3" s="1"/>
  <c r="I235" i="3" a="1"/>
  <c r="I235" i="3" s="1"/>
  <c r="AD235" i="3" a="1"/>
  <c r="AD235" i="3" s="1"/>
  <c r="N239" i="3" a="1"/>
  <c r="N239" i="3" s="1"/>
  <c r="X255" i="3" a="1"/>
  <c r="X255" i="3" s="1"/>
  <c r="AL247" i="3" a="1"/>
  <c r="AL247" i="3" s="1"/>
  <c r="Q247" i="3" a="1"/>
  <c r="Q247" i="3" s="1"/>
  <c r="AD239" i="3" a="1"/>
  <c r="AD239" i="3" s="1"/>
  <c r="AC239" i="3" a="1"/>
  <c r="AC239" i="3" s="1"/>
  <c r="W255" i="3" a="1"/>
  <c r="W255" i="3" s="1"/>
  <c r="I239" i="3" a="1"/>
  <c r="I239" i="3" s="1"/>
  <c r="AK271" i="3" a="1"/>
  <c r="AK271" i="3" s="1"/>
  <c r="Z271" i="3" a="1"/>
  <c r="Z271" i="3" s="1"/>
  <c r="E271" i="3" a="1"/>
  <c r="E271" i="3" s="1"/>
  <c r="AG255" i="3" a="1"/>
  <c r="AG255" i="3" s="1"/>
  <c r="L255" i="3" a="1"/>
  <c r="L255" i="3" s="1"/>
  <c r="AB239" i="3" a="1"/>
  <c r="AB239" i="3" s="1"/>
  <c r="H239" i="3" a="1"/>
  <c r="H239" i="3" s="1"/>
  <c r="M235" i="3" a="1"/>
  <c r="M235" i="3" s="1"/>
  <c r="AJ271" i="3" a="1"/>
  <c r="AJ271" i="3" s="1"/>
  <c r="O271" i="3" a="1"/>
  <c r="O271" i="3" s="1"/>
  <c r="AL267" i="3" a="1"/>
  <c r="AL267" i="3" s="1"/>
  <c r="V255" i="3" a="1"/>
  <c r="V255" i="3" s="1"/>
  <c r="AJ247" i="3" a="1"/>
  <c r="AJ247" i="3" s="1"/>
  <c r="O247" i="3" a="1"/>
  <c r="O247" i="3" s="1"/>
  <c r="D247" i="3" a="1"/>
  <c r="D247" i="3" s="1"/>
  <c r="AA239" i="3" a="1"/>
  <c r="AA239" i="3" s="1"/>
  <c r="G239" i="3" a="1"/>
  <c r="G239" i="3" s="1"/>
  <c r="H235" i="3" a="1"/>
  <c r="H235" i="3" s="1"/>
  <c r="AI271" i="3" a="1"/>
  <c r="AI271" i="3" s="1"/>
  <c r="U255" i="3" a="1"/>
  <c r="U255" i="3" s="1"/>
  <c r="AI247" i="3" a="1"/>
  <c r="AI247" i="3" s="1"/>
  <c r="Z239" i="3" a="1"/>
  <c r="Z239" i="3" s="1"/>
  <c r="F239" i="3" a="1"/>
  <c r="F239" i="3" s="1"/>
  <c r="D235" i="3" a="1"/>
  <c r="D235" i="3" s="1"/>
  <c r="E239" i="3" a="1"/>
  <c r="E239" i="3" s="1"/>
  <c r="V239" i="3" a="1"/>
  <c r="V239" i="3" s="1"/>
  <c r="C238" i="3" a="1"/>
  <c r="C238" i="3" s="1"/>
  <c r="X231" i="3" a="1"/>
  <c r="X231" i="3" s="1"/>
  <c r="D231" i="3" a="1"/>
  <c r="D231" i="3" s="1"/>
  <c r="AL231" i="3" a="1"/>
  <c r="AL231" i="3" s="1"/>
  <c r="AB223" i="3" a="1"/>
  <c r="AB223" i="3" s="1"/>
  <c r="I231" i="3" a="1"/>
  <c r="I231" i="3" s="1"/>
  <c r="S231" i="3" a="1"/>
  <c r="S231" i="3" s="1"/>
  <c r="AC231" i="3" a="1"/>
  <c r="AC231" i="3" s="1"/>
  <c r="AM231" i="3" a="1"/>
  <c r="AM231" i="3" s="1"/>
  <c r="H231" i="3" a="1"/>
  <c r="H231" i="3" s="1"/>
  <c r="T231" i="3" a="1"/>
  <c r="T231" i="3" s="1"/>
  <c r="E231" i="3" a="1"/>
  <c r="E231" i="3" s="1"/>
  <c r="AB231" i="3" a="1"/>
  <c r="AB231" i="3" s="1"/>
  <c r="F231" i="3" a="1"/>
  <c r="F231" i="3" s="1"/>
  <c r="AD231" i="3" a="1"/>
  <c r="AD231" i="3" s="1"/>
  <c r="R231" i="3" a="1"/>
  <c r="R231" i="3" s="1"/>
  <c r="G231" i="3" a="1"/>
  <c r="G231" i="3" s="1"/>
  <c r="AE231" i="3" a="1"/>
  <c r="AE231" i="3" s="1"/>
  <c r="C230" i="3" a="1"/>
  <c r="C230" i="3" s="1"/>
  <c r="U231" i="3" a="1"/>
  <c r="U231" i="3" s="1"/>
  <c r="AF231" i="3" a="1"/>
  <c r="AF231" i="3" s="1"/>
  <c r="V231" i="3" a="1"/>
  <c r="V231" i="3" s="1"/>
  <c r="AG231" i="3" a="1"/>
  <c r="AG231" i="3" s="1"/>
  <c r="M231" i="3" a="1"/>
  <c r="M231" i="3" s="1"/>
  <c r="G227" i="3" a="1"/>
  <c r="G227" i="3" s="1"/>
  <c r="Q227" i="3" a="1"/>
  <c r="Q227" i="3" s="1"/>
  <c r="AA227" i="3" a="1"/>
  <c r="AA227" i="3" s="1"/>
  <c r="AK227" i="3" a="1"/>
  <c r="AK227" i="3" s="1"/>
  <c r="H227" i="3" a="1"/>
  <c r="H227" i="3" s="1"/>
  <c r="R227" i="3" a="1"/>
  <c r="R227" i="3" s="1"/>
  <c r="AB227" i="3" a="1"/>
  <c r="AB227" i="3" s="1"/>
  <c r="AL227" i="3" a="1"/>
  <c r="AL227" i="3" s="1"/>
  <c r="V227" i="3" a="1"/>
  <c r="V227" i="3" s="1"/>
  <c r="W227" i="3" a="1"/>
  <c r="W227" i="3" s="1"/>
  <c r="J227" i="3" a="1"/>
  <c r="J227" i="3" s="1"/>
  <c r="AJ227" i="3" a="1"/>
  <c r="AJ227" i="3" s="1"/>
  <c r="L227" i="3" a="1"/>
  <c r="L227" i="3" s="1"/>
  <c r="C226" i="3" a="1"/>
  <c r="C226" i="3" s="1"/>
  <c r="Y227" i="3" a="1"/>
  <c r="Y227" i="3" s="1"/>
  <c r="AM227" i="3" a="1"/>
  <c r="AM227" i="3" s="1"/>
  <c r="M227" i="3" a="1"/>
  <c r="M227" i="3" s="1"/>
  <c r="N227" i="3" a="1"/>
  <c r="N227" i="3" s="1"/>
  <c r="O227" i="3" a="1"/>
  <c r="O227" i="3" s="1"/>
  <c r="AC227" i="3" a="1"/>
  <c r="AC227" i="3" s="1"/>
  <c r="P227" i="3" a="1"/>
  <c r="P227" i="3" s="1"/>
  <c r="AD227" i="3" a="1"/>
  <c r="AD227" i="3" s="1"/>
  <c r="E227" i="3" a="1"/>
  <c r="E227" i="3" s="1"/>
  <c r="S227" i="3" a="1"/>
  <c r="S227" i="3" s="1"/>
  <c r="F227" i="3" a="1"/>
  <c r="F227" i="3" s="1"/>
  <c r="T227" i="3" a="1"/>
  <c r="T227" i="3" s="1"/>
  <c r="M223" i="3" a="1"/>
  <c r="M223" i="3" s="1"/>
  <c r="AH223" i="3" a="1"/>
  <c r="AH223" i="3" s="1"/>
  <c r="X223" i="3" a="1"/>
  <c r="X223" i="3" s="1"/>
  <c r="N223" i="3" a="1"/>
  <c r="N223" i="3" s="1"/>
  <c r="AI223" i="3" a="1"/>
  <c r="AI223" i="3" s="1"/>
  <c r="AC223" i="3" a="1"/>
  <c r="AC223" i="3" s="1"/>
  <c r="S223" i="3" a="1"/>
  <c r="S223" i="3" s="1"/>
  <c r="AE223" i="3" a="1"/>
  <c r="AE223" i="3" s="1"/>
  <c r="G223" i="3" a="1"/>
  <c r="G223" i="3" s="1"/>
  <c r="T223" i="3" a="1"/>
  <c r="T223" i="3" s="1"/>
  <c r="AF223" i="3" a="1"/>
  <c r="AF223" i="3" s="1"/>
  <c r="P223" i="3" a="1"/>
  <c r="P223" i="3" s="1"/>
  <c r="Q223" i="3" a="1"/>
  <c r="Q223" i="3" s="1"/>
  <c r="AG223" i="3" a="1"/>
  <c r="AG223" i="3" s="1"/>
  <c r="R223" i="3" a="1"/>
  <c r="R223" i="3" s="1"/>
  <c r="E223" i="3" a="1"/>
  <c r="E223" i="3" s="1"/>
  <c r="U223" i="3" a="1"/>
  <c r="U223" i="3" s="1"/>
  <c r="F223" i="3" a="1"/>
  <c r="F223" i="3" s="1"/>
  <c r="V223" i="3" a="1"/>
  <c r="V223" i="3" s="1"/>
  <c r="H223" i="3" a="1"/>
  <c r="H223" i="3" s="1"/>
  <c r="AL223" i="3" a="1"/>
  <c r="AL223" i="3" s="1"/>
  <c r="I223" i="3" a="1"/>
  <c r="I223" i="3" s="1"/>
  <c r="W223" i="3" a="1"/>
  <c r="W223" i="3" s="1"/>
  <c r="AM223" i="3" a="1"/>
  <c r="AM223" i="3" s="1"/>
  <c r="Y223" i="3" a="1"/>
  <c r="Y223" i="3" s="1"/>
  <c r="J223" i="3" a="1"/>
  <c r="J223" i="3" s="1"/>
  <c r="Z223" i="3" a="1"/>
  <c r="Z223" i="3" s="1"/>
  <c r="K223" i="3" a="1"/>
  <c r="K223" i="3" s="1"/>
  <c r="AF227" i="3" a="1"/>
  <c r="AF227" i="3" s="1"/>
  <c r="AA223" i="3" a="1"/>
  <c r="AA223" i="3" s="1"/>
  <c r="AJ231" i="3" a="1"/>
  <c r="AJ231" i="3" s="1"/>
  <c r="Q231" i="3" a="1"/>
  <c r="Q231" i="3" s="1"/>
  <c r="AI231" i="3" a="1"/>
  <c r="AI231" i="3" s="1"/>
  <c r="P231" i="3" a="1"/>
  <c r="P231" i="3" s="1"/>
  <c r="O223" i="3" a="1"/>
  <c r="O223" i="3" s="1"/>
  <c r="Z227" i="3" a="1"/>
  <c r="Z227" i="3" s="1"/>
  <c r="N231" i="3" a="1"/>
  <c r="N231" i="3" s="1"/>
  <c r="L223" i="3" a="1"/>
  <c r="L223" i="3" s="1"/>
  <c r="L231" i="3" a="1"/>
  <c r="L231" i="3" s="1"/>
  <c r="U227" i="3" a="1"/>
  <c r="U227" i="3" s="1"/>
  <c r="D223" i="3" a="1"/>
  <c r="D223" i="3" s="1"/>
  <c r="AE219" i="3" a="1"/>
  <c r="AE219" i="3" s="1"/>
  <c r="P219" i="3" a="1"/>
  <c r="P219" i="3" s="1"/>
  <c r="AC219" i="3" a="1"/>
  <c r="AC219" i="3" s="1"/>
  <c r="L219" i="3" a="1"/>
  <c r="L219" i="3" s="1"/>
  <c r="J219" i="3" a="1"/>
  <c r="J219" i="3" s="1"/>
  <c r="AA219" i="3" a="1"/>
  <c r="AA219" i="3" s="1"/>
  <c r="I219" i="3" a="1"/>
  <c r="I219" i="3" s="1"/>
  <c r="H219" i="3" a="1"/>
  <c r="H219" i="3" s="1"/>
  <c r="X219" i="3" a="1"/>
  <c r="X219" i="3" s="1"/>
  <c r="V219" i="3" a="1"/>
  <c r="V219" i="3" s="1"/>
  <c r="G219" i="3" a="1"/>
  <c r="G219" i="3" s="1"/>
  <c r="F219" i="3" a="1"/>
  <c r="F219" i="3" s="1"/>
  <c r="AM219" i="3" a="1"/>
  <c r="AM219" i="3" s="1"/>
  <c r="U219" i="3" a="1"/>
  <c r="U219" i="3" s="1"/>
  <c r="T219" i="3" a="1"/>
  <c r="T219" i="3" s="1"/>
  <c r="AL219" i="3" a="1"/>
  <c r="AL219" i="3" s="1"/>
  <c r="AH219" i="3" a="1"/>
  <c r="AH219" i="3" s="1"/>
  <c r="S219" i="3" a="1"/>
  <c r="S219" i="3" s="1"/>
  <c r="D219" i="3" a="1"/>
  <c r="D219" i="3" s="1"/>
  <c r="Y219" i="3" a="1"/>
  <c r="Y219" i="3" s="1"/>
  <c r="O219" i="3" a="1"/>
  <c r="O219" i="3" s="1"/>
  <c r="AJ219" i="3" a="1"/>
  <c r="AJ219" i="3" s="1"/>
  <c r="E219" i="3" a="1"/>
  <c r="E219" i="3" s="1"/>
  <c r="Z219" i="3" a="1"/>
  <c r="Z219" i="3" s="1"/>
  <c r="AK219" i="3" a="1"/>
  <c r="AK219" i="3" s="1"/>
  <c r="K219" i="3" a="1"/>
  <c r="K219" i="3" s="1"/>
  <c r="W219" i="3" a="1"/>
  <c r="W219" i="3" s="1"/>
  <c r="AI219" i="3" a="1"/>
  <c r="AI219" i="3" s="1"/>
  <c r="N219" i="3" a="1"/>
  <c r="N219" i="3" s="1"/>
  <c r="AB219" i="3" a="1"/>
  <c r="AB219" i="3" s="1"/>
  <c r="AF219" i="3" a="1"/>
  <c r="AF219" i="3" s="1"/>
  <c r="Q219" i="3" a="1"/>
  <c r="Q219" i="3" s="1"/>
  <c r="W215" i="3" a="1"/>
  <c r="W215" i="3" s="1"/>
  <c r="AA211" i="3" a="1"/>
  <c r="AA211" i="3" s="1"/>
  <c r="O211" i="3" a="1"/>
  <c r="O211" i="3" s="1"/>
  <c r="H203" i="3" a="1"/>
  <c r="H203" i="3" s="1"/>
  <c r="S199" i="3" a="1"/>
  <c r="S199" i="3" s="1"/>
  <c r="S191" i="3" a="1"/>
  <c r="S191" i="3" s="1"/>
  <c r="I191" i="3" a="1"/>
  <c r="I191" i="3" s="1"/>
  <c r="AD191" i="3" a="1"/>
  <c r="AD191" i="3" s="1"/>
  <c r="T191" i="3" a="1"/>
  <c r="T191" i="3" s="1"/>
  <c r="J191" i="3" a="1"/>
  <c r="J191" i="3" s="1"/>
  <c r="AE191" i="3" a="1"/>
  <c r="AE191" i="3" s="1"/>
  <c r="K191" i="3" a="1"/>
  <c r="K191" i="3" s="1"/>
  <c r="AF191" i="3" a="1"/>
  <c r="AF191" i="3" s="1"/>
  <c r="V191" i="3" a="1"/>
  <c r="V191" i="3" s="1"/>
  <c r="AG191" i="3" a="1"/>
  <c r="AG191" i="3" s="1"/>
  <c r="L191" i="3" a="1"/>
  <c r="L191" i="3" s="1"/>
  <c r="W191" i="3" a="1"/>
  <c r="W191" i="3" s="1"/>
  <c r="M191" i="3" a="1"/>
  <c r="M191" i="3" s="1"/>
  <c r="AH191" i="3" a="1"/>
  <c r="AH191" i="3" s="1"/>
  <c r="X191" i="3" a="1"/>
  <c r="X191" i="3" s="1"/>
  <c r="N191" i="3" a="1"/>
  <c r="N191" i="3" s="1"/>
  <c r="AI191" i="3" a="1"/>
  <c r="AI191" i="3" s="1"/>
  <c r="D191" i="3" a="1"/>
  <c r="D191" i="3" s="1"/>
  <c r="Y191" i="3" a="1"/>
  <c r="Y191" i="3" s="1"/>
  <c r="O191" i="3" a="1"/>
  <c r="O191" i="3" s="1"/>
  <c r="AJ191" i="3" a="1"/>
  <c r="AJ191" i="3" s="1"/>
  <c r="E191" i="3" a="1"/>
  <c r="E191" i="3" s="1"/>
  <c r="Z191" i="3" a="1"/>
  <c r="Z191" i="3" s="1"/>
  <c r="P191" i="3" a="1"/>
  <c r="P191" i="3" s="1"/>
  <c r="AK191" i="3" a="1"/>
  <c r="AK191" i="3" s="1"/>
  <c r="C190" i="3" a="1"/>
  <c r="C190" i="3" s="1"/>
  <c r="F191" i="3" a="1"/>
  <c r="F191" i="3" s="1"/>
  <c r="AA191" i="3" a="1"/>
  <c r="AA191" i="3" s="1"/>
  <c r="Q191" i="3" a="1"/>
  <c r="Q191" i="3" s="1"/>
  <c r="AL191" i="3" a="1"/>
  <c r="AL191" i="3" s="1"/>
  <c r="G191" i="3" a="1"/>
  <c r="G191" i="3" s="1"/>
  <c r="AB191" i="3" a="1"/>
  <c r="AB191" i="3" s="1"/>
  <c r="R191" i="3" a="1"/>
  <c r="R191" i="3" s="1"/>
  <c r="AM191" i="3" a="1"/>
  <c r="AM191" i="3" s="1"/>
  <c r="H191" i="3" a="1"/>
  <c r="H191" i="3" s="1"/>
  <c r="AC191" i="3" a="1"/>
  <c r="AC191" i="3" s="1"/>
  <c r="C214" i="3" a="1"/>
  <c r="C214" i="3" s="1"/>
  <c r="F215" i="3" a="1"/>
  <c r="F215" i="3" s="1"/>
  <c r="AA215" i="3" a="1"/>
  <c r="AA215" i="3" s="1"/>
  <c r="Q215" i="3" a="1"/>
  <c r="Q215" i="3" s="1"/>
  <c r="AL215" i="3" a="1"/>
  <c r="AL215" i="3" s="1"/>
  <c r="G215" i="3" a="1"/>
  <c r="G215" i="3" s="1"/>
  <c r="AB215" i="3" a="1"/>
  <c r="AB215" i="3" s="1"/>
  <c r="AL211" i="3" a="1"/>
  <c r="AL211" i="3" s="1"/>
  <c r="Z211" i="3" a="1"/>
  <c r="Z211" i="3" s="1"/>
  <c r="N211" i="3" a="1"/>
  <c r="N211" i="3" s="1"/>
  <c r="P199" i="3" a="1"/>
  <c r="P199" i="3" s="1"/>
  <c r="AK211" i="3" a="1"/>
  <c r="AK211" i="3" s="1"/>
  <c r="Y211" i="3" a="1"/>
  <c r="Y211" i="3" s="1"/>
  <c r="M211" i="3" a="1"/>
  <c r="M211" i="3" s="1"/>
  <c r="X203" i="3" a="1"/>
  <c r="X203" i="3" s="1"/>
  <c r="F203" i="3" a="1"/>
  <c r="F203" i="3" s="1"/>
  <c r="AM199" i="3" a="1"/>
  <c r="AM199" i="3" s="1"/>
  <c r="AF215" i="3" a="1"/>
  <c r="AF215" i="3" s="1"/>
  <c r="T215" i="3" a="1"/>
  <c r="T215" i="3" s="1"/>
  <c r="H215" i="3" a="1"/>
  <c r="H215" i="3" s="1"/>
  <c r="AJ211" i="3" a="1"/>
  <c r="AJ211" i="3" s="1"/>
  <c r="X211" i="3" a="1"/>
  <c r="X211" i="3" s="1"/>
  <c r="AM203" i="3" a="1"/>
  <c r="AM203" i="3" s="1"/>
  <c r="W203" i="3" a="1"/>
  <c r="W203" i="3" s="1"/>
  <c r="D203" i="3" a="1"/>
  <c r="D203" i="3" s="1"/>
  <c r="AK199" i="3" a="1"/>
  <c r="AK199" i="3" s="1"/>
  <c r="L199" i="3" a="1"/>
  <c r="L199" i="3" s="1"/>
  <c r="AL203" i="3" a="1"/>
  <c r="AL203" i="3" s="1"/>
  <c r="U203" i="3" a="1"/>
  <c r="U203" i="3" s="1"/>
  <c r="AI211" i="3" a="1"/>
  <c r="AI211" i="3" s="1"/>
  <c r="W211" i="3" a="1"/>
  <c r="W211" i="3" s="1"/>
  <c r="T203" i="3" a="1"/>
  <c r="T203" i="3" s="1"/>
  <c r="AG199" i="3" a="1"/>
  <c r="AG199" i="3" s="1"/>
  <c r="J199" i="3" a="1"/>
  <c r="J199" i="3" s="1"/>
  <c r="R211" i="3" a="1"/>
  <c r="R211" i="3" s="1"/>
  <c r="AM211" i="3" a="1"/>
  <c r="AM211" i="3" s="1"/>
  <c r="H211" i="3" a="1"/>
  <c r="H211" i="3" s="1"/>
  <c r="AC211" i="3" a="1"/>
  <c r="AC211" i="3" s="1"/>
  <c r="S211" i="3" a="1"/>
  <c r="S211" i="3" s="1"/>
  <c r="O203" i="3" a="1"/>
  <c r="O203" i="3" s="1"/>
  <c r="AJ203" i="3" a="1"/>
  <c r="AJ203" i="3" s="1"/>
  <c r="E203" i="3" a="1"/>
  <c r="E203" i="3" s="1"/>
  <c r="Z203" i="3" a="1"/>
  <c r="Z203" i="3" s="1"/>
  <c r="R203" i="3" a="1"/>
  <c r="R203" i="3" s="1"/>
  <c r="AC203" i="3" a="1"/>
  <c r="AC203" i="3" s="1"/>
  <c r="I203" i="3" a="1"/>
  <c r="I203" i="3" s="1"/>
  <c r="AD203" i="3" a="1"/>
  <c r="AD203" i="3" s="1"/>
  <c r="J203" i="3" a="1"/>
  <c r="J203" i="3" s="1"/>
  <c r="AE203" i="3" a="1"/>
  <c r="AE203" i="3" s="1"/>
  <c r="K203" i="3" a="1"/>
  <c r="K203" i="3" s="1"/>
  <c r="AF203" i="3" a="1"/>
  <c r="AF203" i="3" s="1"/>
  <c r="V203" i="3" a="1"/>
  <c r="V203" i="3" s="1"/>
  <c r="L203" i="3" a="1"/>
  <c r="L203" i="3" s="1"/>
  <c r="AG203" i="3" a="1"/>
  <c r="AG203" i="3" s="1"/>
  <c r="AF199" i="3" a="1"/>
  <c r="AF199" i="3" s="1"/>
  <c r="AH211" i="3" a="1"/>
  <c r="AH211" i="3" s="1"/>
  <c r="C198" i="3" a="1"/>
  <c r="C198" i="3" s="1"/>
  <c r="F199" i="3" a="1"/>
  <c r="F199" i="3" s="1"/>
  <c r="Q199" i="3" a="1"/>
  <c r="Q199" i="3" s="1"/>
  <c r="AL199" i="3" a="1"/>
  <c r="AL199" i="3" s="1"/>
  <c r="G199" i="3" a="1"/>
  <c r="G199" i="3" s="1"/>
  <c r="AB199" i="3" a="1"/>
  <c r="AB199" i="3" s="1"/>
  <c r="H199" i="3" a="1"/>
  <c r="H199" i="3" s="1"/>
  <c r="AC199" i="3" a="1"/>
  <c r="AC199" i="3" s="1"/>
  <c r="T199" i="3" a="1"/>
  <c r="T199" i="3" s="1"/>
  <c r="U199" i="3" a="1"/>
  <c r="U199" i="3" s="1"/>
  <c r="V199" i="3" a="1"/>
  <c r="V199" i="3" s="1"/>
  <c r="W199" i="3" a="1"/>
  <c r="W199" i="3" s="1"/>
  <c r="M199" i="3" a="1"/>
  <c r="M199" i="3" s="1"/>
  <c r="AH199" i="3" a="1"/>
  <c r="AH199" i="3" s="1"/>
  <c r="X199" i="3" a="1"/>
  <c r="X199" i="3" s="1"/>
  <c r="N199" i="3" a="1"/>
  <c r="N199" i="3" s="1"/>
  <c r="AI199" i="3" a="1"/>
  <c r="AI199" i="3" s="1"/>
  <c r="O199" i="3" a="1"/>
  <c r="O199" i="3" s="1"/>
  <c r="AJ199" i="3" a="1"/>
  <c r="AJ199" i="3" s="1"/>
  <c r="P215" i="3" a="1"/>
  <c r="P215" i="3" s="1"/>
  <c r="U211" i="3" a="1"/>
  <c r="U211" i="3" s="1"/>
  <c r="I211" i="3" a="1"/>
  <c r="I211" i="3" s="1"/>
  <c r="AK207" i="3" a="1"/>
  <c r="AK207" i="3" s="1"/>
  <c r="Y207" i="3" a="1"/>
  <c r="Y207" i="3" s="1"/>
  <c r="M207" i="3" a="1"/>
  <c r="M207" i="3" s="1"/>
  <c r="AI203" i="3" a="1"/>
  <c r="AI203" i="3" s="1"/>
  <c r="Q203" i="3" a="1"/>
  <c r="Q203" i="3" s="1"/>
  <c r="AD199" i="3" a="1"/>
  <c r="AD199" i="3" s="1"/>
  <c r="AC215" i="3" a="1"/>
  <c r="AC215" i="3" s="1"/>
  <c r="AG211" i="3" a="1"/>
  <c r="AG211" i="3" s="1"/>
  <c r="G211" i="3" a="1"/>
  <c r="G211" i="3" s="1"/>
  <c r="O215" i="3" a="1"/>
  <c r="O215" i="3" s="1"/>
  <c r="AF211" i="3" a="1"/>
  <c r="AF211" i="3" s="1"/>
  <c r="T211" i="3" a="1"/>
  <c r="T211" i="3" s="1"/>
  <c r="AJ207" i="3" a="1"/>
  <c r="AJ207" i="3" s="1"/>
  <c r="X207" i="3" a="1"/>
  <c r="X207" i="3" s="1"/>
  <c r="AH203" i="3" a="1"/>
  <c r="AH203" i="3" s="1"/>
  <c r="P203" i="3" a="1"/>
  <c r="P203" i="3" s="1"/>
  <c r="E199" i="3" a="1"/>
  <c r="E199" i="3" s="1"/>
  <c r="F211" i="3" a="1"/>
  <c r="F211" i="3" s="1"/>
  <c r="AA199" i="3" a="1"/>
  <c r="AA199" i="3" s="1"/>
  <c r="D199" i="3" a="1"/>
  <c r="D199" i="3" s="1"/>
  <c r="H187" i="3" a="1"/>
  <c r="H187" i="3" s="1"/>
  <c r="AC187" i="3" a="1"/>
  <c r="AC187" i="3" s="1"/>
  <c r="S187" i="3" a="1"/>
  <c r="S187" i="3" s="1"/>
  <c r="AD187" i="3" a="1"/>
  <c r="AD187" i="3" s="1"/>
  <c r="I187" i="3" a="1"/>
  <c r="I187" i="3" s="1"/>
  <c r="T187" i="3" a="1"/>
  <c r="T187" i="3" s="1"/>
  <c r="AE187" i="3" a="1"/>
  <c r="AE187" i="3" s="1"/>
  <c r="AG187" i="3" a="1"/>
  <c r="AG187" i="3" s="1"/>
  <c r="K187" i="3" a="1"/>
  <c r="K187" i="3" s="1"/>
  <c r="V187" i="3" a="1"/>
  <c r="V187" i="3" s="1"/>
  <c r="W187" i="3" a="1"/>
  <c r="W187" i="3" s="1"/>
  <c r="AH187" i="3" a="1"/>
  <c r="AH187" i="3" s="1"/>
  <c r="L187" i="3" a="1"/>
  <c r="L187" i="3" s="1"/>
  <c r="M187" i="3" a="1"/>
  <c r="M187" i="3" s="1"/>
  <c r="X187" i="3" a="1"/>
  <c r="X187" i="3" s="1"/>
  <c r="AI187" i="3" a="1"/>
  <c r="AI187" i="3" s="1"/>
  <c r="N187" i="3" a="1"/>
  <c r="N187" i="3" s="1"/>
  <c r="Y187" i="3" a="1"/>
  <c r="Y187" i="3" s="1"/>
  <c r="AJ187" i="3" a="1"/>
  <c r="AJ187" i="3" s="1"/>
  <c r="D187" i="3" a="1"/>
  <c r="D187" i="3" s="1"/>
  <c r="O187" i="3" a="1"/>
  <c r="O187" i="3" s="1"/>
  <c r="Z187" i="3" a="1"/>
  <c r="Z187" i="3" s="1"/>
  <c r="AK187" i="3" a="1"/>
  <c r="AK187" i="3" s="1"/>
  <c r="E187" i="3" a="1"/>
  <c r="E187" i="3" s="1"/>
  <c r="P187" i="3" a="1"/>
  <c r="P187" i="3" s="1"/>
  <c r="AA187" i="3" a="1"/>
  <c r="AA187" i="3" s="1"/>
  <c r="AL187" i="3" a="1"/>
  <c r="AL187" i="3" s="1"/>
  <c r="F187" i="3" a="1"/>
  <c r="F187" i="3" s="1"/>
  <c r="Q187" i="3" a="1"/>
  <c r="Q187" i="3" s="1"/>
  <c r="AB187" i="3" a="1"/>
  <c r="AB187" i="3" s="1"/>
  <c r="AM187" i="3" a="1"/>
  <c r="AM187" i="3" s="1"/>
  <c r="C186" i="3" a="1"/>
  <c r="C186" i="3" s="1"/>
  <c r="G187" i="3" a="1"/>
  <c r="G187" i="3" s="1"/>
  <c r="R187" i="3" a="1"/>
  <c r="R187" i="3" s="1"/>
  <c r="Q211" i="3" a="1"/>
  <c r="Q211" i="3" s="1"/>
  <c r="E211" i="3" a="1"/>
  <c r="E211" i="3" s="1"/>
  <c r="I207" i="3" a="1"/>
  <c r="I207" i="3" s="1"/>
  <c r="AD207" i="3" a="1"/>
  <c r="AD207" i="3" s="1"/>
  <c r="T207" i="3" a="1"/>
  <c r="T207" i="3" s="1"/>
  <c r="AE207" i="3" a="1"/>
  <c r="AE207" i="3" s="1"/>
  <c r="J207" i="3" a="1"/>
  <c r="J207" i="3" s="1"/>
  <c r="U207" i="3" a="1"/>
  <c r="U207" i="3" s="1"/>
  <c r="Y199" i="3" a="1"/>
  <c r="Y199" i="3" s="1"/>
  <c r="AK215" i="3" a="1"/>
  <c r="AK215" i="3" s="1"/>
  <c r="Y215" i="3" a="1"/>
  <c r="Y215" i="3" s="1"/>
  <c r="AD211" i="3" a="1"/>
  <c r="AD211" i="3" s="1"/>
  <c r="AH207" i="3" a="1"/>
  <c r="AH207" i="3" s="1"/>
  <c r="V207" i="3" a="1"/>
  <c r="V207" i="3" s="1"/>
  <c r="H207" i="3" a="1"/>
  <c r="H207" i="3" s="1"/>
  <c r="M203" i="3" a="1"/>
  <c r="M203" i="3" s="1"/>
  <c r="U191" i="3" a="1"/>
  <c r="U191" i="3" s="1"/>
  <c r="AB211" i="3" a="1"/>
  <c r="AB211" i="3" s="1"/>
  <c r="P211" i="3" a="1"/>
  <c r="P211" i="3" s="1"/>
  <c r="D211" i="3" a="1"/>
  <c r="D211" i="3" s="1"/>
  <c r="T183" i="3" a="1"/>
  <c r="T183" i="3" s="1"/>
  <c r="AE183" i="3" a="1"/>
  <c r="AE183" i="3" s="1"/>
  <c r="K183" i="3" a="1"/>
  <c r="K183" i="3" s="1"/>
  <c r="AF183" i="3" a="1"/>
  <c r="AF183" i="3" s="1"/>
  <c r="V183" i="3" a="1"/>
  <c r="V183" i="3" s="1"/>
  <c r="L183" i="3" a="1"/>
  <c r="L183" i="3" s="1"/>
  <c r="AG183" i="3" a="1"/>
  <c r="AG183" i="3" s="1"/>
  <c r="Q183" i="3" a="1"/>
  <c r="Q183" i="3" s="1"/>
  <c r="AL183" i="3" a="1"/>
  <c r="AL183" i="3" s="1"/>
  <c r="C182" i="3" a="1"/>
  <c r="C182" i="3" s="1"/>
  <c r="N183" i="3" a="1"/>
  <c r="N183" i="3" s="1"/>
  <c r="AA183" i="3" a="1"/>
  <c r="AA183" i="3" s="1"/>
  <c r="AB183" i="3" a="1"/>
  <c r="AB183" i="3" s="1"/>
  <c r="O183" i="3" a="1"/>
  <c r="O183" i="3" s="1"/>
  <c r="AC183" i="3" a="1"/>
  <c r="AC183" i="3" s="1"/>
  <c r="P183" i="3" a="1"/>
  <c r="P183" i="3" s="1"/>
  <c r="AD183" i="3" a="1"/>
  <c r="AD183" i="3" s="1"/>
  <c r="D183" i="3" a="1"/>
  <c r="D183" i="3" s="1"/>
  <c r="R183" i="3" a="1"/>
  <c r="R183" i="3" s="1"/>
  <c r="E183" i="3" a="1"/>
  <c r="E183" i="3" s="1"/>
  <c r="AH183" i="3" a="1"/>
  <c r="AH183" i="3" s="1"/>
  <c r="S183" i="3" a="1"/>
  <c r="S183" i="3" s="1"/>
  <c r="F183" i="3" a="1"/>
  <c r="F183" i="3" s="1"/>
  <c r="AI183" i="3" a="1"/>
  <c r="AI183" i="3" s="1"/>
  <c r="G183" i="3" a="1"/>
  <c r="G183" i="3" s="1"/>
  <c r="U183" i="3" a="1"/>
  <c r="U183" i="3" s="1"/>
  <c r="W183" i="3" a="1"/>
  <c r="W183" i="3" s="1"/>
  <c r="AJ183" i="3" a="1"/>
  <c r="AJ183" i="3" s="1"/>
  <c r="H183" i="3" a="1"/>
  <c r="H183" i="3" s="1"/>
  <c r="X183" i="3" a="1"/>
  <c r="X183" i="3" s="1"/>
  <c r="AK183" i="3" a="1"/>
  <c r="AK183" i="3" s="1"/>
  <c r="I183" i="3" a="1"/>
  <c r="I183" i="3" s="1"/>
  <c r="J183" i="3" a="1"/>
  <c r="J183" i="3" s="1"/>
  <c r="Y183" i="3" a="1"/>
  <c r="Y183" i="3" s="1"/>
  <c r="AM183" i="3" a="1"/>
  <c r="AM183" i="3" s="1"/>
  <c r="M183" i="3" a="1"/>
  <c r="M183" i="3" s="1"/>
  <c r="Z183" i="3" a="1"/>
  <c r="Z183" i="3" s="1"/>
  <c r="AG207" i="3" a="1"/>
  <c r="AG207" i="3" s="1"/>
  <c r="S207" i="3" a="1"/>
  <c r="S207" i="3" s="1"/>
  <c r="G207" i="3" a="1"/>
  <c r="G207" i="3" s="1"/>
  <c r="AL195" i="3" a="1"/>
  <c r="AL195" i="3" s="1"/>
  <c r="Q195" i="3" a="1"/>
  <c r="Q195" i="3" s="1"/>
  <c r="AK179" i="3" a="1"/>
  <c r="AK179" i="3" s="1"/>
  <c r="AJ179" i="3" a="1"/>
  <c r="AJ179" i="3" s="1"/>
  <c r="P179" i="3" a="1"/>
  <c r="P179" i="3" s="1"/>
  <c r="Z195" i="3" a="1"/>
  <c r="Z195" i="3" s="1"/>
  <c r="E195" i="3" a="1"/>
  <c r="E195" i="3" s="1"/>
  <c r="AH179" i="3" a="1"/>
  <c r="AH179" i="3" s="1"/>
  <c r="AJ195" i="3" a="1"/>
  <c r="AJ195" i="3" s="1"/>
  <c r="O195" i="3" a="1"/>
  <c r="O195" i="3" s="1"/>
  <c r="D195" i="3" a="1"/>
  <c r="D195" i="3" s="1"/>
  <c r="AE179" i="3" a="1"/>
  <c r="AE179" i="3" s="1"/>
  <c r="M179" i="3" a="1"/>
  <c r="M179" i="3" s="1"/>
  <c r="Y195" i="3" a="1"/>
  <c r="Y195" i="3" s="1"/>
  <c r="N195" i="3" a="1"/>
  <c r="N195" i="3" s="1"/>
  <c r="L179" i="3" a="1"/>
  <c r="L179" i="3" s="1"/>
  <c r="Y175" i="3" a="1"/>
  <c r="Y175" i="3" s="1"/>
  <c r="AD179" i="3" a="1"/>
  <c r="AD179" i="3" s="1"/>
  <c r="I179" i="3" a="1"/>
  <c r="I179" i="3" s="1"/>
  <c r="X175" i="3" a="1"/>
  <c r="X175" i="3" s="1"/>
  <c r="AH195" i="3" a="1"/>
  <c r="AH195" i="3" s="1"/>
  <c r="M195" i="3" a="1"/>
  <c r="M195" i="3" s="1"/>
  <c r="V175" i="3" a="1"/>
  <c r="V175" i="3" s="1"/>
  <c r="T175" i="3" a="1"/>
  <c r="T175" i="3" s="1"/>
  <c r="AG195" i="3" a="1"/>
  <c r="AG195" i="3" s="1"/>
  <c r="L195" i="3" a="1"/>
  <c r="L195" i="3" s="1"/>
  <c r="G179" i="3" a="1"/>
  <c r="G179" i="3" s="1"/>
  <c r="E179" i="3" a="1"/>
  <c r="E179" i="3" s="1"/>
  <c r="O179" i="3" a="1"/>
  <c r="O179" i="3" s="1"/>
  <c r="Y179" i="3" a="1"/>
  <c r="Y179" i="3" s="1"/>
  <c r="AI179" i="3" a="1"/>
  <c r="AI179" i="3" s="1"/>
  <c r="J179" i="3" a="1"/>
  <c r="J179" i="3" s="1"/>
  <c r="U179" i="3" a="1"/>
  <c r="U179" i="3" s="1"/>
  <c r="AF179" i="3" a="1"/>
  <c r="AF179" i="3" s="1"/>
  <c r="K179" i="3" a="1"/>
  <c r="K179" i="3" s="1"/>
  <c r="V179" i="3" a="1"/>
  <c r="V179" i="3" s="1"/>
  <c r="AG179" i="3" a="1"/>
  <c r="AG179" i="3" s="1"/>
  <c r="N179" i="3" a="1"/>
  <c r="N179" i="3" s="1"/>
  <c r="D179" i="3" a="1"/>
  <c r="D179" i="3" s="1"/>
  <c r="F179" i="3" a="1"/>
  <c r="F179" i="3" s="1"/>
  <c r="Q179" i="3" a="1"/>
  <c r="Q179" i="3" s="1"/>
  <c r="AB179" i="3" a="1"/>
  <c r="AB179" i="3" s="1"/>
  <c r="O175" i="3" a="1"/>
  <c r="O175" i="3" s="1"/>
  <c r="AF195" i="3" a="1"/>
  <c r="AF195" i="3" s="1"/>
  <c r="K195" i="3" a="1"/>
  <c r="K195" i="3" s="1"/>
  <c r="Z179" i="3" a="1"/>
  <c r="Z179" i="3" s="1"/>
  <c r="X179" i="3" a="1"/>
  <c r="X179" i="3" s="1"/>
  <c r="C174" i="3" a="1"/>
  <c r="C174" i="3" s="1"/>
  <c r="F175" i="3" a="1"/>
  <c r="F175" i="3" s="1"/>
  <c r="AA175" i="3" a="1"/>
  <c r="AA175" i="3" s="1"/>
  <c r="Q175" i="3" a="1"/>
  <c r="Q175" i="3" s="1"/>
  <c r="AL175" i="3" a="1"/>
  <c r="AL175" i="3" s="1"/>
  <c r="J175" i="3" a="1"/>
  <c r="J175" i="3" s="1"/>
  <c r="AE175" i="3" a="1"/>
  <c r="AE175" i="3" s="1"/>
  <c r="W175" i="3" a="1"/>
  <c r="W175" i="3" s="1"/>
  <c r="P175" i="3" a="1"/>
  <c r="P175" i="3" s="1"/>
  <c r="D175" i="3" a="1"/>
  <c r="D175" i="3" s="1"/>
  <c r="AD175" i="3" a="1"/>
  <c r="AD175" i="3" s="1"/>
  <c r="R175" i="3" a="1"/>
  <c r="R175" i="3" s="1"/>
  <c r="E175" i="3" a="1"/>
  <c r="E175" i="3" s="1"/>
  <c r="AF175" i="3" a="1"/>
  <c r="AF175" i="3" s="1"/>
  <c r="S175" i="3" a="1"/>
  <c r="S175" i="3" s="1"/>
  <c r="G175" i="3" a="1"/>
  <c r="G175" i="3" s="1"/>
  <c r="AG175" i="3" a="1"/>
  <c r="AG175" i="3" s="1"/>
  <c r="H175" i="3" a="1"/>
  <c r="H175" i="3" s="1"/>
  <c r="U175" i="3" a="1"/>
  <c r="U175" i="3" s="1"/>
  <c r="I175" i="3" a="1"/>
  <c r="I175" i="3" s="1"/>
  <c r="AJ175" i="3" a="1"/>
  <c r="AJ175" i="3" s="1"/>
  <c r="K175" i="3" a="1"/>
  <c r="K175" i="3" s="1"/>
  <c r="AK175" i="3" a="1"/>
  <c r="AK175" i="3" s="1"/>
  <c r="Z175" i="3" a="1"/>
  <c r="Z175" i="3" s="1"/>
  <c r="T195" i="3" a="1"/>
  <c r="T195" i="3" s="1"/>
  <c r="W179" i="3" a="1"/>
  <c r="W179" i="3" s="1"/>
  <c r="L175" i="3" a="1"/>
  <c r="L175" i="3" s="1"/>
  <c r="AM175" i="3" a="1"/>
  <c r="AM175" i="3" s="1"/>
  <c r="S195" i="3" a="1"/>
  <c r="S195" i="3" s="1"/>
  <c r="AC195" i="3" a="1"/>
  <c r="AC195" i="3" s="1"/>
  <c r="S179" i="3" a="1"/>
  <c r="S179" i="3" s="1"/>
  <c r="AI175" i="3" a="1"/>
  <c r="AI175" i="3" s="1"/>
  <c r="AL179" i="3" a="1"/>
  <c r="AL179" i="3" s="1"/>
  <c r="AH175" i="3" a="1"/>
  <c r="AH175" i="3" s="1"/>
  <c r="G171" i="3" a="1"/>
  <c r="G171" i="3" s="1"/>
  <c r="AB171" i="3" a="1"/>
  <c r="AB171" i="3" s="1"/>
  <c r="C170" i="3" a="1"/>
  <c r="C170" i="3" s="1"/>
  <c r="R171" i="3" a="1"/>
  <c r="R171" i="3" s="1"/>
  <c r="AM171" i="3" a="1"/>
  <c r="AM171" i="3" s="1"/>
  <c r="H171" i="3" a="1"/>
  <c r="H171" i="3" s="1"/>
  <c r="AC171" i="3" a="1"/>
  <c r="AC171" i="3" s="1"/>
  <c r="S171" i="3" a="1"/>
  <c r="S171" i="3" s="1"/>
  <c r="AD171" i="3" a="1"/>
  <c r="AD171" i="3" s="1"/>
  <c r="U171" i="3" a="1"/>
  <c r="U171" i="3" s="1"/>
  <c r="L171" i="3" a="1"/>
  <c r="L171" i="3" s="1"/>
  <c r="AG171" i="3" a="1"/>
  <c r="AG171" i="3" s="1"/>
  <c r="N171" i="3" a="1"/>
  <c r="N171" i="3" s="1"/>
  <c r="AI171" i="3" a="1"/>
  <c r="AI171" i="3" s="1"/>
  <c r="Q171" i="3" a="1"/>
  <c r="Q171" i="3" s="1"/>
  <c r="P171" i="3" a="1"/>
  <c r="P171" i="3" s="1"/>
  <c r="AF171" i="3" a="1"/>
  <c r="AF171" i="3" s="1"/>
  <c r="O171" i="3" a="1"/>
  <c r="O171" i="3" s="1"/>
  <c r="M171" i="3" a="1"/>
  <c r="M171" i="3" s="1"/>
  <c r="AA171" i="3" a="1"/>
  <c r="AA171" i="3" s="1"/>
  <c r="Z171" i="3" a="1"/>
  <c r="Z171" i="3" s="1"/>
  <c r="K171" i="3" a="1"/>
  <c r="K171" i="3" s="1"/>
  <c r="J171" i="3" a="1"/>
  <c r="J171" i="3" s="1"/>
  <c r="Y171" i="3" a="1"/>
  <c r="Y171" i="3" s="1"/>
  <c r="I171" i="3" a="1"/>
  <c r="I171" i="3" s="1"/>
  <c r="X171" i="3" a="1"/>
  <c r="X171" i="3" s="1"/>
  <c r="F171" i="3" a="1"/>
  <c r="F171" i="3" s="1"/>
  <c r="AL171" i="3" a="1"/>
  <c r="AL171" i="3" s="1"/>
  <c r="W171" i="3" a="1"/>
  <c r="W171" i="3" s="1"/>
  <c r="E171" i="3" a="1"/>
  <c r="E171" i="3" s="1"/>
  <c r="AK171" i="3" a="1"/>
  <c r="AK171" i="3" s="1"/>
  <c r="V171" i="3" a="1"/>
  <c r="V171" i="3" s="1"/>
  <c r="D171" i="3" a="1"/>
  <c r="D171" i="3" s="1"/>
  <c r="D167" i="3" a="1"/>
  <c r="D167" i="3" s="1"/>
  <c r="Y163" i="3" a="1"/>
  <c r="Y163" i="3" s="1"/>
  <c r="T159" i="3" a="1"/>
  <c r="T159" i="3" s="1"/>
  <c r="R159" i="3" a="1"/>
  <c r="R159" i="3" s="1"/>
  <c r="U163" i="3" a="1"/>
  <c r="U163" i="3" s="1"/>
  <c r="F163" i="3" a="1"/>
  <c r="F163" i="3" s="1"/>
  <c r="P159" i="3" a="1"/>
  <c r="P159" i="3" s="1"/>
  <c r="E163" i="3" a="1"/>
  <c r="E163" i="3" s="1"/>
  <c r="W159" i="3" a="1"/>
  <c r="W159" i="3" s="1"/>
  <c r="S159" i="3" a="1"/>
  <c r="S159" i="3" s="1"/>
  <c r="J159" i="3" a="1"/>
  <c r="J159" i="3" s="1"/>
  <c r="V159" i="3" a="1"/>
  <c r="V159" i="3" s="1"/>
  <c r="AH159" i="3" a="1"/>
  <c r="AH159" i="3" s="1"/>
  <c r="K159" i="3" a="1"/>
  <c r="K159" i="3" s="1"/>
  <c r="AI159" i="3" a="1"/>
  <c r="AI159" i="3" s="1"/>
  <c r="L159" i="3" a="1"/>
  <c r="L159" i="3" s="1"/>
  <c r="X159" i="3" a="1"/>
  <c r="X159" i="3" s="1"/>
  <c r="M159" i="3" a="1"/>
  <c r="M159" i="3" s="1"/>
  <c r="AJ159" i="3" a="1"/>
  <c r="AJ159" i="3" s="1"/>
  <c r="N159" i="3" a="1"/>
  <c r="N159" i="3" s="1"/>
  <c r="AK159" i="3" a="1"/>
  <c r="AK159" i="3" s="1"/>
  <c r="O159" i="3" a="1"/>
  <c r="O159" i="3" s="1"/>
  <c r="AL159" i="3" a="1"/>
  <c r="AL159" i="3" s="1"/>
  <c r="D159" i="3" a="1"/>
  <c r="D159" i="3" s="1"/>
  <c r="AA159" i="3" a="1"/>
  <c r="AA159" i="3" s="1"/>
  <c r="E159" i="3" a="1"/>
  <c r="E159" i="3" s="1"/>
  <c r="AB159" i="3" a="1"/>
  <c r="AB159" i="3" s="1"/>
  <c r="Q159" i="3" a="1"/>
  <c r="Q159" i="3" s="1"/>
  <c r="I159" i="3" a="1"/>
  <c r="I159" i="3" s="1"/>
  <c r="U159" i="3" a="1"/>
  <c r="U159" i="3" s="1"/>
  <c r="N155" i="3" a="1"/>
  <c r="N155" i="3" s="1"/>
  <c r="AI155" i="3" a="1"/>
  <c r="AI155" i="3" s="1"/>
  <c r="H155" i="3" a="1"/>
  <c r="H155" i="3" s="1"/>
  <c r="S155" i="3" a="1"/>
  <c r="S155" i="3" s="1"/>
  <c r="J155" i="3" a="1"/>
  <c r="J155" i="3" s="1"/>
  <c r="AE155" i="3" a="1"/>
  <c r="AE155" i="3" s="1"/>
  <c r="U155" i="3" a="1"/>
  <c r="U155" i="3" s="1"/>
  <c r="AA155" i="3" a="1"/>
  <c r="AA155" i="3" s="1"/>
  <c r="O155" i="3" a="1"/>
  <c r="O155" i="3" s="1"/>
  <c r="AB155" i="3" a="1"/>
  <c r="AB155" i="3" s="1"/>
  <c r="P155" i="3" a="1"/>
  <c r="P155" i="3" s="1"/>
  <c r="AC155" i="3" a="1"/>
  <c r="AC155" i="3" s="1"/>
  <c r="D155" i="3" a="1"/>
  <c r="D155" i="3" s="1"/>
  <c r="AD155" i="3" a="1"/>
  <c r="AD155" i="3" s="1"/>
  <c r="Q155" i="3" a="1"/>
  <c r="Q155" i="3" s="1"/>
  <c r="E155" i="3" a="1"/>
  <c r="E155" i="3" s="1"/>
  <c r="AF155" i="3" a="1"/>
  <c r="AF155" i="3" s="1"/>
  <c r="R155" i="3" a="1"/>
  <c r="R155" i="3" s="1"/>
  <c r="F155" i="3" a="1"/>
  <c r="F155" i="3" s="1"/>
  <c r="AG155" i="3" a="1"/>
  <c r="AG155" i="3" s="1"/>
  <c r="T155" i="3" a="1"/>
  <c r="T155" i="3" s="1"/>
  <c r="G155" i="3" a="1"/>
  <c r="G155" i="3" s="1"/>
  <c r="AH155" i="3" a="1"/>
  <c r="AH155" i="3" s="1"/>
  <c r="V155" i="3" a="1"/>
  <c r="V155" i="3" s="1"/>
  <c r="I155" i="3" a="1"/>
  <c r="I155" i="3" s="1"/>
  <c r="W155" i="3" a="1"/>
  <c r="W155" i="3" s="1"/>
  <c r="AJ155" i="3" a="1"/>
  <c r="AJ155" i="3" s="1"/>
  <c r="X155" i="3" a="1"/>
  <c r="X155" i="3" s="1"/>
  <c r="AK155" i="3" a="1"/>
  <c r="AK155" i="3" s="1"/>
  <c r="C154" i="3" a="1"/>
  <c r="C154" i="3" s="1"/>
  <c r="L155" i="3" a="1"/>
  <c r="L155" i="3" s="1"/>
  <c r="Y155" i="3" a="1"/>
  <c r="Y155" i="3" s="1"/>
  <c r="AL155" i="3" a="1"/>
  <c r="AL155" i="3" s="1"/>
  <c r="M155" i="3" a="1"/>
  <c r="M155" i="3" s="1"/>
  <c r="Z155" i="3" a="1"/>
  <c r="Z155" i="3" s="1"/>
  <c r="AM155" i="3" a="1"/>
  <c r="AM155" i="3" s="1"/>
  <c r="S163" i="3" a="1"/>
  <c r="S163" i="3" s="1"/>
  <c r="AM159" i="3" a="1"/>
  <c r="AM159" i="3" s="1"/>
  <c r="H159" i="3" a="1"/>
  <c r="H159" i="3" s="1"/>
  <c r="R163" i="3" a="1"/>
  <c r="R163" i="3" s="1"/>
  <c r="G159" i="3" a="1"/>
  <c r="G159" i="3" s="1"/>
  <c r="AF163" i="3" a="1"/>
  <c r="AF163" i="3" s="1"/>
  <c r="N163" i="3" a="1"/>
  <c r="N163" i="3" s="1"/>
  <c r="AI163" i="3" a="1"/>
  <c r="AI163" i="3" s="1"/>
  <c r="O163" i="3" a="1"/>
  <c r="O163" i="3" s="1"/>
  <c r="AJ163" i="3" a="1"/>
  <c r="AJ163" i="3" s="1"/>
  <c r="P163" i="3" a="1"/>
  <c r="P163" i="3" s="1"/>
  <c r="AK163" i="3" a="1"/>
  <c r="AK163" i="3" s="1"/>
  <c r="Q163" i="3" a="1"/>
  <c r="Q163" i="3" s="1"/>
  <c r="AL163" i="3" a="1"/>
  <c r="AL163" i="3" s="1"/>
  <c r="T163" i="3" a="1"/>
  <c r="T163" i="3" s="1"/>
  <c r="V163" i="3" a="1"/>
  <c r="V163" i="3" s="1"/>
  <c r="AG163" i="3" a="1"/>
  <c r="AG163" i="3" s="1"/>
  <c r="M163" i="3" a="1"/>
  <c r="M163" i="3" s="1"/>
  <c r="AH163" i="3" a="1"/>
  <c r="AH163" i="3" s="1"/>
  <c r="N167" i="3" a="1"/>
  <c r="N167" i="3" s="1"/>
  <c r="Y167" i="3" a="1"/>
  <c r="Y167" i="3" s="1"/>
  <c r="J167" i="3" a="1"/>
  <c r="J167" i="3" s="1"/>
  <c r="AE167" i="3" a="1"/>
  <c r="AE167" i="3" s="1"/>
  <c r="K167" i="3" a="1"/>
  <c r="K167" i="3" s="1"/>
  <c r="AF167" i="3" a="1"/>
  <c r="AF167" i="3" s="1"/>
  <c r="AE163" i="3" a="1"/>
  <c r="AE163" i="3" s="1"/>
  <c r="AE159" i="3" a="1"/>
  <c r="AE159" i="3" s="1"/>
  <c r="AD159" i="3" a="1"/>
  <c r="AD159" i="3" s="1"/>
  <c r="X127" i="3" a="1"/>
  <c r="X127" i="3" s="1"/>
  <c r="C126" i="3" a="1"/>
  <c r="C126" i="3" s="1"/>
  <c r="G127" i="3" a="1"/>
  <c r="G127" i="3" s="1"/>
  <c r="R127" i="3" a="1"/>
  <c r="R127" i="3" s="1"/>
  <c r="AC127" i="3" a="1"/>
  <c r="AC127" i="3" s="1"/>
  <c r="H127" i="3" a="1"/>
  <c r="H127" i="3" s="1"/>
  <c r="S127" i="3" a="1"/>
  <c r="S127" i="3" s="1"/>
  <c r="AD127" i="3" a="1"/>
  <c r="AD127" i="3" s="1"/>
  <c r="I127" i="3" a="1"/>
  <c r="I127" i="3" s="1"/>
  <c r="T127" i="3" a="1"/>
  <c r="T127" i="3" s="1"/>
  <c r="AE127" i="3" a="1"/>
  <c r="AE127" i="3" s="1"/>
  <c r="AF127" i="3" a="1"/>
  <c r="AF127" i="3" s="1"/>
  <c r="J127" i="3" a="1"/>
  <c r="J127" i="3" s="1"/>
  <c r="U127" i="3" a="1"/>
  <c r="U127" i="3" s="1"/>
  <c r="V127" i="3" a="1"/>
  <c r="V127" i="3" s="1"/>
  <c r="AG127" i="3" a="1"/>
  <c r="AG127" i="3" s="1"/>
  <c r="L127" i="3" a="1"/>
  <c r="L127" i="3" s="1"/>
  <c r="W127" i="3" a="1"/>
  <c r="W127" i="3" s="1"/>
  <c r="AH127" i="3" a="1"/>
  <c r="AH127" i="3" s="1"/>
  <c r="AI127" i="3" a="1"/>
  <c r="AI127" i="3" s="1"/>
  <c r="M127" i="3" a="1"/>
  <c r="M127" i="3" s="1"/>
  <c r="D127" i="3" a="1"/>
  <c r="D127" i="3" s="1"/>
  <c r="O127" i="3" a="1"/>
  <c r="O127" i="3" s="1"/>
  <c r="Z127" i="3" a="1"/>
  <c r="Z127" i="3" s="1"/>
  <c r="AK127" i="3" a="1"/>
  <c r="AK127" i="3" s="1"/>
  <c r="AJ127" i="3" a="1"/>
  <c r="AJ127" i="3" s="1"/>
  <c r="AL127" i="3" a="1"/>
  <c r="AL127" i="3" s="1"/>
  <c r="AM127" i="3" a="1"/>
  <c r="AM127" i="3" s="1"/>
  <c r="E127" i="3" a="1"/>
  <c r="E127" i="3" s="1"/>
  <c r="F127" i="3" a="1"/>
  <c r="F127" i="3" s="1"/>
  <c r="K127" i="3" a="1"/>
  <c r="K127" i="3" s="1"/>
  <c r="N127" i="3" a="1"/>
  <c r="N127" i="3" s="1"/>
  <c r="P127" i="3" a="1"/>
  <c r="P127" i="3" s="1"/>
  <c r="Q127" i="3" a="1"/>
  <c r="Q127" i="3" s="1"/>
  <c r="Y127" i="3" a="1"/>
  <c r="Y127" i="3" s="1"/>
  <c r="AA127" i="3" a="1"/>
  <c r="AA127" i="3" s="1"/>
  <c r="AB127" i="3" a="1"/>
  <c r="AB127" i="3" s="1"/>
  <c r="I151" i="3" a="1"/>
  <c r="I151" i="3" s="1"/>
  <c r="F151" i="3" a="1"/>
  <c r="F151" i="3" s="1"/>
  <c r="S139" i="3" a="1"/>
  <c r="S139" i="3" s="1"/>
  <c r="I139" i="3" a="1"/>
  <c r="I139" i="3" s="1"/>
  <c r="AD139" i="3" a="1"/>
  <c r="AD139" i="3" s="1"/>
  <c r="T139" i="3" a="1"/>
  <c r="T139" i="3" s="1"/>
  <c r="AE139" i="3" a="1"/>
  <c r="AE139" i="3" s="1"/>
  <c r="J139" i="3" a="1"/>
  <c r="J139" i="3" s="1"/>
  <c r="U139" i="3" a="1"/>
  <c r="U139" i="3" s="1"/>
  <c r="K139" i="3" a="1"/>
  <c r="K139" i="3" s="1"/>
  <c r="AF139" i="3" a="1"/>
  <c r="AF139" i="3" s="1"/>
  <c r="V139" i="3" a="1"/>
  <c r="V139" i="3" s="1"/>
  <c r="L139" i="3" a="1"/>
  <c r="L139" i="3" s="1"/>
  <c r="AG139" i="3" a="1"/>
  <c r="AG139" i="3" s="1"/>
  <c r="W139" i="3" a="1"/>
  <c r="W139" i="3" s="1"/>
  <c r="M139" i="3" a="1"/>
  <c r="M139" i="3" s="1"/>
  <c r="AH139" i="3" a="1"/>
  <c r="AH139" i="3" s="1"/>
  <c r="X139" i="3" a="1"/>
  <c r="X139" i="3" s="1"/>
  <c r="N139" i="3" a="1"/>
  <c r="N139" i="3" s="1"/>
  <c r="AI139" i="3" a="1"/>
  <c r="AI139" i="3" s="1"/>
  <c r="D139" i="3" a="1"/>
  <c r="D139" i="3" s="1"/>
  <c r="Y139" i="3" a="1"/>
  <c r="Y139" i="3" s="1"/>
  <c r="O139" i="3" a="1"/>
  <c r="O139" i="3" s="1"/>
  <c r="AJ139" i="3" a="1"/>
  <c r="AJ139" i="3" s="1"/>
  <c r="E139" i="3" a="1"/>
  <c r="E139" i="3" s="1"/>
  <c r="Z139" i="3" a="1"/>
  <c r="Z139" i="3" s="1"/>
  <c r="P139" i="3" a="1"/>
  <c r="P139" i="3" s="1"/>
  <c r="AK139" i="3" a="1"/>
  <c r="AK139" i="3" s="1"/>
  <c r="F139" i="3" a="1"/>
  <c r="F139" i="3" s="1"/>
  <c r="AA139" i="3" a="1"/>
  <c r="AA139" i="3" s="1"/>
  <c r="C138" i="3" a="1"/>
  <c r="C138" i="3" s="1"/>
  <c r="Q139" i="3" a="1"/>
  <c r="Q139" i="3" s="1"/>
  <c r="AL139" i="3" a="1"/>
  <c r="AL139" i="3" s="1"/>
  <c r="G139" i="3" a="1"/>
  <c r="G139" i="3" s="1"/>
  <c r="AB139" i="3" a="1"/>
  <c r="AB139" i="3" s="1"/>
  <c r="R139" i="3" a="1"/>
  <c r="R139" i="3" s="1"/>
  <c r="AM139" i="3" a="1"/>
  <c r="AM139" i="3" s="1"/>
  <c r="H139" i="3" a="1"/>
  <c r="H139" i="3" s="1"/>
  <c r="AC139" i="3" a="1"/>
  <c r="AC139" i="3" s="1"/>
  <c r="G135" i="3" a="1"/>
  <c r="G135" i="3" s="1"/>
  <c r="AB135" i="3" a="1"/>
  <c r="AB135" i="3" s="1"/>
  <c r="AM135" i="3" a="1"/>
  <c r="AM135" i="3" s="1"/>
  <c r="M135" i="3" a="1"/>
  <c r="M135" i="3" s="1"/>
  <c r="AH135" i="3" a="1"/>
  <c r="AH135" i="3" s="1"/>
  <c r="AJ135" i="3" a="1"/>
  <c r="AJ135" i="3" s="1"/>
  <c r="Y135" i="3" a="1"/>
  <c r="Y135" i="3" s="1"/>
  <c r="N135" i="3" a="1"/>
  <c r="N135" i="3" s="1"/>
  <c r="AK135" i="3" a="1"/>
  <c r="AK135" i="3" s="1"/>
  <c r="Z135" i="3" a="1"/>
  <c r="Z135" i="3" s="1"/>
  <c r="O135" i="3" a="1"/>
  <c r="O135" i="3" s="1"/>
  <c r="AL135" i="3" a="1"/>
  <c r="AL135" i="3" s="1"/>
  <c r="D135" i="3" a="1"/>
  <c r="D135" i="3" s="1"/>
  <c r="AA135" i="3" a="1"/>
  <c r="AA135" i="3" s="1"/>
  <c r="P135" i="3" a="1"/>
  <c r="P135" i="3" s="1"/>
  <c r="E135" i="3" a="1"/>
  <c r="E135" i="3" s="1"/>
  <c r="AC135" i="3" a="1"/>
  <c r="AC135" i="3" s="1"/>
  <c r="Q135" i="3" a="1"/>
  <c r="Q135" i="3" s="1"/>
  <c r="F135" i="3" a="1"/>
  <c r="F135" i="3" s="1"/>
  <c r="R135" i="3" a="1"/>
  <c r="R135" i="3" s="1"/>
  <c r="AD135" i="3" a="1"/>
  <c r="AD135" i="3" s="1"/>
  <c r="S135" i="3" a="1"/>
  <c r="S135" i="3" s="1"/>
  <c r="AE135" i="3" a="1"/>
  <c r="AE135" i="3" s="1"/>
  <c r="H135" i="3" a="1"/>
  <c r="H135" i="3" s="1"/>
  <c r="T135" i="3" a="1"/>
  <c r="T135" i="3" s="1"/>
  <c r="C134" i="3" a="1"/>
  <c r="C134" i="3" s="1"/>
  <c r="I135" i="3" a="1"/>
  <c r="I135" i="3" s="1"/>
  <c r="AF135" i="3" a="1"/>
  <c r="AF135" i="3" s="1"/>
  <c r="U135" i="3" a="1"/>
  <c r="U135" i="3" s="1"/>
  <c r="J135" i="3" a="1"/>
  <c r="J135" i="3" s="1"/>
  <c r="AG135" i="3" a="1"/>
  <c r="AG135" i="3" s="1"/>
  <c r="V135" i="3" a="1"/>
  <c r="V135" i="3" s="1"/>
  <c r="K135" i="3" a="1"/>
  <c r="K135" i="3" s="1"/>
  <c r="W135" i="3" a="1"/>
  <c r="W135" i="3" s="1"/>
  <c r="AI135" i="3" a="1"/>
  <c r="AI135" i="3" s="1"/>
  <c r="L135" i="3" a="1"/>
  <c r="L135" i="3" s="1"/>
  <c r="X135" i="3" a="1"/>
  <c r="X135" i="3" s="1"/>
  <c r="E151" i="3" a="1"/>
  <c r="E151" i="3" s="1"/>
  <c r="Z151" i="3" a="1"/>
  <c r="Z151" i="3" s="1"/>
  <c r="AK151" i="3" a="1"/>
  <c r="AK151" i="3" s="1"/>
  <c r="R151" i="3" a="1"/>
  <c r="R151" i="3" s="1"/>
  <c r="AM151" i="3" a="1"/>
  <c r="AM151" i="3" s="1"/>
  <c r="H151" i="3" a="1"/>
  <c r="H151" i="3" s="1"/>
  <c r="AC151" i="3" a="1"/>
  <c r="AC151" i="3" s="1"/>
  <c r="S151" i="3" a="1"/>
  <c r="S151" i="3" s="1"/>
  <c r="J151" i="3" a="1"/>
  <c r="J151" i="3" s="1"/>
  <c r="AE151" i="3" a="1"/>
  <c r="AE151" i="3" s="1"/>
  <c r="V151" i="3" a="1"/>
  <c r="V151" i="3" s="1"/>
  <c r="L151" i="3" a="1"/>
  <c r="L151" i="3" s="1"/>
  <c r="AG151" i="3" a="1"/>
  <c r="AG151" i="3" s="1"/>
  <c r="M151" i="3" a="1"/>
  <c r="M151" i="3" s="1"/>
  <c r="AH151" i="3" a="1"/>
  <c r="AH151" i="3" s="1"/>
  <c r="AF151" i="3" a="1"/>
  <c r="AF151" i="3" s="1"/>
  <c r="AJ147" i="3" a="1"/>
  <c r="AJ147" i="3" s="1"/>
  <c r="O147" i="3" a="1"/>
  <c r="O147" i="3" s="1"/>
  <c r="D147" i="3" a="1"/>
  <c r="D147" i="3" s="1"/>
  <c r="Y147" i="3" a="1"/>
  <c r="Y147" i="3" s="1"/>
  <c r="N147" i="3" a="1"/>
  <c r="N147" i="3" s="1"/>
  <c r="AM131" i="3" a="1"/>
  <c r="AM131" i="3" s="1"/>
  <c r="R131" i="3" a="1"/>
  <c r="R131" i="3" s="1"/>
  <c r="AI147" i="3" a="1"/>
  <c r="AI147" i="3" s="1"/>
  <c r="X147" i="3" a="1"/>
  <c r="X147" i="3" s="1"/>
  <c r="Z143" i="3" a="1"/>
  <c r="Z143" i="3" s="1"/>
  <c r="E143" i="3" a="1"/>
  <c r="E143" i="3" s="1"/>
  <c r="AL131" i="3" a="1"/>
  <c r="AL131" i="3" s="1"/>
  <c r="Q131" i="3" a="1"/>
  <c r="Q131" i="3" s="1"/>
  <c r="AH147" i="3" a="1"/>
  <c r="AH147" i="3" s="1"/>
  <c r="M147" i="3" a="1"/>
  <c r="M147" i="3" s="1"/>
  <c r="AJ143" i="3" a="1"/>
  <c r="AJ143" i="3" s="1"/>
  <c r="O143" i="3" a="1"/>
  <c r="O143" i="3" s="1"/>
  <c r="P131" i="3" a="1"/>
  <c r="P131" i="3" s="1"/>
  <c r="W147" i="3" a="1"/>
  <c r="W147" i="3" s="1"/>
  <c r="AG147" i="3" a="1"/>
  <c r="AG147" i="3" s="1"/>
  <c r="L147" i="3" a="1"/>
  <c r="L147" i="3" s="1"/>
  <c r="AI131" i="3" a="1"/>
  <c r="AI131" i="3" s="1"/>
  <c r="N131" i="3" a="1"/>
  <c r="N131" i="3" s="1"/>
  <c r="V147" i="3" a="1"/>
  <c r="V147" i="3" s="1"/>
  <c r="X143" i="3" a="1"/>
  <c r="X143" i="3" s="1"/>
  <c r="AH131" i="3" a="1"/>
  <c r="AH131" i="3" s="1"/>
  <c r="M131" i="3" a="1"/>
  <c r="M131" i="3" s="1"/>
  <c r="U147" i="3" a="1"/>
  <c r="U147" i="3" s="1"/>
  <c r="W143" i="3" a="1"/>
  <c r="W143" i="3" s="1"/>
  <c r="L143" i="3" a="1"/>
  <c r="L143" i="3" s="1"/>
  <c r="AG131" i="3" a="1"/>
  <c r="AG131" i="3" s="1"/>
  <c r="L131" i="3" a="1"/>
  <c r="L131" i="3" s="1"/>
  <c r="AE147" i="3" a="1"/>
  <c r="AE147" i="3" s="1"/>
  <c r="J147" i="3" a="1"/>
  <c r="J147" i="3" s="1"/>
  <c r="AG143" i="3" a="1"/>
  <c r="AG143" i="3" s="1"/>
  <c r="V143" i="3" a="1"/>
  <c r="V143" i="3" s="1"/>
  <c r="T147" i="3" a="1"/>
  <c r="T147" i="3" s="1"/>
  <c r="AF131" i="3" a="1"/>
  <c r="AF131" i="3" s="1"/>
  <c r="AD147" i="3" a="1"/>
  <c r="AD147" i="3" s="1"/>
  <c r="I147" i="3" a="1"/>
  <c r="I147" i="3" s="1"/>
  <c r="U143" i="3" a="1"/>
  <c r="U143" i="3" s="1"/>
  <c r="G131" i="3" a="1"/>
  <c r="G131" i="3" s="1"/>
  <c r="AB131" i="3" a="1"/>
  <c r="AB131" i="3" s="1"/>
  <c r="H131" i="3" a="1"/>
  <c r="H131" i="3" s="1"/>
  <c r="AC131" i="3" a="1"/>
  <c r="AC131" i="3" s="1"/>
  <c r="S131" i="3" a="1"/>
  <c r="S131" i="3" s="1"/>
  <c r="I131" i="3" a="1"/>
  <c r="I131" i="3" s="1"/>
  <c r="AD131" i="3" a="1"/>
  <c r="AD131" i="3" s="1"/>
  <c r="T131" i="3" a="1"/>
  <c r="T131" i="3" s="1"/>
  <c r="J131" i="3" a="1"/>
  <c r="J131" i="3" s="1"/>
  <c r="AE131" i="3" a="1"/>
  <c r="AE131" i="3" s="1"/>
  <c r="U131" i="3" a="1"/>
  <c r="U131" i="3" s="1"/>
  <c r="X131" i="3" a="1"/>
  <c r="X131" i="3" s="1"/>
  <c r="D131" i="3" a="1"/>
  <c r="D131" i="3" s="1"/>
  <c r="Y131" i="3" a="1"/>
  <c r="Y131" i="3" s="1"/>
  <c r="E131" i="3" a="1"/>
  <c r="E131" i="3" s="1"/>
  <c r="Z131" i="3" a="1"/>
  <c r="Z131" i="3" s="1"/>
  <c r="AK131" i="3" a="1"/>
  <c r="AK131" i="3" s="1"/>
  <c r="AB147" i="3" a="1"/>
  <c r="AB147" i="3" s="1"/>
  <c r="G147" i="3" a="1"/>
  <c r="G147" i="3" s="1"/>
  <c r="AL147" i="3" a="1"/>
  <c r="AL147" i="3" s="1"/>
  <c r="Q147" i="3" a="1"/>
  <c r="Q147" i="3" s="1"/>
  <c r="AA147" i="3" a="1"/>
  <c r="AA147" i="3" s="1"/>
  <c r="F147" i="3" a="1"/>
  <c r="F147" i="3" s="1"/>
  <c r="AF123" i="3" a="1"/>
  <c r="AF123" i="3" s="1"/>
  <c r="U123" i="3" a="1"/>
  <c r="U123" i="3" s="1"/>
  <c r="J123" i="3" a="1"/>
  <c r="J123" i="3" s="1"/>
  <c r="I123" i="3" a="1"/>
  <c r="I123" i="3" s="1"/>
  <c r="H119" i="3" a="1"/>
  <c r="H119" i="3" s="1"/>
  <c r="R119" i="3" a="1"/>
  <c r="R119" i="3" s="1"/>
  <c r="AB119" i="3" a="1"/>
  <c r="AB119" i="3" s="1"/>
  <c r="AL119" i="3" a="1"/>
  <c r="AL119" i="3" s="1"/>
  <c r="F119" i="3" a="1"/>
  <c r="F119" i="3" s="1"/>
  <c r="Q119" i="3" a="1"/>
  <c r="Q119" i="3" s="1"/>
  <c r="AC119" i="3" a="1"/>
  <c r="AC119" i="3" s="1"/>
  <c r="C118" i="3" a="1"/>
  <c r="C118" i="3" s="1"/>
  <c r="G119" i="3" a="1"/>
  <c r="G119" i="3" s="1"/>
  <c r="S119" i="3" a="1"/>
  <c r="S119" i="3" s="1"/>
  <c r="AD119" i="3" a="1"/>
  <c r="AD119" i="3" s="1"/>
  <c r="I119" i="3" a="1"/>
  <c r="I119" i="3" s="1"/>
  <c r="T119" i="3" a="1"/>
  <c r="T119" i="3" s="1"/>
  <c r="AE119" i="3" a="1"/>
  <c r="AE119" i="3" s="1"/>
  <c r="K119" i="3" a="1"/>
  <c r="K119" i="3" s="1"/>
  <c r="V119" i="3" a="1"/>
  <c r="V119" i="3" s="1"/>
  <c r="AG119" i="3" a="1"/>
  <c r="AG119" i="3" s="1"/>
  <c r="O123" i="3" a="1"/>
  <c r="O123" i="3" s="1"/>
  <c r="AJ123" i="3" a="1"/>
  <c r="AJ123" i="3" s="1"/>
  <c r="AM123" i="3" a="1"/>
  <c r="AM123" i="3" s="1"/>
  <c r="AB123" i="3" a="1"/>
  <c r="AB123" i="3" s="1"/>
  <c r="Q123" i="3" a="1"/>
  <c r="Q123" i="3" s="1"/>
  <c r="F123" i="3" a="1"/>
  <c r="F123" i="3" s="1"/>
  <c r="Z119" i="3" a="1"/>
  <c r="Z119" i="3" s="1"/>
  <c r="L119" i="3" a="1"/>
  <c r="L119" i="3" s="1"/>
  <c r="AL123" i="3" a="1"/>
  <c r="AL123" i="3" s="1"/>
  <c r="AA123" i="3" a="1"/>
  <c r="AA123" i="3" s="1"/>
  <c r="P123" i="3" a="1"/>
  <c r="P123" i="3" s="1"/>
  <c r="E123" i="3" a="1"/>
  <c r="E123" i="3" s="1"/>
  <c r="D123" i="3" a="1"/>
  <c r="D123" i="3" s="1"/>
  <c r="AK123" i="3" a="1"/>
  <c r="AK123" i="3" s="1"/>
  <c r="Z123" i="3" a="1"/>
  <c r="Z123" i="3" s="1"/>
  <c r="AM119" i="3" a="1"/>
  <c r="AM119" i="3" s="1"/>
  <c r="X119" i="3" a="1"/>
  <c r="X119" i="3" s="1"/>
  <c r="J119" i="3" a="1"/>
  <c r="J119" i="3" s="1"/>
  <c r="Y123" i="3" a="1"/>
  <c r="Y123" i="3" s="1"/>
  <c r="N123" i="3" a="1"/>
  <c r="N123" i="3" s="1"/>
  <c r="AK119" i="3" a="1"/>
  <c r="AK119" i="3" s="1"/>
  <c r="W119" i="3" a="1"/>
  <c r="W119" i="3" s="1"/>
  <c r="AI123" i="3" a="1"/>
  <c r="AI123" i="3" s="1"/>
  <c r="X123" i="3" a="1"/>
  <c r="X123" i="3" s="1"/>
  <c r="M123" i="3" a="1"/>
  <c r="M123" i="3" s="1"/>
  <c r="AJ119" i="3" a="1"/>
  <c r="AJ119" i="3" s="1"/>
  <c r="H115" i="3" a="1"/>
  <c r="H115" i="3" s="1"/>
  <c r="AE115" i="3" a="1"/>
  <c r="AE115" i="3" s="1"/>
  <c r="F115" i="3" a="1"/>
  <c r="F115" i="3" s="1"/>
  <c r="AD115" i="3" a="1"/>
  <c r="AD115" i="3" s="1"/>
  <c r="E115" i="3" a="1"/>
  <c r="E115" i="3" s="1"/>
  <c r="AC115" i="3" a="1"/>
  <c r="AC115" i="3" s="1"/>
  <c r="D115" i="3" a="1"/>
  <c r="D115" i="3" s="1"/>
  <c r="R111" i="3" a="1"/>
  <c r="R111" i="3" s="1"/>
  <c r="AB115" i="3" a="1"/>
  <c r="AB115" i="3" s="1"/>
  <c r="AA115" i="3" a="1"/>
  <c r="AA115" i="3" s="1"/>
  <c r="AM115" i="3" a="1"/>
  <c r="AM115" i="3" s="1"/>
  <c r="X111" i="3" a="1"/>
  <c r="X111" i="3" s="1"/>
  <c r="N111" i="3" a="1"/>
  <c r="N111" i="3" s="1"/>
  <c r="AI111" i="3" a="1"/>
  <c r="AI111" i="3" s="1"/>
  <c r="D111" i="3" a="1"/>
  <c r="D111" i="3" s="1"/>
  <c r="Y111" i="3" a="1"/>
  <c r="Y111" i="3" s="1"/>
  <c r="O111" i="3" a="1"/>
  <c r="O111" i="3" s="1"/>
  <c r="AJ111" i="3" a="1"/>
  <c r="AJ111" i="3" s="1"/>
  <c r="Q111" i="3" a="1"/>
  <c r="Q111" i="3" s="1"/>
  <c r="AL111" i="3" a="1"/>
  <c r="AL111" i="3" s="1"/>
  <c r="U111" i="3" a="1"/>
  <c r="U111" i="3" s="1"/>
  <c r="AF111" i="3" a="1"/>
  <c r="AF111" i="3" s="1"/>
  <c r="V115" i="3" a="1"/>
  <c r="V115" i="3" s="1"/>
  <c r="L115" i="3" a="1"/>
  <c r="L115" i="3" s="1"/>
  <c r="AG115" i="3" a="1"/>
  <c r="AG115" i="3" s="1"/>
  <c r="W115" i="3" a="1"/>
  <c r="W115" i="3" s="1"/>
  <c r="AH115" i="3" a="1"/>
  <c r="AH115" i="3" s="1"/>
  <c r="M115" i="3" a="1"/>
  <c r="M115" i="3" s="1"/>
  <c r="X115" i="3" a="1"/>
  <c r="X115" i="3" s="1"/>
  <c r="AG107" i="3" a="1"/>
  <c r="AG107" i="3" s="1"/>
  <c r="V107" i="3" a="1"/>
  <c r="V107" i="3" s="1"/>
  <c r="V99" i="3" a="1"/>
  <c r="V99" i="3" s="1"/>
  <c r="S99" i="3" a="1"/>
  <c r="S99" i="3" s="1"/>
  <c r="I107" i="3" a="1"/>
  <c r="I107" i="3" s="1"/>
  <c r="S107" i="3" a="1"/>
  <c r="S107" i="3" s="1"/>
  <c r="AC107" i="3" a="1"/>
  <c r="AC107" i="3" s="1"/>
  <c r="AM107" i="3" a="1"/>
  <c r="AM107" i="3" s="1"/>
  <c r="G95" i="3" a="1"/>
  <c r="G95" i="3" s="1"/>
  <c r="AB95" i="3" a="1"/>
  <c r="AB95" i="3" s="1"/>
  <c r="R95" i="3" a="1"/>
  <c r="R95" i="3" s="1"/>
  <c r="AM95" i="3" a="1"/>
  <c r="AM95" i="3" s="1"/>
  <c r="S95" i="3" a="1"/>
  <c r="S95" i="3" s="1"/>
  <c r="AD95" i="3" a="1"/>
  <c r="AD95" i="3" s="1"/>
  <c r="E95" i="3" a="1"/>
  <c r="E95" i="3" s="1"/>
  <c r="Q95" i="3" a="1"/>
  <c r="Q95" i="3" s="1"/>
  <c r="AE95" i="3" a="1"/>
  <c r="AE95" i="3" s="1"/>
  <c r="F95" i="3" a="1"/>
  <c r="F95" i="3" s="1"/>
  <c r="T95" i="3" a="1"/>
  <c r="T95" i="3" s="1"/>
  <c r="AF95" i="3" a="1"/>
  <c r="AF95" i="3" s="1"/>
  <c r="H95" i="3" a="1"/>
  <c r="H95" i="3" s="1"/>
  <c r="U95" i="3" a="1"/>
  <c r="U95" i="3" s="1"/>
  <c r="AG95" i="3" a="1"/>
  <c r="AG95" i="3" s="1"/>
  <c r="I95" i="3" a="1"/>
  <c r="I95" i="3" s="1"/>
  <c r="J95" i="3" a="1"/>
  <c r="J95" i="3" s="1"/>
  <c r="V95" i="3" a="1"/>
  <c r="V95" i="3" s="1"/>
  <c r="AH95" i="3" a="1"/>
  <c r="AH95" i="3" s="1"/>
  <c r="C94" i="3" a="1"/>
  <c r="C94" i="3" s="1"/>
  <c r="K95" i="3" a="1"/>
  <c r="K95" i="3" s="1"/>
  <c r="W95" i="3" a="1"/>
  <c r="W95" i="3" s="1"/>
  <c r="AI95" i="3" a="1"/>
  <c r="AI95" i="3" s="1"/>
  <c r="M95" i="3" a="1"/>
  <c r="M95" i="3" s="1"/>
  <c r="Y95" i="3" a="1"/>
  <c r="Y95" i="3" s="1"/>
  <c r="AK95" i="3" a="1"/>
  <c r="AK95" i="3" s="1"/>
  <c r="N95" i="3" a="1"/>
  <c r="N95" i="3" s="1"/>
  <c r="Z95" i="3" a="1"/>
  <c r="Z95" i="3" s="1"/>
  <c r="AL95" i="3" a="1"/>
  <c r="AL95" i="3" s="1"/>
  <c r="O95" i="3" a="1"/>
  <c r="O95" i="3" s="1"/>
  <c r="AA95" i="3" a="1"/>
  <c r="AA95" i="3" s="1"/>
  <c r="D95" i="3" a="1"/>
  <c r="D95" i="3" s="1"/>
  <c r="P95" i="3" a="1"/>
  <c r="P95" i="3" s="1"/>
  <c r="AC95" i="3" a="1"/>
  <c r="AC95" i="3" s="1"/>
  <c r="AB107" i="3" a="1"/>
  <c r="AB107" i="3" s="1"/>
  <c r="Q107" i="3" a="1"/>
  <c r="Q107" i="3" s="1"/>
  <c r="F107" i="3" a="1"/>
  <c r="F107" i="3" s="1"/>
  <c r="K99" i="3" a="1"/>
  <c r="K99" i="3" s="1"/>
  <c r="AL107" i="3" a="1"/>
  <c r="AL107" i="3" s="1"/>
  <c r="AA107" i="3" a="1"/>
  <c r="AA107" i="3" s="1"/>
  <c r="P107" i="3" a="1"/>
  <c r="P107" i="3" s="1"/>
  <c r="E107" i="3" a="1"/>
  <c r="E107" i="3" s="1"/>
  <c r="J99" i="3" a="1"/>
  <c r="J99" i="3" s="1"/>
  <c r="AK107" i="3" a="1"/>
  <c r="AK107" i="3" s="1"/>
  <c r="Z107" i="3" a="1"/>
  <c r="Z107" i="3" s="1"/>
  <c r="O107" i="3" a="1"/>
  <c r="O107" i="3" s="1"/>
  <c r="D107" i="3" a="1"/>
  <c r="D107" i="3" s="1"/>
  <c r="K103" i="3" a="1"/>
  <c r="K103" i="3" s="1"/>
  <c r="AF103" i="3" a="1"/>
  <c r="AF103" i="3" s="1"/>
  <c r="L103" i="3" a="1"/>
  <c r="L103" i="3" s="1"/>
  <c r="AG103" i="3" a="1"/>
  <c r="AG103" i="3" s="1"/>
  <c r="M103" i="3" a="1"/>
  <c r="M103" i="3" s="1"/>
  <c r="X103" i="3" a="1"/>
  <c r="X103" i="3" s="1"/>
  <c r="AH103" i="3" a="1"/>
  <c r="AH103" i="3" s="1"/>
  <c r="D103" i="3" a="1"/>
  <c r="D103" i="3" s="1"/>
  <c r="Y103" i="3" a="1"/>
  <c r="Y103" i="3" s="1"/>
  <c r="AI103" i="3" a="1"/>
  <c r="AI103" i="3" s="1"/>
  <c r="E103" i="3" a="1"/>
  <c r="E103" i="3" s="1"/>
  <c r="Z103" i="3" a="1"/>
  <c r="Z103" i="3" s="1"/>
  <c r="AJ103" i="3" a="1"/>
  <c r="AJ103" i="3" s="1"/>
  <c r="C102" i="3" a="1"/>
  <c r="C102" i="3" s="1"/>
  <c r="F103" i="3" a="1"/>
  <c r="F103" i="3" s="1"/>
  <c r="AA103" i="3" a="1"/>
  <c r="AA103" i="3" s="1"/>
  <c r="AK103" i="3" a="1"/>
  <c r="AK103" i="3" s="1"/>
  <c r="Q103" i="3" a="1"/>
  <c r="Q103" i="3" s="1"/>
  <c r="I103" i="3" a="1"/>
  <c r="I103" i="3" s="1"/>
  <c r="AD103" i="3" a="1"/>
  <c r="AD103" i="3" s="1"/>
  <c r="AE99" i="3" a="1"/>
  <c r="AE99" i="3" s="1"/>
  <c r="L99" i="3" a="1"/>
  <c r="L99" i="3" s="1"/>
  <c r="AG99" i="3" a="1"/>
  <c r="AG99" i="3" s="1"/>
  <c r="M99" i="3" a="1"/>
  <c r="M99" i="3" s="1"/>
  <c r="AH99" i="3" a="1"/>
  <c r="AH99" i="3" s="1"/>
  <c r="N99" i="3" a="1"/>
  <c r="N99" i="3" s="1"/>
  <c r="AI99" i="3" a="1"/>
  <c r="AI99" i="3" s="1"/>
  <c r="D99" i="3" a="1"/>
  <c r="D99" i="3" s="1"/>
  <c r="Y99" i="3" a="1"/>
  <c r="Y99" i="3" s="1"/>
  <c r="O99" i="3" a="1"/>
  <c r="O99" i="3" s="1"/>
  <c r="AJ99" i="3" a="1"/>
  <c r="AJ99" i="3" s="1"/>
  <c r="P99" i="3" a="1"/>
  <c r="P99" i="3" s="1"/>
  <c r="AK99" i="3" a="1"/>
  <c r="AK99" i="3" s="1"/>
  <c r="Q99" i="3" a="1"/>
  <c r="Q99" i="3" s="1"/>
  <c r="AL99" i="3" a="1"/>
  <c r="AL99" i="3" s="1"/>
  <c r="R99" i="3" a="1"/>
  <c r="R99" i="3" s="1"/>
  <c r="AM99" i="3" a="1"/>
  <c r="AM99" i="3" s="1"/>
  <c r="H99" i="3" a="1"/>
  <c r="H99" i="3" s="1"/>
  <c r="AC99" i="3" a="1"/>
  <c r="AC99" i="3" s="1"/>
  <c r="T99" i="3" a="1"/>
  <c r="T99" i="3" s="1"/>
  <c r="U99" i="3" a="1"/>
  <c r="U99" i="3" s="1"/>
  <c r="AF99" i="3" a="1"/>
  <c r="AF99" i="3" s="1"/>
  <c r="AJ107" i="3" a="1"/>
  <c r="AJ107" i="3" s="1"/>
  <c r="Y107" i="3" a="1"/>
  <c r="Y107" i="3" s="1"/>
  <c r="N107" i="3" a="1"/>
  <c r="N107" i="3" s="1"/>
  <c r="F99" i="3" a="1"/>
  <c r="F99" i="3" s="1"/>
  <c r="AB99" i="3" a="1"/>
  <c r="AB99" i="3" s="1"/>
  <c r="E99" i="3" a="1"/>
  <c r="E99" i="3" s="1"/>
  <c r="AI107" i="3" a="1"/>
  <c r="AI107" i="3" s="1"/>
  <c r="X107" i="3" a="1"/>
  <c r="X107" i="3" s="1"/>
  <c r="M107" i="3" a="1"/>
  <c r="M107" i="3" s="1"/>
  <c r="AA99" i="3" a="1"/>
  <c r="AA99" i="3" s="1"/>
  <c r="Z99" i="3" a="1"/>
  <c r="Z99" i="3" s="1"/>
  <c r="X99" i="3" a="1"/>
  <c r="X99" i="3" s="1"/>
  <c r="W99" i="3" a="1"/>
  <c r="W99" i="3" s="1"/>
  <c r="AM87" i="3" a="1"/>
  <c r="AM87" i="3" s="1"/>
  <c r="AF91" i="3" a="1"/>
  <c r="AF91" i="3" s="1"/>
  <c r="X87" i="3" a="1"/>
  <c r="X87" i="3" s="1"/>
  <c r="N87" i="3" a="1"/>
  <c r="N87" i="3" s="1"/>
  <c r="AI87" i="3" a="1"/>
  <c r="AI87" i="3" s="1"/>
  <c r="D87" i="3" a="1"/>
  <c r="D87" i="3" s="1"/>
  <c r="Y87" i="3" a="1"/>
  <c r="Y87" i="3" s="1"/>
  <c r="AJ87" i="3" a="1"/>
  <c r="AJ87" i="3" s="1"/>
  <c r="O87" i="3" a="1"/>
  <c r="O87" i="3" s="1"/>
  <c r="Z87" i="3" a="1"/>
  <c r="Z87" i="3" s="1"/>
  <c r="F87" i="3" a="1"/>
  <c r="F87" i="3" s="1"/>
  <c r="AA87" i="3" a="1"/>
  <c r="AA87" i="3" s="1"/>
  <c r="C86" i="3" a="1"/>
  <c r="C86" i="3" s="1"/>
  <c r="Q87" i="3" a="1"/>
  <c r="Q87" i="3" s="1"/>
  <c r="AL87" i="3" a="1"/>
  <c r="AL87" i="3" s="1"/>
  <c r="G87" i="3" a="1"/>
  <c r="G87" i="3" s="1"/>
  <c r="AB87" i="3" a="1"/>
  <c r="AB87" i="3" s="1"/>
  <c r="H87" i="3" a="1"/>
  <c r="H87" i="3" s="1"/>
  <c r="AC87" i="3" a="1"/>
  <c r="AC87" i="3" s="1"/>
  <c r="S87" i="3" a="1"/>
  <c r="S87" i="3" s="1"/>
  <c r="I87" i="3" a="1"/>
  <c r="I87" i="3" s="1"/>
  <c r="AD87" i="3" a="1"/>
  <c r="AD87" i="3" s="1"/>
  <c r="T87" i="3" a="1"/>
  <c r="T87" i="3" s="1"/>
  <c r="U87" i="3" a="1"/>
  <c r="U87" i="3" s="1"/>
  <c r="K87" i="3" a="1"/>
  <c r="K87" i="3" s="1"/>
  <c r="AF87" i="3" a="1"/>
  <c r="AF87" i="3" s="1"/>
  <c r="L87" i="3" a="1"/>
  <c r="L87" i="3" s="1"/>
  <c r="AG87" i="3" a="1"/>
  <c r="AG87" i="3" s="1"/>
  <c r="W87" i="3" a="1"/>
  <c r="W87" i="3" s="1"/>
  <c r="H75" i="3" a="1"/>
  <c r="H75" i="3" s="1"/>
  <c r="AC75" i="3" a="1"/>
  <c r="AC75" i="3" s="1"/>
  <c r="S75" i="3" a="1"/>
  <c r="S75" i="3" s="1"/>
  <c r="K75" i="3" a="1"/>
  <c r="K75" i="3" s="1"/>
  <c r="AF75" i="3" a="1"/>
  <c r="AF75" i="3" s="1"/>
  <c r="L75" i="3" a="1"/>
  <c r="L75" i="3" s="1"/>
  <c r="AG75" i="3" a="1"/>
  <c r="AG75" i="3" s="1"/>
  <c r="W75" i="3" a="1"/>
  <c r="W75" i="3" s="1"/>
  <c r="I75" i="3" a="1"/>
  <c r="I75" i="3" s="1"/>
  <c r="AK75" i="3" a="1"/>
  <c r="AK75" i="3" s="1"/>
  <c r="X75" i="3" a="1"/>
  <c r="X75" i="3" s="1"/>
  <c r="Y75" i="3" a="1"/>
  <c r="Y75" i="3" s="1"/>
  <c r="AB75" i="3" a="1"/>
  <c r="AB75" i="3" s="1"/>
  <c r="P75" i="3" a="1"/>
  <c r="P75" i="3" s="1"/>
  <c r="AD75" i="3" a="1"/>
  <c r="AD75" i="3" s="1"/>
  <c r="Q75" i="3" a="1"/>
  <c r="Q75" i="3" s="1"/>
  <c r="AE75" i="3" a="1"/>
  <c r="AE75" i="3" s="1"/>
  <c r="R75" i="3" a="1"/>
  <c r="R75" i="3" s="1"/>
  <c r="F75" i="3" a="1"/>
  <c r="F75" i="3" s="1"/>
  <c r="G75" i="3" a="1"/>
  <c r="G75" i="3" s="1"/>
  <c r="AH75" i="3" a="1"/>
  <c r="AH75" i="3" s="1"/>
  <c r="C74" i="3" a="1"/>
  <c r="C74" i="3" s="1"/>
  <c r="J75" i="3" a="1"/>
  <c r="J75" i="3" s="1"/>
  <c r="AI75" i="3" a="1"/>
  <c r="AI75" i="3" s="1"/>
  <c r="M75" i="3" a="1"/>
  <c r="M75" i="3" s="1"/>
  <c r="AJ75" i="3" a="1"/>
  <c r="AJ75" i="3" s="1"/>
  <c r="N75" i="3" a="1"/>
  <c r="N75" i="3" s="1"/>
  <c r="AL75" i="3" a="1"/>
  <c r="AL75" i="3" s="1"/>
  <c r="O75" i="3" a="1"/>
  <c r="O75" i="3" s="1"/>
  <c r="AM75" i="3" a="1"/>
  <c r="AM75" i="3" s="1"/>
  <c r="T75" i="3" a="1"/>
  <c r="T75" i="3" s="1"/>
  <c r="U75" i="3" a="1"/>
  <c r="U75" i="3" s="1"/>
  <c r="V75" i="3" a="1"/>
  <c r="V75" i="3" s="1"/>
  <c r="Z75" i="3" a="1"/>
  <c r="Z75" i="3" s="1"/>
  <c r="D75" i="3" a="1"/>
  <c r="D75" i="3" s="1"/>
  <c r="E75" i="3" a="1"/>
  <c r="E75" i="3" s="1"/>
  <c r="AA75" i="3" a="1"/>
  <c r="AA75" i="3" s="1"/>
  <c r="V87" i="3" a="1"/>
  <c r="V87" i="3" s="1"/>
  <c r="R87" i="3" a="1"/>
  <c r="R87" i="3" s="1"/>
  <c r="P87" i="3" a="1"/>
  <c r="P87" i="3" s="1"/>
  <c r="M87" i="3" a="1"/>
  <c r="M87" i="3" s="1"/>
  <c r="X91" i="3" a="1"/>
  <c r="X91" i="3" s="1"/>
  <c r="D91" i="3" a="1"/>
  <c r="D91" i="3" s="1"/>
  <c r="Y91" i="3" a="1"/>
  <c r="Y91" i="3" s="1"/>
  <c r="O91" i="3" a="1"/>
  <c r="O91" i="3" s="1"/>
  <c r="AJ91" i="3" a="1"/>
  <c r="AJ91" i="3" s="1"/>
  <c r="E91" i="3" a="1"/>
  <c r="E91" i="3" s="1"/>
  <c r="Z91" i="3" a="1"/>
  <c r="Z91" i="3" s="1"/>
  <c r="C90" i="3" a="1"/>
  <c r="C90" i="3" s="1"/>
  <c r="F91" i="3" a="1"/>
  <c r="F91" i="3" s="1"/>
  <c r="AA91" i="3" a="1"/>
  <c r="AA91" i="3" s="1"/>
  <c r="AL91" i="3" a="1"/>
  <c r="AL91" i="3" s="1"/>
  <c r="H91" i="3" a="1"/>
  <c r="H91" i="3" s="1"/>
  <c r="AC91" i="3" a="1"/>
  <c r="AC91" i="3" s="1"/>
  <c r="I91" i="3" a="1"/>
  <c r="I91" i="3" s="1"/>
  <c r="AD91" i="3" a="1"/>
  <c r="AD91" i="3" s="1"/>
  <c r="T91" i="3" a="1"/>
  <c r="T91" i="3" s="1"/>
  <c r="U91" i="3" a="1"/>
  <c r="U91" i="3" s="1"/>
  <c r="J87" i="3" a="1"/>
  <c r="J87" i="3" s="1"/>
  <c r="E83" i="3" a="1"/>
  <c r="E83" i="3" s="1"/>
  <c r="Z83" i="3" a="1"/>
  <c r="Z83" i="3" s="1"/>
  <c r="P83" i="3" a="1"/>
  <c r="P83" i="3" s="1"/>
  <c r="AK83" i="3" a="1"/>
  <c r="AK83" i="3" s="1"/>
  <c r="C82" i="3" a="1"/>
  <c r="C82" i="3" s="1"/>
  <c r="F83" i="3" a="1"/>
  <c r="F83" i="3" s="1"/>
  <c r="AA83" i="3" a="1"/>
  <c r="AA83" i="3" s="1"/>
  <c r="Q83" i="3" a="1"/>
  <c r="Q83" i="3" s="1"/>
  <c r="AL83" i="3" a="1"/>
  <c r="AL83" i="3" s="1"/>
  <c r="G83" i="3" a="1"/>
  <c r="G83" i="3" s="1"/>
  <c r="AB83" i="3" a="1"/>
  <c r="AB83" i="3" s="1"/>
  <c r="R83" i="3" a="1"/>
  <c r="R83" i="3" s="1"/>
  <c r="AM83" i="3" a="1"/>
  <c r="AM83" i="3" s="1"/>
  <c r="H83" i="3" a="1"/>
  <c r="H83" i="3" s="1"/>
  <c r="AC83" i="3" a="1"/>
  <c r="AC83" i="3" s="1"/>
  <c r="S83" i="3" a="1"/>
  <c r="S83" i="3" s="1"/>
  <c r="I83" i="3" a="1"/>
  <c r="I83" i="3" s="1"/>
  <c r="AD83" i="3" a="1"/>
  <c r="AD83" i="3" s="1"/>
  <c r="T83" i="3" a="1"/>
  <c r="T83" i="3" s="1"/>
  <c r="J83" i="3" a="1"/>
  <c r="J83" i="3" s="1"/>
  <c r="AE83" i="3" a="1"/>
  <c r="AE83" i="3" s="1"/>
  <c r="U83" i="3" a="1"/>
  <c r="U83" i="3" s="1"/>
  <c r="K83" i="3" a="1"/>
  <c r="K83" i="3" s="1"/>
  <c r="AF83" i="3" a="1"/>
  <c r="AF83" i="3" s="1"/>
  <c r="V83" i="3" a="1"/>
  <c r="V83" i="3" s="1"/>
  <c r="L83" i="3" a="1"/>
  <c r="L83" i="3" s="1"/>
  <c r="AG83" i="3" a="1"/>
  <c r="AG83" i="3" s="1"/>
  <c r="W83" i="3" a="1"/>
  <c r="W83" i="3" s="1"/>
  <c r="AH83" i="3" a="1"/>
  <c r="AH83" i="3" s="1"/>
  <c r="M83" i="3" a="1"/>
  <c r="M83" i="3" s="1"/>
  <c r="X83" i="3" a="1"/>
  <c r="X83" i="3" s="1"/>
  <c r="N83" i="3" a="1"/>
  <c r="N83" i="3" s="1"/>
  <c r="AI83" i="3" a="1"/>
  <c r="AI83" i="3" s="1"/>
  <c r="D83" i="3" a="1"/>
  <c r="D83" i="3" s="1"/>
  <c r="Y83" i="3" a="1"/>
  <c r="Y83" i="3" s="1"/>
  <c r="E87" i="3" a="1"/>
  <c r="E87" i="3" s="1"/>
  <c r="S79" i="3" a="1"/>
  <c r="S79" i="3" s="1"/>
  <c r="H71" i="3" a="1"/>
  <c r="H71" i="3" s="1"/>
  <c r="AC71" i="3" a="1"/>
  <c r="AC71" i="3" s="1"/>
  <c r="T71" i="3" a="1"/>
  <c r="T71" i="3" s="1"/>
  <c r="J71" i="3" a="1"/>
  <c r="J71" i="3" s="1"/>
  <c r="AE71" i="3" a="1"/>
  <c r="AE71" i="3" s="1"/>
  <c r="U71" i="3" a="1"/>
  <c r="U71" i="3" s="1"/>
  <c r="V71" i="3" a="1"/>
  <c r="V71" i="3" s="1"/>
  <c r="W71" i="3" a="1"/>
  <c r="W71" i="3" s="1"/>
  <c r="AH71" i="3" a="1"/>
  <c r="AH71" i="3" s="1"/>
  <c r="N71" i="3" a="1"/>
  <c r="N71" i="3" s="1"/>
  <c r="AI71" i="3" a="1"/>
  <c r="AI71" i="3" s="1"/>
  <c r="D71" i="3" a="1"/>
  <c r="D71" i="3" s="1"/>
  <c r="Y71" i="3" a="1"/>
  <c r="Y71" i="3" s="1"/>
  <c r="P71" i="3" a="1"/>
  <c r="P71" i="3" s="1"/>
  <c r="AG71" i="3" a="1"/>
  <c r="AG71" i="3" s="1"/>
  <c r="R71" i="3" a="1"/>
  <c r="R71" i="3" s="1"/>
  <c r="AK71" i="3" a="1"/>
  <c r="AK71" i="3" s="1"/>
  <c r="AL71" i="3" a="1"/>
  <c r="AL71" i="3" s="1"/>
  <c r="E71" i="3" a="1"/>
  <c r="E71" i="3" s="1"/>
  <c r="AM71" i="3" a="1"/>
  <c r="AM71" i="3" s="1"/>
  <c r="F71" i="3" a="1"/>
  <c r="F71" i="3" s="1"/>
  <c r="X71" i="3" a="1"/>
  <c r="X71" i="3" s="1"/>
  <c r="G71" i="3" a="1"/>
  <c r="G71" i="3" s="1"/>
  <c r="Z71" i="3" a="1"/>
  <c r="Z71" i="3" s="1"/>
  <c r="AA71" i="3" a="1"/>
  <c r="AA71" i="3" s="1"/>
  <c r="I71" i="3" a="1"/>
  <c r="I71" i="3" s="1"/>
  <c r="K71" i="3" a="1"/>
  <c r="K71" i="3" s="1"/>
  <c r="AB71" i="3" a="1"/>
  <c r="AB71" i="3" s="1"/>
  <c r="P79" i="3" a="1"/>
  <c r="P79" i="3" s="1"/>
  <c r="AC79" i="3" a="1"/>
  <c r="AC79" i="3" s="1"/>
  <c r="AJ71" i="3" a="1"/>
  <c r="AJ71" i="3" s="1"/>
  <c r="AF71" i="3" a="1"/>
  <c r="AF71" i="3" s="1"/>
  <c r="AB79" i="3" a="1"/>
  <c r="AB79" i="3" s="1"/>
  <c r="AD71" i="3" a="1"/>
  <c r="AD71" i="3" s="1"/>
  <c r="AA79" i="3" a="1"/>
  <c r="AA79" i="3" s="1"/>
  <c r="N79" i="3" a="1"/>
  <c r="N79" i="3" s="1"/>
  <c r="AM79" i="3" a="1"/>
  <c r="AM79" i="3" s="1"/>
  <c r="Z79" i="3" a="1"/>
  <c r="Z79" i="3" s="1"/>
  <c r="S71" i="3" a="1"/>
  <c r="S71" i="3" s="1"/>
  <c r="Q71" i="3" a="1"/>
  <c r="Q71" i="3" s="1"/>
  <c r="U79" i="3" a="1"/>
  <c r="U79" i="3" s="1"/>
  <c r="K79" i="3" a="1"/>
  <c r="K79" i="3" s="1"/>
  <c r="AF79" i="3" a="1"/>
  <c r="AF79" i="3" s="1"/>
  <c r="F79" i="3" a="1"/>
  <c r="F79" i="3" s="1"/>
  <c r="R79" i="3" a="1"/>
  <c r="R79" i="3" s="1"/>
  <c r="AD79" i="3" a="1"/>
  <c r="AD79" i="3" s="1"/>
  <c r="H79" i="3" a="1"/>
  <c r="H79" i="3" s="1"/>
  <c r="AE79" i="3" a="1"/>
  <c r="AE79" i="3" s="1"/>
  <c r="L71" i="3" a="1"/>
  <c r="L71" i="3" s="1"/>
  <c r="W55" i="3" a="1"/>
  <c r="W55" i="3" s="1"/>
  <c r="M55" i="3" a="1"/>
  <c r="M55" i="3" s="1"/>
  <c r="AH55" i="3" a="1"/>
  <c r="AH55" i="3" s="1"/>
  <c r="H55" i="3" a="1"/>
  <c r="H55" i="3" s="1"/>
  <c r="AC55" i="3" a="1"/>
  <c r="AC55" i="3" s="1"/>
  <c r="J55" i="3" a="1"/>
  <c r="J55" i="3" s="1"/>
  <c r="AE55" i="3" a="1"/>
  <c r="AE55" i="3" s="1"/>
  <c r="K55" i="3" a="1"/>
  <c r="K55" i="3" s="1"/>
  <c r="C54" i="3" a="1"/>
  <c r="C54" i="3" s="1"/>
  <c r="Y55" i="3" a="1"/>
  <c r="Y55" i="3" s="1"/>
  <c r="AL55" i="3" a="1"/>
  <c r="AL55" i="3" s="1"/>
  <c r="L55" i="3" a="1"/>
  <c r="L55" i="3" s="1"/>
  <c r="Z55" i="3" a="1"/>
  <c r="Z55" i="3" s="1"/>
  <c r="AM55" i="3" a="1"/>
  <c r="AM55" i="3" s="1"/>
  <c r="N55" i="3" a="1"/>
  <c r="N55" i="3" s="1"/>
  <c r="AA55" i="3" a="1"/>
  <c r="AA55" i="3" s="1"/>
  <c r="O55" i="3" a="1"/>
  <c r="O55" i="3" s="1"/>
  <c r="AB55" i="3" a="1"/>
  <c r="AB55" i="3" s="1"/>
  <c r="P55" i="3" a="1"/>
  <c r="P55" i="3" s="1"/>
  <c r="D55" i="3" a="1"/>
  <c r="D55" i="3" s="1"/>
  <c r="Q55" i="3" a="1"/>
  <c r="Q55" i="3" s="1"/>
  <c r="AD55" i="3" a="1"/>
  <c r="AD55" i="3" s="1"/>
  <c r="E55" i="3" a="1"/>
  <c r="E55" i="3" s="1"/>
  <c r="R55" i="3" a="1"/>
  <c r="R55" i="3" s="1"/>
  <c r="F55" i="3" a="1"/>
  <c r="F55" i="3" s="1"/>
  <c r="S55" i="3" a="1"/>
  <c r="S55" i="3" s="1"/>
  <c r="AF55" i="3" a="1"/>
  <c r="AF55" i="3" s="1"/>
  <c r="G55" i="3" a="1"/>
  <c r="G55" i="3" s="1"/>
  <c r="T55" i="3" a="1"/>
  <c r="T55" i="3" s="1"/>
  <c r="AG55" i="3" a="1"/>
  <c r="AG55" i="3" s="1"/>
  <c r="U55" i="3" a="1"/>
  <c r="U55" i="3" s="1"/>
  <c r="AI55" i="3" a="1"/>
  <c r="AI55" i="3" s="1"/>
  <c r="I55" i="3" a="1"/>
  <c r="I55" i="3" s="1"/>
  <c r="V55" i="3" a="1"/>
  <c r="V55" i="3" s="1"/>
  <c r="AJ55" i="3" a="1"/>
  <c r="AJ55" i="3" s="1"/>
  <c r="X55" i="3" a="1"/>
  <c r="X55" i="3" s="1"/>
  <c r="AK55" i="3" a="1"/>
  <c r="AK55" i="3" s="1"/>
  <c r="AH59" i="3" a="1"/>
  <c r="AH59" i="3" s="1"/>
  <c r="K59" i="3" a="1"/>
  <c r="K59" i="3" s="1"/>
  <c r="AF59" i="3" a="1"/>
  <c r="AF59" i="3" s="1"/>
  <c r="C58" i="3" a="1"/>
  <c r="C58" i="3" s="1"/>
  <c r="F59" i="3" a="1"/>
  <c r="F59" i="3" s="1"/>
  <c r="AA59" i="3" a="1"/>
  <c r="AA59" i="3" s="1"/>
  <c r="AL59" i="3" a="1"/>
  <c r="AL59" i="3" s="1"/>
  <c r="S59" i="3" a="1"/>
  <c r="S59" i="3" s="1"/>
  <c r="J59" i="3" a="1"/>
  <c r="J59" i="3" s="1"/>
  <c r="W59" i="3" a="1"/>
  <c r="W59" i="3" s="1"/>
  <c r="AI59" i="3" a="1"/>
  <c r="AI59" i="3" s="1"/>
  <c r="L59" i="3" a="1"/>
  <c r="L59" i="3" s="1"/>
  <c r="X59" i="3" a="1"/>
  <c r="X59" i="3" s="1"/>
  <c r="AJ59" i="3" a="1"/>
  <c r="AJ59" i="3" s="1"/>
  <c r="M59" i="3" a="1"/>
  <c r="M59" i="3" s="1"/>
  <c r="Y59" i="3" a="1"/>
  <c r="Y59" i="3" s="1"/>
  <c r="AK59" i="3" a="1"/>
  <c r="AK59" i="3" s="1"/>
  <c r="N59" i="3" a="1"/>
  <c r="N59" i="3" s="1"/>
  <c r="Z59" i="3" a="1"/>
  <c r="Z59" i="3" s="1"/>
  <c r="AM59" i="3" a="1"/>
  <c r="AM59" i="3" s="1"/>
  <c r="O59" i="3" a="1"/>
  <c r="O59" i="3" s="1"/>
  <c r="AB59" i="3" a="1"/>
  <c r="AB59" i="3" s="1"/>
  <c r="D59" i="3" a="1"/>
  <c r="D59" i="3" s="1"/>
  <c r="P59" i="3" a="1"/>
  <c r="P59" i="3" s="1"/>
  <c r="AC59" i="3" a="1"/>
  <c r="AC59" i="3" s="1"/>
  <c r="Q59" i="3" a="1"/>
  <c r="Q59" i="3" s="1"/>
  <c r="AD59" i="3" a="1"/>
  <c r="AD59" i="3" s="1"/>
  <c r="E59" i="3" a="1"/>
  <c r="E59" i="3" s="1"/>
  <c r="R59" i="3" a="1"/>
  <c r="R59" i="3" s="1"/>
  <c r="AE59" i="3" a="1"/>
  <c r="AE59" i="3" s="1"/>
  <c r="G59" i="3" a="1"/>
  <c r="G59" i="3" s="1"/>
  <c r="T59" i="3" a="1"/>
  <c r="T59" i="3" s="1"/>
  <c r="H59" i="3" a="1"/>
  <c r="H59" i="3" s="1"/>
  <c r="AG59" i="3" a="1"/>
  <c r="AG59" i="3" s="1"/>
  <c r="I59" i="3" a="1"/>
  <c r="I59" i="3" s="1"/>
  <c r="U59" i="3" a="1"/>
  <c r="U59" i="3" s="1"/>
  <c r="AB63" i="3" a="1"/>
  <c r="AB63" i="3" s="1"/>
  <c r="G63" i="3" a="1"/>
  <c r="G63" i="3" s="1"/>
  <c r="Z67" i="3" a="1"/>
  <c r="Z67" i="3" s="1"/>
  <c r="E67" i="3" a="1"/>
  <c r="E67" i="3" s="1"/>
  <c r="AL63" i="3" a="1"/>
  <c r="AL63" i="3" s="1"/>
  <c r="Q63" i="3" a="1"/>
  <c r="Q63" i="3" s="1"/>
  <c r="C62" i="3" a="1"/>
  <c r="C62" i="3" s="1"/>
  <c r="AK63" i="3" a="1"/>
  <c r="AK63" i="3" s="1"/>
  <c r="P63" i="3" a="1"/>
  <c r="P63" i="3" s="1"/>
  <c r="E47" i="3" a="1"/>
  <c r="E47" i="3" s="1"/>
  <c r="Z47" i="3" a="1"/>
  <c r="Z47" i="3" s="1"/>
  <c r="P47" i="3" a="1"/>
  <c r="P47" i="3" s="1"/>
  <c r="AK47" i="3" a="1"/>
  <c r="AK47" i="3" s="1"/>
  <c r="C46" i="3" a="1"/>
  <c r="C46" i="3" s="1"/>
  <c r="F47" i="3" a="1"/>
  <c r="F47" i="3" s="1"/>
  <c r="AA47" i="3" a="1"/>
  <c r="AA47" i="3" s="1"/>
  <c r="Q47" i="3" a="1"/>
  <c r="Q47" i="3" s="1"/>
  <c r="AL47" i="3" a="1"/>
  <c r="AL47" i="3" s="1"/>
  <c r="G47" i="3" a="1"/>
  <c r="G47" i="3" s="1"/>
  <c r="AB47" i="3" a="1"/>
  <c r="AB47" i="3" s="1"/>
  <c r="R47" i="3" a="1"/>
  <c r="R47" i="3" s="1"/>
  <c r="AM47" i="3" a="1"/>
  <c r="AM47" i="3" s="1"/>
  <c r="S47" i="3" a="1"/>
  <c r="S47" i="3" s="1"/>
  <c r="I47" i="3" a="1"/>
  <c r="I47" i="3" s="1"/>
  <c r="AD47" i="3" a="1"/>
  <c r="AD47" i="3" s="1"/>
  <c r="T47" i="3" a="1"/>
  <c r="T47" i="3" s="1"/>
  <c r="J47" i="3" a="1"/>
  <c r="J47" i="3" s="1"/>
  <c r="AE47" i="3" a="1"/>
  <c r="AE47" i="3" s="1"/>
  <c r="U47" i="3" a="1"/>
  <c r="U47" i="3" s="1"/>
  <c r="AF47" i="3" a="1"/>
  <c r="AF47" i="3" s="1"/>
  <c r="K47" i="3" a="1"/>
  <c r="K47" i="3" s="1"/>
  <c r="V47" i="3" a="1"/>
  <c r="V47" i="3" s="1"/>
  <c r="W47" i="3" a="1"/>
  <c r="W47" i="3" s="1"/>
  <c r="X47" i="3" a="1"/>
  <c r="X47" i="3" s="1"/>
  <c r="N47" i="3" a="1"/>
  <c r="N47" i="3" s="1"/>
  <c r="AI47" i="3" a="1"/>
  <c r="AI47" i="3" s="1"/>
  <c r="D47" i="3" a="1"/>
  <c r="D47" i="3" s="1"/>
  <c r="Y47" i="3" a="1"/>
  <c r="Y47" i="3" s="1"/>
  <c r="X67" i="3" a="1"/>
  <c r="X67" i="3" s="1"/>
  <c r="AJ63" i="3" a="1"/>
  <c r="AJ63" i="3" s="1"/>
  <c r="O63" i="3" a="1"/>
  <c r="O63" i="3" s="1"/>
  <c r="AH47" i="3" a="1"/>
  <c r="AH47" i="3" s="1"/>
  <c r="AG47" i="3" a="1"/>
  <c r="AG47" i="3" s="1"/>
  <c r="Q43" i="3" a="1"/>
  <c r="Q43" i="3" s="1"/>
  <c r="AL43" i="3" a="1"/>
  <c r="AL43" i="3" s="1"/>
  <c r="G43" i="3" a="1"/>
  <c r="G43" i="3" s="1"/>
  <c r="AB43" i="3" a="1"/>
  <c r="AB43" i="3" s="1"/>
  <c r="R43" i="3" a="1"/>
  <c r="R43" i="3" s="1"/>
  <c r="AM43" i="3" a="1"/>
  <c r="AM43" i="3" s="1"/>
  <c r="H43" i="3" a="1"/>
  <c r="H43" i="3" s="1"/>
  <c r="AC43" i="3" a="1"/>
  <c r="AC43" i="3" s="1"/>
  <c r="S43" i="3" a="1"/>
  <c r="S43" i="3" s="1"/>
  <c r="AD43" i="3" a="1"/>
  <c r="AD43" i="3" s="1"/>
  <c r="I43" i="3" a="1"/>
  <c r="I43" i="3" s="1"/>
  <c r="T43" i="3" a="1"/>
  <c r="T43" i="3" s="1"/>
  <c r="J43" i="3" a="1"/>
  <c r="J43" i="3" s="1"/>
  <c r="AE43" i="3" a="1"/>
  <c r="AE43" i="3" s="1"/>
  <c r="U43" i="3" a="1"/>
  <c r="U43" i="3" s="1"/>
  <c r="K43" i="3" a="1"/>
  <c r="K43" i="3" s="1"/>
  <c r="AF43" i="3" a="1"/>
  <c r="AF43" i="3" s="1"/>
  <c r="V43" i="3" a="1"/>
  <c r="V43" i="3" s="1"/>
  <c r="L43" i="3" a="1"/>
  <c r="L43" i="3" s="1"/>
  <c r="AG43" i="3" a="1"/>
  <c r="AG43" i="3" s="1"/>
  <c r="W43" i="3" a="1"/>
  <c r="W43" i="3" s="1"/>
  <c r="M43" i="3" a="1"/>
  <c r="M43" i="3" s="1"/>
  <c r="AH43" i="3" a="1"/>
  <c r="AH43" i="3" s="1"/>
  <c r="X43" i="3" a="1"/>
  <c r="X43" i="3" s="1"/>
  <c r="N43" i="3" a="1"/>
  <c r="N43" i="3" s="1"/>
  <c r="AI43" i="3" a="1"/>
  <c r="AI43" i="3" s="1"/>
  <c r="D43" i="3" a="1"/>
  <c r="D43" i="3" s="1"/>
  <c r="Y43" i="3" a="1"/>
  <c r="Y43" i="3" s="1"/>
  <c r="O43" i="3" a="1"/>
  <c r="O43" i="3" s="1"/>
  <c r="AJ43" i="3" a="1"/>
  <c r="AJ43" i="3" s="1"/>
  <c r="E43" i="3" a="1"/>
  <c r="E43" i="3" s="1"/>
  <c r="Z43" i="3" a="1"/>
  <c r="Z43" i="3" s="1"/>
  <c r="P43" i="3" a="1"/>
  <c r="P43" i="3" s="1"/>
  <c r="AK43" i="3" a="1"/>
  <c r="AK43" i="3" s="1"/>
  <c r="C42" i="3" a="1"/>
  <c r="C42" i="3" s="1"/>
  <c r="F43" i="3" a="1"/>
  <c r="F43" i="3" s="1"/>
  <c r="AA43" i="3" a="1"/>
  <c r="AA43" i="3" s="1"/>
  <c r="AI63" i="3" a="1"/>
  <c r="AI63" i="3" s="1"/>
  <c r="N63" i="3" a="1"/>
  <c r="N63" i="3" s="1"/>
  <c r="AC47" i="3" a="1"/>
  <c r="AC47" i="3" s="1"/>
  <c r="S39" i="3" a="1"/>
  <c r="S39" i="3" s="1"/>
  <c r="I39" i="3" a="1"/>
  <c r="I39" i="3" s="1"/>
  <c r="AD39" i="3" a="1"/>
  <c r="AD39" i="3" s="1"/>
  <c r="T39" i="3" a="1"/>
  <c r="T39" i="3" s="1"/>
  <c r="J39" i="3" a="1"/>
  <c r="J39" i="3" s="1"/>
  <c r="AE39" i="3" a="1"/>
  <c r="AE39" i="3" s="1"/>
  <c r="U39" i="3" a="1"/>
  <c r="U39" i="3" s="1"/>
  <c r="K39" i="3" a="1"/>
  <c r="K39" i="3" s="1"/>
  <c r="AF39" i="3" a="1"/>
  <c r="AF39" i="3" s="1"/>
  <c r="V39" i="3" a="1"/>
  <c r="V39" i="3" s="1"/>
  <c r="L39" i="3" a="1"/>
  <c r="L39" i="3" s="1"/>
  <c r="AG39" i="3" a="1"/>
  <c r="AG39" i="3" s="1"/>
  <c r="W39" i="3" a="1"/>
  <c r="W39" i="3" s="1"/>
  <c r="M39" i="3" a="1"/>
  <c r="M39" i="3" s="1"/>
  <c r="AH39" i="3" a="1"/>
  <c r="AH39" i="3" s="1"/>
  <c r="X39" i="3" a="1"/>
  <c r="X39" i="3" s="1"/>
  <c r="N39" i="3" a="1"/>
  <c r="N39" i="3" s="1"/>
  <c r="AI39" i="3" a="1"/>
  <c r="AI39" i="3" s="1"/>
  <c r="D39" i="3" a="1"/>
  <c r="D39" i="3" s="1"/>
  <c r="Y39" i="3" a="1"/>
  <c r="Y39" i="3" s="1"/>
  <c r="O39" i="3" a="1"/>
  <c r="O39" i="3" s="1"/>
  <c r="AJ39" i="3" a="1"/>
  <c r="AJ39" i="3" s="1"/>
  <c r="E39" i="3" a="1"/>
  <c r="E39" i="3" s="1"/>
  <c r="Z39" i="3" a="1"/>
  <c r="Z39" i="3" s="1"/>
  <c r="P39" i="3" a="1"/>
  <c r="P39" i="3" s="1"/>
  <c r="AK39" i="3" a="1"/>
  <c r="AK39" i="3" s="1"/>
  <c r="F39" i="3" a="1"/>
  <c r="F39" i="3" s="1"/>
  <c r="AA39" i="3" a="1"/>
  <c r="AA39" i="3" s="1"/>
  <c r="AL39" i="3" a="1"/>
  <c r="AL39" i="3" s="1"/>
  <c r="C38" i="3" a="1"/>
  <c r="C38" i="3" s="1"/>
  <c r="Q39" i="3" a="1"/>
  <c r="Q39" i="3" s="1"/>
  <c r="AB39" i="3" a="1"/>
  <c r="AB39" i="3" s="1"/>
  <c r="G39" i="3" a="1"/>
  <c r="G39" i="3" s="1"/>
  <c r="R39" i="3" a="1"/>
  <c r="R39" i="3" s="1"/>
  <c r="AM39" i="3" a="1"/>
  <c r="AM39" i="3" s="1"/>
  <c r="H39" i="3" a="1"/>
  <c r="H39" i="3" s="1"/>
  <c r="AC39" i="3" a="1"/>
  <c r="AC39" i="3" s="1"/>
  <c r="X63" i="3" a="1"/>
  <c r="X63" i="3" s="1"/>
  <c r="V67" i="3" a="1"/>
  <c r="V67" i="3" s="1"/>
  <c r="K67" i="3" a="1"/>
  <c r="K67" i="3" s="1"/>
  <c r="AH63" i="3" a="1"/>
  <c r="AH63" i="3" s="1"/>
  <c r="M63" i="3" a="1"/>
  <c r="M63" i="3" s="1"/>
  <c r="N51" i="3" a="1"/>
  <c r="N51" i="3" s="1"/>
  <c r="AI51" i="3" a="1"/>
  <c r="AI51" i="3" s="1"/>
  <c r="D51" i="3" a="1"/>
  <c r="D51" i="3" s="1"/>
  <c r="Y51" i="3" a="1"/>
  <c r="Y51" i="3" s="1"/>
  <c r="O51" i="3" a="1"/>
  <c r="O51" i="3" s="1"/>
  <c r="AJ51" i="3" a="1"/>
  <c r="AJ51" i="3" s="1"/>
  <c r="E51" i="3" a="1"/>
  <c r="E51" i="3" s="1"/>
  <c r="Z51" i="3" a="1"/>
  <c r="Z51" i="3" s="1"/>
  <c r="C50" i="3" a="1"/>
  <c r="C50" i="3" s="1"/>
  <c r="F51" i="3" a="1"/>
  <c r="F51" i="3" s="1"/>
  <c r="AA51" i="3" a="1"/>
  <c r="AA51" i="3" s="1"/>
  <c r="G51" i="3" a="1"/>
  <c r="G51" i="3" s="1"/>
  <c r="AB51" i="3" a="1"/>
  <c r="AB51" i="3" s="1"/>
  <c r="T51" i="3" a="1"/>
  <c r="T51" i="3" s="1"/>
  <c r="U51" i="3" a="1"/>
  <c r="U51" i="3" s="1"/>
  <c r="V51" i="3" a="1"/>
  <c r="V51" i="3" s="1"/>
  <c r="W51" i="3" a="1"/>
  <c r="W51" i="3" s="1"/>
  <c r="AH51" i="3" a="1"/>
  <c r="AH51" i="3" s="1"/>
  <c r="V63" i="3" a="1"/>
  <c r="V63" i="3" s="1"/>
  <c r="O47" i="3" a="1"/>
  <c r="O47" i="3" s="1"/>
  <c r="M47" i="3" a="1"/>
  <c r="M47" i="3" s="1"/>
  <c r="U63" i="3" a="1"/>
  <c r="U63" i="3" s="1"/>
  <c r="L47" i="3" a="1"/>
  <c r="L47" i="3" s="1"/>
  <c r="H47" i="3" a="1"/>
  <c r="H47" i="3" s="1"/>
  <c r="AD63" i="3" a="1"/>
  <c r="AD63" i="3" s="1"/>
  <c r="G35" i="3" a="1"/>
  <c r="G35" i="3" s="1"/>
  <c r="Q35" i="3" a="1"/>
  <c r="Q35" i="3" s="1"/>
  <c r="AA35" i="3" a="1"/>
  <c r="AA35" i="3" s="1"/>
  <c r="AK35" i="3" a="1"/>
  <c r="AK35" i="3" s="1"/>
  <c r="K35" i="3" a="1"/>
  <c r="K35" i="3" s="1"/>
  <c r="V35" i="3" a="1"/>
  <c r="V35" i="3" s="1"/>
  <c r="AG35" i="3" a="1"/>
  <c r="AG35" i="3" s="1"/>
  <c r="L35" i="3" a="1"/>
  <c r="L35" i="3" s="1"/>
  <c r="W35" i="3" a="1"/>
  <c r="W35" i="3" s="1"/>
  <c r="AH35" i="3" a="1"/>
  <c r="AH35" i="3" s="1"/>
  <c r="D35" i="3" a="1"/>
  <c r="D35" i="3" s="1"/>
  <c r="O35" i="3" a="1"/>
  <c r="O35" i="3" s="1"/>
  <c r="AL35" i="3" a="1"/>
  <c r="AL35" i="3" s="1"/>
  <c r="E35" i="3" a="1"/>
  <c r="E35" i="3" s="1"/>
  <c r="AB35" i="3" a="1"/>
  <c r="AB35" i="3" s="1"/>
  <c r="AM35" i="3" a="1"/>
  <c r="AM35" i="3" s="1"/>
  <c r="R35" i="3" a="1"/>
  <c r="R35" i="3" s="1"/>
  <c r="AC35" i="3" a="1"/>
  <c r="AC35" i="3" s="1"/>
  <c r="C34" i="3" a="1"/>
  <c r="C34" i="3" s="1"/>
  <c r="H35" i="3" a="1"/>
  <c r="H35" i="3" s="1"/>
  <c r="S35" i="3" a="1"/>
  <c r="S35" i="3" s="1"/>
  <c r="AD35" i="3" a="1"/>
  <c r="AD35" i="3" s="1"/>
  <c r="U35" i="3" a="1"/>
  <c r="U35" i="3" s="1"/>
  <c r="T35" i="3" a="1"/>
  <c r="T35" i="3" s="1"/>
  <c r="AJ35" i="3" a="1"/>
  <c r="AJ35" i="3" s="1"/>
  <c r="AI35" i="3" a="1"/>
  <c r="AI35" i="3" s="1"/>
  <c r="P35" i="3" a="1"/>
  <c r="P35" i="3" s="1"/>
  <c r="N35" i="3" a="1"/>
  <c r="N35" i="3" s="1"/>
  <c r="AF35" i="3" a="1"/>
  <c r="AF35" i="3" s="1"/>
  <c r="AE35" i="3" a="1"/>
  <c r="AE35" i="3" s="1"/>
  <c r="M35" i="3" a="1"/>
  <c r="M35" i="3" s="1"/>
  <c r="J35" i="3" a="1"/>
  <c r="J35" i="3" s="1"/>
  <c r="I35" i="3" a="1"/>
  <c r="I35" i="3" s="1"/>
  <c r="I27" i="3" a="1"/>
  <c r="I27" i="3" s="1"/>
  <c r="T27" i="3" a="1"/>
  <c r="T27" i="3" s="1"/>
  <c r="AE27" i="3" a="1"/>
  <c r="AE27" i="3" s="1"/>
  <c r="K27" i="3" a="1"/>
  <c r="K27" i="3" s="1"/>
  <c r="V27" i="3" a="1"/>
  <c r="V27" i="3" s="1"/>
  <c r="AG27" i="3" a="1"/>
  <c r="AG27" i="3" s="1"/>
  <c r="X27" i="3" a="1"/>
  <c r="X27" i="3" s="1"/>
  <c r="AI27" i="3" a="1"/>
  <c r="AI27" i="3" s="1"/>
  <c r="M27" i="3" a="1"/>
  <c r="M27" i="3" s="1"/>
  <c r="AM27" i="3" a="1"/>
  <c r="AM27" i="3" s="1"/>
  <c r="C26" i="3" a="1"/>
  <c r="C26" i="3" s="1"/>
  <c r="G27" i="3" a="1"/>
  <c r="G27" i="3" s="1"/>
  <c r="R27" i="3" a="1"/>
  <c r="R27" i="3" s="1"/>
  <c r="AD27" i="3" a="1"/>
  <c r="AD27" i="3" s="1"/>
  <c r="L27" i="3" a="1"/>
  <c r="L27" i="3" s="1"/>
  <c r="N27" i="3" a="1"/>
  <c r="N27" i="3" s="1"/>
  <c r="AF27" i="3" a="1"/>
  <c r="AF27" i="3" s="1"/>
  <c r="O27" i="3" a="1"/>
  <c r="O27" i="3" s="1"/>
  <c r="AH27" i="3" a="1"/>
  <c r="AH27" i="3" s="1"/>
  <c r="P27" i="3" a="1"/>
  <c r="P27" i="3" s="1"/>
  <c r="Q27" i="3" a="1"/>
  <c r="Q27" i="3" s="1"/>
  <c r="AJ27" i="3" a="1"/>
  <c r="AJ27" i="3" s="1"/>
  <c r="S27" i="3" a="1"/>
  <c r="S27" i="3" s="1"/>
  <c r="AK27" i="3" a="1"/>
  <c r="AK27" i="3" s="1"/>
  <c r="AL27" i="3" a="1"/>
  <c r="AL27" i="3" s="1"/>
  <c r="U27" i="3" a="1"/>
  <c r="U27" i="3" s="1"/>
  <c r="D27" i="3" a="1"/>
  <c r="D27" i="3" s="1"/>
  <c r="E27" i="3" a="1"/>
  <c r="E27" i="3" s="1"/>
  <c r="W27" i="3" a="1"/>
  <c r="W27" i="3" s="1"/>
  <c r="F27" i="3" a="1"/>
  <c r="F27" i="3" s="1"/>
  <c r="Y27" i="3" a="1"/>
  <c r="Y27" i="3" s="1"/>
  <c r="Z27" i="3" a="1"/>
  <c r="Z27" i="3" s="1"/>
  <c r="H27" i="3" a="1"/>
  <c r="H27" i="3" s="1"/>
  <c r="AA27" i="3" a="1"/>
  <c r="AA27" i="3" s="1"/>
  <c r="AB27" i="3" a="1"/>
  <c r="AB27" i="3" s="1"/>
  <c r="J27" i="3" a="1"/>
  <c r="J27" i="3" s="1"/>
  <c r="AC27" i="3" a="1"/>
  <c r="AC27" i="3" s="1"/>
  <c r="Z35" i="3" a="1"/>
  <c r="Z35" i="3" s="1"/>
  <c r="AK23" i="3" a="1"/>
  <c r="AK23" i="3" s="1"/>
  <c r="AA23" i="3" a="1"/>
  <c r="AA23" i="3" s="1"/>
  <c r="AL23" i="3" a="1"/>
  <c r="AL23" i="3" s="1"/>
  <c r="E23" i="3" a="1"/>
  <c r="E23" i="3" s="1"/>
  <c r="P23" i="3" a="1"/>
  <c r="P23" i="3" s="1"/>
  <c r="Q23" i="3" a="1"/>
  <c r="Q23" i="3" s="1"/>
  <c r="AB23" i="3" a="1"/>
  <c r="AB23" i="3" s="1"/>
  <c r="AM23" i="3" a="1"/>
  <c r="AM23" i="3" s="1"/>
  <c r="C22" i="3" a="1"/>
  <c r="C22" i="3" s="1"/>
  <c r="H23" i="3" a="1"/>
  <c r="H23" i="3" s="1"/>
  <c r="S23" i="3" a="1"/>
  <c r="S23" i="3" s="1"/>
  <c r="AD23" i="3" a="1"/>
  <c r="AD23" i="3" s="1"/>
  <c r="AF23" i="3" a="1"/>
  <c r="AF23" i="3" s="1"/>
  <c r="J23" i="3" a="1"/>
  <c r="J23" i="3" s="1"/>
  <c r="U23" i="3" a="1"/>
  <c r="U23" i="3" s="1"/>
  <c r="V23" i="3" a="1"/>
  <c r="V23" i="3" s="1"/>
  <c r="AG23" i="3" a="1"/>
  <c r="AG23" i="3" s="1"/>
  <c r="K23" i="3" a="1"/>
  <c r="K23" i="3" s="1"/>
  <c r="M23" i="3" a="1"/>
  <c r="M23" i="3" s="1"/>
  <c r="X23" i="3" a="1"/>
  <c r="X23" i="3" s="1"/>
  <c r="AI23" i="3" a="1"/>
  <c r="AI23" i="3" s="1"/>
  <c r="I23" i="3" a="1"/>
  <c r="I23" i="3" s="1"/>
  <c r="L23" i="3" a="1"/>
  <c r="L23" i="3" s="1"/>
  <c r="N23" i="3" a="1"/>
  <c r="N23" i="3" s="1"/>
  <c r="O23" i="3" a="1"/>
  <c r="O23" i="3" s="1"/>
  <c r="R23" i="3" a="1"/>
  <c r="R23" i="3" s="1"/>
  <c r="T23" i="3" a="1"/>
  <c r="T23" i="3" s="1"/>
  <c r="W23" i="3" a="1"/>
  <c r="W23" i="3" s="1"/>
  <c r="Y23" i="3" a="1"/>
  <c r="Y23" i="3" s="1"/>
  <c r="Z23" i="3" a="1"/>
  <c r="Z23" i="3" s="1"/>
  <c r="AC23" i="3" a="1"/>
  <c r="AC23" i="3" s="1"/>
  <c r="D23" i="3" a="1"/>
  <c r="D23" i="3" s="1"/>
  <c r="AE23" i="3" a="1"/>
  <c r="AE23" i="3" s="1"/>
  <c r="F23" i="3" a="1"/>
  <c r="F23" i="3" s="1"/>
  <c r="AH23" i="3" a="1"/>
  <c r="AH23" i="3" s="1"/>
  <c r="G23" i="3" a="1"/>
  <c r="G23" i="3" s="1"/>
  <c r="AJ23" i="3" a="1"/>
  <c r="AJ23" i="3" s="1"/>
  <c r="Y35" i="3" a="1"/>
  <c r="Y35" i="3" s="1"/>
  <c r="F35" i="3" a="1"/>
  <c r="F35" i="3" s="1"/>
  <c r="X35" i="3" a="1"/>
  <c r="X35" i="3" s="1"/>
  <c r="Y31" i="3" a="1"/>
  <c r="Y31" i="3" s="1"/>
  <c r="K31" i="3" a="1"/>
  <c r="K31" i="3" s="1"/>
  <c r="AL31" i="3" a="1"/>
  <c r="AL31" i="3" s="1"/>
  <c r="X31" i="3" a="1"/>
  <c r="X31" i="3" s="1"/>
  <c r="I31" i="3" a="1"/>
  <c r="I31" i="3" s="1"/>
  <c r="V31" i="3" a="1"/>
  <c r="V31" i="3" s="1"/>
  <c r="S31" i="3" a="1"/>
  <c r="S31" i="3" s="1"/>
  <c r="E31" i="3" a="1"/>
  <c r="E31" i="3" s="1"/>
  <c r="G31" i="3" a="1"/>
  <c r="G31" i="3" s="1"/>
  <c r="R31" i="3" a="1"/>
  <c r="R31" i="3" s="1"/>
  <c r="AC31" i="3" a="1"/>
  <c r="AC31" i="3" s="1"/>
  <c r="C30" i="3" a="1"/>
  <c r="C30" i="3" s="1"/>
  <c r="U31" i="3" a="1"/>
  <c r="U31" i="3" s="1"/>
  <c r="AF31" i="3" a="1"/>
  <c r="AF31" i="3" s="1"/>
  <c r="L31" i="3" a="1"/>
  <c r="L31" i="3" s="1"/>
  <c r="AD19" i="3" a="1"/>
  <c r="AD19" i="3" s="1"/>
  <c r="AB11" i="3" a="1"/>
  <c r="AB11" i="3" s="1"/>
  <c r="P11" i="3" a="1"/>
  <c r="P11" i="3" s="1"/>
  <c r="D11" i="3" a="1"/>
  <c r="D11" i="3" s="1"/>
  <c r="AI15" i="3" a="1"/>
  <c r="AI15" i="3" s="1"/>
  <c r="X15" i="3" a="1"/>
  <c r="X15" i="3" s="1"/>
  <c r="M15" i="3" a="1"/>
  <c r="M15" i="3" s="1"/>
  <c r="L15" i="3" a="1"/>
  <c r="L15" i="3" s="1"/>
  <c r="AM19" i="3" a="1"/>
  <c r="AM19" i="3" s="1"/>
  <c r="AB19" i="3" a="1"/>
  <c r="AB19" i="3" s="1"/>
  <c r="Q19" i="3" a="1"/>
  <c r="Q19" i="3" s="1"/>
  <c r="F19" i="3" a="1"/>
  <c r="F19" i="3" s="1"/>
  <c r="AH15" i="3" a="1"/>
  <c r="AH15" i="3" s="1"/>
  <c r="W15" i="3" a="1"/>
  <c r="W15" i="3" s="1"/>
  <c r="AL11" i="3" a="1"/>
  <c r="AL11" i="3" s="1"/>
  <c r="Z11" i="3" a="1"/>
  <c r="Z11" i="3" s="1"/>
  <c r="N11" i="3" a="1"/>
  <c r="N11" i="3" s="1"/>
  <c r="V15" i="3" a="1"/>
  <c r="V15" i="3" s="1"/>
  <c r="K15" i="3" a="1"/>
  <c r="K15" i="3" s="1"/>
  <c r="Y11" i="3" a="1"/>
  <c r="Y11" i="3" s="1"/>
  <c r="AL19" i="3" a="1"/>
  <c r="AL19" i="3" s="1"/>
  <c r="AA19" i="3" a="1"/>
  <c r="AA19" i="3" s="1"/>
  <c r="P19" i="3" a="1"/>
  <c r="P19" i="3" s="1"/>
  <c r="E19" i="3" a="1"/>
  <c r="E19" i="3" s="1"/>
  <c r="AG15" i="3" a="1"/>
  <c r="AG15" i="3" s="1"/>
  <c r="AK11" i="3" a="1"/>
  <c r="AK11" i="3" s="1"/>
  <c r="M11" i="3" a="1"/>
  <c r="M11" i="3" s="1"/>
  <c r="D19" i="3" a="1"/>
  <c r="D19" i="3" s="1"/>
  <c r="AF15" i="3" a="1"/>
  <c r="AF15" i="3" s="1"/>
  <c r="U15" i="3" a="1"/>
  <c r="U15" i="3" s="1"/>
  <c r="J15" i="3" a="1"/>
  <c r="J15" i="3" s="1"/>
  <c r="AJ11" i="3" a="1"/>
  <c r="AJ11" i="3" s="1"/>
  <c r="X11" i="3" a="1"/>
  <c r="X11" i="3" s="1"/>
  <c r="AI11" i="3" a="1"/>
  <c r="AI11" i="3" s="1"/>
  <c r="L11" i="3" a="1"/>
  <c r="L11" i="3" s="1"/>
  <c r="AE15" i="3" a="1"/>
  <c r="AE15" i="3" s="1"/>
  <c r="T15" i="3" a="1"/>
  <c r="T15" i="3" s="1"/>
  <c r="I15" i="3" a="1"/>
  <c r="I15" i="3" s="1"/>
  <c r="AJ19" i="3" a="1"/>
  <c r="AJ19" i="3" s="1"/>
  <c r="Y19" i="3" a="1"/>
  <c r="Y19" i="3" s="1"/>
  <c r="AH11" i="3" a="1"/>
  <c r="AH11" i="3" s="1"/>
  <c r="K11" i="3" a="1"/>
  <c r="K11" i="3" s="1"/>
  <c r="X19" i="3" a="1"/>
  <c r="X19" i="3" s="1"/>
  <c r="M19" i="3" a="1"/>
  <c r="M19" i="3" s="1"/>
  <c r="AD15" i="3" a="1"/>
  <c r="AD15" i="3" s="1"/>
  <c r="S15" i="3" a="1"/>
  <c r="S15" i="3" s="1"/>
  <c r="H15" i="3" a="1"/>
  <c r="H15" i="3" s="1"/>
  <c r="V11" i="3" a="1"/>
  <c r="V11" i="3" s="1"/>
  <c r="J11" i="3" a="1"/>
  <c r="J11" i="3" s="1"/>
  <c r="G15" i="3" a="1"/>
  <c r="G15" i="3" s="1"/>
  <c r="C14" i="3" a="1"/>
  <c r="C14" i="3" s="1"/>
  <c r="Q15" i="3" a="1"/>
  <c r="Q15" i="3" s="1"/>
  <c r="F15" i="3" a="1"/>
  <c r="F15" i="3" s="1"/>
  <c r="AG19" i="3" a="1"/>
  <c r="AG19" i="3" s="1"/>
  <c r="V19" i="3" a="1"/>
  <c r="V19" i="3" s="1"/>
  <c r="K19" i="3" a="1"/>
  <c r="K19" i="3" s="1"/>
  <c r="AM15" i="3" a="1"/>
  <c r="AM15" i="3" s="1"/>
  <c r="AB15" i="3" a="1"/>
  <c r="AB15" i="3" s="1"/>
  <c r="H11" i="3" a="1"/>
  <c r="H11" i="3" s="1"/>
  <c r="AA15" i="3" a="1"/>
  <c r="AA15" i="3" s="1"/>
  <c r="P15" i="3" a="1"/>
  <c r="P15" i="3" s="1"/>
  <c r="E15" i="3" a="1"/>
  <c r="E15" i="3" s="1"/>
  <c r="AE11" i="3" a="1"/>
  <c r="AE11" i="3" s="1"/>
  <c r="S11" i="3" a="1"/>
  <c r="S11" i="3" s="1"/>
  <c r="AL15" i="3" a="1"/>
  <c r="AL15" i="3" s="1"/>
  <c r="AK15" i="3" a="1"/>
  <c r="AK15" i="3" s="1"/>
  <c r="Z15" i="3" a="1"/>
  <c r="Z15" i="3" s="1"/>
  <c r="O15" i="3" a="1"/>
  <c r="O15" i="3" s="1"/>
  <c r="R11" i="3" a="1"/>
  <c r="R11" i="3" s="1"/>
  <c r="F11" i="3" a="1"/>
  <c r="F11" i="3" s="1"/>
  <c r="AC11" i="3" a="1"/>
  <c r="AC11" i="3" s="1"/>
  <c r="I410" i="2" a="1"/>
  <c r="I410" i="2" s="1"/>
  <c r="B408" i="2"/>
  <c r="I406" i="2" s="1" a="1"/>
  <c r="I406" i="2" s="1"/>
  <c r="I402" i="2" a="1"/>
  <c r="I402" i="2" s="1"/>
  <c r="I398" i="2" a="1"/>
  <c r="I398" i="2" s="1"/>
  <c r="I394" i="2" a="1"/>
  <c r="I394" i="2" s="1"/>
  <c r="B392" i="2"/>
  <c r="I390" i="2" s="1" a="1"/>
  <c r="I390" i="2" s="1"/>
  <c r="I386" i="2" a="1"/>
  <c r="I386" i="2" s="1"/>
  <c r="I382" i="2" a="1"/>
  <c r="I382" i="2" s="1"/>
  <c r="I378" i="2" a="1"/>
  <c r="I378" i="2" s="1"/>
  <c r="I374" i="2" a="1"/>
  <c r="I374" i="2" s="1"/>
  <c r="I370" i="2" a="1"/>
  <c r="I370" i="2" s="1"/>
  <c r="I366" i="2" a="1"/>
  <c r="I366" i="2" s="1"/>
  <c r="B364" i="2"/>
  <c r="I362" i="2" s="1" a="1"/>
  <c r="I362" i="2" s="1"/>
  <c r="I354" i="2" a="1"/>
  <c r="I354" i="2" s="1"/>
  <c r="B352" i="2"/>
  <c r="I350" i="2" s="1" a="1"/>
  <c r="I350" i="2" s="1"/>
  <c r="I346" i="2" a="1"/>
  <c r="I346" i="2" s="1"/>
  <c r="I342" i="2" a="1"/>
  <c r="I342" i="2" s="1"/>
  <c r="I338" i="2" a="1"/>
  <c r="I338" i="2" s="1"/>
  <c r="I334" i="2" a="1"/>
  <c r="I334" i="2" s="1"/>
  <c r="I330" i="2" a="1"/>
  <c r="I330" i="2" s="1"/>
  <c r="I326" i="2" a="1"/>
  <c r="I326" i="2" s="1"/>
  <c r="B324" i="2"/>
  <c r="I322" i="2" s="1" a="1"/>
  <c r="I322" i="2" s="1"/>
  <c r="I318" i="2" a="1"/>
  <c r="I318" i="2" s="1"/>
  <c r="I314" i="2" a="1"/>
  <c r="I314" i="2" s="1"/>
  <c r="AM2" i="3"/>
  <c r="B308" i="2"/>
  <c r="I306" i="2" s="1" a="1"/>
  <c r="I306" i="2" s="1"/>
  <c r="B304" i="2"/>
  <c r="I302" i="2" s="1" a="1"/>
  <c r="I302" i="2" s="1"/>
  <c r="I298" i="2" a="1"/>
  <c r="I298" i="2" s="1"/>
  <c r="I294" i="2" a="1"/>
  <c r="I294" i="2" s="1"/>
  <c r="B292" i="2"/>
  <c r="I290" i="2" s="1" a="1"/>
  <c r="I290" i="2" s="1"/>
  <c r="I286" i="2" a="1"/>
  <c r="I286" i="2" s="1"/>
  <c r="E288" i="2"/>
  <c r="AJ2" i="3"/>
  <c r="AL2" i="3"/>
  <c r="AK2" i="3"/>
  <c r="I282" i="2" a="1"/>
  <c r="I282" i="2" s="1"/>
  <c r="B280" i="2"/>
  <c r="I278" i="2" s="1" a="1"/>
  <c r="I278" i="2" s="1"/>
  <c r="I274" i="2" a="1"/>
  <c r="I274" i="2" s="1"/>
  <c r="I266" i="2" a="1"/>
  <c r="I266" i="2" s="1"/>
  <c r="B264" i="2"/>
  <c r="I262" i="2" s="1" a="1"/>
  <c r="I262" i="2" s="1"/>
  <c r="B260" i="2"/>
  <c r="I258" i="2" s="1" a="1"/>
  <c r="I258" i="2" s="1"/>
  <c r="AI2" i="3"/>
  <c r="AH2" i="3"/>
  <c r="I254" i="2" a="1"/>
  <c r="I254" i="2" s="1"/>
  <c r="I250" i="2" a="1"/>
  <c r="I250" i="2" s="1"/>
  <c r="I246" i="2" a="1"/>
  <c r="I246" i="2" s="1"/>
  <c r="B244" i="2"/>
  <c r="I242" i="2" s="1" a="1"/>
  <c r="I242" i="2" s="1"/>
  <c r="B240" i="2"/>
  <c r="I238" i="2" s="1" a="1"/>
  <c r="I238" i="2" s="1"/>
  <c r="I234" i="2" a="1"/>
  <c r="I234" i="2" s="1"/>
  <c r="AG2" i="3"/>
  <c r="AF2" i="3"/>
  <c r="AE2" i="3"/>
  <c r="I230" i="2" a="1"/>
  <c r="I230" i="2" s="1"/>
  <c r="I226" i="2" a="1"/>
  <c r="I226" i="2" s="1"/>
  <c r="I222" i="2" a="1"/>
  <c r="I222" i="2" s="1"/>
  <c r="I218" i="2" a="1"/>
  <c r="I218" i="2" s="1"/>
  <c r="I214" i="2" a="1"/>
  <c r="I214" i="2" s="1"/>
  <c r="B212" i="2"/>
  <c r="I210" i="2" s="1" a="1"/>
  <c r="I210" i="2" s="1"/>
  <c r="B208" i="2"/>
  <c r="I206" i="2" s="1" a="1"/>
  <c r="I206" i="2" s="1"/>
  <c r="I202" i="2" a="1"/>
  <c r="I202" i="2" s="1"/>
  <c r="I198" i="2" a="1"/>
  <c r="I198" i="2" s="1"/>
  <c r="I194" i="2" a="1"/>
  <c r="I194" i="2" s="1"/>
  <c r="I190" i="2" a="1"/>
  <c r="I190" i="2" s="1"/>
  <c r="I186" i="2" a="1"/>
  <c r="I186" i="2" s="1"/>
  <c r="I182" i="2" a="1"/>
  <c r="I182" i="2" s="1"/>
  <c r="B180" i="2"/>
  <c r="I178" i="2" s="1" a="1"/>
  <c r="I178" i="2" s="1"/>
  <c r="I174" i="2" a="1"/>
  <c r="I174" i="2" s="1"/>
  <c r="I170" i="2" a="1"/>
  <c r="I170" i="2" s="1"/>
  <c r="I162" i="2" a="1"/>
  <c r="I162" i="2" s="1"/>
  <c r="I158" i="2" a="1"/>
  <c r="I158" i="2" s="1"/>
  <c r="I154" i="2" a="1"/>
  <c r="I154" i="2" s="1"/>
  <c r="I150" i="2" a="1"/>
  <c r="I150" i="2" s="1"/>
  <c r="I146" i="2" a="1"/>
  <c r="I146" i="2" s="1"/>
  <c r="B144" i="2"/>
  <c r="I142" i="2" s="1" a="1"/>
  <c r="I142" i="2" s="1"/>
  <c r="I138" i="2" a="1"/>
  <c r="I138" i="2" s="1"/>
  <c r="AC2" i="3"/>
  <c r="I130" i="2" a="1"/>
  <c r="I130" i="2" s="1"/>
  <c r="B128" i="2"/>
  <c r="I126" i="2" s="1" a="1"/>
  <c r="I126" i="2" s="1"/>
  <c r="I122" i="2" a="1"/>
  <c r="I122" i="2" s="1"/>
  <c r="I118" i="2" a="1"/>
  <c r="I118" i="2" s="1"/>
  <c r="I114" i="2" a="1"/>
  <c r="I114" i="2" s="1"/>
  <c r="I110" i="2" a="1"/>
  <c r="I110" i="2" s="1"/>
  <c r="I106" i="2" a="1"/>
  <c r="I106" i="2" s="1"/>
  <c r="AB2" i="3"/>
  <c r="B104" i="2"/>
  <c r="I102" i="2" s="1" a="1"/>
  <c r="I102" i="2" s="1"/>
  <c r="B100" i="2"/>
  <c r="I98" i="2" s="1" a="1"/>
  <c r="I98" i="2" s="1"/>
  <c r="I94" i="2" a="1"/>
  <c r="I94" i="2" s="1"/>
  <c r="I90" i="2" a="1"/>
  <c r="I90" i="2" s="1"/>
  <c r="AA2" i="3"/>
  <c r="I86" i="2" a="1"/>
  <c r="I86" i="2" s="1"/>
  <c r="B84" i="2"/>
  <c r="I82" i="2" s="1" a="1"/>
  <c r="I82" i="2" s="1"/>
  <c r="I78" i="2" a="1"/>
  <c r="I78" i="2" s="1"/>
  <c r="I74" i="2" a="1"/>
  <c r="I74" i="2" s="1"/>
  <c r="I70" i="2" a="1"/>
  <c r="I70" i="2" s="1"/>
  <c r="Z2" i="3"/>
  <c r="I66" i="2" a="1"/>
  <c r="I66" i="2" s="1"/>
  <c r="B64" i="2"/>
  <c r="I62" i="2" s="1" a="1"/>
  <c r="I62" i="2" s="1"/>
  <c r="I58" i="2" a="1"/>
  <c r="I58" i="2" s="1"/>
  <c r="Y2" i="3"/>
  <c r="I54" i="2" a="1"/>
  <c r="I54" i="2" s="1"/>
  <c r="X2" i="3"/>
  <c r="B52" i="2"/>
  <c r="I50" i="2" s="1" a="1"/>
  <c r="I50" i="2" s="1"/>
  <c r="W2" i="3"/>
  <c r="I46" i="2" a="1"/>
  <c r="I46" i="2" s="1"/>
  <c r="U2" i="3"/>
  <c r="I42" i="2" a="1"/>
  <c r="I42" i="2" s="1"/>
  <c r="T2" i="3"/>
  <c r="S2" i="3"/>
  <c r="R2" i="3"/>
  <c r="I38" i="2" a="1"/>
  <c r="I38" i="2" s="1"/>
  <c r="I11" i="2"/>
  <c r="P2" i="3"/>
  <c r="O2" i="3"/>
  <c r="M2" i="3"/>
  <c r="N2" i="3"/>
  <c r="L2" i="3"/>
  <c r="K2" i="3"/>
  <c r="J2" i="3"/>
  <c r="I2" i="3"/>
  <c r="F377" i="2"/>
  <c r="F137" i="2"/>
  <c r="C4" i="1"/>
  <c r="C4" i="2" s="1"/>
  <c r="D4" i="1"/>
  <c r="D4" i="2" s="1"/>
  <c r="E4" i="1"/>
  <c r="E4" i="2" s="1"/>
  <c r="B4" i="1"/>
  <c r="B4" i="2" s="1"/>
  <c r="F1" i="1"/>
  <c r="I1" i="2"/>
  <c r="V500" i="3" l="1" a="1"/>
  <c r="V500" i="3" s="1"/>
  <c r="AL500" i="3" a="1"/>
  <c r="AL500" i="3" s="1"/>
  <c r="AE500" i="3" a="1"/>
  <c r="AE500" i="3" s="1"/>
  <c r="T500" i="3" a="1"/>
  <c r="T500" i="3" s="1"/>
  <c r="S500" i="3" a="1"/>
  <c r="S500" i="3" s="1"/>
  <c r="M492" i="3" a="1"/>
  <c r="M492" i="3" s="1"/>
  <c r="W492" i="3" a="1"/>
  <c r="W492" i="3" s="1"/>
  <c r="D492" i="3" a="1"/>
  <c r="D492" i="3" s="1"/>
  <c r="N492" i="3" a="1"/>
  <c r="N492" i="3" s="1"/>
  <c r="X492" i="3" a="1"/>
  <c r="X492" i="3" s="1"/>
  <c r="E492" i="3" a="1"/>
  <c r="E492" i="3" s="1"/>
  <c r="O492" i="3" a="1"/>
  <c r="O492" i="3" s="1"/>
  <c r="Y492" i="3" a="1"/>
  <c r="Y492" i="3" s="1"/>
  <c r="AI492" i="3" a="1"/>
  <c r="AI492" i="3" s="1"/>
  <c r="F492" i="3" a="1"/>
  <c r="F492" i="3" s="1"/>
  <c r="P492" i="3" a="1"/>
  <c r="P492" i="3" s="1"/>
  <c r="AJ492" i="3" a="1"/>
  <c r="AJ492" i="3" s="1"/>
  <c r="Z492" i="3" a="1"/>
  <c r="Z492" i="3" s="1"/>
  <c r="G492" i="3" a="1"/>
  <c r="G492" i="3" s="1"/>
  <c r="Q492" i="3" a="1"/>
  <c r="Q492" i="3" s="1"/>
  <c r="AA492" i="3" a="1"/>
  <c r="AA492" i="3" s="1"/>
  <c r="H492" i="3" a="1"/>
  <c r="H492" i="3" s="1"/>
  <c r="I492" i="3" a="1"/>
  <c r="I492" i="3" s="1"/>
  <c r="K492" i="3" a="1"/>
  <c r="K492" i="3" s="1"/>
  <c r="U492" i="3" a="1"/>
  <c r="U492" i="3" s="1"/>
  <c r="AE492" i="3" a="1"/>
  <c r="AE492" i="3" s="1"/>
  <c r="J492" i="3" a="1"/>
  <c r="J492" i="3" s="1"/>
  <c r="AC492" i="3" a="1"/>
  <c r="AC492" i="3" s="1"/>
  <c r="L492" i="3" a="1"/>
  <c r="L492" i="3" s="1"/>
  <c r="AD492" i="3" a="1"/>
  <c r="AD492" i="3" s="1"/>
  <c r="AF492" i="3" a="1"/>
  <c r="AF492" i="3" s="1"/>
  <c r="AG492" i="3" a="1"/>
  <c r="AG492" i="3" s="1"/>
  <c r="R492" i="3" a="1"/>
  <c r="R492" i="3" s="1"/>
  <c r="AH492" i="3" a="1"/>
  <c r="AH492" i="3" s="1"/>
  <c r="S492" i="3" a="1"/>
  <c r="S492" i="3" s="1"/>
  <c r="AK492" i="3" a="1"/>
  <c r="AK492" i="3" s="1"/>
  <c r="T492" i="3" a="1"/>
  <c r="T492" i="3" s="1"/>
  <c r="V492" i="3" a="1"/>
  <c r="V492" i="3" s="1"/>
  <c r="AL492" i="3" a="1"/>
  <c r="AL492" i="3" s="1"/>
  <c r="AM492" i="3" a="1"/>
  <c r="AM492" i="3" s="1"/>
  <c r="AB492" i="3" a="1"/>
  <c r="AB492" i="3" s="1"/>
  <c r="U500" i="3" a="1"/>
  <c r="U500" i="3" s="1"/>
  <c r="H500" i="3" a="1"/>
  <c r="H500" i="3" s="1"/>
  <c r="N500" i="3" a="1"/>
  <c r="N500" i="3" s="1"/>
  <c r="AD500" i="3" a="1"/>
  <c r="AD500" i="3" s="1"/>
  <c r="AJ500" i="3" a="1"/>
  <c r="AJ500" i="3" s="1"/>
  <c r="G500" i="3" a="1"/>
  <c r="G500" i="3" s="1"/>
  <c r="Y500" i="3" a="1"/>
  <c r="Y500" i="3" s="1"/>
  <c r="AC500" i="3" a="1"/>
  <c r="AC500" i="3" s="1"/>
  <c r="X500" i="3" a="1"/>
  <c r="X500" i="3" s="1"/>
  <c r="AB500" i="3" a="1"/>
  <c r="AB500" i="3" s="1"/>
  <c r="M500" i="3" a="1"/>
  <c r="M500" i="3" s="1"/>
  <c r="R500" i="3" a="1"/>
  <c r="R500" i="3" s="1"/>
  <c r="AI500" i="3" a="1"/>
  <c r="AI500" i="3" s="1"/>
  <c r="AM500" i="3" a="1"/>
  <c r="AM500" i="3" s="1"/>
  <c r="G496" i="3" a="1"/>
  <c r="G496" i="3" s="1"/>
  <c r="Q496" i="3" a="1"/>
  <c r="Q496" i="3" s="1"/>
  <c r="AA496" i="3" a="1"/>
  <c r="AA496" i="3" s="1"/>
  <c r="AK496" i="3" a="1"/>
  <c r="AK496" i="3" s="1"/>
  <c r="R496" i="3" a="1"/>
  <c r="R496" i="3" s="1"/>
  <c r="H496" i="3" a="1"/>
  <c r="H496" i="3" s="1"/>
  <c r="M496" i="3" a="1"/>
  <c r="M496" i="3" s="1"/>
  <c r="AG496" i="3" a="1"/>
  <c r="AG496" i="3" s="1"/>
  <c r="W496" i="3" a="1"/>
  <c r="W496" i="3" s="1"/>
  <c r="O496" i="3" a="1"/>
  <c r="O496" i="3" s="1"/>
  <c r="AC496" i="3" a="1"/>
  <c r="AC496" i="3" s="1"/>
  <c r="P496" i="3" a="1"/>
  <c r="P496" i="3" s="1"/>
  <c r="AD496" i="3" a="1"/>
  <c r="AD496" i="3" s="1"/>
  <c r="D496" i="3" a="1"/>
  <c r="D496" i="3" s="1"/>
  <c r="AE496" i="3" a="1"/>
  <c r="AE496" i="3" s="1"/>
  <c r="S496" i="3" a="1"/>
  <c r="S496" i="3" s="1"/>
  <c r="E496" i="3" a="1"/>
  <c r="E496" i="3" s="1"/>
  <c r="AF496" i="3" a="1"/>
  <c r="AF496" i="3" s="1"/>
  <c r="T496" i="3" a="1"/>
  <c r="T496" i="3" s="1"/>
  <c r="AJ496" i="3" a="1"/>
  <c r="AJ496" i="3" s="1"/>
  <c r="AH496" i="3" a="1"/>
  <c r="AH496" i="3" s="1"/>
  <c r="F496" i="3" a="1"/>
  <c r="F496" i="3" s="1"/>
  <c r="U496" i="3" a="1"/>
  <c r="U496" i="3" s="1"/>
  <c r="AI496" i="3" a="1"/>
  <c r="AI496" i="3" s="1"/>
  <c r="I496" i="3" a="1"/>
  <c r="I496" i="3" s="1"/>
  <c r="V496" i="3" a="1"/>
  <c r="V496" i="3" s="1"/>
  <c r="X496" i="3" a="1"/>
  <c r="X496" i="3" s="1"/>
  <c r="J496" i="3" a="1"/>
  <c r="J496" i="3" s="1"/>
  <c r="AL496" i="3" a="1"/>
  <c r="AL496" i="3" s="1"/>
  <c r="Y496" i="3" a="1"/>
  <c r="Y496" i="3" s="1"/>
  <c r="AM496" i="3" a="1"/>
  <c r="AM496" i="3" s="1"/>
  <c r="K496" i="3" a="1"/>
  <c r="K496" i="3" s="1"/>
  <c r="Z496" i="3" a="1"/>
  <c r="Z496" i="3" s="1"/>
  <c r="L496" i="3" a="1"/>
  <c r="L496" i="3" s="1"/>
  <c r="N496" i="3" a="1"/>
  <c r="N496" i="3" s="1"/>
  <c r="AB496" i="3" a="1"/>
  <c r="AB496" i="3" s="1"/>
  <c r="I500" i="3" a="1"/>
  <c r="I500" i="3" s="1"/>
  <c r="Q500" i="3" a="1"/>
  <c r="Q500" i="3" s="1"/>
  <c r="L500" i="3" a="1"/>
  <c r="L500" i="3" s="1"/>
  <c r="F500" i="3" a="1"/>
  <c r="F500" i="3" s="1"/>
  <c r="AF500" i="3" a="1"/>
  <c r="AF500" i="3" s="1"/>
  <c r="AA500" i="3" a="1"/>
  <c r="AA500" i="3" s="1"/>
  <c r="AH500" i="3" a="1"/>
  <c r="AH500" i="3" s="1"/>
  <c r="P500" i="3" a="1"/>
  <c r="P500" i="3" s="1"/>
  <c r="E500" i="3" a="1"/>
  <c r="E500" i="3" s="1"/>
  <c r="K500" i="3" a="1"/>
  <c r="K500" i="3" s="1"/>
  <c r="D500" i="3" a="1"/>
  <c r="D500" i="3" s="1"/>
  <c r="W500" i="3" a="1"/>
  <c r="W500" i="3" s="1"/>
  <c r="AK500" i="3" a="1"/>
  <c r="AK500" i="3" s="1"/>
  <c r="AG500" i="3" a="1"/>
  <c r="AG500" i="3" s="1"/>
  <c r="Z500" i="3" a="1"/>
  <c r="Z500" i="3" s="1"/>
  <c r="J500" i="3" a="1"/>
  <c r="J500" i="3" s="1"/>
  <c r="O500" i="3" a="1"/>
  <c r="O500" i="3" s="1"/>
  <c r="I15" i="2"/>
  <c r="F1" i="2"/>
  <c r="B6" i="3" a="1"/>
  <c r="B6" i="3" s="1"/>
  <c r="B2" i="3" a="1"/>
  <c r="B2" i="3" s="1"/>
  <c r="I2" i="2" a="1"/>
  <c r="I2" i="2" s="1"/>
  <c r="F2" i="3"/>
  <c r="H2" i="3"/>
  <c r="E2" i="3"/>
  <c r="D2" i="3"/>
  <c r="AB3" i="3" l="1" a="1"/>
  <c r="AB3" i="3" s="1"/>
  <c r="AD3" i="3" a="1"/>
  <c r="AD3" i="3" s="1"/>
  <c r="M3" i="3" a="1"/>
  <c r="M3" i="3" s="1"/>
  <c r="AA3" i="3" a="1"/>
  <c r="AA3" i="3" s="1"/>
  <c r="O3" i="3" a="1"/>
  <c r="O3" i="3" s="1"/>
  <c r="N3" i="3" a="1"/>
  <c r="N3" i="3" s="1"/>
  <c r="Y3" i="3" a="1"/>
  <c r="Y3" i="3" s="1"/>
  <c r="E3" i="3" a="1"/>
  <c r="E3" i="3" s="1"/>
  <c r="F3" i="3" a="1"/>
  <c r="F3" i="3" s="1"/>
  <c r="Z3" i="3" a="1"/>
  <c r="Z3" i="3" s="1"/>
  <c r="L3" i="3" a="1"/>
  <c r="L3" i="3" s="1"/>
  <c r="D3" i="3" a="1"/>
  <c r="D3" i="3" s="1"/>
  <c r="W3" i="3" a="1"/>
  <c r="W3" i="3" s="1"/>
  <c r="AK3" i="3" a="1"/>
  <c r="AK3" i="3" s="1"/>
  <c r="G3" i="3" a="1"/>
  <c r="G3" i="3" s="1"/>
  <c r="AJ3" i="3" a="1"/>
  <c r="AJ3" i="3" s="1"/>
  <c r="AL3" i="3" a="1"/>
  <c r="AL3" i="3" s="1"/>
  <c r="V3" i="3" a="1"/>
  <c r="V3" i="3" s="1"/>
  <c r="X3" i="3" a="1"/>
  <c r="X3" i="3" s="1"/>
  <c r="AM3" i="3" a="1"/>
  <c r="AM3" i="3" s="1"/>
  <c r="I3" i="3" a="1"/>
  <c r="I3" i="3" s="1"/>
  <c r="H3" i="3" a="1"/>
  <c r="H3" i="3" s="1"/>
  <c r="J3" i="3" a="1"/>
  <c r="J3" i="3" s="1"/>
  <c r="AE3" i="3" a="1"/>
  <c r="AE3" i="3" s="1"/>
  <c r="P3" i="3" a="1"/>
  <c r="P3" i="3" s="1"/>
  <c r="S3" i="3" a="1"/>
  <c r="S3" i="3" s="1"/>
  <c r="AG3" i="3" a="1"/>
  <c r="AG3" i="3" s="1"/>
  <c r="Q3" i="3" a="1"/>
  <c r="Q3" i="3" s="1"/>
  <c r="AC3" i="3" a="1"/>
  <c r="AC3" i="3" s="1"/>
  <c r="AI3" i="3" a="1"/>
  <c r="AI3" i="3" s="1"/>
  <c r="K3" i="3" a="1"/>
  <c r="K3" i="3" s="1"/>
  <c r="AF3" i="3" a="1"/>
  <c r="AF3" i="3" s="1"/>
  <c r="AH3" i="3" a="1"/>
  <c r="AH3" i="3" s="1"/>
  <c r="R3" i="3" a="1"/>
  <c r="R3" i="3" s="1"/>
  <c r="T3" i="3" a="1"/>
  <c r="T3" i="3" s="1"/>
  <c r="U3" i="3" a="1"/>
  <c r="U3" i="3" s="1"/>
  <c r="Z7" i="3" a="1"/>
  <c r="Z7" i="3" s="1"/>
  <c r="AC7" i="3" a="1"/>
  <c r="AC7" i="3" s="1"/>
  <c r="J7" i="3" a="1"/>
  <c r="J7" i="3" s="1"/>
  <c r="AI7" i="3" a="1"/>
  <c r="AI7" i="3" s="1"/>
  <c r="AD7" i="3" a="1"/>
  <c r="AD7" i="3" s="1"/>
  <c r="L7" i="3" a="1"/>
  <c r="L7" i="3" s="1"/>
  <c r="AB7" i="3" a="1"/>
  <c r="AB7" i="3" s="1"/>
  <c r="AA7" i="3" a="1"/>
  <c r="AA7" i="3" s="1"/>
  <c r="AH7" i="3" a="1"/>
  <c r="AH7" i="3" s="1"/>
  <c r="M7" i="3" a="1"/>
  <c r="M7" i="3" s="1"/>
  <c r="K7" i="3" a="1"/>
  <c r="K7" i="3" s="1"/>
  <c r="S7" i="3" a="1"/>
  <c r="S7" i="3" s="1"/>
  <c r="T7" i="3" a="1"/>
  <c r="T7" i="3" s="1"/>
  <c r="D7" i="3" a="1"/>
  <c r="D7" i="3" s="1"/>
  <c r="AJ7" i="3" a="1"/>
  <c r="AJ7" i="3" s="1"/>
  <c r="Q7" i="3" a="1"/>
  <c r="Q7" i="3" s="1"/>
  <c r="P7" i="3" a="1"/>
  <c r="P7" i="3" s="1"/>
  <c r="AK7" i="3" a="1"/>
  <c r="AK7" i="3" s="1"/>
  <c r="U7" i="3" a="1"/>
  <c r="U7" i="3" s="1"/>
  <c r="G7" i="3" a="1"/>
  <c r="G7" i="3" s="1"/>
  <c r="F7" i="3" a="1"/>
  <c r="F7" i="3" s="1"/>
  <c r="AG7" i="3" a="1"/>
  <c r="AG7" i="3" s="1"/>
  <c r="AL7" i="3" a="1"/>
  <c r="AL7" i="3" s="1"/>
  <c r="R7" i="3" a="1"/>
  <c r="R7" i="3" s="1"/>
  <c r="Y7" i="3" a="1"/>
  <c r="Y7" i="3" s="1"/>
  <c r="X7" i="3" a="1"/>
  <c r="X7" i="3" s="1"/>
  <c r="AE7" i="3" a="1"/>
  <c r="AE7" i="3" s="1"/>
  <c r="AF7" i="3" a="1"/>
  <c r="AF7" i="3" s="1"/>
  <c r="V7" i="3" a="1"/>
  <c r="V7" i="3" s="1"/>
  <c r="W7" i="3" a="1"/>
  <c r="W7" i="3" s="1"/>
  <c r="E7" i="3" a="1"/>
  <c r="E7" i="3" s="1"/>
  <c r="H7" i="3" a="1"/>
  <c r="H7" i="3" s="1"/>
  <c r="N7" i="3" a="1"/>
  <c r="N7" i="3" s="1"/>
  <c r="AM7" i="3" a="1"/>
  <c r="AM7" i="3" s="1"/>
  <c r="I7" i="3" a="1"/>
  <c r="I7" i="3" s="1"/>
  <c r="O7" i="3" a="1"/>
  <c r="O7" i="3" s="1"/>
  <c r="I19" i="2"/>
  <c r="C2" i="3" a="1"/>
  <c r="C2" i="3" s="1"/>
  <c r="AM4" i="3" a="1"/>
  <c r="AM4" i="3" s="1"/>
  <c r="C6" i="3" a="1"/>
  <c r="C6" i="3" s="1"/>
  <c r="K437" i="3" l="1" a="1"/>
  <c r="K437" i="3" s="1"/>
  <c r="V437" i="3" a="1"/>
  <c r="V437" i="3" s="1"/>
  <c r="AK437" i="3" a="1"/>
  <c r="AK437" i="3" s="1"/>
  <c r="L405" i="3" a="1"/>
  <c r="L405" i="3" s="1"/>
  <c r="AB405" i="3" a="1"/>
  <c r="AB405" i="3" s="1"/>
  <c r="O293" i="3" a="1"/>
  <c r="O293" i="3" s="1"/>
  <c r="AH293" i="3" a="1"/>
  <c r="AH293" i="3" s="1"/>
  <c r="M289" i="3" a="1"/>
  <c r="M289" i="3" s="1"/>
  <c r="AH289" i="3" a="1"/>
  <c r="AH289" i="3" s="1"/>
  <c r="P293" i="3" a="1"/>
  <c r="P293" i="3" s="1"/>
  <c r="AI293" i="3" a="1"/>
  <c r="AI293" i="3" s="1"/>
  <c r="X437" i="3" a="1"/>
  <c r="X437" i="3" s="1"/>
  <c r="N405" i="3" a="1"/>
  <c r="N405" i="3" s="1"/>
  <c r="AD405" i="3" a="1"/>
  <c r="AD405" i="3" s="1"/>
  <c r="L437" i="3" a="1"/>
  <c r="L437" i="3" s="1"/>
  <c r="Y437" i="3" a="1"/>
  <c r="Y437" i="3" s="1"/>
  <c r="AL437" i="3" a="1"/>
  <c r="AL437" i="3" s="1"/>
  <c r="O405" i="3" a="1"/>
  <c r="O405" i="3" s="1"/>
  <c r="R293" i="3" a="1"/>
  <c r="R293" i="3" s="1"/>
  <c r="R289" i="3" a="1"/>
  <c r="R289" i="3" s="1"/>
  <c r="S289" i="3" a="1"/>
  <c r="S289" i="3" s="1"/>
  <c r="AM437" i="3" a="1"/>
  <c r="AM437" i="3" s="1"/>
  <c r="P405" i="3" a="1"/>
  <c r="P405" i="3" s="1"/>
  <c r="AE405" i="3" a="1"/>
  <c r="AE405" i="3" s="1"/>
  <c r="S293" i="3" a="1"/>
  <c r="S293" i="3" s="1"/>
  <c r="AM293" i="3" a="1"/>
  <c r="AM293" i="3" s="1"/>
  <c r="P437" i="3" a="1"/>
  <c r="P437" i="3" s="1"/>
  <c r="Z437" i="3" a="1"/>
  <c r="Z437" i="3" s="1"/>
  <c r="Q405" i="3" a="1"/>
  <c r="Q405" i="3" s="1"/>
  <c r="AF405" i="3" a="1"/>
  <c r="AF405" i="3" s="1"/>
  <c r="D293" i="3" a="1"/>
  <c r="D293" i="3" s="1"/>
  <c r="T293" i="3" a="1"/>
  <c r="T293" i="3" s="1"/>
  <c r="D437" i="3" a="1"/>
  <c r="D437" i="3" s="1"/>
  <c r="Q437" i="3" a="1"/>
  <c r="Q437" i="3" s="1"/>
  <c r="AB437" i="3" a="1"/>
  <c r="AB437" i="3" s="1"/>
  <c r="E437" i="3" a="1"/>
  <c r="E437" i="3" s="1"/>
  <c r="R437" i="3" a="1"/>
  <c r="R437" i="3" s="1"/>
  <c r="AE437" i="3" a="1"/>
  <c r="AE437" i="3" s="1"/>
  <c r="E405" i="3" a="1"/>
  <c r="E405" i="3" s="1"/>
  <c r="T405" i="3" a="1"/>
  <c r="T405" i="3" s="1"/>
  <c r="AJ405" i="3" a="1"/>
  <c r="AJ405" i="3" s="1"/>
  <c r="F293" i="3" a="1"/>
  <c r="F293" i="3" s="1"/>
  <c r="X293" i="3" a="1"/>
  <c r="X293" i="3" s="1"/>
  <c r="W289" i="3" a="1"/>
  <c r="W289" i="3" s="1"/>
  <c r="F437" i="3" a="1"/>
  <c r="F437" i="3" s="1"/>
  <c r="G405" i="3" a="1"/>
  <c r="G405" i="3" s="1"/>
  <c r="U405" i="3" a="1"/>
  <c r="U405" i="3" s="1"/>
  <c r="AK405" i="3" a="1"/>
  <c r="AK405" i="3" s="1"/>
  <c r="H293" i="3" a="1"/>
  <c r="H293" i="3" s="1"/>
  <c r="Y293" i="3" a="1"/>
  <c r="Y293" i="3" s="1"/>
  <c r="D289" i="3" a="1"/>
  <c r="D289" i="3" s="1"/>
  <c r="X289" i="3" a="1"/>
  <c r="X289" i="3" s="1"/>
  <c r="G437" i="3" a="1"/>
  <c r="G437" i="3" s="1"/>
  <c r="T437" i="3" a="1"/>
  <c r="T437" i="3" s="1"/>
  <c r="AF437" i="3" a="1"/>
  <c r="AF437" i="3" s="1"/>
  <c r="H405" i="3" a="1"/>
  <c r="H405" i="3" s="1"/>
  <c r="V405" i="3" a="1"/>
  <c r="V405" i="3" s="1"/>
  <c r="AL405" i="3" a="1"/>
  <c r="AL405" i="3" s="1"/>
  <c r="I293" i="3" a="1"/>
  <c r="I293" i="3" s="1"/>
  <c r="Z293" i="3" a="1"/>
  <c r="Z293" i="3" s="1"/>
  <c r="H437" i="3" a="1"/>
  <c r="H437" i="3" s="1"/>
  <c r="AG437" i="3" a="1"/>
  <c r="AG437" i="3" s="1"/>
  <c r="I405" i="3" a="1"/>
  <c r="I405" i="3" s="1"/>
  <c r="X405" i="3" a="1"/>
  <c r="X405" i="3" s="1"/>
  <c r="AM405" i="3" a="1"/>
  <c r="AM405" i="3" s="1"/>
  <c r="J293" i="3" a="1"/>
  <c r="J293" i="3" s="1"/>
  <c r="AB293" i="3" a="1"/>
  <c r="AB293" i="3" s="1"/>
  <c r="U437" i="3" a="1"/>
  <c r="U437" i="3" s="1"/>
  <c r="AH437" i="3" a="1"/>
  <c r="AH437" i="3" s="1"/>
  <c r="J405" i="3" a="1"/>
  <c r="J405" i="3" s="1"/>
  <c r="Y405" i="3" a="1"/>
  <c r="Y405" i="3" s="1"/>
  <c r="AD293" i="3" a="1"/>
  <c r="AD293" i="3" s="1"/>
  <c r="K289" i="3" a="1"/>
  <c r="K289" i="3" s="1"/>
  <c r="AF289" i="3" a="1"/>
  <c r="AF289" i="3" s="1"/>
  <c r="I437" i="3" a="1"/>
  <c r="I437" i="3" s="1"/>
  <c r="AJ437" i="3" a="1"/>
  <c r="AJ437" i="3" s="1"/>
  <c r="K405" i="3" a="1"/>
  <c r="K405" i="3" s="1"/>
  <c r="AA405" i="3" a="1"/>
  <c r="AA405" i="3" s="1"/>
  <c r="K293" i="3" a="1"/>
  <c r="K293" i="3" s="1"/>
  <c r="AE293" i="3" a="1"/>
  <c r="AE293" i="3" s="1"/>
  <c r="L289" i="3" a="1"/>
  <c r="L289" i="3" s="1"/>
  <c r="AG289" i="3" a="1"/>
  <c r="AG289" i="3" s="1"/>
  <c r="I289" i="3" a="1"/>
  <c r="I289" i="3" s="1"/>
  <c r="N289" i="3" a="1"/>
  <c r="N289" i="3" s="1"/>
  <c r="U289" i="3" a="1"/>
  <c r="U289" i="3" s="1"/>
  <c r="G289" i="3" a="1"/>
  <c r="G289" i="3" s="1"/>
  <c r="V289" i="3" a="1"/>
  <c r="V289" i="3" s="1"/>
  <c r="AE289" i="3" a="1"/>
  <c r="AE289" i="3" s="1"/>
  <c r="W293" i="3" a="1"/>
  <c r="W293" i="3" s="1"/>
  <c r="AA289" i="3" a="1"/>
  <c r="AA289" i="3" s="1"/>
  <c r="E293" i="3" a="1"/>
  <c r="E293" i="3" s="1"/>
  <c r="AM289" i="3" a="1"/>
  <c r="AM289" i="3" s="1"/>
  <c r="R405" i="3" a="1"/>
  <c r="R405" i="3" s="1"/>
  <c r="AH405" i="3" a="1"/>
  <c r="AH405" i="3" s="1"/>
  <c r="Y289" i="3" a="1"/>
  <c r="Y289" i="3" s="1"/>
  <c r="AK409" i="3" a="1"/>
  <c r="AK409" i="3" s="1"/>
  <c r="F417" i="3" a="1"/>
  <c r="F417" i="3" s="1"/>
  <c r="H409" i="3" a="1"/>
  <c r="H409" i="3" s="1"/>
  <c r="T417" i="3" a="1"/>
  <c r="T417" i="3" s="1"/>
  <c r="AG425" i="3" a="1"/>
  <c r="AG425" i="3" s="1"/>
  <c r="Y417" i="3" a="1"/>
  <c r="Y417" i="3" s="1"/>
  <c r="S405" i="3" a="1"/>
  <c r="S405" i="3" s="1"/>
  <c r="Y413" i="3" a="1"/>
  <c r="Y413" i="3" s="1"/>
  <c r="AK289" i="3" a="1"/>
  <c r="AK289" i="3" s="1"/>
  <c r="T413" i="3" a="1"/>
  <c r="T413" i="3" s="1"/>
  <c r="H425" i="3" a="1"/>
  <c r="H425" i="3" s="1"/>
  <c r="J417" i="3" a="1"/>
  <c r="J417" i="3" s="1"/>
  <c r="X429" i="3" a="1"/>
  <c r="X429" i="3" s="1"/>
  <c r="D409" i="3" a="1"/>
  <c r="D409" i="3" s="1"/>
  <c r="H421" i="3" a="1"/>
  <c r="H421" i="3" s="1"/>
  <c r="M293" i="3" a="1"/>
  <c r="M293" i="3" s="1"/>
  <c r="T409" i="3" a="1"/>
  <c r="T409" i="3" s="1"/>
  <c r="T421" i="3" a="1"/>
  <c r="T421" i="3" s="1"/>
  <c r="X421" i="3" a="1"/>
  <c r="X421" i="3" s="1"/>
  <c r="D417" i="3" a="1"/>
  <c r="D417" i="3" s="1"/>
  <c r="X409" i="3" a="1"/>
  <c r="X409" i="3" s="1"/>
  <c r="Z417" i="3" a="1"/>
  <c r="Z417" i="3" s="1"/>
  <c r="G293" i="3" a="1"/>
  <c r="G293" i="3" s="1"/>
  <c r="N23" i="4" a="1"/>
  <c r="N23" i="4" s="1"/>
  <c r="P289" i="3" a="1"/>
  <c r="P289" i="3" s="1"/>
  <c r="J421" i="3" a="1"/>
  <c r="J421" i="3" s="1"/>
  <c r="D421" i="3" a="1"/>
  <c r="D421" i="3" s="1"/>
  <c r="H413" i="3" a="1"/>
  <c r="H413" i="3" s="1"/>
  <c r="AA417" i="3" a="1"/>
  <c r="AA417" i="3" s="1"/>
  <c r="I34" i="4" a="1"/>
  <c r="I34" i="4" s="1"/>
  <c r="E289" i="3" a="1"/>
  <c r="E289" i="3" s="1"/>
  <c r="AL289" i="3" a="1"/>
  <c r="AL289" i="3" s="1"/>
  <c r="AC405" i="3" a="1"/>
  <c r="AC405" i="3" s="1"/>
  <c r="AB289" i="3" a="1"/>
  <c r="AB289" i="3" s="1"/>
  <c r="AD289" i="3" a="1"/>
  <c r="AD289" i="3" s="1"/>
  <c r="AC417" i="3" a="1"/>
  <c r="AC417" i="3" s="1"/>
  <c r="E417" i="3" a="1"/>
  <c r="E417" i="3" s="1"/>
  <c r="F421" i="3" a="1"/>
  <c r="F421" i="3" s="1"/>
  <c r="N417" i="3" a="1"/>
  <c r="N417" i="3" s="1"/>
  <c r="P409" i="3" a="1"/>
  <c r="P409" i="3" s="1"/>
  <c r="S409" i="3" a="1"/>
  <c r="S409" i="3" s="1"/>
  <c r="X413" i="3" a="1"/>
  <c r="X413" i="3" s="1"/>
  <c r="X417" i="3" a="1"/>
  <c r="X417" i="3" s="1"/>
  <c r="P417" i="3" a="1"/>
  <c r="P417" i="3" s="1"/>
  <c r="D413" i="3" a="1"/>
  <c r="D413" i="3" s="1"/>
  <c r="M409" i="3" a="1"/>
  <c r="M409" i="3" s="1"/>
  <c r="R425" i="3" a="1"/>
  <c r="R425" i="3" s="1"/>
  <c r="O289" i="3" a="1"/>
  <c r="O289" i="3" s="1"/>
  <c r="AK413" i="3" a="1"/>
  <c r="AK413" i="3" s="1"/>
  <c r="T425" i="3" a="1"/>
  <c r="T425" i="3" s="1"/>
  <c r="Z413" i="3" a="1"/>
  <c r="Z413" i="3" s="1"/>
  <c r="P413" i="3" a="1"/>
  <c r="P413" i="3" s="1"/>
  <c r="AJ413" i="3" a="1"/>
  <c r="AJ413" i="3" s="1"/>
  <c r="Y429" i="3" a="1"/>
  <c r="Y429" i="3" s="1"/>
  <c r="H417" i="3" a="1"/>
  <c r="H417" i="3" s="1"/>
  <c r="AE413" i="3" a="1"/>
  <c r="AE413" i="3" s="1"/>
  <c r="W437" i="3" a="1"/>
  <c r="W437" i="3" s="1"/>
  <c r="AM425" i="3" a="1"/>
  <c r="AM425" i="3" s="1"/>
  <c r="V417" i="3" a="1"/>
  <c r="V417" i="3" s="1"/>
  <c r="AC421" i="3" a="1"/>
  <c r="AC421" i="3" s="1"/>
  <c r="AB441" i="3" a="1"/>
  <c r="AB441" i="3" s="1"/>
  <c r="F441" i="3" a="1"/>
  <c r="F441" i="3" s="1"/>
  <c r="W453" i="3" a="1"/>
  <c r="W453" i="3" s="1"/>
  <c r="I441" i="3" a="1"/>
  <c r="I441" i="3" s="1"/>
  <c r="L445" i="3" a="1"/>
  <c r="L445" i="3" s="1"/>
  <c r="D453" i="3" a="1"/>
  <c r="D453" i="3" s="1"/>
  <c r="O445" i="3" a="1"/>
  <c r="O445" i="3" s="1"/>
  <c r="J449" i="3" a="1"/>
  <c r="J449" i="3" s="1"/>
  <c r="AJ449" i="3" a="1"/>
  <c r="AJ449" i="3" s="1"/>
  <c r="AM461" i="3" a="1"/>
  <c r="AM461" i="3" s="1"/>
  <c r="R449" i="3" a="1"/>
  <c r="R449" i="3" s="1"/>
  <c r="R457" i="3" a="1"/>
  <c r="R457" i="3" s="1"/>
  <c r="Y453" i="3" a="1"/>
  <c r="Y453" i="3" s="1"/>
  <c r="AB445" i="3" a="1"/>
  <c r="AB445" i="3" s="1"/>
  <c r="AM445" i="3" a="1"/>
  <c r="AM445" i="3" s="1"/>
  <c r="AL465" i="3" a="1"/>
  <c r="AL465" i="3" s="1"/>
  <c r="I461" i="3" a="1"/>
  <c r="I461" i="3" s="1"/>
  <c r="P461" i="3" a="1"/>
  <c r="P461" i="3" s="1"/>
  <c r="O465" i="3" a="1"/>
  <c r="O465" i="3" s="1"/>
  <c r="L465" i="3" a="1"/>
  <c r="L465" i="3" s="1"/>
  <c r="O477" i="3" a="1"/>
  <c r="O477" i="3" s="1"/>
  <c r="AL481" i="3" a="1"/>
  <c r="AL481" i="3" s="1"/>
  <c r="AC469" i="3" a="1"/>
  <c r="AC469" i="3" s="1"/>
  <c r="N469" i="3" a="1"/>
  <c r="N469" i="3" s="1"/>
  <c r="Y465" i="3" a="1"/>
  <c r="Y465" i="3" s="1"/>
  <c r="Y473" i="3" a="1"/>
  <c r="Y473" i="3" s="1"/>
  <c r="AM485" i="3" a="1"/>
  <c r="AM485" i="3" s="1"/>
  <c r="H485" i="3" a="1"/>
  <c r="H485" i="3" s="1"/>
  <c r="K481" i="3" a="1"/>
  <c r="K481" i="3" s="1"/>
  <c r="U477" i="3" a="1"/>
  <c r="U477" i="3" s="1"/>
  <c r="F469" i="3" a="1"/>
  <c r="F469" i="3" s="1"/>
  <c r="X481" i="3" a="1"/>
  <c r="X481" i="3" s="1"/>
  <c r="AF473" i="3" a="1"/>
  <c r="AF473" i="3" s="1"/>
  <c r="M485" i="3" a="1"/>
  <c r="M485" i="3" s="1"/>
  <c r="AH489" i="3" a="1"/>
  <c r="AH489" i="3" s="1"/>
  <c r="W493" i="3" a="1"/>
  <c r="W493" i="3" s="1"/>
  <c r="N501" i="3" a="1"/>
  <c r="N501" i="3" s="1"/>
  <c r="O501" i="3" a="1"/>
  <c r="O501" i="3" s="1"/>
  <c r="AG497" i="3" a="1"/>
  <c r="AG497" i="3" s="1"/>
  <c r="W497" i="3" a="1"/>
  <c r="W497" i="3" s="1"/>
  <c r="T501" i="3" a="1"/>
  <c r="T501" i="3" s="1"/>
  <c r="T485" i="3" a="1"/>
  <c r="T485" i="3" s="1"/>
  <c r="AB501" i="3" a="1"/>
  <c r="AB501" i="3" s="1"/>
  <c r="E497" i="3" a="1"/>
  <c r="E497" i="3" s="1"/>
  <c r="X433" i="3" a="1"/>
  <c r="X433" i="3" s="1"/>
  <c r="U425" i="3" a="1"/>
  <c r="U425" i="3" s="1"/>
  <c r="AJ417" i="3" a="1"/>
  <c r="AJ417" i="3" s="1"/>
  <c r="AB421" i="3" a="1"/>
  <c r="AB421" i="3" s="1"/>
  <c r="AC293" i="3" a="1"/>
  <c r="AC293" i="3" s="1"/>
  <c r="F445" i="3" a="1"/>
  <c r="F445" i="3" s="1"/>
  <c r="I449" i="3" a="1"/>
  <c r="I449" i="3" s="1"/>
  <c r="AI453" i="3" a="1"/>
  <c r="AI453" i="3" s="1"/>
  <c r="J445" i="3" a="1"/>
  <c r="J445" i="3" s="1"/>
  <c r="X445" i="3" a="1"/>
  <c r="X445" i="3" s="1"/>
  <c r="P453" i="3" a="1"/>
  <c r="P453" i="3" s="1"/>
  <c r="AL445" i="3" a="1"/>
  <c r="AL445" i="3" s="1"/>
  <c r="AE449" i="3" a="1"/>
  <c r="AE449" i="3" s="1"/>
  <c r="S453" i="3" a="1"/>
  <c r="S453" i="3" s="1"/>
  <c r="Q449" i="3" a="1"/>
  <c r="Q449" i="3" s="1"/>
  <c r="AJ453" i="3" a="1"/>
  <c r="AJ453" i="3" s="1"/>
  <c r="AE457" i="3" a="1"/>
  <c r="AE457" i="3" s="1"/>
  <c r="AA445" i="3" a="1"/>
  <c r="AA445" i="3" s="1"/>
  <c r="Z449" i="3" a="1"/>
  <c r="Z449" i="3" s="1"/>
  <c r="F449" i="3" a="1"/>
  <c r="F449" i="3" s="1"/>
  <c r="AI457" i="3" a="1"/>
  <c r="AI457" i="3" s="1"/>
  <c r="AJ461" i="3" a="1"/>
  <c r="AJ461" i="3" s="1"/>
  <c r="M465" i="3" a="1"/>
  <c r="M465" i="3" s="1"/>
  <c r="AF465" i="3" a="1"/>
  <c r="AF465" i="3" s="1"/>
  <c r="K469" i="3" a="1"/>
  <c r="K469" i="3" s="1"/>
  <c r="Z477" i="3" a="1"/>
  <c r="Z477" i="3" s="1"/>
  <c r="O485" i="3" a="1"/>
  <c r="O485" i="3" s="1"/>
  <c r="J473" i="3" a="1"/>
  <c r="J473" i="3" s="1"/>
  <c r="AK473" i="3" a="1"/>
  <c r="AK473" i="3" s="1"/>
  <c r="X473" i="3" a="1"/>
  <c r="X473" i="3" s="1"/>
  <c r="AL473" i="3" a="1"/>
  <c r="AL473" i="3" s="1"/>
  <c r="F489" i="3" a="1"/>
  <c r="F489" i="3" s="1"/>
  <c r="AC485" i="3" a="1"/>
  <c r="AC485" i="3" s="1"/>
  <c r="AF481" i="3" a="1"/>
  <c r="AF481" i="3" s="1"/>
  <c r="AF477" i="3" a="1"/>
  <c r="AF477" i="3" s="1"/>
  <c r="AL469" i="3" a="1"/>
  <c r="AL469" i="3" s="1"/>
  <c r="L485" i="3" a="1"/>
  <c r="L485" i="3" s="1"/>
  <c r="M477" i="3" a="1"/>
  <c r="M477" i="3" s="1"/>
  <c r="AH485" i="3" a="1"/>
  <c r="AH485" i="3" s="1"/>
  <c r="V493" i="3" a="1"/>
  <c r="V493" i="3" s="1"/>
  <c r="G497" i="3" a="1"/>
  <c r="G497" i="3" s="1"/>
  <c r="Y501" i="3" a="1"/>
  <c r="Y501" i="3" s="1"/>
  <c r="Z501" i="3" a="1"/>
  <c r="Z501" i="3" s="1"/>
  <c r="E501" i="3" a="1"/>
  <c r="E501" i="3" s="1"/>
  <c r="AH497" i="3" a="1"/>
  <c r="AH497" i="3" s="1"/>
  <c r="AE501" i="3" a="1"/>
  <c r="AE501" i="3" s="1"/>
  <c r="R493" i="3" a="1"/>
  <c r="R493" i="3" s="1"/>
  <c r="AD489" i="3" a="1"/>
  <c r="AD489" i="3" s="1"/>
  <c r="Q497" i="3" a="1"/>
  <c r="Q497" i="3" s="1"/>
  <c r="AG433" i="3" a="1"/>
  <c r="AG433" i="3" s="1"/>
  <c r="U417" i="3" a="1"/>
  <c r="U417" i="3" s="1"/>
  <c r="U433" i="3" a="1"/>
  <c r="U433" i="3" s="1"/>
  <c r="AG413" i="3" a="1"/>
  <c r="AG413" i="3" s="1"/>
  <c r="AJ421" i="3" a="1"/>
  <c r="AJ421" i="3" s="1"/>
  <c r="V421" i="3" a="1"/>
  <c r="V421" i="3" s="1"/>
  <c r="AE425" i="3" a="1"/>
  <c r="AE425" i="3" s="1"/>
  <c r="O429" i="3" a="1"/>
  <c r="O429" i="3" s="1"/>
  <c r="AF425" i="3" a="1"/>
  <c r="AF425" i="3" s="1"/>
  <c r="AJ433" i="3" a="1"/>
  <c r="AJ433" i="3" s="1"/>
  <c r="H433" i="3" a="1"/>
  <c r="H433" i="3" s="1"/>
  <c r="AF421" i="3" a="1"/>
  <c r="AF421" i="3" s="1"/>
  <c r="O425" i="3" a="1"/>
  <c r="O425" i="3" s="1"/>
  <c r="I32" i="4" a="1"/>
  <c r="I32" i="4" s="1"/>
  <c r="V297" i="3" a="1"/>
  <c r="V297" i="3" s="1"/>
  <c r="J313" i="3" a="1"/>
  <c r="J313" i="3" s="1"/>
  <c r="P297" i="3" a="1"/>
  <c r="P297" i="3" s="1"/>
  <c r="P313" i="3" a="1"/>
  <c r="P313" i="3" s="1"/>
  <c r="AC305" i="3" a="1"/>
  <c r="AC305" i="3" s="1"/>
  <c r="Y301" i="3" a="1"/>
  <c r="Y301" i="3" s="1"/>
  <c r="AB301" i="3" a="1"/>
  <c r="AB301" i="3" s="1"/>
  <c r="AL309" i="3" a="1"/>
  <c r="AL309" i="3" s="1"/>
  <c r="G301" i="3" a="1"/>
  <c r="G301" i="3" s="1"/>
  <c r="Y313" i="3" a="1"/>
  <c r="Y313" i="3" s="1"/>
  <c r="N313" i="3" a="1"/>
  <c r="N313" i="3" s="1"/>
  <c r="AE317" i="3" a="1"/>
  <c r="AE317" i="3" s="1"/>
  <c r="AE309" i="3" a="1"/>
  <c r="AE309" i="3" s="1"/>
  <c r="J321" i="3" a="1"/>
  <c r="J321" i="3" s="1"/>
  <c r="AG321" i="3" a="1"/>
  <c r="AG321" i="3" s="1"/>
  <c r="M321" i="3" a="1"/>
  <c r="M321" i="3" s="1"/>
  <c r="AA325" i="3" a="1"/>
  <c r="AA325" i="3" s="1"/>
  <c r="AB325" i="3" a="1"/>
  <c r="AB325" i="3" s="1"/>
  <c r="F317" i="3" a="1"/>
  <c r="F317" i="3" s="1"/>
  <c r="S325" i="3" a="1"/>
  <c r="S325" i="3" s="1"/>
  <c r="V325" i="3" a="1"/>
  <c r="V325" i="3" s="1"/>
  <c r="W325" i="3" a="1"/>
  <c r="W325" i="3" s="1"/>
  <c r="K429" i="3" a="1"/>
  <c r="K429" i="3" s="1"/>
  <c r="AA413" i="3" a="1"/>
  <c r="AA413" i="3" s="1"/>
  <c r="Z409" i="3" a="1"/>
  <c r="Z409" i="3" s="1"/>
  <c r="I29" i="4" a="1"/>
  <c r="I29" i="4" s="1"/>
  <c r="N293" i="3" a="1"/>
  <c r="N293" i="3" s="1"/>
  <c r="E441" i="3" a="1"/>
  <c r="E441" i="3" s="1"/>
  <c r="U449" i="3" a="1"/>
  <c r="U449" i="3" s="1"/>
  <c r="X457" i="3" a="1"/>
  <c r="X457" i="3" s="1"/>
  <c r="V445" i="3" a="1"/>
  <c r="V445" i="3" s="1"/>
  <c r="Y449" i="3" a="1"/>
  <c r="Y449" i="3" s="1"/>
  <c r="AB453" i="3" a="1"/>
  <c r="AB453" i="3" s="1"/>
  <c r="AB449" i="3" a="1"/>
  <c r="AB449" i="3" s="1"/>
  <c r="K449" i="3" a="1"/>
  <c r="K449" i="3" s="1"/>
  <c r="AF453" i="3" a="1"/>
  <c r="AF453" i="3" s="1"/>
  <c r="T453" i="3" a="1"/>
  <c r="T453" i="3" s="1"/>
  <c r="Q457" i="3" a="1"/>
  <c r="Q457" i="3" s="1"/>
  <c r="AA441" i="3" a="1"/>
  <c r="AA441" i="3" s="1"/>
  <c r="X449" i="3" a="1"/>
  <c r="X449" i="3" s="1"/>
  <c r="M453" i="3" a="1"/>
  <c r="M453" i="3" s="1"/>
  <c r="N453" i="3" a="1"/>
  <c r="N453" i="3" s="1"/>
  <c r="AG461" i="3" a="1"/>
  <c r="AG461" i="3" s="1"/>
  <c r="H465" i="3" a="1"/>
  <c r="H465" i="3" s="1"/>
  <c r="AC465" i="3" a="1"/>
  <c r="AC465" i="3" s="1"/>
  <c r="V461" i="3" a="1"/>
  <c r="V461" i="3" s="1"/>
  <c r="G473" i="3" a="1"/>
  <c r="G473" i="3" s="1"/>
  <c r="AK477" i="3" a="1"/>
  <c r="AK477" i="3" s="1"/>
  <c r="AJ485" i="3" a="1"/>
  <c r="AJ485" i="3" s="1"/>
  <c r="G481" i="3" a="1"/>
  <c r="G481" i="3" s="1"/>
  <c r="F477" i="3" a="1"/>
  <c r="F477" i="3" s="1"/>
  <c r="S481" i="3" a="1"/>
  <c r="S481" i="3" s="1"/>
  <c r="G477" i="3" a="1"/>
  <c r="G477" i="3" s="1"/>
  <c r="AA489" i="3" a="1"/>
  <c r="AA489" i="3" s="1"/>
  <c r="Z461" i="3" a="1"/>
  <c r="Z461" i="3" s="1"/>
  <c r="AL461" i="3" a="1"/>
  <c r="AL461" i="3" s="1"/>
  <c r="L481" i="3" a="1"/>
  <c r="L481" i="3" s="1"/>
  <c r="D473" i="3" a="1"/>
  <c r="D473" i="3" s="1"/>
  <c r="AG485" i="3" a="1"/>
  <c r="AG485" i="3" s="1"/>
  <c r="X477" i="3" a="1"/>
  <c r="X477" i="3" s="1"/>
  <c r="J465" i="3" a="1"/>
  <c r="J465" i="3" s="1"/>
  <c r="AH501" i="3" a="1"/>
  <c r="AH501" i="3" s="1"/>
  <c r="L489" i="3" a="1"/>
  <c r="L489" i="3" s="1"/>
  <c r="AJ501" i="3" a="1"/>
  <c r="AJ501" i="3" s="1"/>
  <c r="AK501" i="3" a="1"/>
  <c r="AK501" i="3" s="1"/>
  <c r="P501" i="3" a="1"/>
  <c r="P501" i="3" s="1"/>
  <c r="P493" i="3" a="1"/>
  <c r="P493" i="3" s="1"/>
  <c r="I485" i="3" a="1"/>
  <c r="I485" i="3" s="1"/>
  <c r="D493" i="3" a="1"/>
  <c r="D493" i="3" s="1"/>
  <c r="F493" i="3" a="1"/>
  <c r="F493" i="3" s="1"/>
  <c r="AB497" i="3" a="1"/>
  <c r="AB497" i="3" s="1"/>
  <c r="M437" i="3" a="1"/>
  <c r="M437" i="3" s="1"/>
  <c r="K409" i="3" a="1"/>
  <c r="K409" i="3" s="1"/>
  <c r="T289" i="3" a="1"/>
  <c r="T289" i="3" s="1"/>
  <c r="V293" i="3" a="1"/>
  <c r="V293" i="3" s="1"/>
  <c r="AG293" i="3" a="1"/>
  <c r="AG293" i="3" s="1"/>
  <c r="Q441" i="3" a="1"/>
  <c r="Q441" i="3" s="1"/>
  <c r="AG449" i="3" a="1"/>
  <c r="AG449" i="3" s="1"/>
  <c r="AJ457" i="3" a="1"/>
  <c r="AJ457" i="3" s="1"/>
  <c r="AH445" i="3" a="1"/>
  <c r="AH445" i="3" s="1"/>
  <c r="AK449" i="3" a="1"/>
  <c r="AK449" i="3" s="1"/>
  <c r="X441" i="3" a="1"/>
  <c r="X441" i="3" s="1"/>
  <c r="N441" i="3" a="1"/>
  <c r="N441" i="3" s="1"/>
  <c r="AH449" i="3" a="1"/>
  <c r="AH449" i="3" s="1"/>
  <c r="N457" i="3" a="1"/>
  <c r="N457" i="3" s="1"/>
  <c r="E461" i="3" a="1"/>
  <c r="E461" i="3" s="1"/>
  <c r="AD457" i="3" a="1"/>
  <c r="AD457" i="3" s="1"/>
  <c r="V449" i="3" a="1"/>
  <c r="V449" i="3" s="1"/>
  <c r="AM453" i="3" a="1"/>
  <c r="AM453" i="3" s="1"/>
  <c r="H457" i="3" a="1"/>
  <c r="H457" i="3" s="1"/>
  <c r="AC449" i="3" a="1"/>
  <c r="AC449" i="3" s="1"/>
  <c r="W465" i="3" a="1"/>
  <c r="W465" i="3" s="1"/>
  <c r="X465" i="3" a="1"/>
  <c r="X465" i="3" s="1"/>
  <c r="AJ469" i="3" a="1"/>
  <c r="AJ469" i="3" s="1"/>
  <c r="S457" i="3" a="1"/>
  <c r="S457" i="3" s="1"/>
  <c r="U473" i="3" a="1"/>
  <c r="U473" i="3" s="1"/>
  <c r="P481" i="3" a="1"/>
  <c r="P481" i="3" s="1"/>
  <c r="X489" i="3" a="1"/>
  <c r="X489" i="3" s="1"/>
  <c r="R481" i="3" a="1"/>
  <c r="R481" i="3" s="1"/>
  <c r="Q477" i="3" a="1"/>
  <c r="Q477" i="3" s="1"/>
  <c r="Q485" i="3" a="1"/>
  <c r="Q485" i="3" s="1"/>
  <c r="R477" i="3" a="1"/>
  <c r="R477" i="3" s="1"/>
  <c r="Y461" i="3" a="1"/>
  <c r="Y461" i="3" s="1"/>
  <c r="AH469" i="3" a="1"/>
  <c r="AH469" i="3" s="1"/>
  <c r="D469" i="3" a="1"/>
  <c r="D469" i="3" s="1"/>
  <c r="AG481" i="3" a="1"/>
  <c r="AG481" i="3" s="1"/>
  <c r="Q473" i="3" a="1"/>
  <c r="Q473" i="3" s="1"/>
  <c r="AE489" i="3" a="1"/>
  <c r="AE489" i="3" s="1"/>
  <c r="AI477" i="3" a="1"/>
  <c r="AI477" i="3" s="1"/>
  <c r="I469" i="3" a="1"/>
  <c r="I469" i="3" s="1"/>
  <c r="I489" i="3" a="1"/>
  <c r="I489" i="3" s="1"/>
  <c r="AL489" i="3" a="1"/>
  <c r="AL489" i="3" s="1"/>
  <c r="I497" i="3" a="1"/>
  <c r="I497" i="3" s="1"/>
  <c r="AA493" i="3" a="1"/>
  <c r="AA493" i="3" s="1"/>
  <c r="AA501" i="3" a="1"/>
  <c r="AA501" i="3" s="1"/>
  <c r="AE493" i="3" a="1"/>
  <c r="AE493" i="3" s="1"/>
  <c r="AF493" i="3" a="1"/>
  <c r="AF493" i="3" s="1"/>
  <c r="AG493" i="3" a="1"/>
  <c r="AG493" i="3" s="1"/>
  <c r="D497" i="3" a="1"/>
  <c r="D497" i="3" s="1"/>
  <c r="AM497" i="3" a="1"/>
  <c r="AM497" i="3" s="1"/>
  <c r="N7" i="4" a="1"/>
  <c r="N7" i="4" s="1"/>
  <c r="J289" i="3" a="1"/>
  <c r="J289" i="3" s="1"/>
  <c r="O413" i="3" a="1"/>
  <c r="O413" i="3" s="1"/>
  <c r="AG405" i="3" a="1"/>
  <c r="AG405" i="3" s="1"/>
  <c r="M405" i="3" a="1"/>
  <c r="M405" i="3" s="1"/>
  <c r="AC441" i="3" a="1"/>
  <c r="AC441" i="3" s="1"/>
  <c r="V453" i="3" a="1"/>
  <c r="V453" i="3" s="1"/>
  <c r="N461" i="3" a="1"/>
  <c r="N461" i="3" s="1"/>
  <c r="AG441" i="3" a="1"/>
  <c r="AG441" i="3" s="1"/>
  <c r="K441" i="3" a="1"/>
  <c r="K441" i="3" s="1"/>
  <c r="N445" i="3" a="1"/>
  <c r="N445" i="3" s="1"/>
  <c r="Z441" i="3" a="1"/>
  <c r="Z441" i="3" s="1"/>
  <c r="R453" i="3" a="1"/>
  <c r="R453" i="3" s="1"/>
  <c r="D461" i="3" a="1"/>
  <c r="D461" i="3" s="1"/>
  <c r="U465" i="3" a="1"/>
  <c r="U465" i="3" s="1"/>
  <c r="F461" i="3" a="1"/>
  <c r="F461" i="3" s="1"/>
  <c r="X453" i="3" a="1"/>
  <c r="X453" i="3" s="1"/>
  <c r="G457" i="3" a="1"/>
  <c r="G457" i="3" s="1"/>
  <c r="AC445" i="3" a="1"/>
  <c r="AC445" i="3" s="1"/>
  <c r="O453" i="3" a="1"/>
  <c r="O453" i="3" s="1"/>
  <c r="N473" i="3" a="1"/>
  <c r="N473" i="3" s="1"/>
  <c r="O473" i="3" a="1"/>
  <c r="O473" i="3" s="1"/>
  <c r="AM473" i="3" a="1"/>
  <c r="AM473" i="3" s="1"/>
  <c r="W461" i="3" a="1"/>
  <c r="W461" i="3" s="1"/>
  <c r="E481" i="3" a="1"/>
  <c r="E481" i="3" s="1"/>
  <c r="AK481" i="3" a="1"/>
  <c r="AK481" i="3" s="1"/>
  <c r="AB469" i="3" a="1"/>
  <c r="AB469" i="3" s="1"/>
  <c r="AM481" i="3" a="1"/>
  <c r="AM481" i="3" s="1"/>
  <c r="AB477" i="3" a="1"/>
  <c r="AB477" i="3" s="1"/>
  <c r="AL485" i="3" a="1"/>
  <c r="AL485" i="3" s="1"/>
  <c r="AC477" i="3" a="1"/>
  <c r="AC477" i="3" s="1"/>
  <c r="AG465" i="3" a="1"/>
  <c r="AG465" i="3" s="1"/>
  <c r="AA473" i="3" a="1"/>
  <c r="AA473" i="3" s="1"/>
  <c r="AB473" i="3" a="1"/>
  <c r="AB473" i="3" s="1"/>
  <c r="U485" i="3" a="1"/>
  <c r="U485" i="3" s="1"/>
  <c r="AE473" i="3" a="1"/>
  <c r="AE473" i="3" s="1"/>
  <c r="E493" i="3" a="1"/>
  <c r="E493" i="3" s="1"/>
  <c r="AI481" i="3" a="1"/>
  <c r="AI481" i="3" s="1"/>
  <c r="T473" i="3" a="1"/>
  <c r="T473" i="3" s="1"/>
  <c r="AI489" i="3" a="1"/>
  <c r="AI489" i="3" s="1"/>
  <c r="AL493" i="3" a="1"/>
  <c r="AL493" i="3" s="1"/>
  <c r="T497" i="3" a="1"/>
  <c r="T497" i="3" s="1"/>
  <c r="AM501" i="3" a="1"/>
  <c r="AM501" i="3" s="1"/>
  <c r="AL501" i="3" a="1"/>
  <c r="AL501" i="3" s="1"/>
  <c r="M497" i="3" a="1"/>
  <c r="M497" i="3" s="1"/>
  <c r="N497" i="3" a="1"/>
  <c r="N497" i="3" s="1"/>
  <c r="O497" i="3" a="1"/>
  <c r="O497" i="3" s="1"/>
  <c r="AA497" i="3" a="1"/>
  <c r="AA497" i="3" s="1"/>
  <c r="K501" i="3" a="1"/>
  <c r="K501" i="3" s="1"/>
  <c r="AA437" i="3" a="1"/>
  <c r="AA437" i="3" s="1"/>
  <c r="N16" i="4" a="1"/>
  <c r="N16" i="4" s="1"/>
  <c r="AJ289" i="3" a="1"/>
  <c r="AJ289" i="3" s="1"/>
  <c r="G421" i="3" a="1"/>
  <c r="G421" i="3" s="1"/>
  <c r="R445" i="3" a="1"/>
  <c r="R445" i="3" s="1"/>
  <c r="AH453" i="3" a="1"/>
  <c r="AH453" i="3" s="1"/>
  <c r="AH461" i="3" a="1"/>
  <c r="AH461" i="3" s="1"/>
  <c r="K445" i="3" a="1"/>
  <c r="K445" i="3" s="1"/>
  <c r="W441" i="3" a="1"/>
  <c r="W441" i="3" s="1"/>
  <c r="AK445" i="3" a="1"/>
  <c r="AK445" i="3" s="1"/>
  <c r="AL441" i="3" a="1"/>
  <c r="AL441" i="3" s="1"/>
  <c r="AE453" i="3" a="1"/>
  <c r="AE453" i="3" s="1"/>
  <c r="D445" i="3" a="1"/>
  <c r="D445" i="3" s="1"/>
  <c r="E469" i="3" a="1"/>
  <c r="E469" i="3" s="1"/>
  <c r="V465" i="3" a="1"/>
  <c r="V465" i="3" s="1"/>
  <c r="AL453" i="3" a="1"/>
  <c r="AL453" i="3" s="1"/>
  <c r="T457" i="3" a="1"/>
  <c r="T457" i="3" s="1"/>
  <c r="E449" i="3" a="1"/>
  <c r="E449" i="3" s="1"/>
  <c r="AC453" i="3" a="1"/>
  <c r="AC453" i="3" s="1"/>
  <c r="AI473" i="3" a="1"/>
  <c r="AI473" i="3" s="1"/>
  <c r="AJ473" i="3" a="1"/>
  <c r="AJ473" i="3" s="1"/>
  <c r="S461" i="3" a="1"/>
  <c r="S461" i="3" s="1"/>
  <c r="W457" i="3" a="1"/>
  <c r="W457" i="3" s="1"/>
  <c r="Z481" i="3" a="1"/>
  <c r="Z481" i="3" s="1"/>
  <c r="D485" i="3" a="1"/>
  <c r="D485" i="3" s="1"/>
  <c r="P477" i="3" a="1"/>
  <c r="P477" i="3" s="1"/>
  <c r="AK485" i="3" a="1"/>
  <c r="AK485" i="3" s="1"/>
  <c r="AM477" i="3" a="1"/>
  <c r="AM477" i="3" s="1"/>
  <c r="J493" i="3" a="1"/>
  <c r="J493" i="3" s="1"/>
  <c r="I481" i="3" a="1"/>
  <c r="I481" i="3" s="1"/>
  <c r="Q469" i="3" a="1"/>
  <c r="Q469" i="3" s="1"/>
  <c r="U481" i="3" a="1"/>
  <c r="U481" i="3" s="1"/>
  <c r="J485" i="3" a="1"/>
  <c r="J485" i="3" s="1"/>
  <c r="S489" i="3" a="1"/>
  <c r="S489" i="3" s="1"/>
  <c r="K477" i="3" a="1"/>
  <c r="K477" i="3" s="1"/>
  <c r="O493" i="3" a="1"/>
  <c r="O493" i="3" s="1"/>
  <c r="W485" i="3" a="1"/>
  <c r="W485" i="3" s="1"/>
  <c r="AG473" i="3" a="1"/>
  <c r="AG473" i="3" s="1"/>
  <c r="H493" i="3" a="1"/>
  <c r="H493" i="3" s="1"/>
  <c r="H497" i="3" a="1"/>
  <c r="H497" i="3" s="1"/>
  <c r="AE497" i="3" a="1"/>
  <c r="AE497" i="3" s="1"/>
  <c r="F501" i="3" a="1"/>
  <c r="F501" i="3" s="1"/>
  <c r="K497" i="3" a="1"/>
  <c r="K497" i="3" s="1"/>
  <c r="X497" i="3" a="1"/>
  <c r="X497" i="3" s="1"/>
  <c r="Y497" i="3" a="1"/>
  <c r="Y497" i="3" s="1"/>
  <c r="Z497" i="3" a="1"/>
  <c r="Z497" i="3" s="1"/>
  <c r="AL497" i="3" a="1"/>
  <c r="AL497" i="3" s="1"/>
  <c r="V501" i="3" a="1"/>
  <c r="V501" i="3" s="1"/>
  <c r="R413" i="3" a="1"/>
  <c r="R413" i="3" s="1"/>
  <c r="F289" i="3" a="1"/>
  <c r="F289" i="3" s="1"/>
  <c r="M417" i="3" a="1"/>
  <c r="M417" i="3" s="1"/>
  <c r="AH417" i="3" a="1"/>
  <c r="AH417" i="3" s="1"/>
  <c r="AD417" i="3" a="1"/>
  <c r="AD417" i="3" s="1"/>
  <c r="AD445" i="3" a="1"/>
  <c r="AD445" i="3" s="1"/>
  <c r="L457" i="3" a="1"/>
  <c r="L457" i="3" s="1"/>
  <c r="AE441" i="3" a="1"/>
  <c r="AE441" i="3" s="1"/>
  <c r="J441" i="3" a="1"/>
  <c r="J441" i="3" s="1"/>
  <c r="AJ445" i="3" a="1"/>
  <c r="AJ445" i="3" s="1"/>
  <c r="O449" i="3" a="1"/>
  <c r="O449" i="3" s="1"/>
  <c r="AD449" i="3" a="1"/>
  <c r="AD449" i="3" s="1"/>
  <c r="M457" i="3" a="1"/>
  <c r="M457" i="3" s="1"/>
  <c r="F453" i="3" a="1"/>
  <c r="F453" i="3" s="1"/>
  <c r="O469" i="3" a="1"/>
  <c r="O469" i="3" s="1"/>
  <c r="O441" i="3" a="1"/>
  <c r="O441" i="3" s="1"/>
  <c r="H461" i="3" a="1"/>
  <c r="H461" i="3" s="1"/>
  <c r="U461" i="3" a="1"/>
  <c r="U461" i="3" s="1"/>
  <c r="AA453" i="3" a="1"/>
  <c r="AA453" i="3" s="1"/>
  <c r="J457" i="3" a="1"/>
  <c r="J457" i="3" s="1"/>
  <c r="W477" i="3" a="1"/>
  <c r="W477" i="3" s="1"/>
  <c r="AK461" i="3" a="1"/>
  <c r="AK461" i="3" s="1"/>
  <c r="AD465" i="3" a="1"/>
  <c r="AD465" i="3" s="1"/>
  <c r="AA461" i="3" a="1"/>
  <c r="AA461" i="3" s="1"/>
  <c r="N485" i="3" a="1"/>
  <c r="N485" i="3" s="1"/>
  <c r="Y485" i="3" a="1"/>
  <c r="Y485" i="3" s="1"/>
  <c r="AA477" i="3" a="1"/>
  <c r="AA477" i="3" s="1"/>
  <c r="D489" i="3" a="1"/>
  <c r="D489" i="3" s="1"/>
  <c r="AC481" i="3" a="1"/>
  <c r="AC481" i="3" s="1"/>
  <c r="T493" i="3" a="1"/>
  <c r="T493" i="3" s="1"/>
  <c r="AD481" i="3" a="1"/>
  <c r="AD481" i="3" s="1"/>
  <c r="M473" i="3" a="1"/>
  <c r="M473" i="3" s="1"/>
  <c r="AD485" i="3" a="1"/>
  <c r="AD485" i="3" s="1"/>
  <c r="AE485" i="3" a="1"/>
  <c r="AE485" i="3" s="1"/>
  <c r="V469" i="3" a="1"/>
  <c r="V469" i="3" s="1"/>
  <c r="V477" i="3" a="1"/>
  <c r="V477" i="3" s="1"/>
  <c r="Y493" i="3" a="1"/>
  <c r="Y493" i="3" s="1"/>
  <c r="AF489" i="3" a="1"/>
  <c r="AF489" i="3" s="1"/>
  <c r="N477" i="3" a="1"/>
  <c r="N477" i="3" s="1"/>
  <c r="AK493" i="3" a="1"/>
  <c r="AK493" i="3" s="1"/>
  <c r="S497" i="3" a="1"/>
  <c r="S497" i="3" s="1"/>
  <c r="N489" i="3" a="1"/>
  <c r="N489" i="3" s="1"/>
  <c r="Q489" i="3" a="1"/>
  <c r="Q489" i="3" s="1"/>
  <c r="AB493" i="3" a="1"/>
  <c r="AB493" i="3" s="1"/>
  <c r="AI497" i="3" a="1"/>
  <c r="AI497" i="3" s="1"/>
  <c r="AJ497" i="3" a="1"/>
  <c r="AJ497" i="3" s="1"/>
  <c r="J501" i="3" a="1"/>
  <c r="J501" i="3" s="1"/>
  <c r="U493" i="3" a="1"/>
  <c r="U493" i="3" s="1"/>
  <c r="AG501" i="3" a="1"/>
  <c r="AG501" i="3" s="1"/>
  <c r="AL409" i="3" a="1"/>
  <c r="AL409" i="3" s="1"/>
  <c r="AA293" i="3" a="1"/>
  <c r="AA293" i="3" s="1"/>
  <c r="L293" i="3" a="1"/>
  <c r="L293" i="3" s="1"/>
  <c r="W417" i="3" a="1"/>
  <c r="W417" i="3" s="1"/>
  <c r="N437" i="3" a="1"/>
  <c r="N437" i="3" s="1"/>
  <c r="H449" i="3" a="1"/>
  <c r="H449" i="3" s="1"/>
  <c r="G441" i="3" a="1"/>
  <c r="G441" i="3" s="1"/>
  <c r="I445" i="3" a="1"/>
  <c r="I445" i="3" s="1"/>
  <c r="V441" i="3" a="1"/>
  <c r="V441" i="3" s="1"/>
  <c r="L441" i="3" a="1"/>
  <c r="L441" i="3" s="1"/>
  <c r="M441" i="3" a="1"/>
  <c r="M441" i="3" s="1"/>
  <c r="AD453" i="3" a="1"/>
  <c r="AD453" i="3" s="1"/>
  <c r="Z457" i="3" a="1"/>
  <c r="Z457" i="3" s="1"/>
  <c r="AG453" i="3" a="1"/>
  <c r="AG453" i="3" s="1"/>
  <c r="AI469" i="3" a="1"/>
  <c r="AI469" i="3" s="1"/>
  <c r="P445" i="3" a="1"/>
  <c r="P445" i="3" s="1"/>
  <c r="T461" i="3" a="1"/>
  <c r="T461" i="3" s="1"/>
  <c r="AF461" i="3" a="1"/>
  <c r="AF461" i="3" s="1"/>
  <c r="AH457" i="3" a="1"/>
  <c r="AH457" i="3" s="1"/>
  <c r="AK457" i="3" a="1"/>
  <c r="AK457" i="3" s="1"/>
  <c r="G461" i="3" a="1"/>
  <c r="G461" i="3" s="1"/>
  <c r="L461" i="3" a="1"/>
  <c r="L461" i="3" s="1"/>
  <c r="I457" i="3" a="1"/>
  <c r="I457" i="3" s="1"/>
  <c r="AJ465" i="3" a="1"/>
  <c r="AJ465" i="3" s="1"/>
  <c r="AI485" i="3" a="1"/>
  <c r="AI485" i="3" s="1"/>
  <c r="L469" i="3" a="1"/>
  <c r="L469" i="3" s="1"/>
  <c r="AL477" i="3" a="1"/>
  <c r="AL477" i="3" s="1"/>
  <c r="Y489" i="3" a="1"/>
  <c r="Y489" i="3" s="1"/>
  <c r="F485" i="3" a="1"/>
  <c r="F485" i="3" s="1"/>
  <c r="AD493" i="3" a="1"/>
  <c r="AD493" i="3" s="1"/>
  <c r="AB485" i="3" a="1"/>
  <c r="AB485" i="3" s="1"/>
  <c r="H477" i="3" a="1"/>
  <c r="H477" i="3" s="1"/>
  <c r="G489" i="3" a="1"/>
  <c r="G489" i="3" s="1"/>
  <c r="H489" i="3" a="1"/>
  <c r="H489" i="3" s="1"/>
  <c r="AD473" i="3" a="1"/>
  <c r="AD473" i="3" s="1"/>
  <c r="AH477" i="3" a="1"/>
  <c r="AH477" i="3" s="1"/>
  <c r="AI493" i="3" a="1"/>
  <c r="AI493" i="3" s="1"/>
  <c r="I465" i="3" a="1"/>
  <c r="I465" i="3" s="1"/>
  <c r="Y477" i="3" a="1"/>
  <c r="Y477" i="3" s="1"/>
  <c r="F497" i="3" a="1"/>
  <c r="F497" i="3" s="1"/>
  <c r="AD497" i="3" a="1"/>
  <c r="AD497" i="3" s="1"/>
  <c r="Z493" i="3" a="1"/>
  <c r="Z493" i="3" s="1"/>
  <c r="J497" i="3" a="1"/>
  <c r="J497" i="3" s="1"/>
  <c r="G501" i="3" a="1"/>
  <c r="G501" i="3" s="1"/>
  <c r="Q493" i="3" a="1"/>
  <c r="Q493" i="3" s="1"/>
  <c r="H501" i="3" a="1"/>
  <c r="H501" i="3" s="1"/>
  <c r="U501" i="3" a="1"/>
  <c r="U501" i="3" s="1"/>
  <c r="AH493" i="3" a="1"/>
  <c r="AH493" i="3" s="1"/>
  <c r="AK421" i="3" a="1"/>
  <c r="AK421" i="3" s="1"/>
  <c r="L413" i="3" a="1"/>
  <c r="L413" i="3" s="1"/>
  <c r="Q293" i="3" a="1"/>
  <c r="Q293" i="3" s="1"/>
  <c r="J425" i="3" a="1"/>
  <c r="J425" i="3" s="1"/>
  <c r="U293" i="3" a="1"/>
  <c r="U293" i="3" s="1"/>
  <c r="S445" i="3" a="1"/>
  <c r="S445" i="3" s="1"/>
  <c r="S441" i="3" a="1"/>
  <c r="S441" i="3" s="1"/>
  <c r="H441" i="3" a="1"/>
  <c r="H441" i="3" s="1"/>
  <c r="W445" i="3" a="1"/>
  <c r="W445" i="3" s="1"/>
  <c r="AI441" i="3" a="1"/>
  <c r="AI441" i="3" s="1"/>
  <c r="AJ441" i="3" a="1"/>
  <c r="AJ441" i="3" s="1"/>
  <c r="K457" i="3" a="1"/>
  <c r="K457" i="3" s="1"/>
  <c r="AM457" i="3" a="1"/>
  <c r="AM457" i="3" s="1"/>
  <c r="O457" i="3" a="1"/>
  <c r="O457" i="3" s="1"/>
  <c r="E445" i="3" a="1"/>
  <c r="E445" i="3" s="1"/>
  <c r="S449" i="3" a="1"/>
  <c r="S449" i="3" s="1"/>
  <c r="AE461" i="3" a="1"/>
  <c r="AE461" i="3" s="1"/>
  <c r="N465" i="3" a="1"/>
  <c r="N465" i="3" s="1"/>
  <c r="K461" i="3" a="1"/>
  <c r="K461" i="3" s="1"/>
  <c r="G449" i="3" a="1"/>
  <c r="G449" i="3" s="1"/>
  <c r="AI461" i="3" a="1"/>
  <c r="AI461" i="3" s="1"/>
  <c r="AA465" i="3" a="1"/>
  <c r="AA465" i="3" s="1"/>
  <c r="AE465" i="3" a="1"/>
  <c r="AE465" i="3" s="1"/>
  <c r="AA457" i="3" a="1"/>
  <c r="AA457" i="3" s="1"/>
  <c r="AA469" i="3" a="1"/>
  <c r="AA469" i="3" s="1"/>
  <c r="I473" i="3" a="1"/>
  <c r="I473" i="3" s="1"/>
  <c r="AB481" i="3" a="1"/>
  <c r="AB481" i="3" s="1"/>
  <c r="I493" i="3" a="1"/>
  <c r="I493" i="3" s="1"/>
  <c r="AA485" i="3" a="1"/>
  <c r="AA485" i="3" s="1"/>
  <c r="Z465" i="3" a="1"/>
  <c r="Z465" i="3" s="1"/>
  <c r="M461" i="3" a="1"/>
  <c r="M461" i="3" s="1"/>
  <c r="S477" i="3" a="1"/>
  <c r="S477" i="3" s="1"/>
  <c r="AB489" i="3" a="1"/>
  <c r="AB489" i="3" s="1"/>
  <c r="AC489" i="3" a="1"/>
  <c r="AC489" i="3" s="1"/>
  <c r="AG477" i="3" a="1"/>
  <c r="AG477" i="3" s="1"/>
  <c r="M481" i="3" a="1"/>
  <c r="M481" i="3" s="1"/>
  <c r="W469" i="3" a="1"/>
  <c r="W469" i="3" s="1"/>
  <c r="X469" i="3" a="1"/>
  <c r="X469" i="3" s="1"/>
  <c r="AJ477" i="3" a="1"/>
  <c r="AJ477" i="3" s="1"/>
  <c r="R497" i="3" a="1"/>
  <c r="R497" i="3" s="1"/>
  <c r="M489" i="3" a="1"/>
  <c r="M489" i="3" s="1"/>
  <c r="P489" i="3" a="1"/>
  <c r="P489" i="3" s="1"/>
  <c r="U497" i="3" a="1"/>
  <c r="U497" i="3" s="1"/>
  <c r="R501" i="3" a="1"/>
  <c r="R501" i="3" s="1"/>
  <c r="S501" i="3" a="1"/>
  <c r="S501" i="3" s="1"/>
  <c r="W501" i="3" a="1"/>
  <c r="W501" i="3" s="1"/>
  <c r="AF501" i="3" a="1"/>
  <c r="AF501" i="3" s="1"/>
  <c r="P497" i="3" a="1"/>
  <c r="P497" i="3" s="1"/>
  <c r="AD437" i="3" a="1"/>
  <c r="AD437" i="3" s="1"/>
  <c r="P421" i="3" a="1"/>
  <c r="P421" i="3" s="1"/>
  <c r="N31" i="4" a="1"/>
  <c r="N31" i="4" s="1"/>
  <c r="W405" i="3" a="1"/>
  <c r="W405" i="3" s="1"/>
  <c r="O437" i="3" a="1"/>
  <c r="O437" i="3" s="1"/>
  <c r="AE445" i="3" a="1"/>
  <c r="AE445" i="3" s="1"/>
  <c r="T445" i="3" a="1"/>
  <c r="T445" i="3" s="1"/>
  <c r="T441" i="3" a="1"/>
  <c r="T441" i="3" s="1"/>
  <c r="AI445" i="3" a="1"/>
  <c r="AI445" i="3" s="1"/>
  <c r="M445" i="3" a="1"/>
  <c r="M445" i="3" s="1"/>
  <c r="Z445" i="3" a="1"/>
  <c r="Z445" i="3" s="1"/>
  <c r="AL457" i="3" a="1"/>
  <c r="AL457" i="3" s="1"/>
  <c r="L449" i="3" a="1"/>
  <c r="L449" i="3" s="1"/>
  <c r="AB457" i="3" a="1"/>
  <c r="AB457" i="3" s="1"/>
  <c r="AM449" i="3" a="1"/>
  <c r="AM449" i="3" s="1"/>
  <c r="I453" i="3" a="1"/>
  <c r="I453" i="3" s="1"/>
  <c r="AM441" i="3" a="1"/>
  <c r="AM441" i="3" s="1"/>
  <c r="AI465" i="3" a="1"/>
  <c r="AI465" i="3" s="1"/>
  <c r="E465" i="3" a="1"/>
  <c r="E465" i="3" s="1"/>
  <c r="AF457" i="3" a="1"/>
  <c r="AF457" i="3" s="1"/>
  <c r="G465" i="3" a="1"/>
  <c r="G465" i="3" s="1"/>
  <c r="O461" i="3" a="1"/>
  <c r="O461" i="3" s="1"/>
  <c r="Z469" i="3" a="1"/>
  <c r="Z469" i="3" s="1"/>
  <c r="AD461" i="3" a="1"/>
  <c r="AD461" i="3" s="1"/>
  <c r="H473" i="3" a="1"/>
  <c r="H473" i="3" s="1"/>
  <c r="V473" i="3" a="1"/>
  <c r="V473" i="3" s="1"/>
  <c r="E485" i="3" a="1"/>
  <c r="E485" i="3" s="1"/>
  <c r="S493" i="3" a="1"/>
  <c r="S493" i="3" s="1"/>
  <c r="O489" i="3" a="1"/>
  <c r="O489" i="3" s="1"/>
  <c r="P469" i="3" a="1"/>
  <c r="P469" i="3" s="1"/>
  <c r="AG469" i="3" a="1"/>
  <c r="AG469" i="3" s="1"/>
  <c r="AD477" i="3" a="1"/>
  <c r="AD477" i="3" s="1"/>
  <c r="AH465" i="3" a="1"/>
  <c r="AH465" i="3" s="1"/>
  <c r="T469" i="3" a="1"/>
  <c r="T469" i="3" s="1"/>
  <c r="W481" i="3" a="1"/>
  <c r="W481" i="3" s="1"/>
  <c r="AH481" i="3" a="1"/>
  <c r="AH481" i="3" s="1"/>
  <c r="AM469" i="3" a="1"/>
  <c r="AM469" i="3" s="1"/>
  <c r="F473" i="3" a="1"/>
  <c r="F473" i="3" s="1"/>
  <c r="O481" i="3" a="1"/>
  <c r="O481" i="3" s="1"/>
  <c r="AC497" i="3" a="1"/>
  <c r="AC497" i="3" s="1"/>
  <c r="AM489" i="3" a="1"/>
  <c r="AM489" i="3" s="1"/>
  <c r="L493" i="3" a="1"/>
  <c r="L493" i="3" s="1"/>
  <c r="R489" i="3" a="1"/>
  <c r="R489" i="3" s="1"/>
  <c r="V489" i="3" a="1"/>
  <c r="V489" i="3" s="1"/>
  <c r="AD501" i="3" a="1"/>
  <c r="AD501" i="3" s="1"/>
  <c r="X501" i="3" a="1"/>
  <c r="X501" i="3" s="1"/>
  <c r="L501" i="3" a="1"/>
  <c r="L501" i="3" s="1"/>
  <c r="AG489" i="3" a="1"/>
  <c r="AG489" i="3" s="1"/>
  <c r="N33" i="4" a="1"/>
  <c r="N33" i="4" s="1"/>
  <c r="Y421" i="3" a="1"/>
  <c r="Y421" i="3" s="1"/>
  <c r="F413" i="3" a="1"/>
  <c r="F413" i="3" s="1"/>
  <c r="D429" i="3" a="1"/>
  <c r="D429" i="3" s="1"/>
  <c r="AI409" i="3" a="1"/>
  <c r="AI409" i="3" s="1"/>
  <c r="Z289" i="3" a="1"/>
  <c r="Z289" i="3" s="1"/>
  <c r="T449" i="3" a="1"/>
  <c r="T449" i="3" s="1"/>
  <c r="AF445" i="3" a="1"/>
  <c r="AF445" i="3" s="1"/>
  <c r="AF441" i="3" a="1"/>
  <c r="AF441" i="3" s="1"/>
  <c r="M449" i="3" a="1"/>
  <c r="M449" i="3" s="1"/>
  <c r="Y445" i="3" a="1"/>
  <c r="Y445" i="3" s="1"/>
  <c r="Y441" i="3" a="1"/>
  <c r="Y441" i="3" s="1"/>
  <c r="R465" i="3" a="1"/>
  <c r="R465" i="3" s="1"/>
  <c r="E453" i="3" a="1"/>
  <c r="E453" i="3" s="1"/>
  <c r="Q461" i="3" a="1"/>
  <c r="Q461" i="3" s="1"/>
  <c r="P457" i="3" a="1"/>
  <c r="P457" i="3" s="1"/>
  <c r="AK453" i="3" a="1"/>
  <c r="AK453" i="3" s="1"/>
  <c r="W449" i="3" a="1"/>
  <c r="W449" i="3" s="1"/>
  <c r="L453" i="3" a="1"/>
  <c r="L453" i="3" s="1"/>
  <c r="P465" i="3" a="1"/>
  <c r="P465" i="3" s="1"/>
  <c r="AG457" i="3" a="1"/>
  <c r="AG457" i="3" s="1"/>
  <c r="U469" i="3" a="1"/>
  <c r="U469" i="3" s="1"/>
  <c r="AB465" i="3" a="1"/>
  <c r="AB465" i="3" s="1"/>
  <c r="AK469" i="3" a="1"/>
  <c r="AK469" i="3" s="1"/>
  <c r="D465" i="3" a="1"/>
  <c r="D465" i="3" s="1"/>
  <c r="AH473" i="3" a="1"/>
  <c r="AH473" i="3" s="1"/>
  <c r="F481" i="3" a="1"/>
  <c r="F481" i="3" s="1"/>
  <c r="Z485" i="3" a="1"/>
  <c r="Z485" i="3" s="1"/>
  <c r="AC493" i="3" a="1"/>
  <c r="AC493" i="3" s="1"/>
  <c r="AJ489" i="3" a="1"/>
  <c r="AJ489" i="3" s="1"/>
  <c r="AE469" i="3" a="1"/>
  <c r="AE469" i="3" s="1"/>
  <c r="Z473" i="3" a="1"/>
  <c r="Z473" i="3" s="1"/>
  <c r="J481" i="3" a="1"/>
  <c r="J481" i="3" s="1"/>
  <c r="R469" i="3" a="1"/>
  <c r="R469" i="3" s="1"/>
  <c r="P473" i="3" a="1"/>
  <c r="P473" i="3" s="1"/>
  <c r="K485" i="3" a="1"/>
  <c r="K485" i="3" s="1"/>
  <c r="V485" i="3" a="1"/>
  <c r="V485" i="3" s="1"/>
  <c r="E473" i="3" a="1"/>
  <c r="E473" i="3" s="1"/>
  <c r="D481" i="3" a="1"/>
  <c r="D481" i="3" s="1"/>
  <c r="AJ481" i="3" a="1"/>
  <c r="AJ481" i="3" s="1"/>
  <c r="K489" i="3" a="1"/>
  <c r="K489" i="3" s="1"/>
  <c r="K493" i="3" a="1"/>
  <c r="K493" i="3" s="1"/>
  <c r="AF497" i="3" a="1"/>
  <c r="AF497" i="3" s="1"/>
  <c r="M493" i="3" a="1"/>
  <c r="M493" i="3" s="1"/>
  <c r="N493" i="3" a="1"/>
  <c r="N493" i="3" s="1"/>
  <c r="AK497" i="3" a="1"/>
  <c r="AK497" i="3" s="1"/>
  <c r="Q501" i="3" a="1"/>
  <c r="Q501" i="3" s="1"/>
  <c r="AI501" i="3" a="1"/>
  <c r="AI501" i="3" s="1"/>
  <c r="G493" i="3" a="1"/>
  <c r="G493" i="3" s="1"/>
  <c r="I26" i="4" a="1"/>
  <c r="I26" i="4" s="1"/>
  <c r="Q413" i="3" a="1"/>
  <c r="Q413" i="3" s="1"/>
  <c r="AG409" i="3" a="1"/>
  <c r="AG409" i="3" s="1"/>
  <c r="N425" i="3" a="1"/>
  <c r="N425" i="3" s="1"/>
  <c r="P441" i="3" a="1"/>
  <c r="P441" i="3" s="1"/>
  <c r="AF449" i="3" a="1"/>
  <c r="AF449" i="3" s="1"/>
  <c r="K453" i="3" a="1"/>
  <c r="K453" i="3" s="1"/>
  <c r="AG445" i="3" a="1"/>
  <c r="AG445" i="3" s="1"/>
  <c r="AH441" i="3" a="1"/>
  <c r="AH441" i="3" s="1"/>
  <c r="AL449" i="3" a="1"/>
  <c r="AL449" i="3" s="1"/>
  <c r="AK441" i="3" a="1"/>
  <c r="AK441" i="3" s="1"/>
  <c r="AM465" i="3" a="1"/>
  <c r="AM465" i="3" s="1"/>
  <c r="N449" i="3" a="1"/>
  <c r="N449" i="3" s="1"/>
  <c r="AB461" i="3" a="1"/>
  <c r="AB461" i="3" s="1"/>
  <c r="AC457" i="3" a="1"/>
  <c r="AC457" i="3" s="1"/>
  <c r="E457" i="3" a="1"/>
  <c r="E457" i="3" s="1"/>
  <c r="J453" i="3" a="1"/>
  <c r="J453" i="3" s="1"/>
  <c r="Z453" i="3" a="1"/>
  <c r="Z453" i="3" s="1"/>
  <c r="AK465" i="3" a="1"/>
  <c r="AK465" i="3" s="1"/>
  <c r="F465" i="3" a="1"/>
  <c r="F465" i="3" s="1"/>
  <c r="AF469" i="3" a="1"/>
  <c r="AF469" i="3" s="1"/>
  <c r="F457" i="3" a="1"/>
  <c r="F457" i="3" s="1"/>
  <c r="S473" i="3" a="1"/>
  <c r="S473" i="3" s="1"/>
  <c r="AD469" i="3" a="1"/>
  <c r="AD469" i="3" s="1"/>
  <c r="D477" i="3" a="1"/>
  <c r="D477" i="3" s="1"/>
  <c r="AA481" i="3" a="1"/>
  <c r="AA481" i="3" s="1"/>
  <c r="M469" i="3" a="1"/>
  <c r="M469" i="3" s="1"/>
  <c r="AM493" i="3" a="1"/>
  <c r="AM493" i="3" s="1"/>
  <c r="Z489" i="3" a="1"/>
  <c r="Z489" i="3" s="1"/>
  <c r="L473" i="3" a="1"/>
  <c r="L473" i="3" s="1"/>
  <c r="T481" i="3" a="1"/>
  <c r="T481" i="3" s="1"/>
  <c r="AE481" i="3" a="1"/>
  <c r="AE481" i="3" s="1"/>
  <c r="AE477" i="3" a="1"/>
  <c r="AE477" i="3" s="1"/>
  <c r="J477" i="3" a="1"/>
  <c r="J477" i="3" s="1"/>
  <c r="AF485" i="3" a="1"/>
  <c r="AF485" i="3" s="1"/>
  <c r="T489" i="3" a="1"/>
  <c r="T489" i="3" s="1"/>
  <c r="G469" i="3" a="1"/>
  <c r="G469" i="3" s="1"/>
  <c r="Y481" i="3" a="1"/>
  <c r="Y481" i="3" s="1"/>
  <c r="X485" i="3" a="1"/>
  <c r="X485" i="3" s="1"/>
  <c r="AK489" i="3" a="1"/>
  <c r="AK489" i="3" s="1"/>
  <c r="X493" i="3" a="1"/>
  <c r="X493" i="3" s="1"/>
  <c r="D501" i="3" a="1"/>
  <c r="D501" i="3" s="1"/>
  <c r="V497" i="3" a="1"/>
  <c r="V497" i="3" s="1"/>
  <c r="L497" i="3" a="1"/>
  <c r="L497" i="3" s="1"/>
  <c r="I501" i="3" a="1"/>
  <c r="I501" i="3" s="1"/>
  <c r="AC501" i="3" a="1"/>
  <c r="AC501" i="3" s="1"/>
  <c r="M501" i="3" a="1"/>
  <c r="M501" i="3" s="1"/>
  <c r="AJ493" i="3" a="1"/>
  <c r="AJ493" i="3" s="1"/>
  <c r="I421" i="3" a="1"/>
  <c r="I421" i="3" s="1"/>
  <c r="V433" i="3" a="1"/>
  <c r="V433" i="3" s="1"/>
  <c r="AM417" i="3" a="1"/>
  <c r="AM417" i="3" s="1"/>
  <c r="P429" i="3" a="1"/>
  <c r="P429" i="3" s="1"/>
  <c r="N413" i="3" a="1"/>
  <c r="N413" i="3" s="1"/>
  <c r="K425" i="3" a="1"/>
  <c r="K425" i="3" s="1"/>
  <c r="S413" i="3" a="1"/>
  <c r="S413" i="3" s="1"/>
  <c r="O417" i="3" a="1"/>
  <c r="O417" i="3" s="1"/>
  <c r="AL433" i="3" a="1"/>
  <c r="AL433" i="3" s="1"/>
  <c r="M413" i="3" a="1"/>
  <c r="M413" i="3" s="1"/>
  <c r="E433" i="3" a="1"/>
  <c r="E433" i="3" s="1"/>
  <c r="I413" i="3" a="1"/>
  <c r="I413" i="3" s="1"/>
  <c r="N13" i="4" a="1"/>
  <c r="N13" i="4" s="1"/>
  <c r="P301" i="3" a="1"/>
  <c r="P301" i="3" s="1"/>
  <c r="H301" i="3" a="1"/>
  <c r="H301" i="3" s="1"/>
  <c r="AH305" i="3" a="1"/>
  <c r="AH305" i="3" s="1"/>
  <c r="D313" i="3" a="1"/>
  <c r="D313" i="3" s="1"/>
  <c r="AG309" i="3" a="1"/>
  <c r="AG309" i="3" s="1"/>
  <c r="AE305" i="3" a="1"/>
  <c r="AE305" i="3" s="1"/>
  <c r="M297" i="3" a="1"/>
  <c r="M297" i="3" s="1"/>
  <c r="S305" i="3" a="1"/>
  <c r="S305" i="3" s="1"/>
  <c r="L313" i="3" a="1"/>
  <c r="L313" i="3" s="1"/>
  <c r="J309" i="3" a="1"/>
  <c r="J309" i="3" s="1"/>
  <c r="AG297" i="3" a="1"/>
  <c r="AG297" i="3" s="1"/>
  <c r="AD321" i="3" a="1"/>
  <c r="AD321" i="3" s="1"/>
  <c r="X313" i="3" a="1"/>
  <c r="X313" i="3" s="1"/>
  <c r="AJ317" i="3" a="1"/>
  <c r="AJ317" i="3" s="1"/>
  <c r="Z317" i="3" a="1"/>
  <c r="Z317" i="3" s="1"/>
  <c r="E309" i="3" a="1"/>
  <c r="E309" i="3" s="1"/>
  <c r="M309" i="3" a="1"/>
  <c r="M309" i="3" s="1"/>
  <c r="R313" i="3" a="1"/>
  <c r="R313" i="3" s="1"/>
  <c r="T325" i="3" a="1"/>
  <c r="T325" i="3" s="1"/>
  <c r="D329" i="3" a="1"/>
  <c r="D329" i="3" s="1"/>
  <c r="AJ321" i="3" a="1"/>
  <c r="AJ321" i="3" s="1"/>
  <c r="AB333" i="3" a="1"/>
  <c r="AB333" i="3" s="1"/>
  <c r="I333" i="3" a="1"/>
  <c r="I333" i="3" s="1"/>
  <c r="AF333" i="3" a="1"/>
  <c r="AF333" i="3" s="1"/>
  <c r="Q333" i="3" a="1"/>
  <c r="Q333" i="3" s="1"/>
  <c r="AM349" i="3" a="1"/>
  <c r="AM349" i="3" s="1"/>
  <c r="V337" i="3" a="1"/>
  <c r="V337" i="3" s="1"/>
  <c r="W341" i="3" a="1"/>
  <c r="W341" i="3" s="1"/>
  <c r="Y341" i="3" a="1"/>
  <c r="Y341" i="3" s="1"/>
  <c r="P337" i="3" a="1"/>
  <c r="P337" i="3" s="1"/>
  <c r="F341" i="3" a="1"/>
  <c r="F341" i="3" s="1"/>
  <c r="AC341" i="3" a="1"/>
  <c r="AC341" i="3" s="1"/>
  <c r="J349" i="3" a="1"/>
  <c r="J349" i="3" s="1"/>
  <c r="Z349" i="3" a="1"/>
  <c r="Z349" i="3" s="1"/>
  <c r="AK357" i="3" a="1"/>
  <c r="AK357" i="3" s="1"/>
  <c r="AG345" i="3" a="1"/>
  <c r="AG345" i="3" s="1"/>
  <c r="U349" i="3" a="1"/>
  <c r="U349" i="3" s="1"/>
  <c r="G365" i="3" a="1"/>
  <c r="G365" i="3" s="1"/>
  <c r="AL369" i="3" a="1"/>
  <c r="AL369" i="3" s="1"/>
  <c r="AE365" i="3" a="1"/>
  <c r="AE365" i="3" s="1"/>
  <c r="O357" i="3" a="1"/>
  <c r="O357" i="3" s="1"/>
  <c r="W353" i="3" a="1"/>
  <c r="W353" i="3" s="1"/>
  <c r="K361" i="3" a="1"/>
  <c r="K361" i="3" s="1"/>
  <c r="L361" i="3" a="1"/>
  <c r="L361" i="3" s="1"/>
  <c r="D365" i="3" a="1"/>
  <c r="D365" i="3" s="1"/>
  <c r="J357" i="3" a="1"/>
  <c r="J357" i="3" s="1"/>
  <c r="AA361" i="3" a="1"/>
  <c r="AA361" i="3" s="1"/>
  <c r="AL361" i="3" a="1"/>
  <c r="AL361" i="3" s="1"/>
  <c r="T373" i="3" a="1"/>
  <c r="T373" i="3" s="1"/>
  <c r="I373" i="3" a="1"/>
  <c r="I373" i="3" s="1"/>
  <c r="F369" i="3" a="1"/>
  <c r="F369" i="3" s="1"/>
  <c r="V369" i="3" a="1"/>
  <c r="V369" i="3" s="1"/>
  <c r="AB377" i="3" a="1"/>
  <c r="AB377" i="3" s="1"/>
  <c r="T393" i="3" a="1"/>
  <c r="T393" i="3" s="1"/>
  <c r="AA381" i="3" a="1"/>
  <c r="AA381" i="3" s="1"/>
  <c r="AE385" i="3" a="1"/>
  <c r="AE385" i="3" s="1"/>
  <c r="AF385" i="3" a="1"/>
  <c r="AF385" i="3" s="1"/>
  <c r="AJ389" i="3" a="1"/>
  <c r="AJ389" i="3" s="1"/>
  <c r="AG397" i="3" a="1"/>
  <c r="AG397" i="3" s="1"/>
  <c r="U385" i="3" a="1"/>
  <c r="U385" i="3" s="1"/>
  <c r="AG377" i="3" a="1"/>
  <c r="AG377" i="3" s="1"/>
  <c r="O393" i="3" a="1"/>
  <c r="O393" i="3" s="1"/>
  <c r="L385" i="3" a="1"/>
  <c r="L385" i="3" s="1"/>
  <c r="R377" i="3" a="1"/>
  <c r="R377" i="3" s="1"/>
  <c r="AK381" i="3" a="1"/>
  <c r="AK381" i="3" s="1"/>
  <c r="P385" i="3" a="1"/>
  <c r="P385" i="3" s="1"/>
  <c r="N401" i="3" a="1"/>
  <c r="N401" i="3" s="1"/>
  <c r="Q389" i="3" a="1"/>
  <c r="Q389" i="3" s="1"/>
  <c r="P397" i="3" a="1"/>
  <c r="P397" i="3" s="1"/>
  <c r="AK401" i="3" a="1"/>
  <c r="AK401" i="3" s="1"/>
  <c r="I22" i="4" a="1"/>
  <c r="I22" i="4" s="1"/>
  <c r="I24" i="4" a="1"/>
  <c r="I24" i="4" s="1"/>
  <c r="AH421" i="3" a="1"/>
  <c r="AH421" i="3" s="1"/>
  <c r="K433" i="3" a="1"/>
  <c r="K433" i="3" s="1"/>
  <c r="AM429" i="3" a="1"/>
  <c r="AM429" i="3" s="1"/>
  <c r="I433" i="3" a="1"/>
  <c r="I433" i="3" s="1"/>
  <c r="AK417" i="3" a="1"/>
  <c r="AK417" i="3" s="1"/>
  <c r="AC433" i="3" a="1"/>
  <c r="AC433" i="3" s="1"/>
  <c r="E429" i="3" a="1"/>
  <c r="E429" i="3" s="1"/>
  <c r="AB417" i="3" a="1"/>
  <c r="AB417" i="3" s="1"/>
  <c r="AJ429" i="3" a="1"/>
  <c r="AJ429" i="3" s="1"/>
  <c r="W425" i="3" a="1"/>
  <c r="W425" i="3" s="1"/>
  <c r="D425" i="3" a="1"/>
  <c r="D425" i="3" s="1"/>
  <c r="N429" i="3" a="1"/>
  <c r="N429" i="3" s="1"/>
  <c r="I19" i="4" a="1"/>
  <c r="I19" i="4" s="1"/>
  <c r="T297" i="3" a="1"/>
  <c r="T297" i="3" s="1"/>
  <c r="V301" i="3" a="1"/>
  <c r="V301" i="3" s="1"/>
  <c r="AC297" i="3" a="1"/>
  <c r="AC297" i="3" s="1"/>
  <c r="AL297" i="3" a="1"/>
  <c r="AL297" i="3" s="1"/>
  <c r="AD305" i="3" a="1"/>
  <c r="AD305" i="3" s="1"/>
  <c r="AH309" i="3" a="1"/>
  <c r="AH309" i="3" s="1"/>
  <c r="AI305" i="3" a="1"/>
  <c r="AI305" i="3" s="1"/>
  <c r="U297" i="3" a="1"/>
  <c r="U297" i="3" s="1"/>
  <c r="X297" i="3" a="1"/>
  <c r="X297" i="3" s="1"/>
  <c r="AB297" i="3" a="1"/>
  <c r="AB297" i="3" s="1"/>
  <c r="AI297" i="3" a="1"/>
  <c r="AI297" i="3" s="1"/>
  <c r="K325" i="3" a="1"/>
  <c r="K325" i="3" s="1"/>
  <c r="AH317" i="3" a="1"/>
  <c r="AH317" i="3" s="1"/>
  <c r="X325" i="3" a="1"/>
  <c r="X325" i="3" s="1"/>
  <c r="O317" i="3" a="1"/>
  <c r="O317" i="3" s="1"/>
  <c r="AB317" i="3" a="1"/>
  <c r="AB317" i="3" s="1"/>
  <c r="AC317" i="3" a="1"/>
  <c r="AC317" i="3" s="1"/>
  <c r="X321" i="3" a="1"/>
  <c r="X321" i="3" s="1"/>
  <c r="N333" i="3" a="1"/>
  <c r="N333" i="3" s="1"/>
  <c r="N337" i="3" a="1"/>
  <c r="N337" i="3" s="1"/>
  <c r="Y325" i="3" a="1"/>
  <c r="Y325" i="3" s="1"/>
  <c r="AH329" i="3" a="1"/>
  <c r="AH329" i="3" s="1"/>
  <c r="L321" i="3" a="1"/>
  <c r="L321" i="3" s="1"/>
  <c r="O325" i="3" a="1"/>
  <c r="O325" i="3" s="1"/>
  <c r="AE337" i="3" a="1"/>
  <c r="AE337" i="3" s="1"/>
  <c r="I337" i="3" a="1"/>
  <c r="I337" i="3" s="1"/>
  <c r="AH337" i="3" a="1"/>
  <c r="AH337" i="3" s="1"/>
  <c r="L337" i="3" a="1"/>
  <c r="L337" i="3" s="1"/>
  <c r="AE333" i="3" a="1"/>
  <c r="AE333" i="3" s="1"/>
  <c r="E341" i="3" a="1"/>
  <c r="E341" i="3" s="1"/>
  <c r="AB341" i="3" a="1"/>
  <c r="AB341" i="3" s="1"/>
  <c r="AD337" i="3" a="1"/>
  <c r="AD337" i="3" s="1"/>
  <c r="AL349" i="3" a="1"/>
  <c r="AL349" i="3" s="1"/>
  <c r="AA349" i="3" a="1"/>
  <c r="AA349" i="3" s="1"/>
  <c r="Y361" i="3" a="1"/>
  <c r="Y361" i="3" s="1"/>
  <c r="M345" i="3" a="1"/>
  <c r="M345" i="3" s="1"/>
  <c r="V349" i="3" a="1"/>
  <c r="V349" i="3" s="1"/>
  <c r="L357" i="3" a="1"/>
  <c r="L357" i="3" s="1"/>
  <c r="Z373" i="3" a="1"/>
  <c r="Z373" i="3" s="1"/>
  <c r="AL373" i="3" a="1"/>
  <c r="AL373" i="3" s="1"/>
  <c r="AE361" i="3" a="1"/>
  <c r="AE361" i="3" s="1"/>
  <c r="U361" i="3" a="1"/>
  <c r="U361" i="3" s="1"/>
  <c r="AG361" i="3" a="1"/>
  <c r="AG361" i="3" s="1"/>
  <c r="AH361" i="3" a="1"/>
  <c r="AH361" i="3" s="1"/>
  <c r="L353" i="3" a="1"/>
  <c r="L353" i="3" s="1"/>
  <c r="AH357" i="3" a="1"/>
  <c r="AH357" i="3" s="1"/>
  <c r="L369" i="3" a="1"/>
  <c r="L369" i="3" s="1"/>
  <c r="Z369" i="3" a="1"/>
  <c r="Z369" i="3" s="1"/>
  <c r="AG373" i="3" a="1"/>
  <c r="AG373" i="3" s="1"/>
  <c r="E369" i="3" a="1"/>
  <c r="E369" i="3" s="1"/>
  <c r="AJ373" i="3" a="1"/>
  <c r="AJ373" i="3" s="1"/>
  <c r="P365" i="3" a="1"/>
  <c r="P365" i="3" s="1"/>
  <c r="R365" i="3" a="1"/>
  <c r="R365" i="3" s="1"/>
  <c r="O397" i="3" a="1"/>
  <c r="O397" i="3" s="1"/>
  <c r="AD385" i="3" a="1"/>
  <c r="AD385" i="3" s="1"/>
  <c r="AA377" i="3" a="1"/>
  <c r="AA377" i="3" s="1"/>
  <c r="K393" i="3" a="1"/>
  <c r="K393" i="3" s="1"/>
  <c r="X393" i="3" a="1"/>
  <c r="X393" i="3" s="1"/>
  <c r="AC377" i="3" a="1"/>
  <c r="AC377" i="3" s="1"/>
  <c r="AF377" i="3" a="1"/>
  <c r="AF377" i="3" s="1"/>
  <c r="AH381" i="3" a="1"/>
  <c r="AH381" i="3" s="1"/>
  <c r="K397" i="3" a="1"/>
  <c r="K397" i="3" s="1"/>
  <c r="AB389" i="3" a="1"/>
  <c r="AB389" i="3" s="1"/>
  <c r="X381" i="3" a="1"/>
  <c r="X381" i="3" s="1"/>
  <c r="L381" i="3" a="1"/>
  <c r="L381" i="3" s="1"/>
  <c r="AE389" i="3" a="1"/>
  <c r="AE389" i="3" s="1"/>
  <c r="AE397" i="3" a="1"/>
  <c r="AE397" i="3" s="1"/>
  <c r="F401" i="3" a="1"/>
  <c r="F401" i="3" s="1"/>
  <c r="W401" i="3" a="1"/>
  <c r="W401" i="3" s="1"/>
  <c r="V397" i="3" a="1"/>
  <c r="V397" i="3" s="1"/>
  <c r="N24" i="4" a="1"/>
  <c r="N24" i="4" s="1"/>
  <c r="I4" i="4" a="1"/>
  <c r="I4" i="4" s="1"/>
  <c r="AE417" i="3" a="1"/>
  <c r="AE417" i="3" s="1"/>
  <c r="M433" i="3" a="1"/>
  <c r="M433" i="3" s="1"/>
  <c r="S421" i="3" a="1"/>
  <c r="S421" i="3" s="1"/>
  <c r="R409" i="3" a="1"/>
  <c r="R409" i="3" s="1"/>
  <c r="I425" i="3" a="1"/>
  <c r="I425" i="3" s="1"/>
  <c r="AL421" i="3" a="1"/>
  <c r="AL421" i="3" s="1"/>
  <c r="AG421" i="3" a="1"/>
  <c r="AG421" i="3" s="1"/>
  <c r="L433" i="3" a="1"/>
  <c r="L433" i="3" s="1"/>
  <c r="F433" i="3" a="1"/>
  <c r="F433" i="3" s="1"/>
  <c r="S425" i="3" a="1"/>
  <c r="S425" i="3" s="1"/>
  <c r="G429" i="3" a="1"/>
  <c r="G429" i="3" s="1"/>
  <c r="I28" i="4" a="1"/>
  <c r="I28" i="4" s="1"/>
  <c r="I11" i="4" a="1"/>
  <c r="I11" i="4" s="1"/>
  <c r="J297" i="3" a="1"/>
  <c r="J297" i="3" s="1"/>
  <c r="N297" i="3" a="1"/>
  <c r="N297" i="3" s="1"/>
  <c r="Q301" i="3" a="1"/>
  <c r="Q301" i="3" s="1"/>
  <c r="AF309" i="3" a="1"/>
  <c r="AF309" i="3" s="1"/>
  <c r="Y317" i="3" a="1"/>
  <c r="Y317" i="3" s="1"/>
  <c r="P305" i="3" a="1"/>
  <c r="P305" i="3" s="1"/>
  <c r="R305" i="3" a="1"/>
  <c r="R305" i="3" s="1"/>
  <c r="W297" i="3" a="1"/>
  <c r="W297" i="3" s="1"/>
  <c r="Y297" i="3" a="1"/>
  <c r="Y297" i="3" s="1"/>
  <c r="AE297" i="3" a="1"/>
  <c r="AE297" i="3" s="1"/>
  <c r="AC329" i="3" a="1"/>
  <c r="AC329" i="3" s="1"/>
  <c r="H305" i="3" a="1"/>
  <c r="H305" i="3" s="1"/>
  <c r="M325" i="3" a="1"/>
  <c r="M325" i="3" s="1"/>
  <c r="AB313" i="3" a="1"/>
  <c r="AB313" i="3" s="1"/>
  <c r="AM317" i="3" a="1"/>
  <c r="AM317" i="3" s="1"/>
  <c r="P321" i="3" a="1"/>
  <c r="P321" i="3" s="1"/>
  <c r="R317" i="3" a="1"/>
  <c r="R317" i="3" s="1"/>
  <c r="AH333" i="3" a="1"/>
  <c r="AH333" i="3" s="1"/>
  <c r="AC321" i="3" a="1"/>
  <c r="AC321" i="3" s="1"/>
  <c r="Q329" i="3" a="1"/>
  <c r="Q329" i="3" s="1"/>
  <c r="R329" i="3" a="1"/>
  <c r="R329" i="3" s="1"/>
  <c r="AC333" i="3" a="1"/>
  <c r="AC333" i="3" s="1"/>
  <c r="X329" i="3" a="1"/>
  <c r="X329" i="3" s="1"/>
  <c r="AL329" i="3" a="1"/>
  <c r="AL329" i="3" s="1"/>
  <c r="I341" i="3" a="1"/>
  <c r="I341" i="3" s="1"/>
  <c r="AG337" i="3" a="1"/>
  <c r="AG337" i="3" s="1"/>
  <c r="AF345" i="3" a="1"/>
  <c r="AF345" i="3" s="1"/>
  <c r="W345" i="3" a="1"/>
  <c r="W345" i="3" s="1"/>
  <c r="O341" i="3" a="1"/>
  <c r="O341" i="3" s="1"/>
  <c r="AL333" i="3" a="1"/>
  <c r="AL333" i="3" s="1"/>
  <c r="Y349" i="3" a="1"/>
  <c r="Y349" i="3" s="1"/>
  <c r="H341" i="3" a="1"/>
  <c r="H341" i="3" s="1"/>
  <c r="Y345" i="3" a="1"/>
  <c r="Y345" i="3" s="1"/>
  <c r="G345" i="3" a="1"/>
  <c r="G345" i="3" s="1"/>
  <c r="R353" i="3" a="1"/>
  <c r="R353" i="3" s="1"/>
  <c r="AG349" i="3" a="1"/>
  <c r="AG349" i="3" s="1"/>
  <c r="O353" i="3" a="1"/>
  <c r="O353" i="3" s="1"/>
  <c r="T353" i="3" a="1"/>
  <c r="T353" i="3" s="1"/>
  <c r="AA357" i="3" a="1"/>
  <c r="AA357" i="3" s="1"/>
  <c r="H369" i="3" a="1"/>
  <c r="H369" i="3" s="1"/>
  <c r="AF365" i="3" a="1"/>
  <c r="AF365" i="3" s="1"/>
  <c r="L365" i="3" a="1"/>
  <c r="L365" i="3" s="1"/>
  <c r="S357" i="3" a="1"/>
  <c r="S357" i="3" s="1"/>
  <c r="N365" i="3" a="1"/>
  <c r="N365" i="3" s="1"/>
  <c r="M353" i="3" a="1"/>
  <c r="M353" i="3" s="1"/>
  <c r="S365" i="3" a="1"/>
  <c r="S365" i="3" s="1"/>
  <c r="X365" i="3" a="1"/>
  <c r="X365" i="3" s="1"/>
  <c r="AD365" i="3" a="1"/>
  <c r="AD365" i="3" s="1"/>
  <c r="D369" i="3" a="1"/>
  <c r="D369" i="3" s="1"/>
  <c r="AJ377" i="3" a="1"/>
  <c r="AJ377" i="3" s="1"/>
  <c r="AK373" i="3" a="1"/>
  <c r="AK373" i="3" s="1"/>
  <c r="Q365" i="3" a="1"/>
  <c r="Q365" i="3" s="1"/>
  <c r="AM381" i="3" a="1"/>
  <c r="AM381" i="3" s="1"/>
  <c r="N381" i="3" a="1"/>
  <c r="N381" i="3" s="1"/>
  <c r="U389" i="3" a="1"/>
  <c r="U389" i="3" s="1"/>
  <c r="I377" i="3" a="1"/>
  <c r="I377" i="3" s="1"/>
  <c r="M393" i="3" a="1"/>
  <c r="M393" i="3" s="1"/>
  <c r="AF401" i="3" a="1"/>
  <c r="AF401" i="3" s="1"/>
  <c r="Y393" i="3" a="1"/>
  <c r="Y393" i="3" s="1"/>
  <c r="L389" i="3" a="1"/>
  <c r="L389" i="3" s="1"/>
  <c r="U381" i="3" a="1"/>
  <c r="U381" i="3" s="1"/>
  <c r="Y385" i="3" a="1"/>
  <c r="Y385" i="3" s="1"/>
  <c r="AJ381" i="3" a="1"/>
  <c r="AJ381" i="3" s="1"/>
  <c r="AD393" i="3" a="1"/>
  <c r="AD393" i="3" s="1"/>
  <c r="S393" i="3" a="1"/>
  <c r="S393" i="3" s="1"/>
  <c r="AC397" i="3" a="1"/>
  <c r="AC397" i="3" s="1"/>
  <c r="L397" i="3" a="1"/>
  <c r="L397" i="3" s="1"/>
  <c r="AK397" i="3" a="1"/>
  <c r="AK397" i="3" s="1"/>
  <c r="R397" i="3" a="1"/>
  <c r="R397" i="3" s="1"/>
  <c r="AM401" i="3" a="1"/>
  <c r="AM401" i="3" s="1"/>
  <c r="N36" i="4" a="1"/>
  <c r="N36" i="4" s="1"/>
  <c r="N22" i="4" a="1"/>
  <c r="N22" i="4" s="1"/>
  <c r="V409" i="3" a="1"/>
  <c r="V409" i="3" s="1"/>
  <c r="AF433" i="3" a="1"/>
  <c r="AF433" i="3" s="1"/>
  <c r="V413" i="3" a="1"/>
  <c r="V413" i="3" s="1"/>
  <c r="L425" i="3" a="1"/>
  <c r="L425" i="3" s="1"/>
  <c r="L429" i="3" a="1"/>
  <c r="L429" i="3" s="1"/>
  <c r="Q429" i="3" a="1"/>
  <c r="Q429" i="3" s="1"/>
  <c r="AJ409" i="3" a="1"/>
  <c r="AJ409" i="3" s="1"/>
  <c r="Q425" i="3" a="1"/>
  <c r="Q425" i="3" s="1"/>
  <c r="AA433" i="3" a="1"/>
  <c r="AA433" i="3" s="1"/>
  <c r="AD409" i="3" a="1"/>
  <c r="AD409" i="3" s="1"/>
  <c r="AK433" i="3" a="1"/>
  <c r="AK433" i="3" s="1"/>
  <c r="I16" i="4" a="1"/>
  <c r="I16" i="4" s="1"/>
  <c r="N35" i="4" a="1"/>
  <c r="N35" i="4" s="1"/>
  <c r="AF301" i="3" a="1"/>
  <c r="AF301" i="3" s="1"/>
  <c r="AA297" i="3" a="1"/>
  <c r="AA297" i="3" s="1"/>
  <c r="J305" i="3" a="1"/>
  <c r="J305" i="3" s="1"/>
  <c r="E313" i="3" a="1"/>
  <c r="E313" i="3" s="1"/>
  <c r="W321" i="3" a="1"/>
  <c r="W321" i="3" s="1"/>
  <c r="AG305" i="3" a="1"/>
  <c r="AG305" i="3" s="1"/>
  <c r="V309" i="3" a="1"/>
  <c r="V309" i="3" s="1"/>
  <c r="AI301" i="3" a="1"/>
  <c r="AI301" i="3" s="1"/>
  <c r="J301" i="3" a="1"/>
  <c r="J301" i="3" s="1"/>
  <c r="N301" i="3" a="1"/>
  <c r="N301" i="3" s="1"/>
  <c r="T313" i="3" a="1"/>
  <c r="T313" i="3" s="1"/>
  <c r="W313" i="3" a="1"/>
  <c r="W313" i="3" s="1"/>
  <c r="AH325" i="3" a="1"/>
  <c r="AH325" i="3" s="1"/>
  <c r="M317" i="3" a="1"/>
  <c r="M317" i="3" s="1"/>
  <c r="D321" i="3" a="1"/>
  <c r="D321" i="3" s="1"/>
  <c r="AA321" i="3" a="1"/>
  <c r="AA321" i="3" s="1"/>
  <c r="Q313" i="3" a="1"/>
  <c r="Q313" i="3" s="1"/>
  <c r="Y321" i="3" a="1"/>
  <c r="Y321" i="3" s="1"/>
  <c r="O333" i="3" a="1"/>
  <c r="O333" i="3" s="1"/>
  <c r="AD329" i="3" a="1"/>
  <c r="AD329" i="3" s="1"/>
  <c r="Z325" i="3" a="1"/>
  <c r="Z325" i="3" s="1"/>
  <c r="G321" i="3" a="1"/>
  <c r="G321" i="3" s="1"/>
  <c r="AG325" i="3" a="1"/>
  <c r="AG325" i="3" s="1"/>
  <c r="T321" i="3" a="1"/>
  <c r="T321" i="3" s="1"/>
  <c r="T341" i="3" a="1"/>
  <c r="T341" i="3" s="1"/>
  <c r="J341" i="3" a="1"/>
  <c r="J341" i="3" s="1"/>
  <c r="T349" i="3" a="1"/>
  <c r="T349" i="3" s="1"/>
  <c r="AD333" i="3" a="1"/>
  <c r="AD333" i="3" s="1"/>
  <c r="Z341" i="3" a="1"/>
  <c r="Z341" i="3" s="1"/>
  <c r="E337" i="3" a="1"/>
  <c r="E337" i="3" s="1"/>
  <c r="J333" i="3" a="1"/>
  <c r="J333" i="3" s="1"/>
  <c r="S341" i="3" a="1"/>
  <c r="S341" i="3" s="1"/>
  <c r="L349" i="3" a="1"/>
  <c r="L349" i="3" s="1"/>
  <c r="AB345" i="3" a="1"/>
  <c r="AB345" i="3" s="1"/>
  <c r="AC353" i="3" a="1"/>
  <c r="AC353" i="3" s="1"/>
  <c r="AK345" i="3" a="1"/>
  <c r="AK345" i="3" s="1"/>
  <c r="K357" i="3" a="1"/>
  <c r="K357" i="3" s="1"/>
  <c r="AL357" i="3" a="1"/>
  <c r="AL357" i="3" s="1"/>
  <c r="T365" i="3" a="1"/>
  <c r="T365" i="3" s="1"/>
  <c r="AC369" i="3" a="1"/>
  <c r="AC369" i="3" s="1"/>
  <c r="I369" i="3" a="1"/>
  <c r="I369" i="3" s="1"/>
  <c r="AG365" i="3" a="1"/>
  <c r="AG365" i="3" s="1"/>
  <c r="AE357" i="3" a="1"/>
  <c r="AE357" i="3" s="1"/>
  <c r="H357" i="3" a="1"/>
  <c r="H357" i="3" s="1"/>
  <c r="AE353" i="3" a="1"/>
  <c r="AE353" i="3" s="1"/>
  <c r="K369" i="3" a="1"/>
  <c r="K369" i="3" s="1"/>
  <c r="Y369" i="3" a="1"/>
  <c r="Y369" i="3" s="1"/>
  <c r="O369" i="3" a="1"/>
  <c r="O369" i="3" s="1"/>
  <c r="AE369" i="3" a="1"/>
  <c r="AE369" i="3" s="1"/>
  <c r="AM365" i="3" a="1"/>
  <c r="AM365" i="3" s="1"/>
  <c r="AF381" i="3" a="1"/>
  <c r="AF381" i="3" s="1"/>
  <c r="J369" i="3" a="1"/>
  <c r="J369" i="3" s="1"/>
  <c r="AC385" i="3" a="1"/>
  <c r="AC385" i="3" s="1"/>
  <c r="Q385" i="3" a="1"/>
  <c r="Q385" i="3" s="1"/>
  <c r="AH393" i="3" a="1"/>
  <c r="AH393" i="3" s="1"/>
  <c r="D381" i="3" a="1"/>
  <c r="D381" i="3" s="1"/>
  <c r="K377" i="3" a="1"/>
  <c r="K377" i="3" s="1"/>
  <c r="K389" i="3" a="1"/>
  <c r="K389" i="3" s="1"/>
  <c r="AL393" i="3" a="1"/>
  <c r="AL393" i="3" s="1"/>
  <c r="AL389" i="3" a="1"/>
  <c r="AL389" i="3" s="1"/>
  <c r="X385" i="3" a="1"/>
  <c r="X385" i="3" s="1"/>
  <c r="AL385" i="3" a="1"/>
  <c r="AL385" i="3" s="1"/>
  <c r="Z385" i="3" a="1"/>
  <c r="Z385" i="3" s="1"/>
  <c r="Y397" i="3" a="1"/>
  <c r="Y397" i="3" s="1"/>
  <c r="AE393" i="3" a="1"/>
  <c r="AE393" i="3" s="1"/>
  <c r="J393" i="3" a="1"/>
  <c r="J393" i="3" s="1"/>
  <c r="AH397" i="3" a="1"/>
  <c r="AH397" i="3" s="1"/>
  <c r="Z397" i="3" a="1"/>
  <c r="Z397" i="3" s="1"/>
  <c r="AB429" i="3" a="1"/>
  <c r="AB429" i="3" s="1"/>
  <c r="AI421" i="3" a="1"/>
  <c r="AI421" i="3" s="1"/>
  <c r="F429" i="3" a="1"/>
  <c r="F429" i="3" s="1"/>
  <c r="AH429" i="3" a="1"/>
  <c r="AH429" i="3" s="1"/>
  <c r="AE409" i="3" a="1"/>
  <c r="AE409" i="3" s="1"/>
  <c r="AF413" i="3" a="1"/>
  <c r="AF413" i="3" s="1"/>
  <c r="W433" i="3" a="1"/>
  <c r="W433" i="3" s="1"/>
  <c r="Q433" i="3" a="1"/>
  <c r="Q433" i="3" s="1"/>
  <c r="AH409" i="3" a="1"/>
  <c r="AH409" i="3" s="1"/>
  <c r="AD429" i="3" a="1"/>
  <c r="AD429" i="3" s="1"/>
  <c r="AH425" i="3" a="1"/>
  <c r="AH425" i="3" s="1"/>
  <c r="N25" i="4" a="1"/>
  <c r="N25" i="4" s="1"/>
  <c r="AF297" i="3" a="1"/>
  <c r="AF297" i="3" s="1"/>
  <c r="AJ297" i="3" a="1"/>
  <c r="AJ297" i="3" s="1"/>
  <c r="L301" i="3" a="1"/>
  <c r="L301" i="3" s="1"/>
  <c r="AD309" i="3" a="1"/>
  <c r="AD309" i="3" s="1"/>
  <c r="M305" i="3" a="1"/>
  <c r="M305" i="3" s="1"/>
  <c r="O305" i="3" a="1"/>
  <c r="O305" i="3" s="1"/>
  <c r="AK309" i="3" a="1"/>
  <c r="AK309" i="3" s="1"/>
  <c r="AG301" i="3" a="1"/>
  <c r="AG301" i="3" s="1"/>
  <c r="Y309" i="3" a="1"/>
  <c r="Y309" i="3" s="1"/>
  <c r="AM305" i="3" a="1"/>
  <c r="AM305" i="3" s="1"/>
  <c r="AB309" i="3" a="1"/>
  <c r="AB309" i="3" s="1"/>
  <c r="H321" i="3" a="1"/>
  <c r="H321" i="3" s="1"/>
  <c r="AM309" i="3" a="1"/>
  <c r="AM309" i="3" s="1"/>
  <c r="L317" i="3" a="1"/>
  <c r="L317" i="3" s="1"/>
  <c r="N317" i="3" a="1"/>
  <c r="N317" i="3" s="1"/>
  <c r="AK321" i="3" a="1"/>
  <c r="AK321" i="3" s="1"/>
  <c r="AM325" i="3" a="1"/>
  <c r="AM325" i="3" s="1"/>
  <c r="T309" i="3" a="1"/>
  <c r="T309" i="3" s="1"/>
  <c r="X333" i="3" a="1"/>
  <c r="X333" i="3" s="1"/>
  <c r="D325" i="3" a="1"/>
  <c r="D325" i="3" s="1"/>
  <c r="Y337" i="3" a="1"/>
  <c r="Y337" i="3" s="1"/>
  <c r="AF329" i="3" a="1"/>
  <c r="AF329" i="3" s="1"/>
  <c r="I321" i="3" a="1"/>
  <c r="I321" i="3" s="1"/>
  <c r="K333" i="3" a="1"/>
  <c r="K333" i="3" s="1"/>
  <c r="Z329" i="3" a="1"/>
  <c r="Z329" i="3" s="1"/>
  <c r="AD345" i="3" a="1"/>
  <c r="AD345" i="3" s="1"/>
  <c r="J337" i="3" a="1"/>
  <c r="J337" i="3" s="1"/>
  <c r="W337" i="3" a="1"/>
  <c r="W337" i="3" s="1"/>
  <c r="N341" i="3" a="1"/>
  <c r="N341" i="3" s="1"/>
  <c r="AA337" i="3" a="1"/>
  <c r="AA337" i="3" s="1"/>
  <c r="Q337" i="3" a="1"/>
  <c r="Q337" i="3" s="1"/>
  <c r="R341" i="3" a="1"/>
  <c r="R341" i="3" s="1"/>
  <c r="AJ349" i="3" a="1"/>
  <c r="AJ349" i="3" s="1"/>
  <c r="E345" i="3" a="1"/>
  <c r="E345" i="3" s="1"/>
  <c r="P357" i="3" a="1"/>
  <c r="P357" i="3" s="1"/>
  <c r="L345" i="3" a="1"/>
  <c r="L345" i="3" s="1"/>
  <c r="F349" i="3" a="1"/>
  <c r="F349" i="3" s="1"/>
  <c r="AJ357" i="3" a="1"/>
  <c r="AJ357" i="3" s="1"/>
  <c r="Q369" i="3" a="1"/>
  <c r="Q369" i="3" s="1"/>
  <c r="J365" i="3" a="1"/>
  <c r="J365" i="3" s="1"/>
  <c r="AL353" i="3" a="1"/>
  <c r="AL353" i="3" s="1"/>
  <c r="H353" i="3" a="1"/>
  <c r="H353" i="3" s="1"/>
  <c r="F357" i="3" a="1"/>
  <c r="F357" i="3" s="1"/>
  <c r="Z353" i="3" a="1"/>
  <c r="Z353" i="3" s="1"/>
  <c r="AI361" i="3" a="1"/>
  <c r="AI361" i="3" s="1"/>
  <c r="Z365" i="3" a="1"/>
  <c r="Z365" i="3" s="1"/>
  <c r="AB373" i="3" a="1"/>
  <c r="AB373" i="3" s="1"/>
  <c r="AE377" i="3" a="1"/>
  <c r="AE377" i="3" s="1"/>
  <c r="G373" i="3" a="1"/>
  <c r="G373" i="3" s="1"/>
  <c r="AF369" i="3" a="1"/>
  <c r="AF369" i="3" s="1"/>
  <c r="J373" i="3" a="1"/>
  <c r="J373" i="3" s="1"/>
  <c r="O365" i="3" a="1"/>
  <c r="O365" i="3" s="1"/>
  <c r="Q377" i="3" a="1"/>
  <c r="Q377" i="3" s="1"/>
  <c r="AF389" i="3" a="1"/>
  <c r="AF389" i="3" s="1"/>
  <c r="AA369" i="3" a="1"/>
  <c r="AA369" i="3" s="1"/>
  <c r="F385" i="3" a="1"/>
  <c r="F385" i="3" s="1"/>
  <c r="G385" i="3" a="1"/>
  <c r="G385" i="3" s="1"/>
  <c r="W389" i="3" a="1"/>
  <c r="W389" i="3" s="1"/>
  <c r="H397" i="3" a="1"/>
  <c r="H397" i="3" s="1"/>
  <c r="AG381" i="3" a="1"/>
  <c r="AG381" i="3" s="1"/>
  <c r="AD373" i="3" a="1"/>
  <c r="AD373" i="3" s="1"/>
  <c r="Z389" i="3" a="1"/>
  <c r="Z389" i="3" s="1"/>
  <c r="W381" i="3" a="1"/>
  <c r="W381" i="3" s="1"/>
  <c r="AJ397" i="3" a="1"/>
  <c r="AJ397" i="3" s="1"/>
  <c r="K381" i="3" a="1"/>
  <c r="K381" i="3" s="1"/>
  <c r="AL381" i="3" a="1"/>
  <c r="AL381" i="3" s="1"/>
  <c r="X397" i="3" a="1"/>
  <c r="X397" i="3" s="1"/>
  <c r="AH401" i="3" a="1"/>
  <c r="AH401" i="3" s="1"/>
  <c r="V393" i="3" a="1"/>
  <c r="V393" i="3" s="1"/>
  <c r="X401" i="3" a="1"/>
  <c r="X401" i="3" s="1"/>
  <c r="I13" i="4" a="1"/>
  <c r="I13" i="4" s="1"/>
  <c r="N18" i="4" a="1"/>
  <c r="N18" i="4" s="1"/>
  <c r="N34" i="4" a="1"/>
  <c r="N34" i="4" s="1"/>
  <c r="N409" i="3" a="1"/>
  <c r="N409" i="3" s="1"/>
  <c r="AD413" i="3" a="1"/>
  <c r="AD413" i="3" s="1"/>
  <c r="E421" i="3" a="1"/>
  <c r="E421" i="3" s="1"/>
  <c r="H429" i="3" a="1"/>
  <c r="H429" i="3" s="1"/>
  <c r="AA425" i="3" a="1"/>
  <c r="AA425" i="3" s="1"/>
  <c r="AF417" i="3" a="1"/>
  <c r="AF417" i="3" s="1"/>
  <c r="AB413" i="3" a="1"/>
  <c r="AB413" i="3" s="1"/>
  <c r="I38" i="4" a="1"/>
  <c r="I38" i="4" s="1"/>
  <c r="D305" i="3" a="1"/>
  <c r="D305" i="3" s="1"/>
  <c r="Q297" i="3" a="1"/>
  <c r="Q297" i="3" s="1"/>
  <c r="R309" i="3" a="1"/>
  <c r="R309" i="3" s="1"/>
  <c r="Q305" i="3" a="1"/>
  <c r="Q305" i="3" s="1"/>
  <c r="X309" i="3" a="1"/>
  <c r="X309" i="3" s="1"/>
  <c r="G305" i="3" a="1"/>
  <c r="G305" i="3" s="1"/>
  <c r="H317" i="3" a="1"/>
  <c r="H317" i="3" s="1"/>
  <c r="V329" i="3" a="1"/>
  <c r="V329" i="3" s="1"/>
  <c r="AA317" i="3" a="1"/>
  <c r="AA317" i="3" s="1"/>
  <c r="R325" i="3" a="1"/>
  <c r="R325" i="3" s="1"/>
  <c r="AA329" i="3" a="1"/>
  <c r="AA329" i="3" s="1"/>
  <c r="AI321" i="3" a="1"/>
  <c r="AI321" i="3" s="1"/>
  <c r="G329" i="3" a="1"/>
  <c r="G329" i="3" s="1"/>
  <c r="Q321" i="3" a="1"/>
  <c r="Q321" i="3" s="1"/>
  <c r="AE341" i="3" a="1"/>
  <c r="AE341" i="3" s="1"/>
  <c r="AH341" i="3" a="1"/>
  <c r="AH341" i="3" s="1"/>
  <c r="Z337" i="3" a="1"/>
  <c r="Z337" i="3" s="1"/>
  <c r="AM333" i="3" a="1"/>
  <c r="AM333" i="3" s="1"/>
  <c r="AK349" i="3" a="1"/>
  <c r="AK349" i="3" s="1"/>
  <c r="AB353" i="3" a="1"/>
  <c r="AB353" i="3" s="1"/>
  <c r="AE349" i="3" a="1"/>
  <c r="AE349" i="3" s="1"/>
  <c r="W357" i="3" a="1"/>
  <c r="W357" i="3" s="1"/>
  <c r="AM357" i="3" a="1"/>
  <c r="AM357" i="3" s="1"/>
  <c r="E353" i="3" a="1"/>
  <c r="E353" i="3" s="1"/>
  <c r="I353" i="3" a="1"/>
  <c r="I353" i="3" s="1"/>
  <c r="AF357" i="3" a="1"/>
  <c r="AF357" i="3" s="1"/>
  <c r="Z361" i="3" a="1"/>
  <c r="Z361" i="3" s="1"/>
  <c r="M369" i="3" a="1"/>
  <c r="M369" i="3" s="1"/>
  <c r="AH373" i="3" a="1"/>
  <c r="AH373" i="3" s="1"/>
  <c r="K373" i="3" a="1"/>
  <c r="K373" i="3" s="1"/>
  <c r="AJ369" i="3" a="1"/>
  <c r="AJ369" i="3" s="1"/>
  <c r="AB397" i="3" a="1"/>
  <c r="AB397" i="3" s="1"/>
  <c r="V389" i="3" a="1"/>
  <c r="V389" i="3" s="1"/>
  <c r="G397" i="3" a="1"/>
  <c r="G397" i="3" s="1"/>
  <c r="X389" i="3" a="1"/>
  <c r="X389" i="3" s="1"/>
  <c r="AK385" i="3" a="1"/>
  <c r="AK385" i="3" s="1"/>
  <c r="AC393" i="3" a="1"/>
  <c r="AC393" i="3" s="1"/>
  <c r="Y381" i="3" a="1"/>
  <c r="Y381" i="3" s="1"/>
  <c r="AD397" i="3" a="1"/>
  <c r="AD397" i="3" s="1"/>
  <c r="AD389" i="3" a="1"/>
  <c r="AD389" i="3" s="1"/>
  <c r="Y401" i="3" a="1"/>
  <c r="Y401" i="3" s="1"/>
  <c r="I21" i="4" a="1"/>
  <c r="I21" i="4" s="1"/>
  <c r="N9" i="4" a="1"/>
  <c r="N9" i="4" s="1"/>
  <c r="I31" i="4" a="1"/>
  <c r="I31" i="4" s="1"/>
  <c r="AM413" i="3" a="1"/>
  <c r="AM413" i="3" s="1"/>
  <c r="Y409" i="3" a="1"/>
  <c r="Y409" i="3" s="1"/>
  <c r="AM409" i="3" a="1"/>
  <c r="AM409" i="3" s="1"/>
  <c r="AA429" i="3" a="1"/>
  <c r="AA429" i="3" s="1"/>
  <c r="O421" i="3" a="1"/>
  <c r="O421" i="3" s="1"/>
  <c r="W429" i="3" a="1"/>
  <c r="W429" i="3" s="1"/>
  <c r="G417" i="3" a="1"/>
  <c r="G417" i="3" s="1"/>
  <c r="N20" i="4" a="1"/>
  <c r="N20" i="4" s="1"/>
  <c r="Z309" i="3" a="1"/>
  <c r="Z309" i="3" s="1"/>
  <c r="AK297" i="3" a="1"/>
  <c r="AK297" i="3" s="1"/>
  <c r="F313" i="3" a="1"/>
  <c r="F313" i="3" s="1"/>
  <c r="AD301" i="3" a="1"/>
  <c r="AD301" i="3" s="1"/>
  <c r="U305" i="3" a="1"/>
  <c r="U305" i="3" s="1"/>
  <c r="K309" i="3" a="1"/>
  <c r="K309" i="3" s="1"/>
  <c r="AF325" i="3" a="1"/>
  <c r="AF325" i="3" s="1"/>
  <c r="Z305" i="3" a="1"/>
  <c r="Z305" i="3" s="1"/>
  <c r="AF313" i="3" a="1"/>
  <c r="AF313" i="3" s="1"/>
  <c r="N309" i="3" a="1"/>
  <c r="N309" i="3" s="1"/>
  <c r="AL325" i="3" a="1"/>
  <c r="AL325" i="3" s="1"/>
  <c r="AK333" i="3" a="1"/>
  <c r="AK333" i="3" s="1"/>
  <c r="T329" i="3" a="1"/>
  <c r="T329" i="3" s="1"/>
  <c r="K329" i="3" a="1"/>
  <c r="K329" i="3" s="1"/>
  <c r="I345" i="3" a="1"/>
  <c r="I345" i="3" s="1"/>
  <c r="K345" i="3" a="1"/>
  <c r="K345" i="3" s="1"/>
  <c r="AG333" i="3" a="1"/>
  <c r="AG333" i="3" s="1"/>
  <c r="Q341" i="3" a="1"/>
  <c r="Q341" i="3" s="1"/>
  <c r="H345" i="3" a="1"/>
  <c r="H345" i="3" s="1"/>
  <c r="E357" i="3" a="1"/>
  <c r="E357" i="3" s="1"/>
  <c r="AH345" i="3" a="1"/>
  <c r="AH345" i="3" s="1"/>
  <c r="AG353" i="3" a="1"/>
  <c r="AG353" i="3" s="1"/>
  <c r="U353" i="3" a="1"/>
  <c r="U353" i="3" s="1"/>
  <c r="AC357" i="3" a="1"/>
  <c r="AC357" i="3" s="1"/>
  <c r="V361" i="3" a="1"/>
  <c r="V361" i="3" s="1"/>
  <c r="M361" i="3" a="1"/>
  <c r="M361" i="3" s="1"/>
  <c r="AK361" i="3" a="1"/>
  <c r="AK361" i="3" s="1"/>
  <c r="N369" i="3" a="1"/>
  <c r="N369" i="3" s="1"/>
  <c r="AK365" i="3" a="1"/>
  <c r="AK365" i="3" s="1"/>
  <c r="X373" i="3" a="1"/>
  <c r="X373" i="3" s="1"/>
  <c r="M373" i="3" a="1"/>
  <c r="M373" i="3" s="1"/>
  <c r="E385" i="3" a="1"/>
  <c r="E385" i="3" s="1"/>
  <c r="Q381" i="3" a="1"/>
  <c r="Q381" i="3" s="1"/>
  <c r="S397" i="3" a="1"/>
  <c r="S397" i="3" s="1"/>
  <c r="G381" i="3" a="1"/>
  <c r="G381" i="3" s="1"/>
  <c r="M389" i="3" a="1"/>
  <c r="M389" i="3" s="1"/>
  <c r="J381" i="3" a="1"/>
  <c r="J381" i="3" s="1"/>
  <c r="AB385" i="3" a="1"/>
  <c r="AB385" i="3" s="1"/>
  <c r="O401" i="3" a="1"/>
  <c r="O401" i="3" s="1"/>
  <c r="AL401" i="3" a="1"/>
  <c r="AL401" i="3" s="1"/>
  <c r="I33" i="4" a="1"/>
  <c r="I33" i="4" s="1"/>
  <c r="I37" i="4" a="1"/>
  <c r="I37" i="4" s="1"/>
  <c r="N12" i="4" a="1"/>
  <c r="N12" i="4" s="1"/>
  <c r="R429" i="3" a="1"/>
  <c r="R429" i="3" s="1"/>
  <c r="AC429" i="3" a="1"/>
  <c r="AC429" i="3" s="1"/>
  <c r="Z425" i="3" a="1"/>
  <c r="Z425" i="3" s="1"/>
  <c r="AL425" i="3" a="1"/>
  <c r="AL425" i="3" s="1"/>
  <c r="Q421" i="3" a="1"/>
  <c r="Q421" i="3" s="1"/>
  <c r="I5" i="4" a="1"/>
  <c r="I5" i="4" s="1"/>
  <c r="W413" i="3" a="1"/>
  <c r="W413" i="3" s="1"/>
  <c r="N8" i="4" a="1"/>
  <c r="N8" i="4" s="1"/>
  <c r="U301" i="3" a="1"/>
  <c r="U301" i="3" s="1"/>
  <c r="AA305" i="3" a="1"/>
  <c r="AA305" i="3" s="1"/>
  <c r="S313" i="3" a="1"/>
  <c r="S313" i="3" s="1"/>
  <c r="U309" i="3" a="1"/>
  <c r="U309" i="3" s="1"/>
  <c r="I309" i="3" a="1"/>
  <c r="I309" i="3" s="1"/>
  <c r="AM313" i="3" a="1"/>
  <c r="AM313" i="3" s="1"/>
  <c r="I317" i="3" a="1"/>
  <c r="I317" i="3" s="1"/>
  <c r="K321" i="3" a="1"/>
  <c r="K321" i="3" s="1"/>
  <c r="O321" i="3" a="1"/>
  <c r="O321" i="3" s="1"/>
  <c r="AJ313" i="3" a="1"/>
  <c r="AJ313" i="3" s="1"/>
  <c r="AI333" i="3" a="1"/>
  <c r="AI333" i="3" s="1"/>
  <c r="D337" i="3" a="1"/>
  <c r="D337" i="3" s="1"/>
  <c r="H333" i="3" a="1"/>
  <c r="H333" i="3" s="1"/>
  <c r="Y329" i="3" a="1"/>
  <c r="Y329" i="3" s="1"/>
  <c r="S333" i="3" a="1"/>
  <c r="S333" i="3" s="1"/>
  <c r="Y333" i="3" a="1"/>
  <c r="Y333" i="3" s="1"/>
  <c r="O337" i="3" a="1"/>
  <c r="O337" i="3" s="1"/>
  <c r="AM341" i="3" a="1"/>
  <c r="AM341" i="3" s="1"/>
  <c r="I349" i="3" a="1"/>
  <c r="I349" i="3" s="1"/>
  <c r="Z357" i="3" a="1"/>
  <c r="Z357" i="3" s="1"/>
  <c r="N345" i="3" a="1"/>
  <c r="N345" i="3" s="1"/>
  <c r="AB365" i="3" a="1"/>
  <c r="AB365" i="3" s="1"/>
  <c r="AM369" i="3" a="1"/>
  <c r="AM369" i="3" s="1"/>
  <c r="T361" i="3" a="1"/>
  <c r="T361" i="3" s="1"/>
  <c r="W365" i="3" a="1"/>
  <c r="W365" i="3" s="1"/>
  <c r="X361" i="3" a="1"/>
  <c r="X361" i="3" s="1"/>
  <c r="R361" i="3" a="1"/>
  <c r="R361" i="3" s="1"/>
  <c r="D373" i="3" a="1"/>
  <c r="D373" i="3" s="1"/>
  <c r="AL365" i="3" a="1"/>
  <c r="AL365" i="3" s="1"/>
  <c r="D385" i="3" a="1"/>
  <c r="D385" i="3" s="1"/>
  <c r="D377" i="3" a="1"/>
  <c r="D377" i="3" s="1"/>
  <c r="O381" i="3" a="1"/>
  <c r="O381" i="3" s="1"/>
  <c r="AD381" i="3" a="1"/>
  <c r="AD381" i="3" s="1"/>
  <c r="AF397" i="3" a="1"/>
  <c r="AF397" i="3" s="1"/>
  <c r="I385" i="3" a="1"/>
  <c r="I385" i="3" s="1"/>
  <c r="AA393" i="3" a="1"/>
  <c r="AA393" i="3" s="1"/>
  <c r="AM385" i="3" a="1"/>
  <c r="AM385" i="3" s="1"/>
  <c r="R389" i="3" a="1"/>
  <c r="R389" i="3" s="1"/>
  <c r="D401" i="3" a="1"/>
  <c r="D401" i="3" s="1"/>
  <c r="AG389" i="3" a="1"/>
  <c r="AG389" i="3" s="1"/>
  <c r="L401" i="3" a="1"/>
  <c r="L401" i="3" s="1"/>
  <c r="N26" i="4" a="1"/>
  <c r="N26" i="4" s="1"/>
  <c r="N4" i="4" a="1"/>
  <c r="N4" i="4" s="1"/>
  <c r="AF409" i="3" a="1"/>
  <c r="AF409" i="3" s="1"/>
  <c r="I409" i="3" a="1"/>
  <c r="I409" i="3" s="1"/>
  <c r="G425" i="3" a="1"/>
  <c r="G425" i="3" s="1"/>
  <c r="AB433" i="3" a="1"/>
  <c r="AB433" i="3" s="1"/>
  <c r="J433" i="3" a="1"/>
  <c r="J433" i="3" s="1"/>
  <c r="Z297" i="3" a="1"/>
  <c r="Z297" i="3" s="1"/>
  <c r="AC313" i="3" a="1"/>
  <c r="AC313" i="3" s="1"/>
  <c r="O297" i="3" a="1"/>
  <c r="O297" i="3" s="1"/>
  <c r="L309" i="3" a="1"/>
  <c r="L309" i="3" s="1"/>
  <c r="G313" i="3" a="1"/>
  <c r="G313" i="3" s="1"/>
  <c r="AL313" i="3" a="1"/>
  <c r="AL313" i="3" s="1"/>
  <c r="E329" i="3" a="1"/>
  <c r="E329" i="3" s="1"/>
  <c r="M329" i="3" a="1"/>
  <c r="M329" i="3" s="1"/>
  <c r="V345" i="3" a="1"/>
  <c r="V345" i="3" s="1"/>
  <c r="AA345" i="3" a="1"/>
  <c r="AA345" i="3" s="1"/>
  <c r="AM353" i="3" a="1"/>
  <c r="AM353" i="3" s="1"/>
  <c r="Q373" i="3" a="1"/>
  <c r="Q373" i="3" s="1"/>
  <c r="I357" i="3" a="1"/>
  <c r="I357" i="3" s="1"/>
  <c r="J377" i="3" a="1"/>
  <c r="J377" i="3" s="1"/>
  <c r="H401" i="3" a="1"/>
  <c r="H401" i="3" s="1"/>
  <c r="P377" i="3" a="1"/>
  <c r="P377" i="3" s="1"/>
  <c r="I3" i="4" a="1"/>
  <c r="I3" i="4" s="1"/>
  <c r="D433" i="3" a="1"/>
  <c r="D433" i="3" s="1"/>
  <c r="AK429" i="3" a="1"/>
  <c r="AK429" i="3" s="1"/>
  <c r="E425" i="3" a="1"/>
  <c r="E425" i="3" s="1"/>
  <c r="AJ425" i="3" a="1"/>
  <c r="AJ425" i="3" s="1"/>
  <c r="Q409" i="3" a="1"/>
  <c r="Q409" i="3" s="1"/>
  <c r="AA409" i="3" a="1"/>
  <c r="AA409" i="3" s="1"/>
  <c r="Z429" i="3" a="1"/>
  <c r="Z429" i="3" s="1"/>
  <c r="I14" i="4" a="1"/>
  <c r="I14" i="4" s="1"/>
  <c r="AG313" i="3" a="1"/>
  <c r="AG313" i="3" s="1"/>
  <c r="O309" i="3" a="1"/>
  <c r="O309" i="3" s="1"/>
  <c r="AE313" i="3" a="1"/>
  <c r="AE313" i="3" s="1"/>
  <c r="V313" i="3" a="1"/>
  <c r="V313" i="3" s="1"/>
  <c r="AK313" i="3" a="1"/>
  <c r="AK313" i="3" s="1"/>
  <c r="Y305" i="3" a="1"/>
  <c r="Y305" i="3" s="1"/>
  <c r="U317" i="3" a="1"/>
  <c r="U317" i="3" s="1"/>
  <c r="AG329" i="3" a="1"/>
  <c r="AG329" i="3" s="1"/>
  <c r="Z321" i="3" a="1"/>
  <c r="Z321" i="3" s="1"/>
  <c r="E317" i="3" a="1"/>
  <c r="E317" i="3" s="1"/>
  <c r="AB321" i="3" a="1"/>
  <c r="AB321" i="3" s="1"/>
  <c r="E325" i="3" a="1"/>
  <c r="E325" i="3" s="1"/>
  <c r="U329" i="3" a="1"/>
  <c r="U329" i="3" s="1"/>
  <c r="V333" i="3" a="1"/>
  <c r="V333" i="3" s="1"/>
  <c r="T345" i="3" a="1"/>
  <c r="T345" i="3" s="1"/>
  <c r="K337" i="3" a="1"/>
  <c r="K337" i="3" s="1"/>
  <c r="AL337" i="3" a="1"/>
  <c r="AL337" i="3" s="1"/>
  <c r="F345" i="3" a="1"/>
  <c r="F345" i="3" s="1"/>
  <c r="W349" i="3" a="1"/>
  <c r="W349" i="3" s="1"/>
  <c r="AB349" i="3" a="1"/>
  <c r="AB349" i="3" s="1"/>
  <c r="AI345" i="3" a="1"/>
  <c r="AI345" i="3" s="1"/>
  <c r="X357" i="3" a="1"/>
  <c r="X357" i="3" s="1"/>
  <c r="F373" i="3" a="1"/>
  <c r="F373" i="3" s="1"/>
  <c r="K365" i="3" a="1"/>
  <c r="K365" i="3" s="1"/>
  <c r="S349" i="3" a="1"/>
  <c r="S349" i="3" s="1"/>
  <c r="Y365" i="3" a="1"/>
  <c r="Y365" i="3" s="1"/>
  <c r="X369" i="3" a="1"/>
  <c r="X369" i="3" s="1"/>
  <c r="AE373" i="3" a="1"/>
  <c r="AE373" i="3" s="1"/>
  <c r="V373" i="3" a="1"/>
  <c r="V373" i="3" s="1"/>
  <c r="T397" i="3" a="1"/>
  <c r="T397" i="3" s="1"/>
  <c r="W377" i="3" a="1"/>
  <c r="W377" i="3" s="1"/>
  <c r="AB381" i="3" a="1"/>
  <c r="AB381" i="3" s="1"/>
  <c r="J389" i="3" a="1"/>
  <c r="J389" i="3" s="1"/>
  <c r="AK389" i="3" a="1"/>
  <c r="AK389" i="3" s="1"/>
  <c r="V385" i="3" a="1"/>
  <c r="V385" i="3" s="1"/>
  <c r="W397" i="3" a="1"/>
  <c r="W397" i="3" s="1"/>
  <c r="AC389" i="3" a="1"/>
  <c r="AC389" i="3" s="1"/>
  <c r="F393" i="3" a="1"/>
  <c r="F393" i="3" s="1"/>
  <c r="Q401" i="3" a="1"/>
  <c r="Q401" i="3" s="1"/>
  <c r="G401" i="3" a="1"/>
  <c r="G401" i="3" s="1"/>
  <c r="M401" i="3" a="1"/>
  <c r="M401" i="3" s="1"/>
  <c r="N10" i="4" a="1"/>
  <c r="N10" i="4" s="1"/>
  <c r="I7" i="4" a="1"/>
  <c r="I7" i="4" s="1"/>
  <c r="N15" i="4" a="1"/>
  <c r="N15" i="4" s="1"/>
  <c r="R421" i="3" a="1"/>
  <c r="R421" i="3" s="1"/>
  <c r="K413" i="3" a="1"/>
  <c r="K413" i="3" s="1"/>
  <c r="AG417" i="3" a="1"/>
  <c r="AG417" i="3" s="1"/>
  <c r="T433" i="3" a="1"/>
  <c r="T433" i="3" s="1"/>
  <c r="T429" i="3" a="1"/>
  <c r="T429" i="3" s="1"/>
  <c r="S429" i="3" a="1"/>
  <c r="S429" i="3" s="1"/>
  <c r="Z433" i="3" a="1"/>
  <c r="Z433" i="3" s="1"/>
  <c r="X305" i="3" a="1"/>
  <c r="X305" i="3" s="1"/>
  <c r="AM297" i="3" a="1"/>
  <c r="AM297" i="3" s="1"/>
  <c r="K305" i="3" a="1"/>
  <c r="K305" i="3" s="1"/>
  <c r="E297" i="3" a="1"/>
  <c r="E297" i="3" s="1"/>
  <c r="AE301" i="3" a="1"/>
  <c r="AE301" i="3" s="1"/>
  <c r="AK301" i="3" a="1"/>
  <c r="AK301" i="3" s="1"/>
  <c r="O301" i="3" a="1"/>
  <c r="O301" i="3" s="1"/>
  <c r="V317" i="3" a="1"/>
  <c r="V317" i="3" s="1"/>
  <c r="AI325" i="3" a="1"/>
  <c r="AI325" i="3" s="1"/>
  <c r="H309" i="3" a="1"/>
  <c r="H309" i="3" s="1"/>
  <c r="AD325" i="3" a="1"/>
  <c r="AD325" i="3" s="1"/>
  <c r="AB329" i="3" a="1"/>
  <c r="AB329" i="3" s="1"/>
  <c r="AE329" i="3" a="1"/>
  <c r="AE329" i="3" s="1"/>
  <c r="T333" i="3" a="1"/>
  <c r="T333" i="3" s="1"/>
  <c r="P325" i="3" a="1"/>
  <c r="P325" i="3" s="1"/>
  <c r="AC349" i="3" a="1"/>
  <c r="AC349" i="3" s="1"/>
  <c r="AJ337" i="3" a="1"/>
  <c r="AJ337" i="3" s="1"/>
  <c r="D333" i="3" a="1"/>
  <c r="D333" i="3" s="1"/>
  <c r="D349" i="3" a="1"/>
  <c r="D349" i="3" s="1"/>
  <c r="K349" i="3" a="1"/>
  <c r="K349" i="3" s="1"/>
  <c r="D361" i="3" a="1"/>
  <c r="D361" i="3" s="1"/>
  <c r="Q345" i="3" a="1"/>
  <c r="Q345" i="3" s="1"/>
  <c r="AB361" i="3" a="1"/>
  <c r="AB361" i="3" s="1"/>
  <c r="AK353" i="3" a="1"/>
  <c r="AK353" i="3" s="1"/>
  <c r="AM373" i="3" a="1"/>
  <c r="AM373" i="3" s="1"/>
  <c r="Y353" i="3" a="1"/>
  <c r="Y353" i="3" s="1"/>
  <c r="U357" i="3" a="1"/>
  <c r="U357" i="3" s="1"/>
  <c r="V365" i="3" a="1"/>
  <c r="V365" i="3" s="1"/>
  <c r="AB369" i="3" a="1"/>
  <c r="AB369" i="3" s="1"/>
  <c r="N377" i="3" a="1"/>
  <c r="N377" i="3" s="1"/>
  <c r="AI369" i="3" a="1"/>
  <c r="AI369" i="3" s="1"/>
  <c r="S389" i="3" a="1"/>
  <c r="S389" i="3" s="1"/>
  <c r="H389" i="3" a="1"/>
  <c r="H389" i="3" s="1"/>
  <c r="AE401" i="3" a="1"/>
  <c r="AE401" i="3" s="1"/>
  <c r="L377" i="3" a="1"/>
  <c r="L377" i="3" s="1"/>
  <c r="Z393" i="3" a="1"/>
  <c r="Z393" i="3" s="1"/>
  <c r="V381" i="3" a="1"/>
  <c r="V381" i="3" s="1"/>
  <c r="M385" i="3" a="1"/>
  <c r="M385" i="3" s="1"/>
  <c r="M381" i="3" a="1"/>
  <c r="M381" i="3" s="1"/>
  <c r="N393" i="3" a="1"/>
  <c r="N393" i="3" s="1"/>
  <c r="AM389" i="3" a="1"/>
  <c r="AM389" i="3" s="1"/>
  <c r="AG393" i="3" a="1"/>
  <c r="AG393" i="3" s="1"/>
  <c r="I25" i="4" a="1"/>
  <c r="I25" i="4" s="1"/>
  <c r="I6" i="4" a="1"/>
  <c r="I6" i="4" s="1"/>
  <c r="I27" i="4" a="1"/>
  <c r="I27" i="4" s="1"/>
  <c r="AA421" i="3" a="1"/>
  <c r="AA421" i="3" s="1"/>
  <c r="N433" i="3" a="1"/>
  <c r="N433" i="3" s="1"/>
  <c r="AL301" i="3" a="1"/>
  <c r="AL301" i="3" s="1"/>
  <c r="AA309" i="3" a="1"/>
  <c r="AA309" i="3" s="1"/>
  <c r="AL317" i="3" a="1"/>
  <c r="AL317" i="3" s="1"/>
  <c r="J329" i="3" a="1"/>
  <c r="J329" i="3" s="1"/>
  <c r="V353" i="3" a="1"/>
  <c r="V353" i="3" s="1"/>
  <c r="AL377" i="3" a="1"/>
  <c r="AL377" i="3" s="1"/>
  <c r="AB425" i="3" a="1"/>
  <c r="AB425" i="3" s="1"/>
  <c r="G409" i="3" a="1"/>
  <c r="G409" i="3" s="1"/>
  <c r="AD421" i="3" a="1"/>
  <c r="AD421" i="3" s="1"/>
  <c r="G433" i="3" a="1"/>
  <c r="G433" i="3" s="1"/>
  <c r="L417" i="3" a="1"/>
  <c r="L417" i="3" s="1"/>
  <c r="P433" i="3" a="1"/>
  <c r="P433" i="3" s="1"/>
  <c r="AI429" i="3" a="1"/>
  <c r="AI429" i="3" s="1"/>
  <c r="G297" i="3" a="1"/>
  <c r="G297" i="3" s="1"/>
  <c r="K301" i="3" a="1"/>
  <c r="K301" i="3" s="1"/>
  <c r="T301" i="3" a="1"/>
  <c r="T301" i="3" s="1"/>
  <c r="S309" i="3" a="1"/>
  <c r="S309" i="3" s="1"/>
  <c r="R297" i="3" a="1"/>
  <c r="R297" i="3" s="1"/>
  <c r="V305" i="3" a="1"/>
  <c r="V305" i="3" s="1"/>
  <c r="W309" i="3" a="1"/>
  <c r="W309" i="3" s="1"/>
  <c r="I305" i="3" a="1"/>
  <c r="I305" i="3" s="1"/>
  <c r="W329" i="3" a="1"/>
  <c r="W329" i="3" s="1"/>
  <c r="AH313" i="3" a="1"/>
  <c r="AH313" i="3" s="1"/>
  <c r="S317" i="3" a="1"/>
  <c r="S317" i="3" s="1"/>
  <c r="AJ333" i="3" a="1"/>
  <c r="AJ333" i="3" s="1"/>
  <c r="F333" i="3" a="1"/>
  <c r="F333" i="3" s="1"/>
  <c r="L325" i="3" a="1"/>
  <c r="L325" i="3" s="1"/>
  <c r="AJ325" i="3" a="1"/>
  <c r="AJ325" i="3" s="1"/>
  <c r="U337" i="3" a="1"/>
  <c r="U337" i="3" s="1"/>
  <c r="X341" i="3" a="1"/>
  <c r="X341" i="3" s="1"/>
  <c r="AM337" i="3" a="1"/>
  <c r="AM337" i="3" s="1"/>
  <c r="L333" i="3" a="1"/>
  <c r="L333" i="3" s="1"/>
  <c r="X349" i="3" a="1"/>
  <c r="X349" i="3" s="1"/>
  <c r="J345" i="3" a="1"/>
  <c r="J345" i="3" s="1"/>
  <c r="AL345" i="3" a="1"/>
  <c r="AL345" i="3" s="1"/>
  <c r="AM361" i="3" a="1"/>
  <c r="AM361" i="3" s="1"/>
  <c r="N357" i="3" a="1"/>
  <c r="N357" i="3" s="1"/>
  <c r="Q357" i="3" a="1"/>
  <c r="Q357" i="3" s="1"/>
  <c r="M365" i="3" a="1"/>
  <c r="M365" i="3" s="1"/>
  <c r="AG357" i="3" a="1"/>
  <c r="AG357" i="3" s="1"/>
  <c r="AK369" i="3" a="1"/>
  <c r="AK369" i="3" s="1"/>
  <c r="AF373" i="3" a="1"/>
  <c r="AF373" i="3" s="1"/>
  <c r="Y377" i="3" a="1"/>
  <c r="Y377" i="3" s="1"/>
  <c r="L373" i="3" a="1"/>
  <c r="L373" i="3" s="1"/>
  <c r="AF393" i="3" a="1"/>
  <c r="AF393" i="3" s="1"/>
  <c r="Z377" i="3" a="1"/>
  <c r="Z377" i="3" s="1"/>
  <c r="I401" i="3" a="1"/>
  <c r="I401" i="3" s="1"/>
  <c r="E381" i="3" a="1"/>
  <c r="E381" i="3" s="1"/>
  <c r="AM393" i="3" a="1"/>
  <c r="AM393" i="3" s="1"/>
  <c r="AI381" i="3" a="1"/>
  <c r="AI381" i="3" s="1"/>
  <c r="AA385" i="3" a="1"/>
  <c r="AA385" i="3" s="1"/>
  <c r="D389" i="3" a="1"/>
  <c r="D389" i="3" s="1"/>
  <c r="E401" i="3" a="1"/>
  <c r="E401" i="3" s="1"/>
  <c r="W393" i="3" a="1"/>
  <c r="W393" i="3" s="1"/>
  <c r="AI393" i="3" a="1"/>
  <c r="AI393" i="3" s="1"/>
  <c r="N14" i="4" a="1"/>
  <c r="N14" i="4" s="1"/>
  <c r="N29" i="4" a="1"/>
  <c r="N29" i="4" s="1"/>
  <c r="I9" i="4" a="1"/>
  <c r="I9" i="4" s="1"/>
  <c r="AA397" i="3" a="1"/>
  <c r="AA397" i="3" s="1"/>
  <c r="T381" i="3" a="1"/>
  <c r="T381" i="3" s="1"/>
  <c r="O389" i="3" a="1"/>
  <c r="O389" i="3" s="1"/>
  <c r="R401" i="3" a="1"/>
  <c r="R401" i="3" s="1"/>
  <c r="N38" i="4" a="1"/>
  <c r="N38" i="4" s="1"/>
  <c r="N11" i="4" a="1"/>
  <c r="N11" i="4" s="1"/>
  <c r="N28" i="4" a="1"/>
  <c r="N28" i="4" s="1"/>
  <c r="P401" i="3" a="1"/>
  <c r="P401" i="3" s="1"/>
  <c r="L409" i="3" a="1"/>
  <c r="L409" i="3" s="1"/>
  <c r="X317" i="3" a="1"/>
  <c r="X317" i="3" s="1"/>
  <c r="T317" i="3" a="1"/>
  <c r="T317" i="3" s="1"/>
  <c r="M333" i="3" a="1"/>
  <c r="M333" i="3" s="1"/>
  <c r="T337" i="3" a="1"/>
  <c r="T337" i="3" s="1"/>
  <c r="Z345" i="3" a="1"/>
  <c r="Z345" i="3" s="1"/>
  <c r="O349" i="3" a="1"/>
  <c r="O349" i="3" s="1"/>
  <c r="J361" i="3" a="1"/>
  <c r="J361" i="3" s="1"/>
  <c r="O373" i="3" a="1"/>
  <c r="O373" i="3" s="1"/>
  <c r="F377" i="3" a="1"/>
  <c r="F377" i="3" s="1"/>
  <c r="L393" i="3" a="1"/>
  <c r="L393" i="3" s="1"/>
  <c r="D393" i="3" a="1"/>
  <c r="D393" i="3" s="1"/>
  <c r="U401" i="3" a="1"/>
  <c r="U401" i="3" s="1"/>
  <c r="I17" i="4" a="1"/>
  <c r="I17" i="4" s="1"/>
  <c r="J353" i="3" a="1"/>
  <c r="J353" i="3" s="1"/>
  <c r="R385" i="3" a="1"/>
  <c r="R385" i="3" s="1"/>
  <c r="AK377" i="3" a="1"/>
  <c r="AK377" i="3" s="1"/>
  <c r="AJ401" i="3" a="1"/>
  <c r="AJ401" i="3" s="1"/>
  <c r="M425" i="3" a="1"/>
  <c r="M425" i="3" s="1"/>
  <c r="AL413" i="3" a="1"/>
  <c r="AL413" i="3" s="1"/>
  <c r="P425" i="3" a="1"/>
  <c r="P425" i="3" s="1"/>
  <c r="AL429" i="3" a="1"/>
  <c r="AL429" i="3" s="1"/>
  <c r="AE421" i="3" a="1"/>
  <c r="AE421" i="3" s="1"/>
  <c r="Y433" i="3" a="1"/>
  <c r="Y433" i="3" s="1"/>
  <c r="AK425" i="3" a="1"/>
  <c r="AK425" i="3" s="1"/>
  <c r="AC301" i="3" a="1"/>
  <c r="AC301" i="3" s="1"/>
  <c r="X301" i="3" a="1"/>
  <c r="X301" i="3" s="1"/>
  <c r="AB305" i="3" a="1"/>
  <c r="AB305" i="3" s="1"/>
  <c r="H297" i="3" a="1"/>
  <c r="H297" i="3" s="1"/>
  <c r="E301" i="3" a="1"/>
  <c r="E301" i="3" s="1"/>
  <c r="AL305" i="3" a="1"/>
  <c r="AL305" i="3" s="1"/>
  <c r="G317" i="3" a="1"/>
  <c r="G317" i="3" s="1"/>
  <c r="J317" i="3" a="1"/>
  <c r="J317" i="3" s="1"/>
  <c r="AK317" i="3" a="1"/>
  <c r="AK317" i="3" s="1"/>
  <c r="Q317" i="3" a="1"/>
  <c r="Q317" i="3" s="1"/>
  <c r="Q325" i="3" a="1"/>
  <c r="Q325" i="3" s="1"/>
  <c r="AE321" i="3" a="1"/>
  <c r="AE321" i="3" s="1"/>
  <c r="AA333" i="3" a="1"/>
  <c r="AA333" i="3" s="1"/>
  <c r="I329" i="3" a="1"/>
  <c r="I329" i="3" s="1"/>
  <c r="H337" i="3" a="1"/>
  <c r="H337" i="3" s="1"/>
  <c r="U341" i="3" a="1"/>
  <c r="U341" i="3" s="1"/>
  <c r="X337" i="3" a="1"/>
  <c r="X337" i="3" s="1"/>
  <c r="AA341" i="3" a="1"/>
  <c r="AA341" i="3" s="1"/>
  <c r="G341" i="3" a="1"/>
  <c r="G341" i="3" s="1"/>
  <c r="AJ353" i="3" a="1"/>
  <c r="AJ353" i="3" s="1"/>
  <c r="AE345" i="3" a="1"/>
  <c r="AE345" i="3" s="1"/>
  <c r="AH349" i="3" a="1"/>
  <c r="AH349" i="3" s="1"/>
  <c r="H365" i="3" a="1"/>
  <c r="H365" i="3" s="1"/>
  <c r="H361" i="3" a="1"/>
  <c r="H361" i="3" s="1"/>
  <c r="AF361" i="3" a="1"/>
  <c r="AF361" i="3" s="1"/>
  <c r="AH365" i="3" a="1"/>
  <c r="AH365" i="3" s="1"/>
  <c r="AJ361" i="3" a="1"/>
  <c r="AJ361" i="3" s="1"/>
  <c r="AC373" i="3" a="1"/>
  <c r="AC373" i="3" s="1"/>
  <c r="H373" i="3" a="1"/>
  <c r="H373" i="3" s="1"/>
  <c r="T369" i="3" a="1"/>
  <c r="T369" i="3" s="1"/>
  <c r="Y373" i="3" a="1"/>
  <c r="Y373" i="3" s="1"/>
  <c r="AC381" i="3" a="1"/>
  <c r="AC381" i="3" s="1"/>
  <c r="AG401" i="3" a="1"/>
  <c r="AG401" i="3" s="1"/>
  <c r="AE381" i="3" a="1"/>
  <c r="AE381" i="3" s="1"/>
  <c r="AA389" i="3" a="1"/>
  <c r="AA389" i="3" s="1"/>
  <c r="E397" i="3" a="1"/>
  <c r="E397" i="3" s="1"/>
  <c r="AL397" i="3" a="1"/>
  <c r="AL397" i="3" s="1"/>
  <c r="N30" i="4" a="1"/>
  <c r="N30" i="4" s="1"/>
  <c r="J401" i="3" a="1"/>
  <c r="J401" i="3" s="1"/>
  <c r="I36" i="4" a="1"/>
  <c r="I36" i="4" s="1"/>
  <c r="AB409" i="3" a="1"/>
  <c r="AB409" i="3" s="1"/>
  <c r="F409" i="3" a="1"/>
  <c r="F409" i="3" s="1"/>
  <c r="I35" i="4" a="1"/>
  <c r="I35" i="4" s="1"/>
  <c r="K297" i="3" a="1"/>
  <c r="K297" i="3" s="1"/>
  <c r="G325" i="3" a="1"/>
  <c r="G325" i="3" s="1"/>
  <c r="H325" i="3" a="1"/>
  <c r="H325" i="3" s="1"/>
  <c r="AK337" i="3" a="1"/>
  <c r="AK337" i="3" s="1"/>
  <c r="M349" i="3" a="1"/>
  <c r="M349" i="3" s="1"/>
  <c r="AI353" i="3" a="1"/>
  <c r="AI353" i="3" s="1"/>
  <c r="V357" i="3" a="1"/>
  <c r="V357" i="3" s="1"/>
  <c r="U369" i="3" a="1"/>
  <c r="U369" i="3" s="1"/>
  <c r="S385" i="3" a="1"/>
  <c r="S385" i="3" s="1"/>
  <c r="S373" i="3" a="1"/>
  <c r="S373" i="3" s="1"/>
  <c r="F397" i="3" a="1"/>
  <c r="F397" i="3" s="1"/>
  <c r="I30" i="4" a="1"/>
  <c r="I30" i="4" s="1"/>
  <c r="E389" i="3" a="1"/>
  <c r="E389" i="3" s="1"/>
  <c r="AD401" i="3" a="1"/>
  <c r="AD401" i="3" s="1"/>
  <c r="I18" i="4" a="1"/>
  <c r="I18" i="4" s="1"/>
  <c r="AH413" i="3" a="1"/>
  <c r="AH413" i="3" s="1"/>
  <c r="AF429" i="3" a="1"/>
  <c r="AF429" i="3" s="1"/>
  <c r="AE429" i="3" a="1"/>
  <c r="AE429" i="3" s="1"/>
  <c r="AH433" i="3" a="1"/>
  <c r="AH433" i="3" s="1"/>
  <c r="F425" i="3" a="1"/>
  <c r="F425" i="3" s="1"/>
  <c r="AL417" i="3" a="1"/>
  <c r="AL417" i="3" s="1"/>
  <c r="W409" i="3" a="1"/>
  <c r="W409" i="3" s="1"/>
  <c r="AJ309" i="3" a="1"/>
  <c r="AJ309" i="3" s="1"/>
  <c r="AJ301" i="3" a="1"/>
  <c r="AJ301" i="3" s="1"/>
  <c r="Q309" i="3" a="1"/>
  <c r="Q309" i="3" s="1"/>
  <c r="AF305" i="3" a="1"/>
  <c r="AF305" i="3" s="1"/>
  <c r="AJ305" i="3" a="1"/>
  <c r="AJ305" i="3" s="1"/>
  <c r="AM301" i="3" a="1"/>
  <c r="AM301" i="3" s="1"/>
  <c r="J325" i="3" a="1"/>
  <c r="J325" i="3" s="1"/>
  <c r="U321" i="3" a="1"/>
  <c r="U321" i="3" s="1"/>
  <c r="H313" i="3" a="1"/>
  <c r="H313" i="3" s="1"/>
  <c r="E321" i="3" a="1"/>
  <c r="E321" i="3" s="1"/>
  <c r="N329" i="3" a="1"/>
  <c r="N329" i="3" s="1"/>
  <c r="Z333" i="3" a="1"/>
  <c r="Z333" i="3" s="1"/>
  <c r="F329" i="3" a="1"/>
  <c r="F329" i="3" s="1"/>
  <c r="AJ329" i="3" a="1"/>
  <c r="AJ329" i="3" s="1"/>
  <c r="S345" i="3" a="1"/>
  <c r="S345" i="3" s="1"/>
  <c r="AF341" i="3" a="1"/>
  <c r="AF341" i="3" s="1"/>
  <c r="M341" i="3" a="1"/>
  <c r="M341" i="3" s="1"/>
  <c r="AL341" i="3" a="1"/>
  <c r="AL341" i="3" s="1"/>
  <c r="G337" i="3" a="1"/>
  <c r="G337" i="3" s="1"/>
  <c r="AA353" i="3" a="1"/>
  <c r="AA353" i="3" s="1"/>
  <c r="N349" i="3" a="1"/>
  <c r="N349" i="3" s="1"/>
  <c r="AH353" i="3" a="1"/>
  <c r="AH353" i="3" s="1"/>
  <c r="AC365" i="3" a="1"/>
  <c r="AC365" i="3" s="1"/>
  <c r="AD361" i="3" a="1"/>
  <c r="AD361" i="3" s="1"/>
  <c r="X353" i="3" a="1"/>
  <c r="X353" i="3" s="1"/>
  <c r="W361" i="3" a="1"/>
  <c r="W361" i="3" s="1"/>
  <c r="N361" i="3" a="1"/>
  <c r="N361" i="3" s="1"/>
  <c r="AD377" i="3" a="1"/>
  <c r="AD377" i="3" s="1"/>
  <c r="AH385" i="3" a="1"/>
  <c r="AH385" i="3" s="1"/>
  <c r="AG369" i="3" a="1"/>
  <c r="AG369" i="3" s="1"/>
  <c r="G361" i="3" a="1"/>
  <c r="G361" i="3" s="1"/>
  <c r="AM397" i="3" a="1"/>
  <c r="AM397" i="3" s="1"/>
  <c r="AH389" i="3" a="1"/>
  <c r="AH389" i="3" s="1"/>
  <c r="T385" i="3" a="1"/>
  <c r="T385" i="3" s="1"/>
  <c r="AI385" i="3" a="1"/>
  <c r="AI385" i="3" s="1"/>
  <c r="W385" i="3" a="1"/>
  <c r="W385" i="3" s="1"/>
  <c r="I381" i="3" a="1"/>
  <c r="I381" i="3" s="1"/>
  <c r="Q393" i="3" a="1"/>
  <c r="Q393" i="3" s="1"/>
  <c r="AI397" i="3" a="1"/>
  <c r="AI397" i="3" s="1"/>
  <c r="N6" i="4" a="1"/>
  <c r="N6" i="4" s="1"/>
  <c r="N5" i="4" a="1"/>
  <c r="N5" i="4" s="1"/>
  <c r="I10" i="4" a="1"/>
  <c r="I10" i="4" s="1"/>
  <c r="K421" i="3" a="1"/>
  <c r="K421" i="3" s="1"/>
  <c r="F301" i="3" a="1"/>
  <c r="F301" i="3" s="1"/>
  <c r="T305" i="3" a="1"/>
  <c r="T305" i="3" s="1"/>
  <c r="K317" i="3" a="1"/>
  <c r="K317" i="3" s="1"/>
  <c r="L341" i="3" a="1"/>
  <c r="L341" i="3" s="1"/>
  <c r="K341" i="3" a="1"/>
  <c r="K341" i="3" s="1"/>
  <c r="AM345" i="3" a="1"/>
  <c r="AM345" i="3" s="1"/>
  <c r="AF353" i="3" a="1"/>
  <c r="AF353" i="3" s="1"/>
  <c r="K353" i="3" a="1"/>
  <c r="K353" i="3" s="1"/>
  <c r="V401" i="3" a="1"/>
  <c r="V401" i="3" s="1"/>
  <c r="X377" i="3" a="1"/>
  <c r="X377" i="3" s="1"/>
  <c r="AH377" i="3" a="1"/>
  <c r="AH377" i="3" s="1"/>
  <c r="D397" i="3" a="1"/>
  <c r="D397" i="3" s="1"/>
  <c r="I20" i="4" a="1"/>
  <c r="I20" i="4" s="1"/>
  <c r="AI373" i="3" a="1"/>
  <c r="AI373" i="3" s="1"/>
  <c r="AJ385" i="3" a="1"/>
  <c r="AJ385" i="3" s="1"/>
  <c r="AB401" i="3" a="1"/>
  <c r="AB401" i="3" s="1"/>
  <c r="K417" i="3" a="1"/>
  <c r="K417" i="3" s="1"/>
  <c r="V425" i="3" a="1"/>
  <c r="V425" i="3" s="1"/>
  <c r="V429" i="3" a="1"/>
  <c r="V429" i="3" s="1"/>
  <c r="AG429" i="3" a="1"/>
  <c r="AG429" i="3" s="1"/>
  <c r="AE433" i="3" a="1"/>
  <c r="AE433" i="3" s="1"/>
  <c r="G413" i="3" a="1"/>
  <c r="G413" i="3" s="1"/>
  <c r="O433" i="3" a="1"/>
  <c r="O433" i="3" s="1"/>
  <c r="AH297" i="3" a="1"/>
  <c r="AH297" i="3" s="1"/>
  <c r="F309" i="3" a="1"/>
  <c r="F309" i="3" s="1"/>
  <c r="AD313" i="3" a="1"/>
  <c r="AD313" i="3" s="1"/>
  <c r="D309" i="3" a="1"/>
  <c r="D309" i="3" s="1"/>
  <c r="AH301" i="3" a="1"/>
  <c r="AH301" i="3" s="1"/>
  <c r="F305" i="3" a="1"/>
  <c r="F305" i="3" s="1"/>
  <c r="AE325" i="3" a="1"/>
  <c r="AE325" i="3" s="1"/>
  <c r="AF321" i="3" a="1"/>
  <c r="AF321" i="3" s="1"/>
  <c r="I313" i="3" a="1"/>
  <c r="I313" i="3" s="1"/>
  <c r="AL321" i="3" a="1"/>
  <c r="AL321" i="3" s="1"/>
  <c r="AM329" i="3" a="1"/>
  <c r="AM329" i="3" s="1"/>
  <c r="AI337" i="3" a="1"/>
  <c r="AI337" i="3" s="1"/>
  <c r="S329" i="3" a="1"/>
  <c r="S329" i="3" s="1"/>
  <c r="N321" i="3" a="1"/>
  <c r="N321" i="3" s="1"/>
  <c r="R333" i="3" a="1"/>
  <c r="R333" i="3" s="1"/>
  <c r="W333" i="3" a="1"/>
  <c r="W333" i="3" s="1"/>
  <c r="M337" i="3" a="1"/>
  <c r="M337" i="3" s="1"/>
  <c r="O345" i="3" a="1"/>
  <c r="O345" i="3" s="1"/>
  <c r="R345" i="3" a="1"/>
  <c r="R345" i="3" s="1"/>
  <c r="Y357" i="3" a="1"/>
  <c r="Y357" i="3" s="1"/>
  <c r="G353" i="3" a="1"/>
  <c r="G353" i="3" s="1"/>
  <c r="N353" i="3" a="1"/>
  <c r="N353" i="3" s="1"/>
  <c r="E373" i="3" a="1"/>
  <c r="E373" i="3" s="1"/>
  <c r="D353" i="3" a="1"/>
  <c r="D353" i="3" s="1"/>
  <c r="AD357" i="3" a="1"/>
  <c r="AD357" i="3" s="1"/>
  <c r="AF349" i="3" a="1"/>
  <c r="AF349" i="3" s="1"/>
  <c r="E365" i="3" a="1"/>
  <c r="E365" i="3" s="1"/>
  <c r="AC361" i="3" a="1"/>
  <c r="AC361" i="3" s="1"/>
  <c r="F389" i="3" a="1"/>
  <c r="F389" i="3" s="1"/>
  <c r="W373" i="3" a="1"/>
  <c r="W373" i="3" s="1"/>
  <c r="W369" i="3" a="1"/>
  <c r="W369" i="3" s="1"/>
  <c r="E377" i="3" a="1"/>
  <c r="E377" i="3" s="1"/>
  <c r="P381" i="3" a="1"/>
  <c r="P381" i="3" s="1"/>
  <c r="AG385" i="3" a="1"/>
  <c r="AG385" i="3" s="1"/>
  <c r="AK393" i="3" a="1"/>
  <c r="AK393" i="3" s="1"/>
  <c r="O377" i="3" a="1"/>
  <c r="O377" i="3" s="1"/>
  <c r="N389" i="3" a="1"/>
  <c r="N389" i="3" s="1"/>
  <c r="T377" i="3" a="1"/>
  <c r="T377" i="3" s="1"/>
  <c r="I393" i="3" a="1"/>
  <c r="I393" i="3" s="1"/>
  <c r="AI401" i="3" a="1"/>
  <c r="AI401" i="3" s="1"/>
  <c r="Z401" i="3" a="1"/>
  <c r="Z401" i="3" s="1"/>
  <c r="I8" i="4" a="1"/>
  <c r="I8" i="4" s="1"/>
  <c r="N27" i="4" a="1"/>
  <c r="N27" i="4" s="1"/>
  <c r="N32" i="4" a="1"/>
  <c r="N32" i="4" s="1"/>
  <c r="N37" i="4" a="1"/>
  <c r="N37" i="4" s="1"/>
  <c r="N421" i="3" a="1"/>
  <c r="N421" i="3" s="1"/>
  <c r="AI425" i="3" a="1"/>
  <c r="AI425" i="3" s="1"/>
  <c r="Q417" i="3" a="1"/>
  <c r="Q417" i="3" s="1"/>
  <c r="AM433" i="3" a="1"/>
  <c r="AM433" i="3" s="1"/>
  <c r="O409" i="3" a="1"/>
  <c r="O409" i="3" s="1"/>
  <c r="AI413" i="3" a="1"/>
  <c r="AI413" i="3" s="1"/>
  <c r="N21" i="4" a="1"/>
  <c r="N21" i="4" s="1"/>
  <c r="S301" i="3" a="1"/>
  <c r="S301" i="3" s="1"/>
  <c r="D297" i="3" a="1"/>
  <c r="D297" i="3" s="1"/>
  <c r="W301" i="3" a="1"/>
  <c r="W301" i="3" s="1"/>
  <c r="L297" i="3" a="1"/>
  <c r="L297" i="3" s="1"/>
  <c r="AK305" i="3" a="1"/>
  <c r="AK305" i="3" s="1"/>
  <c r="M301" i="3" a="1"/>
  <c r="M301" i="3" s="1"/>
  <c r="AF317" i="3" a="1"/>
  <c r="AF317" i="3" s="1"/>
  <c r="AI317" i="3" a="1"/>
  <c r="AI317" i="3" s="1"/>
  <c r="K313" i="3" a="1"/>
  <c r="K313" i="3" s="1"/>
  <c r="O313" i="3" a="1"/>
  <c r="O313" i="3" s="1"/>
  <c r="AK325" i="3" a="1"/>
  <c r="AK325" i="3" s="1"/>
  <c r="AG341" i="3" a="1"/>
  <c r="AG341" i="3" s="1"/>
  <c r="F321" i="3" a="1"/>
  <c r="F321" i="3" s="1"/>
  <c r="AK329" i="3" a="1"/>
  <c r="AK329" i="3" s="1"/>
  <c r="AF337" i="3" a="1"/>
  <c r="AF337" i="3" s="1"/>
  <c r="V341" i="3" a="1"/>
  <c r="V341" i="3" s="1"/>
  <c r="AJ341" i="3" a="1"/>
  <c r="AJ341" i="3" s="1"/>
  <c r="AB337" i="3" a="1"/>
  <c r="AB337" i="3" s="1"/>
  <c r="P349" i="3" a="1"/>
  <c r="P349" i="3" s="1"/>
  <c r="Q353" i="3" a="1"/>
  <c r="Q353" i="3" s="1"/>
  <c r="AD349" i="3" a="1"/>
  <c r="AD349" i="3" s="1"/>
  <c r="AA365" i="3" a="1"/>
  <c r="AA365" i="3" s="1"/>
  <c r="M357" i="3" a="1"/>
  <c r="M357" i="3" s="1"/>
  <c r="AB357" i="3" a="1"/>
  <c r="AB357" i="3" s="1"/>
  <c r="Q349" i="3" a="1"/>
  <c r="Q349" i="3" s="1"/>
  <c r="T357" i="3" a="1"/>
  <c r="T357" i="3" s="1"/>
  <c r="O361" i="3" a="1"/>
  <c r="O361" i="3" s="1"/>
  <c r="H377" i="3" a="1"/>
  <c r="H377" i="3" s="1"/>
  <c r="AJ365" i="3" a="1"/>
  <c r="AJ365" i="3" s="1"/>
  <c r="AH369" i="3" a="1"/>
  <c r="AH369" i="3" s="1"/>
  <c r="AM377" i="3" a="1"/>
  <c r="AM377" i="3" s="1"/>
  <c r="H393" i="3" a="1"/>
  <c r="H393" i="3" s="1"/>
  <c r="I389" i="3" a="1"/>
  <c r="I389" i="3" s="1"/>
  <c r="AJ393" i="3" a="1"/>
  <c r="AJ393" i="3" s="1"/>
  <c r="M377" i="3" a="1"/>
  <c r="M377" i="3" s="1"/>
  <c r="H381" i="3" a="1"/>
  <c r="H381" i="3" s="1"/>
  <c r="P393" i="3" a="1"/>
  <c r="P393" i="3" s="1"/>
  <c r="N385" i="3" a="1"/>
  <c r="N385" i="3" s="1"/>
  <c r="I397" i="3" a="1"/>
  <c r="I397" i="3" s="1"/>
  <c r="Y389" i="3" a="1"/>
  <c r="Y389" i="3" s="1"/>
  <c r="AB393" i="3" a="1"/>
  <c r="AB393" i="3" s="1"/>
  <c r="N19" i="4" a="1"/>
  <c r="N19" i="4" s="1"/>
  <c r="N17" i="4" a="1"/>
  <c r="N17" i="4" s="1"/>
  <c r="I12" i="4" a="1"/>
  <c r="I12" i="4" s="1"/>
  <c r="AA401" i="3" a="1"/>
  <c r="AA401" i="3" s="1"/>
  <c r="I15" i="4" a="1"/>
  <c r="I15" i="4" s="1"/>
  <c r="Z421" i="3" a="1"/>
  <c r="Z421" i="3" s="1"/>
  <c r="AM421" i="3" a="1"/>
  <c r="AM421" i="3" s="1"/>
  <c r="I23" i="4" a="1"/>
  <c r="I23" i="4" s="1"/>
  <c r="AH321" i="3" a="1"/>
  <c r="AH321" i="3" s="1"/>
  <c r="I301" i="3" a="1"/>
  <c r="I301" i="3" s="1"/>
  <c r="AG317" i="3" a="1"/>
  <c r="AG317" i="3" s="1"/>
  <c r="M313" i="3" a="1"/>
  <c r="M313" i="3" s="1"/>
  <c r="U325" i="3" a="1"/>
  <c r="U325" i="3" s="1"/>
  <c r="AI329" i="3" a="1"/>
  <c r="AI329" i="3" s="1"/>
  <c r="H349" i="3" a="1"/>
  <c r="H349" i="3" s="1"/>
  <c r="AK341" i="3" a="1"/>
  <c r="AK341" i="3" s="1"/>
  <c r="X345" i="3" a="1"/>
  <c r="X345" i="3" s="1"/>
  <c r="AJ345" i="3" a="1"/>
  <c r="AJ345" i="3" s="1"/>
  <c r="Q361" i="3" a="1"/>
  <c r="Q361" i="3" s="1"/>
  <c r="AD369" i="3" a="1"/>
  <c r="AD369" i="3" s="1"/>
  <c r="N373" i="3" a="1"/>
  <c r="N373" i="3" s="1"/>
  <c r="E361" i="3" a="1"/>
  <c r="E361" i="3" s="1"/>
  <c r="U397" i="3" a="1"/>
  <c r="U397" i="3" s="1"/>
  <c r="V377" i="3" a="1"/>
  <c r="V377" i="3" s="1"/>
  <c r="N3" i="4" a="1"/>
  <c r="N3" i="4" s="1"/>
  <c r="Y9" i="3" a="1"/>
  <c r="Y9" i="3" s="1"/>
  <c r="AD9" i="3" a="1"/>
  <c r="AD9" i="3" s="1"/>
  <c r="I9" i="3" a="1"/>
  <c r="I9" i="3" s="1"/>
  <c r="AL9" i="3" a="1"/>
  <c r="AL9" i="3" s="1"/>
  <c r="V9" i="3" a="1"/>
  <c r="V9" i="3" s="1"/>
  <c r="Q9" i="3" a="1"/>
  <c r="Q9" i="3" s="1"/>
  <c r="M9" i="3" a="1"/>
  <c r="M9" i="3" s="1"/>
  <c r="D3" i="4" a="1"/>
  <c r="D3" i="4" s="1"/>
  <c r="N9" i="3" a="1"/>
  <c r="N9" i="3" s="1"/>
  <c r="O13" i="3" a="1"/>
  <c r="O13" i="3" s="1"/>
  <c r="U9" i="3" a="1"/>
  <c r="U9" i="3" s="1"/>
  <c r="W13" i="3" a="1"/>
  <c r="W13" i="3" s="1"/>
  <c r="O9" i="3" a="1"/>
  <c r="O9" i="3" s="1"/>
  <c r="AA9" i="3" a="1"/>
  <c r="AA9" i="3" s="1"/>
  <c r="T13" i="3" a="1"/>
  <c r="T13" i="3" s="1"/>
  <c r="AB13" i="3" a="1"/>
  <c r="AB13" i="3" s="1"/>
  <c r="N13" i="3" a="1"/>
  <c r="N13" i="3" s="1"/>
  <c r="AC9" i="3" a="1"/>
  <c r="AC9" i="3" s="1"/>
  <c r="AA13" i="3" a="1"/>
  <c r="AA13" i="3" s="1"/>
  <c r="I13" i="3" a="1"/>
  <c r="I13" i="3" s="1"/>
  <c r="Q13" i="3" a="1"/>
  <c r="Q13" i="3" s="1"/>
  <c r="Z9" i="3" a="1"/>
  <c r="Z9" i="3" s="1"/>
  <c r="Z13" i="3" a="1"/>
  <c r="Z13" i="3" s="1"/>
  <c r="J9" i="3" a="1"/>
  <c r="J9" i="3" s="1"/>
  <c r="AG13" i="3" a="1"/>
  <c r="AG13" i="3" s="1"/>
  <c r="S9" i="3" a="1"/>
  <c r="S9" i="3" s="1"/>
  <c r="AM9" i="3" a="1"/>
  <c r="AM9" i="3" s="1"/>
  <c r="AM13" i="3" a="1"/>
  <c r="AM13" i="3" s="1"/>
  <c r="U13" i="3" a="1"/>
  <c r="U13" i="3" s="1"/>
  <c r="AL13" i="3" a="1"/>
  <c r="AL13" i="3" s="1"/>
  <c r="R13" i="3" a="1"/>
  <c r="R13" i="3" s="1"/>
  <c r="AJ13" i="3" a="1"/>
  <c r="AJ13" i="3" s="1"/>
  <c r="J13" i="3" a="1"/>
  <c r="J13" i="3" s="1"/>
  <c r="V13" i="3" a="1"/>
  <c r="V13" i="3" s="1"/>
  <c r="S13" i="3" a="1"/>
  <c r="S13" i="3" s="1"/>
  <c r="M13" i="3" a="1"/>
  <c r="M13" i="3" s="1"/>
  <c r="AK13" i="3" a="1"/>
  <c r="AK13" i="3" s="1"/>
  <c r="AC13" i="3" a="1"/>
  <c r="AC13" i="3" s="1"/>
  <c r="AI13" i="3" a="1"/>
  <c r="AI13" i="3" s="1"/>
  <c r="X13" i="3" a="1"/>
  <c r="X13" i="3" s="1"/>
  <c r="AE13" i="3" a="1"/>
  <c r="AE13" i="3" s="1"/>
  <c r="K13" i="3" a="1"/>
  <c r="K13" i="3" s="1"/>
  <c r="AH13" i="3" a="1"/>
  <c r="AH13" i="3" s="1"/>
  <c r="Y13" i="3" a="1"/>
  <c r="Y13" i="3" s="1"/>
  <c r="T9" i="3" a="1"/>
  <c r="T9" i="3" s="1"/>
  <c r="E21" i="3" a="1"/>
  <c r="E21" i="3" s="1"/>
  <c r="AJ17" i="3" a="1"/>
  <c r="AJ17" i="3" s="1"/>
  <c r="E25" i="3" a="1"/>
  <c r="E25" i="3" s="1"/>
  <c r="S17" i="3" a="1"/>
  <c r="S17" i="3" s="1"/>
  <c r="K29" i="3" a="1"/>
  <c r="K29" i="3" s="1"/>
  <c r="O29" i="3" a="1"/>
  <c r="O29" i="3" s="1"/>
  <c r="H25" i="3" a="1"/>
  <c r="H25" i="3" s="1"/>
  <c r="AL49" i="3" a="1"/>
  <c r="AL49" i="3" s="1"/>
  <c r="H33" i="3" a="1"/>
  <c r="H33" i="3" s="1"/>
  <c r="M41" i="3" a="1"/>
  <c r="M41" i="3" s="1"/>
  <c r="Y41" i="3" a="1"/>
  <c r="Y41" i="3" s="1"/>
  <c r="V53" i="3" a="1"/>
  <c r="V53" i="3" s="1"/>
  <c r="F45" i="3" a="1"/>
  <c r="F45" i="3" s="1"/>
  <c r="Y33" i="3" a="1"/>
  <c r="Y33" i="3" s="1"/>
  <c r="AG61" i="3" a="1"/>
  <c r="AG61" i="3" s="1"/>
  <c r="V69" i="3" a="1"/>
  <c r="V69" i="3" s="1"/>
  <c r="I57" i="3" a="1"/>
  <c r="I57" i="3" s="1"/>
  <c r="AK45" i="3" a="1"/>
  <c r="AK45" i="3" s="1"/>
  <c r="AK57" i="3" a="1"/>
  <c r="AK57" i="3" s="1"/>
  <c r="AC65" i="3" a="1"/>
  <c r="AC65" i="3" s="1"/>
  <c r="AB69" i="3" a="1"/>
  <c r="AB69" i="3" s="1"/>
  <c r="AB77" i="3" a="1"/>
  <c r="AB77" i="3" s="1"/>
  <c r="AA69" i="3" a="1"/>
  <c r="AA69" i="3" s="1"/>
  <c r="Q85" i="3" a="1"/>
  <c r="Q85" i="3" s="1"/>
  <c r="Q89" i="3" a="1"/>
  <c r="Q89" i="3" s="1"/>
  <c r="M77" i="3" a="1"/>
  <c r="M77" i="3" s="1"/>
  <c r="F73" i="3" a="1"/>
  <c r="F73" i="3" s="1"/>
  <c r="AI85" i="3" a="1"/>
  <c r="AI85" i="3" s="1"/>
  <c r="Z85" i="3" a="1"/>
  <c r="Z85" i="3" s="1"/>
  <c r="AK93" i="3" a="1"/>
  <c r="AK93" i="3" s="1"/>
  <c r="X89" i="3" a="1"/>
  <c r="X89" i="3" s="1"/>
  <c r="Q93" i="3" a="1"/>
  <c r="Q93" i="3" s="1"/>
  <c r="AE89" i="3" a="1"/>
  <c r="AE89" i="3" s="1"/>
  <c r="W101" i="3" a="1"/>
  <c r="W101" i="3" s="1"/>
  <c r="Q109" i="3" a="1"/>
  <c r="Q109" i="3" s="1"/>
  <c r="P105" i="3" a="1"/>
  <c r="P105" i="3" s="1"/>
  <c r="X97" i="3" a="1"/>
  <c r="X97" i="3" s="1"/>
  <c r="AH101" i="3" a="1"/>
  <c r="AH101" i="3" s="1"/>
  <c r="AL125" i="3" a="1"/>
  <c r="AL125" i="3" s="1"/>
  <c r="W105" i="3" a="1"/>
  <c r="W105" i="3" s="1"/>
  <c r="H125" i="3" a="1"/>
  <c r="H125" i="3" s="1"/>
  <c r="O121" i="3" a="1"/>
  <c r="O121" i="3" s="1"/>
  <c r="K125" i="3" a="1"/>
  <c r="K125" i="3" s="1"/>
  <c r="AI125" i="3" a="1"/>
  <c r="AI125" i="3" s="1"/>
  <c r="AM129" i="3" a="1"/>
  <c r="AM129" i="3" s="1"/>
  <c r="AH133" i="3" a="1"/>
  <c r="AH133" i="3" s="1"/>
  <c r="S149" i="3" a="1"/>
  <c r="S149" i="3" s="1"/>
  <c r="X137" i="3" a="1"/>
  <c r="X137" i="3" s="1"/>
  <c r="M145" i="3" a="1"/>
  <c r="M145" i="3" s="1"/>
  <c r="E141" i="3" a="1"/>
  <c r="E141" i="3" s="1"/>
  <c r="O145" i="3" a="1"/>
  <c r="O145" i="3" s="1"/>
  <c r="R141" i="3" a="1"/>
  <c r="R141" i="3" s="1"/>
  <c r="AG157" i="3" a="1"/>
  <c r="AG157" i="3" s="1"/>
  <c r="AI149" i="3" a="1"/>
  <c r="AI149" i="3" s="1"/>
  <c r="AG153" i="3" a="1"/>
  <c r="AG153" i="3" s="1"/>
  <c r="AJ157" i="3" a="1"/>
  <c r="AJ157" i="3" s="1"/>
  <c r="AD149" i="3" a="1"/>
  <c r="AD149" i="3" s="1"/>
  <c r="D161" i="3" a="1"/>
  <c r="D161" i="3" s="1"/>
  <c r="AH157" i="3" a="1"/>
  <c r="AH157" i="3" s="1"/>
  <c r="J157" i="3" a="1"/>
  <c r="J157" i="3" s="1"/>
  <c r="J165" i="3" a="1"/>
  <c r="J165" i="3" s="1"/>
  <c r="AG173" i="3" a="1"/>
  <c r="AG173" i="3" s="1"/>
  <c r="I173" i="3" a="1"/>
  <c r="I173" i="3" s="1"/>
  <c r="Z165" i="3" a="1"/>
  <c r="Z165" i="3" s="1"/>
  <c r="AB181" i="3" a="1"/>
  <c r="AB181" i="3" s="1"/>
  <c r="U185" i="3" a="1"/>
  <c r="U185" i="3" s="1"/>
  <c r="R181" i="3" a="1"/>
  <c r="R181" i="3" s="1"/>
  <c r="AK189" i="3" a="1"/>
  <c r="AK189" i="3" s="1"/>
  <c r="Y185" i="3" a="1"/>
  <c r="Y185" i="3" s="1"/>
  <c r="R189" i="3" a="1"/>
  <c r="R189" i="3" s="1"/>
  <c r="P197" i="3" a="1"/>
  <c r="P197" i="3" s="1"/>
  <c r="W181" i="3" a="1"/>
  <c r="W181" i="3" s="1"/>
  <c r="X181" i="3" a="1"/>
  <c r="X181" i="3" s="1"/>
  <c r="N225" i="3" a="1"/>
  <c r="N225" i="3" s="1"/>
  <c r="L181" i="3" a="1"/>
  <c r="L181" i="3" s="1"/>
  <c r="AI201" i="3" a="1"/>
  <c r="AI201" i="3" s="1"/>
  <c r="F205" i="3" a="1"/>
  <c r="F205" i="3" s="1"/>
  <c r="R197" i="3" a="1"/>
  <c r="R197" i="3" s="1"/>
  <c r="AA201" i="3" a="1"/>
  <c r="AA201" i="3" s="1"/>
  <c r="AI189" i="3" a="1"/>
  <c r="AI189" i="3" s="1"/>
  <c r="X217" i="3" a="1"/>
  <c r="X217" i="3" s="1"/>
  <c r="AC225" i="3" a="1"/>
  <c r="AC225" i="3" s="1"/>
  <c r="P13" i="3" a="1"/>
  <c r="P13" i="3" s="1"/>
  <c r="AD13" i="3" a="1"/>
  <c r="AD13" i="3" s="1"/>
  <c r="L13" i="3" a="1"/>
  <c r="L13" i="3" s="1"/>
  <c r="R9" i="3" a="1"/>
  <c r="R9" i="3" s="1"/>
  <c r="AA21" i="3" a="1"/>
  <c r="AA21" i="3" s="1"/>
  <c r="AD21" i="3" a="1"/>
  <c r="AD21" i="3" s="1"/>
  <c r="J29" i="3" a="1"/>
  <c r="J29" i="3" s="1"/>
  <c r="AI29" i="3" a="1"/>
  <c r="AI29" i="3" s="1"/>
  <c r="Z29" i="3" a="1"/>
  <c r="Z29" i="3" s="1"/>
  <c r="P33" i="3" a="1"/>
  <c r="P33" i="3" s="1"/>
  <c r="V29" i="3" a="1"/>
  <c r="V29" i="3" s="1"/>
  <c r="P53" i="3" a="1"/>
  <c r="P53" i="3" s="1"/>
  <c r="AG41" i="3" a="1"/>
  <c r="AG41" i="3" s="1"/>
  <c r="N41" i="3" a="1"/>
  <c r="N41" i="3" s="1"/>
  <c r="AK41" i="3" a="1"/>
  <c r="AK41" i="3" s="1"/>
  <c r="R37" i="3" a="1"/>
  <c r="R37" i="3" s="1"/>
  <c r="AD41" i="3" a="1"/>
  <c r="AD41" i="3" s="1"/>
  <c r="Q57" i="3" a="1"/>
  <c r="Q57" i="3" s="1"/>
  <c r="X61" i="3" a="1"/>
  <c r="X61" i="3" s="1"/>
  <c r="K73" i="3" a="1"/>
  <c r="K73" i="3" s="1"/>
  <c r="N69" i="3" a="1"/>
  <c r="N69" i="3" s="1"/>
  <c r="L57" i="3" a="1"/>
  <c r="L57" i="3" s="1"/>
  <c r="F49" i="3" a="1"/>
  <c r="F49" i="3" s="1"/>
  <c r="D77" i="3" a="1"/>
  <c r="D77" i="3" s="1"/>
  <c r="J73" i="3" a="1"/>
  <c r="J73" i="3" s="1"/>
  <c r="Q73" i="3" a="1"/>
  <c r="Q73" i="3" s="1"/>
  <c r="W77" i="3" a="1"/>
  <c r="W77" i="3" s="1"/>
  <c r="T73" i="3" a="1"/>
  <c r="T73" i="3" s="1"/>
  <c r="O77" i="3" a="1"/>
  <c r="O77" i="3" s="1"/>
  <c r="Y81" i="3" a="1"/>
  <c r="Y81" i="3" s="1"/>
  <c r="Y85" i="3" a="1"/>
  <c r="Y85" i="3" s="1"/>
  <c r="M73" i="3" a="1"/>
  <c r="M73" i="3" s="1"/>
  <c r="AL93" i="3" a="1"/>
  <c r="AL93" i="3" s="1"/>
  <c r="AF85" i="3" a="1"/>
  <c r="AF85" i="3" s="1"/>
  <c r="AF97" i="3" a="1"/>
  <c r="AF97" i="3" s="1"/>
  <c r="P89" i="3" a="1"/>
  <c r="P89" i="3" s="1"/>
  <c r="AA109" i="3" a="1"/>
  <c r="AA109" i="3" s="1"/>
  <c r="F93" i="3" a="1"/>
  <c r="F93" i="3" s="1"/>
  <c r="AC105" i="3" a="1"/>
  <c r="AC105" i="3" s="1"/>
  <c r="AI109" i="3" a="1"/>
  <c r="AI109" i="3" s="1"/>
  <c r="AA125" i="3" a="1"/>
  <c r="AA125" i="3" s="1"/>
  <c r="AF109" i="3" a="1"/>
  <c r="AF109" i="3" s="1"/>
  <c r="AD125" i="3" a="1"/>
  <c r="AD125" i="3" s="1"/>
  <c r="J113" i="3" a="1"/>
  <c r="J113" i="3" s="1"/>
  <c r="M113" i="3" a="1"/>
  <c r="M113" i="3" s="1"/>
  <c r="M117" i="3" a="1"/>
  <c r="M117" i="3" s="1"/>
  <c r="AF117" i="3" a="1"/>
  <c r="AF117" i="3" s="1"/>
  <c r="K137" i="3" a="1"/>
  <c r="K137" i="3" s="1"/>
  <c r="L137" i="3" a="1"/>
  <c r="L137" i="3" s="1"/>
  <c r="AL133" i="3" a="1"/>
  <c r="AL133" i="3" s="1"/>
  <c r="O141" i="3" a="1"/>
  <c r="O141" i="3" s="1"/>
  <c r="P141" i="3" a="1"/>
  <c r="P141" i="3" s="1"/>
  <c r="AD129" i="3" a="1"/>
  <c r="AD129" i="3" s="1"/>
  <c r="AD137" i="3" a="1"/>
  <c r="AD137" i="3" s="1"/>
  <c r="T141" i="3" a="1"/>
  <c r="T141" i="3" s="1"/>
  <c r="AF153" i="3" a="1"/>
  <c r="AF153" i="3" s="1"/>
  <c r="J153" i="3" a="1"/>
  <c r="J153" i="3" s="1"/>
  <c r="W141" i="3" a="1"/>
  <c r="W141" i="3" s="1"/>
  <c r="AH169" i="3" a="1"/>
  <c r="AH169" i="3" s="1"/>
  <c r="N153" i="3" a="1"/>
  <c r="N153" i="3" s="1"/>
  <c r="L161" i="3" a="1"/>
  <c r="L161" i="3" s="1"/>
  <c r="D169" i="3" a="1"/>
  <c r="D169" i="3" s="1"/>
  <c r="M181" i="3" a="1"/>
  <c r="M181" i="3" s="1"/>
  <c r="AJ173" i="3" a="1"/>
  <c r="AJ173" i="3" s="1"/>
  <c r="S161" i="3" a="1"/>
  <c r="S161" i="3" s="1"/>
  <c r="T185" i="3" a="1"/>
  <c r="T185" i="3" s="1"/>
  <c r="AK173" i="3" a="1"/>
  <c r="AK173" i="3" s="1"/>
  <c r="Q177" i="3" a="1"/>
  <c r="Q177" i="3" s="1"/>
  <c r="R177" i="3" a="1"/>
  <c r="R177" i="3" s="1"/>
  <c r="AM189" i="3" a="1"/>
  <c r="AM189" i="3" s="1"/>
  <c r="S173" i="3" a="1"/>
  <c r="S173" i="3" s="1"/>
  <c r="M225" i="3" a="1"/>
  <c r="M225" i="3" s="1"/>
  <c r="T213" i="3" a="1"/>
  <c r="T213" i="3" s="1"/>
  <c r="AG209" i="3" a="1"/>
  <c r="AG209" i="3" s="1"/>
  <c r="K189" i="3" a="1"/>
  <c r="K189" i="3" s="1"/>
  <c r="AB205" i="3" a="1"/>
  <c r="AB205" i="3" s="1"/>
  <c r="S225" i="3" a="1"/>
  <c r="S225" i="3" s="1"/>
  <c r="AE229" i="3" a="1"/>
  <c r="AE229" i="3" s="1"/>
  <c r="Z197" i="3" a="1"/>
  <c r="Z197" i="3" s="1"/>
  <c r="I217" i="3" a="1"/>
  <c r="I217" i="3" s="1"/>
  <c r="S213" i="3" a="1"/>
  <c r="S213" i="3" s="1"/>
  <c r="AK205" i="3" a="1"/>
  <c r="AK205" i="3" s="1"/>
  <c r="D221" i="3" a="1"/>
  <c r="D221" i="3" s="1"/>
  <c r="M229" i="3" a="1"/>
  <c r="M229" i="3" s="1"/>
  <c r="Z233" i="3" a="1"/>
  <c r="Z233" i="3" s="1"/>
  <c r="AK237" i="3" a="1"/>
  <c r="AK237" i="3" s="1"/>
  <c r="U225" i="3" a="1"/>
  <c r="U225" i="3" s="1"/>
  <c r="AH9" i="3" a="1"/>
  <c r="AH9" i="3" s="1"/>
  <c r="AB21" i="3" a="1"/>
  <c r="AB21" i="3" s="1"/>
  <c r="X25" i="3" a="1"/>
  <c r="X25" i="3" s="1"/>
  <c r="U29" i="3" a="1"/>
  <c r="U29" i="3" s="1"/>
  <c r="AE17" i="3" a="1"/>
  <c r="AE17" i="3" s="1"/>
  <c r="AH33" i="3" a="1"/>
  <c r="AH33" i="3" s="1"/>
  <c r="AA33" i="3" a="1"/>
  <c r="AA33" i="3" s="1"/>
  <c r="AJ29" i="3" a="1"/>
  <c r="AJ29" i="3" s="1"/>
  <c r="AK53" i="3" a="1"/>
  <c r="AK53" i="3" s="1"/>
  <c r="U45" i="3" a="1"/>
  <c r="U45" i="3" s="1"/>
  <c r="AI41" i="3" a="1"/>
  <c r="AI41" i="3" s="1"/>
  <c r="N45" i="3" a="1"/>
  <c r="N45" i="3" s="1"/>
  <c r="AC37" i="3" a="1"/>
  <c r="AC37" i="3" s="1"/>
  <c r="G45" i="3" a="1"/>
  <c r="G45" i="3" s="1"/>
  <c r="AC57" i="3" a="1"/>
  <c r="AC57" i="3" s="1"/>
  <c r="AI61" i="3" a="1"/>
  <c r="AI61" i="3" s="1"/>
  <c r="V73" i="3" a="1"/>
  <c r="V73" i="3" s="1"/>
  <c r="AI69" i="3" a="1"/>
  <c r="AI69" i="3" s="1"/>
  <c r="D49" i="3" a="1"/>
  <c r="D49" i="3" s="1"/>
  <c r="AA49" i="3" a="1"/>
  <c r="AA49" i="3" s="1"/>
  <c r="Y77" i="3" a="1"/>
  <c r="Y77" i="3" s="1"/>
  <c r="AM73" i="3" a="1"/>
  <c r="AM73" i="3" s="1"/>
  <c r="AD73" i="3" a="1"/>
  <c r="AD73" i="3" s="1"/>
  <c r="S81" i="3" a="1"/>
  <c r="S81" i="3" s="1"/>
  <c r="L77" i="3" a="1"/>
  <c r="L77" i="3" s="1"/>
  <c r="W81" i="3" a="1"/>
  <c r="W81" i="3" s="1"/>
  <c r="M85" i="3" a="1"/>
  <c r="M85" i="3" s="1"/>
  <c r="W89" i="3" a="1"/>
  <c r="W89" i="3" s="1"/>
  <c r="AJ73" i="3" a="1"/>
  <c r="AJ73" i="3" s="1"/>
  <c r="X85" i="3" a="1"/>
  <c r="X85" i="3" s="1"/>
  <c r="Z89" i="3" a="1"/>
  <c r="Z89" i="3" s="1"/>
  <c r="I101" i="3" a="1"/>
  <c r="I101" i="3" s="1"/>
  <c r="AJ89" i="3" a="1"/>
  <c r="AJ89" i="3" s="1"/>
  <c r="AL109" i="3" a="1"/>
  <c r="AL109" i="3" s="1"/>
  <c r="AC109" i="3" a="1"/>
  <c r="AC109" i="3" s="1"/>
  <c r="W97" i="3" a="1"/>
  <c r="W97" i="3" s="1"/>
  <c r="P101" i="3" a="1"/>
  <c r="P101" i="3" s="1"/>
  <c r="J105" i="3" a="1"/>
  <c r="J105" i="3" s="1"/>
  <c r="I117" i="3" a="1"/>
  <c r="I117" i="3" s="1"/>
  <c r="J129" i="3" a="1"/>
  <c r="J129" i="3" s="1"/>
  <c r="AK117" i="3" a="1"/>
  <c r="AK117" i="3" s="1"/>
  <c r="J117" i="3" a="1"/>
  <c r="J117" i="3" s="1"/>
  <c r="AB117" i="3" a="1"/>
  <c r="AB117" i="3" s="1"/>
  <c r="L121" i="3" a="1"/>
  <c r="L121" i="3" s="1"/>
  <c r="V137" i="3" a="1"/>
  <c r="V137" i="3" s="1"/>
  <c r="W137" i="3" a="1"/>
  <c r="W137" i="3" s="1"/>
  <c r="AJ137" i="3" a="1"/>
  <c r="AJ137" i="3" s="1"/>
  <c r="AJ141" i="3" a="1"/>
  <c r="AJ141" i="3" s="1"/>
  <c r="AK141" i="3" a="1"/>
  <c r="AK141" i="3" s="1"/>
  <c r="AD133" i="3" a="1"/>
  <c r="AD133" i="3" s="1"/>
  <c r="H141" i="3" a="1"/>
  <c r="H141" i="3" s="1"/>
  <c r="R145" i="3" a="1"/>
  <c r="R145" i="3" s="1"/>
  <c r="H157" i="3" a="1"/>
  <c r="H157" i="3" s="1"/>
  <c r="W153" i="3" a="1"/>
  <c r="W153" i="3" s="1"/>
  <c r="AC145" i="3" a="1"/>
  <c r="AC145" i="3" s="1"/>
  <c r="AH149" i="3" a="1"/>
  <c r="AH149" i="3" s="1"/>
  <c r="H161" i="3" a="1"/>
  <c r="H161" i="3" s="1"/>
  <c r="AB161" i="3" a="1"/>
  <c r="AB161" i="3" s="1"/>
  <c r="O169" i="3" a="1"/>
  <c r="O169" i="3" s="1"/>
  <c r="AH181" i="3" a="1"/>
  <c r="AH181" i="3" s="1"/>
  <c r="J177" i="3" a="1"/>
  <c r="J177" i="3" s="1"/>
  <c r="U169" i="3" a="1"/>
  <c r="U169" i="3" s="1"/>
  <c r="AE185" i="3" a="1"/>
  <c r="AE185" i="3" s="1"/>
  <c r="O177" i="3" a="1"/>
  <c r="O177" i="3" s="1"/>
  <c r="AM177" i="3" a="1"/>
  <c r="AM177" i="3" s="1"/>
  <c r="F181" i="3" a="1"/>
  <c r="F181" i="3" s="1"/>
  <c r="P193" i="3" a="1"/>
  <c r="P193" i="3" s="1"/>
  <c r="Z177" i="3" a="1"/>
  <c r="Z177" i="3" s="1"/>
  <c r="W225" i="3" a="1"/>
  <c r="W225" i="3" s="1"/>
  <c r="AE213" i="3" a="1"/>
  <c r="AE213" i="3" s="1"/>
  <c r="J213" i="3" a="1"/>
  <c r="J213" i="3" s="1"/>
  <c r="AF189" i="3" a="1"/>
  <c r="AF189" i="3" s="1"/>
  <c r="X209" i="3" a="1"/>
  <c r="X209" i="3" s="1"/>
  <c r="AF193" i="3" a="1"/>
  <c r="AF193" i="3" s="1"/>
  <c r="AI193" i="3" a="1"/>
  <c r="AI193" i="3" s="1"/>
  <c r="AI205" i="3" a="1"/>
  <c r="AI205" i="3" s="1"/>
  <c r="Y205" i="3" a="1"/>
  <c r="Y205" i="3" s="1"/>
  <c r="W221" i="3" a="1"/>
  <c r="W221" i="3" s="1"/>
  <c r="L217" i="3" a="1"/>
  <c r="L217" i="3" s="1"/>
  <c r="G225" i="3" a="1"/>
  <c r="G225" i="3" s="1"/>
  <c r="T221" i="3" a="1"/>
  <c r="T221" i="3" s="1"/>
  <c r="AI233" i="3" a="1"/>
  <c r="AI233" i="3" s="1"/>
  <c r="AK233" i="3" a="1"/>
  <c r="AK233" i="3" s="1"/>
  <c r="AJ221" i="3" a="1"/>
  <c r="AJ221" i="3" s="1"/>
  <c r="H229" i="3" a="1"/>
  <c r="H229" i="3" s="1"/>
  <c r="AF9" i="3" a="1"/>
  <c r="AF9" i="3" s="1"/>
  <c r="AM21" i="3" a="1"/>
  <c r="AM21" i="3" s="1"/>
  <c r="W33" i="3" a="1"/>
  <c r="W33" i="3" s="1"/>
  <c r="Q17" i="3" a="1"/>
  <c r="Q17" i="3" s="1"/>
  <c r="AL21" i="3" a="1"/>
  <c r="AL21" i="3" s="1"/>
  <c r="AA29" i="3" a="1"/>
  <c r="AA29" i="3" s="1"/>
  <c r="AL33" i="3" a="1"/>
  <c r="AL33" i="3" s="1"/>
  <c r="AC25" i="3" a="1"/>
  <c r="AC25" i="3" s="1"/>
  <c r="D57" i="3" a="1"/>
  <c r="D57" i="3" s="1"/>
  <c r="X37" i="3" a="1"/>
  <c r="X37" i="3" s="1"/>
  <c r="W45" i="3" a="1"/>
  <c r="W45" i="3" s="1"/>
  <c r="AI45" i="3" a="1"/>
  <c r="AI45" i="3" s="1"/>
  <c r="R41" i="3" a="1"/>
  <c r="R41" i="3" s="1"/>
  <c r="R45" i="3" a="1"/>
  <c r="R45" i="3" s="1"/>
  <c r="O45" i="3" a="1"/>
  <c r="O45" i="3" s="1"/>
  <c r="M65" i="3" a="1"/>
  <c r="M65" i="3" s="1"/>
  <c r="T53" i="3" a="1"/>
  <c r="T53" i="3" s="1"/>
  <c r="U53" i="3" a="1"/>
  <c r="U53" i="3" s="1"/>
  <c r="Y49" i="3" a="1"/>
  <c r="Y49" i="3" s="1"/>
  <c r="L53" i="3" a="1"/>
  <c r="L53" i="3" s="1"/>
  <c r="J49" i="3" a="1"/>
  <c r="J49" i="3" s="1"/>
  <c r="F77" i="3" a="1"/>
  <c r="F77" i="3" s="1"/>
  <c r="N61" i="3" a="1"/>
  <c r="N61" i="3" s="1"/>
  <c r="AD81" i="3" a="1"/>
  <c r="AD81" i="3" s="1"/>
  <c r="K81" i="3" a="1"/>
  <c r="K81" i="3" s="1"/>
  <c r="AG69" i="3" a="1"/>
  <c r="AG69" i="3" s="1"/>
  <c r="AH85" i="3" a="1"/>
  <c r="AH85" i="3" s="1"/>
  <c r="AH89" i="3" a="1"/>
  <c r="AH89" i="3" s="1"/>
  <c r="I77" i="3" a="1"/>
  <c r="I77" i="3" s="1"/>
  <c r="D89" i="3" a="1"/>
  <c r="D89" i="3" s="1"/>
  <c r="D93" i="3" a="1"/>
  <c r="D93" i="3" s="1"/>
  <c r="T101" i="3" a="1"/>
  <c r="T101" i="3" s="1"/>
  <c r="W93" i="3" a="1"/>
  <c r="W93" i="3" s="1"/>
  <c r="O113" i="3" a="1"/>
  <c r="O113" i="3" s="1"/>
  <c r="F113" i="3" a="1"/>
  <c r="F113" i="3" s="1"/>
  <c r="K101" i="3" a="1"/>
  <c r="K101" i="3" s="1"/>
  <c r="K105" i="3" a="1"/>
  <c r="K105" i="3" s="1"/>
  <c r="AE113" i="3" a="1"/>
  <c r="AE113" i="3" s="1"/>
  <c r="T117" i="3" a="1"/>
  <c r="T117" i="3" s="1"/>
  <c r="AE129" i="3" a="1"/>
  <c r="AE129" i="3" s="1"/>
  <c r="AA121" i="3" a="1"/>
  <c r="AA121" i="3" s="1"/>
  <c r="Y117" i="3" a="1"/>
  <c r="Y117" i="3" s="1"/>
  <c r="X113" i="3" a="1"/>
  <c r="X113" i="3" s="1"/>
  <c r="W121" i="3" a="1"/>
  <c r="W121" i="3" s="1"/>
  <c r="AG137" i="3" a="1"/>
  <c r="AG137" i="3" s="1"/>
  <c r="AH137" i="3" a="1"/>
  <c r="AH137" i="3" s="1"/>
  <c r="N141" i="3" a="1"/>
  <c r="N141" i="3" s="1"/>
  <c r="X145" i="3" a="1"/>
  <c r="X145" i="3" s="1"/>
  <c r="G129" i="3" a="1"/>
  <c r="G129" i="3" s="1"/>
  <c r="R137" i="3" a="1"/>
  <c r="R137" i="3" s="1"/>
  <c r="S141" i="3" a="1"/>
  <c r="S141" i="3" s="1"/>
  <c r="AM145" i="3" a="1"/>
  <c r="AM145" i="3" s="1"/>
  <c r="T157" i="3" a="1"/>
  <c r="T157" i="3" s="1"/>
  <c r="AK153" i="3" a="1"/>
  <c r="AK153" i="3" s="1"/>
  <c r="J149" i="3" a="1"/>
  <c r="J149" i="3" s="1"/>
  <c r="AB157" i="3" a="1"/>
  <c r="AB157" i="3" s="1"/>
  <c r="X161" i="3" a="1"/>
  <c r="X161" i="3" s="1"/>
  <c r="AF165" i="3" a="1"/>
  <c r="AF165" i="3" s="1"/>
  <c r="Z169" i="3" a="1"/>
  <c r="Z169" i="3" s="1"/>
  <c r="V185" i="3" a="1"/>
  <c r="V185" i="3" s="1"/>
  <c r="O181" i="3" a="1"/>
  <c r="O181" i="3" s="1"/>
  <c r="AL169" i="3" a="1"/>
  <c r="AL169" i="3" s="1"/>
  <c r="W189" i="3" a="1"/>
  <c r="W189" i="3" s="1"/>
  <c r="AD181" i="3" a="1"/>
  <c r="AD181" i="3" s="1"/>
  <c r="E181" i="3" a="1"/>
  <c r="E181" i="3" s="1"/>
  <c r="AG181" i="3" a="1"/>
  <c r="AG181" i="3" s="1"/>
  <c r="R173" i="3" a="1"/>
  <c r="R173" i="3" s="1"/>
  <c r="AL181" i="3" a="1"/>
  <c r="AL181" i="3" s="1"/>
  <c r="AG225" i="3" a="1"/>
  <c r="AG225" i="3" s="1"/>
  <c r="H217" i="3" a="1"/>
  <c r="H217" i="3" s="1"/>
  <c r="U213" i="3" a="1"/>
  <c r="U213" i="3" s="1"/>
  <c r="I193" i="3" a="1"/>
  <c r="I193" i="3" s="1"/>
  <c r="AJ209" i="3" a="1"/>
  <c r="AJ209" i="3" s="1"/>
  <c r="AM197" i="3" a="1"/>
  <c r="AM197" i="3" s="1"/>
  <c r="F201" i="3" a="1"/>
  <c r="F201" i="3" s="1"/>
  <c r="AD209" i="3" a="1"/>
  <c r="AD209" i="3" s="1"/>
  <c r="T209" i="3" a="1"/>
  <c r="T209" i="3" s="1"/>
  <c r="AA225" i="3" a="1"/>
  <c r="AA225" i="3" s="1"/>
  <c r="K205" i="3" a="1"/>
  <c r="K205" i="3" s="1"/>
  <c r="P217" i="3" a="1"/>
  <c r="P217" i="3" s="1"/>
  <c r="AH221" i="3" a="1"/>
  <c r="AH221" i="3" s="1"/>
  <c r="L237" i="3" a="1"/>
  <c r="L237" i="3" s="1"/>
  <c r="N237" i="3" a="1"/>
  <c r="N237" i="3" s="1"/>
  <c r="O225" i="3" a="1"/>
  <c r="O225" i="3" s="1"/>
  <c r="X229" i="3" a="1"/>
  <c r="X229" i="3" s="1"/>
  <c r="AF13" i="3" a="1"/>
  <c r="AF13" i="3" s="1"/>
  <c r="K25" i="3" a="1"/>
  <c r="K25" i="3" s="1"/>
  <c r="AG33" i="3" a="1"/>
  <c r="AG33" i="3" s="1"/>
  <c r="AB17" i="3" a="1"/>
  <c r="AB17" i="3" s="1"/>
  <c r="L21" i="3" a="1"/>
  <c r="L21" i="3" s="1"/>
  <c r="T17" i="3" a="1"/>
  <c r="T17" i="3" s="1"/>
  <c r="R29" i="3" a="1"/>
  <c r="R29" i="3" s="1"/>
  <c r="G29" i="3" a="1"/>
  <c r="G29" i="3" s="1"/>
  <c r="Y57" i="3" a="1"/>
  <c r="Y57" i="3" s="1"/>
  <c r="AI37" i="3" a="1"/>
  <c r="AI37" i="3" s="1"/>
  <c r="W29" i="3" a="1"/>
  <c r="W29" i="3" s="1"/>
  <c r="F41" i="3" a="1"/>
  <c r="F41" i="3" s="1"/>
  <c r="AM41" i="3" a="1"/>
  <c r="AM41" i="3" s="1"/>
  <c r="AM45" i="3" a="1"/>
  <c r="AM45" i="3" s="1"/>
  <c r="AC53" i="3" a="1"/>
  <c r="AC53" i="3" s="1"/>
  <c r="AH65" i="3" a="1"/>
  <c r="AH65" i="3" s="1"/>
  <c r="D61" i="3" a="1"/>
  <c r="D61" i="3" s="1"/>
  <c r="AI53" i="3" a="1"/>
  <c r="AI53" i="3" s="1"/>
  <c r="J53" i="3" a="1"/>
  <c r="J53" i="3" s="1"/>
  <c r="Y53" i="3" a="1"/>
  <c r="Y53" i="3" s="1"/>
  <c r="AE49" i="3" a="1"/>
  <c r="AE49" i="3" s="1"/>
  <c r="AC77" i="3" a="1"/>
  <c r="AC77" i="3" s="1"/>
  <c r="P65" i="3" a="1"/>
  <c r="P65" i="3" s="1"/>
  <c r="G85" i="3" a="1"/>
  <c r="G85" i="3" s="1"/>
  <c r="AF81" i="3" a="1"/>
  <c r="AF81" i="3" s="1"/>
  <c r="AD77" i="3" a="1"/>
  <c r="AD77" i="3" s="1"/>
  <c r="K89" i="3" a="1"/>
  <c r="K89" i="3" s="1"/>
  <c r="K93" i="3" a="1"/>
  <c r="K93" i="3" s="1"/>
  <c r="V77" i="3" a="1"/>
  <c r="V77" i="3" s="1"/>
  <c r="V89" i="3" a="1"/>
  <c r="V89" i="3" s="1"/>
  <c r="I97" i="3" a="1"/>
  <c r="I97" i="3" s="1"/>
  <c r="E105" i="3" a="1"/>
  <c r="E105" i="3" s="1"/>
  <c r="AI93" i="3" a="1"/>
  <c r="AI93" i="3" s="1"/>
  <c r="AJ113" i="3" a="1"/>
  <c r="AJ113" i="3" s="1"/>
  <c r="AA113" i="3" a="1"/>
  <c r="AA113" i="3" s="1"/>
  <c r="H105" i="3" a="1"/>
  <c r="H105" i="3" s="1"/>
  <c r="V105" i="3" a="1"/>
  <c r="V105" i="3" s="1"/>
  <c r="L105" i="3" a="1"/>
  <c r="L105" i="3" s="1"/>
  <c r="AE117" i="3" a="1"/>
  <c r="AE117" i="3" s="1"/>
  <c r="AM113" i="3" a="1"/>
  <c r="AM113" i="3" s="1"/>
  <c r="AL121" i="3" a="1"/>
  <c r="AL121" i="3" s="1"/>
  <c r="AM117" i="3" a="1"/>
  <c r="AM117" i="3" s="1"/>
  <c r="J121" i="3" a="1"/>
  <c r="J121" i="3" s="1"/>
  <c r="AH121" i="3" a="1"/>
  <c r="AH121" i="3" s="1"/>
  <c r="V141" i="3" a="1"/>
  <c r="V141" i="3" s="1"/>
  <c r="T129" i="3" a="1"/>
  <c r="T129" i="3" s="1"/>
  <c r="AI141" i="3" a="1"/>
  <c r="AI141" i="3" s="1"/>
  <c r="V149" i="3" a="1"/>
  <c r="V149" i="3" s="1"/>
  <c r="AB129" i="3" a="1"/>
  <c r="AB129" i="3" s="1"/>
  <c r="AB141" i="3" a="1"/>
  <c r="AB141" i="3" s="1"/>
  <c r="AL145" i="3" a="1"/>
  <c r="AL145" i="3" s="1"/>
  <c r="AA149" i="3" a="1"/>
  <c r="AA149" i="3" s="1"/>
  <c r="AF157" i="3" a="1"/>
  <c r="AF157" i="3" s="1"/>
  <c r="K157" i="3" a="1"/>
  <c r="K157" i="3" s="1"/>
  <c r="O153" i="3" a="1"/>
  <c r="O153" i="3" s="1"/>
  <c r="E161" i="3" a="1"/>
  <c r="E161" i="3" s="1"/>
  <c r="I169" i="3" a="1"/>
  <c r="I169" i="3" s="1"/>
  <c r="H165" i="3" a="1"/>
  <c r="H165" i="3" s="1"/>
  <c r="AK169" i="3" a="1"/>
  <c r="AK169" i="3" s="1"/>
  <c r="E165" i="3" a="1"/>
  <c r="E165" i="3" s="1"/>
  <c r="AJ181" i="3" a="1"/>
  <c r="AJ181" i="3" s="1"/>
  <c r="D177" i="3" a="1"/>
  <c r="D177" i="3" s="1"/>
  <c r="AF173" i="3" a="1"/>
  <c r="AF173" i="3" s="1"/>
  <c r="F173" i="3" a="1"/>
  <c r="F173" i="3" s="1"/>
  <c r="AF181" i="3" a="1"/>
  <c r="AF181" i="3" s="1"/>
  <c r="F189" i="3" a="1"/>
  <c r="F189" i="3" s="1"/>
  <c r="X177" i="3" a="1"/>
  <c r="X177" i="3" s="1"/>
  <c r="E185" i="3" a="1"/>
  <c r="E185" i="3" s="1"/>
  <c r="E229" i="3" a="1"/>
  <c r="E229" i="3" s="1"/>
  <c r="AC217" i="3" a="1"/>
  <c r="AC217" i="3" s="1"/>
  <c r="S217" i="3" a="1"/>
  <c r="S217" i="3" s="1"/>
  <c r="AD193" i="3" a="1"/>
  <c r="AD193" i="3" s="1"/>
  <c r="AI221" i="3" a="1"/>
  <c r="AI221" i="3" s="1"/>
  <c r="AM209" i="3" a="1"/>
  <c r="AM209" i="3" s="1"/>
  <c r="V201" i="3" a="1"/>
  <c r="V201" i="3" s="1"/>
  <c r="N213" i="3" a="1"/>
  <c r="N213" i="3" s="1"/>
  <c r="D213" i="3" a="1"/>
  <c r="D213" i="3" s="1"/>
  <c r="N229" i="3" a="1"/>
  <c r="N229" i="3" s="1"/>
  <c r="M217" i="3" a="1"/>
  <c r="M217" i="3" s="1"/>
  <c r="AH217" i="3" a="1"/>
  <c r="AH217" i="3" s="1"/>
  <c r="AK225" i="3" a="1"/>
  <c r="AK225" i="3" s="1"/>
  <c r="H225" i="3" a="1"/>
  <c r="H225" i="3" s="1"/>
  <c r="AI237" i="3" a="1"/>
  <c r="AI237" i="3" s="1"/>
  <c r="AM225" i="3" a="1"/>
  <c r="AM225" i="3" s="1"/>
  <c r="H237" i="3" a="1"/>
  <c r="H237" i="3" s="1"/>
  <c r="AG9" i="3" a="1"/>
  <c r="AG9" i="3" s="1"/>
  <c r="V25" i="3" a="1"/>
  <c r="V25" i="3" s="1"/>
  <c r="N17" i="3" a="1"/>
  <c r="N17" i="3" s="1"/>
  <c r="AM17" i="3" a="1"/>
  <c r="AM17" i="3" s="1"/>
  <c r="AE25" i="3" a="1"/>
  <c r="AE25" i="3" s="1"/>
  <c r="T21" i="3" a="1"/>
  <c r="T21" i="3" s="1"/>
  <c r="AE21" i="3" a="1"/>
  <c r="AE21" i="3" s="1"/>
  <c r="AK29" i="3" a="1"/>
  <c r="AK29" i="3" s="1"/>
  <c r="W61" i="3" a="1"/>
  <c r="W61" i="3" s="1"/>
  <c r="W41" i="3" a="1"/>
  <c r="W41" i="3" s="1"/>
  <c r="O33" i="3" a="1"/>
  <c r="O33" i="3" s="1"/>
  <c r="AA41" i="3" a="1"/>
  <c r="AA41" i="3" s="1"/>
  <c r="U33" i="3" a="1"/>
  <c r="U33" i="3" s="1"/>
  <c r="P49" i="3" a="1"/>
  <c r="P49" i="3" s="1"/>
  <c r="V61" i="3" a="1"/>
  <c r="V61" i="3" s="1"/>
  <c r="AE53" i="3" a="1"/>
  <c r="AE53" i="3" s="1"/>
  <c r="O65" i="3" a="1"/>
  <c r="O65" i="3" s="1"/>
  <c r="W57" i="3" a="1"/>
  <c r="W57" i="3" s="1"/>
  <c r="G61" i="3" a="1"/>
  <c r="G61" i="3" s="1"/>
  <c r="S61" i="3" a="1"/>
  <c r="S61" i="3" s="1"/>
  <c r="M53" i="3" a="1"/>
  <c r="M53" i="3" s="1"/>
  <c r="AF65" i="3" a="1"/>
  <c r="AF65" i="3" s="1"/>
  <c r="K69" i="3" a="1"/>
  <c r="K69" i="3" s="1"/>
  <c r="AB85" i="3" a="1"/>
  <c r="AB85" i="3" s="1"/>
  <c r="I85" i="3" a="1"/>
  <c r="I85" i="3" s="1"/>
  <c r="M81" i="3" a="1"/>
  <c r="M81" i="3" s="1"/>
  <c r="AF89" i="3" a="1"/>
  <c r="AF89" i="3" s="1"/>
  <c r="AF93" i="3" a="1"/>
  <c r="AF93" i="3" s="1"/>
  <c r="O85" i="3" a="1"/>
  <c r="O85" i="3" s="1"/>
  <c r="N93" i="3" a="1"/>
  <c r="N93" i="3" s="1"/>
  <c r="AD97" i="3" a="1"/>
  <c r="AD97" i="3" s="1"/>
  <c r="O105" i="3" a="1"/>
  <c r="O105" i="3" s="1"/>
  <c r="N97" i="3" a="1"/>
  <c r="N97" i="3" s="1"/>
  <c r="AL101" i="3" a="1"/>
  <c r="AL101" i="3" s="1"/>
  <c r="AA105" i="3" a="1"/>
  <c r="AA105" i="3" s="1"/>
  <c r="S105" i="3" a="1"/>
  <c r="S105" i="3" s="1"/>
  <c r="AG105" i="3" a="1"/>
  <c r="AG105" i="3" s="1"/>
  <c r="K109" i="3" a="1"/>
  <c r="K109" i="3" s="1"/>
  <c r="AD101" i="3" a="1"/>
  <c r="AD101" i="3" s="1"/>
  <c r="N121" i="3" a="1"/>
  <c r="N121" i="3" s="1"/>
  <c r="J125" i="3" a="1"/>
  <c r="J125" i="3" s="1"/>
  <c r="N129" i="3" a="1"/>
  <c r="N129" i="3" s="1"/>
  <c r="U121" i="3" a="1"/>
  <c r="U121" i="3" s="1"/>
  <c r="Q125" i="3" a="1"/>
  <c r="Q125" i="3" s="1"/>
  <c r="T145" i="3" a="1"/>
  <c r="T145" i="3" s="1"/>
  <c r="M133" i="3" a="1"/>
  <c r="M133" i="3" s="1"/>
  <c r="W145" i="3" a="1"/>
  <c r="W145" i="3" s="1"/>
  <c r="AG149" i="3" a="1"/>
  <c r="AG149" i="3" s="1"/>
  <c r="AC133" i="3" a="1"/>
  <c r="AC133" i="3" s="1"/>
  <c r="AM141" i="3" a="1"/>
  <c r="AM141" i="3" s="1"/>
  <c r="E149" i="3" a="1"/>
  <c r="E149" i="3" s="1"/>
  <c r="AG133" i="3" a="1"/>
  <c r="AG133" i="3" s="1"/>
  <c r="T153" i="3" a="1"/>
  <c r="T153" i="3" s="1"/>
  <c r="Y153" i="3" a="1"/>
  <c r="Y153" i="3" s="1"/>
  <c r="AE141" i="3" a="1"/>
  <c r="AE141" i="3" s="1"/>
  <c r="V161" i="3" a="1"/>
  <c r="V161" i="3" s="1"/>
  <c r="T169" i="3" a="1"/>
  <c r="T169" i="3" s="1"/>
  <c r="T165" i="3" a="1"/>
  <c r="T165" i="3" s="1"/>
  <c r="E173" i="3" a="1"/>
  <c r="E173" i="3" s="1"/>
  <c r="J169" i="3" a="1"/>
  <c r="J169" i="3" s="1"/>
  <c r="M165" i="3" a="1"/>
  <c r="M165" i="3" s="1"/>
  <c r="AA177" i="3" a="1"/>
  <c r="AA177" i="3" s="1"/>
  <c r="AI177" i="3" a="1"/>
  <c r="AI177" i="3" s="1"/>
  <c r="P177" i="3" a="1"/>
  <c r="P177" i="3" s="1"/>
  <c r="E189" i="3" a="1"/>
  <c r="E189" i="3" s="1"/>
  <c r="AA189" i="3" a="1"/>
  <c r="AA189" i="3" s="1"/>
  <c r="H181" i="3" a="1"/>
  <c r="H181" i="3" s="1"/>
  <c r="P185" i="3" a="1"/>
  <c r="P185" i="3" s="1"/>
  <c r="O229" i="3" a="1"/>
  <c r="O229" i="3" s="1"/>
  <c r="Q221" i="3" a="1"/>
  <c r="Q221" i="3" s="1"/>
  <c r="AB221" i="3" a="1"/>
  <c r="AB221" i="3" s="1"/>
  <c r="AD177" i="3" a="1"/>
  <c r="AD177" i="3" s="1"/>
  <c r="D205" i="3" a="1"/>
  <c r="D205" i="3" s="1"/>
  <c r="K213" i="3" a="1"/>
  <c r="K213" i="3" s="1"/>
  <c r="AK193" i="3" a="1"/>
  <c r="AK193" i="3" s="1"/>
  <c r="Z213" i="3" a="1"/>
  <c r="Z213" i="3" s="1"/>
  <c r="P213" i="3" a="1"/>
  <c r="P213" i="3" s="1"/>
  <c r="AL229" i="3" a="1"/>
  <c r="AL229" i="3" s="1"/>
  <c r="AB217" i="3" a="1"/>
  <c r="AB217" i="3" s="1"/>
  <c r="R221" i="3" a="1"/>
  <c r="R221" i="3" s="1"/>
  <c r="H213" i="3" a="1"/>
  <c r="H213" i="3" s="1"/>
  <c r="AE225" i="3" a="1"/>
  <c r="AE225" i="3" s="1"/>
  <c r="AC221" i="3" a="1"/>
  <c r="AC221" i="3" s="1"/>
  <c r="R233" i="3" a="1"/>
  <c r="R233" i="3" s="1"/>
  <c r="AC237" i="3" a="1"/>
  <c r="AC237" i="3" s="1"/>
  <c r="K9" i="3" a="1"/>
  <c r="K9" i="3" s="1"/>
  <c r="AG25" i="3" a="1"/>
  <c r="AG25" i="3" s="1"/>
  <c r="Y17" i="3" a="1"/>
  <c r="Y17" i="3" s="1"/>
  <c r="V21" i="3" a="1"/>
  <c r="V21" i="3" s="1"/>
  <c r="I29" i="3" a="1"/>
  <c r="I29" i="3" s="1"/>
  <c r="R25" i="3" a="1"/>
  <c r="R25" i="3" s="1"/>
  <c r="G25" i="3" a="1"/>
  <c r="G25" i="3" s="1"/>
  <c r="S33" i="3" a="1"/>
  <c r="S33" i="3" s="1"/>
  <c r="AG37" i="3" a="1"/>
  <c r="AG37" i="3" s="1"/>
  <c r="K45" i="3" a="1"/>
  <c r="K45" i="3" s="1"/>
  <c r="D37" i="3" a="1"/>
  <c r="D37" i="3" s="1"/>
  <c r="M49" i="3" a="1"/>
  <c r="M49" i="3" s="1"/>
  <c r="H41" i="3" a="1"/>
  <c r="H41" i="3" s="1"/>
  <c r="AK49" i="3" a="1"/>
  <c r="AK49" i="3" s="1"/>
  <c r="Q53" i="3" a="1"/>
  <c r="Q53" i="3" s="1"/>
  <c r="AF57" i="3" a="1"/>
  <c r="AF57" i="3" s="1"/>
  <c r="AJ65" i="3" a="1"/>
  <c r="AJ65" i="3" s="1"/>
  <c r="AJ57" i="3" a="1"/>
  <c r="AJ57" i="3" s="1"/>
  <c r="R61" i="3" a="1"/>
  <c r="R61" i="3" s="1"/>
  <c r="AD61" i="3" a="1"/>
  <c r="AD61" i="3" s="1"/>
  <c r="I61" i="3" a="1"/>
  <c r="I61" i="3" s="1"/>
  <c r="E69" i="3" a="1"/>
  <c r="E69" i="3" s="1"/>
  <c r="AD69" i="3" a="1"/>
  <c r="AD69" i="3" s="1"/>
  <c r="X77" i="3" a="1"/>
  <c r="X77" i="3" s="1"/>
  <c r="AD85" i="3" a="1"/>
  <c r="AD85" i="3" s="1"/>
  <c r="AH81" i="3" a="1"/>
  <c r="AH81" i="3" s="1"/>
  <c r="AC73" i="3" a="1"/>
  <c r="AC73" i="3" s="1"/>
  <c r="AH73" i="3" a="1"/>
  <c r="AH73" i="3" s="1"/>
  <c r="AK89" i="3" a="1"/>
  <c r="AK89" i="3" s="1"/>
  <c r="Q97" i="3" a="1"/>
  <c r="Q97" i="3" s="1"/>
  <c r="G101" i="3" a="1"/>
  <c r="G101" i="3" s="1"/>
  <c r="Y105" i="3" a="1"/>
  <c r="Y105" i="3" s="1"/>
  <c r="AI97" i="3" a="1"/>
  <c r="AI97" i="3" s="1"/>
  <c r="AB109" i="3" a="1"/>
  <c r="AB109" i="3" s="1"/>
  <c r="AL105" i="3" a="1"/>
  <c r="AL105" i="3" s="1"/>
  <c r="AD105" i="3" a="1"/>
  <c r="AD105" i="3" s="1"/>
  <c r="T109" i="3" a="1"/>
  <c r="T109" i="3" s="1"/>
  <c r="Z109" i="3" a="1"/>
  <c r="Z109" i="3" s="1"/>
  <c r="O109" i="3" a="1"/>
  <c r="O109" i="3" s="1"/>
  <c r="Y121" i="3" a="1"/>
  <c r="Y121" i="3" s="1"/>
  <c r="AF125" i="3" a="1"/>
  <c r="AF125" i="3" s="1"/>
  <c r="AI129" i="3" a="1"/>
  <c r="AI129" i="3" s="1"/>
  <c r="AF121" i="3" a="1"/>
  <c r="AF121" i="3" s="1"/>
  <c r="AI113" i="3" a="1"/>
  <c r="AI113" i="3" s="1"/>
  <c r="AE145" i="3" a="1"/>
  <c r="AE145" i="3" s="1"/>
  <c r="Y133" i="3" a="1"/>
  <c r="Y133" i="3" s="1"/>
  <c r="U149" i="3" a="1"/>
  <c r="U149" i="3" s="1"/>
  <c r="D133" i="3" a="1"/>
  <c r="D133" i="3" s="1"/>
  <c r="Q137" i="3" a="1"/>
  <c r="Q137" i="3" s="1"/>
  <c r="P145" i="3" a="1"/>
  <c r="P145" i="3" s="1"/>
  <c r="Z149" i="3" a="1"/>
  <c r="Z149" i="3" s="1"/>
  <c r="P149" i="3" a="1"/>
  <c r="P149" i="3" s="1"/>
  <c r="AD161" i="3" a="1"/>
  <c r="AD161" i="3" s="1"/>
  <c r="G149" i="3" a="1"/>
  <c r="G149" i="3" s="1"/>
  <c r="AF145" i="3" a="1"/>
  <c r="AF145" i="3" s="1"/>
  <c r="O165" i="3" a="1"/>
  <c r="O165" i="3" s="1"/>
  <c r="AE169" i="3" a="1"/>
  <c r="AE169" i="3" s="1"/>
  <c r="L169" i="3" a="1"/>
  <c r="L169" i="3" s="1"/>
  <c r="Z173" i="3" a="1"/>
  <c r="Z173" i="3" s="1"/>
  <c r="AA169" i="3" a="1"/>
  <c r="AA169" i="3" s="1"/>
  <c r="N169" i="3" a="1"/>
  <c r="N169" i="3" s="1"/>
  <c r="J181" i="3" a="1"/>
  <c r="J181" i="3" s="1"/>
  <c r="AC181" i="3" a="1"/>
  <c r="AC181" i="3" s="1"/>
  <c r="K185" i="3" a="1"/>
  <c r="K185" i="3" s="1"/>
  <c r="Z189" i="3" a="1"/>
  <c r="Z189" i="3" s="1"/>
  <c r="O193" i="3" a="1"/>
  <c r="O193" i="3" s="1"/>
  <c r="AK181" i="3" a="1"/>
  <c r="AK181" i="3" s="1"/>
  <c r="AA185" i="3" a="1"/>
  <c r="AA185" i="3" s="1"/>
  <c r="Y229" i="3" a="1"/>
  <c r="Y229" i="3" s="1"/>
  <c r="AL221" i="3" a="1"/>
  <c r="AL221" i="3" s="1"/>
  <c r="D225" i="3" a="1"/>
  <c r="D225" i="3" s="1"/>
  <c r="AD185" i="3" a="1"/>
  <c r="AD185" i="3" s="1"/>
  <c r="P205" i="3" a="1"/>
  <c r="P205" i="3" s="1"/>
  <c r="W213" i="3" a="1"/>
  <c r="W213" i="3" s="1"/>
  <c r="S197" i="3" a="1"/>
  <c r="S197" i="3" s="1"/>
  <c r="AL213" i="3" a="1"/>
  <c r="AL213" i="3" s="1"/>
  <c r="AB213" i="3" a="1"/>
  <c r="AB213" i="3" s="1"/>
  <c r="Y217" i="3" a="1"/>
  <c r="Y217" i="3" s="1"/>
  <c r="L221" i="3" a="1"/>
  <c r="L221" i="3" s="1"/>
  <c r="AF221" i="3" a="1"/>
  <c r="AF221" i="3" s="1"/>
  <c r="AG213" i="3" a="1"/>
  <c r="AG213" i="3" s="1"/>
  <c r="AG229" i="3" a="1"/>
  <c r="AG229" i="3" s="1"/>
  <c r="AD221" i="3" a="1"/>
  <c r="AD221" i="3" s="1"/>
  <c r="F237" i="3" a="1"/>
  <c r="F237" i="3" s="1"/>
  <c r="I233" i="3" a="1"/>
  <c r="I233" i="3" s="1"/>
  <c r="D12" i="4" a="1"/>
  <c r="D12" i="4" s="1"/>
  <c r="L17" i="3" a="1"/>
  <c r="L17" i="3" s="1"/>
  <c r="Y25" i="3" a="1"/>
  <c r="Y25" i="3" s="1"/>
  <c r="W21" i="3" a="1"/>
  <c r="W21" i="3" s="1"/>
  <c r="AL29" i="3" a="1"/>
  <c r="AL29" i="3" s="1"/>
  <c r="AK25" i="3" a="1"/>
  <c r="AK25" i="3" s="1"/>
  <c r="Z25" i="3" a="1"/>
  <c r="Z25" i="3" s="1"/>
  <c r="AD33" i="3" a="1"/>
  <c r="AD33" i="3" s="1"/>
  <c r="AF41" i="3" a="1"/>
  <c r="AF41" i="3" s="1"/>
  <c r="AF45" i="3" a="1"/>
  <c r="AF45" i="3" s="1"/>
  <c r="Z37" i="3" a="1"/>
  <c r="Z37" i="3" s="1"/>
  <c r="AH49" i="3" a="1"/>
  <c r="AH49" i="3" s="1"/>
  <c r="AC41" i="3" a="1"/>
  <c r="AC41" i="3" s="1"/>
  <c r="I37" i="3" a="1"/>
  <c r="I37" i="3" s="1"/>
  <c r="F57" i="3" a="1"/>
  <c r="F57" i="3" s="1"/>
  <c r="AJ61" i="3" a="1"/>
  <c r="AJ61" i="3" s="1"/>
  <c r="X69" i="3" a="1"/>
  <c r="X69" i="3" s="1"/>
  <c r="W49" i="3" a="1"/>
  <c r="W49" i="3" s="1"/>
  <c r="AC61" i="3" a="1"/>
  <c r="AC61" i="3" s="1"/>
  <c r="S65" i="3" a="1"/>
  <c r="S65" i="3" s="1"/>
  <c r="T61" i="3" a="1"/>
  <c r="T61" i="3" s="1"/>
  <c r="W69" i="3" a="1"/>
  <c r="W69" i="3" s="1"/>
  <c r="Q65" i="3" a="1"/>
  <c r="Q65" i="3" s="1"/>
  <c r="AL77" i="3" a="1"/>
  <c r="AL77" i="3" s="1"/>
  <c r="R89" i="3" a="1"/>
  <c r="R89" i="3" s="1"/>
  <c r="K85" i="3" a="1"/>
  <c r="K85" i="3" s="1"/>
  <c r="AF77" i="3" a="1"/>
  <c r="AF77" i="3" s="1"/>
  <c r="AH77" i="3" a="1"/>
  <c r="AH77" i="3" s="1"/>
  <c r="X93" i="3" a="1"/>
  <c r="X93" i="3" s="1"/>
  <c r="AB97" i="3" a="1"/>
  <c r="AB97" i="3" s="1"/>
  <c r="AB101" i="3" a="1"/>
  <c r="AB101" i="3" s="1"/>
  <c r="AI105" i="3" a="1"/>
  <c r="AI105" i="3" s="1"/>
  <c r="J93" i="3" a="1"/>
  <c r="J93" i="3" s="1"/>
  <c r="E113" i="3" a="1"/>
  <c r="E113" i="3" s="1"/>
  <c r="S109" i="3" a="1"/>
  <c r="S109" i="3" s="1"/>
  <c r="Y97" i="3" a="1"/>
  <c r="Y97" i="3" s="1"/>
  <c r="U109" i="3" a="1"/>
  <c r="U109" i="3" s="1"/>
  <c r="R113" i="3" a="1"/>
  <c r="R113" i="3" s="1"/>
  <c r="AG109" i="3" a="1"/>
  <c r="AG109" i="3" s="1"/>
  <c r="F117" i="3" a="1"/>
  <c r="F117" i="3" s="1"/>
  <c r="L129" i="3" a="1"/>
  <c r="L129" i="3" s="1"/>
  <c r="G121" i="3" a="1"/>
  <c r="G121" i="3" s="1"/>
  <c r="AL129" i="3" a="1"/>
  <c r="AL129" i="3" s="1"/>
  <c r="P129" i="3" a="1"/>
  <c r="P129" i="3" s="1"/>
  <c r="H149" i="3" a="1"/>
  <c r="H149" i="3" s="1"/>
  <c r="M141" i="3" a="1"/>
  <c r="M141" i="3" s="1"/>
  <c r="P125" i="3" a="1"/>
  <c r="P125" i="3" s="1"/>
  <c r="P133" i="3" a="1"/>
  <c r="P133" i="3" s="1"/>
  <c r="AB137" i="3" a="1"/>
  <c r="AB137" i="3" s="1"/>
  <c r="AK145" i="3" a="1"/>
  <c r="AK145" i="3" s="1"/>
  <c r="AI153" i="3" a="1"/>
  <c r="AI153" i="3" s="1"/>
  <c r="E153" i="3" a="1"/>
  <c r="E153" i="3" s="1"/>
  <c r="G165" i="3" a="1"/>
  <c r="G165" i="3" s="1"/>
  <c r="K153" i="3" a="1"/>
  <c r="K153" i="3" s="1"/>
  <c r="L149" i="3" a="1"/>
  <c r="L149" i="3" s="1"/>
  <c r="AA165" i="3" a="1"/>
  <c r="AA165" i="3" s="1"/>
  <c r="Q153" i="3" a="1"/>
  <c r="Q153" i="3" s="1"/>
  <c r="X169" i="3" a="1"/>
  <c r="X169" i="3" s="1"/>
  <c r="R157" i="3" a="1"/>
  <c r="R157" i="3" s="1"/>
  <c r="H173" i="3" a="1"/>
  <c r="H173" i="3" s="1"/>
  <c r="AC169" i="3" a="1"/>
  <c r="AC169" i="3" s="1"/>
  <c r="AE181" i="3" a="1"/>
  <c r="AE181" i="3" s="1"/>
  <c r="M189" i="3" a="1"/>
  <c r="M189" i="3" s="1"/>
  <c r="Y189" i="3" a="1"/>
  <c r="Y189" i="3" s="1"/>
  <c r="W169" i="3" a="1"/>
  <c r="W169" i="3" s="1"/>
  <c r="AJ193" i="3" a="1"/>
  <c r="AJ193" i="3" s="1"/>
  <c r="D185" i="3" a="1"/>
  <c r="D185" i="3" s="1"/>
  <c r="AL185" i="3" a="1"/>
  <c r="AL185" i="3" s="1"/>
  <c r="AI229" i="3" a="1"/>
  <c r="AI229" i="3" s="1"/>
  <c r="Y173" i="3" a="1"/>
  <c r="Y173" i="3" s="1"/>
  <c r="X225" i="3" a="1"/>
  <c r="X225" i="3" s="1"/>
  <c r="V189" i="3" a="1"/>
  <c r="V189" i="3" s="1"/>
  <c r="AG185" i="3" a="1"/>
  <c r="AG185" i="3" s="1"/>
  <c r="AI213" i="3" a="1"/>
  <c r="AI213" i="3" s="1"/>
  <c r="W201" i="3" a="1"/>
  <c r="W201" i="3" s="1"/>
  <c r="J217" i="3" a="1"/>
  <c r="J217" i="3" s="1"/>
  <c r="D197" i="3" a="1"/>
  <c r="D197" i="3" s="1"/>
  <c r="E209" i="3" a="1"/>
  <c r="E209" i="3" s="1"/>
  <c r="X233" i="3" a="1"/>
  <c r="X233" i="3" s="1"/>
  <c r="W209" i="3" a="1"/>
  <c r="W209" i="3" s="1"/>
  <c r="AK217" i="3" a="1"/>
  <c r="AK217" i="3" s="1"/>
  <c r="M233" i="3" a="1"/>
  <c r="M233" i="3" s="1"/>
  <c r="L225" i="3" a="1"/>
  <c r="L225" i="3" s="1"/>
  <c r="Q237" i="3" a="1"/>
  <c r="Q237" i="3" s="1"/>
  <c r="T233" i="3" a="1"/>
  <c r="T233" i="3" s="1"/>
  <c r="X9" i="3" a="1"/>
  <c r="X9" i="3" s="1"/>
  <c r="W17" i="3" a="1"/>
  <c r="W17" i="3" s="1"/>
  <c r="AJ25" i="3" a="1"/>
  <c r="AJ25" i="3" s="1"/>
  <c r="AH21" i="3" a="1"/>
  <c r="AH21" i="3" s="1"/>
  <c r="N21" i="3" a="1"/>
  <c r="N21" i="3" s="1"/>
  <c r="X33" i="3" a="1"/>
  <c r="X33" i="3" s="1"/>
  <c r="D29" i="3" a="1"/>
  <c r="D29" i="3" s="1"/>
  <c r="V37" i="3" a="1"/>
  <c r="V37" i="3" s="1"/>
  <c r="T45" i="3" a="1"/>
  <c r="T45" i="3" s="1"/>
  <c r="I49" i="3" a="1"/>
  <c r="I49" i="3" s="1"/>
  <c r="AK37" i="3" a="1"/>
  <c r="AK37" i="3" s="1"/>
  <c r="K53" i="3" a="1"/>
  <c r="K53" i="3" s="1"/>
  <c r="AA45" i="3" a="1"/>
  <c r="AA45" i="3" s="1"/>
  <c r="T37" i="3" a="1"/>
  <c r="T37" i="3" s="1"/>
  <c r="AD57" i="3" a="1"/>
  <c r="AD57" i="3" s="1"/>
  <c r="AF53" i="3" a="1"/>
  <c r="AF53" i="3" s="1"/>
  <c r="L73" i="3" a="1"/>
  <c r="L73" i="3" s="1"/>
  <c r="K57" i="3" a="1"/>
  <c r="K57" i="3" s="1"/>
  <c r="R65" i="3" a="1"/>
  <c r="R65" i="3" s="1"/>
  <c r="AL69" i="3" a="1"/>
  <c r="AL69" i="3" s="1"/>
  <c r="AE61" i="3" a="1"/>
  <c r="AE61" i="3" s="1"/>
  <c r="J65" i="3" a="1"/>
  <c r="J65" i="3" s="1"/>
  <c r="L69" i="3" a="1"/>
  <c r="L69" i="3" s="1"/>
  <c r="I81" i="3" a="1"/>
  <c r="I81" i="3" s="1"/>
  <c r="AM89" i="3" a="1"/>
  <c r="AM89" i="3" s="1"/>
  <c r="T89" i="3" a="1"/>
  <c r="T89" i="3" s="1"/>
  <c r="O81" i="3" a="1"/>
  <c r="O81" i="3" s="1"/>
  <c r="F81" i="3" a="1"/>
  <c r="F81" i="3" s="1"/>
  <c r="O97" i="3" a="1"/>
  <c r="O97" i="3" s="1"/>
  <c r="E101" i="3" a="1"/>
  <c r="E101" i="3" s="1"/>
  <c r="G89" i="3" a="1"/>
  <c r="G89" i="3" s="1"/>
  <c r="G93" i="3" a="1"/>
  <c r="G93" i="3" s="1"/>
  <c r="AJ93" i="3" a="1"/>
  <c r="AJ93" i="3" s="1"/>
  <c r="Z113" i="3" a="1"/>
  <c r="Z113" i="3" s="1"/>
  <c r="S97" i="3" a="1"/>
  <c r="S97" i="3" s="1"/>
  <c r="Z97" i="3" a="1"/>
  <c r="Z97" i="3" s="1"/>
  <c r="D109" i="3" a="1"/>
  <c r="D109" i="3" s="1"/>
  <c r="AF113" i="3" a="1"/>
  <c r="AF113" i="3" s="1"/>
  <c r="AF105" i="3" a="1"/>
  <c r="AF105" i="3" s="1"/>
  <c r="U117" i="3" a="1"/>
  <c r="U117" i="3" s="1"/>
  <c r="W129" i="3" a="1"/>
  <c r="W129" i="3" s="1"/>
  <c r="R121" i="3" a="1"/>
  <c r="R121" i="3" s="1"/>
  <c r="O117" i="3" a="1"/>
  <c r="O117" i="3" s="1"/>
  <c r="AK129" i="3" a="1"/>
  <c r="AK129" i="3" s="1"/>
  <c r="AC149" i="3" a="1"/>
  <c r="AC149" i="3" s="1"/>
  <c r="AH141" i="3" a="1"/>
  <c r="AH141" i="3" s="1"/>
  <c r="N137" i="3" a="1"/>
  <c r="N137" i="3" s="1"/>
  <c r="AB133" i="3" a="1"/>
  <c r="AB133" i="3" s="1"/>
  <c r="AM137" i="3" a="1"/>
  <c r="AM137" i="3" s="1"/>
  <c r="S133" i="3" a="1"/>
  <c r="S133" i="3" s="1"/>
  <c r="AJ125" i="3" a="1"/>
  <c r="AJ125" i="3" s="1"/>
  <c r="R153" i="3" a="1"/>
  <c r="R153" i="3" s="1"/>
  <c r="AB165" i="3" a="1"/>
  <c r="AB165" i="3" s="1"/>
  <c r="AL153" i="3" a="1"/>
  <c r="AL153" i="3" s="1"/>
  <c r="P157" i="3" a="1"/>
  <c r="P157" i="3" s="1"/>
  <c r="AC157" i="3" a="1"/>
  <c r="AC157" i="3" s="1"/>
  <c r="AI157" i="3" a="1"/>
  <c r="AI157" i="3" s="1"/>
  <c r="AI169" i="3" a="1"/>
  <c r="AI169" i="3" s="1"/>
  <c r="AG161" i="3" a="1"/>
  <c r="AG161" i="3" s="1"/>
  <c r="AH173" i="3" a="1"/>
  <c r="AH173" i="3" s="1"/>
  <c r="N165" i="3" a="1"/>
  <c r="N165" i="3" s="1"/>
  <c r="AK165" i="3" a="1"/>
  <c r="AK165" i="3" s="1"/>
  <c r="AH189" i="3" a="1"/>
  <c r="AH189" i="3" s="1"/>
  <c r="M193" i="3" a="1"/>
  <c r="M193" i="3" s="1"/>
  <c r="N173" i="3" a="1"/>
  <c r="N173" i="3" s="1"/>
  <c r="P173" i="3" a="1"/>
  <c r="P173" i="3" s="1"/>
  <c r="O185" i="3" a="1"/>
  <c r="O185" i="3" s="1"/>
  <c r="G193" i="3" a="1"/>
  <c r="G193" i="3" s="1"/>
  <c r="E177" i="3" a="1"/>
  <c r="E177" i="3" s="1"/>
  <c r="AM181" i="3" a="1"/>
  <c r="AM181" i="3" s="1"/>
  <c r="AH225" i="3" a="1"/>
  <c r="AH225" i="3" s="1"/>
  <c r="T193" i="3" a="1"/>
  <c r="T193" i="3" s="1"/>
  <c r="R201" i="3" a="1"/>
  <c r="R201" i="3" s="1"/>
  <c r="AE217" i="3" a="1"/>
  <c r="AE217" i="3" s="1"/>
  <c r="H205" i="3" a="1"/>
  <c r="H205" i="3" s="1"/>
  <c r="V217" i="3" a="1"/>
  <c r="V217" i="3" s="1"/>
  <c r="AB225" i="3" a="1"/>
  <c r="AB225" i="3" s="1"/>
  <c r="Q205" i="3" a="1"/>
  <c r="Q205" i="3" s="1"/>
  <c r="AI217" i="3" a="1"/>
  <c r="AI217" i="3" s="1"/>
  <c r="E221" i="3" a="1"/>
  <c r="E221" i="3" s="1"/>
  <c r="I225" i="3" a="1"/>
  <c r="I225" i="3" s="1"/>
  <c r="AK229" i="3" a="1"/>
  <c r="AK229" i="3" s="1"/>
  <c r="AL237" i="3" a="1"/>
  <c r="AL237" i="3" s="1"/>
  <c r="AE233" i="3" a="1"/>
  <c r="AE233" i="3" s="1"/>
  <c r="W9" i="3" a="1"/>
  <c r="W9" i="3" s="1"/>
  <c r="AH17" i="3" a="1"/>
  <c r="AH17" i="3" s="1"/>
  <c r="S29" i="3" a="1"/>
  <c r="S29" i="3" s="1"/>
  <c r="Q25" i="3" a="1"/>
  <c r="Q25" i="3" s="1"/>
  <c r="AF25" i="3" a="1"/>
  <c r="AF25" i="3" s="1"/>
  <c r="AI33" i="3" a="1"/>
  <c r="AI33" i="3" s="1"/>
  <c r="AH29" i="3" a="1"/>
  <c r="AH29" i="3" s="1"/>
  <c r="J41" i="3" a="1"/>
  <c r="J41" i="3" s="1"/>
  <c r="AM49" i="3" a="1"/>
  <c r="AM49" i="3" s="1"/>
  <c r="M33" i="3" a="1"/>
  <c r="M33" i="3" s="1"/>
  <c r="D41" i="3" a="1"/>
  <c r="D41" i="3" s="1"/>
  <c r="AK33" i="3" a="1"/>
  <c r="AK33" i="3" s="1"/>
  <c r="AL45" i="3" a="1"/>
  <c r="AL45" i="3" s="1"/>
  <c r="AE37" i="3" a="1"/>
  <c r="AE37" i="3" s="1"/>
  <c r="AH61" i="3" a="1"/>
  <c r="AH61" i="3" s="1"/>
  <c r="H57" i="3" a="1"/>
  <c r="H57" i="3" s="1"/>
  <c r="AG73" i="3" a="1"/>
  <c r="AG73" i="3" s="1"/>
  <c r="F61" i="3" a="1"/>
  <c r="F61" i="3" s="1"/>
  <c r="AM65" i="3" a="1"/>
  <c r="AM65" i="3" s="1"/>
  <c r="Z73" i="3" a="1"/>
  <c r="Z73" i="3" s="1"/>
  <c r="K49" i="3" a="1"/>
  <c r="K49" i="3" s="1"/>
  <c r="AI65" i="3" a="1"/>
  <c r="AI65" i="3" s="1"/>
  <c r="T65" i="3" a="1"/>
  <c r="T65" i="3" s="1"/>
  <c r="AM85" i="3" a="1"/>
  <c r="AM85" i="3" s="1"/>
  <c r="AA77" i="3" a="1"/>
  <c r="AA77" i="3" s="1"/>
  <c r="AA73" i="3" a="1"/>
  <c r="AA73" i="3" s="1"/>
  <c r="AJ81" i="3" a="1"/>
  <c r="AJ81" i="3" s="1"/>
  <c r="AA81" i="3" a="1"/>
  <c r="AA81" i="3" s="1"/>
  <c r="AJ97" i="3" a="1"/>
  <c r="AJ97" i="3" s="1"/>
  <c r="Z101" i="3" a="1"/>
  <c r="Z101" i="3" s="1"/>
  <c r="AC93" i="3" a="1"/>
  <c r="AC93" i="3" s="1"/>
  <c r="S93" i="3" a="1"/>
  <c r="S93" i="3" s="1"/>
  <c r="AG97" i="3" a="1"/>
  <c r="AG97" i="3" s="1"/>
  <c r="AL97" i="3" a="1"/>
  <c r="AL97" i="3" s="1"/>
  <c r="T97" i="3" a="1"/>
  <c r="T97" i="3" s="1"/>
  <c r="M101" i="3" a="1"/>
  <c r="M101" i="3" s="1"/>
  <c r="AJ109" i="3" a="1"/>
  <c r="AJ109" i="3" s="1"/>
  <c r="L109" i="3" a="1"/>
  <c r="L109" i="3" s="1"/>
  <c r="P109" i="3" a="1"/>
  <c r="P109" i="3" s="1"/>
  <c r="AJ117" i="3" a="1"/>
  <c r="AJ117" i="3" s="1"/>
  <c r="K113" i="3" a="1"/>
  <c r="K113" i="3" s="1"/>
  <c r="Z117" i="3" a="1"/>
  <c r="Z117" i="3" s="1"/>
  <c r="D125" i="3" a="1"/>
  <c r="D125" i="3" s="1"/>
  <c r="J133" i="3" a="1"/>
  <c r="J133" i="3" s="1"/>
  <c r="E125" i="3" a="1"/>
  <c r="E125" i="3" s="1"/>
  <c r="L125" i="3" a="1"/>
  <c r="L125" i="3" s="1"/>
  <c r="AK137" i="3" a="1"/>
  <c r="AK137" i="3" s="1"/>
  <c r="AA137" i="3" a="1"/>
  <c r="AA137" i="3" s="1"/>
  <c r="AA141" i="3" a="1"/>
  <c r="AA141" i="3" s="1"/>
  <c r="AC141" i="3" a="1"/>
  <c r="AC141" i="3" s="1"/>
  <c r="T133" i="3" a="1"/>
  <c r="T133" i="3" s="1"/>
  <c r="F157" i="3" a="1"/>
  <c r="F157" i="3" s="1"/>
  <c r="T149" i="3" a="1"/>
  <c r="T149" i="3" s="1"/>
  <c r="M157" i="3" a="1"/>
  <c r="M157" i="3" s="1"/>
  <c r="O161" i="3" a="1"/>
  <c r="O161" i="3" s="1"/>
  <c r="AM161" i="3" a="1"/>
  <c r="AM161" i="3" s="1"/>
  <c r="AA153" i="3" a="1"/>
  <c r="AA153" i="3" s="1"/>
  <c r="X173" i="3" a="1"/>
  <c r="X173" i="3" s="1"/>
  <c r="K165" i="3" a="1"/>
  <c r="K165" i="3" s="1"/>
  <c r="T177" i="3" a="1"/>
  <c r="T177" i="3" s="1"/>
  <c r="AL173" i="3" a="1"/>
  <c r="AL173" i="3" s="1"/>
  <c r="E169" i="3" a="1"/>
  <c r="E169" i="3" s="1"/>
  <c r="V193" i="3" a="1"/>
  <c r="V193" i="3" s="1"/>
  <c r="AH193" i="3" a="1"/>
  <c r="AH193" i="3" s="1"/>
  <c r="S181" i="3" a="1"/>
  <c r="S181" i="3" s="1"/>
  <c r="V177" i="3" a="1"/>
  <c r="V177" i="3" s="1"/>
  <c r="Z185" i="3" a="1"/>
  <c r="Z185" i="3" s="1"/>
  <c r="AB193" i="3" a="1"/>
  <c r="AB193" i="3" s="1"/>
  <c r="AM185" i="3" a="1"/>
  <c r="AM185" i="3" s="1"/>
  <c r="Q185" i="3" a="1"/>
  <c r="Q185" i="3" s="1"/>
  <c r="AA173" i="3" a="1"/>
  <c r="AA173" i="3" s="1"/>
  <c r="AE193" i="3" a="1"/>
  <c r="AE193" i="3" s="1"/>
  <c r="AK201" i="3" a="1"/>
  <c r="AK201" i="3" s="1"/>
  <c r="M221" i="3" a="1"/>
  <c r="M221" i="3" s="1"/>
  <c r="T205" i="3" a="1"/>
  <c r="T205" i="3" s="1"/>
  <c r="W197" i="3" a="1"/>
  <c r="W197" i="3" s="1"/>
  <c r="AL205" i="3" a="1"/>
  <c r="AL205" i="3" s="1"/>
  <c r="P229" i="3" a="1"/>
  <c r="P229" i="3" s="1"/>
  <c r="M209" i="3" a="1"/>
  <c r="M209" i="3" s="1"/>
  <c r="Y209" i="3" a="1"/>
  <c r="Y209" i="3" s="1"/>
  <c r="AH209" i="3" a="1"/>
  <c r="AH209" i="3" s="1"/>
  <c r="AH229" i="3" a="1"/>
  <c r="AH229" i="3" s="1"/>
  <c r="E233" i="3" a="1"/>
  <c r="E233" i="3" s="1"/>
  <c r="O241" i="3" a="1"/>
  <c r="O241" i="3" s="1"/>
  <c r="Z229" i="3" a="1"/>
  <c r="Z229" i="3" s="1"/>
  <c r="AJ9" i="3" a="1"/>
  <c r="AJ9" i="3" s="1"/>
  <c r="F21" i="3" a="1"/>
  <c r="F21" i="3" s="1"/>
  <c r="AD29" i="3" a="1"/>
  <c r="AD29" i="3" s="1"/>
  <c r="AB25" i="3" a="1"/>
  <c r="AB25" i="3" s="1"/>
  <c r="I33" i="3" a="1"/>
  <c r="I33" i="3" s="1"/>
  <c r="S25" i="3" a="1"/>
  <c r="S25" i="3" s="1"/>
  <c r="E33" i="3" a="1"/>
  <c r="E33" i="3" s="1"/>
  <c r="AE41" i="3" a="1"/>
  <c r="AE41" i="3" s="1"/>
  <c r="F53" i="3" a="1"/>
  <c r="F53" i="3" s="1"/>
  <c r="M37" i="3" a="1"/>
  <c r="M37" i="3" s="1"/>
  <c r="AJ41" i="3" a="1"/>
  <c r="AJ41" i="3" s="1"/>
  <c r="F37" i="3" a="1"/>
  <c r="F37" i="3" s="1"/>
  <c r="O49" i="3" a="1"/>
  <c r="O49" i="3" s="1"/>
  <c r="T41" i="3" a="1"/>
  <c r="T41" i="3" s="1"/>
  <c r="L65" i="3" a="1"/>
  <c r="L65" i="3" s="1"/>
  <c r="AG57" i="3" a="1"/>
  <c r="AG57" i="3" s="1"/>
  <c r="AJ45" i="3" a="1"/>
  <c r="AJ45" i="3" s="1"/>
  <c r="Q61" i="3" a="1"/>
  <c r="Q61" i="3" s="1"/>
  <c r="P69" i="3" a="1"/>
  <c r="P69" i="3" s="1"/>
  <c r="N77" i="3" a="1"/>
  <c r="N77" i="3" s="1"/>
  <c r="AF49" i="3" a="1"/>
  <c r="AF49" i="3" s="1"/>
  <c r="H69" i="3" a="1"/>
  <c r="H69" i="3" s="1"/>
  <c r="AE69" i="3" a="1"/>
  <c r="AE69" i="3" s="1"/>
  <c r="S73" i="3" a="1"/>
  <c r="S73" i="3" s="1"/>
  <c r="V81" i="3" a="1"/>
  <c r="V81" i="3" s="1"/>
  <c r="Q77" i="3" a="1"/>
  <c r="Q77" i="3" s="1"/>
  <c r="AE73" i="3" a="1"/>
  <c r="AE73" i="3" s="1"/>
  <c r="H77" i="3" a="1"/>
  <c r="H77" i="3" s="1"/>
  <c r="R81" i="3" a="1"/>
  <c r="R81" i="3" s="1"/>
  <c r="AM93" i="3" a="1"/>
  <c r="AM93" i="3" s="1"/>
  <c r="AJ85" i="3" a="1"/>
  <c r="AJ85" i="3" s="1"/>
  <c r="AE93" i="3" a="1"/>
  <c r="AE93" i="3" s="1"/>
  <c r="Q101" i="3" a="1"/>
  <c r="Q101" i="3" s="1"/>
  <c r="V101" i="3" a="1"/>
  <c r="V101" i="3" s="1"/>
  <c r="F105" i="3" a="1"/>
  <c r="F105" i="3" s="1"/>
  <c r="I105" i="3" a="1"/>
  <c r="I105" i="3" s="1"/>
  <c r="L113" i="3" a="1"/>
  <c r="L113" i="3" s="1"/>
  <c r="S113" i="3" a="1"/>
  <c r="S113" i="3" s="1"/>
  <c r="AH105" i="3" a="1"/>
  <c r="AH105" i="3" s="1"/>
  <c r="Z121" i="3" a="1"/>
  <c r="Z121" i="3" s="1"/>
  <c r="W117" i="3" a="1"/>
  <c r="W117" i="3" s="1"/>
  <c r="S121" i="3" a="1"/>
  <c r="S121" i="3" s="1"/>
  <c r="O125" i="3" a="1"/>
  <c r="O125" i="3" s="1"/>
  <c r="V133" i="3" a="1"/>
  <c r="V133" i="3" s="1"/>
  <c r="L133" i="3" a="1"/>
  <c r="L133" i="3" s="1"/>
  <c r="U129" i="3" a="1"/>
  <c r="U129" i="3" s="1"/>
  <c r="D141" i="3" a="1"/>
  <c r="D141" i="3" s="1"/>
  <c r="AL137" i="3" a="1"/>
  <c r="AL137" i="3" s="1"/>
  <c r="AJ145" i="3" a="1"/>
  <c r="AJ145" i="3" s="1"/>
  <c r="AA145" i="3" a="1"/>
  <c r="AA145" i="3" s="1"/>
  <c r="AF133" i="3" a="1"/>
  <c r="AF133" i="3" s="1"/>
  <c r="Q161" i="3" a="1"/>
  <c r="Q161" i="3" s="1"/>
  <c r="AM149" i="3" a="1"/>
  <c r="AM149" i="3" s="1"/>
  <c r="Y157" i="3" a="1"/>
  <c r="Y157" i="3" s="1"/>
  <c r="AJ161" i="3" a="1"/>
  <c r="AJ161" i="3" s="1"/>
  <c r="H169" i="3" a="1"/>
  <c r="H169" i="3" s="1"/>
  <c r="R165" i="3" a="1"/>
  <c r="R165" i="3" s="1"/>
  <c r="L177" i="3" a="1"/>
  <c r="L177" i="3" s="1"/>
  <c r="W165" i="3" a="1"/>
  <c r="W165" i="3" s="1"/>
  <c r="K169" i="3" a="1"/>
  <c r="K169" i="3" s="1"/>
  <c r="K177" i="3" a="1"/>
  <c r="K177" i="3" s="1"/>
  <c r="V169" i="3" a="1"/>
  <c r="V169" i="3" s="1"/>
  <c r="T197" i="3" a="1"/>
  <c r="T197" i="3" s="1"/>
  <c r="K197" i="3" a="1"/>
  <c r="K197" i="3" s="1"/>
  <c r="M185" i="3" a="1"/>
  <c r="M185" i="3" s="1"/>
  <c r="T181" i="3" a="1"/>
  <c r="T181" i="3" s="1"/>
  <c r="AK185" i="3" a="1"/>
  <c r="AK185" i="3" s="1"/>
  <c r="AK197" i="3" a="1"/>
  <c r="AK197" i="3" s="1"/>
  <c r="T189" i="3" a="1"/>
  <c r="T189" i="3" s="1"/>
  <c r="AB185" i="3" a="1"/>
  <c r="AB185" i="3" s="1"/>
  <c r="F177" i="3" a="1"/>
  <c r="F177" i="3" s="1"/>
  <c r="AC197" i="3" a="1"/>
  <c r="AC197" i="3" s="1"/>
  <c r="E205" i="3" a="1"/>
  <c r="E205" i="3" s="1"/>
  <c r="AM221" i="3" a="1"/>
  <c r="AM221" i="3" s="1"/>
  <c r="AF205" i="3" a="1"/>
  <c r="AF205" i="3" s="1"/>
  <c r="J205" i="3" a="1"/>
  <c r="J205" i="3" s="1"/>
  <c r="Q193" i="3" a="1"/>
  <c r="Q193" i="3" s="1"/>
  <c r="AM229" i="3" a="1"/>
  <c r="AM229" i="3" s="1"/>
  <c r="V213" i="3" a="1"/>
  <c r="V213" i="3" s="1"/>
  <c r="F213" i="3" a="1"/>
  <c r="F213" i="3" s="1"/>
  <c r="L213" i="3" a="1"/>
  <c r="L213" i="3" s="1"/>
  <c r="N233" i="3" a="1"/>
  <c r="N233" i="3" s="1"/>
  <c r="P233" i="3" a="1"/>
  <c r="P233" i="3" s="1"/>
  <c r="AJ241" i="3" a="1"/>
  <c r="AJ241" i="3" s="1"/>
  <c r="I237" i="3" a="1"/>
  <c r="I237" i="3" s="1"/>
  <c r="L9" i="3" a="1"/>
  <c r="L9" i="3" s="1"/>
  <c r="Q21" i="3" a="1"/>
  <c r="Q21" i="3" s="1"/>
  <c r="Z17" i="3" a="1"/>
  <c r="Z17" i="3" s="1"/>
  <c r="AM25" i="3" a="1"/>
  <c r="AM25" i="3" s="1"/>
  <c r="AF33" i="3" a="1"/>
  <c r="AF33" i="3" s="1"/>
  <c r="T25" i="3" a="1"/>
  <c r="T25" i="3" s="1"/>
  <c r="Q33" i="3" a="1"/>
  <c r="Q33" i="3" s="1"/>
  <c r="S45" i="3" a="1"/>
  <c r="S45" i="3" s="1"/>
  <c r="AA53" i="3" a="1"/>
  <c r="AA53" i="3" s="1"/>
  <c r="AH41" i="3" a="1"/>
  <c r="AH41" i="3" s="1"/>
  <c r="M45" i="3" a="1"/>
  <c r="M45" i="3" s="1"/>
  <c r="AB37" i="3" a="1"/>
  <c r="AB37" i="3" s="1"/>
  <c r="AJ49" i="3" a="1"/>
  <c r="AJ49" i="3" s="1"/>
  <c r="H45" i="3" a="1"/>
  <c r="H45" i="3" s="1"/>
  <c r="AG65" i="3" a="1"/>
  <c r="AG65" i="3" s="1"/>
  <c r="AC45" i="3" a="1"/>
  <c r="AC45" i="3" s="1"/>
  <c r="V49" i="3" a="1"/>
  <c r="V49" i="3" s="1"/>
  <c r="AB61" i="3" a="1"/>
  <c r="AB61" i="3" s="1"/>
  <c r="AK69" i="3" a="1"/>
  <c r="AK69" i="3" s="1"/>
  <c r="AI77" i="3" a="1"/>
  <c r="AI77" i="3" s="1"/>
  <c r="N53" i="3" a="1"/>
  <c r="N53" i="3" s="1"/>
  <c r="Y69" i="3" a="1"/>
  <c r="Y69" i="3" s="1"/>
  <c r="AF73" i="3" a="1"/>
  <c r="AF73" i="3" s="1"/>
  <c r="K77" i="3" a="1"/>
  <c r="K77" i="3" s="1"/>
  <c r="T85" i="3" a="1"/>
  <c r="T85" i="3" s="1"/>
  <c r="X81" i="3" a="1"/>
  <c r="X81" i="3" s="1"/>
  <c r="Z81" i="3" a="1"/>
  <c r="Z81" i="3" s="1"/>
  <c r="AL81" i="3" a="1"/>
  <c r="AL81" i="3" s="1"/>
  <c r="S85" i="3" a="1"/>
  <c r="S85" i="3" s="1"/>
  <c r="G97" i="3" a="1"/>
  <c r="G97" i="3" s="1"/>
  <c r="I89" i="3" a="1"/>
  <c r="I89" i="3" s="1"/>
  <c r="J101" i="3" a="1"/>
  <c r="J101" i="3" s="1"/>
  <c r="R101" i="3" a="1"/>
  <c r="R101" i="3" s="1"/>
  <c r="AM101" i="3" a="1"/>
  <c r="AM101" i="3" s="1"/>
  <c r="AB105" i="3" a="1"/>
  <c r="AB105" i="3" s="1"/>
  <c r="T105" i="3" a="1"/>
  <c r="T105" i="3" s="1"/>
  <c r="Y113" i="3" a="1"/>
  <c r="Y113" i="3" s="1"/>
  <c r="G117" i="3" a="1"/>
  <c r="G117" i="3" s="1"/>
  <c r="AH109" i="3" a="1"/>
  <c r="AH109" i="3" s="1"/>
  <c r="AK121" i="3" a="1"/>
  <c r="AK121" i="3" s="1"/>
  <c r="AL117" i="3" a="1"/>
  <c r="AL117" i="3" s="1"/>
  <c r="AD121" i="3" a="1"/>
  <c r="AD121" i="3" s="1"/>
  <c r="Z125" i="3" a="1"/>
  <c r="Z125" i="3" s="1"/>
  <c r="J137" i="3" a="1"/>
  <c r="J137" i="3" s="1"/>
  <c r="L141" i="3" a="1"/>
  <c r="L141" i="3" s="1"/>
  <c r="AK133" i="3" a="1"/>
  <c r="AK133" i="3" s="1"/>
  <c r="Y141" i="3" a="1"/>
  <c r="Y141" i="3" s="1"/>
  <c r="Z141" i="3" a="1"/>
  <c r="Z141" i="3" s="1"/>
  <c r="X149" i="3" a="1"/>
  <c r="X149" i="3" s="1"/>
  <c r="O149" i="3" a="1"/>
  <c r="O149" i="3" s="1"/>
  <c r="I141" i="3" a="1"/>
  <c r="I141" i="3" s="1"/>
  <c r="AL161" i="3" a="1"/>
  <c r="AL161" i="3" s="1"/>
  <c r="H153" i="3" a="1"/>
  <c r="H153" i="3" s="1"/>
  <c r="AL157" i="3" a="1"/>
  <c r="AL157" i="3" s="1"/>
  <c r="X165" i="3" a="1"/>
  <c r="X165" i="3" s="1"/>
  <c r="AD169" i="3" a="1"/>
  <c r="AD169" i="3" s="1"/>
  <c r="AD165" i="3" a="1"/>
  <c r="AD165" i="3" s="1"/>
  <c r="AG177" i="3" a="1"/>
  <c r="AG177" i="3" s="1"/>
  <c r="AJ165" i="3" a="1"/>
  <c r="AJ165" i="3" s="1"/>
  <c r="V173" i="3" a="1"/>
  <c r="V173" i="3" s="1"/>
  <c r="W177" i="3" a="1"/>
  <c r="W177" i="3" s="1"/>
  <c r="AL165" i="3" a="1"/>
  <c r="AL165" i="3" s="1"/>
  <c r="H201" i="3" a="1"/>
  <c r="H201" i="3" s="1"/>
  <c r="AF197" i="3" a="1"/>
  <c r="AF197" i="3" s="1"/>
  <c r="AI185" i="3" a="1"/>
  <c r="AI185" i="3" s="1"/>
  <c r="N185" i="3" a="1"/>
  <c r="N185" i="3" s="1"/>
  <c r="AC189" i="3" a="1"/>
  <c r="AC189" i="3" s="1"/>
  <c r="N201" i="3" a="1"/>
  <c r="N201" i="3" s="1"/>
  <c r="R193" i="3" a="1"/>
  <c r="R193" i="3" s="1"/>
  <c r="J189" i="3" a="1"/>
  <c r="J189" i="3" s="1"/>
  <c r="AB177" i="3" a="1"/>
  <c r="AB177" i="3" s="1"/>
  <c r="U193" i="3" a="1"/>
  <c r="U193" i="3" s="1"/>
  <c r="T201" i="3" a="1"/>
  <c r="T201" i="3" s="1"/>
  <c r="AM201" i="3" a="1"/>
  <c r="AM201" i="3" s="1"/>
  <c r="D209" i="3" a="1"/>
  <c r="D209" i="3" s="1"/>
  <c r="N189" i="3" a="1"/>
  <c r="N189" i="3" s="1"/>
  <c r="E197" i="3" a="1"/>
  <c r="E197" i="3" s="1"/>
  <c r="F209" i="3" a="1"/>
  <c r="F209" i="3" s="1"/>
  <c r="AD217" i="3" a="1"/>
  <c r="AD217" i="3" s="1"/>
  <c r="T217" i="3" a="1"/>
  <c r="T217" i="3" s="1"/>
  <c r="W217" i="3" a="1"/>
  <c r="W217" i="3" s="1"/>
  <c r="Y233" i="3" a="1"/>
  <c r="Y233" i="3" s="1"/>
  <c r="AL233" i="3" a="1"/>
  <c r="AL233" i="3" s="1"/>
  <c r="R225" i="3" a="1"/>
  <c r="R225" i="3" s="1"/>
  <c r="AD237" i="3" a="1"/>
  <c r="AD237" i="3" s="1"/>
  <c r="AI9" i="3" a="1"/>
  <c r="AI9" i="3" s="1"/>
  <c r="Q29" i="3" a="1"/>
  <c r="Q29" i="3" s="1"/>
  <c r="AK17" i="3" a="1"/>
  <c r="AK17" i="3" s="1"/>
  <c r="R17" i="3" a="1"/>
  <c r="R17" i="3" s="1"/>
  <c r="O25" i="3" a="1"/>
  <c r="O25" i="3" s="1"/>
  <c r="AC29" i="3" a="1"/>
  <c r="AC29" i="3" s="1"/>
  <c r="AB33" i="3" a="1"/>
  <c r="AB33" i="3" s="1"/>
  <c r="Q49" i="3" a="1"/>
  <c r="Q49" i="3" s="1"/>
  <c r="K37" i="3" a="1"/>
  <c r="K37" i="3" s="1"/>
  <c r="N33" i="3" a="1"/>
  <c r="N33" i="3" s="1"/>
  <c r="AH45" i="3" a="1"/>
  <c r="AH45" i="3" s="1"/>
  <c r="AM37" i="3" a="1"/>
  <c r="AM37" i="3" s="1"/>
  <c r="X53" i="3" a="1"/>
  <c r="X53" i="3" s="1"/>
  <c r="AB53" i="3" a="1"/>
  <c r="AB53" i="3" s="1"/>
  <c r="D53" i="3" a="1"/>
  <c r="D53" i="3" s="1"/>
  <c r="G53" i="3" a="1"/>
  <c r="G53" i="3" s="1"/>
  <c r="H53" i="3" a="1"/>
  <c r="H53" i="3" s="1"/>
  <c r="AM61" i="3" a="1"/>
  <c r="AM61" i="3" s="1"/>
  <c r="D73" i="3" a="1"/>
  <c r="D73" i="3" s="1"/>
  <c r="AD49" i="3" a="1"/>
  <c r="AD49" i="3" s="1"/>
  <c r="W73" i="3" a="1"/>
  <c r="W73" i="3" s="1"/>
  <c r="E61" i="3" a="1"/>
  <c r="E61" i="3" s="1"/>
  <c r="P57" i="3" a="1"/>
  <c r="P57" i="3" s="1"/>
  <c r="J81" i="3" a="1"/>
  <c r="J81" i="3" s="1"/>
  <c r="H89" i="3" a="1"/>
  <c r="H89" i="3" s="1"/>
  <c r="L85" i="3" a="1"/>
  <c r="L85" i="3" s="1"/>
  <c r="N85" i="3" a="1"/>
  <c r="N85" i="3" s="1"/>
  <c r="AI89" i="3" a="1"/>
  <c r="AI89" i="3" s="1"/>
  <c r="M93" i="3" a="1"/>
  <c r="M93" i="3" s="1"/>
  <c r="R97" i="3" a="1"/>
  <c r="R97" i="3" s="1"/>
  <c r="AA89" i="3" a="1"/>
  <c r="AA89" i="3" s="1"/>
  <c r="AE101" i="3" a="1"/>
  <c r="AE101" i="3" s="1"/>
  <c r="AI101" i="3" a="1"/>
  <c r="AI101" i="3" s="1"/>
  <c r="Z105" i="3" a="1"/>
  <c r="Z105" i="3" s="1"/>
  <c r="AM105" i="3" a="1"/>
  <c r="AM105" i="3" s="1"/>
  <c r="AE105" i="3" a="1"/>
  <c r="AE105" i="3" s="1"/>
  <c r="V109" i="3" a="1"/>
  <c r="V109" i="3" s="1"/>
  <c r="R117" i="3" a="1"/>
  <c r="R117" i="3" s="1"/>
  <c r="K117" i="3" a="1"/>
  <c r="K117" i="3" s="1"/>
  <c r="I125" i="3" a="1"/>
  <c r="I125" i="3" s="1"/>
  <c r="M129" i="3" a="1"/>
  <c r="M129" i="3" s="1"/>
  <c r="V113" i="3" a="1"/>
  <c r="V113" i="3" s="1"/>
  <c r="AK125" i="3" a="1"/>
  <c r="AK125" i="3" s="1"/>
  <c r="AF137" i="3" a="1"/>
  <c r="AF137" i="3" s="1"/>
  <c r="AG141" i="3" a="1"/>
  <c r="AG141" i="3" s="1"/>
  <c r="M137" i="3" a="1"/>
  <c r="M137" i="3" s="1"/>
  <c r="AH145" i="3" a="1"/>
  <c r="AH145" i="3" s="1"/>
  <c r="N145" i="3" a="1"/>
  <c r="N145" i="3" s="1"/>
  <c r="V153" i="3" a="1"/>
  <c r="V153" i="3" s="1"/>
  <c r="AJ149" i="3" a="1"/>
  <c r="AJ149" i="3" s="1"/>
  <c r="AD141" i="3" a="1"/>
  <c r="AD141" i="3" s="1"/>
  <c r="Q149" i="3" a="1"/>
  <c r="Q149" i="3" s="1"/>
  <c r="D145" i="3" a="1"/>
  <c r="D145" i="3" s="1"/>
  <c r="J141" i="3" a="1"/>
  <c r="J141" i="3" s="1"/>
  <c r="M149" i="3" a="1"/>
  <c r="M149" i="3" s="1"/>
  <c r="T173" i="3" a="1"/>
  <c r="T173" i="3" s="1"/>
  <c r="AD153" i="3" a="1"/>
  <c r="AD153" i="3" s="1"/>
  <c r="AG165" i="3" a="1"/>
  <c r="AG165" i="3" s="1"/>
  <c r="U157" i="3" a="1"/>
  <c r="U157" i="3" s="1"/>
  <c r="AI173" i="3" a="1"/>
  <c r="AI173" i="3" s="1"/>
  <c r="AF169" i="3" a="1"/>
  <c r="AF169" i="3" s="1"/>
  <c r="F169" i="3" a="1"/>
  <c r="F169" i="3" s="1"/>
  <c r="K173" i="3" a="1"/>
  <c r="K173" i="3" s="1"/>
  <c r="P189" i="3" a="1"/>
  <c r="P189" i="3" s="1"/>
  <c r="AJ185" i="3" a="1"/>
  <c r="AJ185" i="3" s="1"/>
  <c r="F193" i="3" a="1"/>
  <c r="F193" i="3" s="1"/>
  <c r="Y201" i="3" a="1"/>
  <c r="Y201" i="3" s="1"/>
  <c r="AM193" i="3" a="1"/>
  <c r="AM193" i="3" s="1"/>
  <c r="AE189" i="3" a="1"/>
  <c r="AE189" i="3" s="1"/>
  <c r="K181" i="3" a="1"/>
  <c r="K181" i="3" s="1"/>
  <c r="AD197" i="3" a="1"/>
  <c r="AD197" i="3" s="1"/>
  <c r="AL201" i="3" a="1"/>
  <c r="AL201" i="3" s="1"/>
  <c r="G205" i="3" a="1"/>
  <c r="G205" i="3" s="1"/>
  <c r="P209" i="3" a="1"/>
  <c r="P209" i="3" s="1"/>
  <c r="J193" i="3" a="1"/>
  <c r="J193" i="3" s="1"/>
  <c r="AE201" i="3" a="1"/>
  <c r="AE201" i="3" s="1"/>
  <c r="K217" i="3" a="1"/>
  <c r="K217" i="3" s="1"/>
  <c r="Q209" i="3" a="1"/>
  <c r="Q209" i="3" s="1"/>
  <c r="S221" i="3" a="1"/>
  <c r="S221" i="3" s="1"/>
  <c r="AI209" i="3" a="1"/>
  <c r="AI209" i="3" s="1"/>
  <c r="AJ233" i="3" a="1"/>
  <c r="AJ233" i="3" s="1"/>
  <c r="O237" i="3" a="1"/>
  <c r="O237" i="3" s="1"/>
  <c r="F229" i="3" a="1"/>
  <c r="F229" i="3" s="1"/>
  <c r="J229" i="3" a="1"/>
  <c r="J229" i="3" s="1"/>
  <c r="O21" i="3" a="1"/>
  <c r="O21" i="3" s="1"/>
  <c r="AB29" i="3" a="1"/>
  <c r="AB29" i="3" s="1"/>
  <c r="D17" i="3" a="1"/>
  <c r="D17" i="3" s="1"/>
  <c r="AC17" i="3" a="1"/>
  <c r="AC17" i="3" s="1"/>
  <c r="Y29" i="3" a="1"/>
  <c r="Y29" i="3" s="1"/>
  <c r="Y21" i="3" a="1"/>
  <c r="Y21" i="3" s="1"/>
  <c r="AM33" i="3" a="1"/>
  <c r="AM33" i="3" s="1"/>
  <c r="Z33" i="3" a="1"/>
  <c r="Z33" i="3" s="1"/>
  <c r="AH37" i="3" a="1"/>
  <c r="AH37" i="3" s="1"/>
  <c r="AE33" i="3" a="1"/>
  <c r="AE33" i="3" s="1"/>
  <c r="O41" i="3" a="1"/>
  <c r="O41" i="3" s="1"/>
  <c r="Q41" i="3" a="1"/>
  <c r="Q41" i="3" s="1"/>
  <c r="V57" i="3" a="1"/>
  <c r="V57" i="3" s="1"/>
  <c r="J61" i="3" a="1"/>
  <c r="J61" i="3" s="1"/>
  <c r="AD53" i="3" a="1"/>
  <c r="AD53" i="3" s="1"/>
  <c r="AG53" i="3" a="1"/>
  <c r="AG53" i="3" s="1"/>
  <c r="AH53" i="3" a="1"/>
  <c r="AH53" i="3" s="1"/>
  <c r="F65" i="3" a="1"/>
  <c r="F65" i="3" s="1"/>
  <c r="Y73" i="3" a="1"/>
  <c r="Y73" i="3" s="1"/>
  <c r="AM53" i="3" a="1"/>
  <c r="AM53" i="3" s="1"/>
  <c r="P77" i="3" a="1"/>
  <c r="P77" i="3" s="1"/>
  <c r="K65" i="3" a="1"/>
  <c r="K65" i="3" s="1"/>
  <c r="AB57" i="3" a="1"/>
  <c r="AB57" i="3" s="1"/>
  <c r="AE81" i="3" a="1"/>
  <c r="AE81" i="3" s="1"/>
  <c r="AC89" i="3" a="1"/>
  <c r="AC89" i="3" s="1"/>
  <c r="AG85" i="3" a="1"/>
  <c r="AG85" i="3" s="1"/>
  <c r="L89" i="3" a="1"/>
  <c r="L89" i="3" s="1"/>
  <c r="L93" i="3" a="1"/>
  <c r="L93" i="3" s="1"/>
  <c r="P97" i="3" a="1"/>
  <c r="P97" i="3" s="1"/>
  <c r="AM97" i="3" a="1"/>
  <c r="AM97" i="3" s="1"/>
  <c r="E93" i="3" a="1"/>
  <c r="E93" i="3" s="1"/>
  <c r="M89" i="3" a="1"/>
  <c r="M89" i="3" s="1"/>
  <c r="L97" i="3" a="1"/>
  <c r="L97" i="3" s="1"/>
  <c r="AK105" i="3" a="1"/>
  <c r="AK105" i="3" s="1"/>
  <c r="AD93" i="3" a="1"/>
  <c r="AD93" i="3" s="1"/>
  <c r="D97" i="3" a="1"/>
  <c r="D97" i="3" s="1"/>
  <c r="E109" i="3" a="1"/>
  <c r="E109" i="3" s="1"/>
  <c r="AC117" i="3" a="1"/>
  <c r="AC117" i="3" s="1"/>
  <c r="V117" i="3" a="1"/>
  <c r="V117" i="3" s="1"/>
  <c r="T125" i="3" a="1"/>
  <c r="T125" i="3" s="1"/>
  <c r="AH129" i="3" a="1"/>
  <c r="AH129" i="3" s="1"/>
  <c r="L117" i="3" a="1"/>
  <c r="L117" i="3" s="1"/>
  <c r="K121" i="3" a="1"/>
  <c r="K121" i="3" s="1"/>
  <c r="S145" i="3" a="1"/>
  <c r="S145" i="3" s="1"/>
  <c r="J145" i="3" a="1"/>
  <c r="J145" i="3" s="1"/>
  <c r="AI137" i="3" a="1"/>
  <c r="AI137" i="3" s="1"/>
  <c r="K149" i="3" a="1"/>
  <c r="K149" i="3" s="1"/>
  <c r="AI145" i="3" a="1"/>
  <c r="AI145" i="3" s="1"/>
  <c r="H129" i="3" a="1"/>
  <c r="H129" i="3" s="1"/>
  <c r="M153" i="3" a="1"/>
  <c r="M153" i="3" s="1"/>
  <c r="AB145" i="3" a="1"/>
  <c r="AB145" i="3" s="1"/>
  <c r="AE153" i="3" a="1"/>
  <c r="AE153" i="3" s="1"/>
  <c r="U153" i="3" a="1"/>
  <c r="U153" i="3" s="1"/>
  <c r="Z153" i="3" a="1"/>
  <c r="Z153" i="3" s="1"/>
  <c r="AE149" i="3" a="1"/>
  <c r="AE149" i="3" s="1"/>
  <c r="D153" i="3" a="1"/>
  <c r="D153" i="3" s="1"/>
  <c r="AM157" i="3" a="1"/>
  <c r="AM157" i="3" s="1"/>
  <c r="N161" i="3" a="1"/>
  <c r="N161" i="3" s="1"/>
  <c r="W157" i="3" a="1"/>
  <c r="W157" i="3" s="1"/>
  <c r="AF177" i="3" a="1"/>
  <c r="AF177" i="3" s="1"/>
  <c r="AM173" i="3" a="1"/>
  <c r="AM173" i="3" s="1"/>
  <c r="AM165" i="3" a="1"/>
  <c r="AM165" i="3" s="1"/>
  <c r="P181" i="3" a="1"/>
  <c r="P181" i="3" s="1"/>
  <c r="AL177" i="3" a="1"/>
  <c r="AL177" i="3" s="1"/>
  <c r="D193" i="3" a="1"/>
  <c r="D193" i="3" s="1"/>
  <c r="AL189" i="3" a="1"/>
  <c r="AL189" i="3" s="1"/>
  <c r="O197" i="3" a="1"/>
  <c r="O197" i="3" s="1"/>
  <c r="W205" i="3" a="1"/>
  <c r="W205" i="3" s="1"/>
  <c r="F197" i="3" a="1"/>
  <c r="F197" i="3" s="1"/>
  <c r="H193" i="3" a="1"/>
  <c r="H193" i="3" s="1"/>
  <c r="Z181" i="3" a="1"/>
  <c r="Z181" i="3" s="1"/>
  <c r="P201" i="3" a="1"/>
  <c r="P201" i="3" s="1"/>
  <c r="AB209" i="3" a="1"/>
  <c r="AB209" i="3" s="1"/>
  <c r="X197" i="3" a="1"/>
  <c r="X197" i="3" s="1"/>
  <c r="Z205" i="3" a="1"/>
  <c r="Z205" i="3" s="1"/>
  <c r="Z217" i="3" a="1"/>
  <c r="Z217" i="3" s="1"/>
  <c r="N217" i="3" a="1"/>
  <c r="N217" i="3" s="1"/>
  <c r="AG221" i="3" a="1"/>
  <c r="AG221" i="3" s="1"/>
  <c r="M213" i="3" a="1"/>
  <c r="M213" i="3" s="1"/>
  <c r="V221" i="3" a="1"/>
  <c r="V221" i="3" s="1"/>
  <c r="AJ237" i="3" a="1"/>
  <c r="AJ237" i="3" s="1"/>
  <c r="W229" i="3" a="1"/>
  <c r="W229" i="3" s="1"/>
  <c r="AA229" i="3" a="1"/>
  <c r="AA229" i="3" s="1"/>
  <c r="AK21" i="3" a="1"/>
  <c r="AK21" i="3" s="1"/>
  <c r="K33" i="3" a="1"/>
  <c r="K33" i="3" s="1"/>
  <c r="U21" i="3" a="1"/>
  <c r="U21" i="3" s="1"/>
  <c r="X21" i="3" a="1"/>
  <c r="X21" i="3" s="1"/>
  <c r="AH25" i="3" a="1"/>
  <c r="AH25" i="3" s="1"/>
  <c r="D25" i="3" a="1"/>
  <c r="D25" i="3" s="1"/>
  <c r="F33" i="3" a="1"/>
  <c r="F33" i="3" s="1"/>
  <c r="U37" i="3" a="1"/>
  <c r="U37" i="3" s="1"/>
  <c r="AE45" i="3" a="1"/>
  <c r="AE45" i="3" s="1"/>
  <c r="Y37" i="3" a="1"/>
  <c r="Y37" i="3" s="1"/>
  <c r="AE29" i="3" a="1"/>
  <c r="AE29" i="3" s="1"/>
  <c r="G41" i="3" a="1"/>
  <c r="G41" i="3" s="1"/>
  <c r="S37" i="3" a="1"/>
  <c r="S37" i="3" s="1"/>
  <c r="AF61" i="3" a="1"/>
  <c r="AF61" i="3" s="1"/>
  <c r="L61" i="3" a="1"/>
  <c r="L61" i="3" s="1"/>
  <c r="AH57" i="3" a="1"/>
  <c r="AH57" i="3" s="1"/>
  <c r="AI57" i="3" a="1"/>
  <c r="AI57" i="3" s="1"/>
  <c r="AL65" i="3" a="1"/>
  <c r="AL65" i="3" s="1"/>
  <c r="Z49" i="3" a="1"/>
  <c r="Z49" i="3" s="1"/>
  <c r="AA57" i="3" a="1"/>
  <c r="AA57" i="3" s="1"/>
  <c r="AB65" i="3" a="1"/>
  <c r="AB65" i="3" s="1"/>
  <c r="Z69" i="3" a="1"/>
  <c r="Z69" i="3" s="1"/>
  <c r="H81" i="3" a="1"/>
  <c r="H81" i="3" s="1"/>
  <c r="AC85" i="3" a="1"/>
  <c r="AC85" i="3" s="1"/>
  <c r="L81" i="3" a="1"/>
  <c r="L81" i="3" s="1"/>
  <c r="N81" i="3" a="1"/>
  <c r="N81" i="3" s="1"/>
  <c r="U93" i="3" a="1"/>
  <c r="U93" i="3" s="1"/>
  <c r="AI73" i="3" a="1"/>
  <c r="AI73" i="3" s="1"/>
  <c r="D101" i="3" a="1"/>
  <c r="D101" i="3" s="1"/>
  <c r="O93" i="3" a="1"/>
  <c r="O93" i="3" s="1"/>
  <c r="AE97" i="3" a="1"/>
  <c r="AE97" i="3" s="1"/>
  <c r="T93" i="3" a="1"/>
  <c r="T93" i="3" s="1"/>
  <c r="U101" i="3" a="1"/>
  <c r="U101" i="3" s="1"/>
  <c r="AM109" i="3" a="1"/>
  <c r="AM109" i="3" s="1"/>
  <c r="J109" i="3" a="1"/>
  <c r="J109" i="3" s="1"/>
  <c r="AF101" i="3" a="1"/>
  <c r="AF101" i="3" s="1"/>
  <c r="W109" i="3" a="1"/>
  <c r="W109" i="3" s="1"/>
  <c r="D113" i="3" a="1"/>
  <c r="D113" i="3" s="1"/>
  <c r="M121" i="3" a="1"/>
  <c r="M121" i="3" s="1"/>
  <c r="K129" i="3" a="1"/>
  <c r="K129" i="3" s="1"/>
  <c r="Q121" i="3" a="1"/>
  <c r="Q121" i="3" s="1"/>
  <c r="M125" i="3" a="1"/>
  <c r="M125" i="3" s="1"/>
  <c r="AG121" i="3" a="1"/>
  <c r="AG121" i="3" s="1"/>
  <c r="K141" i="3" a="1"/>
  <c r="K141" i="3" s="1"/>
  <c r="AB153" i="3" a="1"/>
  <c r="AB153" i="3" s="1"/>
  <c r="L145" i="3" a="1"/>
  <c r="L145" i="3" s="1"/>
  <c r="R125" i="3" a="1"/>
  <c r="R125" i="3" s="1"/>
  <c r="F129" i="3" a="1"/>
  <c r="F129" i="3" s="1"/>
  <c r="R133" i="3" a="1"/>
  <c r="R133" i="3" s="1"/>
  <c r="V157" i="3" a="1"/>
  <c r="V157" i="3" s="1"/>
  <c r="O129" i="3" a="1"/>
  <c r="O129" i="3" s="1"/>
  <c r="S157" i="3" a="1"/>
  <c r="S157" i="3" s="1"/>
  <c r="AE161" i="3" a="1"/>
  <c r="AE161" i="3" s="1"/>
  <c r="M161" i="3" a="1"/>
  <c r="M161" i="3" s="1"/>
  <c r="AC153" i="3" a="1"/>
  <c r="AC153" i="3" s="1"/>
  <c r="G161" i="3" a="1"/>
  <c r="G161" i="3" s="1"/>
  <c r="Z161" i="3" a="1"/>
  <c r="Z161" i="3" s="1"/>
  <c r="O157" i="3" a="1"/>
  <c r="O157" i="3" s="1"/>
  <c r="AI161" i="3" a="1"/>
  <c r="AI161" i="3" s="1"/>
  <c r="AI181" i="3" a="1"/>
  <c r="AI181" i="3" s="1"/>
  <c r="M177" i="3" a="1"/>
  <c r="M177" i="3" s="1"/>
  <c r="AD173" i="3" a="1"/>
  <c r="AD173" i="3" s="1"/>
  <c r="AF185" i="3" a="1"/>
  <c r="AF185" i="3" s="1"/>
  <c r="W185" i="3" a="1"/>
  <c r="W185" i="3" s="1"/>
  <c r="M197" i="3" a="1"/>
  <c r="M197" i="3" s="1"/>
  <c r="N197" i="3" a="1"/>
  <c r="N197" i="3" s="1"/>
  <c r="M201" i="3" a="1"/>
  <c r="M201" i="3" s="1"/>
  <c r="I213" i="3" a="1"/>
  <c r="I213" i="3" s="1"/>
  <c r="D201" i="3" a="1"/>
  <c r="D201" i="3" s="1"/>
  <c r="Q197" i="3" a="1"/>
  <c r="Q197" i="3" s="1"/>
  <c r="U189" i="3" a="1"/>
  <c r="U189" i="3" s="1"/>
  <c r="AM205" i="3" a="1"/>
  <c r="AM205" i="3" s="1"/>
  <c r="Z209" i="3" a="1"/>
  <c r="Z209" i="3" s="1"/>
  <c r="AB201" i="3" a="1"/>
  <c r="AB201" i="3" s="1"/>
  <c r="E213" i="3" a="1"/>
  <c r="E213" i="3" s="1"/>
  <c r="P225" i="3" a="1"/>
  <c r="P225" i="3" s="1"/>
  <c r="O221" i="3" a="1"/>
  <c r="O221" i="3" s="1"/>
  <c r="AJ225" i="3" a="1"/>
  <c r="AJ225" i="3" s="1"/>
  <c r="AL217" i="3" a="1"/>
  <c r="AL217" i="3" s="1"/>
  <c r="AI225" i="3" a="1"/>
  <c r="AI225" i="3" s="1"/>
  <c r="AE221" i="3" a="1"/>
  <c r="AE221" i="3" s="1"/>
  <c r="G229" i="3" a="1"/>
  <c r="G229" i="3" s="1"/>
  <c r="I221" i="3" a="1"/>
  <c r="I221" i="3" s="1"/>
  <c r="I25" i="3" a="1"/>
  <c r="I25" i="3" s="1"/>
  <c r="M17" i="3" a="1"/>
  <c r="M17" i="3" s="1"/>
  <c r="AF21" i="3" a="1"/>
  <c r="AF21" i="3" s="1"/>
  <c r="AI21" i="3" a="1"/>
  <c r="AI21" i="3" s="1"/>
  <c r="V33" i="3" a="1"/>
  <c r="V33" i="3" s="1"/>
  <c r="W25" i="3" a="1"/>
  <c r="W25" i="3" s="1"/>
  <c r="R33" i="3" a="1"/>
  <c r="R33" i="3" s="1"/>
  <c r="AF37" i="3" a="1"/>
  <c r="AF37" i="3" s="1"/>
  <c r="H49" i="3" a="1"/>
  <c r="H49" i="3" s="1"/>
  <c r="AJ37" i="3" a="1"/>
  <c r="AJ37" i="3" s="1"/>
  <c r="AJ33" i="3" a="1"/>
  <c r="AJ33" i="3" s="1"/>
  <c r="AB41" i="3" a="1"/>
  <c r="AB41" i="3" s="1"/>
  <c r="AD37" i="3" a="1"/>
  <c r="AD37" i="3" s="1"/>
  <c r="U65" i="3" a="1"/>
  <c r="U65" i="3" s="1"/>
  <c r="V45" i="3" a="1"/>
  <c r="V45" i="3" s="1"/>
  <c r="Z61" i="3" a="1"/>
  <c r="Z61" i="3" s="1"/>
  <c r="P61" i="3" a="1"/>
  <c r="P61" i="3" s="1"/>
  <c r="O69" i="3" a="1"/>
  <c r="O69" i="3" s="1"/>
  <c r="AL53" i="3" a="1"/>
  <c r="AL53" i="3" s="1"/>
  <c r="AM57" i="3" a="1"/>
  <c r="AM57" i="3" s="1"/>
  <c r="I73" i="3" a="1"/>
  <c r="I73" i="3" s="1"/>
  <c r="N73" i="3" a="1"/>
  <c r="N73" i="3" s="1"/>
  <c r="AC81" i="3" a="1"/>
  <c r="AC81" i="3" s="1"/>
  <c r="AL89" i="3" a="1"/>
  <c r="AL89" i="3" s="1"/>
  <c r="AG81" i="3" a="1"/>
  <c r="AG81" i="3" s="1"/>
  <c r="AI81" i="3" a="1"/>
  <c r="AI81" i="3" s="1"/>
  <c r="H73" i="3" a="1"/>
  <c r="H73" i="3" s="1"/>
  <c r="AJ77" i="3" a="1"/>
  <c r="AJ77" i="3" s="1"/>
  <c r="Y101" i="3" a="1"/>
  <c r="Y101" i="3" s="1"/>
  <c r="H97" i="3" a="1"/>
  <c r="H97" i="3" s="1"/>
  <c r="H101" i="3" a="1"/>
  <c r="H101" i="3" s="1"/>
  <c r="F85" i="3" a="1"/>
  <c r="F85" i="3" s="1"/>
  <c r="AK101" i="3" a="1"/>
  <c r="AK101" i="3" s="1"/>
  <c r="P113" i="3" a="1"/>
  <c r="P113" i="3" s="1"/>
  <c r="AE109" i="3" a="1"/>
  <c r="AE109" i="3" s="1"/>
  <c r="N101" i="3" a="1"/>
  <c r="N101" i="3" s="1"/>
  <c r="I109" i="3" a="1"/>
  <c r="I109" i="3" s="1"/>
  <c r="T113" i="3" a="1"/>
  <c r="T113" i="3" s="1"/>
  <c r="AI121" i="3" a="1"/>
  <c r="AI121" i="3" s="1"/>
  <c r="AF129" i="3" a="1"/>
  <c r="AF129" i="3" s="1"/>
  <c r="AB121" i="3" a="1"/>
  <c r="AB121" i="3" s="1"/>
  <c r="X125" i="3" a="1"/>
  <c r="X125" i="3" s="1"/>
  <c r="AA133" i="3" a="1"/>
  <c r="AA133" i="3" s="1"/>
  <c r="AF141" i="3" a="1"/>
  <c r="AF141" i="3" s="1"/>
  <c r="E157" i="3" a="1"/>
  <c r="E157" i="3" s="1"/>
  <c r="AG145" i="3" a="1"/>
  <c r="AG145" i="3" s="1"/>
  <c r="E129" i="3" a="1"/>
  <c r="E129" i="3" s="1"/>
  <c r="AA129" i="3" a="1"/>
  <c r="AA129" i="3" s="1"/>
  <c r="AL141" i="3" a="1"/>
  <c r="AL141" i="3" s="1"/>
  <c r="AH125" i="3" a="1"/>
  <c r="AH125" i="3" s="1"/>
  <c r="AJ129" i="3" a="1"/>
  <c r="AJ129" i="3" s="1"/>
  <c r="AE157" i="3" a="1"/>
  <c r="AE157" i="3" s="1"/>
  <c r="H145" i="3" a="1"/>
  <c r="H145" i="3" s="1"/>
  <c r="AH161" i="3" a="1"/>
  <c r="AH161" i="3" s="1"/>
  <c r="P161" i="3" a="1"/>
  <c r="P161" i="3" s="1"/>
  <c r="W161" i="3" a="1"/>
  <c r="W161" i="3" s="1"/>
  <c r="F165" i="3" a="1"/>
  <c r="F165" i="3" s="1"/>
  <c r="AF161" i="3" a="1"/>
  <c r="AF161" i="3" s="1"/>
  <c r="AA157" i="3" a="1"/>
  <c r="AA157" i="3" s="1"/>
  <c r="L165" i="3" a="1"/>
  <c r="L165" i="3" s="1"/>
  <c r="AJ177" i="3" a="1"/>
  <c r="AJ177" i="3" s="1"/>
  <c r="H185" i="3" a="1"/>
  <c r="H185" i="3" s="1"/>
  <c r="X189" i="3" a="1"/>
  <c r="X189" i="3" s="1"/>
  <c r="AH185" i="3" a="1"/>
  <c r="AH185" i="3" s="1"/>
  <c r="AH197" i="3" a="1"/>
  <c r="AH197" i="3" s="1"/>
  <c r="AI197" i="3" a="1"/>
  <c r="AI197" i="3" s="1"/>
  <c r="AH201" i="3" a="1"/>
  <c r="AH201" i="3" s="1"/>
  <c r="AD213" i="3" a="1"/>
  <c r="AD213" i="3" s="1"/>
  <c r="O201" i="3" a="1"/>
  <c r="O201" i="3" s="1"/>
  <c r="AL197" i="3" a="1"/>
  <c r="AL197" i="3" s="1"/>
  <c r="S193" i="3" a="1"/>
  <c r="S193" i="3" s="1"/>
  <c r="J209" i="3" a="1"/>
  <c r="J209" i="3" s="1"/>
  <c r="AL209" i="3" a="1"/>
  <c r="AL209" i="3" s="1"/>
  <c r="AA209" i="3" a="1"/>
  <c r="AA209" i="3" s="1"/>
  <c r="X201" i="3" a="1"/>
  <c r="X201" i="3" s="1"/>
  <c r="AJ205" i="3" a="1"/>
  <c r="AJ205" i="3" s="1"/>
  <c r="AC213" i="3" a="1"/>
  <c r="AC213" i="3" s="1"/>
  <c r="AB229" i="3" a="1"/>
  <c r="AB229" i="3" s="1"/>
  <c r="F225" i="3" a="1"/>
  <c r="F225" i="3" s="1"/>
  <c r="V229" i="3" a="1"/>
  <c r="V229" i="3" s="1"/>
  <c r="N221" i="3" a="1"/>
  <c r="N221" i="3" s="1"/>
  <c r="X237" i="3" a="1"/>
  <c r="X237" i="3" s="1"/>
  <c r="AL225" i="3" a="1"/>
  <c r="AL225" i="3" s="1"/>
  <c r="H233" i="3" a="1"/>
  <c r="H233" i="3" s="1"/>
  <c r="Z225" i="3" a="1"/>
  <c r="Z225" i="3" s="1"/>
  <c r="Z21" i="3" a="1"/>
  <c r="Z21" i="3" s="1"/>
  <c r="I17" i="3" a="1"/>
  <c r="I17" i="3" s="1"/>
  <c r="J45" i="3" a="1"/>
  <c r="J45" i="3" s="1"/>
  <c r="H37" i="3" a="1"/>
  <c r="H37" i="3" s="1"/>
  <c r="J57" i="3" a="1"/>
  <c r="J57" i="3" s="1"/>
  <c r="AM77" i="3" a="1"/>
  <c r="AM77" i="3" s="1"/>
  <c r="U73" i="3" a="1"/>
  <c r="U73" i="3" s="1"/>
  <c r="AK97" i="3" a="1"/>
  <c r="AK97" i="3" s="1"/>
  <c r="AJ101" i="3" a="1"/>
  <c r="AJ101" i="3" s="1"/>
  <c r="AK109" i="3" a="1"/>
  <c r="AK109" i="3" s="1"/>
  <c r="F121" i="3" a="1"/>
  <c r="F121" i="3" s="1"/>
  <c r="G153" i="3" a="1"/>
  <c r="G153" i="3" s="1"/>
  <c r="AC129" i="3" a="1"/>
  <c r="AC129" i="3" s="1"/>
  <c r="J161" i="3" a="1"/>
  <c r="J161" i="3" s="1"/>
  <c r="K161" i="3" a="1"/>
  <c r="K161" i="3" s="1"/>
  <c r="M173" i="3" a="1"/>
  <c r="M173" i="3" s="1"/>
  <c r="Y193" i="3" a="1"/>
  <c r="Y193" i="3" s="1"/>
  <c r="AA197" i="3" a="1"/>
  <c r="AA197" i="3" s="1"/>
  <c r="U209" i="3" a="1"/>
  <c r="U209" i="3" s="1"/>
  <c r="AH213" i="3" a="1"/>
  <c r="AH213" i="3" s="1"/>
  <c r="H221" i="3" a="1"/>
  <c r="H221" i="3" s="1"/>
  <c r="K257" i="3" a="1"/>
  <c r="K257" i="3" s="1"/>
  <c r="AI253" i="3" a="1"/>
  <c r="AI253" i="3" s="1"/>
  <c r="F249" i="3" a="1"/>
  <c r="F249" i="3" s="1"/>
  <c r="G273" i="3" a="1"/>
  <c r="G273" i="3" s="1"/>
  <c r="E241" i="3" a="1"/>
  <c r="E241" i="3" s="1"/>
  <c r="K229" i="3" a="1"/>
  <c r="K229" i="3" s="1"/>
  <c r="AM233" i="3" a="1"/>
  <c r="AM233" i="3" s="1"/>
  <c r="H241" i="3" a="1"/>
  <c r="H241" i="3" s="1"/>
  <c r="F233" i="3" a="1"/>
  <c r="F233" i="3" s="1"/>
  <c r="T257" i="3" a="1"/>
  <c r="T257" i="3" s="1"/>
  <c r="O281" i="3" a="1"/>
  <c r="O281" i="3" s="1"/>
  <c r="N261" i="3" a="1"/>
  <c r="N261" i="3" s="1"/>
  <c r="AH273" i="3" a="1"/>
  <c r="AH273" i="3" s="1"/>
  <c r="AI273" i="3" a="1"/>
  <c r="AI273" i="3" s="1"/>
  <c r="F281" i="3" a="1"/>
  <c r="F281" i="3" s="1"/>
  <c r="D261" i="3" a="1"/>
  <c r="D261" i="3" s="1"/>
  <c r="R281" i="3" a="1"/>
  <c r="R281" i="3" s="1"/>
  <c r="AL277" i="3" a="1"/>
  <c r="AL277" i="3" s="1"/>
  <c r="AM277" i="3" a="1"/>
  <c r="AM277" i="3" s="1"/>
  <c r="AG285" i="3" a="1"/>
  <c r="AG285" i="3" s="1"/>
  <c r="AC249" i="3" a="1"/>
  <c r="AC249" i="3" s="1"/>
  <c r="G277" i="3" a="1"/>
  <c r="G277" i="3" s="1"/>
  <c r="L285" i="3" a="1"/>
  <c r="L285" i="3" s="1"/>
  <c r="Y137" i="3" a="1"/>
  <c r="Y137" i="3" s="1"/>
  <c r="N253" i="3" a="1"/>
  <c r="N253" i="3" s="1"/>
  <c r="AD285" i="3" a="1"/>
  <c r="AD285" i="3" s="1"/>
  <c r="O73" i="3" a="1"/>
  <c r="O73" i="3" s="1"/>
  <c r="AG205" i="3" a="1"/>
  <c r="AG205" i="3" s="1"/>
  <c r="AH269" i="3" a="1"/>
  <c r="AH269" i="3" s="1"/>
  <c r="AE269" i="3" a="1"/>
  <c r="AE269" i="3" s="1"/>
  <c r="S269" i="3" a="1"/>
  <c r="S269" i="3" s="1"/>
  <c r="S233" i="3" a="1"/>
  <c r="S233" i="3" s="1"/>
  <c r="F285" i="3" a="1"/>
  <c r="F285" i="3" s="1"/>
  <c r="N285" i="3" a="1"/>
  <c r="N285" i="3" s="1"/>
  <c r="AD25" i="3" a="1"/>
  <c r="AD25" i="3" s="1"/>
  <c r="AK277" i="3" a="1"/>
  <c r="AK277" i="3" s="1"/>
  <c r="AJ261" i="3" a="1"/>
  <c r="AJ261" i="3" s="1"/>
  <c r="K17" i="3" a="1"/>
  <c r="K17" i="3" s="1"/>
  <c r="J17" i="3" a="1"/>
  <c r="J17" i="3" s="1"/>
  <c r="AC49" i="3" a="1"/>
  <c r="AC49" i="3" s="1"/>
  <c r="S41" i="3" a="1"/>
  <c r="S41" i="3" s="1"/>
  <c r="AA61" i="3" a="1"/>
  <c r="AA61" i="3" s="1"/>
  <c r="AL73" i="3" a="1"/>
  <c r="AL73" i="3" s="1"/>
  <c r="J85" i="3" a="1"/>
  <c r="J85" i="3" s="1"/>
  <c r="AM81" i="3" a="1"/>
  <c r="AM81" i="3" s="1"/>
  <c r="M105" i="3" a="1"/>
  <c r="M105" i="3" s="1"/>
  <c r="N113" i="3" a="1"/>
  <c r="N113" i="3" s="1"/>
  <c r="AM121" i="3" a="1"/>
  <c r="AM121" i="3" s="1"/>
  <c r="Z157" i="3" a="1"/>
  <c r="Z157" i="3" s="1"/>
  <c r="E145" i="3" a="1"/>
  <c r="E145" i="3" s="1"/>
  <c r="W149" i="3" a="1"/>
  <c r="W149" i="3" s="1"/>
  <c r="AE165" i="3" a="1"/>
  <c r="AE165" i="3" s="1"/>
  <c r="AJ169" i="3" a="1"/>
  <c r="AJ169" i="3" s="1"/>
  <c r="AJ201" i="3" a="1"/>
  <c r="AJ201" i="3" s="1"/>
  <c r="E217" i="3" a="1"/>
  <c r="E217" i="3" s="1"/>
  <c r="AK209" i="3" a="1"/>
  <c r="AK209" i="3" s="1"/>
  <c r="AF229" i="3" a="1"/>
  <c r="AF229" i="3" s="1"/>
  <c r="AD229" i="3" a="1"/>
  <c r="AD229" i="3" s="1"/>
  <c r="AF257" i="3" a="1"/>
  <c r="AF257" i="3" s="1"/>
  <c r="L257" i="3" a="1"/>
  <c r="L257" i="3" s="1"/>
  <c r="D253" i="3" a="1"/>
  <c r="D253" i="3" s="1"/>
  <c r="AB273" i="3" a="1"/>
  <c r="AB273" i="3" s="1"/>
  <c r="S245" i="3" a="1"/>
  <c r="S245" i="3" s="1"/>
  <c r="F241" i="3" a="1"/>
  <c r="F241" i="3" s="1"/>
  <c r="AF241" i="3" a="1"/>
  <c r="AF241" i="3" s="1"/>
  <c r="AG241" i="3" a="1"/>
  <c r="AG241" i="3" s="1"/>
  <c r="J241" i="3" a="1"/>
  <c r="J241" i="3" s="1"/>
  <c r="L241" i="3" a="1"/>
  <c r="L241" i="3" s="1"/>
  <c r="M261" i="3" a="1"/>
  <c r="M261" i="3" s="1"/>
  <c r="Y265" i="3" a="1"/>
  <c r="Y265" i="3" s="1"/>
  <c r="F277" i="3" a="1"/>
  <c r="F277" i="3" s="1"/>
  <c r="Q261" i="3" a="1"/>
  <c r="Q261" i="3" s="1"/>
  <c r="AC281" i="3" a="1"/>
  <c r="AC281" i="3" s="1"/>
  <c r="AK261" i="3" a="1"/>
  <c r="AK261" i="3" s="1"/>
  <c r="J253" i="3" a="1"/>
  <c r="J253" i="3" s="1"/>
  <c r="H281" i="3" a="1"/>
  <c r="H281" i="3" s="1"/>
  <c r="AF249" i="3" a="1"/>
  <c r="AF249" i="3" s="1"/>
  <c r="G281" i="3" a="1"/>
  <c r="G281" i="3" s="1"/>
  <c r="H245" i="3" a="1"/>
  <c r="H245" i="3" s="1"/>
  <c r="AF273" i="3" a="1"/>
  <c r="AF273" i="3" s="1"/>
  <c r="AG265" i="3" a="1"/>
  <c r="AG265" i="3" s="1"/>
  <c r="AC113" i="3" a="1"/>
  <c r="AC113" i="3" s="1"/>
  <c r="D237" i="3" a="1"/>
  <c r="D237" i="3" s="1"/>
  <c r="O277" i="3" a="1"/>
  <c r="O277" i="3" s="1"/>
  <c r="L265" i="3" a="1"/>
  <c r="L265" i="3" s="1"/>
  <c r="AD273" i="3" a="1"/>
  <c r="AD273" i="3" s="1"/>
  <c r="AJ21" i="3" a="1"/>
  <c r="AJ21" i="3" s="1"/>
  <c r="T137" i="3" a="1"/>
  <c r="T137" i="3" s="1"/>
  <c r="W237" i="3" a="1"/>
  <c r="W237" i="3" s="1"/>
  <c r="AE261" i="3" a="1"/>
  <c r="AE261" i="3" s="1"/>
  <c r="I245" i="3" a="1"/>
  <c r="I245" i="3" s="1"/>
  <c r="S261" i="3" a="1"/>
  <c r="S261" i="3" s="1"/>
  <c r="Y245" i="3" a="1"/>
  <c r="Y245" i="3" s="1"/>
  <c r="E133" i="3" a="1"/>
  <c r="E133" i="3" s="1"/>
  <c r="AJ281" i="3" a="1"/>
  <c r="AJ281" i="3" s="1"/>
  <c r="AD65" i="3" a="1"/>
  <c r="AD65" i="3" s="1"/>
  <c r="AM217" i="3" a="1"/>
  <c r="AM217" i="3" s="1"/>
  <c r="V241" i="3" a="1"/>
  <c r="V241" i="3" s="1"/>
  <c r="AH265" i="3" a="1"/>
  <c r="AH265" i="3" s="1"/>
  <c r="Z285" i="3" a="1"/>
  <c r="Z285" i="3" s="1"/>
  <c r="P281" i="3" a="1"/>
  <c r="P281" i="3" s="1"/>
  <c r="V17" i="3" a="1"/>
  <c r="V17" i="3" s="1"/>
  <c r="R21" i="3" a="1"/>
  <c r="R21" i="3" s="1"/>
  <c r="L37" i="3" a="1"/>
  <c r="L37" i="3" s="1"/>
  <c r="Q45" i="3" a="1"/>
  <c r="Q45" i="3" s="1"/>
  <c r="AL61" i="3" a="1"/>
  <c r="AL61" i="3" s="1"/>
  <c r="E77" i="3" a="1"/>
  <c r="E77" i="3" s="1"/>
  <c r="AE85" i="3" a="1"/>
  <c r="AE85" i="3" s="1"/>
  <c r="U85" i="3" a="1"/>
  <c r="U85" i="3" s="1"/>
  <c r="X105" i="3" a="1"/>
  <c r="X105" i="3" s="1"/>
  <c r="AD113" i="3" a="1"/>
  <c r="AD113" i="3" s="1"/>
  <c r="V125" i="3" a="1"/>
  <c r="V125" i="3" s="1"/>
  <c r="AK157" i="3" a="1"/>
  <c r="AK157" i="3" s="1"/>
  <c r="Z145" i="3" a="1"/>
  <c r="Z145" i="3" s="1"/>
  <c r="AJ153" i="3" a="1"/>
  <c r="AJ153" i="3" s="1"/>
  <c r="AG169" i="3" a="1"/>
  <c r="AG169" i="3" s="1"/>
  <c r="AB173" i="3" a="1"/>
  <c r="AB173" i="3" s="1"/>
  <c r="AF201" i="3" a="1"/>
  <c r="AF201" i="3" s="1"/>
  <c r="M205" i="3" a="1"/>
  <c r="M205" i="3" s="1"/>
  <c r="Q217" i="3" a="1"/>
  <c r="Q217" i="3" s="1"/>
  <c r="AJ213" i="3" a="1"/>
  <c r="AJ213" i="3" s="1"/>
  <c r="L233" i="3" a="1"/>
  <c r="L233" i="3" s="1"/>
  <c r="K233" i="3" a="1"/>
  <c r="K233" i="3" s="1"/>
  <c r="T261" i="3" a="1"/>
  <c r="T261" i="3" s="1"/>
  <c r="AG257" i="3" a="1"/>
  <c r="AG257" i="3" s="1"/>
  <c r="O253" i="3" a="1"/>
  <c r="O253" i="3" s="1"/>
  <c r="N281" i="3" a="1"/>
  <c r="N281" i="3" s="1"/>
  <c r="G249" i="3" a="1"/>
  <c r="G249" i="3" s="1"/>
  <c r="R241" i="3" a="1"/>
  <c r="R241" i="3" s="1"/>
  <c r="K245" i="3" a="1"/>
  <c r="K245" i="3" s="1"/>
  <c r="L245" i="3" a="1"/>
  <c r="L245" i="3" s="1"/>
  <c r="AI241" i="3" a="1"/>
  <c r="AI241" i="3" s="1"/>
  <c r="AK241" i="3" a="1"/>
  <c r="AK241" i="3" s="1"/>
  <c r="AB261" i="3" a="1"/>
  <c r="AB261" i="3" s="1"/>
  <c r="J269" i="3" a="1"/>
  <c r="J269" i="3" s="1"/>
  <c r="M281" i="3" a="1"/>
  <c r="M281" i="3" s="1"/>
  <c r="AH261" i="3" a="1"/>
  <c r="AH261" i="3" s="1"/>
  <c r="R261" i="3" a="1"/>
  <c r="R261" i="3" s="1"/>
  <c r="D265" i="3" a="1"/>
  <c r="D265" i="3" s="1"/>
  <c r="AC257" i="3" a="1"/>
  <c r="AC257" i="3" s="1"/>
  <c r="T281" i="3" a="1"/>
  <c r="T281" i="3" s="1"/>
  <c r="J261" i="3" a="1"/>
  <c r="J261" i="3" s="1"/>
  <c r="AL285" i="3" a="1"/>
  <c r="AL285" i="3" s="1"/>
  <c r="AD249" i="3" a="1"/>
  <c r="AD249" i="3" s="1"/>
  <c r="AM269" i="3" a="1"/>
  <c r="AM269" i="3" s="1"/>
  <c r="W265" i="3" a="1"/>
  <c r="W265" i="3" s="1"/>
  <c r="AG77" i="3" a="1"/>
  <c r="AG77" i="3" s="1"/>
  <c r="S241" i="3" a="1"/>
  <c r="S241" i="3" s="1"/>
  <c r="AK81" i="3" a="1"/>
  <c r="AK81" i="3" s="1"/>
  <c r="O137" i="3" a="1"/>
  <c r="O137" i="3" s="1"/>
  <c r="H253" i="3" a="1"/>
  <c r="H253" i="3" s="1"/>
  <c r="D269" i="3" a="1"/>
  <c r="D269" i="3" s="1"/>
  <c r="AC253" i="3" a="1"/>
  <c r="AC253" i="3" s="1"/>
  <c r="AL281" i="3" a="1"/>
  <c r="AL281" i="3" s="1"/>
  <c r="T269" i="3" a="1"/>
  <c r="T269" i="3" s="1"/>
  <c r="F97" i="3" a="1"/>
  <c r="F97" i="3" s="1"/>
  <c r="G285" i="3" a="1"/>
  <c r="G285" i="3" s="1"/>
  <c r="D121" i="3" a="1"/>
  <c r="D121" i="3" s="1"/>
  <c r="AM249" i="3" a="1"/>
  <c r="AM249" i="3" s="1"/>
  <c r="AH285" i="3" a="1"/>
  <c r="AH285" i="3" s="1"/>
  <c r="AG17" i="3" a="1"/>
  <c r="AG17" i="3" s="1"/>
  <c r="AI25" i="3" a="1"/>
  <c r="AI25" i="3" s="1"/>
  <c r="W37" i="3" a="1"/>
  <c r="W37" i="3" s="1"/>
  <c r="AB45" i="3" a="1"/>
  <c r="AB45" i="3" s="1"/>
  <c r="E65" i="3" a="1"/>
  <c r="E65" i="3" s="1"/>
  <c r="AE65" i="3" a="1"/>
  <c r="AE65" i="3" s="1"/>
  <c r="AF69" i="3" a="1"/>
  <c r="AF69" i="3" s="1"/>
  <c r="U89" i="3" a="1"/>
  <c r="U89" i="3" s="1"/>
  <c r="AJ105" i="3" a="1"/>
  <c r="AJ105" i="3" s="1"/>
  <c r="AC121" i="3" a="1"/>
  <c r="AC121" i="3" s="1"/>
  <c r="AG125" i="3" a="1"/>
  <c r="AG125" i="3" s="1"/>
  <c r="X133" i="3" a="1"/>
  <c r="X133" i="3" s="1"/>
  <c r="AC125" i="3" a="1"/>
  <c r="AC125" i="3" s="1"/>
  <c r="K145" i="3" a="1"/>
  <c r="K145" i="3" s="1"/>
  <c r="I157" i="3" a="1"/>
  <c r="I157" i="3" s="1"/>
  <c r="N177" i="3" a="1"/>
  <c r="N177" i="3" s="1"/>
  <c r="AM169" i="3" a="1"/>
  <c r="AM169" i="3" s="1"/>
  <c r="AH205" i="3" a="1"/>
  <c r="AH205" i="3" s="1"/>
  <c r="Y221" i="3" a="1"/>
  <c r="Y221" i="3" s="1"/>
  <c r="G217" i="3" a="1"/>
  <c r="G217" i="3" s="1"/>
  <c r="W233" i="3" a="1"/>
  <c r="W233" i="3" s="1"/>
  <c r="V233" i="3" a="1"/>
  <c r="V233" i="3" s="1"/>
  <c r="V237" i="3" a="1"/>
  <c r="V237" i="3" s="1"/>
  <c r="G269" i="3" a="1"/>
  <c r="G269" i="3" s="1"/>
  <c r="AJ253" i="3" a="1"/>
  <c r="AJ253" i="3" s="1"/>
  <c r="AA237" i="3" a="1"/>
  <c r="AA237" i="3" s="1"/>
  <c r="AB249" i="3" a="1"/>
  <c r="AB249" i="3" s="1"/>
  <c r="T245" i="3" a="1"/>
  <c r="T245" i="3" s="1"/>
  <c r="AF245" i="3" a="1"/>
  <c r="AF245" i="3" s="1"/>
  <c r="J249" i="3" a="1"/>
  <c r="J249" i="3" s="1"/>
  <c r="X245" i="3" a="1"/>
  <c r="X245" i="3" s="1"/>
  <c r="O245" i="3" a="1"/>
  <c r="O245" i="3" s="1"/>
  <c r="X265" i="3" a="1"/>
  <c r="X265" i="3" s="1"/>
  <c r="W269" i="3" a="1"/>
  <c r="W269" i="3" s="1"/>
  <c r="E285" i="3" a="1"/>
  <c r="E285" i="3" s="1"/>
  <c r="AA265" i="3" a="1"/>
  <c r="AA265" i="3" s="1"/>
  <c r="AB265" i="3" a="1"/>
  <c r="AB265" i="3" s="1"/>
  <c r="AC265" i="3" a="1"/>
  <c r="AC265" i="3" s="1"/>
  <c r="AM261" i="3" a="1"/>
  <c r="AM261" i="3" s="1"/>
  <c r="AE281" i="3" a="1"/>
  <c r="AE281" i="3" s="1"/>
  <c r="AA261" i="3" a="1"/>
  <c r="AA261" i="3" s="1"/>
  <c r="J285" i="3" a="1"/>
  <c r="J285" i="3" s="1"/>
  <c r="J233" i="3" a="1"/>
  <c r="J233" i="3" s="1"/>
  <c r="U273" i="3" a="1"/>
  <c r="U273" i="3" s="1"/>
  <c r="AF285" i="3" a="1"/>
  <c r="AF285" i="3" s="1"/>
  <c r="J89" i="3" a="1"/>
  <c r="J89" i="3" s="1"/>
  <c r="AD269" i="3" a="1"/>
  <c r="AD269" i="3" s="1"/>
  <c r="AJ121" i="3" a="1"/>
  <c r="AJ121" i="3" s="1"/>
  <c r="J265" i="3" a="1"/>
  <c r="J265" i="3" s="1"/>
  <c r="AA281" i="3" a="1"/>
  <c r="AA281" i="3" s="1"/>
  <c r="P237" i="3" a="1"/>
  <c r="P237" i="3" s="1"/>
  <c r="AB169" i="3" a="1"/>
  <c r="AB169" i="3" s="1"/>
  <c r="W257" i="3" a="1"/>
  <c r="W257" i="3" s="1"/>
  <c r="F153" i="3" a="1"/>
  <c r="F153" i="3" s="1"/>
  <c r="M285" i="3" a="1"/>
  <c r="M285" i="3" s="1"/>
  <c r="P21" i="3" a="1"/>
  <c r="P21" i="3" s="1"/>
  <c r="L29" i="3" a="1"/>
  <c r="L29" i="3" s="1"/>
  <c r="L41" i="3" a="1"/>
  <c r="L41" i="3" s="1"/>
  <c r="I41" i="3" a="1"/>
  <c r="I41" i="3" s="1"/>
  <c r="Z65" i="3" a="1"/>
  <c r="Z65" i="3" s="1"/>
  <c r="D69" i="3" a="1"/>
  <c r="D69" i="3" s="1"/>
  <c r="X73" i="3" a="1"/>
  <c r="X73" i="3" s="1"/>
  <c r="Z93" i="3" a="1"/>
  <c r="Z93" i="3" s="1"/>
  <c r="F109" i="3" a="1"/>
  <c r="F109" i="3" s="1"/>
  <c r="F125" i="3" a="1"/>
  <c r="F125" i="3" s="1"/>
  <c r="X129" i="3" a="1"/>
  <c r="X129" i="3" s="1"/>
  <c r="AJ133" i="3" a="1"/>
  <c r="AJ133" i="3" s="1"/>
  <c r="I129" i="3" a="1"/>
  <c r="I129" i="3" s="1"/>
  <c r="D149" i="3" a="1"/>
  <c r="D149" i="3" s="1"/>
  <c r="AA161" i="3" a="1"/>
  <c r="AA161" i="3" s="1"/>
  <c r="AK177" i="3" a="1"/>
  <c r="AK177" i="3" s="1"/>
  <c r="O173" i="3" a="1"/>
  <c r="O173" i="3" s="1"/>
  <c r="AK221" i="3" a="1"/>
  <c r="AK221" i="3" s="1"/>
  <c r="AK213" i="3" a="1"/>
  <c r="AK213" i="3" s="1"/>
  <c r="AH233" i="3" a="1"/>
  <c r="AH233" i="3" s="1"/>
  <c r="AG233" i="3" a="1"/>
  <c r="AG233" i="3" s="1"/>
  <c r="N241" i="3" a="1"/>
  <c r="N241" i="3" s="1"/>
  <c r="AB269" i="3" a="1"/>
  <c r="AB269" i="3" s="1"/>
  <c r="M257" i="3" a="1"/>
  <c r="M257" i="3" s="1"/>
  <c r="D241" i="3" a="1"/>
  <c r="D241" i="3" s="1"/>
  <c r="P253" i="3" a="1"/>
  <c r="P253" i="3" s="1"/>
  <c r="H249" i="3" a="1"/>
  <c r="H249" i="3" s="1"/>
  <c r="I249" i="3" a="1"/>
  <c r="I249" i="3" s="1"/>
  <c r="AE249" i="3" a="1"/>
  <c r="AE249" i="3" s="1"/>
  <c r="AG249" i="3" a="1"/>
  <c r="AG249" i="3" s="1"/>
  <c r="AJ245" i="3" a="1"/>
  <c r="AJ245" i="3" s="1"/>
  <c r="H273" i="3" a="1"/>
  <c r="H273" i="3" s="1"/>
  <c r="I273" i="3" a="1"/>
  <c r="I273" i="3" s="1"/>
  <c r="AK285" i="3" a="1"/>
  <c r="AK285" i="3" s="1"/>
  <c r="L269" i="3" a="1"/>
  <c r="L269" i="3" s="1"/>
  <c r="Z269" i="3" a="1"/>
  <c r="Z269" i="3" s="1"/>
  <c r="AA269" i="3" a="1"/>
  <c r="AA269" i="3" s="1"/>
  <c r="R265" i="3" a="1"/>
  <c r="R265" i="3" s="1"/>
  <c r="K285" i="3" a="1"/>
  <c r="K285" i="3" s="1"/>
  <c r="H265" i="3" a="1"/>
  <c r="H265" i="3" s="1"/>
  <c r="T285" i="3" a="1"/>
  <c r="T285" i="3" s="1"/>
  <c r="AK253" i="3" a="1"/>
  <c r="AK253" i="3" s="1"/>
  <c r="M273" i="3" a="1"/>
  <c r="M273" i="3" s="1"/>
  <c r="AI117" i="3" a="1"/>
  <c r="AI117" i="3" s="1"/>
  <c r="P261" i="3" a="1"/>
  <c r="P261" i="3" s="1"/>
  <c r="AH113" i="3" a="1"/>
  <c r="AH113" i="3" s="1"/>
  <c r="AD241" i="3" a="1"/>
  <c r="AD241" i="3" s="1"/>
  <c r="Z265" i="3" a="1"/>
  <c r="Z265" i="3" s="1"/>
  <c r="Y281" i="3" a="1"/>
  <c r="Y281" i="3" s="1"/>
  <c r="P165" i="3" a="1"/>
  <c r="P165" i="3" s="1"/>
  <c r="AG269" i="3" a="1"/>
  <c r="AG269" i="3" s="1"/>
  <c r="AD145" i="3" a="1"/>
  <c r="AD145" i="3" s="1"/>
  <c r="AF261" i="3" a="1"/>
  <c r="AF261" i="3" s="1"/>
  <c r="AM29" i="3" a="1"/>
  <c r="AM29" i="3" s="1"/>
  <c r="U25" i="3" a="1"/>
  <c r="U25" i="3" s="1"/>
  <c r="N37" i="3" a="1"/>
  <c r="N37" i="3" s="1"/>
  <c r="U61" i="3" a="1"/>
  <c r="U61" i="3" s="1"/>
  <c r="AA65" i="3" a="1"/>
  <c r="AA65" i="3" s="1"/>
  <c r="AK65" i="3" a="1"/>
  <c r="AK65" i="3" s="1"/>
  <c r="AE77" i="3" a="1"/>
  <c r="AE77" i="3" s="1"/>
  <c r="E89" i="3" a="1"/>
  <c r="E89" i="3" s="1"/>
  <c r="G109" i="3" a="1"/>
  <c r="G109" i="3" s="1"/>
  <c r="AD109" i="3" a="1"/>
  <c r="AD109" i="3" s="1"/>
  <c r="AA117" i="3" a="1"/>
  <c r="AA117" i="3" s="1"/>
  <c r="X141" i="3" a="1"/>
  <c r="X141" i="3" s="1"/>
  <c r="AH153" i="3" a="1"/>
  <c r="AH153" i="3" s="1"/>
  <c r="AM153" i="3" a="1"/>
  <c r="AM153" i="3" s="1"/>
  <c r="I165" i="3" a="1"/>
  <c r="I165" i="3" s="1"/>
  <c r="Y169" i="3" a="1"/>
  <c r="Y169" i="3" s="1"/>
  <c r="Z193" i="3" a="1"/>
  <c r="Z193" i="3" s="1"/>
  <c r="AC193" i="3" a="1"/>
  <c r="AC193" i="3" s="1"/>
  <c r="AE205" i="3" a="1"/>
  <c r="AE205" i="3" s="1"/>
  <c r="J221" i="3" a="1"/>
  <c r="J221" i="3" s="1"/>
  <c r="J225" i="3" a="1"/>
  <c r="J225" i="3" s="1"/>
  <c r="U237" i="3" a="1"/>
  <c r="U237" i="3" s="1"/>
  <c r="AM241" i="3" a="1"/>
  <c r="AM241" i="3" s="1"/>
  <c r="P273" i="3" a="1"/>
  <c r="P273" i="3" s="1"/>
  <c r="AH257" i="3" a="1"/>
  <c r="AH257" i="3" s="1"/>
  <c r="S253" i="3" a="1"/>
  <c r="S253" i="3" s="1"/>
  <c r="X249" i="3" a="1"/>
  <c r="X249" i="3" s="1"/>
  <c r="Y269" i="3" a="1"/>
  <c r="Y269" i="3" s="1"/>
  <c r="AM133" i="3" a="1"/>
  <c r="AM133" i="3" s="1"/>
  <c r="AB233" i="3" a="1"/>
  <c r="AB233" i="3" s="1"/>
  <c r="AJ269" i="3" a="1"/>
  <c r="AJ269" i="3" s="1"/>
  <c r="AB89" i="3" a="1"/>
  <c r="AB89" i="3" s="1"/>
  <c r="Z241" i="3" a="1"/>
  <c r="Z241" i="3" s="1"/>
  <c r="V277" i="3" a="1"/>
  <c r="V277" i="3" s="1"/>
  <c r="AH281" i="3" a="1"/>
  <c r="AH281" i="3" s="1"/>
  <c r="AK245" i="3" a="1"/>
  <c r="AK245" i="3" s="1"/>
  <c r="AL245" i="3" a="1"/>
  <c r="AL245" i="3" s="1"/>
  <c r="AB253" i="3" a="1"/>
  <c r="AB253" i="3" s="1"/>
  <c r="AB81" i="3" a="1"/>
  <c r="AB81" i="3" s="1"/>
  <c r="D249" i="3" a="1"/>
  <c r="D249" i="3" s="1"/>
  <c r="AM265" i="3" a="1"/>
  <c r="AM265" i="3" s="1"/>
  <c r="X17" i="3" a="1"/>
  <c r="X17" i="3" s="1"/>
  <c r="P29" i="3" a="1"/>
  <c r="P29" i="3" s="1"/>
  <c r="X41" i="3" a="1"/>
  <c r="X41" i="3" s="1"/>
  <c r="L49" i="3" a="1"/>
  <c r="L49" i="3" s="1"/>
  <c r="AJ69" i="3" a="1"/>
  <c r="AJ69" i="3" s="1"/>
  <c r="I69" i="3" a="1"/>
  <c r="I69" i="3" s="1"/>
  <c r="W85" i="3" a="1"/>
  <c r="W85" i="3" s="1"/>
  <c r="AC97" i="3" a="1"/>
  <c r="AC97" i="3" s="1"/>
  <c r="AK113" i="3" a="1"/>
  <c r="AK113" i="3" s="1"/>
  <c r="AG113" i="3" a="1"/>
  <c r="AG113" i="3" s="1"/>
  <c r="I121" i="3" a="1"/>
  <c r="I121" i="3" s="1"/>
  <c r="N125" i="3" a="1"/>
  <c r="N125" i="3" s="1"/>
  <c r="H133" i="3" a="1"/>
  <c r="H133" i="3" s="1"/>
  <c r="V145" i="3" a="1"/>
  <c r="V145" i="3" s="1"/>
  <c r="V165" i="3" a="1"/>
  <c r="V165" i="3" s="1"/>
  <c r="L189" i="3" a="1"/>
  <c r="L189" i="3" s="1"/>
  <c r="AG201" i="3" a="1"/>
  <c r="AG201" i="3" s="1"/>
  <c r="E201" i="3" a="1"/>
  <c r="E201" i="3" s="1"/>
  <c r="Z221" i="3" a="1"/>
  <c r="Z221" i="3" s="1"/>
  <c r="R213" i="3" a="1"/>
  <c r="R213" i="3" s="1"/>
  <c r="K225" i="3" a="1"/>
  <c r="K225" i="3" s="1"/>
  <c r="Y241" i="3" a="1"/>
  <c r="Y241" i="3" s="1"/>
  <c r="F245" i="3" a="1"/>
  <c r="F245" i="3" s="1"/>
  <c r="AK273" i="3" a="1"/>
  <c r="AK273" i="3" s="1"/>
  <c r="V261" i="3" a="1"/>
  <c r="V261" i="3" s="1"/>
  <c r="AC245" i="3" a="1"/>
  <c r="AC245" i="3" s="1"/>
  <c r="N257" i="3" a="1"/>
  <c r="N257" i="3" s="1"/>
  <c r="Q253" i="3" a="1"/>
  <c r="Q253" i="3" s="1"/>
  <c r="R253" i="3" a="1"/>
  <c r="R253" i="3" s="1"/>
  <c r="G257" i="3" a="1"/>
  <c r="G257" i="3" s="1"/>
  <c r="S237" i="3" a="1"/>
  <c r="S237" i="3" s="1"/>
  <c r="V253" i="3" a="1"/>
  <c r="V253" i="3" s="1"/>
  <c r="P277" i="3" a="1"/>
  <c r="P277" i="3" s="1"/>
  <c r="AG273" i="3" a="1"/>
  <c r="AG273" i="3" s="1"/>
  <c r="S277" i="3" a="1"/>
  <c r="S277" i="3" s="1"/>
  <c r="O265" i="3" a="1"/>
  <c r="O265" i="3" s="1"/>
  <c r="L273" i="3" a="1"/>
  <c r="L273" i="3" s="1"/>
  <c r="AM273" i="3" a="1"/>
  <c r="AM273" i="3" s="1"/>
  <c r="P269" i="3" a="1"/>
  <c r="P269" i="3" s="1"/>
  <c r="AE257" i="3" a="1"/>
  <c r="AE257" i="3" s="1"/>
  <c r="F269" i="3" a="1"/>
  <c r="F269" i="3" s="1"/>
  <c r="AF17" i="3" a="1"/>
  <c r="AF17" i="3" s="1"/>
  <c r="AE273" i="3" a="1"/>
  <c r="AE273" i="3" s="1"/>
  <c r="G21" i="3" a="1"/>
  <c r="G21" i="3" s="1"/>
  <c r="AB197" i="3" a="1"/>
  <c r="AB197" i="3" s="1"/>
  <c r="U269" i="3" a="1"/>
  <c r="U269" i="3" s="1"/>
  <c r="AL57" i="3" a="1"/>
  <c r="AL57" i="3" s="1"/>
  <c r="J197" i="3" a="1"/>
  <c r="J197" i="3" s="1"/>
  <c r="AJ277" i="3" a="1"/>
  <c r="AJ277" i="3" s="1"/>
  <c r="N273" i="3" a="1"/>
  <c r="N273" i="3" s="1"/>
  <c r="AB277" i="3" a="1"/>
  <c r="AB277" i="3" s="1"/>
  <c r="AD245" i="3" a="1"/>
  <c r="AD245" i="3" s="1"/>
  <c r="S209" i="3" a="1"/>
  <c r="S209" i="3" s="1"/>
  <c r="R249" i="3" a="1"/>
  <c r="R249" i="3" s="1"/>
  <c r="W285" i="3" a="1"/>
  <c r="W285" i="3" s="1"/>
  <c r="O101" i="3" a="1"/>
  <c r="O101" i="3" s="1"/>
  <c r="AJ189" i="3" a="1"/>
  <c r="AJ189" i="3" s="1"/>
  <c r="AB241" i="3" a="1"/>
  <c r="AB241" i="3" s="1"/>
  <c r="AB285" i="3" a="1"/>
  <c r="AB285" i="3" s="1"/>
  <c r="R245" i="3" a="1"/>
  <c r="R245" i="3" s="1"/>
  <c r="J273" i="3" a="1"/>
  <c r="J273" i="3" s="1"/>
  <c r="AI17" i="3" a="1"/>
  <c r="AI17" i="3" s="1"/>
  <c r="AF29" i="3" a="1"/>
  <c r="AF29" i="3" s="1"/>
  <c r="L45" i="3" a="1"/>
  <c r="L45" i="3" s="1"/>
  <c r="AG49" i="3" a="1"/>
  <c r="AG49" i="3" s="1"/>
  <c r="X49" i="3" a="1"/>
  <c r="X49" i="3" s="1"/>
  <c r="J69" i="3" a="1"/>
  <c r="J69" i="3" s="1"/>
  <c r="AM69" i="3" a="1"/>
  <c r="AM69" i="3" s="1"/>
  <c r="AA101" i="3" a="1"/>
  <c r="AA101" i="3" s="1"/>
  <c r="N117" i="3" a="1"/>
  <c r="N117" i="3" s="1"/>
  <c r="M109" i="3" a="1"/>
  <c r="M109" i="3" s="1"/>
  <c r="T121" i="3" a="1"/>
  <c r="T121" i="3" s="1"/>
  <c r="Y129" i="3" a="1"/>
  <c r="Y129" i="3" s="1"/>
  <c r="AE133" i="3" a="1"/>
  <c r="AE133" i="3" s="1"/>
  <c r="I149" i="3" a="1"/>
  <c r="I149" i="3" s="1"/>
  <c r="AH165" i="3" a="1"/>
  <c r="AH165" i="3" s="1"/>
  <c r="AG189" i="3" a="1"/>
  <c r="AG189" i="3" s="1"/>
  <c r="Q173" i="3" a="1"/>
  <c r="Q173" i="3" s="1"/>
  <c r="Z201" i="3" a="1"/>
  <c r="Z201" i="3" s="1"/>
  <c r="T225" i="3" a="1"/>
  <c r="T225" i="3" s="1"/>
  <c r="K221" i="3" a="1"/>
  <c r="K221" i="3" s="1"/>
  <c r="AJ229" i="3" a="1"/>
  <c r="AJ229" i="3" s="1"/>
  <c r="E245" i="3" a="1"/>
  <c r="E245" i="3" s="1"/>
  <c r="AA245" i="3" a="1"/>
  <c r="AA245" i="3" s="1"/>
  <c r="N277" i="3" a="1"/>
  <c r="N277" i="3" s="1"/>
  <c r="T265" i="3" a="1"/>
  <c r="T265" i="3" s="1"/>
  <c r="Q249" i="3" a="1"/>
  <c r="Q249" i="3" s="1"/>
  <c r="AI257" i="3" a="1"/>
  <c r="AI257" i="3" s="1"/>
  <c r="AL253" i="3" a="1"/>
  <c r="AL253" i="3" s="1"/>
  <c r="AM253" i="3" a="1"/>
  <c r="AM253" i="3" s="1"/>
  <c r="AB257" i="3" a="1"/>
  <c r="AB257" i="3" s="1"/>
  <c r="K241" i="3" a="1"/>
  <c r="K241" i="3" s="1"/>
  <c r="AE253" i="3" a="1"/>
  <c r="AE253" i="3" s="1"/>
  <c r="K281" i="3" a="1"/>
  <c r="K281" i="3" s="1"/>
  <c r="D277" i="3" a="1"/>
  <c r="D277" i="3" s="1"/>
  <c r="AE277" i="3" a="1"/>
  <c r="AE277" i="3" s="1"/>
  <c r="M269" i="3" a="1"/>
  <c r="M269" i="3" s="1"/>
  <c r="R285" i="3" a="1"/>
  <c r="R285" i="3" s="1"/>
  <c r="V257" i="3" a="1"/>
  <c r="V257" i="3" s="1"/>
  <c r="O273" i="3" a="1"/>
  <c r="O273" i="3" s="1"/>
  <c r="H261" i="3" a="1"/>
  <c r="H261" i="3" s="1"/>
  <c r="F273" i="3" a="1"/>
  <c r="F273" i="3" s="1"/>
  <c r="U17" i="3" a="1"/>
  <c r="U17" i="3" s="1"/>
  <c r="R269" i="3" a="1"/>
  <c r="R269" i="3" s="1"/>
  <c r="AA37" i="3" a="1"/>
  <c r="AA37" i="3" s="1"/>
  <c r="AG193" i="3" a="1"/>
  <c r="AG193" i="3" s="1"/>
  <c r="W249" i="3" a="1"/>
  <c r="W249" i="3" s="1"/>
  <c r="S57" i="3" a="1"/>
  <c r="S57" i="3" s="1"/>
  <c r="S177" i="3" a="1"/>
  <c r="S177" i="3" s="1"/>
  <c r="E237" i="3" a="1"/>
  <c r="E237" i="3" s="1"/>
  <c r="AD253" i="3" a="1"/>
  <c r="AD253" i="3" s="1"/>
  <c r="D281" i="3" a="1"/>
  <c r="D281" i="3" s="1"/>
  <c r="X281" i="3" a="1"/>
  <c r="X281" i="3" s="1"/>
  <c r="V269" i="3" a="1"/>
  <c r="V269" i="3" s="1"/>
  <c r="F257" i="3" a="1"/>
  <c r="F257" i="3" s="1"/>
  <c r="AC273" i="3" a="1"/>
  <c r="AC273" i="3" s="1"/>
  <c r="R217" i="3" a="1"/>
  <c r="R217" i="3" s="1"/>
  <c r="Q257" i="3" a="1"/>
  <c r="Q257" i="3" s="1"/>
  <c r="Y65" i="3" a="1"/>
  <c r="Y65" i="3" s="1"/>
  <c r="I197" i="3" a="1"/>
  <c r="I197" i="3" s="1"/>
  <c r="AL257" i="3" a="1"/>
  <c r="AL257" i="3" s="1"/>
  <c r="E273" i="3" a="1"/>
  <c r="E273" i="3" s="1"/>
  <c r="AA253" i="3" a="1"/>
  <c r="AA253" i="3" s="1"/>
  <c r="L277" i="3" a="1"/>
  <c r="L277" i="3" s="1"/>
  <c r="H21" i="3" a="1"/>
  <c r="H21" i="3" s="1"/>
  <c r="AC21" i="3" a="1"/>
  <c r="AC21" i="3" s="1"/>
  <c r="AG45" i="3" a="1"/>
  <c r="AG45" i="3" s="1"/>
  <c r="O53" i="3" a="1"/>
  <c r="O53" i="3" s="1"/>
  <c r="W53" i="3" a="1"/>
  <c r="W53" i="3" s="1"/>
  <c r="N65" i="3" a="1"/>
  <c r="N65" i="3" s="1"/>
  <c r="AB73" i="3" a="1"/>
  <c r="AB73" i="3" s="1"/>
  <c r="P93" i="3" a="1"/>
  <c r="P93" i="3" s="1"/>
  <c r="X117" i="3" a="1"/>
  <c r="X117" i="3" s="1"/>
  <c r="H117" i="3" a="1"/>
  <c r="H117" i="3" s="1"/>
  <c r="AE121" i="3" a="1"/>
  <c r="AE121" i="3" s="1"/>
  <c r="N133" i="3" a="1"/>
  <c r="N133" i="3" s="1"/>
  <c r="H137" i="3" a="1"/>
  <c r="H137" i="3" s="1"/>
  <c r="AB149" i="3" a="1"/>
  <c r="AB149" i="3" s="1"/>
  <c r="Q157" i="3" a="1"/>
  <c r="Q157" i="3" s="1"/>
  <c r="AH177" i="3" a="1"/>
  <c r="AH177" i="3" s="1"/>
  <c r="G189" i="3" a="1"/>
  <c r="G189" i="3" s="1"/>
  <c r="X205" i="3" a="1"/>
  <c r="X205" i="3" s="1"/>
  <c r="I229" i="3" a="1"/>
  <c r="I229" i="3" s="1"/>
  <c r="Q229" i="3" a="1"/>
  <c r="Q229" i="3" s="1"/>
  <c r="D233" i="3" a="1"/>
  <c r="D233" i="3" s="1"/>
  <c r="Z245" i="3" a="1"/>
  <c r="Z245" i="3" s="1"/>
  <c r="O249" i="3" a="1"/>
  <c r="O249" i="3" s="1"/>
  <c r="G245" i="3" a="1"/>
  <c r="G245" i="3" s="1"/>
  <c r="AE265" i="3" a="1"/>
  <c r="AE265" i="3" s="1"/>
  <c r="AL249" i="3" a="1"/>
  <c r="AL249" i="3" s="1"/>
  <c r="W261" i="3" a="1"/>
  <c r="W261" i="3" s="1"/>
  <c r="O257" i="3" a="1"/>
  <c r="O257" i="3" s="1"/>
  <c r="P257" i="3" a="1"/>
  <c r="P257" i="3" s="1"/>
  <c r="E261" i="3" a="1"/>
  <c r="E261" i="3" s="1"/>
  <c r="W241" i="3" a="1"/>
  <c r="W241" i="3" s="1"/>
  <c r="H257" i="3" a="1"/>
  <c r="H257" i="3" s="1"/>
  <c r="X285" i="3" a="1"/>
  <c r="X285" i="3" s="1"/>
  <c r="L281" i="3" a="1"/>
  <c r="L281" i="3" s="1"/>
  <c r="Z281" i="3" a="1"/>
  <c r="Z281" i="3" s="1"/>
  <c r="AL269" i="3" a="1"/>
  <c r="AL269" i="3" s="1"/>
  <c r="AM285" i="3" a="1"/>
  <c r="AM285" i="3" s="1"/>
  <c r="Q265" i="3" a="1"/>
  <c r="Q265" i="3" s="1"/>
  <c r="K277" i="3" a="1"/>
  <c r="K277" i="3" s="1"/>
  <c r="G265" i="3" a="1"/>
  <c r="G265" i="3" s="1"/>
  <c r="S273" i="3" a="1"/>
  <c r="S273" i="3" s="1"/>
  <c r="D13" i="3" a="1"/>
  <c r="D13" i="3" s="1"/>
  <c r="W277" i="3" a="1"/>
  <c r="W277" i="3" s="1"/>
  <c r="Z57" i="3" a="1"/>
  <c r="Z57" i="3" s="1"/>
  <c r="G169" i="3" a="1"/>
  <c r="G169" i="3" s="1"/>
  <c r="U249" i="3" a="1"/>
  <c r="U249" i="3" s="1"/>
  <c r="S281" i="3" a="1"/>
  <c r="S281" i="3" s="1"/>
  <c r="G105" i="3" a="1"/>
  <c r="G105" i="3" s="1"/>
  <c r="H189" i="3" a="1"/>
  <c r="H189" i="3" s="1"/>
  <c r="Y253" i="3" a="1"/>
  <c r="Y253" i="3" s="1"/>
  <c r="AK265" i="3" a="1"/>
  <c r="AK265" i="3" s="1"/>
  <c r="U253" i="3" a="1"/>
  <c r="U253" i="3" s="1"/>
  <c r="U265" i="3" a="1"/>
  <c r="U265" i="3" s="1"/>
  <c r="S21" i="3" a="1"/>
  <c r="S21" i="3" s="1"/>
  <c r="AG29" i="3" a="1"/>
  <c r="AG29" i="3" s="1"/>
  <c r="U49" i="3" a="1"/>
  <c r="U49" i="3" s="1"/>
  <c r="E57" i="3" a="1"/>
  <c r="E57" i="3" s="1"/>
  <c r="AJ53" i="3" a="1"/>
  <c r="AJ53" i="3" s="1"/>
  <c r="AC69" i="3" a="1"/>
  <c r="AC69" i="3" s="1"/>
  <c r="D81" i="3" a="1"/>
  <c r="D81" i="3" s="1"/>
  <c r="AB93" i="3" a="1"/>
  <c r="AB93" i="3" s="1"/>
  <c r="AH117" i="3" a="1"/>
  <c r="AH117" i="3" s="1"/>
  <c r="AD117" i="3" a="1"/>
  <c r="AD117" i="3" s="1"/>
  <c r="W113" i="3" a="1"/>
  <c r="W113" i="3" s="1"/>
  <c r="Z133" i="3" a="1"/>
  <c r="Z133" i="3" s="1"/>
  <c r="S137" i="3" a="1"/>
  <c r="S137" i="3" s="1"/>
  <c r="Y145" i="3" a="1"/>
  <c r="Y145" i="3" s="1"/>
  <c r="AI165" i="3" a="1"/>
  <c r="AI165" i="3" s="1"/>
  <c r="I185" i="3" a="1"/>
  <c r="I185" i="3" s="1"/>
  <c r="AB189" i="3" a="1"/>
  <c r="AB189" i="3" s="1"/>
  <c r="L209" i="3" a="1"/>
  <c r="L209" i="3" s="1"/>
  <c r="T229" i="3" a="1"/>
  <c r="T229" i="3" s="1"/>
  <c r="H209" i="3" a="1"/>
  <c r="H209" i="3" s="1"/>
  <c r="O233" i="3" a="1"/>
  <c r="O233" i="3" s="1"/>
  <c r="AI249" i="3" a="1"/>
  <c r="AI249" i="3" s="1"/>
  <c r="AJ249" i="3" a="1"/>
  <c r="AJ249" i="3" s="1"/>
  <c r="AB245" i="3" a="1"/>
  <c r="AB245" i="3" s="1"/>
  <c r="AC269" i="3" a="1"/>
  <c r="AC269" i="3" s="1"/>
  <c r="E253" i="3" a="1"/>
  <c r="E253" i="3" s="1"/>
  <c r="K265" i="3" a="1"/>
  <c r="K265" i="3" s="1"/>
  <c r="AJ257" i="3" a="1"/>
  <c r="AJ257" i="3" s="1"/>
  <c r="AA257" i="3" a="1"/>
  <c r="AA257" i="3" s="1"/>
  <c r="Z261" i="3" a="1"/>
  <c r="Z261" i="3" s="1"/>
  <c r="N245" i="3" a="1"/>
  <c r="N245" i="3" s="1"/>
  <c r="K261" i="3" a="1"/>
  <c r="K261" i="3" s="1"/>
  <c r="AC277" i="3" a="1"/>
  <c r="AC277" i="3" s="1"/>
  <c r="AD261" i="3" a="1"/>
  <c r="AD261" i="3" s="1"/>
  <c r="AK281" i="3" a="1"/>
  <c r="AK281" i="3" s="1"/>
  <c r="AJ273" i="3" a="1"/>
  <c r="AJ273" i="3" s="1"/>
  <c r="AB281" i="3" a="1"/>
  <c r="AB281" i="3" s="1"/>
  <c r="AD265" i="3" a="1"/>
  <c r="AD265" i="3" s="1"/>
  <c r="AA17" i="3" a="1"/>
  <c r="AA17" i="3" s="1"/>
  <c r="F69" i="3" a="1"/>
  <c r="F69" i="3" s="1"/>
  <c r="D165" i="3" a="1"/>
  <c r="D165" i="3" s="1"/>
  <c r="M241" i="3" a="1"/>
  <c r="M241" i="3" s="1"/>
  <c r="T249" i="3" a="1"/>
  <c r="T249" i="3" s="1"/>
  <c r="J277" i="3" a="1"/>
  <c r="J277" i="3" s="1"/>
  <c r="AL37" i="3" a="1"/>
  <c r="AL37" i="3" s="1"/>
  <c r="AA181" i="3" a="1"/>
  <c r="AA181" i="3" s="1"/>
  <c r="T237" i="3" a="1"/>
  <c r="T237" i="3" s="1"/>
  <c r="D245" i="3" a="1"/>
  <c r="D245" i="3" s="1"/>
  <c r="V285" i="3" a="1"/>
  <c r="V285" i="3" s="1"/>
  <c r="P265" i="3" a="1"/>
  <c r="P265" i="3" s="1"/>
  <c r="AD281" i="3" a="1"/>
  <c r="AD281" i="3" s="1"/>
  <c r="I113" i="3" a="1"/>
  <c r="I113" i="3" s="1"/>
  <c r="N269" i="3" a="1"/>
  <c r="N269" i="3" s="1"/>
  <c r="Q133" i="3" a="1"/>
  <c r="Q133" i="3" s="1"/>
  <c r="E257" i="3" a="1"/>
  <c r="E257" i="3" s="1"/>
  <c r="AH241" i="3" a="1"/>
  <c r="AH241" i="3" s="1"/>
  <c r="O17" i="3" a="1"/>
  <c r="O17" i="3" s="1"/>
  <c r="T29" i="3" a="1"/>
  <c r="T29" i="3" s="1"/>
  <c r="Z41" i="3" a="1"/>
  <c r="Z41" i="3" s="1"/>
  <c r="AE57" i="3" a="1"/>
  <c r="AE57" i="3" s="1"/>
  <c r="E49" i="3" a="1"/>
  <c r="E49" i="3" s="1"/>
  <c r="AK77" i="3" a="1"/>
  <c r="AK77" i="3" s="1"/>
  <c r="AG89" i="3" a="1"/>
  <c r="AG89" i="3" s="1"/>
  <c r="J97" i="3" a="1"/>
  <c r="J97" i="3" s="1"/>
  <c r="U97" i="3" a="1"/>
  <c r="U97" i="3" s="1"/>
  <c r="AG117" i="3" a="1"/>
  <c r="AG117" i="3" s="1"/>
  <c r="V121" i="3" a="1"/>
  <c r="V121" i="3" s="1"/>
  <c r="AF149" i="3" a="1"/>
  <c r="AF149" i="3" s="1"/>
  <c r="AM125" i="3" a="1"/>
  <c r="AM125" i="3" s="1"/>
  <c r="P153" i="3" a="1"/>
  <c r="P153" i="3" s="1"/>
  <c r="T161" i="3" a="1"/>
  <c r="T161" i="3" s="1"/>
  <c r="J185" i="3" a="1"/>
  <c r="J185" i="3" s="1"/>
  <c r="AJ197" i="3" a="1"/>
  <c r="AJ197" i="3" s="1"/>
  <c r="AC185" i="3" a="1"/>
  <c r="AC185" i="3" s="1"/>
  <c r="AL193" i="3" a="1"/>
  <c r="AL193" i="3" s="1"/>
  <c r="AF217" i="3" a="1"/>
  <c r="AF217" i="3" s="1"/>
  <c r="X241" i="3" a="1"/>
  <c r="X241" i="3" s="1"/>
  <c r="L253" i="3" a="1"/>
  <c r="L253" i="3" s="1"/>
  <c r="M253" i="3" a="1"/>
  <c r="M253" i="3" s="1"/>
  <c r="P249" i="3" a="1"/>
  <c r="P249" i="3" s="1"/>
  <c r="Q273" i="3" a="1"/>
  <c r="Q273" i="3" s="1"/>
  <c r="Z253" i="3" a="1"/>
  <c r="Z253" i="3" s="1"/>
  <c r="AF265" i="3" a="1"/>
  <c r="AF265" i="3" s="1"/>
  <c r="L229" i="3" a="1"/>
  <c r="L229" i="3" s="1"/>
  <c r="T241" i="3" a="1"/>
  <c r="T241" i="3" s="1"/>
  <c r="I241" i="3" a="1"/>
  <c r="I241" i="3" s="1"/>
  <c r="AI245" i="3" a="1"/>
  <c r="AI245" i="3" s="1"/>
  <c r="I265" i="3" a="1"/>
  <c r="I265" i="3" s="1"/>
  <c r="I257" i="3" a="1"/>
  <c r="I257" i="3" s="1"/>
  <c r="M265" i="3" a="1"/>
  <c r="M265" i="3" s="1"/>
  <c r="K273" i="3" a="1"/>
  <c r="K273" i="3" s="1"/>
  <c r="H277" i="3" a="1"/>
  <c r="H277" i="3" s="1"/>
  <c r="AM281" i="3" a="1"/>
  <c r="AM281" i="3" s="1"/>
  <c r="O269" i="3" a="1"/>
  <c r="O269" i="3" s="1"/>
  <c r="G261" i="3" a="1"/>
  <c r="G261" i="3" s="1"/>
  <c r="AF269" i="3" a="1"/>
  <c r="AF269" i="3" s="1"/>
  <c r="J281" i="3" a="1"/>
  <c r="J281" i="3" s="1"/>
  <c r="P17" i="3" a="1"/>
  <c r="P17" i="3" s="1"/>
  <c r="AL17" i="3" a="1"/>
  <c r="AL17" i="3" s="1"/>
  <c r="G57" i="3" a="1"/>
  <c r="G57" i="3" s="1"/>
  <c r="V181" i="3" a="1"/>
  <c r="V181" i="3" s="1"/>
  <c r="AF277" i="3" a="1"/>
  <c r="AF277" i="3" s="1"/>
  <c r="I145" i="3" a="1"/>
  <c r="I145" i="3" s="1"/>
  <c r="J173" i="3" a="1"/>
  <c r="J173" i="3" s="1"/>
  <c r="E249" i="3" a="1"/>
  <c r="E249" i="3" s="1"/>
  <c r="D285" i="3" a="1"/>
  <c r="D285" i="3" s="1"/>
  <c r="F261" i="3" a="1"/>
  <c r="F261" i="3" s="1"/>
  <c r="Y249" i="3" a="1"/>
  <c r="Y249" i="3" s="1"/>
  <c r="AG21" i="3" a="1"/>
  <c r="AG21" i="3" s="1"/>
  <c r="AC33" i="3" a="1"/>
  <c r="AC33" i="3" s="1"/>
  <c r="E37" i="3" a="1"/>
  <c r="E37" i="3" s="1"/>
  <c r="R53" i="3" a="1"/>
  <c r="R53" i="3" s="1"/>
  <c r="M57" i="3" a="1"/>
  <c r="M57" i="3" s="1"/>
  <c r="AL85" i="3" a="1"/>
  <c r="AL85" i="3" s="1"/>
  <c r="T77" i="3" a="1"/>
  <c r="T77" i="3" s="1"/>
  <c r="AC101" i="3" a="1"/>
  <c r="AC101" i="3" s="1"/>
  <c r="H113" i="3" a="1"/>
  <c r="H113" i="3" s="1"/>
  <c r="AL113" i="3" a="1"/>
  <c r="AL113" i="3" s="1"/>
  <c r="D137" i="3" a="1"/>
  <c r="D137" i="3" s="1"/>
  <c r="Z129" i="3" a="1"/>
  <c r="Z129" i="3" s="1"/>
  <c r="I133" i="3" a="1"/>
  <c r="I133" i="3" s="1"/>
  <c r="AK161" i="3" a="1"/>
  <c r="AK161" i="3" s="1"/>
  <c r="U161" i="3" a="1"/>
  <c r="U161" i="3" s="1"/>
  <c r="L193" i="3" a="1"/>
  <c r="L193" i="3" s="1"/>
  <c r="Y177" i="3" a="1"/>
  <c r="Y177" i="3" s="1"/>
  <c r="G197" i="3" a="1"/>
  <c r="G197" i="3" s="1"/>
  <c r="I205" i="3" a="1"/>
  <c r="I205" i="3" s="1"/>
  <c r="AF225" i="3" a="1"/>
  <c r="AF225" i="3" s="1"/>
  <c r="U229" i="3" a="1"/>
  <c r="U229" i="3" s="1"/>
  <c r="AG253" i="3" a="1"/>
  <c r="AG253" i="3" s="1"/>
  <c r="AH253" i="3" a="1"/>
  <c r="AH253" i="3" s="1"/>
  <c r="AK249" i="3" a="1"/>
  <c r="AK249" i="3" s="1"/>
  <c r="AL273" i="3" a="1"/>
  <c r="AL273" i="3" s="1"/>
  <c r="L261" i="3" a="1"/>
  <c r="L261" i="3" s="1"/>
  <c r="I269" i="3" a="1"/>
  <c r="I269" i="3" s="1"/>
  <c r="K237" i="3" a="1"/>
  <c r="K237" i="3" s="1"/>
  <c r="V245" i="3" a="1"/>
  <c r="V245" i="3" s="1"/>
  <c r="W245" i="3" a="1"/>
  <c r="W245" i="3" s="1"/>
  <c r="L249" i="3" a="1"/>
  <c r="L249" i="3" s="1"/>
  <c r="AJ265" i="3" a="1"/>
  <c r="AJ265" i="3" s="1"/>
  <c r="AC261" i="3" a="1"/>
  <c r="AC261" i="3" s="1"/>
  <c r="AL265" i="3" a="1"/>
  <c r="AL265" i="3" s="1"/>
  <c r="W273" i="3" a="1"/>
  <c r="W273" i="3" s="1"/>
  <c r="T277" i="3" a="1"/>
  <c r="T277" i="3" s="1"/>
  <c r="I285" i="3" a="1"/>
  <c r="I285" i="3" s="1"/>
  <c r="Z273" i="3" a="1"/>
  <c r="Z273" i="3" s="1"/>
  <c r="X261" i="3" a="1"/>
  <c r="X261" i="3" s="1"/>
  <c r="D273" i="3" a="1"/>
  <c r="D273" i="3" s="1"/>
  <c r="I281" i="3" a="1"/>
  <c r="I281" i="3" s="1"/>
  <c r="P25" i="3" a="1"/>
  <c r="P25" i="3" s="1"/>
  <c r="I137" i="3" a="1"/>
  <c r="I137" i="3" s="1"/>
  <c r="AC205" i="3" a="1"/>
  <c r="AC205" i="3" s="1"/>
  <c r="AG261" i="3" a="1"/>
  <c r="AG261" i="3" s="1"/>
  <c r="F265" i="3" a="1"/>
  <c r="F265" i="3" s="1"/>
  <c r="AA25" i="3" a="1"/>
  <c r="AA25" i="3" s="1"/>
  <c r="Y165" i="3" a="1"/>
  <c r="Y165" i="3" s="1"/>
  <c r="AE241" i="3" a="1"/>
  <c r="AE241" i="3" s="1"/>
  <c r="U285" i="3" a="1"/>
  <c r="U285" i="3" s="1"/>
  <c r="AM257" i="3" a="1"/>
  <c r="AM257" i="3" s="1"/>
  <c r="AH277" i="3" a="1"/>
  <c r="AH277" i="3" s="1"/>
  <c r="V281" i="3" a="1"/>
  <c r="V281" i="3" s="1"/>
  <c r="AK149" i="3" a="1"/>
  <c r="AK149" i="3" s="1"/>
  <c r="AG281" i="3" a="1"/>
  <c r="AG281" i="3" s="1"/>
  <c r="Z77" i="3" a="1"/>
  <c r="Z77" i="3" s="1"/>
  <c r="AJ217" i="3" a="1"/>
  <c r="AJ217" i="3" s="1"/>
  <c r="AH249" i="3" a="1"/>
  <c r="AH249" i="3" s="1"/>
  <c r="AF281" i="3" a="1"/>
  <c r="AF281" i="3" s="1"/>
  <c r="K253" i="3" a="1"/>
  <c r="K253" i="3" s="1"/>
  <c r="AE285" i="3" a="1"/>
  <c r="AE285" i="3" s="1"/>
  <c r="R277" i="3" a="1"/>
  <c r="R277" i="3" s="1"/>
  <c r="I261" i="3" a="1"/>
  <c r="I261" i="3" s="1"/>
  <c r="S249" i="3" a="1"/>
  <c r="S249" i="3" s="1"/>
  <c r="AA273" i="3" a="1"/>
  <c r="AA273" i="3" s="1"/>
  <c r="W193" i="3" a="1"/>
  <c r="W193" i="3" s="1"/>
  <c r="AH237" i="3" a="1"/>
  <c r="AH237" i="3" s="1"/>
  <c r="Z45" i="3" a="1"/>
  <c r="Z45" i="3" s="1"/>
  <c r="AE209" i="3" a="1"/>
  <c r="AE209" i="3" s="1"/>
  <c r="O285" i="3" a="1"/>
  <c r="O285" i="3" s="1"/>
  <c r="R237" i="3" a="1"/>
  <c r="R237" i="3" s="1"/>
  <c r="AL261" i="3" a="1"/>
  <c r="AL261" i="3" s="1"/>
  <c r="AL25" i="3" a="1"/>
  <c r="AL25" i="3" s="1"/>
  <c r="J25" i="3" a="1"/>
  <c r="J25" i="3" s="1"/>
  <c r="P41" i="3" a="1"/>
  <c r="P41" i="3" s="1"/>
  <c r="M61" i="3" a="1"/>
  <c r="M61" i="3" s="1"/>
  <c r="H65" i="3" a="1"/>
  <c r="H65" i="3" s="1"/>
  <c r="J77" i="3" a="1"/>
  <c r="J77" i="3" s="1"/>
  <c r="D85" i="3" a="1"/>
  <c r="D85" i="3" s="1"/>
  <c r="AD89" i="3" a="1"/>
  <c r="AD89" i="3" s="1"/>
  <c r="R105" i="3" a="1"/>
  <c r="R105" i="3" s="1"/>
  <c r="S125" i="3" a="1"/>
  <c r="S125" i="3" s="1"/>
  <c r="Q117" i="3" a="1"/>
  <c r="Q117" i="3" s="1"/>
  <c r="Z137" i="3" a="1"/>
  <c r="Z137" i="3" s="1"/>
  <c r="AE137" i="3" a="1"/>
  <c r="AE137" i="3" s="1"/>
  <c r="M169" i="3" a="1"/>
  <c r="M169" i="3" s="1"/>
  <c r="AE177" i="3" a="1"/>
  <c r="AE177" i="3" s="1"/>
  <c r="AE197" i="3" a="1"/>
  <c r="AE197" i="3" s="1"/>
  <c r="S189" i="3" a="1"/>
  <c r="S189" i="3" s="1"/>
  <c r="G185" i="3" a="1"/>
  <c r="G185" i="3" s="1"/>
  <c r="V197" i="3" a="1"/>
  <c r="V197" i="3" s="1"/>
  <c r="AG217" i="3" a="1"/>
  <c r="AG217" i="3" s="1"/>
  <c r="Z237" i="3" a="1"/>
  <c r="Z237" i="3" s="1"/>
  <c r="AL241" i="3" a="1"/>
  <c r="AL241" i="3" s="1"/>
  <c r="AA241" i="3" a="1"/>
  <c r="AA241" i="3" s="1"/>
  <c r="G237" i="3" a="1"/>
  <c r="G237" i="3" s="1"/>
  <c r="U245" i="3" a="1"/>
  <c r="U245" i="3" s="1"/>
  <c r="AD277" i="3" a="1"/>
  <c r="AD277" i="3" s="1"/>
  <c r="X269" i="3" a="1"/>
  <c r="X269" i="3" s="1"/>
  <c r="M21" i="3" a="1"/>
  <c r="M21" i="3" s="1"/>
  <c r="J37" i="3" a="1"/>
  <c r="J37" i="3" s="1"/>
  <c r="AL41" i="3" a="1"/>
  <c r="AL41" i="3" s="1"/>
  <c r="U57" i="3" a="1"/>
  <c r="U57" i="3" s="1"/>
  <c r="O57" i="3" a="1"/>
  <c r="O57" i="3" s="1"/>
  <c r="H85" i="3" a="1"/>
  <c r="H85" i="3" s="1"/>
  <c r="AG93" i="3" a="1"/>
  <c r="AG93" i="3" s="1"/>
  <c r="H93" i="3" a="1"/>
  <c r="H93" i="3" s="1"/>
  <c r="AA97" i="3" a="1"/>
  <c r="AA97" i="3" s="1"/>
  <c r="AE125" i="3" a="1"/>
  <c r="AE125" i="3" s="1"/>
  <c r="K133" i="3" a="1"/>
  <c r="K133" i="3" s="1"/>
  <c r="W125" i="3" a="1"/>
  <c r="W125" i="3" s="1"/>
  <c r="G157" i="3" a="1"/>
  <c r="G157" i="3" s="1"/>
  <c r="AD157" i="3" a="1"/>
  <c r="AD157" i="3" s="1"/>
  <c r="N181" i="3" a="1"/>
  <c r="N181" i="3" s="1"/>
  <c r="L185" i="3" a="1"/>
  <c r="L185" i="3" s="1"/>
  <c r="AF209" i="3" a="1"/>
  <c r="AF209" i="3" s="1"/>
  <c r="AA205" i="3" a="1"/>
  <c r="AA205" i="3" s="1"/>
  <c r="J201" i="3" a="1"/>
  <c r="J201" i="3" s="1"/>
  <c r="V225" i="3" a="1"/>
  <c r="V225" i="3" s="1"/>
  <c r="G233" i="3" a="1"/>
  <c r="G233" i="3" s="1"/>
  <c r="P245" i="3" a="1"/>
  <c r="P245" i="3" s="1"/>
  <c r="Q245" i="3" a="1"/>
  <c r="Q245" i="3" s="1"/>
  <c r="Y237" i="3" a="1"/>
  <c r="Y237" i="3" s="1"/>
  <c r="AI269" i="3" a="1"/>
  <c r="AI269" i="3" s="1"/>
  <c r="G213" i="3" a="1"/>
  <c r="G213" i="3" s="1"/>
  <c r="Z277" i="3" a="1"/>
  <c r="Z277" i="3" s="1"/>
  <c r="M249" i="3" a="1"/>
  <c r="M249" i="3" s="1"/>
  <c r="AD257" i="3" a="1"/>
  <c r="AD257" i="3" s="1"/>
  <c r="AD45" i="3" a="1"/>
  <c r="AD45" i="3" s="1"/>
  <c r="AD233" i="3" a="1"/>
  <c r="AD233" i="3" s="1"/>
  <c r="Z257" i="3" a="1"/>
  <c r="Z257" i="3" s="1"/>
  <c r="M277" i="3" a="1"/>
  <c r="M277" i="3" s="1"/>
  <c r="AD17" i="3" a="1"/>
  <c r="AD17" i="3" s="1"/>
  <c r="I45" i="3" a="1"/>
  <c r="I45" i="3" s="1"/>
  <c r="E45" i="3" a="1"/>
  <c r="E45" i="3" s="1"/>
  <c r="AK61" i="3" a="1"/>
  <c r="AK61" i="3" s="1"/>
  <c r="I65" i="3" a="1"/>
  <c r="I65" i="3" s="1"/>
  <c r="R69" i="3" a="1"/>
  <c r="R69" i="3" s="1"/>
  <c r="G81" i="3" a="1"/>
  <c r="G81" i="3" s="1"/>
  <c r="O89" i="3" a="1"/>
  <c r="O89" i="3" s="1"/>
  <c r="O189" i="3" a="1"/>
  <c r="O189" i="3" s="1"/>
  <c r="P241" i="3" a="1"/>
  <c r="P241" i="3" s="1"/>
  <c r="AA285" i="3" a="1"/>
  <c r="AA285" i="3" s="1"/>
  <c r="AH93" i="3" a="1"/>
  <c r="AH93" i="3" s="1"/>
  <c r="D181" i="3" a="1"/>
  <c r="D181" i="3" s="1"/>
  <c r="P285" i="3" a="1"/>
  <c r="P285" i="3" s="1"/>
  <c r="I277" i="3" a="1"/>
  <c r="I277" i="3" s="1"/>
  <c r="Z249" i="3" a="1"/>
  <c r="Z249" i="3" s="1"/>
  <c r="AG277" i="3" a="1"/>
  <c r="AG277" i="3" s="1"/>
  <c r="M29" i="3" a="1"/>
  <c r="M29" i="3" s="1"/>
  <c r="G49" i="3" a="1"/>
  <c r="G49" i="3" s="1"/>
  <c r="AI49" i="3" a="1"/>
  <c r="AI49" i="3" s="1"/>
  <c r="M69" i="3" a="1"/>
  <c r="M69" i="3" s="1"/>
  <c r="G69" i="3" a="1"/>
  <c r="G69" i="3" s="1"/>
  <c r="U81" i="3" a="1"/>
  <c r="U81" i="3" s="1"/>
  <c r="P85" i="3" a="1"/>
  <c r="P85" i="3" s="1"/>
  <c r="AH97" i="3" a="1"/>
  <c r="AH97" i="3" s="1"/>
  <c r="AG101" i="3" a="1"/>
  <c r="AG101" i="3" s="1"/>
  <c r="V129" i="3" a="1"/>
  <c r="V129" i="3" s="1"/>
  <c r="W133" i="3" a="1"/>
  <c r="W133" i="3" s="1"/>
  <c r="E137" i="3" a="1"/>
  <c r="E137" i="3" s="1"/>
  <c r="AC161" i="3" a="1"/>
  <c r="AC161" i="3" s="1"/>
  <c r="AE173" i="3" a="1"/>
  <c r="AE173" i="3" s="1"/>
  <c r="Y181" i="3" a="1"/>
  <c r="Y181" i="3" s="1"/>
  <c r="X193" i="3" a="1"/>
  <c r="X193" i="3" s="1"/>
  <c r="F221" i="3" a="1"/>
  <c r="F221" i="3" s="1"/>
  <c r="AG197" i="3" a="1"/>
  <c r="AG197" i="3" s="1"/>
  <c r="AA213" i="3" a="1"/>
  <c r="AA213" i="3" s="1"/>
  <c r="AF213" i="3" a="1"/>
  <c r="AF213" i="3" s="1"/>
  <c r="AF233" i="3" a="1"/>
  <c r="AF233" i="3" s="1"/>
  <c r="X29" i="3" a="1"/>
  <c r="X29" i="3" s="1"/>
  <c r="AB49" i="3" a="1"/>
  <c r="AB49" i="3" s="1"/>
  <c r="T33" i="3" a="1"/>
  <c r="T33" i="3" s="1"/>
  <c r="AH69" i="3" a="1"/>
  <c r="AH69" i="3" s="1"/>
  <c r="AK73" i="3" a="1"/>
  <c r="AK73" i="3" s="1"/>
  <c r="X65" i="3" a="1"/>
  <c r="X65" i="3" s="1"/>
  <c r="AK85" i="3" a="1"/>
  <c r="AK85" i="3" s="1"/>
  <c r="V93" i="3" a="1"/>
  <c r="V93" i="3" s="1"/>
  <c r="N109" i="3" a="1"/>
  <c r="N109" i="3" s="1"/>
  <c r="AG129" i="3" a="1"/>
  <c r="AG129" i="3" s="1"/>
  <c r="AI133" i="3" a="1"/>
  <c r="AI133" i="3" s="1"/>
  <c r="P137" i="3" a="1"/>
  <c r="P137" i="3" s="1"/>
  <c r="AL149" i="3" a="1"/>
  <c r="AL149" i="3" s="1"/>
  <c r="AC177" i="3" a="1"/>
  <c r="AC177" i="3" s="1"/>
  <c r="W173" i="3" a="1"/>
  <c r="W173" i="3" s="1"/>
  <c r="L173" i="3" a="1"/>
  <c r="L173" i="3" s="1"/>
  <c r="AA221" i="3" a="1"/>
  <c r="AA221" i="3" s="1"/>
  <c r="Q201" i="3" a="1"/>
  <c r="Q201" i="3" s="1"/>
  <c r="AM213" i="3" a="1"/>
  <c r="AM213" i="3" s="1"/>
  <c r="U217" i="3" a="1"/>
  <c r="U217" i="3" s="1"/>
  <c r="AM237" i="3" a="1"/>
  <c r="AM237" i="3" s="1"/>
  <c r="W253" i="3" a="1"/>
  <c r="W253" i="3" s="1"/>
  <c r="X253" i="3" a="1"/>
  <c r="X253" i="3" s="1"/>
  <c r="AM245" i="3" a="1"/>
  <c r="AM245" i="3" s="1"/>
  <c r="AJ285" i="3" a="1"/>
  <c r="AJ285" i="3" s="1"/>
  <c r="AB237" i="3" a="1"/>
  <c r="AB237" i="3" s="1"/>
  <c r="Y257" i="3" a="1"/>
  <c r="Y257" i="3" s="1"/>
  <c r="AK257" i="3" a="1"/>
  <c r="AK257" i="3" s="1"/>
  <c r="M237" i="3" a="1"/>
  <c r="M237" i="3" s="1"/>
  <c r="M245" i="3" a="1"/>
  <c r="M245" i="3" s="1"/>
  <c r="AF253" i="3" a="1"/>
  <c r="AF253" i="3" s="1"/>
  <c r="W281" i="3" a="1"/>
  <c r="W281" i="3" s="1"/>
  <c r="J257" i="3" a="1"/>
  <c r="J257" i="3" s="1"/>
  <c r="V273" i="3" a="1"/>
  <c r="V273" i="3" s="1"/>
  <c r="AK269" i="3" a="1"/>
  <c r="AK269" i="3" s="1"/>
  <c r="S285" i="3" a="1"/>
  <c r="S285" i="3" s="1"/>
  <c r="U257" i="3" a="1"/>
  <c r="U257" i="3" s="1"/>
  <c r="E265" i="3" a="1"/>
  <c r="E265" i="3" s="1"/>
  <c r="X277" i="3" a="1"/>
  <c r="X277" i="3" s="1"/>
  <c r="AA277" i="3" a="1"/>
  <c r="AA277" i="3" s="1"/>
  <c r="Y277" i="3" a="1"/>
  <c r="Y277" i="3" s="1"/>
  <c r="Y285" i="3" a="1"/>
  <c r="Y285" i="3" s="1"/>
  <c r="P9" i="3" a="1"/>
  <c r="P9" i="3" s="1"/>
  <c r="AE9" i="3" a="1"/>
  <c r="AE9" i="3" s="1"/>
  <c r="AK9" i="3" a="1"/>
  <c r="AK9" i="3" s="1"/>
  <c r="AB9" i="3" a="1"/>
  <c r="AB9" i="3" s="1"/>
  <c r="H9" i="3" a="1"/>
  <c r="H9" i="3" s="1"/>
  <c r="D4" i="4" a="1"/>
  <c r="D4" i="4" s="1"/>
  <c r="AM5" i="3" a="1"/>
  <c r="AM5" i="3" s="1"/>
  <c r="AM6" i="3" s="1"/>
  <c r="D38" i="4" a="1"/>
  <c r="D38" i="4" s="1"/>
  <c r="D37" i="4" a="1"/>
  <c r="D37" i="4" s="1"/>
  <c r="AK5" i="3" a="1"/>
  <c r="AK5" i="3" s="1"/>
  <c r="AK6" i="3" s="1"/>
  <c r="AL5" i="3" a="1"/>
  <c r="AL5" i="3" s="1"/>
  <c r="AL6" i="3" s="1"/>
  <c r="AL10" i="3" s="1"/>
  <c r="AL14" i="3" s="1"/>
  <c r="AJ5" i="3" a="1"/>
  <c r="AJ5" i="3" s="1"/>
  <c r="AJ6" i="3" s="1"/>
  <c r="AL4" i="3" a="1"/>
  <c r="AL4" i="3" s="1"/>
  <c r="AJ4" i="3" a="1"/>
  <c r="AJ4" i="3" s="1"/>
  <c r="AK4" i="3" a="1"/>
  <c r="AK4" i="3" s="1"/>
  <c r="D36" i="4" a="1"/>
  <c r="D36" i="4" s="1"/>
  <c r="D35" i="4" a="1"/>
  <c r="D35" i="4" s="1"/>
  <c r="AI5" i="3" a="1"/>
  <c r="AI5" i="3" s="1"/>
  <c r="AI6" i="3" s="1"/>
  <c r="D34" i="4" a="1"/>
  <c r="D34" i="4" s="1"/>
  <c r="AH5" i="3" a="1"/>
  <c r="AH5" i="3" s="1"/>
  <c r="AH6" i="3" s="1"/>
  <c r="AH4" i="3" a="1"/>
  <c r="AH4" i="3" s="1"/>
  <c r="AI4" i="3" a="1"/>
  <c r="AI4" i="3" s="1"/>
  <c r="AE5" i="3" a="1"/>
  <c r="AE5" i="3" s="1"/>
  <c r="AE6" i="3" s="1"/>
  <c r="D33" i="4" a="1"/>
  <c r="D33" i="4" s="1"/>
  <c r="AG5" i="3" a="1"/>
  <c r="AG5" i="3" s="1"/>
  <c r="AG6" i="3" s="1"/>
  <c r="AF5" i="3" a="1"/>
  <c r="AF5" i="3" s="1"/>
  <c r="AF6" i="3" s="1"/>
  <c r="AF10" i="3" s="1"/>
  <c r="AF4" i="3" a="1"/>
  <c r="AF4" i="3" s="1"/>
  <c r="AE4" i="3" a="1"/>
  <c r="AE4" i="3" s="1"/>
  <c r="AG4" i="3" a="1"/>
  <c r="AG4" i="3" s="1"/>
  <c r="D32" i="4" a="1"/>
  <c r="D32" i="4" s="1"/>
  <c r="D30" i="4" a="1"/>
  <c r="D30" i="4" s="1"/>
  <c r="D31" i="4" a="1"/>
  <c r="D31" i="4" s="1"/>
  <c r="AC5" i="3" a="1"/>
  <c r="AC5" i="3" s="1"/>
  <c r="AC6" i="3" s="1"/>
  <c r="AD5" i="3" a="1"/>
  <c r="AD5" i="3" s="1"/>
  <c r="AD6" i="3" s="1"/>
  <c r="AD10" i="3" s="1"/>
  <c r="AD14" i="3" s="1"/>
  <c r="D29" i="4" a="1"/>
  <c r="D29" i="4" s="1"/>
  <c r="AC4" i="3" a="1"/>
  <c r="AC4" i="3" s="1"/>
  <c r="AD4" i="3" a="1"/>
  <c r="AD4" i="3" s="1"/>
  <c r="D28" i="4" a="1"/>
  <c r="D28" i="4" s="1"/>
  <c r="AA5" i="3" a="1"/>
  <c r="AA5" i="3" s="1"/>
  <c r="AA6" i="3" s="1"/>
  <c r="AB5" i="3" a="1"/>
  <c r="AB5" i="3" s="1"/>
  <c r="AB6" i="3" s="1"/>
  <c r="D27" i="4" a="1"/>
  <c r="D27" i="4" s="1"/>
  <c r="AA4" i="3" a="1"/>
  <c r="AA4" i="3" s="1"/>
  <c r="AB4" i="3" a="1"/>
  <c r="AB4" i="3" s="1"/>
  <c r="D26" i="4" a="1"/>
  <c r="D26" i="4" s="1"/>
  <c r="D25" i="4" a="1"/>
  <c r="D25" i="4" s="1"/>
  <c r="Y5" i="3" a="1"/>
  <c r="Y5" i="3" s="1"/>
  <c r="Y6" i="3" s="1"/>
  <c r="Y10" i="3" s="1"/>
  <c r="Y14" i="3" s="1"/>
  <c r="Z5" i="3" a="1"/>
  <c r="Z5" i="3" s="1"/>
  <c r="Z6" i="3" s="1"/>
  <c r="Z10" i="3" s="1"/>
  <c r="Z14" i="3" s="1"/>
  <c r="Z18" i="3" s="1"/>
  <c r="Y4" i="3" a="1"/>
  <c r="Y4" i="3" s="1"/>
  <c r="Z4" i="3" a="1"/>
  <c r="Z4" i="3" s="1"/>
  <c r="D23" i="4" a="1"/>
  <c r="D23" i="4" s="1"/>
  <c r="D24" i="4" a="1"/>
  <c r="D24" i="4" s="1"/>
  <c r="W5" i="3" a="1"/>
  <c r="W5" i="3" s="1"/>
  <c r="W6" i="3" s="1"/>
  <c r="X5" i="3" a="1"/>
  <c r="X5" i="3" s="1"/>
  <c r="X6" i="3" s="1"/>
  <c r="W4" i="3" a="1"/>
  <c r="W4" i="3" s="1"/>
  <c r="X4" i="3" a="1"/>
  <c r="X4" i="3" s="1"/>
  <c r="D22" i="4" a="1"/>
  <c r="D22" i="4" s="1"/>
  <c r="U5" i="3" a="1"/>
  <c r="U5" i="3" s="1"/>
  <c r="U6" i="3" s="1"/>
  <c r="U10" i="3" s="1"/>
  <c r="U14" i="3" s="1"/>
  <c r="U18" i="3" s="1"/>
  <c r="S5" i="3" a="1"/>
  <c r="S5" i="3" s="1"/>
  <c r="S6" i="3" s="1"/>
  <c r="V5" i="3" a="1"/>
  <c r="V5" i="3" s="1"/>
  <c r="V6" i="3" s="1"/>
  <c r="V10" i="3" s="1"/>
  <c r="U4" i="3" a="1"/>
  <c r="U4" i="3" s="1"/>
  <c r="V4" i="3" a="1"/>
  <c r="V4" i="3" s="1"/>
  <c r="D20" i="4" a="1"/>
  <c r="D20" i="4" s="1"/>
  <c r="D21" i="4" a="1"/>
  <c r="D21" i="4" s="1"/>
  <c r="R5" i="3" a="1"/>
  <c r="R5" i="3" s="1"/>
  <c r="R6" i="3" s="1"/>
  <c r="R10" i="3" s="1"/>
  <c r="R14" i="3" s="1"/>
  <c r="T5" i="3" a="1"/>
  <c r="T5" i="3" s="1"/>
  <c r="T6" i="3" s="1"/>
  <c r="R4" i="3" a="1"/>
  <c r="R4" i="3" s="1"/>
  <c r="S4" i="3" a="1"/>
  <c r="S4" i="3" s="1"/>
  <c r="T4" i="3" a="1"/>
  <c r="T4" i="3" s="1"/>
  <c r="D17" i="4" a="1"/>
  <c r="D17" i="4" s="1"/>
  <c r="D19" i="4" a="1"/>
  <c r="D19" i="4" s="1"/>
  <c r="D18" i="4" a="1"/>
  <c r="D18" i="4" s="1"/>
  <c r="I23" i="2"/>
  <c r="D15" i="4" a="1"/>
  <c r="D15" i="4" s="1"/>
  <c r="D16" i="4" a="1"/>
  <c r="D16" i="4" s="1"/>
  <c r="O5" i="3" a="1"/>
  <c r="O5" i="3" s="1"/>
  <c r="O6" i="3" s="1"/>
  <c r="P5" i="3" a="1"/>
  <c r="P5" i="3" s="1"/>
  <c r="P6" i="3" s="1"/>
  <c r="Q5" i="3" a="1"/>
  <c r="Q5" i="3" s="1"/>
  <c r="Q6" i="3" s="1"/>
  <c r="Q10" i="3" s="1"/>
  <c r="Q14" i="3" s="1"/>
  <c r="Q18" i="3" s="1"/>
  <c r="O4" i="3" a="1"/>
  <c r="O4" i="3" s="1"/>
  <c r="P4" i="3" a="1"/>
  <c r="P4" i="3" s="1"/>
  <c r="Q4" i="3" a="1"/>
  <c r="Q4" i="3" s="1"/>
  <c r="D14" i="4" a="1"/>
  <c r="D14" i="4" s="1"/>
  <c r="D13" i="4" a="1"/>
  <c r="D13" i="4" s="1"/>
  <c r="L5" i="3" a="1"/>
  <c r="L5" i="3" s="1"/>
  <c r="L6" i="3" s="1"/>
  <c r="L10" i="3" s="1"/>
  <c r="L14" i="3" s="1"/>
  <c r="L18" i="3" s="1"/>
  <c r="L22" i="3" s="1"/>
  <c r="M5" i="3" a="1"/>
  <c r="M5" i="3" s="1"/>
  <c r="M6" i="3" s="1"/>
  <c r="M10" i="3" s="1"/>
  <c r="N5" i="3" a="1"/>
  <c r="N5" i="3" s="1"/>
  <c r="N6" i="3" s="1"/>
  <c r="K4" i="3" a="1"/>
  <c r="K4" i="3" s="1"/>
  <c r="L4" i="3" a="1"/>
  <c r="L4" i="3" s="1"/>
  <c r="M4" i="3" a="1"/>
  <c r="M4" i="3" s="1"/>
  <c r="N4" i="3" a="1"/>
  <c r="N4" i="3" s="1"/>
  <c r="D11" i="4" a="1"/>
  <c r="D11" i="4" s="1"/>
  <c r="I5" i="3" a="1"/>
  <c r="I5" i="3" s="1"/>
  <c r="I6" i="3" s="1"/>
  <c r="I10" i="3" s="1"/>
  <c r="K5" i="3" a="1"/>
  <c r="K5" i="3" s="1"/>
  <c r="K6" i="3" s="1"/>
  <c r="J5" i="3" a="1"/>
  <c r="J5" i="3" s="1"/>
  <c r="J6" i="3" s="1"/>
  <c r="J10" i="3" s="1"/>
  <c r="D9" i="4" a="1"/>
  <c r="D9" i="4" s="1"/>
  <c r="D10" i="4" a="1"/>
  <c r="D10" i="4" s="1"/>
  <c r="I4" i="3" a="1"/>
  <c r="I4" i="3" s="1"/>
  <c r="J4" i="3" a="1"/>
  <c r="J4" i="3" s="1"/>
  <c r="D8" i="4" a="1"/>
  <c r="D8" i="4" s="1"/>
  <c r="D5" i="4" a="1"/>
  <c r="D5" i="4" s="1"/>
  <c r="H4" i="3" a="1"/>
  <c r="H4" i="3" s="1"/>
  <c r="D7" i="4" a="1"/>
  <c r="D7" i="4" s="1"/>
  <c r="H5" i="3" a="1"/>
  <c r="H5" i="3" s="1"/>
  <c r="H6" i="3" s="1"/>
  <c r="H10" i="3" s="1"/>
  <c r="G2" i="3"/>
  <c r="G4" i="3" s="1" a="1"/>
  <c r="G4" i="3" s="1"/>
  <c r="G5" i="3" s="1" a="1"/>
  <c r="G5" i="3" s="1"/>
  <c r="AG10" i="3" l="1"/>
  <c r="AG14" i="3" s="1"/>
  <c r="AG18" i="3" s="1"/>
  <c r="AG22" i="3" s="1"/>
  <c r="AG26" i="3" s="1"/>
  <c r="AG30" i="3" s="1"/>
  <c r="AG34" i="3" s="1"/>
  <c r="AG38" i="3" s="1"/>
  <c r="AG42" i="3" s="1"/>
  <c r="AG46" i="3" s="1"/>
  <c r="AG50" i="3" s="1"/>
  <c r="AG54" i="3" s="1"/>
  <c r="AG58" i="3" s="1"/>
  <c r="AG62" i="3" s="1"/>
  <c r="AG66" i="3" s="1"/>
  <c r="AG70" i="3" s="1"/>
  <c r="AG74" i="3" s="1"/>
  <c r="AG78" i="3" s="1"/>
  <c r="AG82" i="3" s="1"/>
  <c r="AG86" i="3" s="1"/>
  <c r="AG90" i="3" s="1"/>
  <c r="AG94" i="3" s="1"/>
  <c r="AG98" i="3" s="1"/>
  <c r="AG102" i="3" s="1"/>
  <c r="AG106" i="3" s="1"/>
  <c r="AG110" i="3" s="1"/>
  <c r="AG114" i="3" s="1"/>
  <c r="AG118" i="3" s="1"/>
  <c r="AG122" i="3" s="1"/>
  <c r="AG126" i="3" s="1"/>
  <c r="AG130" i="3" s="1"/>
  <c r="AG134" i="3" s="1"/>
  <c r="AG138" i="3" s="1"/>
  <c r="AG142" i="3" s="1"/>
  <c r="AG146" i="3" s="1"/>
  <c r="AG150" i="3" s="1"/>
  <c r="AG154" i="3" s="1"/>
  <c r="AG158" i="3" s="1"/>
  <c r="AG162" i="3" s="1"/>
  <c r="AG166" i="3" s="1"/>
  <c r="AG170" i="3" s="1"/>
  <c r="AG174" i="3" s="1"/>
  <c r="AG178" i="3" s="1"/>
  <c r="AG182" i="3" s="1"/>
  <c r="AG186" i="3" s="1"/>
  <c r="AG190" i="3" s="1"/>
  <c r="AG194" i="3" s="1"/>
  <c r="AG198" i="3" s="1"/>
  <c r="AG202" i="3" s="1"/>
  <c r="AG206" i="3" s="1"/>
  <c r="AG210" i="3" s="1"/>
  <c r="AG214" i="3" s="1"/>
  <c r="AG218" i="3" s="1"/>
  <c r="AG222" i="3" s="1"/>
  <c r="AG226" i="3" s="1"/>
  <c r="AG230" i="3" s="1"/>
  <c r="AG234" i="3" s="1"/>
  <c r="T10" i="3"/>
  <c r="T14" i="3" s="1"/>
  <c r="T18" i="3" s="1"/>
  <c r="T22" i="3" s="1"/>
  <c r="T26" i="3" s="1"/>
  <c r="T30" i="3" s="1"/>
  <c r="T34" i="3" s="1"/>
  <c r="T38" i="3" s="1"/>
  <c r="T42" i="3" s="1"/>
  <c r="T46" i="3" s="1"/>
  <c r="Q22" i="3"/>
  <c r="Q26" i="3" s="1"/>
  <c r="Q30" i="3" s="1"/>
  <c r="Q34" i="3" s="1"/>
  <c r="W10" i="3"/>
  <c r="W14" i="3" s="1"/>
  <c r="W18" i="3" s="1"/>
  <c r="W22" i="3" s="1"/>
  <c r="W26" i="3" s="1"/>
  <c r="W30" i="3" s="1"/>
  <c r="W34" i="3" s="1"/>
  <c r="W38" i="3" s="1"/>
  <c r="W42" i="3" s="1"/>
  <c r="W46" i="3" s="1"/>
  <c r="W50" i="3" s="1"/>
  <c r="W54" i="3" s="1"/>
  <c r="W58" i="3" s="1"/>
  <c r="W62" i="3" s="1"/>
  <c r="AM10" i="3"/>
  <c r="AM14" i="3" s="1"/>
  <c r="AM18" i="3" s="1"/>
  <c r="AM22" i="3" s="1"/>
  <c r="AM26" i="3" s="1"/>
  <c r="AM30" i="3" s="1"/>
  <c r="AM34" i="3" s="1"/>
  <c r="AM38" i="3" s="1"/>
  <c r="AM42" i="3" s="1"/>
  <c r="AM46" i="3" s="1"/>
  <c r="AM50" i="3" s="1"/>
  <c r="AM54" i="3" s="1"/>
  <c r="AM58" i="3" s="1"/>
  <c r="AM62" i="3" s="1"/>
  <c r="AM66" i="3" s="1"/>
  <c r="AM70" i="3" s="1"/>
  <c r="AM74" i="3" s="1"/>
  <c r="AM78" i="3" s="1"/>
  <c r="AM82" i="3" s="1"/>
  <c r="AM86" i="3" s="1"/>
  <c r="AM90" i="3" s="1"/>
  <c r="AM94" i="3" s="1"/>
  <c r="AM98" i="3" s="1"/>
  <c r="AM102" i="3" s="1"/>
  <c r="AM106" i="3" s="1"/>
  <c r="AM110" i="3" s="1"/>
  <c r="AM114" i="3" s="1"/>
  <c r="AM118" i="3" s="1"/>
  <c r="AM122" i="3" s="1"/>
  <c r="AM126" i="3" s="1"/>
  <c r="AM130" i="3" s="1"/>
  <c r="AM134" i="3" s="1"/>
  <c r="AM138" i="3" s="1"/>
  <c r="AM142" i="3" s="1"/>
  <c r="AM146" i="3" s="1"/>
  <c r="AM150" i="3" s="1"/>
  <c r="AM154" i="3" s="1"/>
  <c r="AM158" i="3" s="1"/>
  <c r="AM162" i="3" s="1"/>
  <c r="AM166" i="3" s="1"/>
  <c r="AM170" i="3" s="1"/>
  <c r="AM174" i="3" s="1"/>
  <c r="AH10" i="3"/>
  <c r="AH14" i="3" s="1"/>
  <c r="AH18" i="3" s="1"/>
  <c r="AH22" i="3" s="1"/>
  <c r="AH26" i="3" s="1"/>
  <c r="AH30" i="3" s="1"/>
  <c r="AH34" i="3" s="1"/>
  <c r="AH38" i="3" s="1"/>
  <c r="AH42" i="3" s="1"/>
  <c r="AH46" i="3" s="1"/>
  <c r="AH50" i="3" s="1"/>
  <c r="AH54" i="3" s="1"/>
  <c r="AH58" i="3" s="1"/>
  <c r="AH62" i="3" s="1"/>
  <c r="AH66" i="3" s="1"/>
  <c r="AH70" i="3" s="1"/>
  <c r="AH74" i="3" s="1"/>
  <c r="AH78" i="3" s="1"/>
  <c r="AH82" i="3" s="1"/>
  <c r="AH86" i="3" s="1"/>
  <c r="AH90" i="3" s="1"/>
  <c r="AH94" i="3" s="1"/>
  <c r="AH98" i="3" s="1"/>
  <c r="AH102" i="3" s="1"/>
  <c r="AH106" i="3" s="1"/>
  <c r="AH110" i="3" s="1"/>
  <c r="AH114" i="3" s="1"/>
  <c r="AH118" i="3" s="1"/>
  <c r="AH122" i="3" s="1"/>
  <c r="AH126" i="3" s="1"/>
  <c r="AH130" i="3" s="1"/>
  <c r="AH134" i="3" s="1"/>
  <c r="AH138" i="3" s="1"/>
  <c r="AH142" i="3" s="1"/>
  <c r="AH146" i="3" s="1"/>
  <c r="AH150" i="3" s="1"/>
  <c r="AH154" i="3" s="1"/>
  <c r="AH158" i="3" s="1"/>
  <c r="AH162" i="3" s="1"/>
  <c r="AH166" i="3" s="1"/>
  <c r="AH170" i="3" s="1"/>
  <c r="AH174" i="3" s="1"/>
  <c r="AH178" i="3" s="1"/>
  <c r="AH182" i="3" s="1"/>
  <c r="AH186" i="3" s="1"/>
  <c r="AH190" i="3" s="1"/>
  <c r="AH194" i="3" s="1"/>
  <c r="AH198" i="3" s="1"/>
  <c r="AH202" i="3" s="1"/>
  <c r="AH206" i="3" s="1"/>
  <c r="AH210" i="3" s="1"/>
  <c r="AH214" i="3" s="1"/>
  <c r="AH218" i="3" s="1"/>
  <c r="AH222" i="3" s="1"/>
  <c r="AH226" i="3" s="1"/>
  <c r="AH230" i="3" s="1"/>
  <c r="AH234" i="3" s="1"/>
  <c r="AH238" i="3" s="1"/>
  <c r="AH242" i="3" s="1"/>
  <c r="M14" i="3"/>
  <c r="M18" i="3" s="1"/>
  <c r="M22" i="3" s="1"/>
  <c r="K10" i="3"/>
  <c r="K14" i="3" s="1"/>
  <c r="K18" i="3" s="1"/>
  <c r="AJ10" i="3"/>
  <c r="AJ14" i="3" s="1"/>
  <c r="AJ18" i="3" s="1"/>
  <c r="AJ22" i="3" s="1"/>
  <c r="AJ26" i="3" s="1"/>
  <c r="AJ30" i="3" s="1"/>
  <c r="AJ34" i="3" s="1"/>
  <c r="AJ38" i="3" s="1"/>
  <c r="AJ42" i="3" s="1"/>
  <c r="AJ46" i="3" s="1"/>
  <c r="AJ50" i="3" s="1"/>
  <c r="AJ54" i="3" s="1"/>
  <c r="AJ58" i="3" s="1"/>
  <c r="AJ62" i="3" s="1"/>
  <c r="AJ66" i="3" s="1"/>
  <c r="AJ70" i="3" s="1"/>
  <c r="AJ74" i="3" s="1"/>
  <c r="AJ78" i="3" s="1"/>
  <c r="AJ82" i="3" s="1"/>
  <c r="AJ86" i="3" s="1"/>
  <c r="AJ90" i="3" s="1"/>
  <c r="AJ94" i="3" s="1"/>
  <c r="AJ98" i="3" s="1"/>
  <c r="AJ102" i="3" s="1"/>
  <c r="AJ106" i="3" s="1"/>
  <c r="AJ110" i="3" s="1"/>
  <c r="AJ114" i="3" s="1"/>
  <c r="AJ118" i="3" s="1"/>
  <c r="AJ122" i="3" s="1"/>
  <c r="AJ126" i="3" s="1"/>
  <c r="AJ130" i="3" s="1"/>
  <c r="AJ134" i="3" s="1"/>
  <c r="AJ138" i="3" s="1"/>
  <c r="AJ142" i="3" s="1"/>
  <c r="AJ146" i="3" s="1"/>
  <c r="AJ150" i="3" s="1"/>
  <c r="AJ154" i="3" s="1"/>
  <c r="AJ158" i="3" s="1"/>
  <c r="AJ162" i="3" s="1"/>
  <c r="AJ166" i="3" s="1"/>
  <c r="AJ170" i="3" s="1"/>
  <c r="AJ174" i="3" s="1"/>
  <c r="AJ178" i="3" s="1"/>
  <c r="AJ182" i="3" s="1"/>
  <c r="AJ186" i="3" s="1"/>
  <c r="AJ190" i="3" s="1"/>
  <c r="AJ194" i="3" s="1"/>
  <c r="AJ198" i="3" s="1"/>
  <c r="AJ202" i="3" s="1"/>
  <c r="AJ206" i="3" s="1"/>
  <c r="AJ210" i="3" s="1"/>
  <c r="AJ214" i="3" s="1"/>
  <c r="AJ218" i="3" s="1"/>
  <c r="AJ222" i="3" s="1"/>
  <c r="AJ226" i="3" s="1"/>
  <c r="AJ230" i="3" s="1"/>
  <c r="AJ234" i="3" s="1"/>
  <c r="AJ238" i="3" s="1"/>
  <c r="AJ242" i="3" s="1"/>
  <c r="AJ246" i="3" s="1"/>
  <c r="AJ250" i="3" s="1"/>
  <c r="AJ254" i="3" s="1"/>
  <c r="AJ258" i="3" s="1"/>
  <c r="AJ262" i="3" s="1"/>
  <c r="AJ266" i="3" s="1"/>
  <c r="AJ270" i="3" s="1"/>
  <c r="AJ274" i="3" s="1"/>
  <c r="AJ278" i="3" s="1"/>
  <c r="AJ282" i="3" s="1"/>
  <c r="AJ286" i="3" s="1"/>
  <c r="AJ290" i="3" s="1"/>
  <c r="N10" i="3"/>
  <c r="N14" i="3" s="1"/>
  <c r="N18" i="3" s="1"/>
  <c r="N22" i="3" s="1"/>
  <c r="R18" i="3"/>
  <c r="R22" i="3" s="1"/>
  <c r="R26" i="3" s="1"/>
  <c r="R30" i="3" s="1"/>
  <c r="R34" i="3" s="1"/>
  <c r="R38" i="3" s="1"/>
  <c r="R42" i="3" s="1"/>
  <c r="R46" i="3" s="1"/>
  <c r="V14" i="3"/>
  <c r="V18" i="3" s="1"/>
  <c r="V22" i="3" s="1"/>
  <c r="V26" i="3" s="1"/>
  <c r="V30" i="3" s="1"/>
  <c r="V34" i="3" s="1"/>
  <c r="V38" i="3" s="1"/>
  <c r="AA10" i="3"/>
  <c r="AA14" i="3" s="1"/>
  <c r="AA18" i="3" s="1"/>
  <c r="AA22" i="3" s="1"/>
  <c r="AA26" i="3" s="1"/>
  <c r="AA30" i="3" s="1"/>
  <c r="AA34" i="3" s="1"/>
  <c r="AA38" i="3" s="1"/>
  <c r="AA42" i="3" s="1"/>
  <c r="AA46" i="3" s="1"/>
  <c r="AA50" i="3" s="1"/>
  <c r="AA54" i="3" s="1"/>
  <c r="AA58" i="3" s="1"/>
  <c r="AA62" i="3" s="1"/>
  <c r="AA66" i="3" s="1"/>
  <c r="AA70" i="3" s="1"/>
  <c r="AA74" i="3" s="1"/>
  <c r="AA78" i="3" s="1"/>
  <c r="AA82" i="3" s="1"/>
  <c r="O10" i="3"/>
  <c r="O14" i="3" s="1"/>
  <c r="O18" i="3" s="1"/>
  <c r="O22" i="3" s="1"/>
  <c r="O26" i="3" s="1"/>
  <c r="O30" i="3" s="1"/>
  <c r="O34" i="3" s="1"/>
  <c r="J14" i="3"/>
  <c r="J18" i="3" s="1"/>
  <c r="I14" i="3"/>
  <c r="I18" i="3" s="1"/>
  <c r="U22" i="3"/>
  <c r="U26" i="3" s="1"/>
  <c r="U30" i="3" s="1"/>
  <c r="U34" i="3" s="1"/>
  <c r="U38" i="3" s="1"/>
  <c r="AC10" i="3"/>
  <c r="AC14" i="3" s="1"/>
  <c r="AC18" i="3" s="1"/>
  <c r="AC22" i="3" s="1"/>
  <c r="AC26" i="3" s="1"/>
  <c r="AC30" i="3" s="1"/>
  <c r="AC34" i="3" s="1"/>
  <c r="AC38" i="3" s="1"/>
  <c r="AC42" i="3" s="1"/>
  <c r="AC46" i="3" s="1"/>
  <c r="AC50" i="3" s="1"/>
  <c r="AC54" i="3" s="1"/>
  <c r="AC58" i="3" s="1"/>
  <c r="AC62" i="3" s="1"/>
  <c r="AC66" i="3" s="1"/>
  <c r="AC70" i="3" s="1"/>
  <c r="AC74" i="3" s="1"/>
  <c r="AC78" i="3" s="1"/>
  <c r="AC82" i="3" s="1"/>
  <c r="AC86" i="3" s="1"/>
  <c r="AC90" i="3" s="1"/>
  <c r="AC94" i="3" s="1"/>
  <c r="AC98" i="3" s="1"/>
  <c r="AC102" i="3" s="1"/>
  <c r="AC106" i="3" s="1"/>
  <c r="AC110" i="3" s="1"/>
  <c r="AC114" i="3" s="1"/>
  <c r="AC118" i="3" s="1"/>
  <c r="AC122" i="3" s="1"/>
  <c r="AC126" i="3" s="1"/>
  <c r="AC130" i="3" s="1"/>
  <c r="AC134" i="3" s="1"/>
  <c r="Y18" i="3"/>
  <c r="Y22" i="3" s="1"/>
  <c r="Y26" i="3" s="1"/>
  <c r="Y30" i="3" s="1"/>
  <c r="Y34" i="3" s="1"/>
  <c r="Y38" i="3" s="1"/>
  <c r="Y42" i="3" s="1"/>
  <c r="AL18" i="3"/>
  <c r="AL22" i="3" s="1"/>
  <c r="AL26" i="3" s="1"/>
  <c r="AL30" i="3" s="1"/>
  <c r="AL34" i="3" s="1"/>
  <c r="AL38" i="3" s="1"/>
  <c r="AL42" i="3" s="1"/>
  <c r="AL46" i="3" s="1"/>
  <c r="AL50" i="3" s="1"/>
  <c r="AL54" i="3" s="1"/>
  <c r="AL58" i="3" s="1"/>
  <c r="AL62" i="3" s="1"/>
  <c r="AL66" i="3" s="1"/>
  <c r="AL70" i="3" s="1"/>
  <c r="AL74" i="3" s="1"/>
  <c r="AL78" i="3" s="1"/>
  <c r="AL82" i="3" s="1"/>
  <c r="AL86" i="3" s="1"/>
  <c r="AL90" i="3" s="1"/>
  <c r="AL94" i="3" s="1"/>
  <c r="AL98" i="3" s="1"/>
  <c r="AL102" i="3" s="1"/>
  <c r="AL106" i="3" s="1"/>
  <c r="AL110" i="3" s="1"/>
  <c r="AL114" i="3" s="1"/>
  <c r="AL118" i="3" s="1"/>
  <c r="AL122" i="3" s="1"/>
  <c r="AL126" i="3" s="1"/>
  <c r="AL130" i="3" s="1"/>
  <c r="AL134" i="3" s="1"/>
  <c r="AL138" i="3" s="1"/>
  <c r="AL142" i="3" s="1"/>
  <c r="AL146" i="3" s="1"/>
  <c r="AL150" i="3" s="1"/>
  <c r="AL154" i="3" s="1"/>
  <c r="AL158" i="3" s="1"/>
  <c r="AL162" i="3" s="1"/>
  <c r="AL166" i="3" s="1"/>
  <c r="AL170" i="3" s="1"/>
  <c r="AL174" i="3" s="1"/>
  <c r="AL178" i="3" s="1"/>
  <c r="AL182" i="3" s="1"/>
  <c r="AL186" i="3" s="1"/>
  <c r="AL190" i="3" s="1"/>
  <c r="AL194" i="3" s="1"/>
  <c r="AL198" i="3" s="1"/>
  <c r="AL202" i="3" s="1"/>
  <c r="AL206" i="3" s="1"/>
  <c r="AL210" i="3" s="1"/>
  <c r="AL214" i="3" s="1"/>
  <c r="AL218" i="3" s="1"/>
  <c r="AL222" i="3" s="1"/>
  <c r="AL226" i="3" s="1"/>
  <c r="AL230" i="3" s="1"/>
  <c r="AL234" i="3" s="1"/>
  <c r="AL238" i="3" s="1"/>
  <c r="AL242" i="3" s="1"/>
  <c r="AL246" i="3" s="1"/>
  <c r="AL250" i="3" s="1"/>
  <c r="AL254" i="3" s="1"/>
  <c r="AL258" i="3" s="1"/>
  <c r="AL262" i="3" s="1"/>
  <c r="AL266" i="3" s="1"/>
  <c r="AL270" i="3" s="1"/>
  <c r="AL274" i="3" s="1"/>
  <c r="AL278" i="3" s="1"/>
  <c r="AL282" i="3" s="1"/>
  <c r="AL286" i="3" s="1"/>
  <c r="AL290" i="3" s="1"/>
  <c r="AF14" i="3"/>
  <c r="AF18" i="3" s="1"/>
  <c r="AF22" i="3" s="1"/>
  <c r="AF26" i="3" s="1"/>
  <c r="AF30" i="3" s="1"/>
  <c r="AF34" i="3" s="1"/>
  <c r="AF38" i="3" s="1"/>
  <c r="AF42" i="3" s="1"/>
  <c r="AF46" i="3" s="1"/>
  <c r="AF50" i="3" s="1"/>
  <c r="AF54" i="3" s="1"/>
  <c r="AF58" i="3" s="1"/>
  <c r="AF62" i="3" s="1"/>
  <c r="AF66" i="3" s="1"/>
  <c r="AF70" i="3" s="1"/>
  <c r="AF74" i="3" s="1"/>
  <c r="AF78" i="3" s="1"/>
  <c r="AF82" i="3" s="1"/>
  <c r="AF86" i="3" s="1"/>
  <c r="AF90" i="3" s="1"/>
  <c r="AF94" i="3" s="1"/>
  <c r="AF98" i="3" s="1"/>
  <c r="AF102" i="3" s="1"/>
  <c r="AF106" i="3" s="1"/>
  <c r="AF110" i="3" s="1"/>
  <c r="AF114" i="3" s="1"/>
  <c r="AF118" i="3" s="1"/>
  <c r="AF122" i="3" s="1"/>
  <c r="AF126" i="3" s="1"/>
  <c r="AF130" i="3" s="1"/>
  <c r="AF134" i="3" s="1"/>
  <c r="AF138" i="3" s="1"/>
  <c r="AF142" i="3" s="1"/>
  <c r="AF146" i="3" s="1"/>
  <c r="AF150" i="3" s="1"/>
  <c r="AF154" i="3" s="1"/>
  <c r="AF158" i="3" s="1"/>
  <c r="AF162" i="3" s="1"/>
  <c r="AF166" i="3" s="1"/>
  <c r="AF170" i="3" s="1"/>
  <c r="AF174" i="3" s="1"/>
  <c r="AF178" i="3" s="1"/>
  <c r="AF182" i="3" s="1"/>
  <c r="AF186" i="3" s="1"/>
  <c r="AF190" i="3" s="1"/>
  <c r="AF194" i="3" s="1"/>
  <c r="AF198" i="3" s="1"/>
  <c r="AF202" i="3" s="1"/>
  <c r="AF206" i="3" s="1"/>
  <c r="AF210" i="3" s="1"/>
  <c r="AF214" i="3" s="1"/>
  <c r="AF218" i="3" s="1"/>
  <c r="AF222" i="3" s="1"/>
  <c r="AF226" i="3" s="1"/>
  <c r="AF230" i="3" s="1"/>
  <c r="AF234" i="3" s="1"/>
  <c r="Z22" i="3"/>
  <c r="Z26" i="3" s="1"/>
  <c r="Z30" i="3" s="1"/>
  <c r="Z34" i="3" s="1"/>
  <c r="Z38" i="3" s="1"/>
  <c r="Z42" i="3" s="1"/>
  <c r="Z46" i="3" s="1"/>
  <c r="Z50" i="3" s="1"/>
  <c r="S10" i="3"/>
  <c r="S14" i="3" s="1"/>
  <c r="S18" i="3" s="1"/>
  <c r="S22" i="3" s="1"/>
  <c r="S26" i="3" s="1"/>
  <c r="S30" i="3" s="1"/>
  <c r="S34" i="3" s="1"/>
  <c r="S38" i="3" s="1"/>
  <c r="S42" i="3" s="1"/>
  <c r="S46" i="3" s="1"/>
  <c r="AI10" i="3"/>
  <c r="AI14" i="3" s="1"/>
  <c r="AI18" i="3" s="1"/>
  <c r="AI22" i="3" s="1"/>
  <c r="AI26" i="3" s="1"/>
  <c r="AI30" i="3" s="1"/>
  <c r="AI34" i="3" s="1"/>
  <c r="AI38" i="3" s="1"/>
  <c r="AI42" i="3" s="1"/>
  <c r="AI46" i="3" s="1"/>
  <c r="AI50" i="3" s="1"/>
  <c r="AI54" i="3" s="1"/>
  <c r="AI58" i="3" s="1"/>
  <c r="AI62" i="3" s="1"/>
  <c r="AI66" i="3" s="1"/>
  <c r="AI70" i="3" s="1"/>
  <c r="AI74" i="3" s="1"/>
  <c r="AI78" i="3" s="1"/>
  <c r="AI82" i="3" s="1"/>
  <c r="AI86" i="3" s="1"/>
  <c r="AI90" i="3" s="1"/>
  <c r="AI94" i="3" s="1"/>
  <c r="AI98" i="3" s="1"/>
  <c r="AI102" i="3" s="1"/>
  <c r="AI106" i="3" s="1"/>
  <c r="AI110" i="3" s="1"/>
  <c r="AI114" i="3" s="1"/>
  <c r="AI118" i="3" s="1"/>
  <c r="AI122" i="3" s="1"/>
  <c r="AI126" i="3" s="1"/>
  <c r="AI130" i="3" s="1"/>
  <c r="AI134" i="3" s="1"/>
  <c r="AI138" i="3" s="1"/>
  <c r="AI142" i="3" s="1"/>
  <c r="AI146" i="3" s="1"/>
  <c r="AI150" i="3" s="1"/>
  <c r="AI154" i="3" s="1"/>
  <c r="AI158" i="3" s="1"/>
  <c r="AI162" i="3" s="1"/>
  <c r="AI166" i="3" s="1"/>
  <c r="AI170" i="3" s="1"/>
  <c r="AI174" i="3" s="1"/>
  <c r="AI178" i="3" s="1"/>
  <c r="AI182" i="3" s="1"/>
  <c r="AI186" i="3" s="1"/>
  <c r="AI190" i="3" s="1"/>
  <c r="AI194" i="3" s="1"/>
  <c r="AI198" i="3" s="1"/>
  <c r="AI202" i="3" s="1"/>
  <c r="AI206" i="3" s="1"/>
  <c r="AI210" i="3" s="1"/>
  <c r="AI214" i="3" s="1"/>
  <c r="AI218" i="3" s="1"/>
  <c r="AI222" i="3" s="1"/>
  <c r="AI226" i="3" s="1"/>
  <c r="AI230" i="3" s="1"/>
  <c r="AI234" i="3" s="1"/>
  <c r="AI238" i="3" s="1"/>
  <c r="AI242" i="3" s="1"/>
  <c r="AI246" i="3" s="1"/>
  <c r="AI250" i="3" s="1"/>
  <c r="AI254" i="3" s="1"/>
  <c r="AI258" i="3" s="1"/>
  <c r="X10" i="3"/>
  <c r="X14" i="3" s="1"/>
  <c r="X18" i="3" s="1"/>
  <c r="X22" i="3" s="1"/>
  <c r="X26" i="3" s="1"/>
  <c r="X30" i="3" s="1"/>
  <c r="X34" i="3" s="1"/>
  <c r="X38" i="3" s="1"/>
  <c r="X42" i="3" s="1"/>
  <c r="AD18" i="3"/>
  <c r="AD22" i="3" s="1"/>
  <c r="AD26" i="3" s="1"/>
  <c r="AD30" i="3" s="1"/>
  <c r="AD34" i="3" s="1"/>
  <c r="AD38" i="3" s="1"/>
  <c r="AD42" i="3" s="1"/>
  <c r="AD46" i="3" s="1"/>
  <c r="AD50" i="3" s="1"/>
  <c r="AD54" i="3" s="1"/>
  <c r="AD58" i="3" s="1"/>
  <c r="AD62" i="3" s="1"/>
  <c r="AD66" i="3" s="1"/>
  <c r="AD70" i="3" s="1"/>
  <c r="AD74" i="3" s="1"/>
  <c r="AD78" i="3" s="1"/>
  <c r="AD82" i="3" s="1"/>
  <c r="AD86" i="3" s="1"/>
  <c r="AD90" i="3" s="1"/>
  <c r="AD94" i="3" s="1"/>
  <c r="AD98" i="3" s="1"/>
  <c r="AD102" i="3" s="1"/>
  <c r="AD106" i="3" s="1"/>
  <c r="AD110" i="3" s="1"/>
  <c r="AD114" i="3" s="1"/>
  <c r="AD118" i="3" s="1"/>
  <c r="AD122" i="3" s="1"/>
  <c r="AD126" i="3" s="1"/>
  <c r="AD130" i="3" s="1"/>
  <c r="AD134" i="3" s="1"/>
  <c r="AD138" i="3" s="1"/>
  <c r="AD142" i="3" s="1"/>
  <c r="AD146" i="3" s="1"/>
  <c r="AD150" i="3" s="1"/>
  <c r="AD154" i="3" s="1"/>
  <c r="AD158" i="3" s="1"/>
  <c r="AD162" i="3" s="1"/>
  <c r="AD166" i="3" s="1"/>
  <c r="AD170" i="3" s="1"/>
  <c r="AD174" i="3" s="1"/>
  <c r="AD178" i="3" s="1"/>
  <c r="AD182" i="3" s="1"/>
  <c r="AD186" i="3" s="1"/>
  <c r="P10" i="3"/>
  <c r="P14" i="3" s="1"/>
  <c r="P18" i="3" s="1"/>
  <c r="P22" i="3" s="1"/>
  <c r="P26" i="3" s="1"/>
  <c r="P30" i="3" s="1"/>
  <c r="P34" i="3" s="1"/>
  <c r="AB10" i="3"/>
  <c r="AB14" i="3" s="1"/>
  <c r="AB18" i="3" s="1"/>
  <c r="AB22" i="3" s="1"/>
  <c r="AB26" i="3" s="1"/>
  <c r="AB30" i="3" s="1"/>
  <c r="AB34" i="3" s="1"/>
  <c r="AB38" i="3" s="1"/>
  <c r="AB42" i="3" s="1"/>
  <c r="AB46" i="3" s="1"/>
  <c r="AB50" i="3" s="1"/>
  <c r="AB54" i="3" s="1"/>
  <c r="AB58" i="3" s="1"/>
  <c r="AB62" i="3" s="1"/>
  <c r="AB66" i="3" s="1"/>
  <c r="AB70" i="3" s="1"/>
  <c r="AB74" i="3" s="1"/>
  <c r="AB78" i="3" s="1"/>
  <c r="AB82" i="3" s="1"/>
  <c r="AB86" i="3" s="1"/>
  <c r="AB90" i="3" s="1"/>
  <c r="AB94" i="3" s="1"/>
  <c r="AB98" i="3" s="1"/>
  <c r="AB102" i="3" s="1"/>
  <c r="AB106" i="3" s="1"/>
  <c r="AB110" i="3" s="1"/>
  <c r="AK10" i="3"/>
  <c r="AK14" i="3" s="1"/>
  <c r="AK18" i="3" s="1"/>
  <c r="AK22" i="3" s="1"/>
  <c r="AK26" i="3" s="1"/>
  <c r="AK30" i="3" s="1"/>
  <c r="AK34" i="3" s="1"/>
  <c r="AK38" i="3" s="1"/>
  <c r="AK42" i="3" s="1"/>
  <c r="AK46" i="3" s="1"/>
  <c r="AK50" i="3" s="1"/>
  <c r="AK54" i="3" s="1"/>
  <c r="AK58" i="3" s="1"/>
  <c r="AK62" i="3" s="1"/>
  <c r="AK66" i="3" s="1"/>
  <c r="AK70" i="3" s="1"/>
  <c r="AK74" i="3" s="1"/>
  <c r="AK78" i="3" s="1"/>
  <c r="AK82" i="3" s="1"/>
  <c r="AK86" i="3" s="1"/>
  <c r="AK90" i="3" s="1"/>
  <c r="AK94" i="3" s="1"/>
  <c r="AK98" i="3" s="1"/>
  <c r="AK102" i="3" s="1"/>
  <c r="AK106" i="3" s="1"/>
  <c r="AK110" i="3" s="1"/>
  <c r="AK114" i="3" s="1"/>
  <c r="AK118" i="3" s="1"/>
  <c r="AK122" i="3" s="1"/>
  <c r="AK126" i="3" s="1"/>
  <c r="AK130" i="3" s="1"/>
  <c r="AK134" i="3" s="1"/>
  <c r="AK138" i="3" s="1"/>
  <c r="AK142" i="3" s="1"/>
  <c r="AK146" i="3" s="1"/>
  <c r="AK150" i="3" s="1"/>
  <c r="AK154" i="3" s="1"/>
  <c r="AK158" i="3" s="1"/>
  <c r="AK162" i="3" s="1"/>
  <c r="AK166" i="3" s="1"/>
  <c r="AK170" i="3" s="1"/>
  <c r="AK174" i="3" s="1"/>
  <c r="AK178" i="3" s="1"/>
  <c r="AK182" i="3" s="1"/>
  <c r="AK186" i="3" s="1"/>
  <c r="AK190" i="3" s="1"/>
  <c r="AK194" i="3" s="1"/>
  <c r="AK198" i="3" s="1"/>
  <c r="AK202" i="3" s="1"/>
  <c r="AK206" i="3" s="1"/>
  <c r="AK210" i="3" s="1"/>
  <c r="AK214" i="3" s="1"/>
  <c r="AK218" i="3" s="1"/>
  <c r="AK222" i="3" s="1"/>
  <c r="AK226" i="3" s="1"/>
  <c r="AK230" i="3" s="1"/>
  <c r="AK234" i="3" s="1"/>
  <c r="AK238" i="3" s="1"/>
  <c r="AK242" i="3" s="1"/>
  <c r="AK246" i="3" s="1"/>
  <c r="AK250" i="3" s="1"/>
  <c r="AK254" i="3" s="1"/>
  <c r="AK258" i="3" s="1"/>
  <c r="AK262" i="3" s="1"/>
  <c r="AK266" i="3" s="1"/>
  <c r="AK270" i="3" s="1"/>
  <c r="AK274" i="3" s="1"/>
  <c r="AK278" i="3" s="1"/>
  <c r="AK282" i="3" s="1"/>
  <c r="AK286" i="3" s="1"/>
  <c r="AK290" i="3" s="1"/>
  <c r="AE10" i="3"/>
  <c r="AE14" i="3" s="1"/>
  <c r="AE18" i="3" s="1"/>
  <c r="AE22" i="3" s="1"/>
  <c r="AE26" i="3" s="1"/>
  <c r="AE30" i="3" s="1"/>
  <c r="AE34" i="3" s="1"/>
  <c r="AE38" i="3" s="1"/>
  <c r="AE42" i="3" s="1"/>
  <c r="AE46" i="3" s="1"/>
  <c r="AE50" i="3" s="1"/>
  <c r="AE54" i="3" s="1"/>
  <c r="AE58" i="3" s="1"/>
  <c r="AE62" i="3" s="1"/>
  <c r="AE66" i="3" s="1"/>
  <c r="AE70" i="3" s="1"/>
  <c r="AE74" i="3" s="1"/>
  <c r="AE78" i="3" s="1"/>
  <c r="AE82" i="3" s="1"/>
  <c r="AE86" i="3" s="1"/>
  <c r="AE90" i="3" s="1"/>
  <c r="AE94" i="3" s="1"/>
  <c r="AE98" i="3" s="1"/>
  <c r="AE102" i="3" s="1"/>
  <c r="AE106" i="3" s="1"/>
  <c r="AE110" i="3" s="1"/>
  <c r="AE114" i="3" s="1"/>
  <c r="AE118" i="3" s="1"/>
  <c r="AE122" i="3" s="1"/>
  <c r="AE126" i="3" s="1"/>
  <c r="AE130" i="3" s="1"/>
  <c r="AE134" i="3" s="1"/>
  <c r="AE138" i="3" s="1"/>
  <c r="AE142" i="3" s="1"/>
  <c r="AE146" i="3" s="1"/>
  <c r="AE150" i="3" s="1"/>
  <c r="AE154" i="3" s="1"/>
  <c r="AE158" i="3" s="1"/>
  <c r="AE162" i="3" s="1"/>
  <c r="AE166" i="3" s="1"/>
  <c r="AE170" i="3" s="1"/>
  <c r="AE174" i="3" s="1"/>
  <c r="AE178" i="3" s="1"/>
  <c r="AE182" i="3" s="1"/>
  <c r="AE186" i="3" s="1"/>
  <c r="AE190" i="3" s="1"/>
  <c r="AE194" i="3" s="1"/>
  <c r="AE198" i="3" s="1"/>
  <c r="AE202" i="3" s="1"/>
  <c r="AE206" i="3" s="1"/>
  <c r="AE210" i="3" s="1"/>
  <c r="AE214" i="3" s="1"/>
  <c r="AE218" i="3" s="1"/>
  <c r="AE222" i="3" s="1"/>
  <c r="AE226" i="3" s="1"/>
  <c r="AE230" i="3" s="1"/>
  <c r="AE234" i="3" s="1"/>
  <c r="F4" i="3" a="1"/>
  <c r="F4" i="3" s="1"/>
  <c r="F5" i="3" s="1" a="1"/>
  <c r="F5" i="3" s="1"/>
  <c r="F6" i="3" s="1"/>
  <c r="D4" i="3" a="1"/>
  <c r="D4" i="3" s="1"/>
  <c r="D5" i="3" s="1" a="1"/>
  <c r="D5" i="3" s="1"/>
  <c r="E4" i="3" a="1"/>
  <c r="E4" i="3" s="1"/>
  <c r="E5" i="3" s="1" a="1"/>
  <c r="E5" i="3" s="1"/>
  <c r="E6" i="3" s="1"/>
  <c r="I27" i="2"/>
  <c r="AM178" i="3" l="1"/>
  <c r="AM182" i="3" s="1"/>
  <c r="AM186" i="3" s="1"/>
  <c r="AM190" i="3" s="1"/>
  <c r="AM194" i="3" s="1"/>
  <c r="AM198" i="3" s="1"/>
  <c r="AM202" i="3" s="1"/>
  <c r="AM206" i="3" s="1"/>
  <c r="AM210" i="3" s="1"/>
  <c r="AM214" i="3" s="1"/>
  <c r="AM218" i="3" s="1"/>
  <c r="AM222" i="3" s="1"/>
  <c r="AM226" i="3" s="1"/>
  <c r="AM230" i="3" s="1"/>
  <c r="AM234" i="3" s="1"/>
  <c r="AM238" i="3" s="1"/>
  <c r="AM242" i="3" s="1"/>
  <c r="AM246" i="3" s="1"/>
  <c r="AM250" i="3" s="1"/>
  <c r="AM254" i="3" s="1"/>
  <c r="AM258" i="3" s="1"/>
  <c r="AM262" i="3" s="1"/>
  <c r="AM266" i="3" s="1"/>
  <c r="AM270" i="3" s="1"/>
  <c r="AM274" i="3" s="1"/>
  <c r="AM278" i="3" s="1"/>
  <c r="AM282" i="3" s="1"/>
  <c r="AM286" i="3" s="1"/>
  <c r="AM290" i="3" s="1"/>
  <c r="AM294" i="3" s="1"/>
  <c r="AM298" i="3" s="1"/>
  <c r="AM302" i="3" s="1"/>
  <c r="AM306" i="3" s="1"/>
  <c r="AM310" i="3" s="1"/>
  <c r="AM314" i="3" s="1"/>
  <c r="AM318" i="3" s="1"/>
  <c r="E38" i="4" a="1"/>
  <c r="E38" i="4" s="1"/>
  <c r="E36" i="4" a="1"/>
  <c r="E36" i="4" s="1"/>
  <c r="E30" i="4" a="1"/>
  <c r="E30" i="4" s="1"/>
  <c r="E31" i="4" a="1"/>
  <c r="E31" i="4" s="1"/>
  <c r="E35" i="4" a="1"/>
  <c r="E35" i="4" s="1"/>
  <c r="E37" i="4" a="1"/>
  <c r="E37" i="4" s="1"/>
  <c r="E34" i="4" a="1"/>
  <c r="E34" i="4" s="1"/>
  <c r="E33" i="4" a="1"/>
  <c r="E33" i="4" s="1"/>
  <c r="E32" i="4" a="1"/>
  <c r="E32" i="4" s="1"/>
  <c r="I31" i="2"/>
  <c r="D6" i="4" a="1"/>
  <c r="D6" i="4" s="1"/>
  <c r="G6" i="3"/>
  <c r="I35" i="2" l="1"/>
  <c r="I39" i="2" s="1"/>
  <c r="I43" i="2" s="1"/>
  <c r="I47" i="2" s="1"/>
  <c r="I51" i="2" s="1"/>
  <c r="I55" i="2" s="1"/>
  <c r="I59" i="2" s="1"/>
  <c r="I63" i="2" s="1"/>
  <c r="I67" i="2" s="1"/>
  <c r="I71" i="2" s="1"/>
  <c r="I75" i="2" s="1"/>
  <c r="I79" i="2" s="1"/>
  <c r="I83" i="2" s="1"/>
  <c r="I87" i="2" s="1"/>
  <c r="I91" i="2" s="1"/>
  <c r="I95" i="2" s="1"/>
  <c r="I99" i="2" s="1"/>
  <c r="I103" i="2" s="1"/>
  <c r="I107" i="2" s="1"/>
  <c r="I111" i="2" s="1"/>
  <c r="I115" i="2" s="1"/>
  <c r="I119" i="2" s="1"/>
  <c r="I123" i="2" s="1"/>
  <c r="I127" i="2" s="1"/>
  <c r="I131" i="2" s="1"/>
  <c r="I135" i="2" s="1"/>
  <c r="I139" i="2" s="1"/>
  <c r="I143" i="2" s="1"/>
  <c r="I147" i="2" s="1"/>
  <c r="I151" i="2" s="1"/>
  <c r="I155" i="2" s="1"/>
  <c r="I159" i="2" s="1"/>
  <c r="I163" i="2" s="1"/>
  <c r="I167" i="2" s="1"/>
  <c r="I171" i="2" s="1"/>
  <c r="I175" i="2" s="1"/>
  <c r="I179" i="2" s="1"/>
  <c r="I183" i="2" s="1"/>
  <c r="I187" i="2" s="1"/>
  <c r="I191" i="2" s="1"/>
  <c r="I195" i="2" s="1"/>
  <c r="I199" i="2" s="1"/>
  <c r="I203" i="2" s="1"/>
  <c r="I207" i="2" s="1"/>
  <c r="I211" i="2" s="1"/>
  <c r="I215" i="2" s="1"/>
  <c r="I219" i="2" s="1"/>
  <c r="I223" i="2" s="1"/>
  <c r="I227" i="2" s="1"/>
  <c r="I231" i="2" s="1"/>
  <c r="I235" i="2" s="1"/>
  <c r="I239" i="2" s="1"/>
  <c r="I243" i="2" s="1"/>
  <c r="I247" i="2" s="1"/>
  <c r="I251" i="2" s="1"/>
  <c r="I255" i="2" s="1"/>
  <c r="I259" i="2" s="1"/>
  <c r="I263" i="2" s="1"/>
  <c r="I267" i="2" s="1"/>
  <c r="I271" i="2" s="1"/>
  <c r="I275" i="2" s="1"/>
  <c r="I279" i="2" s="1"/>
  <c r="I283" i="2" s="1"/>
  <c r="I287" i="2" s="1"/>
  <c r="I291" i="2" s="1"/>
  <c r="I295" i="2" s="1"/>
  <c r="I299" i="2" s="1"/>
  <c r="I303" i="2" s="1"/>
  <c r="I307" i="2" s="1"/>
  <c r="I311" i="2" s="1"/>
  <c r="I315" i="2" s="1"/>
  <c r="I319" i="2" s="1"/>
  <c r="I323" i="2" s="1"/>
  <c r="I327" i="2" s="1"/>
  <c r="I331" i="2" s="1"/>
  <c r="I335" i="2" s="1"/>
  <c r="I339" i="2" s="1"/>
  <c r="I343" i="2" s="1"/>
  <c r="I347" i="2" s="1"/>
  <c r="I351" i="2" s="1"/>
  <c r="I355" i="2" s="1"/>
  <c r="I359" i="2" s="1"/>
  <c r="I363" i="2" s="1"/>
  <c r="I367" i="2" s="1"/>
  <c r="I371" i="2" s="1"/>
  <c r="I375" i="2" s="1"/>
  <c r="I379" i="2" s="1"/>
  <c r="I383" i="2" s="1"/>
  <c r="I387" i="2" s="1"/>
  <c r="D6" i="3"/>
  <c r="R8" i="3" l="1" a="1"/>
  <c r="R8" i="3" s="1"/>
  <c r="AJ8" i="3" a="1"/>
  <c r="AJ8" i="3" s="1"/>
  <c r="AD8" i="3" a="1"/>
  <c r="AD8" i="3" s="1"/>
  <c r="AE8" i="3" a="1"/>
  <c r="AE8" i="3" s="1"/>
  <c r="AL8" i="3" a="1"/>
  <c r="AL8" i="3" s="1"/>
  <c r="T8" i="3" a="1"/>
  <c r="T8" i="3" s="1"/>
  <c r="AM8" i="3" a="1"/>
  <c r="AM8" i="3" s="1"/>
  <c r="AI8" i="3" a="1"/>
  <c r="AI8" i="3" s="1"/>
  <c r="F8" i="3" a="1"/>
  <c r="F8" i="3" s="1"/>
  <c r="F9" i="3" s="1" a="1"/>
  <c r="F9" i="3" s="1"/>
  <c r="F10" i="3" s="1"/>
  <c r="Y8" i="3" a="1"/>
  <c r="Y8" i="3" s="1"/>
  <c r="N8" i="3" a="1"/>
  <c r="N8" i="3" s="1"/>
  <c r="O8" i="3" a="1"/>
  <c r="O8" i="3" s="1"/>
  <c r="D8" i="3" a="1"/>
  <c r="D8" i="3" s="1"/>
  <c r="D9" i="3" s="1" a="1"/>
  <c r="D9" i="3" s="1"/>
  <c r="D10" i="3" s="1"/>
  <c r="D14" i="3" s="1"/>
  <c r="D18" i="3" s="1"/>
  <c r="K8" i="3" a="1"/>
  <c r="K8" i="3" s="1"/>
  <c r="Q8" i="3" a="1"/>
  <c r="Q8" i="3" s="1"/>
  <c r="S8" i="3" a="1"/>
  <c r="S8" i="3" s="1"/>
  <c r="Z8" i="3" a="1"/>
  <c r="Z8" i="3" s="1"/>
  <c r="I8" i="3" a="1"/>
  <c r="I8" i="3" s="1"/>
  <c r="AF8" i="3" a="1"/>
  <c r="AF8" i="3" s="1"/>
  <c r="U8" i="3" a="1"/>
  <c r="U8" i="3" s="1"/>
  <c r="E8" i="3" a="1"/>
  <c r="E8" i="3" s="1"/>
  <c r="E9" i="3" s="1" a="1"/>
  <c r="E9" i="3" s="1"/>
  <c r="E10" i="3" s="1"/>
  <c r="M8" i="3" a="1"/>
  <c r="M8" i="3" s="1"/>
  <c r="G8" i="3" a="1"/>
  <c r="G8" i="3" s="1"/>
  <c r="G9" i="3" s="1" a="1"/>
  <c r="G9" i="3" s="1"/>
  <c r="G10" i="3" s="1"/>
  <c r="AK8" i="3" a="1"/>
  <c r="AK8" i="3" s="1"/>
  <c r="H8" i="3" a="1"/>
  <c r="H8" i="3" s="1"/>
  <c r="AA8" i="3" a="1"/>
  <c r="AA8" i="3" s="1"/>
  <c r="AB8" i="3" a="1"/>
  <c r="AB8" i="3" s="1"/>
  <c r="W8" i="3" a="1"/>
  <c r="W8" i="3" s="1"/>
  <c r="J8" i="3" a="1"/>
  <c r="J8" i="3" s="1"/>
  <c r="L8" i="3" a="1"/>
  <c r="L8" i="3" s="1"/>
  <c r="AG8" i="3" a="1"/>
  <c r="AG8" i="3" s="1"/>
  <c r="V8" i="3" a="1"/>
  <c r="V8" i="3" s="1"/>
  <c r="AC8" i="3" a="1"/>
  <c r="AC8" i="3" s="1"/>
  <c r="P8" i="3" a="1"/>
  <c r="P8" i="3" s="1"/>
  <c r="X8" i="3" a="1"/>
  <c r="X8" i="3" s="1"/>
  <c r="AH8" i="3" a="1"/>
  <c r="AH8" i="3" s="1"/>
  <c r="I391" i="2"/>
  <c r="I395" i="2" s="1"/>
  <c r="I399" i="2" s="1"/>
  <c r="I20" i="3" l="1" a="1"/>
  <c r="I20" i="3" s="1"/>
  <c r="I21" i="3" s="1" a="1"/>
  <c r="I21" i="3" s="1"/>
  <c r="I22" i="3" s="1"/>
  <c r="I26" i="3" s="1"/>
  <c r="I30" i="3" s="1"/>
  <c r="I34" i="3" s="1"/>
  <c r="I38" i="3" s="1"/>
  <c r="I42" i="3" s="1"/>
  <c r="I46" i="3" s="1"/>
  <c r="I50" i="3" s="1"/>
  <c r="AL20" i="3" a="1"/>
  <c r="AL20" i="3" s="1"/>
  <c r="J20" i="3" a="1"/>
  <c r="J20" i="3" s="1"/>
  <c r="J21" i="3" s="1" a="1"/>
  <c r="J21" i="3" s="1"/>
  <c r="J22" i="3" s="1"/>
  <c r="J26" i="3" s="1"/>
  <c r="J30" i="3" s="1"/>
  <c r="T20" i="3" a="1"/>
  <c r="T20" i="3" s="1"/>
  <c r="AM20" i="3" a="1"/>
  <c r="AM20" i="3" s="1"/>
  <c r="AE20" i="3" a="1"/>
  <c r="AE20" i="3" s="1"/>
  <c r="F20" i="3" a="1"/>
  <c r="F20" i="3" s="1"/>
  <c r="G20" i="3" a="1"/>
  <c r="G20" i="3" s="1"/>
  <c r="AI20" i="3" a="1"/>
  <c r="AI20" i="3" s="1"/>
  <c r="M20" i="3" a="1"/>
  <c r="M20" i="3" s="1"/>
  <c r="AJ20" i="3" a="1"/>
  <c r="AJ20" i="3" s="1"/>
  <c r="D20" i="3" a="1"/>
  <c r="D20" i="3" s="1"/>
  <c r="D21" i="3" s="1" a="1"/>
  <c r="D21" i="3" s="1"/>
  <c r="D22" i="3" s="1"/>
  <c r="D26" i="3" s="1"/>
  <c r="D30" i="3" s="1"/>
  <c r="O20" i="3" a="1"/>
  <c r="O20" i="3" s="1"/>
  <c r="AD20" i="3" a="1"/>
  <c r="AD20" i="3" s="1"/>
  <c r="U20" i="3" a="1"/>
  <c r="U20" i="3" s="1"/>
  <c r="H20" i="3" a="1"/>
  <c r="H20" i="3" s="1"/>
  <c r="W20" i="3" a="1"/>
  <c r="W20" i="3" s="1"/>
  <c r="K20" i="3" a="1"/>
  <c r="K20" i="3" s="1"/>
  <c r="K21" i="3" s="1" a="1"/>
  <c r="K21" i="3" s="1"/>
  <c r="K22" i="3" s="1"/>
  <c r="K26" i="3" s="1"/>
  <c r="K30" i="3" s="1"/>
  <c r="K34" i="3" s="1"/>
  <c r="K38" i="3" s="1"/>
  <c r="Z20" i="3" a="1"/>
  <c r="Z20" i="3" s="1"/>
  <c r="V20" i="3" a="1"/>
  <c r="V20" i="3" s="1"/>
  <c r="AB20" i="3" a="1"/>
  <c r="AB20" i="3" s="1"/>
  <c r="X20" i="3" a="1"/>
  <c r="X20" i="3" s="1"/>
  <c r="N20" i="3" a="1"/>
  <c r="N20" i="3" s="1"/>
  <c r="Y20" i="3" a="1"/>
  <c r="Y20" i="3" s="1"/>
  <c r="E20" i="3" a="1"/>
  <c r="E20" i="3" s="1"/>
  <c r="P20" i="3" a="1"/>
  <c r="P20" i="3" s="1"/>
  <c r="AA20" i="3" a="1"/>
  <c r="AA20" i="3" s="1"/>
  <c r="Q20" i="3" a="1"/>
  <c r="Q20" i="3" s="1"/>
  <c r="R20" i="3" a="1"/>
  <c r="R20" i="3" s="1"/>
  <c r="AF20" i="3" a="1"/>
  <c r="AF20" i="3" s="1"/>
  <c r="AK20" i="3" a="1"/>
  <c r="AK20" i="3" s="1"/>
  <c r="AC20" i="3" a="1"/>
  <c r="AC20" i="3" s="1"/>
  <c r="S20" i="3" a="1"/>
  <c r="S20" i="3" s="1"/>
  <c r="AG20" i="3" a="1"/>
  <c r="AG20" i="3" s="1"/>
  <c r="AH20" i="3" a="1"/>
  <c r="AH20" i="3" s="1"/>
  <c r="L20" i="3" a="1"/>
  <c r="L20" i="3" s="1"/>
  <c r="G12" i="3" a="1"/>
  <c r="G12" i="3" s="1"/>
  <c r="G13" i="3" s="1" a="1"/>
  <c r="G13" i="3" s="1"/>
  <c r="G14" i="3" s="1"/>
  <c r="AK12" i="3" a="1"/>
  <c r="AK12" i="3" s="1"/>
  <c r="AE12" i="3" a="1"/>
  <c r="AE12" i="3" s="1"/>
  <c r="N12" i="3" a="1"/>
  <c r="N12" i="3" s="1"/>
  <c r="H12" i="3" a="1"/>
  <c r="H12" i="3" s="1"/>
  <c r="H13" i="3" s="1" a="1"/>
  <c r="H13" i="3" s="1"/>
  <c r="H14" i="3" s="1"/>
  <c r="O12" i="3" a="1"/>
  <c r="O12" i="3" s="1"/>
  <c r="U12" i="3" a="1"/>
  <c r="U12" i="3" s="1"/>
  <c r="P12" i="3" a="1"/>
  <c r="P12" i="3" s="1"/>
  <c r="T12" i="3" a="1"/>
  <c r="T12" i="3" s="1"/>
  <c r="AL12" i="3" a="1"/>
  <c r="AL12" i="3" s="1"/>
  <c r="I12" i="3" a="1"/>
  <c r="I12" i="3" s="1"/>
  <c r="AF12" i="3" a="1"/>
  <c r="AF12" i="3" s="1"/>
  <c r="AA12" i="3" a="1"/>
  <c r="AA12" i="3" s="1"/>
  <c r="D12" i="3" a="1"/>
  <c r="D12" i="3" s="1"/>
  <c r="V12" i="3" a="1"/>
  <c r="V12" i="3" s="1"/>
  <c r="K12" i="3" a="1"/>
  <c r="K12" i="3" s="1"/>
  <c r="E12" i="3" a="1"/>
  <c r="E12" i="3" s="1"/>
  <c r="E13" i="3" s="1" a="1"/>
  <c r="E13" i="3" s="1"/>
  <c r="E14" i="3" s="1"/>
  <c r="AH12" i="3" a="1"/>
  <c r="AH12" i="3" s="1"/>
  <c r="AB12" i="3" a="1"/>
  <c r="AB12" i="3" s="1"/>
  <c r="W12" i="3" a="1"/>
  <c r="W12" i="3" s="1"/>
  <c r="R12" i="3" a="1"/>
  <c r="R12" i="3" s="1"/>
  <c r="M12" i="3" a="1"/>
  <c r="M12" i="3" s="1"/>
  <c r="AD12" i="3" a="1"/>
  <c r="AD12" i="3" s="1"/>
  <c r="Y12" i="3" a="1"/>
  <c r="Y12" i="3" s="1"/>
  <c r="AI12" i="3" a="1"/>
  <c r="AI12" i="3" s="1"/>
  <c r="L12" i="3" a="1"/>
  <c r="L12" i="3" s="1"/>
  <c r="X12" i="3" a="1"/>
  <c r="X12" i="3" s="1"/>
  <c r="AJ12" i="3" a="1"/>
  <c r="AJ12" i="3" s="1"/>
  <c r="Z12" i="3" a="1"/>
  <c r="Z12" i="3" s="1"/>
  <c r="AM12" i="3" a="1"/>
  <c r="AM12" i="3" s="1"/>
  <c r="Q12" i="3" a="1"/>
  <c r="Q12" i="3" s="1"/>
  <c r="F12" i="3" a="1"/>
  <c r="F12" i="3" s="1"/>
  <c r="F13" i="3" s="1" a="1"/>
  <c r="F13" i="3" s="1"/>
  <c r="F14" i="3" s="1"/>
  <c r="AC12" i="3" a="1"/>
  <c r="AC12" i="3" s="1"/>
  <c r="S12" i="3" a="1"/>
  <c r="S12" i="3" s="1"/>
  <c r="AG12" i="3" a="1"/>
  <c r="AG12" i="3" s="1"/>
  <c r="J12" i="3" a="1"/>
  <c r="J12" i="3" s="1"/>
  <c r="I403" i="2"/>
  <c r="I407" i="2" s="1"/>
  <c r="D16" i="3" l="1" a="1"/>
  <c r="D16" i="3" s="1"/>
  <c r="V16" i="3" a="1"/>
  <c r="V16" i="3" s="1"/>
  <c r="K16" i="3" a="1"/>
  <c r="K16" i="3" s="1"/>
  <c r="AG16" i="3" a="1"/>
  <c r="AG16" i="3" s="1"/>
  <c r="AA16" i="3" a="1"/>
  <c r="AA16" i="3" s="1"/>
  <c r="J16" i="3" a="1"/>
  <c r="J16" i="3" s="1"/>
  <c r="AL16" i="3" a="1"/>
  <c r="AL16" i="3" s="1"/>
  <c r="AF16" i="3" a="1"/>
  <c r="AF16" i="3" s="1"/>
  <c r="M16" i="3" a="1"/>
  <c r="M16" i="3" s="1"/>
  <c r="O16" i="3" a="1"/>
  <c r="O16" i="3" s="1"/>
  <c r="L16" i="3" a="1"/>
  <c r="L16" i="3" s="1"/>
  <c r="F16" i="3" a="1"/>
  <c r="F16" i="3" s="1"/>
  <c r="F17" i="3" s="1" a="1"/>
  <c r="F17" i="3" s="1"/>
  <c r="F18" i="3" s="1"/>
  <c r="F22" i="3" s="1"/>
  <c r="N16" i="3" a="1"/>
  <c r="N16" i="3" s="1"/>
  <c r="AE16" i="3" a="1"/>
  <c r="AE16" i="3" s="1"/>
  <c r="S16" i="3" a="1"/>
  <c r="S16" i="3" s="1"/>
  <c r="E16" i="3" a="1"/>
  <c r="E16" i="3" s="1"/>
  <c r="E17" i="3" s="1" a="1"/>
  <c r="E17" i="3" s="1"/>
  <c r="E18" i="3" s="1"/>
  <c r="E22" i="3" s="1"/>
  <c r="E26" i="3" s="1"/>
  <c r="X16" i="3" a="1"/>
  <c r="X16" i="3" s="1"/>
  <c r="R16" i="3" a="1"/>
  <c r="R16" i="3" s="1"/>
  <c r="AK16" i="3" a="1"/>
  <c r="AK16" i="3" s="1"/>
  <c r="AJ16" i="3" a="1"/>
  <c r="AJ16" i="3" s="1"/>
  <c r="P16" i="3" a="1"/>
  <c r="P16" i="3" s="1"/>
  <c r="AD16" i="3" a="1"/>
  <c r="AD16" i="3" s="1"/>
  <c r="U16" i="3" a="1"/>
  <c r="U16" i="3" s="1"/>
  <c r="T16" i="3" a="1"/>
  <c r="T16" i="3" s="1"/>
  <c r="AH16" i="3" a="1"/>
  <c r="AH16" i="3" s="1"/>
  <c r="Z16" i="3" a="1"/>
  <c r="Z16" i="3" s="1"/>
  <c r="AM16" i="3" a="1"/>
  <c r="AM16" i="3" s="1"/>
  <c r="AI16" i="3" a="1"/>
  <c r="AI16" i="3" s="1"/>
  <c r="AC16" i="3" a="1"/>
  <c r="AC16" i="3" s="1"/>
  <c r="W16" i="3" a="1"/>
  <c r="W16" i="3" s="1"/>
  <c r="G16" i="3" a="1"/>
  <c r="G16" i="3" s="1"/>
  <c r="G17" i="3" s="1" a="1"/>
  <c r="G17" i="3" s="1"/>
  <c r="G18" i="3" s="1"/>
  <c r="G22" i="3" s="1"/>
  <c r="G26" i="3" s="1"/>
  <c r="G30" i="3" s="1"/>
  <c r="Y16" i="3" a="1"/>
  <c r="Y16" i="3" s="1"/>
  <c r="I16" i="3" a="1"/>
  <c r="I16" i="3" s="1"/>
  <c r="Q16" i="3" a="1"/>
  <c r="Q16" i="3" s="1"/>
  <c r="AB16" i="3" a="1"/>
  <c r="AB16" i="3" s="1"/>
  <c r="H16" i="3" a="1"/>
  <c r="H16" i="3" s="1"/>
  <c r="H17" i="3" s="1" a="1"/>
  <c r="H17" i="3" s="1"/>
  <c r="H18" i="3" s="1"/>
  <c r="H22" i="3" s="1"/>
  <c r="H26" i="3" s="1"/>
  <c r="AB32" i="3" a="1"/>
  <c r="AB32" i="3" s="1"/>
  <c r="E32" i="3" a="1"/>
  <c r="E32" i="3" s="1"/>
  <c r="AA32" i="3" a="1"/>
  <c r="AA32" i="3" s="1"/>
  <c r="H32" i="3" a="1"/>
  <c r="H32" i="3" s="1"/>
  <c r="V32" i="3" a="1"/>
  <c r="V32" i="3" s="1"/>
  <c r="M32" i="3" a="1"/>
  <c r="M32" i="3" s="1"/>
  <c r="X32" i="3" a="1"/>
  <c r="X32" i="3" s="1"/>
  <c r="Y32" i="3" a="1"/>
  <c r="Y32" i="3" s="1"/>
  <c r="W32" i="3" a="1"/>
  <c r="W32" i="3" s="1"/>
  <c r="N32" i="3" a="1"/>
  <c r="N32" i="3" s="1"/>
  <c r="AI32" i="3" a="1"/>
  <c r="AI32" i="3" s="1"/>
  <c r="AJ32" i="3" a="1"/>
  <c r="AJ32" i="3" s="1"/>
  <c r="I32" i="3" a="1"/>
  <c r="I32" i="3" s="1"/>
  <c r="AK32" i="3" a="1"/>
  <c r="AK32" i="3" s="1"/>
  <c r="AE32" i="3" a="1"/>
  <c r="AE32" i="3" s="1"/>
  <c r="AM32" i="3" a="1"/>
  <c r="AM32" i="3" s="1"/>
  <c r="AC32" i="3" a="1"/>
  <c r="AC32" i="3" s="1"/>
  <c r="AH32" i="3" a="1"/>
  <c r="AH32" i="3" s="1"/>
  <c r="AL32" i="3" a="1"/>
  <c r="AL32" i="3" s="1"/>
  <c r="AD32" i="3" a="1"/>
  <c r="AD32" i="3" s="1"/>
  <c r="K32" i="3" a="1"/>
  <c r="K32" i="3" s="1"/>
  <c r="AF32" i="3" a="1"/>
  <c r="AF32" i="3" s="1"/>
  <c r="T32" i="3" a="1"/>
  <c r="T32" i="3" s="1"/>
  <c r="AG32" i="3" a="1"/>
  <c r="AG32" i="3" s="1"/>
  <c r="U32" i="3" a="1"/>
  <c r="U32" i="3" s="1"/>
  <c r="Z32" i="3" a="1"/>
  <c r="Z32" i="3" s="1"/>
  <c r="F32" i="3" a="1"/>
  <c r="F32" i="3" s="1"/>
  <c r="Q32" i="3" a="1"/>
  <c r="Q32" i="3" s="1"/>
  <c r="S32" i="3" a="1"/>
  <c r="S32" i="3" s="1"/>
  <c r="P32" i="3" a="1"/>
  <c r="P32" i="3" s="1"/>
  <c r="R32" i="3" a="1"/>
  <c r="R32" i="3" s="1"/>
  <c r="O32" i="3" a="1"/>
  <c r="O32" i="3" s="1"/>
  <c r="I411" i="2"/>
  <c r="I415" i="2" s="1"/>
  <c r="X24" i="3" l="1" a="1"/>
  <c r="X24" i="3" s="1"/>
  <c r="AG24" i="3" a="1"/>
  <c r="AG24" i="3" s="1"/>
  <c r="Y24" i="3" a="1"/>
  <c r="Y24" i="3" s="1"/>
  <c r="AJ24" i="3" a="1"/>
  <c r="AJ24" i="3" s="1"/>
  <c r="I24" i="3" a="1"/>
  <c r="I24" i="3" s="1"/>
  <c r="AI24" i="3" a="1"/>
  <c r="AI24" i="3" s="1"/>
  <c r="N24" i="3" a="1"/>
  <c r="N24" i="3" s="1"/>
  <c r="N25" i="3" s="1" a="1"/>
  <c r="N25" i="3" s="1"/>
  <c r="N26" i="3" s="1"/>
  <c r="K24" i="3" a="1"/>
  <c r="K24" i="3" s="1"/>
  <c r="L24" i="3" a="1"/>
  <c r="L24" i="3" s="1"/>
  <c r="L25" i="3" s="1" a="1"/>
  <c r="L25" i="3" s="1"/>
  <c r="L26" i="3" s="1"/>
  <c r="L30" i="3" s="1"/>
  <c r="J32" i="3" s="1" a="1"/>
  <c r="J32" i="3" s="1"/>
  <c r="J33" i="3" s="1" a="1"/>
  <c r="J33" i="3" s="1"/>
  <c r="J34" i="3" s="1"/>
  <c r="J38" i="3" s="1"/>
  <c r="J42" i="3" s="1"/>
  <c r="J46" i="3" s="1"/>
  <c r="J50" i="3" s="1"/>
  <c r="J54" i="3" s="1"/>
  <c r="J58" i="3" s="1"/>
  <c r="J62" i="3" s="1"/>
  <c r="J66" i="3" s="1"/>
  <c r="J70" i="3" s="1"/>
  <c r="J74" i="3" s="1"/>
  <c r="J78" i="3" s="1"/>
  <c r="J82" i="3" s="1"/>
  <c r="J86" i="3" s="1"/>
  <c r="J90" i="3" s="1"/>
  <c r="J94" i="3" s="1"/>
  <c r="J98" i="3" s="1"/>
  <c r="J102" i="3" s="1"/>
  <c r="J106" i="3" s="1"/>
  <c r="J110" i="3" s="1"/>
  <c r="J114" i="3" s="1"/>
  <c r="J118" i="3" s="1"/>
  <c r="J122" i="3" s="1"/>
  <c r="J126" i="3" s="1"/>
  <c r="J130" i="3" s="1"/>
  <c r="J134" i="3" s="1"/>
  <c r="J138" i="3" s="1"/>
  <c r="J142" i="3" s="1"/>
  <c r="J146" i="3" s="1"/>
  <c r="J150" i="3" s="1"/>
  <c r="J154" i="3" s="1"/>
  <c r="J158" i="3" s="1"/>
  <c r="J162" i="3" s="1"/>
  <c r="J166" i="3" s="1"/>
  <c r="J170" i="3" s="1"/>
  <c r="J174" i="3" s="1"/>
  <c r="J178" i="3" s="1"/>
  <c r="J182" i="3" s="1"/>
  <c r="J186" i="3" s="1"/>
  <c r="J190" i="3" s="1"/>
  <c r="J194" i="3" s="1"/>
  <c r="J198" i="3" s="1"/>
  <c r="J202" i="3" s="1"/>
  <c r="J206" i="3" s="1"/>
  <c r="J210" i="3" s="1"/>
  <c r="J214" i="3" s="1"/>
  <c r="J218" i="3" s="1"/>
  <c r="J222" i="3" s="1"/>
  <c r="J226" i="3" s="1"/>
  <c r="J230" i="3" s="1"/>
  <c r="J234" i="3" s="1"/>
  <c r="AH24" i="3" a="1"/>
  <c r="AH24" i="3" s="1"/>
  <c r="AM24" i="3" a="1"/>
  <c r="AM24" i="3" s="1"/>
  <c r="M24" i="3" a="1"/>
  <c r="M24" i="3" s="1"/>
  <c r="M25" i="3" s="1" a="1"/>
  <c r="M25" i="3" s="1"/>
  <c r="M26" i="3" s="1"/>
  <c r="M30" i="3" s="1"/>
  <c r="M34" i="3" s="1"/>
  <c r="M38" i="3" s="1"/>
  <c r="M42" i="3" s="1"/>
  <c r="M46" i="3" s="1"/>
  <c r="M50" i="3" s="1"/>
  <c r="M54" i="3" s="1"/>
  <c r="M58" i="3" s="1"/>
  <c r="M62" i="3" s="1"/>
  <c r="M66" i="3" s="1"/>
  <c r="M70" i="3" s="1"/>
  <c r="M74" i="3" s="1"/>
  <c r="M78" i="3" s="1"/>
  <c r="M82" i="3" s="1"/>
  <c r="M86" i="3" s="1"/>
  <c r="M90" i="3" s="1"/>
  <c r="M94" i="3" s="1"/>
  <c r="Q24" i="3" a="1"/>
  <c r="Q24" i="3" s="1"/>
  <c r="AA24" i="3" a="1"/>
  <c r="AA24" i="3" s="1"/>
  <c r="AL24" i="3" a="1"/>
  <c r="AL24" i="3" s="1"/>
  <c r="V24" i="3" a="1"/>
  <c r="V24" i="3" s="1"/>
  <c r="E24" i="3" a="1"/>
  <c r="E24" i="3" s="1"/>
  <c r="Z24" i="3" a="1"/>
  <c r="Z24" i="3" s="1"/>
  <c r="G24" i="3" a="1"/>
  <c r="G24" i="3" s="1"/>
  <c r="R24" i="3" a="1"/>
  <c r="R24" i="3" s="1"/>
  <c r="AF24" i="3" a="1"/>
  <c r="AF24" i="3" s="1"/>
  <c r="J24" i="3" a="1"/>
  <c r="J24" i="3" s="1"/>
  <c r="AB24" i="3" a="1"/>
  <c r="AB24" i="3" s="1"/>
  <c r="D24" i="3" a="1"/>
  <c r="D24" i="3" s="1"/>
  <c r="W24" i="3" a="1"/>
  <c r="W24" i="3" s="1"/>
  <c r="P24" i="3" a="1"/>
  <c r="P24" i="3" s="1"/>
  <c r="AC24" i="3" a="1"/>
  <c r="AC24" i="3" s="1"/>
  <c r="H24" i="3" a="1"/>
  <c r="H24" i="3" s="1"/>
  <c r="AE24" i="3" a="1"/>
  <c r="AE24" i="3" s="1"/>
  <c r="U24" i="3" a="1"/>
  <c r="U24" i="3" s="1"/>
  <c r="AD24" i="3" a="1"/>
  <c r="AD24" i="3" s="1"/>
  <c r="F24" i="3" a="1"/>
  <c r="F24" i="3" s="1"/>
  <c r="F25" i="3" s="1" a="1"/>
  <c r="F25" i="3" s="1"/>
  <c r="F26" i="3" s="1"/>
  <c r="AK24" i="3" a="1"/>
  <c r="AK24" i="3" s="1"/>
  <c r="O24" i="3" a="1"/>
  <c r="O24" i="3" s="1"/>
  <c r="S24" i="3" a="1"/>
  <c r="S24" i="3" s="1"/>
  <c r="T24" i="3" a="1"/>
  <c r="T24" i="3" s="1"/>
  <c r="O28" i="3" a="1"/>
  <c r="O28" i="3" s="1"/>
  <c r="R28" i="3" a="1"/>
  <c r="R28" i="3" s="1"/>
  <c r="T28" i="3" a="1"/>
  <c r="T28" i="3" s="1"/>
  <c r="AH28" i="3" a="1"/>
  <c r="AH28" i="3" s="1"/>
  <c r="Q28" i="3" a="1"/>
  <c r="Q28" i="3" s="1"/>
  <c r="S28" i="3" a="1"/>
  <c r="S28" i="3" s="1"/>
  <c r="J28" i="3" a="1"/>
  <c r="J28" i="3" s="1"/>
  <c r="AJ28" i="3" a="1"/>
  <c r="AJ28" i="3" s="1"/>
  <c r="AG28" i="3" a="1"/>
  <c r="AG28" i="3" s="1"/>
  <c r="M28" i="3" a="1"/>
  <c r="M28" i="3" s="1"/>
  <c r="G28" i="3" a="1"/>
  <c r="G28" i="3" s="1"/>
  <c r="I28" i="3" a="1"/>
  <c r="I28" i="3" s="1"/>
  <c r="Z28" i="3" a="1"/>
  <c r="Z28" i="3" s="1"/>
  <c r="U28" i="3" a="1"/>
  <c r="U28" i="3" s="1"/>
  <c r="AA28" i="3" a="1"/>
  <c r="AA28" i="3" s="1"/>
  <c r="AF28" i="3" a="1"/>
  <c r="AF28" i="3" s="1"/>
  <c r="K28" i="3" a="1"/>
  <c r="K28" i="3" s="1"/>
  <c r="X28" i="3" a="1"/>
  <c r="X28" i="3" s="1"/>
  <c r="AB28" i="3" a="1"/>
  <c r="AB28" i="3" s="1"/>
  <c r="AI28" i="3" a="1"/>
  <c r="AI28" i="3" s="1"/>
  <c r="Y28" i="3" a="1"/>
  <c r="Y28" i="3" s="1"/>
  <c r="AL28" i="3" a="1"/>
  <c r="AL28" i="3" s="1"/>
  <c r="L28" i="3" a="1"/>
  <c r="L28" i="3" s="1"/>
  <c r="AC28" i="3" a="1"/>
  <c r="AC28" i="3" s="1"/>
  <c r="AD28" i="3" a="1"/>
  <c r="AD28" i="3" s="1"/>
  <c r="AE28" i="3" a="1"/>
  <c r="AE28" i="3" s="1"/>
  <c r="P28" i="3" a="1"/>
  <c r="P28" i="3" s="1"/>
  <c r="D28" i="3" a="1"/>
  <c r="D28" i="3" s="1"/>
  <c r="V28" i="3" a="1"/>
  <c r="V28" i="3" s="1"/>
  <c r="AK28" i="3" a="1"/>
  <c r="AK28" i="3" s="1"/>
  <c r="W28" i="3" a="1"/>
  <c r="W28" i="3" s="1"/>
  <c r="AM28" i="3" a="1"/>
  <c r="AM28" i="3" s="1"/>
  <c r="I419" i="2"/>
  <c r="D32" i="3" l="1" a="1"/>
  <c r="D32" i="3" s="1"/>
  <c r="D33" i="3" s="1" a="1"/>
  <c r="D33" i="3" s="1"/>
  <c r="D34" i="3" s="1"/>
  <c r="D38" i="3" s="1"/>
  <c r="D42" i="3" s="1"/>
  <c r="G32" i="3" a="1"/>
  <c r="G32" i="3" s="1"/>
  <c r="G33" i="3" s="1" a="1"/>
  <c r="G33" i="3" s="1"/>
  <c r="G34" i="3" s="1"/>
  <c r="P36" i="3" s="1" a="1"/>
  <c r="P36" i="3" s="1"/>
  <c r="P37" i="3" s="1" a="1"/>
  <c r="P37" i="3" s="1"/>
  <c r="P38" i="3" s="1"/>
  <c r="P42" i="3" s="1"/>
  <c r="AJ36" i="3" a="1"/>
  <c r="AJ36" i="3" s="1"/>
  <c r="AB36" i="3" a="1"/>
  <c r="AB36" i="3" s="1"/>
  <c r="AL36" i="3" a="1"/>
  <c r="AL36" i="3" s="1"/>
  <c r="AM36" i="3" a="1"/>
  <c r="AM36" i="3" s="1"/>
  <c r="AC36" i="3" a="1"/>
  <c r="AC36" i="3" s="1"/>
  <c r="Z36" i="3" a="1"/>
  <c r="Z36" i="3" s="1"/>
  <c r="H36" i="3" a="1"/>
  <c r="H36" i="3" s="1"/>
  <c r="AA36" i="3" a="1"/>
  <c r="AA36" i="3" s="1"/>
  <c r="I36" i="3" a="1"/>
  <c r="I36" i="3" s="1"/>
  <c r="X36" i="3" a="1"/>
  <c r="X36" i="3" s="1"/>
  <c r="Y36" i="3" a="1"/>
  <c r="Y36" i="3" s="1"/>
  <c r="L36" i="3" a="1"/>
  <c r="L36" i="3" s="1"/>
  <c r="AD36" i="3" a="1"/>
  <c r="AD36" i="3" s="1"/>
  <c r="R36" i="3" a="1"/>
  <c r="R36" i="3" s="1"/>
  <c r="AE36" i="3" a="1"/>
  <c r="AE36" i="3" s="1"/>
  <c r="K36" i="3" a="1"/>
  <c r="K36" i="3" s="1"/>
  <c r="S36" i="3" a="1"/>
  <c r="S36" i="3" s="1"/>
  <c r="M36" i="3" a="1"/>
  <c r="M36" i="3" s="1"/>
  <c r="T36" i="3" a="1"/>
  <c r="T36" i="3" s="1"/>
  <c r="N36" i="3" a="1"/>
  <c r="N36" i="3" s="1"/>
  <c r="AF36" i="3" a="1"/>
  <c r="AF36" i="3" s="1"/>
  <c r="D36" i="3" a="1"/>
  <c r="D36" i="3" s="1"/>
  <c r="U36" i="3" a="1"/>
  <c r="U36" i="3" s="1"/>
  <c r="AG36" i="3" a="1"/>
  <c r="AG36" i="3" s="1"/>
  <c r="E36" i="3" a="1"/>
  <c r="E36" i="3" s="1"/>
  <c r="V36" i="3" a="1"/>
  <c r="V36" i="3" s="1"/>
  <c r="AH36" i="3" a="1"/>
  <c r="AH36" i="3" s="1"/>
  <c r="AK36" i="3" a="1"/>
  <c r="AK36" i="3" s="1"/>
  <c r="F36" i="3" a="1"/>
  <c r="F36" i="3" s="1"/>
  <c r="W36" i="3" a="1"/>
  <c r="W36" i="3" s="1"/>
  <c r="AI36" i="3" a="1"/>
  <c r="AI36" i="3" s="1"/>
  <c r="J36" i="3" a="1"/>
  <c r="J36" i="3" s="1"/>
  <c r="N28" i="3" a="1"/>
  <c r="N28" i="3" s="1"/>
  <c r="N29" i="3" s="1" a="1"/>
  <c r="N29" i="3" s="1"/>
  <c r="N30" i="3" s="1"/>
  <c r="N34" i="3" s="1"/>
  <c r="N38" i="3" s="1"/>
  <c r="N42" i="3" s="1"/>
  <c r="N46" i="3" s="1"/>
  <c r="F28" i="3" a="1"/>
  <c r="F28" i="3" s="1"/>
  <c r="F29" i="3" s="1" a="1"/>
  <c r="F29" i="3" s="1"/>
  <c r="F30" i="3" s="1"/>
  <c r="F34" i="3" s="1"/>
  <c r="F38" i="3" s="1"/>
  <c r="F42" i="3" s="1"/>
  <c r="F46" i="3" s="1"/>
  <c r="F50" i="3" s="1"/>
  <c r="F54" i="3" s="1"/>
  <c r="F58" i="3" s="1"/>
  <c r="F62" i="3" s="1"/>
  <c r="F66" i="3" s="1"/>
  <c r="F70" i="3" s="1"/>
  <c r="F74" i="3" s="1"/>
  <c r="F78" i="3" s="1"/>
  <c r="F82" i="3" s="1"/>
  <c r="F86" i="3" s="1"/>
  <c r="H28" i="3" a="1"/>
  <c r="H28" i="3" s="1"/>
  <c r="H29" i="3" s="1" a="1"/>
  <c r="H29" i="3" s="1"/>
  <c r="H30" i="3" s="1"/>
  <c r="H34" i="3" s="1"/>
  <c r="H38" i="3" s="1"/>
  <c r="H42" i="3" s="1"/>
  <c r="H46" i="3" s="1"/>
  <c r="H50" i="3" s="1"/>
  <c r="H54" i="3" s="1"/>
  <c r="H58" i="3" s="1"/>
  <c r="E28" i="3" a="1"/>
  <c r="E28" i="3" s="1"/>
  <c r="E29" i="3" s="1" a="1"/>
  <c r="E29" i="3" s="1"/>
  <c r="E30" i="3" s="1"/>
  <c r="E34" i="3" s="1"/>
  <c r="E38" i="3" s="1"/>
  <c r="L44" i="3" a="1"/>
  <c r="L44" i="3" s="1"/>
  <c r="Q44" i="3" a="1"/>
  <c r="Q44" i="3" s="1"/>
  <c r="AK44" i="3" a="1"/>
  <c r="AK44" i="3" s="1"/>
  <c r="AB44" i="3" a="1"/>
  <c r="AB44" i="3" s="1"/>
  <c r="AL44" i="3" a="1"/>
  <c r="AL44" i="3" s="1"/>
  <c r="G44" i="3" a="1"/>
  <c r="G44" i="3" s="1"/>
  <c r="AI44" i="3" a="1"/>
  <c r="AI44" i="3" s="1"/>
  <c r="AF44" i="3" a="1"/>
  <c r="AF44" i="3" s="1"/>
  <c r="V44" i="3" a="1"/>
  <c r="V44" i="3" s="1"/>
  <c r="AD44" i="3" a="1"/>
  <c r="AD44" i="3" s="1"/>
  <c r="O44" i="3" a="1"/>
  <c r="O44" i="3" s="1"/>
  <c r="AG44" i="3" a="1"/>
  <c r="AG44" i="3" s="1"/>
  <c r="AJ44" i="3" a="1"/>
  <c r="AJ44" i="3" s="1"/>
  <c r="E44" i="3" a="1"/>
  <c r="E44" i="3" s="1"/>
  <c r="Z44" i="3" a="1"/>
  <c r="Z44" i="3" s="1"/>
  <c r="F44" i="3" a="1"/>
  <c r="F44" i="3" s="1"/>
  <c r="AA44" i="3" a="1"/>
  <c r="AA44" i="3" s="1"/>
  <c r="R44" i="3" a="1"/>
  <c r="R44" i="3" s="1"/>
  <c r="AM44" i="3" a="1"/>
  <c r="AM44" i="3" s="1"/>
  <c r="H44" i="3" a="1"/>
  <c r="H44" i="3" s="1"/>
  <c r="AC44" i="3" a="1"/>
  <c r="AC44" i="3" s="1"/>
  <c r="S44" i="3" a="1"/>
  <c r="S44" i="3" s="1"/>
  <c r="I44" i="3" a="1"/>
  <c r="I44" i="3" s="1"/>
  <c r="W44" i="3" a="1"/>
  <c r="W44" i="3" s="1"/>
  <c r="T44" i="3" a="1"/>
  <c r="T44" i="3" s="1"/>
  <c r="AH44" i="3" a="1"/>
  <c r="AH44" i="3" s="1"/>
  <c r="J44" i="3" a="1"/>
  <c r="J44" i="3" s="1"/>
  <c r="M44" i="3" a="1"/>
  <c r="M44" i="3" s="1"/>
  <c r="AE44" i="3" a="1"/>
  <c r="AE44" i="3" s="1"/>
  <c r="U44" i="3" a="1"/>
  <c r="U44" i="3" s="1"/>
  <c r="N44" i="3" a="1"/>
  <c r="N44" i="3" s="1"/>
  <c r="K44" i="3" a="1"/>
  <c r="K44" i="3" s="1"/>
  <c r="AF236" i="3" a="1"/>
  <c r="AF236" i="3" s="1"/>
  <c r="AF237" i="3" s="1" a="1"/>
  <c r="AF237" i="3" s="1"/>
  <c r="AF238" i="3" s="1"/>
  <c r="AF242" i="3" s="1"/>
  <c r="AF246" i="3" s="1"/>
  <c r="AF250" i="3" s="1"/>
  <c r="AF254" i="3" s="1"/>
  <c r="AF258" i="3" s="1"/>
  <c r="AF262" i="3" s="1"/>
  <c r="AF266" i="3" s="1"/>
  <c r="AF270" i="3" s="1"/>
  <c r="AF274" i="3" s="1"/>
  <c r="AF278" i="3" s="1"/>
  <c r="AF282" i="3" s="1"/>
  <c r="AF286" i="3" s="1"/>
  <c r="AF290" i="3" s="1"/>
  <c r="V236" i="3" a="1"/>
  <c r="V236" i="3" s="1"/>
  <c r="AG236" i="3" a="1"/>
  <c r="AG236" i="3" s="1"/>
  <c r="AG237" i="3" s="1" a="1"/>
  <c r="AG237" i="3" s="1"/>
  <c r="AG238" i="3" s="1"/>
  <c r="AG242" i="3" s="1"/>
  <c r="L236" i="3" a="1"/>
  <c r="L236" i="3" s="1"/>
  <c r="R236" i="3" a="1"/>
  <c r="R236" i="3" s="1"/>
  <c r="AE236" i="3" a="1"/>
  <c r="AE236" i="3" s="1"/>
  <c r="AE237" i="3" s="1" a="1"/>
  <c r="AE237" i="3" s="1"/>
  <c r="AE238" i="3" s="1"/>
  <c r="AE242" i="3" s="1"/>
  <c r="O236" i="3" a="1"/>
  <c r="O236" i="3" s="1"/>
  <c r="E236" i="3" a="1"/>
  <c r="E236" i="3" s="1"/>
  <c r="P236" i="3" a="1"/>
  <c r="P236" i="3" s="1"/>
  <c r="D236" i="3" a="1"/>
  <c r="D236" i="3" s="1"/>
  <c r="AM236" i="3" a="1"/>
  <c r="AM236" i="3" s="1"/>
  <c r="AJ236" i="3" a="1"/>
  <c r="AJ236" i="3" s="1"/>
  <c r="H236" i="3" a="1"/>
  <c r="H236" i="3" s="1"/>
  <c r="U236" i="3" a="1"/>
  <c r="U236" i="3" s="1"/>
  <c r="J236" i="3" a="1"/>
  <c r="J236" i="3" s="1"/>
  <c r="J237" i="3" s="1" a="1"/>
  <c r="J237" i="3" s="1"/>
  <c r="J238" i="3" s="1"/>
  <c r="J242" i="3" s="1"/>
  <c r="AC236" i="3" a="1"/>
  <c r="AC236" i="3" s="1"/>
  <c r="W236" i="3" a="1"/>
  <c r="W236" i="3" s="1"/>
  <c r="N236" i="3" a="1"/>
  <c r="N236" i="3" s="1"/>
  <c r="I236" i="3" a="1"/>
  <c r="I236" i="3" s="1"/>
  <c r="AD236" i="3" a="1"/>
  <c r="AD236" i="3" s="1"/>
  <c r="T236" i="3" a="1"/>
  <c r="T236" i="3" s="1"/>
  <c r="K236" i="3" a="1"/>
  <c r="K236" i="3" s="1"/>
  <c r="AA236" i="3" a="1"/>
  <c r="AA236" i="3" s="1"/>
  <c r="M236" i="3" a="1"/>
  <c r="M236" i="3" s="1"/>
  <c r="X236" i="3" a="1"/>
  <c r="X236" i="3" s="1"/>
  <c r="Z236" i="3" a="1"/>
  <c r="Z236" i="3" s="1"/>
  <c r="AK236" i="3" a="1"/>
  <c r="AK236" i="3" s="1"/>
  <c r="F236" i="3" a="1"/>
  <c r="F236" i="3" s="1"/>
  <c r="S236" i="3" a="1"/>
  <c r="S236" i="3" s="1"/>
  <c r="Q236" i="3" a="1"/>
  <c r="Q236" i="3" s="1"/>
  <c r="Y236" i="3" a="1"/>
  <c r="Y236" i="3" s="1"/>
  <c r="AL236" i="3" a="1"/>
  <c r="AL236" i="3" s="1"/>
  <c r="AH236" i="3" a="1"/>
  <c r="AH236" i="3" s="1"/>
  <c r="AI236" i="3" a="1"/>
  <c r="AI236" i="3" s="1"/>
  <c r="AB236" i="3" a="1"/>
  <c r="AB236" i="3" s="1"/>
  <c r="G236" i="3" a="1"/>
  <c r="G236" i="3" s="1"/>
  <c r="L32" i="3" a="1"/>
  <c r="L32" i="3" s="1"/>
  <c r="L33" i="3" s="1" a="1"/>
  <c r="L33" i="3" s="1"/>
  <c r="L34" i="3" s="1"/>
  <c r="L38" i="3" s="1"/>
  <c r="L42" i="3" s="1"/>
  <c r="L46" i="3" s="1"/>
  <c r="L50" i="3" s="1"/>
  <c r="L54" i="3" s="1"/>
  <c r="L58" i="3" s="1"/>
  <c r="L62" i="3" s="1"/>
  <c r="L66" i="3" s="1"/>
  <c r="L70" i="3" s="1"/>
  <c r="L74" i="3" s="1"/>
  <c r="L78" i="3" s="1"/>
  <c r="L82" i="3" s="1"/>
  <c r="L86" i="3" s="1"/>
  <c r="L90" i="3" s="1"/>
  <c r="L94" i="3" s="1"/>
  <c r="L98" i="3" s="1"/>
  <c r="I423" i="2"/>
  <c r="I427" i="2" s="1"/>
  <c r="E9" i="4" a="1"/>
  <c r="E9" i="4" s="1"/>
  <c r="AF292" i="3" l="1" a="1"/>
  <c r="AF292" i="3" s="1"/>
  <c r="AF293" i="3" s="1" a="1"/>
  <c r="AF293" i="3" s="1"/>
  <c r="AF294" i="3" s="1"/>
  <c r="AF298" i="3" s="1"/>
  <c r="AF302" i="3" s="1"/>
  <c r="AF306" i="3" s="1"/>
  <c r="AF310" i="3" s="1"/>
  <c r="AF314" i="3" s="1"/>
  <c r="AF318" i="3" s="1"/>
  <c r="AF322" i="3" s="1"/>
  <c r="AF326" i="3" s="1"/>
  <c r="AF330" i="3" s="1"/>
  <c r="AF334" i="3" s="1"/>
  <c r="AF338" i="3" s="1"/>
  <c r="AF342" i="3" s="1"/>
  <c r="AF346" i="3" s="1"/>
  <c r="AF350" i="3" s="1"/>
  <c r="AF354" i="3" s="1"/>
  <c r="AF358" i="3" s="1"/>
  <c r="AF362" i="3" s="1"/>
  <c r="AF366" i="3" s="1"/>
  <c r="AF370" i="3" s="1"/>
  <c r="AF374" i="3" s="1"/>
  <c r="AF378" i="3" s="1"/>
  <c r="AF382" i="3" s="1"/>
  <c r="AF386" i="3" s="1"/>
  <c r="AF390" i="3" s="1"/>
  <c r="AF394" i="3" s="1"/>
  <c r="AF398" i="3" s="1"/>
  <c r="AF402" i="3" s="1"/>
  <c r="AF406" i="3" s="1"/>
  <c r="AF410" i="3" s="1"/>
  <c r="AF414" i="3" s="1"/>
  <c r="AF418" i="3" s="1"/>
  <c r="AF422" i="3" s="1"/>
  <c r="AF426" i="3" s="1"/>
  <c r="AF430" i="3" s="1"/>
  <c r="AF434" i="3" s="1"/>
  <c r="AF438" i="3" s="1"/>
  <c r="AF442" i="3" s="1"/>
  <c r="AF446" i="3" s="1"/>
  <c r="AF450" i="3" s="1"/>
  <c r="AF454" i="3" s="1"/>
  <c r="AF458" i="3" s="1"/>
  <c r="AF462" i="3" s="1"/>
  <c r="AF466" i="3" s="1"/>
  <c r="AF470" i="3" s="1"/>
  <c r="AF474" i="3" s="1"/>
  <c r="AF478" i="3" s="1"/>
  <c r="AF482" i="3" s="1"/>
  <c r="AF486" i="3" s="1"/>
  <c r="AF490" i="3" s="1"/>
  <c r="AF494" i="3" s="1"/>
  <c r="AF498" i="3" s="1"/>
  <c r="AF502" i="3" s="1"/>
  <c r="N292" i="3" a="1"/>
  <c r="N292" i="3" s="1"/>
  <c r="AM292" i="3" a="1"/>
  <c r="AM292" i="3" s="1"/>
  <c r="F292" i="3" a="1"/>
  <c r="F292" i="3" s="1"/>
  <c r="G292" i="3" a="1"/>
  <c r="G292" i="3" s="1"/>
  <c r="O292" i="3" a="1"/>
  <c r="O292" i="3" s="1"/>
  <c r="AA292" i="3" a="1"/>
  <c r="AA292" i="3" s="1"/>
  <c r="AB292" i="3" a="1"/>
  <c r="AB292" i="3" s="1"/>
  <c r="D292" i="3" a="1"/>
  <c r="D292" i="3" s="1"/>
  <c r="AD292" i="3" a="1"/>
  <c r="AD292" i="3" s="1"/>
  <c r="AL292" i="3" a="1"/>
  <c r="AL292" i="3" s="1"/>
  <c r="AL293" i="3" s="1" a="1"/>
  <c r="AL293" i="3" s="1"/>
  <c r="AL294" i="3" s="1"/>
  <c r="AL298" i="3" s="1"/>
  <c r="AL302" i="3" s="1"/>
  <c r="AL306" i="3" s="1"/>
  <c r="AL310" i="3" s="1"/>
  <c r="AL314" i="3" s="1"/>
  <c r="AL318" i="3" s="1"/>
  <c r="AL322" i="3" s="1"/>
  <c r="AL326" i="3" s="1"/>
  <c r="AL330" i="3" s="1"/>
  <c r="AL334" i="3" s="1"/>
  <c r="AL338" i="3" s="1"/>
  <c r="AL342" i="3" s="1"/>
  <c r="AL346" i="3" s="1"/>
  <c r="AL350" i="3" s="1"/>
  <c r="AL354" i="3" s="1"/>
  <c r="AL358" i="3" s="1"/>
  <c r="AL362" i="3" s="1"/>
  <c r="AL366" i="3" s="1"/>
  <c r="AL370" i="3" s="1"/>
  <c r="AL374" i="3" s="1"/>
  <c r="AL378" i="3" s="1"/>
  <c r="AL382" i="3" s="1"/>
  <c r="AL386" i="3" s="1"/>
  <c r="AL390" i="3" s="1"/>
  <c r="AL394" i="3" s="1"/>
  <c r="AL398" i="3" s="1"/>
  <c r="AL402" i="3" s="1"/>
  <c r="AL406" i="3" s="1"/>
  <c r="AL410" i="3" s="1"/>
  <c r="AL414" i="3" s="1"/>
  <c r="AL418" i="3" s="1"/>
  <c r="AL422" i="3" s="1"/>
  <c r="AL426" i="3" s="1"/>
  <c r="AL430" i="3" s="1"/>
  <c r="AL434" i="3" s="1"/>
  <c r="AL438" i="3" s="1"/>
  <c r="AL442" i="3" s="1"/>
  <c r="AL446" i="3" s="1"/>
  <c r="AL450" i="3" s="1"/>
  <c r="AL454" i="3" s="1"/>
  <c r="AL458" i="3" s="1"/>
  <c r="AL462" i="3" s="1"/>
  <c r="AL466" i="3" s="1"/>
  <c r="AL470" i="3" s="1"/>
  <c r="AL474" i="3" s="1"/>
  <c r="AL478" i="3" s="1"/>
  <c r="AL482" i="3" s="1"/>
  <c r="AL486" i="3" s="1"/>
  <c r="AL490" i="3" s="1"/>
  <c r="AL494" i="3" s="1"/>
  <c r="AL498" i="3" s="1"/>
  <c r="AL502" i="3" s="1"/>
  <c r="T292" i="3" a="1"/>
  <c r="T292" i="3" s="1"/>
  <c r="P292" i="3" a="1"/>
  <c r="P292" i="3" s="1"/>
  <c r="Q292" i="3" a="1"/>
  <c r="Q292" i="3" s="1"/>
  <c r="W292" i="3" a="1"/>
  <c r="W292" i="3" s="1"/>
  <c r="M292" i="3" a="1"/>
  <c r="M292" i="3" s="1"/>
  <c r="AG292" i="3" a="1"/>
  <c r="AG292" i="3" s="1"/>
  <c r="H292" i="3" a="1"/>
  <c r="H292" i="3" s="1"/>
  <c r="J292" i="3" a="1"/>
  <c r="J292" i="3" s="1"/>
  <c r="K292" i="3" a="1"/>
  <c r="K292" i="3" s="1"/>
  <c r="S292" i="3" a="1"/>
  <c r="S292" i="3" s="1"/>
  <c r="U292" i="3" a="1"/>
  <c r="U292" i="3" s="1"/>
  <c r="E292" i="3" a="1"/>
  <c r="E292" i="3" s="1"/>
  <c r="AH292" i="3" a="1"/>
  <c r="AH292" i="3" s="1"/>
  <c r="I292" i="3" a="1"/>
  <c r="I292" i="3" s="1"/>
  <c r="AK292" i="3" a="1"/>
  <c r="AK292" i="3" s="1"/>
  <c r="AK293" i="3" s="1" a="1"/>
  <c r="AK293" i="3" s="1"/>
  <c r="AK294" i="3" s="1"/>
  <c r="AK298" i="3" s="1"/>
  <c r="AK302" i="3" s="1"/>
  <c r="AK306" i="3" s="1"/>
  <c r="AK310" i="3" s="1"/>
  <c r="AK314" i="3" s="1"/>
  <c r="AK318" i="3" s="1"/>
  <c r="AK322" i="3" s="1"/>
  <c r="AK326" i="3" s="1"/>
  <c r="AK330" i="3" s="1"/>
  <c r="AK334" i="3" s="1"/>
  <c r="AK338" i="3" s="1"/>
  <c r="AK342" i="3" s="1"/>
  <c r="AK346" i="3" s="1"/>
  <c r="AK350" i="3" s="1"/>
  <c r="AK354" i="3" s="1"/>
  <c r="AK358" i="3" s="1"/>
  <c r="AK362" i="3" s="1"/>
  <c r="AK366" i="3" s="1"/>
  <c r="AK370" i="3" s="1"/>
  <c r="AK374" i="3" s="1"/>
  <c r="AK378" i="3" s="1"/>
  <c r="AK382" i="3" s="1"/>
  <c r="AK386" i="3" s="1"/>
  <c r="AK390" i="3" s="1"/>
  <c r="AK394" i="3" s="1"/>
  <c r="AK398" i="3" s="1"/>
  <c r="AK402" i="3" s="1"/>
  <c r="AK406" i="3" s="1"/>
  <c r="AK410" i="3" s="1"/>
  <c r="AK414" i="3" s="1"/>
  <c r="AK418" i="3" s="1"/>
  <c r="AK422" i="3" s="1"/>
  <c r="AK426" i="3" s="1"/>
  <c r="AK430" i="3" s="1"/>
  <c r="AK434" i="3" s="1"/>
  <c r="AK438" i="3" s="1"/>
  <c r="AK442" i="3" s="1"/>
  <c r="AK446" i="3" s="1"/>
  <c r="AK450" i="3" s="1"/>
  <c r="AK454" i="3" s="1"/>
  <c r="AK458" i="3" s="1"/>
  <c r="AK462" i="3" s="1"/>
  <c r="AK466" i="3" s="1"/>
  <c r="AK470" i="3" s="1"/>
  <c r="AK474" i="3" s="1"/>
  <c r="AK478" i="3" s="1"/>
  <c r="AK482" i="3" s="1"/>
  <c r="AK486" i="3" s="1"/>
  <c r="AK490" i="3" s="1"/>
  <c r="AK494" i="3" s="1"/>
  <c r="AK498" i="3" s="1"/>
  <c r="AK502" i="3" s="1"/>
  <c r="V292" i="3" a="1"/>
  <c r="V292" i="3" s="1"/>
  <c r="AC292" i="3" a="1"/>
  <c r="AC292" i="3" s="1"/>
  <c r="AI292" i="3" a="1"/>
  <c r="AI292" i="3" s="1"/>
  <c r="AJ292" i="3" a="1"/>
  <c r="AJ292" i="3" s="1"/>
  <c r="AJ293" i="3" s="1" a="1"/>
  <c r="AJ293" i="3" s="1"/>
  <c r="AJ294" i="3" s="1"/>
  <c r="AJ298" i="3" s="1"/>
  <c r="AJ302" i="3" s="1"/>
  <c r="AJ306" i="3" s="1"/>
  <c r="AJ310" i="3" s="1"/>
  <c r="AJ314" i="3" s="1"/>
  <c r="AJ318" i="3" s="1"/>
  <c r="AJ322" i="3" s="1"/>
  <c r="AJ326" i="3" s="1"/>
  <c r="AJ330" i="3" s="1"/>
  <c r="AJ334" i="3" s="1"/>
  <c r="AJ338" i="3" s="1"/>
  <c r="AJ342" i="3" s="1"/>
  <c r="AJ346" i="3" s="1"/>
  <c r="AJ350" i="3" s="1"/>
  <c r="AJ354" i="3" s="1"/>
  <c r="AJ358" i="3" s="1"/>
  <c r="AJ362" i="3" s="1"/>
  <c r="AJ366" i="3" s="1"/>
  <c r="AJ370" i="3" s="1"/>
  <c r="AJ374" i="3" s="1"/>
  <c r="AJ378" i="3" s="1"/>
  <c r="AJ382" i="3" s="1"/>
  <c r="AJ386" i="3" s="1"/>
  <c r="AJ390" i="3" s="1"/>
  <c r="AJ394" i="3" s="1"/>
  <c r="AJ398" i="3" s="1"/>
  <c r="AJ402" i="3" s="1"/>
  <c r="AJ406" i="3" s="1"/>
  <c r="AJ410" i="3" s="1"/>
  <c r="AJ414" i="3" s="1"/>
  <c r="AJ418" i="3" s="1"/>
  <c r="AJ422" i="3" s="1"/>
  <c r="AJ426" i="3" s="1"/>
  <c r="AJ430" i="3" s="1"/>
  <c r="AJ434" i="3" s="1"/>
  <c r="AJ438" i="3" s="1"/>
  <c r="AJ442" i="3" s="1"/>
  <c r="AJ446" i="3" s="1"/>
  <c r="AJ450" i="3" s="1"/>
  <c r="AJ454" i="3" s="1"/>
  <c r="AJ458" i="3" s="1"/>
  <c r="AJ462" i="3" s="1"/>
  <c r="AJ466" i="3" s="1"/>
  <c r="AJ470" i="3" s="1"/>
  <c r="AJ474" i="3" s="1"/>
  <c r="AJ478" i="3" s="1"/>
  <c r="AJ482" i="3" s="1"/>
  <c r="AJ486" i="3" s="1"/>
  <c r="AJ490" i="3" s="1"/>
  <c r="AJ494" i="3" s="1"/>
  <c r="AJ498" i="3" s="1"/>
  <c r="AJ502" i="3" s="1"/>
  <c r="Z292" i="3" a="1"/>
  <c r="Z292" i="3" s="1"/>
  <c r="R292" i="3" a="1"/>
  <c r="R292" i="3" s="1"/>
  <c r="AE292" i="3" a="1"/>
  <c r="AE292" i="3" s="1"/>
  <c r="X292" i="3" a="1"/>
  <c r="X292" i="3" s="1"/>
  <c r="L292" i="3" a="1"/>
  <c r="L292" i="3" s="1"/>
  <c r="Y292" i="3" a="1"/>
  <c r="Y292" i="3" s="1"/>
  <c r="G36" i="3" a="1"/>
  <c r="G36" i="3" s="1"/>
  <c r="G37" i="3" s="1" a="1"/>
  <c r="G37" i="3" s="1"/>
  <c r="G38" i="3" s="1"/>
  <c r="G42" i="3" s="1"/>
  <c r="G46" i="3" s="1"/>
  <c r="G50" i="3" s="1"/>
  <c r="G54" i="3" s="1"/>
  <c r="G58" i="3" s="1"/>
  <c r="G62" i="3" s="1"/>
  <c r="O36" i="3" a="1"/>
  <c r="O36" i="3" s="1"/>
  <c r="O37" i="3" s="1" a="1"/>
  <c r="O37" i="3" s="1"/>
  <c r="O38" i="3" s="1"/>
  <c r="O42" i="3" s="1"/>
  <c r="O46" i="3" s="1"/>
  <c r="O50" i="3" s="1"/>
  <c r="O54" i="3" s="1"/>
  <c r="O58" i="3" s="1"/>
  <c r="D44" i="3" a="1"/>
  <c r="D44" i="3" s="1"/>
  <c r="D45" i="3" s="1" a="1"/>
  <c r="D45" i="3" s="1"/>
  <c r="D46" i="3" s="1"/>
  <c r="D50" i="3" s="1"/>
  <c r="D54" i="3" s="1"/>
  <c r="D58" i="3" s="1"/>
  <c r="D62" i="3" s="1"/>
  <c r="Y44" i="3" a="1"/>
  <c r="Y44" i="3" s="1"/>
  <c r="Y45" i="3" s="1" a="1"/>
  <c r="Y45" i="3" s="1"/>
  <c r="Y46" i="3" s="1"/>
  <c r="Y50" i="3" s="1"/>
  <c r="Y54" i="3" s="1"/>
  <c r="Y58" i="3" s="1"/>
  <c r="X44" i="3" a="1"/>
  <c r="X44" i="3" s="1"/>
  <c r="X45" i="3" s="1" a="1"/>
  <c r="X45" i="3" s="1"/>
  <c r="X46" i="3" s="1"/>
  <c r="X50" i="3" s="1"/>
  <c r="X54" i="3" s="1"/>
  <c r="Q36" i="3" a="1"/>
  <c r="Q36" i="3" s="1"/>
  <c r="Q37" i="3" s="1" a="1"/>
  <c r="Q37" i="3" s="1"/>
  <c r="Q38" i="3" s="1"/>
  <c r="Q42" i="3" s="1"/>
  <c r="Q46" i="3" s="1"/>
  <c r="Q50" i="3" s="1"/>
  <c r="Q54" i="3" s="1"/>
  <c r="Q58" i="3" s="1"/>
  <c r="Q62" i="3" s="1"/>
  <c r="Q66" i="3" s="1"/>
  <c r="K88" i="3" a="1"/>
  <c r="K88" i="3" s="1"/>
  <c r="AC88" i="3" a="1"/>
  <c r="AC88" i="3" s="1"/>
  <c r="AF88" i="3" a="1"/>
  <c r="AF88" i="3" s="1"/>
  <c r="G88" i="3" a="1"/>
  <c r="G88" i="3" s="1"/>
  <c r="L88" i="3" a="1"/>
  <c r="L88" i="3" s="1"/>
  <c r="AJ88" i="3" a="1"/>
  <c r="AJ88" i="3" s="1"/>
  <c r="AG88" i="3" a="1"/>
  <c r="AG88" i="3" s="1"/>
  <c r="AK88" i="3" a="1"/>
  <c r="AK88" i="3" s="1"/>
  <c r="W88" i="3" a="1"/>
  <c r="W88" i="3" s="1"/>
  <c r="P88" i="3" a="1"/>
  <c r="P88" i="3" s="1"/>
  <c r="M88" i="3" a="1"/>
  <c r="M88" i="3" s="1"/>
  <c r="AH88" i="3" a="1"/>
  <c r="AH88" i="3" s="1"/>
  <c r="T88" i="3" a="1"/>
  <c r="T88" i="3" s="1"/>
  <c r="V88" i="3" a="1"/>
  <c r="V88" i="3" s="1"/>
  <c r="AI88" i="3" a="1"/>
  <c r="AI88" i="3" s="1"/>
  <c r="X88" i="3" a="1"/>
  <c r="X88" i="3" s="1"/>
  <c r="D88" i="3" a="1"/>
  <c r="D88" i="3" s="1"/>
  <c r="O88" i="3" a="1"/>
  <c r="O88" i="3" s="1"/>
  <c r="AB88" i="3" a="1"/>
  <c r="AB88" i="3" s="1"/>
  <c r="E88" i="3" a="1"/>
  <c r="E88" i="3" s="1"/>
  <c r="AD88" i="3" a="1"/>
  <c r="AD88" i="3" s="1"/>
  <c r="Z88" i="3" a="1"/>
  <c r="Z88" i="3" s="1"/>
  <c r="AA88" i="3" a="1"/>
  <c r="AA88" i="3" s="1"/>
  <c r="Q88" i="3" a="1"/>
  <c r="Q88" i="3" s="1"/>
  <c r="I88" i="3" a="1"/>
  <c r="I88" i="3" s="1"/>
  <c r="AL88" i="3" a="1"/>
  <c r="AL88" i="3" s="1"/>
  <c r="J88" i="3" a="1"/>
  <c r="J88" i="3" s="1"/>
  <c r="R88" i="3" a="1"/>
  <c r="R88" i="3" s="1"/>
  <c r="AE88" i="3" a="1"/>
  <c r="AE88" i="3" s="1"/>
  <c r="AM88" i="3" a="1"/>
  <c r="AM88" i="3" s="1"/>
  <c r="U88" i="3" a="1"/>
  <c r="U88" i="3" s="1"/>
  <c r="H88" i="3" a="1"/>
  <c r="H88" i="3" s="1"/>
  <c r="L64" i="3" a="1"/>
  <c r="L64" i="3" s="1"/>
  <c r="Q64" i="3" a="1"/>
  <c r="Q64" i="3" s="1"/>
  <c r="N64" i="3" a="1"/>
  <c r="N64" i="3" s="1"/>
  <c r="AC64" i="3" a="1"/>
  <c r="AC64" i="3" s="1"/>
  <c r="AA64" i="3" a="1"/>
  <c r="AA64" i="3" s="1"/>
  <c r="X64" i="3" a="1"/>
  <c r="X64" i="3" s="1"/>
  <c r="AD64" i="3" a="1"/>
  <c r="AD64" i="3" s="1"/>
  <c r="U64" i="3" a="1"/>
  <c r="U64" i="3" s="1"/>
  <c r="M64" i="3" a="1"/>
  <c r="M64" i="3" s="1"/>
  <c r="T64" i="3" a="1"/>
  <c r="T64" i="3" s="1"/>
  <c r="F64" i="3" a="1"/>
  <c r="F64" i="3" s="1"/>
  <c r="AJ64" i="3" a="1"/>
  <c r="AJ64" i="3" s="1"/>
  <c r="I64" i="3" a="1"/>
  <c r="I64" i="3" s="1"/>
  <c r="S64" i="3" a="1"/>
  <c r="S64" i="3" s="1"/>
  <c r="AI64" i="3" a="1"/>
  <c r="AI64" i="3" s="1"/>
  <c r="E64" i="3" a="1"/>
  <c r="E64" i="3" s="1"/>
  <c r="R64" i="3" a="1"/>
  <c r="R64" i="3" s="1"/>
  <c r="AB64" i="3" a="1"/>
  <c r="AB64" i="3" s="1"/>
  <c r="AM64" i="3" a="1"/>
  <c r="AM64" i="3" s="1"/>
  <c r="AK64" i="3" a="1"/>
  <c r="AK64" i="3" s="1"/>
  <c r="AL64" i="3" a="1"/>
  <c r="AL64" i="3" s="1"/>
  <c r="H64" i="3" a="1"/>
  <c r="H64" i="3" s="1"/>
  <c r="AH64" i="3" a="1"/>
  <c r="AH64" i="3" s="1"/>
  <c r="K64" i="3" a="1"/>
  <c r="K64" i="3" s="1"/>
  <c r="Z64" i="3" a="1"/>
  <c r="Z64" i="3" s="1"/>
  <c r="J64" i="3" a="1"/>
  <c r="J64" i="3" s="1"/>
  <c r="Y64" i="3" a="1"/>
  <c r="Y64" i="3" s="1"/>
  <c r="P64" i="3" a="1"/>
  <c r="P64" i="3" s="1"/>
  <c r="AF64" i="3" a="1"/>
  <c r="AF64" i="3" s="1"/>
  <c r="AG64" i="3" a="1"/>
  <c r="AG64" i="3" s="1"/>
  <c r="AE64" i="3" a="1"/>
  <c r="AE64" i="3" s="1"/>
  <c r="O64" i="3" a="1"/>
  <c r="O64" i="3" s="1"/>
  <c r="M244" i="3" a="1"/>
  <c r="M244" i="3" s="1"/>
  <c r="AJ244" i="3" a="1"/>
  <c r="AJ244" i="3" s="1"/>
  <c r="O244" i="3" a="1"/>
  <c r="O244" i="3" s="1"/>
  <c r="P244" i="3" a="1"/>
  <c r="P244" i="3" s="1"/>
  <c r="Z244" i="3" a="1"/>
  <c r="Z244" i="3" s="1"/>
  <c r="H244" i="3" a="1"/>
  <c r="H244" i="3" s="1"/>
  <c r="R244" i="3" a="1"/>
  <c r="R244" i="3" s="1"/>
  <c r="AK244" i="3" a="1"/>
  <c r="AK244" i="3" s="1"/>
  <c r="AA244" i="3" a="1"/>
  <c r="AA244" i="3" s="1"/>
  <c r="AL244" i="3" a="1"/>
  <c r="AL244" i="3" s="1"/>
  <c r="D244" i="3" a="1"/>
  <c r="D244" i="3" s="1"/>
  <c r="Q244" i="3" a="1"/>
  <c r="Q244" i="3" s="1"/>
  <c r="T244" i="3" a="1"/>
  <c r="T244" i="3" s="1"/>
  <c r="AB244" i="3" a="1"/>
  <c r="AB244" i="3" s="1"/>
  <c r="AE244" i="3" a="1"/>
  <c r="AE244" i="3" s="1"/>
  <c r="AE245" i="3" s="1" a="1"/>
  <c r="AE245" i="3" s="1"/>
  <c r="AE246" i="3" s="1"/>
  <c r="AE250" i="3" s="1"/>
  <c r="AE254" i="3" s="1"/>
  <c r="AE258" i="3" s="1"/>
  <c r="AE262" i="3" s="1"/>
  <c r="AE266" i="3" s="1"/>
  <c r="AE270" i="3" s="1"/>
  <c r="AE274" i="3" s="1"/>
  <c r="AE278" i="3" s="1"/>
  <c r="AE282" i="3" s="1"/>
  <c r="AE286" i="3" s="1"/>
  <c r="AE290" i="3" s="1"/>
  <c r="AE294" i="3" s="1"/>
  <c r="AE298" i="3" s="1"/>
  <c r="AE302" i="3" s="1"/>
  <c r="AE306" i="3" s="1"/>
  <c r="AE310" i="3" s="1"/>
  <c r="AE314" i="3" s="1"/>
  <c r="AE318" i="3" s="1"/>
  <c r="AE322" i="3" s="1"/>
  <c r="AE326" i="3" s="1"/>
  <c r="AE330" i="3" s="1"/>
  <c r="AE334" i="3" s="1"/>
  <c r="AE338" i="3" s="1"/>
  <c r="AE342" i="3" s="1"/>
  <c r="AE346" i="3" s="1"/>
  <c r="AE350" i="3" s="1"/>
  <c r="AE354" i="3" s="1"/>
  <c r="AE358" i="3" s="1"/>
  <c r="AE362" i="3" s="1"/>
  <c r="AE366" i="3" s="1"/>
  <c r="AE370" i="3" s="1"/>
  <c r="AE374" i="3" s="1"/>
  <c r="AE378" i="3" s="1"/>
  <c r="AE382" i="3" s="1"/>
  <c r="AE386" i="3" s="1"/>
  <c r="AE390" i="3" s="1"/>
  <c r="AE394" i="3" s="1"/>
  <c r="AE398" i="3" s="1"/>
  <c r="AE402" i="3" s="1"/>
  <c r="AE406" i="3" s="1"/>
  <c r="AE410" i="3" s="1"/>
  <c r="AE414" i="3" s="1"/>
  <c r="AE418" i="3" s="1"/>
  <c r="AE422" i="3" s="1"/>
  <c r="AE426" i="3" s="1"/>
  <c r="AE430" i="3" s="1"/>
  <c r="AE434" i="3" s="1"/>
  <c r="AE438" i="3" s="1"/>
  <c r="AE442" i="3" s="1"/>
  <c r="AE446" i="3" s="1"/>
  <c r="AE450" i="3" s="1"/>
  <c r="AE454" i="3" s="1"/>
  <c r="AE458" i="3" s="1"/>
  <c r="AE462" i="3" s="1"/>
  <c r="AE466" i="3" s="1"/>
  <c r="AE470" i="3" s="1"/>
  <c r="AE474" i="3" s="1"/>
  <c r="AE478" i="3" s="1"/>
  <c r="AE482" i="3" s="1"/>
  <c r="AE486" i="3" s="1"/>
  <c r="AE490" i="3" s="1"/>
  <c r="AE494" i="3" s="1"/>
  <c r="AE498" i="3" s="1"/>
  <c r="AE502" i="3" s="1"/>
  <c r="AM244" i="3" a="1"/>
  <c r="AM244" i="3" s="1"/>
  <c r="I244" i="3" a="1"/>
  <c r="I244" i="3" s="1"/>
  <c r="E244" i="3" a="1"/>
  <c r="E244" i="3" s="1"/>
  <c r="U244" i="3" a="1"/>
  <c r="U244" i="3" s="1"/>
  <c r="AC244" i="3" a="1"/>
  <c r="AC244" i="3" s="1"/>
  <c r="AF244" i="3" a="1"/>
  <c r="AF244" i="3" s="1"/>
  <c r="F244" i="3" a="1"/>
  <c r="F244" i="3" s="1"/>
  <c r="J244" i="3" a="1"/>
  <c r="J244" i="3" s="1"/>
  <c r="J245" i="3" s="1" a="1"/>
  <c r="J245" i="3" s="1"/>
  <c r="J246" i="3" s="1"/>
  <c r="J250" i="3" s="1"/>
  <c r="J254" i="3" s="1"/>
  <c r="J258" i="3" s="1"/>
  <c r="J262" i="3" s="1"/>
  <c r="J266" i="3" s="1"/>
  <c r="J270" i="3" s="1"/>
  <c r="J274" i="3" s="1"/>
  <c r="J278" i="3" s="1"/>
  <c r="J282" i="3" s="1"/>
  <c r="J286" i="3" s="1"/>
  <c r="J290" i="3" s="1"/>
  <c r="J294" i="3" s="1"/>
  <c r="J298" i="3" s="1"/>
  <c r="J302" i="3" s="1"/>
  <c r="J306" i="3" s="1"/>
  <c r="J310" i="3" s="1"/>
  <c r="J314" i="3" s="1"/>
  <c r="J318" i="3" s="1"/>
  <c r="J322" i="3" s="1"/>
  <c r="J326" i="3" s="1"/>
  <c r="J330" i="3" s="1"/>
  <c r="J334" i="3" s="1"/>
  <c r="J338" i="3" s="1"/>
  <c r="J342" i="3" s="1"/>
  <c r="J346" i="3" s="1"/>
  <c r="J350" i="3" s="1"/>
  <c r="J354" i="3" s="1"/>
  <c r="J358" i="3" s="1"/>
  <c r="J362" i="3" s="1"/>
  <c r="J366" i="3" s="1"/>
  <c r="J370" i="3" s="1"/>
  <c r="J374" i="3" s="1"/>
  <c r="J378" i="3" s="1"/>
  <c r="J382" i="3" s="1"/>
  <c r="S244" i="3" a="1"/>
  <c r="S244" i="3" s="1"/>
  <c r="V244" i="3" a="1"/>
  <c r="V244" i="3" s="1"/>
  <c r="G244" i="3" a="1"/>
  <c r="G244" i="3" s="1"/>
  <c r="AG244" i="3" a="1"/>
  <c r="AG244" i="3" s="1"/>
  <c r="AG245" i="3" s="1" a="1"/>
  <c r="AG245" i="3" s="1"/>
  <c r="AG246" i="3" s="1"/>
  <c r="AG250" i="3" s="1"/>
  <c r="AG254" i="3" s="1"/>
  <c r="AG258" i="3" s="1"/>
  <c r="AG262" i="3" s="1"/>
  <c r="AG266" i="3" s="1"/>
  <c r="AG270" i="3" s="1"/>
  <c r="AG274" i="3" s="1"/>
  <c r="AG278" i="3" s="1"/>
  <c r="AG282" i="3" s="1"/>
  <c r="AG286" i="3" s="1"/>
  <c r="AG290" i="3" s="1"/>
  <c r="AG294" i="3" s="1"/>
  <c r="AG298" i="3" s="1"/>
  <c r="AG302" i="3" s="1"/>
  <c r="AG306" i="3" s="1"/>
  <c r="AG310" i="3" s="1"/>
  <c r="AG314" i="3" s="1"/>
  <c r="AG318" i="3" s="1"/>
  <c r="AG322" i="3" s="1"/>
  <c r="AG326" i="3" s="1"/>
  <c r="AG330" i="3" s="1"/>
  <c r="AG334" i="3" s="1"/>
  <c r="AG338" i="3" s="1"/>
  <c r="AG342" i="3" s="1"/>
  <c r="AG346" i="3" s="1"/>
  <c r="AG350" i="3" s="1"/>
  <c r="AG354" i="3" s="1"/>
  <c r="AG358" i="3" s="1"/>
  <c r="AG362" i="3" s="1"/>
  <c r="AG366" i="3" s="1"/>
  <c r="AG370" i="3" s="1"/>
  <c r="AG374" i="3" s="1"/>
  <c r="AG378" i="3" s="1"/>
  <c r="AG382" i="3" s="1"/>
  <c r="AG386" i="3" s="1"/>
  <c r="AG390" i="3" s="1"/>
  <c r="AG394" i="3" s="1"/>
  <c r="AG398" i="3" s="1"/>
  <c r="AG402" i="3" s="1"/>
  <c r="AG406" i="3" s="1"/>
  <c r="AG410" i="3" s="1"/>
  <c r="AG414" i="3" s="1"/>
  <c r="AG418" i="3" s="1"/>
  <c r="AG422" i="3" s="1"/>
  <c r="AG426" i="3" s="1"/>
  <c r="AG430" i="3" s="1"/>
  <c r="AG434" i="3" s="1"/>
  <c r="AG438" i="3" s="1"/>
  <c r="AG442" i="3" s="1"/>
  <c r="AG446" i="3" s="1"/>
  <c r="AG450" i="3" s="1"/>
  <c r="AG454" i="3" s="1"/>
  <c r="AG458" i="3" s="1"/>
  <c r="AG462" i="3" s="1"/>
  <c r="AG466" i="3" s="1"/>
  <c r="AG470" i="3" s="1"/>
  <c r="AG474" i="3" s="1"/>
  <c r="AG478" i="3" s="1"/>
  <c r="AG482" i="3" s="1"/>
  <c r="AG486" i="3" s="1"/>
  <c r="AG490" i="3" s="1"/>
  <c r="AG494" i="3" s="1"/>
  <c r="AG498" i="3" s="1"/>
  <c r="AG502" i="3" s="1"/>
  <c r="AD244" i="3" a="1"/>
  <c r="AD244" i="3" s="1"/>
  <c r="K244" i="3" a="1"/>
  <c r="K244" i="3" s="1"/>
  <c r="W244" i="3" a="1"/>
  <c r="W244" i="3" s="1"/>
  <c r="AH244" i="3" a="1"/>
  <c r="AH244" i="3" s="1"/>
  <c r="AH245" i="3" s="1" a="1"/>
  <c r="AH245" i="3" s="1"/>
  <c r="AH246" i="3" s="1"/>
  <c r="AH250" i="3" s="1"/>
  <c r="AH254" i="3" s="1"/>
  <c r="AH258" i="3" s="1"/>
  <c r="AH262" i="3" s="1"/>
  <c r="AH266" i="3" s="1"/>
  <c r="AH270" i="3" s="1"/>
  <c r="AH274" i="3" s="1"/>
  <c r="AH278" i="3" s="1"/>
  <c r="AH282" i="3" s="1"/>
  <c r="AH286" i="3" s="1"/>
  <c r="AH290" i="3" s="1"/>
  <c r="AH294" i="3" s="1"/>
  <c r="AH298" i="3" s="1"/>
  <c r="AH302" i="3" s="1"/>
  <c r="AH306" i="3" s="1"/>
  <c r="AH310" i="3" s="1"/>
  <c r="AH314" i="3" s="1"/>
  <c r="AH318" i="3" s="1"/>
  <c r="AH322" i="3" s="1"/>
  <c r="AH326" i="3" s="1"/>
  <c r="AH330" i="3" s="1"/>
  <c r="AH334" i="3" s="1"/>
  <c r="AH338" i="3" s="1"/>
  <c r="AH342" i="3" s="1"/>
  <c r="AH346" i="3" s="1"/>
  <c r="AH350" i="3" s="1"/>
  <c r="AH354" i="3" s="1"/>
  <c r="AH358" i="3" s="1"/>
  <c r="AH362" i="3" s="1"/>
  <c r="AH366" i="3" s="1"/>
  <c r="AH370" i="3" s="1"/>
  <c r="AH374" i="3" s="1"/>
  <c r="AH378" i="3" s="1"/>
  <c r="AH382" i="3" s="1"/>
  <c r="AH386" i="3" s="1"/>
  <c r="AH390" i="3" s="1"/>
  <c r="AH394" i="3" s="1"/>
  <c r="AH398" i="3" s="1"/>
  <c r="AH402" i="3" s="1"/>
  <c r="AH406" i="3" s="1"/>
  <c r="AH410" i="3" s="1"/>
  <c r="AH414" i="3" s="1"/>
  <c r="AH418" i="3" s="1"/>
  <c r="AH422" i="3" s="1"/>
  <c r="AH426" i="3" s="1"/>
  <c r="AH430" i="3" s="1"/>
  <c r="AH434" i="3" s="1"/>
  <c r="AH438" i="3" s="1"/>
  <c r="AH442" i="3" s="1"/>
  <c r="AH446" i="3" s="1"/>
  <c r="AH450" i="3" s="1"/>
  <c r="AH454" i="3" s="1"/>
  <c r="AH458" i="3" s="1"/>
  <c r="AH462" i="3" s="1"/>
  <c r="AH466" i="3" s="1"/>
  <c r="AH470" i="3" s="1"/>
  <c r="AH474" i="3" s="1"/>
  <c r="AH478" i="3" s="1"/>
  <c r="AH482" i="3" s="1"/>
  <c r="AH486" i="3" s="1"/>
  <c r="AH490" i="3" s="1"/>
  <c r="AH494" i="3" s="1"/>
  <c r="AH498" i="3" s="1"/>
  <c r="AH502" i="3" s="1"/>
  <c r="L244" i="3" a="1"/>
  <c r="L244" i="3" s="1"/>
  <c r="X244" i="3" a="1"/>
  <c r="X244" i="3" s="1"/>
  <c r="AI244" i="3" a="1"/>
  <c r="AI244" i="3" s="1"/>
  <c r="Y244" i="3" a="1"/>
  <c r="Y244" i="3" s="1"/>
  <c r="N244" i="3" a="1"/>
  <c r="N244" i="3" s="1"/>
  <c r="G48" i="3" a="1"/>
  <c r="G48" i="3" s="1"/>
  <c r="K48" i="3" a="1"/>
  <c r="K48" i="3" s="1"/>
  <c r="AB48" i="3" a="1"/>
  <c r="AB48" i="3" s="1"/>
  <c r="AF48" i="3" a="1"/>
  <c r="AF48" i="3" s="1"/>
  <c r="H48" i="3" a="1"/>
  <c r="H48" i="3" s="1"/>
  <c r="V48" i="3" a="1"/>
  <c r="V48" i="3" s="1"/>
  <c r="AC48" i="3" a="1"/>
  <c r="AC48" i="3" s="1"/>
  <c r="L48" i="3" a="1"/>
  <c r="L48" i="3" s="1"/>
  <c r="I48" i="3" a="1"/>
  <c r="I48" i="3" s="1"/>
  <c r="T48" i="3" a="1"/>
  <c r="T48" i="3" s="1"/>
  <c r="T49" i="3" s="1" a="1"/>
  <c r="T49" i="3" s="1"/>
  <c r="T50" i="3" s="1"/>
  <c r="T54" i="3" s="1"/>
  <c r="AG48" i="3" a="1"/>
  <c r="AG48" i="3" s="1"/>
  <c r="AD48" i="3" a="1"/>
  <c r="AD48" i="3" s="1"/>
  <c r="W48" i="3" a="1"/>
  <c r="W48" i="3" s="1"/>
  <c r="M48" i="3" a="1"/>
  <c r="M48" i="3" s="1"/>
  <c r="J48" i="3" a="1"/>
  <c r="J48" i="3" s="1"/>
  <c r="X48" i="3" a="1"/>
  <c r="X48" i="3" s="1"/>
  <c r="AE48" i="3" a="1"/>
  <c r="AE48" i="3" s="1"/>
  <c r="D48" i="3" a="1"/>
  <c r="D48" i="3" s="1"/>
  <c r="S48" i="3" a="1"/>
  <c r="S48" i="3" s="1"/>
  <c r="S49" i="3" s="1" a="1"/>
  <c r="S49" i="3" s="1"/>
  <c r="S50" i="3" s="1"/>
  <c r="Y48" i="3" a="1"/>
  <c r="Y48" i="3" s="1"/>
  <c r="U48" i="3" a="1"/>
  <c r="U48" i="3" s="1"/>
  <c r="AJ48" i="3" a="1"/>
  <c r="AJ48" i="3" s="1"/>
  <c r="Z48" i="3" a="1"/>
  <c r="Z48" i="3" s="1"/>
  <c r="O48" i="3" a="1"/>
  <c r="O48" i="3" s="1"/>
  <c r="AH48" i="3" a="1"/>
  <c r="AH48" i="3" s="1"/>
  <c r="E48" i="3" a="1"/>
  <c r="E48" i="3" s="1"/>
  <c r="AI48" i="3" a="1"/>
  <c r="AI48" i="3" s="1"/>
  <c r="P48" i="3" a="1"/>
  <c r="P48" i="3" s="1"/>
  <c r="AM48" i="3" a="1"/>
  <c r="AM48" i="3" s="1"/>
  <c r="AK48" i="3" a="1"/>
  <c r="AK48" i="3" s="1"/>
  <c r="N48" i="3" a="1"/>
  <c r="N48" i="3" s="1"/>
  <c r="N49" i="3" s="1" a="1"/>
  <c r="N49" i="3" s="1"/>
  <c r="N50" i="3" s="1"/>
  <c r="N54" i="3" s="1"/>
  <c r="F48" i="3" a="1"/>
  <c r="F48" i="3" s="1"/>
  <c r="R48" i="3" a="1"/>
  <c r="R48" i="3" s="1"/>
  <c r="R49" i="3" s="1" a="1"/>
  <c r="R49" i="3" s="1"/>
  <c r="R50" i="3" s="1"/>
  <c r="R54" i="3" s="1"/>
  <c r="Q48" i="3" a="1"/>
  <c r="Q48" i="3" s="1"/>
  <c r="AL48" i="3" a="1"/>
  <c r="AL48" i="3" s="1"/>
  <c r="AA48" i="3" a="1"/>
  <c r="AA48" i="3" s="1"/>
  <c r="AC68" i="3" a="1"/>
  <c r="AC68" i="3" s="1"/>
  <c r="AB68" i="3" a="1"/>
  <c r="AB68" i="3" s="1"/>
  <c r="H68" i="3" a="1"/>
  <c r="H68" i="3" s="1"/>
  <c r="V68" i="3" a="1"/>
  <c r="V68" i="3" s="1"/>
  <c r="AM68" i="3" a="1"/>
  <c r="AM68" i="3" s="1"/>
  <c r="M68" i="3" a="1"/>
  <c r="M68" i="3" s="1"/>
  <c r="N68" i="3" a="1"/>
  <c r="N68" i="3" s="1"/>
  <c r="R68" i="3" a="1"/>
  <c r="R68" i="3" s="1"/>
  <c r="AJ68" i="3" a="1"/>
  <c r="AJ68" i="3" s="1"/>
  <c r="I68" i="3" a="1"/>
  <c r="I68" i="3" s="1"/>
  <c r="K68" i="3" a="1"/>
  <c r="K68" i="3" s="1"/>
  <c r="AD68" i="3" a="1"/>
  <c r="AD68" i="3" s="1"/>
  <c r="AF68" i="3" a="1"/>
  <c r="AF68" i="3" s="1"/>
  <c r="AK68" i="3" a="1"/>
  <c r="AK68" i="3" s="1"/>
  <c r="W68" i="3" a="1"/>
  <c r="W68" i="3" s="1"/>
  <c r="X68" i="3" a="1"/>
  <c r="X68" i="3" s="1"/>
  <c r="AE68" i="3" a="1"/>
  <c r="AE68" i="3" s="1"/>
  <c r="Z68" i="3" a="1"/>
  <c r="Z68" i="3" s="1"/>
  <c r="F68" i="3" a="1"/>
  <c r="F68" i="3" s="1"/>
  <c r="AG68" i="3" a="1"/>
  <c r="AG68" i="3" s="1"/>
  <c r="E68" i="3" a="1"/>
  <c r="E68" i="3" s="1"/>
  <c r="AL68" i="3" a="1"/>
  <c r="AL68" i="3" s="1"/>
  <c r="D68" i="3" a="1"/>
  <c r="D68" i="3" s="1"/>
  <c r="L68" i="3" a="1"/>
  <c r="L68" i="3" s="1"/>
  <c r="P68" i="3" a="1"/>
  <c r="P68" i="3" s="1"/>
  <c r="AH68" i="3" a="1"/>
  <c r="AH68" i="3" s="1"/>
  <c r="Y68" i="3" a="1"/>
  <c r="Y68" i="3" s="1"/>
  <c r="O68" i="3" a="1"/>
  <c r="O68" i="3" s="1"/>
  <c r="G68" i="3" a="1"/>
  <c r="G68" i="3" s="1"/>
  <c r="AA68" i="3" a="1"/>
  <c r="AA68" i="3" s="1"/>
  <c r="AI68" i="3" a="1"/>
  <c r="AI68" i="3" s="1"/>
  <c r="J68" i="3" a="1"/>
  <c r="J68" i="3" s="1"/>
  <c r="P44" i="3" a="1"/>
  <c r="P44" i="3" s="1"/>
  <c r="P45" i="3" s="1" a="1"/>
  <c r="P45" i="3" s="1"/>
  <c r="P46" i="3" s="1"/>
  <c r="P50" i="3" s="1"/>
  <c r="P54" i="3" s="1"/>
  <c r="P58" i="3" s="1"/>
  <c r="P62" i="3" s="1"/>
  <c r="P66" i="3" s="1"/>
  <c r="P70" i="3" s="1"/>
  <c r="AC40" i="3" a="1"/>
  <c r="AC40" i="3" s="1"/>
  <c r="S40" i="3" a="1"/>
  <c r="S40" i="3" s="1"/>
  <c r="D40" i="3" a="1"/>
  <c r="D40" i="3" s="1"/>
  <c r="I40" i="3" a="1"/>
  <c r="I40" i="3" s="1"/>
  <c r="AD40" i="3" a="1"/>
  <c r="AD40" i="3" s="1"/>
  <c r="G40" i="3" a="1"/>
  <c r="G40" i="3" s="1"/>
  <c r="AB40" i="3" a="1"/>
  <c r="AB40" i="3" s="1"/>
  <c r="E40" i="3" a="1"/>
  <c r="E40" i="3" s="1"/>
  <c r="E41" i="3" s="1" a="1"/>
  <c r="E41" i="3" s="1"/>
  <c r="E42" i="3" s="1"/>
  <c r="E46" i="3" s="1"/>
  <c r="E50" i="3" s="1"/>
  <c r="L40" i="3" a="1"/>
  <c r="L40" i="3" s="1"/>
  <c r="Z40" i="3" a="1"/>
  <c r="Z40" i="3" s="1"/>
  <c r="AG40" i="3" a="1"/>
  <c r="AG40" i="3" s="1"/>
  <c r="V40" i="3" a="1"/>
  <c r="V40" i="3" s="1"/>
  <c r="V41" i="3" s="1" a="1"/>
  <c r="V41" i="3" s="1"/>
  <c r="V42" i="3" s="1"/>
  <c r="V46" i="3" s="1"/>
  <c r="V50" i="3" s="1"/>
  <c r="V54" i="3" s="1"/>
  <c r="V58" i="3" s="1"/>
  <c r="V62" i="3" s="1"/>
  <c r="G64" i="3" s="1" a="1"/>
  <c r="G64" i="3" s="1"/>
  <c r="G65" i="3" s="1" a="1"/>
  <c r="G65" i="3" s="1"/>
  <c r="G66" i="3" s="1"/>
  <c r="G70" i="3" s="1"/>
  <c r="Y40" i="3" a="1"/>
  <c r="Y40" i="3" s="1"/>
  <c r="AA40" i="3" a="1"/>
  <c r="AA40" i="3" s="1"/>
  <c r="W40" i="3" a="1"/>
  <c r="W40" i="3" s="1"/>
  <c r="AK40" i="3" a="1"/>
  <c r="AK40" i="3" s="1"/>
  <c r="M40" i="3" a="1"/>
  <c r="M40" i="3" s="1"/>
  <c r="F40" i="3" a="1"/>
  <c r="F40" i="3" s="1"/>
  <c r="O40" i="3" a="1"/>
  <c r="O40" i="3" s="1"/>
  <c r="AH40" i="3" a="1"/>
  <c r="AH40" i="3" s="1"/>
  <c r="AJ40" i="3" a="1"/>
  <c r="AJ40" i="3" s="1"/>
  <c r="X40" i="3" a="1"/>
  <c r="X40" i="3" s="1"/>
  <c r="P40" i="3" a="1"/>
  <c r="P40" i="3" s="1"/>
  <c r="T40" i="3" a="1"/>
  <c r="T40" i="3" s="1"/>
  <c r="N40" i="3" a="1"/>
  <c r="N40" i="3" s="1"/>
  <c r="AI40" i="3" a="1"/>
  <c r="AI40" i="3" s="1"/>
  <c r="Q40" i="3" a="1"/>
  <c r="Q40" i="3" s="1"/>
  <c r="AL40" i="3" a="1"/>
  <c r="AL40" i="3" s="1"/>
  <c r="H40" i="3" a="1"/>
  <c r="H40" i="3" s="1"/>
  <c r="R40" i="3" a="1"/>
  <c r="R40" i="3" s="1"/>
  <c r="J40" i="3" a="1"/>
  <c r="J40" i="3" s="1"/>
  <c r="AM40" i="3" a="1"/>
  <c r="AM40" i="3" s="1"/>
  <c r="K40" i="3" a="1"/>
  <c r="K40" i="3" s="1"/>
  <c r="K41" i="3" s="1" a="1"/>
  <c r="K41" i="3" s="1"/>
  <c r="K42" i="3" s="1"/>
  <c r="K46" i="3" s="1"/>
  <c r="K50" i="3" s="1"/>
  <c r="K54" i="3" s="1"/>
  <c r="K58" i="3" s="1"/>
  <c r="Y60" i="3" s="1" a="1"/>
  <c r="Y60" i="3" s="1"/>
  <c r="Y61" i="3" s="1" a="1"/>
  <c r="Y61" i="3" s="1"/>
  <c r="Y62" i="3" s="1"/>
  <c r="Y66" i="3" s="1"/>
  <c r="Y70" i="3" s="1"/>
  <c r="Y74" i="3" s="1"/>
  <c r="Y78" i="3" s="1"/>
  <c r="Y82" i="3" s="1"/>
  <c r="Y86" i="3" s="1"/>
  <c r="AE40" i="3" a="1"/>
  <c r="AE40" i="3" s="1"/>
  <c r="U40" i="3" a="1"/>
  <c r="U40" i="3" s="1"/>
  <c r="U41" i="3" s="1" a="1"/>
  <c r="U41" i="3" s="1"/>
  <c r="U42" i="3" s="1"/>
  <c r="U46" i="3" s="1"/>
  <c r="U50" i="3" s="1"/>
  <c r="U54" i="3" s="1"/>
  <c r="U58" i="3" s="1"/>
  <c r="U62" i="3" s="1"/>
  <c r="U66" i="3" s="1"/>
  <c r="AF40" i="3" a="1"/>
  <c r="AF40" i="3" s="1"/>
  <c r="AL60" i="3" a="1"/>
  <c r="AL60" i="3" s="1"/>
  <c r="R60" i="3" a="1"/>
  <c r="R60" i="3" s="1"/>
  <c r="W60" i="3" a="1"/>
  <c r="W60" i="3" s="1"/>
  <c r="F60" i="3" a="1"/>
  <c r="F60" i="3" s="1"/>
  <c r="D60" i="3" a="1"/>
  <c r="D60" i="3" s="1"/>
  <c r="G60" i="3" a="1"/>
  <c r="G60" i="3" s="1"/>
  <c r="S60" i="3" a="1"/>
  <c r="S60" i="3" s="1"/>
  <c r="N60" i="3" a="1"/>
  <c r="N60" i="3" s="1"/>
  <c r="AA60" i="3" a="1"/>
  <c r="AA60" i="3" s="1"/>
  <c r="AB60" i="3" a="1"/>
  <c r="AB60" i="3" s="1"/>
  <c r="P60" i="3" a="1"/>
  <c r="P60" i="3" s="1"/>
  <c r="AC60" i="3" a="1"/>
  <c r="AC60" i="3" s="1"/>
  <c r="E60" i="3" a="1"/>
  <c r="E60" i="3" s="1"/>
  <c r="AF60" i="3" a="1"/>
  <c r="AF60" i="3" s="1"/>
  <c r="X60" i="3" a="1"/>
  <c r="X60" i="3" s="1"/>
  <c r="V60" i="3" a="1"/>
  <c r="V60" i="3" s="1"/>
  <c r="AH60" i="3" a="1"/>
  <c r="AH60" i="3" s="1"/>
  <c r="L60" i="3" a="1"/>
  <c r="L60" i="3" s="1"/>
  <c r="AJ60" i="3" a="1"/>
  <c r="AJ60" i="3" s="1"/>
  <c r="J60" i="3" a="1"/>
  <c r="J60" i="3" s="1"/>
  <c r="M60" i="3" a="1"/>
  <c r="M60" i="3" s="1"/>
  <c r="AD60" i="3" a="1"/>
  <c r="AD60" i="3" s="1"/>
  <c r="Q60" i="3" a="1"/>
  <c r="Q60" i="3" s="1"/>
  <c r="AI60" i="3" a="1"/>
  <c r="AI60" i="3" s="1"/>
  <c r="Z60" i="3" a="1"/>
  <c r="Z60" i="3" s="1"/>
  <c r="AK60" i="3" a="1"/>
  <c r="AK60" i="3" s="1"/>
  <c r="AM60" i="3" a="1"/>
  <c r="AM60" i="3" s="1"/>
  <c r="T60" i="3" a="1"/>
  <c r="T60" i="3" s="1"/>
  <c r="AG60" i="3" a="1"/>
  <c r="AG60" i="3" s="1"/>
  <c r="I60" i="3" a="1"/>
  <c r="I60" i="3" s="1"/>
  <c r="U60" i="3" a="1"/>
  <c r="U60" i="3" s="1"/>
  <c r="AE60" i="3" a="1"/>
  <c r="AE60" i="3" s="1"/>
  <c r="I431" i="2"/>
  <c r="I435" i="2" s="1"/>
  <c r="I439" i="2" s="1"/>
  <c r="I443" i="2" s="1"/>
  <c r="I447" i="2" s="1"/>
  <c r="I451" i="2" s="1"/>
  <c r="I455" i="2" s="1"/>
  <c r="I459" i="2" s="1"/>
  <c r="I463" i="2" s="1"/>
  <c r="I467" i="2" s="1"/>
  <c r="I471" i="2" s="1"/>
  <c r="I475" i="2" s="1"/>
  <c r="I479" i="2" s="1"/>
  <c r="I483" i="2" s="1"/>
  <c r="I487" i="2" s="1"/>
  <c r="I491" i="2" s="1"/>
  <c r="I495" i="2" s="1"/>
  <c r="I499" i="2" s="1"/>
  <c r="I503" i="2" s="1"/>
  <c r="I507" i="2" s="1"/>
  <c r="I511" i="2" s="1"/>
  <c r="I515" i="2" s="1"/>
  <c r="I519" i="2" s="1"/>
  <c r="I523" i="2" s="1"/>
  <c r="I527" i="2" s="1"/>
  <c r="I531" i="2" s="1"/>
  <c r="I535" i="2" s="1"/>
  <c r="I539" i="2" s="1"/>
  <c r="I543" i="2" s="1"/>
  <c r="I547" i="2" s="1"/>
  <c r="I551" i="2" s="1"/>
  <c r="I555" i="2" s="1"/>
  <c r="I559" i="2" s="1"/>
  <c r="I563" i="2" s="1"/>
  <c r="I567" i="2" s="1"/>
  <c r="I571" i="2" s="1"/>
  <c r="I575" i="2" s="1"/>
  <c r="I579" i="2" s="1"/>
  <c r="I583" i="2" s="1"/>
  <c r="I587" i="2" s="1"/>
  <c r="I591" i="2" s="1"/>
  <c r="I595" i="2" s="1"/>
  <c r="I599" i="2" s="1"/>
  <c r="I603" i="2" s="1"/>
  <c r="I607" i="2" s="1"/>
  <c r="I611" i="2" s="1"/>
  <c r="I615" i="2" s="1"/>
  <c r="I619" i="2" s="1"/>
  <c r="I623" i="2" s="1"/>
  <c r="I627" i="2" s="1"/>
  <c r="I631" i="2" s="1"/>
  <c r="I635" i="2" s="1"/>
  <c r="I639" i="2" s="1"/>
  <c r="I643" i="2" s="1"/>
  <c r="I647" i="2" s="1"/>
  <c r="I651" i="2" s="1"/>
  <c r="I655" i="2" s="1"/>
  <c r="I659" i="2" s="1"/>
  <c r="I663" i="2" s="1"/>
  <c r="I667" i="2" s="1"/>
  <c r="I671" i="2" s="1"/>
  <c r="I675" i="2" s="1"/>
  <c r="I679" i="2" s="1"/>
  <c r="I683" i="2" s="1"/>
  <c r="I687" i="2" s="1"/>
  <c r="I691" i="2" s="1"/>
  <c r="I695" i="2" s="1"/>
  <c r="I699" i="2" s="1"/>
  <c r="I703" i="2" s="1"/>
  <c r="I707" i="2" s="1"/>
  <c r="I711" i="2" s="1"/>
  <c r="I715" i="2" s="1"/>
  <c r="I719" i="2" s="1"/>
  <c r="I723" i="2" s="1"/>
  <c r="I727" i="2" s="1"/>
  <c r="I731" i="2" s="1"/>
  <c r="I735" i="2" s="1"/>
  <c r="I739" i="2" s="1"/>
  <c r="I743" i="2" s="1"/>
  <c r="I747" i="2" s="1"/>
  <c r="I751" i="2" s="1"/>
  <c r="I755" i="2" s="1"/>
  <c r="I759" i="2" s="1"/>
  <c r="I763" i="2" s="1"/>
  <c r="I767" i="2" s="1"/>
  <c r="I771" i="2" s="1"/>
  <c r="I775" i="2" s="1"/>
  <c r="I779" i="2" s="1"/>
  <c r="I783" i="2" s="1"/>
  <c r="I787" i="2" s="1"/>
  <c r="I791" i="2" s="1"/>
  <c r="I795" i="2" s="1"/>
  <c r="I799" i="2" s="1"/>
  <c r="O31" i="4" l="1" a="1"/>
  <c r="O31" i="4" s="1"/>
  <c r="J31" i="4" a="1"/>
  <c r="J31" i="4" s="1"/>
  <c r="O37" i="4" a="1"/>
  <c r="O37" i="4" s="1"/>
  <c r="J37" i="4" a="1"/>
  <c r="J37" i="4" s="1"/>
  <c r="O35" i="4" a="1"/>
  <c r="O35" i="4" s="1"/>
  <c r="J35" i="4" a="1"/>
  <c r="J35" i="4" s="1"/>
  <c r="J36" i="4" a="1"/>
  <c r="J36" i="4" s="1"/>
  <c r="O36" i="4" a="1"/>
  <c r="O36" i="4" s="1"/>
  <c r="O32" i="4" a="1"/>
  <c r="O32" i="4" s="1"/>
  <c r="J32" i="4" a="1"/>
  <c r="J32" i="4" s="1"/>
  <c r="O30" i="4" a="1"/>
  <c r="O30" i="4" s="1"/>
  <c r="J30" i="4" a="1"/>
  <c r="J30" i="4" s="1"/>
  <c r="J33" i="4" a="1"/>
  <c r="J33" i="4" s="1"/>
  <c r="O33" i="4" a="1"/>
  <c r="O33" i="4" s="1"/>
  <c r="O60" i="3" a="1"/>
  <c r="O60" i="3" s="1"/>
  <c r="O61" i="3" s="1" a="1"/>
  <c r="O61" i="3" s="1"/>
  <c r="O62" i="3" s="1"/>
  <c r="O66" i="3" s="1"/>
  <c r="O70" i="3" s="1"/>
  <c r="O74" i="3" s="1"/>
  <c r="O78" i="3" s="1"/>
  <c r="O82" i="3" s="1"/>
  <c r="O86" i="3" s="1"/>
  <c r="O90" i="3" s="1"/>
  <c r="O94" i="3" s="1"/>
  <c r="O98" i="3" s="1"/>
  <c r="O102" i="3" s="1"/>
  <c r="O106" i="3" s="1"/>
  <c r="O110" i="3" s="1"/>
  <c r="O114" i="3" s="1"/>
  <c r="O118" i="3" s="1"/>
  <c r="O122" i="3" s="1"/>
  <c r="O126" i="3" s="1"/>
  <c r="O130" i="3" s="1"/>
  <c r="K60" i="3" a="1"/>
  <c r="K60" i="3" s="1"/>
  <c r="K61" i="3" s="1" a="1"/>
  <c r="K61" i="3" s="1"/>
  <c r="H60" i="3" a="1"/>
  <c r="H60" i="3" s="1"/>
  <c r="H61" i="3" s="1" a="1"/>
  <c r="H61" i="3" s="1"/>
  <c r="H62" i="3" s="1"/>
  <c r="H66" i="3" s="1"/>
  <c r="H70" i="3" s="1"/>
  <c r="H74" i="3" s="1"/>
  <c r="H78" i="3" s="1"/>
  <c r="H82" i="3" s="1"/>
  <c r="H86" i="3" s="1"/>
  <c r="H90" i="3" s="1"/>
  <c r="H94" i="3" s="1"/>
  <c r="H98" i="3" s="1"/>
  <c r="H102" i="3" s="1"/>
  <c r="H106" i="3" s="1"/>
  <c r="AL108" i="3" s="1" a="1"/>
  <c r="AL108" i="3" s="1"/>
  <c r="Q56" i="3" a="1"/>
  <c r="Q56" i="3" s="1"/>
  <c r="AL56" i="3" a="1"/>
  <c r="AL56" i="3" s="1"/>
  <c r="AE56" i="3" a="1"/>
  <c r="AE56" i="3" s="1"/>
  <c r="M56" i="3" a="1"/>
  <c r="M56" i="3" s="1"/>
  <c r="R56" i="3" a="1"/>
  <c r="R56" i="3" s="1"/>
  <c r="R57" i="3" s="1" a="1"/>
  <c r="R57" i="3" s="1"/>
  <c r="AA56" i="3" a="1"/>
  <c r="AA56" i="3" s="1"/>
  <c r="F56" i="3" a="1"/>
  <c r="F56" i="3" s="1"/>
  <c r="AM56" i="3" a="1"/>
  <c r="AM56" i="3" s="1"/>
  <c r="AF56" i="3" a="1"/>
  <c r="AF56" i="3" s="1"/>
  <c r="G56" i="3" a="1"/>
  <c r="G56" i="3" s="1"/>
  <c r="T56" i="3" a="1"/>
  <c r="T56" i="3" s="1"/>
  <c r="T57" i="3" s="1" a="1"/>
  <c r="T57" i="3" s="1"/>
  <c r="AC56" i="3" a="1"/>
  <c r="AC56" i="3" s="1"/>
  <c r="I56" i="3" a="1"/>
  <c r="I56" i="3" s="1"/>
  <c r="S56" i="3" a="1"/>
  <c r="S56" i="3" s="1"/>
  <c r="V56" i="3" a="1"/>
  <c r="V56" i="3" s="1"/>
  <c r="N56" i="3" a="1"/>
  <c r="N56" i="3" s="1"/>
  <c r="N57" i="3" s="1" a="1"/>
  <c r="N57" i="3" s="1"/>
  <c r="N58" i="3" s="1"/>
  <c r="N62" i="3" s="1"/>
  <c r="N66" i="3" s="1"/>
  <c r="N70" i="3" s="1"/>
  <c r="N74" i="3" s="1"/>
  <c r="N78" i="3" s="1"/>
  <c r="N82" i="3" s="1"/>
  <c r="N86" i="3" s="1"/>
  <c r="AH56" i="3" a="1"/>
  <c r="AH56" i="3" s="1"/>
  <c r="AI56" i="3" a="1"/>
  <c r="AI56" i="3" s="1"/>
  <c r="J56" i="3" a="1"/>
  <c r="J56" i="3" s="1"/>
  <c r="AD56" i="3" a="1"/>
  <c r="AD56" i="3" s="1"/>
  <c r="L56" i="3" a="1"/>
  <c r="L56" i="3" s="1"/>
  <c r="D56" i="3" a="1"/>
  <c r="D56" i="3" s="1"/>
  <c r="Y56" i="3" a="1"/>
  <c r="Y56" i="3" s="1"/>
  <c r="X56" i="3" a="1"/>
  <c r="X56" i="3" s="1"/>
  <c r="X57" i="3" s="1" a="1"/>
  <c r="X57" i="3" s="1"/>
  <c r="X58" i="3" s="1"/>
  <c r="X62" i="3" s="1"/>
  <c r="X66" i="3" s="1"/>
  <c r="X70" i="3" s="1"/>
  <c r="X74" i="3" s="1"/>
  <c r="X78" i="3" s="1"/>
  <c r="X82" i="3" s="1"/>
  <c r="X86" i="3" s="1"/>
  <c r="X90" i="3" s="1"/>
  <c r="X94" i="3" s="1"/>
  <c r="X98" i="3" s="1"/>
  <c r="Z56" i="3" a="1"/>
  <c r="Z56" i="3" s="1"/>
  <c r="H56" i="3" a="1"/>
  <c r="H56" i="3" s="1"/>
  <c r="P56" i="3" a="1"/>
  <c r="P56" i="3" s="1"/>
  <c r="AK56" i="3" a="1"/>
  <c r="AK56" i="3" s="1"/>
  <c r="O56" i="3" a="1"/>
  <c r="O56" i="3" s="1"/>
  <c r="AB56" i="3" a="1"/>
  <c r="AB56" i="3" s="1"/>
  <c r="E56" i="3" a="1"/>
  <c r="E56" i="3" s="1"/>
  <c r="U56" i="3" a="1"/>
  <c r="U56" i="3" s="1"/>
  <c r="AG56" i="3" a="1"/>
  <c r="AG56" i="3" s="1"/>
  <c r="W56" i="3" a="1"/>
  <c r="W56" i="3" s="1"/>
  <c r="K56" i="3" a="1"/>
  <c r="K56" i="3" s="1"/>
  <c r="AJ56" i="3" a="1"/>
  <c r="AJ56" i="3" s="1"/>
  <c r="AE52" i="3" a="1"/>
  <c r="AE52" i="3" s="1"/>
  <c r="H52" i="3" a="1"/>
  <c r="H52" i="3" s="1"/>
  <c r="U52" i="3" a="1"/>
  <c r="U52" i="3" s="1"/>
  <c r="I52" i="3" a="1"/>
  <c r="I52" i="3" s="1"/>
  <c r="I53" i="3" s="1" a="1"/>
  <c r="I53" i="3" s="1"/>
  <c r="I54" i="3" s="1"/>
  <c r="I58" i="3" s="1"/>
  <c r="I62" i="3" s="1"/>
  <c r="I66" i="3" s="1"/>
  <c r="I70" i="3" s="1"/>
  <c r="I74" i="3" s="1"/>
  <c r="I78" i="3" s="1"/>
  <c r="I82" i="3" s="1"/>
  <c r="I86" i="3" s="1"/>
  <c r="I90" i="3" s="1"/>
  <c r="K52" i="3" a="1"/>
  <c r="K52" i="3" s="1"/>
  <c r="AA52" i="3" a="1"/>
  <c r="AA52" i="3" s="1"/>
  <c r="AF52" i="3" a="1"/>
  <c r="AF52" i="3" s="1"/>
  <c r="AB52" i="3" a="1"/>
  <c r="AB52" i="3" s="1"/>
  <c r="AH52" i="3" a="1"/>
  <c r="AH52" i="3" s="1"/>
  <c r="L52" i="3" a="1"/>
  <c r="L52" i="3" s="1"/>
  <c r="AC52" i="3" a="1"/>
  <c r="AC52" i="3" s="1"/>
  <c r="AD52" i="3" a="1"/>
  <c r="AD52" i="3" s="1"/>
  <c r="M52" i="3" a="1"/>
  <c r="M52" i="3" s="1"/>
  <c r="N52" i="3" a="1"/>
  <c r="N52" i="3" s="1"/>
  <c r="E52" i="3" a="1"/>
  <c r="E52" i="3" s="1"/>
  <c r="E53" i="3" s="1" a="1"/>
  <c r="E53" i="3" s="1"/>
  <c r="E54" i="3" s="1"/>
  <c r="E58" i="3" s="1"/>
  <c r="E62" i="3" s="1"/>
  <c r="E66" i="3" s="1"/>
  <c r="E70" i="3" s="1"/>
  <c r="O52" i="3" a="1"/>
  <c r="O52" i="3" s="1"/>
  <c r="Z52" i="3" a="1"/>
  <c r="Z52" i="3" s="1"/>
  <c r="Z53" i="3" s="1" a="1"/>
  <c r="Z53" i="3" s="1"/>
  <c r="Z54" i="3" s="1"/>
  <c r="Z58" i="3" s="1"/>
  <c r="Z62" i="3" s="1"/>
  <c r="Z66" i="3" s="1"/>
  <c r="Z70" i="3" s="1"/>
  <c r="Z74" i="3" s="1"/>
  <c r="Z78" i="3" s="1"/>
  <c r="Z82" i="3" s="1"/>
  <c r="Z86" i="3" s="1"/>
  <c r="Z90" i="3" s="1"/>
  <c r="Z94" i="3" s="1"/>
  <c r="Z98" i="3" s="1"/>
  <c r="Z102" i="3" s="1"/>
  <c r="Z106" i="3" s="1"/>
  <c r="Z110" i="3" s="1"/>
  <c r="Z114" i="3" s="1"/>
  <c r="Z118" i="3" s="1"/>
  <c r="Z122" i="3" s="1"/>
  <c r="Z126" i="3" s="1"/>
  <c r="Z130" i="3" s="1"/>
  <c r="Z134" i="3" s="1"/>
  <c r="Z138" i="3" s="1"/>
  <c r="Z142" i="3" s="1"/>
  <c r="Z146" i="3" s="1"/>
  <c r="Z150" i="3" s="1"/>
  <c r="Z154" i="3" s="1"/>
  <c r="Z158" i="3" s="1"/>
  <c r="Z162" i="3" s="1"/>
  <c r="Z166" i="3" s="1"/>
  <c r="Z170" i="3" s="1"/>
  <c r="Z174" i="3" s="1"/>
  <c r="Z178" i="3" s="1"/>
  <c r="Z182" i="3" s="1"/>
  <c r="Z186" i="3" s="1"/>
  <c r="Z190" i="3" s="1"/>
  <c r="Z194" i="3" s="1"/>
  <c r="Z198" i="3" s="1"/>
  <c r="Z202" i="3" s="1"/>
  <c r="Z206" i="3" s="1"/>
  <c r="Z210" i="3" s="1"/>
  <c r="Z214" i="3" s="1"/>
  <c r="Z218" i="3" s="1"/>
  <c r="Z222" i="3" s="1"/>
  <c r="Z226" i="3" s="1"/>
  <c r="Z230" i="3" s="1"/>
  <c r="Z234" i="3" s="1"/>
  <c r="Z238" i="3" s="1"/>
  <c r="Z242" i="3" s="1"/>
  <c r="Z246" i="3" s="1"/>
  <c r="Z250" i="3" s="1"/>
  <c r="Z254" i="3" s="1"/>
  <c r="Z258" i="3" s="1"/>
  <c r="Z262" i="3" s="1"/>
  <c r="Z266" i="3" s="1"/>
  <c r="Z270" i="3" s="1"/>
  <c r="Z274" i="3" s="1"/>
  <c r="Z278" i="3" s="1"/>
  <c r="Z282" i="3" s="1"/>
  <c r="Z286" i="3" s="1"/>
  <c r="Z290" i="3" s="1"/>
  <c r="Z294" i="3" s="1"/>
  <c r="Z298" i="3" s="1"/>
  <c r="P52" i="3" a="1"/>
  <c r="P52" i="3" s="1"/>
  <c r="F52" i="3" a="1"/>
  <c r="F52" i="3" s="1"/>
  <c r="AG52" i="3" a="1"/>
  <c r="AG52" i="3" s="1"/>
  <c r="G52" i="3" a="1"/>
  <c r="G52" i="3" s="1"/>
  <c r="Q52" i="3" a="1"/>
  <c r="Q52" i="3" s="1"/>
  <c r="R52" i="3" a="1"/>
  <c r="R52" i="3" s="1"/>
  <c r="AI52" i="3" a="1"/>
  <c r="AI52" i="3" s="1"/>
  <c r="AM52" i="3" a="1"/>
  <c r="AM52" i="3" s="1"/>
  <c r="V52" i="3" a="1"/>
  <c r="V52" i="3" s="1"/>
  <c r="S52" i="3" a="1"/>
  <c r="S52" i="3" s="1"/>
  <c r="S53" i="3" s="1" a="1"/>
  <c r="S53" i="3" s="1"/>
  <c r="S54" i="3" s="1"/>
  <c r="S58" i="3" s="1"/>
  <c r="S62" i="3" s="1"/>
  <c r="S66" i="3" s="1"/>
  <c r="AJ52" i="3" a="1"/>
  <c r="AJ52" i="3" s="1"/>
  <c r="W52" i="3" a="1"/>
  <c r="W52" i="3" s="1"/>
  <c r="AL52" i="3" a="1"/>
  <c r="AL52" i="3" s="1"/>
  <c r="T52" i="3" a="1"/>
  <c r="T52" i="3" s="1"/>
  <c r="X52" i="3" a="1"/>
  <c r="X52" i="3" s="1"/>
  <c r="J52" i="3" a="1"/>
  <c r="J52" i="3" s="1"/>
  <c r="Y52" i="3" a="1"/>
  <c r="Y52" i="3" s="1"/>
  <c r="AK52" i="3" a="1"/>
  <c r="AK52" i="3" s="1"/>
  <c r="D52" i="3" a="1"/>
  <c r="D52" i="3" s="1"/>
  <c r="I108" i="3" a="1"/>
  <c r="I108" i="3" s="1"/>
  <c r="D108" i="3" a="1"/>
  <c r="D108" i="3" s="1"/>
  <c r="AJ108" i="3" a="1"/>
  <c r="AJ108" i="3" s="1"/>
  <c r="Z108" i="3" a="1"/>
  <c r="Z108" i="3" s="1"/>
  <c r="E108" i="3" a="1"/>
  <c r="E108" i="3" s="1"/>
  <c r="M108" i="3" a="1"/>
  <c r="M108" i="3" s="1"/>
  <c r="F108" i="3" a="1"/>
  <c r="F108" i="3" s="1"/>
  <c r="AD108" i="3" a="1"/>
  <c r="AD108" i="3" s="1"/>
  <c r="AC108" i="3" a="1"/>
  <c r="AC108" i="3" s="1"/>
  <c r="J108" i="3" a="1"/>
  <c r="J108" i="3" s="1"/>
  <c r="U108" i="3" a="1"/>
  <c r="U108" i="3" s="1"/>
  <c r="S108" i="3" a="1"/>
  <c r="S108" i="3" s="1"/>
  <c r="AF108" i="3" a="1"/>
  <c r="AF108" i="3" s="1"/>
  <c r="P108" i="3" a="1"/>
  <c r="P108" i="3" s="1"/>
  <c r="K108" i="3" a="1"/>
  <c r="K108" i="3" s="1"/>
  <c r="AM108" i="3" a="1"/>
  <c r="AM108" i="3" s="1"/>
  <c r="V108" i="3" a="1"/>
  <c r="V108" i="3" s="1"/>
  <c r="Q108" i="3" a="1"/>
  <c r="Q108" i="3" s="1"/>
  <c r="AG108" i="3" a="1"/>
  <c r="AG108" i="3" s="1"/>
  <c r="L108" i="3" a="1"/>
  <c r="L108" i="3" s="1"/>
  <c r="W108" i="3" a="1"/>
  <c r="W108" i="3" s="1"/>
  <c r="AA108" i="3" a="1"/>
  <c r="AA108" i="3" s="1"/>
  <c r="AH108" i="3" a="1"/>
  <c r="AH108" i="3" s="1"/>
  <c r="AB108" i="3" a="1"/>
  <c r="AB108" i="3" s="1"/>
  <c r="AE108" i="3" a="1"/>
  <c r="AE108" i="3" s="1"/>
  <c r="N108" i="3" a="1"/>
  <c r="N108" i="3" s="1"/>
  <c r="G108" i="3" a="1"/>
  <c r="G108" i="3" s="1"/>
  <c r="AI108" i="3" a="1"/>
  <c r="AI108" i="3" s="1"/>
  <c r="AK108" i="3" a="1"/>
  <c r="AK108" i="3" s="1"/>
  <c r="K62" i="3"/>
  <c r="K66" i="3" s="1"/>
  <c r="K70" i="3" s="1"/>
  <c r="K74" i="3" s="1"/>
  <c r="K78" i="3" s="1"/>
  <c r="K82" i="3" s="1"/>
  <c r="K86" i="3" s="1"/>
  <c r="K90" i="3" s="1"/>
  <c r="K94" i="3" s="1"/>
  <c r="R58" i="3"/>
  <c r="R62" i="3" s="1"/>
  <c r="R66" i="3" s="1"/>
  <c r="R70" i="3" s="1"/>
  <c r="W64" i="3" a="1"/>
  <c r="W64" i="3" s="1"/>
  <c r="W65" i="3" s="1" a="1"/>
  <c r="W65" i="3" s="1"/>
  <c r="W66" i="3" s="1"/>
  <c r="W70" i="3" s="1"/>
  <c r="W74" i="3" s="1"/>
  <c r="W78" i="3" s="1"/>
  <c r="W82" i="3" s="1"/>
  <c r="W86" i="3" s="1"/>
  <c r="W90" i="3" s="1"/>
  <c r="W94" i="3" s="1"/>
  <c r="W98" i="3" s="1"/>
  <c r="W102" i="3" s="1"/>
  <c r="W106" i="3" s="1"/>
  <c r="W110" i="3" s="1"/>
  <c r="W114" i="3" s="1"/>
  <c r="W118" i="3" s="1"/>
  <c r="W122" i="3" s="1"/>
  <c r="W126" i="3" s="1"/>
  <c r="W130" i="3" s="1"/>
  <c r="W134" i="3" s="1"/>
  <c r="W138" i="3" s="1"/>
  <c r="W142" i="3" s="1"/>
  <c r="W146" i="3" s="1"/>
  <c r="W150" i="3" s="1"/>
  <c r="W154" i="3" s="1"/>
  <c r="W158" i="3" s="1"/>
  <c r="W162" i="3" s="1"/>
  <c r="W166" i="3" s="1"/>
  <c r="W170" i="3" s="1"/>
  <c r="W174" i="3" s="1"/>
  <c r="W178" i="3" s="1"/>
  <c r="W182" i="3" s="1"/>
  <c r="W186" i="3" s="1"/>
  <c r="W190" i="3" s="1"/>
  <c r="W194" i="3" s="1"/>
  <c r="W198" i="3" s="1"/>
  <c r="W202" i="3" s="1"/>
  <c r="W206" i="3" s="1"/>
  <c r="W210" i="3" s="1"/>
  <c r="W214" i="3" s="1"/>
  <c r="W218" i="3" s="1"/>
  <c r="W222" i="3" s="1"/>
  <c r="W226" i="3" s="1"/>
  <c r="W230" i="3" s="1"/>
  <c r="W234" i="3" s="1"/>
  <c r="W238" i="3" s="1"/>
  <c r="W242" i="3" s="1"/>
  <c r="W246" i="3" s="1"/>
  <c r="W250" i="3" s="1"/>
  <c r="W254" i="3" s="1"/>
  <c r="W258" i="3" s="1"/>
  <c r="W262" i="3" s="1"/>
  <c r="W266" i="3" s="1"/>
  <c r="W270" i="3" s="1"/>
  <c r="W274" i="3" s="1"/>
  <c r="W278" i="3" s="1"/>
  <c r="W282" i="3" s="1"/>
  <c r="W286" i="3" s="1"/>
  <c r="W290" i="3" s="1"/>
  <c r="W294" i="3" s="1"/>
  <c r="W298" i="3" s="1"/>
  <c r="W302" i="3" s="1"/>
  <c r="T58" i="3"/>
  <c r="T62" i="3" s="1"/>
  <c r="T66" i="3" s="1"/>
  <c r="V64" i="3" a="1"/>
  <c r="V64" i="3" s="1"/>
  <c r="V65" i="3" s="1" a="1"/>
  <c r="V65" i="3" s="1"/>
  <c r="V66" i="3" s="1"/>
  <c r="V70" i="3" s="1"/>
  <c r="V74" i="3" s="1"/>
  <c r="V78" i="3" s="1"/>
  <c r="V82" i="3" s="1"/>
  <c r="D64" i="3" a="1"/>
  <c r="D64" i="3" s="1"/>
  <c r="D65" i="3" s="1" a="1"/>
  <c r="D65" i="3" s="1"/>
  <c r="D66" i="3" s="1"/>
  <c r="D70" i="3" s="1"/>
  <c r="D74" i="3" s="1"/>
  <c r="D78" i="3" s="1"/>
  <c r="D82" i="3" s="1"/>
  <c r="D86" i="3" s="1"/>
  <c r="D90" i="3" s="1"/>
  <c r="D94" i="3" s="1"/>
  <c r="D98" i="3" s="1"/>
  <c r="D102" i="3" s="1"/>
  <c r="O108" i="3" l="1" a="1"/>
  <c r="O108" i="3" s="1"/>
  <c r="T108" i="3" a="1"/>
  <c r="T108" i="3" s="1"/>
  <c r="AI72" i="3" a="1"/>
  <c r="AI72" i="3" s="1"/>
  <c r="D72" i="3" a="1"/>
  <c r="D72" i="3" s="1"/>
  <c r="N72" i="3" a="1"/>
  <c r="N72" i="3" s="1"/>
  <c r="AJ72" i="3" a="1"/>
  <c r="AJ72" i="3" s="1"/>
  <c r="W72" i="3" a="1"/>
  <c r="W72" i="3" s="1"/>
  <c r="AL72" i="3" a="1"/>
  <c r="AL72" i="3" s="1"/>
  <c r="H72" i="3" a="1"/>
  <c r="H72" i="3" s="1"/>
  <c r="I72" i="3" a="1"/>
  <c r="I72" i="3" s="1"/>
  <c r="X72" i="3" a="1"/>
  <c r="X72" i="3" s="1"/>
  <c r="E72" i="3" a="1"/>
  <c r="E72" i="3" s="1"/>
  <c r="E73" i="3" s="1" a="1"/>
  <c r="E73" i="3" s="1"/>
  <c r="E74" i="3" s="1"/>
  <c r="E78" i="3" s="1"/>
  <c r="K72" i="3" a="1"/>
  <c r="K72" i="3" s="1"/>
  <c r="Z72" i="3" a="1"/>
  <c r="Z72" i="3" s="1"/>
  <c r="Y72" i="3" a="1"/>
  <c r="Y72" i="3" s="1"/>
  <c r="P72" i="3" a="1"/>
  <c r="P72" i="3" s="1"/>
  <c r="P73" i="3" s="1" a="1"/>
  <c r="P73" i="3" s="1"/>
  <c r="P74" i="3" s="1"/>
  <c r="P78" i="3" s="1"/>
  <c r="AA72" i="3" a="1"/>
  <c r="AA72" i="3" s="1"/>
  <c r="AK72" i="3" a="1"/>
  <c r="AK72" i="3" s="1"/>
  <c r="AB72" i="3" a="1"/>
  <c r="AB72" i="3" s="1"/>
  <c r="F72" i="3" a="1"/>
  <c r="F72" i="3" s="1"/>
  <c r="AC72" i="3" a="1"/>
  <c r="AC72" i="3" s="1"/>
  <c r="G72" i="3" a="1"/>
  <c r="G72" i="3" s="1"/>
  <c r="G73" i="3" s="1" a="1"/>
  <c r="G73" i="3" s="1"/>
  <c r="G74" i="3" s="1"/>
  <c r="AF72" i="3" a="1"/>
  <c r="AF72" i="3" s="1"/>
  <c r="R72" i="3" a="1"/>
  <c r="R72" i="3" s="1"/>
  <c r="R73" i="3" s="1" a="1"/>
  <c r="R73" i="3" s="1"/>
  <c r="R74" i="3" s="1"/>
  <c r="AG72" i="3" a="1"/>
  <c r="AG72" i="3" s="1"/>
  <c r="AM72" i="3" a="1"/>
  <c r="AM72" i="3" s="1"/>
  <c r="L72" i="3" a="1"/>
  <c r="L72" i="3" s="1"/>
  <c r="S72" i="3" a="1"/>
  <c r="S72" i="3" s="1"/>
  <c r="M72" i="3" a="1"/>
  <c r="M72" i="3" s="1"/>
  <c r="T72" i="3" a="1"/>
  <c r="T72" i="3" s="1"/>
  <c r="O72" i="3" a="1"/>
  <c r="O72" i="3" s="1"/>
  <c r="J72" i="3" a="1"/>
  <c r="J72" i="3" s="1"/>
  <c r="V72" i="3" a="1"/>
  <c r="V72" i="3" s="1"/>
  <c r="AE72" i="3" a="1"/>
  <c r="AE72" i="3" s="1"/>
  <c r="AD72" i="3" a="1"/>
  <c r="AD72" i="3" s="1"/>
  <c r="Q72" i="3" a="1"/>
  <c r="Q72" i="3" s="1"/>
  <c r="AH72" i="3" a="1"/>
  <c r="AH72" i="3" s="1"/>
  <c r="U72" i="3" a="1"/>
  <c r="U72" i="3" s="1"/>
  <c r="U68" i="3" a="1"/>
  <c r="U68" i="3" s="1"/>
  <c r="U69" i="3" s="1" a="1"/>
  <c r="U69" i="3" s="1"/>
  <c r="U70" i="3" s="1"/>
  <c r="U74" i="3" s="1"/>
  <c r="Q68" i="3" a="1"/>
  <c r="Q68" i="3" s="1"/>
  <c r="Q69" i="3" s="1" a="1"/>
  <c r="Q69" i="3" s="1"/>
  <c r="Q70" i="3" s="1"/>
  <c r="Q74" i="3" s="1"/>
  <c r="Q78" i="3" s="1"/>
  <c r="S68" i="3" a="1"/>
  <c r="S68" i="3" s="1"/>
  <c r="S69" i="3" s="1" a="1"/>
  <c r="S69" i="3" s="1"/>
  <c r="S70" i="3" s="1"/>
  <c r="S74" i="3" s="1"/>
  <c r="F92" i="3" a="1"/>
  <c r="F92" i="3" s="1"/>
  <c r="AH92" i="3" a="1"/>
  <c r="AH92" i="3" s="1"/>
  <c r="AG92" i="3" a="1"/>
  <c r="AG92" i="3" s="1"/>
  <c r="T92" i="3" a="1"/>
  <c r="T92" i="3" s="1"/>
  <c r="S92" i="3" a="1"/>
  <c r="S92" i="3" s="1"/>
  <c r="AI92" i="3" a="1"/>
  <c r="AI92" i="3" s="1"/>
  <c r="H92" i="3" a="1"/>
  <c r="H92" i="3" s="1"/>
  <c r="AB92" i="3" a="1"/>
  <c r="AB92" i="3" s="1"/>
  <c r="Z92" i="3" a="1"/>
  <c r="Z92" i="3" s="1"/>
  <c r="D92" i="3" a="1"/>
  <c r="D92" i="3" s="1"/>
  <c r="AK92" i="3" a="1"/>
  <c r="AK92" i="3" s="1"/>
  <c r="V92" i="3" a="1"/>
  <c r="V92" i="3" s="1"/>
  <c r="W92" i="3" a="1"/>
  <c r="W92" i="3" s="1"/>
  <c r="N92" i="3" a="1"/>
  <c r="N92" i="3" s="1"/>
  <c r="O92" i="3" a="1"/>
  <c r="O92" i="3" s="1"/>
  <c r="AJ92" i="3" a="1"/>
  <c r="AJ92" i="3" s="1"/>
  <c r="E92" i="3" a="1"/>
  <c r="E92" i="3" s="1"/>
  <c r="X92" i="3" a="1"/>
  <c r="X92" i="3" s="1"/>
  <c r="AL92" i="3" a="1"/>
  <c r="AL92" i="3" s="1"/>
  <c r="G92" i="3" a="1"/>
  <c r="G92" i="3" s="1"/>
  <c r="AM92" i="3" a="1"/>
  <c r="AM92" i="3" s="1"/>
  <c r="L92" i="3" a="1"/>
  <c r="L92" i="3" s="1"/>
  <c r="M92" i="3" a="1"/>
  <c r="M92" i="3" s="1"/>
  <c r="AC92" i="3" a="1"/>
  <c r="AC92" i="3" s="1"/>
  <c r="P92" i="3" a="1"/>
  <c r="P92" i="3" s="1"/>
  <c r="AE92" i="3" a="1"/>
  <c r="AE92" i="3" s="1"/>
  <c r="AD92" i="3" a="1"/>
  <c r="AD92" i="3" s="1"/>
  <c r="Q92" i="3" a="1"/>
  <c r="Q92" i="3" s="1"/>
  <c r="J92" i="3" a="1"/>
  <c r="J92" i="3" s="1"/>
  <c r="AF92" i="3" a="1"/>
  <c r="AF92" i="3" s="1"/>
  <c r="U92" i="3" a="1"/>
  <c r="U92" i="3" s="1"/>
  <c r="K92" i="3" a="1"/>
  <c r="K92" i="3" s="1"/>
  <c r="H104" i="3" a="1"/>
  <c r="H104" i="3" s="1"/>
  <c r="O104" i="3" a="1"/>
  <c r="O104" i="3" s="1"/>
  <c r="R104" i="3" a="1"/>
  <c r="R104" i="3" s="1"/>
  <c r="P104" i="3" a="1"/>
  <c r="P104" i="3" s="1"/>
  <c r="AL104" i="3" a="1"/>
  <c r="AL104" i="3" s="1"/>
  <c r="AB104" i="3" a="1"/>
  <c r="AB104" i="3" s="1"/>
  <c r="AC104" i="3" a="1"/>
  <c r="AC104" i="3" s="1"/>
  <c r="AD104" i="3" a="1"/>
  <c r="AD104" i="3" s="1"/>
  <c r="Z104" i="3" a="1"/>
  <c r="Z104" i="3" s="1"/>
  <c r="AA104" i="3" a="1"/>
  <c r="AA104" i="3" s="1"/>
  <c r="AM104" i="3" a="1"/>
  <c r="AM104" i="3" s="1"/>
  <c r="AF104" i="3" a="1"/>
  <c r="AF104" i="3" s="1"/>
  <c r="F104" i="3" a="1"/>
  <c r="F104" i="3" s="1"/>
  <c r="E104" i="3" a="1"/>
  <c r="E104" i="3" s="1"/>
  <c r="G104" i="3" a="1"/>
  <c r="G104" i="3" s="1"/>
  <c r="T104" i="3" a="1"/>
  <c r="T104" i="3" s="1"/>
  <c r="V104" i="3" a="1"/>
  <c r="V104" i="3" s="1"/>
  <c r="I104" i="3" a="1"/>
  <c r="I104" i="3" s="1"/>
  <c r="AH104" i="3" a="1"/>
  <c r="AH104" i="3" s="1"/>
  <c r="S104" i="3" a="1"/>
  <c r="S104" i="3" s="1"/>
  <c r="W104" i="3" a="1"/>
  <c r="W104" i="3" s="1"/>
  <c r="J104" i="3" a="1"/>
  <c r="J104" i="3" s="1"/>
  <c r="AI104" i="3" a="1"/>
  <c r="AI104" i="3" s="1"/>
  <c r="K104" i="3" a="1"/>
  <c r="K104" i="3" s="1"/>
  <c r="X104" i="3" a="1"/>
  <c r="X104" i="3" s="1"/>
  <c r="AG104" i="3" a="1"/>
  <c r="AG104" i="3" s="1"/>
  <c r="AE104" i="3" a="1"/>
  <c r="AE104" i="3" s="1"/>
  <c r="L104" i="3" a="1"/>
  <c r="L104" i="3" s="1"/>
  <c r="AJ104" i="3" a="1"/>
  <c r="AJ104" i="3" s="1"/>
  <c r="Y104" i="3" a="1"/>
  <c r="Y104" i="3" s="1"/>
  <c r="M104" i="3" a="1"/>
  <c r="M104" i="3" s="1"/>
  <c r="AK104" i="3" a="1"/>
  <c r="AK104" i="3" s="1"/>
  <c r="T68" i="3" a="1"/>
  <c r="T68" i="3" s="1"/>
  <c r="T69" i="3" s="1" a="1"/>
  <c r="T69" i="3" s="1"/>
  <c r="T70" i="3" s="1"/>
  <c r="T74" i="3" s="1"/>
  <c r="T78" i="3" s="1"/>
  <c r="T80" i="3" l="1" a="1"/>
  <c r="T80" i="3" s="1"/>
  <c r="T81" i="3" s="1" a="1"/>
  <c r="T81" i="3" s="1"/>
  <c r="T82" i="3" s="1"/>
  <c r="T86" i="3" s="1"/>
  <c r="T90" i="3" s="1"/>
  <c r="T94" i="3" s="1"/>
  <c r="T98" i="3" s="1"/>
  <c r="T102" i="3" s="1"/>
  <c r="T106" i="3" s="1"/>
  <c r="T110" i="3" s="1"/>
  <c r="T114" i="3" s="1"/>
  <c r="T118" i="3" s="1"/>
  <c r="T122" i="3" s="1"/>
  <c r="T126" i="3" s="1"/>
  <c r="T130" i="3" s="1"/>
  <c r="T134" i="3" s="1"/>
  <c r="T138" i="3" s="1"/>
  <c r="T142" i="3" s="1"/>
  <c r="T146" i="3" s="1"/>
  <c r="T150" i="3" s="1"/>
  <c r="T154" i="3" s="1"/>
  <c r="T158" i="3" s="1"/>
  <c r="T162" i="3" s="1"/>
  <c r="T166" i="3" s="1"/>
  <c r="T170" i="3" s="1"/>
  <c r="T174" i="3" s="1"/>
  <c r="T178" i="3" s="1"/>
  <c r="T182" i="3" s="1"/>
  <c r="T186" i="3" s="1"/>
  <c r="T190" i="3" s="1"/>
  <c r="T194" i="3" s="1"/>
  <c r="T198" i="3" s="1"/>
  <c r="T202" i="3" s="1"/>
  <c r="T206" i="3" s="1"/>
  <c r="T210" i="3" s="1"/>
  <c r="T214" i="3" s="1"/>
  <c r="T218" i="3" s="1"/>
  <c r="T222" i="3" s="1"/>
  <c r="T226" i="3" s="1"/>
  <c r="T230" i="3" s="1"/>
  <c r="T234" i="3" s="1"/>
  <c r="T238" i="3" s="1"/>
  <c r="T242" i="3" s="1"/>
  <c r="T246" i="3" s="1"/>
  <c r="T250" i="3" s="1"/>
  <c r="AH80" i="3" a="1"/>
  <c r="AH80" i="3" s="1"/>
  <c r="E80" i="3" a="1"/>
  <c r="E80" i="3" s="1"/>
  <c r="E81" i="3" s="1" a="1"/>
  <c r="E81" i="3" s="1"/>
  <c r="E82" i="3" s="1"/>
  <c r="AM80" i="3" a="1"/>
  <c r="AM80" i="3" s="1"/>
  <c r="Z80" i="3" a="1"/>
  <c r="Z80" i="3" s="1"/>
  <c r="O80" i="3" a="1"/>
  <c r="O80" i="3" s="1"/>
  <c r="AC80" i="3" a="1"/>
  <c r="AC80" i="3" s="1"/>
  <c r="AA80" i="3" a="1"/>
  <c r="AA80" i="3" s="1"/>
  <c r="I80" i="3" a="1"/>
  <c r="I80" i="3" s="1"/>
  <c r="W80" i="3" a="1"/>
  <c r="W80" i="3" s="1"/>
  <c r="S80" i="3" a="1"/>
  <c r="S80" i="3" s="1"/>
  <c r="M80" i="3" a="1"/>
  <c r="M80" i="3" s="1"/>
  <c r="H80" i="3" a="1"/>
  <c r="H80" i="3" s="1"/>
  <c r="N80" i="3" a="1"/>
  <c r="N80" i="3" s="1"/>
  <c r="G80" i="3" a="1"/>
  <c r="G80" i="3" s="1"/>
  <c r="AL80" i="3" a="1"/>
  <c r="AL80" i="3" s="1"/>
  <c r="R80" i="3" a="1"/>
  <c r="R80" i="3" s="1"/>
  <c r="AG80" i="3" a="1"/>
  <c r="AG80" i="3" s="1"/>
  <c r="F80" i="3" a="1"/>
  <c r="F80" i="3" s="1"/>
  <c r="AB80" i="3" a="1"/>
  <c r="AB80" i="3" s="1"/>
  <c r="Q80" i="3" a="1"/>
  <c r="Q80" i="3" s="1"/>
  <c r="Q81" i="3" s="1" a="1"/>
  <c r="Q81" i="3" s="1"/>
  <c r="Q82" i="3" s="1"/>
  <c r="Q86" i="3" s="1"/>
  <c r="Q90" i="3" s="1"/>
  <c r="Q94" i="3" s="1"/>
  <c r="Q98" i="3" s="1"/>
  <c r="Q102" i="3" s="1"/>
  <c r="D80" i="3" a="1"/>
  <c r="D80" i="3" s="1"/>
  <c r="AJ80" i="3" a="1"/>
  <c r="AJ80" i="3" s="1"/>
  <c r="L80" i="3" a="1"/>
  <c r="L80" i="3" s="1"/>
  <c r="V80" i="3" a="1"/>
  <c r="V80" i="3" s="1"/>
  <c r="AK80" i="3" a="1"/>
  <c r="AK80" i="3" s="1"/>
  <c r="P80" i="3" a="1"/>
  <c r="P80" i="3" s="1"/>
  <c r="P81" i="3" s="1" a="1"/>
  <c r="P81" i="3" s="1"/>
  <c r="P82" i="3" s="1"/>
  <c r="P86" i="3" s="1"/>
  <c r="P90" i="3" s="1"/>
  <c r="P94" i="3" s="1"/>
  <c r="P98" i="3" s="1"/>
  <c r="P102" i="3" s="1"/>
  <c r="P106" i="3" s="1"/>
  <c r="P110" i="3" s="1"/>
  <c r="P114" i="3" s="1"/>
  <c r="J80" i="3" a="1"/>
  <c r="J80" i="3" s="1"/>
  <c r="AI80" i="3" a="1"/>
  <c r="AI80" i="3" s="1"/>
  <c r="K80" i="3" a="1"/>
  <c r="K80" i="3" s="1"/>
  <c r="AF80" i="3" a="1"/>
  <c r="AF80" i="3" s="1"/>
  <c r="U80" i="3" a="1"/>
  <c r="U80" i="3" s="1"/>
  <c r="AE80" i="3" a="1"/>
  <c r="AE80" i="3" s="1"/>
  <c r="Y80" i="3" a="1"/>
  <c r="Y80" i="3" s="1"/>
  <c r="AD80" i="3" a="1"/>
  <c r="AD80" i="3" s="1"/>
  <c r="X80" i="3" a="1"/>
  <c r="X80" i="3" s="1"/>
  <c r="H76" i="3" a="1"/>
  <c r="H76" i="3" s="1"/>
  <c r="E76" i="3" a="1"/>
  <c r="E76" i="3" s="1"/>
  <c r="AC76" i="3" a="1"/>
  <c r="AC76" i="3" s="1"/>
  <c r="AL76" i="3" a="1"/>
  <c r="AL76" i="3" s="1"/>
  <c r="O76" i="3" a="1"/>
  <c r="O76" i="3" s="1"/>
  <c r="G76" i="3" a="1"/>
  <c r="G76" i="3" s="1"/>
  <c r="G77" i="3" s="1" a="1"/>
  <c r="G77" i="3" s="1"/>
  <c r="G78" i="3" s="1"/>
  <c r="G82" i="3" s="1"/>
  <c r="G86" i="3" s="1"/>
  <c r="G90" i="3" s="1"/>
  <c r="G94" i="3" s="1"/>
  <c r="G98" i="3" s="1"/>
  <c r="G102" i="3" s="1"/>
  <c r="G106" i="3" s="1"/>
  <c r="G110" i="3" s="1"/>
  <c r="AB76" i="3" a="1"/>
  <c r="AB76" i="3" s="1"/>
  <c r="Z76" i="3" a="1"/>
  <c r="Z76" i="3" s="1"/>
  <c r="F76" i="3" a="1"/>
  <c r="F76" i="3" s="1"/>
  <c r="AA76" i="3" a="1"/>
  <c r="AA76" i="3" s="1"/>
  <c r="V76" i="3" a="1"/>
  <c r="V76" i="3" s="1"/>
  <c r="L76" i="3" a="1"/>
  <c r="L76" i="3" s="1"/>
  <c r="I76" i="3" a="1"/>
  <c r="I76" i="3" s="1"/>
  <c r="AD76" i="3" a="1"/>
  <c r="AD76" i="3" s="1"/>
  <c r="J76" i="3" a="1"/>
  <c r="J76" i="3" s="1"/>
  <c r="AE76" i="3" a="1"/>
  <c r="AE76" i="3" s="1"/>
  <c r="K76" i="3" a="1"/>
  <c r="K76" i="3" s="1"/>
  <c r="M76" i="3" a="1"/>
  <c r="M76" i="3" s="1"/>
  <c r="P76" i="3" a="1"/>
  <c r="P76" i="3" s="1"/>
  <c r="AF76" i="3" a="1"/>
  <c r="AF76" i="3" s="1"/>
  <c r="AG76" i="3" a="1"/>
  <c r="AG76" i="3" s="1"/>
  <c r="S76" i="3" a="1"/>
  <c r="S76" i="3" s="1"/>
  <c r="S77" i="3" s="1" a="1"/>
  <c r="S77" i="3" s="1"/>
  <c r="S78" i="3" s="1"/>
  <c r="S82" i="3" s="1"/>
  <c r="S86" i="3" s="1"/>
  <c r="T76" i="3" a="1"/>
  <c r="T76" i="3" s="1"/>
  <c r="AH76" i="3" a="1"/>
  <c r="AH76" i="3" s="1"/>
  <c r="N76" i="3" a="1"/>
  <c r="N76" i="3" s="1"/>
  <c r="U76" i="3" a="1"/>
  <c r="U76" i="3" s="1"/>
  <c r="U77" i="3" s="1" a="1"/>
  <c r="U77" i="3" s="1"/>
  <c r="U78" i="3" s="1"/>
  <c r="U82" i="3" s="1"/>
  <c r="U86" i="3" s="1"/>
  <c r="U90" i="3" s="1"/>
  <c r="U94" i="3" s="1"/>
  <c r="U98" i="3" s="1"/>
  <c r="U102" i="3" s="1"/>
  <c r="D76" i="3" a="1"/>
  <c r="D76" i="3" s="1"/>
  <c r="AI76" i="3" a="1"/>
  <c r="AI76" i="3" s="1"/>
  <c r="Y76" i="3" a="1"/>
  <c r="Y76" i="3" s="1"/>
  <c r="AJ76" i="3" a="1"/>
  <c r="AJ76" i="3" s="1"/>
  <c r="Q76" i="3" a="1"/>
  <c r="Q76" i="3" s="1"/>
  <c r="W76" i="3" a="1"/>
  <c r="W76" i="3" s="1"/>
  <c r="R76" i="3" a="1"/>
  <c r="R76" i="3" s="1"/>
  <c r="R77" i="3" s="1" a="1"/>
  <c r="R77" i="3" s="1"/>
  <c r="R78" i="3" s="1"/>
  <c r="R82" i="3" s="1"/>
  <c r="AK76" i="3" a="1"/>
  <c r="AK76" i="3" s="1"/>
  <c r="AM76" i="3" a="1"/>
  <c r="AM76" i="3" s="1"/>
  <c r="X76" i="3" a="1"/>
  <c r="X76" i="3" s="1"/>
  <c r="S88" i="3" l="1" a="1"/>
  <c r="S88" i="3" s="1"/>
  <c r="S89" i="3" s="1" a="1"/>
  <c r="S89" i="3" s="1"/>
  <c r="S90" i="3" s="1"/>
  <c r="S94" i="3" s="1"/>
  <c r="S98" i="3" s="1"/>
  <c r="F88" i="3" a="1"/>
  <c r="F88" i="3" s="1"/>
  <c r="F89" i="3" s="1" a="1"/>
  <c r="F89" i="3" s="1"/>
  <c r="F90" i="3" s="1"/>
  <c r="F94" i="3" s="1"/>
  <c r="F98" i="3" s="1"/>
  <c r="N88" i="3" a="1"/>
  <c r="N88" i="3" s="1"/>
  <c r="N89" i="3" s="1" a="1"/>
  <c r="N89" i="3" s="1"/>
  <c r="N90" i="3" s="1"/>
  <c r="N94" i="3" s="1"/>
  <c r="N98" i="3" s="1"/>
  <c r="N102" i="3" s="1"/>
  <c r="Y88" i="3" a="1"/>
  <c r="Y88" i="3" s="1"/>
  <c r="Y89" i="3" s="1" a="1"/>
  <c r="Y89" i="3" s="1"/>
  <c r="Y90" i="3" s="1"/>
  <c r="T112" i="3" a="1"/>
  <c r="T112" i="3" s="1"/>
  <c r="Y112" i="3" a="1"/>
  <c r="Y112" i="3" s="1"/>
  <c r="L112" i="3" a="1"/>
  <c r="L112" i="3" s="1"/>
  <c r="R112" i="3" a="1"/>
  <c r="R112" i="3" s="1"/>
  <c r="W112" i="3" a="1"/>
  <c r="W112" i="3" s="1"/>
  <c r="M112" i="3" a="1"/>
  <c r="M112" i="3" s="1"/>
  <c r="O112" i="3" a="1"/>
  <c r="O112" i="3" s="1"/>
  <c r="AA112" i="3" a="1"/>
  <c r="AA112" i="3" s="1"/>
  <c r="D112" i="3" a="1"/>
  <c r="D112" i="3" s="1"/>
  <c r="N112" i="3" a="1"/>
  <c r="N112" i="3" s="1"/>
  <c r="E112" i="3" a="1"/>
  <c r="E112" i="3" s="1"/>
  <c r="AF112" i="3" a="1"/>
  <c r="AF112" i="3" s="1"/>
  <c r="AI112" i="3" a="1"/>
  <c r="AI112" i="3" s="1"/>
  <c r="AJ112" i="3" a="1"/>
  <c r="AJ112" i="3" s="1"/>
  <c r="F112" i="3" a="1"/>
  <c r="F112" i="3" s="1"/>
  <c r="V112" i="3" a="1"/>
  <c r="V112" i="3" s="1"/>
  <c r="AG112" i="3" a="1"/>
  <c r="AG112" i="3" s="1"/>
  <c r="I112" i="3" a="1"/>
  <c r="I112" i="3" s="1"/>
  <c r="AL112" i="3" a="1"/>
  <c r="AL112" i="3" s="1"/>
  <c r="AD112" i="3" a="1"/>
  <c r="AD112" i="3" s="1"/>
  <c r="K112" i="3" a="1"/>
  <c r="K112" i="3" s="1"/>
  <c r="AM112" i="3" a="1"/>
  <c r="AM112" i="3" s="1"/>
  <c r="AC112" i="3" a="1"/>
  <c r="AC112" i="3" s="1"/>
  <c r="P112" i="3" a="1"/>
  <c r="P112" i="3" s="1"/>
  <c r="J112" i="3" a="1"/>
  <c r="J112" i="3" s="1"/>
  <c r="AE112" i="3" a="1"/>
  <c r="AE112" i="3" s="1"/>
  <c r="AH112" i="3" a="1"/>
  <c r="AH112" i="3" s="1"/>
  <c r="S112" i="3" a="1"/>
  <c r="S112" i="3" s="1"/>
  <c r="AK112" i="3" a="1"/>
  <c r="AK112" i="3" s="1"/>
  <c r="H112" i="3" a="1"/>
  <c r="H112" i="3" s="1"/>
  <c r="X112" i="3" a="1"/>
  <c r="X112" i="3" s="1"/>
  <c r="Z112" i="3" a="1"/>
  <c r="Z112" i="3" s="1"/>
  <c r="AK84" i="3" a="1"/>
  <c r="AK84" i="3" s="1"/>
  <c r="F84" i="3" a="1"/>
  <c r="F84" i="3" s="1"/>
  <c r="K84" i="3" a="1"/>
  <c r="K84" i="3" s="1"/>
  <c r="AA84" i="3" a="1"/>
  <c r="AA84" i="3" s="1"/>
  <c r="AA85" i="3" s="1" a="1"/>
  <c r="AA85" i="3" s="1"/>
  <c r="AA86" i="3" s="1"/>
  <c r="AA90" i="3" s="1"/>
  <c r="AF84" i="3" a="1"/>
  <c r="AF84" i="3" s="1"/>
  <c r="AL84" i="3" a="1"/>
  <c r="AL84" i="3" s="1"/>
  <c r="V84" i="3" a="1"/>
  <c r="V84" i="3" s="1"/>
  <c r="V85" i="3" s="1" a="1"/>
  <c r="V85" i="3" s="1"/>
  <c r="V86" i="3" s="1"/>
  <c r="V90" i="3" s="1"/>
  <c r="V94" i="3" s="1"/>
  <c r="Q84" i="3" a="1"/>
  <c r="Q84" i="3" s="1"/>
  <c r="L84" i="3" a="1"/>
  <c r="L84" i="3" s="1"/>
  <c r="AB84" i="3" a="1"/>
  <c r="AB84" i="3" s="1"/>
  <c r="AG84" i="3" a="1"/>
  <c r="AG84" i="3" s="1"/>
  <c r="G84" i="3" a="1"/>
  <c r="G84" i="3" s="1"/>
  <c r="W84" i="3" a="1"/>
  <c r="W84" i="3" s="1"/>
  <c r="R84" i="3" a="1"/>
  <c r="R84" i="3" s="1"/>
  <c r="R85" i="3" s="1" a="1"/>
  <c r="R85" i="3" s="1"/>
  <c r="R86" i="3" s="1"/>
  <c r="R90" i="3" s="1"/>
  <c r="M84" i="3" a="1"/>
  <c r="M84" i="3" s="1"/>
  <c r="H84" i="3" a="1"/>
  <c r="H84" i="3" s="1"/>
  <c r="AH84" i="3" a="1"/>
  <c r="AH84" i="3" s="1"/>
  <c r="AC84" i="3" a="1"/>
  <c r="AC84" i="3" s="1"/>
  <c r="X84" i="3" a="1"/>
  <c r="X84" i="3" s="1"/>
  <c r="S84" i="3" a="1"/>
  <c r="S84" i="3" s="1"/>
  <c r="N84" i="3" a="1"/>
  <c r="N84" i="3" s="1"/>
  <c r="I84" i="3" a="1"/>
  <c r="I84" i="3" s="1"/>
  <c r="AI84" i="3" a="1"/>
  <c r="AI84" i="3" s="1"/>
  <c r="AD84" i="3" a="1"/>
  <c r="AD84" i="3" s="1"/>
  <c r="D84" i="3" a="1"/>
  <c r="D84" i="3" s="1"/>
  <c r="T84" i="3" a="1"/>
  <c r="T84" i="3" s="1"/>
  <c r="Y84" i="3" a="1"/>
  <c r="Y84" i="3" s="1"/>
  <c r="J84" i="3" a="1"/>
  <c r="J84" i="3" s="1"/>
  <c r="O84" i="3" a="1"/>
  <c r="O84" i="3" s="1"/>
  <c r="AE84" i="3" a="1"/>
  <c r="AE84" i="3" s="1"/>
  <c r="AJ84" i="3" a="1"/>
  <c r="AJ84" i="3" s="1"/>
  <c r="U84" i="3" a="1"/>
  <c r="U84" i="3" s="1"/>
  <c r="E84" i="3" a="1"/>
  <c r="E84" i="3" s="1"/>
  <c r="E85" i="3" s="1" a="1"/>
  <c r="E85" i="3" s="1"/>
  <c r="E86" i="3" s="1"/>
  <c r="E90" i="3" s="1"/>
  <c r="E94" i="3" s="1"/>
  <c r="AM84" i="3" a="1"/>
  <c r="AM84" i="3" s="1"/>
  <c r="Z84" i="3" a="1"/>
  <c r="Z84" i="3" s="1"/>
  <c r="P84" i="3" a="1"/>
  <c r="P84" i="3" s="1"/>
  <c r="U104" i="3" a="1"/>
  <c r="U104" i="3" s="1"/>
  <c r="U105" i="3" s="1" a="1"/>
  <c r="U105" i="3" s="1"/>
  <c r="U106" i="3" s="1"/>
  <c r="U110" i="3" s="1"/>
  <c r="Q104" i="3" a="1"/>
  <c r="Q104" i="3" s="1"/>
  <c r="Q105" i="3" s="1" a="1"/>
  <c r="Q105" i="3" s="1"/>
  <c r="Q106" i="3" s="1"/>
  <c r="Q110" i="3" s="1"/>
  <c r="AB112" i="3" l="1" a="1"/>
  <c r="AB112" i="3" s="1"/>
  <c r="AB113" i="3" s="1" a="1"/>
  <c r="AB113" i="3" s="1"/>
  <c r="AB114" i="3" s="1"/>
  <c r="AB118" i="3" s="1"/>
  <c r="AB122" i="3" s="1"/>
  <c r="U112" i="3" a="1"/>
  <c r="U112" i="3" s="1"/>
  <c r="U113" i="3" s="1" a="1"/>
  <c r="U113" i="3" s="1"/>
  <c r="U114" i="3" s="1"/>
  <c r="U118" i="3" s="1"/>
  <c r="U122" i="3" s="1"/>
  <c r="N96" i="3" a="1"/>
  <c r="N96" i="3" s="1"/>
  <c r="D96" i="3" a="1"/>
  <c r="D96" i="3" s="1"/>
  <c r="X96" i="3" a="1"/>
  <c r="X96" i="3" s="1"/>
  <c r="E96" i="3" a="1"/>
  <c r="E96" i="3" s="1"/>
  <c r="E97" i="3" s="1" a="1"/>
  <c r="E97" i="3" s="1"/>
  <c r="E98" i="3" s="1"/>
  <c r="E102" i="3" s="1"/>
  <c r="E106" i="3" s="1"/>
  <c r="E110" i="3" s="1"/>
  <c r="E114" i="3" s="1"/>
  <c r="F96" i="3" a="1"/>
  <c r="F96" i="3" s="1"/>
  <c r="AH96" i="3" a="1"/>
  <c r="AH96" i="3" s="1"/>
  <c r="Q96" i="3" a="1"/>
  <c r="Q96" i="3" s="1"/>
  <c r="O96" i="3" a="1"/>
  <c r="O96" i="3" s="1"/>
  <c r="AE96" i="3" a="1"/>
  <c r="AE96" i="3" s="1"/>
  <c r="AL96" i="3" a="1"/>
  <c r="AL96" i="3" s="1"/>
  <c r="I96" i="3" a="1"/>
  <c r="I96" i="3" s="1"/>
  <c r="AM96" i="3" a="1"/>
  <c r="AM96" i="3" s="1"/>
  <c r="V96" i="3" a="1"/>
  <c r="V96" i="3" s="1"/>
  <c r="V97" i="3" s="1" a="1"/>
  <c r="V97" i="3" s="1"/>
  <c r="V98" i="3" s="1"/>
  <c r="V102" i="3" s="1"/>
  <c r="V106" i="3" s="1"/>
  <c r="V110" i="3" s="1"/>
  <c r="V114" i="3" s="1"/>
  <c r="V118" i="3" s="1"/>
  <c r="V122" i="3" s="1"/>
  <c r="V126" i="3" s="1"/>
  <c r="V130" i="3" s="1"/>
  <c r="V134" i="3" s="1"/>
  <c r="V138" i="3" s="1"/>
  <c r="V142" i="3" s="1"/>
  <c r="V146" i="3" s="1"/>
  <c r="V150" i="3" s="1"/>
  <c r="V154" i="3" s="1"/>
  <c r="V158" i="3" s="1"/>
  <c r="V162" i="3" s="1"/>
  <c r="V166" i="3" s="1"/>
  <c r="V170" i="3" s="1"/>
  <c r="V174" i="3" s="1"/>
  <c r="V178" i="3" s="1"/>
  <c r="V182" i="3" s="1"/>
  <c r="V186" i="3" s="1"/>
  <c r="V190" i="3" s="1"/>
  <c r="V194" i="3" s="1"/>
  <c r="V198" i="3" s="1"/>
  <c r="V202" i="3" s="1"/>
  <c r="AG96" i="3" a="1"/>
  <c r="AG96" i="3" s="1"/>
  <c r="L96" i="3" a="1"/>
  <c r="L96" i="3" s="1"/>
  <c r="W96" i="3" a="1"/>
  <c r="W96" i="3" s="1"/>
  <c r="Y96" i="3" a="1"/>
  <c r="Y96" i="3" s="1"/>
  <c r="M96" i="3" a="1"/>
  <c r="M96" i="3" s="1"/>
  <c r="M97" i="3" s="1" a="1"/>
  <c r="M97" i="3" s="1"/>
  <c r="M98" i="3" s="1"/>
  <c r="M102" i="3" s="1"/>
  <c r="M106" i="3" s="1"/>
  <c r="M110" i="3" s="1"/>
  <c r="M114" i="3" s="1"/>
  <c r="M118" i="3" s="1"/>
  <c r="M122" i="3" s="1"/>
  <c r="M126" i="3" s="1"/>
  <c r="M130" i="3" s="1"/>
  <c r="M134" i="3" s="1"/>
  <c r="M138" i="3" s="1"/>
  <c r="M142" i="3" s="1"/>
  <c r="M146" i="3" s="1"/>
  <c r="M150" i="3" s="1"/>
  <c r="M154" i="3" s="1"/>
  <c r="M158" i="3" s="1"/>
  <c r="M162" i="3" s="1"/>
  <c r="M166" i="3" s="1"/>
  <c r="M170" i="3" s="1"/>
  <c r="M174" i="3" s="1"/>
  <c r="G96" i="3" a="1"/>
  <c r="G96" i="3" s="1"/>
  <c r="AA96" i="3" a="1"/>
  <c r="AA96" i="3" s="1"/>
  <c r="AI96" i="3" a="1"/>
  <c r="AI96" i="3" s="1"/>
  <c r="AJ96" i="3" a="1"/>
  <c r="AJ96" i="3" s="1"/>
  <c r="S96" i="3" a="1"/>
  <c r="S96" i="3" s="1"/>
  <c r="AD96" i="3" a="1"/>
  <c r="AD96" i="3" s="1"/>
  <c r="H96" i="3" a="1"/>
  <c r="H96" i="3" s="1"/>
  <c r="T96" i="3" a="1"/>
  <c r="T96" i="3" s="1"/>
  <c r="U96" i="3" a="1"/>
  <c r="U96" i="3" s="1"/>
  <c r="AF96" i="3" a="1"/>
  <c r="AF96" i="3" s="1"/>
  <c r="J96" i="3" a="1"/>
  <c r="J96" i="3" s="1"/>
  <c r="K96" i="3" a="1"/>
  <c r="K96" i="3" s="1"/>
  <c r="K97" i="3" s="1" a="1"/>
  <c r="K97" i="3" s="1"/>
  <c r="K98" i="3" s="1"/>
  <c r="K102" i="3" s="1"/>
  <c r="K106" i="3" s="1"/>
  <c r="K110" i="3" s="1"/>
  <c r="K114" i="3" s="1"/>
  <c r="K118" i="3" s="1"/>
  <c r="K122" i="3" s="1"/>
  <c r="K126" i="3" s="1"/>
  <c r="K130" i="3" s="1"/>
  <c r="K134" i="3" s="1"/>
  <c r="K138" i="3" s="1"/>
  <c r="K142" i="3" s="1"/>
  <c r="K146" i="3" s="1"/>
  <c r="K150" i="3" s="1"/>
  <c r="K154" i="3" s="1"/>
  <c r="K158" i="3" s="1"/>
  <c r="K162" i="3" s="1"/>
  <c r="K166" i="3" s="1"/>
  <c r="K170" i="3" s="1"/>
  <c r="K174" i="3" s="1"/>
  <c r="Z96" i="3" a="1"/>
  <c r="Z96" i="3" s="1"/>
  <c r="AK96" i="3" a="1"/>
  <c r="AK96" i="3" s="1"/>
  <c r="P96" i="3" a="1"/>
  <c r="P96" i="3" s="1"/>
  <c r="R96" i="3" a="1"/>
  <c r="R96" i="3" s="1"/>
  <c r="AB96" i="3" a="1"/>
  <c r="AB96" i="3" s="1"/>
  <c r="AC96" i="3" a="1"/>
  <c r="AC96" i="3" s="1"/>
  <c r="R92" i="3" a="1"/>
  <c r="R92" i="3" s="1"/>
  <c r="R93" i="3" s="1" a="1"/>
  <c r="R93" i="3" s="1"/>
  <c r="R94" i="3" s="1"/>
  <c r="R98" i="3" s="1"/>
  <c r="R102" i="3" s="1"/>
  <c r="R106" i="3" s="1"/>
  <c r="I92" i="3" a="1"/>
  <c r="I92" i="3" s="1"/>
  <c r="I93" i="3" s="1" a="1"/>
  <c r="I93" i="3" s="1"/>
  <c r="I94" i="3" s="1"/>
  <c r="I98" i="3" s="1"/>
  <c r="I102" i="3" s="1"/>
  <c r="I106" i="3" s="1"/>
  <c r="I110" i="3" s="1"/>
  <c r="I114" i="3" s="1"/>
  <c r="I118" i="3" s="1"/>
  <c r="I122" i="3" s="1"/>
  <c r="I126" i="3" s="1"/>
  <c r="I130" i="3" s="1"/>
  <c r="I134" i="3" s="1"/>
  <c r="I138" i="3" s="1"/>
  <c r="I142" i="3" s="1"/>
  <c r="I146" i="3" s="1"/>
  <c r="I150" i="3" s="1"/>
  <c r="G112" i="3" a="1"/>
  <c r="G112" i="3" s="1"/>
  <c r="G113" i="3" s="1" a="1"/>
  <c r="G113" i="3" s="1"/>
  <c r="G114" i="3" s="1"/>
  <c r="G118" i="3" s="1"/>
  <c r="G122" i="3" s="1"/>
  <c r="Q112" i="3" a="1"/>
  <c r="Q112" i="3" s="1"/>
  <c r="Q113" i="3" s="1" a="1"/>
  <c r="Q113" i="3" s="1"/>
  <c r="Q114" i="3" s="1"/>
  <c r="Q118" i="3" s="1"/>
  <c r="Q122" i="3" s="1"/>
  <c r="Q126" i="3" s="1"/>
  <c r="AA92" i="3" a="1"/>
  <c r="AA92" i="3" s="1"/>
  <c r="AA93" i="3" s="1" a="1"/>
  <c r="AA93" i="3" s="1"/>
  <c r="AA94" i="3" s="1"/>
  <c r="AA98" i="3" s="1"/>
  <c r="AA102" i="3" s="1"/>
  <c r="AA106" i="3" s="1"/>
  <c r="AA110" i="3" s="1"/>
  <c r="AA114" i="3" s="1"/>
  <c r="AA118" i="3" s="1"/>
  <c r="AA122" i="3" s="1"/>
  <c r="AA126" i="3" s="1"/>
  <c r="AA130" i="3" s="1"/>
  <c r="AA134" i="3" s="1"/>
  <c r="AA138" i="3" s="1"/>
  <c r="AA142" i="3" s="1"/>
  <c r="AA146" i="3" s="1"/>
  <c r="AA150" i="3" s="1"/>
  <c r="AA154" i="3" s="1"/>
  <c r="AA158" i="3" s="1"/>
  <c r="AA162" i="3" s="1"/>
  <c r="AA166" i="3" s="1"/>
  <c r="AA170" i="3" s="1"/>
  <c r="AA174" i="3" s="1"/>
  <c r="Y92" i="3" a="1"/>
  <c r="Y92" i="3" s="1"/>
  <c r="Y93" i="3" s="1" a="1"/>
  <c r="Y93" i="3" s="1"/>
  <c r="Y94" i="3" s="1"/>
  <c r="Y98" i="3" s="1"/>
  <c r="Y102" i="3" s="1"/>
  <c r="Y106" i="3" s="1"/>
  <c r="D104" i="3" a="1"/>
  <c r="D104" i="3" s="1"/>
  <c r="D105" i="3" s="1" a="1"/>
  <c r="D105" i="3" s="1"/>
  <c r="D106" i="3" s="1"/>
  <c r="D110" i="3" s="1"/>
  <c r="D114" i="3" s="1"/>
  <c r="N104" i="3" a="1"/>
  <c r="N104" i="3" s="1"/>
  <c r="N105" i="3" s="1" a="1"/>
  <c r="N105" i="3" s="1"/>
  <c r="N106" i="3" s="1"/>
  <c r="N110" i="3" s="1"/>
  <c r="N114" i="3" s="1"/>
  <c r="N118" i="3" s="1"/>
  <c r="N122" i="3" s="1"/>
  <c r="N126" i="3" s="1"/>
  <c r="N130" i="3" s="1"/>
  <c r="N134" i="3" s="1"/>
  <c r="N138" i="3" s="1"/>
  <c r="N142" i="3" s="1"/>
  <c r="N146" i="3" s="1"/>
  <c r="L100" i="3" a="1"/>
  <c r="L100" i="3" s="1"/>
  <c r="L101" i="3" s="1" a="1"/>
  <c r="L101" i="3" s="1"/>
  <c r="L102" i="3" s="1"/>
  <c r="L106" i="3" s="1"/>
  <c r="L110" i="3" s="1"/>
  <c r="L114" i="3" s="1"/>
  <c r="L118" i="3" s="1"/>
  <c r="L122" i="3" s="1"/>
  <c r="L126" i="3" s="1"/>
  <c r="L130" i="3" s="1"/>
  <c r="L134" i="3" s="1"/>
  <c r="L138" i="3" s="1"/>
  <c r="L142" i="3" s="1"/>
  <c r="L146" i="3" s="1"/>
  <c r="L150" i="3" s="1"/>
  <c r="O100" i="3" a="1"/>
  <c r="O100" i="3" s="1"/>
  <c r="R100" i="3" a="1"/>
  <c r="R100" i="3" s="1"/>
  <c r="AJ100" i="3" a="1"/>
  <c r="AJ100" i="3" s="1"/>
  <c r="AM100" i="3" a="1"/>
  <c r="AM100" i="3" s="1"/>
  <c r="M100" i="3" a="1"/>
  <c r="M100" i="3" s="1"/>
  <c r="S100" i="3" a="1"/>
  <c r="S100" i="3" s="1"/>
  <c r="S101" i="3" s="1" a="1"/>
  <c r="S101" i="3" s="1"/>
  <c r="S102" i="3" s="1"/>
  <c r="S106" i="3" s="1"/>
  <c r="S110" i="3" s="1"/>
  <c r="S114" i="3" s="1"/>
  <c r="V100" i="3" a="1"/>
  <c r="V100" i="3" s="1"/>
  <c r="H100" i="3" a="1"/>
  <c r="H100" i="3" s="1"/>
  <c r="W100" i="3" a="1"/>
  <c r="W100" i="3" s="1"/>
  <c r="AF100" i="3" a="1"/>
  <c r="AF100" i="3" s="1"/>
  <c r="X100" i="3" a="1"/>
  <c r="X100" i="3" s="1"/>
  <c r="X101" i="3" s="1" a="1"/>
  <c r="X101" i="3" s="1"/>
  <c r="X102" i="3" s="1"/>
  <c r="X106" i="3" s="1"/>
  <c r="I100" i="3" a="1"/>
  <c r="I100" i="3" s="1"/>
  <c r="N100" i="3" a="1"/>
  <c r="N100" i="3" s="1"/>
  <c r="AG100" i="3" a="1"/>
  <c r="AG100" i="3" s="1"/>
  <c r="AI100" i="3" a="1"/>
  <c r="AI100" i="3" s="1"/>
  <c r="AA100" i="3" a="1"/>
  <c r="AA100" i="3" s="1"/>
  <c r="E100" i="3" a="1"/>
  <c r="E100" i="3" s="1"/>
  <c r="P100" i="3" a="1"/>
  <c r="P100" i="3" s="1"/>
  <c r="AK100" i="3" a="1"/>
  <c r="AK100" i="3" s="1"/>
  <c r="Q100" i="3" a="1"/>
  <c r="Q100" i="3" s="1"/>
  <c r="AL100" i="3" a="1"/>
  <c r="AL100" i="3" s="1"/>
  <c r="K100" i="3" a="1"/>
  <c r="K100" i="3" s="1"/>
  <c r="AH100" i="3" a="1"/>
  <c r="AH100" i="3" s="1"/>
  <c r="Y100" i="3" a="1"/>
  <c r="Y100" i="3" s="1"/>
  <c r="Z100" i="3" a="1"/>
  <c r="Z100" i="3" s="1"/>
  <c r="D100" i="3" a="1"/>
  <c r="D100" i="3" s="1"/>
  <c r="AB100" i="3" a="1"/>
  <c r="AB100" i="3" s="1"/>
  <c r="T100" i="3" a="1"/>
  <c r="T100" i="3" s="1"/>
  <c r="F100" i="3" a="1"/>
  <c r="F100" i="3" s="1"/>
  <c r="F101" i="3" s="1" a="1"/>
  <c r="F101" i="3" s="1"/>
  <c r="F102" i="3" s="1"/>
  <c r="F106" i="3" s="1"/>
  <c r="F110" i="3" s="1"/>
  <c r="F114" i="3" s="1"/>
  <c r="F118" i="3" s="1"/>
  <c r="F122" i="3" s="1"/>
  <c r="F126" i="3" s="1"/>
  <c r="F130" i="3" s="1"/>
  <c r="J100" i="3" a="1"/>
  <c r="J100" i="3" s="1"/>
  <c r="AC100" i="3" a="1"/>
  <c r="AC100" i="3" s="1"/>
  <c r="AE100" i="3" a="1"/>
  <c r="AE100" i="3" s="1"/>
  <c r="G100" i="3" a="1"/>
  <c r="G100" i="3" s="1"/>
  <c r="U100" i="3" a="1"/>
  <c r="U100" i="3" s="1"/>
  <c r="AD100" i="3" a="1"/>
  <c r="AD100" i="3" s="1"/>
  <c r="M132" i="3" l="1" a="1"/>
  <c r="M132" i="3" s="1"/>
  <c r="Z132" i="3" a="1"/>
  <c r="Z132" i="3" s="1"/>
  <c r="AM132" i="3" a="1"/>
  <c r="AM132" i="3" s="1"/>
  <c r="N132" i="3" a="1"/>
  <c r="N132" i="3" s="1"/>
  <c r="AL132" i="3" a="1"/>
  <c r="AL132" i="3" s="1"/>
  <c r="D132" i="3" a="1"/>
  <c r="D132" i="3" s="1"/>
  <c r="AA132" i="3" a="1"/>
  <c r="AA132" i="3" s="1"/>
  <c r="V132" i="3" a="1"/>
  <c r="V132" i="3" s="1"/>
  <c r="AH132" i="3" a="1"/>
  <c r="AH132" i="3" s="1"/>
  <c r="W132" i="3" a="1"/>
  <c r="W132" i="3" s="1"/>
  <c r="R132" i="3" a="1"/>
  <c r="R132" i="3" s="1"/>
  <c r="AJ132" i="3" a="1"/>
  <c r="AJ132" i="3" s="1"/>
  <c r="AD132" i="3" a="1"/>
  <c r="AD132" i="3" s="1"/>
  <c r="Q132" i="3" a="1"/>
  <c r="Q132" i="3" s="1"/>
  <c r="AC132" i="3" a="1"/>
  <c r="AC132" i="3" s="1"/>
  <c r="AE132" i="3" a="1"/>
  <c r="AE132" i="3" s="1"/>
  <c r="P132" i="3" a="1"/>
  <c r="P132" i="3" s="1"/>
  <c r="S132" i="3" a="1"/>
  <c r="S132" i="3" s="1"/>
  <c r="AF132" i="3" a="1"/>
  <c r="AF132" i="3" s="1"/>
  <c r="T132" i="3" a="1"/>
  <c r="T132" i="3" s="1"/>
  <c r="E132" i="3" a="1"/>
  <c r="E132" i="3" s="1"/>
  <c r="AG132" i="3" a="1"/>
  <c r="AG132" i="3" s="1"/>
  <c r="I132" i="3" a="1"/>
  <c r="I132" i="3" s="1"/>
  <c r="J132" i="3" a="1"/>
  <c r="J132" i="3" s="1"/>
  <c r="H132" i="3" a="1"/>
  <c r="H132" i="3" s="1"/>
  <c r="AI132" i="3" a="1"/>
  <c r="AI132" i="3" s="1"/>
  <c r="X132" i="3" a="1"/>
  <c r="X132" i="3" s="1"/>
  <c r="K132" i="3" a="1"/>
  <c r="K132" i="3" s="1"/>
  <c r="Y132" i="3" a="1"/>
  <c r="Y132" i="3" s="1"/>
  <c r="AK132" i="3" a="1"/>
  <c r="AK132" i="3" s="1"/>
  <c r="L132" i="3" a="1"/>
  <c r="L132" i="3" s="1"/>
  <c r="AB132" i="3" a="1"/>
  <c r="AB132" i="3" s="1"/>
  <c r="R108" i="3" a="1"/>
  <c r="R108" i="3" s="1"/>
  <c r="R109" i="3" s="1" a="1"/>
  <c r="R109" i="3" s="1"/>
  <c r="R110" i="3" s="1"/>
  <c r="R114" i="3" s="1"/>
  <c r="R118" i="3" s="1"/>
  <c r="R122" i="3" s="1"/>
  <c r="R126" i="3" s="1"/>
  <c r="H108" i="3" a="1"/>
  <c r="H108" i="3" s="1"/>
  <c r="H109" i="3" s="1" a="1"/>
  <c r="H109" i="3" s="1"/>
  <c r="H110" i="3" s="1"/>
  <c r="H114" i="3" s="1"/>
  <c r="H118" i="3" s="1"/>
  <c r="Y108" i="3" a="1"/>
  <c r="Y108" i="3" s="1"/>
  <c r="Y109" i="3" s="1" a="1"/>
  <c r="Y109" i="3" s="1"/>
  <c r="Y110" i="3" s="1"/>
  <c r="Y114" i="3" s="1"/>
  <c r="Y118" i="3" s="1"/>
  <c r="Y122" i="3" s="1"/>
  <c r="AA178" i="3"/>
  <c r="AA182" i="3" s="1"/>
  <c r="AA186" i="3" s="1"/>
  <c r="AA190" i="3" s="1"/>
  <c r="E26" i="4" a="1"/>
  <c r="E26" i="4" s="1"/>
  <c r="K178" i="3"/>
  <c r="K182" i="3" s="1"/>
  <c r="K186" i="3" s="1"/>
  <c r="K190" i="3" s="1"/>
  <c r="E10" i="4" a="1"/>
  <c r="E10" i="4" s="1"/>
  <c r="F116" i="3" a="1"/>
  <c r="F116" i="3" s="1"/>
  <c r="AJ116" i="3" a="1"/>
  <c r="AJ116" i="3" s="1"/>
  <c r="U116" i="3" a="1"/>
  <c r="U116" i="3" s="1"/>
  <c r="AL116" i="3" a="1"/>
  <c r="AL116" i="3" s="1"/>
  <c r="V116" i="3" a="1"/>
  <c r="V116" i="3" s="1"/>
  <c r="J116" i="3" a="1"/>
  <c r="J116" i="3" s="1"/>
  <c r="P116" i="3" a="1"/>
  <c r="P116" i="3" s="1"/>
  <c r="P117" i="3" s="1" a="1"/>
  <c r="P117" i="3" s="1"/>
  <c r="P118" i="3" s="1"/>
  <c r="AI116" i="3" a="1"/>
  <c r="AI116" i="3" s="1"/>
  <c r="D116" i="3" a="1"/>
  <c r="D116" i="3" s="1"/>
  <c r="D117" i="3" s="1" a="1"/>
  <c r="D117" i="3" s="1"/>
  <c r="D118" i="3" s="1"/>
  <c r="D122" i="3" s="1"/>
  <c r="D126" i="3" s="1"/>
  <c r="R116" i="3" a="1"/>
  <c r="R116" i="3" s="1"/>
  <c r="AD116" i="3" a="1"/>
  <c r="AD116" i="3" s="1"/>
  <c r="K116" i="3" a="1"/>
  <c r="K116" i="3" s="1"/>
  <c r="AE116" i="3" a="1"/>
  <c r="AE116" i="3" s="1"/>
  <c r="H116" i="3" a="1"/>
  <c r="H116" i="3" s="1"/>
  <c r="AC116" i="3" a="1"/>
  <c r="AC116" i="3" s="1"/>
  <c r="G116" i="3" a="1"/>
  <c r="G116" i="3" s="1"/>
  <c r="O116" i="3" a="1"/>
  <c r="O116" i="3" s="1"/>
  <c r="S116" i="3" a="1"/>
  <c r="S116" i="3" s="1"/>
  <c r="S117" i="3" s="1" a="1"/>
  <c r="S117" i="3" s="1"/>
  <c r="S118" i="3" s="1"/>
  <c r="S122" i="3" s="1"/>
  <c r="S126" i="3" s="1"/>
  <c r="I116" i="3" a="1"/>
  <c r="I116" i="3" s="1"/>
  <c r="AK116" i="3" a="1"/>
  <c r="AK116" i="3" s="1"/>
  <c r="N116" i="3" a="1"/>
  <c r="N116" i="3" s="1"/>
  <c r="Q116" i="3" a="1"/>
  <c r="Q116" i="3" s="1"/>
  <c r="AB116" i="3" a="1"/>
  <c r="AB116" i="3" s="1"/>
  <c r="E116" i="3" a="1"/>
  <c r="E116" i="3" s="1"/>
  <c r="E117" i="3" s="1" a="1"/>
  <c r="E117" i="3" s="1"/>
  <c r="E118" i="3" s="1"/>
  <c r="T116" i="3" a="1"/>
  <c r="T116" i="3" s="1"/>
  <c r="L116" i="3" a="1"/>
  <c r="L116" i="3" s="1"/>
  <c r="X116" i="3" a="1"/>
  <c r="X116" i="3" s="1"/>
  <c r="W116" i="3" a="1"/>
  <c r="W116" i="3" s="1"/>
  <c r="AM116" i="3" a="1"/>
  <c r="AM116" i="3" s="1"/>
  <c r="Y116" i="3" a="1"/>
  <c r="Y116" i="3" s="1"/>
  <c r="Z116" i="3" a="1"/>
  <c r="Z116" i="3" s="1"/>
  <c r="AA116" i="3" a="1"/>
  <c r="AA116" i="3" s="1"/>
  <c r="AF116" i="3" a="1"/>
  <c r="AF116" i="3" s="1"/>
  <c r="M116" i="3" a="1"/>
  <c r="M116" i="3" s="1"/>
  <c r="AG116" i="3" a="1"/>
  <c r="AG116" i="3" s="1"/>
  <c r="AH116" i="3" a="1"/>
  <c r="AH116" i="3" s="1"/>
  <c r="X108" i="3" a="1"/>
  <c r="X108" i="3" s="1"/>
  <c r="X109" i="3" s="1" a="1"/>
  <c r="X109" i="3" s="1"/>
  <c r="X110" i="3" s="1"/>
  <c r="X114" i="3" s="1"/>
  <c r="X118" i="3" s="1"/>
  <c r="E124" i="3" a="1"/>
  <c r="E124" i="3" s="1"/>
  <c r="AL124" i="3" a="1"/>
  <c r="AL124" i="3" s="1"/>
  <c r="P124" i="3" a="1"/>
  <c r="P124" i="3" s="1"/>
  <c r="AA124" i="3" a="1"/>
  <c r="AA124" i="3" s="1"/>
  <c r="AF124" i="3" a="1"/>
  <c r="AF124" i="3" s="1"/>
  <c r="R124" i="3" a="1"/>
  <c r="R124" i="3" s="1"/>
  <c r="J124" i="3" a="1"/>
  <c r="J124" i="3" s="1"/>
  <c r="AC124" i="3" a="1"/>
  <c r="AC124" i="3" s="1"/>
  <c r="AJ124" i="3" a="1"/>
  <c r="AJ124" i="3" s="1"/>
  <c r="D124" i="3" a="1"/>
  <c r="D124" i="3" s="1"/>
  <c r="AD124" i="3" a="1"/>
  <c r="AD124" i="3" s="1"/>
  <c r="K124" i="3" a="1"/>
  <c r="K124" i="3" s="1"/>
  <c r="AK124" i="3" a="1"/>
  <c r="AK124" i="3" s="1"/>
  <c r="V124" i="3" a="1"/>
  <c r="V124" i="3" s="1"/>
  <c r="AM124" i="3" a="1"/>
  <c r="AM124" i="3" s="1"/>
  <c r="AG124" i="3" a="1"/>
  <c r="AG124" i="3" s="1"/>
  <c r="S124" i="3" a="1"/>
  <c r="S124" i="3" s="1"/>
  <c r="AH124" i="3" a="1"/>
  <c r="AH124" i="3" s="1"/>
  <c r="L124" i="3" a="1"/>
  <c r="L124" i="3" s="1"/>
  <c r="X124" i="3" a="1"/>
  <c r="X124" i="3" s="1"/>
  <c r="W124" i="3" a="1"/>
  <c r="W124" i="3" s="1"/>
  <c r="AI124" i="3" a="1"/>
  <c r="AI124" i="3" s="1"/>
  <c r="M124" i="3" a="1"/>
  <c r="M124" i="3" s="1"/>
  <c r="N124" i="3" a="1"/>
  <c r="N124" i="3" s="1"/>
  <c r="O124" i="3" a="1"/>
  <c r="O124" i="3" s="1"/>
  <c r="Z124" i="3" a="1"/>
  <c r="Z124" i="3" s="1"/>
  <c r="F124" i="3" a="1"/>
  <c r="F124" i="3" s="1"/>
  <c r="Q124" i="3" a="1"/>
  <c r="Q124" i="3" s="1"/>
  <c r="H124" i="3" a="1"/>
  <c r="H124" i="3" s="1"/>
  <c r="I124" i="3" a="1"/>
  <c r="I124" i="3" s="1"/>
  <c r="T124" i="3" a="1"/>
  <c r="T124" i="3" s="1"/>
  <c r="AE124" i="3" a="1"/>
  <c r="AE124" i="3" s="1"/>
  <c r="T152" i="3" a="1"/>
  <c r="T152" i="3" s="1"/>
  <c r="AH152" i="3" a="1"/>
  <c r="AH152" i="3" s="1"/>
  <c r="U152" i="3" a="1"/>
  <c r="U152" i="3" s="1"/>
  <c r="AI152" i="3" a="1"/>
  <c r="AI152" i="3" s="1"/>
  <c r="V152" i="3" a="1"/>
  <c r="V152" i="3" s="1"/>
  <c r="W152" i="3" a="1"/>
  <c r="W152" i="3" s="1"/>
  <c r="O152" i="3" a="1"/>
  <c r="O152" i="3" s="1"/>
  <c r="AJ152" i="3" a="1"/>
  <c r="AJ152" i="3" s="1"/>
  <c r="E152" i="3" a="1"/>
  <c r="E152" i="3" s="1"/>
  <c r="Y152" i="3" a="1"/>
  <c r="Y152" i="3" s="1"/>
  <c r="AL152" i="3" a="1"/>
  <c r="AL152" i="3" s="1"/>
  <c r="K152" i="3" a="1"/>
  <c r="K152" i="3" s="1"/>
  <c r="Z152" i="3" a="1"/>
  <c r="Z152" i="3" s="1"/>
  <c r="AK152" i="3" a="1"/>
  <c r="AK152" i="3" s="1"/>
  <c r="G152" i="3" a="1"/>
  <c r="G152" i="3" s="1"/>
  <c r="J152" i="3" a="1"/>
  <c r="J152" i="3" s="1"/>
  <c r="R152" i="3" a="1"/>
  <c r="R152" i="3" s="1"/>
  <c r="AB152" i="3" a="1"/>
  <c r="AB152" i="3" s="1"/>
  <c r="AA152" i="3" a="1"/>
  <c r="AA152" i="3" s="1"/>
  <c r="AC152" i="3" a="1"/>
  <c r="AC152" i="3" s="1"/>
  <c r="AD152" i="3" a="1"/>
  <c r="AD152" i="3" s="1"/>
  <c r="N152" i="3" a="1"/>
  <c r="N152" i="3" s="1"/>
  <c r="AE152" i="3" a="1"/>
  <c r="AE152" i="3" s="1"/>
  <c r="Q152" i="3" a="1"/>
  <c r="Q152" i="3" s="1"/>
  <c r="AF152" i="3" a="1"/>
  <c r="AF152" i="3" s="1"/>
  <c r="P152" i="3" a="1"/>
  <c r="P152" i="3" s="1"/>
  <c r="AG152" i="3" a="1"/>
  <c r="AG152" i="3" s="1"/>
  <c r="D152" i="3" a="1"/>
  <c r="D152" i="3" s="1"/>
  <c r="F152" i="3" a="1"/>
  <c r="F152" i="3" s="1"/>
  <c r="M152" i="3" a="1"/>
  <c r="M152" i="3" s="1"/>
  <c r="H152" i="3" a="1"/>
  <c r="H152" i="3" s="1"/>
  <c r="AM152" i="3" a="1"/>
  <c r="AM152" i="3" s="1"/>
  <c r="M178" i="3"/>
  <c r="M182" i="3" s="1"/>
  <c r="M186" i="3" s="1"/>
  <c r="M190" i="3" s="1"/>
  <c r="M194" i="3" s="1"/>
  <c r="M198" i="3" s="1"/>
  <c r="M202" i="3" s="1"/>
  <c r="M206" i="3" s="1"/>
  <c r="M210" i="3" s="1"/>
  <c r="M214" i="3" s="1"/>
  <c r="M218" i="3" s="1"/>
  <c r="M222" i="3" s="1"/>
  <c r="M226" i="3" s="1"/>
  <c r="M230" i="3" s="1"/>
  <c r="M234" i="3" s="1"/>
  <c r="M238" i="3" s="1"/>
  <c r="M242" i="3" s="1"/>
  <c r="M246" i="3" s="1"/>
  <c r="M250" i="3" s="1"/>
  <c r="M254" i="3" s="1"/>
  <c r="M258" i="3" s="1"/>
  <c r="M262" i="3" s="1"/>
  <c r="M266" i="3" s="1"/>
  <c r="M270" i="3" s="1"/>
  <c r="M274" i="3" s="1"/>
  <c r="M278" i="3" s="1"/>
  <c r="M282" i="3" s="1"/>
  <c r="M286" i="3" s="1"/>
  <c r="M290" i="3" s="1"/>
  <c r="M294" i="3" s="1"/>
  <c r="M298" i="3" s="1"/>
  <c r="M302" i="3" s="1"/>
  <c r="M306" i="3" s="1"/>
  <c r="M310" i="3" s="1"/>
  <c r="M314" i="3" s="1"/>
  <c r="M318" i="3" s="1"/>
  <c r="M322" i="3" s="1"/>
  <c r="M326" i="3" s="1"/>
  <c r="M330" i="3" s="1"/>
  <c r="M334" i="3" s="1"/>
  <c r="M338" i="3" s="1"/>
  <c r="M342" i="3" s="1"/>
  <c r="M346" i="3" s="1"/>
  <c r="M350" i="3" s="1"/>
  <c r="M354" i="3" s="1"/>
  <c r="M358" i="3" s="1"/>
  <c r="M362" i="3" s="1"/>
  <c r="M366" i="3" s="1"/>
  <c r="M370" i="3" s="1"/>
  <c r="M374" i="3" s="1"/>
  <c r="M378" i="3" s="1"/>
  <c r="M382" i="3" s="1"/>
  <c r="M386" i="3" s="1"/>
  <c r="M390" i="3" s="1"/>
  <c r="M394" i="3" s="1"/>
  <c r="E12" i="4" a="1"/>
  <c r="E12" i="4" s="1"/>
  <c r="Y124" i="3" l="1" a="1"/>
  <c r="Y124" i="3" s="1"/>
  <c r="Y125" i="3" s="1" a="1"/>
  <c r="Y125" i="3" s="1"/>
  <c r="Y126" i="3" s="1"/>
  <c r="Y130" i="3" s="1"/>
  <c r="Y134" i="3" s="1"/>
  <c r="Y138" i="3" s="1"/>
  <c r="Y142" i="3" s="1"/>
  <c r="Y146" i="3" s="1"/>
  <c r="G124" i="3" a="1"/>
  <c r="G124" i="3" s="1"/>
  <c r="G125" i="3" s="1" a="1"/>
  <c r="G125" i="3" s="1"/>
  <c r="G126" i="3" s="1"/>
  <c r="G130" i="3" s="1"/>
  <c r="AB124" i="3" a="1"/>
  <c r="AB124" i="3" s="1"/>
  <c r="AB125" i="3" s="1" a="1"/>
  <c r="AB125" i="3" s="1"/>
  <c r="AB126" i="3" s="1"/>
  <c r="AB130" i="3" s="1"/>
  <c r="AB134" i="3" s="1"/>
  <c r="AB138" i="3" s="1"/>
  <c r="AB142" i="3" s="1"/>
  <c r="AB146" i="3" s="1"/>
  <c r="AB150" i="3" s="1"/>
  <c r="AB154" i="3" s="1"/>
  <c r="AB158" i="3" s="1"/>
  <c r="AB162" i="3" s="1"/>
  <c r="AB166" i="3" s="1"/>
  <c r="AB170" i="3" s="1"/>
  <c r="AB174" i="3" s="1"/>
  <c r="AB178" i="3" s="1"/>
  <c r="AB182" i="3" s="1"/>
  <c r="AB186" i="3" s="1"/>
  <c r="AB190" i="3" s="1"/>
  <c r="AB194" i="3" s="1"/>
  <c r="AB198" i="3" s="1"/>
  <c r="AB202" i="3" s="1"/>
  <c r="AB206" i="3" s="1"/>
  <c r="AB210" i="3" s="1"/>
  <c r="AB214" i="3" s="1"/>
  <c r="AB218" i="3" s="1"/>
  <c r="AB222" i="3" s="1"/>
  <c r="AB226" i="3" s="1"/>
  <c r="AB230" i="3" s="1"/>
  <c r="AB234" i="3" s="1"/>
  <c r="AB238" i="3" s="1"/>
  <c r="AB242" i="3" s="1"/>
  <c r="AB246" i="3" s="1"/>
  <c r="AB250" i="3" s="1"/>
  <c r="AB254" i="3" s="1"/>
  <c r="AB258" i="3" s="1"/>
  <c r="AB262" i="3" s="1"/>
  <c r="AB266" i="3" s="1"/>
  <c r="AB270" i="3" s="1"/>
  <c r="AB274" i="3" s="1"/>
  <c r="AB278" i="3" s="1"/>
  <c r="AB282" i="3" s="1"/>
  <c r="AB286" i="3" s="1"/>
  <c r="AB290" i="3" s="1"/>
  <c r="AB294" i="3" s="1"/>
  <c r="AB298" i="3" s="1"/>
  <c r="AB302" i="3" s="1"/>
  <c r="AB306" i="3" s="1"/>
  <c r="AB310" i="3" s="1"/>
  <c r="AB314" i="3" s="1"/>
  <c r="AB318" i="3" s="1"/>
  <c r="AB322" i="3" s="1"/>
  <c r="AB326" i="3" s="1"/>
  <c r="AB330" i="3" s="1"/>
  <c r="AB334" i="3" s="1"/>
  <c r="AB338" i="3" s="1"/>
  <c r="AB342" i="3" s="1"/>
  <c r="AB346" i="3" s="1"/>
  <c r="AB350" i="3" s="1"/>
  <c r="AB354" i="3" s="1"/>
  <c r="AB358" i="3" s="1"/>
  <c r="AB362" i="3" s="1"/>
  <c r="AB366" i="3" s="1"/>
  <c r="AB370" i="3" s="1"/>
  <c r="AB374" i="3" s="1"/>
  <c r="AB378" i="3" s="1"/>
  <c r="AB382" i="3" s="1"/>
  <c r="AB386" i="3" s="1"/>
  <c r="AB390" i="3" s="1"/>
  <c r="AB394" i="3" s="1"/>
  <c r="AB398" i="3" s="1"/>
  <c r="AB402" i="3" s="1"/>
  <c r="AB406" i="3" s="1"/>
  <c r="AB410" i="3" s="1"/>
  <c r="AB414" i="3" s="1"/>
  <c r="AB418" i="3" s="1"/>
  <c r="AB422" i="3" s="1"/>
  <c r="AB426" i="3" s="1"/>
  <c r="AB430" i="3" s="1"/>
  <c r="AB434" i="3" s="1"/>
  <c r="AB438" i="3" s="1"/>
  <c r="AB442" i="3" s="1"/>
  <c r="AB446" i="3" s="1"/>
  <c r="AB450" i="3" s="1"/>
  <c r="AB454" i="3" s="1"/>
  <c r="AB458" i="3" s="1"/>
  <c r="AB462" i="3" s="1"/>
  <c r="AB466" i="3" s="1"/>
  <c r="AB470" i="3" s="1"/>
  <c r="AB474" i="3" s="1"/>
  <c r="AB478" i="3" s="1"/>
  <c r="AB482" i="3" s="1"/>
  <c r="AB486" i="3" s="1"/>
  <c r="AB490" i="3" s="1"/>
  <c r="AB494" i="3" s="1"/>
  <c r="AB498" i="3" s="1"/>
  <c r="AB502" i="3" s="1"/>
  <c r="U124" i="3" a="1"/>
  <c r="U124" i="3" s="1"/>
  <c r="U125" i="3" s="1" a="1"/>
  <c r="U125" i="3" s="1"/>
  <c r="U126" i="3" s="1"/>
  <c r="U130" i="3" s="1"/>
  <c r="AK120" i="3" a="1"/>
  <c r="AK120" i="3" s="1"/>
  <c r="M120" i="3" a="1"/>
  <c r="M120" i="3" s="1"/>
  <c r="AM120" i="3" a="1"/>
  <c r="AM120" i="3" s="1"/>
  <c r="AF120" i="3" a="1"/>
  <c r="AF120" i="3" s="1"/>
  <c r="D120" i="3" a="1"/>
  <c r="D120" i="3" s="1"/>
  <c r="T120" i="3" a="1"/>
  <c r="T120" i="3" s="1"/>
  <c r="K120" i="3" a="1"/>
  <c r="K120" i="3" s="1"/>
  <c r="W120" i="3" a="1"/>
  <c r="W120" i="3" s="1"/>
  <c r="Y120" i="3" a="1"/>
  <c r="Y120" i="3" s="1"/>
  <c r="I120" i="3" a="1"/>
  <c r="I120" i="3" s="1"/>
  <c r="E120" i="3" a="1"/>
  <c r="E120" i="3" s="1"/>
  <c r="E121" i="3" s="1" a="1"/>
  <c r="E121" i="3" s="1"/>
  <c r="E122" i="3" s="1"/>
  <c r="E126" i="3" s="1"/>
  <c r="E130" i="3" s="1"/>
  <c r="E134" i="3" s="1"/>
  <c r="E138" i="3" s="1"/>
  <c r="E142" i="3" s="1"/>
  <c r="E146" i="3" s="1"/>
  <c r="E150" i="3" s="1"/>
  <c r="E154" i="3" s="1"/>
  <c r="E158" i="3" s="1"/>
  <c r="E162" i="3" s="1"/>
  <c r="E166" i="3" s="1"/>
  <c r="E170" i="3" s="1"/>
  <c r="E174" i="3" s="1"/>
  <c r="O120" i="3" a="1"/>
  <c r="O120" i="3" s="1"/>
  <c r="AJ120" i="3" a="1"/>
  <c r="AJ120" i="3" s="1"/>
  <c r="AB120" i="3" a="1"/>
  <c r="AB120" i="3" s="1"/>
  <c r="X120" i="3" a="1"/>
  <c r="X120" i="3" s="1"/>
  <c r="X121" i="3" s="1" a="1"/>
  <c r="X121" i="3" s="1"/>
  <c r="AH120" i="3" a="1"/>
  <c r="AH120" i="3" s="1"/>
  <c r="H120" i="3" a="1"/>
  <c r="H120" i="3" s="1"/>
  <c r="H121" i="3" s="1" a="1"/>
  <c r="H121" i="3" s="1"/>
  <c r="H122" i="3" s="1"/>
  <c r="H126" i="3" s="1"/>
  <c r="H130" i="3" s="1"/>
  <c r="H134" i="3" s="1"/>
  <c r="H138" i="3" s="1"/>
  <c r="H142" i="3" s="1"/>
  <c r="H146" i="3" s="1"/>
  <c r="H150" i="3" s="1"/>
  <c r="H154" i="3" s="1"/>
  <c r="H158" i="3" s="1"/>
  <c r="H162" i="3" s="1"/>
  <c r="H166" i="3" s="1"/>
  <c r="H170" i="3" s="1"/>
  <c r="H174" i="3" s="1"/>
  <c r="Q120" i="3" a="1"/>
  <c r="Q120" i="3" s="1"/>
  <c r="AI120" i="3" a="1"/>
  <c r="AI120" i="3" s="1"/>
  <c r="AL120" i="3" a="1"/>
  <c r="AL120" i="3" s="1"/>
  <c r="J120" i="3" a="1"/>
  <c r="J120" i="3" s="1"/>
  <c r="V120" i="3" a="1"/>
  <c r="V120" i="3" s="1"/>
  <c r="P120" i="3" a="1"/>
  <c r="P120" i="3" s="1"/>
  <c r="P121" i="3" s="1" a="1"/>
  <c r="P121" i="3" s="1"/>
  <c r="P122" i="3" s="1"/>
  <c r="P126" i="3" s="1"/>
  <c r="P130" i="3" s="1"/>
  <c r="P134" i="3" s="1"/>
  <c r="P138" i="3" s="1"/>
  <c r="P142" i="3" s="1"/>
  <c r="P146" i="3" s="1"/>
  <c r="P150" i="3" s="1"/>
  <c r="P154" i="3" s="1"/>
  <c r="P158" i="3" s="1"/>
  <c r="P162" i="3" s="1"/>
  <c r="P166" i="3" s="1"/>
  <c r="AA120" i="3" a="1"/>
  <c r="AA120" i="3" s="1"/>
  <c r="Z120" i="3" a="1"/>
  <c r="Z120" i="3" s="1"/>
  <c r="F120" i="3" a="1"/>
  <c r="F120" i="3" s="1"/>
  <c r="R120" i="3" a="1"/>
  <c r="R120" i="3" s="1"/>
  <c r="AG120" i="3" a="1"/>
  <c r="AG120" i="3" s="1"/>
  <c r="S120" i="3" a="1"/>
  <c r="S120" i="3" s="1"/>
  <c r="G120" i="3" a="1"/>
  <c r="G120" i="3" s="1"/>
  <c r="U120" i="3" a="1"/>
  <c r="U120" i="3" s="1"/>
  <c r="AE120" i="3" a="1"/>
  <c r="AE120" i="3" s="1"/>
  <c r="L120" i="3" a="1"/>
  <c r="L120" i="3" s="1"/>
  <c r="AC120" i="3" a="1"/>
  <c r="AC120" i="3" s="1"/>
  <c r="AD120" i="3" a="1"/>
  <c r="AD120" i="3" s="1"/>
  <c r="N120" i="3" a="1"/>
  <c r="N120" i="3" s="1"/>
  <c r="AD128" i="3" a="1"/>
  <c r="AD128" i="3" s="1"/>
  <c r="T128" i="3" a="1"/>
  <c r="T128" i="3" s="1"/>
  <c r="J128" i="3" a="1"/>
  <c r="J128" i="3" s="1"/>
  <c r="D128" i="3" a="1"/>
  <c r="D128" i="3" s="1"/>
  <c r="D129" i="3" s="1" a="1"/>
  <c r="D129" i="3" s="1"/>
  <c r="D130" i="3" s="1"/>
  <c r="D134" i="3" s="1"/>
  <c r="D138" i="3" s="1"/>
  <c r="D142" i="3" s="1"/>
  <c r="D146" i="3" s="1"/>
  <c r="D150" i="3" s="1"/>
  <c r="D154" i="3" s="1"/>
  <c r="K128" i="3" a="1"/>
  <c r="K128" i="3" s="1"/>
  <c r="Y128" i="3" a="1"/>
  <c r="Y128" i="3" s="1"/>
  <c r="AF128" i="3" a="1"/>
  <c r="AF128" i="3" s="1"/>
  <c r="O128" i="3" a="1"/>
  <c r="O128" i="3" s="1"/>
  <c r="V128" i="3" a="1"/>
  <c r="V128" i="3" s="1"/>
  <c r="L128" i="3" a="1"/>
  <c r="L128" i="3" s="1"/>
  <c r="E128" i="3" a="1"/>
  <c r="E128" i="3" s="1"/>
  <c r="Z128" i="3" a="1"/>
  <c r="Z128" i="3" s="1"/>
  <c r="AG128" i="3" a="1"/>
  <c r="AG128" i="3" s="1"/>
  <c r="P128" i="3" a="1"/>
  <c r="P128" i="3" s="1"/>
  <c r="M128" i="3" a="1"/>
  <c r="M128" i="3" s="1"/>
  <c r="AK128" i="3" a="1"/>
  <c r="AK128" i="3" s="1"/>
  <c r="AH128" i="3" a="1"/>
  <c r="AH128" i="3" s="1"/>
  <c r="F128" i="3" a="1"/>
  <c r="F128" i="3" s="1"/>
  <c r="AE128" i="3" a="1"/>
  <c r="AE128" i="3" s="1"/>
  <c r="AA128" i="3" a="1"/>
  <c r="AA128" i="3" s="1"/>
  <c r="AI128" i="3" a="1"/>
  <c r="AI128" i="3" s="1"/>
  <c r="Q128" i="3" a="1"/>
  <c r="Q128" i="3" s="1"/>
  <c r="Q129" i="3" s="1" a="1"/>
  <c r="Q129" i="3" s="1"/>
  <c r="Q130" i="3" s="1"/>
  <c r="Q134" i="3" s="1"/>
  <c r="Q138" i="3" s="1"/>
  <c r="H128" i="3" a="1"/>
  <c r="H128" i="3" s="1"/>
  <c r="AL128" i="3" a="1"/>
  <c r="AL128" i="3" s="1"/>
  <c r="AJ128" i="3" a="1"/>
  <c r="AJ128" i="3" s="1"/>
  <c r="G128" i="3" a="1"/>
  <c r="G128" i="3" s="1"/>
  <c r="N128" i="3" a="1"/>
  <c r="N128" i="3" s="1"/>
  <c r="AB128" i="3" a="1"/>
  <c r="AB128" i="3" s="1"/>
  <c r="S128" i="3" a="1"/>
  <c r="S128" i="3" s="1"/>
  <c r="S129" i="3" s="1" a="1"/>
  <c r="S129" i="3" s="1"/>
  <c r="S130" i="3" s="1"/>
  <c r="S134" i="3" s="1"/>
  <c r="S138" i="3" s="1"/>
  <c r="S142" i="3" s="1"/>
  <c r="S146" i="3" s="1"/>
  <c r="S150" i="3" s="1"/>
  <c r="AM128" i="3" a="1"/>
  <c r="AM128" i="3" s="1"/>
  <c r="U128" i="3" a="1"/>
  <c r="U128" i="3" s="1"/>
  <c r="R128" i="3" a="1"/>
  <c r="R128" i="3" s="1"/>
  <c r="R129" i="3" s="1" a="1"/>
  <c r="R129" i="3" s="1"/>
  <c r="R130" i="3" s="1"/>
  <c r="R134" i="3" s="1"/>
  <c r="R138" i="3" s="1"/>
  <c r="R142" i="3" s="1"/>
  <c r="R146" i="3" s="1"/>
  <c r="W128" i="3" a="1"/>
  <c r="W128" i="3" s="1"/>
  <c r="AC128" i="3" a="1"/>
  <c r="AC128" i="3" s="1"/>
  <c r="X128" i="3" a="1"/>
  <c r="X128" i="3" s="1"/>
  <c r="I128" i="3" a="1"/>
  <c r="I128" i="3" s="1"/>
  <c r="X122" i="3"/>
  <c r="X126" i="3" s="1"/>
  <c r="X130" i="3" s="1"/>
  <c r="X134" i="3" s="1"/>
  <c r="X138" i="3" s="1"/>
  <c r="X142" i="3" s="1"/>
  <c r="X146" i="3" s="1"/>
  <c r="X150" i="3" s="1"/>
  <c r="E25" i="4" a="1"/>
  <c r="E25" i="4" s="1"/>
  <c r="E21" i="4" a="1"/>
  <c r="E21" i="4" s="1"/>
  <c r="O27" i="4" l="1" a="1"/>
  <c r="O27" i="4" s="1"/>
  <c r="J27" i="4" a="1"/>
  <c r="J27" i="4" s="1"/>
  <c r="E27" i="4" a="1"/>
  <c r="E27" i="4" s="1"/>
  <c r="E178" i="3"/>
  <c r="E182" i="3" s="1"/>
  <c r="E186" i="3" s="1"/>
  <c r="E190" i="3" s="1"/>
  <c r="E4" i="4" a="1"/>
  <c r="E4" i="4" s="1"/>
  <c r="S152" i="3" a="1"/>
  <c r="S152" i="3" s="1"/>
  <c r="S153" i="3" s="1" a="1"/>
  <c r="S153" i="3" s="1"/>
  <c r="S154" i="3" s="1"/>
  <c r="S158" i="3" s="1"/>
  <c r="S162" i="3" s="1"/>
  <c r="L152" i="3" a="1"/>
  <c r="L152" i="3" s="1"/>
  <c r="L153" i="3" s="1" a="1"/>
  <c r="L153" i="3" s="1"/>
  <c r="L154" i="3" s="1"/>
  <c r="I152" i="3" a="1"/>
  <c r="I152" i="3" s="1"/>
  <c r="I153" i="3" s="1" a="1"/>
  <c r="I153" i="3" s="1"/>
  <c r="I154" i="3" s="1"/>
  <c r="I158" i="3" s="1"/>
  <c r="F156" i="3" a="1"/>
  <c r="F156" i="3" s="1"/>
  <c r="AJ156" i="3" a="1"/>
  <c r="AJ156" i="3" s="1"/>
  <c r="AA156" i="3" a="1"/>
  <c r="AA156" i="3" s="1"/>
  <c r="E156" i="3" a="1"/>
  <c r="E156" i="3" s="1"/>
  <c r="M156" i="3" a="1"/>
  <c r="M156" i="3" s="1"/>
  <c r="R156" i="3" a="1"/>
  <c r="R156" i="3" s="1"/>
  <c r="Y156" i="3" a="1"/>
  <c r="Y156" i="3" s="1"/>
  <c r="AD156" i="3" a="1"/>
  <c r="AD156" i="3" s="1"/>
  <c r="AL156" i="3" a="1"/>
  <c r="AL156" i="3" s="1"/>
  <c r="AE156" i="3" a="1"/>
  <c r="AE156" i="3" s="1"/>
  <c r="G156" i="3" a="1"/>
  <c r="G156" i="3" s="1"/>
  <c r="Z156" i="3" a="1"/>
  <c r="Z156" i="3" s="1"/>
  <c r="S156" i="3" a="1"/>
  <c r="S156" i="3" s="1"/>
  <c r="AM156" i="3" a="1"/>
  <c r="AM156" i="3" s="1"/>
  <c r="AF156" i="3" a="1"/>
  <c r="AF156" i="3" s="1"/>
  <c r="O156" i="3" a="1"/>
  <c r="O156" i="3" s="1"/>
  <c r="H156" i="3" a="1"/>
  <c r="H156" i="3" s="1"/>
  <c r="AB156" i="3" a="1"/>
  <c r="AB156" i="3" s="1"/>
  <c r="AG156" i="3" a="1"/>
  <c r="AG156" i="3" s="1"/>
  <c r="AC156" i="3" a="1"/>
  <c r="AC156" i="3" s="1"/>
  <c r="U156" i="3" a="1"/>
  <c r="U156" i="3" s="1"/>
  <c r="Q156" i="3" a="1"/>
  <c r="Q156" i="3" s="1"/>
  <c r="I156" i="3" a="1"/>
  <c r="I156" i="3" s="1"/>
  <c r="AH156" i="3" a="1"/>
  <c r="AH156" i="3" s="1"/>
  <c r="J156" i="3" a="1"/>
  <c r="J156" i="3" s="1"/>
  <c r="V156" i="3" a="1"/>
  <c r="V156" i="3" s="1"/>
  <c r="T156" i="3" a="1"/>
  <c r="T156" i="3" s="1"/>
  <c r="W156" i="3" a="1"/>
  <c r="W156" i="3" s="1"/>
  <c r="AI156" i="3" a="1"/>
  <c r="AI156" i="3" s="1"/>
  <c r="P156" i="3" a="1"/>
  <c r="P156" i="3" s="1"/>
  <c r="K156" i="3" a="1"/>
  <c r="K156" i="3" s="1"/>
  <c r="AK156" i="3" a="1"/>
  <c r="AK156" i="3" s="1"/>
  <c r="E7" i="4" a="1"/>
  <c r="E7" i="4" s="1"/>
  <c r="AG168" i="3" a="1"/>
  <c r="AG168" i="3" s="1"/>
  <c r="AD168" i="3" a="1"/>
  <c r="AD168" i="3" s="1"/>
  <c r="G168" i="3" a="1"/>
  <c r="G168" i="3" s="1"/>
  <c r="K168" i="3" a="1"/>
  <c r="K168" i="3" s="1"/>
  <c r="F168" i="3" a="1"/>
  <c r="F168" i="3" s="1"/>
  <c r="W168" i="3" a="1"/>
  <c r="W168" i="3" s="1"/>
  <c r="AE168" i="3" a="1"/>
  <c r="AE168" i="3" s="1"/>
  <c r="AH168" i="3" a="1"/>
  <c r="AH168" i="3" s="1"/>
  <c r="Y168" i="3" a="1"/>
  <c r="Y168" i="3" s="1"/>
  <c r="AJ168" i="3" a="1"/>
  <c r="AJ168" i="3" s="1"/>
  <c r="J168" i="3" a="1"/>
  <c r="J168" i="3" s="1"/>
  <c r="AB168" i="3" a="1"/>
  <c r="AB168" i="3" s="1"/>
  <c r="AF168" i="3" a="1"/>
  <c r="AF168" i="3" s="1"/>
  <c r="N168" i="3" a="1"/>
  <c r="N168" i="3" s="1"/>
  <c r="Z168" i="3" a="1"/>
  <c r="Z168" i="3" s="1"/>
  <c r="AK168" i="3" a="1"/>
  <c r="AK168" i="3" s="1"/>
  <c r="AC168" i="3" a="1"/>
  <c r="AC168" i="3" s="1"/>
  <c r="O168" i="3" a="1"/>
  <c r="O168" i="3" s="1"/>
  <c r="AA168" i="3" a="1"/>
  <c r="AA168" i="3" s="1"/>
  <c r="D168" i="3" a="1"/>
  <c r="D168" i="3" s="1"/>
  <c r="AM168" i="3" a="1"/>
  <c r="AM168" i="3" s="1"/>
  <c r="E168" i="3" a="1"/>
  <c r="E168" i="3" s="1"/>
  <c r="T168" i="3" a="1"/>
  <c r="T168" i="3" s="1"/>
  <c r="U168" i="3" a="1"/>
  <c r="U168" i="3" s="1"/>
  <c r="H168" i="3" a="1"/>
  <c r="H168" i="3" s="1"/>
  <c r="I168" i="3" a="1"/>
  <c r="I168" i="3" s="1"/>
  <c r="L168" i="3" a="1"/>
  <c r="L168" i="3" s="1"/>
  <c r="AL168" i="3" a="1"/>
  <c r="AL168" i="3" s="1"/>
  <c r="V168" i="3" a="1"/>
  <c r="V168" i="3" s="1"/>
  <c r="X168" i="3" a="1"/>
  <c r="X168" i="3" s="1"/>
  <c r="AI168" i="3" a="1"/>
  <c r="AI168" i="3" s="1"/>
  <c r="M168" i="3" a="1"/>
  <c r="M168" i="3" s="1"/>
  <c r="U132" i="3" a="1"/>
  <c r="U132" i="3" s="1"/>
  <c r="U133" i="3" s="1" a="1"/>
  <c r="U133" i="3" s="1"/>
  <c r="U134" i="3" s="1"/>
  <c r="X152" i="3" a="1"/>
  <c r="X152" i="3" s="1"/>
  <c r="X153" i="3" s="1" a="1"/>
  <c r="X153" i="3" s="1"/>
  <c r="X154" i="3" s="1"/>
  <c r="G132" i="3" a="1"/>
  <c r="G132" i="3" s="1"/>
  <c r="G133" i="3" s="1" a="1"/>
  <c r="G133" i="3" s="1"/>
  <c r="G134" i="3" s="1"/>
  <c r="F132" i="3" a="1"/>
  <c r="F132" i="3" s="1"/>
  <c r="F133" i="3" s="1" a="1"/>
  <c r="F133" i="3" s="1"/>
  <c r="F134" i="3" s="1"/>
  <c r="O132" i="3" a="1"/>
  <c r="O132" i="3" s="1"/>
  <c r="O133" i="3" s="1" a="1"/>
  <c r="O133" i="3" s="1"/>
  <c r="O134" i="3" s="1"/>
  <c r="O138" i="3" s="1"/>
  <c r="O142" i="3" s="1"/>
  <c r="O146" i="3" s="1"/>
  <c r="O150" i="3" s="1"/>
  <c r="O154" i="3" s="1"/>
  <c r="O158" i="3" s="1"/>
  <c r="O162" i="3" s="1"/>
  <c r="O166" i="3" s="1"/>
  <c r="O170" i="3" s="1"/>
  <c r="O174" i="3" s="1"/>
  <c r="E22" i="4" a="1"/>
  <c r="E22" i="4" s="1"/>
  <c r="E29" i="4" a="1"/>
  <c r="E29" i="4" s="1"/>
  <c r="S136" i="3" l="1" a="1"/>
  <c r="S136" i="3" s="1"/>
  <c r="R136" i="3" a="1"/>
  <c r="R136" i="3" s="1"/>
  <c r="AI136" i="3" a="1"/>
  <c r="AI136" i="3" s="1"/>
  <c r="AD136" i="3" a="1"/>
  <c r="AD136" i="3" s="1"/>
  <c r="L136" i="3" a="1"/>
  <c r="L136" i="3" s="1"/>
  <c r="G136" i="3" a="1"/>
  <c r="G136" i="3" s="1"/>
  <c r="G137" i="3" s="1" a="1"/>
  <c r="G137" i="3" s="1"/>
  <c r="G138" i="3" s="1"/>
  <c r="M136" i="3" a="1"/>
  <c r="M136" i="3" s="1"/>
  <c r="AE136" i="3" a="1"/>
  <c r="AE136" i="3" s="1"/>
  <c r="Y136" i="3" a="1"/>
  <c r="Y136" i="3" s="1"/>
  <c r="H136" i="3" a="1"/>
  <c r="H136" i="3" s="1"/>
  <c r="AJ136" i="3" a="1"/>
  <c r="AJ136" i="3" s="1"/>
  <c r="T136" i="3" a="1"/>
  <c r="T136" i="3" s="1"/>
  <c r="N136" i="3" a="1"/>
  <c r="N136" i="3" s="1"/>
  <c r="I136" i="3" a="1"/>
  <c r="I136" i="3" s="1"/>
  <c r="Z136" i="3" a="1"/>
  <c r="Z136" i="3" s="1"/>
  <c r="AF136" i="3" a="1"/>
  <c r="AF136" i="3" s="1"/>
  <c r="AK136" i="3" a="1"/>
  <c r="AK136" i="3" s="1"/>
  <c r="U136" i="3" a="1"/>
  <c r="U136" i="3" s="1"/>
  <c r="U137" i="3" s="1" a="1"/>
  <c r="U137" i="3" s="1"/>
  <c r="U138" i="3" s="1"/>
  <c r="O136" i="3" a="1"/>
  <c r="O136" i="3" s="1"/>
  <c r="AG136" i="3" a="1"/>
  <c r="AG136" i="3" s="1"/>
  <c r="D136" i="3" a="1"/>
  <c r="D136" i="3" s="1"/>
  <c r="J136" i="3" a="1"/>
  <c r="J136" i="3" s="1"/>
  <c r="AA136" i="3" a="1"/>
  <c r="AA136" i="3" s="1"/>
  <c r="V136" i="3" a="1"/>
  <c r="V136" i="3" s="1"/>
  <c r="AL136" i="3" a="1"/>
  <c r="AL136" i="3" s="1"/>
  <c r="AH136" i="3" a="1"/>
  <c r="AH136" i="3" s="1"/>
  <c r="P136" i="3" a="1"/>
  <c r="P136" i="3" s="1"/>
  <c r="K136" i="3" a="1"/>
  <c r="K136" i="3" s="1"/>
  <c r="E136" i="3" a="1"/>
  <c r="E136" i="3" s="1"/>
  <c r="W136" i="3" a="1"/>
  <c r="W136" i="3" s="1"/>
  <c r="AB136" i="3" a="1"/>
  <c r="AB136" i="3" s="1"/>
  <c r="AM136" i="3" a="1"/>
  <c r="AM136" i="3" s="1"/>
  <c r="Q136" i="3" a="1"/>
  <c r="Q136" i="3" s="1"/>
  <c r="F136" i="3" a="1"/>
  <c r="F136" i="3" s="1"/>
  <c r="F137" i="3" s="1" a="1"/>
  <c r="F137" i="3" s="1"/>
  <c r="F138" i="3" s="1"/>
  <c r="X136" i="3" a="1"/>
  <c r="X136" i="3" s="1"/>
  <c r="AC136" i="3" a="1"/>
  <c r="AC136" i="3" s="1"/>
  <c r="AC137" i="3" s="1" a="1"/>
  <c r="AC137" i="3" s="1"/>
  <c r="AC138" i="3" s="1"/>
  <c r="AC142" i="3" s="1"/>
  <c r="AC146" i="3" s="1"/>
  <c r="AC150" i="3" s="1"/>
  <c r="AC154" i="3" s="1"/>
  <c r="AC158" i="3" s="1"/>
  <c r="AC162" i="3" s="1"/>
  <c r="O178" i="3"/>
  <c r="O182" i="3" s="1"/>
  <c r="O186" i="3" s="1"/>
  <c r="O190" i="3" s="1"/>
  <c r="O194" i="3" s="1"/>
  <c r="O198" i="3" s="1"/>
  <c r="O202" i="3" s="1"/>
  <c r="E14" i="4" a="1"/>
  <c r="E14" i="4" s="1"/>
  <c r="AE192" i="3" a="1"/>
  <c r="AE192" i="3" s="1"/>
  <c r="D192" i="3" a="1"/>
  <c r="D192" i="3" s="1"/>
  <c r="U192" i="3" a="1"/>
  <c r="U192" i="3" s="1"/>
  <c r="O192" i="3" a="1"/>
  <c r="O192" i="3" s="1"/>
  <c r="AJ192" i="3" a="1"/>
  <c r="AJ192" i="3" s="1"/>
  <c r="V192" i="3" a="1"/>
  <c r="V192" i="3" s="1"/>
  <c r="L192" i="3" a="1"/>
  <c r="L192" i="3" s="1"/>
  <c r="Z192" i="3" a="1"/>
  <c r="Z192" i="3" s="1"/>
  <c r="AG192" i="3" a="1"/>
  <c r="AG192" i="3" s="1"/>
  <c r="AK192" i="3" a="1"/>
  <c r="AK192" i="3" s="1"/>
  <c r="W192" i="3" a="1"/>
  <c r="W192" i="3" s="1"/>
  <c r="P192" i="3" a="1"/>
  <c r="P192" i="3" s="1"/>
  <c r="M192" i="3" a="1"/>
  <c r="M192" i="3" s="1"/>
  <c r="AH192" i="3" a="1"/>
  <c r="AH192" i="3" s="1"/>
  <c r="G192" i="3" a="1"/>
  <c r="G192" i="3" s="1"/>
  <c r="X192" i="3" a="1"/>
  <c r="X192" i="3" s="1"/>
  <c r="AB192" i="3" a="1"/>
  <c r="AB192" i="3" s="1"/>
  <c r="R192" i="3" a="1"/>
  <c r="R192" i="3" s="1"/>
  <c r="AI192" i="3" a="1"/>
  <c r="AI192" i="3" s="1"/>
  <c r="AM192" i="3" a="1"/>
  <c r="AM192" i="3" s="1"/>
  <c r="F192" i="3" a="1"/>
  <c r="F192" i="3" s="1"/>
  <c r="H192" i="3" a="1"/>
  <c r="H192" i="3" s="1"/>
  <c r="Q192" i="3" a="1"/>
  <c r="Q192" i="3" s="1"/>
  <c r="AC192" i="3" a="1"/>
  <c r="AC192" i="3" s="1"/>
  <c r="Y192" i="3" a="1"/>
  <c r="Y192" i="3" s="1"/>
  <c r="S192" i="3" a="1"/>
  <c r="S192" i="3" s="1"/>
  <c r="AF192" i="3" a="1"/>
  <c r="AF192" i="3" s="1"/>
  <c r="I192" i="3" a="1"/>
  <c r="I192" i="3" s="1"/>
  <c r="AL192" i="3" a="1"/>
  <c r="AL192" i="3" s="1"/>
  <c r="AD192" i="3" a="1"/>
  <c r="AD192" i="3" s="1"/>
  <c r="T192" i="3" a="1"/>
  <c r="T192" i="3" s="1"/>
  <c r="J192" i="3" a="1"/>
  <c r="J192" i="3" s="1"/>
  <c r="E19" i="4" a="1"/>
  <c r="E19" i="4" s="1"/>
  <c r="AJ140" i="3" l="1" a="1"/>
  <c r="AJ140" i="3" s="1"/>
  <c r="AE140" i="3" a="1"/>
  <c r="AE140" i="3" s="1"/>
  <c r="E140" i="3" a="1"/>
  <c r="E140" i="3" s="1"/>
  <c r="U140" i="3" a="1"/>
  <c r="U140" i="3" s="1"/>
  <c r="U141" i="3" s="1" a="1"/>
  <c r="U141" i="3" s="1"/>
  <c r="U142" i="3" s="1"/>
  <c r="P140" i="3" a="1"/>
  <c r="P140" i="3" s="1"/>
  <c r="Z140" i="3" a="1"/>
  <c r="Z140" i="3" s="1"/>
  <c r="K140" i="3" a="1"/>
  <c r="K140" i="3" s="1"/>
  <c r="AF140" i="3" a="1"/>
  <c r="AF140" i="3" s="1"/>
  <c r="J140" i="3" a="1"/>
  <c r="J140" i="3" s="1"/>
  <c r="V140" i="3" a="1"/>
  <c r="V140" i="3" s="1"/>
  <c r="R140" i="3" a="1"/>
  <c r="R140" i="3" s="1"/>
  <c r="AM140" i="3" a="1"/>
  <c r="AM140" i="3" s="1"/>
  <c r="S140" i="3" a="1"/>
  <c r="S140" i="3" s="1"/>
  <c r="I140" i="3" a="1"/>
  <c r="I140" i="3" s="1"/>
  <c r="T140" i="3" a="1"/>
  <c r="T140" i="3" s="1"/>
  <c r="AD140" i="3" a="1"/>
  <c r="AD140" i="3" s="1"/>
  <c r="L140" i="3" a="1"/>
  <c r="L140" i="3" s="1"/>
  <c r="AG140" i="3" a="1"/>
  <c r="AG140" i="3" s="1"/>
  <c r="M140" i="3" a="1"/>
  <c r="M140" i="3" s="1"/>
  <c r="Q140" i="3" a="1"/>
  <c r="Q140" i="3" s="1"/>
  <c r="Q141" i="3" s="1" a="1"/>
  <c r="Q141" i="3" s="1"/>
  <c r="Q142" i="3" s="1"/>
  <c r="W140" i="3" a="1"/>
  <c r="W140" i="3" s="1"/>
  <c r="AH140" i="3" a="1"/>
  <c r="AH140" i="3" s="1"/>
  <c r="D140" i="3" a="1"/>
  <c r="D140" i="3" s="1"/>
  <c r="X140" i="3" a="1"/>
  <c r="X140" i="3" s="1"/>
  <c r="O140" i="3" a="1"/>
  <c r="O140" i="3" s="1"/>
  <c r="AI140" i="3" a="1"/>
  <c r="AI140" i="3" s="1"/>
  <c r="AK140" i="3" a="1"/>
  <c r="AK140" i="3" s="1"/>
  <c r="N140" i="3" a="1"/>
  <c r="N140" i="3" s="1"/>
  <c r="F140" i="3" a="1"/>
  <c r="F140" i="3" s="1"/>
  <c r="F141" i="3" s="1" a="1"/>
  <c r="F141" i="3" s="1"/>
  <c r="F142" i="3" s="1"/>
  <c r="Y140" i="3" a="1"/>
  <c r="Y140" i="3" s="1"/>
  <c r="AA140" i="3" a="1"/>
  <c r="AA140" i="3" s="1"/>
  <c r="AL140" i="3" a="1"/>
  <c r="AL140" i="3" s="1"/>
  <c r="G140" i="3" a="1"/>
  <c r="G140" i="3" s="1"/>
  <c r="G141" i="3" s="1" a="1"/>
  <c r="G141" i="3" s="1"/>
  <c r="G142" i="3" s="1"/>
  <c r="AB140" i="3" a="1"/>
  <c r="AB140" i="3" s="1"/>
  <c r="H140" i="3" a="1"/>
  <c r="H140" i="3" s="1"/>
  <c r="AC140" i="3" a="1"/>
  <c r="AC140" i="3" s="1"/>
  <c r="E144" i="3" l="1" a="1"/>
  <c r="E144" i="3" s="1"/>
  <c r="H144" i="3" a="1"/>
  <c r="H144" i="3" s="1"/>
  <c r="D144" i="3" a="1"/>
  <c r="D144" i="3" s="1"/>
  <c r="F144" i="3" a="1"/>
  <c r="F144" i="3" s="1"/>
  <c r="F145" i="3" s="1" a="1"/>
  <c r="F145" i="3" s="1"/>
  <c r="F146" i="3" s="1"/>
  <c r="K144" i="3" a="1"/>
  <c r="K144" i="3" s="1"/>
  <c r="P144" i="3" a="1"/>
  <c r="P144" i="3" s="1"/>
  <c r="O144" i="3" a="1"/>
  <c r="O144" i="3" s="1"/>
  <c r="Q144" i="3" a="1"/>
  <c r="Q144" i="3" s="1"/>
  <c r="Q145" i="3" s="1" a="1"/>
  <c r="Q145" i="3" s="1"/>
  <c r="Q146" i="3" s="1"/>
  <c r="Q150" i="3" s="1"/>
  <c r="Q154" i="3" s="1"/>
  <c r="Q158" i="3" s="1"/>
  <c r="Q162" i="3" s="1"/>
  <c r="W144" i="3" a="1"/>
  <c r="W144" i="3" s="1"/>
  <c r="AB144" i="3" a="1"/>
  <c r="AB144" i="3" s="1"/>
  <c r="G144" i="3" a="1"/>
  <c r="G144" i="3" s="1"/>
  <c r="G145" i="3" s="1" a="1"/>
  <c r="G145" i="3" s="1"/>
  <c r="G146" i="3" s="1"/>
  <c r="G150" i="3" s="1"/>
  <c r="G154" i="3" s="1"/>
  <c r="G158" i="3" s="1"/>
  <c r="G162" i="3" s="1"/>
  <c r="G166" i="3" s="1"/>
  <c r="G170" i="3" s="1"/>
  <c r="AJ144" i="3" a="1"/>
  <c r="AJ144" i="3" s="1"/>
  <c r="V144" i="3" a="1"/>
  <c r="V144" i="3" s="1"/>
  <c r="AE144" i="3" a="1"/>
  <c r="AE144" i="3" s="1"/>
  <c r="T144" i="3" a="1"/>
  <c r="T144" i="3" s="1"/>
  <c r="Y144" i="3" a="1"/>
  <c r="Y144" i="3" s="1"/>
  <c r="AI144" i="3" a="1"/>
  <c r="AI144" i="3" s="1"/>
  <c r="U144" i="3" a="1"/>
  <c r="U144" i="3" s="1"/>
  <c r="U145" i="3" s="1" a="1"/>
  <c r="U145" i="3" s="1"/>
  <c r="U146" i="3" s="1"/>
  <c r="U150" i="3" s="1"/>
  <c r="U154" i="3" s="1"/>
  <c r="U158" i="3" s="1"/>
  <c r="U162" i="3" s="1"/>
  <c r="J144" i="3" a="1"/>
  <c r="J144" i="3" s="1"/>
  <c r="AM144" i="3" a="1"/>
  <c r="AM144" i="3" s="1"/>
  <c r="S144" i="3" a="1"/>
  <c r="S144" i="3" s="1"/>
  <c r="AH144" i="3" a="1"/>
  <c r="AH144" i="3" s="1"/>
  <c r="AD144" i="3" a="1"/>
  <c r="AD144" i="3" s="1"/>
  <c r="N144" i="3" a="1"/>
  <c r="N144" i="3" s="1"/>
  <c r="I144" i="3" a="1"/>
  <c r="I144" i="3" s="1"/>
  <c r="AC144" i="3" a="1"/>
  <c r="AC144" i="3" s="1"/>
  <c r="X144" i="3" a="1"/>
  <c r="X144" i="3" s="1"/>
  <c r="M144" i="3" a="1"/>
  <c r="M144" i="3" s="1"/>
  <c r="R144" i="3" a="1"/>
  <c r="R144" i="3" s="1"/>
  <c r="AF144" i="3" a="1"/>
  <c r="AF144" i="3" s="1"/>
  <c r="Z144" i="3" a="1"/>
  <c r="Z144" i="3" s="1"/>
  <c r="AG144" i="3" a="1"/>
  <c r="AG144" i="3" s="1"/>
  <c r="AL144" i="3" a="1"/>
  <c r="AL144" i="3" s="1"/>
  <c r="L144" i="3" a="1"/>
  <c r="L144" i="3" s="1"/>
  <c r="AA144" i="3" a="1"/>
  <c r="AA144" i="3" s="1"/>
  <c r="AK144" i="3" a="1"/>
  <c r="AK144" i="3" s="1"/>
  <c r="AH148" i="3" l="1" a="1"/>
  <c r="AH148" i="3" s="1"/>
  <c r="J148" i="3" a="1"/>
  <c r="J148" i="3" s="1"/>
  <c r="D148" i="3" a="1"/>
  <c r="D148" i="3" s="1"/>
  <c r="AE148" i="3" a="1"/>
  <c r="AE148" i="3" s="1"/>
  <c r="O148" i="3" a="1"/>
  <c r="O148" i="3" s="1"/>
  <c r="U148" i="3" a="1"/>
  <c r="U148" i="3" s="1"/>
  <c r="AJ148" i="3" a="1"/>
  <c r="AJ148" i="3" s="1"/>
  <c r="AG148" i="3" a="1"/>
  <c r="AG148" i="3" s="1"/>
  <c r="P148" i="3" a="1"/>
  <c r="P148" i="3" s="1"/>
  <c r="E148" i="3" a="1"/>
  <c r="E148" i="3" s="1"/>
  <c r="AI148" i="3" a="1"/>
  <c r="AI148" i="3" s="1"/>
  <c r="Z148" i="3" a="1"/>
  <c r="Z148" i="3" s="1"/>
  <c r="AL148" i="3" a="1"/>
  <c r="AL148" i="3" s="1"/>
  <c r="K148" i="3" a="1"/>
  <c r="K148" i="3" s="1"/>
  <c r="AK148" i="3" a="1"/>
  <c r="AK148" i="3" s="1"/>
  <c r="N148" i="3" a="1"/>
  <c r="N148" i="3" s="1"/>
  <c r="N149" i="3" s="1" a="1"/>
  <c r="N149" i="3" s="1"/>
  <c r="N150" i="3" s="1"/>
  <c r="N154" i="3" s="1"/>
  <c r="F148" i="3" a="1"/>
  <c r="F148" i="3" s="1"/>
  <c r="F149" i="3" s="1" a="1"/>
  <c r="F149" i="3" s="1"/>
  <c r="F150" i="3" s="1"/>
  <c r="F154" i="3" s="1"/>
  <c r="F158" i="3" s="1"/>
  <c r="Q148" i="3" a="1"/>
  <c r="Q148" i="3" s="1"/>
  <c r="AA148" i="3" a="1"/>
  <c r="AA148" i="3" s="1"/>
  <c r="G148" i="3" a="1"/>
  <c r="G148" i="3" s="1"/>
  <c r="Y148" i="3" a="1"/>
  <c r="Y148" i="3" s="1"/>
  <c r="Y149" i="3" s="1" a="1"/>
  <c r="Y149" i="3" s="1"/>
  <c r="Y150" i="3" s="1"/>
  <c r="Y154" i="3" s="1"/>
  <c r="Y158" i="3" s="1"/>
  <c r="AB148" i="3" a="1"/>
  <c r="AB148" i="3" s="1"/>
  <c r="AF148" i="3" a="1"/>
  <c r="AF148" i="3" s="1"/>
  <c r="AM148" i="3" a="1"/>
  <c r="AM148" i="3" s="1"/>
  <c r="R148" i="3" a="1"/>
  <c r="R148" i="3" s="1"/>
  <c r="R149" i="3" s="1" a="1"/>
  <c r="R149" i="3" s="1"/>
  <c r="R150" i="3" s="1"/>
  <c r="R154" i="3" s="1"/>
  <c r="R158" i="3" s="1"/>
  <c r="H148" i="3" a="1"/>
  <c r="H148" i="3" s="1"/>
  <c r="V148" i="3" a="1"/>
  <c r="V148" i="3" s="1"/>
  <c r="S148" i="3" a="1"/>
  <c r="S148" i="3" s="1"/>
  <c r="W148" i="3" a="1"/>
  <c r="W148" i="3" s="1"/>
  <c r="AD148" i="3" a="1"/>
  <c r="AD148" i="3" s="1"/>
  <c r="M148" i="3" a="1"/>
  <c r="M148" i="3" s="1"/>
  <c r="T148" i="3" a="1"/>
  <c r="T148" i="3" s="1"/>
  <c r="L148" i="3" a="1"/>
  <c r="L148" i="3" s="1"/>
  <c r="AC148" i="3" a="1"/>
  <c r="AC148" i="3" s="1"/>
  <c r="I148" i="3" a="1"/>
  <c r="I148" i="3" s="1"/>
  <c r="X148" i="3" a="1"/>
  <c r="X148" i="3" s="1"/>
  <c r="AH164" i="3" a="1"/>
  <c r="AH164" i="3" s="1"/>
  <c r="U164" i="3" a="1"/>
  <c r="U164" i="3" s="1"/>
  <c r="U165" i="3" s="1" a="1"/>
  <c r="U165" i="3" s="1"/>
  <c r="U166" i="3" s="1"/>
  <c r="U170" i="3" s="1"/>
  <c r="AB164" i="3" a="1"/>
  <c r="AB164" i="3" s="1"/>
  <c r="AC164" i="3" a="1"/>
  <c r="AC164" i="3" s="1"/>
  <c r="AC165" i="3" s="1" a="1"/>
  <c r="AC165" i="3" s="1"/>
  <c r="AC166" i="3" s="1"/>
  <c r="AC170" i="3" s="1"/>
  <c r="AD164" i="3" a="1"/>
  <c r="AD164" i="3" s="1"/>
  <c r="AE164" i="3" a="1"/>
  <c r="AE164" i="3" s="1"/>
  <c r="P164" i="3" a="1"/>
  <c r="P164" i="3" s="1"/>
  <c r="F164" i="3" a="1"/>
  <c r="F164" i="3" s="1"/>
  <c r="AF164" i="3" a="1"/>
  <c r="AF164" i="3" s="1"/>
  <c r="M164" i="3" a="1"/>
  <c r="M164" i="3" s="1"/>
  <c r="AG164" i="3" a="1"/>
  <c r="AG164" i="3" s="1"/>
  <c r="L164" i="3" a="1"/>
  <c r="L164" i="3" s="1"/>
  <c r="D164" i="3" a="1"/>
  <c r="D164" i="3" s="1"/>
  <c r="T164" i="3" a="1"/>
  <c r="T164" i="3" s="1"/>
  <c r="H164" i="3" a="1"/>
  <c r="H164" i="3" s="1"/>
  <c r="R164" i="3" a="1"/>
  <c r="R164" i="3" s="1"/>
  <c r="W164" i="3" a="1"/>
  <c r="W164" i="3" s="1"/>
  <c r="I164" i="3" a="1"/>
  <c r="I164" i="3" s="1"/>
  <c r="O164" i="3" a="1"/>
  <c r="O164" i="3" s="1"/>
  <c r="AK164" i="3" a="1"/>
  <c r="AK164" i="3" s="1"/>
  <c r="AM164" i="3" a="1"/>
  <c r="AM164" i="3" s="1"/>
  <c r="E164" i="3" a="1"/>
  <c r="E164" i="3" s="1"/>
  <c r="G164" i="3" a="1"/>
  <c r="G164" i="3" s="1"/>
  <c r="J164" i="3" a="1"/>
  <c r="J164" i="3" s="1"/>
  <c r="AI164" i="3" a="1"/>
  <c r="AI164" i="3" s="1"/>
  <c r="K164" i="3" a="1"/>
  <c r="K164" i="3" s="1"/>
  <c r="AA164" i="3" a="1"/>
  <c r="AA164" i="3" s="1"/>
  <c r="V164" i="3" a="1"/>
  <c r="V164" i="3" s="1"/>
  <c r="N164" i="3" a="1"/>
  <c r="N164" i="3" s="1"/>
  <c r="Q164" i="3" a="1"/>
  <c r="Q164" i="3" s="1"/>
  <c r="Q165" i="3" s="1" a="1"/>
  <c r="Q165" i="3" s="1"/>
  <c r="Q166" i="3" s="1"/>
  <c r="Y164" i="3" a="1"/>
  <c r="Y164" i="3" s="1"/>
  <c r="AL164" i="3" a="1"/>
  <c r="AL164" i="3" s="1"/>
  <c r="Z164" i="3" a="1"/>
  <c r="Z164" i="3" s="1"/>
  <c r="X164" i="3" a="1"/>
  <c r="X164" i="3" s="1"/>
  <c r="AJ164" i="3" a="1"/>
  <c r="AJ164" i="3" s="1"/>
  <c r="S164" i="3" a="1"/>
  <c r="S164" i="3" s="1"/>
  <c r="S165" i="3" s="1" a="1"/>
  <c r="S165" i="3" s="1"/>
  <c r="S166" i="3" s="1"/>
  <c r="AJ160" i="3" l="1" a="1"/>
  <c r="AJ160" i="3" s="1"/>
  <c r="AE160" i="3" a="1"/>
  <c r="AE160" i="3" s="1"/>
  <c r="V160" i="3" a="1"/>
  <c r="V160" i="3" s="1"/>
  <c r="J160" i="3" a="1"/>
  <c r="J160" i="3" s="1"/>
  <c r="I160" i="3" a="1"/>
  <c r="I160" i="3" s="1"/>
  <c r="I161" i="3" s="1" a="1"/>
  <c r="I161" i="3" s="1"/>
  <c r="I162" i="3" s="1"/>
  <c r="I166" i="3" s="1"/>
  <c r="I170" i="3" s="1"/>
  <c r="I174" i="3" s="1"/>
  <c r="L160" i="3" a="1"/>
  <c r="L160" i="3" s="1"/>
  <c r="K160" i="3" a="1"/>
  <c r="K160" i="3" s="1"/>
  <c r="AF160" i="3" a="1"/>
  <c r="AF160" i="3" s="1"/>
  <c r="AG160" i="3" a="1"/>
  <c r="AG160" i="3" s="1"/>
  <c r="R160" i="3" a="1"/>
  <c r="R160" i="3" s="1"/>
  <c r="R161" i="3" s="1" a="1"/>
  <c r="R161" i="3" s="1"/>
  <c r="R162" i="3" s="1"/>
  <c r="R166" i="3" s="1"/>
  <c r="AI160" i="3" a="1"/>
  <c r="AI160" i="3" s="1"/>
  <c r="S160" i="3" a="1"/>
  <c r="S160" i="3" s="1"/>
  <c r="Y160" i="3" a="1"/>
  <c r="Y160" i="3" s="1"/>
  <c r="Y161" i="3" s="1" a="1"/>
  <c r="Y161" i="3" s="1"/>
  <c r="Y162" i="3" s="1"/>
  <c r="Y166" i="3" s="1"/>
  <c r="Y170" i="3" s="1"/>
  <c r="Y174" i="3" s="1"/>
  <c r="AM160" i="3" a="1"/>
  <c r="AM160" i="3" s="1"/>
  <c r="T160" i="3" a="1"/>
  <c r="T160" i="3" s="1"/>
  <c r="N160" i="3" a="1"/>
  <c r="N160" i="3" s="1"/>
  <c r="P160" i="3" a="1"/>
  <c r="P160" i="3" s="1"/>
  <c r="AL160" i="3" a="1"/>
  <c r="AL160" i="3" s="1"/>
  <c r="E160" i="3" a="1"/>
  <c r="E160" i="3" s="1"/>
  <c r="G160" i="3" a="1"/>
  <c r="G160" i="3" s="1"/>
  <c r="U160" i="3" a="1"/>
  <c r="U160" i="3" s="1"/>
  <c r="W160" i="3" a="1"/>
  <c r="W160" i="3" s="1"/>
  <c r="X160" i="3" a="1"/>
  <c r="X160" i="3" s="1"/>
  <c r="Z160" i="3" a="1"/>
  <c r="Z160" i="3" s="1"/>
  <c r="AA160" i="3" a="1"/>
  <c r="AA160" i="3" s="1"/>
  <c r="AB160" i="3" a="1"/>
  <c r="AB160" i="3" s="1"/>
  <c r="F160" i="3" a="1"/>
  <c r="F160" i="3" s="1"/>
  <c r="F161" i="3" s="1" a="1"/>
  <c r="F161" i="3" s="1"/>
  <c r="F162" i="3" s="1"/>
  <c r="F166" i="3" s="1"/>
  <c r="F170" i="3" s="1"/>
  <c r="F174" i="3" s="1"/>
  <c r="AC160" i="3" a="1"/>
  <c r="AC160" i="3" s="1"/>
  <c r="AD160" i="3" a="1"/>
  <c r="AD160" i="3" s="1"/>
  <c r="AH160" i="3" a="1"/>
  <c r="AH160" i="3" s="1"/>
  <c r="H160" i="3" a="1"/>
  <c r="H160" i="3" s="1"/>
  <c r="M160" i="3" a="1"/>
  <c r="M160" i="3" s="1"/>
  <c r="D160" i="3" a="1"/>
  <c r="D160" i="3" s="1"/>
  <c r="Q160" i="3" a="1"/>
  <c r="Q160" i="3" s="1"/>
  <c r="O160" i="3" a="1"/>
  <c r="O160" i="3" s="1"/>
  <c r="AK160" i="3" a="1"/>
  <c r="AK160" i="3" s="1"/>
  <c r="L156" i="3" a="1"/>
  <c r="L156" i="3" s="1"/>
  <c r="L157" i="3" s="1" a="1"/>
  <c r="L157" i="3" s="1"/>
  <c r="L158" i="3" s="1"/>
  <c r="L162" i="3" s="1"/>
  <c r="L166" i="3" s="1"/>
  <c r="L170" i="3" s="1"/>
  <c r="L174" i="3" s="1"/>
  <c r="D156" i="3" a="1"/>
  <c r="D156" i="3" s="1"/>
  <c r="D157" i="3" s="1" a="1"/>
  <c r="D157" i="3" s="1"/>
  <c r="D158" i="3" s="1"/>
  <c r="D162" i="3" s="1"/>
  <c r="D166" i="3" s="1"/>
  <c r="D170" i="3" s="1"/>
  <c r="N156" i="3" a="1"/>
  <c r="N156" i="3" s="1"/>
  <c r="N157" i="3" s="1" a="1"/>
  <c r="N157" i="3" s="1"/>
  <c r="N158" i="3" s="1"/>
  <c r="N162" i="3" s="1"/>
  <c r="N166" i="3" s="1"/>
  <c r="N170" i="3" s="1"/>
  <c r="N174" i="3" s="1"/>
  <c r="X156" i="3" a="1"/>
  <c r="X156" i="3" s="1"/>
  <c r="X157" i="3" s="1" a="1"/>
  <c r="X157" i="3" s="1"/>
  <c r="X158" i="3" s="1"/>
  <c r="X162" i="3" s="1"/>
  <c r="X166" i="3" s="1"/>
  <c r="X170" i="3" s="1"/>
  <c r="X174" i="3" s="1"/>
  <c r="Q168" i="3" l="1" a="1"/>
  <c r="Q168" i="3" s="1"/>
  <c r="Q169" i="3" s="1" a="1"/>
  <c r="Q169" i="3" s="1"/>
  <c r="Q170" i="3" s="1"/>
  <c r="Q174" i="3" s="1"/>
  <c r="Q178" i="3" s="1"/>
  <c r="S168" i="3" a="1"/>
  <c r="S168" i="3" s="1"/>
  <c r="S169" i="3" s="1" a="1"/>
  <c r="S169" i="3" s="1"/>
  <c r="S170" i="3" s="1"/>
  <c r="S174" i="3" s="1"/>
  <c r="S178" i="3" s="1"/>
  <c r="S182" i="3" s="1"/>
  <c r="P168" i="3" a="1"/>
  <c r="P168" i="3" s="1"/>
  <c r="P169" i="3" s="1" a="1"/>
  <c r="P169" i="3" s="1"/>
  <c r="P170" i="3" s="1"/>
  <c r="P174" i="3" s="1"/>
  <c r="P178" i="3" s="1"/>
  <c r="P182" i="3" s="1"/>
  <c r="P186" i="3" s="1"/>
  <c r="P190" i="3" s="1"/>
  <c r="P194" i="3" s="1"/>
  <c r="P198" i="3" s="1"/>
  <c r="P202" i="3" s="1"/>
  <c r="P206" i="3" s="1"/>
  <c r="P210" i="3" s="1"/>
  <c r="P214" i="3" s="1"/>
  <c r="P218" i="3" s="1"/>
  <c r="F178" i="3"/>
  <c r="F182" i="3" s="1"/>
  <c r="E5" i="4" a="1"/>
  <c r="E5" i="4" s="1"/>
  <c r="N178" i="3"/>
  <c r="N182" i="3" s="1"/>
  <c r="N186" i="3" s="1"/>
  <c r="N190" i="3" s="1"/>
  <c r="E13" i="4" a="1"/>
  <c r="E13" i="4" s="1"/>
  <c r="Y178" i="3"/>
  <c r="Y182" i="3" s="1"/>
  <c r="Y186" i="3" s="1"/>
  <c r="Y190" i="3" s="1"/>
  <c r="Y194" i="3" s="1"/>
  <c r="E24" i="4" a="1"/>
  <c r="E24" i="4" s="1"/>
  <c r="R168" i="3" a="1"/>
  <c r="R168" i="3" s="1"/>
  <c r="R169" i="3" s="1" a="1"/>
  <c r="R169" i="3" s="1"/>
  <c r="R170" i="3" s="1"/>
  <c r="R174" i="3" s="1"/>
  <c r="E8" i="4" a="1"/>
  <c r="E8" i="4" s="1"/>
  <c r="X178" i="3"/>
  <c r="X182" i="3" s="1"/>
  <c r="E23" i="4" a="1"/>
  <c r="E23" i="4" s="1"/>
  <c r="S172" i="3" a="1"/>
  <c r="S172" i="3" s="1"/>
  <c r="AB172" i="3" a="1"/>
  <c r="AB172" i="3" s="1"/>
  <c r="AF172" i="3" a="1"/>
  <c r="AF172" i="3" s="1"/>
  <c r="P172" i="3" a="1"/>
  <c r="P172" i="3" s="1"/>
  <c r="E172" i="3" a="1"/>
  <c r="E172" i="3" s="1"/>
  <c r="AC172" i="3" a="1"/>
  <c r="AC172" i="3" s="1"/>
  <c r="AC173" i="3" s="1" a="1"/>
  <c r="AC173" i="3" s="1"/>
  <c r="AC174" i="3" s="1"/>
  <c r="AG172" i="3" a="1"/>
  <c r="AG172" i="3" s="1"/>
  <c r="H172" i="3" a="1"/>
  <c r="H172" i="3" s="1"/>
  <c r="AM172" i="3" a="1"/>
  <c r="AM172" i="3" s="1"/>
  <c r="AA172" i="3" a="1"/>
  <c r="AA172" i="3" s="1"/>
  <c r="T172" i="3" a="1"/>
  <c r="T172" i="3" s="1"/>
  <c r="U172" i="3" a="1"/>
  <c r="U172" i="3" s="1"/>
  <c r="U173" i="3" s="1" a="1"/>
  <c r="U173" i="3" s="1"/>
  <c r="U174" i="3" s="1"/>
  <c r="AH172" i="3" a="1"/>
  <c r="AH172" i="3" s="1"/>
  <c r="G172" i="3" a="1"/>
  <c r="G172" i="3" s="1"/>
  <c r="G173" i="3" s="1" a="1"/>
  <c r="G173" i="3" s="1"/>
  <c r="G174" i="3" s="1"/>
  <c r="L172" i="3" a="1"/>
  <c r="L172" i="3" s="1"/>
  <c r="O172" i="3" a="1"/>
  <c r="O172" i="3" s="1"/>
  <c r="AK172" i="3" a="1"/>
  <c r="AK172" i="3" s="1"/>
  <c r="V172" i="3" a="1"/>
  <c r="V172" i="3" s="1"/>
  <c r="I172" i="3" a="1"/>
  <c r="I172" i="3" s="1"/>
  <c r="W172" i="3" a="1"/>
  <c r="W172" i="3" s="1"/>
  <c r="AJ172" i="3" a="1"/>
  <c r="AJ172" i="3" s="1"/>
  <c r="J172" i="3" a="1"/>
  <c r="J172" i="3" s="1"/>
  <c r="D172" i="3" a="1"/>
  <c r="D172" i="3" s="1"/>
  <c r="D173" i="3" s="1" a="1"/>
  <c r="D173" i="3" s="1"/>
  <c r="D174" i="3" s="1"/>
  <c r="E3" i="4" s="1" a="1"/>
  <c r="E3" i="4" s="1"/>
  <c r="R172" i="3" a="1"/>
  <c r="R172" i="3" s="1"/>
  <c r="F172" i="3" a="1"/>
  <c r="F172" i="3" s="1"/>
  <c r="AE172" i="3" a="1"/>
  <c r="AE172" i="3" s="1"/>
  <c r="M172" i="3" a="1"/>
  <c r="M172" i="3" s="1"/>
  <c r="X172" i="3" a="1"/>
  <c r="X172" i="3" s="1"/>
  <c r="N172" i="3" a="1"/>
  <c r="N172" i="3" s="1"/>
  <c r="AL172" i="3" a="1"/>
  <c r="AL172" i="3" s="1"/>
  <c r="Z172" i="3" a="1"/>
  <c r="Z172" i="3" s="1"/>
  <c r="AI172" i="3" a="1"/>
  <c r="AI172" i="3" s="1"/>
  <c r="K172" i="3" a="1"/>
  <c r="K172" i="3" s="1"/>
  <c r="Y172" i="3" a="1"/>
  <c r="Y172" i="3" s="1"/>
  <c r="Q172" i="3" a="1"/>
  <c r="Q172" i="3" s="1"/>
  <c r="AD172" i="3" a="1"/>
  <c r="AD172" i="3" s="1"/>
  <c r="L178" i="3"/>
  <c r="L182" i="3" s="1"/>
  <c r="L186" i="3" s="1"/>
  <c r="L190" i="3" s="1"/>
  <c r="L194" i="3" s="1"/>
  <c r="E11" i="4" a="1"/>
  <c r="E11" i="4" s="1"/>
  <c r="E18" i="4" l="1" a="1"/>
  <c r="E18" i="4" s="1"/>
  <c r="E16" i="4" a="1"/>
  <c r="E16" i="4" s="1"/>
  <c r="F3" i="4" a="1"/>
  <c r="F3" i="4" s="1"/>
  <c r="E15" i="4" a="1"/>
  <c r="E15" i="4" s="1"/>
  <c r="R178" i="3"/>
  <c r="R182" i="3" s="1"/>
  <c r="E17" i="4" a="1"/>
  <c r="E17" i="4" s="1"/>
  <c r="D178" i="3"/>
  <c r="D182" i="3" s="1"/>
  <c r="D186" i="3" s="1"/>
  <c r="AK176" i="3" a="1"/>
  <c r="AK176" i="3" s="1"/>
  <c r="AB176" i="3" a="1"/>
  <c r="AB176" i="3" s="1"/>
  <c r="L176" i="3" a="1"/>
  <c r="L176" i="3" s="1"/>
  <c r="Q176" i="3" a="1"/>
  <c r="Q176" i="3" s="1"/>
  <c r="W176" i="3" a="1"/>
  <c r="W176" i="3" s="1"/>
  <c r="Z176" i="3" a="1"/>
  <c r="Z176" i="3" s="1"/>
  <c r="F176" i="3" a="1"/>
  <c r="F176" i="3" s="1"/>
  <c r="AG176" i="3" a="1"/>
  <c r="AG176" i="3" s="1"/>
  <c r="X176" i="3" a="1"/>
  <c r="X176" i="3" s="1"/>
  <c r="J176" i="3" a="1"/>
  <c r="J176" i="3" s="1"/>
  <c r="AI176" i="3" a="1"/>
  <c r="AI176" i="3" s="1"/>
  <c r="AA176" i="3" a="1"/>
  <c r="AA176" i="3" s="1"/>
  <c r="AJ176" i="3" a="1"/>
  <c r="AJ176" i="3" s="1"/>
  <c r="H176" i="3" a="1"/>
  <c r="H176" i="3" s="1"/>
  <c r="H177" i="3" s="1" a="1"/>
  <c r="H177" i="3" s="1"/>
  <c r="H178" i="3" s="1"/>
  <c r="H182" i="3" s="1"/>
  <c r="H186" i="3" s="1"/>
  <c r="H190" i="3" s="1"/>
  <c r="H194" i="3" s="1"/>
  <c r="G176" i="3" a="1"/>
  <c r="G176" i="3" s="1"/>
  <c r="G177" i="3" s="1" a="1"/>
  <c r="G177" i="3" s="1"/>
  <c r="G178" i="3" s="1"/>
  <c r="AL176" i="3" a="1"/>
  <c r="AL176" i="3" s="1"/>
  <c r="N176" i="3" a="1"/>
  <c r="N176" i="3" s="1"/>
  <c r="AE176" i="3" a="1"/>
  <c r="AE176" i="3" s="1"/>
  <c r="O176" i="3" a="1"/>
  <c r="O176" i="3" s="1"/>
  <c r="AM176" i="3" a="1"/>
  <c r="AM176" i="3" s="1"/>
  <c r="P176" i="3" a="1"/>
  <c r="P176" i="3" s="1"/>
  <c r="R176" i="3" a="1"/>
  <c r="R176" i="3" s="1"/>
  <c r="S176" i="3" a="1"/>
  <c r="S176" i="3" s="1"/>
  <c r="T176" i="3" a="1"/>
  <c r="T176" i="3" s="1"/>
  <c r="AF176" i="3" a="1"/>
  <c r="AF176" i="3" s="1"/>
  <c r="I176" i="3" a="1"/>
  <c r="I176" i="3" s="1"/>
  <c r="I177" i="3" s="1" a="1"/>
  <c r="I177" i="3" s="1"/>
  <c r="I178" i="3" s="1"/>
  <c r="U176" i="3" a="1"/>
  <c r="U176" i="3" s="1"/>
  <c r="U177" i="3" s="1" a="1"/>
  <c r="U177" i="3" s="1"/>
  <c r="U178" i="3" s="1"/>
  <c r="V176" i="3" a="1"/>
  <c r="V176" i="3" s="1"/>
  <c r="AH176" i="3" a="1"/>
  <c r="AH176" i="3" s="1"/>
  <c r="K176" i="3" a="1"/>
  <c r="K176" i="3" s="1"/>
  <c r="M176" i="3" a="1"/>
  <c r="M176" i="3" s="1"/>
  <c r="Y176" i="3" a="1"/>
  <c r="Y176" i="3" s="1"/>
  <c r="AC176" i="3" a="1"/>
  <c r="AC176" i="3" s="1"/>
  <c r="D176" i="3" a="1"/>
  <c r="D176" i="3" s="1"/>
  <c r="AD176" i="3" a="1"/>
  <c r="AD176" i="3" s="1"/>
  <c r="E176" i="3" a="1"/>
  <c r="E176" i="3" s="1"/>
  <c r="E6" i="4" a="1"/>
  <c r="E6" i="4" s="1"/>
  <c r="E20" i="4" a="1"/>
  <c r="E20" i="4" s="1"/>
  <c r="AA192" i="3" a="1"/>
  <c r="AA192" i="3" s="1"/>
  <c r="AA193" i="3" s="1" a="1"/>
  <c r="AA193" i="3" s="1"/>
  <c r="AA194" i="3" s="1"/>
  <c r="AA198" i="3" s="1"/>
  <c r="AA202" i="3" s="1"/>
  <c r="AA206" i="3" s="1"/>
  <c r="AA210" i="3" s="1"/>
  <c r="AA214" i="3" s="1"/>
  <c r="N192" i="3" a="1"/>
  <c r="N192" i="3" s="1"/>
  <c r="N193" i="3" s="1" a="1"/>
  <c r="N193" i="3" s="1"/>
  <c r="N194" i="3" s="1"/>
  <c r="N198" i="3" s="1"/>
  <c r="N202" i="3" s="1"/>
  <c r="K192" i="3" a="1"/>
  <c r="K192" i="3" s="1"/>
  <c r="K193" i="3" s="1" a="1"/>
  <c r="K193" i="3" s="1"/>
  <c r="K194" i="3" s="1"/>
  <c r="K198" i="3" s="1"/>
  <c r="E192" i="3" a="1"/>
  <c r="E192" i="3" s="1"/>
  <c r="E193" i="3" s="1" a="1"/>
  <c r="E193" i="3" s="1"/>
  <c r="E194" i="3" s="1"/>
  <c r="E198" i="3" s="1"/>
  <c r="E202" i="3" s="1"/>
  <c r="E206" i="3" s="1"/>
  <c r="E210" i="3" s="1"/>
  <c r="E214" i="3" s="1"/>
  <c r="E218" i="3" s="1"/>
  <c r="E222" i="3" s="1"/>
  <c r="AC178" i="3"/>
  <c r="AC182" i="3" s="1"/>
  <c r="AC186" i="3" s="1"/>
  <c r="AC190" i="3" s="1"/>
  <c r="AC194" i="3" s="1"/>
  <c r="AC198" i="3" s="1"/>
  <c r="E28" i="4" a="1"/>
  <c r="E28" i="4" s="1"/>
  <c r="Q184" i="3" a="1"/>
  <c r="Q184" i="3" s="1"/>
  <c r="Y184" i="3" a="1"/>
  <c r="Y184" i="3" s="1"/>
  <c r="R184" i="3" a="1"/>
  <c r="R184" i="3" s="1"/>
  <c r="R185" i="3" s="1" a="1"/>
  <c r="R185" i="3" s="1"/>
  <c r="G184" i="3" a="1"/>
  <c r="G184" i="3" s="1"/>
  <c r="AL184" i="3" a="1"/>
  <c r="AL184" i="3" s="1"/>
  <c r="AB184" i="3" a="1"/>
  <c r="AB184" i="3" s="1"/>
  <c r="L184" i="3" a="1"/>
  <c r="L184" i="3" s="1"/>
  <c r="Z184" i="3" a="1"/>
  <c r="Z184" i="3" s="1"/>
  <c r="AJ184" i="3" a="1"/>
  <c r="AJ184" i="3" s="1"/>
  <c r="X184" i="3" a="1"/>
  <c r="X184" i="3" s="1"/>
  <c r="X185" i="3" s="1" a="1"/>
  <c r="X185" i="3" s="1"/>
  <c r="X186" i="3" s="1"/>
  <c r="X190" i="3" s="1"/>
  <c r="X194" i="3" s="1"/>
  <c r="X198" i="3" s="1"/>
  <c r="X202" i="3" s="1"/>
  <c r="X206" i="3" s="1"/>
  <c r="X210" i="3" s="1"/>
  <c r="P184" i="3" a="1"/>
  <c r="P184" i="3" s="1"/>
  <c r="N184" i="3" a="1"/>
  <c r="N184" i="3" s="1"/>
  <c r="AK184" i="3" a="1"/>
  <c r="AK184" i="3" s="1"/>
  <c r="AC184" i="3" a="1"/>
  <c r="AC184" i="3" s="1"/>
  <c r="AG184" i="3" a="1"/>
  <c r="AG184" i="3" s="1"/>
  <c r="AF184" i="3" a="1"/>
  <c r="AF184" i="3" s="1"/>
  <c r="H184" i="3" a="1"/>
  <c r="H184" i="3" s="1"/>
  <c r="U184" i="3" a="1"/>
  <c r="U184" i="3" s="1"/>
  <c r="AH184" i="3" a="1"/>
  <c r="AH184" i="3" s="1"/>
  <c r="S184" i="3" a="1"/>
  <c r="S184" i="3" s="1"/>
  <c r="S185" i="3" s="1" a="1"/>
  <c r="S185" i="3" s="1"/>
  <c r="S186" i="3" s="1"/>
  <c r="S190" i="3" s="1"/>
  <c r="S194" i="3" s="1"/>
  <c r="S198" i="3" s="1"/>
  <c r="D184" i="3" a="1"/>
  <c r="D184" i="3" s="1"/>
  <c r="AM184" i="3" a="1"/>
  <c r="AM184" i="3" s="1"/>
  <c r="W184" i="3" a="1"/>
  <c r="W184" i="3" s="1"/>
  <c r="E184" i="3" a="1"/>
  <c r="E184" i="3" s="1"/>
  <c r="T184" i="3" a="1"/>
  <c r="T184" i="3" s="1"/>
  <c r="F184" i="3" a="1"/>
  <c r="F184" i="3" s="1"/>
  <c r="F185" i="3" s="1" a="1"/>
  <c r="F185" i="3" s="1"/>
  <c r="F186" i="3" s="1"/>
  <c r="F190" i="3" s="1"/>
  <c r="F194" i="3" s="1"/>
  <c r="F198" i="3" s="1"/>
  <c r="F202" i="3" s="1"/>
  <c r="F206" i="3" s="1"/>
  <c r="F210" i="3" s="1"/>
  <c r="F214" i="3" s="1"/>
  <c r="I184" i="3" a="1"/>
  <c r="I184" i="3" s="1"/>
  <c r="V184" i="3" a="1"/>
  <c r="V184" i="3" s="1"/>
  <c r="AI184" i="3" a="1"/>
  <c r="AI184" i="3" s="1"/>
  <c r="J184" i="3" a="1"/>
  <c r="J184" i="3" s="1"/>
  <c r="K184" i="3" a="1"/>
  <c r="K184" i="3" s="1"/>
  <c r="M184" i="3" a="1"/>
  <c r="M184" i="3" s="1"/>
  <c r="AA184" i="3" a="1"/>
  <c r="AA184" i="3" s="1"/>
  <c r="O184" i="3" a="1"/>
  <c r="O184" i="3" s="1"/>
  <c r="AD184" i="3" a="1"/>
  <c r="AD184" i="3" s="1"/>
  <c r="AE184" i="3" a="1"/>
  <c r="AE184" i="3" s="1"/>
  <c r="F22" i="4" l="1" a="1"/>
  <c r="F22" i="4" s="1"/>
  <c r="F33" i="4" a="1"/>
  <c r="F33" i="4" s="1"/>
  <c r="F30" i="4" a="1"/>
  <c r="F30" i="4" s="1"/>
  <c r="F23" i="4" a="1"/>
  <c r="F23" i="4" s="1"/>
  <c r="F34" i="4" a="1"/>
  <c r="F34" i="4" s="1"/>
  <c r="F28" i="4" a="1"/>
  <c r="F28" i="4" s="1"/>
  <c r="F15" i="4" a="1"/>
  <c r="F15" i="4" s="1"/>
  <c r="F4" i="4" a="1"/>
  <c r="F4" i="4" s="1"/>
  <c r="F17" i="4" a="1"/>
  <c r="F17" i="4" s="1"/>
  <c r="F24" i="4" a="1"/>
  <c r="F24" i="4" s="1"/>
  <c r="F16" i="4" a="1"/>
  <c r="F16" i="4" s="1"/>
  <c r="F5" i="4" a="1"/>
  <c r="F5" i="4" s="1"/>
  <c r="F38" i="4" a="1"/>
  <c r="F38" i="4" s="1"/>
  <c r="F25" i="4" a="1"/>
  <c r="F25" i="4" s="1"/>
  <c r="F6" i="4" a="1"/>
  <c r="F6" i="4" s="1"/>
  <c r="F26" i="4" a="1"/>
  <c r="F26" i="4" s="1"/>
  <c r="F18" i="4" a="1"/>
  <c r="F18" i="4" s="1"/>
  <c r="F7" i="4" a="1"/>
  <c r="F7" i="4" s="1"/>
  <c r="F19" i="4" a="1"/>
  <c r="F19" i="4" s="1"/>
  <c r="F27" i="4" a="1"/>
  <c r="F27" i="4" s="1"/>
  <c r="F8" i="4" a="1"/>
  <c r="F8" i="4" s="1"/>
  <c r="F20" i="4" a="1"/>
  <c r="F20" i="4" s="1"/>
  <c r="F9" i="4" a="1"/>
  <c r="F9" i="4" s="1"/>
  <c r="F36" i="4" a="1"/>
  <c r="F36" i="4" s="1"/>
  <c r="F10" i="4" a="1"/>
  <c r="F10" i="4" s="1"/>
  <c r="F21" i="4" a="1"/>
  <c r="F21" i="4" s="1"/>
  <c r="F11" i="4" a="1"/>
  <c r="F11" i="4" s="1"/>
  <c r="F29" i="4" a="1"/>
  <c r="F29" i="4" s="1"/>
  <c r="F31" i="4" a="1"/>
  <c r="F31" i="4" s="1"/>
  <c r="F12" i="4" a="1"/>
  <c r="F12" i="4" s="1"/>
  <c r="F37" i="4" a="1"/>
  <c r="F37" i="4" s="1"/>
  <c r="F32" i="4" a="1"/>
  <c r="F32" i="4" s="1"/>
  <c r="F14" i="4" a="1"/>
  <c r="F14" i="4" s="1"/>
  <c r="F13" i="4" a="1"/>
  <c r="F13" i="4" s="1"/>
  <c r="F35" i="4" a="1"/>
  <c r="F35" i="4" s="1"/>
  <c r="E180" i="3" a="1"/>
  <c r="E180" i="3" s="1"/>
  <c r="X180" i="3" a="1"/>
  <c r="X180" i="3" s="1"/>
  <c r="AB180" i="3" a="1"/>
  <c r="AB180" i="3" s="1"/>
  <c r="I180" i="3" a="1"/>
  <c r="I180" i="3" s="1"/>
  <c r="I181" i="3" s="1" a="1"/>
  <c r="I181" i="3" s="1"/>
  <c r="I182" i="3" s="1"/>
  <c r="I186" i="3" s="1"/>
  <c r="AL180" i="3" a="1"/>
  <c r="AL180" i="3" s="1"/>
  <c r="F180" i="3" a="1"/>
  <c r="F180" i="3" s="1"/>
  <c r="W180" i="3" a="1"/>
  <c r="W180" i="3" s="1"/>
  <c r="AK180" i="3" a="1"/>
  <c r="AK180" i="3" s="1"/>
  <c r="K180" i="3" a="1"/>
  <c r="K180" i="3" s="1"/>
  <c r="AA180" i="3" a="1"/>
  <c r="AA180" i="3" s="1"/>
  <c r="G180" i="3" a="1"/>
  <c r="G180" i="3" s="1"/>
  <c r="G181" i="3" s="1" a="1"/>
  <c r="G181" i="3" s="1"/>
  <c r="G182" i="3" s="1"/>
  <c r="G186" i="3" s="1"/>
  <c r="G190" i="3" s="1"/>
  <c r="G194" i="3" s="1"/>
  <c r="G198" i="3" s="1"/>
  <c r="L180" i="3" a="1"/>
  <c r="L180" i="3" s="1"/>
  <c r="J180" i="3" a="1"/>
  <c r="J180" i="3" s="1"/>
  <c r="AG180" i="3" a="1"/>
  <c r="AG180" i="3" s="1"/>
  <c r="V180" i="3" a="1"/>
  <c r="V180" i="3" s="1"/>
  <c r="T180" i="3" a="1"/>
  <c r="T180" i="3" s="1"/>
  <c r="Q180" i="3" a="1"/>
  <c r="Q180" i="3" s="1"/>
  <c r="Q181" i="3" s="1" a="1"/>
  <c r="Q181" i="3" s="1"/>
  <c r="Q182" i="3" s="1"/>
  <c r="Q186" i="3" s="1"/>
  <c r="M180" i="3" a="1"/>
  <c r="M180" i="3" s="1"/>
  <c r="Y180" i="3" a="1"/>
  <c r="Y180" i="3" s="1"/>
  <c r="AH180" i="3" a="1"/>
  <c r="AH180" i="3" s="1"/>
  <c r="H180" i="3" a="1"/>
  <c r="H180" i="3" s="1"/>
  <c r="S180" i="3" a="1"/>
  <c r="S180" i="3" s="1"/>
  <c r="AD180" i="3" a="1"/>
  <c r="AD180" i="3" s="1"/>
  <c r="U180" i="3" a="1"/>
  <c r="U180" i="3" s="1"/>
  <c r="U181" i="3" s="1" a="1"/>
  <c r="U181" i="3" s="1"/>
  <c r="U182" i="3" s="1"/>
  <c r="U186" i="3" s="1"/>
  <c r="U190" i="3" s="1"/>
  <c r="U194" i="3" s="1"/>
  <c r="AI180" i="3" a="1"/>
  <c r="AI180" i="3" s="1"/>
  <c r="AJ180" i="3" a="1"/>
  <c r="AJ180" i="3" s="1"/>
  <c r="D180" i="3" a="1"/>
  <c r="D180" i="3" s="1"/>
  <c r="AM180" i="3" a="1"/>
  <c r="AM180" i="3" s="1"/>
  <c r="Z180" i="3" a="1"/>
  <c r="Z180" i="3" s="1"/>
  <c r="N180" i="3" a="1"/>
  <c r="N180" i="3" s="1"/>
  <c r="O180" i="3" a="1"/>
  <c r="O180" i="3" s="1"/>
  <c r="AE180" i="3" a="1"/>
  <c r="AE180" i="3" s="1"/>
  <c r="P180" i="3" a="1"/>
  <c r="P180" i="3" s="1"/>
  <c r="AF180" i="3" a="1"/>
  <c r="AF180" i="3" s="1"/>
  <c r="R180" i="3" a="1"/>
  <c r="R180" i="3" s="1"/>
  <c r="AC180" i="3" a="1"/>
  <c r="AC180" i="3" s="1"/>
  <c r="Z224" i="3" a="1"/>
  <c r="Z224" i="3" s="1"/>
  <c r="N224" i="3" a="1"/>
  <c r="N224" i="3" s="1"/>
  <c r="AA224" i="3" a="1"/>
  <c r="AA224" i="3" s="1"/>
  <c r="S224" i="3" a="1"/>
  <c r="S224" i="3" s="1"/>
  <c r="O224" i="3" a="1"/>
  <c r="O224" i="3" s="1"/>
  <c r="AC224" i="3" a="1"/>
  <c r="AC224" i="3" s="1"/>
  <c r="AB224" i="3" a="1"/>
  <c r="AB224" i="3" s="1"/>
  <c r="AM224" i="3" a="1"/>
  <c r="AM224" i="3" s="1"/>
  <c r="P224" i="3" a="1"/>
  <c r="P224" i="3" s="1"/>
  <c r="I224" i="3" a="1"/>
  <c r="I224" i="3" s="1"/>
  <c r="AE224" i="3" a="1"/>
  <c r="AE224" i="3" s="1"/>
  <c r="T224" i="3" a="1"/>
  <c r="T224" i="3" s="1"/>
  <c r="D224" i="3" a="1"/>
  <c r="D224" i="3" s="1"/>
  <c r="AH224" i="3" a="1"/>
  <c r="AH224" i="3" s="1"/>
  <c r="G224" i="3" a="1"/>
  <c r="G224" i="3" s="1"/>
  <c r="V224" i="3" a="1"/>
  <c r="V224" i="3" s="1"/>
  <c r="AF224" i="3" a="1"/>
  <c r="AF224" i="3" s="1"/>
  <c r="K224" i="3" a="1"/>
  <c r="K224" i="3" s="1"/>
  <c r="U224" i="3" a="1"/>
  <c r="U224" i="3" s="1"/>
  <c r="R224" i="3" a="1"/>
  <c r="R224" i="3" s="1"/>
  <c r="H224" i="3" a="1"/>
  <c r="H224" i="3" s="1"/>
  <c r="W224" i="3" a="1"/>
  <c r="W224" i="3" s="1"/>
  <c r="AG224" i="3" a="1"/>
  <c r="AG224" i="3" s="1"/>
  <c r="AI224" i="3" a="1"/>
  <c r="AI224" i="3" s="1"/>
  <c r="X224" i="3" a="1"/>
  <c r="X224" i="3" s="1"/>
  <c r="F224" i="3" a="1"/>
  <c r="F224" i="3" s="1"/>
  <c r="AJ224" i="3" a="1"/>
  <c r="AJ224" i="3" s="1"/>
  <c r="L224" i="3" a="1"/>
  <c r="L224" i="3" s="1"/>
  <c r="AK224" i="3" a="1"/>
  <c r="AK224" i="3" s="1"/>
  <c r="AL224" i="3" a="1"/>
  <c r="AL224" i="3" s="1"/>
  <c r="J224" i="3" a="1"/>
  <c r="J224" i="3" s="1"/>
  <c r="M224" i="3" a="1"/>
  <c r="M224" i="3" s="1"/>
  <c r="G196" i="3" a="1"/>
  <c r="G196" i="3" s="1"/>
  <c r="AH196" i="3" a="1"/>
  <c r="AH196" i="3" s="1"/>
  <c r="AB196" i="3" a="1"/>
  <c r="AB196" i="3" s="1"/>
  <c r="AJ196" i="3" a="1"/>
  <c r="AJ196" i="3" s="1"/>
  <c r="R196" i="3" a="1"/>
  <c r="R196" i="3" s="1"/>
  <c r="AK196" i="3" a="1"/>
  <c r="AK196" i="3" s="1"/>
  <c r="AC196" i="3" a="1"/>
  <c r="AC196" i="3" s="1"/>
  <c r="F196" i="3" a="1"/>
  <c r="F196" i="3" s="1"/>
  <c r="I196" i="3" a="1"/>
  <c r="I196" i="3" s="1"/>
  <c r="AD196" i="3" a="1"/>
  <c r="AD196" i="3" s="1"/>
  <c r="AM196" i="3" a="1"/>
  <c r="AM196" i="3" s="1"/>
  <c r="J196" i="3" a="1"/>
  <c r="J196" i="3" s="1"/>
  <c r="M196" i="3" a="1"/>
  <c r="M196" i="3" s="1"/>
  <c r="AE196" i="3" a="1"/>
  <c r="AE196" i="3" s="1"/>
  <c r="K196" i="3" a="1"/>
  <c r="K196" i="3" s="1"/>
  <c r="AF196" i="3" a="1"/>
  <c r="AF196" i="3" s="1"/>
  <c r="N196" i="3" a="1"/>
  <c r="N196" i="3" s="1"/>
  <c r="V196" i="3" a="1"/>
  <c r="V196" i="3" s="1"/>
  <c r="AI196" i="3" a="1"/>
  <c r="AI196" i="3" s="1"/>
  <c r="D196" i="3" a="1"/>
  <c r="D196" i="3" s="1"/>
  <c r="AG196" i="3" a="1"/>
  <c r="AG196" i="3" s="1"/>
  <c r="W196" i="3" a="1"/>
  <c r="W196" i="3" s="1"/>
  <c r="E196" i="3" a="1"/>
  <c r="E196" i="3" s="1"/>
  <c r="O196" i="3" a="1"/>
  <c r="O196" i="3" s="1"/>
  <c r="Z196" i="3" a="1"/>
  <c r="Z196" i="3" s="1"/>
  <c r="S196" i="3" a="1"/>
  <c r="S196" i="3" s="1"/>
  <c r="P196" i="3" a="1"/>
  <c r="P196" i="3" s="1"/>
  <c r="T196" i="3" a="1"/>
  <c r="T196" i="3" s="1"/>
  <c r="Q196" i="3" a="1"/>
  <c r="Q196" i="3" s="1"/>
  <c r="X196" i="3" a="1"/>
  <c r="X196" i="3" s="1"/>
  <c r="AL196" i="3" a="1"/>
  <c r="AL196" i="3" s="1"/>
  <c r="AA196" i="3" a="1"/>
  <c r="AA196" i="3" s="1"/>
  <c r="E188" i="3" a="1"/>
  <c r="E188" i="3" s="1"/>
  <c r="V188" i="3" a="1"/>
  <c r="V188" i="3" s="1"/>
  <c r="P188" i="3" a="1"/>
  <c r="P188" i="3" s="1"/>
  <c r="AG188" i="3" a="1"/>
  <c r="AG188" i="3" s="1"/>
  <c r="AA188" i="3" a="1"/>
  <c r="AA188" i="3" s="1"/>
  <c r="L188" i="3" a="1"/>
  <c r="L188" i="3" s="1"/>
  <c r="W188" i="3" a="1"/>
  <c r="W188" i="3" s="1"/>
  <c r="AL188" i="3" a="1"/>
  <c r="AL188" i="3" s="1"/>
  <c r="AH188" i="3" a="1"/>
  <c r="AH188" i="3" s="1"/>
  <c r="AB188" i="3" a="1"/>
  <c r="AB188" i="3" s="1"/>
  <c r="F188" i="3" a="1"/>
  <c r="F188" i="3" s="1"/>
  <c r="M188" i="3" a="1"/>
  <c r="M188" i="3" s="1"/>
  <c r="X188" i="3" a="1"/>
  <c r="X188" i="3" s="1"/>
  <c r="G188" i="3" a="1"/>
  <c r="G188" i="3" s="1"/>
  <c r="AI188" i="3" a="1"/>
  <c r="AI188" i="3" s="1"/>
  <c r="R188" i="3" a="1"/>
  <c r="R188" i="3" s="1"/>
  <c r="Y188" i="3" a="1"/>
  <c r="Y188" i="3" s="1"/>
  <c r="AM188" i="3" a="1"/>
  <c r="AM188" i="3" s="1"/>
  <c r="AJ188" i="3" a="1"/>
  <c r="AJ188" i="3" s="1"/>
  <c r="H188" i="3" a="1"/>
  <c r="H188" i="3" s="1"/>
  <c r="S188" i="3" a="1"/>
  <c r="S188" i="3" s="1"/>
  <c r="O188" i="3" a="1"/>
  <c r="O188" i="3" s="1"/>
  <c r="Z188" i="3" a="1"/>
  <c r="Z188" i="3" s="1"/>
  <c r="AK188" i="3" a="1"/>
  <c r="AK188" i="3" s="1"/>
  <c r="T188" i="3" a="1"/>
  <c r="T188" i="3" s="1"/>
  <c r="AC188" i="3" a="1"/>
  <c r="AC188" i="3" s="1"/>
  <c r="AE188" i="3" a="1"/>
  <c r="AE188" i="3" s="1"/>
  <c r="J188" i="3" a="1"/>
  <c r="J188" i="3" s="1"/>
  <c r="U188" i="3" a="1"/>
  <c r="U188" i="3" s="1"/>
  <c r="AF188" i="3" a="1"/>
  <c r="AF188" i="3" s="1"/>
  <c r="N188" i="3" a="1"/>
  <c r="N188" i="3" s="1"/>
  <c r="K188" i="3" a="1"/>
  <c r="K188" i="3" s="1"/>
  <c r="R186" i="3"/>
  <c r="R190" i="3" s="1"/>
  <c r="R194" i="3" s="1"/>
  <c r="R198" i="3" s="1"/>
  <c r="R202" i="3" s="1"/>
  <c r="G3" i="4" l="1" a="1"/>
  <c r="G3" i="4" s="1"/>
  <c r="H3" i="4" s="1"/>
  <c r="Q188" i="3" a="1"/>
  <c r="Q188" i="3" s="1"/>
  <c r="Q189" i="3" s="1" a="1"/>
  <c r="Q189" i="3" s="1"/>
  <c r="D188" i="3" a="1"/>
  <c r="D188" i="3" s="1"/>
  <c r="D189" i="3" s="1" a="1"/>
  <c r="D189" i="3" s="1"/>
  <c r="D190" i="3" s="1"/>
  <c r="D194" i="3" s="1"/>
  <c r="D198" i="3" s="1"/>
  <c r="D202" i="3" s="1"/>
  <c r="D206" i="3" s="1"/>
  <c r="D210" i="3" s="1"/>
  <c r="D214" i="3" s="1"/>
  <c r="I188" i="3" a="1"/>
  <c r="I188" i="3" s="1"/>
  <c r="I189" i="3" s="1" a="1"/>
  <c r="I189" i="3" s="1"/>
  <c r="G18" i="4" a="1"/>
  <c r="G18" i="4" s="1"/>
  <c r="G38" i="4" a="1"/>
  <c r="G38" i="4" s="1"/>
  <c r="H38" i="4" s="1"/>
  <c r="G19" i="4" a="1"/>
  <c r="G19" i="4" s="1"/>
  <c r="H19" i="4" s="1"/>
  <c r="G20" i="4" a="1"/>
  <c r="G20" i="4" s="1"/>
  <c r="G21" i="4" a="1"/>
  <c r="G21" i="4" s="1"/>
  <c r="H21" i="4" s="1"/>
  <c r="G22" i="4" a="1"/>
  <c r="G22" i="4" s="1"/>
  <c r="H22" i="4" s="1"/>
  <c r="G23" i="4" a="1"/>
  <c r="G23" i="4" s="1"/>
  <c r="G4" i="4" a="1"/>
  <c r="G4" i="4" s="1"/>
  <c r="G24" i="4" a="1"/>
  <c r="G24" i="4" s="1"/>
  <c r="H24" i="4" s="1"/>
  <c r="G5" i="4" a="1"/>
  <c r="G5" i="4" s="1"/>
  <c r="H5" i="4" s="1"/>
  <c r="G25" i="4" a="1"/>
  <c r="G25" i="4" s="1"/>
  <c r="H25" i="4" s="1"/>
  <c r="G6" i="4" a="1"/>
  <c r="G6" i="4" s="1"/>
  <c r="H6" i="4" s="1"/>
  <c r="G26" i="4" a="1"/>
  <c r="G26" i="4" s="1"/>
  <c r="H26" i="4" s="1"/>
  <c r="G7" i="4" a="1"/>
  <c r="G7" i="4" s="1"/>
  <c r="H7" i="4" s="1"/>
  <c r="G27" i="4" a="1"/>
  <c r="G27" i="4" s="1"/>
  <c r="H27" i="4" s="1"/>
  <c r="G8" i="4" a="1"/>
  <c r="G8" i="4" s="1"/>
  <c r="H8" i="4" s="1"/>
  <c r="G28" i="4" a="1"/>
  <c r="G28" i="4" s="1"/>
  <c r="H28" i="4" s="1"/>
  <c r="G9" i="4" a="1"/>
  <c r="G9" i="4" s="1"/>
  <c r="H9" i="4" s="1"/>
  <c r="G29" i="4" a="1"/>
  <c r="G29" i="4" s="1"/>
  <c r="H29" i="4" s="1"/>
  <c r="G10" i="4" a="1"/>
  <c r="G10" i="4" s="1"/>
  <c r="H10" i="4" s="1"/>
  <c r="G30" i="4" a="1"/>
  <c r="G30" i="4" s="1"/>
  <c r="H30" i="4" s="1"/>
  <c r="G11" i="4" a="1"/>
  <c r="G11" i="4" s="1"/>
  <c r="H11" i="4" s="1"/>
  <c r="G31" i="4" a="1"/>
  <c r="G31" i="4" s="1"/>
  <c r="H31" i="4" s="1"/>
  <c r="G12" i="4" a="1"/>
  <c r="G12" i="4" s="1"/>
  <c r="H12" i="4" s="1"/>
  <c r="G32" i="4" a="1"/>
  <c r="G32" i="4" s="1"/>
  <c r="H32" i="4" s="1"/>
  <c r="G13" i="4" a="1"/>
  <c r="G13" i="4" s="1"/>
  <c r="H13" i="4" s="1"/>
  <c r="G33" i="4" a="1"/>
  <c r="G33" i="4" s="1"/>
  <c r="H33" i="4" s="1"/>
  <c r="G14" i="4" a="1"/>
  <c r="G14" i="4" s="1"/>
  <c r="H14" i="4" s="1"/>
  <c r="G34" i="4" a="1"/>
  <c r="G34" i="4" s="1"/>
  <c r="H34" i="4" s="1"/>
  <c r="G15" i="4" a="1"/>
  <c r="G15" i="4" s="1"/>
  <c r="H15" i="4" s="1"/>
  <c r="G35" i="4" a="1"/>
  <c r="G35" i="4" s="1"/>
  <c r="H35" i="4" s="1"/>
  <c r="G16" i="4" a="1"/>
  <c r="G16" i="4" s="1"/>
  <c r="H16" i="4" s="1"/>
  <c r="G36" i="4" a="1"/>
  <c r="G36" i="4" s="1"/>
  <c r="H36" i="4" s="1"/>
  <c r="G17" i="4" a="1"/>
  <c r="G17" i="4" s="1"/>
  <c r="H17" i="4" s="1"/>
  <c r="G37" i="4" a="1"/>
  <c r="G37" i="4" s="1"/>
  <c r="H37" i="4" s="1"/>
  <c r="L196" i="3" a="1"/>
  <c r="L196" i="3" s="1"/>
  <c r="L197" i="3" s="1" a="1"/>
  <c r="L197" i="3" s="1"/>
  <c r="L198" i="3" s="1"/>
  <c r="Y196" i="3" a="1"/>
  <c r="Y196" i="3" s="1"/>
  <c r="Y197" i="3" s="1" a="1"/>
  <c r="Y197" i="3" s="1"/>
  <c r="Y198" i="3" s="1"/>
  <c r="Y202" i="3" s="1"/>
  <c r="Y206" i="3" s="1"/>
  <c r="Y210" i="3" s="1"/>
  <c r="H196" i="3" a="1"/>
  <c r="H196" i="3" s="1"/>
  <c r="H197" i="3" s="1" a="1"/>
  <c r="H197" i="3" s="1"/>
  <c r="H198" i="3" s="1"/>
  <c r="H202" i="3" s="1"/>
  <c r="H206" i="3" s="1"/>
  <c r="H210" i="3" s="1"/>
  <c r="H214" i="3" s="1"/>
  <c r="H218" i="3" s="1"/>
  <c r="H222" i="3" s="1"/>
  <c r="H226" i="3" s="1"/>
  <c r="H230" i="3" s="1"/>
  <c r="H234" i="3" s="1"/>
  <c r="H238" i="3" s="1"/>
  <c r="H242" i="3" s="1"/>
  <c r="H246" i="3" s="1"/>
  <c r="H250" i="3" s="1"/>
  <c r="H254" i="3" s="1"/>
  <c r="H258" i="3" s="1"/>
  <c r="H262" i="3" s="1"/>
  <c r="H266" i="3" s="1"/>
  <c r="U196" i="3" a="1"/>
  <c r="U196" i="3" s="1"/>
  <c r="U197" i="3" s="1" a="1"/>
  <c r="U197" i="3" s="1"/>
  <c r="U198" i="3" s="1"/>
  <c r="E216" i="3" a="1"/>
  <c r="E216" i="3" s="1"/>
  <c r="Z216" i="3" a="1"/>
  <c r="Z216" i="3" s="1"/>
  <c r="V216" i="3" a="1"/>
  <c r="V216" i="3" s="1"/>
  <c r="H216" i="3" a="1"/>
  <c r="H216" i="3" s="1"/>
  <c r="G216" i="3" a="1"/>
  <c r="G216" i="3" s="1"/>
  <c r="AB216" i="3" a="1"/>
  <c r="AB216" i="3" s="1"/>
  <c r="AM216" i="3" a="1"/>
  <c r="AM216" i="3" s="1"/>
  <c r="I216" i="3" a="1"/>
  <c r="I216" i="3" s="1"/>
  <c r="X216" i="3" a="1"/>
  <c r="X216" i="3" s="1"/>
  <c r="AE216" i="3" a="1"/>
  <c r="AE216" i="3" s="1"/>
  <c r="AG216" i="3" a="1"/>
  <c r="AG216" i="3" s="1"/>
  <c r="J216" i="3" a="1"/>
  <c r="J216" i="3" s="1"/>
  <c r="K216" i="3" a="1"/>
  <c r="K216" i="3" s="1"/>
  <c r="AF216" i="3" a="1"/>
  <c r="AF216" i="3" s="1"/>
  <c r="N216" i="3" a="1"/>
  <c r="N216" i="3" s="1"/>
  <c r="AC216" i="3" a="1"/>
  <c r="AC216" i="3" s="1"/>
  <c r="S216" i="3" a="1"/>
  <c r="S216" i="3" s="1"/>
  <c r="Q216" i="3" a="1"/>
  <c r="Q216" i="3" s="1"/>
  <c r="Y216" i="3" a="1"/>
  <c r="Y216" i="3" s="1"/>
  <c r="AJ216" i="3" a="1"/>
  <c r="AJ216" i="3" s="1"/>
  <c r="P216" i="3" a="1"/>
  <c r="P216" i="3" s="1"/>
  <c r="AK216" i="3" a="1"/>
  <c r="AK216" i="3" s="1"/>
  <c r="R216" i="3" a="1"/>
  <c r="R216" i="3" s="1"/>
  <c r="AD216" i="3" a="1"/>
  <c r="AD216" i="3" s="1"/>
  <c r="AL216" i="3" a="1"/>
  <c r="AL216" i="3" s="1"/>
  <c r="AI216" i="3" a="1"/>
  <c r="AI216" i="3" s="1"/>
  <c r="T216" i="3" a="1"/>
  <c r="T216" i="3" s="1"/>
  <c r="L216" i="3" a="1"/>
  <c r="L216" i="3" s="1"/>
  <c r="U216" i="3" a="1"/>
  <c r="U216" i="3" s="1"/>
  <c r="M216" i="3" a="1"/>
  <c r="M216" i="3" s="1"/>
  <c r="AH216" i="3" a="1"/>
  <c r="AH216" i="3" s="1"/>
  <c r="W216" i="3" a="1"/>
  <c r="W216" i="3" s="1"/>
  <c r="Q190" i="3"/>
  <c r="Q194" i="3" s="1"/>
  <c r="Q198" i="3" s="1"/>
  <c r="Q202" i="3" s="1"/>
  <c r="Q206" i="3" s="1"/>
  <c r="Q210" i="3" s="1"/>
  <c r="I190" i="3"/>
  <c r="I194" i="3" s="1"/>
  <c r="I198" i="3" s="1"/>
  <c r="H18" i="4"/>
  <c r="H4" i="4"/>
  <c r="H20" i="4"/>
  <c r="H23" i="4"/>
  <c r="AD188" i="3" a="1"/>
  <c r="AD188" i="3" s="1"/>
  <c r="AD189" i="3" s="1" a="1"/>
  <c r="AD189" i="3" s="1"/>
  <c r="AD190" i="3" s="1"/>
  <c r="AD194" i="3" s="1"/>
  <c r="AD198" i="3" s="1"/>
  <c r="AE220" i="3" l="1" a="1"/>
  <c r="AE220" i="3" s="1"/>
  <c r="L220" i="3" a="1"/>
  <c r="L220" i="3" s="1"/>
  <c r="Q220" i="3" a="1"/>
  <c r="Q220" i="3" s="1"/>
  <c r="AC220" i="3" a="1"/>
  <c r="AC220" i="3" s="1"/>
  <c r="AG220" i="3" a="1"/>
  <c r="AG220" i="3" s="1"/>
  <c r="R220" i="3" a="1"/>
  <c r="R220" i="3" s="1"/>
  <c r="AH220" i="3" a="1"/>
  <c r="AH220" i="3" s="1"/>
  <c r="AI220" i="3" a="1"/>
  <c r="AI220" i="3" s="1"/>
  <c r="J220" i="3" a="1"/>
  <c r="J220" i="3" s="1"/>
  <c r="E220" i="3" a="1"/>
  <c r="E220" i="3" s="1"/>
  <c r="S220" i="3" a="1"/>
  <c r="S220" i="3" s="1"/>
  <c r="K220" i="3" a="1"/>
  <c r="K220" i="3" s="1"/>
  <c r="AJ220" i="3" a="1"/>
  <c r="AJ220" i="3" s="1"/>
  <c r="AF220" i="3" a="1"/>
  <c r="AF220" i="3" s="1"/>
  <c r="F220" i="3" a="1"/>
  <c r="F220" i="3" s="1"/>
  <c r="V220" i="3" a="1"/>
  <c r="V220" i="3" s="1"/>
  <c r="T220" i="3" a="1"/>
  <c r="T220" i="3" s="1"/>
  <c r="M220" i="3" a="1"/>
  <c r="M220" i="3" s="1"/>
  <c r="AL220" i="3" a="1"/>
  <c r="AL220" i="3" s="1"/>
  <c r="Y220" i="3" a="1"/>
  <c r="Y220" i="3" s="1"/>
  <c r="W220" i="3" a="1"/>
  <c r="W220" i="3" s="1"/>
  <c r="AK220" i="3" a="1"/>
  <c r="AK220" i="3" s="1"/>
  <c r="D220" i="3" a="1"/>
  <c r="D220" i="3" s="1"/>
  <c r="AM220" i="3" a="1"/>
  <c r="AM220" i="3" s="1"/>
  <c r="N220" i="3" a="1"/>
  <c r="N220" i="3" s="1"/>
  <c r="AB220" i="3" a="1"/>
  <c r="AB220" i="3" s="1"/>
  <c r="H220" i="3" a="1"/>
  <c r="H220" i="3" s="1"/>
  <c r="O220" i="3" a="1"/>
  <c r="O220" i="3" s="1"/>
  <c r="Z220" i="3" a="1"/>
  <c r="Z220" i="3" s="1"/>
  <c r="I220" i="3" a="1"/>
  <c r="I220" i="3" s="1"/>
  <c r="AD220" i="3" a="1"/>
  <c r="AD220" i="3" s="1"/>
  <c r="AA220" i="3" a="1"/>
  <c r="AA220" i="3" s="1"/>
  <c r="E200" i="3" a="1"/>
  <c r="E200" i="3" s="1"/>
  <c r="O200" i="3" a="1"/>
  <c r="O200" i="3" s="1"/>
  <c r="Z200" i="3" a="1"/>
  <c r="Z200" i="3" s="1"/>
  <c r="AL200" i="3" a="1"/>
  <c r="AL200" i="3" s="1"/>
  <c r="F200" i="3" a="1"/>
  <c r="F200" i="3" s="1"/>
  <c r="P200" i="3" a="1"/>
  <c r="P200" i="3" s="1"/>
  <c r="AA200" i="3" a="1"/>
  <c r="AA200" i="3" s="1"/>
  <c r="AM200" i="3" a="1"/>
  <c r="AM200" i="3" s="1"/>
  <c r="G200" i="3" a="1"/>
  <c r="G200" i="3" s="1"/>
  <c r="G201" i="3" s="1" a="1"/>
  <c r="G201" i="3" s="1"/>
  <c r="G202" i="3" s="1"/>
  <c r="G206" i="3" s="1"/>
  <c r="Q200" i="3" a="1"/>
  <c r="Q200" i="3" s="1"/>
  <c r="H200" i="3" a="1"/>
  <c r="H200" i="3" s="1"/>
  <c r="U200" i="3" a="1"/>
  <c r="U200" i="3" s="1"/>
  <c r="U201" i="3" s="1" a="1"/>
  <c r="U201" i="3" s="1"/>
  <c r="U202" i="3" s="1"/>
  <c r="AB200" i="3" a="1"/>
  <c r="AB200" i="3" s="1"/>
  <c r="R200" i="3" a="1"/>
  <c r="R200" i="3" s="1"/>
  <c r="AC200" i="3" a="1"/>
  <c r="AC200" i="3" s="1"/>
  <c r="AC201" i="3" s="1" a="1"/>
  <c r="AC201" i="3" s="1"/>
  <c r="AC202" i="3" s="1"/>
  <c r="AC206" i="3" s="1"/>
  <c r="V200" i="3" a="1"/>
  <c r="V200" i="3" s="1"/>
  <c r="S200" i="3" a="1"/>
  <c r="S200" i="3" s="1"/>
  <c r="S201" i="3" s="1" a="1"/>
  <c r="S201" i="3" s="1"/>
  <c r="S202" i="3" s="1"/>
  <c r="X200" i="3" a="1"/>
  <c r="X200" i="3" s="1"/>
  <c r="I200" i="3" a="1"/>
  <c r="I200" i="3" s="1"/>
  <c r="I201" i="3" s="1" a="1"/>
  <c r="I201" i="3" s="1"/>
  <c r="I202" i="3" s="1"/>
  <c r="I206" i="3" s="1"/>
  <c r="Y200" i="3" a="1"/>
  <c r="Y200" i="3" s="1"/>
  <c r="AD200" i="3" a="1"/>
  <c r="AD200" i="3" s="1"/>
  <c r="AD201" i="3" s="1" a="1"/>
  <c r="AD201" i="3" s="1"/>
  <c r="AD202" i="3" s="1"/>
  <c r="D200" i="3" a="1"/>
  <c r="D200" i="3" s="1"/>
  <c r="T200" i="3" a="1"/>
  <c r="T200" i="3" s="1"/>
  <c r="AE200" i="3" a="1"/>
  <c r="AE200" i="3" s="1"/>
  <c r="K200" i="3" a="1"/>
  <c r="K200" i="3" s="1"/>
  <c r="K201" i="3" s="1" a="1"/>
  <c r="K201" i="3" s="1"/>
  <c r="K202" i="3" s="1"/>
  <c r="K206" i="3" s="1"/>
  <c r="AF200" i="3" a="1"/>
  <c r="AF200" i="3" s="1"/>
  <c r="W200" i="3" a="1"/>
  <c r="W200" i="3" s="1"/>
  <c r="J200" i="3" a="1"/>
  <c r="J200" i="3" s="1"/>
  <c r="M200" i="3" a="1"/>
  <c r="M200" i="3" s="1"/>
  <c r="AG200" i="3" a="1"/>
  <c r="AG200" i="3" s="1"/>
  <c r="AH200" i="3" a="1"/>
  <c r="AH200" i="3" s="1"/>
  <c r="L200" i="3" a="1"/>
  <c r="L200" i="3" s="1"/>
  <c r="L201" i="3" s="1" a="1"/>
  <c r="L201" i="3" s="1"/>
  <c r="L202" i="3" s="1"/>
  <c r="N200" i="3" a="1"/>
  <c r="N200" i="3" s="1"/>
  <c r="AJ200" i="3" a="1"/>
  <c r="AJ200" i="3" s="1"/>
  <c r="AI200" i="3" a="1"/>
  <c r="AI200" i="3" s="1"/>
  <c r="AK200" i="3" a="1"/>
  <c r="AK200" i="3" s="1"/>
  <c r="AF212" i="3" a="1"/>
  <c r="AF212" i="3" s="1"/>
  <c r="AH212" i="3" a="1"/>
  <c r="AH212" i="3" s="1"/>
  <c r="AG212" i="3" a="1"/>
  <c r="AG212" i="3" s="1"/>
  <c r="I212" i="3" a="1"/>
  <c r="I212" i="3" s="1"/>
  <c r="E212" i="3" a="1"/>
  <c r="E212" i="3" s="1"/>
  <c r="P212" i="3" a="1"/>
  <c r="P212" i="3" s="1"/>
  <c r="U212" i="3" a="1"/>
  <c r="U212" i="3" s="1"/>
  <c r="H212" i="3" a="1"/>
  <c r="H212" i="3" s="1"/>
  <c r="T212" i="3" a="1"/>
  <c r="T212" i="3" s="1"/>
  <c r="AJ212" i="3" a="1"/>
  <c r="AJ212" i="3" s="1"/>
  <c r="K212" i="3" a="1"/>
  <c r="K212" i="3" s="1"/>
  <c r="W212" i="3" a="1"/>
  <c r="W212" i="3" s="1"/>
  <c r="AI212" i="3" a="1"/>
  <c r="AI212" i="3" s="1"/>
  <c r="AM212" i="3" a="1"/>
  <c r="AM212" i="3" s="1"/>
  <c r="D212" i="3" a="1"/>
  <c r="D212" i="3" s="1"/>
  <c r="AB212" i="3" a="1"/>
  <c r="AB212" i="3" s="1"/>
  <c r="R212" i="3" a="1"/>
  <c r="R212" i="3" s="1"/>
  <c r="AC212" i="3" a="1"/>
  <c r="AC212" i="3" s="1"/>
  <c r="F212" i="3" a="1"/>
  <c r="F212" i="3" s="1"/>
  <c r="G212" i="3" a="1"/>
  <c r="G212" i="3" s="1"/>
  <c r="S212" i="3" a="1"/>
  <c r="S212" i="3" s="1"/>
  <c r="J212" i="3" a="1"/>
  <c r="J212" i="3" s="1"/>
  <c r="V212" i="3" a="1"/>
  <c r="V212" i="3" s="1"/>
  <c r="AK212" i="3" a="1"/>
  <c r="AK212" i="3" s="1"/>
  <c r="L212" i="3" a="1"/>
  <c r="L212" i="3" s="1"/>
  <c r="AL212" i="3" a="1"/>
  <c r="AL212" i="3" s="1"/>
  <c r="M212" i="3" a="1"/>
  <c r="M212" i="3" s="1"/>
  <c r="AA212" i="3" a="1"/>
  <c r="AA212" i="3" s="1"/>
  <c r="Z212" i="3" a="1"/>
  <c r="Z212" i="3" s="1"/>
  <c r="AE212" i="3" a="1"/>
  <c r="AE212" i="3" s="1"/>
  <c r="N212" i="3" a="1"/>
  <c r="N212" i="3" s="1"/>
  <c r="AD212" i="3" a="1"/>
  <c r="AD212" i="3" s="1"/>
  <c r="AM204" i="3" l="1" a="1"/>
  <c r="AM204" i="3" s="1"/>
  <c r="M204" i="3" a="1"/>
  <c r="M204" i="3" s="1"/>
  <c r="Q204" i="3" a="1"/>
  <c r="Q204" i="3" s="1"/>
  <c r="W204" i="3" a="1"/>
  <c r="W204" i="3" s="1"/>
  <c r="AA204" i="3" a="1"/>
  <c r="AA204" i="3" s="1"/>
  <c r="D204" i="3" a="1"/>
  <c r="D204" i="3" s="1"/>
  <c r="AI204" i="3" a="1"/>
  <c r="AI204" i="3" s="1"/>
  <c r="AD204" i="3" a="1"/>
  <c r="AD204" i="3" s="1"/>
  <c r="AD205" i="3" s="1" a="1"/>
  <c r="AD205" i="3" s="1"/>
  <c r="AD206" i="3" s="1"/>
  <c r="AD210" i="3" s="1"/>
  <c r="AD214" i="3" s="1"/>
  <c r="AD218" i="3" s="1"/>
  <c r="AD222" i="3" s="1"/>
  <c r="AH204" i="3" a="1"/>
  <c r="AH204" i="3" s="1"/>
  <c r="Y204" i="3" a="1"/>
  <c r="Y204" i="3" s="1"/>
  <c r="AC204" i="3" a="1"/>
  <c r="AC204" i="3" s="1"/>
  <c r="AL204" i="3" a="1"/>
  <c r="AL204" i="3" s="1"/>
  <c r="AE204" i="3" a="1"/>
  <c r="AE204" i="3" s="1"/>
  <c r="AK204" i="3" a="1"/>
  <c r="AK204" i="3" s="1"/>
  <c r="U204" i="3" a="1"/>
  <c r="U204" i="3" s="1"/>
  <c r="U205" i="3" s="1" a="1"/>
  <c r="U205" i="3" s="1"/>
  <c r="U206" i="3" s="1"/>
  <c r="U210" i="3" s="1"/>
  <c r="U214" i="3" s="1"/>
  <c r="U218" i="3" s="1"/>
  <c r="G204" i="3" a="1"/>
  <c r="G204" i="3" s="1"/>
  <c r="H204" i="3" a="1"/>
  <c r="H204" i="3" s="1"/>
  <c r="E204" i="3" a="1"/>
  <c r="E204" i="3" s="1"/>
  <c r="T204" i="3" a="1"/>
  <c r="T204" i="3" s="1"/>
  <c r="J204" i="3" a="1"/>
  <c r="J204" i="3" s="1"/>
  <c r="K204" i="3" a="1"/>
  <c r="K204" i="3" s="1"/>
  <c r="AB204" i="3" a="1"/>
  <c r="AB204" i="3" s="1"/>
  <c r="Z204" i="3" a="1"/>
  <c r="Z204" i="3" s="1"/>
  <c r="AF204" i="3" a="1"/>
  <c r="AF204" i="3" s="1"/>
  <c r="X204" i="3" a="1"/>
  <c r="X204" i="3" s="1"/>
  <c r="S204" i="3" a="1"/>
  <c r="S204" i="3" s="1"/>
  <c r="S205" i="3" s="1" a="1"/>
  <c r="S205" i="3" s="1"/>
  <c r="S206" i="3" s="1"/>
  <c r="S210" i="3" s="1"/>
  <c r="S214" i="3" s="1"/>
  <c r="S218" i="3" s="1"/>
  <c r="S222" i="3" s="1"/>
  <c r="S226" i="3" s="1"/>
  <c r="F204" i="3" a="1"/>
  <c r="F204" i="3" s="1"/>
  <c r="L204" i="3" a="1"/>
  <c r="L204" i="3" s="1"/>
  <c r="L205" i="3" s="1" a="1"/>
  <c r="L205" i="3" s="1"/>
  <c r="L206" i="3" s="1"/>
  <c r="L210" i="3" s="1"/>
  <c r="L214" i="3" s="1"/>
  <c r="L218" i="3" s="1"/>
  <c r="L222" i="3" s="1"/>
  <c r="L226" i="3" s="1"/>
  <c r="L230" i="3" s="1"/>
  <c r="L234" i="3" s="1"/>
  <c r="L238" i="3" s="1"/>
  <c r="L242" i="3" s="1"/>
  <c r="L246" i="3" s="1"/>
  <c r="L250" i="3" s="1"/>
  <c r="L254" i="3" s="1"/>
  <c r="L258" i="3" s="1"/>
  <c r="L262" i="3" s="1"/>
  <c r="L266" i="3" s="1"/>
  <c r="L270" i="3" s="1"/>
  <c r="L274" i="3" s="1"/>
  <c r="L278" i="3" s="1"/>
  <c r="L282" i="3" s="1"/>
  <c r="L286" i="3" s="1"/>
  <c r="L290" i="3" s="1"/>
  <c r="L294" i="3" s="1"/>
  <c r="L298" i="3" s="1"/>
  <c r="L302" i="3" s="1"/>
  <c r="P204" i="3" a="1"/>
  <c r="P204" i="3" s="1"/>
  <c r="I204" i="3" a="1"/>
  <c r="I204" i="3" s="1"/>
  <c r="AG204" i="3" a="1"/>
  <c r="AG204" i="3" s="1"/>
  <c r="AJ204" i="3" a="1"/>
  <c r="AJ204" i="3" s="1"/>
  <c r="N204" i="3" a="1"/>
  <c r="N204" i="3" s="1"/>
  <c r="N205" i="3" s="1" a="1"/>
  <c r="N205" i="3" s="1"/>
  <c r="N206" i="3" s="1"/>
  <c r="O204" i="3" a="1"/>
  <c r="O204" i="3" s="1"/>
  <c r="O205" i="3" s="1" a="1"/>
  <c r="O205" i="3" s="1"/>
  <c r="O206" i="3" s="1"/>
  <c r="R204" i="3" a="1"/>
  <c r="R204" i="3" s="1"/>
  <c r="R205" i="3" s="1" a="1"/>
  <c r="R205" i="3" s="1"/>
  <c r="R206" i="3" s="1"/>
  <c r="V204" i="3" a="1"/>
  <c r="V204" i="3" s="1"/>
  <c r="V205" i="3" s="1" a="1"/>
  <c r="V205" i="3" s="1"/>
  <c r="V206" i="3" s="1"/>
  <c r="Z208" i="3" l="1" a="1"/>
  <c r="Z208" i="3" s="1"/>
  <c r="P208" i="3" a="1"/>
  <c r="P208" i="3" s="1"/>
  <c r="H208" i="3" a="1"/>
  <c r="H208" i="3" s="1"/>
  <c r="E208" i="3" a="1"/>
  <c r="E208" i="3" s="1"/>
  <c r="S208" i="3" a="1"/>
  <c r="S208" i="3" s="1"/>
  <c r="D208" i="3" a="1"/>
  <c r="D208" i="3" s="1"/>
  <c r="AH208" i="3" a="1"/>
  <c r="AH208" i="3" s="1"/>
  <c r="N208" i="3" a="1"/>
  <c r="N208" i="3" s="1"/>
  <c r="N209" i="3" s="1" a="1"/>
  <c r="N209" i="3" s="1"/>
  <c r="N210" i="3" s="1"/>
  <c r="N214" i="3" s="1"/>
  <c r="N218" i="3" s="1"/>
  <c r="N222" i="3" s="1"/>
  <c r="N226" i="3" s="1"/>
  <c r="N230" i="3" s="1"/>
  <c r="N234" i="3" s="1"/>
  <c r="N238" i="3" s="1"/>
  <c r="N242" i="3" s="1"/>
  <c r="N246" i="3" s="1"/>
  <c r="AD208" i="3" a="1"/>
  <c r="AD208" i="3" s="1"/>
  <c r="V208" i="3" a="1"/>
  <c r="V208" i="3" s="1"/>
  <c r="V209" i="3" s="1" a="1"/>
  <c r="V209" i="3" s="1"/>
  <c r="V210" i="3" s="1"/>
  <c r="V214" i="3" s="1"/>
  <c r="V218" i="3" s="1"/>
  <c r="V222" i="3" s="1"/>
  <c r="V226" i="3" s="1"/>
  <c r="V230" i="3" s="1"/>
  <c r="V234" i="3" s="1"/>
  <c r="V238" i="3" s="1"/>
  <c r="V242" i="3" s="1"/>
  <c r="V246" i="3" s="1"/>
  <c r="AJ208" i="3" a="1"/>
  <c r="AJ208" i="3" s="1"/>
  <c r="AA208" i="3" a="1"/>
  <c r="AA208" i="3" s="1"/>
  <c r="AG208" i="3" a="1"/>
  <c r="AG208" i="3" s="1"/>
  <c r="AF208" i="3" a="1"/>
  <c r="AF208" i="3" s="1"/>
  <c r="F208" i="3" a="1"/>
  <c r="F208" i="3" s="1"/>
  <c r="L208" i="3" a="1"/>
  <c r="L208" i="3" s="1"/>
  <c r="T208" i="3" a="1"/>
  <c r="T208" i="3" s="1"/>
  <c r="AK208" i="3" a="1"/>
  <c r="AK208" i="3" s="1"/>
  <c r="AI208" i="3" a="1"/>
  <c r="AI208" i="3" s="1"/>
  <c r="J208" i="3" a="1"/>
  <c r="J208" i="3" s="1"/>
  <c r="AB208" i="3" a="1"/>
  <c r="AB208" i="3" s="1"/>
  <c r="AE208" i="3" a="1"/>
  <c r="AE208" i="3" s="1"/>
  <c r="U208" i="3" a="1"/>
  <c r="U208" i="3" s="1"/>
  <c r="O208" i="3" a="1"/>
  <c r="O208" i="3" s="1"/>
  <c r="O209" i="3" s="1" a="1"/>
  <c r="O209" i="3" s="1"/>
  <c r="O210" i="3" s="1"/>
  <c r="X208" i="3" a="1"/>
  <c r="X208" i="3" s="1"/>
  <c r="AM208" i="3" a="1"/>
  <c r="AM208" i="3" s="1"/>
  <c r="W208" i="3" a="1"/>
  <c r="W208" i="3" s="1"/>
  <c r="Y208" i="3" a="1"/>
  <c r="Y208" i="3" s="1"/>
  <c r="AL208" i="3" a="1"/>
  <c r="AL208" i="3" s="1"/>
  <c r="R208" i="3" a="1"/>
  <c r="R208" i="3" s="1"/>
  <c r="R209" i="3" s="1" a="1"/>
  <c r="R209" i="3" s="1"/>
  <c r="R210" i="3" s="1"/>
  <c r="R214" i="3" s="1"/>
  <c r="R218" i="3" s="1"/>
  <c r="R222" i="3" s="1"/>
  <c r="R226" i="3" s="1"/>
  <c r="Q208" i="3" a="1"/>
  <c r="Q208" i="3" s="1"/>
  <c r="M208" i="3" a="1"/>
  <c r="M208" i="3" s="1"/>
  <c r="G208" i="3" a="1"/>
  <c r="G208" i="3" s="1"/>
  <c r="G209" i="3" s="1" a="1"/>
  <c r="G209" i="3" s="1"/>
  <c r="G210" i="3" s="1"/>
  <c r="G214" i="3" s="1"/>
  <c r="G218" i="3" s="1"/>
  <c r="I208" i="3" a="1"/>
  <c r="I208" i="3" s="1"/>
  <c r="I209" i="3" s="1" a="1"/>
  <c r="I209" i="3" s="1"/>
  <c r="I210" i="3" s="1"/>
  <c r="I214" i="3" s="1"/>
  <c r="I218" i="3" s="1"/>
  <c r="I222" i="3" s="1"/>
  <c r="I226" i="3" s="1"/>
  <c r="I230" i="3" s="1"/>
  <c r="I234" i="3" s="1"/>
  <c r="I238" i="3" s="1"/>
  <c r="I242" i="3" s="1"/>
  <c r="I246" i="3" s="1"/>
  <c r="I250" i="3" s="1"/>
  <c r="K208" i="3" a="1"/>
  <c r="K208" i="3" s="1"/>
  <c r="K209" i="3" s="1" a="1"/>
  <c r="K209" i="3" s="1"/>
  <c r="K210" i="3" s="1"/>
  <c r="K214" i="3" s="1"/>
  <c r="K218" i="3" s="1"/>
  <c r="K222" i="3" s="1"/>
  <c r="K226" i="3" s="1"/>
  <c r="K230" i="3" s="1"/>
  <c r="K234" i="3" s="1"/>
  <c r="K238" i="3" s="1"/>
  <c r="K242" i="3" s="1"/>
  <c r="K246" i="3" s="1"/>
  <c r="AC208" i="3" a="1"/>
  <c r="AC208" i="3" s="1"/>
  <c r="AC209" i="3" s="1" a="1"/>
  <c r="AC209" i="3" s="1"/>
  <c r="AC210" i="3" s="1"/>
  <c r="AC214" i="3" s="1"/>
  <c r="AC218" i="3" s="1"/>
  <c r="AC222" i="3" s="1"/>
  <c r="AC226" i="3" s="1"/>
  <c r="X260" i="3" a="1"/>
  <c r="X260" i="3" s="1"/>
  <c r="J260" i="3" a="1"/>
  <c r="J260" i="3" s="1"/>
  <c r="AE260" i="3" a="1"/>
  <c r="AE260" i="3" s="1"/>
  <c r="L260" i="3" a="1"/>
  <c r="L260" i="3" s="1"/>
  <c r="D260" i="3" a="1"/>
  <c r="D260" i="3" s="1"/>
  <c r="AG260" i="3" a="1"/>
  <c r="AG260" i="3" s="1"/>
  <c r="E260" i="3" a="1"/>
  <c r="E260" i="3" s="1"/>
  <c r="AF260" i="3" a="1"/>
  <c r="AF260" i="3" s="1"/>
  <c r="AB260" i="3" a="1"/>
  <c r="AB260" i="3" s="1"/>
  <c r="R260" i="3" a="1"/>
  <c r="R260" i="3" s="1"/>
  <c r="AM260" i="3" a="1"/>
  <c r="AM260" i="3" s="1"/>
  <c r="AH260" i="3" a="1"/>
  <c r="AH260" i="3" s="1"/>
  <c r="M260" i="3" a="1"/>
  <c r="M260" i="3" s="1"/>
  <c r="N260" i="3" a="1"/>
  <c r="N260" i="3" s="1"/>
  <c r="V260" i="3" a="1"/>
  <c r="V260" i="3" s="1"/>
  <c r="W260" i="3" a="1"/>
  <c r="W260" i="3" s="1"/>
  <c r="AJ260" i="3" a="1"/>
  <c r="AJ260" i="3" s="1"/>
  <c r="P260" i="3" a="1"/>
  <c r="P260" i="3" s="1"/>
  <c r="Z260" i="3" a="1"/>
  <c r="Z260" i="3" s="1"/>
  <c r="AK260" i="3" a="1"/>
  <c r="AK260" i="3" s="1"/>
  <c r="AC260" i="3" a="1"/>
  <c r="AC260" i="3" s="1"/>
  <c r="F260" i="3" a="1"/>
  <c r="F260" i="3" s="1"/>
  <c r="AA260" i="3" a="1"/>
  <c r="AA260" i="3" s="1"/>
  <c r="Q260" i="3" a="1"/>
  <c r="Q260" i="3" s="1"/>
  <c r="AL260" i="3" a="1"/>
  <c r="AL260" i="3" s="1"/>
  <c r="G260" i="3" a="1"/>
  <c r="G260" i="3" s="1"/>
  <c r="H260" i="3" a="1"/>
  <c r="H260" i="3" s="1"/>
  <c r="S260" i="3" a="1"/>
  <c r="S260" i="3" s="1"/>
  <c r="I260" i="3" a="1"/>
  <c r="I260" i="3" s="1"/>
  <c r="AD260" i="3" a="1"/>
  <c r="AD260" i="3" s="1"/>
  <c r="T260" i="3" a="1"/>
  <c r="T260" i="3" s="1"/>
  <c r="K260" i="3" a="1"/>
  <c r="K260" i="3" s="1"/>
  <c r="H228" i="3" a="1"/>
  <c r="H228" i="3" s="1"/>
  <c r="AJ228" i="3" a="1"/>
  <c r="AJ228" i="3" s="1"/>
  <c r="T228" i="3" a="1"/>
  <c r="T228" i="3" s="1"/>
  <c r="AE228" i="3" a="1"/>
  <c r="AE228" i="3" s="1"/>
  <c r="AK228" i="3" a="1"/>
  <c r="AK228" i="3" s="1"/>
  <c r="AG228" i="3" a="1"/>
  <c r="AG228" i="3" s="1"/>
  <c r="G228" i="3" a="1"/>
  <c r="G228" i="3" s="1"/>
  <c r="AI228" i="3" a="1"/>
  <c r="AI228" i="3" s="1"/>
  <c r="AD228" i="3" a="1"/>
  <c r="AD228" i="3" s="1"/>
  <c r="P228" i="3" a="1"/>
  <c r="P228" i="3" s="1"/>
  <c r="Q228" i="3" a="1"/>
  <c r="Q228" i="3" s="1"/>
  <c r="E228" i="3" a="1"/>
  <c r="E228" i="3" s="1"/>
  <c r="M228" i="3" a="1"/>
  <c r="M228" i="3" s="1"/>
  <c r="U228" i="3" a="1"/>
  <c r="U228" i="3" s="1"/>
  <c r="X228" i="3" a="1"/>
  <c r="X228" i="3" s="1"/>
  <c r="AF228" i="3" a="1"/>
  <c r="AF228" i="3" s="1"/>
  <c r="K228" i="3" a="1"/>
  <c r="K228" i="3" s="1"/>
  <c r="Z228" i="3" a="1"/>
  <c r="Z228" i="3" s="1"/>
  <c r="AB228" i="3" a="1"/>
  <c r="AB228" i="3" s="1"/>
  <c r="AH228" i="3" a="1"/>
  <c r="AH228" i="3" s="1"/>
  <c r="AL228" i="3" a="1"/>
  <c r="AL228" i="3" s="1"/>
  <c r="L228" i="3" a="1"/>
  <c r="L228" i="3" s="1"/>
  <c r="AA228" i="3" a="1"/>
  <c r="AA228" i="3" s="1"/>
  <c r="O228" i="3" a="1"/>
  <c r="O228" i="3" s="1"/>
  <c r="W228" i="3" a="1"/>
  <c r="W228" i="3" s="1"/>
  <c r="F228" i="3" a="1"/>
  <c r="F228" i="3" s="1"/>
  <c r="N228" i="3" a="1"/>
  <c r="N228" i="3" s="1"/>
  <c r="AM228" i="3" a="1"/>
  <c r="AM228" i="3" s="1"/>
  <c r="I228" i="3" a="1"/>
  <c r="I228" i="3" s="1"/>
  <c r="V228" i="3" a="1"/>
  <c r="V228" i="3" s="1"/>
  <c r="Y228" i="3" a="1"/>
  <c r="Y228" i="3" s="1"/>
  <c r="J228" i="3" a="1"/>
  <c r="J228" i="3" s="1"/>
  <c r="F268" i="3" a="1"/>
  <c r="F268" i="3" s="1"/>
  <c r="AF268" i="3" a="1"/>
  <c r="AF268" i="3" s="1"/>
  <c r="AE268" i="3" a="1"/>
  <c r="AE268" i="3" s="1"/>
  <c r="T268" i="3" a="1"/>
  <c r="T268" i="3" s="1"/>
  <c r="R268" i="3" a="1"/>
  <c r="R268" i="3" s="1"/>
  <c r="X268" i="3" a="1"/>
  <c r="X268" i="3" s="1"/>
  <c r="AL268" i="3" a="1"/>
  <c r="AL268" i="3" s="1"/>
  <c r="Y268" i="3" a="1"/>
  <c r="Y268" i="3" s="1"/>
  <c r="M268" i="3" a="1"/>
  <c r="M268" i="3" s="1"/>
  <c r="AJ268" i="3" a="1"/>
  <c r="AJ268" i="3" s="1"/>
  <c r="J268" i="3" a="1"/>
  <c r="J268" i="3" s="1"/>
  <c r="D268" i="3" a="1"/>
  <c r="D268" i="3" s="1"/>
  <c r="P268" i="3" a="1"/>
  <c r="P268" i="3" s="1"/>
  <c r="N268" i="3" a="1"/>
  <c r="N268" i="3" s="1"/>
  <c r="AH268" i="3" a="1"/>
  <c r="AH268" i="3" s="1"/>
  <c r="V268" i="3" a="1"/>
  <c r="V268" i="3" s="1"/>
  <c r="AG268" i="3" a="1"/>
  <c r="AG268" i="3" s="1"/>
  <c r="AA268" i="3" a="1"/>
  <c r="AA268" i="3" s="1"/>
  <c r="W268" i="3" a="1"/>
  <c r="W268" i="3" s="1"/>
  <c r="AC268" i="3" a="1"/>
  <c r="AC268" i="3" s="1"/>
  <c r="G268" i="3" a="1"/>
  <c r="G268" i="3" s="1"/>
  <c r="AI268" i="3" a="1"/>
  <c r="AI268" i="3" s="1"/>
  <c r="O268" i="3" a="1"/>
  <c r="O268" i="3" s="1"/>
  <c r="L268" i="3" a="1"/>
  <c r="L268" i="3" s="1"/>
  <c r="S268" i="3" a="1"/>
  <c r="S268" i="3" s="1"/>
  <c r="AB268" i="3" a="1"/>
  <c r="AB268" i="3" s="1"/>
  <c r="Z268" i="3" a="1"/>
  <c r="Z268" i="3" s="1"/>
  <c r="AD268" i="3" a="1"/>
  <c r="AD268" i="3" s="1"/>
  <c r="U268" i="3" a="1"/>
  <c r="U268" i="3" s="1"/>
  <c r="AM268" i="3" a="1"/>
  <c r="AM268" i="3" s="1"/>
  <c r="I268" i="3" a="1"/>
  <c r="I268" i="3" s="1"/>
  <c r="AK268" i="3" a="1"/>
  <c r="AK268" i="3" s="1"/>
  <c r="AF252" i="3" a="1"/>
  <c r="AF252" i="3" s="1"/>
  <c r="AA252" i="3" a="1"/>
  <c r="AA252" i="3" s="1"/>
  <c r="V252" i="3" a="1"/>
  <c r="V252" i="3" s="1"/>
  <c r="AG252" i="3" a="1"/>
  <c r="AG252" i="3" s="1"/>
  <c r="L252" i="3" a="1"/>
  <c r="L252" i="3" s="1"/>
  <c r="K252" i="3" a="1"/>
  <c r="K252" i="3" s="1"/>
  <c r="AC252" i="3" a="1"/>
  <c r="AC252" i="3" s="1"/>
  <c r="N252" i="3" a="1"/>
  <c r="N252" i="3" s="1"/>
  <c r="AI252" i="3" a="1"/>
  <c r="AI252" i="3" s="1"/>
  <c r="S252" i="3" a="1"/>
  <c r="S252" i="3" s="1"/>
  <c r="O252" i="3" a="1"/>
  <c r="O252" i="3" s="1"/>
  <c r="Q252" i="3" a="1"/>
  <c r="Q252" i="3" s="1"/>
  <c r="AL252" i="3" a="1"/>
  <c r="AL252" i="3" s="1"/>
  <c r="Z252" i="3" a="1"/>
  <c r="Z252" i="3" s="1"/>
  <c r="M252" i="3" a="1"/>
  <c r="M252" i="3" s="1"/>
  <c r="E252" i="3" a="1"/>
  <c r="E252" i="3" s="1"/>
  <c r="J252" i="3" a="1"/>
  <c r="J252" i="3" s="1"/>
  <c r="P252" i="3" a="1"/>
  <c r="P252" i="3" s="1"/>
  <c r="AB252" i="3" a="1"/>
  <c r="AB252" i="3" s="1"/>
  <c r="R252" i="3" a="1"/>
  <c r="R252" i="3" s="1"/>
  <c r="AH252" i="3" a="1"/>
  <c r="AH252" i="3" s="1"/>
  <c r="AK252" i="3" a="1"/>
  <c r="AK252" i="3" s="1"/>
  <c r="AJ252" i="3" a="1"/>
  <c r="AJ252" i="3" s="1"/>
  <c r="W252" i="3" a="1"/>
  <c r="W252" i="3" s="1"/>
  <c r="AM252" i="3" a="1"/>
  <c r="AM252" i="3" s="1"/>
  <c r="H252" i="3" a="1"/>
  <c r="H252" i="3" s="1"/>
  <c r="AD252" i="3" a="1"/>
  <c r="AD252" i="3" s="1"/>
  <c r="Y252" i="3" a="1"/>
  <c r="Y252" i="3" s="1"/>
  <c r="AE252" i="3" a="1"/>
  <c r="AE252" i="3" s="1"/>
  <c r="U252" i="3" a="1"/>
  <c r="U252" i="3" s="1"/>
  <c r="X252" i="3" a="1"/>
  <c r="X252" i="3" s="1"/>
  <c r="D252" i="3" a="1"/>
  <c r="D252" i="3" s="1"/>
  <c r="Q212" i="3" l="1" a="1"/>
  <c r="Q212" i="3" s="1"/>
  <c r="Q213" i="3" s="1" a="1"/>
  <c r="Q213" i="3" s="1"/>
  <c r="Q214" i="3" s="1"/>
  <c r="Q218" i="3" s="1"/>
  <c r="Q222" i="3" s="1"/>
  <c r="Y212" i="3" a="1"/>
  <c r="Y212" i="3" s="1"/>
  <c r="Y213" i="3" s="1" a="1"/>
  <c r="Y213" i="3" s="1"/>
  <c r="Y214" i="3" s="1"/>
  <c r="Y218" i="3" s="1"/>
  <c r="Y222" i="3" s="1"/>
  <c r="Y224" i="3" s="1" a="1"/>
  <c r="Y224" i="3" s="1"/>
  <c r="Y225" i="3" s="1" a="1"/>
  <c r="Y225" i="3" s="1"/>
  <c r="Y226" i="3" s="1"/>
  <c r="Y230" i="3" s="1"/>
  <c r="Y234" i="3" s="1"/>
  <c r="Y238" i="3" s="1"/>
  <c r="Y242" i="3" s="1"/>
  <c r="Y246" i="3" s="1"/>
  <c r="Y250" i="3" s="1"/>
  <c r="Y254" i="3" s="1"/>
  <c r="Y258" i="3" s="1"/>
  <c r="O212" i="3" a="1"/>
  <c r="O212" i="3" s="1"/>
  <c r="O213" i="3" s="1" a="1"/>
  <c r="O213" i="3" s="1"/>
  <c r="O214" i="3" s="1"/>
  <c r="X212" i="3" a="1"/>
  <c r="X212" i="3" s="1"/>
  <c r="X213" i="3" s="1" a="1"/>
  <c r="X213" i="3" s="1"/>
  <c r="X214" i="3" s="1"/>
  <c r="X218" i="3" s="1"/>
  <c r="X220" i="3" s="1" a="1"/>
  <c r="X220" i="3" s="1"/>
  <c r="X221" i="3" s="1" a="1"/>
  <c r="X221" i="3" s="1"/>
  <c r="X222" i="3" s="1"/>
  <c r="X226" i="3" s="1"/>
  <c r="X230" i="3" s="1"/>
  <c r="X234" i="3" s="1"/>
  <c r="X238" i="3" s="1"/>
  <c r="X242" i="3" s="1"/>
  <c r="X246" i="3" s="1"/>
  <c r="X250" i="3" s="1"/>
  <c r="X254" i="3" s="1"/>
  <c r="J248" i="3" a="1"/>
  <c r="J248" i="3" s="1"/>
  <c r="AM248" i="3" a="1"/>
  <c r="AM248" i="3" s="1"/>
  <c r="S248" i="3" a="1"/>
  <c r="S248" i="3" s="1"/>
  <c r="AK248" i="3" a="1"/>
  <c r="AK248" i="3" s="1"/>
  <c r="W248" i="3" a="1"/>
  <c r="W248" i="3" s="1"/>
  <c r="O248" i="3" a="1"/>
  <c r="O248" i="3" s="1"/>
  <c r="AE248" i="3" a="1"/>
  <c r="AE248" i="3" s="1"/>
  <c r="Z248" i="3" a="1"/>
  <c r="Z248" i="3" s="1"/>
  <c r="I248" i="3" a="1"/>
  <c r="I248" i="3" s="1"/>
  <c r="F248" i="3" a="1"/>
  <c r="F248" i="3" s="1"/>
  <c r="M248" i="3" a="1"/>
  <c r="M248" i="3" s="1"/>
  <c r="AJ248" i="3" a="1"/>
  <c r="AJ248" i="3" s="1"/>
  <c r="U248" i="3" a="1"/>
  <c r="U248" i="3" s="1"/>
  <c r="AH248" i="3" a="1"/>
  <c r="AH248" i="3" s="1"/>
  <c r="AD248" i="3" a="1"/>
  <c r="AD248" i="3" s="1"/>
  <c r="Q248" i="3" a="1"/>
  <c r="Q248" i="3" s="1"/>
  <c r="X248" i="3" a="1"/>
  <c r="X248" i="3" s="1"/>
  <c r="E248" i="3" a="1"/>
  <c r="E248" i="3" s="1"/>
  <c r="AF248" i="3" a="1"/>
  <c r="AF248" i="3" s="1"/>
  <c r="R248" i="3" a="1"/>
  <c r="R248" i="3" s="1"/>
  <c r="T248" i="3" a="1"/>
  <c r="T248" i="3" s="1"/>
  <c r="AL248" i="3" a="1"/>
  <c r="AL248" i="3" s="1"/>
  <c r="AI248" i="3" a="1"/>
  <c r="AI248" i="3" s="1"/>
  <c r="P248" i="3" a="1"/>
  <c r="P248" i="3" s="1"/>
  <c r="AB248" i="3" a="1"/>
  <c r="AB248" i="3" s="1"/>
  <c r="AC248" i="3" a="1"/>
  <c r="AC248" i="3" s="1"/>
  <c r="G248" i="3" a="1"/>
  <c r="G248" i="3" s="1"/>
  <c r="D248" i="3" a="1"/>
  <c r="D248" i="3" s="1"/>
  <c r="L248" i="3" a="1"/>
  <c r="L248" i="3" s="1"/>
  <c r="H248" i="3" a="1"/>
  <c r="H248" i="3" s="1"/>
  <c r="AG248" i="3" a="1"/>
  <c r="AG248" i="3" s="1"/>
  <c r="Y248" i="3" a="1"/>
  <c r="Y248" i="3" s="1"/>
  <c r="G220" i="3" a="1"/>
  <c r="G220" i="3" s="1"/>
  <c r="G221" i="3" s="1" a="1"/>
  <c r="G221" i="3" s="1"/>
  <c r="G222" i="3" s="1"/>
  <c r="G226" i="3" s="1"/>
  <c r="G230" i="3" s="1"/>
  <c r="G234" i="3" s="1"/>
  <c r="G238" i="3" s="1"/>
  <c r="P220" i="3" a="1"/>
  <c r="P220" i="3" s="1"/>
  <c r="P221" i="3" s="1" a="1"/>
  <c r="P221" i="3" s="1"/>
  <c r="P222" i="3" s="1"/>
  <c r="P226" i="3" s="1"/>
  <c r="P230" i="3" s="1"/>
  <c r="P234" i="3" s="1"/>
  <c r="P238" i="3" s="1"/>
  <c r="P242" i="3" s="1"/>
  <c r="P246" i="3" s="1"/>
  <c r="P250" i="3" s="1"/>
  <c r="P254" i="3" s="1"/>
  <c r="P258" i="3" s="1"/>
  <c r="P262" i="3" s="1"/>
  <c r="P266" i="3" s="1"/>
  <c r="P270" i="3" s="1"/>
  <c r="P274" i="3" s="1"/>
  <c r="P278" i="3" s="1"/>
  <c r="P282" i="3" s="1"/>
  <c r="P286" i="3" s="1"/>
  <c r="P290" i="3" s="1"/>
  <c r="P294" i="3" s="1"/>
  <c r="P298" i="3" s="1"/>
  <c r="P302" i="3" s="1"/>
  <c r="P306" i="3" s="1"/>
  <c r="U220" i="3" a="1"/>
  <c r="U220" i="3" s="1"/>
  <c r="U221" i="3" s="1" a="1"/>
  <c r="U221" i="3" s="1"/>
  <c r="U222" i="3" s="1"/>
  <c r="U226" i="3" s="1"/>
  <c r="U230" i="3" s="1"/>
  <c r="AJ256" i="3" a="1"/>
  <c r="AJ256" i="3" s="1"/>
  <c r="G256" i="3" a="1"/>
  <c r="G256" i="3" s="1"/>
  <c r="AL256" i="3" a="1"/>
  <c r="AL256" i="3" s="1"/>
  <c r="Q256" i="3" a="1"/>
  <c r="Q256" i="3" s="1"/>
  <c r="H256" i="3" a="1"/>
  <c r="H256" i="3" s="1"/>
  <c r="AD256" i="3" a="1"/>
  <c r="AD256" i="3" s="1"/>
  <c r="AC256" i="3" a="1"/>
  <c r="AC256" i="3" s="1"/>
  <c r="K256" i="3" a="1"/>
  <c r="K256" i="3" s="1"/>
  <c r="O256" i="3" a="1"/>
  <c r="O256" i="3" s="1"/>
  <c r="AI256" i="3" a="1"/>
  <c r="AI256" i="3" s="1"/>
  <c r="AB256" i="3" a="1"/>
  <c r="AB256" i="3" s="1"/>
  <c r="M256" i="3" a="1"/>
  <c r="M256" i="3" s="1"/>
  <c r="T256" i="3" a="1"/>
  <c r="T256" i="3" s="1"/>
  <c r="AH256" i="3" a="1"/>
  <c r="AH256" i="3" s="1"/>
  <c r="W256" i="3" a="1"/>
  <c r="W256" i="3" s="1"/>
  <c r="AM256" i="3" a="1"/>
  <c r="AM256" i="3" s="1"/>
  <c r="Y256" i="3" a="1"/>
  <c r="Y256" i="3" s="1"/>
  <c r="L256" i="3" a="1"/>
  <c r="L256" i="3" s="1"/>
  <c r="AG256" i="3" a="1"/>
  <c r="AG256" i="3" s="1"/>
  <c r="AF256" i="3" a="1"/>
  <c r="AF256" i="3" s="1"/>
  <c r="P256" i="3" a="1"/>
  <c r="P256" i="3" s="1"/>
  <c r="N256" i="3" a="1"/>
  <c r="N256" i="3" s="1"/>
  <c r="F256" i="3" a="1"/>
  <c r="F256" i="3" s="1"/>
  <c r="AK256" i="3" a="1"/>
  <c r="AK256" i="3" s="1"/>
  <c r="AA256" i="3" a="1"/>
  <c r="AA256" i="3" s="1"/>
  <c r="V256" i="3" a="1"/>
  <c r="V256" i="3" s="1"/>
  <c r="Z256" i="3" a="1"/>
  <c r="Z256" i="3" s="1"/>
  <c r="J256" i="3" a="1"/>
  <c r="J256" i="3" s="1"/>
  <c r="U256" i="3" a="1"/>
  <c r="U256" i="3" s="1"/>
  <c r="AE256" i="3" a="1"/>
  <c r="AE256" i="3" s="1"/>
  <c r="E256" i="3" a="1"/>
  <c r="E256" i="3" s="1"/>
  <c r="O216" i="3" l="1" a="1"/>
  <c r="O216" i="3" s="1"/>
  <c r="O217" i="3" s="1" a="1"/>
  <c r="O217" i="3" s="1"/>
  <c r="O218" i="3" s="1"/>
  <c r="O222" i="3" s="1"/>
  <c r="O226" i="3" s="1"/>
  <c r="O230" i="3" s="1"/>
  <c r="O234" i="3" s="1"/>
  <c r="O238" i="3" s="1"/>
  <c r="O242" i="3" s="1"/>
  <c r="O246" i="3" s="1"/>
  <c r="O250" i="3" s="1"/>
  <c r="O254" i="3" s="1"/>
  <c r="O258" i="3" s="1"/>
  <c r="AA216" i="3" a="1"/>
  <c r="AA216" i="3" s="1"/>
  <c r="AA217" i="3" s="1" a="1"/>
  <c r="AA217" i="3" s="1"/>
  <c r="AA218" i="3" s="1"/>
  <c r="AA222" i="3" s="1"/>
  <c r="AA226" i="3" s="1"/>
  <c r="AA230" i="3" s="1"/>
  <c r="D216" i="3" a="1"/>
  <c r="D216" i="3" s="1"/>
  <c r="D217" i="3" s="1" a="1"/>
  <c r="D217" i="3" s="1"/>
  <c r="D218" i="3" s="1"/>
  <c r="D222" i="3" s="1"/>
  <c r="D226" i="3" s="1"/>
  <c r="F216" i="3" a="1"/>
  <c r="F216" i="3" s="1"/>
  <c r="F217" i="3" s="1" a="1"/>
  <c r="F217" i="3" s="1"/>
  <c r="F218" i="3" s="1"/>
  <c r="F222" i="3" s="1"/>
  <c r="F226" i="3" s="1"/>
  <c r="F230" i="3" s="1"/>
  <c r="F234" i="3" s="1"/>
  <c r="F238" i="3" s="1"/>
  <c r="F242" i="3" s="1"/>
  <c r="F246" i="3" s="1"/>
  <c r="F250" i="3" s="1"/>
  <c r="F240" i="3" a="1"/>
  <c r="F240" i="3" s="1"/>
  <c r="AD240" i="3" a="1"/>
  <c r="AD240" i="3" s="1"/>
  <c r="AL240" i="3" a="1"/>
  <c r="AL240" i="3" s="1"/>
  <c r="L240" i="3" a="1"/>
  <c r="L240" i="3" s="1"/>
  <c r="AF240" i="3" a="1"/>
  <c r="AF240" i="3" s="1"/>
  <c r="Y240" i="3" a="1"/>
  <c r="Y240" i="3" s="1"/>
  <c r="M240" i="3" a="1"/>
  <c r="M240" i="3" s="1"/>
  <c r="AA240" i="3" a="1"/>
  <c r="AA240" i="3" s="1"/>
  <c r="J240" i="3" a="1"/>
  <c r="J240" i="3" s="1"/>
  <c r="D240" i="3" a="1"/>
  <c r="D240" i="3" s="1"/>
  <c r="S240" i="3" a="1"/>
  <c r="S240" i="3" s="1"/>
  <c r="AM240" i="3" a="1"/>
  <c r="AM240" i="3" s="1"/>
  <c r="V240" i="3" a="1"/>
  <c r="V240" i="3" s="1"/>
  <c r="Z240" i="3" a="1"/>
  <c r="Z240" i="3" s="1"/>
  <c r="AI240" i="3" a="1"/>
  <c r="AI240" i="3" s="1"/>
  <c r="AB240" i="3" a="1"/>
  <c r="AB240" i="3" s="1"/>
  <c r="T240" i="3" a="1"/>
  <c r="T240" i="3" s="1"/>
  <c r="H240" i="3" a="1"/>
  <c r="H240" i="3" s="1"/>
  <c r="E240" i="3" a="1"/>
  <c r="E240" i="3" s="1"/>
  <c r="I240" i="3" a="1"/>
  <c r="I240" i="3" s="1"/>
  <c r="AG240" i="3" a="1"/>
  <c r="AG240" i="3" s="1"/>
  <c r="N240" i="3" a="1"/>
  <c r="N240" i="3" s="1"/>
  <c r="AH240" i="3" a="1"/>
  <c r="AH240" i="3" s="1"/>
  <c r="AE240" i="3" a="1"/>
  <c r="AE240" i="3" s="1"/>
  <c r="O240" i="3" a="1"/>
  <c r="O240" i="3" s="1"/>
  <c r="W240" i="3" a="1"/>
  <c r="W240" i="3" s="1"/>
  <c r="AJ240" i="3" a="1"/>
  <c r="AJ240" i="3" s="1"/>
  <c r="K240" i="3" a="1"/>
  <c r="K240" i="3" s="1"/>
  <c r="P240" i="3" a="1"/>
  <c r="P240" i="3" s="1"/>
  <c r="AK240" i="3" a="1"/>
  <c r="AK240" i="3" s="1"/>
  <c r="X240" i="3" a="1"/>
  <c r="X240" i="3" s="1"/>
  <c r="R240" i="3" a="1"/>
  <c r="R240" i="3" s="1"/>
  <c r="Q224" i="3" a="1"/>
  <c r="Q224" i="3" s="1"/>
  <c r="Q225" i="3" s="1" a="1"/>
  <c r="Q225" i="3" s="1"/>
  <c r="Q226" i="3" s="1"/>
  <c r="Q230" i="3" s="1"/>
  <c r="E224" i="3" a="1"/>
  <c r="E224" i="3" s="1"/>
  <c r="E225" i="3" s="1" a="1"/>
  <c r="E225" i="3" s="1"/>
  <c r="E226" i="3" s="1"/>
  <c r="E230" i="3" s="1"/>
  <c r="E234" i="3" s="1"/>
  <c r="E238" i="3" s="1"/>
  <c r="E242" i="3" s="1"/>
  <c r="E246" i="3" s="1"/>
  <c r="E250" i="3" s="1"/>
  <c r="E254" i="3" s="1"/>
  <c r="E258" i="3" s="1"/>
  <c r="E262" i="3" s="1"/>
  <c r="E266" i="3" s="1"/>
  <c r="AD224" i="3" a="1"/>
  <c r="AD224" i="3" s="1"/>
  <c r="AD225" i="3" s="1" a="1"/>
  <c r="AD225" i="3" s="1"/>
  <c r="AD226" i="3" s="1"/>
  <c r="AD230" i="3" s="1"/>
  <c r="AD234" i="3" s="1"/>
  <c r="AD238" i="3" s="1"/>
  <c r="AD242" i="3" s="1"/>
  <c r="AD246" i="3" s="1"/>
  <c r="AD250" i="3" s="1"/>
  <c r="AD254" i="3" s="1"/>
  <c r="AD258" i="3" s="1"/>
  <c r="AD262" i="3" s="1"/>
  <c r="AD266" i="3" s="1"/>
  <c r="AD270" i="3" s="1"/>
  <c r="AD274" i="3" s="1"/>
  <c r="AD278" i="3" s="1"/>
  <c r="AD282" i="3" s="1"/>
  <c r="AD286" i="3" s="1"/>
  <c r="AD290" i="3" s="1"/>
  <c r="AD294" i="3" s="1"/>
  <c r="AK300" i="3" a="1"/>
  <c r="AK300" i="3" s="1"/>
  <c r="Y300" i="3" a="1"/>
  <c r="Y300" i="3" s="1"/>
  <c r="L300" i="3" a="1"/>
  <c r="L300" i="3" s="1"/>
  <c r="AC300" i="3" a="1"/>
  <c r="AC300" i="3" s="1"/>
  <c r="AL300" i="3" a="1"/>
  <c r="AL300" i="3" s="1"/>
  <c r="AE300" i="3" a="1"/>
  <c r="AE300" i="3" s="1"/>
  <c r="N300" i="3" a="1"/>
  <c r="N300" i="3" s="1"/>
  <c r="AF300" i="3" a="1"/>
  <c r="AF300" i="3" s="1"/>
  <c r="O300" i="3" a="1"/>
  <c r="O300" i="3" s="1"/>
  <c r="AG300" i="3" a="1"/>
  <c r="AG300" i="3" s="1"/>
  <c r="AB300" i="3" a="1"/>
  <c r="AB300" i="3" s="1"/>
  <c r="AJ300" i="3" a="1"/>
  <c r="AJ300" i="3" s="1"/>
  <c r="F300" i="3" a="1"/>
  <c r="F300" i="3" s="1"/>
  <c r="E300" i="3" a="1"/>
  <c r="E300" i="3" s="1"/>
  <c r="AM300" i="3" a="1"/>
  <c r="AM300" i="3" s="1"/>
  <c r="AD300" i="3" a="1"/>
  <c r="AD300" i="3" s="1"/>
  <c r="I300" i="3" a="1"/>
  <c r="I300" i="3" s="1"/>
  <c r="K300" i="3" a="1"/>
  <c r="K300" i="3" s="1"/>
  <c r="G300" i="3" a="1"/>
  <c r="G300" i="3" s="1"/>
  <c r="M300" i="3" a="1"/>
  <c r="M300" i="3" s="1"/>
  <c r="H300" i="3" a="1"/>
  <c r="H300" i="3" s="1"/>
  <c r="P300" i="3" a="1"/>
  <c r="P300" i="3" s="1"/>
  <c r="AH300" i="3" a="1"/>
  <c r="AH300" i="3" s="1"/>
  <c r="Q300" i="3" a="1"/>
  <c r="Q300" i="3" s="1"/>
  <c r="J300" i="3" a="1"/>
  <c r="J300" i="3" s="1"/>
  <c r="S300" i="3" a="1"/>
  <c r="S300" i="3" s="1"/>
  <c r="V300" i="3" a="1"/>
  <c r="V300" i="3" s="1"/>
  <c r="T300" i="3" a="1"/>
  <c r="T300" i="3" s="1"/>
  <c r="AI300" i="3" a="1"/>
  <c r="AI300" i="3" s="1"/>
  <c r="U300" i="3" a="1"/>
  <c r="U300" i="3" s="1"/>
  <c r="X300" i="3" a="1"/>
  <c r="X300" i="3" s="1"/>
  <c r="W300" i="3" a="1"/>
  <c r="W300" i="3" s="1"/>
  <c r="S228" i="3" l="1" a="1"/>
  <c r="S228" i="3" s="1"/>
  <c r="S229" i="3" s="1" a="1"/>
  <c r="S229" i="3" s="1"/>
  <c r="S230" i="3" s="1"/>
  <c r="S234" i="3" s="1"/>
  <c r="S238" i="3" s="1"/>
  <c r="S242" i="3" s="1"/>
  <c r="S246" i="3" s="1"/>
  <c r="S250" i="3" s="1"/>
  <c r="S254" i="3" s="1"/>
  <c r="S256" i="3" s="1" a="1"/>
  <c r="S256" i="3" s="1"/>
  <c r="S257" i="3" s="1" a="1"/>
  <c r="S257" i="3" s="1"/>
  <c r="S258" i="3" s="1"/>
  <c r="S262" i="3" s="1"/>
  <c r="D228" i="3" a="1"/>
  <c r="D228" i="3" s="1"/>
  <c r="D229" i="3" s="1" a="1"/>
  <c r="D229" i="3" s="1"/>
  <c r="D230" i="3" s="1"/>
  <c r="D234" i="3" s="1"/>
  <c r="D238" i="3" s="1"/>
  <c r="D242" i="3" s="1"/>
  <c r="D246" i="3" s="1"/>
  <c r="D250" i="3" s="1"/>
  <c r="D254" i="3" s="1"/>
  <c r="AC228" i="3" a="1"/>
  <c r="AC228" i="3" s="1"/>
  <c r="AC229" i="3" s="1" a="1"/>
  <c r="AC229" i="3" s="1"/>
  <c r="AC230" i="3" s="1"/>
  <c r="R228" i="3" a="1"/>
  <c r="R228" i="3" s="1"/>
  <c r="R229" i="3" s="1" a="1"/>
  <c r="R229" i="3" s="1"/>
  <c r="R230" i="3" s="1"/>
  <c r="R234" i="3" s="1"/>
  <c r="R238" i="3" s="1"/>
  <c r="R242" i="3" s="1"/>
  <c r="R246" i="3" s="1"/>
  <c r="R250" i="3" s="1"/>
  <c r="R254" i="3" s="1"/>
  <c r="AA232" i="3" a="1"/>
  <c r="AA232" i="3" s="1"/>
  <c r="AA233" i="3" s="1" a="1"/>
  <c r="AA233" i="3" s="1"/>
  <c r="AA234" i="3" s="1"/>
  <c r="AA238" i="3" s="1"/>
  <c r="AA242" i="3" s="1"/>
  <c r="AA246" i="3" s="1"/>
  <c r="S232" i="3" a="1"/>
  <c r="S232" i="3" s="1"/>
  <c r="AB232" i="3" a="1"/>
  <c r="AB232" i="3" s="1"/>
  <c r="E232" i="3" a="1"/>
  <c r="E232" i="3" s="1"/>
  <c r="AD232" i="3" a="1"/>
  <c r="AD232" i="3" s="1"/>
  <c r="AF232" i="3" a="1"/>
  <c r="AF232" i="3" s="1"/>
  <c r="T232" i="3" a="1"/>
  <c r="T232" i="3" s="1"/>
  <c r="AE232" i="3" a="1"/>
  <c r="AE232" i="3" s="1"/>
  <c r="V232" i="3" a="1"/>
  <c r="V232" i="3" s="1"/>
  <c r="AG232" i="3" a="1"/>
  <c r="AG232" i="3" s="1"/>
  <c r="AH232" i="3" a="1"/>
  <c r="AH232" i="3" s="1"/>
  <c r="AJ232" i="3" a="1"/>
  <c r="AJ232" i="3" s="1"/>
  <c r="AM232" i="3" a="1"/>
  <c r="AM232" i="3" s="1"/>
  <c r="I232" i="3" a="1"/>
  <c r="I232" i="3" s="1"/>
  <c r="X232" i="3" a="1"/>
  <c r="X232" i="3" s="1"/>
  <c r="H232" i="3" a="1"/>
  <c r="H232" i="3" s="1"/>
  <c r="M232" i="3" a="1"/>
  <c r="M232" i="3" s="1"/>
  <c r="W232" i="3" a="1"/>
  <c r="W232" i="3" s="1"/>
  <c r="K232" i="3" a="1"/>
  <c r="K232" i="3" s="1"/>
  <c r="D232" i="3" a="1"/>
  <c r="D232" i="3" s="1"/>
  <c r="J232" i="3" a="1"/>
  <c r="J232" i="3" s="1"/>
  <c r="Y232" i="3" a="1"/>
  <c r="Y232" i="3" s="1"/>
  <c r="F232" i="3" a="1"/>
  <c r="F232" i="3" s="1"/>
  <c r="Z232" i="3" a="1"/>
  <c r="Z232" i="3" s="1"/>
  <c r="AI232" i="3" a="1"/>
  <c r="AI232" i="3" s="1"/>
  <c r="R232" i="3" a="1"/>
  <c r="R232" i="3" s="1"/>
  <c r="AL232" i="3" a="1"/>
  <c r="AL232" i="3" s="1"/>
  <c r="AK232" i="3" a="1"/>
  <c r="AK232" i="3" s="1"/>
  <c r="L232" i="3" a="1"/>
  <c r="L232" i="3" s="1"/>
  <c r="G232" i="3" a="1"/>
  <c r="G232" i="3" s="1"/>
  <c r="P232" i="3" a="1"/>
  <c r="P232" i="3" s="1"/>
  <c r="O232" i="3" a="1"/>
  <c r="O232" i="3" s="1"/>
  <c r="N232" i="3" a="1"/>
  <c r="N232" i="3" s="1"/>
  <c r="Q232" i="3" a="1"/>
  <c r="Q232" i="3" s="1"/>
  <c r="Q233" i="3" s="1" a="1"/>
  <c r="Q233" i="3" s="1"/>
  <c r="Q234" i="3" s="1"/>
  <c r="Q238" i="3" s="1"/>
  <c r="U232" i="3" a="1"/>
  <c r="U232" i="3" s="1"/>
  <c r="U233" i="3" s="1" a="1"/>
  <c r="U233" i="3" s="1"/>
  <c r="U234" i="3" s="1"/>
  <c r="U238" i="3" s="1"/>
  <c r="F264" i="3" a="1"/>
  <c r="F264" i="3" s="1"/>
  <c r="AL264" i="3" a="1"/>
  <c r="AL264" i="3" s="1"/>
  <c r="AH264" i="3" a="1"/>
  <c r="AH264" i="3" s="1"/>
  <c r="T264" i="3" a="1"/>
  <c r="T264" i="3" s="1"/>
  <c r="AK264" i="3" a="1"/>
  <c r="AK264" i="3" s="1"/>
  <c r="I264" i="3" a="1"/>
  <c r="I264" i="3" s="1"/>
  <c r="W264" i="3" a="1"/>
  <c r="W264" i="3" s="1"/>
  <c r="X264" i="3" a="1"/>
  <c r="X264" i="3" s="1"/>
  <c r="L264" i="3" a="1"/>
  <c r="L264" i="3" s="1"/>
  <c r="J264" i="3" a="1"/>
  <c r="J264" i="3" s="1"/>
  <c r="D264" i="3" a="1"/>
  <c r="D264" i="3" s="1"/>
  <c r="Z264" i="3" a="1"/>
  <c r="Z264" i="3" s="1"/>
  <c r="Y264" i="3" a="1"/>
  <c r="Y264" i="3" s="1"/>
  <c r="AA264" i="3" a="1"/>
  <c r="AA264" i="3" s="1"/>
  <c r="O264" i="3" a="1"/>
  <c r="O264" i="3" s="1"/>
  <c r="K264" i="3" a="1"/>
  <c r="K264" i="3" s="1"/>
  <c r="AJ264" i="3" a="1"/>
  <c r="AJ264" i="3" s="1"/>
  <c r="AB264" i="3" a="1"/>
  <c r="AB264" i="3" s="1"/>
  <c r="R264" i="3" a="1"/>
  <c r="R264" i="3" s="1"/>
  <c r="AD264" i="3" a="1"/>
  <c r="AD264" i="3" s="1"/>
  <c r="AM264" i="3" a="1"/>
  <c r="AM264" i="3" s="1"/>
  <c r="P264" i="3" a="1"/>
  <c r="P264" i="3" s="1"/>
  <c r="H264" i="3" a="1"/>
  <c r="H264" i="3" s="1"/>
  <c r="AE264" i="3" a="1"/>
  <c r="AE264" i="3" s="1"/>
  <c r="AC264" i="3" a="1"/>
  <c r="AC264" i="3" s="1"/>
  <c r="K248" i="3" l="1" a="1"/>
  <c r="K248" i="3" s="1"/>
  <c r="K249" i="3" s="1" a="1"/>
  <c r="K249" i="3" s="1"/>
  <c r="K250" i="3" s="1"/>
  <c r="K254" i="3" s="1"/>
  <c r="K258" i="3" s="1"/>
  <c r="K262" i="3" s="1"/>
  <c r="K266" i="3" s="1"/>
  <c r="N248" i="3" a="1"/>
  <c r="N248" i="3" s="1"/>
  <c r="N249" i="3" s="1" a="1"/>
  <c r="N249" i="3" s="1"/>
  <c r="N250" i="3" s="1"/>
  <c r="N254" i="3" s="1"/>
  <c r="N258" i="3" s="1"/>
  <c r="N262" i="3" s="1"/>
  <c r="V248" i="3" a="1"/>
  <c r="V248" i="3" s="1"/>
  <c r="V249" i="3" s="1" a="1"/>
  <c r="V249" i="3" s="1"/>
  <c r="V250" i="3" s="1"/>
  <c r="V254" i="3" s="1"/>
  <c r="V258" i="3" s="1"/>
  <c r="V262" i="3" s="1"/>
  <c r="AA248" i="3" a="1"/>
  <c r="AA248" i="3" s="1"/>
  <c r="AA249" i="3" s="1" a="1"/>
  <c r="AA249" i="3" s="1"/>
  <c r="AA250" i="3" s="1"/>
  <c r="AA254" i="3" s="1"/>
  <c r="AA258" i="3" s="1"/>
  <c r="AA262" i="3" s="1"/>
  <c r="AA266" i="3" s="1"/>
  <c r="AA270" i="3" s="1"/>
  <c r="AA274" i="3" s="1"/>
  <c r="AA278" i="3" s="1"/>
  <c r="AA282" i="3" s="1"/>
  <c r="AA286" i="3" s="1"/>
  <c r="AA290" i="3" s="1"/>
  <c r="AA294" i="3" s="1"/>
  <c r="AA298" i="3" s="1"/>
  <c r="R256" i="3" a="1"/>
  <c r="R256" i="3" s="1"/>
  <c r="R257" i="3" s="1" a="1"/>
  <c r="R257" i="3" s="1"/>
  <c r="R258" i="3" s="1"/>
  <c r="R262" i="3" s="1"/>
  <c r="R266" i="3" s="1"/>
  <c r="R270" i="3" s="1"/>
  <c r="AC232" i="3" a="1"/>
  <c r="AC232" i="3" s="1"/>
  <c r="AC233" i="3" s="1" a="1"/>
  <c r="AC233" i="3" s="1"/>
  <c r="AC234" i="3"/>
  <c r="AC238" i="3" s="1"/>
  <c r="AC240" i="3" s="1" a="1"/>
  <c r="AC240" i="3" s="1"/>
  <c r="AC241" i="3" s="1" a="1"/>
  <c r="AC241" i="3" s="1"/>
  <c r="AC242" i="3" s="1"/>
  <c r="AC246" i="3" s="1"/>
  <c r="AC250" i="3" s="1"/>
  <c r="AC254" i="3" s="1"/>
  <c r="AC258" i="3" s="1"/>
  <c r="AC262" i="3" s="1"/>
  <c r="AC266" i="3" s="1"/>
  <c r="AC270" i="3" s="1"/>
  <c r="AC274" i="3" s="1"/>
  <c r="AC278" i="3" s="1"/>
  <c r="AC282" i="3" s="1"/>
  <c r="G240" i="3" a="1"/>
  <c r="G240" i="3" s="1"/>
  <c r="G241" i="3" s="1" a="1"/>
  <c r="G241" i="3" s="1"/>
  <c r="G242" i="3" s="1"/>
  <c r="G246" i="3" s="1"/>
  <c r="G250" i="3" s="1"/>
  <c r="X256" i="3" a="1"/>
  <c r="X256" i="3" s="1"/>
  <c r="X257" i="3" s="1" a="1"/>
  <c r="X257" i="3" s="1"/>
  <c r="X258" i="3" s="1"/>
  <c r="X262" i="3" s="1"/>
  <c r="X266" i="3" s="1"/>
  <c r="X270" i="3" s="1"/>
  <c r="D256" i="3" a="1"/>
  <c r="D256" i="3" s="1"/>
  <c r="D257" i="3" s="1" a="1"/>
  <c r="D257" i="3" s="1"/>
  <c r="D258" i="3" s="1"/>
  <c r="D262" i="3" s="1"/>
  <c r="D266" i="3" s="1"/>
  <c r="D270" i="3" s="1"/>
  <c r="D274" i="3" s="1"/>
  <c r="D278" i="3" s="1"/>
  <c r="D282" i="3" s="1"/>
  <c r="D286" i="3" s="1"/>
  <c r="D290" i="3" s="1"/>
  <c r="D294" i="3" s="1"/>
  <c r="D298" i="3" s="1"/>
  <c r="I256" i="3" a="1"/>
  <c r="I256" i="3" s="1"/>
  <c r="T296" i="3" a="1"/>
  <c r="T296" i="3" s="1"/>
  <c r="AE296" i="3" a="1"/>
  <c r="AE296" i="3" s="1"/>
  <c r="AG296" i="3" a="1"/>
  <c r="AG296" i="3" s="1"/>
  <c r="AH296" i="3" a="1"/>
  <c r="AH296" i="3" s="1"/>
  <c r="AM296" i="3" a="1"/>
  <c r="AM296" i="3" s="1"/>
  <c r="U296" i="3" a="1"/>
  <c r="U296" i="3" s="1"/>
  <c r="N296" i="3" a="1"/>
  <c r="N296" i="3" s="1"/>
  <c r="V296" i="3" a="1"/>
  <c r="V296" i="3" s="1"/>
  <c r="AI296" i="3" a="1"/>
  <c r="AI296" i="3" s="1"/>
  <c r="J296" i="3" a="1"/>
  <c r="J296" i="3" s="1"/>
  <c r="W296" i="3" a="1"/>
  <c r="W296" i="3" s="1"/>
  <c r="AJ296" i="3" a="1"/>
  <c r="AJ296" i="3" s="1"/>
  <c r="P296" i="3" a="1"/>
  <c r="P296" i="3" s="1"/>
  <c r="K296" i="3" a="1"/>
  <c r="K296" i="3" s="1"/>
  <c r="D296" i="3" a="1"/>
  <c r="D296" i="3" s="1"/>
  <c r="X296" i="3" a="1"/>
  <c r="X296" i="3" s="1"/>
  <c r="Q296" i="3" a="1"/>
  <c r="Q296" i="3" s="1"/>
  <c r="AK296" i="3" a="1"/>
  <c r="AK296" i="3" s="1"/>
  <c r="AC296" i="3" a="1"/>
  <c r="AC296" i="3" s="1"/>
  <c r="L296" i="3" a="1"/>
  <c r="L296" i="3" s="1"/>
  <c r="E296" i="3" a="1"/>
  <c r="E296" i="3" s="1"/>
  <c r="Y296" i="3" a="1"/>
  <c r="Y296" i="3" s="1"/>
  <c r="R296" i="3" a="1"/>
  <c r="R296" i="3" s="1"/>
  <c r="M296" i="3" a="1"/>
  <c r="M296" i="3" s="1"/>
  <c r="AL296" i="3" a="1"/>
  <c r="AL296" i="3" s="1"/>
  <c r="Z296" i="3" a="1"/>
  <c r="Z296" i="3" s="1"/>
  <c r="G296" i="3" a="1"/>
  <c r="G296" i="3" s="1"/>
  <c r="O296" i="3" a="1"/>
  <c r="O296" i="3" s="1"/>
  <c r="AF296" i="3" a="1"/>
  <c r="AF296" i="3" s="1"/>
  <c r="AB296" i="3" a="1"/>
  <c r="AB296" i="3" s="1"/>
  <c r="H296" i="3" a="1"/>
  <c r="H296" i="3" s="1"/>
  <c r="AA296" i="3" a="1"/>
  <c r="AA296" i="3" s="1"/>
  <c r="Y308" i="3" a="1"/>
  <c r="Y308" i="3" s="1"/>
  <c r="AF308" i="3" a="1"/>
  <c r="AF308" i="3" s="1"/>
  <c r="I308" i="3" a="1"/>
  <c r="I308" i="3" s="1"/>
  <c r="V308" i="3" a="1"/>
  <c r="V308" i="3" s="1"/>
  <c r="J308" i="3" a="1"/>
  <c r="J308" i="3" s="1"/>
  <c r="L308" i="3" a="1"/>
  <c r="L308" i="3" s="1"/>
  <c r="Z308" i="3" a="1"/>
  <c r="Z308" i="3" s="1"/>
  <c r="R308" i="3" a="1"/>
  <c r="R308" i="3" s="1"/>
  <c r="K308" i="3" a="1"/>
  <c r="K308" i="3" s="1"/>
  <c r="AA308" i="3" a="1"/>
  <c r="AA308" i="3" s="1"/>
  <c r="S308" i="3" a="1"/>
  <c r="S308" i="3" s="1"/>
  <c r="AB308" i="3" a="1"/>
  <c r="AB308" i="3" s="1"/>
  <c r="T308" i="3" a="1"/>
  <c r="T308" i="3" s="1"/>
  <c r="M308" i="3" a="1"/>
  <c r="M308" i="3" s="1"/>
  <c r="AJ308" i="3" a="1"/>
  <c r="AJ308" i="3" s="1"/>
  <c r="D308" i="3" a="1"/>
  <c r="D308" i="3" s="1"/>
  <c r="AD308" i="3" a="1"/>
  <c r="AD308" i="3" s="1"/>
  <c r="U308" i="3" a="1"/>
  <c r="U308" i="3" s="1"/>
  <c r="N308" i="3" a="1"/>
  <c r="N308" i="3" s="1"/>
  <c r="AK308" i="3" a="1"/>
  <c r="AK308" i="3" s="1"/>
  <c r="AE308" i="3" a="1"/>
  <c r="AE308" i="3" s="1"/>
  <c r="E308" i="3" a="1"/>
  <c r="E308" i="3" s="1"/>
  <c r="O308" i="3" a="1"/>
  <c r="O308" i="3" s="1"/>
  <c r="AL308" i="3" a="1"/>
  <c r="AL308" i="3" s="1"/>
  <c r="AG308" i="3" a="1"/>
  <c r="AG308" i="3" s="1"/>
  <c r="W308" i="3" a="1"/>
  <c r="W308" i="3" s="1"/>
  <c r="AM308" i="3" a="1"/>
  <c r="AM308" i="3" s="1"/>
  <c r="Q308" i="3" a="1"/>
  <c r="Q308" i="3" s="1"/>
  <c r="F308" i="3" a="1"/>
  <c r="F308" i="3" s="1"/>
  <c r="AH308" i="3" a="1"/>
  <c r="AH308" i="3" s="1"/>
  <c r="X308" i="3" a="1"/>
  <c r="X308" i="3" s="1"/>
  <c r="H308" i="3" a="1"/>
  <c r="H308" i="3" s="1"/>
  <c r="V284" i="3" a="1"/>
  <c r="V284" i="3" s="1"/>
  <c r="M284" i="3" a="1"/>
  <c r="M284" i="3" s="1"/>
  <c r="AF284" i="3" a="1"/>
  <c r="AF284" i="3" s="1"/>
  <c r="N284" i="3" a="1"/>
  <c r="N284" i="3" s="1"/>
  <c r="O284" i="3" a="1"/>
  <c r="O284" i="3" s="1"/>
  <c r="G284" i="3" a="1"/>
  <c r="G284" i="3" s="1"/>
  <c r="E284" i="3" a="1"/>
  <c r="E284" i="3" s="1"/>
  <c r="AB284" i="3" a="1"/>
  <c r="AB284" i="3" s="1"/>
  <c r="AL284" i="3" a="1"/>
  <c r="AL284" i="3" s="1"/>
  <c r="W284" i="3" a="1"/>
  <c r="W284" i="3" s="1"/>
  <c r="Z284" i="3" a="1"/>
  <c r="Z284" i="3" s="1"/>
  <c r="X284" i="3" a="1"/>
  <c r="X284" i="3" s="1"/>
  <c r="AJ284" i="3" a="1"/>
  <c r="AJ284" i="3" s="1"/>
  <c r="L284" i="3" a="1"/>
  <c r="L284" i="3" s="1"/>
  <c r="AG284" i="3" a="1"/>
  <c r="AG284" i="3" s="1"/>
  <c r="P284" i="3" a="1"/>
  <c r="P284" i="3" s="1"/>
  <c r="U284" i="3" a="1"/>
  <c r="U284" i="3" s="1"/>
  <c r="AA284" i="3" a="1"/>
  <c r="AA284" i="3" s="1"/>
  <c r="AK284" i="3" a="1"/>
  <c r="AK284" i="3" s="1"/>
  <c r="F284" i="3" a="1"/>
  <c r="F284" i="3" s="1"/>
  <c r="AD284" i="3" a="1"/>
  <c r="AD284" i="3" s="1"/>
  <c r="I284" i="3" a="1"/>
  <c r="I284" i="3" s="1"/>
  <c r="T284" i="3" a="1"/>
  <c r="T284" i="3" s="1"/>
  <c r="AM284" i="3" a="1"/>
  <c r="AM284" i="3" s="1"/>
  <c r="S284" i="3" a="1"/>
  <c r="S284" i="3" s="1"/>
  <c r="Y284" i="3" a="1"/>
  <c r="Y284" i="3" s="1"/>
  <c r="D284" i="3" a="1"/>
  <c r="D284" i="3" s="1"/>
  <c r="R284" i="3" a="1"/>
  <c r="R284" i="3" s="1"/>
  <c r="AE284" i="3" a="1"/>
  <c r="AE284" i="3" s="1"/>
  <c r="J284" i="3" a="1"/>
  <c r="J284" i="3" s="1"/>
  <c r="K284" i="3" a="1"/>
  <c r="K284" i="3" s="1"/>
  <c r="AH284" i="3" a="1"/>
  <c r="AH284" i="3" s="1"/>
  <c r="Q240" i="3" l="1" a="1"/>
  <c r="Q240" i="3" s="1"/>
  <c r="Q241" i="3" s="1" a="1"/>
  <c r="Q241" i="3" s="1"/>
  <c r="Q242" i="3" s="1"/>
  <c r="Q246" i="3" s="1"/>
  <c r="Q250" i="3" s="1"/>
  <c r="Q254" i="3" s="1"/>
  <c r="Q258" i="3" s="1"/>
  <c r="Q262" i="3" s="1"/>
  <c r="Q266" i="3" s="1"/>
  <c r="Q268" i="3" s="1" a="1"/>
  <c r="Q268" i="3" s="1"/>
  <c r="Q269" i="3" s="1" a="1"/>
  <c r="Q269" i="3" s="1"/>
  <c r="Q270" i="3" s="1"/>
  <c r="Q274" i="3" s="1"/>
  <c r="T252" i="3" a="1"/>
  <c r="T252" i="3" s="1"/>
  <c r="T253" i="3" s="1" a="1"/>
  <c r="T253" i="3" s="1"/>
  <c r="T254" i="3" s="1"/>
  <c r="T258" i="3" s="1"/>
  <c r="T262" i="3" s="1"/>
  <c r="T266" i="3" s="1"/>
  <c r="T270" i="3" s="1"/>
  <c r="F252" i="3" a="1"/>
  <c r="F252" i="3" s="1"/>
  <c r="F253" i="3" s="1" a="1"/>
  <c r="F253" i="3" s="1"/>
  <c r="F254" i="3" s="1"/>
  <c r="F258" i="3" s="1"/>
  <c r="F262" i="3" s="1"/>
  <c r="F266" i="3" s="1"/>
  <c r="F270" i="3" s="1"/>
  <c r="F274" i="3" s="1"/>
  <c r="F278" i="3" s="1"/>
  <c r="F282" i="3" s="1"/>
  <c r="F286" i="3" s="1"/>
  <c r="F290" i="3" s="1"/>
  <c r="F294" i="3" s="1"/>
  <c r="I252" i="3" a="1"/>
  <c r="I252" i="3" s="1"/>
  <c r="I253" i="3" s="1" a="1"/>
  <c r="I253" i="3" s="1"/>
  <c r="I254" i="3" s="1"/>
  <c r="I258" i="3" s="1"/>
  <c r="I262" i="3" s="1"/>
  <c r="I266" i="3" s="1"/>
  <c r="I270" i="3" s="1"/>
  <c r="I274" i="3" s="1"/>
  <c r="I278" i="3" s="1"/>
  <c r="I282" i="3" s="1"/>
  <c r="I286" i="3" s="1"/>
  <c r="I290" i="3" s="1"/>
  <c r="I294" i="3" s="1"/>
  <c r="G252" i="3" a="1"/>
  <c r="G252" i="3" s="1"/>
  <c r="G253" i="3" s="1" a="1"/>
  <c r="G253" i="3" s="1"/>
  <c r="G254" i="3" s="1"/>
  <c r="G258" i="3" s="1"/>
  <c r="G262" i="3" s="1"/>
  <c r="G266" i="3" s="1"/>
  <c r="G270" i="3" s="1"/>
  <c r="G274" i="3" s="1"/>
  <c r="G278" i="3" s="1"/>
  <c r="G282" i="3" s="1"/>
  <c r="G286" i="3" s="1"/>
  <c r="G290" i="3" s="1"/>
  <c r="G294" i="3" s="1"/>
  <c r="G298" i="3" s="1"/>
  <c r="G302" i="3" s="1"/>
  <c r="G306" i="3" s="1"/>
  <c r="U240" i="3" a="1"/>
  <c r="U240" i="3" s="1"/>
  <c r="U241" i="3" s="1" a="1"/>
  <c r="U241" i="3" s="1"/>
  <c r="U242" i="3" s="1"/>
  <c r="U246" i="3" s="1"/>
  <c r="U250" i="3" s="1"/>
  <c r="U254" i="3" s="1"/>
  <c r="U258" i="3" s="1"/>
  <c r="AK272" i="3" a="1"/>
  <c r="AK272" i="3" s="1"/>
  <c r="AL272" i="3" a="1"/>
  <c r="AL272" i="3" s="1"/>
  <c r="I272" i="3" a="1"/>
  <c r="I272" i="3" s="1"/>
  <c r="N272" i="3" a="1"/>
  <c r="N272" i="3" s="1"/>
  <c r="AG272" i="3" a="1"/>
  <c r="AG272" i="3" s="1"/>
  <c r="AH272" i="3" a="1"/>
  <c r="AH272" i="3" s="1"/>
  <c r="J272" i="3" a="1"/>
  <c r="J272" i="3" s="1"/>
  <c r="AD272" i="3" a="1"/>
  <c r="AD272" i="3" s="1"/>
  <c r="M272" i="3" a="1"/>
  <c r="M272" i="3" s="1"/>
  <c r="P272" i="3" a="1"/>
  <c r="P272" i="3" s="1"/>
  <c r="S272" i="3" a="1"/>
  <c r="S272" i="3" s="1"/>
  <c r="AA272" i="3" a="1"/>
  <c r="AA272" i="3" s="1"/>
  <c r="D272" i="3" a="1"/>
  <c r="D272" i="3" s="1"/>
  <c r="AM272" i="3" a="1"/>
  <c r="AM272" i="3" s="1"/>
  <c r="V272" i="3" a="1"/>
  <c r="V272" i="3" s="1"/>
  <c r="U272" i="3" a="1"/>
  <c r="U272" i="3" s="1"/>
  <c r="AF272" i="3" a="1"/>
  <c r="AF272" i="3" s="1"/>
  <c r="E272" i="3" a="1"/>
  <c r="E272" i="3" s="1"/>
  <c r="O272" i="3" a="1"/>
  <c r="O272" i="3" s="1"/>
  <c r="Q272" i="3" a="1"/>
  <c r="Q272" i="3" s="1"/>
  <c r="L272" i="3" a="1"/>
  <c r="L272" i="3" s="1"/>
  <c r="AI272" i="3" a="1"/>
  <c r="AI272" i="3" s="1"/>
  <c r="AC272" i="3" a="1"/>
  <c r="AC272" i="3" s="1"/>
  <c r="W272" i="3" a="1"/>
  <c r="W272" i="3" s="1"/>
  <c r="H272" i="3" a="1"/>
  <c r="H272" i="3" s="1"/>
  <c r="AE272" i="3" a="1"/>
  <c r="AE272" i="3" s="1"/>
  <c r="F272" i="3" a="1"/>
  <c r="F272" i="3" s="1"/>
  <c r="Z272" i="3" a="1"/>
  <c r="Z272" i="3" s="1"/>
  <c r="K272" i="3" a="1"/>
  <c r="K272" i="3" s="1"/>
  <c r="G272" i="3" a="1"/>
  <c r="G272" i="3" s="1"/>
  <c r="AJ272" i="3" a="1"/>
  <c r="AJ272" i="3" s="1"/>
  <c r="AB272" i="3" a="1"/>
  <c r="AB272" i="3" s="1"/>
  <c r="G264" i="3" a="1"/>
  <c r="G264" i="3" s="1"/>
  <c r="Q264" i="3" a="1"/>
  <c r="Q264" i="3" s="1"/>
  <c r="AF264" i="3" a="1"/>
  <c r="AF264" i="3" s="1"/>
  <c r="AG264" i="3" a="1"/>
  <c r="AG264" i="3" s="1"/>
  <c r="E264" i="3" a="1"/>
  <c r="E264" i="3" s="1"/>
  <c r="U264" i="3" a="1"/>
  <c r="U264" i="3" s="1"/>
  <c r="M264" i="3" a="1"/>
  <c r="M264" i="3" s="1"/>
  <c r="K268" i="3" a="1"/>
  <c r="K268" i="3" s="1"/>
  <c r="K269" i="3" s="1" a="1"/>
  <c r="K269" i="3" s="1"/>
  <c r="K270" i="3" s="1"/>
  <c r="K274" i="3" s="1"/>
  <c r="K278" i="3" s="1"/>
  <c r="K282" i="3" s="1"/>
  <c r="K286" i="3" s="1"/>
  <c r="K290" i="3" s="1"/>
  <c r="K294" i="3" s="1"/>
  <c r="K298" i="3" s="1"/>
  <c r="K302" i="3" s="1"/>
  <c r="K306" i="3" s="1"/>
  <c r="K310" i="3" s="1"/>
  <c r="K314" i="3" s="1"/>
  <c r="K318" i="3" s="1"/>
  <c r="K322" i="3" s="1"/>
  <c r="K326" i="3" s="1"/>
  <c r="K330" i="3" s="1"/>
  <c r="K334" i="3" s="1"/>
  <c r="K338" i="3" s="1"/>
  <c r="K342" i="3" s="1"/>
  <c r="K346" i="3" s="1"/>
  <c r="K350" i="3" s="1"/>
  <c r="K354" i="3" s="1"/>
  <c r="K358" i="3" s="1"/>
  <c r="K362" i="3" s="1"/>
  <c r="K366" i="3" s="1"/>
  <c r="K370" i="3" s="1"/>
  <c r="K374" i="3" s="1"/>
  <c r="K378" i="3" s="1"/>
  <c r="K382" i="3" s="1"/>
  <c r="E268" i="3" a="1"/>
  <c r="E268" i="3" s="1"/>
  <c r="E269" i="3" s="1" a="1"/>
  <c r="E269" i="3" s="1"/>
  <c r="E270" i="3" s="1"/>
  <c r="E274" i="3" s="1"/>
  <c r="H268" i="3" a="1"/>
  <c r="H268" i="3" s="1"/>
  <c r="H269" i="3" s="1" a="1"/>
  <c r="H269" i="3" s="1"/>
  <c r="H270" i="3" s="1"/>
  <c r="H274" i="3" s="1"/>
  <c r="H278" i="3" s="1"/>
  <c r="H282" i="3" s="1"/>
  <c r="AC276" i="3" l="1" a="1"/>
  <c r="AC276" i="3" s="1"/>
  <c r="AG276" i="3" a="1"/>
  <c r="AG276" i="3" s="1"/>
  <c r="AH276" i="3" a="1"/>
  <c r="AH276" i="3" s="1"/>
  <c r="Y276" i="3" a="1"/>
  <c r="Y276" i="3" s="1"/>
  <c r="V276" i="3" a="1"/>
  <c r="V276" i="3" s="1"/>
  <c r="I276" i="3" a="1"/>
  <c r="I276" i="3" s="1"/>
  <c r="AK276" i="3" a="1"/>
  <c r="AK276" i="3" s="1"/>
  <c r="W276" i="3" a="1"/>
  <c r="W276" i="3" s="1"/>
  <c r="J276" i="3" a="1"/>
  <c r="J276" i="3" s="1"/>
  <c r="AD276" i="3" a="1"/>
  <c r="AD276" i="3" s="1"/>
  <c r="Z276" i="3" a="1"/>
  <c r="Z276" i="3" s="1"/>
  <c r="T276" i="3" a="1"/>
  <c r="T276" i="3" s="1"/>
  <c r="F276" i="3" a="1"/>
  <c r="F276" i="3" s="1"/>
  <c r="AA276" i="3" a="1"/>
  <c r="AA276" i="3" s="1"/>
  <c r="X276" i="3" a="1"/>
  <c r="X276" i="3" s="1"/>
  <c r="N276" i="3" a="1"/>
  <c r="N276" i="3" s="1"/>
  <c r="AB276" i="3" a="1"/>
  <c r="AB276" i="3" s="1"/>
  <c r="AL276" i="3" a="1"/>
  <c r="AL276" i="3" s="1"/>
  <c r="O276" i="3" a="1"/>
  <c r="O276" i="3" s="1"/>
  <c r="H276" i="3" a="1"/>
  <c r="H276" i="3" s="1"/>
  <c r="AE276" i="3" a="1"/>
  <c r="AE276" i="3" s="1"/>
  <c r="AM276" i="3" a="1"/>
  <c r="AM276" i="3" s="1"/>
  <c r="R276" i="3" a="1"/>
  <c r="R276" i="3" s="1"/>
  <c r="K276" i="3" a="1"/>
  <c r="K276" i="3" s="1"/>
  <c r="D276" i="3" a="1"/>
  <c r="D276" i="3" s="1"/>
  <c r="AF276" i="3" a="1"/>
  <c r="AF276" i="3" s="1"/>
  <c r="AJ276" i="3" a="1"/>
  <c r="AJ276" i="3" s="1"/>
  <c r="P276" i="3" a="1"/>
  <c r="P276" i="3" s="1"/>
  <c r="S276" i="3" a="1"/>
  <c r="S276" i="3" s="1"/>
  <c r="L276" i="3" a="1"/>
  <c r="L276" i="3" s="1"/>
  <c r="G276" i="3" a="1"/>
  <c r="G276" i="3" s="1"/>
  <c r="M276" i="3" a="1"/>
  <c r="M276" i="3" s="1"/>
  <c r="Y260" i="3" a="1"/>
  <c r="Y260" i="3" s="1"/>
  <c r="Y261" i="3" s="1" a="1"/>
  <c r="Y261" i="3" s="1"/>
  <c r="Y262" i="3" s="1"/>
  <c r="Y266" i="3" s="1"/>
  <c r="Y270" i="3" s="1"/>
  <c r="Y272" i="3" s="1" a="1"/>
  <c r="Y272" i="3" s="1"/>
  <c r="Y273" i="3" s="1" a="1"/>
  <c r="Y273" i="3" s="1"/>
  <c r="Y274" i="3" s="1"/>
  <c r="Y278" i="3" s="1"/>
  <c r="Y282" i="3" s="1"/>
  <c r="Y286" i="3" s="1"/>
  <c r="Y290" i="3" s="1"/>
  <c r="Y294" i="3" s="1"/>
  <c r="Y298" i="3" s="1"/>
  <c r="Y302" i="3" s="1"/>
  <c r="Y306" i="3" s="1"/>
  <c r="Y310" i="3" s="1"/>
  <c r="Y314" i="3" s="1"/>
  <c r="Y318" i="3" s="1"/>
  <c r="Y322" i="3" s="1"/>
  <c r="Y326" i="3" s="1"/>
  <c r="Y330" i="3" s="1"/>
  <c r="Y334" i="3" s="1"/>
  <c r="Y338" i="3" s="1"/>
  <c r="Y342" i="3" s="1"/>
  <c r="Y346" i="3" s="1"/>
  <c r="Y350" i="3" s="1"/>
  <c r="Y354" i="3" s="1"/>
  <c r="Y358" i="3" s="1"/>
  <c r="Y362" i="3" s="1"/>
  <c r="Y366" i="3" s="1"/>
  <c r="Y370" i="3" s="1"/>
  <c r="Y374" i="3" s="1"/>
  <c r="Y378" i="3" s="1"/>
  <c r="Y382" i="3" s="1"/>
  <c r="Y386" i="3" s="1"/>
  <c r="Y390" i="3" s="1"/>
  <c r="Y394" i="3" s="1"/>
  <c r="Y398" i="3" s="1"/>
  <c r="Y402" i="3" s="1"/>
  <c r="Y406" i="3" s="1"/>
  <c r="Y410" i="3" s="1"/>
  <c r="Y414" i="3" s="1"/>
  <c r="AI260" i="3" a="1"/>
  <c r="AI260" i="3" s="1"/>
  <c r="AI261" i="3" s="1" a="1"/>
  <c r="AI261" i="3" s="1"/>
  <c r="AI262" i="3" s="1"/>
  <c r="O260" i="3" a="1"/>
  <c r="O260" i="3" s="1"/>
  <c r="O261" i="3" s="1" a="1"/>
  <c r="O261" i="3" s="1"/>
  <c r="O262" i="3" s="1"/>
  <c r="O266" i="3" s="1"/>
  <c r="O270" i="3" s="1"/>
  <c r="O274" i="3" s="1"/>
  <c r="O278" i="3" s="1"/>
  <c r="O282" i="3" s="1"/>
  <c r="O286" i="3" s="1"/>
  <c r="O290" i="3" s="1"/>
  <c r="O294" i="3" s="1"/>
  <c r="O298" i="3" s="1"/>
  <c r="O302" i="3" s="1"/>
  <c r="O306" i="3" s="1"/>
  <c r="O310" i="3" s="1"/>
  <c r="O314" i="3" s="1"/>
  <c r="O318" i="3" s="1"/>
  <c r="O322" i="3" s="1"/>
  <c r="O326" i="3" s="1"/>
  <c r="U260" i="3" a="1"/>
  <c r="U260" i="3" s="1"/>
  <c r="U261" i="3" s="1" a="1"/>
  <c r="U261" i="3" s="1"/>
  <c r="U262" i="3" s="1"/>
  <c r="U266" i="3" s="1"/>
  <c r="U270" i="3" s="1"/>
  <c r="U274" i="3" s="1"/>
  <c r="R272" i="3" a="1"/>
  <c r="R272" i="3" s="1"/>
  <c r="R273" i="3" s="1" a="1"/>
  <c r="R273" i="3" s="1"/>
  <c r="R274" i="3" s="1"/>
  <c r="R278" i="3" s="1"/>
  <c r="R282" i="3" s="1"/>
  <c r="R286" i="3" s="1"/>
  <c r="R290" i="3" s="1"/>
  <c r="R294" i="3" s="1"/>
  <c r="R298" i="3" s="1"/>
  <c r="O320" i="3" a="1"/>
  <c r="O320" i="3" s="1"/>
  <c r="N320" i="3" a="1"/>
  <c r="N320" i="3" s="1"/>
  <c r="X320" i="3" a="1"/>
  <c r="X320" i="3" s="1"/>
  <c r="AL320" i="3" a="1"/>
  <c r="AL320" i="3" s="1"/>
  <c r="AG320" i="3" a="1"/>
  <c r="AG320" i="3" s="1"/>
  <c r="E320" i="3" a="1"/>
  <c r="E320" i="3" s="1"/>
  <c r="J320" i="3" a="1"/>
  <c r="J320" i="3" s="1"/>
  <c r="Z320" i="3" a="1"/>
  <c r="Z320" i="3" s="1"/>
  <c r="AE320" i="3" a="1"/>
  <c r="AE320" i="3" s="1"/>
  <c r="AK320" i="3" a="1"/>
  <c r="AK320" i="3" s="1"/>
  <c r="Q320" i="3" a="1"/>
  <c r="Q320" i="3" s="1"/>
  <c r="AF320" i="3" a="1"/>
  <c r="AF320" i="3" s="1"/>
  <c r="M320" i="3" a="1"/>
  <c r="M320" i="3" s="1"/>
  <c r="L320" i="3" a="1"/>
  <c r="L320" i="3" s="1"/>
  <c r="AC320" i="3" a="1"/>
  <c r="AC320" i="3" s="1"/>
  <c r="K320" i="3" a="1"/>
  <c r="K320" i="3" s="1"/>
  <c r="AB320" i="3" a="1"/>
  <c r="AB320" i="3" s="1"/>
  <c r="F320" i="3" a="1"/>
  <c r="F320" i="3" s="1"/>
  <c r="D320" i="3" a="1"/>
  <c r="D320" i="3" s="1"/>
  <c r="I320" i="3" a="1"/>
  <c r="I320" i="3" s="1"/>
  <c r="AA320" i="3" a="1"/>
  <c r="AA320" i="3" s="1"/>
  <c r="P320" i="3" a="1"/>
  <c r="P320" i="3" s="1"/>
  <c r="Y320" i="3" a="1"/>
  <c r="Y320" i="3" s="1"/>
  <c r="T320" i="3" a="1"/>
  <c r="T320" i="3" s="1"/>
  <c r="AI320" i="3" a="1"/>
  <c r="AI320" i="3" s="1"/>
  <c r="G320" i="3" a="1"/>
  <c r="G320" i="3" s="1"/>
  <c r="W320" i="3" a="1"/>
  <c r="W320" i="3" s="1"/>
  <c r="U320" i="3" a="1"/>
  <c r="U320" i="3" s="1"/>
  <c r="AD320" i="3" a="1"/>
  <c r="AD320" i="3" s="1"/>
  <c r="AJ320" i="3" a="1"/>
  <c r="AJ320" i="3" s="1"/>
  <c r="H320" i="3" a="1"/>
  <c r="H320" i="3" s="1"/>
  <c r="AH320" i="3" a="1"/>
  <c r="AH320" i="3" s="1"/>
  <c r="N264" i="3" l="1" a="1"/>
  <c r="N264" i="3" s="1"/>
  <c r="N265" i="3" s="1" a="1"/>
  <c r="N265" i="3" s="1"/>
  <c r="N266" i="3" s="1"/>
  <c r="N270" i="3" s="1"/>
  <c r="N274" i="3" s="1"/>
  <c r="N278" i="3" s="1"/>
  <c r="N282" i="3" s="1"/>
  <c r="N286" i="3" s="1"/>
  <c r="N290" i="3" s="1"/>
  <c r="N294" i="3" s="1"/>
  <c r="N298" i="3" s="1"/>
  <c r="N302" i="3" s="1"/>
  <c r="AI264" i="3" a="1"/>
  <c r="AI264" i="3" s="1"/>
  <c r="AI265" i="3" s="1" a="1"/>
  <c r="AI265" i="3" s="1"/>
  <c r="AI266" i="3" s="1"/>
  <c r="AI270" i="3" s="1"/>
  <c r="AI274" i="3" s="1"/>
  <c r="AI276" i="3" s="1" a="1"/>
  <c r="AI276" i="3" s="1"/>
  <c r="AI277" i="3" s="1" a="1"/>
  <c r="AI277" i="3" s="1"/>
  <c r="AI278" i="3" s="1"/>
  <c r="S264" i="3" a="1"/>
  <c r="S264" i="3" s="1"/>
  <c r="S265" i="3" s="1" a="1"/>
  <c r="S265" i="3" s="1"/>
  <c r="S266" i="3" s="1"/>
  <c r="S270" i="3" s="1"/>
  <c r="S274" i="3" s="1"/>
  <c r="S278" i="3" s="1"/>
  <c r="S282" i="3" s="1"/>
  <c r="S286" i="3" s="1"/>
  <c r="S290" i="3" s="1"/>
  <c r="S294" i="3" s="1"/>
  <c r="V264" i="3" a="1"/>
  <c r="V264" i="3" s="1"/>
  <c r="V265" i="3" s="1" a="1"/>
  <c r="V265" i="3" s="1"/>
  <c r="V266" i="3" s="1"/>
  <c r="V270" i="3" s="1"/>
  <c r="V274" i="3" s="1"/>
  <c r="V278" i="3" s="1"/>
  <c r="V282" i="3" s="1"/>
  <c r="V286" i="3" s="1"/>
  <c r="V290" i="3" s="1"/>
  <c r="V294" i="3" s="1"/>
  <c r="V298" i="3" s="1"/>
  <c r="V302" i="3" s="1"/>
  <c r="V306" i="3" s="1"/>
  <c r="V310" i="3" s="1"/>
  <c r="V314" i="3" s="1"/>
  <c r="V318" i="3" s="1"/>
  <c r="Y418" i="3"/>
  <c r="Y422" i="3" s="1"/>
  <c r="J24" i="4" a="1"/>
  <c r="J24" i="4" s="1"/>
  <c r="AA300" i="3" a="1"/>
  <c r="AA300" i="3" s="1"/>
  <c r="AA301" i="3" s="1" a="1"/>
  <c r="AA301" i="3" s="1"/>
  <c r="AA302" i="3" s="1"/>
  <c r="AA306" i="3" s="1"/>
  <c r="AA310" i="3" s="1"/>
  <c r="R300" i="3" a="1"/>
  <c r="R300" i="3" s="1"/>
  <c r="R301" i="3" s="1" a="1"/>
  <c r="R301" i="3" s="1"/>
  <c r="R302" i="3" s="1"/>
  <c r="R306" i="3" s="1"/>
  <c r="R310" i="3" s="1"/>
  <c r="R314" i="3" s="1"/>
  <c r="R318" i="3" s="1"/>
  <c r="Z300" i="3" a="1"/>
  <c r="Z300" i="3" s="1"/>
  <c r="Z301" i="3" s="1" a="1"/>
  <c r="Z301" i="3" s="1"/>
  <c r="Z302" i="3" s="1"/>
  <c r="Z306" i="3" s="1"/>
  <c r="Z310" i="3" s="1"/>
  <c r="D300" i="3" a="1"/>
  <c r="D300" i="3" s="1"/>
  <c r="D301" i="3" s="1" a="1"/>
  <c r="D301" i="3" s="1"/>
  <c r="D302" i="3" s="1"/>
  <c r="D306" i="3" s="1"/>
  <c r="D310" i="3" s="1"/>
  <c r="D314" i="3" s="1"/>
  <c r="T272" i="3" a="1"/>
  <c r="T272" i="3" s="1"/>
  <c r="T273" i="3" s="1" a="1"/>
  <c r="T273" i="3" s="1"/>
  <c r="T274" i="3" s="1"/>
  <c r="T278" i="3" s="1"/>
  <c r="T282" i="3" s="1"/>
  <c r="T286" i="3" s="1"/>
  <c r="T290" i="3" s="1"/>
  <c r="T294" i="3" s="1"/>
  <c r="T298" i="3" s="1"/>
  <c r="T302" i="3" s="1"/>
  <c r="T306" i="3" s="1"/>
  <c r="T310" i="3" s="1"/>
  <c r="T314" i="3" s="1"/>
  <c r="T318" i="3" s="1"/>
  <c r="T322" i="3" s="1"/>
  <c r="T326" i="3" s="1"/>
  <c r="T330" i="3" s="1"/>
  <c r="T334" i="3" s="1"/>
  <c r="T338" i="3" s="1"/>
  <c r="T342" i="3" s="1"/>
  <c r="T346" i="3" s="1"/>
  <c r="T350" i="3" s="1"/>
  <c r="T354" i="3" s="1"/>
  <c r="T358" i="3" s="1"/>
  <c r="T362" i="3" s="1"/>
  <c r="T366" i="3" s="1"/>
  <c r="T370" i="3" s="1"/>
  <c r="T374" i="3" s="1"/>
  <c r="T378" i="3" s="1"/>
  <c r="T382" i="3" s="1"/>
  <c r="T386" i="3" s="1"/>
  <c r="X272" i="3" a="1"/>
  <c r="X272" i="3" s="1"/>
  <c r="X273" i="3" s="1" a="1"/>
  <c r="X273" i="3" s="1"/>
  <c r="X274" i="3" s="1"/>
  <c r="X278" i="3" s="1"/>
  <c r="X282" i="3" s="1"/>
  <c r="X286" i="3" s="1"/>
  <c r="X290" i="3" s="1"/>
  <c r="X294" i="3" s="1"/>
  <c r="X298" i="3" s="1"/>
  <c r="X302" i="3" s="1"/>
  <c r="X306" i="3" s="1"/>
  <c r="X310" i="3" s="1"/>
  <c r="X314" i="3" s="1"/>
  <c r="X318" i="3" s="1"/>
  <c r="X322" i="3" s="1"/>
  <c r="X326" i="3" s="1"/>
  <c r="X330" i="3" s="1"/>
  <c r="X334" i="3" s="1"/>
  <c r="X338" i="3" s="1"/>
  <c r="X342" i="3" s="1"/>
  <c r="X346" i="3" s="1"/>
  <c r="X350" i="3" s="1"/>
  <c r="X354" i="3" s="1"/>
  <c r="X358" i="3" s="1"/>
  <c r="X362" i="3" s="1"/>
  <c r="X366" i="3" s="1"/>
  <c r="X370" i="3" s="1"/>
  <c r="X374" i="3" s="1"/>
  <c r="X378" i="3" s="1"/>
  <c r="X382" i="3" s="1"/>
  <c r="X386" i="3" s="1"/>
  <c r="X390" i="3" s="1"/>
  <c r="X394" i="3" s="1"/>
  <c r="X398" i="3" s="1"/>
  <c r="X402" i="3" s="1"/>
  <c r="X406" i="3" s="1"/>
  <c r="X410" i="3" s="1"/>
  <c r="X414" i="3" s="1"/>
  <c r="G304" i="3" a="1"/>
  <c r="G304" i="3" s="1"/>
  <c r="I304" i="3" a="1"/>
  <c r="I304" i="3" s="1"/>
  <c r="M304" i="3" a="1"/>
  <c r="M304" i="3" s="1"/>
  <c r="S304" i="3" a="1"/>
  <c r="S304" i="3" s="1"/>
  <c r="T304" i="3" a="1"/>
  <c r="T304" i="3" s="1"/>
  <c r="D304" i="3" a="1"/>
  <c r="D304" i="3" s="1"/>
  <c r="AA304" i="3" a="1"/>
  <c r="AA304" i="3" s="1"/>
  <c r="P304" i="3" a="1"/>
  <c r="P304" i="3" s="1"/>
  <c r="H304" i="3" a="1"/>
  <c r="H304" i="3" s="1"/>
  <c r="AC304" i="3" a="1"/>
  <c r="AC304" i="3" s="1"/>
  <c r="AB304" i="3" a="1"/>
  <c r="AB304" i="3" s="1"/>
  <c r="O304" i="3" a="1"/>
  <c r="O304" i="3" s="1"/>
  <c r="K304" i="3" a="1"/>
  <c r="K304" i="3" s="1"/>
  <c r="AE304" i="3" a="1"/>
  <c r="AE304" i="3" s="1"/>
  <c r="AL304" i="3" a="1"/>
  <c r="AL304" i="3" s="1"/>
  <c r="X304" i="3" a="1"/>
  <c r="X304" i="3" s="1"/>
  <c r="AG304" i="3" a="1"/>
  <c r="AG304" i="3" s="1"/>
  <c r="AD304" i="3" a="1"/>
  <c r="AD304" i="3" s="1"/>
  <c r="Q304" i="3" a="1"/>
  <c r="Q304" i="3" s="1"/>
  <c r="AH304" i="3" a="1"/>
  <c r="AH304" i="3" s="1"/>
  <c r="R304" i="3" a="1"/>
  <c r="R304" i="3" s="1"/>
  <c r="AI304" i="3" a="1"/>
  <c r="AI304" i="3" s="1"/>
  <c r="AF304" i="3" a="1"/>
  <c r="AF304" i="3" s="1"/>
  <c r="AK304" i="3" a="1"/>
  <c r="AK304" i="3" s="1"/>
  <c r="F304" i="3" a="1"/>
  <c r="F304" i="3" s="1"/>
  <c r="V304" i="3" a="1"/>
  <c r="V304" i="3" s="1"/>
  <c r="U304" i="3" a="1"/>
  <c r="U304" i="3" s="1"/>
  <c r="AM304" i="3" a="1"/>
  <c r="AM304" i="3" s="1"/>
  <c r="Y304" i="3" a="1"/>
  <c r="Y304" i="3" s="1"/>
  <c r="J304" i="3" a="1"/>
  <c r="J304" i="3" s="1"/>
  <c r="AJ304" i="3" a="1"/>
  <c r="AJ304" i="3" s="1"/>
  <c r="Z304" i="3" a="1"/>
  <c r="Z304" i="3" s="1"/>
  <c r="K312" i="3" a="1"/>
  <c r="K312" i="3" s="1"/>
  <c r="AE312" i="3" a="1"/>
  <c r="AE312" i="3" s="1"/>
  <c r="AD312" i="3" a="1"/>
  <c r="AD312" i="3" s="1"/>
  <c r="AL312" i="3" a="1"/>
  <c r="AL312" i="3" s="1"/>
  <c r="T312" i="3" a="1"/>
  <c r="T312" i="3" s="1"/>
  <c r="M312" i="3" a="1"/>
  <c r="M312" i="3" s="1"/>
  <c r="O312" i="3" a="1"/>
  <c r="O312" i="3" s="1"/>
  <c r="AF312" i="3" a="1"/>
  <c r="AF312" i="3" s="1"/>
  <c r="AG312" i="3" a="1"/>
  <c r="AG312" i="3" s="1"/>
  <c r="P312" i="3" a="1"/>
  <c r="P312" i="3" s="1"/>
  <c r="S312" i="3" a="1"/>
  <c r="S312" i="3" s="1"/>
  <c r="H312" i="3" a="1"/>
  <c r="H312" i="3" s="1"/>
  <c r="W312" i="3" a="1"/>
  <c r="W312" i="3" s="1"/>
  <c r="J312" i="3" a="1"/>
  <c r="J312" i="3" s="1"/>
  <c r="Y312" i="3" a="1"/>
  <c r="Y312" i="3" s="1"/>
  <c r="F312" i="3" a="1"/>
  <c r="F312" i="3" s="1"/>
  <c r="Q312" i="3" a="1"/>
  <c r="Q312" i="3" s="1"/>
  <c r="AB312" i="3" a="1"/>
  <c r="AB312" i="3" s="1"/>
  <c r="AC312" i="3" a="1"/>
  <c r="AC312" i="3" s="1"/>
  <c r="G312" i="3" a="1"/>
  <c r="G312" i="3" s="1"/>
  <c r="E312" i="3" a="1"/>
  <c r="E312" i="3" s="1"/>
  <c r="N312" i="3" a="1"/>
  <c r="N312" i="3" s="1"/>
  <c r="I312" i="3" a="1"/>
  <c r="I312" i="3" s="1"/>
  <c r="AH312" i="3" a="1"/>
  <c r="AH312" i="3" s="1"/>
  <c r="AM320" i="3" l="1" a="1"/>
  <c r="AM320" i="3" s="1"/>
  <c r="AM321" i="3" s="1" a="1"/>
  <c r="AM321" i="3" s="1"/>
  <c r="AM322" i="3" s="1"/>
  <c r="AM326" i="3" s="1"/>
  <c r="AM330" i="3" s="1"/>
  <c r="AM334" i="3" s="1"/>
  <c r="AM338" i="3" s="1"/>
  <c r="AM342" i="3" s="1"/>
  <c r="AM346" i="3" s="1"/>
  <c r="AM350" i="3" s="1"/>
  <c r="AM354" i="3" s="1"/>
  <c r="AM358" i="3" s="1"/>
  <c r="AM362" i="3" s="1"/>
  <c r="AM366" i="3" s="1"/>
  <c r="AM370" i="3" s="1"/>
  <c r="AM374" i="3" s="1"/>
  <c r="AM378" i="3" s="1"/>
  <c r="AM382" i="3" s="1"/>
  <c r="AM386" i="3" s="1"/>
  <c r="AM390" i="3" s="1"/>
  <c r="AM394" i="3" s="1"/>
  <c r="AM398" i="3" s="1"/>
  <c r="AM402" i="3" s="1"/>
  <c r="AM406" i="3" s="1"/>
  <c r="AM410" i="3" s="1"/>
  <c r="AM414" i="3" s="1"/>
  <c r="R320" i="3" a="1"/>
  <c r="R320" i="3" s="1"/>
  <c r="R321" i="3" s="1" a="1"/>
  <c r="R321" i="3" s="1"/>
  <c r="R322" i="3" s="1"/>
  <c r="R326" i="3" s="1"/>
  <c r="R330" i="3" s="1"/>
  <c r="R334" i="3" s="1"/>
  <c r="S296" i="3" a="1"/>
  <c r="S296" i="3" s="1"/>
  <c r="S297" i="3" s="1" a="1"/>
  <c r="S297" i="3" s="1"/>
  <c r="S298" i="3" s="1"/>
  <c r="S302" i="3" s="1"/>
  <c r="S306" i="3" s="1"/>
  <c r="S310" i="3" s="1"/>
  <c r="S314" i="3" s="1"/>
  <c r="S318" i="3" s="1"/>
  <c r="S320" i="3" s="1" a="1"/>
  <c r="S320" i="3" s="1"/>
  <c r="S321" i="3" s="1" a="1"/>
  <c r="S321" i="3" s="1"/>
  <c r="S322" i="3" s="1"/>
  <c r="S326" i="3" s="1"/>
  <c r="S330" i="3" s="1"/>
  <c r="S334" i="3" s="1"/>
  <c r="F296" i="3" a="1"/>
  <c r="F296" i="3" s="1"/>
  <c r="F297" i="3" s="1" a="1"/>
  <c r="F297" i="3" s="1"/>
  <c r="F298" i="3" s="1"/>
  <c r="F302" i="3" s="1"/>
  <c r="F306" i="3" s="1"/>
  <c r="F310" i="3" s="1"/>
  <c r="F314" i="3" s="1"/>
  <c r="F318" i="3" s="1"/>
  <c r="F322" i="3" s="1"/>
  <c r="AD296" i="3" a="1"/>
  <c r="AD296" i="3" s="1"/>
  <c r="AD297" i="3" s="1" a="1"/>
  <c r="AD297" i="3" s="1"/>
  <c r="AD298" i="3" s="1"/>
  <c r="AD302" i="3" s="1"/>
  <c r="AD306" i="3" s="1"/>
  <c r="AD310" i="3" s="1"/>
  <c r="AD314" i="3" s="1"/>
  <c r="I296" i="3" a="1"/>
  <c r="I296" i="3" s="1"/>
  <c r="I297" i="3" s="1" a="1"/>
  <c r="I297" i="3" s="1"/>
  <c r="I298" i="3" s="1"/>
  <c r="I302" i="3" s="1"/>
  <c r="I306" i="3" s="1"/>
  <c r="I310" i="3" s="1"/>
  <c r="I314" i="3" s="1"/>
  <c r="I318" i="3" s="1"/>
  <c r="I322" i="3" s="1"/>
  <c r="X418" i="3"/>
  <c r="X422" i="3" s="1"/>
  <c r="J23" i="4" a="1"/>
  <c r="J23" i="4" s="1"/>
  <c r="Q276" i="3" a="1"/>
  <c r="Q276" i="3" s="1"/>
  <c r="Q277" i="3" s="1" a="1"/>
  <c r="Q277" i="3" s="1"/>
  <c r="Q278" i="3" s="1"/>
  <c r="E276" i="3" a="1"/>
  <c r="E276" i="3" s="1"/>
  <c r="E277" i="3" s="1" a="1"/>
  <c r="E277" i="3" s="1"/>
  <c r="E278" i="3" s="1"/>
  <c r="AA316" i="3" a="1"/>
  <c r="AA316" i="3" s="1"/>
  <c r="Z316" i="3" a="1"/>
  <c r="Z316" i="3" s="1"/>
  <c r="V316" i="3" a="1"/>
  <c r="V316" i="3" s="1"/>
  <c r="M316" i="3" a="1"/>
  <c r="M316" i="3" s="1"/>
  <c r="AB316" i="3" a="1"/>
  <c r="AB316" i="3" s="1"/>
  <c r="AK316" i="3" a="1"/>
  <c r="AK316" i="3" s="1"/>
  <c r="AL316" i="3" a="1"/>
  <c r="AL316" i="3" s="1"/>
  <c r="S316" i="3" a="1"/>
  <c r="S316" i="3" s="1"/>
  <c r="I316" i="3" a="1"/>
  <c r="I316" i="3" s="1"/>
  <c r="X316" i="3" a="1"/>
  <c r="X316" i="3" s="1"/>
  <c r="L316" i="3" a="1"/>
  <c r="L316" i="3" s="1"/>
  <c r="N316" i="3" a="1"/>
  <c r="N316" i="3" s="1"/>
  <c r="Q316" i="3" a="1"/>
  <c r="Q316" i="3" s="1"/>
  <c r="J316" i="3" a="1"/>
  <c r="J316" i="3" s="1"/>
  <c r="F316" i="3" a="1"/>
  <c r="F316" i="3" s="1"/>
  <c r="AE316" i="3" a="1"/>
  <c r="AE316" i="3" s="1"/>
  <c r="H316" i="3" a="1"/>
  <c r="H316" i="3" s="1"/>
  <c r="O316" i="3" a="1"/>
  <c r="O316" i="3" s="1"/>
  <c r="T316" i="3" a="1"/>
  <c r="T316" i="3" s="1"/>
  <c r="K316" i="3" a="1"/>
  <c r="K316" i="3" s="1"/>
  <c r="E316" i="3" a="1"/>
  <c r="E316" i="3" s="1"/>
  <c r="U316" i="3" a="1"/>
  <c r="U316" i="3" s="1"/>
  <c r="R316" i="3" a="1"/>
  <c r="R316" i="3" s="1"/>
  <c r="G316" i="3" a="1"/>
  <c r="G316" i="3" s="1"/>
  <c r="AJ316" i="3" a="1"/>
  <c r="AJ316" i="3" s="1"/>
  <c r="AH316" i="3" a="1"/>
  <c r="AH316" i="3" s="1"/>
  <c r="AF316" i="3" a="1"/>
  <c r="AF316" i="3" s="1"/>
  <c r="Y316" i="3" a="1"/>
  <c r="Y316" i="3" s="1"/>
  <c r="AM316" i="3" a="1"/>
  <c r="AM316" i="3" s="1"/>
  <c r="AG316" i="3" a="1"/>
  <c r="AG316" i="3" s="1"/>
  <c r="AC316" i="3" a="1"/>
  <c r="AC316" i="3" s="1"/>
  <c r="AI316" i="3" a="1"/>
  <c r="AI316" i="3" s="1"/>
  <c r="U276" i="3" a="1"/>
  <c r="U276" i="3" s="1"/>
  <c r="U277" i="3" s="1" a="1"/>
  <c r="U277" i="3" s="1"/>
  <c r="U278" i="3" s="1"/>
  <c r="J280" i="3" l="1" a="1"/>
  <c r="J280" i="3" s="1"/>
  <c r="AC280" i="3" a="1"/>
  <c r="AC280" i="3" s="1"/>
  <c r="U280" i="3" a="1"/>
  <c r="U280" i="3" s="1"/>
  <c r="U281" i="3" s="1" a="1"/>
  <c r="U281" i="3" s="1"/>
  <c r="U282" i="3" s="1"/>
  <c r="U286" i="3" s="1"/>
  <c r="U290" i="3" s="1"/>
  <c r="U294" i="3" s="1"/>
  <c r="U298" i="3" s="1"/>
  <c r="U302" i="3" s="1"/>
  <c r="U306" i="3" s="1"/>
  <c r="U310" i="3" s="1"/>
  <c r="Q280" i="3" a="1"/>
  <c r="Q280" i="3" s="1"/>
  <c r="Q281" i="3" s="1" a="1"/>
  <c r="Q281" i="3" s="1"/>
  <c r="Q282" i="3" s="1"/>
  <c r="AG280" i="3" a="1"/>
  <c r="AG280" i="3" s="1"/>
  <c r="AD280" i="3" a="1"/>
  <c r="AD280" i="3" s="1"/>
  <c r="AE280" i="3" a="1"/>
  <c r="AE280" i="3" s="1"/>
  <c r="AI280" i="3" a="1"/>
  <c r="AI280" i="3" s="1"/>
  <c r="AI281" i="3" s="1" a="1"/>
  <c r="AI281" i="3" s="1"/>
  <c r="AI282" i="3" s="1"/>
  <c r="AI284" i="3" s="1" a="1"/>
  <c r="AI284" i="3" s="1"/>
  <c r="AI285" i="3" s="1" a="1"/>
  <c r="AI285" i="3" s="1"/>
  <c r="AI286" i="3" s="1"/>
  <c r="P280" i="3" a="1"/>
  <c r="P280" i="3" s="1"/>
  <c r="R280" i="3" a="1"/>
  <c r="R280" i="3" s="1"/>
  <c r="O280" i="3" a="1"/>
  <c r="O280" i="3" s="1"/>
  <c r="G280" i="3" a="1"/>
  <c r="G280" i="3" s="1"/>
  <c r="X280" i="3" a="1"/>
  <c r="X280" i="3" s="1"/>
  <c r="AM280" i="3" a="1"/>
  <c r="AM280" i="3" s="1"/>
  <c r="AL280" i="3" a="1"/>
  <c r="AL280" i="3" s="1"/>
  <c r="AB280" i="3" a="1"/>
  <c r="AB280" i="3" s="1"/>
  <c r="D280" i="3" a="1"/>
  <c r="D280" i="3" s="1"/>
  <c r="T280" i="3" a="1"/>
  <c r="T280" i="3" s="1"/>
  <c r="AA280" i="3" a="1"/>
  <c r="AA280" i="3" s="1"/>
  <c r="AJ280" i="3" a="1"/>
  <c r="AJ280" i="3" s="1"/>
  <c r="Y280" i="3" a="1"/>
  <c r="Y280" i="3" s="1"/>
  <c r="E280" i="3" a="1"/>
  <c r="E280" i="3" s="1"/>
  <c r="E281" i="3" s="1" a="1"/>
  <c r="E281" i="3" s="1"/>
  <c r="E282" i="3" s="1"/>
  <c r="E286" i="3" s="1"/>
  <c r="E290" i="3" s="1"/>
  <c r="E294" i="3" s="1"/>
  <c r="E298" i="3" s="1"/>
  <c r="E302" i="3" s="1"/>
  <c r="M280" i="3" a="1"/>
  <c r="M280" i="3" s="1"/>
  <c r="H280" i="3" a="1"/>
  <c r="H280" i="3" s="1"/>
  <c r="AK280" i="3" a="1"/>
  <c r="AK280" i="3" s="1"/>
  <c r="W280" i="3" a="1"/>
  <c r="W280" i="3" s="1"/>
  <c r="S280" i="3" a="1"/>
  <c r="S280" i="3" s="1"/>
  <c r="K280" i="3" a="1"/>
  <c r="K280" i="3" s="1"/>
  <c r="F280" i="3" a="1"/>
  <c r="F280" i="3" s="1"/>
  <c r="L280" i="3" a="1"/>
  <c r="L280" i="3" s="1"/>
  <c r="V280" i="3" a="1"/>
  <c r="V280" i="3" s="1"/>
  <c r="AH280" i="3" a="1"/>
  <c r="AH280" i="3" s="1"/>
  <c r="I280" i="3" a="1"/>
  <c r="I280" i="3" s="1"/>
  <c r="AF280" i="3" a="1"/>
  <c r="AF280" i="3" s="1"/>
  <c r="N280" i="3" a="1"/>
  <c r="N280" i="3" s="1"/>
  <c r="Z280" i="3" a="1"/>
  <c r="Z280" i="3" s="1"/>
  <c r="AL424" i="3" a="1"/>
  <c r="AL424" i="3" s="1"/>
  <c r="L424" i="3" a="1"/>
  <c r="L424" i="3" s="1"/>
  <c r="AF424" i="3" a="1"/>
  <c r="AF424" i="3" s="1"/>
  <c r="F424" i="3" a="1"/>
  <c r="F424" i="3" s="1"/>
  <c r="AB424" i="3" a="1"/>
  <c r="AB424" i="3" s="1"/>
  <c r="Z424" i="3" a="1"/>
  <c r="Z424" i="3" s="1"/>
  <c r="D424" i="3" a="1"/>
  <c r="D424" i="3" s="1"/>
  <c r="M424" i="3" a="1"/>
  <c r="M424" i="3" s="1"/>
  <c r="H424" i="3" a="1"/>
  <c r="H424" i="3" s="1"/>
  <c r="AK424" i="3" a="1"/>
  <c r="AK424" i="3" s="1"/>
  <c r="R424" i="3" a="1"/>
  <c r="R424" i="3" s="1"/>
  <c r="E424" i="3" a="1"/>
  <c r="E424" i="3" s="1"/>
  <c r="G424" i="3" a="1"/>
  <c r="G424" i="3" s="1"/>
  <c r="N424" i="3" a="1"/>
  <c r="N424" i="3" s="1"/>
  <c r="AH424" i="3" a="1"/>
  <c r="AH424" i="3" s="1"/>
  <c r="Q424" i="3" a="1"/>
  <c r="Q424" i="3" s="1"/>
  <c r="I424" i="3" a="1"/>
  <c r="I424" i="3" s="1"/>
  <c r="T424" i="3" a="1"/>
  <c r="T424" i="3" s="1"/>
  <c r="AA424" i="3" a="1"/>
  <c r="AA424" i="3" s="1"/>
  <c r="AI424" i="3" a="1"/>
  <c r="AI424" i="3" s="1"/>
  <c r="O424" i="3" a="1"/>
  <c r="O424" i="3" s="1"/>
  <c r="U424" i="3" a="1"/>
  <c r="U424" i="3" s="1"/>
  <c r="K424" i="3" a="1"/>
  <c r="K424" i="3" s="1"/>
  <c r="W424" i="3" a="1"/>
  <c r="W424" i="3" s="1"/>
  <c r="J424" i="3" a="1"/>
  <c r="J424" i="3" s="1"/>
  <c r="V424" i="3" a="1"/>
  <c r="V424" i="3" s="1"/>
  <c r="AG424" i="3" a="1"/>
  <c r="AG424" i="3" s="1"/>
  <c r="AE424" i="3" a="1"/>
  <c r="AE424" i="3" s="1"/>
  <c r="S424" i="3" a="1"/>
  <c r="S424" i="3" s="1"/>
  <c r="AJ424" i="3" a="1"/>
  <c r="AJ424" i="3" s="1"/>
  <c r="P424" i="3" a="1"/>
  <c r="P424" i="3" s="1"/>
  <c r="AM424" i="3" a="1"/>
  <c r="AM424" i="3" s="1"/>
  <c r="AF324" i="3" a="1"/>
  <c r="AF324" i="3" s="1"/>
  <c r="AB324" i="3" a="1"/>
  <c r="AB324" i="3" s="1"/>
  <c r="Z324" i="3" a="1"/>
  <c r="Z324" i="3" s="1"/>
  <c r="W324" i="3" a="1"/>
  <c r="W324" i="3" s="1"/>
  <c r="AI324" i="3" a="1"/>
  <c r="AI324" i="3" s="1"/>
  <c r="R324" i="3" a="1"/>
  <c r="R324" i="3" s="1"/>
  <c r="Y324" i="3" a="1"/>
  <c r="Y324" i="3" s="1"/>
  <c r="AK324" i="3" a="1"/>
  <c r="AK324" i="3" s="1"/>
  <c r="X324" i="3" a="1"/>
  <c r="X324" i="3" s="1"/>
  <c r="D324" i="3" a="1"/>
  <c r="D324" i="3" s="1"/>
  <c r="L324" i="3" a="1"/>
  <c r="L324" i="3" s="1"/>
  <c r="AA324" i="3" a="1"/>
  <c r="AA324" i="3" s="1"/>
  <c r="AM324" i="3" a="1"/>
  <c r="AM324" i="3" s="1"/>
  <c r="AD324" i="3" a="1"/>
  <c r="AD324" i="3" s="1"/>
  <c r="H324" i="3" a="1"/>
  <c r="H324" i="3" s="1"/>
  <c r="J324" i="3" a="1"/>
  <c r="J324" i="3" s="1"/>
  <c r="AG324" i="3" a="1"/>
  <c r="AG324" i="3" s="1"/>
  <c r="Q324" i="3" a="1"/>
  <c r="Q324" i="3" s="1"/>
  <c r="O324" i="3" a="1"/>
  <c r="O324" i="3" s="1"/>
  <c r="P324" i="3" a="1"/>
  <c r="P324" i="3" s="1"/>
  <c r="AE324" i="3" a="1"/>
  <c r="AE324" i="3" s="1"/>
  <c r="M324" i="3" a="1"/>
  <c r="M324" i="3" s="1"/>
  <c r="AL324" i="3" a="1"/>
  <c r="AL324" i="3" s="1"/>
  <c r="U324" i="3" a="1"/>
  <c r="U324" i="3" s="1"/>
  <c r="AJ324" i="3" a="1"/>
  <c r="AJ324" i="3" s="1"/>
  <c r="S324" i="3" a="1"/>
  <c r="S324" i="3" s="1"/>
  <c r="K324" i="3" a="1"/>
  <c r="K324" i="3" s="1"/>
  <c r="E324" i="3" a="1"/>
  <c r="E324" i="3" s="1"/>
  <c r="AH324" i="3" a="1"/>
  <c r="AH324" i="3" s="1"/>
  <c r="G324" i="3" a="1"/>
  <c r="G324" i="3" s="1"/>
  <c r="V324" i="3" a="1"/>
  <c r="V324" i="3" s="1"/>
  <c r="T324" i="3" a="1"/>
  <c r="T324" i="3" s="1"/>
  <c r="V320" i="3" a="1"/>
  <c r="V320" i="3" s="1"/>
  <c r="V321" i="3" s="1" a="1"/>
  <c r="V321" i="3" s="1"/>
  <c r="V322" i="3" s="1"/>
  <c r="V326" i="3" s="1"/>
  <c r="V330" i="3" s="1"/>
  <c r="V334" i="3" s="1"/>
  <c r="V338" i="3" s="1"/>
  <c r="V342" i="3" s="1"/>
  <c r="V346" i="3" s="1"/>
  <c r="V350" i="3" s="1"/>
  <c r="V354" i="3" s="1"/>
  <c r="V358" i="3" s="1"/>
  <c r="V362" i="3" s="1"/>
  <c r="V366" i="3" s="1"/>
  <c r="V370" i="3" s="1"/>
  <c r="V374" i="3" s="1"/>
  <c r="V378" i="3" s="1"/>
  <c r="V382" i="3" s="1"/>
  <c r="V386" i="3" s="1"/>
  <c r="V390" i="3" s="1"/>
  <c r="V394" i="3" s="1"/>
  <c r="V398" i="3" s="1"/>
  <c r="V402" i="3" s="1"/>
  <c r="V406" i="3" s="1"/>
  <c r="V410" i="3" s="1"/>
  <c r="V414" i="3" s="1"/>
  <c r="AM418" i="3"/>
  <c r="AM422" i="3" s="1"/>
  <c r="AM426" i="3" s="1"/>
  <c r="AM430" i="3" s="1"/>
  <c r="AM434" i="3" s="1"/>
  <c r="AM438" i="3" s="1"/>
  <c r="AM442" i="3" s="1"/>
  <c r="AM446" i="3" s="1"/>
  <c r="AM450" i="3" s="1"/>
  <c r="AM454" i="3" s="1"/>
  <c r="AM458" i="3" s="1"/>
  <c r="AM462" i="3" s="1"/>
  <c r="AM466" i="3" s="1"/>
  <c r="AM470" i="3" s="1"/>
  <c r="AM474" i="3" s="1"/>
  <c r="AM478" i="3" s="1"/>
  <c r="AM482" i="3" s="1"/>
  <c r="AM486" i="3" s="1"/>
  <c r="AM490" i="3" s="1"/>
  <c r="J38" i="4" a="1"/>
  <c r="J38" i="4" s="1"/>
  <c r="Y328" i="3" a="1"/>
  <c r="Y328" i="3" s="1"/>
  <c r="W328" i="3" a="1"/>
  <c r="W328" i="3" s="1"/>
  <c r="X328" i="3" a="1"/>
  <c r="X328" i="3" s="1"/>
  <c r="AB328" i="3" a="1"/>
  <c r="AB328" i="3" s="1"/>
  <c r="E328" i="3" a="1"/>
  <c r="E328" i="3" s="1"/>
  <c r="K328" i="3" a="1"/>
  <c r="K328" i="3" s="1"/>
  <c r="Z328" i="3" a="1"/>
  <c r="Z328" i="3" s="1"/>
  <c r="AC328" i="3" a="1"/>
  <c r="AC328" i="3" s="1"/>
  <c r="AK328" i="3" a="1"/>
  <c r="AK328" i="3" s="1"/>
  <c r="M328" i="3" a="1"/>
  <c r="M328" i="3" s="1"/>
  <c r="AA328" i="3" a="1"/>
  <c r="AA328" i="3" s="1"/>
  <c r="N328" i="3" a="1"/>
  <c r="N328" i="3" s="1"/>
  <c r="F328" i="3" a="1"/>
  <c r="F328" i="3" s="1"/>
  <c r="AE328" i="3" a="1"/>
  <c r="AE328" i="3" s="1"/>
  <c r="Q328" i="3" a="1"/>
  <c r="Q328" i="3" s="1"/>
  <c r="AL328" i="3" a="1"/>
  <c r="AL328" i="3" s="1"/>
  <c r="AF328" i="3" a="1"/>
  <c r="AF328" i="3" s="1"/>
  <c r="I328" i="3" a="1"/>
  <c r="I328" i="3" s="1"/>
  <c r="R328" i="3" a="1"/>
  <c r="R328" i="3" s="1"/>
  <c r="AD328" i="3" a="1"/>
  <c r="AD328" i="3" s="1"/>
  <c r="AG328" i="3" a="1"/>
  <c r="AG328" i="3" s="1"/>
  <c r="J328" i="3" a="1"/>
  <c r="J328" i="3" s="1"/>
  <c r="AH328" i="3" a="1"/>
  <c r="AH328" i="3" s="1"/>
  <c r="U328" i="3" a="1"/>
  <c r="U328" i="3" s="1"/>
  <c r="S328" i="3" a="1"/>
  <c r="S328" i="3" s="1"/>
  <c r="V328" i="3" a="1"/>
  <c r="V328" i="3" s="1"/>
  <c r="T328" i="3" a="1"/>
  <c r="T328" i="3" s="1"/>
  <c r="AJ328" i="3" a="1"/>
  <c r="AJ328" i="3" s="1"/>
  <c r="AI328" i="3" a="1"/>
  <c r="AI328" i="3" s="1"/>
  <c r="D328" i="3" a="1"/>
  <c r="D328" i="3" s="1"/>
  <c r="AM328" i="3" a="1"/>
  <c r="AM328" i="3" s="1"/>
  <c r="G328" i="3" a="1"/>
  <c r="G328" i="3" s="1"/>
  <c r="E304" i="3" l="1" a="1"/>
  <c r="E304" i="3" s="1"/>
  <c r="E305" i="3" s="1" a="1"/>
  <c r="E305" i="3" s="1"/>
  <c r="E306" i="3" s="1"/>
  <c r="E310" i="3" s="1"/>
  <c r="E314" i="3" s="1"/>
  <c r="E318" i="3" s="1"/>
  <c r="E322" i="3" s="1"/>
  <c r="E326" i="3" s="1"/>
  <c r="E330" i="3" s="1"/>
  <c r="L304" i="3" a="1"/>
  <c r="L304" i="3" s="1"/>
  <c r="L305" i="3" s="1" a="1"/>
  <c r="L305" i="3" s="1"/>
  <c r="L306" i="3" s="1"/>
  <c r="L310" i="3" s="1"/>
  <c r="L314" i="3" s="1"/>
  <c r="L318" i="3" s="1"/>
  <c r="L322" i="3" s="1"/>
  <c r="L326" i="3" s="1"/>
  <c r="N304" i="3" a="1"/>
  <c r="N304" i="3" s="1"/>
  <c r="N305" i="3" s="1" a="1"/>
  <c r="N305" i="3" s="1"/>
  <c r="N306" i="3" s="1"/>
  <c r="N310" i="3" s="1"/>
  <c r="N314" i="3" s="1"/>
  <c r="N318" i="3" s="1"/>
  <c r="N322" i="3" s="1"/>
  <c r="W304" i="3" a="1"/>
  <c r="W304" i="3" s="1"/>
  <c r="W305" i="3" s="1" a="1"/>
  <c r="W305" i="3" s="1"/>
  <c r="W306" i="3" s="1"/>
  <c r="W310" i="3" s="1"/>
  <c r="W314" i="3" s="1"/>
  <c r="AM494" i="3"/>
  <c r="AM498" i="3" s="1"/>
  <c r="AM502" i="3" s="1"/>
  <c r="O38" i="4" a="1"/>
  <c r="O38" i="4" s="1"/>
  <c r="V418" i="3"/>
  <c r="V422" i="3" s="1"/>
  <c r="V426" i="3" s="1"/>
  <c r="V430" i="3" s="1"/>
  <c r="V434" i="3" s="1"/>
  <c r="V438" i="3" s="1"/>
  <c r="V442" i="3" s="1"/>
  <c r="V446" i="3" s="1"/>
  <c r="V450" i="3" s="1"/>
  <c r="V454" i="3" s="1"/>
  <c r="J21" i="4" a="1"/>
  <c r="J21" i="4" s="1"/>
  <c r="AC284" i="3" a="1"/>
  <c r="AC284" i="3" s="1"/>
  <c r="AC285" i="3" s="1" a="1"/>
  <c r="AC285" i="3" s="1"/>
  <c r="AC286" i="3" s="1"/>
  <c r="H284" i="3" a="1"/>
  <c r="H284" i="3" s="1"/>
  <c r="H285" i="3" s="1" a="1"/>
  <c r="H285" i="3" s="1"/>
  <c r="H286" i="3" s="1"/>
  <c r="Q284" i="3" a="1"/>
  <c r="Q284" i="3" s="1"/>
  <c r="Q285" i="3" s="1" a="1"/>
  <c r="Q285" i="3" s="1"/>
  <c r="Q286" i="3" s="1"/>
  <c r="AM312" i="3" a="1"/>
  <c r="AM312" i="3" s="1"/>
  <c r="L312" i="3" a="1"/>
  <c r="L312" i="3" s="1"/>
  <c r="X312" i="3" a="1"/>
  <c r="X312" i="3" s="1"/>
  <c r="R312" i="3" a="1"/>
  <c r="R312" i="3" s="1"/>
  <c r="AJ312" i="3" a="1"/>
  <c r="AJ312" i="3" s="1"/>
  <c r="D312" i="3" a="1"/>
  <c r="D312" i="3" s="1"/>
  <c r="V312" i="3" a="1"/>
  <c r="V312" i="3" s="1"/>
  <c r="AK312" i="3" a="1"/>
  <c r="AK312" i="3" s="1"/>
  <c r="AJ288" i="3" l="1" a="1"/>
  <c r="AJ288" i="3" s="1"/>
  <c r="F288" i="3" a="1"/>
  <c r="F288" i="3" s="1"/>
  <c r="H288" i="3" a="1"/>
  <c r="H288" i="3" s="1"/>
  <c r="H289" i="3" s="1" a="1"/>
  <c r="H289" i="3" s="1"/>
  <c r="H290" i="3" s="1"/>
  <c r="H294" i="3" s="1"/>
  <c r="H298" i="3" s="1"/>
  <c r="H302" i="3" s="1"/>
  <c r="H306" i="3" s="1"/>
  <c r="H310" i="3" s="1"/>
  <c r="H314" i="3" s="1"/>
  <c r="H318" i="3" s="1"/>
  <c r="H322" i="3" s="1"/>
  <c r="H326" i="3" s="1"/>
  <c r="T288" i="3" a="1"/>
  <c r="T288" i="3" s="1"/>
  <c r="K288" i="3" a="1"/>
  <c r="K288" i="3" s="1"/>
  <c r="AB288" i="3" a="1"/>
  <c r="AB288" i="3" s="1"/>
  <c r="W288" i="3" a="1"/>
  <c r="W288" i="3" s="1"/>
  <c r="AK288" i="3" a="1"/>
  <c r="AK288" i="3" s="1"/>
  <c r="AD288" i="3" a="1"/>
  <c r="AD288" i="3" s="1"/>
  <c r="Z288" i="3" a="1"/>
  <c r="Z288" i="3" s="1"/>
  <c r="R288" i="3" a="1"/>
  <c r="R288" i="3" s="1"/>
  <c r="AE288" i="3" a="1"/>
  <c r="AE288" i="3" s="1"/>
  <c r="J288" i="3" a="1"/>
  <c r="J288" i="3" s="1"/>
  <c r="S288" i="3" a="1"/>
  <c r="S288" i="3" s="1"/>
  <c r="E288" i="3" a="1"/>
  <c r="E288" i="3" s="1"/>
  <c r="M288" i="3" a="1"/>
  <c r="M288" i="3" s="1"/>
  <c r="AC288" i="3" a="1"/>
  <c r="AC288" i="3" s="1"/>
  <c r="AC289" i="3" s="1" a="1"/>
  <c r="AC289" i="3" s="1"/>
  <c r="AC290" i="3" s="1"/>
  <c r="AC294" i="3" s="1"/>
  <c r="AC298" i="3" s="1"/>
  <c r="AC302" i="3" s="1"/>
  <c r="AC306" i="3" s="1"/>
  <c r="P288" i="3" a="1"/>
  <c r="P288" i="3" s="1"/>
  <c r="Y288" i="3" a="1"/>
  <c r="Y288" i="3" s="1"/>
  <c r="V288" i="3" a="1"/>
  <c r="V288" i="3" s="1"/>
  <c r="D288" i="3" a="1"/>
  <c r="D288" i="3" s="1"/>
  <c r="X288" i="3" a="1"/>
  <c r="X288" i="3" s="1"/>
  <c r="AG288" i="3" a="1"/>
  <c r="AG288" i="3" s="1"/>
  <c r="Q288" i="3" a="1"/>
  <c r="Q288" i="3" s="1"/>
  <c r="Q289" i="3" s="1" a="1"/>
  <c r="Q289" i="3" s="1"/>
  <c r="Q290" i="3" s="1"/>
  <c r="Q294" i="3" s="1"/>
  <c r="Q298" i="3" s="1"/>
  <c r="Q302" i="3" s="1"/>
  <c r="Q306" i="3" s="1"/>
  <c r="Q310" i="3" s="1"/>
  <c r="Q314" i="3" s="1"/>
  <c r="Q318" i="3" s="1"/>
  <c r="Q322" i="3" s="1"/>
  <c r="Q326" i="3" s="1"/>
  <c r="Q330" i="3" s="1"/>
  <c r="Q334" i="3" s="1"/>
  <c r="Q338" i="3" s="1"/>
  <c r="Q342" i="3" s="1"/>
  <c r="Q346" i="3" s="1"/>
  <c r="Q350" i="3" s="1"/>
  <c r="Q354" i="3" s="1"/>
  <c r="Q358" i="3" s="1"/>
  <c r="Q362" i="3" s="1"/>
  <c r="Q366" i="3" s="1"/>
  <c r="Q370" i="3" s="1"/>
  <c r="Q374" i="3" s="1"/>
  <c r="Q378" i="3" s="1"/>
  <c r="Q382" i="3" s="1"/>
  <c r="Q386" i="3" s="1"/>
  <c r="Q390" i="3" s="1"/>
  <c r="Q394" i="3" s="1"/>
  <c r="AM288" i="3" a="1"/>
  <c r="AM288" i="3" s="1"/>
  <c r="AH288" i="3" a="1"/>
  <c r="AH288" i="3" s="1"/>
  <c r="AL288" i="3" a="1"/>
  <c r="AL288" i="3" s="1"/>
  <c r="AF288" i="3" a="1"/>
  <c r="AF288" i="3" s="1"/>
  <c r="U288" i="3" a="1"/>
  <c r="U288" i="3" s="1"/>
  <c r="G288" i="3" a="1"/>
  <c r="G288" i="3" s="1"/>
  <c r="I288" i="3" a="1"/>
  <c r="I288" i="3" s="1"/>
  <c r="AA288" i="3" a="1"/>
  <c r="AA288" i="3" s="1"/>
  <c r="N288" i="3" a="1"/>
  <c r="N288" i="3" s="1"/>
  <c r="O288" i="3" a="1"/>
  <c r="O288" i="3" s="1"/>
  <c r="L288" i="3" a="1"/>
  <c r="L288" i="3" s="1"/>
  <c r="AI288" i="3" a="1"/>
  <c r="AI288" i="3" s="1"/>
  <c r="AI289" i="3" s="1" a="1"/>
  <c r="AI289" i="3" s="1"/>
  <c r="AI290" i="3" s="1"/>
  <c r="AI294" i="3" s="1"/>
  <c r="AI298" i="3" s="1"/>
  <c r="AI302" i="3" s="1"/>
  <c r="AI306" i="3" s="1"/>
  <c r="AI308" i="3" s="1" a="1"/>
  <c r="AI308" i="3" s="1"/>
  <c r="AI309" i="3" s="1" a="1"/>
  <c r="AI309" i="3" s="1"/>
  <c r="AI310" i="3" s="1"/>
  <c r="Q332" i="3" a="1"/>
  <c r="Q332" i="3" s="1"/>
  <c r="Z332" i="3" a="1"/>
  <c r="Z332" i="3" s="1"/>
  <c r="S332" i="3" a="1"/>
  <c r="S332" i="3" s="1"/>
  <c r="W332" i="3" a="1"/>
  <c r="W332" i="3" s="1"/>
  <c r="T332" i="3" a="1"/>
  <c r="T332" i="3" s="1"/>
  <c r="AD332" i="3" a="1"/>
  <c r="AD332" i="3" s="1"/>
  <c r="X332" i="3" a="1"/>
  <c r="X332" i="3" s="1"/>
  <c r="AF332" i="3" a="1"/>
  <c r="AF332" i="3" s="1"/>
  <c r="AA332" i="3" a="1"/>
  <c r="AA332" i="3" s="1"/>
  <c r="AH332" i="3" a="1"/>
  <c r="AH332" i="3" s="1"/>
  <c r="M332" i="3" a="1"/>
  <c r="M332" i="3" s="1"/>
  <c r="AE332" i="3" a="1"/>
  <c r="AE332" i="3" s="1"/>
  <c r="H332" i="3" a="1"/>
  <c r="H332" i="3" s="1"/>
  <c r="D332" i="3" a="1"/>
  <c r="D332" i="3" s="1"/>
  <c r="V332" i="3" a="1"/>
  <c r="V332" i="3" s="1"/>
  <c r="AG332" i="3" a="1"/>
  <c r="AG332" i="3" s="1"/>
  <c r="F332" i="3" a="1"/>
  <c r="F332" i="3" s="1"/>
  <c r="Y332" i="3" a="1"/>
  <c r="Y332" i="3" s="1"/>
  <c r="AK332" i="3" a="1"/>
  <c r="AK332" i="3" s="1"/>
  <c r="AC332" i="3" a="1"/>
  <c r="AC332" i="3" s="1"/>
  <c r="N332" i="3" a="1"/>
  <c r="N332" i="3" s="1"/>
  <c r="AJ332" i="3" a="1"/>
  <c r="AJ332" i="3" s="1"/>
  <c r="AL332" i="3" a="1"/>
  <c r="AL332" i="3" s="1"/>
  <c r="AB332" i="3" a="1"/>
  <c r="AB332" i="3" s="1"/>
  <c r="AI332" i="3" a="1"/>
  <c r="AI332" i="3" s="1"/>
  <c r="R332" i="3" a="1"/>
  <c r="R332" i="3" s="1"/>
  <c r="I332" i="3" a="1"/>
  <c r="I332" i="3" s="1"/>
  <c r="K332" i="3" a="1"/>
  <c r="K332" i="3" s="1"/>
  <c r="AM332" i="3" a="1"/>
  <c r="AM332" i="3" s="1"/>
  <c r="J332" i="3" a="1"/>
  <c r="J332" i="3" s="1"/>
  <c r="O332" i="3" a="1"/>
  <c r="O332" i="3" s="1"/>
  <c r="L332" i="3" a="1"/>
  <c r="L332" i="3" s="1"/>
  <c r="AE336" i="3" a="1"/>
  <c r="AE336" i="3" s="1"/>
  <c r="AM336" i="3" a="1"/>
  <c r="AM336" i="3" s="1"/>
  <c r="K336" i="3" a="1"/>
  <c r="K336" i="3" s="1"/>
  <c r="D336" i="3" a="1"/>
  <c r="D336" i="3" s="1"/>
  <c r="AF336" i="3" a="1"/>
  <c r="AF336" i="3" s="1"/>
  <c r="Z336" i="3" a="1"/>
  <c r="Z336" i="3" s="1"/>
  <c r="L336" i="3" a="1"/>
  <c r="L336" i="3" s="1"/>
  <c r="AA336" i="3" a="1"/>
  <c r="AA336" i="3" s="1"/>
  <c r="AG336" i="3" a="1"/>
  <c r="AG336" i="3" s="1"/>
  <c r="AB336" i="3" a="1"/>
  <c r="AB336" i="3" s="1"/>
  <c r="M336" i="3" a="1"/>
  <c r="M336" i="3" s="1"/>
  <c r="AD336" i="3" a="1"/>
  <c r="AD336" i="3" s="1"/>
  <c r="AH336" i="3" a="1"/>
  <c r="AH336" i="3" s="1"/>
  <c r="P336" i="3" a="1"/>
  <c r="P336" i="3" s="1"/>
  <c r="X336" i="3" a="1"/>
  <c r="X336" i="3" s="1"/>
  <c r="N336" i="3" a="1"/>
  <c r="N336" i="3" s="1"/>
  <c r="O336" i="3" a="1"/>
  <c r="O336" i="3" s="1"/>
  <c r="AI336" i="3" a="1"/>
  <c r="AI336" i="3" s="1"/>
  <c r="U336" i="3" a="1"/>
  <c r="U336" i="3" s="1"/>
  <c r="E336" i="3" a="1"/>
  <c r="E336" i="3" s="1"/>
  <c r="Q336" i="3" a="1"/>
  <c r="Q336" i="3" s="1"/>
  <c r="T336" i="3" a="1"/>
  <c r="T336" i="3" s="1"/>
  <c r="G336" i="3" a="1"/>
  <c r="G336" i="3" s="1"/>
  <c r="AJ336" i="3" a="1"/>
  <c r="AJ336" i="3" s="1"/>
  <c r="H336" i="3" a="1"/>
  <c r="H336" i="3" s="1"/>
  <c r="V336" i="3" a="1"/>
  <c r="V336" i="3" s="1"/>
  <c r="AK336" i="3" a="1"/>
  <c r="AK336" i="3" s="1"/>
  <c r="W336" i="3" a="1"/>
  <c r="W336" i="3" s="1"/>
  <c r="I336" i="3" a="1"/>
  <c r="I336" i="3" s="1"/>
  <c r="AL336" i="3" a="1"/>
  <c r="AL336" i="3" s="1"/>
  <c r="J336" i="3" a="1"/>
  <c r="J336" i="3" s="1"/>
  <c r="Y336" i="3" a="1"/>
  <c r="Y336" i="3" s="1"/>
  <c r="AA312" i="3" l="1" a="1"/>
  <c r="AA312" i="3" s="1"/>
  <c r="AA313" i="3" s="1" a="1"/>
  <c r="AA313" i="3" s="1"/>
  <c r="AA314" i="3" s="1"/>
  <c r="AA318" i="3" s="1"/>
  <c r="AA322" i="3" s="1"/>
  <c r="AA326" i="3" s="1"/>
  <c r="AA330" i="3" s="1"/>
  <c r="AA334" i="3" s="1"/>
  <c r="AA338" i="3" s="1"/>
  <c r="AA342" i="3" s="1"/>
  <c r="AA346" i="3" s="1"/>
  <c r="AA350" i="3" s="1"/>
  <c r="AA354" i="3" s="1"/>
  <c r="AA358" i="3" s="1"/>
  <c r="AA362" i="3" s="1"/>
  <c r="AA366" i="3" s="1"/>
  <c r="AA370" i="3" s="1"/>
  <c r="AI312" i="3" a="1"/>
  <c r="AI312" i="3" s="1"/>
  <c r="AI313" i="3" s="1" a="1"/>
  <c r="AI313" i="3" s="1"/>
  <c r="AI314" i="3" s="1"/>
  <c r="AI318" i="3" s="1"/>
  <c r="AI322" i="3" s="1"/>
  <c r="AI326" i="3" s="1"/>
  <c r="AI330" i="3" s="1"/>
  <c r="AI334" i="3" s="1"/>
  <c r="AI338" i="3" s="1"/>
  <c r="U312" i="3" a="1"/>
  <c r="U312" i="3" s="1"/>
  <c r="U313" i="3" s="1" a="1"/>
  <c r="U313" i="3" s="1"/>
  <c r="U314" i="3" s="1"/>
  <c r="U318" i="3" s="1"/>
  <c r="U322" i="3" s="1"/>
  <c r="U326" i="3" s="1"/>
  <c r="U330" i="3" s="1"/>
  <c r="Z312" i="3" a="1"/>
  <c r="Z312" i="3" s="1"/>
  <c r="Z313" i="3" s="1" a="1"/>
  <c r="Z313" i="3" s="1"/>
  <c r="Z314" i="3" s="1"/>
  <c r="Z318" i="3" s="1"/>
  <c r="Z322" i="3" s="1"/>
  <c r="Z326" i="3" s="1"/>
  <c r="Z330" i="3" s="1"/>
  <c r="Z334" i="3" s="1"/>
  <c r="Z338" i="3" s="1"/>
  <c r="Z342" i="3" s="1"/>
  <c r="Z346" i="3" s="1"/>
  <c r="Z350" i="3" s="1"/>
  <c r="Z354" i="3" s="1"/>
  <c r="Z358" i="3" s="1"/>
  <c r="Z362" i="3" s="1"/>
  <c r="Z366" i="3" s="1"/>
  <c r="Z370" i="3" s="1"/>
  <c r="Z374" i="3" s="1"/>
  <c r="Z378" i="3" s="1"/>
  <c r="P308" i="3" a="1"/>
  <c r="P308" i="3" s="1"/>
  <c r="P309" i="3" s="1" a="1"/>
  <c r="P309" i="3" s="1"/>
  <c r="P310" i="3" s="1"/>
  <c r="P314" i="3" s="1"/>
  <c r="G308" i="3" a="1"/>
  <c r="G308" i="3" s="1"/>
  <c r="G309" i="3" s="1" a="1"/>
  <c r="G309" i="3" s="1"/>
  <c r="G310" i="3" s="1"/>
  <c r="G314" i="3" s="1"/>
  <c r="G318" i="3" s="1"/>
  <c r="G322" i="3" s="1"/>
  <c r="G326" i="3" s="1"/>
  <c r="G330" i="3" s="1"/>
  <c r="AC308" i="3" a="1"/>
  <c r="AC308" i="3" s="1"/>
  <c r="AC309" i="3" s="1" a="1"/>
  <c r="AC309" i="3" s="1"/>
  <c r="AC310" i="3" s="1"/>
  <c r="AC314" i="3" s="1"/>
  <c r="AC318" i="3" s="1"/>
  <c r="AC322" i="3" s="1"/>
  <c r="AM384" i="3" a="1"/>
  <c r="AM384" i="3" s="1"/>
  <c r="N384" i="3" a="1"/>
  <c r="N384" i="3" s="1"/>
  <c r="AH384" i="3" a="1"/>
  <c r="AH384" i="3" s="1"/>
  <c r="AA384" i="3" a="1"/>
  <c r="AA384" i="3" s="1"/>
  <c r="V384" i="3" a="1"/>
  <c r="V384" i="3" s="1"/>
  <c r="I384" i="3" a="1"/>
  <c r="I384" i="3" s="1"/>
  <c r="AB384" i="3" a="1"/>
  <c r="AB384" i="3" s="1"/>
  <c r="AI384" i="3" a="1"/>
  <c r="AI384" i="3" s="1"/>
  <c r="P384" i="3" a="1"/>
  <c r="P384" i="3" s="1"/>
  <c r="AC384" i="3" a="1"/>
  <c r="AC384" i="3" s="1"/>
  <c r="W384" i="3" a="1"/>
  <c r="W384" i="3" s="1"/>
  <c r="D384" i="3" a="1"/>
  <c r="D384" i="3" s="1"/>
  <c r="AJ384" i="3" a="1"/>
  <c r="AJ384" i="3" s="1"/>
  <c r="AD384" i="3" a="1"/>
  <c r="AD384" i="3" s="1"/>
  <c r="Q384" i="3" a="1"/>
  <c r="Q384" i="3" s="1"/>
  <c r="AK384" i="3" a="1"/>
  <c r="AK384" i="3" s="1"/>
  <c r="AE384" i="3" a="1"/>
  <c r="AE384" i="3" s="1"/>
  <c r="X384" i="3" a="1"/>
  <c r="X384" i="3" s="1"/>
  <c r="E384" i="3" a="1"/>
  <c r="E384" i="3" s="1"/>
  <c r="L384" i="3" a="1"/>
  <c r="L384" i="3" s="1"/>
  <c r="R384" i="3" a="1"/>
  <c r="R384" i="3" s="1"/>
  <c r="Y384" i="3" a="1"/>
  <c r="Y384" i="3" s="1"/>
  <c r="AF384" i="3" a="1"/>
  <c r="AF384" i="3" s="1"/>
  <c r="AL384" i="3" a="1"/>
  <c r="AL384" i="3" s="1"/>
  <c r="F384" i="3" a="1"/>
  <c r="F384" i="3" s="1"/>
  <c r="S384" i="3" a="1"/>
  <c r="S384" i="3" s="1"/>
  <c r="G384" i="3" a="1"/>
  <c r="G384" i="3" s="1"/>
  <c r="T384" i="3" a="1"/>
  <c r="T384" i="3" s="1"/>
  <c r="Z384" i="3" a="1"/>
  <c r="Z384" i="3" s="1"/>
  <c r="AG384" i="3" a="1"/>
  <c r="AG384" i="3" s="1"/>
  <c r="M384" i="3" a="1"/>
  <c r="M384" i="3" s="1"/>
  <c r="U384" i="3" a="1"/>
  <c r="U384" i="3" s="1"/>
  <c r="N324" i="3" l="1" a="1"/>
  <c r="N324" i="3" s="1"/>
  <c r="N325" i="3" s="1" a="1"/>
  <c r="N325" i="3" s="1"/>
  <c r="N326" i="3" s="1"/>
  <c r="N330" i="3" s="1"/>
  <c r="N334" i="3" s="1"/>
  <c r="N338" i="3" s="1"/>
  <c r="N342" i="3" s="1"/>
  <c r="N346" i="3" s="1"/>
  <c r="N350" i="3" s="1"/>
  <c r="N354" i="3" s="1"/>
  <c r="N358" i="3" s="1"/>
  <c r="N362" i="3" s="1"/>
  <c r="N366" i="3" s="1"/>
  <c r="N370" i="3" s="1"/>
  <c r="N374" i="3" s="1"/>
  <c r="N378" i="3" s="1"/>
  <c r="N382" i="3" s="1"/>
  <c r="N386" i="3" s="1"/>
  <c r="N390" i="3" s="1"/>
  <c r="N394" i="3" s="1"/>
  <c r="I324" i="3" a="1"/>
  <c r="I324" i="3" s="1"/>
  <c r="I325" i="3" s="1" a="1"/>
  <c r="I325" i="3" s="1"/>
  <c r="I326" i="3" s="1"/>
  <c r="I330" i="3" s="1"/>
  <c r="I334" i="3" s="1"/>
  <c r="I338" i="3" s="1"/>
  <c r="I342" i="3" s="1"/>
  <c r="I346" i="3" s="1"/>
  <c r="I350" i="3" s="1"/>
  <c r="I354" i="3" s="1"/>
  <c r="I358" i="3" s="1"/>
  <c r="F324" i="3" a="1"/>
  <c r="F324" i="3" s="1"/>
  <c r="F325" i="3" s="1" a="1"/>
  <c r="F325" i="3" s="1"/>
  <c r="F326" i="3" s="1"/>
  <c r="F330" i="3" s="1"/>
  <c r="F334" i="3" s="1"/>
  <c r="AC324" i="3" a="1"/>
  <c r="AC324" i="3" s="1"/>
  <c r="AC325" i="3" s="1" a="1"/>
  <c r="AC325" i="3" s="1"/>
  <c r="AC326" i="3" s="1"/>
  <c r="AC330" i="3" s="1"/>
  <c r="AC334" i="3" s="1"/>
  <c r="AC336" i="3" s="1" a="1"/>
  <c r="AC336" i="3" s="1"/>
  <c r="AC337" i="3" s="1" a="1"/>
  <c r="AC337" i="3" s="1"/>
  <c r="AC338" i="3" s="1"/>
  <c r="AC342" i="3" s="1"/>
  <c r="AD316" i="3" a="1"/>
  <c r="AD316" i="3" s="1"/>
  <c r="AD317" i="3" s="1" a="1"/>
  <c r="AD317" i="3" s="1"/>
  <c r="AD318" i="3" s="1"/>
  <c r="AD322" i="3" s="1"/>
  <c r="AD326" i="3" s="1"/>
  <c r="AD330" i="3" s="1"/>
  <c r="AD334" i="3" s="1"/>
  <c r="AD338" i="3" s="1"/>
  <c r="D316" i="3" a="1"/>
  <c r="D316" i="3" s="1"/>
  <c r="D317" i="3" s="1" a="1"/>
  <c r="D317" i="3" s="1"/>
  <c r="D318" i="3" s="1"/>
  <c r="D322" i="3" s="1"/>
  <c r="D326" i="3" s="1"/>
  <c r="D330" i="3" s="1"/>
  <c r="D334" i="3" s="1"/>
  <c r="D338" i="3" s="1"/>
  <c r="W316" i="3" a="1"/>
  <c r="W316" i="3" s="1"/>
  <c r="W317" i="3" s="1" a="1"/>
  <c r="W317" i="3" s="1"/>
  <c r="W318" i="3" s="1"/>
  <c r="W322" i="3" s="1"/>
  <c r="W326" i="3" s="1"/>
  <c r="W330" i="3" s="1"/>
  <c r="W334" i="3" s="1"/>
  <c r="W338" i="3" s="1"/>
  <c r="W342" i="3" s="1"/>
  <c r="W346" i="3" s="1"/>
  <c r="W350" i="3" s="1"/>
  <c r="W354" i="3" s="1"/>
  <c r="W358" i="3" s="1"/>
  <c r="W362" i="3" s="1"/>
  <c r="W366" i="3" s="1"/>
  <c r="W370" i="3" s="1"/>
  <c r="W374" i="3" s="1"/>
  <c r="W378" i="3" s="1"/>
  <c r="W382" i="3" s="1"/>
  <c r="W386" i="3" s="1"/>
  <c r="W390" i="3" s="1"/>
  <c r="W394" i="3" s="1"/>
  <c r="W398" i="3" s="1"/>
  <c r="W402" i="3" s="1"/>
  <c r="W406" i="3" s="1"/>
  <c r="W410" i="3" s="1"/>
  <c r="W414" i="3" s="1"/>
  <c r="P316" i="3" a="1"/>
  <c r="P316" i="3" s="1"/>
  <c r="P317" i="3" s="1" a="1"/>
  <c r="P317" i="3" s="1"/>
  <c r="P318" i="3" s="1"/>
  <c r="P322" i="3" s="1"/>
  <c r="P326" i="3" s="1"/>
  <c r="H396" i="3" a="1"/>
  <c r="H396" i="3" s="1"/>
  <c r="AC396" i="3" a="1"/>
  <c r="AC396" i="3" s="1"/>
  <c r="X396" i="3" a="1"/>
  <c r="X396" i="3" s="1"/>
  <c r="L396" i="3" a="1"/>
  <c r="L396" i="3" s="1"/>
  <c r="AF396" i="3" a="1"/>
  <c r="AF396" i="3" s="1"/>
  <c r="R396" i="3" a="1"/>
  <c r="R396" i="3" s="1"/>
  <c r="V396" i="3" a="1"/>
  <c r="V396" i="3" s="1"/>
  <c r="W396" i="3" a="1"/>
  <c r="W396" i="3" s="1"/>
  <c r="AD396" i="3" a="1"/>
  <c r="AD396" i="3" s="1"/>
  <c r="AB396" i="3" a="1"/>
  <c r="AB396" i="3" s="1"/>
  <c r="Y396" i="3" a="1"/>
  <c r="Y396" i="3" s="1"/>
  <c r="AE396" i="3" a="1"/>
  <c r="AE396" i="3" s="1"/>
  <c r="T396" i="3" a="1"/>
  <c r="T396" i="3" s="1"/>
  <c r="D396" i="3" a="1"/>
  <c r="D396" i="3" s="1"/>
  <c r="AK396" i="3" a="1"/>
  <c r="AK396" i="3" s="1"/>
  <c r="AJ396" i="3" a="1"/>
  <c r="AJ396" i="3" s="1"/>
  <c r="I396" i="3" a="1"/>
  <c r="I396" i="3" s="1"/>
  <c r="S396" i="3" a="1"/>
  <c r="S396" i="3" s="1"/>
  <c r="AI396" i="3" a="1"/>
  <c r="AI396" i="3" s="1"/>
  <c r="AL396" i="3" a="1"/>
  <c r="AL396" i="3" s="1"/>
  <c r="AM396" i="3" a="1"/>
  <c r="AM396" i="3" s="1"/>
  <c r="O396" i="3" a="1"/>
  <c r="O396" i="3" s="1"/>
  <c r="P396" i="3" a="1"/>
  <c r="P396" i="3" s="1"/>
  <c r="E396" i="3" a="1"/>
  <c r="E396" i="3" s="1"/>
  <c r="G396" i="3" a="1"/>
  <c r="G396" i="3" s="1"/>
  <c r="AH396" i="3" a="1"/>
  <c r="AH396" i="3" s="1"/>
  <c r="Z396" i="3" a="1"/>
  <c r="Z396" i="3" s="1"/>
  <c r="AA396" i="3" a="1"/>
  <c r="AA396" i="3" s="1"/>
  <c r="AG396" i="3" a="1"/>
  <c r="AG396" i="3" s="1"/>
  <c r="K396" i="3" a="1"/>
  <c r="K396" i="3" s="1"/>
  <c r="F396" i="3" a="1"/>
  <c r="F396" i="3" s="1"/>
  <c r="U396" i="3" a="1"/>
  <c r="U396" i="3" s="1"/>
  <c r="O328" i="3" l="1" a="1"/>
  <c r="O328" i="3" s="1"/>
  <c r="O329" i="3" s="1" a="1"/>
  <c r="O329" i="3" s="1"/>
  <c r="O330" i="3" s="1"/>
  <c r="O334" i="3" s="1"/>
  <c r="O338" i="3" s="1"/>
  <c r="O342" i="3" s="1"/>
  <c r="O346" i="3" s="1"/>
  <c r="O350" i="3" s="1"/>
  <c r="O354" i="3" s="1"/>
  <c r="O358" i="3" s="1"/>
  <c r="O362" i="3" s="1"/>
  <c r="O366" i="3" s="1"/>
  <c r="O370" i="3" s="1"/>
  <c r="O374" i="3" s="1"/>
  <c r="O378" i="3" s="1"/>
  <c r="O382" i="3" s="1"/>
  <c r="O384" i="3" s="1" a="1"/>
  <c r="O384" i="3" s="1"/>
  <c r="O385" i="3" s="1" a="1"/>
  <c r="O385" i="3" s="1"/>
  <c r="O386" i="3" s="1"/>
  <c r="O390" i="3" s="1"/>
  <c r="O394" i="3" s="1"/>
  <c r="O398" i="3" s="1"/>
  <c r="O402" i="3" s="1"/>
  <c r="O406" i="3" s="1"/>
  <c r="O410" i="3" s="1"/>
  <c r="O414" i="3" s="1"/>
  <c r="H328" i="3" a="1"/>
  <c r="H328" i="3" s="1"/>
  <c r="H329" i="3" s="1" a="1"/>
  <c r="H329" i="3" s="1"/>
  <c r="H330" i="3" s="1"/>
  <c r="H334" i="3" s="1"/>
  <c r="H338" i="3" s="1"/>
  <c r="H342" i="3" s="1"/>
  <c r="H346" i="3" s="1"/>
  <c r="H350" i="3" s="1"/>
  <c r="H354" i="3" s="1"/>
  <c r="H358" i="3" s="1"/>
  <c r="H362" i="3" s="1"/>
  <c r="H366" i="3" s="1"/>
  <c r="H370" i="3" s="1"/>
  <c r="H374" i="3" s="1"/>
  <c r="H378" i="3" s="1"/>
  <c r="H382" i="3" s="1"/>
  <c r="L328" i="3" a="1"/>
  <c r="L328" i="3" s="1"/>
  <c r="L329" i="3" s="1" a="1"/>
  <c r="L329" i="3" s="1"/>
  <c r="L330" i="3" s="1"/>
  <c r="L334" i="3" s="1"/>
  <c r="L338" i="3" s="1"/>
  <c r="L342" i="3" s="1"/>
  <c r="L346" i="3" s="1"/>
  <c r="L350" i="3" s="1"/>
  <c r="L354" i="3" s="1"/>
  <c r="L358" i="3" s="1"/>
  <c r="L362" i="3" s="1"/>
  <c r="L366" i="3" s="1"/>
  <c r="L370" i="3" s="1"/>
  <c r="L374" i="3" s="1"/>
  <c r="L378" i="3" s="1"/>
  <c r="L382" i="3" s="1"/>
  <c r="L386" i="3" s="1"/>
  <c r="L390" i="3" s="1"/>
  <c r="L394" i="3" s="1"/>
  <c r="L398" i="3" s="1"/>
  <c r="L402" i="3" s="1"/>
  <c r="L406" i="3" s="1"/>
  <c r="L410" i="3" s="1"/>
  <c r="L414" i="3" s="1"/>
  <c r="P328" i="3" a="1"/>
  <c r="P328" i="3" s="1"/>
  <c r="P329" i="3" s="1" a="1"/>
  <c r="P329" i="3" s="1"/>
  <c r="P330" i="3" s="1"/>
  <c r="W418" i="3"/>
  <c r="J22" i="4" a="1"/>
  <c r="J22" i="4" s="1"/>
  <c r="AJ340" i="3" a="1"/>
  <c r="AJ340" i="3" s="1"/>
  <c r="AF340" i="3" a="1"/>
  <c r="AF340" i="3" s="1"/>
  <c r="AE340" i="3" a="1"/>
  <c r="AE340" i="3" s="1"/>
  <c r="AA340" i="3" a="1"/>
  <c r="AA340" i="3" s="1"/>
  <c r="L340" i="3" a="1"/>
  <c r="L340" i="3" s="1"/>
  <c r="S340" i="3" a="1"/>
  <c r="S340" i="3" s="1"/>
  <c r="V340" i="3" a="1"/>
  <c r="V340" i="3" s="1"/>
  <c r="U340" i="3" a="1"/>
  <c r="U340" i="3" s="1"/>
  <c r="AC340" i="3" a="1"/>
  <c r="AC340" i="3" s="1"/>
  <c r="H340" i="3" a="1"/>
  <c r="H340" i="3" s="1"/>
  <c r="Q340" i="3" a="1"/>
  <c r="Q340" i="3" s="1"/>
  <c r="J340" i="3" a="1"/>
  <c r="J340" i="3" s="1"/>
  <c r="W340" i="3" a="1"/>
  <c r="W340" i="3" s="1"/>
  <c r="O340" i="3" a="1"/>
  <c r="O340" i="3" s="1"/>
  <c r="AM340" i="3" a="1"/>
  <c r="AM340" i="3" s="1"/>
  <c r="Y340" i="3" a="1"/>
  <c r="Y340" i="3" s="1"/>
  <c r="AG340" i="3" a="1"/>
  <c r="AG340" i="3" s="1"/>
  <c r="K340" i="3" a="1"/>
  <c r="K340" i="3" s="1"/>
  <c r="AL340" i="3" a="1"/>
  <c r="AL340" i="3" s="1"/>
  <c r="X340" i="3" a="1"/>
  <c r="X340" i="3" s="1"/>
  <c r="F340" i="3" a="1"/>
  <c r="F340" i="3" s="1"/>
  <c r="G340" i="3" a="1"/>
  <c r="G340" i="3" s="1"/>
  <c r="AB340" i="3" a="1"/>
  <c r="AB340" i="3" s="1"/>
  <c r="Z340" i="3" a="1"/>
  <c r="Z340" i="3" s="1"/>
  <c r="AH340" i="3" a="1"/>
  <c r="AH340" i="3" s="1"/>
  <c r="N340" i="3" a="1"/>
  <c r="N340" i="3" s="1"/>
  <c r="AK340" i="3" a="1"/>
  <c r="AK340" i="3" s="1"/>
  <c r="I340" i="3" a="1"/>
  <c r="I340" i="3" s="1"/>
  <c r="T340" i="3" a="1"/>
  <c r="T340" i="3" s="1"/>
  <c r="E340" i="3" a="1"/>
  <c r="E340" i="3" s="1"/>
  <c r="M340" i="3" a="1"/>
  <c r="M340" i="3" s="1"/>
  <c r="R340" i="3" a="1"/>
  <c r="R340" i="3" s="1"/>
  <c r="S336" i="3" a="1"/>
  <c r="S336" i="3" s="1"/>
  <c r="S337" i="3" s="1" a="1"/>
  <c r="S337" i="3" s="1"/>
  <c r="S338" i="3" s="1"/>
  <c r="S342" i="3" s="1"/>
  <c r="S346" i="3" s="1"/>
  <c r="S350" i="3" s="1"/>
  <c r="F336" i="3" a="1"/>
  <c r="F336" i="3" s="1"/>
  <c r="F337" i="3" s="1" a="1"/>
  <c r="F337" i="3" s="1"/>
  <c r="F338" i="3" s="1"/>
  <c r="F342" i="3" s="1"/>
  <c r="F346" i="3" s="1"/>
  <c r="F350" i="3" s="1"/>
  <c r="R336" i="3" a="1"/>
  <c r="R336" i="3" s="1"/>
  <c r="R337" i="3" s="1" a="1"/>
  <c r="R337" i="3" s="1"/>
  <c r="R338" i="3" s="1"/>
  <c r="R342" i="3" s="1"/>
  <c r="R346" i="3" s="1"/>
  <c r="S344" i="3" a="1"/>
  <c r="S344" i="3" s="1"/>
  <c r="M344" i="3" a="1"/>
  <c r="M344" i="3" s="1"/>
  <c r="I344" i="3" a="1"/>
  <c r="I344" i="3" s="1"/>
  <c r="AH344" i="3" a="1"/>
  <c r="AH344" i="3" s="1"/>
  <c r="AD344" i="3" a="1"/>
  <c r="AD344" i="3" s="1"/>
  <c r="X344" i="3" a="1"/>
  <c r="X344" i="3" s="1"/>
  <c r="T344" i="3" a="1"/>
  <c r="T344" i="3" s="1"/>
  <c r="N344" i="3" a="1"/>
  <c r="N344" i="3" s="1"/>
  <c r="J344" i="3" a="1"/>
  <c r="J344" i="3" s="1"/>
  <c r="AI344" i="3" a="1"/>
  <c r="AI344" i="3" s="1"/>
  <c r="AE344" i="3" a="1"/>
  <c r="AE344" i="3" s="1"/>
  <c r="Y344" i="3" a="1"/>
  <c r="Y344" i="3" s="1"/>
  <c r="AF344" i="3" a="1"/>
  <c r="AF344" i="3" s="1"/>
  <c r="O344" i="3" a="1"/>
  <c r="O344" i="3" s="1"/>
  <c r="K344" i="3" a="1"/>
  <c r="K344" i="3" s="1"/>
  <c r="AJ344" i="3" a="1"/>
  <c r="AJ344" i="3" s="1"/>
  <c r="V344" i="3" a="1"/>
  <c r="V344" i="3" s="1"/>
  <c r="E344" i="3" a="1"/>
  <c r="E344" i="3" s="1"/>
  <c r="L344" i="3" a="1"/>
  <c r="L344" i="3" s="1"/>
  <c r="Z344" i="3" a="1"/>
  <c r="Z344" i="3" s="1"/>
  <c r="AG344" i="3" a="1"/>
  <c r="AG344" i="3" s="1"/>
  <c r="W344" i="3" a="1"/>
  <c r="W344" i="3" s="1"/>
  <c r="AK344" i="3" a="1"/>
  <c r="AK344" i="3" s="1"/>
  <c r="AM344" i="3" a="1"/>
  <c r="AM344" i="3" s="1"/>
  <c r="F344" i="3" a="1"/>
  <c r="F344" i="3" s="1"/>
  <c r="R344" i="3" a="1"/>
  <c r="R344" i="3" s="1"/>
  <c r="Q344" i="3" a="1"/>
  <c r="Q344" i="3" s="1"/>
  <c r="AA344" i="3" a="1"/>
  <c r="AA344" i="3" s="1"/>
  <c r="AL344" i="3" a="1"/>
  <c r="AL344" i="3" s="1"/>
  <c r="AB344" i="3" a="1"/>
  <c r="AB344" i="3" s="1"/>
  <c r="G344" i="3" a="1"/>
  <c r="G344" i="3" s="1"/>
  <c r="H344" i="3" a="1"/>
  <c r="H344" i="3" s="1"/>
  <c r="T352" i="3" l="1" a="1"/>
  <c r="T352" i="3" s="1"/>
  <c r="Z352" i="3" a="1"/>
  <c r="Z352" i="3" s="1"/>
  <c r="G352" i="3" a="1"/>
  <c r="G352" i="3" s="1"/>
  <c r="AF352" i="3" a="1"/>
  <c r="AF352" i="3" s="1"/>
  <c r="I352" i="3" a="1"/>
  <c r="I352" i="3" s="1"/>
  <c r="AA352" i="3" a="1"/>
  <c r="AA352" i="3" s="1"/>
  <c r="H352" i="3" a="1"/>
  <c r="H352" i="3" s="1"/>
  <c r="X352" i="3" a="1"/>
  <c r="X352" i="3" s="1"/>
  <c r="AL352" i="3" a="1"/>
  <c r="AL352" i="3" s="1"/>
  <c r="E352" i="3" a="1"/>
  <c r="E352" i="3" s="1"/>
  <c r="AH352" i="3" a="1"/>
  <c r="AH352" i="3" s="1"/>
  <c r="AB352" i="3" a="1"/>
  <c r="AB352" i="3" s="1"/>
  <c r="AI352" i="3" a="1"/>
  <c r="AI352" i="3" s="1"/>
  <c r="AC352" i="3" a="1"/>
  <c r="AC352" i="3" s="1"/>
  <c r="M352" i="3" a="1"/>
  <c r="M352" i="3" s="1"/>
  <c r="V352" i="3" a="1"/>
  <c r="V352" i="3" s="1"/>
  <c r="Y352" i="3" a="1"/>
  <c r="Y352" i="3" s="1"/>
  <c r="AK352" i="3" a="1"/>
  <c r="AK352" i="3" s="1"/>
  <c r="U352" i="3" a="1"/>
  <c r="U352" i="3" s="1"/>
  <c r="O352" i="3" a="1"/>
  <c r="O352" i="3" s="1"/>
  <c r="AG352" i="3" a="1"/>
  <c r="AG352" i="3" s="1"/>
  <c r="N352" i="3" a="1"/>
  <c r="N352" i="3" s="1"/>
  <c r="Q352" i="3" a="1"/>
  <c r="Q352" i="3" s="1"/>
  <c r="J352" i="3" a="1"/>
  <c r="J352" i="3" s="1"/>
  <c r="K352" i="3" a="1"/>
  <c r="K352" i="3" s="1"/>
  <c r="AE352" i="3" a="1"/>
  <c r="AE352" i="3" s="1"/>
  <c r="L352" i="3" a="1"/>
  <c r="L352" i="3" s="1"/>
  <c r="R352" i="3" a="1"/>
  <c r="R352" i="3" s="1"/>
  <c r="D352" i="3" a="1"/>
  <c r="D352" i="3" s="1"/>
  <c r="W352" i="3" a="1"/>
  <c r="W352" i="3" s="1"/>
  <c r="AJ352" i="3" a="1"/>
  <c r="AJ352" i="3" s="1"/>
  <c r="AM352" i="3" a="1"/>
  <c r="AM352" i="3" s="1"/>
  <c r="P332" i="3" a="1"/>
  <c r="P332" i="3" s="1"/>
  <c r="P333" i="3" s="1" a="1"/>
  <c r="P333" i="3" s="1"/>
  <c r="P334" i="3" s="1"/>
  <c r="P338" i="3" s="1"/>
  <c r="E332" i="3" a="1"/>
  <c r="E332" i="3" s="1"/>
  <c r="E333" i="3" s="1" a="1"/>
  <c r="E333" i="3" s="1"/>
  <c r="E334" i="3" s="1"/>
  <c r="E338" i="3" s="1"/>
  <c r="E342" i="3" s="1"/>
  <c r="E346" i="3" s="1"/>
  <c r="G332" i="3" a="1"/>
  <c r="G332" i="3" s="1"/>
  <c r="G333" i="3" s="1" a="1"/>
  <c r="G333" i="3" s="1"/>
  <c r="G334" i="3" s="1"/>
  <c r="G338" i="3" s="1"/>
  <c r="G342" i="3" s="1"/>
  <c r="G346" i="3" s="1"/>
  <c r="U332" i="3" a="1"/>
  <c r="U332" i="3" s="1"/>
  <c r="U333" i="3" s="1" a="1"/>
  <c r="U333" i="3" s="1"/>
  <c r="U334" i="3" s="1"/>
  <c r="U338" i="3" s="1"/>
  <c r="U342" i="3" s="1"/>
  <c r="L418" i="3"/>
  <c r="J11" i="4" a="1"/>
  <c r="J11" i="4" s="1"/>
  <c r="J384" i="3" a="1"/>
  <c r="J384" i="3" s="1"/>
  <c r="J385" i="3" s="1" a="1"/>
  <c r="J385" i="3" s="1"/>
  <c r="J386" i="3" s="1"/>
  <c r="J390" i="3" s="1"/>
  <c r="J394" i="3" s="1"/>
  <c r="H384" i="3" a="1"/>
  <c r="H384" i="3" s="1"/>
  <c r="H385" i="3" s="1" a="1"/>
  <c r="H385" i="3" s="1"/>
  <c r="H386" i="3" s="1"/>
  <c r="H390" i="3" s="1"/>
  <c r="H394" i="3" s="1"/>
  <c r="H398" i="3" s="1"/>
  <c r="H402" i="3" s="1"/>
  <c r="H406" i="3" s="1"/>
  <c r="H410" i="3" s="1"/>
  <c r="H414" i="3" s="1"/>
  <c r="K384" i="3" a="1"/>
  <c r="K384" i="3" s="1"/>
  <c r="K385" i="3" s="1" a="1"/>
  <c r="K385" i="3" s="1"/>
  <c r="K386" i="3" s="1"/>
  <c r="K390" i="3" s="1"/>
  <c r="K394" i="3" s="1"/>
  <c r="K398" i="3" s="1"/>
  <c r="O418" i="3"/>
  <c r="O422" i="3" s="1"/>
  <c r="O426" i="3" s="1"/>
  <c r="O430" i="3" s="1"/>
  <c r="O434" i="3" s="1"/>
  <c r="O438" i="3" s="1"/>
  <c r="O442" i="3" s="1"/>
  <c r="O446" i="3" s="1"/>
  <c r="O450" i="3" s="1"/>
  <c r="O454" i="3" s="1"/>
  <c r="O458" i="3" s="1"/>
  <c r="O462" i="3" s="1"/>
  <c r="O466" i="3" s="1"/>
  <c r="O470" i="3" s="1"/>
  <c r="O474" i="3" s="1"/>
  <c r="O478" i="3" s="1"/>
  <c r="O482" i="3" s="1"/>
  <c r="O486" i="3" s="1"/>
  <c r="O490" i="3" s="1"/>
  <c r="J14" i="4" a="1"/>
  <c r="J14" i="4" s="1"/>
  <c r="AA348" i="3" l="1" a="1"/>
  <c r="AA348" i="3" s="1"/>
  <c r="AK348" i="3" a="1"/>
  <c r="AK348" i="3" s="1"/>
  <c r="U348" i="3" a="1"/>
  <c r="U348" i="3" s="1"/>
  <c r="Y348" i="3" a="1"/>
  <c r="Y348" i="3" s="1"/>
  <c r="AE348" i="3" a="1"/>
  <c r="AE348" i="3" s="1"/>
  <c r="P348" i="3" a="1"/>
  <c r="P348" i="3" s="1"/>
  <c r="D348" i="3" a="1"/>
  <c r="D348" i="3" s="1"/>
  <c r="I348" i="3" a="1"/>
  <c r="I348" i="3" s="1"/>
  <c r="H348" i="3" a="1"/>
  <c r="H348" i="3" s="1"/>
  <c r="Q348" i="3" a="1"/>
  <c r="Q348" i="3" s="1"/>
  <c r="X348" i="3" a="1"/>
  <c r="X348" i="3" s="1"/>
  <c r="K348" i="3" a="1"/>
  <c r="K348" i="3" s="1"/>
  <c r="AC348" i="3" a="1"/>
  <c r="AC348" i="3" s="1"/>
  <c r="AH348" i="3" a="1"/>
  <c r="AH348" i="3" s="1"/>
  <c r="AM348" i="3" a="1"/>
  <c r="AM348" i="3" s="1"/>
  <c r="Z348" i="3" a="1"/>
  <c r="Z348" i="3" s="1"/>
  <c r="AF348" i="3" a="1"/>
  <c r="AF348" i="3" s="1"/>
  <c r="AB348" i="3" a="1"/>
  <c r="AB348" i="3" s="1"/>
  <c r="V348" i="3" a="1"/>
  <c r="V348" i="3" s="1"/>
  <c r="F348" i="3" a="1"/>
  <c r="F348" i="3" s="1"/>
  <c r="T348" i="3" a="1"/>
  <c r="T348" i="3" s="1"/>
  <c r="M348" i="3" a="1"/>
  <c r="M348" i="3" s="1"/>
  <c r="AL348" i="3" a="1"/>
  <c r="AL348" i="3" s="1"/>
  <c r="AD348" i="3" a="1"/>
  <c r="AD348" i="3" s="1"/>
  <c r="S348" i="3" a="1"/>
  <c r="S348" i="3" s="1"/>
  <c r="AG348" i="3" a="1"/>
  <c r="AG348" i="3" s="1"/>
  <c r="O348" i="3" a="1"/>
  <c r="O348" i="3" s="1"/>
  <c r="J348" i="3" a="1"/>
  <c r="J348" i="3" s="1"/>
  <c r="AJ348" i="3" a="1"/>
  <c r="AJ348" i="3" s="1"/>
  <c r="N348" i="3" a="1"/>
  <c r="N348" i="3" s="1"/>
  <c r="W348" i="3" a="1"/>
  <c r="W348" i="3" s="1"/>
  <c r="L348" i="3" a="1"/>
  <c r="L348" i="3" s="1"/>
  <c r="AI340" i="3" a="1"/>
  <c r="AI340" i="3" s="1"/>
  <c r="AI341" i="3" s="1" a="1"/>
  <c r="AI341" i="3" s="1"/>
  <c r="AI342" i="3" s="1"/>
  <c r="AI346" i="3" s="1"/>
  <c r="AI348" i="3" s="1" a="1"/>
  <c r="AI348" i="3" s="1"/>
  <c r="AI349" i="3" s="1" a="1"/>
  <c r="AI349" i="3" s="1"/>
  <c r="P340" i="3" a="1"/>
  <c r="P340" i="3" s="1"/>
  <c r="P341" i="3" s="1" a="1"/>
  <c r="P341" i="3" s="1"/>
  <c r="P342" i="3" s="1"/>
  <c r="P344" i="3" s="1" a="1"/>
  <c r="P344" i="3" s="1"/>
  <c r="P345" i="3" s="1" a="1"/>
  <c r="P345" i="3" s="1"/>
  <c r="P346" i="3" s="1"/>
  <c r="P350" i="3" s="1"/>
  <c r="D340" i="3" a="1"/>
  <c r="D340" i="3" s="1"/>
  <c r="D341" i="3" s="1" a="1"/>
  <c r="D341" i="3" s="1"/>
  <c r="D342" i="3" s="1"/>
  <c r="AD340" i="3" a="1"/>
  <c r="AD340" i="3" s="1"/>
  <c r="AD341" i="3" s="1" a="1"/>
  <c r="AD341" i="3" s="1"/>
  <c r="AD342" i="3" s="1"/>
  <c r="AD346" i="3" s="1"/>
  <c r="AD350" i="3" s="1"/>
  <c r="O494" i="3"/>
  <c r="O498" i="3" s="1"/>
  <c r="O502" i="3" s="1"/>
  <c r="O14" i="4" a="1"/>
  <c r="O14" i="4" s="1"/>
  <c r="O400" i="3" a="1"/>
  <c r="O400" i="3" s="1"/>
  <c r="AA400" i="3" a="1"/>
  <c r="AA400" i="3" s="1"/>
  <c r="AG400" i="3" a="1"/>
  <c r="AG400" i="3" s="1"/>
  <c r="P400" i="3" a="1"/>
  <c r="P400" i="3" s="1"/>
  <c r="E400" i="3" a="1"/>
  <c r="E400" i="3" s="1"/>
  <c r="H400" i="3" a="1"/>
  <c r="H400" i="3" s="1"/>
  <c r="V400" i="3" a="1"/>
  <c r="V400" i="3" s="1"/>
  <c r="AH400" i="3" a="1"/>
  <c r="AH400" i="3" s="1"/>
  <c r="R400" i="3" a="1"/>
  <c r="R400" i="3" s="1"/>
  <c r="U400" i="3" a="1"/>
  <c r="U400" i="3" s="1"/>
  <c r="D400" i="3" a="1"/>
  <c r="D400" i="3" s="1"/>
  <c r="AD400" i="3" a="1"/>
  <c r="AD400" i="3" s="1"/>
  <c r="X400" i="3" a="1"/>
  <c r="X400" i="3" s="1"/>
  <c r="N400" i="3" a="1"/>
  <c r="N400" i="3" s="1"/>
  <c r="AM400" i="3" a="1"/>
  <c r="AM400" i="3" s="1"/>
  <c r="Y400" i="3" a="1"/>
  <c r="Y400" i="3" s="1"/>
  <c r="AL400" i="3" a="1"/>
  <c r="AL400" i="3" s="1"/>
  <c r="I400" i="3" a="1"/>
  <c r="I400" i="3" s="1"/>
  <c r="J400" i="3" a="1"/>
  <c r="J400" i="3" s="1"/>
  <c r="G400" i="3" a="1"/>
  <c r="G400" i="3" s="1"/>
  <c r="AI400" i="3" a="1"/>
  <c r="AI400" i="3" s="1"/>
  <c r="AJ400" i="3" a="1"/>
  <c r="AJ400" i="3" s="1"/>
  <c r="Z400" i="3" a="1"/>
  <c r="Z400" i="3" s="1"/>
  <c r="AB400" i="3" a="1"/>
  <c r="AB400" i="3" s="1"/>
  <c r="M400" i="3" a="1"/>
  <c r="M400" i="3" s="1"/>
  <c r="W400" i="3" a="1"/>
  <c r="W400" i="3" s="1"/>
  <c r="AK400" i="3" a="1"/>
  <c r="AK400" i="3" s="1"/>
  <c r="Q400" i="3" a="1"/>
  <c r="Q400" i="3" s="1"/>
  <c r="AF400" i="3" a="1"/>
  <c r="AF400" i="3" s="1"/>
  <c r="L400" i="3" a="1"/>
  <c r="L400" i="3" s="1"/>
  <c r="F400" i="3" a="1"/>
  <c r="F400" i="3" s="1"/>
  <c r="AE400" i="3" a="1"/>
  <c r="AE400" i="3" s="1"/>
  <c r="J396" i="3" a="1"/>
  <c r="J396" i="3" s="1"/>
  <c r="J397" i="3" s="1" a="1"/>
  <c r="J397" i="3" s="1"/>
  <c r="J398" i="3" s="1"/>
  <c r="J402" i="3" s="1"/>
  <c r="J406" i="3" s="1"/>
  <c r="Q396" i="3" a="1"/>
  <c r="Q396" i="3" s="1"/>
  <c r="Q397" i="3" s="1" a="1"/>
  <c r="Q397" i="3" s="1"/>
  <c r="Q398" i="3" s="1"/>
  <c r="Q402" i="3" s="1"/>
  <c r="Q406" i="3" s="1"/>
  <c r="Q410" i="3" s="1"/>
  <c r="Q414" i="3" s="1"/>
  <c r="M396" i="3" a="1"/>
  <c r="M396" i="3" s="1"/>
  <c r="M397" i="3" s="1" a="1"/>
  <c r="M397" i="3" s="1"/>
  <c r="M398" i="3" s="1"/>
  <c r="M402" i="3" s="1"/>
  <c r="M406" i="3" s="1"/>
  <c r="M410" i="3" s="1"/>
  <c r="M414" i="3" s="1"/>
  <c r="N396" i="3" a="1"/>
  <c r="N396" i="3" s="1"/>
  <c r="N397" i="3" s="1" a="1"/>
  <c r="N397" i="3" s="1"/>
  <c r="N398" i="3" s="1"/>
  <c r="N402" i="3" s="1"/>
  <c r="N406" i="3" s="1"/>
  <c r="N410" i="3" s="1"/>
  <c r="N414" i="3" s="1"/>
  <c r="H418" i="3"/>
  <c r="H422" i="3" s="1"/>
  <c r="H426" i="3" s="1"/>
  <c r="H430" i="3" s="1"/>
  <c r="H434" i="3" s="1"/>
  <c r="H438" i="3" s="1"/>
  <c r="H442" i="3" s="1"/>
  <c r="J7" i="4" a="1"/>
  <c r="J7" i="4" s="1"/>
  <c r="AD420" i="3" a="1"/>
  <c r="AD420" i="3" s="1"/>
  <c r="AJ420" i="3" a="1"/>
  <c r="AJ420" i="3" s="1"/>
  <c r="X420" i="3" a="1"/>
  <c r="X420" i="3" s="1"/>
  <c r="AF420" i="3" a="1"/>
  <c r="AF420" i="3" s="1"/>
  <c r="N420" i="3" a="1"/>
  <c r="N420" i="3" s="1"/>
  <c r="S420" i="3" a="1"/>
  <c r="S420" i="3" s="1"/>
  <c r="AH420" i="3" a="1"/>
  <c r="AH420" i="3" s="1"/>
  <c r="Z420" i="3" a="1"/>
  <c r="Z420" i="3" s="1"/>
  <c r="AI420" i="3" a="1"/>
  <c r="AI420" i="3" s="1"/>
  <c r="AL420" i="3" a="1"/>
  <c r="AL420" i="3" s="1"/>
  <c r="T420" i="3" a="1"/>
  <c r="T420" i="3" s="1"/>
  <c r="P420" i="3" a="1"/>
  <c r="P420" i="3" s="1"/>
  <c r="E420" i="3" a="1"/>
  <c r="E420" i="3" s="1"/>
  <c r="F420" i="3" a="1"/>
  <c r="F420" i="3" s="1"/>
  <c r="AM420" i="3" a="1"/>
  <c r="AM420" i="3" s="1"/>
  <c r="Y420" i="3" a="1"/>
  <c r="Y420" i="3" s="1"/>
  <c r="V420" i="3" a="1"/>
  <c r="V420" i="3" s="1"/>
  <c r="AB420" i="3" a="1"/>
  <c r="AB420" i="3" s="1"/>
  <c r="R420" i="3" a="1"/>
  <c r="R420" i="3" s="1"/>
  <c r="AA420" i="3" a="1"/>
  <c r="AA420" i="3" s="1"/>
  <c r="AC420" i="3" a="1"/>
  <c r="AC420" i="3" s="1"/>
  <c r="H420" i="3" a="1"/>
  <c r="H420" i="3" s="1"/>
  <c r="I420" i="3" a="1"/>
  <c r="I420" i="3" s="1"/>
  <c r="Q420" i="3" a="1"/>
  <c r="Q420" i="3" s="1"/>
  <c r="O420" i="3" a="1"/>
  <c r="O420" i="3" s="1"/>
  <c r="K420" i="3" a="1"/>
  <c r="K420" i="3" s="1"/>
  <c r="D420" i="3" a="1"/>
  <c r="D420" i="3" s="1"/>
  <c r="J420" i="3" a="1"/>
  <c r="J420" i="3" s="1"/>
  <c r="AE420" i="3" a="1"/>
  <c r="AE420" i="3" s="1"/>
  <c r="AG420" i="3" a="1"/>
  <c r="AG420" i="3" s="1"/>
  <c r="AK420" i="3" a="1"/>
  <c r="AK420" i="3" s="1"/>
  <c r="G420" i="3" a="1"/>
  <c r="G420" i="3" s="1"/>
  <c r="AE360" i="3" a="1"/>
  <c r="AE360" i="3" s="1"/>
  <c r="O360" i="3" a="1"/>
  <c r="O360" i="3" s="1"/>
  <c r="T360" i="3" a="1"/>
  <c r="T360" i="3" s="1"/>
  <c r="AA360" i="3" a="1"/>
  <c r="AA360" i="3" s="1"/>
  <c r="AM360" i="3" a="1"/>
  <c r="AM360" i="3" s="1"/>
  <c r="U360" i="3" a="1"/>
  <c r="U360" i="3" s="1"/>
  <c r="D360" i="3" a="1"/>
  <c r="D360" i="3" s="1"/>
  <c r="J360" i="3" a="1"/>
  <c r="J360" i="3" s="1"/>
  <c r="AG360" i="3" a="1"/>
  <c r="AG360" i="3" s="1"/>
  <c r="AB360" i="3" a="1"/>
  <c r="AB360" i="3" s="1"/>
  <c r="V360" i="3" a="1"/>
  <c r="V360" i="3" s="1"/>
  <c r="AF360" i="3" a="1"/>
  <c r="AF360" i="3" s="1"/>
  <c r="K360" i="3" a="1"/>
  <c r="K360" i="3" s="1"/>
  <c r="AH360" i="3" a="1"/>
  <c r="AH360" i="3" s="1"/>
  <c r="W360" i="3" a="1"/>
  <c r="W360" i="3" s="1"/>
  <c r="L360" i="3" a="1"/>
  <c r="L360" i="3" s="1"/>
  <c r="G360" i="3" a="1"/>
  <c r="G360" i="3" s="1"/>
  <c r="AI360" i="3" a="1"/>
  <c r="AI360" i="3" s="1"/>
  <c r="H360" i="3" a="1"/>
  <c r="H360" i="3" s="1"/>
  <c r="X360" i="3" a="1"/>
  <c r="X360" i="3" s="1"/>
  <c r="AC360" i="3" a="1"/>
  <c r="AC360" i="3" s="1"/>
  <c r="M360" i="3" a="1"/>
  <c r="M360" i="3" s="1"/>
  <c r="AJ360" i="3" a="1"/>
  <c r="AJ360" i="3" s="1"/>
  <c r="Q360" i="3" a="1"/>
  <c r="Q360" i="3" s="1"/>
  <c r="Y360" i="3" a="1"/>
  <c r="Y360" i="3" s="1"/>
  <c r="E360" i="3" a="1"/>
  <c r="E360" i="3" s="1"/>
  <c r="AK360" i="3" a="1"/>
  <c r="AK360" i="3" s="1"/>
  <c r="AD360" i="3" a="1"/>
  <c r="AD360" i="3" s="1"/>
  <c r="N360" i="3" a="1"/>
  <c r="N360" i="3" s="1"/>
  <c r="R360" i="3" a="1"/>
  <c r="R360" i="3" s="1"/>
  <c r="Z360" i="3" a="1"/>
  <c r="Z360" i="3" s="1"/>
  <c r="AL360" i="3" a="1"/>
  <c r="AL360" i="3" s="1"/>
  <c r="R348" i="3" l="1" a="1"/>
  <c r="R348" i="3" s="1"/>
  <c r="R349" i="3" s="1" a="1"/>
  <c r="R349" i="3" s="1"/>
  <c r="R350" i="3" s="1"/>
  <c r="R354" i="3" s="1"/>
  <c r="N418" i="3"/>
  <c r="N422" i="3" s="1"/>
  <c r="N426" i="3" s="1"/>
  <c r="N430" i="3" s="1"/>
  <c r="N434" i="3" s="1"/>
  <c r="N438" i="3" s="1"/>
  <c r="N442" i="3" s="1"/>
  <c r="N446" i="3" s="1"/>
  <c r="N450" i="3" s="1"/>
  <c r="N454" i="3" s="1"/>
  <c r="N458" i="3" s="1"/>
  <c r="N462" i="3" s="1"/>
  <c r="N466" i="3" s="1"/>
  <c r="N470" i="3" s="1"/>
  <c r="N474" i="3" s="1"/>
  <c r="N478" i="3" s="1"/>
  <c r="J13" i="4" a="1"/>
  <c r="J13" i="4" s="1"/>
  <c r="M418" i="3"/>
  <c r="J12" i="4" a="1"/>
  <c r="J12" i="4" s="1"/>
  <c r="Q418" i="3"/>
  <c r="Q422" i="3" s="1"/>
  <c r="Q426" i="3" s="1"/>
  <c r="Q430" i="3" s="1"/>
  <c r="Q434" i="3" s="1"/>
  <c r="Q438" i="3" s="1"/>
  <c r="Q442" i="3" s="1"/>
  <c r="J16" i="4" a="1"/>
  <c r="J16" i="4" s="1"/>
  <c r="AD352" i="3" a="1"/>
  <c r="AD352" i="3" s="1"/>
  <c r="AD353" i="3" s="1" a="1"/>
  <c r="AD353" i="3" s="1"/>
  <c r="AD354" i="3" s="1"/>
  <c r="AD358" i="3" s="1"/>
  <c r="AD362" i="3" s="1"/>
  <c r="AD366" i="3" s="1"/>
  <c r="AD370" i="3" s="1"/>
  <c r="AD374" i="3" s="1"/>
  <c r="AD378" i="3" s="1"/>
  <c r="AD382" i="3" s="1"/>
  <c r="AD386" i="3" s="1"/>
  <c r="AD390" i="3" s="1"/>
  <c r="AD394" i="3" s="1"/>
  <c r="AD398" i="3" s="1"/>
  <c r="AD402" i="3" s="1"/>
  <c r="AD406" i="3" s="1"/>
  <c r="AD410" i="3" s="1"/>
  <c r="AD414" i="3" s="1"/>
  <c r="D344" i="3" a="1"/>
  <c r="D344" i="3" s="1"/>
  <c r="D345" i="3" s="1" a="1"/>
  <c r="D345" i="3" s="1"/>
  <c r="D346" i="3" s="1"/>
  <c r="D350" i="3" s="1"/>
  <c r="D354" i="3" s="1"/>
  <c r="AC344" i="3" a="1"/>
  <c r="AC344" i="3" s="1"/>
  <c r="AC345" i="3" s="1" a="1"/>
  <c r="AC345" i="3" s="1"/>
  <c r="AC346" i="3" s="1"/>
  <c r="AC350" i="3" s="1"/>
  <c r="AC354" i="3" s="1"/>
  <c r="AC358" i="3" s="1"/>
  <c r="AC362" i="3" s="1"/>
  <c r="AC366" i="3" s="1"/>
  <c r="AC370" i="3" s="1"/>
  <c r="AC374" i="3" s="1"/>
  <c r="AC378" i="3" s="1"/>
  <c r="AC382" i="3" s="1"/>
  <c r="AC386" i="3" s="1"/>
  <c r="AC390" i="3" s="1"/>
  <c r="AC394" i="3" s="1"/>
  <c r="AC398" i="3" s="1"/>
  <c r="F352" i="3" a="1"/>
  <c r="F352" i="3" s="1"/>
  <c r="F353" i="3" s="1" a="1"/>
  <c r="F353" i="3" s="1"/>
  <c r="F354" i="3" s="1"/>
  <c r="F358" i="3" s="1"/>
  <c r="S352" i="3" a="1"/>
  <c r="S352" i="3" s="1"/>
  <c r="S353" i="3" s="1" a="1"/>
  <c r="S353" i="3" s="1"/>
  <c r="S354" i="3" s="1"/>
  <c r="S358" i="3" s="1"/>
  <c r="P352" i="3" a="1"/>
  <c r="P352" i="3" s="1"/>
  <c r="P353" i="3" s="1" a="1"/>
  <c r="P353" i="3" s="1"/>
  <c r="P354" i="3" s="1"/>
  <c r="P358" i="3" s="1"/>
  <c r="P360" i="3" s="1" a="1"/>
  <c r="P360" i="3" s="1"/>
  <c r="P361" i="3" s="1" a="1"/>
  <c r="P361" i="3" s="1"/>
  <c r="P362" i="3" s="1"/>
  <c r="P366" i="3" s="1"/>
  <c r="AI350" i="3"/>
  <c r="AI354" i="3" s="1"/>
  <c r="E348" i="3" a="1"/>
  <c r="E348" i="3" s="1"/>
  <c r="E349" i="3" s="1" a="1"/>
  <c r="E349" i="3" s="1"/>
  <c r="E350" i="3" s="1"/>
  <c r="E354" i="3" s="1"/>
  <c r="E358" i="3" s="1"/>
  <c r="E362" i="3" s="1"/>
  <c r="E366" i="3" s="1"/>
  <c r="E370" i="3" s="1"/>
  <c r="E374" i="3" s="1"/>
  <c r="E378" i="3" s="1"/>
  <c r="E382" i="3" s="1"/>
  <c r="E386" i="3" s="1"/>
  <c r="E390" i="3" s="1"/>
  <c r="G348" i="3" a="1"/>
  <c r="G348" i="3" s="1"/>
  <c r="G349" i="3" s="1" a="1"/>
  <c r="G349" i="3" s="1"/>
  <c r="G350" i="3" s="1"/>
  <c r="G354" i="3" s="1"/>
  <c r="U344" i="3" a="1"/>
  <c r="U344" i="3" s="1"/>
  <c r="U345" i="3" s="1" a="1"/>
  <c r="U345" i="3" s="1"/>
  <c r="U346" i="3" s="1"/>
  <c r="U350" i="3" s="1"/>
  <c r="U354" i="3" s="1"/>
  <c r="U358" i="3" s="1"/>
  <c r="U362" i="3" s="1"/>
  <c r="AJ364" i="3" a="1"/>
  <c r="AJ364" i="3" s="1"/>
  <c r="V364" i="3" a="1"/>
  <c r="V364" i="3" s="1"/>
  <c r="AH364" i="3" a="1"/>
  <c r="AH364" i="3" s="1"/>
  <c r="G364" i="3" a="1"/>
  <c r="G364" i="3" s="1"/>
  <c r="K364" i="3" a="1"/>
  <c r="K364" i="3" s="1"/>
  <c r="T364" i="3" a="1"/>
  <c r="T364" i="3" s="1"/>
  <c r="AC364" i="3" a="1"/>
  <c r="AC364" i="3" s="1"/>
  <c r="AK364" i="3" a="1"/>
  <c r="AK364" i="3" s="1"/>
  <c r="AM364" i="3" a="1"/>
  <c r="AM364" i="3" s="1"/>
  <c r="W364" i="3" a="1"/>
  <c r="W364" i="3" s="1"/>
  <c r="P364" i="3" a="1"/>
  <c r="P364" i="3" s="1"/>
  <c r="AA364" i="3" a="1"/>
  <c r="AA364" i="3" s="1"/>
  <c r="AD364" i="3" a="1"/>
  <c r="AD364" i="3" s="1"/>
  <c r="Y364" i="3" a="1"/>
  <c r="Y364" i="3" s="1"/>
  <c r="AF364" i="3" a="1"/>
  <c r="AF364" i="3" s="1"/>
  <c r="AB364" i="3" a="1"/>
  <c r="AB364" i="3" s="1"/>
  <c r="Q364" i="3" a="1"/>
  <c r="Q364" i="3" s="1"/>
  <c r="J364" i="3" a="1"/>
  <c r="J364" i="3" s="1"/>
  <c r="N364" i="3" a="1"/>
  <c r="N364" i="3" s="1"/>
  <c r="H364" i="3" a="1"/>
  <c r="H364" i="3" s="1"/>
  <c r="M364" i="3" a="1"/>
  <c r="M364" i="3" s="1"/>
  <c r="E364" i="3" a="1"/>
  <c r="E364" i="3" s="1"/>
  <c r="L364" i="3" a="1"/>
  <c r="L364" i="3" s="1"/>
  <c r="S364" i="3" a="1"/>
  <c r="S364" i="3" s="1"/>
  <c r="AG364" i="3" a="1"/>
  <c r="AG364" i="3" s="1"/>
  <c r="O364" i="3" a="1"/>
  <c r="O364" i="3" s="1"/>
  <c r="X364" i="3" a="1"/>
  <c r="X364" i="3" s="1"/>
  <c r="AL364" i="3" a="1"/>
  <c r="AL364" i="3" s="1"/>
  <c r="Z364" i="3" a="1"/>
  <c r="Z364" i="3" s="1"/>
  <c r="AE364" i="3" a="1"/>
  <c r="AE364" i="3" s="1"/>
  <c r="S360" i="3" l="1" a="1"/>
  <c r="S360" i="3" s="1"/>
  <c r="S361" i="3" s="1" a="1"/>
  <c r="S361" i="3" s="1"/>
  <c r="S362" i="3" s="1"/>
  <c r="S366" i="3" s="1"/>
  <c r="I360" i="3" a="1"/>
  <c r="I360" i="3" s="1"/>
  <c r="I361" i="3" s="1" a="1"/>
  <c r="I361" i="3" s="1"/>
  <c r="I362" i="3" s="1"/>
  <c r="I364" i="3" s="1" a="1"/>
  <c r="I364" i="3" s="1"/>
  <c r="I365" i="3" s="1" a="1"/>
  <c r="I365" i="3" s="1"/>
  <c r="I366" i="3" s="1"/>
  <c r="I370" i="3" s="1"/>
  <c r="I374" i="3" s="1"/>
  <c r="I378" i="3" s="1"/>
  <c r="I382" i="3" s="1"/>
  <c r="I386" i="3" s="1"/>
  <c r="I390" i="3" s="1"/>
  <c r="I394" i="3" s="1"/>
  <c r="I398" i="3" s="1"/>
  <c r="I402" i="3" s="1"/>
  <c r="I406" i="3" s="1"/>
  <c r="I410" i="3" s="1"/>
  <c r="I414" i="3" s="1"/>
  <c r="F360" i="3" a="1"/>
  <c r="F360" i="3" s="1"/>
  <c r="F361" i="3" s="1" a="1"/>
  <c r="F361" i="3" s="1"/>
  <c r="F362" i="3" s="1"/>
  <c r="S356" i="3" a="1"/>
  <c r="S356" i="3" s="1"/>
  <c r="AE356" i="3" a="1"/>
  <c r="AE356" i="3" s="1"/>
  <c r="AI356" i="3" a="1"/>
  <c r="AI356" i="3" s="1"/>
  <c r="AI357" i="3" s="1" a="1"/>
  <c r="AI357" i="3" s="1"/>
  <c r="AI358" i="3" s="1"/>
  <c r="AI362" i="3" s="1"/>
  <c r="AC356" i="3" a="1"/>
  <c r="AC356" i="3" s="1"/>
  <c r="I356" i="3" a="1"/>
  <c r="I356" i="3" s="1"/>
  <c r="Y356" i="3" a="1"/>
  <c r="Y356" i="3" s="1"/>
  <c r="Z356" i="3" a="1"/>
  <c r="Z356" i="3" s="1"/>
  <c r="Q356" i="3" a="1"/>
  <c r="Q356" i="3" s="1"/>
  <c r="T356" i="3" a="1"/>
  <c r="T356" i="3" s="1"/>
  <c r="U356" i="3" a="1"/>
  <c r="U356" i="3" s="1"/>
  <c r="AD356" i="3" a="1"/>
  <c r="AD356" i="3" s="1"/>
  <c r="AH356" i="3" a="1"/>
  <c r="AH356" i="3" s="1"/>
  <c r="AB356" i="3" a="1"/>
  <c r="AB356" i="3" s="1"/>
  <c r="L356" i="3" a="1"/>
  <c r="L356" i="3" s="1"/>
  <c r="AM356" i="3" a="1"/>
  <c r="AM356" i="3" s="1"/>
  <c r="AF356" i="3" a="1"/>
  <c r="AF356" i="3" s="1"/>
  <c r="W356" i="3" a="1"/>
  <c r="W356" i="3" s="1"/>
  <c r="N356" i="3" a="1"/>
  <c r="N356" i="3" s="1"/>
  <c r="AA356" i="3" a="1"/>
  <c r="AA356" i="3" s="1"/>
  <c r="AG356" i="3" a="1"/>
  <c r="AG356" i="3" s="1"/>
  <c r="K356" i="3" a="1"/>
  <c r="K356" i="3" s="1"/>
  <c r="AJ356" i="3" a="1"/>
  <c r="AJ356" i="3" s="1"/>
  <c r="J356" i="3" a="1"/>
  <c r="J356" i="3" s="1"/>
  <c r="O356" i="3" a="1"/>
  <c r="O356" i="3" s="1"/>
  <c r="G356" i="3" a="1"/>
  <c r="G356" i="3" s="1"/>
  <c r="G357" i="3" s="1" a="1"/>
  <c r="G357" i="3" s="1"/>
  <c r="G358" i="3" s="1"/>
  <c r="G362" i="3" s="1"/>
  <c r="G366" i="3" s="1"/>
  <c r="AL356" i="3" a="1"/>
  <c r="AL356" i="3" s="1"/>
  <c r="X356" i="3" a="1"/>
  <c r="X356" i="3" s="1"/>
  <c r="AK356" i="3" a="1"/>
  <c r="AK356" i="3" s="1"/>
  <c r="M356" i="3" a="1"/>
  <c r="M356" i="3" s="1"/>
  <c r="R356" i="3" a="1"/>
  <c r="R356" i="3" s="1"/>
  <c r="R357" i="3" s="1" a="1"/>
  <c r="R357" i="3" s="1"/>
  <c r="R358" i="3" s="1"/>
  <c r="R362" i="3" s="1"/>
  <c r="R366" i="3" s="1"/>
  <c r="D356" i="3" a="1"/>
  <c r="D356" i="3" s="1"/>
  <c r="D357" i="3" s="1" a="1"/>
  <c r="D357" i="3" s="1"/>
  <c r="D358" i="3" s="1"/>
  <c r="D362" i="3" s="1"/>
  <c r="D366" i="3" s="1"/>
  <c r="D370" i="3" s="1"/>
  <c r="D374" i="3" s="1"/>
  <c r="D378" i="3" s="1"/>
  <c r="D382" i="3" s="1"/>
  <c r="D386" i="3" s="1"/>
  <c r="D390" i="3" s="1"/>
  <c r="D394" i="3" s="1"/>
  <c r="D398" i="3" s="1"/>
  <c r="D402" i="3" s="1"/>
  <c r="H356" i="3" a="1"/>
  <c r="H356" i="3" s="1"/>
  <c r="V356" i="3" a="1"/>
  <c r="V356" i="3" s="1"/>
  <c r="E356" i="3" a="1"/>
  <c r="E356" i="3" s="1"/>
  <c r="F356" i="3" a="1"/>
  <c r="F356" i="3" s="1"/>
  <c r="P356" i="3" a="1"/>
  <c r="P356" i="3" s="1"/>
  <c r="AD418" i="3"/>
  <c r="AD422" i="3" s="1"/>
  <c r="J29" i="4" a="1"/>
  <c r="J29" i="4" s="1"/>
  <c r="Q392" i="3" a="1"/>
  <c r="Q392" i="3" s="1"/>
  <c r="AA392" i="3" a="1"/>
  <c r="AA392" i="3" s="1"/>
  <c r="AH392" i="3" a="1"/>
  <c r="AH392" i="3" s="1"/>
  <c r="AE392" i="3" a="1"/>
  <c r="AE392" i="3" s="1"/>
  <c r="AM392" i="3" a="1"/>
  <c r="AM392" i="3" s="1"/>
  <c r="AL392" i="3" a="1"/>
  <c r="AL392" i="3" s="1"/>
  <c r="V392" i="3" a="1"/>
  <c r="V392" i="3" s="1"/>
  <c r="M392" i="3" a="1"/>
  <c r="M392" i="3" s="1"/>
  <c r="F392" i="3" a="1"/>
  <c r="F392" i="3" s="1"/>
  <c r="H392" i="3" a="1"/>
  <c r="H392" i="3" s="1"/>
  <c r="S392" i="3" a="1"/>
  <c r="S392" i="3" s="1"/>
  <c r="AJ392" i="3" a="1"/>
  <c r="AJ392" i="3" s="1"/>
  <c r="K392" i="3" a="1"/>
  <c r="K392" i="3" s="1"/>
  <c r="AD392" i="3" a="1"/>
  <c r="AD392" i="3" s="1"/>
  <c r="L392" i="3" a="1"/>
  <c r="L392" i="3" s="1"/>
  <c r="W392" i="3" a="1"/>
  <c r="W392" i="3" s="1"/>
  <c r="I392" i="3" a="1"/>
  <c r="I392" i="3" s="1"/>
  <c r="J392" i="3" a="1"/>
  <c r="J392" i="3" s="1"/>
  <c r="O392" i="3" a="1"/>
  <c r="O392" i="3" s="1"/>
  <c r="P392" i="3" a="1"/>
  <c r="P392" i="3" s="1"/>
  <c r="X392" i="3" a="1"/>
  <c r="X392" i="3" s="1"/>
  <c r="AK392" i="3" a="1"/>
  <c r="AK392" i="3" s="1"/>
  <c r="D392" i="3" a="1"/>
  <c r="D392" i="3" s="1"/>
  <c r="Z392" i="3" a="1"/>
  <c r="Z392" i="3" s="1"/>
  <c r="N392" i="3" a="1"/>
  <c r="N392" i="3" s="1"/>
  <c r="AC392" i="3" a="1"/>
  <c r="AC392" i="3" s="1"/>
  <c r="AI392" i="3" a="1"/>
  <c r="AI392" i="3" s="1"/>
  <c r="Y392" i="3" a="1"/>
  <c r="Y392" i="3" s="1"/>
  <c r="AF392" i="3" a="1"/>
  <c r="AF392" i="3" s="1"/>
  <c r="T392" i="3" a="1"/>
  <c r="T392" i="3" s="1"/>
  <c r="AB392" i="3" a="1"/>
  <c r="AB392" i="3" s="1"/>
  <c r="AG392" i="3" a="1"/>
  <c r="AG392" i="3" s="1"/>
  <c r="L416" i="3" a="1"/>
  <c r="L416" i="3" s="1"/>
  <c r="AC416" i="3" a="1"/>
  <c r="AC416" i="3" s="1"/>
  <c r="T416" i="3" a="1"/>
  <c r="T416" i="3" s="1"/>
  <c r="AF416" i="3" a="1"/>
  <c r="AF416" i="3" s="1"/>
  <c r="O416" i="3" a="1"/>
  <c r="O416" i="3" s="1"/>
  <c r="AM416" i="3" a="1"/>
  <c r="AM416" i="3" s="1"/>
  <c r="N416" i="3" a="1"/>
  <c r="N416" i="3" s="1"/>
  <c r="AE416" i="3" a="1"/>
  <c r="AE416" i="3" s="1"/>
  <c r="Z416" i="3" a="1"/>
  <c r="Z416" i="3" s="1"/>
  <c r="X416" i="3" a="1"/>
  <c r="X416" i="3" s="1"/>
  <c r="V416" i="3" a="1"/>
  <c r="V416" i="3" s="1"/>
  <c r="D416" i="3" a="1"/>
  <c r="D416" i="3" s="1"/>
  <c r="AL416" i="3" a="1"/>
  <c r="AL416" i="3" s="1"/>
  <c r="AA416" i="3" a="1"/>
  <c r="AA416" i="3" s="1"/>
  <c r="E416" i="3" a="1"/>
  <c r="E416" i="3" s="1"/>
  <c r="G416" i="3" a="1"/>
  <c r="G416" i="3" s="1"/>
  <c r="AH416" i="3" a="1"/>
  <c r="AH416" i="3" s="1"/>
  <c r="W416" i="3" a="1"/>
  <c r="W416" i="3" s="1"/>
  <c r="M416" i="3" a="1"/>
  <c r="M416" i="3" s="1"/>
  <c r="AJ416" i="3" a="1"/>
  <c r="AJ416" i="3" s="1"/>
  <c r="U416" i="3" a="1"/>
  <c r="U416" i="3" s="1"/>
  <c r="AD416" i="3" a="1"/>
  <c r="AD416" i="3" s="1"/>
  <c r="AK416" i="3" a="1"/>
  <c r="AK416" i="3" s="1"/>
  <c r="K416" i="3" a="1"/>
  <c r="K416" i="3" s="1"/>
  <c r="J416" i="3" a="1"/>
  <c r="J416" i="3" s="1"/>
  <c r="P416" i="3" a="1"/>
  <c r="P416" i="3" s="1"/>
  <c r="H416" i="3" a="1"/>
  <c r="H416" i="3" s="1"/>
  <c r="Q416" i="3" a="1"/>
  <c r="Q416" i="3" s="1"/>
  <c r="F416" i="3" a="1"/>
  <c r="F416" i="3" s="1"/>
  <c r="AG416" i="3" a="1"/>
  <c r="AG416" i="3" s="1"/>
  <c r="AB416" i="3" a="1"/>
  <c r="AB416" i="3" s="1"/>
  <c r="Y416" i="3" a="1"/>
  <c r="Y416" i="3" s="1"/>
  <c r="AM372" i="3" a="1"/>
  <c r="AM372" i="3" s="1"/>
  <c r="J372" i="3" a="1"/>
  <c r="J372" i="3" s="1"/>
  <c r="X372" i="3" a="1"/>
  <c r="X372" i="3" s="1"/>
  <c r="AB372" i="3" a="1"/>
  <c r="AB372" i="3" s="1"/>
  <c r="O372" i="3" a="1"/>
  <c r="O372" i="3" s="1"/>
  <c r="D372" i="3" a="1"/>
  <c r="D372" i="3" s="1"/>
  <c r="AC372" i="3" a="1"/>
  <c r="AC372" i="3" s="1"/>
  <c r="Q372" i="3" a="1"/>
  <c r="Q372" i="3" s="1"/>
  <c r="I372" i="3" a="1"/>
  <c r="I372" i="3" s="1"/>
  <c r="AD372" i="3" a="1"/>
  <c r="AD372" i="3" s="1"/>
  <c r="T372" i="3" a="1"/>
  <c r="T372" i="3" s="1"/>
  <c r="E372" i="3" a="1"/>
  <c r="E372" i="3" s="1"/>
  <c r="AE372" i="3" a="1"/>
  <c r="AE372" i="3" s="1"/>
  <c r="AF372" i="3" a="1"/>
  <c r="AF372" i="3" s="1"/>
  <c r="K372" i="3" a="1"/>
  <c r="K372" i="3" s="1"/>
  <c r="F372" i="3" a="1"/>
  <c r="F372" i="3" s="1"/>
  <c r="L372" i="3" a="1"/>
  <c r="L372" i="3" s="1"/>
  <c r="S372" i="3" a="1"/>
  <c r="S372" i="3" s="1"/>
  <c r="AG372" i="3" a="1"/>
  <c r="AG372" i="3" s="1"/>
  <c r="AH372" i="3" a="1"/>
  <c r="AH372" i="3" s="1"/>
  <c r="AK372" i="3" a="1"/>
  <c r="AK372" i="3" s="1"/>
  <c r="G372" i="3" a="1"/>
  <c r="G372" i="3" s="1"/>
  <c r="Y372" i="3" a="1"/>
  <c r="Y372" i="3" s="1"/>
  <c r="V372" i="3" a="1"/>
  <c r="V372" i="3" s="1"/>
  <c r="M372" i="3" a="1"/>
  <c r="M372" i="3" s="1"/>
  <c r="AI372" i="3" a="1"/>
  <c r="AI372" i="3" s="1"/>
  <c r="AL372" i="3" a="1"/>
  <c r="AL372" i="3" s="1"/>
  <c r="H372" i="3" a="1"/>
  <c r="H372" i="3" s="1"/>
  <c r="Z372" i="3" a="1"/>
  <c r="Z372" i="3" s="1"/>
  <c r="W372" i="3" a="1"/>
  <c r="W372" i="3" s="1"/>
  <c r="N372" i="3" a="1"/>
  <c r="N372" i="3" s="1"/>
  <c r="AJ372" i="3" a="1"/>
  <c r="AJ372" i="3" s="1"/>
  <c r="G380" i="3" a="1"/>
  <c r="G380" i="3" s="1"/>
  <c r="AG380" i="3" a="1"/>
  <c r="AG380" i="3" s="1"/>
  <c r="X380" i="3" a="1"/>
  <c r="X380" i="3" s="1"/>
  <c r="T380" i="3" a="1"/>
  <c r="T380" i="3" s="1"/>
  <c r="AK380" i="3" a="1"/>
  <c r="AK380" i="3" s="1"/>
  <c r="U380" i="3" a="1"/>
  <c r="U380" i="3" s="1"/>
  <c r="I380" i="3" a="1"/>
  <c r="I380" i="3" s="1"/>
  <c r="AH380" i="3" a="1"/>
  <c r="AH380" i="3" s="1"/>
  <c r="AM380" i="3" a="1"/>
  <c r="AM380" i="3" s="1"/>
  <c r="AI380" i="3" a="1"/>
  <c r="AI380" i="3" s="1"/>
  <c r="J380" i="3" a="1"/>
  <c r="J380" i="3" s="1"/>
  <c r="Y380" i="3" a="1"/>
  <c r="Y380" i="3" s="1"/>
  <c r="L380" i="3" a="1"/>
  <c r="L380" i="3" s="1"/>
  <c r="AL380" i="3" a="1"/>
  <c r="AL380" i="3" s="1"/>
  <c r="AA380" i="3" a="1"/>
  <c r="AA380" i="3" s="1"/>
  <c r="E380" i="3" a="1"/>
  <c r="E380" i="3" s="1"/>
  <c r="M380" i="3" a="1"/>
  <c r="M380" i="3" s="1"/>
  <c r="AB380" i="3" a="1"/>
  <c r="AB380" i="3" s="1"/>
  <c r="H380" i="3" a="1"/>
  <c r="H380" i="3" s="1"/>
  <c r="AC380" i="3" a="1"/>
  <c r="AC380" i="3" s="1"/>
  <c r="K380" i="3" a="1"/>
  <c r="K380" i="3" s="1"/>
  <c r="O380" i="3" a="1"/>
  <c r="O380" i="3" s="1"/>
  <c r="N380" i="3" a="1"/>
  <c r="N380" i="3" s="1"/>
  <c r="AD380" i="3" a="1"/>
  <c r="AD380" i="3" s="1"/>
  <c r="D380" i="3" a="1"/>
  <c r="D380" i="3" s="1"/>
  <c r="P380" i="3" a="1"/>
  <c r="P380" i="3" s="1"/>
  <c r="V380" i="3" a="1"/>
  <c r="V380" i="3" s="1"/>
  <c r="AE380" i="3" a="1"/>
  <c r="AE380" i="3" s="1"/>
  <c r="AJ380" i="3" a="1"/>
  <c r="AJ380" i="3" s="1"/>
  <c r="AF380" i="3" a="1"/>
  <c r="AF380" i="3" s="1"/>
  <c r="Q380" i="3" a="1"/>
  <c r="Q380" i="3" s="1"/>
  <c r="W380" i="3" a="1"/>
  <c r="W380" i="3" s="1"/>
  <c r="J8" i="4" a="1"/>
  <c r="J8" i="4" s="1"/>
  <c r="S368" i="3" l="1" a="1"/>
  <c r="S368" i="3" s="1"/>
  <c r="S369" i="3" s="1" a="1"/>
  <c r="S369" i="3" s="1"/>
  <c r="S370" i="3" s="1"/>
  <c r="S374" i="3" s="1"/>
  <c r="I404" i="3" a="1"/>
  <c r="I404" i="3" s="1"/>
  <c r="N404" i="3" a="1"/>
  <c r="N404" i="3" s="1"/>
  <c r="K404" i="3" a="1"/>
  <c r="K404" i="3" s="1"/>
  <c r="AG404" i="3" a="1"/>
  <c r="AG404" i="3" s="1"/>
  <c r="U404" i="3" a="1"/>
  <c r="U404" i="3" s="1"/>
  <c r="L404" i="3" a="1"/>
  <c r="L404" i="3" s="1"/>
  <c r="AL404" i="3" a="1"/>
  <c r="AL404" i="3" s="1"/>
  <c r="T404" i="3" a="1"/>
  <c r="T404" i="3" s="1"/>
  <c r="Y404" i="3" a="1"/>
  <c r="Y404" i="3" s="1"/>
  <c r="X404" i="3" a="1"/>
  <c r="X404" i="3" s="1"/>
  <c r="W404" i="3" a="1"/>
  <c r="W404" i="3" s="1"/>
  <c r="AC404" i="3" a="1"/>
  <c r="AC404" i="3" s="1"/>
  <c r="V404" i="3" a="1"/>
  <c r="V404" i="3" s="1"/>
  <c r="AJ404" i="3" a="1"/>
  <c r="AJ404" i="3" s="1"/>
  <c r="R404" i="3" a="1"/>
  <c r="R404" i="3" s="1"/>
  <c r="AF404" i="3" a="1"/>
  <c r="AF404" i="3" s="1"/>
  <c r="AM404" i="3" a="1"/>
  <c r="AM404" i="3" s="1"/>
  <c r="G404" i="3" a="1"/>
  <c r="G404" i="3" s="1"/>
  <c r="AD404" i="3" a="1"/>
  <c r="AD404" i="3" s="1"/>
  <c r="O404" i="3" a="1"/>
  <c r="O404" i="3" s="1"/>
  <c r="Q404" i="3" a="1"/>
  <c r="Q404" i="3" s="1"/>
  <c r="AA404" i="3" a="1"/>
  <c r="AA404" i="3" s="1"/>
  <c r="J404" i="3" a="1"/>
  <c r="J404" i="3" s="1"/>
  <c r="AE404" i="3" a="1"/>
  <c r="AE404" i="3" s="1"/>
  <c r="M404" i="3" a="1"/>
  <c r="M404" i="3" s="1"/>
  <c r="AH404" i="3" a="1"/>
  <c r="AH404" i="3" s="1"/>
  <c r="AK404" i="3" a="1"/>
  <c r="AK404" i="3" s="1"/>
  <c r="E404" i="3" a="1"/>
  <c r="E404" i="3" s="1"/>
  <c r="S404" i="3" a="1"/>
  <c r="S404" i="3" s="1"/>
  <c r="H404" i="3" a="1"/>
  <c r="H404" i="3" s="1"/>
  <c r="P404" i="3" a="1"/>
  <c r="P404" i="3" s="1"/>
  <c r="AB404" i="3" a="1"/>
  <c r="AB404" i="3" s="1"/>
  <c r="R368" i="3" a="1"/>
  <c r="R368" i="3" s="1"/>
  <c r="R369" i="3" s="1" a="1"/>
  <c r="R369" i="3" s="1"/>
  <c r="R370" i="3" s="1"/>
  <c r="AH368" i="3" a="1"/>
  <c r="AH368" i="3" s="1"/>
  <c r="U368" i="3" a="1"/>
  <c r="U368" i="3" s="1"/>
  <c r="AI368" i="3" a="1"/>
  <c r="AI368" i="3" s="1"/>
  <c r="J368" i="3" a="1"/>
  <c r="J368" i="3" s="1"/>
  <c r="M368" i="3" a="1"/>
  <c r="M368" i="3" s="1"/>
  <c r="AL368" i="3" a="1"/>
  <c r="AL368" i="3" s="1"/>
  <c r="V368" i="3" a="1"/>
  <c r="V368" i="3" s="1"/>
  <c r="AA368" i="3" a="1"/>
  <c r="AA368" i="3" s="1"/>
  <c r="AE368" i="3" a="1"/>
  <c r="AE368" i="3" s="1"/>
  <c r="X368" i="3" a="1"/>
  <c r="X368" i="3" s="1"/>
  <c r="K368" i="3" a="1"/>
  <c r="K368" i="3" s="1"/>
  <c r="AD368" i="3" a="1"/>
  <c r="AD368" i="3" s="1"/>
  <c r="AF368" i="3" a="1"/>
  <c r="AF368" i="3" s="1"/>
  <c r="D368" i="3" a="1"/>
  <c r="D368" i="3" s="1"/>
  <c r="Q368" i="3" a="1"/>
  <c r="Q368" i="3" s="1"/>
  <c r="AM368" i="3" a="1"/>
  <c r="AM368" i="3" s="1"/>
  <c r="AJ368" i="3" a="1"/>
  <c r="AJ368" i="3" s="1"/>
  <c r="N368" i="3" a="1"/>
  <c r="N368" i="3" s="1"/>
  <c r="L368" i="3" a="1"/>
  <c r="L368" i="3" s="1"/>
  <c r="Y368" i="3" a="1"/>
  <c r="Y368" i="3" s="1"/>
  <c r="Z368" i="3" a="1"/>
  <c r="Z368" i="3" s="1"/>
  <c r="AG368" i="3" a="1"/>
  <c r="AG368" i="3" s="1"/>
  <c r="AC368" i="3" a="1"/>
  <c r="AC368" i="3" s="1"/>
  <c r="F368" i="3" a="1"/>
  <c r="F368" i="3" s="1"/>
  <c r="AB368" i="3" a="1"/>
  <c r="AB368" i="3" s="1"/>
  <c r="T368" i="3" a="1"/>
  <c r="T368" i="3" s="1"/>
  <c r="O368" i="3" a="1"/>
  <c r="O368" i="3" s="1"/>
  <c r="H368" i="3" a="1"/>
  <c r="H368" i="3" s="1"/>
  <c r="AK368" i="3" a="1"/>
  <c r="AK368" i="3" s="1"/>
  <c r="I368" i="3" a="1"/>
  <c r="I368" i="3" s="1"/>
  <c r="W368" i="3" a="1"/>
  <c r="W368" i="3" s="1"/>
  <c r="E368" i="3" a="1"/>
  <c r="E368" i="3" s="1"/>
  <c r="G368" i="3" a="1"/>
  <c r="G368" i="3" s="1"/>
  <c r="G369" i="3" s="1" a="1"/>
  <c r="G369" i="3" s="1"/>
  <c r="G370" i="3" s="1"/>
  <c r="G374" i="3" s="1"/>
  <c r="P368" i="3" a="1"/>
  <c r="P368" i="3" s="1"/>
  <c r="P369" i="3" s="1" a="1"/>
  <c r="P369" i="3" s="1"/>
  <c r="P370" i="3" s="1"/>
  <c r="D364" i="3" a="1"/>
  <c r="D364" i="3" s="1"/>
  <c r="U364" i="3" a="1"/>
  <c r="U364" i="3" s="1"/>
  <c r="U365" i="3" s="1" a="1"/>
  <c r="U365" i="3" s="1"/>
  <c r="U366" i="3" s="1"/>
  <c r="U370" i="3" s="1"/>
  <c r="AI364" i="3" a="1"/>
  <c r="AI364" i="3" s="1"/>
  <c r="AI365" i="3" s="1" a="1"/>
  <c r="AI365" i="3" s="1"/>
  <c r="AI366" i="3" s="1"/>
  <c r="AI370" i="3" s="1"/>
  <c r="AI374" i="3" s="1"/>
  <c r="R364" i="3" a="1"/>
  <c r="R364" i="3" s="1"/>
  <c r="F364" i="3" a="1"/>
  <c r="F364" i="3" s="1"/>
  <c r="F365" i="3" s="1" a="1"/>
  <c r="F365" i="3" s="1"/>
  <c r="F366" i="3" s="1"/>
  <c r="F370" i="3" s="1"/>
  <c r="F374" i="3" s="1"/>
  <c r="F378" i="3" s="1"/>
  <c r="U388" i="3" a="1"/>
  <c r="U388" i="3" s="1"/>
  <c r="I388" i="3" a="1"/>
  <c r="I388" i="3" s="1"/>
  <c r="L388" i="3" a="1"/>
  <c r="L388" i="3" s="1"/>
  <c r="V388" i="3" a="1"/>
  <c r="V388" i="3" s="1"/>
  <c r="AB388" i="3" a="1"/>
  <c r="AB388" i="3" s="1"/>
  <c r="W388" i="3" a="1"/>
  <c r="W388" i="3" s="1"/>
  <c r="AJ388" i="3" a="1"/>
  <c r="AJ388" i="3" s="1"/>
  <c r="D388" i="3" a="1"/>
  <c r="D388" i="3" s="1"/>
  <c r="J388" i="3" a="1"/>
  <c r="J388" i="3" s="1"/>
  <c r="Q388" i="3" a="1"/>
  <c r="Q388" i="3" s="1"/>
  <c r="X388" i="3" a="1"/>
  <c r="X388" i="3" s="1"/>
  <c r="AD388" i="3" a="1"/>
  <c r="AD388" i="3" s="1"/>
  <c r="AK388" i="3" a="1"/>
  <c r="AK388" i="3" s="1"/>
  <c r="E388" i="3" a="1"/>
  <c r="E388" i="3" s="1"/>
  <c r="K388" i="3" a="1"/>
  <c r="K388" i="3" s="1"/>
  <c r="AE388" i="3" a="1"/>
  <c r="AE388" i="3" s="1"/>
  <c r="Y388" i="3" a="1"/>
  <c r="Y388" i="3" s="1"/>
  <c r="R388" i="3" a="1"/>
  <c r="R388" i="3" s="1"/>
  <c r="M388" i="3" a="1"/>
  <c r="M388" i="3" s="1"/>
  <c r="AF388" i="3" a="1"/>
  <c r="AF388" i="3" s="1"/>
  <c r="AL388" i="3" a="1"/>
  <c r="AL388" i="3" s="1"/>
  <c r="F388" i="3" a="1"/>
  <c r="F388" i="3" s="1"/>
  <c r="Z388" i="3" a="1"/>
  <c r="Z388" i="3" s="1"/>
  <c r="S388" i="3" a="1"/>
  <c r="S388" i="3" s="1"/>
  <c r="N388" i="3" a="1"/>
  <c r="N388" i="3" s="1"/>
  <c r="AG388" i="3" a="1"/>
  <c r="AG388" i="3" s="1"/>
  <c r="AM388" i="3" a="1"/>
  <c r="AM388" i="3" s="1"/>
  <c r="AA388" i="3" a="1"/>
  <c r="AA388" i="3" s="1"/>
  <c r="O388" i="3" a="1"/>
  <c r="O388" i="3" s="1"/>
  <c r="AH388" i="3" a="1"/>
  <c r="AH388" i="3" s="1"/>
  <c r="AC388" i="3" a="1"/>
  <c r="AC388" i="3" s="1"/>
  <c r="H388" i="3" a="1"/>
  <c r="H388" i="3" s="1"/>
  <c r="R372" i="3" l="1" a="1"/>
  <c r="R372" i="3" s="1"/>
  <c r="R373" i="3" s="1" a="1"/>
  <c r="R373" i="3" s="1"/>
  <c r="R374" i="3" s="1"/>
  <c r="R378" i="3" s="1"/>
  <c r="U372" i="3" a="1"/>
  <c r="U372" i="3" s="1"/>
  <c r="U373" i="3" s="1" a="1"/>
  <c r="U373" i="3" s="1"/>
  <c r="U374" i="3" s="1"/>
  <c r="AA372" i="3" a="1"/>
  <c r="AA372" i="3" s="1"/>
  <c r="AA373" i="3" s="1" a="1"/>
  <c r="AA373" i="3" s="1"/>
  <c r="AA374" i="3" s="1"/>
  <c r="AA378" i="3" s="1"/>
  <c r="AA382" i="3" s="1"/>
  <c r="AA386" i="3" s="1"/>
  <c r="AA390" i="3" s="1"/>
  <c r="AA394" i="3" s="1"/>
  <c r="AA398" i="3" s="1"/>
  <c r="AA402" i="3" s="1"/>
  <c r="AA406" i="3" s="1"/>
  <c r="AA410" i="3" s="1"/>
  <c r="AA414" i="3" s="1"/>
  <c r="P372" i="3" a="1"/>
  <c r="P372" i="3" s="1"/>
  <c r="P373" i="3" s="1" a="1"/>
  <c r="P373" i="3" s="1"/>
  <c r="P374" i="3" s="1"/>
  <c r="P378" i="3" s="1"/>
  <c r="P382" i="3" s="1"/>
  <c r="P386" i="3" s="1"/>
  <c r="I376" i="3" a="1"/>
  <c r="I376" i="3" s="1"/>
  <c r="T376" i="3" a="1"/>
  <c r="T376" i="3" s="1"/>
  <c r="L376" i="3" a="1"/>
  <c r="L376" i="3" s="1"/>
  <c r="N376" i="3" a="1"/>
  <c r="N376" i="3" s="1"/>
  <c r="Y376" i="3" a="1"/>
  <c r="Y376" i="3" s="1"/>
  <c r="AD376" i="3" a="1"/>
  <c r="AD376" i="3" s="1"/>
  <c r="AA376" i="3" a="1"/>
  <c r="AA376" i="3" s="1"/>
  <c r="M376" i="3" a="1"/>
  <c r="M376" i="3" s="1"/>
  <c r="D376" i="3" a="1"/>
  <c r="D376" i="3" s="1"/>
  <c r="Z376" i="3" a="1"/>
  <c r="Z376" i="3" s="1"/>
  <c r="V376" i="3" a="1"/>
  <c r="V376" i="3" s="1"/>
  <c r="AB376" i="3" a="1"/>
  <c r="AB376" i="3" s="1"/>
  <c r="P376" i="3" a="1"/>
  <c r="P376" i="3" s="1"/>
  <c r="O376" i="3" a="1"/>
  <c r="O376" i="3" s="1"/>
  <c r="H376" i="3" a="1"/>
  <c r="H376" i="3" s="1"/>
  <c r="J376" i="3" a="1"/>
  <c r="J376" i="3" s="1"/>
  <c r="R376" i="3" a="1"/>
  <c r="R376" i="3" s="1"/>
  <c r="AK376" i="3" a="1"/>
  <c r="AK376" i="3" s="1"/>
  <c r="AE376" i="3" a="1"/>
  <c r="AE376" i="3" s="1"/>
  <c r="AJ376" i="3" a="1"/>
  <c r="AJ376" i="3" s="1"/>
  <c r="E376" i="3" a="1"/>
  <c r="E376" i="3" s="1"/>
  <c r="W376" i="3" a="1"/>
  <c r="W376" i="3" s="1"/>
  <c r="AH376" i="3" a="1"/>
  <c r="AH376" i="3" s="1"/>
  <c r="AM376" i="3" a="1"/>
  <c r="AM376" i="3" s="1"/>
  <c r="AF376" i="3" a="1"/>
  <c r="AF376" i="3" s="1"/>
  <c r="AC376" i="3" a="1"/>
  <c r="AC376" i="3" s="1"/>
  <c r="F376" i="3" a="1"/>
  <c r="F376" i="3" s="1"/>
  <c r="AG376" i="3" a="1"/>
  <c r="AG376" i="3" s="1"/>
  <c r="K376" i="3" a="1"/>
  <c r="K376" i="3" s="1"/>
  <c r="Q376" i="3" a="1"/>
  <c r="Q376" i="3" s="1"/>
  <c r="X376" i="3" a="1"/>
  <c r="X376" i="3" s="1"/>
  <c r="AL376" i="3" a="1"/>
  <c r="AL376" i="3" s="1"/>
  <c r="G376" i="3" l="1" a="1"/>
  <c r="G376" i="3" s="1"/>
  <c r="G377" i="3" s="1" a="1"/>
  <c r="G377" i="3" s="1"/>
  <c r="G378" i="3" s="1"/>
  <c r="G382" i="3" s="1"/>
  <c r="G386" i="3" s="1"/>
  <c r="P388" i="3" s="1" a="1"/>
  <c r="P388" i="3" s="1"/>
  <c r="P389" i="3" s="1" a="1"/>
  <c r="P389" i="3" s="1"/>
  <c r="P390" i="3" s="1"/>
  <c r="P394" i="3" s="1"/>
  <c r="P398" i="3" s="1"/>
  <c r="P402" i="3" s="1"/>
  <c r="P406" i="3" s="1"/>
  <c r="P410" i="3" s="1"/>
  <c r="P414" i="3" s="1"/>
  <c r="U376" i="3" a="1"/>
  <c r="U376" i="3" s="1"/>
  <c r="U377" i="3" s="1" a="1"/>
  <c r="U377" i="3" s="1"/>
  <c r="U378" i="3" s="1"/>
  <c r="U382" i="3" s="1"/>
  <c r="U386" i="3" s="1"/>
  <c r="U390" i="3" s="1"/>
  <c r="S376" i="3" a="1"/>
  <c r="S376" i="3" s="1"/>
  <c r="S377" i="3" s="1" a="1"/>
  <c r="S377" i="3" s="1"/>
  <c r="S378" i="3" s="1"/>
  <c r="S380" i="3" s="1" a="1"/>
  <c r="S380" i="3" s="1"/>
  <c r="S381" i="3" s="1" a="1"/>
  <c r="S381" i="3" s="1"/>
  <c r="S382" i="3" s="1"/>
  <c r="S386" i="3" s="1"/>
  <c r="S390" i="3" s="1"/>
  <c r="S394" i="3" s="1"/>
  <c r="S398" i="3" s="1"/>
  <c r="AI376" i="3" a="1"/>
  <c r="AI376" i="3" s="1"/>
  <c r="AI377" i="3" s="1" a="1"/>
  <c r="AI377" i="3" s="1"/>
  <c r="AI378" i="3" s="1"/>
  <c r="AI382" i="3" s="1"/>
  <c r="AI386" i="3" s="1"/>
  <c r="AI388" i="3" s="1" a="1"/>
  <c r="AI388" i="3" s="1"/>
  <c r="AI389" i="3" s="1" a="1"/>
  <c r="AI389" i="3" s="1"/>
  <c r="AI390" i="3" s="1"/>
  <c r="AI394" i="3" s="1"/>
  <c r="AI398" i="3" s="1"/>
  <c r="AI402" i="3" s="1"/>
  <c r="F380" i="3" a="1"/>
  <c r="F380" i="3" s="1"/>
  <c r="F381" i="3" s="1" a="1"/>
  <c r="F381" i="3" s="1"/>
  <c r="F382" i="3" s="1"/>
  <c r="F386" i="3" s="1"/>
  <c r="F390" i="3" s="1"/>
  <c r="F394" i="3" s="1"/>
  <c r="F398" i="3" s="1"/>
  <c r="F402" i="3" s="1"/>
  <c r="AA418" i="3"/>
  <c r="AA422" i="3" s="1"/>
  <c r="AA426" i="3" s="1"/>
  <c r="AA430" i="3" s="1"/>
  <c r="AA434" i="3" s="1"/>
  <c r="AA438" i="3" s="1"/>
  <c r="AA442" i="3" s="1"/>
  <c r="AA446" i="3" s="1"/>
  <c r="J26" i="4" a="1"/>
  <c r="J26" i="4" s="1"/>
  <c r="AF444" i="3" a="1"/>
  <c r="AF444" i="3" s="1"/>
  <c r="AA444" i="3" a="1"/>
  <c r="AA444" i="3" s="1"/>
  <c r="I444" i="3" a="1"/>
  <c r="I444" i="3" s="1"/>
  <c r="AM444" i="3" a="1"/>
  <c r="AM444" i="3" s="1"/>
  <c r="D444" i="3" a="1"/>
  <c r="D444" i="3" s="1"/>
  <c r="J444" i="3" a="1"/>
  <c r="J444" i="3" s="1"/>
  <c r="P444" i="3" a="1"/>
  <c r="P444" i="3" s="1"/>
  <c r="AG444" i="3" a="1"/>
  <c r="AG444" i="3" s="1"/>
  <c r="E444" i="3" a="1"/>
  <c r="E444" i="3" s="1"/>
  <c r="V444" i="3" a="1"/>
  <c r="V444" i="3" s="1"/>
  <c r="AB444" i="3" a="1"/>
  <c r="AB444" i="3" s="1"/>
  <c r="K444" i="3" a="1"/>
  <c r="K444" i="3" s="1"/>
  <c r="AC444" i="3" a="1"/>
  <c r="AC444" i="3" s="1"/>
  <c r="AH444" i="3" a="1"/>
  <c r="AH444" i="3" s="1"/>
  <c r="AD444" i="3" a="1"/>
  <c r="AD444" i="3" s="1"/>
  <c r="W444" i="3" a="1"/>
  <c r="W444" i="3" s="1"/>
  <c r="AI444" i="3" a="1"/>
  <c r="AI444" i="3" s="1"/>
  <c r="X444" i="3" a="1"/>
  <c r="X444" i="3" s="1"/>
  <c r="AJ444" i="3" a="1"/>
  <c r="AJ444" i="3" s="1"/>
  <c r="M444" i="3" a="1"/>
  <c r="M444" i="3" s="1"/>
  <c r="L444" i="3" a="1"/>
  <c r="L444" i="3" s="1"/>
  <c r="F444" i="3" a="1"/>
  <c r="F444" i="3" s="1"/>
  <c r="R444" i="3" a="1"/>
  <c r="R444" i="3" s="1"/>
  <c r="Y444" i="3" a="1"/>
  <c r="Y444" i="3" s="1"/>
  <c r="AK444" i="3" a="1"/>
  <c r="AK444" i="3" s="1"/>
  <c r="S444" i="3" a="1"/>
  <c r="S444" i="3" s="1"/>
  <c r="N444" i="3" a="1"/>
  <c r="N444" i="3" s="1"/>
  <c r="AE444" i="3" a="1"/>
  <c r="AE444" i="3" s="1"/>
  <c r="Z444" i="3" a="1"/>
  <c r="Z444" i="3" s="1"/>
  <c r="AL444" i="3" a="1"/>
  <c r="AL444" i="3" s="1"/>
  <c r="T444" i="3" a="1"/>
  <c r="T444" i="3" s="1"/>
  <c r="O444" i="3" a="1"/>
  <c r="O444" i="3" s="1"/>
  <c r="N408" i="3" a="1"/>
  <c r="N408" i="3" s="1"/>
  <c r="S408" i="3" a="1"/>
  <c r="S408" i="3" s="1"/>
  <c r="AG408" i="3" a="1"/>
  <c r="AG408" i="3" s="1"/>
  <c r="AL408" i="3" a="1"/>
  <c r="AL408" i="3" s="1"/>
  <c r="O408" i="3" a="1"/>
  <c r="O408" i="3" s="1"/>
  <c r="V408" i="3" a="1"/>
  <c r="V408" i="3" s="1"/>
  <c r="AM408" i="3" a="1"/>
  <c r="AM408" i="3" s="1"/>
  <c r="K408" i="3" a="1"/>
  <c r="K408" i="3" s="1"/>
  <c r="D408" i="3" a="1"/>
  <c r="D408" i="3" s="1"/>
  <c r="Q408" i="3" a="1"/>
  <c r="Q408" i="3" s="1"/>
  <c r="W408" i="3" a="1"/>
  <c r="W408" i="3" s="1"/>
  <c r="X408" i="3" a="1"/>
  <c r="X408" i="3" s="1"/>
  <c r="T408" i="3" a="1"/>
  <c r="T408" i="3" s="1"/>
  <c r="Y408" i="3" a="1"/>
  <c r="Y408" i="3" s="1"/>
  <c r="G408" i="3" a="1"/>
  <c r="G408" i="3" s="1"/>
  <c r="R408" i="3" a="1"/>
  <c r="R408" i="3" s="1"/>
  <c r="F408" i="3" a="1"/>
  <c r="F408" i="3" s="1"/>
  <c r="Z408" i="3" a="1"/>
  <c r="Z408" i="3" s="1"/>
  <c r="M408" i="3" a="1"/>
  <c r="M408" i="3" s="1"/>
  <c r="AA408" i="3" a="1"/>
  <c r="AA408" i="3" s="1"/>
  <c r="H408" i="3" a="1"/>
  <c r="H408" i="3" s="1"/>
  <c r="I408" i="3" a="1"/>
  <c r="I408" i="3" s="1"/>
  <c r="AB408" i="3" a="1"/>
  <c r="AB408" i="3" s="1"/>
  <c r="AE408" i="3" a="1"/>
  <c r="AE408" i="3" s="1"/>
  <c r="AH408" i="3" a="1"/>
  <c r="AH408" i="3" s="1"/>
  <c r="P408" i="3" a="1"/>
  <c r="P408" i="3" s="1"/>
  <c r="AI408" i="3" a="1"/>
  <c r="AI408" i="3" s="1"/>
  <c r="L408" i="3" a="1"/>
  <c r="L408" i="3" s="1"/>
  <c r="AJ408" i="3" a="1"/>
  <c r="AJ408" i="3" s="1"/>
  <c r="AD408" i="3" a="1"/>
  <c r="AD408" i="3" s="1"/>
  <c r="AK408" i="3" a="1"/>
  <c r="AK408" i="3" s="1"/>
  <c r="AF408" i="3" a="1"/>
  <c r="AF408" i="3" s="1"/>
  <c r="U392" i="3" l="1" a="1"/>
  <c r="U392" i="3" s="1"/>
  <c r="U393" i="3" s="1" a="1"/>
  <c r="U393" i="3" s="1"/>
  <c r="U394" i="3" s="1"/>
  <c r="U398" i="3" s="1"/>
  <c r="U402" i="3" s="1"/>
  <c r="U406" i="3" s="1"/>
  <c r="P418" i="3"/>
  <c r="P422" i="3" s="1"/>
  <c r="P426" i="3" s="1"/>
  <c r="P430" i="3" s="1"/>
  <c r="P434" i="3" s="1"/>
  <c r="P438" i="3" s="1"/>
  <c r="P442" i="3" s="1"/>
  <c r="P446" i="3" s="1"/>
  <c r="J15" i="4" a="1"/>
  <c r="J15" i="4" s="1"/>
  <c r="Z380" i="3" a="1"/>
  <c r="Z380" i="3" s="1"/>
  <c r="Z381" i="3" s="1" a="1"/>
  <c r="Z381" i="3" s="1"/>
  <c r="Z382" i="3" s="1"/>
  <c r="Z386" i="3" s="1"/>
  <c r="Z390" i="3" s="1"/>
  <c r="Z394" i="3" s="1"/>
  <c r="Z398" i="3" s="1"/>
  <c r="Z402" i="3" s="1"/>
  <c r="Z404" i="3" s="1" a="1"/>
  <c r="Z404" i="3" s="1"/>
  <c r="Z405" i="3" s="1" a="1"/>
  <c r="Z405" i="3" s="1"/>
  <c r="Z406" i="3" s="1"/>
  <c r="Z410" i="3" s="1"/>
  <c r="Z414" i="3" s="1"/>
  <c r="R380" i="3" a="1"/>
  <c r="R380" i="3" s="1"/>
  <c r="R381" i="3" s="1" a="1"/>
  <c r="R381" i="3" s="1"/>
  <c r="R382" i="3" s="1"/>
  <c r="R386" i="3" s="1"/>
  <c r="R390" i="3" s="1"/>
  <c r="R392" i="3" s="1" a="1"/>
  <c r="R392" i="3" s="1"/>
  <c r="R393" i="3" s="1" a="1"/>
  <c r="R393" i="3" s="1"/>
  <c r="R394" i="3" s="1"/>
  <c r="R398" i="3" s="1"/>
  <c r="R402" i="3" s="1"/>
  <c r="R406" i="3" s="1"/>
  <c r="R410" i="3" s="1"/>
  <c r="R414" i="3" s="1"/>
  <c r="AI404" i="3" a="1"/>
  <c r="AI404" i="3" s="1"/>
  <c r="AI405" i="3" s="1" a="1"/>
  <c r="AI405" i="3" s="1"/>
  <c r="AI406" i="3" s="1"/>
  <c r="AI410" i="3" s="1"/>
  <c r="AI414" i="3" s="1"/>
  <c r="G388" i="3" a="1"/>
  <c r="G388" i="3" s="1"/>
  <c r="G389" i="3" s="1" a="1"/>
  <c r="G389" i="3" s="1"/>
  <c r="G390" i="3" s="1"/>
  <c r="T388" i="3" a="1"/>
  <c r="T388" i="3" s="1"/>
  <c r="T389" i="3" s="1" a="1"/>
  <c r="T389" i="3" s="1"/>
  <c r="T390" i="3" s="1"/>
  <c r="T394" i="3" s="1"/>
  <c r="T398" i="3" s="1"/>
  <c r="T400" i="3" s="1" a="1"/>
  <c r="T400" i="3" s="1"/>
  <c r="T401" i="3" s="1" a="1"/>
  <c r="T401" i="3" s="1"/>
  <c r="T402" i="3" s="1"/>
  <c r="T406" i="3" s="1"/>
  <c r="T410" i="3" s="1"/>
  <c r="T414" i="3" s="1"/>
  <c r="E392" i="3" l="1" a="1"/>
  <c r="E392" i="3" s="1"/>
  <c r="E393" i="3" s="1" a="1"/>
  <c r="E393" i="3" s="1"/>
  <c r="E394" i="3" s="1"/>
  <c r="E398" i="3" s="1"/>
  <c r="E402" i="3" s="1"/>
  <c r="E406" i="3" s="1"/>
  <c r="G392" i="3" a="1"/>
  <c r="G392" i="3" s="1"/>
  <c r="G393" i="3" s="1" a="1"/>
  <c r="G393" i="3" s="1"/>
  <c r="G394" i="3" s="1"/>
  <c r="G398" i="3" s="1"/>
  <c r="G402" i="3" s="1"/>
  <c r="G406" i="3" s="1"/>
  <c r="G410" i="3" s="1"/>
  <c r="G414" i="3" s="1"/>
  <c r="AC400" i="3" a="1"/>
  <c r="AC400" i="3" s="1"/>
  <c r="AC401" i="3" s="1" a="1"/>
  <c r="AC401" i="3" s="1"/>
  <c r="AC402" i="3" s="1"/>
  <c r="AC406" i="3" s="1"/>
  <c r="AC408" i="3" s="1" a="1"/>
  <c r="AC408" i="3" s="1"/>
  <c r="AC409" i="3" s="1" a="1"/>
  <c r="AC409" i="3" s="1"/>
  <c r="AC410" i="3" s="1"/>
  <c r="K400" i="3" a="1"/>
  <c r="K400" i="3" s="1"/>
  <c r="K401" i="3" s="1" a="1"/>
  <c r="K401" i="3" s="1"/>
  <c r="K402" i="3" s="1"/>
  <c r="K406" i="3" s="1"/>
  <c r="K410" i="3" s="1"/>
  <c r="K414" i="3" s="1"/>
  <c r="S400" i="3" a="1"/>
  <c r="S400" i="3" s="1"/>
  <c r="S401" i="3" s="1" a="1"/>
  <c r="S401" i="3" s="1"/>
  <c r="S402" i="3" s="1"/>
  <c r="S406" i="3" s="1"/>
  <c r="S410" i="3" s="1"/>
  <c r="S414" i="3" s="1"/>
  <c r="AI416" i="3" s="1" a="1"/>
  <c r="AI416" i="3" s="1"/>
  <c r="AI417" i="3" s="1" a="1"/>
  <c r="AI417" i="3" s="1"/>
  <c r="AI418" i="3" s="1"/>
  <c r="AI422" i="3" s="1"/>
  <c r="AI426" i="3" s="1"/>
  <c r="AI430" i="3" s="1"/>
  <c r="J34" i="4" a="1"/>
  <c r="J34" i="4" s="1"/>
  <c r="J17" i="4" a="1"/>
  <c r="J17" i="4" s="1"/>
  <c r="I416" i="3" a="1"/>
  <c r="I416" i="3" s="1"/>
  <c r="I417" i="3" s="1" a="1"/>
  <c r="I417" i="3" s="1"/>
  <c r="I418" i="3" s="1"/>
  <c r="I422" i="3" s="1"/>
  <c r="I426" i="3" s="1"/>
  <c r="D404" i="3" a="1"/>
  <c r="D404" i="3" s="1"/>
  <c r="D405" i="3" s="1" a="1"/>
  <c r="D405" i="3" s="1"/>
  <c r="D406" i="3" s="1"/>
  <c r="D410" i="3" s="1"/>
  <c r="D414" i="3" s="1"/>
  <c r="F404" i="3" a="1"/>
  <c r="F404" i="3" s="1"/>
  <c r="F405" i="3" s="1" a="1"/>
  <c r="F405" i="3" s="1"/>
  <c r="F406" i="3" s="1"/>
  <c r="F410" i="3" s="1"/>
  <c r="F414" i="3" s="1"/>
  <c r="Z418" i="3"/>
  <c r="Z422" i="3" s="1"/>
  <c r="Z426" i="3" s="1"/>
  <c r="Z430" i="3" s="1"/>
  <c r="Z434" i="3" s="1"/>
  <c r="Z438" i="3" s="1"/>
  <c r="Z442" i="3" s="1"/>
  <c r="Z446" i="3" s="1"/>
  <c r="Z450" i="3" s="1"/>
  <c r="Z454" i="3" s="1"/>
  <c r="Z458" i="3" s="1"/>
  <c r="Z462" i="3" s="1"/>
  <c r="Z466" i="3" s="1"/>
  <c r="Z470" i="3" s="1"/>
  <c r="Z474" i="3" s="1"/>
  <c r="Z478" i="3" s="1"/>
  <c r="Z482" i="3" s="1"/>
  <c r="Z486" i="3" s="1"/>
  <c r="Z490" i="3" s="1"/>
  <c r="J25" i="4" a="1"/>
  <c r="J25" i="4" s="1"/>
  <c r="T418" i="3"/>
  <c r="T422" i="3" s="1"/>
  <c r="T426" i="3" s="1"/>
  <c r="T430" i="3" s="1"/>
  <c r="T434" i="3" s="1"/>
  <c r="T438" i="3" s="1"/>
  <c r="T442" i="3" s="1"/>
  <c r="T446" i="3" s="1"/>
  <c r="T450" i="3" s="1"/>
  <c r="T454" i="3" s="1"/>
  <c r="T458" i="3" s="1"/>
  <c r="T462" i="3" s="1"/>
  <c r="J19" i="4" a="1"/>
  <c r="J19" i="4" s="1"/>
  <c r="U408" i="3" a="1"/>
  <c r="U408" i="3" s="1"/>
  <c r="U409" i="3" s="1" a="1"/>
  <c r="U409" i="3" s="1"/>
  <c r="U410" i="3" s="1"/>
  <c r="F418" i="3" l="1"/>
  <c r="F422" i="3" s="1"/>
  <c r="F426" i="3" s="1"/>
  <c r="F430" i="3" s="1"/>
  <c r="F434" i="3" s="1"/>
  <c r="F438" i="3" s="1"/>
  <c r="F442" i="3" s="1"/>
  <c r="F446" i="3" s="1"/>
  <c r="F450" i="3" s="1"/>
  <c r="F454" i="3" s="1"/>
  <c r="F458" i="3" s="1"/>
  <c r="F462" i="3" s="1"/>
  <c r="F466" i="3" s="1"/>
  <c r="F470" i="3" s="1"/>
  <c r="F474" i="3" s="1"/>
  <c r="F478" i="3" s="1"/>
  <c r="F482" i="3" s="1"/>
  <c r="F486" i="3" s="1"/>
  <c r="F490" i="3" s="1"/>
  <c r="J5" i="4" a="1"/>
  <c r="J5" i="4" s="1"/>
  <c r="D418" i="3"/>
  <c r="D422" i="3" s="1"/>
  <c r="D426" i="3" s="1"/>
  <c r="D430" i="3" s="1"/>
  <c r="D434" i="3" s="1"/>
  <c r="D438" i="3" s="1"/>
  <c r="J3" i="4" a="1"/>
  <c r="J3" i="4" s="1"/>
  <c r="R416" i="3" a="1"/>
  <c r="R416" i="3" s="1"/>
  <c r="R417" i="3" s="1" a="1"/>
  <c r="R417" i="3" s="1"/>
  <c r="R418" i="3" s="1"/>
  <c r="R422" i="3" s="1"/>
  <c r="R426" i="3" s="1"/>
  <c r="R430" i="3" s="1"/>
  <c r="Q428" i="3" a="1"/>
  <c r="Q428" i="3" s="1"/>
  <c r="H428" i="3" a="1"/>
  <c r="H428" i="3" s="1"/>
  <c r="K428" i="3" a="1"/>
  <c r="K428" i="3" s="1"/>
  <c r="L428" i="3" a="1"/>
  <c r="L428" i="3" s="1"/>
  <c r="Z428" i="3" a="1"/>
  <c r="Z428" i="3" s="1"/>
  <c r="AJ428" i="3" a="1"/>
  <c r="AJ428" i="3" s="1"/>
  <c r="AE428" i="3" a="1"/>
  <c r="AE428" i="3" s="1"/>
  <c r="AC428" i="3" a="1"/>
  <c r="AC428" i="3" s="1"/>
  <c r="D428" i="3" a="1"/>
  <c r="D428" i="3" s="1"/>
  <c r="F428" i="3" a="1"/>
  <c r="F428" i="3" s="1"/>
  <c r="AG428" i="3" a="1"/>
  <c r="AG428" i="3" s="1"/>
  <c r="AI428" i="3" a="1"/>
  <c r="AI428" i="3" s="1"/>
  <c r="T428" i="3" a="1"/>
  <c r="T428" i="3" s="1"/>
  <c r="W428" i="3" a="1"/>
  <c r="W428" i="3" s="1"/>
  <c r="O428" i="3" a="1"/>
  <c r="O428" i="3" s="1"/>
  <c r="AF428" i="3" a="1"/>
  <c r="AF428" i="3" s="1"/>
  <c r="P428" i="3" a="1"/>
  <c r="P428" i="3" s="1"/>
  <c r="Y428" i="3" a="1"/>
  <c r="Y428" i="3" s="1"/>
  <c r="X428" i="3" a="1"/>
  <c r="X428" i="3" s="1"/>
  <c r="AH428" i="3" a="1"/>
  <c r="AH428" i="3" s="1"/>
  <c r="AL428" i="3" a="1"/>
  <c r="AL428" i="3" s="1"/>
  <c r="N428" i="3" a="1"/>
  <c r="N428" i="3" s="1"/>
  <c r="R428" i="3" a="1"/>
  <c r="R428" i="3" s="1"/>
  <c r="S428" i="3" a="1"/>
  <c r="S428" i="3" s="1"/>
  <c r="G428" i="3" a="1"/>
  <c r="G428" i="3" s="1"/>
  <c r="AD428" i="3" a="1"/>
  <c r="AD428" i="3" s="1"/>
  <c r="E428" i="3" a="1"/>
  <c r="E428" i="3" s="1"/>
  <c r="AB428" i="3" a="1"/>
  <c r="AB428" i="3" s="1"/>
  <c r="AA428" i="3" a="1"/>
  <c r="AA428" i="3" s="1"/>
  <c r="AK428" i="3" a="1"/>
  <c r="AK428" i="3" s="1"/>
  <c r="V428" i="3" a="1"/>
  <c r="V428" i="3" s="1"/>
  <c r="AM428" i="3" a="1"/>
  <c r="AM428" i="3" s="1"/>
  <c r="J18" i="4" a="1"/>
  <c r="J18" i="4" s="1"/>
  <c r="S416" i="3" a="1"/>
  <c r="S416" i="3" s="1"/>
  <c r="S417" i="3" s="1" a="1"/>
  <c r="S417" i="3" s="1"/>
  <c r="S418" i="3" s="1"/>
  <c r="S422" i="3" s="1"/>
  <c r="S426" i="3" s="1"/>
  <c r="S430" i="3" s="1"/>
  <c r="K418" i="3"/>
  <c r="K422" i="3" s="1"/>
  <c r="K426" i="3" s="1"/>
  <c r="K430" i="3" s="1"/>
  <c r="K434" i="3" s="1"/>
  <c r="K438" i="3" s="1"/>
  <c r="K442" i="3" s="1"/>
  <c r="K446" i="3" s="1"/>
  <c r="K450" i="3" s="1"/>
  <c r="K454" i="3" s="1"/>
  <c r="K458" i="3" s="1"/>
  <c r="K462" i="3" s="1"/>
  <c r="J10" i="4" a="1"/>
  <c r="J10" i="4" s="1"/>
  <c r="G418" i="3"/>
  <c r="G422" i="3" s="1"/>
  <c r="G426" i="3" s="1"/>
  <c r="G430" i="3" s="1"/>
  <c r="G434" i="3" s="1"/>
  <c r="G438" i="3" s="1"/>
  <c r="G442" i="3" s="1"/>
  <c r="J6" i="4" a="1"/>
  <c r="J6" i="4" s="1"/>
  <c r="Z494" i="3"/>
  <c r="Z498" i="3" s="1"/>
  <c r="Z502" i="3" s="1"/>
  <c r="O25" i="4" a="1"/>
  <c r="O25" i="4" s="1"/>
  <c r="J408" i="3" a="1"/>
  <c r="J408" i="3" s="1"/>
  <c r="J409" i="3" s="1" a="1"/>
  <c r="J409" i="3" s="1"/>
  <c r="J410" i="3" s="1"/>
  <c r="E408" i="3" a="1"/>
  <c r="E408" i="3" s="1"/>
  <c r="E409" i="3" s="1" a="1"/>
  <c r="E409" i="3" s="1"/>
  <c r="E410" i="3" s="1"/>
  <c r="T412" i="3" l="1" a="1"/>
  <c r="T412" i="3" s="1"/>
  <c r="AD412" i="3" a="1"/>
  <c r="AD412" i="3" s="1"/>
  <c r="O412" i="3" a="1"/>
  <c r="O412" i="3" s="1"/>
  <c r="U412" i="3" a="1"/>
  <c r="U412" i="3" s="1"/>
  <c r="U413" i="3" s="1" a="1"/>
  <c r="U413" i="3" s="1"/>
  <c r="U414" i="3" s="1"/>
  <c r="AG412" i="3" a="1"/>
  <c r="AG412" i="3" s="1"/>
  <c r="AC412" i="3" a="1"/>
  <c r="AC412" i="3" s="1"/>
  <c r="AC413" i="3" s="1" a="1"/>
  <c r="AC413" i="3" s="1"/>
  <c r="AC414" i="3" s="1"/>
  <c r="AK412" i="3" a="1"/>
  <c r="AK412" i="3" s="1"/>
  <c r="AL412" i="3" a="1"/>
  <c r="AL412" i="3" s="1"/>
  <c r="AF412" i="3" a="1"/>
  <c r="AF412" i="3" s="1"/>
  <c r="P412" i="3" a="1"/>
  <c r="P412" i="3" s="1"/>
  <c r="S412" i="3" a="1"/>
  <c r="S412" i="3" s="1"/>
  <c r="X412" i="3" a="1"/>
  <c r="X412" i="3" s="1"/>
  <c r="I412" i="3" a="1"/>
  <c r="I412" i="3" s="1"/>
  <c r="AM412" i="3" a="1"/>
  <c r="AM412" i="3" s="1"/>
  <c r="L412" i="3" a="1"/>
  <c r="L412" i="3" s="1"/>
  <c r="W412" i="3" a="1"/>
  <c r="W412" i="3" s="1"/>
  <c r="E412" i="3" a="1"/>
  <c r="E412" i="3" s="1"/>
  <c r="E413" i="3" s="1" a="1"/>
  <c r="E413" i="3" s="1"/>
  <c r="E414" i="3" s="1"/>
  <c r="AE412" i="3" a="1"/>
  <c r="AE412" i="3" s="1"/>
  <c r="R412" i="3" a="1"/>
  <c r="R412" i="3" s="1"/>
  <c r="M412" i="3" a="1"/>
  <c r="M412" i="3" s="1"/>
  <c r="N412" i="3" a="1"/>
  <c r="N412" i="3" s="1"/>
  <c r="AJ412" i="3" a="1"/>
  <c r="AJ412" i="3" s="1"/>
  <c r="V412" i="3" a="1"/>
  <c r="V412" i="3" s="1"/>
  <c r="K412" i="3" a="1"/>
  <c r="K412" i="3" s="1"/>
  <c r="Y412" i="3" a="1"/>
  <c r="Y412" i="3" s="1"/>
  <c r="J412" i="3" a="1"/>
  <c r="J412" i="3" s="1"/>
  <c r="J413" i="3" s="1" a="1"/>
  <c r="J413" i="3" s="1"/>
  <c r="J414" i="3" s="1"/>
  <c r="AH412" i="3" a="1"/>
  <c r="AH412" i="3" s="1"/>
  <c r="F412" i="3" a="1"/>
  <c r="F412" i="3" s="1"/>
  <c r="G412" i="3" a="1"/>
  <c r="G412" i="3" s="1"/>
  <c r="Q412" i="3" a="1"/>
  <c r="Q412" i="3" s="1"/>
  <c r="D412" i="3" a="1"/>
  <c r="D412" i="3" s="1"/>
  <c r="Z412" i="3" a="1"/>
  <c r="Z412" i="3" s="1"/>
  <c r="H412" i="3" a="1"/>
  <c r="H412" i="3" s="1"/>
  <c r="AB412" i="3" a="1"/>
  <c r="AB412" i="3" s="1"/>
  <c r="AA412" i="3" a="1"/>
  <c r="AA412" i="3" s="1"/>
  <c r="AI412" i="3" a="1"/>
  <c r="AI412" i="3" s="1"/>
  <c r="P432" i="3" a="1"/>
  <c r="P432" i="3" s="1"/>
  <c r="AB432" i="3" a="1"/>
  <c r="AB432" i="3" s="1"/>
  <c r="W432" i="3" a="1"/>
  <c r="W432" i="3" s="1"/>
  <c r="N432" i="3" a="1"/>
  <c r="N432" i="3" s="1"/>
  <c r="X432" i="3" a="1"/>
  <c r="X432" i="3" s="1"/>
  <c r="AE432" i="3" a="1"/>
  <c r="AE432" i="3" s="1"/>
  <c r="AM432" i="3" a="1"/>
  <c r="AM432" i="3" s="1"/>
  <c r="M432" i="3" a="1"/>
  <c r="M432" i="3" s="1"/>
  <c r="K432" i="3" a="1"/>
  <c r="K432" i="3" s="1"/>
  <c r="L432" i="3" a="1"/>
  <c r="L432" i="3" s="1"/>
  <c r="AC432" i="3" a="1"/>
  <c r="AC432" i="3" s="1"/>
  <c r="Z432" i="3" a="1"/>
  <c r="Z432" i="3" s="1"/>
  <c r="E432" i="3" a="1"/>
  <c r="E432" i="3" s="1"/>
  <c r="U432" i="3" a="1"/>
  <c r="U432" i="3" s="1"/>
  <c r="AK432" i="3" a="1"/>
  <c r="AK432" i="3" s="1"/>
  <c r="D432" i="3" a="1"/>
  <c r="D432" i="3" s="1"/>
  <c r="AF432" i="3" a="1"/>
  <c r="AF432" i="3" s="1"/>
  <c r="F432" i="3" a="1"/>
  <c r="F432" i="3" s="1"/>
  <c r="AG432" i="3" a="1"/>
  <c r="AG432" i="3" s="1"/>
  <c r="Q432" i="3" a="1"/>
  <c r="Q432" i="3" s="1"/>
  <c r="Y432" i="3" a="1"/>
  <c r="Y432" i="3" s="1"/>
  <c r="V432" i="3" a="1"/>
  <c r="V432" i="3" s="1"/>
  <c r="AA432" i="3" a="1"/>
  <c r="AA432" i="3" s="1"/>
  <c r="O432" i="3" a="1"/>
  <c r="O432" i="3" s="1"/>
  <c r="G432" i="3" a="1"/>
  <c r="G432" i="3" s="1"/>
  <c r="H432" i="3" a="1"/>
  <c r="H432" i="3" s="1"/>
  <c r="AH432" i="3" a="1"/>
  <c r="AH432" i="3" s="1"/>
  <c r="AL432" i="3" a="1"/>
  <c r="AL432" i="3" s="1"/>
  <c r="AJ432" i="3" a="1"/>
  <c r="AJ432" i="3" s="1"/>
  <c r="I432" i="3" a="1"/>
  <c r="I432" i="3" s="1"/>
  <c r="T432" i="3" a="1"/>
  <c r="T432" i="3" s="1"/>
  <c r="J432" i="3" a="1"/>
  <c r="J432" i="3" s="1"/>
  <c r="D464" i="3" a="1"/>
  <c r="D464" i="3" s="1"/>
  <c r="R464" i="3" a="1"/>
  <c r="R464" i="3" s="1"/>
  <c r="AH464" i="3" a="1"/>
  <c r="AH464" i="3" s="1"/>
  <c r="J464" i="3" a="1"/>
  <c r="J464" i="3" s="1"/>
  <c r="AB464" i="3" a="1"/>
  <c r="AB464" i="3" s="1"/>
  <c r="AD464" i="3" a="1"/>
  <c r="AD464" i="3" s="1"/>
  <c r="O464" i="3" a="1"/>
  <c r="O464" i="3" s="1"/>
  <c r="AC464" i="3" a="1"/>
  <c r="AC464" i="3" s="1"/>
  <c r="AI464" i="3" a="1"/>
  <c r="AI464" i="3" s="1"/>
  <c r="Z464" i="3" a="1"/>
  <c r="Z464" i="3" s="1"/>
  <c r="AF464" i="3" a="1"/>
  <c r="AF464" i="3" s="1"/>
  <c r="AE464" i="3" a="1"/>
  <c r="AE464" i="3" s="1"/>
  <c r="M464" i="3" a="1"/>
  <c r="M464" i="3" s="1"/>
  <c r="U464" i="3" a="1"/>
  <c r="U464" i="3" s="1"/>
  <c r="N464" i="3" a="1"/>
  <c r="N464" i="3" s="1"/>
  <c r="AK464" i="3" a="1"/>
  <c r="AK464" i="3" s="1"/>
  <c r="W464" i="3" a="1"/>
  <c r="W464" i="3" s="1"/>
  <c r="H464" i="3" a="1"/>
  <c r="H464" i="3" s="1"/>
  <c r="AM464" i="3" a="1"/>
  <c r="AM464" i="3" s="1"/>
  <c r="L464" i="3" a="1"/>
  <c r="L464" i="3" s="1"/>
  <c r="AJ464" i="3" a="1"/>
  <c r="AJ464" i="3" s="1"/>
  <c r="AL464" i="3" a="1"/>
  <c r="AL464" i="3" s="1"/>
  <c r="X464" i="3" a="1"/>
  <c r="X464" i="3" s="1"/>
  <c r="I464" i="3" a="1"/>
  <c r="I464" i="3" s="1"/>
  <c r="F464" i="3" a="1"/>
  <c r="F464" i="3" s="1"/>
  <c r="V464" i="3" a="1"/>
  <c r="V464" i="3" s="1"/>
  <c r="E464" i="3" a="1"/>
  <c r="E464" i="3" s="1"/>
  <c r="Y464" i="3" a="1"/>
  <c r="Y464" i="3" s="1"/>
  <c r="P464" i="3" a="1"/>
  <c r="P464" i="3" s="1"/>
  <c r="AG464" i="3" a="1"/>
  <c r="AG464" i="3" s="1"/>
  <c r="G464" i="3" a="1"/>
  <c r="G464" i="3" s="1"/>
  <c r="AA464" i="3" a="1"/>
  <c r="AA464" i="3" s="1"/>
  <c r="F440" i="3" a="1"/>
  <c r="F440" i="3" s="1"/>
  <c r="T440" i="3" a="1"/>
  <c r="T440" i="3" s="1"/>
  <c r="K440" i="3" a="1"/>
  <c r="K440" i="3" s="1"/>
  <c r="AJ440" i="3" a="1"/>
  <c r="AJ440" i="3" s="1"/>
  <c r="O440" i="3" a="1"/>
  <c r="O440" i="3" s="1"/>
  <c r="M440" i="3" a="1"/>
  <c r="M440" i="3" s="1"/>
  <c r="I440" i="3" a="1"/>
  <c r="I440" i="3" s="1"/>
  <c r="Y440" i="3" a="1"/>
  <c r="Y440" i="3" s="1"/>
  <c r="AA440" i="3" a="1"/>
  <c r="AA440" i="3" s="1"/>
  <c r="G440" i="3" a="1"/>
  <c r="G440" i="3" s="1"/>
  <c r="AF440" i="3" a="1"/>
  <c r="AF440" i="3" s="1"/>
  <c r="W440" i="3" a="1"/>
  <c r="W440" i="3" s="1"/>
  <c r="AK440" i="3" a="1"/>
  <c r="AK440" i="3" s="1"/>
  <c r="AM440" i="3" a="1"/>
  <c r="AM440" i="3" s="1"/>
  <c r="AG440" i="3" a="1"/>
  <c r="AG440" i="3" s="1"/>
  <c r="E440" i="3" a="1"/>
  <c r="E440" i="3" s="1"/>
  <c r="S440" i="3" a="1"/>
  <c r="S440" i="3" s="1"/>
  <c r="V440" i="3" a="1"/>
  <c r="V440" i="3" s="1"/>
  <c r="AI440" i="3" a="1"/>
  <c r="AI440" i="3" s="1"/>
  <c r="N440" i="3" a="1"/>
  <c r="N440" i="3" s="1"/>
  <c r="P440" i="3" a="1"/>
  <c r="P440" i="3" s="1"/>
  <c r="J440" i="3" a="1"/>
  <c r="J440" i="3" s="1"/>
  <c r="Q440" i="3" a="1"/>
  <c r="Q440" i="3" s="1"/>
  <c r="H440" i="3" a="1"/>
  <c r="H440" i="3" s="1"/>
  <c r="L440" i="3" a="1"/>
  <c r="L440" i="3" s="1"/>
  <c r="Z440" i="3" a="1"/>
  <c r="Z440" i="3" s="1"/>
  <c r="AB440" i="3" a="1"/>
  <c r="AB440" i="3" s="1"/>
  <c r="AC440" i="3" a="1"/>
  <c r="AC440" i="3" s="1"/>
  <c r="AE440" i="3" a="1"/>
  <c r="AE440" i="3" s="1"/>
  <c r="X440" i="3" a="1"/>
  <c r="X440" i="3" s="1"/>
  <c r="AL440" i="3" a="1"/>
  <c r="AL440" i="3" s="1"/>
  <c r="AH440" i="3" a="1"/>
  <c r="AH440" i="3" s="1"/>
  <c r="F494" i="3"/>
  <c r="F498" i="3" s="1"/>
  <c r="F502" i="3" s="1"/>
  <c r="O5" i="4" a="1"/>
  <c r="O5" i="4" s="1"/>
  <c r="J9" i="4" l="1" a="1"/>
  <c r="J9" i="4" s="1"/>
  <c r="J418" i="3"/>
  <c r="J422" i="3" s="1"/>
  <c r="J426" i="3" s="1"/>
  <c r="AC418" i="3"/>
  <c r="AC422" i="3" s="1"/>
  <c r="J28" i="4" a="1"/>
  <c r="J28" i="4" s="1"/>
  <c r="E418" i="3"/>
  <c r="E422" i="3" s="1"/>
  <c r="E426" i="3" s="1"/>
  <c r="E430" i="3" s="1"/>
  <c r="E434" i="3" s="1"/>
  <c r="E438" i="3" s="1"/>
  <c r="E442" i="3" s="1"/>
  <c r="E446" i="3" s="1"/>
  <c r="E450" i="3" s="1"/>
  <c r="E454" i="3" s="1"/>
  <c r="E458" i="3" s="1"/>
  <c r="E462" i="3" s="1"/>
  <c r="E466" i="3" s="1"/>
  <c r="E470" i="3" s="1"/>
  <c r="E474" i="3" s="1"/>
  <c r="J4" i="4" a="1"/>
  <c r="J4" i="4" s="1"/>
  <c r="U418" i="3"/>
  <c r="J20" i="4" a="1"/>
  <c r="J20" i="4" s="1"/>
  <c r="U420" i="3" l="1" a="1"/>
  <c r="U420" i="3" s="1"/>
  <c r="U421" i="3" s="1" a="1"/>
  <c r="U421" i="3" s="1"/>
  <c r="U422" i="3" s="1"/>
  <c r="U426" i="3" s="1"/>
  <c r="U428" i="3" s="1" a="1"/>
  <c r="U428" i="3" s="1"/>
  <c r="U429" i="3" s="1" a="1"/>
  <c r="U429" i="3" s="1"/>
  <c r="U430" i="3" s="1"/>
  <c r="U434" i="3" s="1"/>
  <c r="U438" i="3" s="1"/>
  <c r="L420" i="3" a="1"/>
  <c r="L420" i="3" s="1"/>
  <c r="L421" i="3" s="1" a="1"/>
  <c r="L421" i="3" s="1"/>
  <c r="L422" i="3" s="1"/>
  <c r="L426" i="3" s="1"/>
  <c r="L430" i="3" s="1"/>
  <c r="L434" i="3" s="1"/>
  <c r="L438" i="3" s="1"/>
  <c r="L442" i="3" s="1"/>
  <c r="L446" i="3" s="1"/>
  <c r="L450" i="3" s="1"/>
  <c r="L454" i="3" s="1"/>
  <c r="L458" i="3" s="1"/>
  <c r="L462" i="3" s="1"/>
  <c r="L466" i="3" s="1"/>
  <c r="L470" i="3" s="1"/>
  <c r="L474" i="3" s="1"/>
  <c r="W420" i="3" a="1"/>
  <c r="W420" i="3" s="1"/>
  <c r="W421" i="3" s="1" a="1"/>
  <c r="W421" i="3" s="1"/>
  <c r="W422" i="3" s="1"/>
  <c r="W426" i="3" s="1"/>
  <c r="W430" i="3" s="1"/>
  <c r="W434" i="3" s="1"/>
  <c r="W438" i="3" s="1"/>
  <c r="W442" i="3" s="1"/>
  <c r="W446" i="3" s="1"/>
  <c r="W450" i="3" s="1"/>
  <c r="W454" i="3" s="1"/>
  <c r="W458" i="3" s="1"/>
  <c r="W462" i="3" s="1"/>
  <c r="W466" i="3" s="1"/>
  <c r="W470" i="3" s="1"/>
  <c r="M420" i="3" a="1"/>
  <c r="M420" i="3" s="1"/>
  <c r="M421" i="3" s="1" a="1"/>
  <c r="M421" i="3" s="1"/>
  <c r="M422" i="3" s="1"/>
  <c r="M426" i="3" s="1"/>
  <c r="M428" i="3" s="1" a="1"/>
  <c r="M428" i="3" s="1"/>
  <c r="M429" i="3" s="1" a="1"/>
  <c r="M429" i="3" s="1"/>
  <c r="M430" i="3" s="1"/>
  <c r="M434" i="3" s="1"/>
  <c r="M438" i="3" s="1"/>
  <c r="M442" i="3" s="1"/>
  <c r="M446" i="3" s="1"/>
  <c r="M450" i="3" s="1"/>
  <c r="M454" i="3" s="1"/>
  <c r="M458" i="3" s="1"/>
  <c r="M462" i="3" s="1"/>
  <c r="M466" i="3" s="1"/>
  <c r="M470" i="3" s="1"/>
  <c r="M474" i="3" s="1"/>
  <c r="M478" i="3" s="1"/>
  <c r="M482" i="3" s="1"/>
  <c r="M486" i="3" s="1"/>
  <c r="M490" i="3" s="1"/>
  <c r="K17" i="4" a="1"/>
  <c r="K17" i="4" s="1"/>
  <c r="K10" i="4" a="1"/>
  <c r="K10" i="4" s="1"/>
  <c r="K3" i="4" a="1"/>
  <c r="K3" i="4" s="1"/>
  <c r="K35" i="4" a="1"/>
  <c r="K35" i="4" s="1"/>
  <c r="K9" i="4" a="1"/>
  <c r="K9" i="4" s="1"/>
  <c r="K22" i="4" a="1"/>
  <c r="K22" i="4" s="1"/>
  <c r="K23" i="4" a="1"/>
  <c r="K23" i="4" s="1"/>
  <c r="K30" i="4" a="1"/>
  <c r="K30" i="4" s="1"/>
  <c r="K14" i="4" a="1"/>
  <c r="K14" i="4" s="1"/>
  <c r="K12" i="4" a="1"/>
  <c r="K12" i="4" s="1"/>
  <c r="K18" i="4" a="1"/>
  <c r="K18" i="4" s="1"/>
  <c r="K34" i="4" a="1"/>
  <c r="K34" i="4" s="1"/>
  <c r="K27" i="4" a="1"/>
  <c r="K27" i="4" s="1"/>
  <c r="K19" i="4" a="1"/>
  <c r="K19" i="4" s="1"/>
  <c r="K28" i="4" a="1"/>
  <c r="K28" i="4" s="1"/>
  <c r="K20" i="4" a="1"/>
  <c r="K20" i="4" s="1"/>
  <c r="K11" i="4" a="1"/>
  <c r="K11" i="4" s="1"/>
  <c r="K15" i="4" a="1"/>
  <c r="K15" i="4" s="1"/>
  <c r="K5" i="4" a="1"/>
  <c r="K5" i="4" s="1"/>
  <c r="K21" i="4" a="1"/>
  <c r="K21" i="4" s="1"/>
  <c r="K36" i="4" a="1"/>
  <c r="K36" i="4" s="1"/>
  <c r="K8" i="4" a="1"/>
  <c r="K8" i="4" s="1"/>
  <c r="K7" i="4" a="1"/>
  <c r="K7" i="4" s="1"/>
  <c r="K37" i="4" a="1"/>
  <c r="K37" i="4" s="1"/>
  <c r="K31" i="4" a="1"/>
  <c r="K31" i="4" s="1"/>
  <c r="K38" i="4" a="1"/>
  <c r="K38" i="4" s="1"/>
  <c r="K6" i="4" a="1"/>
  <c r="K6" i="4" s="1"/>
  <c r="K13" i="4" a="1"/>
  <c r="K13" i="4" s="1"/>
  <c r="K26" i="4" a="1"/>
  <c r="K26" i="4" s="1"/>
  <c r="K4" i="4" a="1"/>
  <c r="K4" i="4" s="1"/>
  <c r="K16" i="4" a="1"/>
  <c r="K16" i="4" s="1"/>
  <c r="K29" i="4" a="1"/>
  <c r="K29" i="4" s="1"/>
  <c r="K24" i="4" a="1"/>
  <c r="K24" i="4" s="1"/>
  <c r="K25" i="4" a="1"/>
  <c r="K25" i="4" s="1"/>
  <c r="K33" i="4" a="1"/>
  <c r="K33" i="4" s="1"/>
  <c r="K32" i="4" a="1"/>
  <c r="K32" i="4" s="1"/>
  <c r="V476" i="3" a="1"/>
  <c r="V476" i="3" s="1"/>
  <c r="R476" i="3" a="1"/>
  <c r="R476" i="3" s="1"/>
  <c r="AI476" i="3" a="1"/>
  <c r="AI476" i="3" s="1"/>
  <c r="AL476" i="3" a="1"/>
  <c r="AL476" i="3" s="1"/>
  <c r="AC476" i="3" a="1"/>
  <c r="AC476" i="3" s="1"/>
  <c r="U476" i="3" a="1"/>
  <c r="U476" i="3" s="1"/>
  <c r="AD476" i="3" a="1"/>
  <c r="AD476" i="3" s="1"/>
  <c r="AK476" i="3" a="1"/>
  <c r="AK476" i="3" s="1"/>
  <c r="AH476" i="3" a="1"/>
  <c r="AH476" i="3" s="1"/>
  <c r="W476" i="3" a="1"/>
  <c r="W476" i="3" s="1"/>
  <c r="M476" i="3" a="1"/>
  <c r="M476" i="3" s="1"/>
  <c r="AF476" i="3" a="1"/>
  <c r="AF476" i="3" s="1"/>
  <c r="K476" i="3" a="1"/>
  <c r="K476" i="3" s="1"/>
  <c r="H476" i="3" a="1"/>
  <c r="H476" i="3" s="1"/>
  <c r="AJ476" i="3" a="1"/>
  <c r="AJ476" i="3" s="1"/>
  <c r="O476" i="3" a="1"/>
  <c r="O476" i="3" s="1"/>
  <c r="X476" i="3" a="1"/>
  <c r="X476" i="3" s="1"/>
  <c r="AB476" i="3" a="1"/>
  <c r="AB476" i="3" s="1"/>
  <c r="S476" i="3" a="1"/>
  <c r="S476" i="3" s="1"/>
  <c r="P476" i="3" a="1"/>
  <c r="P476" i="3" s="1"/>
  <c r="D476" i="3" a="1"/>
  <c r="D476" i="3" s="1"/>
  <c r="AM476" i="3" a="1"/>
  <c r="AM476" i="3" s="1"/>
  <c r="AG476" i="3" a="1"/>
  <c r="AG476" i="3" s="1"/>
  <c r="F476" i="3" a="1"/>
  <c r="F476" i="3" s="1"/>
  <c r="Y476" i="3" a="1"/>
  <c r="Y476" i="3" s="1"/>
  <c r="Z476" i="3" a="1"/>
  <c r="Z476" i="3" s="1"/>
  <c r="AA476" i="3" a="1"/>
  <c r="AA476" i="3" s="1"/>
  <c r="AE476" i="3" a="1"/>
  <c r="AE476" i="3" s="1"/>
  <c r="J476" i="3" a="1"/>
  <c r="J476" i="3" s="1"/>
  <c r="G476" i="3" a="1"/>
  <c r="G476" i="3" s="1"/>
  <c r="N476" i="3" a="1"/>
  <c r="N476" i="3" s="1"/>
  <c r="Q476" i="3" a="1"/>
  <c r="Q476" i="3" s="1"/>
  <c r="X424" i="3" a="1"/>
  <c r="X424" i="3" s="1"/>
  <c r="X425" i="3" s="1" a="1"/>
  <c r="X425" i="3" s="1"/>
  <c r="X426" i="3" s="1"/>
  <c r="X430" i="3" s="1"/>
  <c r="X434" i="3" s="1"/>
  <c r="X438" i="3" s="1"/>
  <c r="X442" i="3" s="1"/>
  <c r="X446" i="3" s="1"/>
  <c r="X450" i="3" s="1"/>
  <c r="X454" i="3" s="1"/>
  <c r="X458" i="3" s="1"/>
  <c r="Y424" i="3" a="1"/>
  <c r="Y424" i="3" s="1"/>
  <c r="Y425" i="3" s="1" a="1"/>
  <c r="Y425" i="3" s="1"/>
  <c r="Y426" i="3" s="1"/>
  <c r="Y430" i="3" s="1"/>
  <c r="Y434" i="3" s="1"/>
  <c r="Y438" i="3" s="1"/>
  <c r="Y442" i="3" s="1"/>
  <c r="Y446" i="3" s="1"/>
  <c r="Y450" i="3" s="1"/>
  <c r="Y454" i="3" s="1"/>
  <c r="AC424" i="3" a="1"/>
  <c r="AC424" i="3" s="1"/>
  <c r="AC425" i="3" s="1" a="1"/>
  <c r="AC425" i="3" s="1"/>
  <c r="AC426" i="3" s="1"/>
  <c r="AC430" i="3" s="1"/>
  <c r="AC434" i="3" s="1"/>
  <c r="AD424" i="3" a="1"/>
  <c r="AD424" i="3" s="1"/>
  <c r="AD425" i="3" s="1" a="1"/>
  <c r="AD425" i="3" s="1"/>
  <c r="AD426" i="3" s="1"/>
  <c r="AD430" i="3" s="1"/>
  <c r="J428" i="3" a="1"/>
  <c r="J428" i="3" s="1"/>
  <c r="J429" i="3" s="1" a="1"/>
  <c r="J429" i="3" s="1"/>
  <c r="J430" i="3" s="1"/>
  <c r="J434" i="3" s="1"/>
  <c r="I428" i="3" a="1"/>
  <c r="I428" i="3" s="1"/>
  <c r="I429" i="3" s="1" a="1"/>
  <c r="I429" i="3" s="1"/>
  <c r="I430" i="3" s="1"/>
  <c r="I434" i="3" s="1"/>
  <c r="I438" i="3" s="1"/>
  <c r="I442" i="3" s="1"/>
  <c r="I446" i="3" s="1"/>
  <c r="I450" i="3" s="1"/>
  <c r="I454" i="3" s="1"/>
  <c r="I458" i="3" s="1"/>
  <c r="I462" i="3" s="1"/>
  <c r="I466" i="3" s="1"/>
  <c r="I470" i="3" s="1"/>
  <c r="I474" i="3" s="1"/>
  <c r="AL460" i="3" a="1"/>
  <c r="AL460" i="3" s="1"/>
  <c r="K460" i="3" a="1"/>
  <c r="K460" i="3" s="1"/>
  <c r="AI460" i="3" a="1"/>
  <c r="AI460" i="3" s="1"/>
  <c r="AJ460" i="3" a="1"/>
  <c r="AJ460" i="3" s="1"/>
  <c r="F460" i="3" a="1"/>
  <c r="F460" i="3" s="1"/>
  <c r="Y460" i="3" a="1"/>
  <c r="Y460" i="3" s="1"/>
  <c r="AM460" i="3" a="1"/>
  <c r="AM460" i="3" s="1"/>
  <c r="AA460" i="3" a="1"/>
  <c r="AA460" i="3" s="1"/>
  <c r="L460" i="3" a="1"/>
  <c r="L460" i="3" s="1"/>
  <c r="S460" i="3" a="1"/>
  <c r="S460" i="3" s="1"/>
  <c r="AB460" i="3" a="1"/>
  <c r="AB460" i="3" s="1"/>
  <c r="T460" i="3" a="1"/>
  <c r="T460" i="3" s="1"/>
  <c r="W460" i="3" a="1"/>
  <c r="W460" i="3" s="1"/>
  <c r="D460" i="3" a="1"/>
  <c r="D460" i="3" s="1"/>
  <c r="AG460" i="3" a="1"/>
  <c r="AG460" i="3" s="1"/>
  <c r="E460" i="3" a="1"/>
  <c r="E460" i="3" s="1"/>
  <c r="AE460" i="3" a="1"/>
  <c r="AE460" i="3" s="1"/>
  <c r="AF460" i="3" a="1"/>
  <c r="AF460" i="3" s="1"/>
  <c r="N460" i="3" a="1"/>
  <c r="N460" i="3" s="1"/>
  <c r="Z460" i="3" a="1"/>
  <c r="Z460" i="3" s="1"/>
  <c r="U460" i="3" a="1"/>
  <c r="U460" i="3" s="1"/>
  <c r="L24" i="4" l="1" a="1"/>
  <c r="L24" i="4" s="1"/>
  <c r="M24" i="4" s="1"/>
  <c r="L27" i="4" a="1"/>
  <c r="L27" i="4" s="1"/>
  <c r="M27" i="4" s="1"/>
  <c r="L19" i="4" a="1"/>
  <c r="L19" i="4" s="1"/>
  <c r="M19" i="4" s="1"/>
  <c r="L38" i="4" a="1"/>
  <c r="L38" i="4" s="1"/>
  <c r="M38" i="4" s="1"/>
  <c r="L28" i="4" a="1"/>
  <c r="L28" i="4" s="1"/>
  <c r="M28" i="4" s="1"/>
  <c r="L10" i="4" a="1"/>
  <c r="L10" i="4" s="1"/>
  <c r="M10" i="4" s="1"/>
  <c r="L25" i="4" a="1"/>
  <c r="L25" i="4" s="1"/>
  <c r="M25" i="4" s="1"/>
  <c r="L21" i="4" a="1"/>
  <c r="L21" i="4" s="1"/>
  <c r="M21" i="4" s="1"/>
  <c r="L26" i="4" a="1"/>
  <c r="L26" i="4" s="1"/>
  <c r="M26" i="4" s="1"/>
  <c r="L11" i="4" a="1"/>
  <c r="L11" i="4" s="1"/>
  <c r="M11" i="4" s="1"/>
  <c r="L7" i="4" a="1"/>
  <c r="L7" i="4" s="1"/>
  <c r="M7" i="4" s="1"/>
  <c r="L17" i="4" a="1"/>
  <c r="L17" i="4" s="1"/>
  <c r="M17" i="4" s="1"/>
  <c r="L14" i="4" a="1"/>
  <c r="L14" i="4" s="1"/>
  <c r="M14" i="4" s="1"/>
  <c r="L18" i="4" a="1"/>
  <c r="L18" i="4" s="1"/>
  <c r="M18" i="4" s="1"/>
  <c r="L3" i="4" a="1"/>
  <c r="L3" i="4" s="1"/>
  <c r="M3" i="4" s="1"/>
  <c r="L4" i="4" a="1"/>
  <c r="L4" i="4" s="1"/>
  <c r="M4" i="4" s="1"/>
  <c r="L37" i="4" a="1"/>
  <c r="L37" i="4" s="1"/>
  <c r="M37" i="4" s="1"/>
  <c r="L12" i="4" a="1"/>
  <c r="L12" i="4" s="1"/>
  <c r="M12" i="4" s="1"/>
  <c r="L5" i="4" a="1"/>
  <c r="L5" i="4" s="1"/>
  <c r="M5" i="4" s="1"/>
  <c r="L15" i="4" a="1"/>
  <c r="L15" i="4" s="1"/>
  <c r="M15" i="4" s="1"/>
  <c r="L9" i="4" a="1"/>
  <c r="L9" i="4" s="1"/>
  <c r="M9" i="4" s="1"/>
  <c r="L29" i="4" a="1"/>
  <c r="L29" i="4" s="1"/>
  <c r="M29" i="4" s="1"/>
  <c r="L8" i="4" a="1"/>
  <c r="L8" i="4" s="1"/>
  <c r="M8" i="4" s="1"/>
  <c r="L16" i="4" a="1"/>
  <c r="L16" i="4" s="1"/>
  <c r="M16" i="4" s="1"/>
  <c r="L22" i="4" a="1"/>
  <c r="L22" i="4" s="1"/>
  <c r="M22" i="4" s="1"/>
  <c r="L36" i="4" a="1"/>
  <c r="L36" i="4" s="1"/>
  <c r="M36" i="4" s="1"/>
  <c r="L33" i="4" a="1"/>
  <c r="L33" i="4" s="1"/>
  <c r="M33" i="4" s="1"/>
  <c r="L23" i="4" a="1"/>
  <c r="L23" i="4" s="1"/>
  <c r="M23" i="4" s="1"/>
  <c r="L20" i="4" a="1"/>
  <c r="L20" i="4" s="1"/>
  <c r="M20" i="4" s="1"/>
  <c r="L34" i="4" a="1"/>
  <c r="L34" i="4" s="1"/>
  <c r="M34" i="4" s="1"/>
  <c r="L35" i="4" a="1"/>
  <c r="L35" i="4" s="1"/>
  <c r="M35" i="4" s="1"/>
  <c r="L6" i="4" a="1"/>
  <c r="L6" i="4" s="1"/>
  <c r="M6" i="4" s="1"/>
  <c r="L30" i="4" a="1"/>
  <c r="L30" i="4" s="1"/>
  <c r="M30" i="4" s="1"/>
  <c r="L13" i="4" a="1"/>
  <c r="L13" i="4" s="1"/>
  <c r="M13" i="4" s="1"/>
  <c r="L31" i="4" a="1"/>
  <c r="L31" i="4" s="1"/>
  <c r="M31" i="4" s="1"/>
  <c r="L32" i="4" a="1"/>
  <c r="L32" i="4" s="1"/>
  <c r="M32" i="4" s="1"/>
  <c r="Q436" i="3" a="1"/>
  <c r="Q436" i="3" s="1"/>
  <c r="Z436" i="3" a="1"/>
  <c r="Z436" i="3" s="1"/>
  <c r="AG436" i="3" a="1"/>
  <c r="AG436" i="3" s="1"/>
  <c r="U436" i="3" a="1"/>
  <c r="U436" i="3" s="1"/>
  <c r="F436" i="3" a="1"/>
  <c r="F436" i="3" s="1"/>
  <c r="D436" i="3" a="1"/>
  <c r="D436" i="3" s="1"/>
  <c r="E436" i="3" a="1"/>
  <c r="E436" i="3" s="1"/>
  <c r="L436" i="3" a="1"/>
  <c r="L436" i="3" s="1"/>
  <c r="AK436" i="3" a="1"/>
  <c r="AK436" i="3" s="1"/>
  <c r="V436" i="3" a="1"/>
  <c r="V436" i="3" s="1"/>
  <c r="N436" i="3" a="1"/>
  <c r="N436" i="3" s="1"/>
  <c r="X436" i="3" a="1"/>
  <c r="X436" i="3" s="1"/>
  <c r="O436" i="3" a="1"/>
  <c r="O436" i="3" s="1"/>
  <c r="P436" i="3" a="1"/>
  <c r="P436" i="3" s="1"/>
  <c r="AD436" i="3" a="1"/>
  <c r="AD436" i="3" s="1"/>
  <c r="AJ436" i="3" a="1"/>
  <c r="AJ436" i="3" s="1"/>
  <c r="AE436" i="3" a="1"/>
  <c r="AE436" i="3" s="1"/>
  <c r="AH436" i="3" a="1"/>
  <c r="AH436" i="3" s="1"/>
  <c r="M436" i="3" a="1"/>
  <c r="M436" i="3" s="1"/>
  <c r="T436" i="3" a="1"/>
  <c r="T436" i="3" s="1"/>
  <c r="R436" i="3" a="1"/>
  <c r="R436" i="3" s="1"/>
  <c r="AA436" i="3" a="1"/>
  <c r="AA436" i="3" s="1"/>
  <c r="AM436" i="3" a="1"/>
  <c r="AM436" i="3" s="1"/>
  <c r="G436" i="3" a="1"/>
  <c r="G436" i="3" s="1"/>
  <c r="H436" i="3" a="1"/>
  <c r="H436" i="3" s="1"/>
  <c r="AB436" i="3" a="1"/>
  <c r="AB436" i="3" s="1"/>
  <c r="K436" i="3" a="1"/>
  <c r="K436" i="3" s="1"/>
  <c r="AF436" i="3" a="1"/>
  <c r="AF436" i="3" s="1"/>
  <c r="W436" i="3" a="1"/>
  <c r="W436" i="3" s="1"/>
  <c r="Y436" i="3" a="1"/>
  <c r="Y436" i="3" s="1"/>
  <c r="AL436" i="3" a="1"/>
  <c r="AL436" i="3" s="1"/>
  <c r="I436" i="3" a="1"/>
  <c r="I436" i="3" s="1"/>
  <c r="AD432" i="3" a="1"/>
  <c r="AD432" i="3" s="1"/>
  <c r="AD433" i="3" s="1" a="1"/>
  <c r="AD433" i="3" s="1"/>
  <c r="AD434" i="3" s="1"/>
  <c r="AD438" i="3" s="1"/>
  <c r="S432" i="3" a="1"/>
  <c r="S432" i="3" s="1"/>
  <c r="S433" i="3" s="1" a="1"/>
  <c r="S433" i="3" s="1"/>
  <c r="S434" i="3" s="1"/>
  <c r="AC436" i="3" s="1" a="1"/>
  <c r="AC436" i="3" s="1"/>
  <c r="AC437" i="3" s="1" a="1"/>
  <c r="AC437" i="3" s="1"/>
  <c r="AC438" i="3" s="1"/>
  <c r="AC442" i="3" s="1"/>
  <c r="AC446" i="3" s="1"/>
  <c r="AC450" i="3" s="1"/>
  <c r="AC454" i="3" s="1"/>
  <c r="AC458" i="3" s="1"/>
  <c r="R432" i="3" a="1"/>
  <c r="R432" i="3" s="1"/>
  <c r="R433" i="3" s="1" a="1"/>
  <c r="R433" i="3" s="1"/>
  <c r="R434" i="3" s="1"/>
  <c r="R438" i="3" s="1"/>
  <c r="AI432" i="3" a="1"/>
  <c r="AI432" i="3" s="1"/>
  <c r="AI433" i="3" s="1" a="1"/>
  <c r="AI433" i="3" s="1"/>
  <c r="AI434" i="3" s="1"/>
  <c r="AI436" i="3" s="1" a="1"/>
  <c r="AI436" i="3" s="1"/>
  <c r="AI437" i="3" s="1" a="1"/>
  <c r="AI437" i="3" s="1"/>
  <c r="AI438" i="3" s="1"/>
  <c r="AI442" i="3" s="1"/>
  <c r="AI446" i="3" s="1"/>
  <c r="M494" i="3"/>
  <c r="M498" i="3" s="1"/>
  <c r="M502" i="3" s="1"/>
  <c r="O12" i="4" a="1"/>
  <c r="O12" i="4" s="1"/>
  <c r="I448" i="3" a="1"/>
  <c r="I448" i="3" s="1"/>
  <c r="AB448" i="3" a="1"/>
  <c r="AB448" i="3" s="1"/>
  <c r="U448" i="3" a="1"/>
  <c r="U448" i="3" s="1"/>
  <c r="E448" i="3" a="1"/>
  <c r="E448" i="3" s="1"/>
  <c r="AG448" i="3" a="1"/>
  <c r="AG448" i="3" s="1"/>
  <c r="Q448" i="3" a="1"/>
  <c r="Q448" i="3" s="1"/>
  <c r="J448" i="3" a="1"/>
  <c r="J448" i="3" s="1"/>
  <c r="AC448" i="3" a="1"/>
  <c r="AC448" i="3" s="1"/>
  <c r="V448" i="3" a="1"/>
  <c r="V448" i="3" s="1"/>
  <c r="R448" i="3" a="1"/>
  <c r="R448" i="3" s="1"/>
  <c r="AH448" i="3" a="1"/>
  <c r="AH448" i="3" s="1"/>
  <c r="S448" i="3" a="1"/>
  <c r="S448" i="3" s="1"/>
  <c r="K448" i="3" a="1"/>
  <c r="K448" i="3" s="1"/>
  <c r="AD448" i="3" a="1"/>
  <c r="AD448" i="3" s="1"/>
  <c r="W448" i="3" a="1"/>
  <c r="W448" i="3" s="1"/>
  <c r="AE448" i="3" a="1"/>
  <c r="AE448" i="3" s="1"/>
  <c r="L448" i="3" a="1"/>
  <c r="L448" i="3" s="1"/>
  <c r="AF448" i="3" a="1"/>
  <c r="AF448" i="3" s="1"/>
  <c r="X448" i="3" a="1"/>
  <c r="X448" i="3" s="1"/>
  <c r="M448" i="3" a="1"/>
  <c r="M448" i="3" s="1"/>
  <c r="AJ448" i="3" a="1"/>
  <c r="AJ448" i="3" s="1"/>
  <c r="Y448" i="3" a="1"/>
  <c r="Y448" i="3" s="1"/>
  <c r="AL448" i="3" a="1"/>
  <c r="AL448" i="3" s="1"/>
  <c r="AK448" i="3" a="1"/>
  <c r="AK448" i="3" s="1"/>
  <c r="F448" i="3" a="1"/>
  <c r="F448" i="3" s="1"/>
  <c r="N448" i="3" a="1"/>
  <c r="N448" i="3" s="1"/>
  <c r="G448" i="3" a="1"/>
  <c r="G448" i="3" s="1"/>
  <c r="Z448" i="3" a="1"/>
  <c r="Z448" i="3" s="1"/>
  <c r="O448" i="3" a="1"/>
  <c r="O448" i="3" s="1"/>
  <c r="AM448" i="3" a="1"/>
  <c r="AM448" i="3" s="1"/>
  <c r="H448" i="3" a="1"/>
  <c r="H448" i="3" s="1"/>
  <c r="T448" i="3" a="1"/>
  <c r="T448" i="3" s="1"/>
  <c r="AI448" i="3" l="1" a="1"/>
  <c r="AI448" i="3" s="1"/>
  <c r="AI449" i="3" s="1" a="1"/>
  <c r="AI449" i="3" s="1"/>
  <c r="AI450" i="3" s="1"/>
  <c r="AI454" i="3" s="1"/>
  <c r="AI458" i="3" s="1"/>
  <c r="AI462" i="3" s="1"/>
  <c r="AI466" i="3" s="1"/>
  <c r="AI470" i="3" s="1"/>
  <c r="AI474" i="3" s="1"/>
  <c r="AI478" i="3" s="1"/>
  <c r="AI482" i="3" s="1"/>
  <c r="AI486" i="3" s="1"/>
  <c r="AI490" i="3" s="1"/>
  <c r="AD440" i="3" a="1"/>
  <c r="AD440" i="3" s="1"/>
  <c r="AD441" i="3" s="1" a="1"/>
  <c r="AD441" i="3" s="1"/>
  <c r="AD442" i="3" s="1"/>
  <c r="AD446" i="3" s="1"/>
  <c r="AD450" i="3" s="1"/>
  <c r="AD454" i="3" s="1"/>
  <c r="AD458" i="3" s="1"/>
  <c r="AD462" i="3" s="1"/>
  <c r="AD466" i="3" s="1"/>
  <c r="AD470" i="3" s="1"/>
  <c r="AD474" i="3" s="1"/>
  <c r="AD478" i="3" s="1"/>
  <c r="AD482" i="3" s="1"/>
  <c r="AD486" i="3" s="1"/>
  <c r="AD490" i="3" s="1"/>
  <c r="J436" i="3" a="1"/>
  <c r="J436" i="3" s="1"/>
  <c r="J437" i="3" s="1" a="1"/>
  <c r="J437" i="3" s="1"/>
  <c r="J438" i="3" s="1"/>
  <c r="J442" i="3" s="1"/>
  <c r="J446" i="3" s="1"/>
  <c r="J450" i="3" s="1"/>
  <c r="J454" i="3" s="1"/>
  <c r="J458" i="3" s="1"/>
  <c r="S436" i="3" a="1"/>
  <c r="S436" i="3" s="1"/>
  <c r="S437" i="3" s="1" a="1"/>
  <c r="S437" i="3" s="1"/>
  <c r="S438" i="3" s="1"/>
  <c r="S442" i="3" s="1"/>
  <c r="S446" i="3" s="1"/>
  <c r="S450" i="3" s="1"/>
  <c r="S454" i="3" s="1"/>
  <c r="S458" i="3" s="1"/>
  <c r="S462" i="3" s="1"/>
  <c r="U440" i="3" a="1"/>
  <c r="U440" i="3" s="1"/>
  <c r="U441" i="3" s="1" a="1"/>
  <c r="U441" i="3" s="1"/>
  <c r="U442" i="3" s="1"/>
  <c r="R440" i="3" a="1"/>
  <c r="R440" i="3" s="1"/>
  <c r="R441" i="3" s="1" a="1"/>
  <c r="R441" i="3" s="1"/>
  <c r="R442" i="3" s="1"/>
  <c r="R446" i="3" s="1"/>
  <c r="R450" i="3" s="1"/>
  <c r="R454" i="3" s="1"/>
  <c r="R458" i="3" s="1"/>
  <c r="D440" i="3" a="1"/>
  <c r="D440" i="3" s="1"/>
  <c r="D441" i="3" s="1" a="1"/>
  <c r="D441" i="3" s="1"/>
  <c r="D442" i="3" s="1"/>
  <c r="D446" i="3" s="1"/>
  <c r="L456" i="3" a="1"/>
  <c r="L456" i="3" s="1"/>
  <c r="AA456" i="3" a="1"/>
  <c r="AA456" i="3" s="1"/>
  <c r="M456" i="3" a="1"/>
  <c r="M456" i="3" s="1"/>
  <c r="N456" i="3" a="1"/>
  <c r="N456" i="3" s="1"/>
  <c r="AB456" i="3" a="1"/>
  <c r="AB456" i="3" s="1"/>
  <c r="AK456" i="3" a="1"/>
  <c r="AK456" i="3" s="1"/>
  <c r="O456" i="3" a="1"/>
  <c r="O456" i="3" s="1"/>
  <c r="R456" i="3" a="1"/>
  <c r="R456" i="3" s="1"/>
  <c r="P456" i="3" a="1"/>
  <c r="P456" i="3" s="1"/>
  <c r="AC456" i="3" a="1"/>
  <c r="AC456" i="3" s="1"/>
  <c r="AH456" i="3" a="1"/>
  <c r="AH456" i="3" s="1"/>
  <c r="Q456" i="3" a="1"/>
  <c r="Q456" i="3" s="1"/>
  <c r="H456" i="3" a="1"/>
  <c r="H456" i="3" s="1"/>
  <c r="AE456" i="3" a="1"/>
  <c r="AE456" i="3" s="1"/>
  <c r="AI456" i="3" a="1"/>
  <c r="AI456" i="3" s="1"/>
  <c r="E456" i="3" a="1"/>
  <c r="E456" i="3" s="1"/>
  <c r="I456" i="3" a="1"/>
  <c r="I456" i="3" s="1"/>
  <c r="S456" i="3" a="1"/>
  <c r="S456" i="3" s="1"/>
  <c r="W456" i="3" a="1"/>
  <c r="W456" i="3" s="1"/>
  <c r="F456" i="3" a="1"/>
  <c r="F456" i="3" s="1"/>
  <c r="AJ456" i="3" a="1"/>
  <c r="AJ456" i="3" s="1"/>
  <c r="AG456" i="3" a="1"/>
  <c r="AG456" i="3" s="1"/>
  <c r="J456" i="3" a="1"/>
  <c r="J456" i="3" s="1"/>
  <c r="G456" i="3" a="1"/>
  <c r="G456" i="3" s="1"/>
  <c r="X456" i="3" a="1"/>
  <c r="X456" i="3" s="1"/>
  <c r="T456" i="3" a="1"/>
  <c r="T456" i="3" s="1"/>
  <c r="AL456" i="3" a="1"/>
  <c r="AL456" i="3" s="1"/>
  <c r="AD456" i="3" a="1"/>
  <c r="AD456" i="3" s="1"/>
  <c r="K456" i="3" a="1"/>
  <c r="K456" i="3" s="1"/>
  <c r="AF456" i="3" a="1"/>
  <c r="AF456" i="3" s="1"/>
  <c r="Z456" i="3" a="1"/>
  <c r="Z456" i="3" s="1"/>
  <c r="AM456" i="3" a="1"/>
  <c r="AM456" i="3" s="1"/>
  <c r="AI494" i="3"/>
  <c r="AI498" i="3" s="1"/>
  <c r="AI502" i="3" s="1"/>
  <c r="O34" i="4" a="1"/>
  <c r="O34" i="4" s="1"/>
  <c r="O29" i="4" l="1" a="1"/>
  <c r="O29" i="4" s="1"/>
  <c r="AD494" i="3"/>
  <c r="AD498" i="3" s="1"/>
  <c r="AD502" i="3" s="1"/>
  <c r="R460" i="3" a="1"/>
  <c r="R460" i="3" s="1"/>
  <c r="R461" i="3" s="1" a="1"/>
  <c r="R461" i="3" s="1"/>
  <c r="R462" i="3" s="1"/>
  <c r="R466" i="3" s="1"/>
  <c r="R470" i="3" s="1"/>
  <c r="AA448" i="3" a="1"/>
  <c r="AA448" i="3" s="1"/>
  <c r="AA449" i="3" s="1" a="1"/>
  <c r="AA449" i="3" s="1"/>
  <c r="AA450" i="3" s="1"/>
  <c r="AA454" i="3" s="1"/>
  <c r="AA458" i="3" s="1"/>
  <c r="AA462" i="3" s="1"/>
  <c r="AA466" i="3" s="1"/>
  <c r="AA470" i="3" s="1"/>
  <c r="AA474" i="3" s="1"/>
  <c r="AA478" i="3" s="1"/>
  <c r="AA482" i="3" s="1"/>
  <c r="AA486" i="3" s="1"/>
  <c r="AA490" i="3" s="1"/>
  <c r="D448" i="3" a="1"/>
  <c r="D448" i="3" s="1"/>
  <c r="D449" i="3" s="1" a="1"/>
  <c r="D449" i="3" s="1"/>
  <c r="D450" i="3" s="1"/>
  <c r="D454" i="3" s="1"/>
  <c r="P448" i="3" a="1"/>
  <c r="P448" i="3" s="1"/>
  <c r="P449" i="3" s="1" a="1"/>
  <c r="P449" i="3" s="1"/>
  <c r="P450" i="3" s="1"/>
  <c r="P454" i="3" s="1"/>
  <c r="P458" i="3" s="1"/>
  <c r="P462" i="3" s="1"/>
  <c r="P466" i="3" s="1"/>
  <c r="P470" i="3" s="1"/>
  <c r="P474" i="3" s="1"/>
  <c r="P478" i="3" s="1"/>
  <c r="P482" i="3" s="1"/>
  <c r="U444" i="3" a="1"/>
  <c r="U444" i="3" s="1"/>
  <c r="U445" i="3" s="1" a="1"/>
  <c r="U445" i="3" s="1"/>
  <c r="U446" i="3" s="1"/>
  <c r="U450" i="3" s="1"/>
  <c r="G444" i="3" a="1"/>
  <c r="G444" i="3" s="1"/>
  <c r="G445" i="3" s="1" a="1"/>
  <c r="G445" i="3" s="1"/>
  <c r="G446" i="3" s="1"/>
  <c r="G450" i="3" s="1"/>
  <c r="H444" i="3" a="1"/>
  <c r="H444" i="3" s="1"/>
  <c r="H445" i="3" s="1" a="1"/>
  <c r="H445" i="3" s="1"/>
  <c r="H446" i="3" s="1"/>
  <c r="H450" i="3" s="1"/>
  <c r="Q444" i="3" a="1"/>
  <c r="Q444" i="3" s="1"/>
  <c r="Q445" i="3" s="1" a="1"/>
  <c r="Q445" i="3" s="1"/>
  <c r="Q446" i="3" s="1"/>
  <c r="Q450" i="3" s="1"/>
  <c r="X460" i="3" a="1"/>
  <c r="X460" i="3" s="1"/>
  <c r="X461" i="3" s="1" a="1"/>
  <c r="X461" i="3" s="1"/>
  <c r="X462" i="3" s="1"/>
  <c r="X466" i="3" s="1"/>
  <c r="X470" i="3" s="1"/>
  <c r="X474" i="3" s="1"/>
  <c r="X478" i="3" s="1"/>
  <c r="X482" i="3" s="1"/>
  <c r="X486" i="3" s="1"/>
  <c r="X490" i="3" s="1"/>
  <c r="AK460" i="3" a="1"/>
  <c r="AK460" i="3" s="1"/>
  <c r="P460" i="3" a="1"/>
  <c r="P460" i="3" s="1"/>
  <c r="H460" i="3" a="1"/>
  <c r="H460" i="3" s="1"/>
  <c r="G460" i="3" a="1"/>
  <c r="G460" i="3" s="1"/>
  <c r="AH460" i="3" a="1"/>
  <c r="AH460" i="3" s="1"/>
  <c r="I460" i="3" a="1"/>
  <c r="I460" i="3" s="1"/>
  <c r="AD460" i="3" a="1"/>
  <c r="AD460" i="3" s="1"/>
  <c r="V460" i="3" a="1"/>
  <c r="V460" i="3" s="1"/>
  <c r="J460" i="3" a="1"/>
  <c r="J460" i="3" s="1"/>
  <c r="J461" i="3" s="1" a="1"/>
  <c r="J461" i="3" s="1"/>
  <c r="J462" i="3" s="1"/>
  <c r="J466" i="3" s="1"/>
  <c r="O460" i="3" a="1"/>
  <c r="O460" i="3" s="1"/>
  <c r="M460" i="3" a="1"/>
  <c r="M460" i="3" s="1"/>
  <c r="Q460" i="3" a="1"/>
  <c r="Q460" i="3" s="1"/>
  <c r="AC460" i="3" a="1"/>
  <c r="AC460" i="3" s="1"/>
  <c r="AC461" i="3" s="1" a="1"/>
  <c r="AC461" i="3" s="1"/>
  <c r="AC462" i="3" s="1"/>
  <c r="AC466" i="3" s="1"/>
  <c r="AC470" i="3" s="1"/>
  <c r="Q468" i="3" a="1"/>
  <c r="Q468" i="3" s="1"/>
  <c r="R468" i="3" a="1"/>
  <c r="R468" i="3" s="1"/>
  <c r="AC468" i="3" a="1"/>
  <c r="AC468" i="3" s="1"/>
  <c r="I468" i="3" a="1"/>
  <c r="I468" i="3" s="1"/>
  <c r="T468" i="3" a="1"/>
  <c r="T468" i="3" s="1"/>
  <c r="AD468" i="3" a="1"/>
  <c r="AD468" i="3" s="1"/>
  <c r="U468" i="3" a="1"/>
  <c r="U468" i="3" s="1"/>
  <c r="AG468" i="3" a="1"/>
  <c r="AG468" i="3" s="1"/>
  <c r="AJ468" i="3" a="1"/>
  <c r="AJ468" i="3" s="1"/>
  <c r="Z468" i="3" a="1"/>
  <c r="Z468" i="3" s="1"/>
  <c r="V468" i="3" a="1"/>
  <c r="V468" i="3" s="1"/>
  <c r="W468" i="3" a="1"/>
  <c r="W468" i="3" s="1"/>
  <c r="F468" i="3" a="1"/>
  <c r="F468" i="3" s="1"/>
  <c r="K468" i="3" a="1"/>
  <c r="K468" i="3" s="1"/>
  <c r="D468" i="3" a="1"/>
  <c r="D468" i="3" s="1"/>
  <c r="AE468" i="3" a="1"/>
  <c r="AE468" i="3" s="1"/>
  <c r="L468" i="3" a="1"/>
  <c r="L468" i="3" s="1"/>
  <c r="G468" i="3" a="1"/>
  <c r="G468" i="3" s="1"/>
  <c r="P468" i="3" a="1"/>
  <c r="P468" i="3" s="1"/>
  <c r="AF468" i="3" a="1"/>
  <c r="AF468" i="3" s="1"/>
  <c r="E468" i="3" a="1"/>
  <c r="E468" i="3" s="1"/>
  <c r="AA468" i="3" a="1"/>
  <c r="AA468" i="3" s="1"/>
  <c r="AK468" i="3" a="1"/>
  <c r="AK468" i="3" s="1"/>
  <c r="AH468" i="3" a="1"/>
  <c r="AH468" i="3" s="1"/>
  <c r="N468" i="3" a="1"/>
  <c r="N468" i="3" s="1"/>
  <c r="AL468" i="3" a="1"/>
  <c r="AL468" i="3" s="1"/>
  <c r="AI468" i="3" a="1"/>
  <c r="AI468" i="3" s="1"/>
  <c r="X468" i="3" a="1"/>
  <c r="X468" i="3" s="1"/>
  <c r="M468" i="3" a="1"/>
  <c r="M468" i="3" s="1"/>
  <c r="AM468" i="3" a="1"/>
  <c r="AM468" i="3" s="1"/>
  <c r="AB468" i="3" a="1"/>
  <c r="AB468" i="3" s="1"/>
  <c r="O468" i="3" a="1"/>
  <c r="O468" i="3" s="1"/>
  <c r="V484" i="3" a="1"/>
  <c r="V484" i="3" s="1"/>
  <c r="AL484" i="3" a="1"/>
  <c r="AL484" i="3" s="1"/>
  <c r="L484" i="3" a="1"/>
  <c r="L484" i="3" s="1"/>
  <c r="AG484" i="3" a="1"/>
  <c r="AG484" i="3" s="1"/>
  <c r="AB484" i="3" a="1"/>
  <c r="AB484" i="3" s="1"/>
  <c r="W484" i="3" a="1"/>
  <c r="W484" i="3" s="1"/>
  <c r="M484" i="3" a="1"/>
  <c r="M484" i="3" s="1"/>
  <c r="AM484" i="3" a="1"/>
  <c r="AM484" i="3" s="1"/>
  <c r="AH484" i="3" a="1"/>
  <c r="AH484" i="3" s="1"/>
  <c r="X484" i="3" a="1"/>
  <c r="X484" i="3" s="1"/>
  <c r="H484" i="3" a="1"/>
  <c r="H484" i="3" s="1"/>
  <c r="Y484" i="3" a="1"/>
  <c r="Y484" i="3" s="1"/>
  <c r="I484" i="3" a="1"/>
  <c r="I484" i="3" s="1"/>
  <c r="AD484" i="3" a="1"/>
  <c r="AD484" i="3" s="1"/>
  <c r="AK484" i="3" a="1"/>
  <c r="AK484" i="3" s="1"/>
  <c r="N484" i="3" a="1"/>
  <c r="N484" i="3" s="1"/>
  <c r="AI484" i="3" a="1"/>
  <c r="AI484" i="3" s="1"/>
  <c r="D484" i="3" a="1"/>
  <c r="D484" i="3" s="1"/>
  <c r="AC484" i="3" a="1"/>
  <c r="AC484" i="3" s="1"/>
  <c r="E484" i="3" a="1"/>
  <c r="E484" i="3" s="1"/>
  <c r="AE484" i="3" a="1"/>
  <c r="AE484" i="3" s="1"/>
  <c r="AJ484" i="3" a="1"/>
  <c r="AJ484" i="3" s="1"/>
  <c r="Z484" i="3" a="1"/>
  <c r="Z484" i="3" s="1"/>
  <c r="O484" i="3" a="1"/>
  <c r="O484" i="3" s="1"/>
  <c r="AF484" i="3" a="1"/>
  <c r="AF484" i="3" s="1"/>
  <c r="T484" i="3" a="1"/>
  <c r="T484" i="3" s="1"/>
  <c r="Q484" i="3" a="1"/>
  <c r="Q484" i="3" s="1"/>
  <c r="J484" i="3" a="1"/>
  <c r="J484" i="3" s="1"/>
  <c r="U484" i="3" a="1"/>
  <c r="U484" i="3" s="1"/>
  <c r="F484" i="3" a="1"/>
  <c r="F484" i="3" s="1"/>
  <c r="K484" i="3" a="1"/>
  <c r="K484" i="3" s="1"/>
  <c r="AA484" i="3" a="1"/>
  <c r="AA484" i="3" s="1"/>
  <c r="X494" i="3" l="1"/>
  <c r="X498" i="3" s="1"/>
  <c r="X502" i="3" s="1"/>
  <c r="O23" i="4" a="1"/>
  <c r="O23" i="4" s="1"/>
  <c r="R452" i="3" a="1"/>
  <c r="R452" i="3" s="1"/>
  <c r="J452" i="3" a="1"/>
  <c r="J452" i="3" s="1"/>
  <c r="AM452" i="3" a="1"/>
  <c r="AM452" i="3" s="1"/>
  <c r="AJ452" i="3" a="1"/>
  <c r="AJ452" i="3" s="1"/>
  <c r="I452" i="3" a="1"/>
  <c r="I452" i="3" s="1"/>
  <c r="F452" i="3" a="1"/>
  <c r="F452" i="3" s="1"/>
  <c r="T452" i="3" a="1"/>
  <c r="T452" i="3" s="1"/>
  <c r="Y452" i="3" a="1"/>
  <c r="Y452" i="3" s="1"/>
  <c r="AC452" i="3" a="1"/>
  <c r="AC452" i="3" s="1"/>
  <c r="AE452" i="3" a="1"/>
  <c r="AE452" i="3" s="1"/>
  <c r="P452" i="3" a="1"/>
  <c r="P452" i="3" s="1"/>
  <c r="AG452" i="3" a="1"/>
  <c r="AG452" i="3" s="1"/>
  <c r="G452" i="3" a="1"/>
  <c r="G452" i="3" s="1"/>
  <c r="G453" i="3" s="1" a="1"/>
  <c r="G453" i="3" s="1"/>
  <c r="G454" i="3" s="1"/>
  <c r="G458" i="3" s="1"/>
  <c r="G462" i="3" s="1"/>
  <c r="G466" i="3" s="1"/>
  <c r="G470" i="3" s="1"/>
  <c r="G474" i="3" s="1"/>
  <c r="G478" i="3" s="1"/>
  <c r="G482" i="3" s="1"/>
  <c r="AF452" i="3" a="1"/>
  <c r="AF452" i="3" s="1"/>
  <c r="AA452" i="3" a="1"/>
  <c r="AA452" i="3" s="1"/>
  <c r="Z452" i="3" a="1"/>
  <c r="Z452" i="3" s="1"/>
  <c r="H452" i="3" a="1"/>
  <c r="H452" i="3" s="1"/>
  <c r="H453" i="3" s="1" a="1"/>
  <c r="H453" i="3" s="1"/>
  <c r="H454" i="3" s="1"/>
  <c r="H458" i="3" s="1"/>
  <c r="H462" i="3" s="1"/>
  <c r="H466" i="3" s="1"/>
  <c r="M452" i="3" a="1"/>
  <c r="M452" i="3" s="1"/>
  <c r="AL452" i="3" a="1"/>
  <c r="AL452" i="3" s="1"/>
  <c r="S452" i="3" a="1"/>
  <c r="S452" i="3" s="1"/>
  <c r="AB452" i="3" a="1"/>
  <c r="AB452" i="3" s="1"/>
  <c r="K452" i="3" a="1"/>
  <c r="K452" i="3" s="1"/>
  <c r="AD452" i="3" a="1"/>
  <c r="AD452" i="3" s="1"/>
  <c r="E452" i="3" a="1"/>
  <c r="E452" i="3" s="1"/>
  <c r="AH452" i="3" a="1"/>
  <c r="AH452" i="3" s="1"/>
  <c r="D452" i="3" a="1"/>
  <c r="D452" i="3" s="1"/>
  <c r="W452" i="3" a="1"/>
  <c r="W452" i="3" s="1"/>
  <c r="L452" i="3" a="1"/>
  <c r="L452" i="3" s="1"/>
  <c r="V452" i="3" a="1"/>
  <c r="V452" i="3" s="1"/>
  <c r="Q452" i="3" a="1"/>
  <c r="Q452" i="3" s="1"/>
  <c r="Q453" i="3" s="1" a="1"/>
  <c r="Q453" i="3" s="1"/>
  <c r="Q454" i="3" s="1"/>
  <c r="Q458" i="3" s="1"/>
  <c r="Q462" i="3" s="1"/>
  <c r="AI452" i="3" a="1"/>
  <c r="AI452" i="3" s="1"/>
  <c r="X452" i="3" a="1"/>
  <c r="X452" i="3" s="1"/>
  <c r="N452" i="3" a="1"/>
  <c r="N452" i="3" s="1"/>
  <c r="AK452" i="3" a="1"/>
  <c r="AK452" i="3" s="1"/>
  <c r="U452" i="3" a="1"/>
  <c r="U452" i="3" s="1"/>
  <c r="U453" i="3" s="1" a="1"/>
  <c r="U453" i="3" s="1"/>
  <c r="U454" i="3" s="1"/>
  <c r="O452" i="3" a="1"/>
  <c r="O452" i="3" s="1"/>
  <c r="O26" i="4" a="1"/>
  <c r="O26" i="4" s="1"/>
  <c r="AA494" i="3"/>
  <c r="AA498" i="3" s="1"/>
  <c r="AA502" i="3" s="1"/>
  <c r="AH472" i="3" a="1"/>
  <c r="AH472" i="3" s="1"/>
  <c r="H472" i="3" a="1"/>
  <c r="H472" i="3" s="1"/>
  <c r="AA472" i="3" a="1"/>
  <c r="AA472" i="3" s="1"/>
  <c r="X472" i="3" a="1"/>
  <c r="X472" i="3" s="1"/>
  <c r="AL472" i="3" a="1"/>
  <c r="AL472" i="3" s="1"/>
  <c r="I472" i="3" a="1"/>
  <c r="I472" i="3" s="1"/>
  <c r="AM472" i="3" a="1"/>
  <c r="AM472" i="3" s="1"/>
  <c r="N472" i="3" a="1"/>
  <c r="N472" i="3" s="1"/>
  <c r="Y472" i="3" a="1"/>
  <c r="Y472" i="3" s="1"/>
  <c r="AD472" i="3" a="1"/>
  <c r="AD472" i="3" s="1"/>
  <c r="J472" i="3" a="1"/>
  <c r="J472" i="3" s="1"/>
  <c r="O472" i="3" a="1"/>
  <c r="O472" i="3" s="1"/>
  <c r="AE472" i="3" a="1"/>
  <c r="AE472" i="3" s="1"/>
  <c r="Z472" i="3" a="1"/>
  <c r="Z472" i="3" s="1"/>
  <c r="P472" i="3" a="1"/>
  <c r="P472" i="3" s="1"/>
  <c r="L472" i="3" a="1"/>
  <c r="L472" i="3" s="1"/>
  <c r="Q472" i="3" a="1"/>
  <c r="Q472" i="3" s="1"/>
  <c r="AB472" i="3" a="1"/>
  <c r="AB472" i="3" s="1"/>
  <c r="AF472" i="3" a="1"/>
  <c r="AF472" i="3" s="1"/>
  <c r="S472" i="3" a="1"/>
  <c r="S472" i="3" s="1"/>
  <c r="T472" i="3" a="1"/>
  <c r="T472" i="3" s="1"/>
  <c r="AI472" i="3" a="1"/>
  <c r="AI472" i="3" s="1"/>
  <c r="M472" i="3" a="1"/>
  <c r="M472" i="3" s="1"/>
  <c r="D472" i="3" a="1"/>
  <c r="D472" i="3" s="1"/>
  <c r="E472" i="3" a="1"/>
  <c r="E472" i="3" s="1"/>
  <c r="AG472" i="3" a="1"/>
  <c r="AG472" i="3" s="1"/>
  <c r="U472" i="3" a="1"/>
  <c r="U472" i="3" s="1"/>
  <c r="F472" i="3" a="1"/>
  <c r="F472" i="3" s="1"/>
  <c r="AJ472" i="3" a="1"/>
  <c r="AJ472" i="3" s="1"/>
  <c r="G472" i="3" a="1"/>
  <c r="G472" i="3" s="1"/>
  <c r="V472" i="3" a="1"/>
  <c r="V472" i="3" s="1"/>
  <c r="AK472" i="3" a="1"/>
  <c r="AK472" i="3" s="1"/>
  <c r="S464" i="3" l="1" a="1"/>
  <c r="S464" i="3" s="1"/>
  <c r="S465" i="3" s="1" a="1"/>
  <c r="S465" i="3" s="1"/>
  <c r="S466" i="3" s="1"/>
  <c r="K464" i="3" a="1"/>
  <c r="K464" i="3" s="1"/>
  <c r="K465" i="3" s="1" a="1"/>
  <c r="K465" i="3" s="1"/>
  <c r="K466" i="3" s="1"/>
  <c r="K470" i="3" s="1"/>
  <c r="Q464" i="3" a="1"/>
  <c r="Q464" i="3" s="1"/>
  <c r="Q465" i="3" s="1" a="1"/>
  <c r="Q465" i="3" s="1"/>
  <c r="Q466" i="3" s="1"/>
  <c r="Q470" i="3" s="1"/>
  <c r="Q474" i="3" s="1"/>
  <c r="Q478" i="3" s="1"/>
  <c r="T464" i="3" a="1"/>
  <c r="T464" i="3" s="1"/>
  <c r="T465" i="3" s="1" a="1"/>
  <c r="T465" i="3" s="1"/>
  <c r="T466" i="3" s="1"/>
  <c r="T470" i="3" s="1"/>
  <c r="T474" i="3" s="1"/>
  <c r="Y456" i="3" a="1"/>
  <c r="Y456" i="3" s="1"/>
  <c r="Y457" i="3" s="1" a="1"/>
  <c r="Y457" i="3" s="1"/>
  <c r="Y458" i="3" s="1"/>
  <c r="Y462" i="3" s="1"/>
  <c r="Y466" i="3" s="1"/>
  <c r="U456" i="3" a="1"/>
  <c r="U456" i="3" s="1"/>
  <c r="U457" i="3" s="1" a="1"/>
  <c r="U457" i="3" s="1"/>
  <c r="U458" i="3" s="1"/>
  <c r="U462" i="3" s="1"/>
  <c r="U466" i="3" s="1"/>
  <c r="U470" i="3" s="1"/>
  <c r="U474" i="3" s="1"/>
  <c r="U478" i="3" s="1"/>
  <c r="U482" i="3" s="1"/>
  <c r="U486" i="3" s="1"/>
  <c r="D456" i="3" a="1"/>
  <c r="D456" i="3" s="1"/>
  <c r="D457" i="3" s="1" a="1"/>
  <c r="D457" i="3" s="1"/>
  <c r="D458" i="3" s="1"/>
  <c r="D462" i="3" s="1"/>
  <c r="D466" i="3" s="1"/>
  <c r="D470" i="3" s="1"/>
  <c r="D474" i="3" s="1"/>
  <c r="D478" i="3" s="1"/>
  <c r="D482" i="3" s="1"/>
  <c r="D486" i="3" s="1"/>
  <c r="D490" i="3" s="1"/>
  <c r="V456" i="3" a="1"/>
  <c r="V456" i="3" s="1"/>
  <c r="V457" i="3" s="1" a="1"/>
  <c r="V457" i="3" s="1"/>
  <c r="V458" i="3" s="1"/>
  <c r="V462" i="3" s="1"/>
  <c r="V466" i="3" s="1"/>
  <c r="V470" i="3" s="1"/>
  <c r="V474" i="3" s="1"/>
  <c r="V478" i="3" s="1"/>
  <c r="D480" i="3" a="1"/>
  <c r="D480" i="3" s="1"/>
  <c r="AD480" i="3" a="1"/>
  <c r="AD480" i="3" s="1"/>
  <c r="Y480" i="3" a="1"/>
  <c r="Y480" i="3" s="1"/>
  <c r="O480" i="3" a="1"/>
  <c r="O480" i="3" s="1"/>
  <c r="AJ480" i="3" a="1"/>
  <c r="AJ480" i="3" s="1"/>
  <c r="E480" i="3" a="1"/>
  <c r="E480" i="3" s="1"/>
  <c r="T480" i="3" a="1"/>
  <c r="T480" i="3" s="1"/>
  <c r="Z480" i="3" a="1"/>
  <c r="Z480" i="3" s="1"/>
  <c r="J480" i="3" a="1"/>
  <c r="J480" i="3" s="1"/>
  <c r="P480" i="3" a="1"/>
  <c r="P480" i="3" s="1"/>
  <c r="AF480" i="3" a="1"/>
  <c r="AF480" i="3" s="1"/>
  <c r="AE480" i="3" a="1"/>
  <c r="AE480" i="3" s="1"/>
  <c r="AK480" i="3" a="1"/>
  <c r="AK480" i="3" s="1"/>
  <c r="U480" i="3" a="1"/>
  <c r="U480" i="3" s="1"/>
  <c r="F480" i="3" a="1"/>
  <c r="F480" i="3" s="1"/>
  <c r="K480" i="3" a="1"/>
  <c r="K480" i="3" s="1"/>
  <c r="AA480" i="3" a="1"/>
  <c r="AA480" i="3" s="1"/>
  <c r="AL480" i="3" a="1"/>
  <c r="AL480" i="3" s="1"/>
  <c r="L480" i="3" a="1"/>
  <c r="L480" i="3" s="1"/>
  <c r="G480" i="3" a="1"/>
  <c r="G480" i="3" s="1"/>
  <c r="AG480" i="3" a="1"/>
  <c r="AG480" i="3" s="1"/>
  <c r="AB480" i="3" a="1"/>
  <c r="AB480" i="3" s="1"/>
  <c r="W480" i="3" a="1"/>
  <c r="W480" i="3" s="1"/>
  <c r="R480" i="3" a="1"/>
  <c r="R480" i="3" s="1"/>
  <c r="AH480" i="3" a="1"/>
  <c r="AH480" i="3" s="1"/>
  <c r="AM480" i="3" a="1"/>
  <c r="AM480" i="3" s="1"/>
  <c r="M480" i="3" a="1"/>
  <c r="M480" i="3" s="1"/>
  <c r="X480" i="3" a="1"/>
  <c r="X480" i="3" s="1"/>
  <c r="AC480" i="3" a="1"/>
  <c r="AC480" i="3" s="1"/>
  <c r="S480" i="3" a="1"/>
  <c r="S480" i="3" s="1"/>
  <c r="AI480" i="3" a="1"/>
  <c r="AI480" i="3" s="1"/>
  <c r="I480" i="3" a="1"/>
  <c r="I480" i="3" s="1"/>
  <c r="M488" i="3" a="1"/>
  <c r="M488" i="3" s="1"/>
  <c r="F488" i="3" a="1"/>
  <c r="F488" i="3" s="1"/>
  <c r="AH488" i="3" a="1"/>
  <c r="AH488" i="3" s="1"/>
  <c r="AA488" i="3" a="1"/>
  <c r="AA488" i="3" s="1"/>
  <c r="X488" i="3" a="1"/>
  <c r="X488" i="3" s="1"/>
  <c r="AL488" i="3" a="1"/>
  <c r="AL488" i="3" s="1"/>
  <c r="N488" i="3" a="1"/>
  <c r="N488" i="3" s="1"/>
  <c r="Q488" i="3" a="1"/>
  <c r="Q488" i="3" s="1"/>
  <c r="AI488" i="3" a="1"/>
  <c r="AI488" i="3" s="1"/>
  <c r="G488" i="3" a="1"/>
  <c r="G488" i="3" s="1"/>
  <c r="D488" i="3" a="1"/>
  <c r="D488" i="3" s="1"/>
  <c r="R488" i="3" a="1"/>
  <c r="R488" i="3" s="1"/>
  <c r="Y488" i="3" a="1"/>
  <c r="Y488" i="3" s="1"/>
  <c r="AM488" i="3" a="1"/>
  <c r="AM488" i="3" s="1"/>
  <c r="O488" i="3" a="1"/>
  <c r="O488" i="3" s="1"/>
  <c r="H488" i="3" a="1"/>
  <c r="H488" i="3" s="1"/>
  <c r="AJ488" i="3" a="1"/>
  <c r="AJ488" i="3" s="1"/>
  <c r="AC488" i="3" a="1"/>
  <c r="AC488" i="3" s="1"/>
  <c r="S488" i="3" a="1"/>
  <c r="S488" i="3" s="1"/>
  <c r="P488" i="3" a="1"/>
  <c r="P488" i="3" s="1"/>
  <c r="I488" i="3" a="1"/>
  <c r="I488" i="3" s="1"/>
  <c r="L488" i="3" a="1"/>
  <c r="L488" i="3" s="1"/>
  <c r="AD488" i="3" a="1"/>
  <c r="AD488" i="3" s="1"/>
  <c r="Z488" i="3" a="1"/>
  <c r="Z488" i="3" s="1"/>
  <c r="T488" i="3" a="1"/>
  <c r="T488" i="3" s="1"/>
  <c r="AB488" i="3" a="1"/>
  <c r="AB488" i="3" s="1"/>
  <c r="AE488" i="3" a="1"/>
  <c r="AE488" i="3" s="1"/>
  <c r="AG488" i="3" a="1"/>
  <c r="AG488" i="3" s="1"/>
  <c r="K488" i="3" a="1"/>
  <c r="K488" i="3" s="1"/>
  <c r="AK488" i="3" a="1"/>
  <c r="AK488" i="3" s="1"/>
  <c r="AF488" i="3" a="1"/>
  <c r="AF488" i="3" s="1"/>
  <c r="V488" i="3" a="1"/>
  <c r="V488" i="3" s="1"/>
  <c r="O3" i="4" l="1" a="1"/>
  <c r="O3" i="4" s="1"/>
  <c r="D494" i="3"/>
  <c r="D498" i="3" s="1"/>
  <c r="D502" i="3" s="1"/>
  <c r="Y468" i="3" a="1"/>
  <c r="Y468" i="3" s="1"/>
  <c r="Y469" i="3" s="1" a="1"/>
  <c r="Y469" i="3" s="1"/>
  <c r="Y470" i="3" s="1"/>
  <c r="Y474" i="3" s="1"/>
  <c r="Y478" i="3" s="1"/>
  <c r="Y482" i="3" s="1"/>
  <c r="Y486" i="3" s="1"/>
  <c r="Y490" i="3" s="1"/>
  <c r="T476" i="3" a="1"/>
  <c r="T476" i="3" s="1"/>
  <c r="T477" i="3" s="1" a="1"/>
  <c r="T477" i="3" s="1"/>
  <c r="T478" i="3" s="1"/>
  <c r="T482" i="3" s="1"/>
  <c r="T486" i="3" s="1"/>
  <c r="T490" i="3" s="1"/>
  <c r="L476" i="3" a="1"/>
  <c r="L476" i="3" s="1"/>
  <c r="L477" i="3" s="1" a="1"/>
  <c r="L477" i="3" s="1"/>
  <c r="L478" i="3" s="1"/>
  <c r="L482" i="3" s="1"/>
  <c r="L486" i="3" s="1"/>
  <c r="L490" i="3" s="1"/>
  <c r="I476" i="3" a="1"/>
  <c r="I476" i="3" s="1"/>
  <c r="I477" i="3" s="1" a="1"/>
  <c r="I477" i="3" s="1"/>
  <c r="I478" i="3" s="1"/>
  <c r="I482" i="3" s="1"/>
  <c r="I486" i="3" s="1"/>
  <c r="I490" i="3" s="1"/>
  <c r="E476" i="3" a="1"/>
  <c r="E476" i="3" s="1"/>
  <c r="E477" i="3" s="1" a="1"/>
  <c r="E477" i="3" s="1"/>
  <c r="E478" i="3" s="1"/>
  <c r="E482" i="3" s="1"/>
  <c r="E486" i="3" s="1"/>
  <c r="R472" i="3" a="1"/>
  <c r="R472" i="3" s="1"/>
  <c r="R473" i="3" s="1" a="1"/>
  <c r="R473" i="3" s="1"/>
  <c r="R474" i="3" s="1"/>
  <c r="R478" i="3" s="1"/>
  <c r="R482" i="3" s="1"/>
  <c r="K472" i="3" a="1"/>
  <c r="K472" i="3" s="1"/>
  <c r="K473" i="3" s="1" a="1"/>
  <c r="K473" i="3" s="1"/>
  <c r="K474" i="3" s="1"/>
  <c r="K478" i="3" s="1"/>
  <c r="K482" i="3" s="1"/>
  <c r="K486" i="3" s="1"/>
  <c r="K490" i="3" s="1"/>
  <c r="W472" i="3" a="1"/>
  <c r="W472" i="3" s="1"/>
  <c r="W473" i="3" s="1" a="1"/>
  <c r="W473" i="3" s="1"/>
  <c r="W474" i="3" s="1"/>
  <c r="W478" i="3" s="1"/>
  <c r="W482" i="3" s="1"/>
  <c r="W486" i="3" s="1"/>
  <c r="W488" i="3" s="1" a="1"/>
  <c r="W488" i="3" s="1"/>
  <c r="W489" i="3" s="1" a="1"/>
  <c r="W489" i="3" s="1"/>
  <c r="W490" i="3" s="1"/>
  <c r="W494" i="3" s="1"/>
  <c r="W498" i="3" s="1"/>
  <c r="W502" i="3" s="1"/>
  <c r="AC472" i="3" a="1"/>
  <c r="AC472" i="3" s="1"/>
  <c r="AC473" i="3" s="1" a="1"/>
  <c r="AC473" i="3" s="1"/>
  <c r="AC474" i="3" s="1"/>
  <c r="AC478" i="3" s="1"/>
  <c r="AC482" i="3" s="1"/>
  <c r="AC486" i="3" s="1"/>
  <c r="AC490" i="3" s="1"/>
  <c r="H468" i="3" a="1"/>
  <c r="H468" i="3" s="1"/>
  <c r="H469" i="3" s="1" a="1"/>
  <c r="H469" i="3" s="1"/>
  <c r="H470" i="3" s="1"/>
  <c r="H474" i="3" s="1"/>
  <c r="H478" i="3" s="1"/>
  <c r="S468" i="3" a="1"/>
  <c r="S468" i="3" s="1"/>
  <c r="S469" i="3" s="1" a="1"/>
  <c r="S469" i="3" s="1"/>
  <c r="S470" i="3" s="1"/>
  <c r="S474" i="3" s="1"/>
  <c r="S478" i="3" s="1"/>
  <c r="S482" i="3" s="1"/>
  <c r="S484" i="3" s="1" a="1"/>
  <c r="S484" i="3" s="1"/>
  <c r="S485" i="3" s="1" a="1"/>
  <c r="S485" i="3" s="1"/>
  <c r="S486" i="3" s="1"/>
  <c r="S490" i="3" s="1"/>
  <c r="S494" i="3" s="1"/>
  <c r="S498" i="3" s="1"/>
  <c r="S502" i="3" s="1"/>
  <c r="J468" i="3" a="1"/>
  <c r="J468" i="3" s="1"/>
  <c r="J469" i="3" s="1" a="1"/>
  <c r="J469" i="3" s="1"/>
  <c r="J470" i="3" s="1"/>
  <c r="J474" i="3" s="1"/>
  <c r="J478" i="3" s="1"/>
  <c r="J482" i="3" s="1"/>
  <c r="J486" i="3" s="1"/>
  <c r="J488" i="3" s="1" a="1"/>
  <c r="J488" i="3" s="1"/>
  <c r="J489" i="3" s="1" a="1"/>
  <c r="J489" i="3" s="1"/>
  <c r="J490" i="3" s="1"/>
  <c r="J494" i="3" s="1"/>
  <c r="J498" i="3" s="1"/>
  <c r="J502" i="3" s="1"/>
  <c r="Y494" i="3" l="1"/>
  <c r="Y498" i="3" s="1"/>
  <c r="Y502" i="3" s="1"/>
  <c r="O24" i="4" a="1"/>
  <c r="O24" i="4" s="1"/>
  <c r="O18" i="4" a="1"/>
  <c r="O18" i="4" s="1"/>
  <c r="AC494" i="3"/>
  <c r="AC498" i="3" s="1"/>
  <c r="AC502" i="3" s="1"/>
  <c r="O28" i="4" a="1"/>
  <c r="O28" i="4" s="1"/>
  <c r="O22" i="4" a="1"/>
  <c r="O22" i="4" s="1"/>
  <c r="K494" i="3"/>
  <c r="K498" i="3" s="1"/>
  <c r="K502" i="3" s="1"/>
  <c r="O10" i="4" a="1"/>
  <c r="O10" i="4" s="1"/>
  <c r="U488" i="3" a="1"/>
  <c r="U488" i="3" s="1"/>
  <c r="U489" i="3" s="1" a="1"/>
  <c r="U489" i="3" s="1"/>
  <c r="U490" i="3" s="1"/>
  <c r="E488" i="3" a="1"/>
  <c r="E488" i="3" s="1"/>
  <c r="E489" i="3" s="1" a="1"/>
  <c r="E489" i="3" s="1"/>
  <c r="E490" i="3" s="1"/>
  <c r="I494" i="3"/>
  <c r="I498" i="3" s="1"/>
  <c r="I502" i="3" s="1"/>
  <c r="O8" i="4" a="1"/>
  <c r="O8" i="4" s="1"/>
  <c r="L494" i="3"/>
  <c r="L498" i="3" s="1"/>
  <c r="L502" i="3" s="1"/>
  <c r="O11" i="4" a="1"/>
  <c r="O11" i="4" s="1"/>
  <c r="T494" i="3"/>
  <c r="T498" i="3" s="1"/>
  <c r="T502" i="3" s="1"/>
  <c r="O19" i="4" a="1"/>
  <c r="O19" i="4" s="1"/>
  <c r="G484" i="3" a="1"/>
  <c r="G484" i="3" s="1"/>
  <c r="G485" i="3" s="1" a="1"/>
  <c r="G485" i="3" s="1"/>
  <c r="G486" i="3" s="1"/>
  <c r="G490" i="3" s="1"/>
  <c r="P484" i="3" a="1"/>
  <c r="P484" i="3" s="1"/>
  <c r="P485" i="3" s="1" a="1"/>
  <c r="P485" i="3" s="1"/>
  <c r="P486" i="3" s="1"/>
  <c r="P490" i="3" s="1"/>
  <c r="R484" i="3" a="1"/>
  <c r="R484" i="3" s="1"/>
  <c r="R485" i="3" s="1" a="1"/>
  <c r="R485" i="3" s="1"/>
  <c r="R486" i="3" s="1"/>
  <c r="R490" i="3" s="1"/>
  <c r="O9" i="4" a="1"/>
  <c r="O9" i="4" s="1"/>
  <c r="Q480" i="3" a="1"/>
  <c r="Q480" i="3" s="1"/>
  <c r="Q481" i="3" s="1" a="1"/>
  <c r="Q481" i="3" s="1"/>
  <c r="Q482" i="3" s="1"/>
  <c r="Q486" i="3" s="1"/>
  <c r="Q490" i="3" s="1"/>
  <c r="H480" i="3" a="1"/>
  <c r="H480" i="3" s="1"/>
  <c r="H481" i="3" s="1" a="1"/>
  <c r="H481" i="3" s="1"/>
  <c r="H482" i="3" s="1"/>
  <c r="H486" i="3" s="1"/>
  <c r="H490" i="3" s="1"/>
  <c r="V480" i="3" a="1"/>
  <c r="V480" i="3" s="1"/>
  <c r="V481" i="3" s="1" a="1"/>
  <c r="V481" i="3" s="1"/>
  <c r="V482" i="3" s="1"/>
  <c r="V486" i="3" s="1"/>
  <c r="V490" i="3" s="1"/>
  <c r="N480" i="3" a="1"/>
  <c r="N480" i="3" s="1"/>
  <c r="N481" i="3" s="1" a="1"/>
  <c r="N481" i="3" s="1"/>
  <c r="N482" i="3" s="1"/>
  <c r="N486" i="3" s="1"/>
  <c r="N490" i="3" s="1"/>
  <c r="N494" i="3" l="1"/>
  <c r="N498" i="3" s="1"/>
  <c r="N502" i="3" s="1"/>
  <c r="O13" i="4" a="1"/>
  <c r="O13" i="4" s="1"/>
  <c r="V494" i="3"/>
  <c r="V498" i="3" s="1"/>
  <c r="V502" i="3" s="1"/>
  <c r="O21" i="4" a="1"/>
  <c r="O21" i="4" s="1"/>
  <c r="O7" i="4" a="1"/>
  <c r="O7" i="4" s="1"/>
  <c r="H494" i="3"/>
  <c r="H498" i="3" s="1"/>
  <c r="H502" i="3" s="1"/>
  <c r="E494" i="3"/>
  <c r="E498" i="3" s="1"/>
  <c r="E502" i="3" s="1"/>
  <c r="O4" i="4" a="1"/>
  <c r="O4" i="4" s="1"/>
  <c r="O16" i="4" a="1"/>
  <c r="O16" i="4" s="1"/>
  <c r="Q494" i="3"/>
  <c r="Q498" i="3" s="1"/>
  <c r="Q502" i="3" s="1"/>
  <c r="U494" i="3"/>
  <c r="U498" i="3" s="1"/>
  <c r="U502" i="3" s="1"/>
  <c r="O20" i="4" a="1"/>
  <c r="O20" i="4" s="1"/>
  <c r="R494" i="3"/>
  <c r="R498" i="3" s="1"/>
  <c r="R502" i="3" s="1"/>
  <c r="O17" i="4" a="1"/>
  <c r="O17" i="4" s="1"/>
  <c r="O15" i="4" a="1"/>
  <c r="O15" i="4" s="1"/>
  <c r="P494" i="3"/>
  <c r="P498" i="3" s="1"/>
  <c r="P502" i="3" s="1"/>
  <c r="O6" i="4" a="1"/>
  <c r="O6" i="4" s="1"/>
  <c r="G494" i="3"/>
  <c r="G498" i="3" s="1"/>
  <c r="G502" i="3" s="1"/>
  <c r="P33" i="4" l="1" a="1"/>
  <c r="P33" i="4" s="1"/>
  <c r="P26" i="4" a="1"/>
  <c r="P26" i="4" s="1"/>
  <c r="P30" i="4" a="1"/>
  <c r="P30" i="4" s="1"/>
  <c r="P20" i="4" a="1"/>
  <c r="P20" i="4" s="1"/>
  <c r="P31" i="4" a="1"/>
  <c r="P31" i="4" s="1"/>
  <c r="P21" i="4" a="1"/>
  <c r="P21" i="4" s="1"/>
  <c r="P35" i="4" a="1"/>
  <c r="P35" i="4" s="1"/>
  <c r="P8" i="4" a="1"/>
  <c r="P8" i="4" s="1"/>
  <c r="P12" i="4" a="1"/>
  <c r="P12" i="4" s="1"/>
  <c r="P16" i="4" a="1"/>
  <c r="P16" i="4" s="1"/>
  <c r="P3" i="4" a="1"/>
  <c r="P3" i="4" s="1"/>
  <c r="P32" i="4" a="1"/>
  <c r="P32" i="4" s="1"/>
  <c r="P15" i="4" a="1"/>
  <c r="P15" i="4" s="1"/>
  <c r="P38" i="4" a="1"/>
  <c r="P38" i="4" s="1"/>
  <c r="P11" i="4" a="1"/>
  <c r="P11" i="4" s="1"/>
  <c r="P28" i="4" a="1"/>
  <c r="P28" i="4" s="1"/>
  <c r="P10" i="4" a="1"/>
  <c r="P10" i="4" s="1"/>
  <c r="P6" i="4" a="1"/>
  <c r="P6" i="4" s="1"/>
  <c r="P29" i="4" a="1"/>
  <c r="P29" i="4" s="1"/>
  <c r="P4" i="4" a="1"/>
  <c r="P4" i="4" s="1"/>
  <c r="P24" i="4" a="1"/>
  <c r="P24" i="4" s="1"/>
  <c r="P7" i="4" a="1"/>
  <c r="P7" i="4" s="1"/>
  <c r="P36" i="4" a="1"/>
  <c r="P36" i="4" s="1"/>
  <c r="P5" i="4" a="1"/>
  <c r="P5" i="4" s="1"/>
  <c r="P13" i="4" a="1"/>
  <c r="P13" i="4" s="1"/>
  <c r="P23" i="4" a="1"/>
  <c r="P23" i="4" s="1"/>
  <c r="P18" i="4" a="1"/>
  <c r="P18" i="4" s="1"/>
  <c r="P37" i="4" a="1"/>
  <c r="P37" i="4" s="1"/>
  <c r="P17" i="4" a="1"/>
  <c r="P17" i="4" s="1"/>
  <c r="P19" i="4" a="1"/>
  <c r="P19" i="4" s="1"/>
  <c r="P34" i="4" a="1"/>
  <c r="P34" i="4" s="1"/>
  <c r="P27" i="4" a="1"/>
  <c r="P27" i="4" s="1"/>
  <c r="P14" i="4" a="1"/>
  <c r="P14" i="4" s="1"/>
  <c r="P9" i="4" a="1"/>
  <c r="P9" i="4" s="1"/>
  <c r="P22" i="4" a="1"/>
  <c r="P22" i="4" s="1"/>
  <c r="P25" i="4" a="1"/>
  <c r="P25" i="4" s="1"/>
  <c r="Q12" i="4" l="1" a="1"/>
  <c r="Q12" i="4" s="1"/>
  <c r="R12" i="4" s="1"/>
  <c r="Q3" i="4" a="1"/>
  <c r="Q3" i="4" s="1"/>
  <c r="R3" i="4" s="1"/>
  <c r="Q21" i="4" a="1"/>
  <c r="Q21" i="4" s="1"/>
  <c r="R21" i="4" s="1"/>
  <c r="Q33" i="4" a="1"/>
  <c r="Q33" i="4" s="1"/>
  <c r="R33" i="4" s="1"/>
  <c r="Q13" i="4" a="1"/>
  <c r="Q13" i="4" s="1"/>
  <c r="R13" i="4" s="1"/>
  <c r="Q22" i="4" a="1"/>
  <c r="Q22" i="4" s="1"/>
  <c r="R22" i="4" s="1"/>
  <c r="Q32" i="4" a="1"/>
  <c r="Q32" i="4" s="1"/>
  <c r="R32" i="4" s="1"/>
  <c r="Q11" i="4" a="1"/>
  <c r="Q11" i="4" s="1"/>
  <c r="R11" i="4" s="1"/>
  <c r="Q5" i="4" a="1"/>
  <c r="Q5" i="4" s="1"/>
  <c r="R5" i="4" s="1"/>
  <c r="Q23" i="4" a="1"/>
  <c r="Q23" i="4" s="1"/>
  <c r="R23" i="4" s="1"/>
  <c r="Q4" i="4" a="1"/>
  <c r="Q4" i="4" s="1"/>
  <c r="R4" i="4" s="1"/>
  <c r="Q18" i="4" a="1"/>
  <c r="Q18" i="4" s="1"/>
  <c r="R18" i="4" s="1"/>
  <c r="Q38" i="4" a="1"/>
  <c r="Q38" i="4" s="1"/>
  <c r="R38" i="4" s="1"/>
  <c r="Q15" i="4" a="1"/>
  <c r="Q15" i="4" s="1"/>
  <c r="R15" i="4" s="1"/>
  <c r="Q17" i="4" a="1"/>
  <c r="Q17" i="4" s="1"/>
  <c r="R17" i="4" s="1"/>
  <c r="Q27" i="4" a="1"/>
  <c r="Q27" i="4" s="1"/>
  <c r="R27" i="4" s="1"/>
  <c r="Q34" i="4" a="1"/>
  <c r="Q34" i="4" s="1"/>
  <c r="R34" i="4" s="1"/>
  <c r="Q31" i="4" a="1"/>
  <c r="Q31" i="4" s="1"/>
  <c r="R31" i="4" s="1"/>
  <c r="Q25" i="4" a="1"/>
  <c r="Q25" i="4" s="1"/>
  <c r="R25" i="4" s="1"/>
  <c r="Q37" i="4" a="1"/>
  <c r="Q37" i="4" s="1"/>
  <c r="R37" i="4" s="1"/>
  <c r="Q7" i="4" a="1"/>
  <c r="Q7" i="4" s="1"/>
  <c r="R7" i="4" s="1"/>
  <c r="Q6" i="4" a="1"/>
  <c r="Q6" i="4" s="1"/>
  <c r="R6" i="4" s="1"/>
  <c r="Q28" i="4" a="1"/>
  <c r="Q28" i="4" s="1"/>
  <c r="R28" i="4" s="1"/>
  <c r="Q30" i="4" a="1"/>
  <c r="Q30" i="4" s="1"/>
  <c r="R30" i="4" s="1"/>
  <c r="Q29" i="4" a="1"/>
  <c r="Q29" i="4" s="1"/>
  <c r="R29" i="4" s="1"/>
  <c r="Q20" i="4" a="1"/>
  <c r="Q20" i="4" s="1"/>
  <c r="R20" i="4" s="1"/>
  <c r="Q19" i="4" a="1"/>
  <c r="Q19" i="4" s="1"/>
  <c r="R19" i="4" s="1"/>
  <c r="Q10" i="4" a="1"/>
  <c r="Q10" i="4" s="1"/>
  <c r="R10" i="4" s="1"/>
  <c r="Q14" i="4" a="1"/>
  <c r="Q14" i="4" s="1"/>
  <c r="R14" i="4" s="1"/>
  <c r="Q26" i="4" a="1"/>
  <c r="Q26" i="4" s="1"/>
  <c r="R26" i="4" s="1"/>
  <c r="Q24" i="4" a="1"/>
  <c r="Q24" i="4" s="1"/>
  <c r="R24" i="4" s="1"/>
  <c r="Q36" i="4" a="1"/>
  <c r="Q36" i="4" s="1"/>
  <c r="R36" i="4" s="1"/>
  <c r="Q35" i="4" a="1"/>
  <c r="Q35" i="4" s="1"/>
  <c r="R35" i="4" s="1"/>
  <c r="Q9" i="4" a="1"/>
  <c r="Q9" i="4" s="1"/>
  <c r="R9" i="4" s="1"/>
  <c r="Q8" i="4" a="1"/>
  <c r="Q8" i="4" s="1"/>
  <c r="R8" i="4" s="1"/>
  <c r="Q16" i="4" a="1"/>
  <c r="Q16" i="4" s="1"/>
  <c r="R16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<sst xmlns="http://schemas.openxmlformats.org/spreadsheetml/2006/main" count="5981" uniqueCount="76">
  <si>
    <t>Est</t>
  </si>
  <si>
    <t>Sud</t>
  </si>
  <si>
    <t>Ouest</t>
  </si>
  <si>
    <t>Nord</t>
  </si>
  <si>
    <t>Date</t>
  </si>
  <si>
    <t>Vent</t>
  </si>
  <si>
    <t>Nom joueur</t>
  </si>
  <si>
    <t>Mini-points</t>
  </si>
  <si>
    <t>Points de table</t>
  </si>
  <si>
    <t>Check identique :</t>
  </si>
  <si>
    <t>Signature :</t>
  </si>
  <si>
    <t>Check score :</t>
  </si>
  <si>
    <t>Noms</t>
  </si>
  <si>
    <t>Elo base</t>
  </si>
  <si>
    <t>Elo points</t>
  </si>
  <si>
    <t>Partie</t>
  </si>
  <si>
    <t>Valeur</t>
  </si>
  <si>
    <t>Nom</t>
  </si>
  <si>
    <t>Elo diff scaling</t>
  </si>
  <si>
    <t>K</t>
  </si>
  <si>
    <t>Awaited perf</t>
  </si>
  <si>
    <t>Table points</t>
  </si>
  <si>
    <t>Elo gain</t>
  </si>
  <si>
    <t>Nb parties</t>
  </si>
  <si>
    <t>Elo</t>
  </si>
  <si>
    <t>Placement</t>
  </si>
  <si>
    <t>Max MMA gain</t>
  </si>
  <si>
    <t>Min MMA gain</t>
  </si>
  <si>
    <t>Min games per month</t>
  </si>
  <si>
    <t>EMA base</t>
  </si>
  <si>
    <t>EMA gain</t>
  </si>
  <si>
    <t>EMA</t>
  </si>
  <si>
    <t>Check double noms :</t>
  </si>
  <si>
    <t xml:space="preserve">Check doublons partie : </t>
  </si>
  <si>
    <t>Check noms existants :</t>
  </si>
  <si>
    <t>K newbie add</t>
  </si>
  <si>
    <t>K newbie scale</t>
  </si>
  <si>
    <t>Isabelle</t>
  </si>
  <si>
    <t>Marc</t>
  </si>
  <si>
    <t>Guilhem</t>
  </si>
  <si>
    <t>Christophe</t>
  </si>
  <si>
    <t>Raphael</t>
  </si>
  <si>
    <t>Delphine</t>
  </si>
  <si>
    <t>Ghislaine</t>
  </si>
  <si>
    <t>Francoise</t>
  </si>
  <si>
    <t>Beatrice</t>
  </si>
  <si>
    <t>Sebastien</t>
  </si>
  <si>
    <t>Binome</t>
  </si>
  <si>
    <t>Marie</t>
  </si>
  <si>
    <t>Jean-Michel</t>
  </si>
  <si>
    <t>Richard</t>
  </si>
  <si>
    <t>Laurence</t>
  </si>
  <si>
    <t>Frederic</t>
  </si>
  <si>
    <t>Matheo</t>
  </si>
  <si>
    <t>Monique</t>
  </si>
  <si>
    <t>Fabienne</t>
  </si>
  <si>
    <t>Nathalie</t>
  </si>
  <si>
    <t>Anna</t>
  </si>
  <si>
    <t>Xavier</t>
  </si>
  <si>
    <t>Victoria</t>
  </si>
  <si>
    <t>Kevin</t>
  </si>
  <si>
    <t>Juliette</t>
  </si>
  <si>
    <t>Mathieu</t>
  </si>
  <si>
    <t>Laetitia</t>
  </si>
  <si>
    <t>Claire</t>
  </si>
  <si>
    <t>Gerard</t>
  </si>
  <si>
    <t>Sylvie</t>
  </si>
  <si>
    <t>Halim</t>
  </si>
  <si>
    <t>Sven</t>
  </si>
  <si>
    <t>Jade</t>
  </si>
  <si>
    <t>Christine</t>
  </si>
  <si>
    <t>Valerie D</t>
  </si>
  <si>
    <t>Valerie L</t>
  </si>
  <si>
    <t>SAUVEGARDE ELO BASE</t>
  </si>
  <si>
    <t>ORIGINAL</t>
  </si>
  <si>
    <t>SOFT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</si>
</sst>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22" fontId="0" fillId="0" borderId="0" xfId="0" applyNumberFormat="1"/>
    <xf numFmtId="22" fontId="0" fillId="2" borderId="0" xfId="0" applyNumberFormat="1" applyFill="1"/>
    <xf numFmtId="21" fontId="0" fillId="0" borderId="0" xfId="0" applyNumberFormat="1"/>
    <xf numFmtId="1" fontId="0" fillId="0" borderId="0" xfId="0" applyNumberFormat="1"/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FCCA-FF2B-438D-96AF-7DBF869DC624}">
  <dimension ref="A1:G800"/>
  <sheetViews>
    <sheetView topLeftCell="A191" workbookViewId="0">
      <selection activeCell="F211" sqref="F211"/>
    </sheetView>
  </sheetViews>
  <sheetFormatPr baseColWidth="10" defaultRowHeight="15" x14ac:dyDescent="0.25"/>
  <cols>
    <col min="1" max="1" width="12.7109375" bestFit="1" customWidth="1"/>
    <col min="6" max="6" width="15.4257812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tr">
        <f>"Partie " &amp; (ROW()-1)/4+1</f>
        <v>Partie 1</v>
      </c>
    </row>
    <row r="2" spans="1:6" x14ac:dyDescent="0.25">
      <c r="A2" t="s">
        <v>6</v>
      </c>
      <c r="B2" s="1" t="s">
        <v>37</v>
      </c>
      <c r="C2" s="1" t="s">
        <v>38</v>
      </c>
      <c r="D2" s="1" t="s">
        <v>39</v>
      </c>
      <c r="E2" s="1" t="s">
        <v>40</v>
      </c>
      <c r="F2" s="3">
        <v>45903.589861111112</v>
      </c>
    </row>
    <row r="3" spans="1:6" x14ac:dyDescent="0.25">
      <c r="A3" t="s">
        <v>7</v>
      </c>
      <c r="B3" s="1">
        <v>59</v>
      </c>
      <c r="C3" s="1">
        <v>-58</v>
      </c>
      <c r="D3" s="1">
        <v>146</v>
      </c>
      <c r="E3" s="1">
        <v>-147</v>
      </c>
    </row>
    <row r="4" spans="1:6" x14ac:dyDescent="0.25">
      <c r="A4" t="s">
        <v>8</v>
      </c>
      <c r="B4">
        <f>4-_xlfn.RANK.AVG(B3,$B3:$E3)</f>
        <v>2</v>
      </c>
      <c r="C4">
        <f t="shared" ref="C4:E4" si="0">4-_xlfn.RANK.AVG(C3,$B3:$E3)</f>
        <v>1</v>
      </c>
      <c r="D4">
        <f t="shared" si="0"/>
        <v>3</v>
      </c>
      <c r="E4">
        <f t="shared" si="0"/>
        <v>0</v>
      </c>
    </row>
    <row r="5" spans="1:6" x14ac:dyDescent="0.25">
      <c r="A5" t="s">
        <v>5</v>
      </c>
      <c r="B5" t="s">
        <v>0</v>
      </c>
      <c r="C5" t="s">
        <v>1</v>
      </c>
      <c r="D5" t="s">
        <v>2</v>
      </c>
      <c r="E5" t="s">
        <v>3</v>
      </c>
      <c r="F5" t="str">
        <f>"Partie " &amp; (ROW()-1)/4+1</f>
        <v>Partie 2</v>
      </c>
    </row>
    <row r="6" spans="1:6" x14ac:dyDescent="0.25">
      <c r="A6" t="s">
        <v>6</v>
      </c>
      <c r="B6" s="1" t="s">
        <v>40</v>
      </c>
      <c r="C6" s="1" t="s">
        <v>38</v>
      </c>
      <c r="D6" s="1" t="s">
        <v>39</v>
      </c>
      <c r="E6" s="1" t="s">
        <v>37</v>
      </c>
      <c r="F6" s="3">
        <v>45903.68005787037</v>
      </c>
    </row>
    <row r="7" spans="1:6" x14ac:dyDescent="0.25">
      <c r="A7" t="s">
        <v>7</v>
      </c>
      <c r="B7" s="1">
        <v>131</v>
      </c>
      <c r="C7" s="1">
        <v>-27</v>
      </c>
      <c r="D7" s="1">
        <v>-17</v>
      </c>
      <c r="E7" s="1">
        <v>-87</v>
      </c>
    </row>
    <row r="8" spans="1:6" x14ac:dyDescent="0.25">
      <c r="A8" t="s">
        <v>8</v>
      </c>
      <c r="B8">
        <f>4-_xlfn.RANK.AVG(B7,$B7:$E7)</f>
        <v>3</v>
      </c>
      <c r="C8">
        <f t="shared" ref="C8:E8" si="1">4-_xlfn.RANK.AVG(C7,$B7:$E7)</f>
        <v>1</v>
      </c>
      <c r="D8">
        <f t="shared" si="1"/>
        <v>2</v>
      </c>
      <c r="E8">
        <f t="shared" si="1"/>
        <v>0</v>
      </c>
    </row>
    <row r="9" spans="1:6" x14ac:dyDescent="0.25">
      <c r="A9" t="s">
        <v>5</v>
      </c>
      <c r="B9" t="s">
        <v>0</v>
      </c>
      <c r="C9" t="s">
        <v>1</v>
      </c>
      <c r="D9" t="s">
        <v>2</v>
      </c>
      <c r="E9" t="s">
        <v>3</v>
      </c>
      <c r="F9" t="str">
        <f t="shared" ref="F9:F69" si="2">"Partie " &amp; (ROW()-1)/4+1</f>
        <v>Partie 3</v>
      </c>
    </row>
    <row r="10" spans="1:6" x14ac:dyDescent="0.25">
      <c r="A10" t="s">
        <v>6</v>
      </c>
      <c r="B10" s="1" t="s">
        <v>41</v>
      </c>
      <c r="C10" s="1" t="s">
        <v>38</v>
      </c>
      <c r="D10" s="1" t="s">
        <v>39</v>
      </c>
      <c r="E10" s="1" t="s">
        <v>40</v>
      </c>
      <c r="F10" s="3">
        <v>45904.60833333333</v>
      </c>
    </row>
    <row r="11" spans="1:6" x14ac:dyDescent="0.25">
      <c r="A11" t="s">
        <v>7</v>
      </c>
      <c r="B11" s="1">
        <v>-45</v>
      </c>
      <c r="C11" s="1">
        <v>-200</v>
      </c>
      <c r="D11" s="1">
        <v>63</v>
      </c>
      <c r="E11" s="1">
        <v>182</v>
      </c>
    </row>
    <row r="12" spans="1:6" x14ac:dyDescent="0.25">
      <c r="A12" t="s">
        <v>8</v>
      </c>
      <c r="B12">
        <f t="shared" ref="B12:E12" si="3">4-_xlfn.RANK.AVG(B11,$B11:$E11)</f>
        <v>1</v>
      </c>
      <c r="C12">
        <f t="shared" si="3"/>
        <v>0</v>
      </c>
      <c r="D12">
        <f t="shared" si="3"/>
        <v>2</v>
      </c>
      <c r="E12">
        <f t="shared" si="3"/>
        <v>3</v>
      </c>
    </row>
    <row r="13" spans="1:6" x14ac:dyDescent="0.25">
      <c r="A13" t="s">
        <v>5</v>
      </c>
      <c r="B13" t="s">
        <v>0</v>
      </c>
      <c r="C13" t="s">
        <v>1</v>
      </c>
      <c r="D13" t="s">
        <v>2</v>
      </c>
      <c r="E13" t="s">
        <v>3</v>
      </c>
      <c r="F13" t="str">
        <f t="shared" si="2"/>
        <v>Partie 4</v>
      </c>
    </row>
    <row r="14" spans="1:6" x14ac:dyDescent="0.25">
      <c r="A14" t="s">
        <v>6</v>
      </c>
      <c r="B14" s="1" t="s">
        <v>40</v>
      </c>
      <c r="C14" s="1" t="s">
        <v>38</v>
      </c>
      <c r="D14" s="1" t="s">
        <v>41</v>
      </c>
      <c r="E14" s="1" t="s">
        <v>39</v>
      </c>
      <c r="F14" s="3">
        <v>45904.69321759259</v>
      </c>
    </row>
    <row r="15" spans="1:6" x14ac:dyDescent="0.25">
      <c r="A15" t="s">
        <v>7</v>
      </c>
      <c r="B15" s="1">
        <v>-67</v>
      </c>
      <c r="C15" s="1">
        <v>35</v>
      </c>
      <c r="D15" s="1">
        <v>-99</v>
      </c>
      <c r="E15" s="1">
        <v>131</v>
      </c>
    </row>
    <row r="16" spans="1:6" x14ac:dyDescent="0.25">
      <c r="A16" t="s">
        <v>8</v>
      </c>
      <c r="B16">
        <f t="shared" ref="B16" si="4">4-_xlfn.RANK.AVG(B15,$B15:$E15)</f>
        <v>1</v>
      </c>
      <c r="C16">
        <f t="shared" ref="C16" si="5">4-_xlfn.RANK.AVG(C15,$B15:$E15)</f>
        <v>2</v>
      </c>
      <c r="D16">
        <f t="shared" ref="D16" si="6">4-_xlfn.RANK.AVG(D15,$B15:$E15)</f>
        <v>0</v>
      </c>
      <c r="E16">
        <f t="shared" ref="E16" si="7">4-_xlfn.RANK.AVG(E15,$B15:$E15)</f>
        <v>3</v>
      </c>
    </row>
    <row r="17" spans="1:6" x14ac:dyDescent="0.25">
      <c r="A17" t="s">
        <v>5</v>
      </c>
      <c r="B17" t="s">
        <v>0</v>
      </c>
      <c r="C17" t="s">
        <v>1</v>
      </c>
      <c r="D17" t="s">
        <v>2</v>
      </c>
      <c r="E17" t="s">
        <v>3</v>
      </c>
      <c r="F17" t="str">
        <f t="shared" si="2"/>
        <v>Partie 5</v>
      </c>
    </row>
    <row r="18" spans="1:6" x14ac:dyDescent="0.25">
      <c r="A18" t="s">
        <v>6</v>
      </c>
      <c r="B18" s="1" t="s">
        <v>42</v>
      </c>
      <c r="C18" s="1" t="s">
        <v>37</v>
      </c>
      <c r="D18" s="1" t="s">
        <v>62</v>
      </c>
      <c r="E18" s="1" t="s">
        <v>43</v>
      </c>
      <c r="F18" s="3">
        <v>45906.588425925926</v>
      </c>
    </row>
    <row r="19" spans="1:6" x14ac:dyDescent="0.25">
      <c r="A19" t="s">
        <v>7</v>
      </c>
      <c r="B19" s="1">
        <v>30</v>
      </c>
      <c r="C19" s="1">
        <v>66</v>
      </c>
      <c r="D19" s="1">
        <v>-84</v>
      </c>
      <c r="E19" s="1">
        <v>-12</v>
      </c>
    </row>
    <row r="20" spans="1:6" x14ac:dyDescent="0.25">
      <c r="A20" t="s">
        <v>8</v>
      </c>
      <c r="B20">
        <f t="shared" ref="B20" si="8">4-_xlfn.RANK.AVG(B19,$B19:$E19)</f>
        <v>2</v>
      </c>
      <c r="C20">
        <f t="shared" ref="C20" si="9">4-_xlfn.RANK.AVG(C19,$B19:$E19)</f>
        <v>3</v>
      </c>
      <c r="D20">
        <f t="shared" ref="D20" si="10">4-_xlfn.RANK.AVG(D19,$B19:$E19)</f>
        <v>0</v>
      </c>
      <c r="E20">
        <f t="shared" ref="E20" si="11">4-_xlfn.RANK.AVG(E19,$B19:$E19)</f>
        <v>1</v>
      </c>
    </row>
    <row r="21" spans="1:6" x14ac:dyDescent="0.25">
      <c r="A21" t="s">
        <v>5</v>
      </c>
      <c r="B21" t="s">
        <v>0</v>
      </c>
      <c r="C21" t="s">
        <v>1</v>
      </c>
      <c r="D21" t="s">
        <v>2</v>
      </c>
      <c r="E21" t="s">
        <v>3</v>
      </c>
      <c r="F21" t="str">
        <f t="shared" si="2"/>
        <v>Partie 6</v>
      </c>
    </row>
    <row r="22" spans="1:6" x14ac:dyDescent="0.25">
      <c r="A22" t="s">
        <v>6</v>
      </c>
      <c r="B22" s="1" t="s">
        <v>44</v>
      </c>
      <c r="C22" s="1" t="s">
        <v>38</v>
      </c>
      <c r="D22" s="1" t="s">
        <v>45</v>
      </c>
      <c r="E22" s="1" t="s">
        <v>46</v>
      </c>
      <c r="F22" s="3">
        <v>45906.589131944442</v>
      </c>
    </row>
    <row r="23" spans="1:6" x14ac:dyDescent="0.25">
      <c r="A23" t="s">
        <v>7</v>
      </c>
      <c r="B23" s="1">
        <v>-103</v>
      </c>
      <c r="C23" s="1">
        <v>15</v>
      </c>
      <c r="D23" s="1">
        <v>-62</v>
      </c>
      <c r="E23" s="1">
        <v>150</v>
      </c>
    </row>
    <row r="24" spans="1:6" x14ac:dyDescent="0.25">
      <c r="A24" t="s">
        <v>8</v>
      </c>
      <c r="B24">
        <f t="shared" ref="B24" si="12">4-_xlfn.RANK.AVG(B23,$B23:$E23)</f>
        <v>0</v>
      </c>
      <c r="C24">
        <f t="shared" ref="C24" si="13">4-_xlfn.RANK.AVG(C23,$B23:$E23)</f>
        <v>2</v>
      </c>
      <c r="D24">
        <f t="shared" ref="D24" si="14">4-_xlfn.RANK.AVG(D23,$B23:$E23)</f>
        <v>1</v>
      </c>
      <c r="E24">
        <f t="shared" ref="E24" si="15">4-_xlfn.RANK.AVG(E23,$B23:$E23)</f>
        <v>3</v>
      </c>
    </row>
    <row r="25" spans="1:6" x14ac:dyDescent="0.25">
      <c r="A25" t="s">
        <v>5</v>
      </c>
      <c r="B25" t="s">
        <v>0</v>
      </c>
      <c r="C25" t="s">
        <v>1</v>
      </c>
      <c r="D25" t="s">
        <v>2</v>
      </c>
      <c r="E25" t="s">
        <v>3</v>
      </c>
      <c r="F25" t="str">
        <f t="shared" si="2"/>
        <v>Partie 7</v>
      </c>
    </row>
    <row r="26" spans="1:6" x14ac:dyDescent="0.25">
      <c r="A26" t="s">
        <v>6</v>
      </c>
      <c r="B26" s="1" t="s">
        <v>38</v>
      </c>
      <c r="C26" s="1" t="s">
        <v>41</v>
      </c>
      <c r="D26" s="1" t="s">
        <v>39</v>
      </c>
      <c r="E26" s="1" t="s">
        <v>46</v>
      </c>
      <c r="F26" s="3">
        <v>45906.696539351855</v>
      </c>
    </row>
    <row r="27" spans="1:6" x14ac:dyDescent="0.25">
      <c r="A27" t="s">
        <v>7</v>
      </c>
      <c r="B27" s="1">
        <v>-235</v>
      </c>
      <c r="C27" s="1">
        <v>-79</v>
      </c>
      <c r="D27" s="1">
        <v>275</v>
      </c>
      <c r="E27" s="1">
        <v>39</v>
      </c>
    </row>
    <row r="28" spans="1:6" x14ac:dyDescent="0.25">
      <c r="A28" t="s">
        <v>8</v>
      </c>
      <c r="B28">
        <f t="shared" ref="B28" si="16">4-_xlfn.RANK.AVG(B27,$B27:$E27)</f>
        <v>0</v>
      </c>
      <c r="C28">
        <f t="shared" ref="C28" si="17">4-_xlfn.RANK.AVG(C27,$B27:$E27)</f>
        <v>1</v>
      </c>
      <c r="D28">
        <f t="shared" ref="D28" si="18">4-_xlfn.RANK.AVG(D27,$B27:$E27)</f>
        <v>3</v>
      </c>
      <c r="E28">
        <f t="shared" ref="E28" si="19">4-_xlfn.RANK.AVG(E27,$B27:$E27)</f>
        <v>2</v>
      </c>
    </row>
    <row r="29" spans="1:6" x14ac:dyDescent="0.25">
      <c r="A29" t="s">
        <v>5</v>
      </c>
      <c r="B29" t="s">
        <v>0</v>
      </c>
      <c r="C29" t="s">
        <v>1</v>
      </c>
      <c r="D29" t="s">
        <v>2</v>
      </c>
      <c r="E29" t="s">
        <v>3</v>
      </c>
      <c r="F29" t="str">
        <f t="shared" si="2"/>
        <v>Partie 8</v>
      </c>
    </row>
    <row r="30" spans="1:6" x14ac:dyDescent="0.25">
      <c r="A30" t="s">
        <v>6</v>
      </c>
      <c r="B30" s="1" t="s">
        <v>62</v>
      </c>
      <c r="C30" s="1" t="s">
        <v>37</v>
      </c>
      <c r="D30" s="1" t="s">
        <v>44</v>
      </c>
      <c r="E30" s="1" t="s">
        <v>40</v>
      </c>
      <c r="F30" s="3">
        <v>45906.70385416667</v>
      </c>
    </row>
    <row r="31" spans="1:6" x14ac:dyDescent="0.25">
      <c r="A31" t="s">
        <v>7</v>
      </c>
      <c r="B31" s="1">
        <v>-11</v>
      </c>
      <c r="C31" s="1">
        <v>49</v>
      </c>
      <c r="D31" s="1">
        <v>-55</v>
      </c>
      <c r="E31" s="1">
        <v>17</v>
      </c>
    </row>
    <row r="32" spans="1:6" x14ac:dyDescent="0.25">
      <c r="A32" t="s">
        <v>8</v>
      </c>
      <c r="B32">
        <f t="shared" ref="B32" si="20">4-_xlfn.RANK.AVG(B31,$B31:$E31)</f>
        <v>1</v>
      </c>
      <c r="C32">
        <f t="shared" ref="C32" si="21">4-_xlfn.RANK.AVG(C31,$B31:$E31)</f>
        <v>3</v>
      </c>
      <c r="D32">
        <f t="shared" ref="D32" si="22">4-_xlfn.RANK.AVG(D31,$B31:$E31)</f>
        <v>0</v>
      </c>
      <c r="E32">
        <f t="shared" ref="E32" si="23">4-_xlfn.RANK.AVG(E31,$B31:$E31)</f>
        <v>2</v>
      </c>
    </row>
    <row r="33" spans="1:6" x14ac:dyDescent="0.25">
      <c r="A33" t="s">
        <v>5</v>
      </c>
      <c r="B33" t="s">
        <v>0</v>
      </c>
      <c r="C33" t="s">
        <v>1</v>
      </c>
      <c r="D33" t="s">
        <v>2</v>
      </c>
      <c r="E33" t="s">
        <v>3</v>
      </c>
      <c r="F33" t="str">
        <f t="shared" si="2"/>
        <v>Partie 9</v>
      </c>
    </row>
    <row r="34" spans="1:6" x14ac:dyDescent="0.25">
      <c r="A34" t="s">
        <v>6</v>
      </c>
      <c r="B34" s="1" t="s">
        <v>47</v>
      </c>
      <c r="C34" s="1" t="s">
        <v>48</v>
      </c>
      <c r="D34" s="1" t="s">
        <v>40</v>
      </c>
      <c r="E34" s="1" t="s">
        <v>71</v>
      </c>
      <c r="F34" s="3">
        <v>45906.856342592589</v>
      </c>
    </row>
    <row r="35" spans="1:6" x14ac:dyDescent="0.25">
      <c r="A35" t="s">
        <v>7</v>
      </c>
      <c r="B35" s="1">
        <v>130</v>
      </c>
      <c r="C35" s="1">
        <v>-150</v>
      </c>
      <c r="D35" s="1">
        <v>-37</v>
      </c>
      <c r="E35" s="1">
        <v>57</v>
      </c>
    </row>
    <row r="36" spans="1:6" x14ac:dyDescent="0.25">
      <c r="A36" t="s">
        <v>8</v>
      </c>
      <c r="B36">
        <f t="shared" ref="B36" si="24">4-_xlfn.RANK.AVG(B35,$B35:$E35)</f>
        <v>3</v>
      </c>
      <c r="C36">
        <f t="shared" ref="C36" si="25">4-_xlfn.RANK.AVG(C35,$B35:$E35)</f>
        <v>0</v>
      </c>
      <c r="D36">
        <f t="shared" ref="D36" si="26">4-_xlfn.RANK.AVG(D35,$B35:$E35)</f>
        <v>1</v>
      </c>
      <c r="E36">
        <f t="shared" ref="E36" si="27">4-_xlfn.RANK.AVG(E35,$B35:$E35)</f>
        <v>2</v>
      </c>
    </row>
    <row r="37" spans="1:6" x14ac:dyDescent="0.25">
      <c r="A37" t="s">
        <v>5</v>
      </c>
      <c r="B37" t="s">
        <v>0</v>
      </c>
      <c r="C37" t="s">
        <v>1</v>
      </c>
      <c r="D37" t="s">
        <v>2</v>
      </c>
      <c r="E37" t="s">
        <v>3</v>
      </c>
      <c r="F37" t="str">
        <f t="shared" si="2"/>
        <v>Partie 10</v>
      </c>
    </row>
    <row r="38" spans="1:6" x14ac:dyDescent="0.25">
      <c r="A38" t="s">
        <v>6</v>
      </c>
      <c r="B38" s="1" t="s">
        <v>49</v>
      </c>
      <c r="C38" s="1" t="s">
        <v>50</v>
      </c>
      <c r="D38" s="1" t="s">
        <v>46</v>
      </c>
      <c r="E38" s="1" t="s">
        <v>51</v>
      </c>
      <c r="F38" s="3">
        <v>45913.593726851854</v>
      </c>
    </row>
    <row r="39" spans="1:6" x14ac:dyDescent="0.25">
      <c r="A39" t="s">
        <v>7</v>
      </c>
      <c r="B39" s="1">
        <v>-98</v>
      </c>
      <c r="C39" s="1">
        <v>161</v>
      </c>
      <c r="D39" s="1">
        <v>-164</v>
      </c>
      <c r="E39" s="1">
        <v>101</v>
      </c>
    </row>
    <row r="40" spans="1:6" x14ac:dyDescent="0.25">
      <c r="A40" t="s">
        <v>8</v>
      </c>
      <c r="B40">
        <f t="shared" ref="B40" si="28">4-_xlfn.RANK.AVG(B39,$B39:$E39)</f>
        <v>1</v>
      </c>
      <c r="C40">
        <f t="shared" ref="C40" si="29">4-_xlfn.RANK.AVG(C39,$B39:$E39)</f>
        <v>3</v>
      </c>
      <c r="D40">
        <f t="shared" ref="D40" si="30">4-_xlfn.RANK.AVG(D39,$B39:$E39)</f>
        <v>0</v>
      </c>
      <c r="E40">
        <f t="shared" ref="E40" si="31">4-_xlfn.RANK.AVG(E39,$B39:$E39)</f>
        <v>2</v>
      </c>
    </row>
    <row r="41" spans="1:6" x14ac:dyDescent="0.25">
      <c r="A41" t="s">
        <v>5</v>
      </c>
      <c r="B41" t="s">
        <v>0</v>
      </c>
      <c r="C41" t="s">
        <v>1</v>
      </c>
      <c r="D41" t="s">
        <v>2</v>
      </c>
      <c r="E41" t="s">
        <v>3</v>
      </c>
      <c r="F41" t="str">
        <f t="shared" si="2"/>
        <v>Partie 11</v>
      </c>
    </row>
    <row r="42" spans="1:6" x14ac:dyDescent="0.25">
      <c r="A42" t="s">
        <v>6</v>
      </c>
      <c r="B42" s="1" t="s">
        <v>39</v>
      </c>
      <c r="C42" s="1" t="s">
        <v>52</v>
      </c>
      <c r="D42" s="1" t="s">
        <v>43</v>
      </c>
      <c r="E42" s="1" t="s">
        <v>53</v>
      </c>
      <c r="F42" s="3">
        <v>45913.589953703704</v>
      </c>
    </row>
    <row r="43" spans="1:6" x14ac:dyDescent="0.25">
      <c r="A43" t="s">
        <v>7</v>
      </c>
      <c r="B43" s="1">
        <v>127</v>
      </c>
      <c r="C43" s="1">
        <v>-18</v>
      </c>
      <c r="D43" s="1">
        <v>40</v>
      </c>
      <c r="E43" s="1">
        <v>-149</v>
      </c>
    </row>
    <row r="44" spans="1:6" x14ac:dyDescent="0.25">
      <c r="A44" t="s">
        <v>8</v>
      </c>
      <c r="B44">
        <f t="shared" ref="B44" si="32">4-_xlfn.RANK.AVG(B43,$B43:$E43)</f>
        <v>3</v>
      </c>
      <c r="C44">
        <f t="shared" ref="C44" si="33">4-_xlfn.RANK.AVG(C43,$B43:$E43)</f>
        <v>1</v>
      </c>
      <c r="D44">
        <f t="shared" ref="D44" si="34">4-_xlfn.RANK.AVG(D43,$B43:$E43)</f>
        <v>2</v>
      </c>
      <c r="E44">
        <f t="shared" ref="E44" si="35">4-_xlfn.RANK.AVG(E43,$B43:$E43)</f>
        <v>0</v>
      </c>
    </row>
    <row r="45" spans="1:6" x14ac:dyDescent="0.25">
      <c r="A45" t="s">
        <v>5</v>
      </c>
      <c r="B45" t="s">
        <v>0</v>
      </c>
      <c r="C45" t="s">
        <v>1</v>
      </c>
      <c r="D45" t="s">
        <v>2</v>
      </c>
      <c r="E45" t="s">
        <v>3</v>
      </c>
      <c r="F45" t="str">
        <f t="shared" si="2"/>
        <v>Partie 12</v>
      </c>
    </row>
    <row r="46" spans="1:6" x14ac:dyDescent="0.25">
      <c r="A46" t="s">
        <v>6</v>
      </c>
      <c r="B46" s="1" t="s">
        <v>53</v>
      </c>
      <c r="C46" s="1" t="s">
        <v>54</v>
      </c>
      <c r="D46" s="1" t="s">
        <v>40</v>
      </c>
      <c r="E46" s="1" t="s">
        <v>37</v>
      </c>
      <c r="F46" s="3">
        <v>45913.695914351854</v>
      </c>
    </row>
    <row r="47" spans="1:6" x14ac:dyDescent="0.25">
      <c r="A47" t="s">
        <v>7</v>
      </c>
      <c r="B47" s="1">
        <v>20</v>
      </c>
      <c r="C47" s="1">
        <v>-32</v>
      </c>
      <c r="D47" s="1">
        <v>-30</v>
      </c>
      <c r="E47" s="1">
        <v>42</v>
      </c>
    </row>
    <row r="48" spans="1:6" x14ac:dyDescent="0.25">
      <c r="A48" t="s">
        <v>8</v>
      </c>
      <c r="B48">
        <f t="shared" ref="B48" si="36">4-_xlfn.RANK.AVG(B47,$B47:$E47)</f>
        <v>2</v>
      </c>
      <c r="C48">
        <f t="shared" ref="C48" si="37">4-_xlfn.RANK.AVG(C47,$B47:$E47)</f>
        <v>0</v>
      </c>
      <c r="D48">
        <f t="shared" ref="D48" si="38">4-_xlfn.RANK.AVG(D47,$B47:$E47)</f>
        <v>1</v>
      </c>
      <c r="E48">
        <f t="shared" ref="E48" si="39">4-_xlfn.RANK.AVG(E47,$B47:$E47)</f>
        <v>3</v>
      </c>
    </row>
    <row r="49" spans="1:6" x14ac:dyDescent="0.25">
      <c r="A49" t="s">
        <v>5</v>
      </c>
      <c r="B49" t="s">
        <v>0</v>
      </c>
      <c r="C49" t="s">
        <v>1</v>
      </c>
      <c r="D49" t="s">
        <v>2</v>
      </c>
      <c r="E49" t="s">
        <v>3</v>
      </c>
      <c r="F49" t="str">
        <f t="shared" si="2"/>
        <v>Partie 13</v>
      </c>
    </row>
    <row r="50" spans="1:6" x14ac:dyDescent="0.25">
      <c r="A50" t="s">
        <v>6</v>
      </c>
      <c r="B50" s="1" t="s">
        <v>55</v>
      </c>
      <c r="C50" s="1" t="s">
        <v>49</v>
      </c>
      <c r="D50" s="1" t="s">
        <v>46</v>
      </c>
      <c r="E50" s="1" t="s">
        <v>50</v>
      </c>
      <c r="F50" s="3">
        <v>45913.693287037036</v>
      </c>
    </row>
    <row r="51" spans="1:6" x14ac:dyDescent="0.25">
      <c r="A51" t="s">
        <v>7</v>
      </c>
      <c r="B51" s="1">
        <v>-196</v>
      </c>
      <c r="C51" s="1">
        <v>86</v>
      </c>
      <c r="D51" s="1">
        <v>43</v>
      </c>
      <c r="E51" s="1">
        <v>67</v>
      </c>
    </row>
    <row r="52" spans="1:6" x14ac:dyDescent="0.25">
      <c r="A52" t="s">
        <v>8</v>
      </c>
      <c r="B52">
        <f t="shared" ref="B52" si="40">4-_xlfn.RANK.AVG(B51,$B51:$E51)</f>
        <v>0</v>
      </c>
      <c r="C52">
        <f t="shared" ref="C52" si="41">4-_xlfn.RANK.AVG(C51,$B51:$E51)</f>
        <v>3</v>
      </c>
      <c r="D52">
        <f t="shared" ref="D52" si="42">4-_xlfn.RANK.AVG(D51,$B51:$E51)</f>
        <v>1</v>
      </c>
      <c r="E52">
        <f t="shared" ref="E52" si="43">4-_xlfn.RANK.AVG(E51,$B51:$E51)</f>
        <v>2</v>
      </c>
    </row>
    <row r="53" spans="1:6" x14ac:dyDescent="0.25">
      <c r="A53" t="s">
        <v>5</v>
      </c>
      <c r="B53" t="s">
        <v>0</v>
      </c>
      <c r="C53" t="s">
        <v>1</v>
      </c>
      <c r="D53" t="s">
        <v>2</v>
      </c>
      <c r="E53" t="s">
        <v>3</v>
      </c>
      <c r="F53" t="str">
        <f t="shared" si="2"/>
        <v>Partie 14</v>
      </c>
    </row>
    <row r="54" spans="1:6" x14ac:dyDescent="0.25">
      <c r="A54" t="s">
        <v>6</v>
      </c>
      <c r="B54" s="1" t="s">
        <v>48</v>
      </c>
      <c r="C54" s="1" t="s">
        <v>37</v>
      </c>
      <c r="D54" s="1" t="s">
        <v>56</v>
      </c>
      <c r="E54" s="1" t="s">
        <v>55</v>
      </c>
      <c r="F54" s="3">
        <v>45913.591493055559</v>
      </c>
    </row>
    <row r="55" spans="1:6" x14ac:dyDescent="0.25">
      <c r="A55" t="s">
        <v>7</v>
      </c>
      <c r="B55" s="1">
        <v>14</v>
      </c>
      <c r="C55" s="1">
        <v>178</v>
      </c>
      <c r="D55" s="1">
        <v>-116</v>
      </c>
      <c r="E55" s="1">
        <v>-76</v>
      </c>
    </row>
    <row r="56" spans="1:6" x14ac:dyDescent="0.25">
      <c r="A56" t="s">
        <v>8</v>
      </c>
      <c r="B56">
        <f t="shared" ref="B56" si="44">4-_xlfn.RANK.AVG(B55,$B55:$E55)</f>
        <v>2</v>
      </c>
      <c r="C56">
        <f t="shared" ref="C56" si="45">4-_xlfn.RANK.AVG(C55,$B55:$E55)</f>
        <v>3</v>
      </c>
      <c r="D56">
        <f t="shared" ref="D56" si="46">4-_xlfn.RANK.AVG(D55,$B55:$E55)</f>
        <v>0</v>
      </c>
      <c r="E56">
        <f t="shared" ref="E56" si="47">4-_xlfn.RANK.AVG(E55,$B55:$E55)</f>
        <v>1</v>
      </c>
    </row>
    <row r="57" spans="1:6" x14ac:dyDescent="0.25">
      <c r="A57" t="s">
        <v>5</v>
      </c>
      <c r="B57" t="s">
        <v>0</v>
      </c>
      <c r="C57" t="s">
        <v>1</v>
      </c>
      <c r="D57" t="s">
        <v>2</v>
      </c>
      <c r="E57" t="s">
        <v>3</v>
      </c>
      <c r="F57" t="str">
        <f t="shared" si="2"/>
        <v>Partie 15</v>
      </c>
    </row>
    <row r="58" spans="1:6" x14ac:dyDescent="0.25">
      <c r="A58" t="s">
        <v>6</v>
      </c>
      <c r="B58" s="1" t="s">
        <v>56</v>
      </c>
      <c r="C58" s="1" t="s">
        <v>41</v>
      </c>
      <c r="D58" s="1" t="s">
        <v>47</v>
      </c>
      <c r="E58" s="1" t="s">
        <v>43</v>
      </c>
      <c r="F58" s="3">
        <v>45913.695752314816</v>
      </c>
    </row>
    <row r="59" spans="1:6" x14ac:dyDescent="0.25">
      <c r="A59" t="s">
        <v>7</v>
      </c>
      <c r="B59" s="1">
        <v>40</v>
      </c>
      <c r="C59" s="1">
        <v>65</v>
      </c>
      <c r="D59" s="1">
        <v>-28</v>
      </c>
      <c r="E59" s="1">
        <v>-77</v>
      </c>
    </row>
    <row r="60" spans="1:6" x14ac:dyDescent="0.25">
      <c r="A60" t="s">
        <v>8</v>
      </c>
      <c r="B60">
        <f t="shared" ref="B60" si="48">4-_xlfn.RANK.AVG(B59,$B59:$E59)</f>
        <v>2</v>
      </c>
      <c r="C60">
        <f t="shared" ref="C60" si="49">4-_xlfn.RANK.AVG(C59,$B59:$E59)</f>
        <v>3</v>
      </c>
      <c r="D60">
        <f t="shared" ref="D60" si="50">4-_xlfn.RANK.AVG(D59,$B59:$E59)</f>
        <v>1</v>
      </c>
      <c r="E60">
        <f t="shared" ref="E60" si="51">4-_xlfn.RANK.AVG(E59,$B59:$E59)</f>
        <v>0</v>
      </c>
    </row>
    <row r="61" spans="1:6" x14ac:dyDescent="0.25">
      <c r="A61" t="s">
        <v>5</v>
      </c>
      <c r="B61" t="s">
        <v>0</v>
      </c>
      <c r="C61" t="s">
        <v>1</v>
      </c>
      <c r="D61" t="s">
        <v>2</v>
      </c>
      <c r="E61" t="s">
        <v>3</v>
      </c>
      <c r="F61" t="str">
        <f t="shared" si="2"/>
        <v>Partie 16</v>
      </c>
    </row>
    <row r="62" spans="1:6" x14ac:dyDescent="0.25">
      <c r="A62" t="s">
        <v>6</v>
      </c>
      <c r="B62" s="1" t="s">
        <v>49</v>
      </c>
      <c r="C62" s="1" t="s">
        <v>48</v>
      </c>
      <c r="D62" s="1" t="s">
        <v>39</v>
      </c>
      <c r="E62" s="1" t="s">
        <v>40</v>
      </c>
      <c r="F62" s="3">
        <v>45913.836087962962</v>
      </c>
    </row>
    <row r="63" spans="1:6" x14ac:dyDescent="0.25">
      <c r="A63" t="s">
        <v>7</v>
      </c>
      <c r="B63" s="1">
        <v>-20</v>
      </c>
      <c r="C63" s="1">
        <v>72</v>
      </c>
      <c r="D63" s="1">
        <v>-4</v>
      </c>
      <c r="E63" s="1">
        <v>-48</v>
      </c>
    </row>
    <row r="64" spans="1:6" x14ac:dyDescent="0.25">
      <c r="A64" t="s">
        <v>8</v>
      </c>
      <c r="B64">
        <f t="shared" ref="B64" si="52">4-_xlfn.RANK.AVG(B63,$B63:$E63)</f>
        <v>1</v>
      </c>
      <c r="C64">
        <f t="shared" ref="C64" si="53">4-_xlfn.RANK.AVG(C63,$B63:$E63)</f>
        <v>3</v>
      </c>
      <c r="D64">
        <f t="shared" ref="D64" si="54">4-_xlfn.RANK.AVG(D63,$B63:$E63)</f>
        <v>2</v>
      </c>
      <c r="E64">
        <f t="shared" ref="E64" si="55">4-_xlfn.RANK.AVG(E63,$B63:$E63)</f>
        <v>0</v>
      </c>
    </row>
    <row r="65" spans="1:6" x14ac:dyDescent="0.25">
      <c r="A65" t="s">
        <v>5</v>
      </c>
      <c r="B65" t="s">
        <v>0</v>
      </c>
      <c r="C65" t="s">
        <v>1</v>
      </c>
      <c r="D65" t="s">
        <v>2</v>
      </c>
      <c r="E65" t="s">
        <v>3</v>
      </c>
      <c r="F65" t="str">
        <f t="shared" si="2"/>
        <v>Partie 17</v>
      </c>
    </row>
    <row r="66" spans="1:6" x14ac:dyDescent="0.25">
      <c r="A66" t="s">
        <v>6</v>
      </c>
      <c r="B66" s="1" t="s">
        <v>51</v>
      </c>
      <c r="C66" s="1" t="s">
        <v>42</v>
      </c>
      <c r="D66" s="1" t="s">
        <v>57</v>
      </c>
      <c r="E66" s="1" t="s">
        <v>39</v>
      </c>
      <c r="F66" s="3">
        <v>45913.692071759258</v>
      </c>
    </row>
    <row r="67" spans="1:6" x14ac:dyDescent="0.25">
      <c r="A67" t="s">
        <v>7</v>
      </c>
      <c r="B67" s="1">
        <v>-138</v>
      </c>
      <c r="C67" s="1">
        <v>133</v>
      </c>
      <c r="D67" s="1">
        <v>-49</v>
      </c>
      <c r="E67" s="1">
        <v>54</v>
      </c>
    </row>
    <row r="68" spans="1:6" x14ac:dyDescent="0.25">
      <c r="A68" t="s">
        <v>8</v>
      </c>
      <c r="B68">
        <f t="shared" ref="B68" si="56">4-_xlfn.RANK.AVG(B67,$B67:$E67)</f>
        <v>0</v>
      </c>
      <c r="C68">
        <f t="shared" ref="C68" si="57">4-_xlfn.RANK.AVG(C67,$B67:$E67)</f>
        <v>3</v>
      </c>
      <c r="D68">
        <f t="shared" ref="D68" si="58">4-_xlfn.RANK.AVG(D67,$B67:$E67)</f>
        <v>1</v>
      </c>
      <c r="E68">
        <f t="shared" ref="E68" si="59">4-_xlfn.RANK.AVG(E67,$B67:$E67)</f>
        <v>2</v>
      </c>
    </row>
    <row r="69" spans="1:6" x14ac:dyDescent="0.25">
      <c r="A69" t="s">
        <v>5</v>
      </c>
      <c r="B69" t="s">
        <v>0</v>
      </c>
      <c r="C69" t="s">
        <v>1</v>
      </c>
      <c r="D69" t="s">
        <v>2</v>
      </c>
      <c r="E69" t="s">
        <v>3</v>
      </c>
      <c r="F69" t="str">
        <f t="shared" si="2"/>
        <v>Partie 18</v>
      </c>
    </row>
    <row r="70" spans="1:6" x14ac:dyDescent="0.25">
      <c r="A70" t="s">
        <v>6</v>
      </c>
      <c r="B70" s="1" t="s">
        <v>52</v>
      </c>
      <c r="C70" s="1" t="s">
        <v>51</v>
      </c>
      <c r="D70" s="1" t="s">
        <v>71</v>
      </c>
      <c r="E70" s="1" t="s">
        <v>50</v>
      </c>
      <c r="F70" s="3">
        <v>45913.835636574076</v>
      </c>
    </row>
    <row r="71" spans="1:6" x14ac:dyDescent="0.25">
      <c r="A71" t="s">
        <v>7</v>
      </c>
      <c r="B71" s="1">
        <v>-134</v>
      </c>
      <c r="C71" s="1">
        <v>-126</v>
      </c>
      <c r="D71" s="1">
        <v>203</v>
      </c>
      <c r="E71" s="1">
        <v>57</v>
      </c>
    </row>
    <row r="72" spans="1:6" x14ac:dyDescent="0.25">
      <c r="A72" t="s">
        <v>8</v>
      </c>
      <c r="B72">
        <f t="shared" ref="B72" si="60">4-_xlfn.RANK.AVG(B71,$B71:$E71)</f>
        <v>0</v>
      </c>
      <c r="C72">
        <f t="shared" ref="C72" si="61">4-_xlfn.RANK.AVG(C71,$B71:$E71)</f>
        <v>1</v>
      </c>
      <c r="D72">
        <f t="shared" ref="D72" si="62">4-_xlfn.RANK.AVG(D71,$B71:$E71)</f>
        <v>3</v>
      </c>
      <c r="E72">
        <f t="shared" ref="E72" si="63">4-_xlfn.RANK.AVG(E71,$B71:$E71)</f>
        <v>2</v>
      </c>
    </row>
    <row r="73" spans="1:6" x14ac:dyDescent="0.25">
      <c r="A73" t="s">
        <v>5</v>
      </c>
      <c r="B73" t="s">
        <v>0</v>
      </c>
      <c r="C73" t="s">
        <v>1</v>
      </c>
      <c r="D73" t="s">
        <v>2</v>
      </c>
      <c r="E73" t="s">
        <v>3</v>
      </c>
      <c r="F73" t="str">
        <f t="shared" ref="F73:F133" si="64">"Partie " &amp; (ROW()-1)/4+1</f>
        <v>Partie 19</v>
      </c>
    </row>
    <row r="74" spans="1:6" x14ac:dyDescent="0.25">
      <c r="A74" t="s">
        <v>6</v>
      </c>
      <c r="B74" s="1" t="s">
        <v>48</v>
      </c>
      <c r="C74" s="1" t="s">
        <v>50</v>
      </c>
      <c r="D74" s="1" t="s">
        <v>39</v>
      </c>
      <c r="E74" s="1" t="s">
        <v>71</v>
      </c>
      <c r="F74" s="3">
        <v>45913.923703703702</v>
      </c>
    </row>
    <row r="75" spans="1:6" x14ac:dyDescent="0.25">
      <c r="A75" t="s">
        <v>7</v>
      </c>
      <c r="B75" s="1">
        <v>-1</v>
      </c>
      <c r="C75" s="1">
        <v>169</v>
      </c>
      <c r="D75" s="1">
        <v>-123</v>
      </c>
      <c r="E75" s="1">
        <v>-45</v>
      </c>
    </row>
    <row r="76" spans="1:6" x14ac:dyDescent="0.25">
      <c r="A76" t="s">
        <v>8</v>
      </c>
      <c r="B76">
        <f t="shared" ref="B76" si="65">4-_xlfn.RANK.AVG(B75,$B75:$E75)</f>
        <v>2</v>
      </c>
      <c r="C76">
        <f t="shared" ref="C76" si="66">4-_xlfn.RANK.AVG(C75,$B75:$E75)</f>
        <v>3</v>
      </c>
      <c r="D76">
        <f t="shared" ref="D76" si="67">4-_xlfn.RANK.AVG(D75,$B75:$E75)</f>
        <v>0</v>
      </c>
      <c r="E76">
        <f t="shared" ref="E76" si="68">4-_xlfn.RANK.AVG(E75,$B75:$E75)</f>
        <v>1</v>
      </c>
    </row>
    <row r="77" spans="1:6" x14ac:dyDescent="0.25">
      <c r="A77" t="s">
        <v>5</v>
      </c>
      <c r="B77" t="s">
        <v>0</v>
      </c>
      <c r="C77" t="s">
        <v>1</v>
      </c>
      <c r="D77" t="s">
        <v>2</v>
      </c>
      <c r="E77" t="s">
        <v>3</v>
      </c>
      <c r="F77" t="str">
        <f t="shared" si="64"/>
        <v>Partie 20</v>
      </c>
    </row>
    <row r="78" spans="1:6" x14ac:dyDescent="0.25">
      <c r="A78" t="s">
        <v>6</v>
      </c>
      <c r="B78" s="1" t="s">
        <v>51</v>
      </c>
      <c r="C78" s="1" t="s">
        <v>40</v>
      </c>
      <c r="D78" s="1" t="s">
        <v>49</v>
      </c>
      <c r="E78" s="1" t="s">
        <v>52</v>
      </c>
      <c r="F78" s="3">
        <v>45913.923460648148</v>
      </c>
    </row>
    <row r="79" spans="1:6" x14ac:dyDescent="0.25">
      <c r="A79" t="s">
        <v>7</v>
      </c>
      <c r="B79" s="1">
        <v>-67</v>
      </c>
      <c r="C79" s="1">
        <v>-94</v>
      </c>
      <c r="D79" s="1">
        <v>82</v>
      </c>
      <c r="E79" s="1">
        <v>79</v>
      </c>
    </row>
    <row r="80" spans="1:6" x14ac:dyDescent="0.25">
      <c r="A80" t="s">
        <v>8</v>
      </c>
      <c r="B80">
        <f t="shared" ref="B80" si="69">4-_xlfn.RANK.AVG(B79,$B79:$E79)</f>
        <v>1</v>
      </c>
      <c r="C80">
        <f t="shared" ref="C80" si="70">4-_xlfn.RANK.AVG(C79,$B79:$E79)</f>
        <v>0</v>
      </c>
      <c r="D80">
        <f t="shared" ref="D80" si="71">4-_xlfn.RANK.AVG(D79,$B79:$E79)</f>
        <v>3</v>
      </c>
      <c r="E80">
        <f t="shared" ref="E80" si="72">4-_xlfn.RANK.AVG(E79,$B79:$E79)</f>
        <v>2</v>
      </c>
    </row>
    <row r="81" spans="1:6" x14ac:dyDescent="0.25">
      <c r="A81" t="s">
        <v>5</v>
      </c>
      <c r="B81" t="s">
        <v>0</v>
      </c>
      <c r="C81" t="s">
        <v>1</v>
      </c>
      <c r="D81" t="s">
        <v>2</v>
      </c>
      <c r="E81" t="s">
        <v>3</v>
      </c>
      <c r="F81" t="str">
        <f t="shared" si="64"/>
        <v>Partie 21</v>
      </c>
    </row>
    <row r="82" spans="1:6" x14ac:dyDescent="0.25">
      <c r="A82" t="s">
        <v>6</v>
      </c>
      <c r="B82" s="1" t="s">
        <v>38</v>
      </c>
      <c r="C82" s="1" t="s">
        <v>46</v>
      </c>
      <c r="D82" s="1" t="s">
        <v>51</v>
      </c>
      <c r="E82" s="1" t="s">
        <v>56</v>
      </c>
      <c r="F82" s="3">
        <v>45920.590312499997</v>
      </c>
    </row>
    <row r="83" spans="1:6" x14ac:dyDescent="0.25">
      <c r="A83" t="s">
        <v>7</v>
      </c>
      <c r="B83" s="1">
        <v>35</v>
      </c>
      <c r="C83" s="1">
        <v>-48</v>
      </c>
      <c r="D83" s="1">
        <v>-36</v>
      </c>
      <c r="E83" s="1">
        <v>49</v>
      </c>
    </row>
    <row r="84" spans="1:6" x14ac:dyDescent="0.25">
      <c r="A84" t="s">
        <v>8</v>
      </c>
      <c r="B84">
        <f t="shared" ref="B84" si="73">4-_xlfn.RANK.AVG(B83,$B83:$E83)</f>
        <v>2</v>
      </c>
      <c r="C84">
        <f t="shared" ref="C84" si="74">4-_xlfn.RANK.AVG(C83,$B83:$E83)</f>
        <v>0</v>
      </c>
      <c r="D84">
        <f t="shared" ref="D84" si="75">4-_xlfn.RANK.AVG(D83,$B83:$E83)</f>
        <v>1</v>
      </c>
      <c r="E84">
        <f t="shared" ref="E84" si="76">4-_xlfn.RANK.AVG(E83,$B83:$E83)</f>
        <v>3</v>
      </c>
    </row>
    <row r="85" spans="1:6" x14ac:dyDescent="0.25">
      <c r="A85" t="s">
        <v>5</v>
      </c>
      <c r="B85" t="s">
        <v>0</v>
      </c>
      <c r="C85" t="s">
        <v>1</v>
      </c>
      <c r="D85" t="s">
        <v>2</v>
      </c>
      <c r="E85" t="s">
        <v>3</v>
      </c>
      <c r="F85" t="str">
        <f t="shared" si="64"/>
        <v>Partie 22</v>
      </c>
    </row>
    <row r="86" spans="1:6" x14ac:dyDescent="0.25">
      <c r="A86" t="s">
        <v>6</v>
      </c>
      <c r="B86" s="1" t="s">
        <v>58</v>
      </c>
      <c r="C86" s="1" t="s">
        <v>53</v>
      </c>
      <c r="D86" s="1" t="s">
        <v>39</v>
      </c>
      <c r="E86" s="1" t="s">
        <v>49</v>
      </c>
      <c r="F86" s="3">
        <v>45920.589942129627</v>
      </c>
    </row>
    <row r="87" spans="1:6" x14ac:dyDescent="0.25">
      <c r="A87" t="s">
        <v>7</v>
      </c>
      <c r="B87" s="1">
        <v>1</v>
      </c>
      <c r="C87" s="1">
        <v>-48</v>
      </c>
      <c r="D87" s="1">
        <v>-11</v>
      </c>
      <c r="E87" s="1">
        <v>58</v>
      </c>
    </row>
    <row r="88" spans="1:6" x14ac:dyDescent="0.25">
      <c r="A88" t="s">
        <v>8</v>
      </c>
      <c r="B88">
        <f t="shared" ref="B88" si="77">4-_xlfn.RANK.AVG(B87,$B87:$E87)</f>
        <v>2</v>
      </c>
      <c r="C88">
        <f t="shared" ref="C88" si="78">4-_xlfn.RANK.AVG(C87,$B87:$E87)</f>
        <v>0</v>
      </c>
      <c r="D88">
        <f t="shared" ref="D88" si="79">4-_xlfn.RANK.AVG(D87,$B87:$E87)</f>
        <v>1</v>
      </c>
      <c r="E88">
        <f t="shared" ref="E88" si="80">4-_xlfn.RANK.AVG(E87,$B87:$E87)</f>
        <v>3</v>
      </c>
    </row>
    <row r="89" spans="1:6" x14ac:dyDescent="0.25">
      <c r="A89" t="s">
        <v>5</v>
      </c>
      <c r="B89" t="s">
        <v>0</v>
      </c>
      <c r="C89" t="s">
        <v>1</v>
      </c>
      <c r="D89" t="s">
        <v>2</v>
      </c>
      <c r="E89" t="s">
        <v>3</v>
      </c>
      <c r="F89" t="str">
        <f t="shared" si="64"/>
        <v>Partie 23</v>
      </c>
    </row>
    <row r="90" spans="1:6" x14ac:dyDescent="0.25">
      <c r="A90" t="s">
        <v>6</v>
      </c>
      <c r="B90" s="1" t="s">
        <v>53</v>
      </c>
      <c r="C90" s="1" t="s">
        <v>43</v>
      </c>
      <c r="D90" s="1" t="s">
        <v>45</v>
      </c>
      <c r="E90" s="1" t="s">
        <v>39</v>
      </c>
      <c r="F90" s="3">
        <v>45920.694016203706</v>
      </c>
    </row>
    <row r="91" spans="1:6" x14ac:dyDescent="0.25">
      <c r="A91" t="s">
        <v>7</v>
      </c>
      <c r="B91" s="1">
        <v>1</v>
      </c>
      <c r="C91" s="1">
        <v>-100</v>
      </c>
      <c r="D91" s="1">
        <v>-127</v>
      </c>
      <c r="E91" s="1">
        <v>226</v>
      </c>
    </row>
    <row r="92" spans="1:6" x14ac:dyDescent="0.25">
      <c r="A92" t="s">
        <v>8</v>
      </c>
      <c r="B92">
        <f t="shared" ref="B92" si="81">4-_xlfn.RANK.AVG(B91,$B91:$E91)</f>
        <v>2</v>
      </c>
      <c r="C92">
        <f t="shared" ref="C92" si="82">4-_xlfn.RANK.AVG(C91,$B91:$E91)</f>
        <v>1</v>
      </c>
      <c r="D92">
        <f t="shared" ref="D92" si="83">4-_xlfn.RANK.AVG(D91,$B91:$E91)</f>
        <v>0</v>
      </c>
      <c r="E92">
        <f t="shared" ref="E92" si="84">4-_xlfn.RANK.AVG(E91,$B91:$E91)</f>
        <v>3</v>
      </c>
    </row>
    <row r="93" spans="1:6" x14ac:dyDescent="0.25">
      <c r="A93" t="s">
        <v>5</v>
      </c>
      <c r="B93" t="s">
        <v>0</v>
      </c>
      <c r="C93" t="s">
        <v>1</v>
      </c>
      <c r="D93" t="s">
        <v>2</v>
      </c>
      <c r="E93" t="s">
        <v>3</v>
      </c>
      <c r="F93" t="str">
        <f t="shared" si="64"/>
        <v>Partie 24</v>
      </c>
    </row>
    <row r="94" spans="1:6" x14ac:dyDescent="0.25">
      <c r="A94" t="s">
        <v>6</v>
      </c>
      <c r="B94" s="1" t="s">
        <v>41</v>
      </c>
      <c r="C94" s="1" t="s">
        <v>56</v>
      </c>
      <c r="D94" s="1" t="s">
        <v>55</v>
      </c>
      <c r="E94" s="1" t="s">
        <v>49</v>
      </c>
      <c r="F94" s="3">
        <v>45920.834236111114</v>
      </c>
    </row>
    <row r="95" spans="1:6" x14ac:dyDescent="0.25">
      <c r="A95" t="s">
        <v>7</v>
      </c>
      <c r="B95" s="1">
        <v>-41</v>
      </c>
      <c r="C95" s="1">
        <v>177</v>
      </c>
      <c r="D95" s="1">
        <v>-121</v>
      </c>
      <c r="E95" s="1">
        <v>-15</v>
      </c>
    </row>
    <row r="96" spans="1:6" x14ac:dyDescent="0.25">
      <c r="A96" t="s">
        <v>8</v>
      </c>
      <c r="B96">
        <f t="shared" ref="B96" si="85">4-_xlfn.RANK.AVG(B95,$B95:$E95)</f>
        <v>1</v>
      </c>
      <c r="C96">
        <f t="shared" ref="C96" si="86">4-_xlfn.RANK.AVG(C95,$B95:$E95)</f>
        <v>3</v>
      </c>
      <c r="D96">
        <f t="shared" ref="D96" si="87">4-_xlfn.RANK.AVG(D95,$B95:$E95)</f>
        <v>0</v>
      </c>
      <c r="E96">
        <f t="shared" ref="E96" si="88">4-_xlfn.RANK.AVG(E95,$B95:$E95)</f>
        <v>2</v>
      </c>
    </row>
    <row r="97" spans="1:7" x14ac:dyDescent="0.25">
      <c r="A97" t="s">
        <v>5</v>
      </c>
      <c r="B97" t="s">
        <v>0</v>
      </c>
      <c r="C97" t="s">
        <v>1</v>
      </c>
      <c r="D97" t="s">
        <v>2</v>
      </c>
      <c r="E97" t="s">
        <v>3</v>
      </c>
      <c r="F97" t="str">
        <f t="shared" si="64"/>
        <v>Partie 25</v>
      </c>
    </row>
    <row r="98" spans="1:7" x14ac:dyDescent="0.25">
      <c r="A98" t="s">
        <v>6</v>
      </c>
      <c r="B98" s="1" t="s">
        <v>42</v>
      </c>
      <c r="C98" s="1" t="s">
        <v>56</v>
      </c>
      <c r="D98" s="1" t="s">
        <v>58</v>
      </c>
      <c r="E98" s="1" t="s">
        <v>49</v>
      </c>
      <c r="F98" s="3">
        <v>45920.693310185183</v>
      </c>
    </row>
    <row r="99" spans="1:7" x14ac:dyDescent="0.25">
      <c r="A99" t="s">
        <v>7</v>
      </c>
      <c r="B99" s="1">
        <v>-51</v>
      </c>
      <c r="C99" s="1">
        <v>-35</v>
      </c>
      <c r="D99" s="1">
        <v>-117</v>
      </c>
      <c r="E99" s="1">
        <v>203</v>
      </c>
    </row>
    <row r="100" spans="1:7" x14ac:dyDescent="0.25">
      <c r="A100" t="s">
        <v>8</v>
      </c>
      <c r="B100">
        <f t="shared" ref="B100" si="89">4-_xlfn.RANK.AVG(B99,$B99:$E99)</f>
        <v>1</v>
      </c>
      <c r="C100">
        <f t="shared" ref="C100" si="90">4-_xlfn.RANK.AVG(C99,$B99:$E99)</f>
        <v>2</v>
      </c>
      <c r="D100">
        <f t="shared" ref="D100" si="91">4-_xlfn.RANK.AVG(D99,$B99:$E99)</f>
        <v>0</v>
      </c>
      <c r="E100">
        <f t="shared" ref="E100" si="92">4-_xlfn.RANK.AVG(E99,$B99:$E99)</f>
        <v>3</v>
      </c>
    </row>
    <row r="101" spans="1:7" x14ac:dyDescent="0.25">
      <c r="A101" t="s">
        <v>5</v>
      </c>
      <c r="B101" t="s">
        <v>0</v>
      </c>
      <c r="C101" t="s">
        <v>1</v>
      </c>
      <c r="D101" t="s">
        <v>2</v>
      </c>
      <c r="E101" t="s">
        <v>3</v>
      </c>
      <c r="F101" t="str">
        <f t="shared" si="64"/>
        <v>Partie 26</v>
      </c>
    </row>
    <row r="102" spans="1:7" x14ac:dyDescent="0.25">
      <c r="A102" t="s">
        <v>6</v>
      </c>
      <c r="B102" s="1" t="s">
        <v>40</v>
      </c>
      <c r="C102" s="1" t="s">
        <v>52</v>
      </c>
      <c r="D102" s="1" t="s">
        <v>71</v>
      </c>
      <c r="E102" s="1" t="s">
        <v>59</v>
      </c>
      <c r="F102" s="3">
        <v>45920.834756944445</v>
      </c>
    </row>
    <row r="103" spans="1:7" x14ac:dyDescent="0.25">
      <c r="A103" t="s">
        <v>7</v>
      </c>
      <c r="B103" s="1">
        <v>61</v>
      </c>
      <c r="C103" s="1">
        <v>122</v>
      </c>
      <c r="D103" s="1">
        <v>-57</v>
      </c>
      <c r="E103" s="1">
        <v>-126</v>
      </c>
    </row>
    <row r="104" spans="1:7" x14ac:dyDescent="0.25">
      <c r="A104" t="s">
        <v>8</v>
      </c>
      <c r="B104">
        <f t="shared" ref="B104" si="93">4-_xlfn.RANK.AVG(B103,$B103:$E103)</f>
        <v>2</v>
      </c>
      <c r="C104">
        <f t="shared" ref="C104" si="94">4-_xlfn.RANK.AVG(C103,$B103:$E103)</f>
        <v>3</v>
      </c>
      <c r="D104">
        <f t="shared" ref="D104" si="95">4-_xlfn.RANK.AVG(D103,$B103:$E103)</f>
        <v>1</v>
      </c>
      <c r="E104">
        <f t="shared" ref="E104" si="96">4-_xlfn.RANK.AVG(E103,$B103:$E103)</f>
        <v>0</v>
      </c>
    </row>
    <row r="105" spans="1:7" x14ac:dyDescent="0.25">
      <c r="A105" t="s">
        <v>5</v>
      </c>
      <c r="B105" t="s">
        <v>0</v>
      </c>
      <c r="C105" t="s">
        <v>1</v>
      </c>
      <c r="D105" t="s">
        <v>2</v>
      </c>
      <c r="E105" t="s">
        <v>3</v>
      </c>
      <c r="F105" t="str">
        <f t="shared" si="64"/>
        <v>Partie 27</v>
      </c>
    </row>
    <row r="106" spans="1:7" x14ac:dyDescent="0.25">
      <c r="A106" t="s">
        <v>6</v>
      </c>
      <c r="B106" s="1" t="s">
        <v>51</v>
      </c>
      <c r="C106" s="1" t="s">
        <v>39</v>
      </c>
      <c r="D106" s="1" t="s">
        <v>37</v>
      </c>
      <c r="E106" s="1" t="s">
        <v>48</v>
      </c>
      <c r="F106" s="3">
        <v>45920.836689814816</v>
      </c>
      <c r="G106" s="4"/>
    </row>
    <row r="107" spans="1:7" x14ac:dyDescent="0.25">
      <c r="A107" t="s">
        <v>7</v>
      </c>
      <c r="B107" s="1">
        <v>-69</v>
      </c>
      <c r="C107" s="1">
        <v>42</v>
      </c>
      <c r="D107" s="1">
        <v>157</v>
      </c>
      <c r="E107" s="1">
        <v>-130</v>
      </c>
    </row>
    <row r="108" spans="1:7" x14ac:dyDescent="0.25">
      <c r="A108" t="s">
        <v>8</v>
      </c>
      <c r="B108">
        <f t="shared" ref="B108" si="97">4-_xlfn.RANK.AVG(B107,$B107:$E107)</f>
        <v>1</v>
      </c>
      <c r="C108">
        <f t="shared" ref="C108" si="98">4-_xlfn.RANK.AVG(C107,$B107:$E107)</f>
        <v>2</v>
      </c>
      <c r="D108">
        <f t="shared" ref="D108" si="99">4-_xlfn.RANK.AVG(D107,$B107:$E107)</f>
        <v>3</v>
      </c>
      <c r="E108">
        <f t="shared" ref="E108" si="100">4-_xlfn.RANK.AVG(E107,$B107:$E107)</f>
        <v>0</v>
      </c>
    </row>
    <row r="109" spans="1:7" x14ac:dyDescent="0.25">
      <c r="A109" t="s">
        <v>5</v>
      </c>
      <c r="B109" t="s">
        <v>0</v>
      </c>
      <c r="C109" t="s">
        <v>1</v>
      </c>
      <c r="D109" t="s">
        <v>2</v>
      </c>
      <c r="E109" t="s">
        <v>3</v>
      </c>
      <c r="F109" t="str">
        <f t="shared" si="64"/>
        <v>Partie 28</v>
      </c>
    </row>
    <row r="110" spans="1:7" x14ac:dyDescent="0.25">
      <c r="A110" t="s">
        <v>6</v>
      </c>
      <c r="B110" s="1" t="s">
        <v>37</v>
      </c>
      <c r="C110" s="1" t="s">
        <v>52</v>
      </c>
      <c r="D110" s="1" t="s">
        <v>71</v>
      </c>
      <c r="E110" s="1" t="s">
        <v>46</v>
      </c>
      <c r="F110" s="3">
        <v>45920.6953125</v>
      </c>
    </row>
    <row r="111" spans="1:7" x14ac:dyDescent="0.25">
      <c r="A111" t="s">
        <v>7</v>
      </c>
      <c r="B111" s="1">
        <v>-52</v>
      </c>
      <c r="C111" s="1">
        <v>-19</v>
      </c>
      <c r="D111" s="1">
        <v>86</v>
      </c>
      <c r="E111" s="1">
        <v>-15</v>
      </c>
    </row>
    <row r="112" spans="1:7" x14ac:dyDescent="0.25">
      <c r="A112" t="s">
        <v>8</v>
      </c>
      <c r="B112">
        <f t="shared" ref="B112" si="101">4-_xlfn.RANK.AVG(B111,$B111:$E111)</f>
        <v>0</v>
      </c>
      <c r="C112">
        <f t="shared" ref="C112" si="102">4-_xlfn.RANK.AVG(C111,$B111:$E111)</f>
        <v>1</v>
      </c>
      <c r="D112">
        <f t="shared" ref="D112" si="103">4-_xlfn.RANK.AVG(D111,$B111:$E111)</f>
        <v>3</v>
      </c>
      <c r="E112">
        <f t="shared" ref="E112" si="104">4-_xlfn.RANK.AVG(E111,$B111:$E111)</f>
        <v>2</v>
      </c>
    </row>
    <row r="113" spans="1:6" x14ac:dyDescent="0.25">
      <c r="A113" t="s">
        <v>5</v>
      </c>
      <c r="B113" t="s">
        <v>0</v>
      </c>
      <c r="C113" t="s">
        <v>1</v>
      </c>
      <c r="D113" t="s">
        <v>2</v>
      </c>
      <c r="E113" t="s">
        <v>3</v>
      </c>
      <c r="F113" t="str">
        <f t="shared" si="64"/>
        <v>Partie 29</v>
      </c>
    </row>
    <row r="114" spans="1:6" x14ac:dyDescent="0.25">
      <c r="A114" t="s">
        <v>6</v>
      </c>
      <c r="B114" s="1" t="s">
        <v>56</v>
      </c>
      <c r="C114" s="1" t="s">
        <v>40</v>
      </c>
      <c r="D114" s="1" t="s">
        <v>52</v>
      </c>
      <c r="E114" s="1" t="s">
        <v>59</v>
      </c>
      <c r="F114" s="3">
        <v>45920.931354166663</v>
      </c>
    </row>
    <row r="115" spans="1:6" x14ac:dyDescent="0.25">
      <c r="A115" t="s">
        <v>7</v>
      </c>
      <c r="B115" s="1">
        <v>29</v>
      </c>
      <c r="C115" s="1">
        <v>-153</v>
      </c>
      <c r="D115" s="1">
        <v>55</v>
      </c>
      <c r="E115" s="1">
        <v>69</v>
      </c>
    </row>
    <row r="116" spans="1:6" x14ac:dyDescent="0.25">
      <c r="A116" t="s">
        <v>8</v>
      </c>
      <c r="B116">
        <f t="shared" ref="B116" si="105">4-_xlfn.RANK.AVG(B115,$B115:$E115)</f>
        <v>1</v>
      </c>
      <c r="C116">
        <f t="shared" ref="C116" si="106">4-_xlfn.RANK.AVG(C115,$B115:$E115)</f>
        <v>0</v>
      </c>
      <c r="D116">
        <f t="shared" ref="D116" si="107">4-_xlfn.RANK.AVG(D115,$B115:$E115)</f>
        <v>2</v>
      </c>
      <c r="E116">
        <f t="shared" ref="E116" si="108">4-_xlfn.RANK.AVG(E115,$B115:$E115)</f>
        <v>3</v>
      </c>
    </row>
    <row r="117" spans="1:6" x14ac:dyDescent="0.25">
      <c r="A117" t="s">
        <v>5</v>
      </c>
      <c r="B117" t="s">
        <v>0</v>
      </c>
      <c r="C117" t="s">
        <v>1</v>
      </c>
      <c r="D117" t="s">
        <v>2</v>
      </c>
      <c r="E117" t="s">
        <v>3</v>
      </c>
      <c r="F117" t="str">
        <f t="shared" si="64"/>
        <v>Partie 30</v>
      </c>
    </row>
    <row r="118" spans="1:6" x14ac:dyDescent="0.25">
      <c r="A118" t="s">
        <v>6</v>
      </c>
      <c r="B118" s="1" t="s">
        <v>49</v>
      </c>
      <c r="C118" s="1" t="s">
        <v>37</v>
      </c>
      <c r="D118" s="1" t="s">
        <v>71</v>
      </c>
      <c r="E118" s="1" t="s">
        <v>51</v>
      </c>
      <c r="F118" s="3">
        <v>45920.931527777779</v>
      </c>
    </row>
    <row r="119" spans="1:6" x14ac:dyDescent="0.25">
      <c r="A119" t="s">
        <v>7</v>
      </c>
      <c r="B119" s="1">
        <v>-76</v>
      </c>
      <c r="C119" s="1">
        <v>74</v>
      </c>
      <c r="D119" s="1">
        <v>111</v>
      </c>
      <c r="E119" s="1">
        <v>-109</v>
      </c>
    </row>
    <row r="120" spans="1:6" x14ac:dyDescent="0.25">
      <c r="A120" t="s">
        <v>8</v>
      </c>
      <c r="B120">
        <f t="shared" ref="B120" si="109">4-_xlfn.RANK.AVG(B119,$B119:$E119)</f>
        <v>1</v>
      </c>
      <c r="C120">
        <f t="shared" ref="C120" si="110">4-_xlfn.RANK.AVG(C119,$B119:$E119)</f>
        <v>2</v>
      </c>
      <c r="D120">
        <f t="shared" ref="D120" si="111">4-_xlfn.RANK.AVG(D119,$B119:$E119)</f>
        <v>3</v>
      </c>
      <c r="E120">
        <f t="shared" ref="E120" si="112">4-_xlfn.RANK.AVG(E119,$B119:$E119)</f>
        <v>0</v>
      </c>
    </row>
    <row r="121" spans="1:6" x14ac:dyDescent="0.25">
      <c r="A121" t="s">
        <v>5</v>
      </c>
      <c r="B121" t="s">
        <v>0</v>
      </c>
      <c r="C121" t="s">
        <v>1</v>
      </c>
      <c r="D121" t="s">
        <v>2</v>
      </c>
      <c r="E121" t="s">
        <v>3</v>
      </c>
      <c r="F121" t="str">
        <f t="shared" si="64"/>
        <v>Partie 31</v>
      </c>
    </row>
    <row r="122" spans="1:6" x14ac:dyDescent="0.25">
      <c r="A122" t="s">
        <v>6</v>
      </c>
      <c r="B122" s="1" t="s">
        <v>39</v>
      </c>
      <c r="C122" s="1" t="s">
        <v>41</v>
      </c>
      <c r="D122" s="1" t="s">
        <v>55</v>
      </c>
      <c r="E122" s="1" t="s">
        <v>48</v>
      </c>
      <c r="F122" s="3">
        <v>45920.93105324074</v>
      </c>
    </row>
    <row r="123" spans="1:6" x14ac:dyDescent="0.25">
      <c r="A123" t="s">
        <v>7</v>
      </c>
      <c r="B123" s="1">
        <v>-45</v>
      </c>
      <c r="C123" s="1">
        <v>126</v>
      </c>
      <c r="D123" s="1">
        <v>-63</v>
      </c>
      <c r="E123" s="1">
        <v>-18</v>
      </c>
    </row>
    <row r="124" spans="1:6" x14ac:dyDescent="0.25">
      <c r="A124" t="s">
        <v>8</v>
      </c>
      <c r="B124">
        <f t="shared" ref="B124" si="113">4-_xlfn.RANK.AVG(B123,$B123:$E123)</f>
        <v>1</v>
      </c>
      <c r="C124">
        <f t="shared" ref="C124" si="114">4-_xlfn.RANK.AVG(C123,$B123:$E123)</f>
        <v>3</v>
      </c>
      <c r="D124">
        <f t="shared" ref="D124" si="115">4-_xlfn.RANK.AVG(D123,$B123:$E123)</f>
        <v>0</v>
      </c>
      <c r="E124">
        <f t="shared" ref="E124" si="116">4-_xlfn.RANK.AVG(E123,$B123:$E123)</f>
        <v>2</v>
      </c>
    </row>
    <row r="125" spans="1:6" x14ac:dyDescent="0.25">
      <c r="A125" t="s">
        <v>5</v>
      </c>
      <c r="B125" t="s">
        <v>0</v>
      </c>
      <c r="C125" t="s">
        <v>1</v>
      </c>
      <c r="D125" t="s">
        <v>2</v>
      </c>
      <c r="E125" t="s">
        <v>3</v>
      </c>
      <c r="F125" t="str">
        <f t="shared" si="64"/>
        <v>Partie 32</v>
      </c>
    </row>
    <row r="126" spans="1:6" x14ac:dyDescent="0.25">
      <c r="A126" t="s">
        <v>6</v>
      </c>
      <c r="B126" s="1" t="s">
        <v>55</v>
      </c>
      <c r="C126" s="1" t="s">
        <v>51</v>
      </c>
      <c r="D126" s="1" t="s">
        <v>44</v>
      </c>
      <c r="E126" s="1" t="s">
        <v>38</v>
      </c>
      <c r="F126" s="3">
        <v>45920.694606481484</v>
      </c>
    </row>
    <row r="127" spans="1:6" x14ac:dyDescent="0.25">
      <c r="A127" t="s">
        <v>7</v>
      </c>
      <c r="B127" s="1">
        <v>94</v>
      </c>
      <c r="C127" s="1">
        <v>151</v>
      </c>
      <c r="D127" s="1">
        <v>-189</v>
      </c>
      <c r="E127" s="1">
        <v>-56</v>
      </c>
    </row>
    <row r="128" spans="1:6" x14ac:dyDescent="0.25">
      <c r="A128" t="s">
        <v>8</v>
      </c>
      <c r="B128">
        <f t="shared" ref="B128" si="117">4-_xlfn.RANK.AVG(B127,$B127:$E127)</f>
        <v>2</v>
      </c>
      <c r="C128">
        <f t="shared" ref="C128" si="118">4-_xlfn.RANK.AVG(C127,$B127:$E127)</f>
        <v>3</v>
      </c>
      <c r="D128">
        <f t="shared" ref="D128" si="119">4-_xlfn.RANK.AVG(D127,$B127:$E127)</f>
        <v>0</v>
      </c>
      <c r="E128">
        <f t="shared" ref="E128" si="120">4-_xlfn.RANK.AVG(E127,$B127:$E127)</f>
        <v>1</v>
      </c>
    </row>
    <row r="129" spans="1:6" x14ac:dyDescent="0.25">
      <c r="A129" t="s">
        <v>5</v>
      </c>
      <c r="B129" t="s">
        <v>0</v>
      </c>
      <c r="C129" t="s">
        <v>1</v>
      </c>
      <c r="D129" t="s">
        <v>2</v>
      </c>
      <c r="E129" t="s">
        <v>3</v>
      </c>
      <c r="F129" t="str">
        <f t="shared" si="64"/>
        <v>Partie 33</v>
      </c>
    </row>
    <row r="130" spans="1:6" x14ac:dyDescent="0.25">
      <c r="A130" t="s">
        <v>6</v>
      </c>
      <c r="B130" s="1" t="s">
        <v>40</v>
      </c>
      <c r="C130" s="1" t="s">
        <v>47</v>
      </c>
      <c r="D130" s="1" t="s">
        <v>52</v>
      </c>
      <c r="E130" s="1" t="s">
        <v>38</v>
      </c>
      <c r="F130" s="3">
        <v>45924.693298611113</v>
      </c>
    </row>
    <row r="131" spans="1:6" x14ac:dyDescent="0.25">
      <c r="A131" t="s">
        <v>7</v>
      </c>
      <c r="B131" s="1">
        <v>76</v>
      </c>
      <c r="C131" s="1">
        <v>52</v>
      </c>
      <c r="D131" s="1">
        <v>120</v>
      </c>
      <c r="E131" s="1">
        <v>-248</v>
      </c>
    </row>
    <row r="132" spans="1:6" x14ac:dyDescent="0.25">
      <c r="A132" t="s">
        <v>8</v>
      </c>
      <c r="B132">
        <f t="shared" ref="B132" si="121">4-_xlfn.RANK.AVG(B131,$B131:$E131)</f>
        <v>2</v>
      </c>
      <c r="C132">
        <f t="shared" ref="C132" si="122">4-_xlfn.RANK.AVG(C131,$B131:$E131)</f>
        <v>1</v>
      </c>
      <c r="D132">
        <f t="shared" ref="D132" si="123">4-_xlfn.RANK.AVG(D131,$B131:$E131)</f>
        <v>3</v>
      </c>
      <c r="E132">
        <f t="shared" ref="E132" si="124">4-_xlfn.RANK.AVG(E131,$B131:$E131)</f>
        <v>0</v>
      </c>
    </row>
    <row r="133" spans="1:6" x14ac:dyDescent="0.25">
      <c r="A133" t="s">
        <v>5</v>
      </c>
      <c r="B133" t="s">
        <v>0</v>
      </c>
      <c r="C133" t="s">
        <v>1</v>
      </c>
      <c r="D133" t="s">
        <v>2</v>
      </c>
      <c r="E133" t="s">
        <v>3</v>
      </c>
      <c r="F133" t="str">
        <f t="shared" si="64"/>
        <v>Partie 34</v>
      </c>
    </row>
    <row r="134" spans="1:6" x14ac:dyDescent="0.25">
      <c r="A134" t="s">
        <v>6</v>
      </c>
      <c r="B134" s="1" t="s">
        <v>40</v>
      </c>
      <c r="C134" s="1" t="s">
        <v>60</v>
      </c>
      <c r="D134" s="1" t="s">
        <v>38</v>
      </c>
      <c r="E134" s="1" t="s">
        <v>52</v>
      </c>
      <c r="F134" s="3">
        <v>45924.778819444444</v>
      </c>
    </row>
    <row r="135" spans="1:6" x14ac:dyDescent="0.25">
      <c r="A135" t="s">
        <v>7</v>
      </c>
      <c r="B135" s="1">
        <v>10</v>
      </c>
      <c r="C135" s="1">
        <v>-132</v>
      </c>
      <c r="D135" s="1">
        <v>-164</v>
      </c>
      <c r="E135" s="1">
        <v>286</v>
      </c>
    </row>
    <row r="136" spans="1:6" x14ac:dyDescent="0.25">
      <c r="A136" t="s">
        <v>8</v>
      </c>
      <c r="B136">
        <f t="shared" ref="B136" si="125">4-_xlfn.RANK.AVG(B135,$B135:$E135)</f>
        <v>2</v>
      </c>
      <c r="C136">
        <f t="shared" ref="C136" si="126">4-_xlfn.RANK.AVG(C135,$B135:$E135)</f>
        <v>1</v>
      </c>
      <c r="D136">
        <f t="shared" ref="D136" si="127">4-_xlfn.RANK.AVG(D135,$B135:$E135)</f>
        <v>0</v>
      </c>
      <c r="E136">
        <f t="shared" ref="E136" si="128">4-_xlfn.RANK.AVG(E135,$B135:$E135)</f>
        <v>3</v>
      </c>
    </row>
    <row r="137" spans="1:6" x14ac:dyDescent="0.25">
      <c r="A137" t="s">
        <v>5</v>
      </c>
      <c r="B137" t="s">
        <v>0</v>
      </c>
      <c r="C137" t="s">
        <v>1</v>
      </c>
      <c r="D137" t="s">
        <v>2</v>
      </c>
      <c r="E137" t="s">
        <v>3</v>
      </c>
      <c r="F137" t="str">
        <f t="shared" ref="F137:F197" si="129">"Partie " &amp; (ROW()-1)/4+1</f>
        <v>Partie 35</v>
      </c>
    </row>
    <row r="138" spans="1:6" x14ac:dyDescent="0.25">
      <c r="A138" t="s">
        <v>6</v>
      </c>
      <c r="B138" s="1" t="s">
        <v>71</v>
      </c>
      <c r="C138" s="1" t="s">
        <v>38</v>
      </c>
      <c r="D138" s="1" t="s">
        <v>40</v>
      </c>
      <c r="E138" s="1" t="s">
        <v>52</v>
      </c>
      <c r="F138" s="3">
        <v>45925.710659722223</v>
      </c>
    </row>
    <row r="139" spans="1:6" x14ac:dyDescent="0.25">
      <c r="A139" t="s">
        <v>7</v>
      </c>
      <c r="B139" s="1">
        <v>22</v>
      </c>
      <c r="C139" s="1">
        <v>-120</v>
      </c>
      <c r="D139" s="1">
        <v>109</v>
      </c>
      <c r="E139" s="1">
        <v>-11</v>
      </c>
    </row>
    <row r="140" spans="1:6" x14ac:dyDescent="0.25">
      <c r="A140" t="s">
        <v>8</v>
      </c>
      <c r="B140">
        <f t="shared" ref="B140" si="130">4-_xlfn.RANK.AVG(B139,$B139:$E139)</f>
        <v>2</v>
      </c>
      <c r="C140">
        <f t="shared" ref="C140" si="131">4-_xlfn.RANK.AVG(C139,$B139:$E139)</f>
        <v>0</v>
      </c>
      <c r="D140">
        <f t="shared" ref="D140" si="132">4-_xlfn.RANK.AVG(D139,$B139:$E139)</f>
        <v>3</v>
      </c>
      <c r="E140">
        <f t="shared" ref="E140" si="133">4-_xlfn.RANK.AVG(E139,$B139:$E139)</f>
        <v>1</v>
      </c>
    </row>
    <row r="141" spans="1:6" x14ac:dyDescent="0.25">
      <c r="A141" t="s">
        <v>5</v>
      </c>
      <c r="B141" t="s">
        <v>0</v>
      </c>
      <c r="C141" t="s">
        <v>1</v>
      </c>
      <c r="D141" t="s">
        <v>2</v>
      </c>
      <c r="E141" t="s">
        <v>3</v>
      </c>
      <c r="F141" t="str">
        <f t="shared" si="129"/>
        <v>Partie 36</v>
      </c>
    </row>
    <row r="142" spans="1:6" x14ac:dyDescent="0.25">
      <c r="A142" t="s">
        <v>6</v>
      </c>
      <c r="B142" s="1" t="s">
        <v>40</v>
      </c>
      <c r="C142" s="1" t="s">
        <v>38</v>
      </c>
      <c r="D142" s="1" t="s">
        <v>52</v>
      </c>
      <c r="E142" s="1" t="s">
        <v>71</v>
      </c>
      <c r="F142" s="3">
        <v>45925.804814814815</v>
      </c>
    </row>
    <row r="143" spans="1:6" x14ac:dyDescent="0.25">
      <c r="A143" t="s">
        <v>7</v>
      </c>
      <c r="B143" s="1">
        <v>38</v>
      </c>
      <c r="C143" s="1">
        <v>-133</v>
      </c>
      <c r="D143" s="1">
        <v>135</v>
      </c>
      <c r="E143" s="1">
        <v>-40</v>
      </c>
    </row>
    <row r="144" spans="1:6" x14ac:dyDescent="0.25">
      <c r="A144" t="s">
        <v>8</v>
      </c>
      <c r="B144">
        <f t="shared" ref="B144" si="134">4-_xlfn.RANK.AVG(B143,$B143:$E143)</f>
        <v>2</v>
      </c>
      <c r="C144">
        <f t="shared" ref="C144" si="135">4-_xlfn.RANK.AVG(C143,$B143:$E143)</f>
        <v>0</v>
      </c>
      <c r="D144">
        <f t="shared" ref="D144" si="136">4-_xlfn.RANK.AVG(D143,$B143:$E143)</f>
        <v>3</v>
      </c>
      <c r="E144">
        <f t="shared" ref="E144" si="137">4-_xlfn.RANK.AVG(E143,$B143:$E143)</f>
        <v>1</v>
      </c>
    </row>
    <row r="145" spans="1:6" x14ac:dyDescent="0.25">
      <c r="A145" t="s">
        <v>5</v>
      </c>
      <c r="B145" t="s">
        <v>0</v>
      </c>
      <c r="C145" t="s">
        <v>1</v>
      </c>
      <c r="D145" t="s">
        <v>2</v>
      </c>
      <c r="E145" t="s">
        <v>3</v>
      </c>
      <c r="F145" t="str">
        <f t="shared" si="129"/>
        <v>Partie 37</v>
      </c>
    </row>
    <row r="146" spans="1:6" x14ac:dyDescent="0.25">
      <c r="A146" t="s">
        <v>6</v>
      </c>
      <c r="B146" s="1" t="s">
        <v>46</v>
      </c>
      <c r="C146" s="1" t="s">
        <v>49</v>
      </c>
      <c r="D146" s="1" t="s">
        <v>38</v>
      </c>
      <c r="E146" s="1" t="s">
        <v>56</v>
      </c>
      <c r="F146" s="3">
        <v>45927.592199074075</v>
      </c>
    </row>
    <row r="147" spans="1:6" x14ac:dyDescent="0.25">
      <c r="A147" t="s">
        <v>7</v>
      </c>
      <c r="B147" s="1">
        <v>-72</v>
      </c>
      <c r="C147" s="1">
        <v>195</v>
      </c>
      <c r="D147" s="1">
        <v>-63</v>
      </c>
      <c r="E147" s="1">
        <v>-60</v>
      </c>
    </row>
    <row r="148" spans="1:6" x14ac:dyDescent="0.25">
      <c r="A148" t="s">
        <v>8</v>
      </c>
      <c r="B148">
        <f t="shared" ref="B148" si="138">4-_xlfn.RANK.AVG(B147,$B147:$E147)</f>
        <v>0</v>
      </c>
      <c r="C148">
        <f t="shared" ref="C148" si="139">4-_xlfn.RANK.AVG(C147,$B147:$E147)</f>
        <v>3</v>
      </c>
      <c r="D148">
        <f t="shared" ref="D148" si="140">4-_xlfn.RANK.AVG(D147,$B147:$E147)</f>
        <v>1</v>
      </c>
      <c r="E148">
        <f t="shared" ref="E148" si="141">4-_xlfn.RANK.AVG(E147,$B147:$E147)</f>
        <v>2</v>
      </c>
    </row>
    <row r="149" spans="1:6" x14ac:dyDescent="0.25">
      <c r="A149" t="s">
        <v>5</v>
      </c>
      <c r="B149" t="s">
        <v>0</v>
      </c>
      <c r="C149" t="s">
        <v>1</v>
      </c>
      <c r="D149" t="s">
        <v>2</v>
      </c>
      <c r="E149" t="s">
        <v>3</v>
      </c>
      <c r="F149" t="str">
        <f t="shared" si="129"/>
        <v>Partie 38</v>
      </c>
    </row>
    <row r="150" spans="1:6" x14ac:dyDescent="0.25">
      <c r="A150" t="s">
        <v>6</v>
      </c>
      <c r="B150" s="1" t="s">
        <v>71</v>
      </c>
      <c r="C150" s="1" t="s">
        <v>51</v>
      </c>
      <c r="D150" s="1" t="s">
        <v>52</v>
      </c>
      <c r="E150" s="1" t="s">
        <v>60</v>
      </c>
      <c r="F150" s="3">
        <v>45927.697650462964</v>
      </c>
    </row>
    <row r="151" spans="1:6" x14ac:dyDescent="0.25">
      <c r="A151" t="s">
        <v>7</v>
      </c>
      <c r="B151" s="1">
        <v>202</v>
      </c>
      <c r="C151" s="1">
        <v>-182</v>
      </c>
      <c r="D151" s="1">
        <v>158</v>
      </c>
      <c r="E151" s="1">
        <v>-178</v>
      </c>
    </row>
    <row r="152" spans="1:6" x14ac:dyDescent="0.25">
      <c r="A152" t="s">
        <v>8</v>
      </c>
      <c r="B152">
        <f t="shared" ref="B152" si="142">4-_xlfn.RANK.AVG(B151,$B151:$E151)</f>
        <v>3</v>
      </c>
      <c r="C152">
        <f t="shared" ref="C152" si="143">4-_xlfn.RANK.AVG(C151,$B151:$E151)</f>
        <v>0</v>
      </c>
      <c r="D152">
        <f t="shared" ref="D152" si="144">4-_xlfn.RANK.AVG(D151,$B151:$E151)</f>
        <v>2</v>
      </c>
      <c r="E152">
        <f t="shared" ref="E152" si="145">4-_xlfn.RANK.AVG(E151,$B151:$E151)</f>
        <v>1</v>
      </c>
    </row>
    <row r="153" spans="1:6" x14ac:dyDescent="0.25">
      <c r="A153" t="s">
        <v>5</v>
      </c>
      <c r="B153" t="s">
        <v>0</v>
      </c>
      <c r="C153" t="s">
        <v>1</v>
      </c>
      <c r="D153" t="s">
        <v>2</v>
      </c>
      <c r="E153" t="s">
        <v>3</v>
      </c>
      <c r="F153" t="str">
        <f t="shared" si="129"/>
        <v>Partie 39</v>
      </c>
    </row>
    <row r="154" spans="1:6" x14ac:dyDescent="0.25">
      <c r="A154" t="s">
        <v>6</v>
      </c>
      <c r="B154" s="1" t="s">
        <v>46</v>
      </c>
      <c r="C154" s="1" t="s">
        <v>55</v>
      </c>
      <c r="D154" s="1" t="s">
        <v>44</v>
      </c>
      <c r="E154" s="1" t="s">
        <v>37</v>
      </c>
      <c r="F154" s="3">
        <v>45927.696898148148</v>
      </c>
    </row>
    <row r="155" spans="1:6" x14ac:dyDescent="0.25">
      <c r="A155" t="s">
        <v>7</v>
      </c>
      <c r="B155" s="1">
        <v>-78</v>
      </c>
      <c r="C155" s="1">
        <v>-102</v>
      </c>
      <c r="D155" s="1">
        <v>-132</v>
      </c>
      <c r="E155" s="1">
        <v>312</v>
      </c>
    </row>
    <row r="156" spans="1:6" x14ac:dyDescent="0.25">
      <c r="A156" t="s">
        <v>8</v>
      </c>
      <c r="B156">
        <f t="shared" ref="B156" si="146">4-_xlfn.RANK.AVG(B155,$B155:$E155)</f>
        <v>2</v>
      </c>
      <c r="C156">
        <f t="shared" ref="C156" si="147">4-_xlfn.RANK.AVG(C155,$B155:$E155)</f>
        <v>1</v>
      </c>
      <c r="D156">
        <f t="shared" ref="D156" si="148">4-_xlfn.RANK.AVG(D155,$B155:$E155)</f>
        <v>0</v>
      </c>
      <c r="E156">
        <f t="shared" ref="E156" si="149">4-_xlfn.RANK.AVG(E155,$B155:$E155)</f>
        <v>3</v>
      </c>
    </row>
    <row r="157" spans="1:6" x14ac:dyDescent="0.25">
      <c r="A157" t="s">
        <v>5</v>
      </c>
      <c r="B157" t="s">
        <v>0</v>
      </c>
      <c r="C157" t="s">
        <v>1</v>
      </c>
      <c r="D157" t="s">
        <v>2</v>
      </c>
      <c r="E157" t="s">
        <v>3</v>
      </c>
      <c r="F157" t="str">
        <f t="shared" si="129"/>
        <v>Partie 40</v>
      </c>
    </row>
    <row r="158" spans="1:6" x14ac:dyDescent="0.25">
      <c r="A158" t="s">
        <v>6</v>
      </c>
      <c r="B158" s="1" t="s">
        <v>56</v>
      </c>
      <c r="C158" s="1" t="s">
        <v>38</v>
      </c>
      <c r="D158" s="1" t="s">
        <v>49</v>
      </c>
      <c r="E158" s="1" t="s">
        <v>42</v>
      </c>
      <c r="F158" s="3">
        <v>45927.697187500002</v>
      </c>
    </row>
    <row r="159" spans="1:6" x14ac:dyDescent="0.25">
      <c r="A159" t="s">
        <v>7</v>
      </c>
      <c r="B159" s="1">
        <v>-48</v>
      </c>
      <c r="C159" s="1">
        <v>-30</v>
      </c>
      <c r="D159" s="1">
        <v>100</v>
      </c>
      <c r="E159" s="1">
        <v>-22</v>
      </c>
    </row>
    <row r="160" spans="1:6" x14ac:dyDescent="0.25">
      <c r="A160" t="s">
        <v>8</v>
      </c>
      <c r="B160">
        <f t="shared" ref="B160" si="150">4-_xlfn.RANK.AVG(B159,$B159:$E159)</f>
        <v>0</v>
      </c>
      <c r="C160">
        <f t="shared" ref="C160" si="151">4-_xlfn.RANK.AVG(C159,$B159:$E159)</f>
        <v>1</v>
      </c>
      <c r="D160">
        <f t="shared" ref="D160" si="152">4-_xlfn.RANK.AVG(D159,$B159:$E159)</f>
        <v>3</v>
      </c>
      <c r="E160">
        <f t="shared" ref="E160" si="153">4-_xlfn.RANK.AVG(E159,$B159:$E159)</f>
        <v>2</v>
      </c>
    </row>
    <row r="161" spans="1:6" x14ac:dyDescent="0.25">
      <c r="A161" t="s">
        <v>5</v>
      </c>
      <c r="B161" t="s">
        <v>0</v>
      </c>
      <c r="C161" t="s">
        <v>1</v>
      </c>
      <c r="D161" t="s">
        <v>2</v>
      </c>
      <c r="E161" t="s">
        <v>3</v>
      </c>
      <c r="F161" t="str">
        <f t="shared" si="129"/>
        <v>Partie 41</v>
      </c>
    </row>
    <row r="162" spans="1:6" x14ac:dyDescent="0.25">
      <c r="A162" t="s">
        <v>6</v>
      </c>
      <c r="B162" s="1" t="s">
        <v>51</v>
      </c>
      <c r="C162" s="1" t="s">
        <v>44</v>
      </c>
      <c r="D162" s="1" t="s">
        <v>55</v>
      </c>
      <c r="E162" s="1" t="s">
        <v>42</v>
      </c>
      <c r="F162" s="3">
        <v>45927.59270833333</v>
      </c>
    </row>
    <row r="163" spans="1:6" x14ac:dyDescent="0.25">
      <c r="A163" t="s">
        <v>7</v>
      </c>
      <c r="B163" s="1">
        <v>-128</v>
      </c>
      <c r="C163" s="1">
        <v>14</v>
      </c>
      <c r="D163" s="1">
        <v>44</v>
      </c>
      <c r="E163" s="1">
        <v>70</v>
      </c>
    </row>
    <row r="164" spans="1:6" x14ac:dyDescent="0.25">
      <c r="A164" t="s">
        <v>8</v>
      </c>
      <c r="B164">
        <f t="shared" ref="B164" si="154">4-_xlfn.RANK.AVG(B163,$B163:$E163)</f>
        <v>0</v>
      </c>
      <c r="C164">
        <f t="shared" ref="C164" si="155">4-_xlfn.RANK.AVG(C163,$B163:$E163)</f>
        <v>1</v>
      </c>
      <c r="D164">
        <f t="shared" ref="D164" si="156">4-_xlfn.RANK.AVG(D163,$B163:$E163)</f>
        <v>2</v>
      </c>
      <c r="E164">
        <f t="shared" ref="E164" si="157">4-_xlfn.RANK.AVG(E163,$B163:$E163)</f>
        <v>3</v>
      </c>
    </row>
    <row r="165" spans="1:6" x14ac:dyDescent="0.25">
      <c r="A165" t="s">
        <v>5</v>
      </c>
      <c r="B165" t="s">
        <v>0</v>
      </c>
      <c r="C165" t="s">
        <v>1</v>
      </c>
      <c r="D165" t="s">
        <v>2</v>
      </c>
      <c r="E165" t="s">
        <v>3</v>
      </c>
      <c r="F165" t="str">
        <f t="shared" si="129"/>
        <v>Partie 42</v>
      </c>
    </row>
    <row r="166" spans="1:6" x14ac:dyDescent="0.25">
      <c r="A166" t="s">
        <v>6</v>
      </c>
      <c r="B166" s="1" t="s">
        <v>48</v>
      </c>
      <c r="C166" s="1" t="s">
        <v>71</v>
      </c>
      <c r="D166" s="1" t="s">
        <v>49</v>
      </c>
      <c r="E166" s="1" t="s">
        <v>51</v>
      </c>
      <c r="F166" s="3">
        <v>45927.858159722222</v>
      </c>
    </row>
    <row r="167" spans="1:6" x14ac:dyDescent="0.25">
      <c r="A167" t="s">
        <v>7</v>
      </c>
      <c r="B167" s="1">
        <v>-68</v>
      </c>
      <c r="C167" s="1">
        <v>73</v>
      </c>
      <c r="D167" s="1">
        <v>100</v>
      </c>
      <c r="E167" s="1">
        <v>-105</v>
      </c>
    </row>
    <row r="168" spans="1:6" x14ac:dyDescent="0.25">
      <c r="A168" t="s">
        <v>8</v>
      </c>
      <c r="B168">
        <f t="shared" ref="B168" si="158">4-_xlfn.RANK.AVG(B167,$B167:$E167)</f>
        <v>1</v>
      </c>
      <c r="C168">
        <f t="shared" ref="C168" si="159">4-_xlfn.RANK.AVG(C167,$B167:$E167)</f>
        <v>2</v>
      </c>
      <c r="D168">
        <f t="shared" ref="D168" si="160">4-_xlfn.RANK.AVG(D167,$B167:$E167)</f>
        <v>3</v>
      </c>
      <c r="E168">
        <f t="shared" ref="E168" si="161">4-_xlfn.RANK.AVG(E167,$B167:$E167)</f>
        <v>0</v>
      </c>
    </row>
    <row r="169" spans="1:6" x14ac:dyDescent="0.25">
      <c r="A169" t="s">
        <v>5</v>
      </c>
      <c r="B169" t="s">
        <v>0</v>
      </c>
      <c r="C169" t="s">
        <v>1</v>
      </c>
      <c r="D169" t="s">
        <v>2</v>
      </c>
      <c r="E169" t="s">
        <v>3</v>
      </c>
      <c r="F169" t="str">
        <f t="shared" si="129"/>
        <v>Partie 43</v>
      </c>
    </row>
    <row r="170" spans="1:6" x14ac:dyDescent="0.25">
      <c r="A170" t="s">
        <v>6</v>
      </c>
      <c r="B170" s="1" t="s">
        <v>60</v>
      </c>
      <c r="C170" s="1" t="s">
        <v>40</v>
      </c>
      <c r="D170" s="1" t="s">
        <v>37</v>
      </c>
      <c r="E170" s="1" t="s">
        <v>52</v>
      </c>
      <c r="F170" s="3">
        <v>45927.860451388886</v>
      </c>
    </row>
    <row r="171" spans="1:6" x14ac:dyDescent="0.25">
      <c r="A171" t="s">
        <v>7</v>
      </c>
      <c r="B171" s="1">
        <v>32</v>
      </c>
      <c r="C171" s="1">
        <v>23</v>
      </c>
      <c r="D171" s="1">
        <v>-60</v>
      </c>
      <c r="E171" s="1">
        <v>5</v>
      </c>
    </row>
    <row r="172" spans="1:6" x14ac:dyDescent="0.25">
      <c r="A172" t="s">
        <v>8</v>
      </c>
      <c r="B172">
        <f t="shared" ref="B172" si="162">4-_xlfn.RANK.AVG(B171,$B171:$E171)</f>
        <v>3</v>
      </c>
      <c r="C172">
        <f t="shared" ref="C172" si="163">4-_xlfn.RANK.AVG(C171,$B171:$E171)</f>
        <v>2</v>
      </c>
      <c r="D172">
        <f t="shared" ref="D172" si="164">4-_xlfn.RANK.AVG(D171,$B171:$E171)</f>
        <v>0</v>
      </c>
      <c r="E172">
        <f t="shared" ref="E172" si="165">4-_xlfn.RANK.AVG(E171,$B171:$E171)</f>
        <v>1</v>
      </c>
    </row>
    <row r="173" spans="1:6" x14ac:dyDescent="0.25">
      <c r="A173" t="s">
        <v>5</v>
      </c>
      <c r="B173" t="s">
        <v>0</v>
      </c>
      <c r="C173" t="s">
        <v>1</v>
      </c>
      <c r="D173" t="s">
        <v>2</v>
      </c>
      <c r="E173" t="s">
        <v>3</v>
      </c>
      <c r="F173" t="str">
        <f t="shared" si="129"/>
        <v>Partie 44</v>
      </c>
    </row>
    <row r="174" spans="1:6" x14ac:dyDescent="0.25">
      <c r="A174" t="s">
        <v>6</v>
      </c>
      <c r="B174" s="1" t="s">
        <v>41</v>
      </c>
      <c r="C174" s="1" t="s">
        <v>40</v>
      </c>
      <c r="D174" s="1" t="s">
        <v>52</v>
      </c>
      <c r="E174" s="1" t="s">
        <v>42</v>
      </c>
      <c r="F174" s="3">
        <v>45931.674340277779</v>
      </c>
    </row>
    <row r="175" spans="1:6" x14ac:dyDescent="0.25">
      <c r="A175" t="s">
        <v>7</v>
      </c>
      <c r="B175" s="1">
        <v>-56</v>
      </c>
      <c r="C175" s="1">
        <v>46</v>
      </c>
      <c r="D175" s="1">
        <v>77</v>
      </c>
      <c r="E175" s="1">
        <v>-67</v>
      </c>
    </row>
    <row r="176" spans="1:6" x14ac:dyDescent="0.25">
      <c r="A176" t="s">
        <v>8</v>
      </c>
      <c r="B176">
        <f t="shared" ref="B176" si="166">4-_xlfn.RANK.AVG(B175,$B175:$E175)</f>
        <v>1</v>
      </c>
      <c r="C176">
        <f t="shared" ref="C176" si="167">4-_xlfn.RANK.AVG(C175,$B175:$E175)</f>
        <v>2</v>
      </c>
      <c r="D176">
        <f t="shared" ref="D176" si="168">4-_xlfn.RANK.AVG(D175,$B175:$E175)</f>
        <v>3</v>
      </c>
      <c r="E176">
        <f t="shared" ref="E176" si="169">4-_xlfn.RANK.AVG(E175,$B175:$E175)</f>
        <v>0</v>
      </c>
    </row>
    <row r="177" spans="1:6" x14ac:dyDescent="0.25">
      <c r="A177" t="s">
        <v>5</v>
      </c>
      <c r="B177" t="s">
        <v>0</v>
      </c>
      <c r="C177" t="s">
        <v>1</v>
      </c>
      <c r="D177" t="s">
        <v>2</v>
      </c>
      <c r="E177" t="s">
        <v>3</v>
      </c>
      <c r="F177" t="str">
        <f t="shared" si="129"/>
        <v>Partie 45</v>
      </c>
    </row>
    <row r="178" spans="1:6" x14ac:dyDescent="0.25">
      <c r="A178" t="s">
        <v>6</v>
      </c>
      <c r="B178" s="1" t="s">
        <v>42</v>
      </c>
      <c r="C178" s="1" t="s">
        <v>71</v>
      </c>
      <c r="D178" s="1" t="s">
        <v>52</v>
      </c>
      <c r="E178" s="1" t="s">
        <v>40</v>
      </c>
      <c r="F178" s="3">
        <v>45931.77847222222</v>
      </c>
    </row>
    <row r="179" spans="1:6" x14ac:dyDescent="0.25">
      <c r="A179" t="s">
        <v>7</v>
      </c>
      <c r="B179" s="1">
        <v>-82</v>
      </c>
      <c r="C179" s="1">
        <v>-140</v>
      </c>
      <c r="D179" s="1">
        <v>249</v>
      </c>
      <c r="E179" s="1">
        <v>-27</v>
      </c>
    </row>
    <row r="180" spans="1:6" x14ac:dyDescent="0.25">
      <c r="A180" t="s">
        <v>8</v>
      </c>
      <c r="B180">
        <f t="shared" ref="B180" si="170">4-_xlfn.RANK.AVG(B179,$B179:$E179)</f>
        <v>1</v>
      </c>
      <c r="C180">
        <f t="shared" ref="C180" si="171">4-_xlfn.RANK.AVG(C179,$B179:$E179)</f>
        <v>0</v>
      </c>
      <c r="D180">
        <f t="shared" ref="D180" si="172">4-_xlfn.RANK.AVG(D179,$B179:$E179)</f>
        <v>3</v>
      </c>
      <c r="E180">
        <f t="shared" ref="E180" si="173">4-_xlfn.RANK.AVG(E179,$B179:$E179)</f>
        <v>2</v>
      </c>
    </row>
    <row r="181" spans="1:6" x14ac:dyDescent="0.25">
      <c r="A181" t="s">
        <v>5</v>
      </c>
      <c r="B181" t="s">
        <v>0</v>
      </c>
      <c r="C181" t="s">
        <v>1</v>
      </c>
      <c r="D181" t="s">
        <v>2</v>
      </c>
      <c r="E181" t="s">
        <v>3</v>
      </c>
      <c r="F181" t="str">
        <f t="shared" si="129"/>
        <v>Partie 46</v>
      </c>
    </row>
    <row r="182" spans="1:6" x14ac:dyDescent="0.25">
      <c r="A182" t="s">
        <v>6</v>
      </c>
      <c r="B182" s="1" t="s">
        <v>56</v>
      </c>
      <c r="C182" s="1" t="s">
        <v>41</v>
      </c>
      <c r="D182" s="1" t="s">
        <v>52</v>
      </c>
      <c r="E182" s="1" t="s">
        <v>44</v>
      </c>
      <c r="F182" s="3">
        <v>45934.596886574072</v>
      </c>
    </row>
    <row r="183" spans="1:6" x14ac:dyDescent="0.25">
      <c r="A183" t="s">
        <v>7</v>
      </c>
      <c r="B183" s="1">
        <v>-49</v>
      </c>
      <c r="C183" s="1">
        <v>49</v>
      </c>
      <c r="D183" s="1">
        <v>185</v>
      </c>
      <c r="E183" s="1">
        <v>-185</v>
      </c>
    </row>
    <row r="184" spans="1:6" x14ac:dyDescent="0.25">
      <c r="A184" t="s">
        <v>8</v>
      </c>
      <c r="B184">
        <f t="shared" ref="B184" si="174">4-_xlfn.RANK.AVG(B183,$B183:$E183)</f>
        <v>1</v>
      </c>
      <c r="C184">
        <f t="shared" ref="C184" si="175">4-_xlfn.RANK.AVG(C183,$B183:$E183)</f>
        <v>2</v>
      </c>
      <c r="D184">
        <f t="shared" ref="D184" si="176">4-_xlfn.RANK.AVG(D183,$B183:$E183)</f>
        <v>3</v>
      </c>
      <c r="E184">
        <f t="shared" ref="E184" si="177">4-_xlfn.RANK.AVG(E183,$B183:$E183)</f>
        <v>0</v>
      </c>
    </row>
    <row r="185" spans="1:6" x14ac:dyDescent="0.25">
      <c r="A185" t="s">
        <v>5</v>
      </c>
      <c r="B185" t="s">
        <v>0</v>
      </c>
      <c r="C185" t="s">
        <v>1</v>
      </c>
      <c r="D185" t="s">
        <v>2</v>
      </c>
      <c r="E185" t="s">
        <v>3</v>
      </c>
      <c r="F185" t="str">
        <f t="shared" si="129"/>
        <v>Partie 47</v>
      </c>
    </row>
    <row r="186" spans="1:6" x14ac:dyDescent="0.25">
      <c r="A186" t="s">
        <v>6</v>
      </c>
      <c r="B186" s="1" t="s">
        <v>42</v>
      </c>
      <c r="C186" s="1" t="s">
        <v>61</v>
      </c>
      <c r="D186" s="1" t="s">
        <v>37</v>
      </c>
      <c r="E186" s="1" t="s">
        <v>71</v>
      </c>
      <c r="F186" s="3">
        <v>45934.596435185187</v>
      </c>
    </row>
    <row r="187" spans="1:6" x14ac:dyDescent="0.25">
      <c r="A187" t="s">
        <v>7</v>
      </c>
      <c r="B187" s="1">
        <v>-145</v>
      </c>
      <c r="C187" s="1">
        <v>90</v>
      </c>
      <c r="D187" s="1">
        <v>105</v>
      </c>
      <c r="E187" s="1">
        <v>-50</v>
      </c>
    </row>
    <row r="188" spans="1:6" x14ac:dyDescent="0.25">
      <c r="A188" t="s">
        <v>8</v>
      </c>
      <c r="B188">
        <f t="shared" ref="B188" si="178">4-_xlfn.RANK.AVG(B187,$B187:$E187)</f>
        <v>0</v>
      </c>
      <c r="C188">
        <f t="shared" ref="C188" si="179">4-_xlfn.RANK.AVG(C187,$B187:$E187)</f>
        <v>2</v>
      </c>
      <c r="D188">
        <f t="shared" ref="D188" si="180">4-_xlfn.RANK.AVG(D187,$B187:$E187)</f>
        <v>3</v>
      </c>
      <c r="E188">
        <f t="shared" ref="E188" si="181">4-_xlfn.RANK.AVG(E187,$B187:$E187)</f>
        <v>1</v>
      </c>
    </row>
    <row r="189" spans="1:6" x14ac:dyDescent="0.25">
      <c r="A189" t="s">
        <v>5</v>
      </c>
      <c r="B189" t="s">
        <v>0</v>
      </c>
      <c r="C189" t="s">
        <v>1</v>
      </c>
      <c r="D189" t="s">
        <v>2</v>
      </c>
      <c r="E189" t="s">
        <v>3</v>
      </c>
      <c r="F189" t="str">
        <f t="shared" si="129"/>
        <v>Partie 48</v>
      </c>
    </row>
    <row r="190" spans="1:6" x14ac:dyDescent="0.25">
      <c r="A190" t="s">
        <v>6</v>
      </c>
      <c r="B190" s="1" t="s">
        <v>38</v>
      </c>
      <c r="C190" s="1" t="s">
        <v>51</v>
      </c>
      <c r="D190" s="1" t="s">
        <v>49</v>
      </c>
      <c r="E190" s="1" t="s">
        <v>55</v>
      </c>
      <c r="F190" s="3">
        <v>45934.595358796294</v>
      </c>
    </row>
    <row r="191" spans="1:6" x14ac:dyDescent="0.25">
      <c r="A191" t="s">
        <v>7</v>
      </c>
      <c r="B191" s="1">
        <v>-12</v>
      </c>
      <c r="C191" s="1">
        <v>-32</v>
      </c>
      <c r="D191" s="1">
        <v>138</v>
      </c>
      <c r="E191" s="1">
        <v>-94</v>
      </c>
    </row>
    <row r="192" spans="1:6" x14ac:dyDescent="0.25">
      <c r="A192" t="s">
        <v>8</v>
      </c>
      <c r="B192">
        <f t="shared" ref="B192" si="182">4-_xlfn.RANK.AVG(B191,$B191:$E191)</f>
        <v>2</v>
      </c>
      <c r="C192">
        <f t="shared" ref="C192" si="183">4-_xlfn.RANK.AVG(C191,$B191:$E191)</f>
        <v>1</v>
      </c>
      <c r="D192">
        <f t="shared" ref="D192" si="184">4-_xlfn.RANK.AVG(D191,$B191:$E191)</f>
        <v>3</v>
      </c>
      <c r="E192">
        <f t="shared" ref="E192" si="185">4-_xlfn.RANK.AVG(E191,$B191:$E191)</f>
        <v>0</v>
      </c>
    </row>
    <row r="193" spans="1:6" x14ac:dyDescent="0.25">
      <c r="A193" t="s">
        <v>5</v>
      </c>
      <c r="B193" t="s">
        <v>0</v>
      </c>
      <c r="C193" t="s">
        <v>1</v>
      </c>
      <c r="D193" t="s">
        <v>2</v>
      </c>
      <c r="E193" t="s">
        <v>3</v>
      </c>
      <c r="F193" t="str">
        <f t="shared" si="129"/>
        <v>Partie 49</v>
      </c>
    </row>
    <row r="194" spans="1:6" x14ac:dyDescent="0.25">
      <c r="A194" t="s">
        <v>6</v>
      </c>
      <c r="B194" s="1" t="s">
        <v>51</v>
      </c>
      <c r="C194" s="1" t="s">
        <v>44</v>
      </c>
      <c r="D194" s="1" t="s">
        <v>61</v>
      </c>
      <c r="E194" s="1" t="s">
        <v>52</v>
      </c>
      <c r="F194" s="3">
        <v>45934.697870370372</v>
      </c>
    </row>
    <row r="195" spans="1:6" x14ac:dyDescent="0.25">
      <c r="A195" t="s">
        <v>7</v>
      </c>
      <c r="B195" s="1">
        <v>-17</v>
      </c>
      <c r="C195" s="1">
        <v>-184</v>
      </c>
      <c r="D195" s="1">
        <v>136</v>
      </c>
      <c r="E195" s="1">
        <v>65</v>
      </c>
    </row>
    <row r="196" spans="1:6" x14ac:dyDescent="0.25">
      <c r="A196" t="s">
        <v>8</v>
      </c>
      <c r="B196">
        <f t="shared" ref="B196" si="186">4-_xlfn.RANK.AVG(B195,$B195:$E195)</f>
        <v>1</v>
      </c>
      <c r="C196">
        <f t="shared" ref="C196" si="187">4-_xlfn.RANK.AVG(C195,$B195:$E195)</f>
        <v>0</v>
      </c>
      <c r="D196">
        <f t="shared" ref="D196" si="188">4-_xlfn.RANK.AVG(D195,$B195:$E195)</f>
        <v>3</v>
      </c>
      <c r="E196">
        <f t="shared" ref="E196" si="189">4-_xlfn.RANK.AVG(E195,$B195:$E195)</f>
        <v>2</v>
      </c>
    </row>
    <row r="197" spans="1:6" x14ac:dyDescent="0.25">
      <c r="A197" t="s">
        <v>5</v>
      </c>
      <c r="B197" t="s">
        <v>0</v>
      </c>
      <c r="C197" t="s">
        <v>1</v>
      </c>
      <c r="D197" t="s">
        <v>2</v>
      </c>
      <c r="E197" t="s">
        <v>3</v>
      </c>
      <c r="F197" t="str">
        <f t="shared" si="129"/>
        <v>Partie 50</v>
      </c>
    </row>
    <row r="198" spans="1:6" x14ac:dyDescent="0.25">
      <c r="A198" t="s">
        <v>6</v>
      </c>
      <c r="B198" s="1" t="s">
        <v>37</v>
      </c>
      <c r="C198" s="1" t="s">
        <v>38</v>
      </c>
      <c r="D198" s="1" t="s">
        <v>47</v>
      </c>
      <c r="E198" s="1" t="s">
        <v>58</v>
      </c>
      <c r="F198" s="3">
        <v>45934.699074074073</v>
      </c>
    </row>
    <row r="199" spans="1:6" x14ac:dyDescent="0.25">
      <c r="A199" t="s">
        <v>7</v>
      </c>
      <c r="B199" s="1">
        <v>73</v>
      </c>
      <c r="C199" s="1">
        <v>-233</v>
      </c>
      <c r="D199" s="1">
        <v>14</v>
      </c>
      <c r="E199" s="1">
        <v>146</v>
      </c>
    </row>
    <row r="200" spans="1:6" x14ac:dyDescent="0.25">
      <c r="A200" t="s">
        <v>8</v>
      </c>
      <c r="B200">
        <f t="shared" ref="B200" si="190">4-_xlfn.RANK.AVG(B199,$B199:$E199)</f>
        <v>2</v>
      </c>
      <c r="C200">
        <f t="shared" ref="C200" si="191">4-_xlfn.RANK.AVG(C199,$B199:$E199)</f>
        <v>0</v>
      </c>
      <c r="D200">
        <f t="shared" ref="D200" si="192">4-_xlfn.RANK.AVG(D199,$B199:$E199)</f>
        <v>1</v>
      </c>
      <c r="E200">
        <f t="shared" ref="E200" si="193">4-_xlfn.RANK.AVG(E199,$B199:$E199)</f>
        <v>3</v>
      </c>
    </row>
    <row r="201" spans="1:6" x14ac:dyDescent="0.25">
      <c r="A201" t="s">
        <v>5</v>
      </c>
      <c r="B201" t="s">
        <v>0</v>
      </c>
      <c r="C201" t="s">
        <v>1</v>
      </c>
      <c r="D201" t="s">
        <v>2</v>
      </c>
      <c r="E201" t="s">
        <v>3</v>
      </c>
      <c r="F201" t="str">
        <f t="shared" ref="F201:F261" si="194">"Partie " &amp; (ROW()-1)/4+1</f>
        <v>Partie 51</v>
      </c>
    </row>
    <row r="202" spans="1:6" x14ac:dyDescent="0.25">
      <c r="A202" t="s">
        <v>6</v>
      </c>
      <c r="B202" s="1" t="s">
        <v>49</v>
      </c>
      <c r="C202" s="1" t="s">
        <v>53</v>
      </c>
      <c r="D202" s="1" t="s">
        <v>47</v>
      </c>
      <c r="E202" s="1" t="s">
        <v>46</v>
      </c>
      <c r="F202" s="3">
        <v>45934.698171296295</v>
      </c>
    </row>
    <row r="203" spans="1:6" x14ac:dyDescent="0.25">
      <c r="A203" t="s">
        <v>7</v>
      </c>
      <c r="B203" s="1">
        <v>-153</v>
      </c>
      <c r="C203" s="1">
        <v>-105</v>
      </c>
      <c r="D203" s="1">
        <v>365</v>
      </c>
      <c r="E203" s="1">
        <v>-107</v>
      </c>
    </row>
    <row r="204" spans="1:6" x14ac:dyDescent="0.25">
      <c r="A204" t="s">
        <v>8</v>
      </c>
      <c r="B204">
        <f t="shared" ref="B204" si="195">4-_xlfn.RANK.AVG(B203,$B203:$E203)</f>
        <v>0</v>
      </c>
      <c r="C204">
        <f t="shared" ref="C204" si="196">4-_xlfn.RANK.AVG(C203,$B203:$E203)</f>
        <v>2</v>
      </c>
      <c r="D204">
        <f t="shared" ref="D204" si="197">4-_xlfn.RANK.AVG(D203,$B203:$E203)</f>
        <v>3</v>
      </c>
      <c r="E204">
        <f t="shared" ref="E204" si="198">4-_xlfn.RANK.AVG(E203,$B203:$E203)</f>
        <v>1</v>
      </c>
    </row>
    <row r="205" spans="1:6" x14ac:dyDescent="0.25">
      <c r="A205" t="s">
        <v>5</v>
      </c>
      <c r="B205" t="s">
        <v>0</v>
      </c>
      <c r="C205" t="s">
        <v>1</v>
      </c>
      <c r="D205" t="s">
        <v>2</v>
      </c>
      <c r="E205" t="s">
        <v>3</v>
      </c>
      <c r="F205" t="str">
        <f t="shared" si="194"/>
        <v>Partie 52</v>
      </c>
    </row>
    <row r="206" spans="1:6" x14ac:dyDescent="0.25">
      <c r="A206" t="s">
        <v>6</v>
      </c>
      <c r="B206" s="1" t="s">
        <v>43</v>
      </c>
      <c r="C206" s="1" t="s">
        <v>46</v>
      </c>
      <c r="D206" s="1" t="s">
        <v>39</v>
      </c>
      <c r="E206" s="1" t="s">
        <v>58</v>
      </c>
      <c r="F206" s="3">
        <v>45934.596504629626</v>
      </c>
    </row>
    <row r="207" spans="1:6" x14ac:dyDescent="0.25">
      <c r="A207" t="s">
        <v>7</v>
      </c>
      <c r="B207" s="1">
        <v>-50</v>
      </c>
      <c r="C207" s="1">
        <v>-76</v>
      </c>
      <c r="D207" s="1">
        <v>227</v>
      </c>
      <c r="E207" s="1">
        <v>-101</v>
      </c>
    </row>
    <row r="208" spans="1:6" x14ac:dyDescent="0.25">
      <c r="A208" t="s">
        <v>8</v>
      </c>
      <c r="B208">
        <f t="shared" ref="B208" si="199">4-_xlfn.RANK.AVG(B207,$B207:$E207)</f>
        <v>2</v>
      </c>
      <c r="C208">
        <f t="shared" ref="C208" si="200">4-_xlfn.RANK.AVG(C207,$B207:$E207)</f>
        <v>1</v>
      </c>
      <c r="D208">
        <f t="shared" ref="D208" si="201">4-_xlfn.RANK.AVG(D207,$B207:$E207)</f>
        <v>3</v>
      </c>
      <c r="E208">
        <f t="shared" ref="E208" si="202">4-_xlfn.RANK.AVG(E207,$B207:$E207)</f>
        <v>0</v>
      </c>
    </row>
    <row r="209" spans="1:6" x14ac:dyDescent="0.25">
      <c r="A209" t="s">
        <v>5</v>
      </c>
      <c r="B209" t="s">
        <v>0</v>
      </c>
      <c r="C209" t="s">
        <v>1</v>
      </c>
      <c r="D209" t="s">
        <v>2</v>
      </c>
      <c r="E209" t="s">
        <v>3</v>
      </c>
      <c r="F209" t="str">
        <f t="shared" si="194"/>
        <v>Partie 53</v>
      </c>
    </row>
    <row r="210" spans="1:6" x14ac:dyDescent="0.25">
      <c r="A210" t="s">
        <v>6</v>
      </c>
      <c r="B210" s="1" t="s">
        <v>60</v>
      </c>
      <c r="C210" s="1" t="s">
        <v>43</v>
      </c>
      <c r="D210" s="1" t="s">
        <v>42</v>
      </c>
      <c r="E210" s="1" t="s">
        <v>40</v>
      </c>
      <c r="F210" s="3">
        <v>45934.614895833336</v>
      </c>
    </row>
    <row r="211" spans="1:6" x14ac:dyDescent="0.25">
      <c r="A211" t="s">
        <v>7</v>
      </c>
      <c r="B211" s="1">
        <v>248</v>
      </c>
      <c r="C211" s="1">
        <v>35</v>
      </c>
      <c r="D211" s="1">
        <v>-201</v>
      </c>
      <c r="E211" s="1">
        <v>-82</v>
      </c>
    </row>
    <row r="212" spans="1:6" x14ac:dyDescent="0.25">
      <c r="A212" t="s">
        <v>8</v>
      </c>
      <c r="B212">
        <f t="shared" ref="B212" si="203">4-_xlfn.RANK.AVG(B211,$B211:$E211)</f>
        <v>3</v>
      </c>
      <c r="C212">
        <f t="shared" ref="C212" si="204">4-_xlfn.RANK.AVG(C211,$B211:$E211)</f>
        <v>2</v>
      </c>
      <c r="D212">
        <f t="shared" ref="D212" si="205">4-_xlfn.RANK.AVG(D211,$B211:$E211)</f>
        <v>0</v>
      </c>
      <c r="E212">
        <f t="shared" ref="E212" si="206">4-_xlfn.RANK.AVG(E211,$B211:$E211)</f>
        <v>1</v>
      </c>
    </row>
    <row r="213" spans="1:6" x14ac:dyDescent="0.25">
      <c r="A213" t="s">
        <v>5</v>
      </c>
      <c r="B213" t="s">
        <v>0</v>
      </c>
      <c r="C213" t="s">
        <v>1</v>
      </c>
      <c r="D213" t="s">
        <v>2</v>
      </c>
      <c r="E213" t="s">
        <v>3</v>
      </c>
      <c r="F213" t="str">
        <f t="shared" si="194"/>
        <v>Partie 54</v>
      </c>
    </row>
    <row r="214" spans="1:6" x14ac:dyDescent="0.25">
      <c r="A214" t="s">
        <v>6</v>
      </c>
      <c r="B214" s="1" t="s">
        <v>55</v>
      </c>
      <c r="C214" s="1" t="s">
        <v>40</v>
      </c>
      <c r="D214" s="1" t="s">
        <v>48</v>
      </c>
      <c r="E214" s="1" t="s">
        <v>52</v>
      </c>
      <c r="F214" s="3">
        <v>45934.851412037038</v>
      </c>
    </row>
    <row r="215" spans="1:6" x14ac:dyDescent="0.25">
      <c r="A215" t="s">
        <v>7</v>
      </c>
      <c r="B215" s="1">
        <v>-204</v>
      </c>
      <c r="C215" s="1">
        <v>74</v>
      </c>
      <c r="D215" s="1">
        <v>174</v>
      </c>
      <c r="E215" s="1">
        <v>-44</v>
      </c>
    </row>
    <row r="216" spans="1:6" x14ac:dyDescent="0.25">
      <c r="A216" t="s">
        <v>8</v>
      </c>
      <c r="B216">
        <f t="shared" ref="B216" si="207">4-_xlfn.RANK.AVG(B215,$B215:$E215)</f>
        <v>0</v>
      </c>
      <c r="C216">
        <f t="shared" ref="C216" si="208">4-_xlfn.RANK.AVG(C215,$B215:$E215)</f>
        <v>2</v>
      </c>
      <c r="D216">
        <f t="shared" ref="D216" si="209">4-_xlfn.RANK.AVG(D215,$B215:$E215)</f>
        <v>3</v>
      </c>
      <c r="E216">
        <f t="shared" ref="E216" si="210">4-_xlfn.RANK.AVG(E215,$B215:$E215)</f>
        <v>1</v>
      </c>
    </row>
    <row r="217" spans="1:6" x14ac:dyDescent="0.25">
      <c r="A217" t="s">
        <v>5</v>
      </c>
      <c r="B217" t="s">
        <v>0</v>
      </c>
      <c r="C217" t="s">
        <v>1</v>
      </c>
      <c r="D217" t="s">
        <v>2</v>
      </c>
      <c r="E217" t="s">
        <v>3</v>
      </c>
      <c r="F217" t="str">
        <f t="shared" si="194"/>
        <v>Partie 55</v>
      </c>
    </row>
    <row r="218" spans="1:6" x14ac:dyDescent="0.25">
      <c r="A218" t="s">
        <v>6</v>
      </c>
      <c r="B218" s="1" t="s">
        <v>49</v>
      </c>
      <c r="C218" s="1" t="s">
        <v>60</v>
      </c>
      <c r="D218" s="1" t="s">
        <v>51</v>
      </c>
      <c r="E218" s="1" t="s">
        <v>37</v>
      </c>
      <c r="F218" s="3">
        <v>45934.851747685185</v>
      </c>
    </row>
    <row r="219" spans="1:6" x14ac:dyDescent="0.25">
      <c r="A219" t="s">
        <v>7</v>
      </c>
      <c r="B219" s="1">
        <v>-162</v>
      </c>
      <c r="C219" s="1">
        <v>92</v>
      </c>
      <c r="D219" s="1">
        <v>215</v>
      </c>
      <c r="E219" s="1">
        <v>-145</v>
      </c>
    </row>
    <row r="220" spans="1:6" x14ac:dyDescent="0.25">
      <c r="A220" t="s">
        <v>8</v>
      </c>
      <c r="B220">
        <f t="shared" ref="B220" si="211">4-_xlfn.RANK.AVG(B219,$B219:$E219)</f>
        <v>0</v>
      </c>
      <c r="C220">
        <f t="shared" ref="C220" si="212">4-_xlfn.RANK.AVG(C219,$B219:$E219)</f>
        <v>2</v>
      </c>
      <c r="D220">
        <f t="shared" ref="D220" si="213">4-_xlfn.RANK.AVG(D219,$B219:$E219)</f>
        <v>3</v>
      </c>
      <c r="E220">
        <f t="shared" ref="E220" si="214">4-_xlfn.RANK.AVG(E219,$B219:$E219)</f>
        <v>1</v>
      </c>
    </row>
    <row r="221" spans="1:6" x14ac:dyDescent="0.25">
      <c r="A221" t="s">
        <v>5</v>
      </c>
      <c r="B221" t="s">
        <v>0</v>
      </c>
      <c r="C221" t="s">
        <v>1</v>
      </c>
      <c r="D221" t="s">
        <v>2</v>
      </c>
      <c r="E221" t="s">
        <v>3</v>
      </c>
      <c r="F221" t="str">
        <f t="shared" si="194"/>
        <v>Partie 56</v>
      </c>
    </row>
    <row r="222" spans="1:6" x14ac:dyDescent="0.25">
      <c r="A222" t="s">
        <v>6</v>
      </c>
      <c r="B222" s="1" t="s">
        <v>47</v>
      </c>
      <c r="C222" s="1" t="s">
        <v>71</v>
      </c>
      <c r="D222" s="1" t="s">
        <v>55</v>
      </c>
      <c r="E222" s="1" t="s">
        <v>56</v>
      </c>
      <c r="F222" s="3">
        <v>45934.698981481481</v>
      </c>
    </row>
    <row r="223" spans="1:6" x14ac:dyDescent="0.25">
      <c r="A223" t="s">
        <v>7</v>
      </c>
      <c r="B223" s="1">
        <v>-77</v>
      </c>
      <c r="C223" s="1">
        <v>142</v>
      </c>
      <c r="D223" s="1">
        <v>-57</v>
      </c>
      <c r="E223" s="1">
        <v>-8</v>
      </c>
    </row>
    <row r="224" spans="1:6" x14ac:dyDescent="0.25">
      <c r="A224" t="s">
        <v>8</v>
      </c>
      <c r="B224">
        <f t="shared" ref="B224" si="215">4-_xlfn.RANK.AVG(B223,$B223:$E223)</f>
        <v>0</v>
      </c>
      <c r="C224">
        <f t="shared" ref="C224" si="216">4-_xlfn.RANK.AVG(C223,$B223:$E223)</f>
        <v>3</v>
      </c>
      <c r="D224">
        <f t="shared" ref="D224" si="217">4-_xlfn.RANK.AVG(D223,$B223:$E223)</f>
        <v>1</v>
      </c>
      <c r="E224">
        <f t="shared" ref="E224" si="218">4-_xlfn.RANK.AVG(E223,$B223:$E223)</f>
        <v>2</v>
      </c>
    </row>
    <row r="225" spans="1:6" x14ac:dyDescent="0.25">
      <c r="A225" t="s">
        <v>5</v>
      </c>
      <c r="B225" t="s">
        <v>0</v>
      </c>
      <c r="C225" t="s">
        <v>1</v>
      </c>
      <c r="D225" t="s">
        <v>2</v>
      </c>
      <c r="E225" t="s">
        <v>3</v>
      </c>
      <c r="F225" t="str">
        <f t="shared" si="194"/>
        <v>Partie 57</v>
      </c>
    </row>
    <row r="226" spans="1:6" x14ac:dyDescent="0.25">
      <c r="A226" t="s">
        <v>6</v>
      </c>
      <c r="B226" s="1" t="s">
        <v>39</v>
      </c>
      <c r="C226" s="1" t="s">
        <v>61</v>
      </c>
      <c r="D226" s="1" t="s">
        <v>71</v>
      </c>
      <c r="E226" s="1" t="s">
        <v>56</v>
      </c>
      <c r="F226" s="3">
        <v>45934.851493055554</v>
      </c>
    </row>
    <row r="227" spans="1:6" x14ac:dyDescent="0.25">
      <c r="A227" t="s">
        <v>7</v>
      </c>
      <c r="B227" s="1">
        <v>197</v>
      </c>
      <c r="C227" s="1">
        <v>121</v>
      </c>
      <c r="D227" s="1">
        <v>-157</v>
      </c>
      <c r="E227" s="1">
        <v>-161</v>
      </c>
    </row>
    <row r="228" spans="1:6" x14ac:dyDescent="0.25">
      <c r="A228" t="s">
        <v>8</v>
      </c>
      <c r="B228">
        <f t="shared" ref="B228" si="219">4-_xlfn.RANK.AVG(B227,$B227:$E227)</f>
        <v>3</v>
      </c>
      <c r="C228">
        <f t="shared" ref="C228" si="220">4-_xlfn.RANK.AVG(C227,$B227:$E227)</f>
        <v>2</v>
      </c>
      <c r="D228">
        <f t="shared" ref="D228" si="221">4-_xlfn.RANK.AVG(D227,$B227:$E227)</f>
        <v>1</v>
      </c>
      <c r="E228">
        <f t="shared" ref="E228" si="222">4-_xlfn.RANK.AVG(E227,$B227:$E227)</f>
        <v>0</v>
      </c>
    </row>
    <row r="229" spans="1:6" x14ac:dyDescent="0.25">
      <c r="A229" t="s">
        <v>5</v>
      </c>
      <c r="B229" t="s">
        <v>0</v>
      </c>
      <c r="C229" t="s">
        <v>1</v>
      </c>
      <c r="D229" t="s">
        <v>2</v>
      </c>
      <c r="E229" t="s">
        <v>3</v>
      </c>
      <c r="F229" t="str">
        <f t="shared" si="194"/>
        <v>Partie 58</v>
      </c>
    </row>
    <row r="230" spans="1:6" x14ac:dyDescent="0.25">
      <c r="A230" t="s">
        <v>6</v>
      </c>
      <c r="B230" s="1" t="s">
        <v>62</v>
      </c>
      <c r="C230" s="1" t="s">
        <v>63</v>
      </c>
      <c r="D230" s="1" t="s">
        <v>64</v>
      </c>
      <c r="E230" s="1" t="s">
        <v>65</v>
      </c>
      <c r="F230" s="3">
        <v>45939.83798611111</v>
      </c>
    </row>
    <row r="231" spans="1:6" x14ac:dyDescent="0.25">
      <c r="A231" t="s">
        <v>7</v>
      </c>
      <c r="B231" s="1">
        <v>23</v>
      </c>
      <c r="C231" s="1">
        <v>-60</v>
      </c>
      <c r="D231" s="1">
        <v>185</v>
      </c>
      <c r="E231" s="1">
        <v>-148</v>
      </c>
    </row>
    <row r="232" spans="1:6" x14ac:dyDescent="0.25">
      <c r="A232" t="s">
        <v>8</v>
      </c>
      <c r="B232">
        <f t="shared" ref="B232" si="223">4-_xlfn.RANK.AVG(B231,$B231:$E231)</f>
        <v>2</v>
      </c>
      <c r="C232">
        <f t="shared" ref="C232" si="224">4-_xlfn.RANK.AVG(C231,$B231:$E231)</f>
        <v>1</v>
      </c>
      <c r="D232">
        <f t="shared" ref="D232" si="225">4-_xlfn.RANK.AVG(D231,$B231:$E231)</f>
        <v>3</v>
      </c>
      <c r="E232">
        <f t="shared" ref="E232" si="226">4-_xlfn.RANK.AVG(E231,$B231:$E231)</f>
        <v>0</v>
      </c>
    </row>
    <row r="233" spans="1:6" x14ac:dyDescent="0.25">
      <c r="A233" t="s">
        <v>5</v>
      </c>
      <c r="B233" t="s">
        <v>0</v>
      </c>
      <c r="C233" t="s">
        <v>1</v>
      </c>
      <c r="D233" t="s">
        <v>2</v>
      </c>
      <c r="E233" t="s">
        <v>3</v>
      </c>
      <c r="F233" t="str">
        <f t="shared" si="194"/>
        <v>Partie 59</v>
      </c>
    </row>
    <row r="234" spans="1:6" x14ac:dyDescent="0.25">
      <c r="A234" t="s">
        <v>6</v>
      </c>
      <c r="B234" s="1" t="s">
        <v>62</v>
      </c>
      <c r="C234" s="1" t="s">
        <v>65</v>
      </c>
      <c r="D234" s="1" t="s">
        <v>63</v>
      </c>
      <c r="E234" s="1" t="s">
        <v>66</v>
      </c>
      <c r="F234" s="3">
        <v>45939.939386574071</v>
      </c>
    </row>
    <row r="235" spans="1:6" x14ac:dyDescent="0.25">
      <c r="A235" t="s">
        <v>7</v>
      </c>
      <c r="B235" s="1">
        <v>150</v>
      </c>
      <c r="C235" s="1">
        <v>74</v>
      </c>
      <c r="D235" s="1">
        <v>-25</v>
      </c>
      <c r="E235" s="1">
        <v>-199</v>
      </c>
    </row>
    <row r="236" spans="1:6" x14ac:dyDescent="0.25">
      <c r="A236" t="s">
        <v>8</v>
      </c>
      <c r="B236">
        <f t="shared" ref="B236" si="227">4-_xlfn.RANK.AVG(B235,$B235:$E235)</f>
        <v>3</v>
      </c>
      <c r="C236">
        <f t="shared" ref="C236" si="228">4-_xlfn.RANK.AVG(C235,$B235:$E235)</f>
        <v>2</v>
      </c>
      <c r="D236">
        <f t="shared" ref="D236" si="229">4-_xlfn.RANK.AVG(D235,$B235:$E235)</f>
        <v>1</v>
      </c>
      <c r="E236">
        <f t="shared" ref="E236" si="230">4-_xlfn.RANK.AVG(E235,$B235:$E235)</f>
        <v>0</v>
      </c>
    </row>
    <row r="237" spans="1:6" x14ac:dyDescent="0.25">
      <c r="A237" t="s">
        <v>5</v>
      </c>
      <c r="B237" t="s">
        <v>0</v>
      </c>
      <c r="C237" t="s">
        <v>1</v>
      </c>
      <c r="D237" t="s">
        <v>2</v>
      </c>
      <c r="E237" t="s">
        <v>3</v>
      </c>
      <c r="F237" t="str">
        <f t="shared" si="194"/>
        <v>Partie 60</v>
      </c>
    </row>
    <row r="238" spans="1:6" x14ac:dyDescent="0.25">
      <c r="A238" t="s">
        <v>6</v>
      </c>
      <c r="B238" s="1" t="s">
        <v>52</v>
      </c>
      <c r="C238" s="1" t="s">
        <v>71</v>
      </c>
      <c r="D238" s="1" t="s">
        <v>58</v>
      </c>
      <c r="E238" s="1" t="s">
        <v>60</v>
      </c>
      <c r="F238" s="3">
        <v>45939.773043981484</v>
      </c>
    </row>
    <row r="239" spans="1:6" x14ac:dyDescent="0.25">
      <c r="A239" t="s">
        <v>7</v>
      </c>
      <c r="B239" s="1">
        <v>63</v>
      </c>
      <c r="C239" s="1">
        <v>98</v>
      </c>
      <c r="D239" s="1">
        <v>-85</v>
      </c>
      <c r="E239" s="1">
        <v>-76</v>
      </c>
    </row>
    <row r="240" spans="1:6" x14ac:dyDescent="0.25">
      <c r="A240" t="s">
        <v>8</v>
      </c>
      <c r="B240">
        <f t="shared" ref="B240" si="231">4-_xlfn.RANK.AVG(B239,$B239:$E239)</f>
        <v>2</v>
      </c>
      <c r="C240">
        <f t="shared" ref="C240" si="232">4-_xlfn.RANK.AVG(C239,$B239:$E239)</f>
        <v>3</v>
      </c>
      <c r="D240">
        <f t="shared" ref="D240" si="233">4-_xlfn.RANK.AVG(D239,$B239:$E239)</f>
        <v>0</v>
      </c>
      <c r="E240">
        <f t="shared" ref="E240" si="234">4-_xlfn.RANK.AVG(E239,$B239:$E239)</f>
        <v>1</v>
      </c>
    </row>
    <row r="241" spans="1:6" x14ac:dyDescent="0.25">
      <c r="A241" t="s">
        <v>5</v>
      </c>
      <c r="B241" t="s">
        <v>0</v>
      </c>
      <c r="C241" t="s">
        <v>1</v>
      </c>
      <c r="D241" t="s">
        <v>2</v>
      </c>
      <c r="E241" t="s">
        <v>3</v>
      </c>
      <c r="F241" t="str">
        <f t="shared" si="194"/>
        <v>Partie 61</v>
      </c>
    </row>
    <row r="242" spans="1:6" x14ac:dyDescent="0.25">
      <c r="A242" t="s">
        <v>6</v>
      </c>
      <c r="B242" s="1" t="s">
        <v>60</v>
      </c>
      <c r="C242" s="1" t="s">
        <v>71</v>
      </c>
      <c r="D242" s="1" t="s">
        <v>52</v>
      </c>
      <c r="E242" s="1" t="s">
        <v>40</v>
      </c>
      <c r="F242" s="3">
        <v>45939.871932870374</v>
      </c>
    </row>
    <row r="243" spans="1:6" x14ac:dyDescent="0.25">
      <c r="A243" t="s">
        <v>7</v>
      </c>
      <c r="B243" s="1">
        <v>-194</v>
      </c>
      <c r="C243" s="1">
        <v>41</v>
      </c>
      <c r="D243" s="1">
        <v>-41</v>
      </c>
      <c r="E243" s="1">
        <v>194</v>
      </c>
    </row>
    <row r="244" spans="1:6" x14ac:dyDescent="0.25">
      <c r="A244" t="s">
        <v>8</v>
      </c>
      <c r="B244">
        <f t="shared" ref="B244" si="235">4-_xlfn.RANK.AVG(B243,$B243:$E243)</f>
        <v>0</v>
      </c>
      <c r="C244">
        <f t="shared" ref="C244" si="236">4-_xlfn.RANK.AVG(C243,$B243:$E243)</f>
        <v>2</v>
      </c>
      <c r="D244">
        <f t="shared" ref="D244" si="237">4-_xlfn.RANK.AVG(D243,$B243:$E243)</f>
        <v>1</v>
      </c>
      <c r="E244">
        <f t="shared" ref="E244" si="238">4-_xlfn.RANK.AVG(E243,$B243:$E243)</f>
        <v>3</v>
      </c>
    </row>
    <row r="245" spans="1:6" x14ac:dyDescent="0.25">
      <c r="A245" t="s">
        <v>5</v>
      </c>
      <c r="B245" t="s">
        <v>0</v>
      </c>
      <c r="C245" t="s">
        <v>1</v>
      </c>
      <c r="D245" t="s">
        <v>2</v>
      </c>
      <c r="E245" t="s">
        <v>3</v>
      </c>
      <c r="F245" t="str">
        <f t="shared" si="194"/>
        <v>Partie 62</v>
      </c>
    </row>
    <row r="246" spans="1:6" x14ac:dyDescent="0.25">
      <c r="A246" t="s">
        <v>6</v>
      </c>
      <c r="B246" s="1" t="s">
        <v>49</v>
      </c>
      <c r="C246" s="1" t="s">
        <v>37</v>
      </c>
      <c r="D246" s="1" t="s">
        <v>51</v>
      </c>
      <c r="E246" s="1" t="s">
        <v>55</v>
      </c>
      <c r="F246" s="3">
        <v>45941.594247685185</v>
      </c>
    </row>
    <row r="247" spans="1:6" x14ac:dyDescent="0.25">
      <c r="A247" t="s">
        <v>7</v>
      </c>
      <c r="B247" s="1">
        <v>63</v>
      </c>
      <c r="C247" s="1">
        <v>-128</v>
      </c>
      <c r="D247" s="1">
        <v>179</v>
      </c>
      <c r="E247" s="1">
        <v>-114</v>
      </c>
    </row>
    <row r="248" spans="1:6" x14ac:dyDescent="0.25">
      <c r="A248" t="s">
        <v>8</v>
      </c>
      <c r="B248">
        <f t="shared" ref="B248" si="239">4-_xlfn.RANK.AVG(B247,$B247:$E247)</f>
        <v>2</v>
      </c>
      <c r="C248">
        <f t="shared" ref="C248" si="240">4-_xlfn.RANK.AVG(C247,$B247:$E247)</f>
        <v>0</v>
      </c>
      <c r="D248">
        <f t="shared" ref="D248" si="241">4-_xlfn.RANK.AVG(D247,$B247:$E247)</f>
        <v>3</v>
      </c>
      <c r="E248">
        <f t="shared" ref="E248" si="242">4-_xlfn.RANK.AVG(E247,$B247:$E247)</f>
        <v>1</v>
      </c>
    </row>
    <row r="249" spans="1:6" x14ac:dyDescent="0.25">
      <c r="A249" t="s">
        <v>5</v>
      </c>
      <c r="B249" t="s">
        <v>0</v>
      </c>
      <c r="C249" t="s">
        <v>1</v>
      </c>
      <c r="D249" t="s">
        <v>2</v>
      </c>
      <c r="E249" t="s">
        <v>3</v>
      </c>
      <c r="F249" t="str">
        <f t="shared" si="194"/>
        <v>Partie 63</v>
      </c>
    </row>
    <row r="250" spans="1:6" x14ac:dyDescent="0.25">
      <c r="A250" t="s">
        <v>6</v>
      </c>
      <c r="B250" s="1" t="s">
        <v>50</v>
      </c>
      <c r="C250" s="1" t="s">
        <v>42</v>
      </c>
      <c r="D250" s="1" t="s">
        <v>38</v>
      </c>
      <c r="E250" s="1" t="s">
        <v>40</v>
      </c>
      <c r="F250" s="3">
        <v>45941.593541666669</v>
      </c>
    </row>
    <row r="251" spans="1:6" x14ac:dyDescent="0.25">
      <c r="A251" t="s">
        <v>7</v>
      </c>
      <c r="B251" s="1">
        <v>96</v>
      </c>
      <c r="C251" s="1">
        <v>-180</v>
      </c>
      <c r="D251" s="1">
        <v>-158</v>
      </c>
      <c r="E251" s="1">
        <v>242</v>
      </c>
    </row>
    <row r="252" spans="1:6" x14ac:dyDescent="0.25">
      <c r="A252" t="s">
        <v>8</v>
      </c>
      <c r="B252">
        <f t="shared" ref="B252" si="243">4-_xlfn.RANK.AVG(B251,$B251:$E251)</f>
        <v>2</v>
      </c>
      <c r="C252">
        <f t="shared" ref="C252" si="244">4-_xlfn.RANK.AVG(C251,$B251:$E251)</f>
        <v>0</v>
      </c>
      <c r="D252">
        <f t="shared" ref="D252" si="245">4-_xlfn.RANK.AVG(D251,$B251:$E251)</f>
        <v>1</v>
      </c>
      <c r="E252">
        <f t="shared" ref="E252" si="246">4-_xlfn.RANK.AVG(E251,$B251:$E251)</f>
        <v>3</v>
      </c>
    </row>
    <row r="253" spans="1:6" x14ac:dyDescent="0.25">
      <c r="A253" t="s">
        <v>5</v>
      </c>
      <c r="B253" t="s">
        <v>0</v>
      </c>
      <c r="C253" t="s">
        <v>1</v>
      </c>
      <c r="D253" t="s">
        <v>2</v>
      </c>
      <c r="E253" t="s">
        <v>3</v>
      </c>
      <c r="F253" t="str">
        <f t="shared" si="194"/>
        <v>Partie 64</v>
      </c>
    </row>
    <row r="254" spans="1:6" x14ac:dyDescent="0.25">
      <c r="A254" t="s">
        <v>6</v>
      </c>
      <c r="B254" s="1" t="s">
        <v>47</v>
      </c>
      <c r="C254" s="1" t="s">
        <v>56</v>
      </c>
      <c r="D254" s="1" t="s">
        <v>52</v>
      </c>
      <c r="E254" s="1" t="s">
        <v>67</v>
      </c>
      <c r="F254" s="3">
        <v>45941.594351851854</v>
      </c>
    </row>
    <row r="255" spans="1:6" x14ac:dyDescent="0.25">
      <c r="A255" t="s">
        <v>7</v>
      </c>
      <c r="B255" s="1">
        <v>5</v>
      </c>
      <c r="C255" s="1">
        <v>-47</v>
      </c>
      <c r="D255" s="1">
        <v>59</v>
      </c>
      <c r="E255" s="1">
        <v>-17</v>
      </c>
    </row>
    <row r="256" spans="1:6" x14ac:dyDescent="0.25">
      <c r="A256" t="s">
        <v>8</v>
      </c>
      <c r="B256">
        <f t="shared" ref="B256" si="247">4-_xlfn.RANK.AVG(B255,$B255:$E255)</f>
        <v>2</v>
      </c>
      <c r="C256">
        <f t="shared" ref="C256" si="248">4-_xlfn.RANK.AVG(C255,$B255:$E255)</f>
        <v>0</v>
      </c>
      <c r="D256">
        <f t="shared" ref="D256" si="249">4-_xlfn.RANK.AVG(D255,$B255:$E255)</f>
        <v>3</v>
      </c>
      <c r="E256">
        <f t="shared" ref="E256" si="250">4-_xlfn.RANK.AVG(E255,$B255:$E255)</f>
        <v>1</v>
      </c>
    </row>
    <row r="257" spans="1:6" x14ac:dyDescent="0.25">
      <c r="A257" t="s">
        <v>5</v>
      </c>
      <c r="B257" t="s">
        <v>0</v>
      </c>
      <c r="C257" t="s">
        <v>1</v>
      </c>
      <c r="D257" t="s">
        <v>2</v>
      </c>
      <c r="E257" t="s">
        <v>3</v>
      </c>
      <c r="F257" t="str">
        <f t="shared" si="194"/>
        <v>Partie 65</v>
      </c>
    </row>
    <row r="258" spans="1:6" x14ac:dyDescent="0.25">
      <c r="A258" t="s">
        <v>6</v>
      </c>
      <c r="B258" s="1" t="s">
        <v>56</v>
      </c>
      <c r="C258" s="1" t="s">
        <v>50</v>
      </c>
      <c r="D258" s="1" t="s">
        <v>55</v>
      </c>
      <c r="E258" s="1" t="s">
        <v>49</v>
      </c>
      <c r="F258" s="3">
        <v>45941.69259259259</v>
      </c>
    </row>
    <row r="259" spans="1:6" x14ac:dyDescent="0.25">
      <c r="A259" t="s">
        <v>7</v>
      </c>
      <c r="B259" s="1">
        <v>-163</v>
      </c>
      <c r="C259" s="1">
        <v>133</v>
      </c>
      <c r="D259" s="1">
        <v>-11</v>
      </c>
      <c r="E259" s="1">
        <v>41</v>
      </c>
    </row>
    <row r="260" spans="1:6" x14ac:dyDescent="0.25">
      <c r="A260" t="s">
        <v>8</v>
      </c>
      <c r="B260">
        <f t="shared" ref="B260" si="251">4-_xlfn.RANK.AVG(B259,$B259:$E259)</f>
        <v>0</v>
      </c>
      <c r="C260">
        <f t="shared" ref="C260" si="252">4-_xlfn.RANK.AVG(C259,$B259:$E259)</f>
        <v>3</v>
      </c>
      <c r="D260">
        <f t="shared" ref="D260" si="253">4-_xlfn.RANK.AVG(D259,$B259:$E259)</f>
        <v>1</v>
      </c>
      <c r="E260">
        <f t="shared" ref="E260" si="254">4-_xlfn.RANK.AVG(E259,$B259:$E259)</f>
        <v>2</v>
      </c>
    </row>
    <row r="261" spans="1:6" x14ac:dyDescent="0.25">
      <c r="A261" t="s">
        <v>5</v>
      </c>
      <c r="B261" t="s">
        <v>0</v>
      </c>
      <c r="C261" t="s">
        <v>1</v>
      </c>
      <c r="D261" t="s">
        <v>2</v>
      </c>
      <c r="E261" t="s">
        <v>3</v>
      </c>
      <c r="F261" t="str">
        <f t="shared" si="194"/>
        <v>Partie 66</v>
      </c>
    </row>
    <row r="262" spans="1:6" x14ac:dyDescent="0.25">
      <c r="A262" t="s">
        <v>6</v>
      </c>
      <c r="B262" s="1" t="s">
        <v>41</v>
      </c>
      <c r="C262" s="1" t="s">
        <v>43</v>
      </c>
      <c r="D262" s="1" t="s">
        <v>71</v>
      </c>
      <c r="E262" s="1" t="s">
        <v>39</v>
      </c>
      <c r="F262" s="3">
        <v>45941.692546296297</v>
      </c>
    </row>
    <row r="263" spans="1:6" x14ac:dyDescent="0.25">
      <c r="A263" t="s">
        <v>7</v>
      </c>
      <c r="B263" s="1">
        <v>74</v>
      </c>
      <c r="C263" s="1">
        <v>-45</v>
      </c>
      <c r="D263" s="1">
        <v>40</v>
      </c>
      <c r="E263" s="1">
        <v>-69</v>
      </c>
    </row>
    <row r="264" spans="1:6" x14ac:dyDescent="0.25">
      <c r="A264" t="s">
        <v>8</v>
      </c>
      <c r="B264">
        <f t="shared" ref="B264" si="255">4-_xlfn.RANK.AVG(B263,$B263:$E263)</f>
        <v>3</v>
      </c>
      <c r="C264">
        <f t="shared" ref="C264" si="256">4-_xlfn.RANK.AVG(C263,$B263:$E263)</f>
        <v>1</v>
      </c>
      <c r="D264">
        <f t="shared" ref="D264" si="257">4-_xlfn.RANK.AVG(D263,$B263:$E263)</f>
        <v>2</v>
      </c>
      <c r="E264">
        <f t="shared" ref="E264" si="258">4-_xlfn.RANK.AVG(E263,$B263:$E263)</f>
        <v>0</v>
      </c>
    </row>
    <row r="265" spans="1:6" x14ac:dyDescent="0.25">
      <c r="A265" t="s">
        <v>5</v>
      </c>
      <c r="B265" t="s">
        <v>0</v>
      </c>
      <c r="C265" t="s">
        <v>1</v>
      </c>
      <c r="D265" t="s">
        <v>2</v>
      </c>
      <c r="E265" t="s">
        <v>3</v>
      </c>
      <c r="F265" t="str">
        <f t="shared" ref="F265:F325" si="259">"Partie " &amp; (ROW()-1)/4+1</f>
        <v>Partie 67</v>
      </c>
    </row>
    <row r="266" spans="1:6" x14ac:dyDescent="0.25">
      <c r="A266" t="s">
        <v>6</v>
      </c>
      <c r="B266" s="1" t="s">
        <v>67</v>
      </c>
      <c r="C266" s="1" t="s">
        <v>71</v>
      </c>
      <c r="D266" s="1" t="s">
        <v>39</v>
      </c>
      <c r="E266" s="1" t="s">
        <v>52</v>
      </c>
      <c r="F266" s="3">
        <v>45941.826990740738</v>
      </c>
    </row>
    <row r="267" spans="1:6" x14ac:dyDescent="0.25">
      <c r="A267" t="s">
        <v>7</v>
      </c>
      <c r="B267" s="1">
        <v>-35</v>
      </c>
      <c r="C267" s="1">
        <v>7</v>
      </c>
      <c r="D267" s="1">
        <v>-64</v>
      </c>
      <c r="E267" s="1">
        <v>92</v>
      </c>
    </row>
    <row r="268" spans="1:6" x14ac:dyDescent="0.25">
      <c r="A268" t="s">
        <v>8</v>
      </c>
      <c r="B268">
        <f t="shared" ref="B268" si="260">4-_xlfn.RANK.AVG(B267,$B267:$E267)</f>
        <v>1</v>
      </c>
      <c r="C268">
        <f t="shared" ref="C268" si="261">4-_xlfn.RANK.AVG(C267,$B267:$E267)</f>
        <v>2</v>
      </c>
      <c r="D268">
        <f t="shared" ref="D268" si="262">4-_xlfn.RANK.AVG(D267,$B267:$E267)</f>
        <v>0</v>
      </c>
      <c r="E268">
        <f t="shared" ref="E268" si="263">4-_xlfn.RANK.AVG(E267,$B267:$E267)</f>
        <v>3</v>
      </c>
    </row>
    <row r="269" spans="1:6" x14ac:dyDescent="0.25">
      <c r="A269" t="s">
        <v>5</v>
      </c>
      <c r="B269" t="s">
        <v>0</v>
      </c>
      <c r="C269" t="s">
        <v>1</v>
      </c>
      <c r="D269" t="s">
        <v>2</v>
      </c>
      <c r="E269" t="s">
        <v>3</v>
      </c>
      <c r="F269" t="str">
        <f t="shared" si="259"/>
        <v>Partie 68</v>
      </c>
    </row>
    <row r="270" spans="1:6" x14ac:dyDescent="0.25">
      <c r="A270" t="s">
        <v>6</v>
      </c>
      <c r="B270" s="1" t="s">
        <v>39</v>
      </c>
      <c r="C270" s="1" t="s">
        <v>52</v>
      </c>
      <c r="D270" s="1" t="s">
        <v>71</v>
      </c>
      <c r="E270" s="1" t="s">
        <v>67</v>
      </c>
      <c r="F270" s="3">
        <v>45941.916192129633</v>
      </c>
    </row>
    <row r="271" spans="1:6" x14ac:dyDescent="0.25">
      <c r="A271" t="s">
        <v>7</v>
      </c>
      <c r="B271" s="1">
        <v>6</v>
      </c>
      <c r="C271" s="1">
        <v>49</v>
      </c>
      <c r="D271" s="1">
        <v>-39</v>
      </c>
      <c r="E271" s="1">
        <v>-16</v>
      </c>
    </row>
    <row r="272" spans="1:6" x14ac:dyDescent="0.25">
      <c r="A272" t="s">
        <v>8</v>
      </c>
      <c r="B272">
        <f t="shared" ref="B272" si="264">4-_xlfn.RANK.AVG(B271,$B271:$E271)</f>
        <v>2</v>
      </c>
      <c r="C272">
        <f t="shared" ref="C272" si="265">4-_xlfn.RANK.AVG(C271,$B271:$E271)</f>
        <v>3</v>
      </c>
      <c r="D272">
        <f t="shared" ref="D272" si="266">4-_xlfn.RANK.AVG(D271,$B271:$E271)</f>
        <v>0</v>
      </c>
      <c r="E272">
        <f t="shared" ref="E272" si="267">4-_xlfn.RANK.AVG(E271,$B271:$E271)</f>
        <v>1</v>
      </c>
    </row>
    <row r="273" spans="1:6" x14ac:dyDescent="0.25">
      <c r="A273" t="s">
        <v>5</v>
      </c>
      <c r="B273" t="s">
        <v>0</v>
      </c>
      <c r="C273" t="s">
        <v>1</v>
      </c>
      <c r="D273" t="s">
        <v>2</v>
      </c>
      <c r="E273" t="s">
        <v>3</v>
      </c>
      <c r="F273" t="str">
        <f t="shared" si="259"/>
        <v>Partie 69</v>
      </c>
    </row>
    <row r="274" spans="1:6" x14ac:dyDescent="0.25">
      <c r="A274" t="s">
        <v>6</v>
      </c>
      <c r="B274" s="1" t="s">
        <v>71</v>
      </c>
      <c r="C274" s="1" t="s">
        <v>41</v>
      </c>
      <c r="D274" s="1" t="s">
        <v>60</v>
      </c>
      <c r="E274" s="1" t="s">
        <v>67</v>
      </c>
      <c r="F274" s="3">
        <v>45946.619212962964</v>
      </c>
    </row>
    <row r="275" spans="1:6" x14ac:dyDescent="0.25">
      <c r="A275" t="s">
        <v>7</v>
      </c>
      <c r="B275" s="1">
        <v>-62</v>
      </c>
      <c r="C275" s="1">
        <v>304</v>
      </c>
      <c r="D275" s="1">
        <v>40</v>
      </c>
      <c r="E275" s="1">
        <v>-282</v>
      </c>
    </row>
    <row r="276" spans="1:6" x14ac:dyDescent="0.25">
      <c r="A276" t="s">
        <v>8</v>
      </c>
      <c r="B276">
        <f t="shared" ref="B276" si="268">4-_xlfn.RANK.AVG(B275,$B275:$E275)</f>
        <v>1</v>
      </c>
      <c r="C276">
        <f t="shared" ref="C276" si="269">4-_xlfn.RANK.AVG(C275,$B275:$E275)</f>
        <v>3</v>
      </c>
      <c r="D276">
        <f t="shared" ref="D276" si="270">4-_xlfn.RANK.AVG(D275,$B275:$E275)</f>
        <v>2</v>
      </c>
      <c r="E276">
        <f t="shared" ref="E276" si="271">4-_xlfn.RANK.AVG(E275,$B275:$E275)</f>
        <v>0</v>
      </c>
    </row>
    <row r="277" spans="1:6" x14ac:dyDescent="0.25">
      <c r="A277" t="s">
        <v>5</v>
      </c>
      <c r="B277" t="s">
        <v>0</v>
      </c>
      <c r="C277" t="s">
        <v>1</v>
      </c>
      <c r="D277" t="s">
        <v>2</v>
      </c>
      <c r="E277" t="s">
        <v>3</v>
      </c>
      <c r="F277" t="str">
        <f t="shared" si="259"/>
        <v>Partie 70</v>
      </c>
    </row>
    <row r="278" spans="1:6" x14ac:dyDescent="0.25">
      <c r="A278" t="s">
        <v>6</v>
      </c>
      <c r="B278" s="1" t="s">
        <v>60</v>
      </c>
      <c r="C278" s="1" t="s">
        <v>71</v>
      </c>
      <c r="D278" s="1" t="s">
        <v>67</v>
      </c>
      <c r="E278" s="1" t="s">
        <v>41</v>
      </c>
      <c r="F278" s="3">
        <v>45946.733159722222</v>
      </c>
    </row>
    <row r="279" spans="1:6" x14ac:dyDescent="0.25">
      <c r="A279" t="s">
        <v>7</v>
      </c>
      <c r="B279" s="1">
        <v>-40</v>
      </c>
      <c r="C279" s="1">
        <v>-76</v>
      </c>
      <c r="D279" s="1">
        <v>-149</v>
      </c>
      <c r="E279" s="1">
        <v>265</v>
      </c>
    </row>
    <row r="280" spans="1:6" x14ac:dyDescent="0.25">
      <c r="A280" t="s">
        <v>8</v>
      </c>
      <c r="B280">
        <f t="shared" ref="B280" si="272">4-_xlfn.RANK.AVG(B279,$B279:$E279)</f>
        <v>2</v>
      </c>
      <c r="C280">
        <f t="shared" ref="C280" si="273">4-_xlfn.RANK.AVG(C279,$B279:$E279)</f>
        <v>1</v>
      </c>
      <c r="D280">
        <f t="shared" ref="D280" si="274">4-_xlfn.RANK.AVG(D279,$B279:$E279)</f>
        <v>0</v>
      </c>
      <c r="E280">
        <f t="shared" ref="E280" si="275">4-_xlfn.RANK.AVG(E279,$B279:$E279)</f>
        <v>3</v>
      </c>
    </row>
    <row r="281" spans="1:6" x14ac:dyDescent="0.25">
      <c r="A281" t="s">
        <v>5</v>
      </c>
      <c r="B281" t="s">
        <v>0</v>
      </c>
      <c r="C281" t="s">
        <v>1</v>
      </c>
      <c r="D281" t="s">
        <v>2</v>
      </c>
      <c r="E281" t="s">
        <v>3</v>
      </c>
      <c r="F281" t="str">
        <f t="shared" si="259"/>
        <v>Partie 71</v>
      </c>
    </row>
    <row r="282" spans="1:6" x14ac:dyDescent="0.25">
      <c r="A282" t="s">
        <v>6</v>
      </c>
      <c r="B282" s="1" t="s">
        <v>68</v>
      </c>
      <c r="C282" s="1" t="s">
        <v>70</v>
      </c>
      <c r="D282" s="1" t="s">
        <v>64</v>
      </c>
      <c r="E282" s="1" t="s">
        <v>69</v>
      </c>
      <c r="F282" s="3">
        <v>45946.789652777778</v>
      </c>
    </row>
    <row r="283" spans="1:6" x14ac:dyDescent="0.25">
      <c r="A283" t="s">
        <v>7</v>
      </c>
      <c r="B283" s="1">
        <v>-23</v>
      </c>
      <c r="C283" s="1">
        <v>-186</v>
      </c>
      <c r="D283" s="1">
        <v>84</v>
      </c>
      <c r="E283" s="1">
        <v>125</v>
      </c>
    </row>
    <row r="284" spans="1:6" x14ac:dyDescent="0.25">
      <c r="A284" t="s">
        <v>8</v>
      </c>
      <c r="B284">
        <f t="shared" ref="B284" si="276">4-_xlfn.RANK.AVG(B283,$B283:$E283)</f>
        <v>1</v>
      </c>
      <c r="C284">
        <f t="shared" ref="C284" si="277">4-_xlfn.RANK.AVG(C283,$B283:$E283)</f>
        <v>0</v>
      </c>
      <c r="D284">
        <f t="shared" ref="D284" si="278">4-_xlfn.RANK.AVG(D283,$B283:$E283)</f>
        <v>2</v>
      </c>
      <c r="E284">
        <f t="shared" ref="E284" si="279">4-_xlfn.RANK.AVG(E283,$B283:$E283)</f>
        <v>3</v>
      </c>
    </row>
    <row r="285" spans="1:6" x14ac:dyDescent="0.25">
      <c r="A285" t="s">
        <v>5</v>
      </c>
      <c r="B285" t="s">
        <v>0</v>
      </c>
      <c r="C285" t="s">
        <v>1</v>
      </c>
      <c r="D285" t="s">
        <v>2</v>
      </c>
      <c r="E285" t="s">
        <v>3</v>
      </c>
      <c r="F285" t="str">
        <f t="shared" si="259"/>
        <v>Partie 72</v>
      </c>
    </row>
    <row r="286" spans="1:6" x14ac:dyDescent="0.25">
      <c r="A286" t="s">
        <v>6</v>
      </c>
      <c r="B286" s="1" t="s">
        <v>46</v>
      </c>
      <c r="C286" s="1" t="s">
        <v>53</v>
      </c>
      <c r="D286" s="1" t="s">
        <v>58</v>
      </c>
      <c r="E286" s="1" t="s">
        <v>43</v>
      </c>
      <c r="F286" s="3">
        <v>45941.593055555553</v>
      </c>
    </row>
    <row r="287" spans="1:6" x14ac:dyDescent="0.25">
      <c r="A287" t="s">
        <v>7</v>
      </c>
      <c r="B287" s="1">
        <v>-37</v>
      </c>
      <c r="C287" s="1">
        <v>-117</v>
      </c>
      <c r="D287" s="1">
        <v>-15</v>
      </c>
      <c r="E287" s="1">
        <v>169</v>
      </c>
    </row>
    <row r="288" spans="1:6" x14ac:dyDescent="0.25">
      <c r="A288" t="s">
        <v>8</v>
      </c>
      <c r="B288">
        <f t="shared" ref="B288" si="280">4-_xlfn.RANK.AVG(B287,$B287:$E287)</f>
        <v>1</v>
      </c>
      <c r="C288">
        <f t="shared" ref="C288" si="281">4-_xlfn.RANK.AVG(C287,$B287:$E287)</f>
        <v>0</v>
      </c>
      <c r="D288">
        <f t="shared" ref="D288" si="282">4-_xlfn.RANK.AVG(D287,$B287:$E287)</f>
        <v>2</v>
      </c>
      <c r="E288">
        <f t="shared" ref="E288" si="283">4-_xlfn.RANK.AVG(E287,$B287:$E287)</f>
        <v>3</v>
      </c>
    </row>
    <row r="289" spans="1:6" x14ac:dyDescent="0.25">
      <c r="A289" t="s">
        <v>5</v>
      </c>
      <c r="B289" t="s">
        <v>0</v>
      </c>
      <c r="C289" t="s">
        <v>1</v>
      </c>
      <c r="D289" t="s">
        <v>2</v>
      </c>
      <c r="E289" t="s">
        <v>3</v>
      </c>
      <c r="F289" t="str">
        <f t="shared" si="259"/>
        <v>Partie 73</v>
      </c>
    </row>
    <row r="290" spans="1:6" x14ac:dyDescent="0.25">
      <c r="A290" t="s">
        <v>6</v>
      </c>
      <c r="B290" s="1" t="s">
        <v>53</v>
      </c>
      <c r="C290" s="1" t="s">
        <v>46</v>
      </c>
      <c r="D290" s="1" t="s">
        <v>67</v>
      </c>
      <c r="E290" s="1" t="s">
        <v>51</v>
      </c>
      <c r="F290" s="3">
        <v>45941.692361111112</v>
      </c>
    </row>
    <row r="291" spans="1:6" x14ac:dyDescent="0.25">
      <c r="A291" t="s">
        <v>7</v>
      </c>
      <c r="B291" s="1">
        <v>48</v>
      </c>
      <c r="C291" s="1">
        <v>-69</v>
      </c>
      <c r="D291" s="1">
        <v>-132</v>
      </c>
      <c r="E291" s="1">
        <v>153</v>
      </c>
    </row>
    <row r="292" spans="1:6" x14ac:dyDescent="0.25">
      <c r="A292" t="s">
        <v>8</v>
      </c>
      <c r="B292">
        <f t="shared" ref="B292" si="284">4-_xlfn.RANK.AVG(B291,$B291:$E291)</f>
        <v>2</v>
      </c>
      <c r="C292">
        <f t="shared" ref="C292" si="285">4-_xlfn.RANK.AVG(C291,$B291:$E291)</f>
        <v>1</v>
      </c>
      <c r="D292">
        <f t="shared" ref="D292" si="286">4-_xlfn.RANK.AVG(D291,$B291:$E291)</f>
        <v>0</v>
      </c>
      <c r="E292">
        <f t="shared" ref="E292" si="287">4-_xlfn.RANK.AVG(E291,$B291:$E291)</f>
        <v>3</v>
      </c>
    </row>
    <row r="293" spans="1:6" x14ac:dyDescent="0.25">
      <c r="A293" t="s">
        <v>5</v>
      </c>
      <c r="B293" t="s">
        <v>0</v>
      </c>
      <c r="C293" t="s">
        <v>1</v>
      </c>
      <c r="D293" t="s">
        <v>2</v>
      </c>
      <c r="E293" t="s">
        <v>3</v>
      </c>
      <c r="F293" t="str">
        <f t="shared" si="259"/>
        <v>Partie 74</v>
      </c>
    </row>
    <row r="294" spans="1:6" x14ac:dyDescent="0.25">
      <c r="A294" t="s">
        <v>6</v>
      </c>
      <c r="B294" s="1" t="s">
        <v>40</v>
      </c>
      <c r="C294" s="1" t="s">
        <v>60</v>
      </c>
      <c r="D294" s="1" t="s">
        <v>67</v>
      </c>
      <c r="E294" s="1" t="s">
        <v>48</v>
      </c>
      <c r="F294" s="3">
        <v>45948.62295138889</v>
      </c>
    </row>
    <row r="295" spans="1:6" x14ac:dyDescent="0.25">
      <c r="A295" t="s">
        <v>7</v>
      </c>
      <c r="B295" s="1">
        <v>71</v>
      </c>
      <c r="C295" s="1">
        <v>125</v>
      </c>
      <c r="D295" s="1">
        <v>-43</v>
      </c>
      <c r="E295" s="1">
        <v>-153</v>
      </c>
    </row>
    <row r="296" spans="1:6" x14ac:dyDescent="0.25">
      <c r="A296" t="s">
        <v>8</v>
      </c>
      <c r="B296">
        <f t="shared" ref="B296" si="288">4-_xlfn.RANK.AVG(B295,$B295:$E295)</f>
        <v>2</v>
      </c>
      <c r="C296">
        <f t="shared" ref="C296" si="289">4-_xlfn.RANK.AVG(C295,$B295:$E295)</f>
        <v>3</v>
      </c>
      <c r="D296">
        <f t="shared" ref="D296" si="290">4-_xlfn.RANK.AVG(D295,$B295:$E295)</f>
        <v>1</v>
      </c>
      <c r="E296">
        <f t="shared" ref="E296" si="291">4-_xlfn.RANK.AVG(E295,$B295:$E295)</f>
        <v>0</v>
      </c>
    </row>
    <row r="297" spans="1:6" x14ac:dyDescent="0.25">
      <c r="A297" t="s">
        <v>5</v>
      </c>
      <c r="B297" t="s">
        <v>0</v>
      </c>
      <c r="C297" t="s">
        <v>1</v>
      </c>
      <c r="D297" t="s">
        <v>2</v>
      </c>
      <c r="E297" t="s">
        <v>3</v>
      </c>
      <c r="F297" t="str">
        <f t="shared" si="259"/>
        <v>Partie 75</v>
      </c>
    </row>
    <row r="298" spans="1:6" x14ac:dyDescent="0.25">
      <c r="A298" t="s">
        <v>6</v>
      </c>
      <c r="B298" s="1" t="s">
        <v>49</v>
      </c>
      <c r="C298" s="1" t="s">
        <v>58</v>
      </c>
      <c r="D298" s="1" t="s">
        <v>37</v>
      </c>
      <c r="E298" s="1" t="s">
        <v>57</v>
      </c>
      <c r="F298" s="3">
        <v>45948.594351851854</v>
      </c>
    </row>
    <row r="299" spans="1:6" x14ac:dyDescent="0.25">
      <c r="A299" t="s">
        <v>7</v>
      </c>
      <c r="B299" s="1">
        <v>-106</v>
      </c>
      <c r="C299" s="1">
        <v>326</v>
      </c>
      <c r="D299" s="1">
        <v>-185</v>
      </c>
      <c r="E299" s="1">
        <v>-35</v>
      </c>
    </row>
    <row r="300" spans="1:6" x14ac:dyDescent="0.25">
      <c r="A300" t="s">
        <v>8</v>
      </c>
      <c r="B300">
        <f t="shared" ref="B300" si="292">4-_xlfn.RANK.AVG(B299,$B299:$E299)</f>
        <v>1</v>
      </c>
      <c r="C300">
        <f t="shared" ref="C300" si="293">4-_xlfn.RANK.AVG(C299,$B299:$E299)</f>
        <v>3</v>
      </c>
      <c r="D300">
        <f t="shared" ref="D300" si="294">4-_xlfn.RANK.AVG(D299,$B299:$E299)</f>
        <v>0</v>
      </c>
      <c r="E300">
        <f t="shared" ref="E300" si="295">4-_xlfn.RANK.AVG(E299,$B299:$E299)</f>
        <v>2</v>
      </c>
    </row>
    <row r="301" spans="1:6" x14ac:dyDescent="0.25">
      <c r="A301" t="s">
        <v>5</v>
      </c>
      <c r="B301" t="s">
        <v>0</v>
      </c>
      <c r="C301" t="s">
        <v>1</v>
      </c>
      <c r="D301" t="s">
        <v>2</v>
      </c>
      <c r="E301" t="s">
        <v>3</v>
      </c>
      <c r="F301" t="str">
        <f t="shared" si="259"/>
        <v>Partie 76</v>
      </c>
    </row>
    <row r="302" spans="1:6" x14ac:dyDescent="0.25">
      <c r="A302" t="s">
        <v>6</v>
      </c>
      <c r="B302" s="1" t="s">
        <v>42</v>
      </c>
      <c r="C302" s="1" t="s">
        <v>38</v>
      </c>
      <c r="D302" s="1" t="s">
        <v>51</v>
      </c>
      <c r="E302" s="1" t="s">
        <v>61</v>
      </c>
      <c r="F302" s="3">
        <v>45948.593969907408</v>
      </c>
    </row>
    <row r="303" spans="1:6" x14ac:dyDescent="0.25">
      <c r="A303" t="s">
        <v>7</v>
      </c>
      <c r="B303" s="1">
        <v>-99</v>
      </c>
      <c r="C303" s="1">
        <v>9</v>
      </c>
      <c r="D303" s="1">
        <v>-186</v>
      </c>
      <c r="E303" s="1">
        <v>276</v>
      </c>
    </row>
    <row r="304" spans="1:6" x14ac:dyDescent="0.25">
      <c r="A304" t="s">
        <v>8</v>
      </c>
      <c r="B304">
        <f t="shared" ref="B304" si="296">4-_xlfn.RANK.AVG(B303,$B303:$E303)</f>
        <v>1</v>
      </c>
      <c r="C304">
        <f t="shared" ref="C304" si="297">4-_xlfn.RANK.AVG(C303,$B303:$E303)</f>
        <v>2</v>
      </c>
      <c r="D304">
        <f t="shared" ref="D304" si="298">4-_xlfn.RANK.AVG(D303,$B303:$E303)</f>
        <v>0</v>
      </c>
      <c r="E304">
        <f t="shared" ref="E304" si="299">4-_xlfn.RANK.AVG(E303,$B303:$E303)</f>
        <v>3</v>
      </c>
    </row>
    <row r="305" spans="1:6" x14ac:dyDescent="0.25">
      <c r="A305" t="s">
        <v>5</v>
      </c>
      <c r="B305" t="s">
        <v>0</v>
      </c>
      <c r="C305" t="s">
        <v>1</v>
      </c>
      <c r="D305" t="s">
        <v>2</v>
      </c>
      <c r="E305" t="s">
        <v>3</v>
      </c>
      <c r="F305" t="str">
        <f t="shared" si="259"/>
        <v>Partie 77</v>
      </c>
    </row>
    <row r="306" spans="1:6" x14ac:dyDescent="0.25">
      <c r="A306" t="s">
        <v>6</v>
      </c>
      <c r="B306" s="1" t="s">
        <v>54</v>
      </c>
      <c r="C306" s="1" t="s">
        <v>39</v>
      </c>
      <c r="D306" s="1" t="s">
        <v>46</v>
      </c>
      <c r="E306" s="1" t="s">
        <v>44</v>
      </c>
      <c r="F306" s="3">
        <v>45948.594872685186</v>
      </c>
    </row>
    <row r="307" spans="1:6" x14ac:dyDescent="0.25">
      <c r="A307" t="s">
        <v>7</v>
      </c>
      <c r="B307" s="1">
        <v>-111</v>
      </c>
      <c r="C307" s="1">
        <v>136</v>
      </c>
      <c r="D307" s="1">
        <v>-35</v>
      </c>
      <c r="E307" s="1">
        <v>10</v>
      </c>
    </row>
    <row r="308" spans="1:6" x14ac:dyDescent="0.25">
      <c r="A308" t="s">
        <v>8</v>
      </c>
      <c r="B308">
        <f t="shared" ref="B308" si="300">4-_xlfn.RANK.AVG(B307,$B307:$E307)</f>
        <v>0</v>
      </c>
      <c r="C308">
        <f t="shared" ref="C308" si="301">4-_xlfn.RANK.AVG(C307,$B307:$E307)</f>
        <v>3</v>
      </c>
      <c r="D308">
        <f t="shared" ref="D308" si="302">4-_xlfn.RANK.AVG(D307,$B307:$E307)</f>
        <v>1</v>
      </c>
      <c r="E308">
        <f t="shared" ref="E308" si="303">4-_xlfn.RANK.AVG(E307,$B307:$E307)</f>
        <v>2</v>
      </c>
    </row>
    <row r="309" spans="1:6" x14ac:dyDescent="0.25">
      <c r="A309" t="s">
        <v>5</v>
      </c>
      <c r="B309" t="s">
        <v>0</v>
      </c>
      <c r="C309" t="s">
        <v>1</v>
      </c>
      <c r="D309" t="s">
        <v>2</v>
      </c>
      <c r="E309" t="s">
        <v>3</v>
      </c>
      <c r="F309" t="str">
        <f t="shared" si="259"/>
        <v>Partie 78</v>
      </c>
    </row>
    <row r="310" spans="1:6" x14ac:dyDescent="0.25">
      <c r="A310" t="s">
        <v>6</v>
      </c>
      <c r="B310" s="1" t="s">
        <v>53</v>
      </c>
      <c r="C310" s="1" t="s">
        <v>51</v>
      </c>
      <c r="D310" s="1" t="s">
        <v>49</v>
      </c>
      <c r="E310" s="1" t="s">
        <v>72</v>
      </c>
      <c r="F310" s="3">
        <v>45948.698541666665</v>
      </c>
    </row>
    <row r="311" spans="1:6" x14ac:dyDescent="0.25">
      <c r="A311" t="s">
        <v>7</v>
      </c>
      <c r="B311" s="1">
        <v>2</v>
      </c>
      <c r="C311" s="1">
        <v>0</v>
      </c>
      <c r="D311" s="1">
        <v>59</v>
      </c>
      <c r="E311" s="1">
        <v>-61</v>
      </c>
    </row>
    <row r="312" spans="1:6" x14ac:dyDescent="0.25">
      <c r="A312" t="s">
        <v>8</v>
      </c>
      <c r="B312">
        <f t="shared" ref="B312" si="304">4-_xlfn.RANK.AVG(B311,$B311:$E311)</f>
        <v>2</v>
      </c>
      <c r="C312">
        <f t="shared" ref="C312" si="305">4-_xlfn.RANK.AVG(C311,$B311:$E311)</f>
        <v>1</v>
      </c>
      <c r="D312">
        <f t="shared" ref="D312" si="306">4-_xlfn.RANK.AVG(D311,$B311:$E311)</f>
        <v>3</v>
      </c>
      <c r="E312">
        <f t="shared" ref="E312" si="307">4-_xlfn.RANK.AVG(E311,$B311:$E311)</f>
        <v>0</v>
      </c>
    </row>
    <row r="313" spans="1:6" x14ac:dyDescent="0.25">
      <c r="A313" t="s">
        <v>5</v>
      </c>
      <c r="B313" t="s">
        <v>0</v>
      </c>
      <c r="C313" t="s">
        <v>1</v>
      </c>
      <c r="D313" t="s">
        <v>2</v>
      </c>
      <c r="E313" t="s">
        <v>3</v>
      </c>
      <c r="F313" t="str">
        <f t="shared" si="259"/>
        <v>Partie 79</v>
      </c>
    </row>
    <row r="314" spans="1:6" x14ac:dyDescent="0.25">
      <c r="A314" t="s">
        <v>6</v>
      </c>
      <c r="B314" s="1" t="s">
        <v>54</v>
      </c>
      <c r="C314" s="1" t="s">
        <v>48</v>
      </c>
      <c r="D314" s="1" t="s">
        <v>37</v>
      </c>
      <c r="E314" s="1" t="s">
        <v>61</v>
      </c>
      <c r="F314" s="3">
        <v>45948.697592592594</v>
      </c>
    </row>
    <row r="315" spans="1:6" x14ac:dyDescent="0.25">
      <c r="A315" t="s">
        <v>7</v>
      </c>
      <c r="B315" s="1">
        <v>-19</v>
      </c>
      <c r="C315" s="1">
        <v>-117</v>
      </c>
      <c r="D315" s="1">
        <v>39</v>
      </c>
      <c r="E315" s="1">
        <v>97</v>
      </c>
    </row>
    <row r="316" spans="1:6" x14ac:dyDescent="0.25">
      <c r="A316" t="s">
        <v>8</v>
      </c>
      <c r="B316">
        <f t="shared" ref="B316" si="308">4-_xlfn.RANK.AVG(B315,$B315:$E315)</f>
        <v>1</v>
      </c>
      <c r="C316">
        <f t="shared" ref="C316" si="309">4-_xlfn.RANK.AVG(C315,$B315:$E315)</f>
        <v>0</v>
      </c>
      <c r="D316">
        <f t="shared" ref="D316" si="310">4-_xlfn.RANK.AVG(D315,$B315:$E315)</f>
        <v>2</v>
      </c>
      <c r="E316">
        <f t="shared" ref="E316" si="311">4-_xlfn.RANK.AVG(E315,$B315:$E315)</f>
        <v>3</v>
      </c>
    </row>
    <row r="317" spans="1:6" x14ac:dyDescent="0.25">
      <c r="A317" t="s">
        <v>5</v>
      </c>
      <c r="B317" t="s">
        <v>0</v>
      </c>
      <c r="C317" t="s">
        <v>1</v>
      </c>
      <c r="D317" t="s">
        <v>2</v>
      </c>
      <c r="E317" t="s">
        <v>3</v>
      </c>
      <c r="F317" t="str">
        <f t="shared" si="259"/>
        <v>Partie 80</v>
      </c>
    </row>
    <row r="318" spans="1:6" x14ac:dyDescent="0.25">
      <c r="A318" t="s">
        <v>6</v>
      </c>
      <c r="B318" s="1" t="s">
        <v>52</v>
      </c>
      <c r="C318" s="1" t="s">
        <v>57</v>
      </c>
      <c r="D318" s="1" t="s">
        <v>67</v>
      </c>
      <c r="E318" s="1" t="s">
        <v>58</v>
      </c>
      <c r="F318" s="3">
        <v>45948.697581018518</v>
      </c>
    </row>
    <row r="319" spans="1:6" x14ac:dyDescent="0.25">
      <c r="A319" t="s">
        <v>7</v>
      </c>
      <c r="B319" s="1">
        <v>41</v>
      </c>
      <c r="C319" s="1">
        <v>-105</v>
      </c>
      <c r="D319" s="1">
        <v>207</v>
      </c>
      <c r="E319" s="1">
        <v>-143</v>
      </c>
    </row>
    <row r="320" spans="1:6" x14ac:dyDescent="0.25">
      <c r="A320" t="s">
        <v>8</v>
      </c>
      <c r="B320">
        <f t="shared" ref="B320" si="312">4-_xlfn.RANK.AVG(B319,$B319:$E319)</f>
        <v>2</v>
      </c>
      <c r="C320">
        <f t="shared" ref="C320" si="313">4-_xlfn.RANK.AVG(C319,$B319:$E319)</f>
        <v>1</v>
      </c>
      <c r="D320">
        <f t="shared" ref="D320" si="314">4-_xlfn.RANK.AVG(D319,$B319:$E319)</f>
        <v>3</v>
      </c>
      <c r="E320">
        <f t="shared" ref="E320" si="315">4-_xlfn.RANK.AVG(E319,$B319:$E319)</f>
        <v>0</v>
      </c>
    </row>
    <row r="321" spans="1:6" x14ac:dyDescent="0.25">
      <c r="A321" t="s">
        <v>5</v>
      </c>
      <c r="B321" t="s">
        <v>0</v>
      </c>
      <c r="C321" t="s">
        <v>1</v>
      </c>
      <c r="D321" t="s">
        <v>2</v>
      </c>
      <c r="E321" t="s">
        <v>3</v>
      </c>
      <c r="F321" t="str">
        <f t="shared" si="259"/>
        <v>Partie 81</v>
      </c>
    </row>
    <row r="322" spans="1:6" x14ac:dyDescent="0.25">
      <c r="A322" t="s">
        <v>6</v>
      </c>
      <c r="B322" s="1" t="s">
        <v>48</v>
      </c>
      <c r="C322" s="1" t="s">
        <v>44</v>
      </c>
      <c r="D322" s="1" t="s">
        <v>41</v>
      </c>
      <c r="E322" s="1" t="s">
        <v>47</v>
      </c>
      <c r="F322" s="3">
        <v>45948.703761574077</v>
      </c>
    </row>
    <row r="323" spans="1:6" x14ac:dyDescent="0.25">
      <c r="A323" t="s">
        <v>7</v>
      </c>
      <c r="B323" s="1">
        <v>5</v>
      </c>
      <c r="C323" s="1">
        <v>-45</v>
      </c>
      <c r="D323" s="1">
        <v>5</v>
      </c>
      <c r="E323" s="1">
        <v>35</v>
      </c>
    </row>
    <row r="324" spans="1:6" x14ac:dyDescent="0.25">
      <c r="A324" t="s">
        <v>8</v>
      </c>
      <c r="B324">
        <f t="shared" ref="B324" si="316">4-_xlfn.RANK.AVG(B323,$B323:$E323)</f>
        <v>1.5</v>
      </c>
      <c r="C324">
        <f t="shared" ref="C324" si="317">4-_xlfn.RANK.AVG(C323,$B323:$E323)</f>
        <v>0</v>
      </c>
      <c r="D324">
        <f t="shared" ref="D324" si="318">4-_xlfn.RANK.AVG(D323,$B323:$E323)</f>
        <v>1.5</v>
      </c>
      <c r="E324">
        <f t="shared" ref="E324" si="319">4-_xlfn.RANK.AVG(E323,$B323:$E323)</f>
        <v>3</v>
      </c>
    </row>
    <row r="325" spans="1:6" x14ac:dyDescent="0.25">
      <c r="A325" t="s">
        <v>5</v>
      </c>
      <c r="B325" t="s">
        <v>0</v>
      </c>
      <c r="C325" t="s">
        <v>1</v>
      </c>
      <c r="D325" t="s">
        <v>2</v>
      </c>
      <c r="E325" t="s">
        <v>3</v>
      </c>
      <c r="F325" t="str">
        <f t="shared" si="259"/>
        <v>Partie 82</v>
      </c>
    </row>
    <row r="326" spans="1:6" x14ac:dyDescent="0.25">
      <c r="A326" t="s">
        <v>6</v>
      </c>
      <c r="B326" s="1" t="s">
        <v>38</v>
      </c>
      <c r="C326" s="1" t="s">
        <v>60</v>
      </c>
      <c r="D326" s="1" t="s">
        <v>42</v>
      </c>
      <c r="E326" s="1" t="s">
        <v>46</v>
      </c>
      <c r="F326" s="3">
        <v>45948.699004629627</v>
      </c>
    </row>
    <row r="327" spans="1:6" x14ac:dyDescent="0.25">
      <c r="A327" t="s">
        <v>7</v>
      </c>
      <c r="B327" s="1">
        <v>-96</v>
      </c>
      <c r="C327" s="1">
        <v>-17</v>
      </c>
      <c r="D327" s="1">
        <v>119</v>
      </c>
      <c r="E327" s="1">
        <v>-6</v>
      </c>
    </row>
    <row r="328" spans="1:6" x14ac:dyDescent="0.25">
      <c r="A328" t="s">
        <v>8</v>
      </c>
      <c r="B328">
        <f t="shared" ref="B328" si="320">4-_xlfn.RANK.AVG(B327,$B327:$E327)</f>
        <v>0</v>
      </c>
      <c r="C328">
        <f t="shared" ref="C328" si="321">4-_xlfn.RANK.AVG(C327,$B327:$E327)</f>
        <v>1</v>
      </c>
      <c r="D328">
        <f t="shared" ref="D328" si="322">4-_xlfn.RANK.AVG(D327,$B327:$E327)</f>
        <v>3</v>
      </c>
      <c r="E328">
        <f t="shared" ref="E328" si="323">4-_xlfn.RANK.AVG(E327,$B327:$E327)</f>
        <v>2</v>
      </c>
    </row>
    <row r="329" spans="1:6" x14ac:dyDescent="0.25">
      <c r="A329" t="s">
        <v>5</v>
      </c>
      <c r="B329" t="s">
        <v>0</v>
      </c>
      <c r="C329" t="s">
        <v>1</v>
      </c>
      <c r="D329" t="s">
        <v>2</v>
      </c>
      <c r="E329" t="s">
        <v>3</v>
      </c>
      <c r="F329" t="str">
        <f t="shared" ref="F329:F389" si="324">"Partie " &amp; (ROW()-1)/4+1</f>
        <v>Partie 83</v>
      </c>
    </row>
    <row r="330" spans="1:6" x14ac:dyDescent="0.25">
      <c r="A330" t="s">
        <v>6</v>
      </c>
      <c r="B330" s="1" t="s">
        <v>60</v>
      </c>
      <c r="C330" s="1" t="s">
        <v>51</v>
      </c>
      <c r="D330" s="1" t="s">
        <v>49</v>
      </c>
      <c r="E330" s="1" t="s">
        <v>38</v>
      </c>
      <c r="F330" s="3">
        <v>45948.822048611109</v>
      </c>
    </row>
    <row r="331" spans="1:6" x14ac:dyDescent="0.25">
      <c r="A331" t="s">
        <v>7</v>
      </c>
      <c r="B331" s="1">
        <v>213</v>
      </c>
      <c r="C331" s="1">
        <v>-170</v>
      </c>
      <c r="D331" s="1">
        <v>127</v>
      </c>
      <c r="E331" s="1">
        <v>-170</v>
      </c>
    </row>
    <row r="332" spans="1:6" x14ac:dyDescent="0.25">
      <c r="A332" t="s">
        <v>8</v>
      </c>
      <c r="B332">
        <f t="shared" ref="B332" si="325">4-_xlfn.RANK.AVG(B331,$B331:$E331)</f>
        <v>3</v>
      </c>
      <c r="C332">
        <f t="shared" ref="C332" si="326">4-_xlfn.RANK.AVG(C331,$B331:$E331)</f>
        <v>0.5</v>
      </c>
      <c r="D332">
        <f t="shared" ref="D332" si="327">4-_xlfn.RANK.AVG(D331,$B331:$E331)</f>
        <v>2</v>
      </c>
      <c r="E332">
        <f t="shared" ref="E332" si="328">4-_xlfn.RANK.AVG(E331,$B331:$E331)</f>
        <v>0.5</v>
      </c>
    </row>
    <row r="333" spans="1:6" x14ac:dyDescent="0.25">
      <c r="A333" t="s">
        <v>5</v>
      </c>
      <c r="B333" t="s">
        <v>0</v>
      </c>
      <c r="C333" t="s">
        <v>1</v>
      </c>
      <c r="D333" t="s">
        <v>2</v>
      </c>
      <c r="E333" t="s">
        <v>3</v>
      </c>
      <c r="F333" t="str">
        <f t="shared" si="324"/>
        <v>Partie 84</v>
      </c>
    </row>
    <row r="334" spans="1:6" x14ac:dyDescent="0.25">
      <c r="A334" t="s">
        <v>6</v>
      </c>
      <c r="B334" s="1" t="s">
        <v>48</v>
      </c>
      <c r="C334" s="1" t="s">
        <v>39</v>
      </c>
      <c r="D334" s="1" t="s">
        <v>52</v>
      </c>
      <c r="E334" s="1" t="s">
        <v>40</v>
      </c>
      <c r="F334" s="3">
        <v>45948.820451388892</v>
      </c>
    </row>
    <row r="335" spans="1:6" x14ac:dyDescent="0.25">
      <c r="A335" t="s">
        <v>7</v>
      </c>
      <c r="B335" s="1">
        <v>-181</v>
      </c>
      <c r="C335" s="1">
        <v>-14</v>
      </c>
      <c r="D335" s="1">
        <v>337</v>
      </c>
      <c r="E335" s="1">
        <v>-142</v>
      </c>
    </row>
    <row r="336" spans="1:6" x14ac:dyDescent="0.25">
      <c r="A336" t="s">
        <v>8</v>
      </c>
      <c r="B336">
        <f t="shared" ref="B336" si="329">4-_xlfn.RANK.AVG(B335,$B335:$E335)</f>
        <v>0</v>
      </c>
      <c r="C336">
        <f t="shared" ref="C336" si="330">4-_xlfn.RANK.AVG(C335,$B335:$E335)</f>
        <v>2</v>
      </c>
      <c r="D336">
        <f t="shared" ref="D336" si="331">4-_xlfn.RANK.AVG(D335,$B335:$E335)</f>
        <v>3</v>
      </c>
      <c r="E336">
        <f t="shared" ref="E336" si="332">4-_xlfn.RANK.AVG(E335,$B335:$E335)</f>
        <v>1</v>
      </c>
    </row>
    <row r="337" spans="1:6" x14ac:dyDescent="0.25">
      <c r="A337" t="s">
        <v>5</v>
      </c>
      <c r="B337" t="s">
        <v>0</v>
      </c>
      <c r="C337" t="s">
        <v>1</v>
      </c>
      <c r="D337" t="s">
        <v>2</v>
      </c>
      <c r="E337" t="s">
        <v>3</v>
      </c>
      <c r="F337" t="str">
        <f t="shared" si="324"/>
        <v>Partie 85</v>
      </c>
    </row>
    <row r="338" spans="1:6" x14ac:dyDescent="0.25">
      <c r="A338" t="s">
        <v>6</v>
      </c>
      <c r="B338" s="1" t="s">
        <v>37</v>
      </c>
      <c r="C338" s="1" t="s">
        <v>48</v>
      </c>
      <c r="D338" s="1" t="s">
        <v>61</v>
      </c>
      <c r="E338" s="1" t="s">
        <v>67</v>
      </c>
      <c r="F338" s="3">
        <v>45948.82304398148</v>
      </c>
    </row>
    <row r="339" spans="1:6" x14ac:dyDescent="0.25">
      <c r="A339" t="s">
        <v>7</v>
      </c>
      <c r="B339" s="1">
        <v>144</v>
      </c>
      <c r="C339" s="1">
        <v>209</v>
      </c>
      <c r="D339" s="1">
        <v>-226</v>
      </c>
      <c r="E339" s="1">
        <v>-127</v>
      </c>
    </row>
    <row r="340" spans="1:6" x14ac:dyDescent="0.25">
      <c r="A340" t="s">
        <v>8</v>
      </c>
      <c r="B340">
        <f t="shared" ref="B340" si="333">4-_xlfn.RANK.AVG(B339,$B339:$E339)</f>
        <v>2</v>
      </c>
      <c r="C340">
        <f t="shared" ref="C340" si="334">4-_xlfn.RANK.AVG(C339,$B339:$E339)</f>
        <v>3</v>
      </c>
      <c r="D340">
        <f t="shared" ref="D340" si="335">4-_xlfn.RANK.AVG(D339,$B339:$E339)</f>
        <v>0</v>
      </c>
      <c r="E340">
        <f t="shared" ref="E340" si="336">4-_xlfn.RANK.AVG(E339,$B339:$E339)</f>
        <v>1</v>
      </c>
    </row>
    <row r="341" spans="1:6" x14ac:dyDescent="0.25">
      <c r="A341" t="s">
        <v>5</v>
      </c>
      <c r="B341" t="s">
        <v>0</v>
      </c>
      <c r="C341" t="s">
        <v>1</v>
      </c>
      <c r="D341" t="s">
        <v>2</v>
      </c>
      <c r="E341" t="s">
        <v>3</v>
      </c>
      <c r="F341" t="str">
        <f t="shared" si="324"/>
        <v>Partie 86</v>
      </c>
    </row>
    <row r="342" spans="1:6" x14ac:dyDescent="0.25">
      <c r="A342" t="s">
        <v>6</v>
      </c>
      <c r="B342" s="1" t="s">
        <v>49</v>
      </c>
      <c r="C342" s="1" t="s">
        <v>40</v>
      </c>
      <c r="D342" s="1" t="s">
        <v>39</v>
      </c>
      <c r="E342" s="1" t="s">
        <v>67</v>
      </c>
      <c r="F342" s="3">
        <v>45948.917662037034</v>
      </c>
    </row>
    <row r="343" spans="1:6" x14ac:dyDescent="0.25">
      <c r="A343" t="s">
        <v>7</v>
      </c>
      <c r="B343" s="1">
        <v>2</v>
      </c>
      <c r="C343" s="1">
        <v>-46</v>
      </c>
      <c r="D343" s="1">
        <v>112</v>
      </c>
      <c r="E343" s="1">
        <v>-68</v>
      </c>
    </row>
    <row r="344" spans="1:6" x14ac:dyDescent="0.25">
      <c r="A344" t="s">
        <v>8</v>
      </c>
      <c r="B344">
        <f t="shared" ref="B344" si="337">4-_xlfn.RANK.AVG(B343,$B343:$E343)</f>
        <v>2</v>
      </c>
      <c r="C344">
        <f t="shared" ref="C344" si="338">4-_xlfn.RANK.AVG(C343,$B343:$E343)</f>
        <v>1</v>
      </c>
      <c r="D344">
        <f t="shared" ref="D344" si="339">4-_xlfn.RANK.AVG(D343,$B343:$E343)</f>
        <v>3</v>
      </c>
      <c r="E344">
        <f t="shared" ref="E344" si="340">4-_xlfn.RANK.AVG(E343,$B343:$E343)</f>
        <v>0</v>
      </c>
    </row>
    <row r="345" spans="1:6" x14ac:dyDescent="0.25">
      <c r="A345" t="s">
        <v>5</v>
      </c>
      <c r="B345" t="s">
        <v>0</v>
      </c>
      <c r="C345" t="s">
        <v>1</v>
      </c>
      <c r="D345" t="s">
        <v>2</v>
      </c>
      <c r="E345" t="s">
        <v>3</v>
      </c>
      <c r="F345" t="str">
        <f t="shared" si="324"/>
        <v>Partie 87</v>
      </c>
    </row>
    <row r="346" spans="1:6" x14ac:dyDescent="0.25">
      <c r="A346" t="s">
        <v>6</v>
      </c>
      <c r="B346" s="1" t="s">
        <v>60</v>
      </c>
      <c r="C346" s="1" t="s">
        <v>48</v>
      </c>
      <c r="D346" s="1" t="s">
        <v>37</v>
      </c>
      <c r="E346" s="1" t="s">
        <v>52</v>
      </c>
      <c r="F346" s="3">
        <v>45948.917488425926</v>
      </c>
    </row>
    <row r="347" spans="1:6" x14ac:dyDescent="0.25">
      <c r="A347" t="s">
        <v>7</v>
      </c>
      <c r="B347" s="1">
        <v>-118</v>
      </c>
      <c r="C347" s="1">
        <v>38</v>
      </c>
      <c r="D347" s="1">
        <v>21</v>
      </c>
      <c r="E347" s="1">
        <v>59</v>
      </c>
    </row>
    <row r="348" spans="1:6" x14ac:dyDescent="0.25">
      <c r="A348" t="s">
        <v>8</v>
      </c>
      <c r="B348">
        <f t="shared" ref="B348" si="341">4-_xlfn.RANK.AVG(B347,$B347:$E347)</f>
        <v>0</v>
      </c>
      <c r="C348">
        <f t="shared" ref="C348" si="342">4-_xlfn.RANK.AVG(C347,$B347:$E347)</f>
        <v>2</v>
      </c>
      <c r="D348">
        <f t="shared" ref="D348" si="343">4-_xlfn.RANK.AVG(D347,$B347:$E347)</f>
        <v>1</v>
      </c>
      <c r="E348">
        <f t="shared" ref="E348" si="344">4-_xlfn.RANK.AVG(E347,$B347:$E347)</f>
        <v>3</v>
      </c>
    </row>
    <row r="349" spans="1:6" x14ac:dyDescent="0.25">
      <c r="A349" t="s">
        <v>5</v>
      </c>
      <c r="B349" t="s">
        <v>0</v>
      </c>
      <c r="C349" t="s">
        <v>1</v>
      </c>
      <c r="D349" t="s">
        <v>2</v>
      </c>
      <c r="E349" t="s">
        <v>3</v>
      </c>
      <c r="F349" t="str">
        <f t="shared" si="324"/>
        <v>Partie 88</v>
      </c>
    </row>
    <row r="350" spans="1:6" x14ac:dyDescent="0.25">
      <c r="A350" t="s">
        <v>6</v>
      </c>
      <c r="B350" s="1" t="s">
        <v>61</v>
      </c>
      <c r="C350" s="1" t="s">
        <v>51</v>
      </c>
      <c r="D350" s="1" t="s">
        <v>48</v>
      </c>
      <c r="E350" s="1" t="s">
        <v>38</v>
      </c>
      <c r="F350" s="3">
        <v>45948.918171296296</v>
      </c>
    </row>
    <row r="351" spans="1:6" x14ac:dyDescent="0.25">
      <c r="A351" t="s">
        <v>7</v>
      </c>
      <c r="B351" s="1">
        <v>236</v>
      </c>
      <c r="C351" s="1">
        <v>-134</v>
      </c>
      <c r="D351" s="1">
        <v>-57</v>
      </c>
      <c r="E351" s="1">
        <v>-45</v>
      </c>
    </row>
    <row r="352" spans="1:6" x14ac:dyDescent="0.25">
      <c r="A352" t="s">
        <v>8</v>
      </c>
      <c r="B352">
        <f t="shared" ref="B352" si="345">4-_xlfn.RANK.AVG(B351,$B351:$E351)</f>
        <v>3</v>
      </c>
      <c r="C352">
        <f t="shared" ref="C352" si="346">4-_xlfn.RANK.AVG(C351,$B351:$E351)</f>
        <v>0</v>
      </c>
      <c r="D352">
        <f t="shared" ref="D352" si="347">4-_xlfn.RANK.AVG(D351,$B351:$E351)</f>
        <v>1</v>
      </c>
      <c r="E352">
        <f t="shared" ref="E352" si="348">4-_xlfn.RANK.AVG(E351,$B351:$E351)</f>
        <v>2</v>
      </c>
    </row>
    <row r="353" spans="1:6" x14ac:dyDescent="0.25">
      <c r="A353" t="s">
        <v>5</v>
      </c>
      <c r="B353" t="s">
        <v>0</v>
      </c>
      <c r="C353" t="s">
        <v>1</v>
      </c>
      <c r="D353" t="s">
        <v>2</v>
      </c>
      <c r="E353" t="s">
        <v>3</v>
      </c>
      <c r="F353" t="str">
        <f t="shared" si="324"/>
        <v>Partie 89</v>
      </c>
    </row>
    <row r="354" spans="1:6" x14ac:dyDescent="0.25">
      <c r="A354" t="s">
        <v>6</v>
      </c>
      <c r="B354" s="1" t="s">
        <v>38</v>
      </c>
      <c r="C354" s="1" t="s">
        <v>51</v>
      </c>
      <c r="D354" s="1" t="s">
        <v>42</v>
      </c>
      <c r="E354" s="1" t="s">
        <v>48</v>
      </c>
      <c r="F354" s="3">
        <v>45952.621932870374</v>
      </c>
    </row>
    <row r="355" spans="1:6" x14ac:dyDescent="0.25">
      <c r="A355" t="s">
        <v>7</v>
      </c>
      <c r="B355" s="1">
        <v>-172</v>
      </c>
      <c r="C355" s="1">
        <v>169</v>
      </c>
      <c r="D355" s="1">
        <v>-43</v>
      </c>
      <c r="E355" s="1">
        <v>46</v>
      </c>
    </row>
    <row r="356" spans="1:6" x14ac:dyDescent="0.25">
      <c r="A356" t="s">
        <v>8</v>
      </c>
      <c r="B356">
        <f t="shared" ref="B356" si="349">4-_xlfn.RANK.AVG(B355,$B355:$E355)</f>
        <v>0</v>
      </c>
      <c r="C356">
        <f t="shared" ref="C356" si="350">4-_xlfn.RANK.AVG(C355,$B355:$E355)</f>
        <v>3</v>
      </c>
      <c r="D356">
        <f t="shared" ref="D356" si="351">4-_xlfn.RANK.AVG(D355,$B355:$E355)</f>
        <v>1</v>
      </c>
      <c r="E356">
        <f t="shared" ref="E356" si="352">4-_xlfn.RANK.AVG(E355,$B355:$E355)</f>
        <v>2</v>
      </c>
    </row>
    <row r="357" spans="1:6" x14ac:dyDescent="0.25">
      <c r="A357" t="s">
        <v>5</v>
      </c>
      <c r="B357" t="s">
        <v>0</v>
      </c>
      <c r="C357" t="s">
        <v>1</v>
      </c>
      <c r="D357" t="s">
        <v>2</v>
      </c>
      <c r="E357" t="s">
        <v>3</v>
      </c>
      <c r="F357" t="str">
        <f t="shared" si="324"/>
        <v>Partie 90</v>
      </c>
    </row>
    <row r="358" spans="1:6" x14ac:dyDescent="0.25">
      <c r="A358" t="s">
        <v>6</v>
      </c>
      <c r="B358" s="1" t="s">
        <v>37</v>
      </c>
      <c r="C358" s="1" t="s">
        <v>67</v>
      </c>
      <c r="D358" s="1" t="s">
        <v>49</v>
      </c>
      <c r="E358" s="1" t="s">
        <v>40</v>
      </c>
      <c r="F358" s="3">
        <v>45952.620370370372</v>
      </c>
    </row>
    <row r="359" spans="1:6" x14ac:dyDescent="0.25">
      <c r="A359" t="s">
        <v>7</v>
      </c>
      <c r="B359" s="1">
        <v>-343</v>
      </c>
      <c r="C359" s="1">
        <v>-189</v>
      </c>
      <c r="D359" s="1">
        <v>627</v>
      </c>
      <c r="E359" s="1">
        <v>-95</v>
      </c>
    </row>
    <row r="360" spans="1:6" x14ac:dyDescent="0.25">
      <c r="A360" t="s">
        <v>8</v>
      </c>
      <c r="B360">
        <f t="shared" ref="B360" si="353">4-_xlfn.RANK.AVG(B359,$B359:$E359)</f>
        <v>0</v>
      </c>
      <c r="C360">
        <f t="shared" ref="C360" si="354">4-_xlfn.RANK.AVG(C359,$B359:$E359)</f>
        <v>1</v>
      </c>
      <c r="D360">
        <f t="shared" ref="D360" si="355">4-_xlfn.RANK.AVG(D359,$B359:$E359)</f>
        <v>3</v>
      </c>
      <c r="E360">
        <f t="shared" ref="E360" si="356">4-_xlfn.RANK.AVG(E359,$B359:$E359)</f>
        <v>2</v>
      </c>
    </row>
    <row r="361" spans="1:6" x14ac:dyDescent="0.25">
      <c r="A361" t="s">
        <v>5</v>
      </c>
      <c r="B361" t="s">
        <v>0</v>
      </c>
      <c r="C361" t="s">
        <v>1</v>
      </c>
      <c r="D361" t="s">
        <v>2</v>
      </c>
      <c r="E361" t="s">
        <v>3</v>
      </c>
      <c r="F361" t="str">
        <f t="shared" si="324"/>
        <v>Partie 91</v>
      </c>
    </row>
    <row r="362" spans="1:6" x14ac:dyDescent="0.25">
      <c r="A362" t="s">
        <v>6</v>
      </c>
      <c r="B362" s="1" t="s">
        <v>48</v>
      </c>
      <c r="C362" s="1" t="s">
        <v>40</v>
      </c>
      <c r="D362" s="1" t="s">
        <v>49</v>
      </c>
      <c r="E362" s="1" t="s">
        <v>51</v>
      </c>
      <c r="F362" s="3">
        <v>45952.713101851848</v>
      </c>
    </row>
    <row r="363" spans="1:6" x14ac:dyDescent="0.25">
      <c r="A363" t="s">
        <v>7</v>
      </c>
      <c r="B363" s="1">
        <v>-74</v>
      </c>
      <c r="C363" s="1">
        <v>-52</v>
      </c>
      <c r="D363" s="1">
        <v>24</v>
      </c>
      <c r="E363" s="1">
        <v>102</v>
      </c>
    </row>
    <row r="364" spans="1:6" x14ac:dyDescent="0.25">
      <c r="A364" t="s">
        <v>8</v>
      </c>
      <c r="B364">
        <f t="shared" ref="B364" si="357">4-_xlfn.RANK.AVG(B363,$B363:$E363)</f>
        <v>0</v>
      </c>
      <c r="C364">
        <f t="shared" ref="C364" si="358">4-_xlfn.RANK.AVG(C363,$B363:$E363)</f>
        <v>1</v>
      </c>
      <c r="D364">
        <f t="shared" ref="D364" si="359">4-_xlfn.RANK.AVG(D363,$B363:$E363)</f>
        <v>2</v>
      </c>
      <c r="E364">
        <f t="shared" ref="E364" si="360">4-_xlfn.RANK.AVG(E363,$B363:$E363)</f>
        <v>3</v>
      </c>
    </row>
    <row r="365" spans="1:6" x14ac:dyDescent="0.25">
      <c r="A365" t="s">
        <v>5</v>
      </c>
      <c r="B365" t="s">
        <v>0</v>
      </c>
      <c r="C365" t="s">
        <v>1</v>
      </c>
      <c r="D365" t="s">
        <v>2</v>
      </c>
      <c r="E365" t="s">
        <v>3</v>
      </c>
      <c r="F365" t="str">
        <f t="shared" si="324"/>
        <v>Partie 92</v>
      </c>
    </row>
    <row r="366" spans="1:6" x14ac:dyDescent="0.25">
      <c r="A366" t="s">
        <v>6</v>
      </c>
      <c r="B366" s="1" t="s">
        <v>42</v>
      </c>
      <c r="C366" s="1" t="s">
        <v>52</v>
      </c>
      <c r="D366" s="1" t="s">
        <v>67</v>
      </c>
      <c r="E366" s="1" t="s">
        <v>38</v>
      </c>
      <c r="F366" s="3">
        <v>45952.711828703701</v>
      </c>
    </row>
    <row r="367" spans="1:6" x14ac:dyDescent="0.25">
      <c r="A367" t="s">
        <v>7</v>
      </c>
      <c r="B367" s="1">
        <v>-151</v>
      </c>
      <c r="C367" s="1">
        <v>197</v>
      </c>
      <c r="D367" s="1">
        <v>-14</v>
      </c>
      <c r="E367" s="1">
        <v>-32</v>
      </c>
    </row>
    <row r="368" spans="1:6" x14ac:dyDescent="0.25">
      <c r="A368" t="s">
        <v>8</v>
      </c>
      <c r="B368">
        <f t="shared" ref="B368" si="361">4-_xlfn.RANK.AVG(B367,$B367:$E367)</f>
        <v>0</v>
      </c>
      <c r="C368">
        <f t="shared" ref="C368" si="362">4-_xlfn.RANK.AVG(C367,$B367:$E367)</f>
        <v>3</v>
      </c>
      <c r="D368">
        <f t="shared" ref="D368" si="363">4-_xlfn.RANK.AVG(D367,$B367:$E367)</f>
        <v>2</v>
      </c>
      <c r="E368">
        <f t="shared" ref="E368" si="364">4-_xlfn.RANK.AVG(E367,$B367:$E367)</f>
        <v>1</v>
      </c>
    </row>
    <row r="369" spans="1:6" x14ac:dyDescent="0.25">
      <c r="A369" t="s">
        <v>5</v>
      </c>
      <c r="B369" t="s">
        <v>0</v>
      </c>
      <c r="C369" t="s">
        <v>1</v>
      </c>
      <c r="D369" t="s">
        <v>2</v>
      </c>
      <c r="E369" t="s">
        <v>3</v>
      </c>
      <c r="F369" t="str">
        <f t="shared" si="324"/>
        <v>Partie 93</v>
      </c>
    </row>
    <row r="370" spans="1:6" x14ac:dyDescent="0.25">
      <c r="A370" t="s">
        <v>6</v>
      </c>
      <c r="B370" s="1" t="s">
        <v>52</v>
      </c>
      <c r="C370" s="1" t="s">
        <v>51</v>
      </c>
      <c r="D370" s="1" t="s">
        <v>40</v>
      </c>
      <c r="E370" s="1" t="s">
        <v>67</v>
      </c>
      <c r="F370" s="3">
        <v>45952.81523148148</v>
      </c>
    </row>
    <row r="371" spans="1:6" x14ac:dyDescent="0.25">
      <c r="A371" t="s">
        <v>7</v>
      </c>
      <c r="B371" s="1">
        <v>-205</v>
      </c>
      <c r="C371" s="1">
        <v>50</v>
      </c>
      <c r="D371" s="1">
        <v>131</v>
      </c>
      <c r="E371" s="1">
        <v>24</v>
      </c>
    </row>
    <row r="372" spans="1:6" x14ac:dyDescent="0.25">
      <c r="A372" t="s">
        <v>8</v>
      </c>
      <c r="B372">
        <f t="shared" ref="B372" si="365">4-_xlfn.RANK.AVG(B371,$B371:$E371)</f>
        <v>0</v>
      </c>
      <c r="C372">
        <f t="shared" ref="C372" si="366">4-_xlfn.RANK.AVG(C371,$B371:$E371)</f>
        <v>2</v>
      </c>
      <c r="D372">
        <f t="shared" ref="D372" si="367">4-_xlfn.RANK.AVG(D371,$B371:$E371)</f>
        <v>3</v>
      </c>
      <c r="E372">
        <f t="shared" ref="E372" si="368">4-_xlfn.RANK.AVG(E371,$B371:$E371)</f>
        <v>1</v>
      </c>
    </row>
    <row r="373" spans="1:6" x14ac:dyDescent="0.25">
      <c r="A373" t="s">
        <v>5</v>
      </c>
      <c r="B373" t="s">
        <v>0</v>
      </c>
      <c r="C373" t="s">
        <v>1</v>
      </c>
      <c r="D373" t="s">
        <v>2</v>
      </c>
      <c r="E373" t="s">
        <v>3</v>
      </c>
      <c r="F373" t="str">
        <f t="shared" si="324"/>
        <v>Partie 94</v>
      </c>
    </row>
    <row r="374" spans="1:6" x14ac:dyDescent="0.25">
      <c r="A374" t="s">
        <v>6</v>
      </c>
      <c r="B374" s="1" t="s">
        <v>52</v>
      </c>
      <c r="C374" s="1" t="s">
        <v>48</v>
      </c>
      <c r="D374" s="1" t="s">
        <v>58</v>
      </c>
      <c r="E374" s="1" t="s">
        <v>49</v>
      </c>
      <c r="F374" s="3">
        <v>45952.814097222225</v>
      </c>
    </row>
    <row r="375" spans="1:6" x14ac:dyDescent="0.25">
      <c r="A375" t="s">
        <v>7</v>
      </c>
      <c r="B375" s="1">
        <v>276</v>
      </c>
      <c r="C375" s="1">
        <v>37</v>
      </c>
      <c r="D375" s="1">
        <v>-107</v>
      </c>
      <c r="E375" s="1">
        <v>-206</v>
      </c>
    </row>
    <row r="376" spans="1:6" x14ac:dyDescent="0.25">
      <c r="A376" t="s">
        <v>8</v>
      </c>
      <c r="B376">
        <f t="shared" ref="B376" si="369">4-_xlfn.RANK.AVG(B375,$B375:$E375)</f>
        <v>3</v>
      </c>
      <c r="C376">
        <f t="shared" ref="C376" si="370">4-_xlfn.RANK.AVG(C375,$B375:$E375)</f>
        <v>2</v>
      </c>
      <c r="D376">
        <f t="shared" ref="D376" si="371">4-_xlfn.RANK.AVG(D375,$B375:$E375)</f>
        <v>1</v>
      </c>
      <c r="E376">
        <f t="shared" ref="E376" si="372">4-_xlfn.RANK.AVG(E375,$B375:$E375)</f>
        <v>0</v>
      </c>
    </row>
    <row r="377" spans="1:6" x14ac:dyDescent="0.25">
      <c r="A377" t="s">
        <v>5</v>
      </c>
      <c r="B377" t="s">
        <v>0</v>
      </c>
      <c r="C377" t="s">
        <v>1</v>
      </c>
      <c r="D377" t="s">
        <v>2</v>
      </c>
      <c r="E377" t="s">
        <v>3</v>
      </c>
      <c r="F377" t="str">
        <f t="shared" si="324"/>
        <v>Partie 95</v>
      </c>
    </row>
    <row r="378" spans="1:6" x14ac:dyDescent="0.25">
      <c r="A378" t="s">
        <v>6</v>
      </c>
      <c r="B378" s="1" t="s">
        <v>51</v>
      </c>
      <c r="C378" s="1" t="s">
        <v>57</v>
      </c>
      <c r="D378" s="1" t="s">
        <v>38</v>
      </c>
      <c r="E378" s="1" t="s">
        <v>49</v>
      </c>
      <c r="F378" s="3">
        <v>45955.590624999997</v>
      </c>
    </row>
    <row r="379" spans="1:6" x14ac:dyDescent="0.25">
      <c r="A379" t="s">
        <v>7</v>
      </c>
      <c r="B379" s="1">
        <v>-49</v>
      </c>
      <c r="C379" s="1">
        <v>-49</v>
      </c>
      <c r="D379" s="1">
        <v>65</v>
      </c>
      <c r="E379" s="1">
        <v>33</v>
      </c>
    </row>
    <row r="380" spans="1:6" x14ac:dyDescent="0.25">
      <c r="A380" t="s">
        <v>8</v>
      </c>
      <c r="B380">
        <f t="shared" ref="B380" si="373">4-_xlfn.RANK.AVG(B379,$B379:$E379)</f>
        <v>0.5</v>
      </c>
      <c r="C380">
        <f t="shared" ref="C380" si="374">4-_xlfn.RANK.AVG(C379,$B379:$E379)</f>
        <v>0.5</v>
      </c>
      <c r="D380">
        <f t="shared" ref="D380" si="375">4-_xlfn.RANK.AVG(D379,$B379:$E379)</f>
        <v>3</v>
      </c>
      <c r="E380">
        <f t="shared" ref="E380" si="376">4-_xlfn.RANK.AVG(E379,$B379:$E379)</f>
        <v>2</v>
      </c>
    </row>
    <row r="381" spans="1:6" x14ac:dyDescent="0.25">
      <c r="A381" t="s">
        <v>5</v>
      </c>
      <c r="B381" t="s">
        <v>0</v>
      </c>
      <c r="C381" t="s">
        <v>1</v>
      </c>
      <c r="D381" t="s">
        <v>2</v>
      </c>
      <c r="E381" t="s">
        <v>3</v>
      </c>
      <c r="F381" t="str">
        <f t="shared" si="324"/>
        <v>Partie 96</v>
      </c>
    </row>
    <row r="382" spans="1:6" x14ac:dyDescent="0.25">
      <c r="A382" t="s">
        <v>6</v>
      </c>
      <c r="B382" s="1" t="s">
        <v>50</v>
      </c>
      <c r="C382" s="1" t="s">
        <v>48</v>
      </c>
      <c r="D382" s="1" t="s">
        <v>40</v>
      </c>
      <c r="E382" s="1" t="s">
        <v>67</v>
      </c>
      <c r="F382" s="3">
        <v>45955.605844907404</v>
      </c>
    </row>
    <row r="383" spans="1:6" x14ac:dyDescent="0.25">
      <c r="A383" t="s">
        <v>7</v>
      </c>
      <c r="B383" s="1">
        <v>-6</v>
      </c>
      <c r="C383" s="1">
        <v>-36</v>
      </c>
      <c r="D383" s="1">
        <v>-37</v>
      </c>
      <c r="E383" s="1">
        <v>79</v>
      </c>
    </row>
    <row r="384" spans="1:6" x14ac:dyDescent="0.25">
      <c r="A384" t="s">
        <v>8</v>
      </c>
      <c r="B384">
        <f t="shared" ref="B384" si="377">4-_xlfn.RANK.AVG(B383,$B383:$E383)</f>
        <v>2</v>
      </c>
      <c r="C384">
        <f t="shared" ref="C384" si="378">4-_xlfn.RANK.AVG(C383,$B383:$E383)</f>
        <v>1</v>
      </c>
      <c r="D384">
        <f t="shared" ref="D384" si="379">4-_xlfn.RANK.AVG(D383,$B383:$E383)</f>
        <v>0</v>
      </c>
      <c r="E384">
        <f t="shared" ref="E384" si="380">4-_xlfn.RANK.AVG(E383,$B383:$E383)</f>
        <v>3</v>
      </c>
    </row>
    <row r="385" spans="1:6" x14ac:dyDescent="0.25">
      <c r="A385" t="s">
        <v>5</v>
      </c>
      <c r="B385" t="s">
        <v>0</v>
      </c>
      <c r="C385" t="s">
        <v>1</v>
      </c>
      <c r="D385" t="s">
        <v>2</v>
      </c>
      <c r="E385" t="s">
        <v>3</v>
      </c>
      <c r="F385" t="str">
        <f t="shared" si="324"/>
        <v>Partie 97</v>
      </c>
    </row>
    <row r="386" spans="1:6" x14ac:dyDescent="0.25">
      <c r="A386" t="s">
        <v>6</v>
      </c>
      <c r="B386" s="1" t="s">
        <v>38</v>
      </c>
      <c r="C386" s="1" t="s">
        <v>57</v>
      </c>
      <c r="D386" s="1" t="s">
        <v>67</v>
      </c>
      <c r="E386" s="1" t="s">
        <v>37</v>
      </c>
      <c r="F386" s="3">
        <v>45955.695486111108</v>
      </c>
    </row>
    <row r="387" spans="1:6" x14ac:dyDescent="0.25">
      <c r="A387" t="s">
        <v>7</v>
      </c>
      <c r="B387" s="1">
        <v>23</v>
      </c>
      <c r="C387" s="1">
        <v>141</v>
      </c>
      <c r="D387" s="1">
        <v>-163</v>
      </c>
      <c r="E387" s="1">
        <v>-1</v>
      </c>
    </row>
    <row r="388" spans="1:6" x14ac:dyDescent="0.25">
      <c r="A388" t="s">
        <v>8</v>
      </c>
      <c r="B388">
        <f t="shared" ref="B388" si="381">4-_xlfn.RANK.AVG(B387,$B387:$E387)</f>
        <v>2</v>
      </c>
      <c r="C388">
        <f t="shared" ref="C388" si="382">4-_xlfn.RANK.AVG(C387,$B387:$E387)</f>
        <v>3</v>
      </c>
      <c r="D388">
        <f t="shared" ref="D388" si="383">4-_xlfn.RANK.AVG(D387,$B387:$E387)</f>
        <v>0</v>
      </c>
      <c r="E388">
        <f t="shared" ref="E388" si="384">4-_xlfn.RANK.AVG(E387,$B387:$E387)</f>
        <v>1</v>
      </c>
    </row>
    <row r="389" spans="1:6" x14ac:dyDescent="0.25">
      <c r="A389" t="s">
        <v>5</v>
      </c>
      <c r="B389" t="s">
        <v>0</v>
      </c>
      <c r="C389" t="s">
        <v>1</v>
      </c>
      <c r="D389" t="s">
        <v>2</v>
      </c>
      <c r="E389" t="s">
        <v>3</v>
      </c>
      <c r="F389" t="str">
        <f t="shared" si="324"/>
        <v>Partie 98</v>
      </c>
    </row>
    <row r="390" spans="1:6" x14ac:dyDescent="0.25">
      <c r="A390" t="s">
        <v>6</v>
      </c>
      <c r="B390" s="1" t="s">
        <v>71</v>
      </c>
      <c r="C390" s="1" t="s">
        <v>62</v>
      </c>
      <c r="D390" s="1" t="s">
        <v>46</v>
      </c>
      <c r="E390" s="1" t="s">
        <v>45</v>
      </c>
      <c r="F390" s="3">
        <v>45955.693842592591</v>
      </c>
    </row>
    <row r="391" spans="1:6" x14ac:dyDescent="0.25">
      <c r="A391" t="s">
        <v>7</v>
      </c>
      <c r="B391" s="1">
        <v>75</v>
      </c>
      <c r="C391" s="1">
        <v>104</v>
      </c>
      <c r="D391" s="1">
        <v>45</v>
      </c>
      <c r="E391" s="1">
        <v>-224</v>
      </c>
    </row>
    <row r="392" spans="1:6" x14ac:dyDescent="0.25">
      <c r="A392" t="s">
        <v>8</v>
      </c>
      <c r="B392">
        <f t="shared" ref="B392" si="385">4-_xlfn.RANK.AVG(B391,$B391:$E391)</f>
        <v>2</v>
      </c>
      <c r="C392">
        <f t="shared" ref="C392" si="386">4-_xlfn.RANK.AVG(C391,$B391:$E391)</f>
        <v>3</v>
      </c>
      <c r="D392">
        <f t="shared" ref="D392" si="387">4-_xlfn.RANK.AVG(D391,$B391:$E391)</f>
        <v>1</v>
      </c>
      <c r="E392">
        <f t="shared" ref="E392" si="388">4-_xlfn.RANK.AVG(E391,$B391:$E391)</f>
        <v>0</v>
      </c>
    </row>
    <row r="393" spans="1:6" x14ac:dyDescent="0.25">
      <c r="A393" t="s">
        <v>5</v>
      </c>
      <c r="B393" t="s">
        <v>0</v>
      </c>
      <c r="C393" t="s">
        <v>1</v>
      </c>
      <c r="D393" t="s">
        <v>2</v>
      </c>
      <c r="E393" t="s">
        <v>3</v>
      </c>
      <c r="F393" t="str">
        <f t="shared" ref="F393:F397" si="389">"Partie " &amp; (ROW()-1)/4+1</f>
        <v>Partie 99</v>
      </c>
    </row>
    <row r="394" spans="1:6" x14ac:dyDescent="0.25">
      <c r="A394" t="s">
        <v>6</v>
      </c>
      <c r="B394" s="1" t="s">
        <v>40</v>
      </c>
      <c r="C394" s="1" t="s">
        <v>52</v>
      </c>
      <c r="D394" s="1" t="s">
        <v>39</v>
      </c>
      <c r="E394" s="1" t="s">
        <v>49</v>
      </c>
      <c r="F394" s="3">
        <v>45955.693472222221</v>
      </c>
    </row>
    <row r="395" spans="1:6" x14ac:dyDescent="0.25">
      <c r="A395" t="s">
        <v>7</v>
      </c>
      <c r="B395" s="1">
        <v>-77</v>
      </c>
      <c r="C395" s="1">
        <v>256</v>
      </c>
      <c r="D395" s="1">
        <v>-29</v>
      </c>
      <c r="E395" s="1">
        <v>-150</v>
      </c>
    </row>
    <row r="396" spans="1:6" x14ac:dyDescent="0.25">
      <c r="A396" t="s">
        <v>8</v>
      </c>
      <c r="B396">
        <f t="shared" ref="B396" si="390">4-_xlfn.RANK.AVG(B395,$B395:$E395)</f>
        <v>1</v>
      </c>
      <c r="C396">
        <f t="shared" ref="C396" si="391">4-_xlfn.RANK.AVG(C395,$B395:$E395)</f>
        <v>3</v>
      </c>
      <c r="D396">
        <f t="shared" ref="D396" si="392">4-_xlfn.RANK.AVG(D395,$B395:$E395)</f>
        <v>2</v>
      </c>
      <c r="E396">
        <f t="shared" ref="E396" si="393">4-_xlfn.RANK.AVG(E395,$B395:$E395)</f>
        <v>0</v>
      </c>
    </row>
    <row r="397" spans="1:6" x14ac:dyDescent="0.25">
      <c r="A397" t="s">
        <v>5</v>
      </c>
      <c r="B397" t="s">
        <v>0</v>
      </c>
      <c r="C397" t="s">
        <v>1</v>
      </c>
      <c r="D397" t="s">
        <v>2</v>
      </c>
      <c r="E397" t="s">
        <v>3</v>
      </c>
      <c r="F397" t="str">
        <f t="shared" si="389"/>
        <v>Partie 100</v>
      </c>
    </row>
    <row r="398" spans="1:6" x14ac:dyDescent="0.25">
      <c r="A398" t="s">
        <v>6</v>
      </c>
      <c r="B398" s="1" t="s">
        <v>60</v>
      </c>
      <c r="C398" s="1" t="s">
        <v>51</v>
      </c>
      <c r="D398" s="1" t="s">
        <v>50</v>
      </c>
      <c r="E398" s="1" t="s">
        <v>43</v>
      </c>
      <c r="F398" s="3">
        <v>45955.695208333331</v>
      </c>
    </row>
    <row r="399" spans="1:6" x14ac:dyDescent="0.25">
      <c r="A399" t="s">
        <v>7</v>
      </c>
      <c r="B399" s="1">
        <v>-284</v>
      </c>
      <c r="C399" s="1">
        <v>121</v>
      </c>
      <c r="D399" s="1">
        <v>23</v>
      </c>
      <c r="E399" s="1">
        <v>140</v>
      </c>
    </row>
    <row r="400" spans="1:6" x14ac:dyDescent="0.25">
      <c r="A400" t="s">
        <v>8</v>
      </c>
      <c r="B400">
        <f t="shared" ref="B400" si="394">4-_xlfn.RANK.AVG(B399,$B399:$E399)</f>
        <v>0</v>
      </c>
      <c r="C400">
        <f t="shared" ref="C400" si="395">4-_xlfn.RANK.AVG(C399,$B399:$E399)</f>
        <v>2</v>
      </c>
      <c r="D400">
        <f t="shared" ref="D400" si="396">4-_xlfn.RANK.AVG(D399,$B399:$E399)</f>
        <v>1</v>
      </c>
      <c r="E400">
        <f t="shared" ref="E400" si="397">4-_xlfn.RANK.AVG(E399,$B399:$E399)</f>
        <v>3</v>
      </c>
    </row>
    <row r="401" spans="1:6" x14ac:dyDescent="0.25">
      <c r="A401" t="s">
        <v>5</v>
      </c>
      <c r="B401" t="s">
        <v>0</v>
      </c>
      <c r="C401" t="s">
        <v>1</v>
      </c>
      <c r="D401" t="s">
        <v>2</v>
      </c>
      <c r="E401" t="s">
        <v>3</v>
      </c>
      <c r="F401" t="str">
        <f t="shared" ref="F401:F461" si="398">"Partie " &amp; (ROW()-1)/4+1</f>
        <v>Partie 101</v>
      </c>
    </row>
    <row r="402" spans="1:6" x14ac:dyDescent="0.25">
      <c r="A402" t="s">
        <v>6</v>
      </c>
      <c r="B402" s="1" t="s">
        <v>39</v>
      </c>
      <c r="C402" s="1" t="s">
        <v>60</v>
      </c>
      <c r="D402" s="1" t="s">
        <v>52</v>
      </c>
      <c r="E402" s="1" t="s">
        <v>62</v>
      </c>
      <c r="F402" s="3">
        <v>45955.805798611109</v>
      </c>
    </row>
    <row r="403" spans="1:6" x14ac:dyDescent="0.25">
      <c r="A403" t="s">
        <v>7</v>
      </c>
      <c r="B403" s="1">
        <v>196</v>
      </c>
      <c r="C403" s="1">
        <v>-87</v>
      </c>
      <c r="D403" s="1">
        <v>87</v>
      </c>
      <c r="E403" s="1">
        <v>-196</v>
      </c>
    </row>
    <row r="404" spans="1:6" x14ac:dyDescent="0.25">
      <c r="A404" t="s">
        <v>8</v>
      </c>
      <c r="B404">
        <f t="shared" ref="B404:E416" si="399">4-_xlfn.RANK.AVG(B403,$B403:$E403)</f>
        <v>3</v>
      </c>
      <c r="C404">
        <f t="shared" si="399"/>
        <v>1</v>
      </c>
      <c r="D404">
        <f t="shared" si="399"/>
        <v>2</v>
      </c>
      <c r="E404">
        <f t="shared" si="399"/>
        <v>0</v>
      </c>
    </row>
    <row r="405" spans="1:6" x14ac:dyDescent="0.25">
      <c r="A405" t="s">
        <v>5</v>
      </c>
      <c r="B405" t="s">
        <v>0</v>
      </c>
      <c r="C405" t="s">
        <v>1</v>
      </c>
      <c r="D405" t="s">
        <v>2</v>
      </c>
      <c r="E405" t="s">
        <v>3</v>
      </c>
      <c r="F405" t="str">
        <f t="shared" si="398"/>
        <v>Partie 102</v>
      </c>
    </row>
    <row r="406" spans="1:6" x14ac:dyDescent="0.25">
      <c r="A406" t="s">
        <v>6</v>
      </c>
      <c r="B406" s="1" t="s">
        <v>60</v>
      </c>
      <c r="C406" s="1" t="s">
        <v>52</v>
      </c>
      <c r="D406" s="1" t="s">
        <v>62</v>
      </c>
      <c r="E406" s="1" t="s">
        <v>39</v>
      </c>
      <c r="F406" s="3">
        <v>45955.886678240742</v>
      </c>
    </row>
    <row r="407" spans="1:6" x14ac:dyDescent="0.25">
      <c r="A407" t="s">
        <v>7</v>
      </c>
      <c r="B407" s="1">
        <v>-162</v>
      </c>
      <c r="C407" s="1">
        <v>-128</v>
      </c>
      <c r="D407" s="1">
        <v>74</v>
      </c>
      <c r="E407" s="1">
        <v>216</v>
      </c>
    </row>
    <row r="408" spans="1:6" x14ac:dyDescent="0.25">
      <c r="A408" t="s">
        <v>8</v>
      </c>
      <c r="B408">
        <f t="shared" si="399"/>
        <v>0</v>
      </c>
      <c r="C408">
        <f t="shared" si="399"/>
        <v>1</v>
      </c>
      <c r="D408">
        <f t="shared" si="399"/>
        <v>2</v>
      </c>
      <c r="E408">
        <f t="shared" si="399"/>
        <v>3</v>
      </c>
    </row>
    <row r="409" spans="1:6" x14ac:dyDescent="0.25">
      <c r="A409" t="s">
        <v>5</v>
      </c>
      <c r="B409" t="s">
        <v>0</v>
      </c>
      <c r="C409" t="s">
        <v>1</v>
      </c>
      <c r="D409" t="s">
        <v>2</v>
      </c>
      <c r="E409" t="s">
        <v>3</v>
      </c>
      <c r="F409" t="str">
        <f t="shared" si="398"/>
        <v>Partie 103</v>
      </c>
    </row>
    <row r="410" spans="1:6" x14ac:dyDescent="0.25">
      <c r="A410" t="s">
        <v>6</v>
      </c>
      <c r="B410" s="1" t="s">
        <v>41</v>
      </c>
      <c r="C410" s="1" t="s">
        <v>43</v>
      </c>
      <c r="D410" s="1" t="s">
        <v>47</v>
      </c>
      <c r="E410" s="1" t="s">
        <v>62</v>
      </c>
      <c r="F410" s="3">
        <v>45955.593310185184</v>
      </c>
    </row>
    <row r="411" spans="1:6" x14ac:dyDescent="0.25">
      <c r="A411" t="s">
        <v>7</v>
      </c>
      <c r="B411" s="1">
        <v>4</v>
      </c>
      <c r="C411" s="1">
        <v>140</v>
      </c>
      <c r="D411" s="1">
        <v>-146</v>
      </c>
      <c r="E411" s="1">
        <v>2</v>
      </c>
    </row>
    <row r="412" spans="1:6" x14ac:dyDescent="0.25">
      <c r="A412" t="s">
        <v>8</v>
      </c>
      <c r="B412">
        <f t="shared" si="399"/>
        <v>2</v>
      </c>
      <c r="C412">
        <f t="shared" si="399"/>
        <v>3</v>
      </c>
      <c r="D412">
        <f t="shared" si="399"/>
        <v>0</v>
      </c>
      <c r="E412">
        <f t="shared" si="399"/>
        <v>1</v>
      </c>
    </row>
    <row r="413" spans="1:6" x14ac:dyDescent="0.25">
      <c r="A413" t="s">
        <v>5</v>
      </c>
      <c r="B413" t="s">
        <v>0</v>
      </c>
      <c r="C413" t="s">
        <v>1</v>
      </c>
      <c r="D413" t="s">
        <v>2</v>
      </c>
      <c r="E413" t="s">
        <v>3</v>
      </c>
      <c r="F413" t="str">
        <f t="shared" si="398"/>
        <v>Partie 104</v>
      </c>
    </row>
    <row r="414" spans="1:6" x14ac:dyDescent="0.25">
      <c r="A414" t="s">
        <v>6</v>
      </c>
      <c r="B414" s="1" t="s">
        <v>60</v>
      </c>
      <c r="C414" s="1" t="s">
        <v>61</v>
      </c>
      <c r="D414" s="1" t="s">
        <v>55</v>
      </c>
      <c r="E414" s="1" t="s">
        <v>56</v>
      </c>
      <c r="F414" s="3">
        <v>45962.592291666668</v>
      </c>
    </row>
    <row r="415" spans="1:6" x14ac:dyDescent="0.25">
      <c r="A415" t="s">
        <v>7</v>
      </c>
      <c r="B415" s="1">
        <v>-71</v>
      </c>
      <c r="C415" s="1">
        <v>33</v>
      </c>
      <c r="D415" s="1">
        <v>-40</v>
      </c>
      <c r="E415" s="1">
        <v>78</v>
      </c>
    </row>
    <row r="416" spans="1:6" x14ac:dyDescent="0.25">
      <c r="A416" t="s">
        <v>8</v>
      </c>
      <c r="B416">
        <f t="shared" si="399"/>
        <v>0</v>
      </c>
      <c r="C416">
        <f t="shared" si="399"/>
        <v>2</v>
      </c>
      <c r="D416">
        <f t="shared" si="399"/>
        <v>1</v>
      </c>
      <c r="E416">
        <f t="shared" si="399"/>
        <v>3</v>
      </c>
    </row>
    <row r="417" spans="1:6" x14ac:dyDescent="0.25">
      <c r="A417" t="s">
        <v>5</v>
      </c>
      <c r="B417" t="s">
        <v>0</v>
      </c>
      <c r="C417" t="s">
        <v>1</v>
      </c>
      <c r="D417" t="s">
        <v>2</v>
      </c>
      <c r="E417" t="s">
        <v>3</v>
      </c>
      <c r="F417" t="str">
        <f t="shared" si="398"/>
        <v>Partie 105</v>
      </c>
    </row>
    <row r="418" spans="1:6" x14ac:dyDescent="0.25">
      <c r="A418" t="s">
        <v>6</v>
      </c>
      <c r="B418" s="1" t="s">
        <v>45</v>
      </c>
      <c r="C418" s="1" t="s">
        <v>52</v>
      </c>
      <c r="D418" s="1" t="s">
        <v>44</v>
      </c>
      <c r="E418" s="1" t="s">
        <v>54</v>
      </c>
      <c r="F418" s="3">
        <v>45962.591736111113</v>
      </c>
    </row>
    <row r="419" spans="1:6" x14ac:dyDescent="0.25">
      <c r="A419" t="s">
        <v>7</v>
      </c>
      <c r="B419" s="1">
        <v>9</v>
      </c>
      <c r="C419" s="1">
        <v>154</v>
      </c>
      <c r="D419" s="1">
        <v>-105</v>
      </c>
      <c r="E419" s="1">
        <v>-58</v>
      </c>
    </row>
    <row r="420" spans="1:6" x14ac:dyDescent="0.25">
      <c r="A420" t="s">
        <v>8</v>
      </c>
      <c r="B420">
        <f t="shared" ref="B420:E432" si="400">4-_xlfn.RANK.AVG(B419,$B419:$E419)</f>
        <v>2</v>
      </c>
      <c r="C420">
        <f t="shared" si="400"/>
        <v>3</v>
      </c>
      <c r="D420">
        <f t="shared" si="400"/>
        <v>0</v>
      </c>
      <c r="E420">
        <f t="shared" si="400"/>
        <v>1</v>
      </c>
    </row>
    <row r="421" spans="1:6" x14ac:dyDescent="0.25">
      <c r="A421" t="s">
        <v>5</v>
      </c>
      <c r="B421" t="s">
        <v>0</v>
      </c>
      <c r="C421" t="s">
        <v>1</v>
      </c>
      <c r="D421" t="s">
        <v>2</v>
      </c>
      <c r="E421" t="s">
        <v>3</v>
      </c>
      <c r="F421" t="str">
        <f t="shared" si="398"/>
        <v>Partie 106</v>
      </c>
    </row>
    <row r="422" spans="1:6" x14ac:dyDescent="0.25">
      <c r="A422" t="s">
        <v>6</v>
      </c>
      <c r="B422" s="1" t="s">
        <v>49</v>
      </c>
      <c r="C422" s="1" t="s">
        <v>51</v>
      </c>
      <c r="D422" s="1" t="s">
        <v>42</v>
      </c>
      <c r="E422" s="1" t="s">
        <v>67</v>
      </c>
      <c r="F422" s="3">
        <v>45962.59134259259</v>
      </c>
    </row>
    <row r="423" spans="1:6" x14ac:dyDescent="0.25">
      <c r="A423" t="s">
        <v>7</v>
      </c>
      <c r="B423" s="1">
        <v>-54</v>
      </c>
      <c r="C423" s="1">
        <v>105</v>
      </c>
      <c r="D423" s="1">
        <v>63</v>
      </c>
      <c r="E423" s="1">
        <v>-114</v>
      </c>
    </row>
    <row r="424" spans="1:6" x14ac:dyDescent="0.25">
      <c r="A424" t="s">
        <v>8</v>
      </c>
      <c r="B424">
        <f t="shared" si="400"/>
        <v>1</v>
      </c>
      <c r="C424">
        <f t="shared" si="400"/>
        <v>3</v>
      </c>
      <c r="D424">
        <f t="shared" si="400"/>
        <v>2</v>
      </c>
      <c r="E424">
        <f t="shared" si="400"/>
        <v>0</v>
      </c>
    </row>
    <row r="425" spans="1:6" x14ac:dyDescent="0.25">
      <c r="A425" t="s">
        <v>5</v>
      </c>
      <c r="B425" t="s">
        <v>0</v>
      </c>
      <c r="C425" t="s">
        <v>1</v>
      </c>
      <c r="D425" t="s">
        <v>2</v>
      </c>
      <c r="E425" t="s">
        <v>3</v>
      </c>
      <c r="F425" t="str">
        <f t="shared" si="398"/>
        <v>Partie 107</v>
      </c>
    </row>
    <row r="426" spans="1:6" x14ac:dyDescent="0.25">
      <c r="A426" t="s">
        <v>6</v>
      </c>
      <c r="B426" s="1" t="s">
        <v>51</v>
      </c>
      <c r="C426" s="1" t="s">
        <v>61</v>
      </c>
      <c r="D426" s="1" t="s">
        <v>49</v>
      </c>
      <c r="E426" s="1" t="s">
        <v>67</v>
      </c>
      <c r="F426" s="3">
        <v>45962.686527777776</v>
      </c>
    </row>
    <row r="427" spans="1:6" x14ac:dyDescent="0.25">
      <c r="A427" t="s">
        <v>7</v>
      </c>
      <c r="B427" s="1">
        <v>-49</v>
      </c>
      <c r="C427" s="1">
        <v>-18</v>
      </c>
      <c r="D427" s="1">
        <v>-13</v>
      </c>
      <c r="E427" s="1">
        <v>80</v>
      </c>
    </row>
    <row r="428" spans="1:6" x14ac:dyDescent="0.25">
      <c r="A428" t="s">
        <v>8</v>
      </c>
      <c r="B428">
        <f t="shared" si="400"/>
        <v>0</v>
      </c>
      <c r="C428">
        <f t="shared" si="400"/>
        <v>1</v>
      </c>
      <c r="D428">
        <f t="shared" si="400"/>
        <v>2</v>
      </c>
      <c r="E428">
        <f t="shared" si="400"/>
        <v>3</v>
      </c>
    </row>
    <row r="429" spans="1:6" x14ac:dyDescent="0.25">
      <c r="A429" t="s">
        <v>5</v>
      </c>
      <c r="B429" t="s">
        <v>0</v>
      </c>
      <c r="C429" t="s">
        <v>1</v>
      </c>
      <c r="D429" t="s">
        <v>2</v>
      </c>
      <c r="E429" t="s">
        <v>3</v>
      </c>
      <c r="F429" t="str">
        <f t="shared" si="398"/>
        <v>Partie 108</v>
      </c>
    </row>
    <row r="430" spans="1:6" x14ac:dyDescent="0.25">
      <c r="A430" t="s">
        <v>6</v>
      </c>
      <c r="B430" s="1" t="s">
        <v>45</v>
      </c>
      <c r="C430" s="1" t="s">
        <v>62</v>
      </c>
      <c r="D430" s="1" t="s">
        <v>42</v>
      </c>
      <c r="E430" s="1" t="s">
        <v>52</v>
      </c>
      <c r="F430" s="3">
        <v>45962.685567129629</v>
      </c>
    </row>
    <row r="431" spans="1:6" x14ac:dyDescent="0.25">
      <c r="A431" t="s">
        <v>7</v>
      </c>
      <c r="B431" s="1">
        <v>17</v>
      </c>
      <c r="C431" s="1">
        <v>-39</v>
      </c>
      <c r="D431" s="1">
        <v>-94</v>
      </c>
      <c r="E431" s="1">
        <v>116</v>
      </c>
    </row>
    <row r="432" spans="1:6" x14ac:dyDescent="0.25">
      <c r="A432" t="s">
        <v>8</v>
      </c>
      <c r="B432">
        <f t="shared" si="400"/>
        <v>2</v>
      </c>
      <c r="C432">
        <f t="shared" si="400"/>
        <v>1</v>
      </c>
      <c r="D432">
        <f t="shared" si="400"/>
        <v>0</v>
      </c>
      <c r="E432">
        <f t="shared" si="400"/>
        <v>3</v>
      </c>
    </row>
    <row r="433" spans="1:6" x14ac:dyDescent="0.25">
      <c r="A433" t="s">
        <v>5</v>
      </c>
      <c r="B433" t="s">
        <v>0</v>
      </c>
      <c r="C433" t="s">
        <v>1</v>
      </c>
      <c r="D433" t="s">
        <v>2</v>
      </c>
      <c r="E433" t="s">
        <v>3</v>
      </c>
      <c r="F433" t="str">
        <f t="shared" si="398"/>
        <v>Partie 109</v>
      </c>
    </row>
    <row r="434" spans="1:6" x14ac:dyDescent="0.25">
      <c r="A434" t="s">
        <v>6</v>
      </c>
      <c r="B434" s="1" t="s">
        <v>67</v>
      </c>
      <c r="C434" s="1" t="s">
        <v>62</v>
      </c>
      <c r="D434" s="1" t="s">
        <v>51</v>
      </c>
      <c r="E434" s="1" t="s">
        <v>60</v>
      </c>
      <c r="F434" s="3">
        <v>45962.815601851849</v>
      </c>
    </row>
    <row r="435" spans="1:6" x14ac:dyDescent="0.25">
      <c r="A435" t="s">
        <v>7</v>
      </c>
      <c r="B435" s="1">
        <v>146</v>
      </c>
      <c r="C435" s="1">
        <v>16</v>
      </c>
      <c r="D435" s="1">
        <v>62</v>
      </c>
      <c r="E435" s="1">
        <v>-224</v>
      </c>
    </row>
    <row r="436" spans="1:6" x14ac:dyDescent="0.25">
      <c r="A436" t="s">
        <v>8</v>
      </c>
      <c r="B436">
        <f t="shared" ref="B436:E448" si="401">4-_xlfn.RANK.AVG(B435,$B435:$E435)</f>
        <v>3</v>
      </c>
      <c r="C436">
        <f t="shared" si="401"/>
        <v>1</v>
      </c>
      <c r="D436">
        <f t="shared" si="401"/>
        <v>2</v>
      </c>
      <c r="E436">
        <f t="shared" si="401"/>
        <v>0</v>
      </c>
    </row>
    <row r="437" spans="1:6" x14ac:dyDescent="0.25">
      <c r="A437" t="s">
        <v>5</v>
      </c>
      <c r="B437" t="s">
        <v>0</v>
      </c>
      <c r="C437" t="s">
        <v>1</v>
      </c>
      <c r="D437" t="s">
        <v>2</v>
      </c>
      <c r="E437" t="s">
        <v>3</v>
      </c>
      <c r="F437" t="str">
        <f t="shared" si="398"/>
        <v>Partie 110</v>
      </c>
    </row>
    <row r="438" spans="1:6" x14ac:dyDescent="0.25">
      <c r="A438" t="s">
        <v>6</v>
      </c>
      <c r="B438" s="1" t="s">
        <v>52</v>
      </c>
      <c r="C438" s="1" t="s">
        <v>37</v>
      </c>
      <c r="D438" s="1" t="s">
        <v>49</v>
      </c>
      <c r="E438" s="1" t="s">
        <v>61</v>
      </c>
      <c r="F438" s="3">
        <v>45962.816608796296</v>
      </c>
    </row>
    <row r="439" spans="1:6" x14ac:dyDescent="0.25">
      <c r="A439" t="s">
        <v>7</v>
      </c>
      <c r="B439" s="1">
        <v>-146</v>
      </c>
      <c r="C439" s="1">
        <v>85</v>
      </c>
      <c r="D439" s="1">
        <v>84</v>
      </c>
      <c r="E439" s="1">
        <v>-23</v>
      </c>
    </row>
    <row r="440" spans="1:6" x14ac:dyDescent="0.25">
      <c r="A440" t="s">
        <v>8</v>
      </c>
      <c r="B440">
        <f t="shared" si="401"/>
        <v>0</v>
      </c>
      <c r="C440">
        <f t="shared" si="401"/>
        <v>3</v>
      </c>
      <c r="D440">
        <f t="shared" si="401"/>
        <v>2</v>
      </c>
      <c r="E440">
        <f t="shared" si="401"/>
        <v>1</v>
      </c>
    </row>
    <row r="441" spans="1:6" x14ac:dyDescent="0.25">
      <c r="A441" t="s">
        <v>5</v>
      </c>
      <c r="B441" t="s">
        <v>0</v>
      </c>
      <c r="C441" t="s">
        <v>1</v>
      </c>
      <c r="D441" t="s">
        <v>2</v>
      </c>
      <c r="E441" t="s">
        <v>3</v>
      </c>
      <c r="F441" t="str">
        <f t="shared" si="398"/>
        <v>Partie 111</v>
      </c>
    </row>
    <row r="442" spans="1:6" x14ac:dyDescent="0.25">
      <c r="A442" t="s">
        <v>6</v>
      </c>
      <c r="B442" s="1" t="s">
        <v>52</v>
      </c>
      <c r="C442" s="1" t="s">
        <v>71</v>
      </c>
      <c r="D442" s="1" t="s">
        <v>40</v>
      </c>
      <c r="E442" s="1" t="s">
        <v>41</v>
      </c>
      <c r="F442" s="3">
        <v>45967.708495370367</v>
      </c>
    </row>
    <row r="443" spans="1:6" x14ac:dyDescent="0.25">
      <c r="A443" t="s">
        <v>7</v>
      </c>
      <c r="B443" s="1">
        <v>158</v>
      </c>
      <c r="C443" s="1">
        <v>46</v>
      </c>
      <c r="D443" s="1">
        <v>-228</v>
      </c>
      <c r="E443" s="1">
        <v>24</v>
      </c>
    </row>
    <row r="444" spans="1:6" x14ac:dyDescent="0.25">
      <c r="A444" t="s">
        <v>8</v>
      </c>
      <c r="B444">
        <f t="shared" si="401"/>
        <v>3</v>
      </c>
      <c r="C444">
        <f t="shared" si="401"/>
        <v>2</v>
      </c>
      <c r="D444">
        <f t="shared" si="401"/>
        <v>0</v>
      </c>
      <c r="E444">
        <f t="shared" si="401"/>
        <v>1</v>
      </c>
    </row>
    <row r="445" spans="1:6" x14ac:dyDescent="0.25">
      <c r="A445" t="s">
        <v>5</v>
      </c>
      <c r="B445" t="s">
        <v>0</v>
      </c>
      <c r="C445" t="s">
        <v>1</v>
      </c>
      <c r="D445" t="s">
        <v>2</v>
      </c>
      <c r="E445" t="s">
        <v>3</v>
      </c>
      <c r="F445" t="str">
        <f t="shared" si="398"/>
        <v>Partie 112</v>
      </c>
    </row>
    <row r="446" spans="1:6" x14ac:dyDescent="0.25">
      <c r="A446" t="s">
        <v>6</v>
      </c>
      <c r="B446" s="1" t="s">
        <v>67</v>
      </c>
      <c r="C446" s="1" t="s">
        <v>58</v>
      </c>
      <c r="D446" s="1" t="s">
        <v>37</v>
      </c>
      <c r="E446" s="1" t="s">
        <v>48</v>
      </c>
      <c r="F446" s="3">
        <v>45967.777361111112</v>
      </c>
    </row>
    <row r="447" spans="1:6" x14ac:dyDescent="0.25">
      <c r="A447" t="s">
        <v>7</v>
      </c>
      <c r="B447" s="1">
        <v>82</v>
      </c>
      <c r="C447" s="1">
        <v>-182</v>
      </c>
      <c r="D447" s="1">
        <v>35</v>
      </c>
      <c r="E447" s="1">
        <v>65</v>
      </c>
    </row>
    <row r="448" spans="1:6" x14ac:dyDescent="0.25">
      <c r="A448" t="s">
        <v>8</v>
      </c>
      <c r="B448">
        <f t="shared" si="401"/>
        <v>3</v>
      </c>
      <c r="C448">
        <f t="shared" si="401"/>
        <v>0</v>
      </c>
      <c r="D448">
        <f t="shared" si="401"/>
        <v>1</v>
      </c>
      <c r="E448">
        <f t="shared" si="401"/>
        <v>2</v>
      </c>
    </row>
    <row r="449" spans="1:6" x14ac:dyDescent="0.25">
      <c r="A449" t="s">
        <v>5</v>
      </c>
      <c r="B449" t="s">
        <v>0</v>
      </c>
      <c r="C449" t="s">
        <v>1</v>
      </c>
      <c r="D449" t="s">
        <v>2</v>
      </c>
      <c r="E449" t="s">
        <v>3</v>
      </c>
      <c r="F449" t="str">
        <f t="shared" si="398"/>
        <v>Partie 113</v>
      </c>
    </row>
    <row r="450" spans="1:6" x14ac:dyDescent="0.25">
      <c r="A450" t="s">
        <v>6</v>
      </c>
      <c r="B450" s="1" t="s">
        <v>52</v>
      </c>
      <c r="C450" s="1" t="s">
        <v>41</v>
      </c>
      <c r="D450" s="1" t="s">
        <v>40</v>
      </c>
      <c r="E450" s="1" t="s">
        <v>71</v>
      </c>
      <c r="F450" s="3">
        <v>45967.820752314816</v>
      </c>
    </row>
    <row r="451" spans="1:6" x14ac:dyDescent="0.25">
      <c r="A451" t="s">
        <v>7</v>
      </c>
      <c r="B451" s="1">
        <v>294</v>
      </c>
      <c r="C451" s="1">
        <v>-136</v>
      </c>
      <c r="D451" s="1">
        <v>-250</v>
      </c>
      <c r="E451" s="1">
        <v>92</v>
      </c>
    </row>
    <row r="452" spans="1:6" x14ac:dyDescent="0.25">
      <c r="A452" t="s">
        <v>8</v>
      </c>
      <c r="B452">
        <f t="shared" ref="B452:E464" si="402">4-_xlfn.RANK.AVG(B451,$B451:$E451)</f>
        <v>3</v>
      </c>
      <c r="C452">
        <f t="shared" si="402"/>
        <v>1</v>
      </c>
      <c r="D452">
        <f t="shared" si="402"/>
        <v>0</v>
      </c>
      <c r="E452">
        <f t="shared" si="402"/>
        <v>2</v>
      </c>
    </row>
    <row r="453" spans="1:6" x14ac:dyDescent="0.25">
      <c r="A453" t="s">
        <v>5</v>
      </c>
      <c r="B453" t="s">
        <v>0</v>
      </c>
      <c r="C453" t="s">
        <v>1</v>
      </c>
      <c r="D453" t="s">
        <v>2</v>
      </c>
      <c r="E453" t="s">
        <v>3</v>
      </c>
      <c r="F453" t="str">
        <f t="shared" si="398"/>
        <v>Partie 114</v>
      </c>
    </row>
    <row r="454" spans="1:6" x14ac:dyDescent="0.25">
      <c r="A454" t="s">
        <v>6</v>
      </c>
      <c r="B454" s="1" t="s">
        <v>62</v>
      </c>
      <c r="C454" s="1" t="s">
        <v>49</v>
      </c>
      <c r="D454" s="1" t="s">
        <v>55</v>
      </c>
      <c r="E454" s="1" t="s">
        <v>60</v>
      </c>
      <c r="F454" s="3">
        <v>45969.597013888888</v>
      </c>
    </row>
    <row r="455" spans="1:6" x14ac:dyDescent="0.25">
      <c r="A455" t="s">
        <v>7</v>
      </c>
      <c r="B455" s="1">
        <v>-131</v>
      </c>
      <c r="C455" s="1">
        <v>348</v>
      </c>
      <c r="D455" s="1">
        <v>-106</v>
      </c>
      <c r="E455" s="1">
        <v>-111</v>
      </c>
    </row>
    <row r="456" spans="1:6" x14ac:dyDescent="0.25">
      <c r="A456" t="s">
        <v>8</v>
      </c>
      <c r="B456">
        <f t="shared" si="402"/>
        <v>0</v>
      </c>
      <c r="C456">
        <f t="shared" si="402"/>
        <v>3</v>
      </c>
      <c r="D456">
        <f t="shared" si="402"/>
        <v>2</v>
      </c>
      <c r="E456">
        <f t="shared" si="402"/>
        <v>1</v>
      </c>
    </row>
    <row r="457" spans="1:6" x14ac:dyDescent="0.25">
      <c r="A457" t="s">
        <v>5</v>
      </c>
      <c r="B457" t="s">
        <v>0</v>
      </c>
      <c r="C457" t="s">
        <v>1</v>
      </c>
      <c r="D457" t="s">
        <v>2</v>
      </c>
      <c r="E457" t="s">
        <v>3</v>
      </c>
      <c r="F457" t="str">
        <f t="shared" si="398"/>
        <v>Partie 115</v>
      </c>
    </row>
    <row r="458" spans="1:6" x14ac:dyDescent="0.25">
      <c r="A458" t="s">
        <v>6</v>
      </c>
      <c r="B458" s="1" t="s">
        <v>53</v>
      </c>
      <c r="C458" s="1" t="s">
        <v>37</v>
      </c>
      <c r="D458" s="1" t="s">
        <v>52</v>
      </c>
      <c r="E458" s="1" t="s">
        <v>56</v>
      </c>
      <c r="F458" s="3">
        <v>45969.594907407409</v>
      </c>
    </row>
    <row r="459" spans="1:6" x14ac:dyDescent="0.25">
      <c r="A459" t="s">
        <v>7</v>
      </c>
      <c r="B459" s="1">
        <v>-33</v>
      </c>
      <c r="C459" s="1">
        <v>-54</v>
      </c>
      <c r="D459" s="1">
        <v>96</v>
      </c>
      <c r="E459" s="1">
        <v>-9</v>
      </c>
    </row>
    <row r="460" spans="1:6" x14ac:dyDescent="0.25">
      <c r="A460" t="s">
        <v>8</v>
      </c>
      <c r="B460">
        <f t="shared" si="402"/>
        <v>1</v>
      </c>
      <c r="C460">
        <f t="shared" si="402"/>
        <v>0</v>
      </c>
      <c r="D460">
        <f t="shared" si="402"/>
        <v>3</v>
      </c>
      <c r="E460">
        <f t="shared" si="402"/>
        <v>2</v>
      </c>
    </row>
    <row r="461" spans="1:6" x14ac:dyDescent="0.25">
      <c r="A461" t="s">
        <v>5</v>
      </c>
      <c r="B461" t="s">
        <v>0</v>
      </c>
      <c r="C461" t="s">
        <v>1</v>
      </c>
      <c r="D461" t="s">
        <v>2</v>
      </c>
      <c r="E461" t="s">
        <v>3</v>
      </c>
      <c r="F461" t="str">
        <f t="shared" si="398"/>
        <v>Partie 116</v>
      </c>
    </row>
    <row r="462" spans="1:6" x14ac:dyDescent="0.25">
      <c r="A462" t="s">
        <v>6</v>
      </c>
      <c r="B462" s="1" t="s">
        <v>71</v>
      </c>
      <c r="C462" s="1" t="s">
        <v>41</v>
      </c>
      <c r="D462" s="1" t="s">
        <v>53</v>
      </c>
      <c r="E462" s="1" t="s">
        <v>46</v>
      </c>
      <c r="F462" s="3">
        <v>45969.698761574073</v>
      </c>
    </row>
    <row r="463" spans="1:6" x14ac:dyDescent="0.25">
      <c r="A463" t="s">
        <v>7</v>
      </c>
      <c r="B463" s="1">
        <v>45</v>
      </c>
      <c r="C463" s="1">
        <v>89</v>
      </c>
      <c r="D463" s="1">
        <v>0</v>
      </c>
      <c r="E463" s="1">
        <v>-134</v>
      </c>
    </row>
    <row r="464" spans="1:6" x14ac:dyDescent="0.25">
      <c r="A464" t="s">
        <v>8</v>
      </c>
      <c r="B464">
        <f t="shared" si="402"/>
        <v>2</v>
      </c>
      <c r="C464">
        <f t="shared" si="402"/>
        <v>3</v>
      </c>
      <c r="D464">
        <f t="shared" si="402"/>
        <v>1</v>
      </c>
      <c r="E464">
        <f t="shared" si="402"/>
        <v>0</v>
      </c>
    </row>
    <row r="465" spans="1:6" x14ac:dyDescent="0.25">
      <c r="A465" t="s">
        <v>5</v>
      </c>
      <c r="B465" t="s">
        <v>0</v>
      </c>
      <c r="C465" t="s">
        <v>1</v>
      </c>
      <c r="D465" t="s">
        <v>2</v>
      </c>
      <c r="E465" t="s">
        <v>3</v>
      </c>
      <c r="F465" t="str">
        <f t="shared" ref="F465:F525" si="403">"Partie " &amp; (ROW()-1)/4+1</f>
        <v>Partie 117</v>
      </c>
    </row>
    <row r="466" spans="1:6" x14ac:dyDescent="0.25">
      <c r="A466" t="s">
        <v>6</v>
      </c>
      <c r="B466" s="1" t="s">
        <v>62</v>
      </c>
      <c r="C466" s="1" t="s">
        <v>51</v>
      </c>
      <c r="D466" s="1" t="s">
        <v>56</v>
      </c>
      <c r="E466" s="1" t="s">
        <v>41</v>
      </c>
      <c r="F466" s="3">
        <v>45969.695451388892</v>
      </c>
    </row>
    <row r="467" spans="1:6" x14ac:dyDescent="0.25">
      <c r="A467" t="s">
        <v>7</v>
      </c>
      <c r="B467" s="1">
        <v>23</v>
      </c>
      <c r="C467" s="1">
        <v>-121</v>
      </c>
      <c r="D467" s="1">
        <v>72</v>
      </c>
      <c r="E467" s="1">
        <v>26</v>
      </c>
    </row>
    <row r="468" spans="1:6" x14ac:dyDescent="0.25">
      <c r="A468" t="s">
        <v>8</v>
      </c>
      <c r="B468">
        <f t="shared" ref="B468:E480" si="404">4-_xlfn.RANK.AVG(B467,$B467:$E467)</f>
        <v>1</v>
      </c>
      <c r="C468">
        <f t="shared" si="404"/>
        <v>0</v>
      </c>
      <c r="D468">
        <f t="shared" si="404"/>
        <v>3</v>
      </c>
      <c r="E468">
        <f t="shared" si="404"/>
        <v>2</v>
      </c>
    </row>
    <row r="469" spans="1:6" x14ac:dyDescent="0.25">
      <c r="A469" t="s">
        <v>5</v>
      </c>
      <c r="B469" t="s">
        <v>0</v>
      </c>
      <c r="C469" t="s">
        <v>1</v>
      </c>
      <c r="D469" t="s">
        <v>2</v>
      </c>
      <c r="E469" t="s">
        <v>3</v>
      </c>
      <c r="F469" t="str">
        <f t="shared" si="403"/>
        <v>Partie 118</v>
      </c>
    </row>
    <row r="470" spans="1:6" x14ac:dyDescent="0.25">
      <c r="A470" t="s">
        <v>6</v>
      </c>
      <c r="B470" s="1" t="s">
        <v>49</v>
      </c>
      <c r="C470" s="1" t="s">
        <v>43</v>
      </c>
      <c r="D470" s="1" t="s">
        <v>54</v>
      </c>
      <c r="E470" s="1" t="s">
        <v>60</v>
      </c>
      <c r="F470" s="3">
        <v>45969.698298611111</v>
      </c>
    </row>
    <row r="471" spans="1:6" x14ac:dyDescent="0.25">
      <c r="A471" t="s">
        <v>7</v>
      </c>
      <c r="B471" s="1">
        <v>90</v>
      </c>
      <c r="C471" s="1">
        <v>-53</v>
      </c>
      <c r="D471" s="1">
        <v>-2</v>
      </c>
      <c r="E471" s="1">
        <v>-35</v>
      </c>
    </row>
    <row r="472" spans="1:6" x14ac:dyDescent="0.25">
      <c r="A472" t="s">
        <v>8</v>
      </c>
      <c r="B472">
        <f t="shared" si="404"/>
        <v>3</v>
      </c>
      <c r="C472">
        <f t="shared" si="404"/>
        <v>0</v>
      </c>
      <c r="D472">
        <f t="shared" si="404"/>
        <v>2</v>
      </c>
      <c r="E472">
        <f t="shared" si="404"/>
        <v>1</v>
      </c>
    </row>
    <row r="473" spans="1:6" x14ac:dyDescent="0.25">
      <c r="A473" t="s">
        <v>5</v>
      </c>
      <c r="B473" t="s">
        <v>0</v>
      </c>
      <c r="C473" t="s">
        <v>1</v>
      </c>
      <c r="D473" t="s">
        <v>2</v>
      </c>
      <c r="E473" t="s">
        <v>3</v>
      </c>
      <c r="F473" t="str">
        <f t="shared" si="403"/>
        <v>Partie 119</v>
      </c>
    </row>
    <row r="474" spans="1:6" x14ac:dyDescent="0.25">
      <c r="A474" t="s">
        <v>6</v>
      </c>
      <c r="B474" s="1" t="s">
        <v>43</v>
      </c>
      <c r="C474" s="1" t="s">
        <v>71</v>
      </c>
      <c r="D474" s="1" t="s">
        <v>51</v>
      </c>
      <c r="E474" s="1" t="s">
        <v>50</v>
      </c>
      <c r="F474" s="3">
        <v>45969.598865740743</v>
      </c>
    </row>
    <row r="475" spans="1:6" x14ac:dyDescent="0.25">
      <c r="A475" t="s">
        <v>7</v>
      </c>
      <c r="B475" s="1">
        <v>141</v>
      </c>
      <c r="C475" s="1">
        <v>-131</v>
      </c>
      <c r="D475" s="1">
        <v>-17</v>
      </c>
      <c r="E475" s="1">
        <v>7</v>
      </c>
    </row>
    <row r="476" spans="1:6" x14ac:dyDescent="0.25">
      <c r="A476" t="s">
        <v>8</v>
      </c>
      <c r="B476">
        <f t="shared" si="404"/>
        <v>3</v>
      </c>
      <c r="C476">
        <f t="shared" si="404"/>
        <v>0</v>
      </c>
      <c r="D476">
        <f t="shared" si="404"/>
        <v>1</v>
      </c>
      <c r="E476">
        <f t="shared" si="404"/>
        <v>2</v>
      </c>
    </row>
    <row r="477" spans="1:6" x14ac:dyDescent="0.25">
      <c r="A477" t="s">
        <v>5</v>
      </c>
      <c r="B477" t="s">
        <v>0</v>
      </c>
      <c r="C477" t="s">
        <v>1</v>
      </c>
      <c r="D477" t="s">
        <v>2</v>
      </c>
      <c r="E477" t="s">
        <v>3</v>
      </c>
      <c r="F477" t="str">
        <f t="shared" si="403"/>
        <v>Partie 120</v>
      </c>
    </row>
    <row r="478" spans="1:6" x14ac:dyDescent="0.25">
      <c r="A478" t="s">
        <v>6</v>
      </c>
      <c r="B478" s="1" t="s">
        <v>51</v>
      </c>
      <c r="C478" s="1" t="s">
        <v>48</v>
      </c>
      <c r="D478" s="1" t="s">
        <v>49</v>
      </c>
      <c r="E478" s="1" t="s">
        <v>40</v>
      </c>
      <c r="F478" s="3">
        <v>45969.827604166669</v>
      </c>
    </row>
    <row r="479" spans="1:6" x14ac:dyDescent="0.25">
      <c r="A479" t="s">
        <v>7</v>
      </c>
      <c r="B479" s="1">
        <v>-180</v>
      </c>
      <c r="C479" s="1">
        <v>-47</v>
      </c>
      <c r="D479" s="1">
        <v>181</v>
      </c>
      <c r="E479" s="1">
        <v>46</v>
      </c>
    </row>
    <row r="480" spans="1:6" x14ac:dyDescent="0.25">
      <c r="A480" t="s">
        <v>8</v>
      </c>
      <c r="B480">
        <f t="shared" si="404"/>
        <v>0</v>
      </c>
      <c r="C480">
        <f t="shared" si="404"/>
        <v>1</v>
      </c>
      <c r="D480">
        <f t="shared" si="404"/>
        <v>3</v>
      </c>
      <c r="E480">
        <f t="shared" si="404"/>
        <v>2</v>
      </c>
    </row>
    <row r="481" spans="1:6" x14ac:dyDescent="0.25">
      <c r="A481" t="s">
        <v>5</v>
      </c>
      <c r="B481" t="s">
        <v>0</v>
      </c>
      <c r="C481" t="s">
        <v>1</v>
      </c>
      <c r="D481" t="s">
        <v>2</v>
      </c>
      <c r="E481" t="s">
        <v>3</v>
      </c>
      <c r="F481" t="str">
        <f t="shared" si="403"/>
        <v>Partie 121</v>
      </c>
    </row>
    <row r="482" spans="1:6" x14ac:dyDescent="0.25">
      <c r="A482" t="s">
        <v>6</v>
      </c>
      <c r="B482" s="1" t="s">
        <v>52</v>
      </c>
      <c r="C482" s="1" t="s">
        <v>54</v>
      </c>
      <c r="D482" s="1" t="s">
        <v>39</v>
      </c>
      <c r="E482" s="1" t="s">
        <v>62</v>
      </c>
      <c r="F482" s="3">
        <v>45969.827615740738</v>
      </c>
    </row>
    <row r="483" spans="1:6" x14ac:dyDescent="0.25">
      <c r="A483" t="s">
        <v>7</v>
      </c>
      <c r="B483" s="1">
        <v>23</v>
      </c>
      <c r="C483" s="1">
        <v>-132</v>
      </c>
      <c r="D483" s="1">
        <v>67</v>
      </c>
      <c r="E483" s="1">
        <v>42</v>
      </c>
    </row>
    <row r="484" spans="1:6" x14ac:dyDescent="0.25">
      <c r="A484" t="s">
        <v>8</v>
      </c>
      <c r="B484">
        <f t="shared" ref="B484:E496" si="405">4-_xlfn.RANK.AVG(B483,$B483:$E483)</f>
        <v>1</v>
      </c>
      <c r="C484">
        <f t="shared" si="405"/>
        <v>0</v>
      </c>
      <c r="D484">
        <f t="shared" si="405"/>
        <v>3</v>
      </c>
      <c r="E484">
        <f t="shared" si="405"/>
        <v>2</v>
      </c>
    </row>
    <row r="485" spans="1:6" x14ac:dyDescent="0.25">
      <c r="A485" t="s">
        <v>5</v>
      </c>
      <c r="B485" t="s">
        <v>0</v>
      </c>
      <c r="C485" t="s">
        <v>1</v>
      </c>
      <c r="D485" t="s">
        <v>2</v>
      </c>
      <c r="E485" t="s">
        <v>3</v>
      </c>
      <c r="F485" t="str">
        <f t="shared" si="403"/>
        <v>Partie 122</v>
      </c>
    </row>
    <row r="486" spans="1:6" x14ac:dyDescent="0.25">
      <c r="A486" t="s">
        <v>6</v>
      </c>
      <c r="B486" s="1" t="s">
        <v>44</v>
      </c>
      <c r="C486" s="1" t="s">
        <v>39</v>
      </c>
      <c r="D486" s="1" t="s">
        <v>50</v>
      </c>
      <c r="E486" s="1" t="s">
        <v>42</v>
      </c>
      <c r="F486" s="3">
        <v>45969.698599537034</v>
      </c>
    </row>
    <row r="487" spans="1:6" x14ac:dyDescent="0.25">
      <c r="A487" t="s">
        <v>7</v>
      </c>
      <c r="B487" s="1">
        <v>-120</v>
      </c>
      <c r="C487" s="1">
        <v>200</v>
      </c>
      <c r="D487" s="1">
        <v>114</v>
      </c>
      <c r="E487" s="1">
        <v>-194</v>
      </c>
    </row>
    <row r="488" spans="1:6" x14ac:dyDescent="0.25">
      <c r="A488" t="s">
        <v>8</v>
      </c>
      <c r="B488">
        <f t="shared" si="405"/>
        <v>1</v>
      </c>
      <c r="C488">
        <f t="shared" si="405"/>
        <v>3</v>
      </c>
      <c r="D488">
        <f t="shared" si="405"/>
        <v>2</v>
      </c>
      <c r="E488">
        <f t="shared" si="405"/>
        <v>0</v>
      </c>
    </row>
    <row r="489" spans="1:6" x14ac:dyDescent="0.25">
      <c r="A489" t="s">
        <v>5</v>
      </c>
      <c r="B489" t="s">
        <v>0</v>
      </c>
      <c r="C489" t="s">
        <v>1</v>
      </c>
      <c r="D489" t="s">
        <v>2</v>
      </c>
      <c r="E489" t="s">
        <v>3</v>
      </c>
      <c r="F489" t="str">
        <f t="shared" si="403"/>
        <v>Partie 123</v>
      </c>
    </row>
    <row r="490" spans="1:6" x14ac:dyDescent="0.25">
      <c r="A490" t="s">
        <v>6</v>
      </c>
      <c r="B490" s="1"/>
      <c r="C490" s="1"/>
      <c r="D490" s="1"/>
      <c r="E490" s="1"/>
      <c r="F490" s="3"/>
    </row>
    <row r="491" spans="1:6" x14ac:dyDescent="0.25">
      <c r="A491" t="s">
        <v>7</v>
      </c>
      <c r="B491" s="1"/>
      <c r="C491" s="1"/>
      <c r="D491" s="1"/>
      <c r="E491" s="1"/>
    </row>
    <row r="492" spans="1:6" x14ac:dyDescent="0.25">
      <c r="A492" t="s">
        <v>8</v>
      </c>
      <c r="B492" t="e">
        <f t="shared" si="405"/>
        <v>#N/A</v>
      </c>
      <c r="C492" t="e">
        <f t="shared" si="405"/>
        <v>#N/A</v>
      </c>
      <c r="D492" t="e">
        <f t="shared" si="405"/>
        <v>#N/A</v>
      </c>
      <c r="E492" t="e">
        <f t="shared" si="405"/>
        <v>#N/A</v>
      </c>
    </row>
    <row r="493" spans="1:6" x14ac:dyDescent="0.25">
      <c r="A493" t="s">
        <v>5</v>
      </c>
      <c r="B493" t="s">
        <v>0</v>
      </c>
      <c r="C493" t="s">
        <v>1</v>
      </c>
      <c r="D493" t="s">
        <v>2</v>
      </c>
      <c r="E493" t="s">
        <v>3</v>
      </c>
      <c r="F493" t="str">
        <f t="shared" si="403"/>
        <v>Partie 124</v>
      </c>
    </row>
    <row r="494" spans="1:6" x14ac:dyDescent="0.25">
      <c r="A494" t="s">
        <v>6</v>
      </c>
      <c r="B494" s="1"/>
      <c r="C494" s="1"/>
      <c r="D494" s="1"/>
      <c r="E494" s="1"/>
      <c r="F494" s="3"/>
    </row>
    <row r="495" spans="1:6" x14ac:dyDescent="0.25">
      <c r="A495" t="s">
        <v>7</v>
      </c>
      <c r="B495" s="1"/>
      <c r="C495" s="1"/>
      <c r="D495" s="1"/>
      <c r="E495" s="1"/>
    </row>
    <row r="496" spans="1:6" x14ac:dyDescent="0.25">
      <c r="A496" t="s">
        <v>8</v>
      </c>
      <c r="B496" t="e">
        <f t="shared" si="405"/>
        <v>#N/A</v>
      </c>
      <c r="C496" t="e">
        <f t="shared" si="405"/>
        <v>#N/A</v>
      </c>
      <c r="D496" t="e">
        <f t="shared" si="405"/>
        <v>#N/A</v>
      </c>
      <c r="E496" t="e">
        <f t="shared" si="405"/>
        <v>#N/A</v>
      </c>
    </row>
    <row r="497" spans="1:6" x14ac:dyDescent="0.25">
      <c r="A497" t="s">
        <v>5</v>
      </c>
      <c r="B497" t="s">
        <v>0</v>
      </c>
      <c r="C497" t="s">
        <v>1</v>
      </c>
      <c r="D497" t="s">
        <v>2</v>
      </c>
      <c r="E497" t="s">
        <v>3</v>
      </c>
      <c r="F497" t="str">
        <f t="shared" si="403"/>
        <v>Partie 125</v>
      </c>
    </row>
    <row r="498" spans="1:6" x14ac:dyDescent="0.25">
      <c r="A498" t="s">
        <v>6</v>
      </c>
      <c r="B498" s="1"/>
      <c r="C498" s="1"/>
      <c r="D498" s="1"/>
      <c r="E498" s="1"/>
      <c r="F498" s="3"/>
    </row>
    <row r="499" spans="1:6" x14ac:dyDescent="0.25">
      <c r="A499" t="s">
        <v>7</v>
      </c>
      <c r="B499" s="1"/>
      <c r="C499" s="1"/>
      <c r="D499" s="1"/>
      <c r="E499" s="1"/>
    </row>
    <row r="500" spans="1:6" x14ac:dyDescent="0.25">
      <c r="A500" t="s">
        <v>8</v>
      </c>
      <c r="B500" t="e">
        <f t="shared" ref="B500:E512" si="406">4-_xlfn.RANK.AVG(B499,$B499:$E499)</f>
        <v>#N/A</v>
      </c>
      <c r="C500" t="e">
        <f t="shared" si="406"/>
        <v>#N/A</v>
      </c>
      <c r="D500" t="e">
        <f t="shared" si="406"/>
        <v>#N/A</v>
      </c>
      <c r="E500" t="e">
        <f t="shared" si="406"/>
        <v>#N/A</v>
      </c>
    </row>
    <row r="501" spans="1:6" x14ac:dyDescent="0.25">
      <c r="A501" t="s">
        <v>5</v>
      </c>
      <c r="B501" t="s">
        <v>0</v>
      </c>
      <c r="C501" t="s">
        <v>1</v>
      </c>
      <c r="D501" t="s">
        <v>2</v>
      </c>
      <c r="E501" t="s">
        <v>3</v>
      </c>
      <c r="F501" t="str">
        <f t="shared" si="403"/>
        <v>Partie 126</v>
      </c>
    </row>
    <row r="502" spans="1:6" x14ac:dyDescent="0.25">
      <c r="A502" t="s">
        <v>6</v>
      </c>
      <c r="B502" s="1"/>
      <c r="C502" s="1"/>
      <c r="D502" s="1"/>
      <c r="E502" s="1"/>
      <c r="F502" s="3"/>
    </row>
    <row r="503" spans="1:6" x14ac:dyDescent="0.25">
      <c r="A503" t="s">
        <v>7</v>
      </c>
      <c r="B503" s="1"/>
      <c r="C503" s="1"/>
      <c r="D503" s="1"/>
      <c r="E503" s="1"/>
    </row>
    <row r="504" spans="1:6" x14ac:dyDescent="0.25">
      <c r="A504" t="s">
        <v>8</v>
      </c>
      <c r="B504" t="e">
        <f t="shared" si="406"/>
        <v>#N/A</v>
      </c>
      <c r="C504" t="e">
        <f t="shared" si="406"/>
        <v>#N/A</v>
      </c>
      <c r="D504" t="e">
        <f t="shared" si="406"/>
        <v>#N/A</v>
      </c>
      <c r="E504" t="e">
        <f t="shared" si="406"/>
        <v>#N/A</v>
      </c>
    </row>
    <row r="505" spans="1:6" x14ac:dyDescent="0.25">
      <c r="A505" t="s">
        <v>5</v>
      </c>
      <c r="B505" t="s">
        <v>0</v>
      </c>
      <c r="C505" t="s">
        <v>1</v>
      </c>
      <c r="D505" t="s">
        <v>2</v>
      </c>
      <c r="E505" t="s">
        <v>3</v>
      </c>
      <c r="F505" t="str">
        <f t="shared" si="403"/>
        <v>Partie 127</v>
      </c>
    </row>
    <row r="506" spans="1:6" x14ac:dyDescent="0.25">
      <c r="A506" t="s">
        <v>6</v>
      </c>
      <c r="B506" s="1"/>
      <c r="C506" s="1"/>
      <c r="D506" s="1"/>
      <c r="E506" s="1"/>
      <c r="F506" s="3"/>
    </row>
    <row r="507" spans="1:6" x14ac:dyDescent="0.25">
      <c r="A507" t="s">
        <v>7</v>
      </c>
      <c r="B507" s="1"/>
      <c r="C507" s="1"/>
      <c r="D507" s="1"/>
      <c r="E507" s="1"/>
    </row>
    <row r="508" spans="1:6" x14ac:dyDescent="0.25">
      <c r="A508" t="s">
        <v>8</v>
      </c>
      <c r="B508" t="e">
        <f t="shared" si="406"/>
        <v>#N/A</v>
      </c>
      <c r="C508" t="e">
        <f t="shared" si="406"/>
        <v>#N/A</v>
      </c>
      <c r="D508" t="e">
        <f t="shared" si="406"/>
        <v>#N/A</v>
      </c>
      <c r="E508" t="e">
        <f t="shared" si="406"/>
        <v>#N/A</v>
      </c>
    </row>
    <row r="509" spans="1:6" x14ac:dyDescent="0.25">
      <c r="A509" t="s">
        <v>5</v>
      </c>
      <c r="B509" t="s">
        <v>0</v>
      </c>
      <c r="C509" t="s">
        <v>1</v>
      </c>
      <c r="D509" t="s">
        <v>2</v>
      </c>
      <c r="E509" t="s">
        <v>3</v>
      </c>
      <c r="F509" t="str">
        <f t="shared" si="403"/>
        <v>Partie 128</v>
      </c>
    </row>
    <row r="510" spans="1:6" x14ac:dyDescent="0.25">
      <c r="A510" t="s">
        <v>6</v>
      </c>
      <c r="B510" s="1"/>
      <c r="C510" s="1"/>
      <c r="D510" s="1"/>
      <c r="E510" s="1"/>
      <c r="F510" s="3"/>
    </row>
    <row r="511" spans="1:6" x14ac:dyDescent="0.25">
      <c r="A511" t="s">
        <v>7</v>
      </c>
      <c r="B511" s="1"/>
      <c r="C511" s="1"/>
      <c r="D511" s="1"/>
      <c r="E511" s="1"/>
    </row>
    <row r="512" spans="1:6" x14ac:dyDescent="0.25">
      <c r="A512" t="s">
        <v>8</v>
      </c>
      <c r="B512" t="e">
        <f t="shared" si="406"/>
        <v>#N/A</v>
      </c>
      <c r="C512" t="e">
        <f t="shared" si="406"/>
        <v>#N/A</v>
      </c>
      <c r="D512" t="e">
        <f t="shared" si="406"/>
        <v>#N/A</v>
      </c>
      <c r="E512" t="e">
        <f t="shared" si="406"/>
        <v>#N/A</v>
      </c>
    </row>
    <row r="513" spans="1:6" x14ac:dyDescent="0.25">
      <c r="A513" t="s">
        <v>5</v>
      </c>
      <c r="B513" t="s">
        <v>0</v>
      </c>
      <c r="C513" t="s">
        <v>1</v>
      </c>
      <c r="D513" t="s">
        <v>2</v>
      </c>
      <c r="E513" t="s">
        <v>3</v>
      </c>
      <c r="F513" t="str">
        <f t="shared" si="403"/>
        <v>Partie 129</v>
      </c>
    </row>
    <row r="514" spans="1:6" x14ac:dyDescent="0.25">
      <c r="A514" t="s">
        <v>6</v>
      </c>
      <c r="B514" s="1"/>
      <c r="C514" s="1"/>
      <c r="D514" s="1"/>
      <c r="E514" s="1"/>
      <c r="F514" s="3"/>
    </row>
    <row r="515" spans="1:6" x14ac:dyDescent="0.25">
      <c r="A515" t="s">
        <v>7</v>
      </c>
      <c r="B515" s="1"/>
      <c r="C515" s="1"/>
      <c r="D515" s="1"/>
      <c r="E515" s="1"/>
    </row>
    <row r="516" spans="1:6" x14ac:dyDescent="0.25">
      <c r="A516" t="s">
        <v>8</v>
      </c>
      <c r="B516" t="e">
        <f t="shared" ref="B516:E528" si="407">4-_xlfn.RANK.AVG(B515,$B515:$E515)</f>
        <v>#N/A</v>
      </c>
      <c r="C516" t="e">
        <f t="shared" si="407"/>
        <v>#N/A</v>
      </c>
      <c r="D516" t="e">
        <f t="shared" si="407"/>
        <v>#N/A</v>
      </c>
      <c r="E516" t="e">
        <f t="shared" si="407"/>
        <v>#N/A</v>
      </c>
    </row>
    <row r="517" spans="1:6" x14ac:dyDescent="0.25">
      <c r="A517" t="s">
        <v>5</v>
      </c>
      <c r="B517" t="s">
        <v>0</v>
      </c>
      <c r="C517" t="s">
        <v>1</v>
      </c>
      <c r="D517" t="s">
        <v>2</v>
      </c>
      <c r="E517" t="s">
        <v>3</v>
      </c>
      <c r="F517" t="str">
        <f t="shared" si="403"/>
        <v>Partie 130</v>
      </c>
    </row>
    <row r="518" spans="1:6" x14ac:dyDescent="0.25">
      <c r="A518" t="s">
        <v>6</v>
      </c>
      <c r="B518" s="1"/>
      <c r="C518" s="1"/>
      <c r="D518" s="1"/>
      <c r="E518" s="1"/>
      <c r="F518" s="3"/>
    </row>
    <row r="519" spans="1:6" x14ac:dyDescent="0.25">
      <c r="A519" t="s">
        <v>7</v>
      </c>
      <c r="B519" s="1"/>
      <c r="C519" s="1"/>
      <c r="D519" s="1"/>
      <c r="E519" s="1"/>
    </row>
    <row r="520" spans="1:6" x14ac:dyDescent="0.25">
      <c r="A520" t="s">
        <v>8</v>
      </c>
      <c r="B520" t="e">
        <f t="shared" si="407"/>
        <v>#N/A</v>
      </c>
      <c r="C520" t="e">
        <f t="shared" si="407"/>
        <v>#N/A</v>
      </c>
      <c r="D520" t="e">
        <f t="shared" si="407"/>
        <v>#N/A</v>
      </c>
      <c r="E520" t="e">
        <f t="shared" si="407"/>
        <v>#N/A</v>
      </c>
    </row>
    <row r="521" spans="1:6" x14ac:dyDescent="0.25">
      <c r="A521" t="s">
        <v>5</v>
      </c>
      <c r="B521" t="s">
        <v>0</v>
      </c>
      <c r="C521" t="s">
        <v>1</v>
      </c>
      <c r="D521" t="s">
        <v>2</v>
      </c>
      <c r="E521" t="s">
        <v>3</v>
      </c>
      <c r="F521" t="str">
        <f t="shared" si="403"/>
        <v>Partie 131</v>
      </c>
    </row>
    <row r="522" spans="1:6" x14ac:dyDescent="0.25">
      <c r="A522" t="s">
        <v>6</v>
      </c>
      <c r="B522" s="1"/>
      <c r="C522" s="1"/>
      <c r="D522" s="1"/>
      <c r="E522" s="1"/>
      <c r="F522" s="3"/>
    </row>
    <row r="523" spans="1:6" x14ac:dyDescent="0.25">
      <c r="A523" t="s">
        <v>7</v>
      </c>
      <c r="B523" s="1"/>
      <c r="C523" s="1"/>
      <c r="D523" s="1"/>
      <c r="E523" s="1"/>
    </row>
    <row r="524" spans="1:6" x14ac:dyDescent="0.25">
      <c r="A524" t="s">
        <v>8</v>
      </c>
      <c r="B524" t="e">
        <f t="shared" si="407"/>
        <v>#N/A</v>
      </c>
      <c r="C524" t="e">
        <f t="shared" si="407"/>
        <v>#N/A</v>
      </c>
      <c r="D524" t="e">
        <f t="shared" si="407"/>
        <v>#N/A</v>
      </c>
      <c r="E524" t="e">
        <f t="shared" si="407"/>
        <v>#N/A</v>
      </c>
    </row>
    <row r="525" spans="1:6" x14ac:dyDescent="0.25">
      <c r="A525" t="s">
        <v>5</v>
      </c>
      <c r="B525" t="s">
        <v>0</v>
      </c>
      <c r="C525" t="s">
        <v>1</v>
      </c>
      <c r="D525" t="s">
        <v>2</v>
      </c>
      <c r="E525" t="s">
        <v>3</v>
      </c>
      <c r="F525" t="str">
        <f t="shared" si="403"/>
        <v>Partie 132</v>
      </c>
    </row>
    <row r="526" spans="1:6" x14ac:dyDescent="0.25">
      <c r="A526" t="s">
        <v>6</v>
      </c>
      <c r="B526" s="1"/>
      <c r="C526" s="1"/>
      <c r="D526" s="1"/>
      <c r="E526" s="1"/>
      <c r="F526" s="3"/>
    </row>
    <row r="527" spans="1:6" x14ac:dyDescent="0.25">
      <c r="A527" t="s">
        <v>7</v>
      </c>
      <c r="B527" s="1"/>
      <c r="C527" s="1"/>
      <c r="D527" s="1"/>
      <c r="E527" s="1"/>
    </row>
    <row r="528" spans="1:6" x14ac:dyDescent="0.25">
      <c r="A528" t="s">
        <v>8</v>
      </c>
      <c r="B528" t="e">
        <f t="shared" si="407"/>
        <v>#N/A</v>
      </c>
      <c r="C528" t="e">
        <f t="shared" si="407"/>
        <v>#N/A</v>
      </c>
      <c r="D528" t="e">
        <f t="shared" si="407"/>
        <v>#N/A</v>
      </c>
      <c r="E528" t="e">
        <f t="shared" si="407"/>
        <v>#N/A</v>
      </c>
    </row>
    <row r="529" spans="1:6" x14ac:dyDescent="0.25">
      <c r="A529" t="s">
        <v>5</v>
      </c>
      <c r="B529" t="s">
        <v>0</v>
      </c>
      <c r="C529" t="s">
        <v>1</v>
      </c>
      <c r="D529" t="s">
        <v>2</v>
      </c>
      <c r="E529" t="s">
        <v>3</v>
      </c>
      <c r="F529" t="str">
        <f t="shared" ref="F529:F589" si="408">"Partie " &amp; (ROW()-1)/4+1</f>
        <v>Partie 133</v>
      </c>
    </row>
    <row r="530" spans="1:6" x14ac:dyDescent="0.25">
      <c r="A530" t="s">
        <v>6</v>
      </c>
      <c r="B530" s="1"/>
      <c r="C530" s="1"/>
      <c r="D530" s="1"/>
      <c r="E530" s="1"/>
      <c r="F530" s="3"/>
    </row>
    <row r="531" spans="1:6" x14ac:dyDescent="0.25">
      <c r="A531" t="s">
        <v>7</v>
      </c>
      <c r="B531" s="1"/>
      <c r="C531" s="1"/>
      <c r="D531" s="1"/>
      <c r="E531" s="1"/>
    </row>
    <row r="532" spans="1:6" x14ac:dyDescent="0.25">
      <c r="A532" t="s">
        <v>8</v>
      </c>
      <c r="B532" t="e">
        <f t="shared" ref="B532:E544" si="409">4-_xlfn.RANK.AVG(B531,$B531:$E531)</f>
        <v>#N/A</v>
      </c>
      <c r="C532" t="e">
        <f t="shared" si="409"/>
        <v>#N/A</v>
      </c>
      <c r="D532" t="e">
        <f t="shared" si="409"/>
        <v>#N/A</v>
      </c>
      <c r="E532" t="e">
        <f t="shared" si="409"/>
        <v>#N/A</v>
      </c>
    </row>
    <row r="533" spans="1:6" x14ac:dyDescent="0.25">
      <c r="A533" t="s">
        <v>5</v>
      </c>
      <c r="B533" t="s">
        <v>0</v>
      </c>
      <c r="C533" t="s">
        <v>1</v>
      </c>
      <c r="D533" t="s">
        <v>2</v>
      </c>
      <c r="E533" t="s">
        <v>3</v>
      </c>
      <c r="F533" t="str">
        <f t="shared" si="408"/>
        <v>Partie 134</v>
      </c>
    </row>
    <row r="534" spans="1:6" x14ac:dyDescent="0.25">
      <c r="A534" t="s">
        <v>6</v>
      </c>
      <c r="B534" s="1"/>
      <c r="C534" s="1"/>
      <c r="D534" s="1"/>
      <c r="E534" s="1"/>
      <c r="F534" s="3"/>
    </row>
    <row r="535" spans="1:6" x14ac:dyDescent="0.25">
      <c r="A535" t="s">
        <v>7</v>
      </c>
      <c r="B535" s="1"/>
      <c r="C535" s="1"/>
      <c r="D535" s="1"/>
      <c r="E535" s="1"/>
    </row>
    <row r="536" spans="1:6" x14ac:dyDescent="0.25">
      <c r="A536" t="s">
        <v>8</v>
      </c>
      <c r="B536" t="e">
        <f t="shared" si="409"/>
        <v>#N/A</v>
      </c>
      <c r="C536" t="e">
        <f t="shared" si="409"/>
        <v>#N/A</v>
      </c>
      <c r="D536" t="e">
        <f t="shared" si="409"/>
        <v>#N/A</v>
      </c>
      <c r="E536" t="e">
        <f t="shared" si="409"/>
        <v>#N/A</v>
      </c>
    </row>
    <row r="537" spans="1:6" x14ac:dyDescent="0.25">
      <c r="A537" t="s">
        <v>5</v>
      </c>
      <c r="B537" t="s">
        <v>0</v>
      </c>
      <c r="C537" t="s">
        <v>1</v>
      </c>
      <c r="D537" t="s">
        <v>2</v>
      </c>
      <c r="E537" t="s">
        <v>3</v>
      </c>
      <c r="F537" t="str">
        <f t="shared" si="408"/>
        <v>Partie 135</v>
      </c>
    </row>
    <row r="538" spans="1:6" x14ac:dyDescent="0.25">
      <c r="A538" t="s">
        <v>6</v>
      </c>
      <c r="B538" s="1"/>
      <c r="C538" s="1"/>
      <c r="D538" s="1"/>
      <c r="E538" s="1"/>
      <c r="F538" s="3"/>
    </row>
    <row r="539" spans="1:6" x14ac:dyDescent="0.25">
      <c r="A539" t="s">
        <v>7</v>
      </c>
      <c r="B539" s="1"/>
      <c r="C539" s="1"/>
      <c r="D539" s="1"/>
      <c r="E539" s="1"/>
    </row>
    <row r="540" spans="1:6" x14ac:dyDescent="0.25">
      <c r="A540" t="s">
        <v>8</v>
      </c>
      <c r="B540" t="e">
        <f t="shared" si="409"/>
        <v>#N/A</v>
      </c>
      <c r="C540" t="e">
        <f t="shared" si="409"/>
        <v>#N/A</v>
      </c>
      <c r="D540" t="e">
        <f t="shared" si="409"/>
        <v>#N/A</v>
      </c>
      <c r="E540" t="e">
        <f t="shared" si="409"/>
        <v>#N/A</v>
      </c>
    </row>
    <row r="541" spans="1:6" x14ac:dyDescent="0.25">
      <c r="A541" t="s">
        <v>5</v>
      </c>
      <c r="B541" t="s">
        <v>0</v>
      </c>
      <c r="C541" t="s">
        <v>1</v>
      </c>
      <c r="D541" t="s">
        <v>2</v>
      </c>
      <c r="E541" t="s">
        <v>3</v>
      </c>
      <c r="F541" t="str">
        <f t="shared" si="408"/>
        <v>Partie 136</v>
      </c>
    </row>
    <row r="542" spans="1:6" x14ac:dyDescent="0.25">
      <c r="A542" t="s">
        <v>6</v>
      </c>
      <c r="B542" s="1"/>
      <c r="C542" s="1"/>
      <c r="D542" s="1"/>
      <c r="E542" s="1"/>
      <c r="F542" s="3"/>
    </row>
    <row r="543" spans="1:6" x14ac:dyDescent="0.25">
      <c r="A543" t="s">
        <v>7</v>
      </c>
      <c r="B543" s="1"/>
      <c r="C543" s="1"/>
      <c r="D543" s="1"/>
      <c r="E543" s="1"/>
    </row>
    <row r="544" spans="1:6" x14ac:dyDescent="0.25">
      <c r="A544" t="s">
        <v>8</v>
      </c>
      <c r="B544" t="e">
        <f t="shared" si="409"/>
        <v>#N/A</v>
      </c>
      <c r="C544" t="e">
        <f t="shared" si="409"/>
        <v>#N/A</v>
      </c>
      <c r="D544" t="e">
        <f t="shared" si="409"/>
        <v>#N/A</v>
      </c>
      <c r="E544" t="e">
        <f t="shared" si="409"/>
        <v>#N/A</v>
      </c>
    </row>
    <row r="545" spans="1:6" x14ac:dyDescent="0.25">
      <c r="A545" t="s">
        <v>5</v>
      </c>
      <c r="B545" t="s">
        <v>0</v>
      </c>
      <c r="C545" t="s">
        <v>1</v>
      </c>
      <c r="D545" t="s">
        <v>2</v>
      </c>
      <c r="E545" t="s">
        <v>3</v>
      </c>
      <c r="F545" t="str">
        <f t="shared" si="408"/>
        <v>Partie 137</v>
      </c>
    </row>
    <row r="546" spans="1:6" x14ac:dyDescent="0.25">
      <c r="A546" t="s">
        <v>6</v>
      </c>
      <c r="B546" s="1"/>
      <c r="C546" s="1"/>
      <c r="D546" s="1"/>
      <c r="E546" s="1"/>
      <c r="F546" s="3"/>
    </row>
    <row r="547" spans="1:6" x14ac:dyDescent="0.25">
      <c r="A547" t="s">
        <v>7</v>
      </c>
      <c r="B547" s="1"/>
      <c r="C547" s="1"/>
      <c r="D547" s="1"/>
      <c r="E547" s="1"/>
    </row>
    <row r="548" spans="1:6" x14ac:dyDescent="0.25">
      <c r="A548" t="s">
        <v>8</v>
      </c>
      <c r="B548" t="e">
        <f t="shared" ref="B548:E560" si="410">4-_xlfn.RANK.AVG(B547,$B547:$E547)</f>
        <v>#N/A</v>
      </c>
      <c r="C548" t="e">
        <f t="shared" si="410"/>
        <v>#N/A</v>
      </c>
      <c r="D548" t="e">
        <f t="shared" si="410"/>
        <v>#N/A</v>
      </c>
      <c r="E548" t="e">
        <f t="shared" si="410"/>
        <v>#N/A</v>
      </c>
    </row>
    <row r="549" spans="1:6" x14ac:dyDescent="0.25">
      <c r="A549" t="s">
        <v>5</v>
      </c>
      <c r="B549" t="s">
        <v>0</v>
      </c>
      <c r="C549" t="s">
        <v>1</v>
      </c>
      <c r="D549" t="s">
        <v>2</v>
      </c>
      <c r="E549" t="s">
        <v>3</v>
      </c>
      <c r="F549" t="str">
        <f t="shared" si="408"/>
        <v>Partie 138</v>
      </c>
    </row>
    <row r="550" spans="1:6" x14ac:dyDescent="0.25">
      <c r="A550" t="s">
        <v>6</v>
      </c>
      <c r="B550" s="1"/>
      <c r="C550" s="1"/>
      <c r="D550" s="1"/>
      <c r="E550" s="1"/>
      <c r="F550" s="3"/>
    </row>
    <row r="551" spans="1:6" x14ac:dyDescent="0.25">
      <c r="A551" t="s">
        <v>7</v>
      </c>
      <c r="B551" s="1"/>
      <c r="C551" s="1"/>
      <c r="D551" s="1"/>
      <c r="E551" s="1"/>
    </row>
    <row r="552" spans="1:6" x14ac:dyDescent="0.25">
      <c r="A552" t="s">
        <v>8</v>
      </c>
      <c r="B552" t="e">
        <f t="shared" si="410"/>
        <v>#N/A</v>
      </c>
      <c r="C552" t="e">
        <f t="shared" si="410"/>
        <v>#N/A</v>
      </c>
      <c r="D552" t="e">
        <f t="shared" si="410"/>
        <v>#N/A</v>
      </c>
      <c r="E552" t="e">
        <f t="shared" si="410"/>
        <v>#N/A</v>
      </c>
    </row>
    <row r="553" spans="1:6" x14ac:dyDescent="0.25">
      <c r="A553" t="s">
        <v>5</v>
      </c>
      <c r="B553" t="s">
        <v>0</v>
      </c>
      <c r="C553" t="s">
        <v>1</v>
      </c>
      <c r="D553" t="s">
        <v>2</v>
      </c>
      <c r="E553" t="s">
        <v>3</v>
      </c>
      <c r="F553" t="str">
        <f t="shared" si="408"/>
        <v>Partie 139</v>
      </c>
    </row>
    <row r="554" spans="1:6" x14ac:dyDescent="0.25">
      <c r="A554" t="s">
        <v>6</v>
      </c>
      <c r="B554" s="1"/>
      <c r="C554" s="1"/>
      <c r="D554" s="1"/>
      <c r="E554" s="1"/>
      <c r="F554" s="3"/>
    </row>
    <row r="555" spans="1:6" x14ac:dyDescent="0.25">
      <c r="A555" t="s">
        <v>7</v>
      </c>
      <c r="B555" s="1"/>
      <c r="C555" s="1"/>
      <c r="D555" s="1"/>
      <c r="E555" s="1"/>
    </row>
    <row r="556" spans="1:6" x14ac:dyDescent="0.25">
      <c r="A556" t="s">
        <v>8</v>
      </c>
      <c r="B556" t="e">
        <f t="shared" si="410"/>
        <v>#N/A</v>
      </c>
      <c r="C556" t="e">
        <f t="shared" si="410"/>
        <v>#N/A</v>
      </c>
      <c r="D556" t="e">
        <f t="shared" si="410"/>
        <v>#N/A</v>
      </c>
      <c r="E556" t="e">
        <f t="shared" si="410"/>
        <v>#N/A</v>
      </c>
    </row>
    <row r="557" spans="1:6" x14ac:dyDescent="0.25">
      <c r="A557" t="s">
        <v>5</v>
      </c>
      <c r="B557" t="s">
        <v>0</v>
      </c>
      <c r="C557" t="s">
        <v>1</v>
      </c>
      <c r="D557" t="s">
        <v>2</v>
      </c>
      <c r="E557" t="s">
        <v>3</v>
      </c>
      <c r="F557" t="str">
        <f t="shared" si="408"/>
        <v>Partie 140</v>
      </c>
    </row>
    <row r="558" spans="1:6" x14ac:dyDescent="0.25">
      <c r="A558" t="s">
        <v>6</v>
      </c>
      <c r="B558" s="1"/>
      <c r="C558" s="1"/>
      <c r="D558" s="1"/>
      <c r="E558" s="1"/>
      <c r="F558" s="3"/>
    </row>
    <row r="559" spans="1:6" x14ac:dyDescent="0.25">
      <c r="A559" t="s">
        <v>7</v>
      </c>
      <c r="B559" s="1"/>
      <c r="C559" s="1"/>
      <c r="D559" s="1"/>
      <c r="E559" s="1"/>
    </row>
    <row r="560" spans="1:6" x14ac:dyDescent="0.25">
      <c r="A560" t="s">
        <v>8</v>
      </c>
      <c r="B560" t="e">
        <f t="shared" si="410"/>
        <v>#N/A</v>
      </c>
      <c r="C560" t="e">
        <f t="shared" si="410"/>
        <v>#N/A</v>
      </c>
      <c r="D560" t="e">
        <f t="shared" si="410"/>
        <v>#N/A</v>
      </c>
      <c r="E560" t="e">
        <f t="shared" si="410"/>
        <v>#N/A</v>
      </c>
    </row>
    <row r="561" spans="1:6" x14ac:dyDescent="0.25">
      <c r="A561" t="s">
        <v>5</v>
      </c>
      <c r="B561" t="s">
        <v>0</v>
      </c>
      <c r="C561" t="s">
        <v>1</v>
      </c>
      <c r="D561" t="s">
        <v>2</v>
      </c>
      <c r="E561" t="s">
        <v>3</v>
      </c>
      <c r="F561" t="str">
        <f t="shared" si="408"/>
        <v>Partie 141</v>
      </c>
    </row>
    <row r="562" spans="1:6" x14ac:dyDescent="0.25">
      <c r="A562" t="s">
        <v>6</v>
      </c>
      <c r="B562" s="1"/>
      <c r="C562" s="1"/>
      <c r="D562" s="1"/>
      <c r="E562" s="1"/>
      <c r="F562" s="3"/>
    </row>
    <row r="563" spans="1:6" x14ac:dyDescent="0.25">
      <c r="A563" t="s">
        <v>7</v>
      </c>
      <c r="B563" s="1"/>
      <c r="C563" s="1"/>
      <c r="D563" s="1"/>
      <c r="E563" s="1"/>
    </row>
    <row r="564" spans="1:6" x14ac:dyDescent="0.25">
      <c r="A564" t="s">
        <v>8</v>
      </c>
      <c r="B564" t="e">
        <f t="shared" ref="B564:E576" si="411">4-_xlfn.RANK.AVG(B563,$B563:$E563)</f>
        <v>#N/A</v>
      </c>
      <c r="C564" t="e">
        <f t="shared" si="411"/>
        <v>#N/A</v>
      </c>
      <c r="D564" t="e">
        <f t="shared" si="411"/>
        <v>#N/A</v>
      </c>
      <c r="E564" t="e">
        <f t="shared" si="411"/>
        <v>#N/A</v>
      </c>
    </row>
    <row r="565" spans="1:6" x14ac:dyDescent="0.25">
      <c r="A565" t="s">
        <v>5</v>
      </c>
      <c r="B565" t="s">
        <v>0</v>
      </c>
      <c r="C565" t="s">
        <v>1</v>
      </c>
      <c r="D565" t="s">
        <v>2</v>
      </c>
      <c r="E565" t="s">
        <v>3</v>
      </c>
      <c r="F565" t="str">
        <f t="shared" si="408"/>
        <v>Partie 142</v>
      </c>
    </row>
    <row r="566" spans="1:6" x14ac:dyDescent="0.25">
      <c r="A566" t="s">
        <v>6</v>
      </c>
      <c r="B566" s="1"/>
      <c r="C566" s="1"/>
      <c r="D566" s="1"/>
      <c r="E566" s="1"/>
      <c r="F566" s="3"/>
    </row>
    <row r="567" spans="1:6" x14ac:dyDescent="0.25">
      <c r="A567" t="s">
        <v>7</v>
      </c>
      <c r="B567" s="1"/>
      <c r="C567" s="1"/>
      <c r="D567" s="1"/>
      <c r="E567" s="1"/>
    </row>
    <row r="568" spans="1:6" x14ac:dyDescent="0.25">
      <c r="A568" t="s">
        <v>8</v>
      </c>
      <c r="B568" t="e">
        <f t="shared" si="411"/>
        <v>#N/A</v>
      </c>
      <c r="C568" t="e">
        <f t="shared" si="411"/>
        <v>#N/A</v>
      </c>
      <c r="D568" t="e">
        <f t="shared" si="411"/>
        <v>#N/A</v>
      </c>
      <c r="E568" t="e">
        <f t="shared" si="411"/>
        <v>#N/A</v>
      </c>
    </row>
    <row r="569" spans="1:6" x14ac:dyDescent="0.25">
      <c r="A569" t="s">
        <v>5</v>
      </c>
      <c r="B569" t="s">
        <v>0</v>
      </c>
      <c r="C569" t="s">
        <v>1</v>
      </c>
      <c r="D569" t="s">
        <v>2</v>
      </c>
      <c r="E569" t="s">
        <v>3</v>
      </c>
      <c r="F569" t="str">
        <f t="shared" si="408"/>
        <v>Partie 143</v>
      </c>
    </row>
    <row r="570" spans="1:6" x14ac:dyDescent="0.25">
      <c r="A570" t="s">
        <v>6</v>
      </c>
      <c r="B570" s="1"/>
      <c r="C570" s="1"/>
      <c r="D570" s="1"/>
      <c r="E570" s="1"/>
      <c r="F570" s="3"/>
    </row>
    <row r="571" spans="1:6" x14ac:dyDescent="0.25">
      <c r="A571" t="s">
        <v>7</v>
      </c>
      <c r="B571" s="1"/>
      <c r="C571" s="1"/>
      <c r="D571" s="1"/>
      <c r="E571" s="1"/>
    </row>
    <row r="572" spans="1:6" x14ac:dyDescent="0.25">
      <c r="A572" t="s">
        <v>8</v>
      </c>
      <c r="B572" t="e">
        <f t="shared" si="411"/>
        <v>#N/A</v>
      </c>
      <c r="C572" t="e">
        <f t="shared" si="411"/>
        <v>#N/A</v>
      </c>
      <c r="D572" t="e">
        <f t="shared" si="411"/>
        <v>#N/A</v>
      </c>
      <c r="E572" t="e">
        <f t="shared" si="411"/>
        <v>#N/A</v>
      </c>
    </row>
    <row r="573" spans="1:6" x14ac:dyDescent="0.25">
      <c r="A573" t="s">
        <v>5</v>
      </c>
      <c r="B573" t="s">
        <v>0</v>
      </c>
      <c r="C573" t="s">
        <v>1</v>
      </c>
      <c r="D573" t="s">
        <v>2</v>
      </c>
      <c r="E573" t="s">
        <v>3</v>
      </c>
      <c r="F573" t="str">
        <f t="shared" si="408"/>
        <v>Partie 144</v>
      </c>
    </row>
    <row r="574" spans="1:6" x14ac:dyDescent="0.25">
      <c r="A574" t="s">
        <v>6</v>
      </c>
      <c r="B574" s="1"/>
      <c r="C574" s="1"/>
      <c r="D574" s="1"/>
      <c r="E574" s="1"/>
      <c r="F574" s="3"/>
    </row>
    <row r="575" spans="1:6" x14ac:dyDescent="0.25">
      <c r="A575" t="s">
        <v>7</v>
      </c>
      <c r="B575" s="1"/>
      <c r="C575" s="1"/>
      <c r="D575" s="1"/>
      <c r="E575" s="1"/>
    </row>
    <row r="576" spans="1:6" x14ac:dyDescent="0.25">
      <c r="A576" t="s">
        <v>8</v>
      </c>
      <c r="B576" t="e">
        <f t="shared" si="411"/>
        <v>#N/A</v>
      </c>
      <c r="C576" t="e">
        <f t="shared" si="411"/>
        <v>#N/A</v>
      </c>
      <c r="D576" t="e">
        <f t="shared" si="411"/>
        <v>#N/A</v>
      </c>
      <c r="E576" t="e">
        <f t="shared" si="411"/>
        <v>#N/A</v>
      </c>
    </row>
    <row r="577" spans="1:6" x14ac:dyDescent="0.25">
      <c r="A577" t="s">
        <v>5</v>
      </c>
      <c r="B577" t="s">
        <v>0</v>
      </c>
      <c r="C577" t="s">
        <v>1</v>
      </c>
      <c r="D577" t="s">
        <v>2</v>
      </c>
      <c r="E577" t="s">
        <v>3</v>
      </c>
      <c r="F577" t="str">
        <f t="shared" si="408"/>
        <v>Partie 145</v>
      </c>
    </row>
    <row r="578" spans="1:6" x14ac:dyDescent="0.25">
      <c r="A578" t="s">
        <v>6</v>
      </c>
      <c r="B578" s="1"/>
      <c r="C578" s="1"/>
      <c r="D578" s="1"/>
      <c r="E578" s="1"/>
      <c r="F578" s="3"/>
    </row>
    <row r="579" spans="1:6" x14ac:dyDescent="0.25">
      <c r="A579" t="s">
        <v>7</v>
      </c>
      <c r="B579" s="1"/>
      <c r="C579" s="1"/>
      <c r="D579" s="1"/>
      <c r="E579" s="1"/>
    </row>
    <row r="580" spans="1:6" x14ac:dyDescent="0.25">
      <c r="A580" t="s">
        <v>8</v>
      </c>
      <c r="B580" t="e">
        <f t="shared" ref="B580:E592" si="412">4-_xlfn.RANK.AVG(B579,$B579:$E579)</f>
        <v>#N/A</v>
      </c>
      <c r="C580" t="e">
        <f t="shared" si="412"/>
        <v>#N/A</v>
      </c>
      <c r="D580" t="e">
        <f t="shared" si="412"/>
        <v>#N/A</v>
      </c>
      <c r="E580" t="e">
        <f t="shared" si="412"/>
        <v>#N/A</v>
      </c>
    </row>
    <row r="581" spans="1:6" x14ac:dyDescent="0.25">
      <c r="A581" t="s">
        <v>5</v>
      </c>
      <c r="B581" t="s">
        <v>0</v>
      </c>
      <c r="C581" t="s">
        <v>1</v>
      </c>
      <c r="D581" t="s">
        <v>2</v>
      </c>
      <c r="E581" t="s">
        <v>3</v>
      </c>
      <c r="F581" t="str">
        <f t="shared" si="408"/>
        <v>Partie 146</v>
      </c>
    </row>
    <row r="582" spans="1:6" x14ac:dyDescent="0.25">
      <c r="A582" t="s">
        <v>6</v>
      </c>
      <c r="B582" s="1"/>
      <c r="C582" s="1"/>
      <c r="D582" s="1"/>
      <c r="E582" s="1"/>
      <c r="F582" s="3"/>
    </row>
    <row r="583" spans="1:6" x14ac:dyDescent="0.25">
      <c r="A583" t="s">
        <v>7</v>
      </c>
      <c r="B583" s="1"/>
      <c r="C583" s="1"/>
      <c r="D583" s="1"/>
      <c r="E583" s="1"/>
    </row>
    <row r="584" spans="1:6" x14ac:dyDescent="0.25">
      <c r="A584" t="s">
        <v>8</v>
      </c>
      <c r="B584" t="e">
        <f t="shared" si="412"/>
        <v>#N/A</v>
      </c>
      <c r="C584" t="e">
        <f t="shared" si="412"/>
        <v>#N/A</v>
      </c>
      <c r="D584" t="e">
        <f t="shared" si="412"/>
        <v>#N/A</v>
      </c>
      <c r="E584" t="e">
        <f t="shared" si="412"/>
        <v>#N/A</v>
      </c>
    </row>
    <row r="585" spans="1:6" x14ac:dyDescent="0.25">
      <c r="A585" t="s">
        <v>5</v>
      </c>
      <c r="B585" t="s">
        <v>0</v>
      </c>
      <c r="C585" t="s">
        <v>1</v>
      </c>
      <c r="D585" t="s">
        <v>2</v>
      </c>
      <c r="E585" t="s">
        <v>3</v>
      </c>
      <c r="F585" t="str">
        <f t="shared" si="408"/>
        <v>Partie 147</v>
      </c>
    </row>
    <row r="586" spans="1:6" x14ac:dyDescent="0.25">
      <c r="A586" t="s">
        <v>6</v>
      </c>
      <c r="B586" s="1"/>
      <c r="C586" s="1"/>
      <c r="D586" s="1"/>
      <c r="E586" s="1"/>
      <c r="F586" s="3"/>
    </row>
    <row r="587" spans="1:6" x14ac:dyDescent="0.25">
      <c r="A587" t="s">
        <v>7</v>
      </c>
      <c r="B587" s="1"/>
      <c r="C587" s="1"/>
      <c r="D587" s="1"/>
      <c r="E587" s="1"/>
    </row>
    <row r="588" spans="1:6" x14ac:dyDescent="0.25">
      <c r="A588" t="s">
        <v>8</v>
      </c>
      <c r="B588" t="e">
        <f t="shared" si="412"/>
        <v>#N/A</v>
      </c>
      <c r="C588" t="e">
        <f t="shared" si="412"/>
        <v>#N/A</v>
      </c>
      <c r="D588" t="e">
        <f t="shared" si="412"/>
        <v>#N/A</v>
      </c>
      <c r="E588" t="e">
        <f t="shared" si="412"/>
        <v>#N/A</v>
      </c>
    </row>
    <row r="589" spans="1:6" x14ac:dyDescent="0.25">
      <c r="A589" t="s">
        <v>5</v>
      </c>
      <c r="B589" t="s">
        <v>0</v>
      </c>
      <c r="C589" t="s">
        <v>1</v>
      </c>
      <c r="D589" t="s">
        <v>2</v>
      </c>
      <c r="E589" t="s">
        <v>3</v>
      </c>
      <c r="F589" t="str">
        <f t="shared" si="408"/>
        <v>Partie 148</v>
      </c>
    </row>
    <row r="590" spans="1:6" x14ac:dyDescent="0.25">
      <c r="A590" t="s">
        <v>6</v>
      </c>
      <c r="B590" s="1"/>
      <c r="C590" s="1"/>
      <c r="D590" s="1"/>
      <c r="E590" s="1"/>
      <c r="F590" s="3"/>
    </row>
    <row r="591" spans="1:6" x14ac:dyDescent="0.25">
      <c r="A591" t="s">
        <v>7</v>
      </c>
      <c r="B591" s="1"/>
      <c r="C591" s="1"/>
      <c r="D591" s="1"/>
      <c r="E591" s="1"/>
    </row>
    <row r="592" spans="1:6" x14ac:dyDescent="0.25">
      <c r="A592" t="s">
        <v>8</v>
      </c>
      <c r="B592" t="e">
        <f t="shared" si="412"/>
        <v>#N/A</v>
      </c>
      <c r="C592" t="e">
        <f t="shared" si="412"/>
        <v>#N/A</v>
      </c>
      <c r="D592" t="e">
        <f t="shared" si="412"/>
        <v>#N/A</v>
      </c>
      <c r="E592" t="e">
        <f t="shared" si="412"/>
        <v>#N/A</v>
      </c>
    </row>
    <row r="593" spans="1:6" x14ac:dyDescent="0.25">
      <c r="A593" t="s">
        <v>5</v>
      </c>
      <c r="B593" t="s">
        <v>0</v>
      </c>
      <c r="C593" t="s">
        <v>1</v>
      </c>
      <c r="D593" t="s">
        <v>2</v>
      </c>
      <c r="E593" t="s">
        <v>3</v>
      </c>
      <c r="F593" t="str">
        <f t="shared" ref="F593:F653" si="413">"Partie " &amp; (ROW()-1)/4+1</f>
        <v>Partie 149</v>
      </c>
    </row>
    <row r="594" spans="1:6" x14ac:dyDescent="0.25">
      <c r="A594" t="s">
        <v>6</v>
      </c>
      <c r="B594" s="1"/>
      <c r="C594" s="1"/>
      <c r="D594" s="1"/>
      <c r="E594" s="1"/>
      <c r="F594" s="3"/>
    </row>
    <row r="595" spans="1:6" x14ac:dyDescent="0.25">
      <c r="A595" t="s">
        <v>7</v>
      </c>
      <c r="B595" s="1"/>
      <c r="C595" s="1"/>
      <c r="D595" s="1"/>
      <c r="E595" s="1"/>
    </row>
    <row r="596" spans="1:6" x14ac:dyDescent="0.25">
      <c r="A596" t="s">
        <v>8</v>
      </c>
      <c r="B596" t="e">
        <f t="shared" ref="B596:E608" si="414">4-_xlfn.RANK.AVG(B595,$B595:$E595)</f>
        <v>#N/A</v>
      </c>
      <c r="C596" t="e">
        <f t="shared" si="414"/>
        <v>#N/A</v>
      </c>
      <c r="D596" t="e">
        <f t="shared" si="414"/>
        <v>#N/A</v>
      </c>
      <c r="E596" t="e">
        <f t="shared" si="414"/>
        <v>#N/A</v>
      </c>
    </row>
    <row r="597" spans="1:6" x14ac:dyDescent="0.25">
      <c r="A597" t="s">
        <v>5</v>
      </c>
      <c r="B597" t="s">
        <v>0</v>
      </c>
      <c r="C597" t="s">
        <v>1</v>
      </c>
      <c r="D597" t="s">
        <v>2</v>
      </c>
      <c r="E597" t="s">
        <v>3</v>
      </c>
      <c r="F597" t="str">
        <f t="shared" si="413"/>
        <v>Partie 150</v>
      </c>
    </row>
    <row r="598" spans="1:6" x14ac:dyDescent="0.25">
      <c r="A598" t="s">
        <v>6</v>
      </c>
      <c r="B598" s="1"/>
      <c r="C598" s="1"/>
      <c r="D598" s="1"/>
      <c r="E598" s="1"/>
      <c r="F598" s="3"/>
    </row>
    <row r="599" spans="1:6" x14ac:dyDescent="0.25">
      <c r="A599" t="s">
        <v>7</v>
      </c>
      <c r="B599" s="1"/>
      <c r="C599" s="1"/>
      <c r="D599" s="1"/>
      <c r="E599" s="1"/>
    </row>
    <row r="600" spans="1:6" x14ac:dyDescent="0.25">
      <c r="A600" t="s">
        <v>8</v>
      </c>
      <c r="B600" t="e">
        <f t="shared" si="414"/>
        <v>#N/A</v>
      </c>
      <c r="C600" t="e">
        <f t="shared" si="414"/>
        <v>#N/A</v>
      </c>
      <c r="D600" t="e">
        <f t="shared" si="414"/>
        <v>#N/A</v>
      </c>
      <c r="E600" t="e">
        <f t="shared" si="414"/>
        <v>#N/A</v>
      </c>
    </row>
    <row r="601" spans="1:6" x14ac:dyDescent="0.25">
      <c r="A601" t="s">
        <v>5</v>
      </c>
      <c r="B601" t="s">
        <v>0</v>
      </c>
      <c r="C601" t="s">
        <v>1</v>
      </c>
      <c r="D601" t="s">
        <v>2</v>
      </c>
      <c r="E601" t="s">
        <v>3</v>
      </c>
      <c r="F601" t="str">
        <f t="shared" si="413"/>
        <v>Partie 151</v>
      </c>
    </row>
    <row r="602" spans="1:6" x14ac:dyDescent="0.25">
      <c r="A602" t="s">
        <v>6</v>
      </c>
      <c r="B602" s="1"/>
      <c r="C602" s="1"/>
      <c r="D602" s="1"/>
      <c r="E602" s="1"/>
      <c r="F602" s="3"/>
    </row>
    <row r="603" spans="1:6" x14ac:dyDescent="0.25">
      <c r="A603" t="s">
        <v>7</v>
      </c>
      <c r="B603" s="1"/>
      <c r="C603" s="1"/>
      <c r="D603" s="1"/>
      <c r="E603" s="1"/>
    </row>
    <row r="604" spans="1:6" x14ac:dyDescent="0.25">
      <c r="A604" t="s">
        <v>8</v>
      </c>
      <c r="B604" t="e">
        <f t="shared" si="414"/>
        <v>#N/A</v>
      </c>
      <c r="C604" t="e">
        <f t="shared" si="414"/>
        <v>#N/A</v>
      </c>
      <c r="D604" t="e">
        <f t="shared" si="414"/>
        <v>#N/A</v>
      </c>
      <c r="E604" t="e">
        <f t="shared" si="414"/>
        <v>#N/A</v>
      </c>
    </row>
    <row r="605" spans="1:6" x14ac:dyDescent="0.25">
      <c r="A605" t="s">
        <v>5</v>
      </c>
      <c r="B605" t="s">
        <v>0</v>
      </c>
      <c r="C605" t="s">
        <v>1</v>
      </c>
      <c r="D605" t="s">
        <v>2</v>
      </c>
      <c r="E605" t="s">
        <v>3</v>
      </c>
      <c r="F605" t="str">
        <f t="shared" si="413"/>
        <v>Partie 152</v>
      </c>
    </row>
    <row r="606" spans="1:6" x14ac:dyDescent="0.25">
      <c r="A606" t="s">
        <v>6</v>
      </c>
      <c r="B606" s="1"/>
      <c r="C606" s="1"/>
      <c r="D606" s="1"/>
      <c r="E606" s="1"/>
      <c r="F606" s="3"/>
    </row>
    <row r="607" spans="1:6" x14ac:dyDescent="0.25">
      <c r="A607" t="s">
        <v>7</v>
      </c>
      <c r="B607" s="1"/>
      <c r="C607" s="1"/>
      <c r="D607" s="1"/>
      <c r="E607" s="1"/>
    </row>
    <row r="608" spans="1:6" x14ac:dyDescent="0.25">
      <c r="A608" t="s">
        <v>8</v>
      </c>
      <c r="B608" t="e">
        <f t="shared" si="414"/>
        <v>#N/A</v>
      </c>
      <c r="C608" t="e">
        <f t="shared" si="414"/>
        <v>#N/A</v>
      </c>
      <c r="D608" t="e">
        <f t="shared" si="414"/>
        <v>#N/A</v>
      </c>
      <c r="E608" t="e">
        <f t="shared" si="414"/>
        <v>#N/A</v>
      </c>
    </row>
    <row r="609" spans="1:6" x14ac:dyDescent="0.25">
      <c r="A609" t="s">
        <v>5</v>
      </c>
      <c r="B609" t="s">
        <v>0</v>
      </c>
      <c r="C609" t="s">
        <v>1</v>
      </c>
      <c r="D609" t="s">
        <v>2</v>
      </c>
      <c r="E609" t="s">
        <v>3</v>
      </c>
      <c r="F609" t="str">
        <f t="shared" si="413"/>
        <v>Partie 153</v>
      </c>
    </row>
    <row r="610" spans="1:6" x14ac:dyDescent="0.25">
      <c r="A610" t="s">
        <v>6</v>
      </c>
      <c r="B610" s="1"/>
      <c r="C610" s="1"/>
      <c r="D610" s="1"/>
      <c r="E610" s="1"/>
      <c r="F610" s="3"/>
    </row>
    <row r="611" spans="1:6" x14ac:dyDescent="0.25">
      <c r="A611" t="s">
        <v>7</v>
      </c>
      <c r="B611" s="1"/>
      <c r="C611" s="1"/>
      <c r="D611" s="1"/>
      <c r="E611" s="1"/>
    </row>
    <row r="612" spans="1:6" x14ac:dyDescent="0.25">
      <c r="A612" t="s">
        <v>8</v>
      </c>
      <c r="B612" t="e">
        <f t="shared" ref="B612:E624" si="415">4-_xlfn.RANK.AVG(B611,$B611:$E611)</f>
        <v>#N/A</v>
      </c>
      <c r="C612" t="e">
        <f t="shared" si="415"/>
        <v>#N/A</v>
      </c>
      <c r="D612" t="e">
        <f t="shared" si="415"/>
        <v>#N/A</v>
      </c>
      <c r="E612" t="e">
        <f t="shared" si="415"/>
        <v>#N/A</v>
      </c>
    </row>
    <row r="613" spans="1:6" x14ac:dyDescent="0.25">
      <c r="A613" t="s">
        <v>5</v>
      </c>
      <c r="B613" t="s">
        <v>0</v>
      </c>
      <c r="C613" t="s">
        <v>1</v>
      </c>
      <c r="D613" t="s">
        <v>2</v>
      </c>
      <c r="E613" t="s">
        <v>3</v>
      </c>
      <c r="F613" t="str">
        <f t="shared" si="413"/>
        <v>Partie 154</v>
      </c>
    </row>
    <row r="614" spans="1:6" x14ac:dyDescent="0.25">
      <c r="A614" t="s">
        <v>6</v>
      </c>
      <c r="B614" s="1"/>
      <c r="C614" s="1"/>
      <c r="D614" s="1"/>
      <c r="E614" s="1"/>
      <c r="F614" s="3"/>
    </row>
    <row r="615" spans="1:6" x14ac:dyDescent="0.25">
      <c r="A615" t="s">
        <v>7</v>
      </c>
      <c r="B615" s="1"/>
      <c r="C615" s="1"/>
      <c r="D615" s="1"/>
      <c r="E615" s="1"/>
    </row>
    <row r="616" spans="1:6" x14ac:dyDescent="0.25">
      <c r="A616" t="s">
        <v>8</v>
      </c>
      <c r="B616" t="e">
        <f t="shared" si="415"/>
        <v>#N/A</v>
      </c>
      <c r="C616" t="e">
        <f t="shared" si="415"/>
        <v>#N/A</v>
      </c>
      <c r="D616" t="e">
        <f t="shared" si="415"/>
        <v>#N/A</v>
      </c>
      <c r="E616" t="e">
        <f t="shared" si="415"/>
        <v>#N/A</v>
      </c>
    </row>
    <row r="617" spans="1:6" x14ac:dyDescent="0.25">
      <c r="A617" t="s">
        <v>5</v>
      </c>
      <c r="B617" t="s">
        <v>0</v>
      </c>
      <c r="C617" t="s">
        <v>1</v>
      </c>
      <c r="D617" t="s">
        <v>2</v>
      </c>
      <c r="E617" t="s">
        <v>3</v>
      </c>
      <c r="F617" t="str">
        <f t="shared" si="413"/>
        <v>Partie 155</v>
      </c>
    </row>
    <row r="618" spans="1:6" x14ac:dyDescent="0.25">
      <c r="A618" t="s">
        <v>6</v>
      </c>
      <c r="B618" s="1"/>
      <c r="C618" s="1"/>
      <c r="D618" s="1"/>
      <c r="E618" s="1"/>
      <c r="F618" s="3"/>
    </row>
    <row r="619" spans="1:6" x14ac:dyDescent="0.25">
      <c r="A619" t="s">
        <v>7</v>
      </c>
      <c r="B619" s="1"/>
      <c r="C619" s="1"/>
      <c r="D619" s="1"/>
      <c r="E619" s="1"/>
    </row>
    <row r="620" spans="1:6" x14ac:dyDescent="0.25">
      <c r="A620" t="s">
        <v>8</v>
      </c>
      <c r="B620" t="e">
        <f t="shared" si="415"/>
        <v>#N/A</v>
      </c>
      <c r="C620" t="e">
        <f t="shared" si="415"/>
        <v>#N/A</v>
      </c>
      <c r="D620" t="e">
        <f t="shared" si="415"/>
        <v>#N/A</v>
      </c>
      <c r="E620" t="e">
        <f t="shared" si="415"/>
        <v>#N/A</v>
      </c>
    </row>
    <row r="621" spans="1:6" x14ac:dyDescent="0.25">
      <c r="A621" t="s">
        <v>5</v>
      </c>
      <c r="B621" t="s">
        <v>0</v>
      </c>
      <c r="C621" t="s">
        <v>1</v>
      </c>
      <c r="D621" t="s">
        <v>2</v>
      </c>
      <c r="E621" t="s">
        <v>3</v>
      </c>
      <c r="F621" t="str">
        <f t="shared" si="413"/>
        <v>Partie 156</v>
      </c>
    </row>
    <row r="622" spans="1:6" x14ac:dyDescent="0.25">
      <c r="A622" t="s">
        <v>6</v>
      </c>
      <c r="B622" s="1"/>
      <c r="C622" s="1"/>
      <c r="D622" s="1"/>
      <c r="E622" s="1"/>
      <c r="F622" s="3"/>
    </row>
    <row r="623" spans="1:6" x14ac:dyDescent="0.25">
      <c r="A623" t="s">
        <v>7</v>
      </c>
      <c r="B623" s="1"/>
      <c r="C623" s="1"/>
      <c r="D623" s="1"/>
      <c r="E623" s="1"/>
    </row>
    <row r="624" spans="1:6" x14ac:dyDescent="0.25">
      <c r="A624" t="s">
        <v>8</v>
      </c>
      <c r="B624" t="e">
        <f t="shared" si="415"/>
        <v>#N/A</v>
      </c>
      <c r="C624" t="e">
        <f t="shared" si="415"/>
        <v>#N/A</v>
      </c>
      <c r="D624" t="e">
        <f t="shared" si="415"/>
        <v>#N/A</v>
      </c>
      <c r="E624" t="e">
        <f t="shared" si="415"/>
        <v>#N/A</v>
      </c>
    </row>
    <row r="625" spans="1:6" x14ac:dyDescent="0.25">
      <c r="A625" t="s">
        <v>5</v>
      </c>
      <c r="B625" t="s">
        <v>0</v>
      </c>
      <c r="C625" t="s">
        <v>1</v>
      </c>
      <c r="D625" t="s">
        <v>2</v>
      </c>
      <c r="E625" t="s">
        <v>3</v>
      </c>
      <c r="F625" t="str">
        <f t="shared" si="413"/>
        <v>Partie 157</v>
      </c>
    </row>
    <row r="626" spans="1:6" x14ac:dyDescent="0.25">
      <c r="A626" t="s">
        <v>6</v>
      </c>
      <c r="B626" s="1"/>
      <c r="C626" s="1"/>
      <c r="D626" s="1"/>
      <c r="E626" s="1"/>
      <c r="F626" s="3"/>
    </row>
    <row r="627" spans="1:6" x14ac:dyDescent="0.25">
      <c r="A627" t="s">
        <v>7</v>
      </c>
      <c r="B627" s="1"/>
      <c r="C627" s="1"/>
      <c r="D627" s="1"/>
      <c r="E627" s="1"/>
    </row>
    <row r="628" spans="1:6" x14ac:dyDescent="0.25">
      <c r="A628" t="s">
        <v>8</v>
      </c>
      <c r="B628" t="e">
        <f t="shared" ref="B628:E640" si="416">4-_xlfn.RANK.AVG(B627,$B627:$E627)</f>
        <v>#N/A</v>
      </c>
      <c r="C628" t="e">
        <f t="shared" si="416"/>
        <v>#N/A</v>
      </c>
      <c r="D628" t="e">
        <f t="shared" si="416"/>
        <v>#N/A</v>
      </c>
      <c r="E628" t="e">
        <f t="shared" si="416"/>
        <v>#N/A</v>
      </c>
    </row>
    <row r="629" spans="1:6" x14ac:dyDescent="0.25">
      <c r="A629" t="s">
        <v>5</v>
      </c>
      <c r="B629" t="s">
        <v>0</v>
      </c>
      <c r="C629" t="s">
        <v>1</v>
      </c>
      <c r="D629" t="s">
        <v>2</v>
      </c>
      <c r="E629" t="s">
        <v>3</v>
      </c>
      <c r="F629" t="str">
        <f t="shared" si="413"/>
        <v>Partie 158</v>
      </c>
    </row>
    <row r="630" spans="1:6" x14ac:dyDescent="0.25">
      <c r="A630" t="s">
        <v>6</v>
      </c>
      <c r="B630" s="1"/>
      <c r="C630" s="1"/>
      <c r="D630" s="1"/>
      <c r="E630" s="1"/>
      <c r="F630" s="3"/>
    </row>
    <row r="631" spans="1:6" x14ac:dyDescent="0.25">
      <c r="A631" t="s">
        <v>7</v>
      </c>
      <c r="B631" s="1"/>
      <c r="C631" s="1"/>
      <c r="D631" s="1"/>
      <c r="E631" s="1"/>
    </row>
    <row r="632" spans="1:6" x14ac:dyDescent="0.25">
      <c r="A632" t="s">
        <v>8</v>
      </c>
      <c r="B632" t="e">
        <f t="shared" si="416"/>
        <v>#N/A</v>
      </c>
      <c r="C632" t="e">
        <f t="shared" si="416"/>
        <v>#N/A</v>
      </c>
      <c r="D632" t="e">
        <f t="shared" si="416"/>
        <v>#N/A</v>
      </c>
      <c r="E632" t="e">
        <f t="shared" si="416"/>
        <v>#N/A</v>
      </c>
    </row>
    <row r="633" spans="1:6" x14ac:dyDescent="0.25">
      <c r="A633" t="s">
        <v>5</v>
      </c>
      <c r="B633" t="s">
        <v>0</v>
      </c>
      <c r="C633" t="s">
        <v>1</v>
      </c>
      <c r="D633" t="s">
        <v>2</v>
      </c>
      <c r="E633" t="s">
        <v>3</v>
      </c>
      <c r="F633" t="str">
        <f t="shared" si="413"/>
        <v>Partie 159</v>
      </c>
    </row>
    <row r="634" spans="1:6" x14ac:dyDescent="0.25">
      <c r="A634" t="s">
        <v>6</v>
      </c>
      <c r="B634" s="1"/>
      <c r="C634" s="1"/>
      <c r="D634" s="1"/>
      <c r="E634" s="1"/>
      <c r="F634" s="3"/>
    </row>
    <row r="635" spans="1:6" x14ac:dyDescent="0.25">
      <c r="A635" t="s">
        <v>7</v>
      </c>
      <c r="B635" s="1"/>
      <c r="C635" s="1"/>
      <c r="D635" s="1"/>
      <c r="E635" s="1"/>
    </row>
    <row r="636" spans="1:6" x14ac:dyDescent="0.25">
      <c r="A636" t="s">
        <v>8</v>
      </c>
      <c r="B636" t="e">
        <f t="shared" si="416"/>
        <v>#N/A</v>
      </c>
      <c r="C636" t="e">
        <f t="shared" si="416"/>
        <v>#N/A</v>
      </c>
      <c r="D636" t="e">
        <f t="shared" si="416"/>
        <v>#N/A</v>
      </c>
      <c r="E636" t="e">
        <f t="shared" si="416"/>
        <v>#N/A</v>
      </c>
    </row>
    <row r="637" spans="1:6" x14ac:dyDescent="0.25">
      <c r="A637" t="s">
        <v>5</v>
      </c>
      <c r="B637" t="s">
        <v>0</v>
      </c>
      <c r="C637" t="s">
        <v>1</v>
      </c>
      <c r="D637" t="s">
        <v>2</v>
      </c>
      <c r="E637" t="s">
        <v>3</v>
      </c>
      <c r="F637" t="str">
        <f t="shared" si="413"/>
        <v>Partie 160</v>
      </c>
    </row>
    <row r="638" spans="1:6" x14ac:dyDescent="0.25">
      <c r="A638" t="s">
        <v>6</v>
      </c>
      <c r="B638" s="1"/>
      <c r="C638" s="1"/>
      <c r="D638" s="1"/>
      <c r="E638" s="1"/>
      <c r="F638" s="3"/>
    </row>
    <row r="639" spans="1:6" x14ac:dyDescent="0.25">
      <c r="A639" t="s">
        <v>7</v>
      </c>
      <c r="B639" s="1"/>
      <c r="C639" s="1"/>
      <c r="D639" s="1"/>
      <c r="E639" s="1"/>
    </row>
    <row r="640" spans="1:6" x14ac:dyDescent="0.25">
      <c r="A640" t="s">
        <v>8</v>
      </c>
      <c r="B640" t="e">
        <f t="shared" si="416"/>
        <v>#N/A</v>
      </c>
      <c r="C640" t="e">
        <f t="shared" si="416"/>
        <v>#N/A</v>
      </c>
      <c r="D640" t="e">
        <f t="shared" si="416"/>
        <v>#N/A</v>
      </c>
      <c r="E640" t="e">
        <f t="shared" si="416"/>
        <v>#N/A</v>
      </c>
    </row>
    <row r="641" spans="1:6" x14ac:dyDescent="0.25">
      <c r="A641" t="s">
        <v>5</v>
      </c>
      <c r="B641" t="s">
        <v>0</v>
      </c>
      <c r="C641" t="s">
        <v>1</v>
      </c>
      <c r="D641" t="s">
        <v>2</v>
      </c>
      <c r="E641" t="s">
        <v>3</v>
      </c>
      <c r="F641" t="str">
        <f t="shared" si="413"/>
        <v>Partie 161</v>
      </c>
    </row>
    <row r="642" spans="1:6" x14ac:dyDescent="0.25">
      <c r="A642" t="s">
        <v>6</v>
      </c>
      <c r="B642" s="1"/>
      <c r="C642" s="1"/>
      <c r="D642" s="1"/>
      <c r="E642" s="1"/>
      <c r="F642" s="3"/>
    </row>
    <row r="643" spans="1:6" x14ac:dyDescent="0.25">
      <c r="A643" t="s">
        <v>7</v>
      </c>
      <c r="B643" s="1"/>
      <c r="C643" s="1"/>
      <c r="D643" s="1"/>
      <c r="E643" s="1"/>
    </row>
    <row r="644" spans="1:6" x14ac:dyDescent="0.25">
      <c r="A644" t="s">
        <v>8</v>
      </c>
      <c r="B644" t="e">
        <f t="shared" ref="B644:E656" si="417">4-_xlfn.RANK.AVG(B643,$B643:$E643)</f>
        <v>#N/A</v>
      </c>
      <c r="C644" t="e">
        <f t="shared" si="417"/>
        <v>#N/A</v>
      </c>
      <c r="D644" t="e">
        <f t="shared" si="417"/>
        <v>#N/A</v>
      </c>
      <c r="E644" t="e">
        <f t="shared" si="417"/>
        <v>#N/A</v>
      </c>
    </row>
    <row r="645" spans="1:6" x14ac:dyDescent="0.25">
      <c r="A645" t="s">
        <v>5</v>
      </c>
      <c r="B645" t="s">
        <v>0</v>
      </c>
      <c r="C645" t="s">
        <v>1</v>
      </c>
      <c r="D645" t="s">
        <v>2</v>
      </c>
      <c r="E645" t="s">
        <v>3</v>
      </c>
      <c r="F645" t="str">
        <f t="shared" si="413"/>
        <v>Partie 162</v>
      </c>
    </row>
    <row r="646" spans="1:6" x14ac:dyDescent="0.25">
      <c r="A646" t="s">
        <v>6</v>
      </c>
      <c r="B646" s="1"/>
      <c r="C646" s="1"/>
      <c r="D646" s="1"/>
      <c r="E646" s="1"/>
      <c r="F646" s="3"/>
    </row>
    <row r="647" spans="1:6" x14ac:dyDescent="0.25">
      <c r="A647" t="s">
        <v>7</v>
      </c>
      <c r="B647" s="1"/>
      <c r="C647" s="1"/>
      <c r="D647" s="1"/>
      <c r="E647" s="1"/>
    </row>
    <row r="648" spans="1:6" x14ac:dyDescent="0.25">
      <c r="A648" t="s">
        <v>8</v>
      </c>
      <c r="B648" t="e">
        <f t="shared" si="417"/>
        <v>#N/A</v>
      </c>
      <c r="C648" t="e">
        <f t="shared" si="417"/>
        <v>#N/A</v>
      </c>
      <c r="D648" t="e">
        <f t="shared" si="417"/>
        <v>#N/A</v>
      </c>
      <c r="E648" t="e">
        <f t="shared" si="417"/>
        <v>#N/A</v>
      </c>
    </row>
    <row r="649" spans="1:6" x14ac:dyDescent="0.25">
      <c r="A649" t="s">
        <v>5</v>
      </c>
      <c r="B649" t="s">
        <v>0</v>
      </c>
      <c r="C649" t="s">
        <v>1</v>
      </c>
      <c r="D649" t="s">
        <v>2</v>
      </c>
      <c r="E649" t="s">
        <v>3</v>
      </c>
      <c r="F649" t="str">
        <f t="shared" si="413"/>
        <v>Partie 163</v>
      </c>
    </row>
    <row r="650" spans="1:6" x14ac:dyDescent="0.25">
      <c r="A650" t="s">
        <v>6</v>
      </c>
      <c r="B650" s="1"/>
      <c r="C650" s="1"/>
      <c r="D650" s="1"/>
      <c r="E650" s="1"/>
      <c r="F650" s="3"/>
    </row>
    <row r="651" spans="1:6" x14ac:dyDescent="0.25">
      <c r="A651" t="s">
        <v>7</v>
      </c>
      <c r="B651" s="1"/>
      <c r="C651" s="1"/>
      <c r="D651" s="1"/>
      <c r="E651" s="1"/>
    </row>
    <row r="652" spans="1:6" x14ac:dyDescent="0.25">
      <c r="A652" t="s">
        <v>8</v>
      </c>
      <c r="B652" t="e">
        <f t="shared" si="417"/>
        <v>#N/A</v>
      </c>
      <c r="C652" t="e">
        <f t="shared" si="417"/>
        <v>#N/A</v>
      </c>
      <c r="D652" t="e">
        <f t="shared" si="417"/>
        <v>#N/A</v>
      </c>
      <c r="E652" t="e">
        <f t="shared" si="417"/>
        <v>#N/A</v>
      </c>
    </row>
    <row r="653" spans="1:6" x14ac:dyDescent="0.25">
      <c r="A653" t="s">
        <v>5</v>
      </c>
      <c r="B653" t="s">
        <v>0</v>
      </c>
      <c r="C653" t="s">
        <v>1</v>
      </c>
      <c r="D653" t="s">
        <v>2</v>
      </c>
      <c r="E653" t="s">
        <v>3</v>
      </c>
      <c r="F653" t="str">
        <f t="shared" si="413"/>
        <v>Partie 164</v>
      </c>
    </row>
    <row r="654" spans="1:6" x14ac:dyDescent="0.25">
      <c r="A654" t="s">
        <v>6</v>
      </c>
      <c r="B654" s="1"/>
      <c r="C654" s="1"/>
      <c r="D654" s="1"/>
      <c r="E654" s="1"/>
      <c r="F654" s="3"/>
    </row>
    <row r="655" spans="1:6" x14ac:dyDescent="0.25">
      <c r="A655" t="s">
        <v>7</v>
      </c>
      <c r="B655" s="1"/>
      <c r="C655" s="1"/>
      <c r="D655" s="1"/>
      <c r="E655" s="1"/>
    </row>
    <row r="656" spans="1:6" x14ac:dyDescent="0.25">
      <c r="A656" t="s">
        <v>8</v>
      </c>
      <c r="B656" t="e">
        <f t="shared" si="417"/>
        <v>#N/A</v>
      </c>
      <c r="C656" t="e">
        <f t="shared" si="417"/>
        <v>#N/A</v>
      </c>
      <c r="D656" t="e">
        <f t="shared" si="417"/>
        <v>#N/A</v>
      </c>
      <c r="E656" t="e">
        <f t="shared" si="417"/>
        <v>#N/A</v>
      </c>
    </row>
    <row r="657" spans="1:6" x14ac:dyDescent="0.25">
      <c r="A657" t="s">
        <v>5</v>
      </c>
      <c r="B657" t="s">
        <v>0</v>
      </c>
      <c r="C657" t="s">
        <v>1</v>
      </c>
      <c r="D657" t="s">
        <v>2</v>
      </c>
      <c r="E657" t="s">
        <v>3</v>
      </c>
      <c r="F657" t="str">
        <f t="shared" ref="F657:F717" si="418">"Partie " &amp; (ROW()-1)/4+1</f>
        <v>Partie 165</v>
      </c>
    </row>
    <row r="658" spans="1:6" x14ac:dyDescent="0.25">
      <c r="A658" t="s">
        <v>6</v>
      </c>
      <c r="B658" s="1"/>
      <c r="C658" s="1"/>
      <c r="D658" s="1"/>
      <c r="E658" s="1"/>
      <c r="F658" s="3"/>
    </row>
    <row r="659" spans="1:6" x14ac:dyDescent="0.25">
      <c r="A659" t="s">
        <v>7</v>
      </c>
      <c r="B659" s="1"/>
      <c r="C659" s="1"/>
      <c r="D659" s="1"/>
      <c r="E659" s="1"/>
    </row>
    <row r="660" spans="1:6" x14ac:dyDescent="0.25">
      <c r="A660" t="s">
        <v>8</v>
      </c>
      <c r="B660" t="e">
        <f t="shared" ref="B660:E672" si="419">4-_xlfn.RANK.AVG(B659,$B659:$E659)</f>
        <v>#N/A</v>
      </c>
      <c r="C660" t="e">
        <f t="shared" si="419"/>
        <v>#N/A</v>
      </c>
      <c r="D660" t="e">
        <f t="shared" si="419"/>
        <v>#N/A</v>
      </c>
      <c r="E660" t="e">
        <f t="shared" si="419"/>
        <v>#N/A</v>
      </c>
    </row>
    <row r="661" spans="1:6" x14ac:dyDescent="0.25">
      <c r="A661" t="s">
        <v>5</v>
      </c>
      <c r="B661" t="s">
        <v>0</v>
      </c>
      <c r="C661" t="s">
        <v>1</v>
      </c>
      <c r="D661" t="s">
        <v>2</v>
      </c>
      <c r="E661" t="s">
        <v>3</v>
      </c>
      <c r="F661" t="str">
        <f t="shared" si="418"/>
        <v>Partie 166</v>
      </c>
    </row>
    <row r="662" spans="1:6" x14ac:dyDescent="0.25">
      <c r="A662" t="s">
        <v>6</v>
      </c>
      <c r="B662" s="1"/>
      <c r="C662" s="1"/>
      <c r="D662" s="1"/>
      <c r="E662" s="1"/>
      <c r="F662" s="3"/>
    </row>
    <row r="663" spans="1:6" x14ac:dyDescent="0.25">
      <c r="A663" t="s">
        <v>7</v>
      </c>
      <c r="B663" s="1"/>
      <c r="C663" s="1"/>
      <c r="D663" s="1"/>
      <c r="E663" s="1"/>
    </row>
    <row r="664" spans="1:6" x14ac:dyDescent="0.25">
      <c r="A664" t="s">
        <v>8</v>
      </c>
      <c r="B664" t="e">
        <f t="shared" si="419"/>
        <v>#N/A</v>
      </c>
      <c r="C664" t="e">
        <f t="shared" si="419"/>
        <v>#N/A</v>
      </c>
      <c r="D664" t="e">
        <f t="shared" si="419"/>
        <v>#N/A</v>
      </c>
      <c r="E664" t="e">
        <f t="shared" si="419"/>
        <v>#N/A</v>
      </c>
    </row>
    <row r="665" spans="1:6" x14ac:dyDescent="0.25">
      <c r="A665" t="s">
        <v>5</v>
      </c>
      <c r="B665" t="s">
        <v>0</v>
      </c>
      <c r="C665" t="s">
        <v>1</v>
      </c>
      <c r="D665" t="s">
        <v>2</v>
      </c>
      <c r="E665" t="s">
        <v>3</v>
      </c>
      <c r="F665" t="str">
        <f t="shared" si="418"/>
        <v>Partie 167</v>
      </c>
    </row>
    <row r="666" spans="1:6" x14ac:dyDescent="0.25">
      <c r="A666" t="s">
        <v>6</v>
      </c>
      <c r="B666" s="1"/>
      <c r="C666" s="1"/>
      <c r="D666" s="1"/>
      <c r="E666" s="1"/>
      <c r="F666" s="3"/>
    </row>
    <row r="667" spans="1:6" x14ac:dyDescent="0.25">
      <c r="A667" t="s">
        <v>7</v>
      </c>
      <c r="B667" s="1"/>
      <c r="C667" s="1"/>
      <c r="D667" s="1"/>
      <c r="E667" s="1"/>
    </row>
    <row r="668" spans="1:6" x14ac:dyDescent="0.25">
      <c r="A668" t="s">
        <v>8</v>
      </c>
      <c r="B668" t="e">
        <f t="shared" si="419"/>
        <v>#N/A</v>
      </c>
      <c r="C668" t="e">
        <f t="shared" si="419"/>
        <v>#N/A</v>
      </c>
      <c r="D668" t="e">
        <f t="shared" si="419"/>
        <v>#N/A</v>
      </c>
      <c r="E668" t="e">
        <f t="shared" si="419"/>
        <v>#N/A</v>
      </c>
    </row>
    <row r="669" spans="1:6" x14ac:dyDescent="0.25">
      <c r="A669" t="s">
        <v>5</v>
      </c>
      <c r="B669" t="s">
        <v>0</v>
      </c>
      <c r="C669" t="s">
        <v>1</v>
      </c>
      <c r="D669" t="s">
        <v>2</v>
      </c>
      <c r="E669" t="s">
        <v>3</v>
      </c>
      <c r="F669" t="str">
        <f t="shared" si="418"/>
        <v>Partie 168</v>
      </c>
    </row>
    <row r="670" spans="1:6" x14ac:dyDescent="0.25">
      <c r="A670" t="s">
        <v>6</v>
      </c>
      <c r="B670" s="1"/>
      <c r="C670" s="1"/>
      <c r="D670" s="1"/>
      <c r="E670" s="1"/>
      <c r="F670" s="3"/>
    </row>
    <row r="671" spans="1:6" x14ac:dyDescent="0.25">
      <c r="A671" t="s">
        <v>7</v>
      </c>
      <c r="B671" s="1"/>
      <c r="C671" s="1"/>
      <c r="D671" s="1"/>
      <c r="E671" s="1"/>
    </row>
    <row r="672" spans="1:6" x14ac:dyDescent="0.25">
      <c r="A672" t="s">
        <v>8</v>
      </c>
      <c r="B672" t="e">
        <f t="shared" si="419"/>
        <v>#N/A</v>
      </c>
      <c r="C672" t="e">
        <f t="shared" si="419"/>
        <v>#N/A</v>
      </c>
      <c r="D672" t="e">
        <f t="shared" si="419"/>
        <v>#N/A</v>
      </c>
      <c r="E672" t="e">
        <f t="shared" si="419"/>
        <v>#N/A</v>
      </c>
    </row>
    <row r="673" spans="1:6" x14ac:dyDescent="0.25">
      <c r="A673" t="s">
        <v>5</v>
      </c>
      <c r="B673" t="s">
        <v>0</v>
      </c>
      <c r="C673" t="s">
        <v>1</v>
      </c>
      <c r="D673" t="s">
        <v>2</v>
      </c>
      <c r="E673" t="s">
        <v>3</v>
      </c>
      <c r="F673" t="str">
        <f t="shared" si="418"/>
        <v>Partie 169</v>
      </c>
    </row>
    <row r="674" spans="1:6" x14ac:dyDescent="0.25">
      <c r="A674" t="s">
        <v>6</v>
      </c>
      <c r="B674" s="1"/>
      <c r="C674" s="1"/>
      <c r="D674" s="1"/>
      <c r="E674" s="1"/>
      <c r="F674" s="3"/>
    </row>
    <row r="675" spans="1:6" x14ac:dyDescent="0.25">
      <c r="A675" t="s">
        <v>7</v>
      </c>
      <c r="B675" s="1"/>
      <c r="C675" s="1"/>
      <c r="D675" s="1"/>
      <c r="E675" s="1"/>
    </row>
    <row r="676" spans="1:6" x14ac:dyDescent="0.25">
      <c r="A676" t="s">
        <v>8</v>
      </c>
      <c r="B676" t="e">
        <f t="shared" ref="B676:E688" si="420">4-_xlfn.RANK.AVG(B675,$B675:$E675)</f>
        <v>#N/A</v>
      </c>
      <c r="C676" t="e">
        <f t="shared" si="420"/>
        <v>#N/A</v>
      </c>
      <c r="D676" t="e">
        <f t="shared" si="420"/>
        <v>#N/A</v>
      </c>
      <c r="E676" t="e">
        <f t="shared" si="420"/>
        <v>#N/A</v>
      </c>
    </row>
    <row r="677" spans="1:6" x14ac:dyDescent="0.25">
      <c r="A677" t="s">
        <v>5</v>
      </c>
      <c r="B677" t="s">
        <v>0</v>
      </c>
      <c r="C677" t="s">
        <v>1</v>
      </c>
      <c r="D677" t="s">
        <v>2</v>
      </c>
      <c r="E677" t="s">
        <v>3</v>
      </c>
      <c r="F677" t="str">
        <f t="shared" si="418"/>
        <v>Partie 170</v>
      </c>
    </row>
    <row r="678" spans="1:6" x14ac:dyDescent="0.25">
      <c r="A678" t="s">
        <v>6</v>
      </c>
      <c r="B678" s="1"/>
      <c r="C678" s="1"/>
      <c r="D678" s="1"/>
      <c r="E678" s="1"/>
      <c r="F678" s="3"/>
    </row>
    <row r="679" spans="1:6" x14ac:dyDescent="0.25">
      <c r="A679" t="s">
        <v>7</v>
      </c>
      <c r="B679" s="1"/>
      <c r="C679" s="1"/>
      <c r="D679" s="1"/>
      <c r="E679" s="1"/>
    </row>
    <row r="680" spans="1:6" x14ac:dyDescent="0.25">
      <c r="A680" t="s">
        <v>8</v>
      </c>
      <c r="B680" t="e">
        <f t="shared" si="420"/>
        <v>#N/A</v>
      </c>
      <c r="C680" t="e">
        <f t="shared" si="420"/>
        <v>#N/A</v>
      </c>
      <c r="D680" t="e">
        <f t="shared" si="420"/>
        <v>#N/A</v>
      </c>
      <c r="E680" t="e">
        <f t="shared" si="420"/>
        <v>#N/A</v>
      </c>
    </row>
    <row r="681" spans="1:6" x14ac:dyDescent="0.25">
      <c r="A681" t="s">
        <v>5</v>
      </c>
      <c r="B681" t="s">
        <v>0</v>
      </c>
      <c r="C681" t="s">
        <v>1</v>
      </c>
      <c r="D681" t="s">
        <v>2</v>
      </c>
      <c r="E681" t="s">
        <v>3</v>
      </c>
      <c r="F681" t="str">
        <f t="shared" si="418"/>
        <v>Partie 171</v>
      </c>
    </row>
    <row r="682" spans="1:6" x14ac:dyDescent="0.25">
      <c r="A682" t="s">
        <v>6</v>
      </c>
      <c r="B682" s="1"/>
      <c r="C682" s="1"/>
      <c r="D682" s="1"/>
      <c r="E682" s="1"/>
      <c r="F682" s="3"/>
    </row>
    <row r="683" spans="1:6" x14ac:dyDescent="0.25">
      <c r="A683" t="s">
        <v>7</v>
      </c>
      <c r="B683" s="1"/>
      <c r="C683" s="1"/>
      <c r="D683" s="1"/>
      <c r="E683" s="1"/>
    </row>
    <row r="684" spans="1:6" x14ac:dyDescent="0.25">
      <c r="A684" t="s">
        <v>8</v>
      </c>
      <c r="B684" t="e">
        <f t="shared" si="420"/>
        <v>#N/A</v>
      </c>
      <c r="C684" t="e">
        <f t="shared" si="420"/>
        <v>#N/A</v>
      </c>
      <c r="D684" t="e">
        <f t="shared" si="420"/>
        <v>#N/A</v>
      </c>
      <c r="E684" t="e">
        <f t="shared" si="420"/>
        <v>#N/A</v>
      </c>
    </row>
    <row r="685" spans="1:6" x14ac:dyDescent="0.25">
      <c r="A685" t="s">
        <v>5</v>
      </c>
      <c r="B685" t="s">
        <v>0</v>
      </c>
      <c r="C685" t="s">
        <v>1</v>
      </c>
      <c r="D685" t="s">
        <v>2</v>
      </c>
      <c r="E685" t="s">
        <v>3</v>
      </c>
      <c r="F685" t="str">
        <f t="shared" si="418"/>
        <v>Partie 172</v>
      </c>
    </row>
    <row r="686" spans="1:6" x14ac:dyDescent="0.25">
      <c r="A686" t="s">
        <v>6</v>
      </c>
      <c r="B686" s="1"/>
      <c r="C686" s="1"/>
      <c r="D686" s="1"/>
      <c r="E686" s="1"/>
      <c r="F686" s="3"/>
    </row>
    <row r="687" spans="1:6" x14ac:dyDescent="0.25">
      <c r="A687" t="s">
        <v>7</v>
      </c>
      <c r="B687" s="1"/>
      <c r="C687" s="1"/>
      <c r="D687" s="1"/>
      <c r="E687" s="1"/>
    </row>
    <row r="688" spans="1:6" x14ac:dyDescent="0.25">
      <c r="A688" t="s">
        <v>8</v>
      </c>
      <c r="B688" t="e">
        <f t="shared" si="420"/>
        <v>#N/A</v>
      </c>
      <c r="C688" t="e">
        <f t="shared" si="420"/>
        <v>#N/A</v>
      </c>
      <c r="D688" t="e">
        <f t="shared" si="420"/>
        <v>#N/A</v>
      </c>
      <c r="E688" t="e">
        <f t="shared" si="420"/>
        <v>#N/A</v>
      </c>
    </row>
    <row r="689" spans="1:6" x14ac:dyDescent="0.25">
      <c r="A689" t="s">
        <v>5</v>
      </c>
      <c r="B689" t="s">
        <v>0</v>
      </c>
      <c r="C689" t="s">
        <v>1</v>
      </c>
      <c r="D689" t="s">
        <v>2</v>
      </c>
      <c r="E689" t="s">
        <v>3</v>
      </c>
      <c r="F689" t="str">
        <f t="shared" si="418"/>
        <v>Partie 173</v>
      </c>
    </row>
    <row r="690" spans="1:6" x14ac:dyDescent="0.25">
      <c r="A690" t="s">
        <v>6</v>
      </c>
      <c r="B690" s="1"/>
      <c r="C690" s="1"/>
      <c r="D690" s="1"/>
      <c r="E690" s="1"/>
      <c r="F690" s="3"/>
    </row>
    <row r="691" spans="1:6" x14ac:dyDescent="0.25">
      <c r="A691" t="s">
        <v>7</v>
      </c>
      <c r="B691" s="1"/>
      <c r="C691" s="1"/>
      <c r="D691" s="1"/>
      <c r="E691" s="1"/>
    </row>
    <row r="692" spans="1:6" x14ac:dyDescent="0.25">
      <c r="A692" t="s">
        <v>8</v>
      </c>
      <c r="B692" t="e">
        <f t="shared" ref="B692:E704" si="421">4-_xlfn.RANK.AVG(B691,$B691:$E691)</f>
        <v>#N/A</v>
      </c>
      <c r="C692" t="e">
        <f t="shared" si="421"/>
        <v>#N/A</v>
      </c>
      <c r="D692" t="e">
        <f t="shared" si="421"/>
        <v>#N/A</v>
      </c>
      <c r="E692" t="e">
        <f t="shared" si="421"/>
        <v>#N/A</v>
      </c>
    </row>
    <row r="693" spans="1:6" x14ac:dyDescent="0.25">
      <c r="A693" t="s">
        <v>5</v>
      </c>
      <c r="B693" t="s">
        <v>0</v>
      </c>
      <c r="C693" t="s">
        <v>1</v>
      </c>
      <c r="D693" t="s">
        <v>2</v>
      </c>
      <c r="E693" t="s">
        <v>3</v>
      </c>
      <c r="F693" t="str">
        <f t="shared" si="418"/>
        <v>Partie 174</v>
      </c>
    </row>
    <row r="694" spans="1:6" x14ac:dyDescent="0.25">
      <c r="A694" t="s">
        <v>6</v>
      </c>
      <c r="B694" s="1"/>
      <c r="C694" s="1"/>
      <c r="D694" s="1"/>
      <c r="E694" s="1"/>
      <c r="F694" s="3"/>
    </row>
    <row r="695" spans="1:6" x14ac:dyDescent="0.25">
      <c r="A695" t="s">
        <v>7</v>
      </c>
      <c r="B695" s="1"/>
      <c r="C695" s="1"/>
      <c r="D695" s="1"/>
      <c r="E695" s="1"/>
    </row>
    <row r="696" spans="1:6" x14ac:dyDescent="0.25">
      <c r="A696" t="s">
        <v>8</v>
      </c>
      <c r="B696" t="e">
        <f t="shared" si="421"/>
        <v>#N/A</v>
      </c>
      <c r="C696" t="e">
        <f t="shared" si="421"/>
        <v>#N/A</v>
      </c>
      <c r="D696" t="e">
        <f t="shared" si="421"/>
        <v>#N/A</v>
      </c>
      <c r="E696" t="e">
        <f t="shared" si="421"/>
        <v>#N/A</v>
      </c>
    </row>
    <row r="697" spans="1:6" x14ac:dyDescent="0.25">
      <c r="A697" t="s">
        <v>5</v>
      </c>
      <c r="B697" t="s">
        <v>0</v>
      </c>
      <c r="C697" t="s">
        <v>1</v>
      </c>
      <c r="D697" t="s">
        <v>2</v>
      </c>
      <c r="E697" t="s">
        <v>3</v>
      </c>
      <c r="F697" t="str">
        <f t="shared" si="418"/>
        <v>Partie 175</v>
      </c>
    </row>
    <row r="698" spans="1:6" x14ac:dyDescent="0.25">
      <c r="A698" t="s">
        <v>6</v>
      </c>
      <c r="B698" s="1"/>
      <c r="C698" s="1"/>
      <c r="D698" s="1"/>
      <c r="E698" s="1"/>
      <c r="F698" s="3"/>
    </row>
    <row r="699" spans="1:6" x14ac:dyDescent="0.25">
      <c r="A699" t="s">
        <v>7</v>
      </c>
      <c r="B699" s="1"/>
      <c r="C699" s="1"/>
      <c r="D699" s="1"/>
      <c r="E699" s="1"/>
    </row>
    <row r="700" spans="1:6" x14ac:dyDescent="0.25">
      <c r="A700" t="s">
        <v>8</v>
      </c>
      <c r="B700" t="e">
        <f t="shared" si="421"/>
        <v>#N/A</v>
      </c>
      <c r="C700" t="e">
        <f t="shared" si="421"/>
        <v>#N/A</v>
      </c>
      <c r="D700" t="e">
        <f t="shared" si="421"/>
        <v>#N/A</v>
      </c>
      <c r="E700" t="e">
        <f t="shared" si="421"/>
        <v>#N/A</v>
      </c>
    </row>
    <row r="701" spans="1:6" x14ac:dyDescent="0.25">
      <c r="A701" t="s">
        <v>5</v>
      </c>
      <c r="B701" t="s">
        <v>0</v>
      </c>
      <c r="C701" t="s">
        <v>1</v>
      </c>
      <c r="D701" t="s">
        <v>2</v>
      </c>
      <c r="E701" t="s">
        <v>3</v>
      </c>
      <c r="F701" t="str">
        <f t="shared" si="418"/>
        <v>Partie 176</v>
      </c>
    </row>
    <row r="702" spans="1:6" x14ac:dyDescent="0.25">
      <c r="A702" t="s">
        <v>6</v>
      </c>
      <c r="B702" s="1"/>
      <c r="C702" s="1"/>
      <c r="D702" s="1"/>
      <c r="E702" s="1"/>
      <c r="F702" s="3"/>
    </row>
    <row r="703" spans="1:6" x14ac:dyDescent="0.25">
      <c r="A703" t="s">
        <v>7</v>
      </c>
      <c r="B703" s="1"/>
      <c r="C703" s="1"/>
      <c r="D703" s="1"/>
      <c r="E703" s="1"/>
    </row>
    <row r="704" spans="1:6" x14ac:dyDescent="0.25">
      <c r="A704" t="s">
        <v>8</v>
      </c>
      <c r="B704" t="e">
        <f t="shared" si="421"/>
        <v>#N/A</v>
      </c>
      <c r="C704" t="e">
        <f t="shared" si="421"/>
        <v>#N/A</v>
      </c>
      <c r="D704" t="e">
        <f t="shared" si="421"/>
        <v>#N/A</v>
      </c>
      <c r="E704" t="e">
        <f t="shared" si="421"/>
        <v>#N/A</v>
      </c>
    </row>
    <row r="705" spans="1:6" x14ac:dyDescent="0.25">
      <c r="A705" t="s">
        <v>5</v>
      </c>
      <c r="B705" t="s">
        <v>0</v>
      </c>
      <c r="C705" t="s">
        <v>1</v>
      </c>
      <c r="D705" t="s">
        <v>2</v>
      </c>
      <c r="E705" t="s">
        <v>3</v>
      </c>
      <c r="F705" t="str">
        <f t="shared" si="418"/>
        <v>Partie 177</v>
      </c>
    </row>
    <row r="706" spans="1:6" x14ac:dyDescent="0.25">
      <c r="A706" t="s">
        <v>6</v>
      </c>
      <c r="B706" s="1"/>
      <c r="C706" s="1"/>
      <c r="D706" s="1"/>
      <c r="E706" s="1"/>
      <c r="F706" s="3"/>
    </row>
    <row r="707" spans="1:6" x14ac:dyDescent="0.25">
      <c r="A707" t="s">
        <v>7</v>
      </c>
      <c r="B707" s="1"/>
      <c r="C707" s="1"/>
      <c r="D707" s="1"/>
      <c r="E707" s="1"/>
    </row>
    <row r="708" spans="1:6" x14ac:dyDescent="0.25">
      <c r="A708" t="s">
        <v>8</v>
      </c>
      <c r="B708" t="e">
        <f t="shared" ref="B708:E720" si="422">4-_xlfn.RANK.AVG(B707,$B707:$E707)</f>
        <v>#N/A</v>
      </c>
      <c r="C708" t="e">
        <f t="shared" si="422"/>
        <v>#N/A</v>
      </c>
      <c r="D708" t="e">
        <f t="shared" si="422"/>
        <v>#N/A</v>
      </c>
      <c r="E708" t="e">
        <f t="shared" si="422"/>
        <v>#N/A</v>
      </c>
    </row>
    <row r="709" spans="1:6" x14ac:dyDescent="0.25">
      <c r="A709" t="s">
        <v>5</v>
      </c>
      <c r="B709" t="s">
        <v>0</v>
      </c>
      <c r="C709" t="s">
        <v>1</v>
      </c>
      <c r="D709" t="s">
        <v>2</v>
      </c>
      <c r="E709" t="s">
        <v>3</v>
      </c>
      <c r="F709" t="str">
        <f t="shared" si="418"/>
        <v>Partie 178</v>
      </c>
    </row>
    <row r="710" spans="1:6" x14ac:dyDescent="0.25">
      <c r="A710" t="s">
        <v>6</v>
      </c>
      <c r="B710" s="1"/>
      <c r="C710" s="1"/>
      <c r="D710" s="1"/>
      <c r="E710" s="1"/>
      <c r="F710" s="3"/>
    </row>
    <row r="711" spans="1:6" x14ac:dyDescent="0.25">
      <c r="A711" t="s">
        <v>7</v>
      </c>
      <c r="B711" s="1"/>
      <c r="C711" s="1"/>
      <c r="D711" s="1"/>
      <c r="E711" s="1"/>
    </row>
    <row r="712" spans="1:6" x14ac:dyDescent="0.25">
      <c r="A712" t="s">
        <v>8</v>
      </c>
      <c r="B712" t="e">
        <f t="shared" si="422"/>
        <v>#N/A</v>
      </c>
      <c r="C712" t="e">
        <f t="shared" si="422"/>
        <v>#N/A</v>
      </c>
      <c r="D712" t="e">
        <f t="shared" si="422"/>
        <v>#N/A</v>
      </c>
      <c r="E712" t="e">
        <f t="shared" si="422"/>
        <v>#N/A</v>
      </c>
    </row>
    <row r="713" spans="1:6" x14ac:dyDescent="0.25">
      <c r="A713" t="s">
        <v>5</v>
      </c>
      <c r="B713" t="s">
        <v>0</v>
      </c>
      <c r="C713" t="s">
        <v>1</v>
      </c>
      <c r="D713" t="s">
        <v>2</v>
      </c>
      <c r="E713" t="s">
        <v>3</v>
      </c>
      <c r="F713" t="str">
        <f t="shared" si="418"/>
        <v>Partie 179</v>
      </c>
    </row>
    <row r="714" spans="1:6" x14ac:dyDescent="0.25">
      <c r="A714" t="s">
        <v>6</v>
      </c>
      <c r="B714" s="1"/>
      <c r="C714" s="1"/>
      <c r="D714" s="1"/>
      <c r="E714" s="1"/>
      <c r="F714" s="3"/>
    </row>
    <row r="715" spans="1:6" x14ac:dyDescent="0.25">
      <c r="A715" t="s">
        <v>7</v>
      </c>
      <c r="B715" s="1"/>
      <c r="C715" s="1"/>
      <c r="D715" s="1"/>
      <c r="E715" s="1"/>
    </row>
    <row r="716" spans="1:6" x14ac:dyDescent="0.25">
      <c r="A716" t="s">
        <v>8</v>
      </c>
      <c r="B716" t="e">
        <f t="shared" si="422"/>
        <v>#N/A</v>
      </c>
      <c r="C716" t="e">
        <f t="shared" si="422"/>
        <v>#N/A</v>
      </c>
      <c r="D716" t="e">
        <f t="shared" si="422"/>
        <v>#N/A</v>
      </c>
      <c r="E716" t="e">
        <f t="shared" si="422"/>
        <v>#N/A</v>
      </c>
    </row>
    <row r="717" spans="1:6" x14ac:dyDescent="0.25">
      <c r="A717" t="s">
        <v>5</v>
      </c>
      <c r="B717" t="s">
        <v>0</v>
      </c>
      <c r="C717" t="s">
        <v>1</v>
      </c>
      <c r="D717" t="s">
        <v>2</v>
      </c>
      <c r="E717" t="s">
        <v>3</v>
      </c>
      <c r="F717" t="str">
        <f t="shared" si="418"/>
        <v>Partie 180</v>
      </c>
    </row>
    <row r="718" spans="1:6" x14ac:dyDescent="0.25">
      <c r="A718" t="s">
        <v>6</v>
      </c>
      <c r="B718" s="1"/>
      <c r="C718" s="1"/>
      <c r="D718" s="1"/>
      <c r="E718" s="1"/>
      <c r="F718" s="3"/>
    </row>
    <row r="719" spans="1:6" x14ac:dyDescent="0.25">
      <c r="A719" t="s">
        <v>7</v>
      </c>
      <c r="B719" s="1"/>
      <c r="C719" s="1"/>
      <c r="D719" s="1"/>
      <c r="E719" s="1"/>
    </row>
    <row r="720" spans="1:6" x14ac:dyDescent="0.25">
      <c r="A720" t="s">
        <v>8</v>
      </c>
      <c r="B720" t="e">
        <f t="shared" si="422"/>
        <v>#N/A</v>
      </c>
      <c r="C720" t="e">
        <f t="shared" si="422"/>
        <v>#N/A</v>
      </c>
      <c r="D720" t="e">
        <f t="shared" si="422"/>
        <v>#N/A</v>
      </c>
      <c r="E720" t="e">
        <f t="shared" si="422"/>
        <v>#N/A</v>
      </c>
    </row>
    <row r="721" spans="1:6" x14ac:dyDescent="0.25">
      <c r="A721" t="s">
        <v>5</v>
      </c>
      <c r="B721" t="s">
        <v>0</v>
      </c>
      <c r="C721" t="s">
        <v>1</v>
      </c>
      <c r="D721" t="s">
        <v>2</v>
      </c>
      <c r="E721" t="s">
        <v>3</v>
      </c>
      <c r="F721" t="str">
        <f t="shared" ref="F721:F781" si="423">"Partie " &amp; (ROW()-1)/4+1</f>
        <v>Partie 181</v>
      </c>
    </row>
    <row r="722" spans="1:6" x14ac:dyDescent="0.25">
      <c r="A722" t="s">
        <v>6</v>
      </c>
      <c r="B722" s="1"/>
      <c r="C722" s="1"/>
      <c r="D722" s="1"/>
      <c r="E722" s="1"/>
      <c r="F722" s="3"/>
    </row>
    <row r="723" spans="1:6" x14ac:dyDescent="0.25">
      <c r="A723" t="s">
        <v>7</v>
      </c>
      <c r="B723" s="1"/>
      <c r="C723" s="1"/>
      <c r="D723" s="1"/>
      <c r="E723" s="1"/>
    </row>
    <row r="724" spans="1:6" x14ac:dyDescent="0.25">
      <c r="A724" t="s">
        <v>8</v>
      </c>
      <c r="B724" t="e">
        <f t="shared" ref="B724:E736" si="424">4-_xlfn.RANK.AVG(B723,$B723:$E723)</f>
        <v>#N/A</v>
      </c>
      <c r="C724" t="e">
        <f t="shared" si="424"/>
        <v>#N/A</v>
      </c>
      <c r="D724" t="e">
        <f t="shared" si="424"/>
        <v>#N/A</v>
      </c>
      <c r="E724" t="e">
        <f t="shared" si="424"/>
        <v>#N/A</v>
      </c>
    </row>
    <row r="725" spans="1:6" x14ac:dyDescent="0.25">
      <c r="A725" t="s">
        <v>5</v>
      </c>
      <c r="B725" t="s">
        <v>0</v>
      </c>
      <c r="C725" t="s">
        <v>1</v>
      </c>
      <c r="D725" t="s">
        <v>2</v>
      </c>
      <c r="E725" t="s">
        <v>3</v>
      </c>
      <c r="F725" t="str">
        <f t="shared" si="423"/>
        <v>Partie 182</v>
      </c>
    </row>
    <row r="726" spans="1:6" x14ac:dyDescent="0.25">
      <c r="A726" t="s">
        <v>6</v>
      </c>
      <c r="B726" s="1"/>
      <c r="C726" s="1"/>
      <c r="D726" s="1"/>
      <c r="E726" s="1"/>
      <c r="F726" s="3"/>
    </row>
    <row r="727" spans="1:6" x14ac:dyDescent="0.25">
      <c r="A727" t="s">
        <v>7</v>
      </c>
      <c r="B727" s="1"/>
      <c r="C727" s="1"/>
      <c r="D727" s="1"/>
      <c r="E727" s="1"/>
    </row>
    <row r="728" spans="1:6" x14ac:dyDescent="0.25">
      <c r="A728" t="s">
        <v>8</v>
      </c>
      <c r="B728" t="e">
        <f t="shared" si="424"/>
        <v>#N/A</v>
      </c>
      <c r="C728" t="e">
        <f t="shared" si="424"/>
        <v>#N/A</v>
      </c>
      <c r="D728" t="e">
        <f t="shared" si="424"/>
        <v>#N/A</v>
      </c>
      <c r="E728" t="e">
        <f t="shared" si="424"/>
        <v>#N/A</v>
      </c>
    </row>
    <row r="729" spans="1:6" x14ac:dyDescent="0.25">
      <c r="A729" t="s">
        <v>5</v>
      </c>
      <c r="B729" t="s">
        <v>0</v>
      </c>
      <c r="C729" t="s">
        <v>1</v>
      </c>
      <c r="D729" t="s">
        <v>2</v>
      </c>
      <c r="E729" t="s">
        <v>3</v>
      </c>
      <c r="F729" t="str">
        <f t="shared" si="423"/>
        <v>Partie 183</v>
      </c>
    </row>
    <row r="730" spans="1:6" x14ac:dyDescent="0.25">
      <c r="A730" t="s">
        <v>6</v>
      </c>
      <c r="B730" s="1"/>
      <c r="C730" s="1"/>
      <c r="D730" s="1"/>
      <c r="E730" s="1"/>
      <c r="F730" s="3"/>
    </row>
    <row r="731" spans="1:6" x14ac:dyDescent="0.25">
      <c r="A731" t="s">
        <v>7</v>
      </c>
      <c r="B731" s="1"/>
      <c r="C731" s="1"/>
      <c r="D731" s="1"/>
      <c r="E731" s="1"/>
    </row>
    <row r="732" spans="1:6" x14ac:dyDescent="0.25">
      <c r="A732" t="s">
        <v>8</v>
      </c>
      <c r="B732" t="e">
        <f t="shared" si="424"/>
        <v>#N/A</v>
      </c>
      <c r="C732" t="e">
        <f t="shared" si="424"/>
        <v>#N/A</v>
      </c>
      <c r="D732" t="e">
        <f t="shared" si="424"/>
        <v>#N/A</v>
      </c>
      <c r="E732" t="e">
        <f t="shared" si="424"/>
        <v>#N/A</v>
      </c>
    </row>
    <row r="733" spans="1:6" x14ac:dyDescent="0.25">
      <c r="A733" t="s">
        <v>5</v>
      </c>
      <c r="B733" t="s">
        <v>0</v>
      </c>
      <c r="C733" t="s">
        <v>1</v>
      </c>
      <c r="D733" t="s">
        <v>2</v>
      </c>
      <c r="E733" t="s">
        <v>3</v>
      </c>
      <c r="F733" t="str">
        <f t="shared" si="423"/>
        <v>Partie 184</v>
      </c>
    </row>
    <row r="734" spans="1:6" x14ac:dyDescent="0.25">
      <c r="A734" t="s">
        <v>6</v>
      </c>
      <c r="B734" s="1"/>
      <c r="C734" s="1"/>
      <c r="D734" s="1"/>
      <c r="E734" s="1"/>
      <c r="F734" s="3"/>
    </row>
    <row r="735" spans="1:6" x14ac:dyDescent="0.25">
      <c r="A735" t="s">
        <v>7</v>
      </c>
      <c r="B735" s="1"/>
      <c r="C735" s="1"/>
      <c r="D735" s="1"/>
      <c r="E735" s="1"/>
    </row>
    <row r="736" spans="1:6" x14ac:dyDescent="0.25">
      <c r="A736" t="s">
        <v>8</v>
      </c>
      <c r="B736" t="e">
        <f t="shared" si="424"/>
        <v>#N/A</v>
      </c>
      <c r="C736" t="e">
        <f t="shared" si="424"/>
        <v>#N/A</v>
      </c>
      <c r="D736" t="e">
        <f t="shared" si="424"/>
        <v>#N/A</v>
      </c>
      <c r="E736" t="e">
        <f t="shared" si="424"/>
        <v>#N/A</v>
      </c>
    </row>
    <row r="737" spans="1:6" x14ac:dyDescent="0.25">
      <c r="A737" t="s">
        <v>5</v>
      </c>
      <c r="B737" t="s">
        <v>0</v>
      </c>
      <c r="C737" t="s">
        <v>1</v>
      </c>
      <c r="D737" t="s">
        <v>2</v>
      </c>
      <c r="E737" t="s">
        <v>3</v>
      </c>
      <c r="F737" t="str">
        <f t="shared" si="423"/>
        <v>Partie 185</v>
      </c>
    </row>
    <row r="738" spans="1:6" x14ac:dyDescent="0.25">
      <c r="A738" t="s">
        <v>6</v>
      </c>
      <c r="B738" s="1"/>
      <c r="C738" s="1"/>
      <c r="D738" s="1"/>
      <c r="E738" s="1"/>
      <c r="F738" s="3"/>
    </row>
    <row r="739" spans="1:6" x14ac:dyDescent="0.25">
      <c r="A739" t="s">
        <v>7</v>
      </c>
      <c r="B739" s="1"/>
      <c r="C739" s="1"/>
      <c r="D739" s="1"/>
      <c r="E739" s="1"/>
    </row>
    <row r="740" spans="1:6" x14ac:dyDescent="0.25">
      <c r="A740" t="s">
        <v>8</v>
      </c>
      <c r="B740" t="e">
        <f t="shared" ref="B740:E752" si="425">4-_xlfn.RANK.AVG(B739,$B739:$E739)</f>
        <v>#N/A</v>
      </c>
      <c r="C740" t="e">
        <f t="shared" si="425"/>
        <v>#N/A</v>
      </c>
      <c r="D740" t="e">
        <f t="shared" si="425"/>
        <v>#N/A</v>
      </c>
      <c r="E740" t="e">
        <f t="shared" si="425"/>
        <v>#N/A</v>
      </c>
    </row>
    <row r="741" spans="1:6" x14ac:dyDescent="0.25">
      <c r="A741" t="s">
        <v>5</v>
      </c>
      <c r="B741" t="s">
        <v>0</v>
      </c>
      <c r="C741" t="s">
        <v>1</v>
      </c>
      <c r="D741" t="s">
        <v>2</v>
      </c>
      <c r="E741" t="s">
        <v>3</v>
      </c>
      <c r="F741" t="str">
        <f t="shared" si="423"/>
        <v>Partie 186</v>
      </c>
    </row>
    <row r="742" spans="1:6" x14ac:dyDescent="0.25">
      <c r="A742" t="s">
        <v>6</v>
      </c>
      <c r="B742" s="1"/>
      <c r="C742" s="1"/>
      <c r="D742" s="1"/>
      <c r="E742" s="1"/>
      <c r="F742" s="3"/>
    </row>
    <row r="743" spans="1:6" x14ac:dyDescent="0.25">
      <c r="A743" t="s">
        <v>7</v>
      </c>
      <c r="B743" s="1"/>
      <c r="C743" s="1"/>
      <c r="D743" s="1"/>
      <c r="E743" s="1"/>
    </row>
    <row r="744" spans="1:6" x14ac:dyDescent="0.25">
      <c r="A744" t="s">
        <v>8</v>
      </c>
      <c r="B744" t="e">
        <f t="shared" si="425"/>
        <v>#N/A</v>
      </c>
      <c r="C744" t="e">
        <f t="shared" si="425"/>
        <v>#N/A</v>
      </c>
      <c r="D744" t="e">
        <f t="shared" si="425"/>
        <v>#N/A</v>
      </c>
      <c r="E744" t="e">
        <f t="shared" si="425"/>
        <v>#N/A</v>
      </c>
    </row>
    <row r="745" spans="1:6" x14ac:dyDescent="0.25">
      <c r="A745" t="s">
        <v>5</v>
      </c>
      <c r="B745" t="s">
        <v>0</v>
      </c>
      <c r="C745" t="s">
        <v>1</v>
      </c>
      <c r="D745" t="s">
        <v>2</v>
      </c>
      <c r="E745" t="s">
        <v>3</v>
      </c>
      <c r="F745" t="str">
        <f t="shared" si="423"/>
        <v>Partie 187</v>
      </c>
    </row>
    <row r="746" spans="1:6" x14ac:dyDescent="0.25">
      <c r="A746" t="s">
        <v>6</v>
      </c>
      <c r="B746" s="1"/>
      <c r="C746" s="1"/>
      <c r="D746" s="1"/>
      <c r="E746" s="1"/>
      <c r="F746" s="3"/>
    </row>
    <row r="747" spans="1:6" x14ac:dyDescent="0.25">
      <c r="A747" t="s">
        <v>7</v>
      </c>
      <c r="B747" s="1"/>
      <c r="C747" s="1"/>
      <c r="D747" s="1"/>
      <c r="E747" s="1"/>
    </row>
    <row r="748" spans="1:6" x14ac:dyDescent="0.25">
      <c r="A748" t="s">
        <v>8</v>
      </c>
      <c r="B748" t="e">
        <f t="shared" si="425"/>
        <v>#N/A</v>
      </c>
      <c r="C748" t="e">
        <f t="shared" si="425"/>
        <v>#N/A</v>
      </c>
      <c r="D748" t="e">
        <f t="shared" si="425"/>
        <v>#N/A</v>
      </c>
      <c r="E748" t="e">
        <f t="shared" si="425"/>
        <v>#N/A</v>
      </c>
    </row>
    <row r="749" spans="1:6" x14ac:dyDescent="0.25">
      <c r="A749" t="s">
        <v>5</v>
      </c>
      <c r="B749" t="s">
        <v>0</v>
      </c>
      <c r="C749" t="s">
        <v>1</v>
      </c>
      <c r="D749" t="s">
        <v>2</v>
      </c>
      <c r="E749" t="s">
        <v>3</v>
      </c>
      <c r="F749" t="str">
        <f t="shared" si="423"/>
        <v>Partie 188</v>
      </c>
    </row>
    <row r="750" spans="1:6" x14ac:dyDescent="0.25">
      <c r="A750" t="s">
        <v>6</v>
      </c>
      <c r="B750" s="1"/>
      <c r="C750" s="1"/>
      <c r="D750" s="1"/>
      <c r="E750" s="1"/>
      <c r="F750" s="3"/>
    </row>
    <row r="751" spans="1:6" x14ac:dyDescent="0.25">
      <c r="A751" t="s">
        <v>7</v>
      </c>
      <c r="B751" s="1"/>
      <c r="C751" s="1"/>
      <c r="D751" s="1"/>
      <c r="E751" s="1"/>
    </row>
    <row r="752" spans="1:6" x14ac:dyDescent="0.25">
      <c r="A752" t="s">
        <v>8</v>
      </c>
      <c r="B752" t="e">
        <f t="shared" si="425"/>
        <v>#N/A</v>
      </c>
      <c r="C752" t="e">
        <f t="shared" si="425"/>
        <v>#N/A</v>
      </c>
      <c r="D752" t="e">
        <f t="shared" si="425"/>
        <v>#N/A</v>
      </c>
      <c r="E752" t="e">
        <f t="shared" si="425"/>
        <v>#N/A</v>
      </c>
    </row>
    <row r="753" spans="1:6" x14ac:dyDescent="0.25">
      <c r="A753" t="s">
        <v>5</v>
      </c>
      <c r="B753" t="s">
        <v>0</v>
      </c>
      <c r="C753" t="s">
        <v>1</v>
      </c>
      <c r="D753" t="s">
        <v>2</v>
      </c>
      <c r="E753" t="s">
        <v>3</v>
      </c>
      <c r="F753" t="str">
        <f t="shared" si="423"/>
        <v>Partie 189</v>
      </c>
    </row>
    <row r="754" spans="1:6" x14ac:dyDescent="0.25">
      <c r="A754" t="s">
        <v>6</v>
      </c>
      <c r="B754" s="1"/>
      <c r="C754" s="1"/>
      <c r="D754" s="1"/>
      <c r="E754" s="1"/>
      <c r="F754" s="3"/>
    </row>
    <row r="755" spans="1:6" x14ac:dyDescent="0.25">
      <c r="A755" t="s">
        <v>7</v>
      </c>
      <c r="B755" s="1"/>
      <c r="C755" s="1"/>
      <c r="D755" s="1"/>
      <c r="E755" s="1"/>
    </row>
    <row r="756" spans="1:6" x14ac:dyDescent="0.25">
      <c r="A756" t="s">
        <v>8</v>
      </c>
      <c r="B756" t="e">
        <f t="shared" ref="B756:E768" si="426">4-_xlfn.RANK.AVG(B755,$B755:$E755)</f>
        <v>#N/A</v>
      </c>
      <c r="C756" t="e">
        <f t="shared" si="426"/>
        <v>#N/A</v>
      </c>
      <c r="D756" t="e">
        <f t="shared" si="426"/>
        <v>#N/A</v>
      </c>
      <c r="E756" t="e">
        <f t="shared" si="426"/>
        <v>#N/A</v>
      </c>
    </row>
    <row r="757" spans="1:6" x14ac:dyDescent="0.25">
      <c r="A757" t="s">
        <v>5</v>
      </c>
      <c r="B757" t="s">
        <v>0</v>
      </c>
      <c r="C757" t="s">
        <v>1</v>
      </c>
      <c r="D757" t="s">
        <v>2</v>
      </c>
      <c r="E757" t="s">
        <v>3</v>
      </c>
      <c r="F757" t="str">
        <f t="shared" si="423"/>
        <v>Partie 190</v>
      </c>
    </row>
    <row r="758" spans="1:6" x14ac:dyDescent="0.25">
      <c r="A758" t="s">
        <v>6</v>
      </c>
      <c r="B758" s="1"/>
      <c r="C758" s="1"/>
      <c r="D758" s="1"/>
      <c r="E758" s="1"/>
      <c r="F758" s="3"/>
    </row>
    <row r="759" spans="1:6" x14ac:dyDescent="0.25">
      <c r="A759" t="s">
        <v>7</v>
      </c>
      <c r="B759" s="1"/>
      <c r="C759" s="1"/>
      <c r="D759" s="1"/>
      <c r="E759" s="1"/>
    </row>
    <row r="760" spans="1:6" x14ac:dyDescent="0.25">
      <c r="A760" t="s">
        <v>8</v>
      </c>
      <c r="B760" t="e">
        <f t="shared" si="426"/>
        <v>#N/A</v>
      </c>
      <c r="C760" t="e">
        <f t="shared" si="426"/>
        <v>#N/A</v>
      </c>
      <c r="D760" t="e">
        <f t="shared" si="426"/>
        <v>#N/A</v>
      </c>
      <c r="E760" t="e">
        <f t="shared" si="426"/>
        <v>#N/A</v>
      </c>
    </row>
    <row r="761" spans="1:6" x14ac:dyDescent="0.25">
      <c r="A761" t="s">
        <v>5</v>
      </c>
      <c r="B761" t="s">
        <v>0</v>
      </c>
      <c r="C761" t="s">
        <v>1</v>
      </c>
      <c r="D761" t="s">
        <v>2</v>
      </c>
      <c r="E761" t="s">
        <v>3</v>
      </c>
      <c r="F761" t="str">
        <f t="shared" si="423"/>
        <v>Partie 191</v>
      </c>
    </row>
    <row r="762" spans="1:6" x14ac:dyDescent="0.25">
      <c r="A762" t="s">
        <v>6</v>
      </c>
      <c r="B762" s="1"/>
      <c r="C762" s="1"/>
      <c r="D762" s="1"/>
      <c r="E762" s="1"/>
      <c r="F762" s="3"/>
    </row>
    <row r="763" spans="1:6" x14ac:dyDescent="0.25">
      <c r="A763" t="s">
        <v>7</v>
      </c>
      <c r="B763" s="1"/>
      <c r="C763" s="1"/>
      <c r="D763" s="1"/>
      <c r="E763" s="1"/>
    </row>
    <row r="764" spans="1:6" x14ac:dyDescent="0.25">
      <c r="A764" t="s">
        <v>8</v>
      </c>
      <c r="B764" t="e">
        <f t="shared" si="426"/>
        <v>#N/A</v>
      </c>
      <c r="C764" t="e">
        <f t="shared" si="426"/>
        <v>#N/A</v>
      </c>
      <c r="D764" t="e">
        <f t="shared" si="426"/>
        <v>#N/A</v>
      </c>
      <c r="E764" t="e">
        <f t="shared" si="426"/>
        <v>#N/A</v>
      </c>
    </row>
    <row r="765" spans="1:6" x14ac:dyDescent="0.25">
      <c r="A765" t="s">
        <v>5</v>
      </c>
      <c r="B765" t="s">
        <v>0</v>
      </c>
      <c r="C765" t="s">
        <v>1</v>
      </c>
      <c r="D765" t="s">
        <v>2</v>
      </c>
      <c r="E765" t="s">
        <v>3</v>
      </c>
      <c r="F765" t="str">
        <f t="shared" si="423"/>
        <v>Partie 192</v>
      </c>
    </row>
    <row r="766" spans="1:6" x14ac:dyDescent="0.25">
      <c r="A766" t="s">
        <v>6</v>
      </c>
      <c r="B766" s="1"/>
      <c r="C766" s="1"/>
      <c r="D766" s="1"/>
      <c r="E766" s="1"/>
      <c r="F766" s="3"/>
    </row>
    <row r="767" spans="1:6" x14ac:dyDescent="0.25">
      <c r="A767" t="s">
        <v>7</v>
      </c>
      <c r="B767" s="1"/>
      <c r="C767" s="1"/>
      <c r="D767" s="1"/>
      <c r="E767" s="1"/>
    </row>
    <row r="768" spans="1:6" x14ac:dyDescent="0.25">
      <c r="A768" t="s">
        <v>8</v>
      </c>
      <c r="B768" t="e">
        <f t="shared" si="426"/>
        <v>#N/A</v>
      </c>
      <c r="C768" t="e">
        <f t="shared" si="426"/>
        <v>#N/A</v>
      </c>
      <c r="D768" t="e">
        <f t="shared" si="426"/>
        <v>#N/A</v>
      </c>
      <c r="E768" t="e">
        <f t="shared" si="426"/>
        <v>#N/A</v>
      </c>
    </row>
    <row r="769" spans="1:6" x14ac:dyDescent="0.25">
      <c r="A769" t="s">
        <v>5</v>
      </c>
      <c r="B769" t="s">
        <v>0</v>
      </c>
      <c r="C769" t="s">
        <v>1</v>
      </c>
      <c r="D769" t="s">
        <v>2</v>
      </c>
      <c r="E769" t="s">
        <v>3</v>
      </c>
      <c r="F769" t="str">
        <f t="shared" si="423"/>
        <v>Partie 193</v>
      </c>
    </row>
    <row r="770" spans="1:6" x14ac:dyDescent="0.25">
      <c r="A770" t="s">
        <v>6</v>
      </c>
      <c r="B770" s="1"/>
      <c r="C770" s="1"/>
      <c r="D770" s="1"/>
      <c r="E770" s="1"/>
      <c r="F770" s="3"/>
    </row>
    <row r="771" spans="1:6" x14ac:dyDescent="0.25">
      <c r="A771" t="s">
        <v>7</v>
      </c>
      <c r="B771" s="1"/>
      <c r="C771" s="1"/>
      <c r="D771" s="1"/>
      <c r="E771" s="1"/>
    </row>
    <row r="772" spans="1:6" x14ac:dyDescent="0.25">
      <c r="A772" t="s">
        <v>8</v>
      </c>
      <c r="B772" t="e">
        <f t="shared" ref="B772:E784" si="427">4-_xlfn.RANK.AVG(B771,$B771:$E771)</f>
        <v>#N/A</v>
      </c>
      <c r="C772" t="e">
        <f t="shared" si="427"/>
        <v>#N/A</v>
      </c>
      <c r="D772" t="e">
        <f t="shared" si="427"/>
        <v>#N/A</v>
      </c>
      <c r="E772" t="e">
        <f t="shared" si="427"/>
        <v>#N/A</v>
      </c>
    </row>
    <row r="773" spans="1:6" x14ac:dyDescent="0.25">
      <c r="A773" t="s">
        <v>5</v>
      </c>
      <c r="B773" t="s">
        <v>0</v>
      </c>
      <c r="C773" t="s">
        <v>1</v>
      </c>
      <c r="D773" t="s">
        <v>2</v>
      </c>
      <c r="E773" t="s">
        <v>3</v>
      </c>
      <c r="F773" t="str">
        <f t="shared" si="423"/>
        <v>Partie 194</v>
      </c>
    </row>
    <row r="774" spans="1:6" x14ac:dyDescent="0.25">
      <c r="A774" t="s">
        <v>6</v>
      </c>
      <c r="B774" s="1"/>
      <c r="C774" s="1"/>
      <c r="D774" s="1"/>
      <c r="E774" s="1"/>
      <c r="F774" s="3"/>
    </row>
    <row r="775" spans="1:6" x14ac:dyDescent="0.25">
      <c r="A775" t="s">
        <v>7</v>
      </c>
      <c r="B775" s="1"/>
      <c r="C775" s="1"/>
      <c r="D775" s="1"/>
      <c r="E775" s="1"/>
    </row>
    <row r="776" spans="1:6" x14ac:dyDescent="0.25">
      <c r="A776" t="s">
        <v>8</v>
      </c>
      <c r="B776" t="e">
        <f t="shared" si="427"/>
        <v>#N/A</v>
      </c>
      <c r="C776" t="e">
        <f t="shared" si="427"/>
        <v>#N/A</v>
      </c>
      <c r="D776" t="e">
        <f t="shared" si="427"/>
        <v>#N/A</v>
      </c>
      <c r="E776" t="e">
        <f t="shared" si="427"/>
        <v>#N/A</v>
      </c>
    </row>
    <row r="777" spans="1:6" x14ac:dyDescent="0.25">
      <c r="A777" t="s">
        <v>5</v>
      </c>
      <c r="B777" t="s">
        <v>0</v>
      </c>
      <c r="C777" t="s">
        <v>1</v>
      </c>
      <c r="D777" t="s">
        <v>2</v>
      </c>
      <c r="E777" t="s">
        <v>3</v>
      </c>
      <c r="F777" t="str">
        <f t="shared" si="423"/>
        <v>Partie 195</v>
      </c>
    </row>
    <row r="778" spans="1:6" x14ac:dyDescent="0.25">
      <c r="A778" t="s">
        <v>6</v>
      </c>
      <c r="B778" s="1"/>
      <c r="C778" s="1"/>
      <c r="D778" s="1"/>
      <c r="E778" s="1"/>
      <c r="F778" s="3"/>
    </row>
    <row r="779" spans="1:6" x14ac:dyDescent="0.25">
      <c r="A779" t="s">
        <v>7</v>
      </c>
      <c r="B779" s="1"/>
      <c r="C779" s="1"/>
      <c r="D779" s="1"/>
      <c r="E779" s="1"/>
    </row>
    <row r="780" spans="1:6" x14ac:dyDescent="0.25">
      <c r="A780" t="s">
        <v>8</v>
      </c>
      <c r="B780" t="e">
        <f t="shared" si="427"/>
        <v>#N/A</v>
      </c>
      <c r="C780" t="e">
        <f t="shared" si="427"/>
        <v>#N/A</v>
      </c>
      <c r="D780" t="e">
        <f t="shared" si="427"/>
        <v>#N/A</v>
      </c>
      <c r="E780" t="e">
        <f t="shared" si="427"/>
        <v>#N/A</v>
      </c>
    </row>
    <row r="781" spans="1:6" x14ac:dyDescent="0.25">
      <c r="A781" t="s">
        <v>5</v>
      </c>
      <c r="B781" t="s">
        <v>0</v>
      </c>
      <c r="C781" t="s">
        <v>1</v>
      </c>
      <c r="D781" t="s">
        <v>2</v>
      </c>
      <c r="E781" t="s">
        <v>3</v>
      </c>
      <c r="F781" t="str">
        <f t="shared" si="423"/>
        <v>Partie 196</v>
      </c>
    </row>
    <row r="782" spans="1:6" x14ac:dyDescent="0.25">
      <c r="A782" t="s">
        <v>6</v>
      </c>
      <c r="B782" s="1"/>
      <c r="C782" s="1"/>
      <c r="D782" s="1"/>
      <c r="E782" s="1"/>
      <c r="F782" s="3"/>
    </row>
    <row r="783" spans="1:6" x14ac:dyDescent="0.25">
      <c r="A783" t="s">
        <v>7</v>
      </c>
      <c r="B783" s="1"/>
      <c r="C783" s="1"/>
      <c r="D783" s="1"/>
      <c r="E783" s="1"/>
    </row>
    <row r="784" spans="1:6" x14ac:dyDescent="0.25">
      <c r="A784" t="s">
        <v>8</v>
      </c>
      <c r="B784" t="e">
        <f t="shared" si="427"/>
        <v>#N/A</v>
      </c>
      <c r="C784" t="e">
        <f t="shared" si="427"/>
        <v>#N/A</v>
      </c>
      <c r="D784" t="e">
        <f t="shared" si="427"/>
        <v>#N/A</v>
      </c>
      <c r="E784" t="e">
        <f t="shared" si="427"/>
        <v>#N/A</v>
      </c>
    </row>
    <row r="785" spans="1:6" x14ac:dyDescent="0.25">
      <c r="A785" t="s">
        <v>5</v>
      </c>
      <c r="B785" t="s">
        <v>0</v>
      </c>
      <c r="C785" t="s">
        <v>1</v>
      </c>
      <c r="D785" t="s">
        <v>2</v>
      </c>
      <c r="E785" t="s">
        <v>3</v>
      </c>
      <c r="F785" t="str">
        <f t="shared" ref="F785:F797" si="428">"Partie " &amp; (ROW()-1)/4+1</f>
        <v>Partie 197</v>
      </c>
    </row>
    <row r="786" spans="1:6" x14ac:dyDescent="0.25">
      <c r="A786" t="s">
        <v>6</v>
      </c>
      <c r="B786" s="1"/>
      <c r="C786" s="1"/>
      <c r="D786" s="1"/>
      <c r="E786" s="1"/>
      <c r="F786" s="3"/>
    </row>
    <row r="787" spans="1:6" x14ac:dyDescent="0.25">
      <c r="A787" t="s">
        <v>7</v>
      </c>
      <c r="B787" s="1"/>
      <c r="C787" s="1"/>
      <c r="D787" s="1"/>
      <c r="E787" s="1"/>
    </row>
    <row r="788" spans="1:6" x14ac:dyDescent="0.25">
      <c r="A788" t="s">
        <v>8</v>
      </c>
      <c r="B788" t="e">
        <f t="shared" ref="B788:E800" si="429">4-_xlfn.RANK.AVG(B787,$B787:$E787)</f>
        <v>#N/A</v>
      </c>
      <c r="C788" t="e">
        <f t="shared" si="429"/>
        <v>#N/A</v>
      </c>
      <c r="D788" t="e">
        <f t="shared" si="429"/>
        <v>#N/A</v>
      </c>
      <c r="E788" t="e">
        <f t="shared" si="429"/>
        <v>#N/A</v>
      </c>
    </row>
    <row r="789" spans="1:6" x14ac:dyDescent="0.25">
      <c r="A789" t="s">
        <v>5</v>
      </c>
      <c r="B789" t="s">
        <v>0</v>
      </c>
      <c r="C789" t="s">
        <v>1</v>
      </c>
      <c r="D789" t="s">
        <v>2</v>
      </c>
      <c r="E789" t="s">
        <v>3</v>
      </c>
      <c r="F789" t="str">
        <f t="shared" si="428"/>
        <v>Partie 198</v>
      </c>
    </row>
    <row r="790" spans="1:6" x14ac:dyDescent="0.25">
      <c r="A790" t="s">
        <v>6</v>
      </c>
      <c r="B790" s="1"/>
      <c r="C790" s="1"/>
      <c r="D790" s="1"/>
      <c r="E790" s="1"/>
      <c r="F790" s="3"/>
    </row>
    <row r="791" spans="1:6" x14ac:dyDescent="0.25">
      <c r="A791" t="s">
        <v>7</v>
      </c>
      <c r="B791" s="1"/>
      <c r="C791" s="1"/>
      <c r="D791" s="1"/>
      <c r="E791" s="1"/>
    </row>
    <row r="792" spans="1:6" x14ac:dyDescent="0.25">
      <c r="A792" t="s">
        <v>8</v>
      </c>
      <c r="B792" t="e">
        <f t="shared" si="429"/>
        <v>#N/A</v>
      </c>
      <c r="C792" t="e">
        <f t="shared" si="429"/>
        <v>#N/A</v>
      </c>
      <c r="D792" t="e">
        <f t="shared" si="429"/>
        <v>#N/A</v>
      </c>
      <c r="E792" t="e">
        <f t="shared" si="429"/>
        <v>#N/A</v>
      </c>
    </row>
    <row r="793" spans="1:6" x14ac:dyDescent="0.25">
      <c r="A793" t="s">
        <v>5</v>
      </c>
      <c r="B793" t="s">
        <v>0</v>
      </c>
      <c r="C793" t="s">
        <v>1</v>
      </c>
      <c r="D793" t="s">
        <v>2</v>
      </c>
      <c r="E793" t="s">
        <v>3</v>
      </c>
      <c r="F793" t="str">
        <f t="shared" si="428"/>
        <v>Partie 199</v>
      </c>
    </row>
    <row r="794" spans="1:6" x14ac:dyDescent="0.25">
      <c r="A794" t="s">
        <v>6</v>
      </c>
      <c r="B794" s="1"/>
      <c r="C794" s="1"/>
      <c r="D794" s="1"/>
      <c r="E794" s="1"/>
      <c r="F794" s="3"/>
    </row>
    <row r="795" spans="1:6" x14ac:dyDescent="0.25">
      <c r="A795" t="s">
        <v>7</v>
      </c>
      <c r="B795" s="1"/>
      <c r="C795" s="1"/>
      <c r="D795" s="1"/>
      <c r="E795" s="1"/>
    </row>
    <row r="796" spans="1:6" x14ac:dyDescent="0.25">
      <c r="A796" t="s">
        <v>8</v>
      </c>
      <c r="B796" t="e">
        <f t="shared" si="429"/>
        <v>#N/A</v>
      </c>
      <c r="C796" t="e">
        <f t="shared" si="429"/>
        <v>#N/A</v>
      </c>
      <c r="D796" t="e">
        <f t="shared" si="429"/>
        <v>#N/A</v>
      </c>
      <c r="E796" t="e">
        <f t="shared" si="429"/>
        <v>#N/A</v>
      </c>
    </row>
    <row r="797" spans="1:6" x14ac:dyDescent="0.25">
      <c r="A797" t="s">
        <v>5</v>
      </c>
      <c r="B797" t="s">
        <v>0</v>
      </c>
      <c r="C797" t="s">
        <v>1</v>
      </c>
      <c r="D797" t="s">
        <v>2</v>
      </c>
      <c r="E797" t="s">
        <v>3</v>
      </c>
      <c r="F797" t="str">
        <f t="shared" si="428"/>
        <v>Partie 200</v>
      </c>
    </row>
    <row r="798" spans="1:6" x14ac:dyDescent="0.25">
      <c r="A798" t="s">
        <v>6</v>
      </c>
      <c r="B798" s="1"/>
      <c r="C798" s="1"/>
      <c r="D798" s="1"/>
      <c r="E798" s="1"/>
      <c r="F798" s="3"/>
    </row>
    <row r="799" spans="1:6" x14ac:dyDescent="0.25">
      <c r="A799" t="s">
        <v>7</v>
      </c>
      <c r="B799" s="1"/>
      <c r="C799" s="1"/>
      <c r="D799" s="1"/>
      <c r="E799" s="1"/>
    </row>
    <row r="800" spans="1:6" x14ac:dyDescent="0.25">
      <c r="A800" t="s">
        <v>8</v>
      </c>
      <c r="B800" t="e">
        <f t="shared" si="429"/>
        <v>#N/A</v>
      </c>
      <c r="C800" t="e">
        <f t="shared" si="429"/>
        <v>#N/A</v>
      </c>
      <c r="D800" t="e">
        <f t="shared" si="429"/>
        <v>#N/A</v>
      </c>
      <c r="E800" t="e">
        <f t="shared" si="429"/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4D75D-F265-44DA-A082-29F9798CC147}">
  <dimension ref="A1:K800"/>
  <sheetViews>
    <sheetView tabSelected="1" topLeftCell="A188" workbookViewId="0">
      <selection activeCell="F211" sqref="F211"/>
    </sheetView>
  </sheetViews>
  <sheetFormatPr baseColWidth="10" defaultRowHeight="15" x14ac:dyDescent="0.25"/>
  <cols>
    <col min="1" max="1" width="12.7109375" bestFit="1" customWidth="1"/>
    <col min="5" max="5" width="11.42578125" customWidth="1"/>
    <col min="6" max="6" width="15.42578125" bestFit="1" customWidth="1"/>
    <col min="8" max="8" width="7.42578125" customWidth="1"/>
    <col min="9" max="9" width="18.28515625" bestFit="1" customWidth="1"/>
    <col min="10" max="10" width="8.28515625" customWidth="1"/>
    <col min="11" max="11" width="18.28515625" bestFit="1" customWidth="1"/>
  </cols>
  <sheetData>
    <row r="1" spans="1:11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tr">
        <f>Donnees!F1</f>
        <v>Partie 1</v>
      </c>
      <c r="H1" t="s">
        <v>10</v>
      </c>
      <c r="I1" t="str">
        <f>_xlfn.TEXTJOIN(";",TRUE,B2:E3)</f>
        <v>Isabelle;Marc;Guilhem;Christophe;59;-58;146;-147</v>
      </c>
    </row>
    <row r="2" spans="1:11" x14ac:dyDescent="0.25">
      <c r="A2" t="s">
        <v>6</v>
      </c>
      <c r="B2" s="1" t="s">
        <v>37</v>
      </c>
      <c r="C2" s="1" t="s">
        <v>38</v>
      </c>
      <c r="D2" s="1" t="s">
        <v>39</v>
      </c>
      <c r="E2" s="1" t="s">
        <v>40</v>
      </c>
      <c r="F2" s="3">
        <v>45903.589861111112</v>
      </c>
      <c r="H2" t="s">
        <v>9</v>
      </c>
      <c r="I2" t="str" cm="1">
        <f t="array" ref="I2">IF(AND(Donnees!B1:F4=Check!B1:F4),"Identique","PAS IDENTIQUE")</f>
        <v>Identique</v>
      </c>
      <c r="J2" t="s">
        <v>32</v>
      </c>
      <c r="K2" t="str" cm="1">
        <f t="array" ref="K2">IF(MAX(COUNTIF(B2:E2,B2:E2)) &gt; 1, "JOUEUR EN DOUBLE", "Pas de doublons")</f>
        <v>Pas de doublons</v>
      </c>
    </row>
    <row r="3" spans="1:11" x14ac:dyDescent="0.25">
      <c r="A3" t="s">
        <v>7</v>
      </c>
      <c r="B3" s="1">
        <v>59</v>
      </c>
      <c r="C3" s="1">
        <v>-58</v>
      </c>
      <c r="D3" s="1">
        <v>146</v>
      </c>
      <c r="E3" s="1">
        <v>-147</v>
      </c>
      <c r="H3" t="s">
        <v>33</v>
      </c>
      <c r="I3" t="str">
        <f>IF(COUNTIF(I$1:I2,I1)&gt;1,"DOUBLON LIGNE " &amp; MATCH(I1,I$1:I2,0),"Pas de doublons")</f>
        <v>Pas de doublons</v>
      </c>
      <c r="J3" t="s">
        <v>34</v>
      </c>
      <c r="K3" t="str" cm="1">
        <f t="array" ref="K3">IF(SUM(--(NOT(ISNUMBER(MATCH(B2:E2,'EMA points'!A:A,0))))) &gt; 0, "NOM INEXISTANT", "Noms ok")</f>
        <v>Noms ok</v>
      </c>
    </row>
    <row r="4" spans="1:11" x14ac:dyDescent="0.25">
      <c r="A4" t="s">
        <v>8</v>
      </c>
      <c r="B4">
        <f>Donnees!B4</f>
        <v>2</v>
      </c>
      <c r="C4">
        <f>Donnees!C4</f>
        <v>1</v>
      </c>
      <c r="D4">
        <f>Donnees!D4</f>
        <v>3</v>
      </c>
      <c r="E4">
        <f>Donnees!E4</f>
        <v>0</v>
      </c>
      <c r="H4" t="s">
        <v>11</v>
      </c>
      <c r="I4" t="str">
        <f>IF(SUM(B3:E3)=0, "Score ok", "SOMME NON NULLE")</f>
        <v>Score ok</v>
      </c>
    </row>
    <row r="5" spans="1:11" x14ac:dyDescent="0.25">
      <c r="A5" t="s">
        <v>5</v>
      </c>
      <c r="B5" t="s">
        <v>0</v>
      </c>
      <c r="C5" t="s">
        <v>1</v>
      </c>
      <c r="D5" t="s">
        <v>2</v>
      </c>
      <c r="E5" t="s">
        <v>3</v>
      </c>
      <c r="F5" t="str">
        <f>Donnees!F5</f>
        <v>Partie 2</v>
      </c>
      <c r="H5" t="s">
        <v>10</v>
      </c>
      <c r="I5" t="str">
        <f t="shared" ref="I5" si="0">_xlfn.TEXTJOIN(";",TRUE,B6:E7)</f>
        <v>Christophe;Marc;Guilhem;Isabelle;131;-27;-17;-87</v>
      </c>
    </row>
    <row r="6" spans="1:11" x14ac:dyDescent="0.25">
      <c r="A6" t="s">
        <v>6</v>
      </c>
      <c r="B6" s="1" t="s">
        <v>40</v>
      </c>
      <c r="C6" s="1" t="s">
        <v>38</v>
      </c>
      <c r="D6" s="1" t="s">
        <v>39</v>
      </c>
      <c r="E6" s="1" t="s">
        <v>37</v>
      </c>
      <c r="F6" s="3">
        <v>45903.68005787037</v>
      </c>
      <c r="H6" t="s">
        <v>9</v>
      </c>
      <c r="I6" t="str" cm="1">
        <f t="array" ref="I6">IF(AND(Donnees!B5:F8=Check!B5:F8),"Identique","PAS IDENTIQUE")</f>
        <v>Identique</v>
      </c>
      <c r="J6" t="s">
        <v>32</v>
      </c>
      <c r="K6" t="str" cm="1">
        <f t="array" ref="K6">IF(MAX(COUNTIF(B6:E6,B6:E6)) &gt; 1, "JOUEUR EN DOUBLE", "Pas de doublons")</f>
        <v>Pas de doublons</v>
      </c>
    </row>
    <row r="7" spans="1:11" x14ac:dyDescent="0.25">
      <c r="A7" t="s">
        <v>7</v>
      </c>
      <c r="B7" s="1">
        <v>131</v>
      </c>
      <c r="C7" s="1">
        <v>-27</v>
      </c>
      <c r="D7" s="1">
        <v>-17</v>
      </c>
      <c r="E7" s="1">
        <v>-87</v>
      </c>
      <c r="H7" t="s">
        <v>33</v>
      </c>
      <c r="I7" t="str">
        <f>IF(COUNTIF(I$1:I6,I5)&gt;1,"DOUBLON LIGNE " &amp; MATCH(I5,I$1:I6,0),"Pas de doublons")</f>
        <v>Pas de doublons</v>
      </c>
      <c r="J7" t="s">
        <v>34</v>
      </c>
      <c r="K7" t="str" cm="1">
        <f t="array" ref="K7">IF(SUM(--(NOT(ISNUMBER(MATCH(B6:E6,'EMA points'!A:A,0))))) &gt; 0, "NOM INEXISTANT", "Noms ok")</f>
        <v>Noms ok</v>
      </c>
    </row>
    <row r="8" spans="1:11" x14ac:dyDescent="0.25">
      <c r="A8" t="s">
        <v>8</v>
      </c>
      <c r="B8">
        <f>Donnees!B8</f>
        <v>3</v>
      </c>
      <c r="C8">
        <f>Donnees!C8</f>
        <v>1</v>
      </c>
      <c r="D8">
        <f>Donnees!D8</f>
        <v>2</v>
      </c>
      <c r="E8">
        <f>Donnees!E8</f>
        <v>0</v>
      </c>
      <c r="H8" t="s">
        <v>11</v>
      </c>
      <c r="I8" t="str">
        <f t="shared" ref="I8" si="1">IF(SUM(B7:E7)=0, "Score ok", "SOMME NON NULLE")</f>
        <v>Score ok</v>
      </c>
    </row>
    <row r="9" spans="1:11" x14ac:dyDescent="0.25">
      <c r="A9" t="s">
        <v>5</v>
      </c>
      <c r="B9" t="s">
        <v>0</v>
      </c>
      <c r="C9" t="s">
        <v>1</v>
      </c>
      <c r="D9" t="s">
        <v>2</v>
      </c>
      <c r="E9" t="s">
        <v>3</v>
      </c>
      <c r="F9" t="str">
        <f>Donnees!F9</f>
        <v>Partie 3</v>
      </c>
      <c r="H9" t="s">
        <v>10</v>
      </c>
      <c r="I9" t="str">
        <f t="shared" ref="I9" si="2">_xlfn.TEXTJOIN(";",TRUE,B10:E11)</f>
        <v>Raphael;Marc;Guilhem;Christophe;-45;-200;63;182</v>
      </c>
    </row>
    <row r="10" spans="1:11" x14ac:dyDescent="0.25">
      <c r="A10" t="s">
        <v>6</v>
      </c>
      <c r="B10" s="1" t="s">
        <v>41</v>
      </c>
      <c r="C10" s="1" t="s">
        <v>38</v>
      </c>
      <c r="D10" s="1" t="s">
        <v>39</v>
      </c>
      <c r="E10" s="1" t="s">
        <v>40</v>
      </c>
      <c r="F10" s="3">
        <v>45904.60833333333</v>
      </c>
      <c r="H10" t="s">
        <v>9</v>
      </c>
      <c r="I10" t="str" cm="1">
        <f t="array" ref="I10">IF(AND(Donnees!B9:F12=Check!B9:F12),"Identique","PAS IDENTIQUE")</f>
        <v>Identique</v>
      </c>
      <c r="J10" t="s">
        <v>32</v>
      </c>
      <c r="K10" t="str" cm="1">
        <f t="array" ref="K10">IF(MAX(COUNTIF(B10:E10,B10:E10)) &gt; 1, "JOUEUR EN DOUBLE", "Pas de doublons")</f>
        <v>Pas de doublons</v>
      </c>
    </row>
    <row r="11" spans="1:11" x14ac:dyDescent="0.25">
      <c r="A11" t="s">
        <v>7</v>
      </c>
      <c r="B11" s="1">
        <v>-45</v>
      </c>
      <c r="C11" s="1">
        <v>-200</v>
      </c>
      <c r="D11" s="1">
        <v>63</v>
      </c>
      <c r="E11" s="1">
        <v>182</v>
      </c>
      <c r="H11" t="s">
        <v>33</v>
      </c>
      <c r="I11" t="str">
        <f>IF(COUNTIF(I$1:I10,I9)&gt;1,"DOUBLON LIGNE " &amp; MATCH(I9,I$1:I10,0),"Pas de doublons")</f>
        <v>Pas de doublons</v>
      </c>
      <c r="J11" t="s">
        <v>34</v>
      </c>
      <c r="K11" t="str" cm="1">
        <f t="array" ref="K11">IF(SUM(--(NOT(ISNUMBER(MATCH(B10:E10,'EMA points'!A:A,0))))) &gt; 0, "NOM INEXISTANT", "Noms ok")</f>
        <v>Noms ok</v>
      </c>
    </row>
    <row r="12" spans="1:11" x14ac:dyDescent="0.25">
      <c r="A12" t="s">
        <v>8</v>
      </c>
      <c r="B12">
        <f>Donnees!B12</f>
        <v>1</v>
      </c>
      <c r="C12">
        <f>Donnees!C12</f>
        <v>0</v>
      </c>
      <c r="D12">
        <f>Donnees!D12</f>
        <v>2</v>
      </c>
      <c r="E12">
        <f>Donnees!E12</f>
        <v>3</v>
      </c>
      <c r="H12" t="s">
        <v>11</v>
      </c>
      <c r="I12" t="str">
        <f t="shared" ref="I12" si="3">IF(SUM(B11:E11)=0, "Score ok", "SOMME NON NULLE")</f>
        <v>Score ok</v>
      </c>
    </row>
    <row r="13" spans="1:11" x14ac:dyDescent="0.25">
      <c r="A13" t="s">
        <v>5</v>
      </c>
      <c r="B13" t="s">
        <v>0</v>
      </c>
      <c r="C13" t="s">
        <v>1</v>
      </c>
      <c r="D13" t="s">
        <v>2</v>
      </c>
      <c r="E13" t="s">
        <v>3</v>
      </c>
      <c r="F13" t="str">
        <f>Donnees!F13</f>
        <v>Partie 4</v>
      </c>
      <c r="H13" t="s">
        <v>10</v>
      </c>
      <c r="I13" t="str">
        <f t="shared" ref="I13" si="4">_xlfn.TEXTJOIN(";",TRUE,B14:E15)</f>
        <v>Christophe;Marc;Raphael;Guilhem;-67;35;-99;131</v>
      </c>
    </row>
    <row r="14" spans="1:11" x14ac:dyDescent="0.25">
      <c r="A14" t="s">
        <v>6</v>
      </c>
      <c r="B14" s="1" t="s">
        <v>40</v>
      </c>
      <c r="C14" s="1" t="s">
        <v>38</v>
      </c>
      <c r="D14" s="1" t="s">
        <v>41</v>
      </c>
      <c r="E14" s="1" t="s">
        <v>39</v>
      </c>
      <c r="F14" s="3">
        <v>45904.69321759259</v>
      </c>
      <c r="H14" t="s">
        <v>9</v>
      </c>
      <c r="I14" t="str" cm="1">
        <f t="array" ref="I14">IF(AND(Donnees!B13:F16=Check!B13:F16),"Identique","PAS IDENTIQUE")</f>
        <v>Identique</v>
      </c>
      <c r="J14" t="s">
        <v>32</v>
      </c>
      <c r="K14" t="str" cm="1">
        <f t="array" ref="K14">IF(MAX(COUNTIF(B14:E14,B14:E14)) &gt; 1, "JOUEUR EN DOUBLE", "Pas de doublons")</f>
        <v>Pas de doublons</v>
      </c>
    </row>
    <row r="15" spans="1:11" x14ac:dyDescent="0.25">
      <c r="A15" t="s">
        <v>7</v>
      </c>
      <c r="B15" s="1">
        <v>-67</v>
      </c>
      <c r="C15" s="1">
        <v>35</v>
      </c>
      <c r="D15" s="1">
        <v>-99</v>
      </c>
      <c r="E15" s="1">
        <v>131</v>
      </c>
      <c r="H15" t="s">
        <v>33</v>
      </c>
      <c r="I15" t="str">
        <f>IF(COUNTIF(I$1:I14,I13)&gt;1,"DOUBLON LIGNE " &amp; MATCH(I13,I$1:I14,0),"Pas de doublons")</f>
        <v>Pas de doublons</v>
      </c>
      <c r="J15" t="s">
        <v>34</v>
      </c>
      <c r="K15" t="str" cm="1">
        <f t="array" ref="K15">IF(SUM(--(NOT(ISNUMBER(MATCH(B14:E14,'EMA points'!A:A,0))))) &gt; 0, "NOM INEXISTANT", "Noms ok")</f>
        <v>Noms ok</v>
      </c>
    </row>
    <row r="16" spans="1:11" x14ac:dyDescent="0.25">
      <c r="A16" t="s">
        <v>8</v>
      </c>
      <c r="B16">
        <f>Donnees!B16</f>
        <v>1</v>
      </c>
      <c r="C16">
        <f>Donnees!C16</f>
        <v>2</v>
      </c>
      <c r="D16">
        <f>Donnees!D16</f>
        <v>0</v>
      </c>
      <c r="E16">
        <f>Donnees!E16</f>
        <v>3</v>
      </c>
      <c r="H16" t="s">
        <v>11</v>
      </c>
      <c r="I16" t="str">
        <f t="shared" ref="I16" si="5">IF(SUM(B15:E15)=0, "Score ok", "SOMME NON NULLE")</f>
        <v>Score ok</v>
      </c>
    </row>
    <row r="17" spans="1:11" x14ac:dyDescent="0.25">
      <c r="A17" t="s">
        <v>5</v>
      </c>
      <c r="B17" t="s">
        <v>0</v>
      </c>
      <c r="C17" t="s">
        <v>1</v>
      </c>
      <c r="D17" t="s">
        <v>2</v>
      </c>
      <c r="E17" t="s">
        <v>3</v>
      </c>
      <c r="F17" t="str">
        <f>Donnees!F17</f>
        <v>Partie 5</v>
      </c>
      <c r="H17" t="s">
        <v>10</v>
      </c>
      <c r="I17" t="str">
        <f t="shared" ref="I17" si="6">_xlfn.TEXTJOIN(";",TRUE,B18:E19)</f>
        <v>Delphine;Isabelle;Mathieu;Ghislaine;30;66;-84;-12</v>
      </c>
    </row>
    <row r="18" spans="1:11" x14ac:dyDescent="0.25">
      <c r="A18" t="s">
        <v>6</v>
      </c>
      <c r="B18" s="1" t="s">
        <v>42</v>
      </c>
      <c r="C18" s="1" t="s">
        <v>37</v>
      </c>
      <c r="D18" s="1" t="s">
        <v>62</v>
      </c>
      <c r="E18" s="1" t="s">
        <v>43</v>
      </c>
      <c r="F18" s="3">
        <v>45906.588425925926</v>
      </c>
      <c r="H18" t="s">
        <v>9</v>
      </c>
      <c r="I18" t="str" cm="1">
        <f t="array" ref="I18">IF(AND(Donnees!B17:F20=Check!B17:F20),"Identique","PAS IDENTIQUE")</f>
        <v>Identique</v>
      </c>
      <c r="J18" t="s">
        <v>32</v>
      </c>
      <c r="K18" t="str" cm="1">
        <f t="array" ref="K18">IF(MAX(COUNTIF(B18:E18,B18:E18)) &gt; 1, "JOUEUR EN DOUBLE", "Pas de doublons")</f>
        <v>Pas de doublons</v>
      </c>
    </row>
    <row r="19" spans="1:11" x14ac:dyDescent="0.25">
      <c r="A19" t="s">
        <v>7</v>
      </c>
      <c r="B19" s="1">
        <v>30</v>
      </c>
      <c r="C19" s="1">
        <v>66</v>
      </c>
      <c r="D19" s="1">
        <v>-84</v>
      </c>
      <c r="E19" s="1">
        <v>-12</v>
      </c>
      <c r="H19" t="s">
        <v>33</v>
      </c>
      <c r="I19" t="str">
        <f>IF(COUNTIF(I$1:I18,I17)&gt;1,"DOUBLON LIGNE " &amp; MATCH(I17,I$1:I18,0),"Pas de doublons")</f>
        <v>Pas de doublons</v>
      </c>
      <c r="J19" t="s">
        <v>34</v>
      </c>
      <c r="K19" t="str" cm="1">
        <f t="array" ref="K19">IF(SUM(--(NOT(ISNUMBER(MATCH(B18:E18,'EMA points'!A:A,0))))) &gt; 0, "NOM INEXISTANT", "Noms ok")</f>
        <v>Noms ok</v>
      </c>
    </row>
    <row r="20" spans="1:11" x14ac:dyDescent="0.25">
      <c r="A20" t="s">
        <v>8</v>
      </c>
      <c r="B20">
        <f>Donnees!B20</f>
        <v>2</v>
      </c>
      <c r="C20">
        <f>Donnees!C20</f>
        <v>3</v>
      </c>
      <c r="D20">
        <f>Donnees!D20</f>
        <v>0</v>
      </c>
      <c r="E20">
        <f>Donnees!E20</f>
        <v>1</v>
      </c>
      <c r="H20" t="s">
        <v>11</v>
      </c>
      <c r="I20" t="str">
        <f t="shared" ref="I20" si="7">IF(SUM(B19:E19)=0, "Score ok", "SOMME NON NULLE")</f>
        <v>Score ok</v>
      </c>
    </row>
    <row r="21" spans="1:11" x14ac:dyDescent="0.25">
      <c r="A21" t="s">
        <v>5</v>
      </c>
      <c r="B21" t="s">
        <v>0</v>
      </c>
      <c r="C21" t="s">
        <v>1</v>
      </c>
      <c r="D21" t="s">
        <v>2</v>
      </c>
      <c r="E21" t="s">
        <v>3</v>
      </c>
      <c r="F21" t="str">
        <f>Donnees!F21</f>
        <v>Partie 6</v>
      </c>
      <c r="H21" t="s">
        <v>10</v>
      </c>
      <c r="I21" t="str">
        <f t="shared" ref="I21" si="8">_xlfn.TEXTJOIN(";",TRUE,B22:E23)</f>
        <v>Francoise;Marc;Beatrice;Sebastien;-103;15;-62;150</v>
      </c>
    </row>
    <row r="22" spans="1:11" x14ac:dyDescent="0.25">
      <c r="A22" t="s">
        <v>6</v>
      </c>
      <c r="B22" s="1" t="s">
        <v>44</v>
      </c>
      <c r="C22" s="1" t="s">
        <v>38</v>
      </c>
      <c r="D22" s="1" t="s">
        <v>45</v>
      </c>
      <c r="E22" s="1" t="s">
        <v>46</v>
      </c>
      <c r="F22" s="3">
        <v>45906.589131944442</v>
      </c>
      <c r="H22" t="s">
        <v>9</v>
      </c>
      <c r="I22" t="str" cm="1">
        <f t="array" ref="I22">IF(AND(Donnees!B21:F24=Check!B21:F24),"Identique","PAS IDENTIQUE")</f>
        <v>Identique</v>
      </c>
      <c r="J22" t="s">
        <v>32</v>
      </c>
      <c r="K22" t="str" cm="1">
        <f t="array" ref="K22">IF(MAX(COUNTIF(B22:E22,B22:E22)) &gt; 1, "JOUEUR EN DOUBLE", "Pas de doublons")</f>
        <v>Pas de doublons</v>
      </c>
    </row>
    <row r="23" spans="1:11" x14ac:dyDescent="0.25">
      <c r="A23" t="s">
        <v>7</v>
      </c>
      <c r="B23" s="1">
        <v>-103</v>
      </c>
      <c r="C23" s="1">
        <v>15</v>
      </c>
      <c r="D23" s="1">
        <v>-62</v>
      </c>
      <c r="E23" s="1">
        <v>150</v>
      </c>
      <c r="H23" t="s">
        <v>33</v>
      </c>
      <c r="I23" t="str">
        <f>IF(COUNTIF(I$1:I22,I21)&gt;1,"DOUBLON LIGNE " &amp; MATCH(I21,I$1:I22,0),"Pas de doublons")</f>
        <v>Pas de doublons</v>
      </c>
      <c r="J23" t="s">
        <v>34</v>
      </c>
      <c r="K23" t="str" cm="1">
        <f t="array" ref="K23">IF(SUM(--(NOT(ISNUMBER(MATCH(B22:E22,'EMA points'!A:A,0))))) &gt; 0, "NOM INEXISTANT", "Noms ok")</f>
        <v>Noms ok</v>
      </c>
    </row>
    <row r="24" spans="1:11" x14ac:dyDescent="0.25">
      <c r="A24" t="s">
        <v>8</v>
      </c>
      <c r="B24">
        <f>Donnees!B24</f>
        <v>0</v>
      </c>
      <c r="C24">
        <f>Donnees!C24</f>
        <v>2</v>
      </c>
      <c r="D24">
        <f>Donnees!D24</f>
        <v>1</v>
      </c>
      <c r="E24">
        <f>Donnees!E24</f>
        <v>3</v>
      </c>
      <c r="H24" t="s">
        <v>11</v>
      </c>
      <c r="I24" t="str">
        <f t="shared" ref="I24" si="9">IF(SUM(B23:E23)=0, "Score ok", "SOMME NON NULLE")</f>
        <v>Score ok</v>
      </c>
    </row>
    <row r="25" spans="1:11" x14ac:dyDescent="0.25">
      <c r="A25" t="s">
        <v>5</v>
      </c>
      <c r="B25" t="s">
        <v>0</v>
      </c>
      <c r="C25" t="s">
        <v>1</v>
      </c>
      <c r="D25" t="s">
        <v>2</v>
      </c>
      <c r="E25" t="s">
        <v>3</v>
      </c>
      <c r="F25" t="str">
        <f>Donnees!F25</f>
        <v>Partie 7</v>
      </c>
      <c r="H25" t="s">
        <v>10</v>
      </c>
      <c r="I25" t="str">
        <f t="shared" ref="I25" si="10">_xlfn.TEXTJOIN(";",TRUE,B26:E27)</f>
        <v>Marc;Raphael;Guilhem;Sebastien;-235;-79;275;39</v>
      </c>
    </row>
    <row r="26" spans="1:11" x14ac:dyDescent="0.25">
      <c r="A26" t="s">
        <v>6</v>
      </c>
      <c r="B26" s="1" t="s">
        <v>38</v>
      </c>
      <c r="C26" s="1" t="s">
        <v>41</v>
      </c>
      <c r="D26" s="1" t="s">
        <v>39</v>
      </c>
      <c r="E26" s="1" t="s">
        <v>46</v>
      </c>
      <c r="F26" s="3">
        <v>45906.696539351855</v>
      </c>
      <c r="H26" t="s">
        <v>9</v>
      </c>
      <c r="I26" t="str" cm="1">
        <f t="array" ref="I26">IF(AND(Donnees!B25:F28=Check!B25:F28),"Identique","PAS IDENTIQUE")</f>
        <v>Identique</v>
      </c>
      <c r="J26" t="s">
        <v>32</v>
      </c>
      <c r="K26" t="str" cm="1">
        <f t="array" ref="K26">IF(MAX(COUNTIF(B26:E26,B26:E26)) &gt; 1, "JOUEUR EN DOUBLE", "Pas de doublons")</f>
        <v>Pas de doublons</v>
      </c>
    </row>
    <row r="27" spans="1:11" x14ac:dyDescent="0.25">
      <c r="A27" t="s">
        <v>7</v>
      </c>
      <c r="B27" s="1">
        <v>-235</v>
      </c>
      <c r="C27" s="1">
        <v>-79</v>
      </c>
      <c r="D27" s="1">
        <v>275</v>
      </c>
      <c r="E27" s="1">
        <v>39</v>
      </c>
      <c r="H27" t="s">
        <v>33</v>
      </c>
      <c r="I27" t="str">
        <f>IF(COUNTIF(I$1:I26,I25)&gt;1,"DOUBLON LIGNE " &amp; MATCH(I25,I$1:I26,0),"Pas de doublons")</f>
        <v>Pas de doublons</v>
      </c>
      <c r="J27" t="s">
        <v>34</v>
      </c>
      <c r="K27" t="str" cm="1">
        <f t="array" ref="K27">IF(SUM(--(NOT(ISNUMBER(MATCH(B26:E26,'EMA points'!A:A,0))))) &gt; 0, "NOM INEXISTANT", "Noms ok")</f>
        <v>Noms ok</v>
      </c>
    </row>
    <row r="28" spans="1:11" x14ac:dyDescent="0.25">
      <c r="A28" t="s">
        <v>8</v>
      </c>
      <c r="B28">
        <f>Donnees!B28</f>
        <v>0</v>
      </c>
      <c r="C28">
        <f>Donnees!C28</f>
        <v>1</v>
      </c>
      <c r="D28">
        <f>Donnees!D28</f>
        <v>3</v>
      </c>
      <c r="E28">
        <f>Donnees!E28</f>
        <v>2</v>
      </c>
      <c r="H28" t="s">
        <v>11</v>
      </c>
      <c r="I28" t="str">
        <f t="shared" ref="I28" si="11">IF(SUM(B27:E27)=0, "Score ok", "SOMME NON NULLE")</f>
        <v>Score ok</v>
      </c>
    </row>
    <row r="29" spans="1:11" x14ac:dyDescent="0.25">
      <c r="A29" t="s">
        <v>5</v>
      </c>
      <c r="B29" t="s">
        <v>0</v>
      </c>
      <c r="C29" t="s">
        <v>1</v>
      </c>
      <c r="D29" t="s">
        <v>2</v>
      </c>
      <c r="E29" t="s">
        <v>3</v>
      </c>
      <c r="F29" t="str">
        <f>Donnees!F29</f>
        <v>Partie 8</v>
      </c>
      <c r="H29" t="s">
        <v>10</v>
      </c>
      <c r="I29" t="str">
        <f t="shared" ref="I29" si="12">_xlfn.TEXTJOIN(";",TRUE,B30:E31)</f>
        <v>Mathieu;Isabelle;Francoise;Christophe;-11;49;-55;17</v>
      </c>
    </row>
    <row r="30" spans="1:11" x14ac:dyDescent="0.25">
      <c r="A30" t="s">
        <v>6</v>
      </c>
      <c r="B30" s="1" t="s">
        <v>62</v>
      </c>
      <c r="C30" s="1" t="s">
        <v>37</v>
      </c>
      <c r="D30" s="1" t="s">
        <v>44</v>
      </c>
      <c r="E30" s="1" t="s">
        <v>40</v>
      </c>
      <c r="F30" s="3">
        <v>45906.70385416667</v>
      </c>
      <c r="H30" t="s">
        <v>9</v>
      </c>
      <c r="I30" t="str" cm="1">
        <f t="array" ref="I30">IF(AND(Donnees!B29:F32=Check!B29:F32),"Identique","PAS IDENTIQUE")</f>
        <v>Identique</v>
      </c>
      <c r="J30" t="s">
        <v>32</v>
      </c>
      <c r="K30" t="str" cm="1">
        <f t="array" ref="K30">IF(MAX(COUNTIF(B30:E30,B30:E30)) &gt; 1, "JOUEUR EN DOUBLE", "Pas de doublons")</f>
        <v>Pas de doublons</v>
      </c>
    </row>
    <row r="31" spans="1:11" x14ac:dyDescent="0.25">
      <c r="A31" t="s">
        <v>7</v>
      </c>
      <c r="B31" s="1">
        <v>-11</v>
      </c>
      <c r="C31" s="1">
        <v>49</v>
      </c>
      <c r="D31" s="1">
        <v>-55</v>
      </c>
      <c r="E31" s="1">
        <v>17</v>
      </c>
      <c r="H31" t="s">
        <v>33</v>
      </c>
      <c r="I31" t="str">
        <f>IF(COUNTIF(I$1:I30,I29)&gt;1,"DOUBLON LIGNE " &amp; MATCH(I29,I$1:I30,0),"Pas de doublons")</f>
        <v>Pas de doublons</v>
      </c>
      <c r="J31" t="s">
        <v>34</v>
      </c>
      <c r="K31" t="str" cm="1">
        <f t="array" ref="K31">IF(SUM(--(NOT(ISNUMBER(MATCH(B30:E30,'EMA points'!A:A,0))))) &gt; 0, "NOM INEXISTANT", "Noms ok")</f>
        <v>Noms ok</v>
      </c>
    </row>
    <row r="32" spans="1:11" x14ac:dyDescent="0.25">
      <c r="A32" t="s">
        <v>8</v>
      </c>
      <c r="B32">
        <f>Donnees!B32</f>
        <v>1</v>
      </c>
      <c r="C32">
        <f>Donnees!C32</f>
        <v>3</v>
      </c>
      <c r="D32">
        <f>Donnees!D32</f>
        <v>0</v>
      </c>
      <c r="E32">
        <f>Donnees!E32</f>
        <v>2</v>
      </c>
      <c r="H32" t="s">
        <v>11</v>
      </c>
      <c r="I32" t="str">
        <f t="shared" ref="I32" si="13">IF(SUM(B31:E31)=0, "Score ok", "SOMME NON NULLE")</f>
        <v>Score ok</v>
      </c>
    </row>
    <row r="33" spans="1:11" x14ac:dyDescent="0.25">
      <c r="A33" t="s">
        <v>5</v>
      </c>
      <c r="B33" t="s">
        <v>0</v>
      </c>
      <c r="C33" t="s">
        <v>1</v>
      </c>
      <c r="D33" t="s">
        <v>2</v>
      </c>
      <c r="E33" t="s">
        <v>3</v>
      </c>
      <c r="F33" t="str">
        <f>Donnees!F33</f>
        <v>Partie 9</v>
      </c>
      <c r="H33" t="s">
        <v>10</v>
      </c>
      <c r="I33" t="str">
        <f t="shared" ref="I33" si="14">_xlfn.TEXTJOIN(";",TRUE,B34:E35)</f>
        <v>Binome;Marie;Christophe;Valerie D;130;-150;-37;57</v>
      </c>
    </row>
    <row r="34" spans="1:11" x14ac:dyDescent="0.25">
      <c r="A34" t="s">
        <v>6</v>
      </c>
      <c r="B34" s="1" t="s">
        <v>47</v>
      </c>
      <c r="C34" s="1" t="s">
        <v>48</v>
      </c>
      <c r="D34" s="1" t="s">
        <v>40</v>
      </c>
      <c r="E34" s="1" t="s">
        <v>71</v>
      </c>
      <c r="F34" s="3">
        <v>45906.856342592589</v>
      </c>
      <c r="H34" t="s">
        <v>9</v>
      </c>
      <c r="I34" t="str" cm="1">
        <f t="array" ref="I34">IF(AND(Donnees!B33:F36=Check!B33:F36),"Identique","PAS IDENTIQUE")</f>
        <v>Identique</v>
      </c>
      <c r="J34" t="s">
        <v>32</v>
      </c>
      <c r="K34" t="str" cm="1">
        <f t="array" ref="K34">IF(MAX(COUNTIF(B34:E34,B34:E34)) &gt; 1, "JOUEUR EN DOUBLE", "Pas de doublons")</f>
        <v>Pas de doublons</v>
      </c>
    </row>
    <row r="35" spans="1:11" x14ac:dyDescent="0.25">
      <c r="A35" t="s">
        <v>7</v>
      </c>
      <c r="B35" s="1">
        <v>130</v>
      </c>
      <c r="C35" s="1">
        <v>-150</v>
      </c>
      <c r="D35" s="1">
        <v>-37</v>
      </c>
      <c r="E35" s="1">
        <v>57</v>
      </c>
      <c r="H35" t="s">
        <v>33</v>
      </c>
      <c r="I35" t="str">
        <f>IF(COUNTIF(I$1:I34,I33)&gt;1,"DOUBLON LIGNE " &amp; MATCH(I33,I$1:I34,0),"Pas de doublons")</f>
        <v>Pas de doublons</v>
      </c>
      <c r="J35" t="s">
        <v>34</v>
      </c>
      <c r="K35" t="str" cm="1">
        <f t="array" ref="K35">IF(SUM(--(NOT(ISNUMBER(MATCH(B34:E34,'EMA points'!A:A,0))))) &gt; 0, "NOM INEXISTANT", "Noms ok")</f>
        <v>Noms ok</v>
      </c>
    </row>
    <row r="36" spans="1:11" x14ac:dyDescent="0.25">
      <c r="A36" t="s">
        <v>8</v>
      </c>
      <c r="B36">
        <f>Donnees!B36</f>
        <v>3</v>
      </c>
      <c r="C36">
        <f>Donnees!C36</f>
        <v>0</v>
      </c>
      <c r="D36">
        <f>Donnees!D36</f>
        <v>1</v>
      </c>
      <c r="E36">
        <f>Donnees!E36</f>
        <v>2</v>
      </c>
      <c r="H36" t="s">
        <v>11</v>
      </c>
      <c r="I36" t="str">
        <f t="shared" ref="I36" si="15">IF(SUM(B35:E35)=0, "Score ok", "SOMME NON NULLE")</f>
        <v>Score ok</v>
      </c>
    </row>
    <row r="37" spans="1:11" x14ac:dyDescent="0.25">
      <c r="A37" t="s">
        <v>5</v>
      </c>
      <c r="B37" t="s">
        <v>0</v>
      </c>
      <c r="C37" t="s">
        <v>1</v>
      </c>
      <c r="D37" t="s">
        <v>2</v>
      </c>
      <c r="E37" t="s">
        <v>3</v>
      </c>
      <c r="F37" t="str">
        <f>Donnees!F37</f>
        <v>Partie 10</v>
      </c>
      <c r="H37" t="s">
        <v>10</v>
      </c>
      <c r="I37" t="str">
        <f t="shared" ref="I37" si="16">_xlfn.TEXTJOIN(";",TRUE,B38:E39)</f>
        <v>Jean-Michel;Richard;Sebastien;Laurence;-98;161;-164;101</v>
      </c>
    </row>
    <row r="38" spans="1:11" x14ac:dyDescent="0.25">
      <c r="A38" t="s">
        <v>6</v>
      </c>
      <c r="B38" s="1" t="s">
        <v>49</v>
      </c>
      <c r="C38" s="1" t="s">
        <v>50</v>
      </c>
      <c r="D38" s="1" t="s">
        <v>46</v>
      </c>
      <c r="E38" s="1" t="s">
        <v>51</v>
      </c>
      <c r="F38" s="3">
        <v>45913.593726851854</v>
      </c>
      <c r="H38" t="s">
        <v>9</v>
      </c>
      <c r="I38" t="str" cm="1">
        <f t="array" ref="I38">IF(AND(Donnees!B37:F40=Check!B37:F40),"Identique","PAS IDENTIQUE")</f>
        <v>Identique</v>
      </c>
      <c r="J38" t="s">
        <v>32</v>
      </c>
      <c r="K38" t="str" cm="1">
        <f t="array" ref="K38">IF(MAX(COUNTIF(B38:E38,B38:E38)) &gt; 1, "JOUEUR EN DOUBLE", "Pas de doublons")</f>
        <v>Pas de doublons</v>
      </c>
    </row>
    <row r="39" spans="1:11" x14ac:dyDescent="0.25">
      <c r="A39" t="s">
        <v>7</v>
      </c>
      <c r="B39" s="1">
        <v>-98</v>
      </c>
      <c r="C39" s="1">
        <v>161</v>
      </c>
      <c r="D39" s="1">
        <v>-164</v>
      </c>
      <c r="E39" s="1">
        <v>101</v>
      </c>
      <c r="H39" t="s">
        <v>33</v>
      </c>
      <c r="I39" t="str">
        <f>IF(COUNTIF(I$1:I38,I37)&gt;1,"DOUBLON LIGNE " &amp; MATCH(I37,I$1:I38,0),"Pas de doublons")</f>
        <v>Pas de doublons</v>
      </c>
      <c r="J39" t="s">
        <v>34</v>
      </c>
      <c r="K39" t="str" cm="1">
        <f t="array" ref="K39">IF(SUM(--(NOT(ISNUMBER(MATCH(B38:E38,'EMA points'!A:A,0))))) &gt; 0, "NOM INEXISTANT", "Noms ok")</f>
        <v>Noms ok</v>
      </c>
    </row>
    <row r="40" spans="1:11" x14ac:dyDescent="0.25">
      <c r="A40" t="s">
        <v>8</v>
      </c>
      <c r="B40">
        <f>Donnees!B40</f>
        <v>1</v>
      </c>
      <c r="C40">
        <f>Donnees!C40</f>
        <v>3</v>
      </c>
      <c r="D40">
        <f>Donnees!D40</f>
        <v>0</v>
      </c>
      <c r="E40">
        <f>Donnees!E40</f>
        <v>2</v>
      </c>
      <c r="H40" t="s">
        <v>11</v>
      </c>
      <c r="I40" t="str">
        <f t="shared" ref="I40" si="17">IF(SUM(B39:E39)=0, "Score ok", "SOMME NON NULLE")</f>
        <v>Score ok</v>
      </c>
    </row>
    <row r="41" spans="1:11" x14ac:dyDescent="0.25">
      <c r="A41" t="s">
        <v>5</v>
      </c>
      <c r="B41" t="s">
        <v>0</v>
      </c>
      <c r="C41" t="s">
        <v>1</v>
      </c>
      <c r="D41" t="s">
        <v>2</v>
      </c>
      <c r="E41" t="s">
        <v>3</v>
      </c>
      <c r="F41" t="str">
        <f>Donnees!F41</f>
        <v>Partie 11</v>
      </c>
      <c r="H41" t="s">
        <v>10</v>
      </c>
      <c r="I41" t="str">
        <f t="shared" ref="I41" si="18">_xlfn.TEXTJOIN(";",TRUE,B42:E43)</f>
        <v>Guilhem;Frederic;Ghislaine;Matheo;127;-18;40;-149</v>
      </c>
    </row>
    <row r="42" spans="1:11" x14ac:dyDescent="0.25">
      <c r="A42" t="s">
        <v>6</v>
      </c>
      <c r="B42" s="1" t="s">
        <v>39</v>
      </c>
      <c r="C42" s="1" t="s">
        <v>52</v>
      </c>
      <c r="D42" s="1" t="s">
        <v>43</v>
      </c>
      <c r="E42" s="1" t="s">
        <v>53</v>
      </c>
      <c r="F42" s="3">
        <v>45913.589953703704</v>
      </c>
      <c r="H42" t="s">
        <v>9</v>
      </c>
      <c r="I42" t="str" cm="1">
        <f t="array" ref="I42">IF(AND(Donnees!B41:F44=Check!B41:F44),"Identique","PAS IDENTIQUE")</f>
        <v>Identique</v>
      </c>
      <c r="J42" t="s">
        <v>32</v>
      </c>
      <c r="K42" t="str" cm="1">
        <f t="array" ref="K42">IF(MAX(COUNTIF(B42:E42,B42:E42)) &gt; 1, "JOUEUR EN DOUBLE", "Pas de doublons")</f>
        <v>Pas de doublons</v>
      </c>
    </row>
    <row r="43" spans="1:11" x14ac:dyDescent="0.25">
      <c r="A43" t="s">
        <v>7</v>
      </c>
      <c r="B43" s="1">
        <v>127</v>
      </c>
      <c r="C43" s="1">
        <v>-18</v>
      </c>
      <c r="D43" s="1">
        <v>40</v>
      </c>
      <c r="E43" s="1">
        <v>-149</v>
      </c>
      <c r="H43" t="s">
        <v>33</v>
      </c>
      <c r="I43" t="str">
        <f>IF(COUNTIF(I$1:I42,I41)&gt;1,"DOUBLON LIGNE " &amp; MATCH(I41,I$1:I42,0),"Pas de doublons")</f>
        <v>Pas de doublons</v>
      </c>
      <c r="J43" t="s">
        <v>34</v>
      </c>
      <c r="K43" t="str" cm="1">
        <f t="array" ref="K43">IF(SUM(--(NOT(ISNUMBER(MATCH(B42:E42,'EMA points'!A:A,0))))) &gt; 0, "NOM INEXISTANT", "Noms ok")</f>
        <v>Noms ok</v>
      </c>
    </row>
    <row r="44" spans="1:11" x14ac:dyDescent="0.25">
      <c r="A44" t="s">
        <v>8</v>
      </c>
      <c r="B44">
        <f>Donnees!B44</f>
        <v>3</v>
      </c>
      <c r="C44">
        <f>Donnees!C44</f>
        <v>1</v>
      </c>
      <c r="D44">
        <f>Donnees!D44</f>
        <v>2</v>
      </c>
      <c r="E44">
        <f>Donnees!E44</f>
        <v>0</v>
      </c>
      <c r="H44" t="s">
        <v>11</v>
      </c>
      <c r="I44" t="str">
        <f t="shared" ref="I44" si="19">IF(SUM(B43:E43)=0, "Score ok", "SOMME NON NULLE")</f>
        <v>Score ok</v>
      </c>
    </row>
    <row r="45" spans="1:11" x14ac:dyDescent="0.25">
      <c r="A45" t="s">
        <v>5</v>
      </c>
      <c r="B45" t="s">
        <v>0</v>
      </c>
      <c r="C45" t="s">
        <v>1</v>
      </c>
      <c r="D45" t="s">
        <v>2</v>
      </c>
      <c r="E45" t="s">
        <v>3</v>
      </c>
      <c r="F45" t="str">
        <f>Donnees!F45</f>
        <v>Partie 12</v>
      </c>
      <c r="H45" t="s">
        <v>10</v>
      </c>
      <c r="I45" t="str">
        <f t="shared" ref="I45" si="20">_xlfn.TEXTJOIN(";",TRUE,B46:E47)</f>
        <v>Matheo;Monique;Christophe;Isabelle;20;-32;-30;42</v>
      </c>
    </row>
    <row r="46" spans="1:11" x14ac:dyDescent="0.25">
      <c r="A46" t="s">
        <v>6</v>
      </c>
      <c r="B46" s="1" t="s">
        <v>53</v>
      </c>
      <c r="C46" s="1" t="s">
        <v>54</v>
      </c>
      <c r="D46" s="1" t="s">
        <v>40</v>
      </c>
      <c r="E46" s="1" t="s">
        <v>37</v>
      </c>
      <c r="F46" s="3">
        <v>45913.695914351854</v>
      </c>
      <c r="H46" t="s">
        <v>9</v>
      </c>
      <c r="I46" t="str" cm="1">
        <f t="array" ref="I46">IF(AND(Donnees!B45:F48=Check!B45:F48),"Identique","PAS IDENTIQUE")</f>
        <v>Identique</v>
      </c>
      <c r="J46" t="s">
        <v>32</v>
      </c>
      <c r="K46" t="str" cm="1">
        <f t="array" ref="K46">IF(MAX(COUNTIF(B46:E46,B46:E46)) &gt; 1, "JOUEUR EN DOUBLE", "Pas de doublons")</f>
        <v>Pas de doublons</v>
      </c>
    </row>
    <row r="47" spans="1:11" x14ac:dyDescent="0.25">
      <c r="A47" t="s">
        <v>7</v>
      </c>
      <c r="B47" s="1">
        <v>20</v>
      </c>
      <c r="C47" s="1">
        <v>-32</v>
      </c>
      <c r="D47" s="1">
        <v>-30</v>
      </c>
      <c r="E47" s="1">
        <v>42</v>
      </c>
      <c r="H47" t="s">
        <v>33</v>
      </c>
      <c r="I47" t="str">
        <f>IF(COUNTIF(I$1:I46,I45)&gt;1,"DOUBLON LIGNE " &amp; MATCH(I45,I$1:I46,0),"Pas de doublons")</f>
        <v>Pas de doublons</v>
      </c>
      <c r="J47" t="s">
        <v>34</v>
      </c>
      <c r="K47" t="str" cm="1">
        <f t="array" ref="K47">IF(SUM(--(NOT(ISNUMBER(MATCH(B46:E46,'EMA points'!A:A,0))))) &gt; 0, "NOM INEXISTANT", "Noms ok")</f>
        <v>Noms ok</v>
      </c>
    </row>
    <row r="48" spans="1:11" x14ac:dyDescent="0.25">
      <c r="A48" t="s">
        <v>8</v>
      </c>
      <c r="B48">
        <f>Donnees!B48</f>
        <v>2</v>
      </c>
      <c r="C48">
        <f>Donnees!C48</f>
        <v>0</v>
      </c>
      <c r="D48">
        <f>Donnees!D48</f>
        <v>1</v>
      </c>
      <c r="E48">
        <f>Donnees!E48</f>
        <v>3</v>
      </c>
      <c r="H48" t="s">
        <v>11</v>
      </c>
      <c r="I48" t="str">
        <f t="shared" ref="I48" si="21">IF(SUM(B47:E47)=0, "Score ok", "SOMME NON NULLE")</f>
        <v>Score ok</v>
      </c>
    </row>
    <row r="49" spans="1:11" x14ac:dyDescent="0.25">
      <c r="A49" t="s">
        <v>5</v>
      </c>
      <c r="B49" t="s">
        <v>0</v>
      </c>
      <c r="C49" t="s">
        <v>1</v>
      </c>
      <c r="D49" t="s">
        <v>2</v>
      </c>
      <c r="E49" t="s">
        <v>3</v>
      </c>
      <c r="F49" t="str">
        <f>Donnees!F49</f>
        <v>Partie 13</v>
      </c>
      <c r="H49" t="s">
        <v>10</v>
      </c>
      <c r="I49" t="str">
        <f t="shared" ref="I49" si="22">_xlfn.TEXTJOIN(";",TRUE,B50:E51)</f>
        <v>Fabienne;Jean-Michel;Sebastien;Richard;-196;86;43;67</v>
      </c>
    </row>
    <row r="50" spans="1:11" x14ac:dyDescent="0.25">
      <c r="A50" t="s">
        <v>6</v>
      </c>
      <c r="B50" s="1" t="s">
        <v>55</v>
      </c>
      <c r="C50" s="1" t="s">
        <v>49</v>
      </c>
      <c r="D50" s="1" t="s">
        <v>46</v>
      </c>
      <c r="E50" s="1" t="s">
        <v>50</v>
      </c>
      <c r="F50" s="3">
        <v>45913.693287037036</v>
      </c>
      <c r="H50" t="s">
        <v>9</v>
      </c>
      <c r="I50" t="str" cm="1">
        <f t="array" ref="I50">IF(AND(Donnees!B49:F52=Check!B49:F52),"Identique","PAS IDENTIQUE")</f>
        <v>Identique</v>
      </c>
      <c r="J50" t="s">
        <v>32</v>
      </c>
      <c r="K50" t="str" cm="1">
        <f t="array" ref="K50">IF(MAX(COUNTIF(B50:E50,B50:E50)) &gt; 1, "JOUEUR EN DOUBLE", "Pas de doublons")</f>
        <v>Pas de doublons</v>
      </c>
    </row>
    <row r="51" spans="1:11" x14ac:dyDescent="0.25">
      <c r="A51" t="s">
        <v>7</v>
      </c>
      <c r="B51" s="1">
        <v>-196</v>
      </c>
      <c r="C51" s="1">
        <v>86</v>
      </c>
      <c r="D51" s="1">
        <v>43</v>
      </c>
      <c r="E51" s="1">
        <v>67</v>
      </c>
      <c r="H51" t="s">
        <v>33</v>
      </c>
      <c r="I51" t="str">
        <f>IF(COUNTIF(I$1:I50,I49)&gt;1,"DOUBLON LIGNE " &amp; MATCH(I49,I$1:I50,0),"Pas de doublons")</f>
        <v>Pas de doublons</v>
      </c>
      <c r="J51" t="s">
        <v>34</v>
      </c>
      <c r="K51" t="str" cm="1">
        <f t="array" ref="K51">IF(SUM(--(NOT(ISNUMBER(MATCH(B50:E50,'EMA points'!A:A,0))))) &gt; 0, "NOM INEXISTANT", "Noms ok")</f>
        <v>Noms ok</v>
      </c>
    </row>
    <row r="52" spans="1:11" x14ac:dyDescent="0.25">
      <c r="A52" t="s">
        <v>8</v>
      </c>
      <c r="B52">
        <f>Donnees!B52</f>
        <v>0</v>
      </c>
      <c r="C52">
        <f>Donnees!C52</f>
        <v>3</v>
      </c>
      <c r="D52">
        <f>Donnees!D52</f>
        <v>1</v>
      </c>
      <c r="E52">
        <f>Donnees!E52</f>
        <v>2</v>
      </c>
      <c r="H52" t="s">
        <v>11</v>
      </c>
      <c r="I52" t="str">
        <f t="shared" ref="I52" si="23">IF(SUM(B51:E51)=0, "Score ok", "SOMME NON NULLE")</f>
        <v>Score ok</v>
      </c>
    </row>
    <row r="53" spans="1:11" x14ac:dyDescent="0.25">
      <c r="A53" t="s">
        <v>5</v>
      </c>
      <c r="B53" t="s">
        <v>0</v>
      </c>
      <c r="C53" t="s">
        <v>1</v>
      </c>
      <c r="D53" t="s">
        <v>2</v>
      </c>
      <c r="E53" t="s">
        <v>3</v>
      </c>
      <c r="F53" t="str">
        <f>Donnees!F53</f>
        <v>Partie 14</v>
      </c>
      <c r="H53" t="s">
        <v>10</v>
      </c>
      <c r="I53" t="str">
        <f t="shared" ref="I53" si="24">_xlfn.TEXTJOIN(";",TRUE,B54:E55)</f>
        <v>Marie;Isabelle;Nathalie;Fabienne;14;178;-116;-76</v>
      </c>
    </row>
    <row r="54" spans="1:11" x14ac:dyDescent="0.25">
      <c r="A54" t="s">
        <v>6</v>
      </c>
      <c r="B54" s="1" t="s">
        <v>48</v>
      </c>
      <c r="C54" s="1" t="s">
        <v>37</v>
      </c>
      <c r="D54" s="1" t="s">
        <v>56</v>
      </c>
      <c r="E54" s="1" t="s">
        <v>55</v>
      </c>
      <c r="F54" s="3">
        <v>45913.591493055559</v>
      </c>
      <c r="H54" t="s">
        <v>9</v>
      </c>
      <c r="I54" t="str" cm="1">
        <f t="array" ref="I54">IF(AND(Donnees!B53:F56=Check!B53:F56),"Identique","PAS IDENTIQUE")</f>
        <v>Identique</v>
      </c>
      <c r="J54" t="s">
        <v>32</v>
      </c>
      <c r="K54" t="str" cm="1">
        <f t="array" ref="K54">IF(MAX(COUNTIF(B54:E54,B54:E54)) &gt; 1, "JOUEUR EN DOUBLE", "Pas de doublons")</f>
        <v>Pas de doublons</v>
      </c>
    </row>
    <row r="55" spans="1:11" x14ac:dyDescent="0.25">
      <c r="A55" t="s">
        <v>7</v>
      </c>
      <c r="B55" s="1">
        <v>14</v>
      </c>
      <c r="C55" s="1">
        <v>178</v>
      </c>
      <c r="D55" s="1">
        <v>-116</v>
      </c>
      <c r="E55" s="1">
        <v>-76</v>
      </c>
      <c r="H55" t="s">
        <v>33</v>
      </c>
      <c r="I55" t="str">
        <f>IF(COUNTIF(I$1:I54,I53)&gt;1,"DOUBLON LIGNE " &amp; MATCH(I53,I$1:I54,0),"Pas de doublons")</f>
        <v>Pas de doublons</v>
      </c>
      <c r="J55" t="s">
        <v>34</v>
      </c>
      <c r="K55" t="str" cm="1">
        <f t="array" ref="K55">IF(SUM(--(NOT(ISNUMBER(MATCH(B54:E54,'EMA points'!A:A,0))))) &gt; 0, "NOM INEXISTANT", "Noms ok")</f>
        <v>Noms ok</v>
      </c>
    </row>
    <row r="56" spans="1:11" x14ac:dyDescent="0.25">
      <c r="A56" t="s">
        <v>8</v>
      </c>
      <c r="B56">
        <f>Donnees!B56</f>
        <v>2</v>
      </c>
      <c r="C56">
        <f>Donnees!C56</f>
        <v>3</v>
      </c>
      <c r="D56">
        <f>Donnees!D56</f>
        <v>0</v>
      </c>
      <c r="E56">
        <f>Donnees!E56</f>
        <v>1</v>
      </c>
      <c r="H56" t="s">
        <v>11</v>
      </c>
      <c r="I56" t="str">
        <f t="shared" ref="I56" si="25">IF(SUM(B55:E55)=0, "Score ok", "SOMME NON NULLE")</f>
        <v>Score ok</v>
      </c>
    </row>
    <row r="57" spans="1:11" x14ac:dyDescent="0.25">
      <c r="A57" t="s">
        <v>5</v>
      </c>
      <c r="B57" t="s">
        <v>0</v>
      </c>
      <c r="C57" t="s">
        <v>1</v>
      </c>
      <c r="D57" t="s">
        <v>2</v>
      </c>
      <c r="E57" t="s">
        <v>3</v>
      </c>
      <c r="F57" t="str">
        <f>Donnees!F57</f>
        <v>Partie 15</v>
      </c>
      <c r="H57" t="s">
        <v>10</v>
      </c>
      <c r="I57" t="str">
        <f t="shared" ref="I57" si="26">_xlfn.TEXTJOIN(";",TRUE,B58:E59)</f>
        <v>Nathalie;Raphael;Binome;Ghislaine;40;65;-28;-77</v>
      </c>
    </row>
    <row r="58" spans="1:11" x14ac:dyDescent="0.25">
      <c r="A58" t="s">
        <v>6</v>
      </c>
      <c r="B58" s="1" t="s">
        <v>56</v>
      </c>
      <c r="C58" s="1" t="s">
        <v>41</v>
      </c>
      <c r="D58" s="1" t="s">
        <v>47</v>
      </c>
      <c r="E58" s="1" t="s">
        <v>43</v>
      </c>
      <c r="F58" s="3">
        <v>45913.695752314816</v>
      </c>
      <c r="H58" t="s">
        <v>9</v>
      </c>
      <c r="I58" t="str" cm="1">
        <f t="array" ref="I58">IF(AND(Donnees!B57:F60=Check!B57:F60),"Identique","PAS IDENTIQUE")</f>
        <v>Identique</v>
      </c>
      <c r="J58" t="s">
        <v>32</v>
      </c>
      <c r="K58" t="str" cm="1">
        <f t="array" ref="K58">IF(MAX(COUNTIF(B58:E58,B58:E58)) &gt; 1, "JOUEUR EN DOUBLE", "Pas de doublons")</f>
        <v>Pas de doublons</v>
      </c>
    </row>
    <row r="59" spans="1:11" x14ac:dyDescent="0.25">
      <c r="A59" t="s">
        <v>7</v>
      </c>
      <c r="B59" s="1">
        <v>40</v>
      </c>
      <c r="C59" s="1">
        <v>65</v>
      </c>
      <c r="D59" s="1">
        <v>-28</v>
      </c>
      <c r="E59" s="1">
        <v>-77</v>
      </c>
      <c r="H59" t="s">
        <v>33</v>
      </c>
      <c r="I59" t="str">
        <f>IF(COUNTIF(I$1:I58,I57)&gt;1,"DOUBLON LIGNE " &amp; MATCH(I57,I$1:I58,0),"Pas de doublons")</f>
        <v>Pas de doublons</v>
      </c>
      <c r="J59" t="s">
        <v>34</v>
      </c>
      <c r="K59" t="str" cm="1">
        <f t="array" ref="K59">IF(SUM(--(NOT(ISNUMBER(MATCH(B58:E58,'EMA points'!A:A,0))))) &gt; 0, "NOM INEXISTANT", "Noms ok")</f>
        <v>Noms ok</v>
      </c>
    </row>
    <row r="60" spans="1:11" x14ac:dyDescent="0.25">
      <c r="A60" t="s">
        <v>8</v>
      </c>
      <c r="B60">
        <f>Donnees!B60</f>
        <v>2</v>
      </c>
      <c r="C60">
        <f>Donnees!C60</f>
        <v>3</v>
      </c>
      <c r="D60">
        <f>Donnees!D60</f>
        <v>1</v>
      </c>
      <c r="E60">
        <f>Donnees!E60</f>
        <v>0</v>
      </c>
      <c r="H60" t="s">
        <v>11</v>
      </c>
      <c r="I60" t="str">
        <f t="shared" ref="I60" si="27">IF(SUM(B59:E59)=0, "Score ok", "SOMME NON NULLE")</f>
        <v>Score ok</v>
      </c>
    </row>
    <row r="61" spans="1:11" x14ac:dyDescent="0.25">
      <c r="A61" t="s">
        <v>5</v>
      </c>
      <c r="B61" t="s">
        <v>0</v>
      </c>
      <c r="C61" t="s">
        <v>1</v>
      </c>
      <c r="D61" t="s">
        <v>2</v>
      </c>
      <c r="E61" t="s">
        <v>3</v>
      </c>
      <c r="F61" t="str">
        <f>Donnees!F61</f>
        <v>Partie 16</v>
      </c>
      <c r="H61" t="s">
        <v>10</v>
      </c>
      <c r="I61" t="str">
        <f t="shared" ref="I61" si="28">_xlfn.TEXTJOIN(";",TRUE,B62:E63)</f>
        <v>Jean-Michel;Marie;Guilhem;Christophe;-20;72;-4;-48</v>
      </c>
    </row>
    <row r="62" spans="1:11" x14ac:dyDescent="0.25">
      <c r="A62" t="s">
        <v>6</v>
      </c>
      <c r="B62" s="1" t="s">
        <v>49</v>
      </c>
      <c r="C62" s="1" t="s">
        <v>48</v>
      </c>
      <c r="D62" s="1" t="s">
        <v>39</v>
      </c>
      <c r="E62" s="1" t="s">
        <v>40</v>
      </c>
      <c r="F62" s="3">
        <v>45913.836087962962</v>
      </c>
      <c r="H62" t="s">
        <v>9</v>
      </c>
      <c r="I62" t="str" cm="1">
        <f t="array" ref="I62">IF(AND(Donnees!B61:F64=Check!B61:F64),"Identique","PAS IDENTIQUE")</f>
        <v>Identique</v>
      </c>
      <c r="J62" t="s">
        <v>32</v>
      </c>
      <c r="K62" t="str" cm="1">
        <f t="array" ref="K62">IF(MAX(COUNTIF(B62:E62,B62:E62)) &gt; 1, "JOUEUR EN DOUBLE", "Pas de doublons")</f>
        <v>Pas de doublons</v>
      </c>
    </row>
    <row r="63" spans="1:11" x14ac:dyDescent="0.25">
      <c r="A63" t="s">
        <v>7</v>
      </c>
      <c r="B63" s="1">
        <v>-20</v>
      </c>
      <c r="C63" s="1">
        <v>72</v>
      </c>
      <c r="D63" s="1">
        <v>-4</v>
      </c>
      <c r="E63" s="1">
        <v>-48</v>
      </c>
      <c r="H63" t="s">
        <v>33</v>
      </c>
      <c r="I63" t="str">
        <f>IF(COUNTIF(I$1:I62,I61)&gt;1,"DOUBLON LIGNE " &amp; MATCH(I61,I$1:I62,0),"Pas de doublons")</f>
        <v>Pas de doublons</v>
      </c>
      <c r="J63" t="s">
        <v>34</v>
      </c>
      <c r="K63" t="str" cm="1">
        <f t="array" ref="K63">IF(SUM(--(NOT(ISNUMBER(MATCH(B62:E62,'EMA points'!A:A,0))))) &gt; 0, "NOM INEXISTANT", "Noms ok")</f>
        <v>Noms ok</v>
      </c>
    </row>
    <row r="64" spans="1:11" x14ac:dyDescent="0.25">
      <c r="A64" t="s">
        <v>8</v>
      </c>
      <c r="B64">
        <f>Donnees!B64</f>
        <v>1</v>
      </c>
      <c r="C64">
        <f>Donnees!C64</f>
        <v>3</v>
      </c>
      <c r="D64">
        <f>Donnees!D64</f>
        <v>2</v>
      </c>
      <c r="E64">
        <f>Donnees!E64</f>
        <v>0</v>
      </c>
      <c r="H64" t="s">
        <v>11</v>
      </c>
      <c r="I64" t="str">
        <f t="shared" ref="I64" si="29">IF(SUM(B63:E63)=0, "Score ok", "SOMME NON NULLE")</f>
        <v>Score ok</v>
      </c>
    </row>
    <row r="65" spans="1:11" x14ac:dyDescent="0.25">
      <c r="A65" t="s">
        <v>5</v>
      </c>
      <c r="B65" t="s">
        <v>0</v>
      </c>
      <c r="C65" t="s">
        <v>1</v>
      </c>
      <c r="D65" t="s">
        <v>2</v>
      </c>
      <c r="E65" t="s">
        <v>3</v>
      </c>
      <c r="F65" t="str">
        <f>Donnees!F65</f>
        <v>Partie 17</v>
      </c>
      <c r="H65" t="s">
        <v>10</v>
      </c>
      <c r="I65" t="str">
        <f t="shared" ref="I65" si="30">_xlfn.TEXTJOIN(";",TRUE,B66:E67)</f>
        <v>Laurence;Delphine;Anna;Guilhem;-138;133;-49;54</v>
      </c>
    </row>
    <row r="66" spans="1:11" x14ac:dyDescent="0.25">
      <c r="A66" t="s">
        <v>6</v>
      </c>
      <c r="B66" s="1" t="s">
        <v>51</v>
      </c>
      <c r="C66" s="1" t="s">
        <v>42</v>
      </c>
      <c r="D66" s="1" t="s">
        <v>57</v>
      </c>
      <c r="E66" s="1" t="s">
        <v>39</v>
      </c>
      <c r="F66" s="3">
        <v>45913.692071759258</v>
      </c>
      <c r="H66" t="s">
        <v>9</v>
      </c>
      <c r="I66" t="str" cm="1">
        <f t="array" ref="I66">IF(AND(Donnees!B65:F68=Check!B65:F68),"Identique","PAS IDENTIQUE")</f>
        <v>Identique</v>
      </c>
      <c r="J66" t="s">
        <v>32</v>
      </c>
      <c r="K66" t="str" cm="1">
        <f t="array" ref="K66">IF(MAX(COUNTIF(B66:E66,B66:E66)) &gt; 1, "JOUEUR EN DOUBLE", "Pas de doublons")</f>
        <v>Pas de doublons</v>
      </c>
    </row>
    <row r="67" spans="1:11" x14ac:dyDescent="0.25">
      <c r="A67" t="s">
        <v>7</v>
      </c>
      <c r="B67" s="1">
        <v>-138</v>
      </c>
      <c r="C67" s="1">
        <v>133</v>
      </c>
      <c r="D67" s="1">
        <v>-49</v>
      </c>
      <c r="E67" s="1">
        <v>54</v>
      </c>
      <c r="H67" t="s">
        <v>33</v>
      </c>
      <c r="I67" t="str">
        <f>IF(COUNTIF(I$1:I66,I65)&gt;1,"DOUBLON LIGNE " &amp; MATCH(I65,I$1:I66,0),"Pas de doublons")</f>
        <v>Pas de doublons</v>
      </c>
      <c r="J67" t="s">
        <v>34</v>
      </c>
      <c r="K67" t="str" cm="1">
        <f t="array" ref="K67">IF(SUM(--(NOT(ISNUMBER(MATCH(B66:E66,'EMA points'!A:A,0))))) &gt; 0, "NOM INEXISTANT", "Noms ok")</f>
        <v>Noms ok</v>
      </c>
    </row>
    <row r="68" spans="1:11" x14ac:dyDescent="0.25">
      <c r="A68" t="s">
        <v>8</v>
      </c>
      <c r="B68">
        <f>Donnees!B68</f>
        <v>0</v>
      </c>
      <c r="C68">
        <f>Donnees!C68</f>
        <v>3</v>
      </c>
      <c r="D68">
        <f>Donnees!D68</f>
        <v>1</v>
      </c>
      <c r="E68">
        <f>Donnees!E68</f>
        <v>2</v>
      </c>
      <c r="H68" t="s">
        <v>11</v>
      </c>
      <c r="I68" t="str">
        <f t="shared" ref="I68" si="31">IF(SUM(B67:E67)=0, "Score ok", "SOMME NON NULLE")</f>
        <v>Score ok</v>
      </c>
    </row>
    <row r="69" spans="1:11" x14ac:dyDescent="0.25">
      <c r="A69" t="s">
        <v>5</v>
      </c>
      <c r="B69" t="s">
        <v>0</v>
      </c>
      <c r="C69" t="s">
        <v>1</v>
      </c>
      <c r="D69" t="s">
        <v>2</v>
      </c>
      <c r="E69" t="s">
        <v>3</v>
      </c>
      <c r="F69" t="str">
        <f>Donnees!F69</f>
        <v>Partie 18</v>
      </c>
      <c r="H69" t="s">
        <v>10</v>
      </c>
      <c r="I69" t="str">
        <f t="shared" ref="I69" si="32">_xlfn.TEXTJOIN(";",TRUE,B70:E71)</f>
        <v>Frederic;Laurence;Valerie D;Richard;-134;-126;203;57</v>
      </c>
    </row>
    <row r="70" spans="1:11" x14ac:dyDescent="0.25">
      <c r="A70" t="s">
        <v>6</v>
      </c>
      <c r="B70" s="1" t="s">
        <v>52</v>
      </c>
      <c r="C70" s="1" t="s">
        <v>51</v>
      </c>
      <c r="D70" s="1" t="s">
        <v>71</v>
      </c>
      <c r="E70" s="1" t="s">
        <v>50</v>
      </c>
      <c r="F70" s="3">
        <v>45913.835636574076</v>
      </c>
      <c r="H70" t="s">
        <v>9</v>
      </c>
      <c r="I70" t="str" cm="1">
        <f t="array" ref="I70">IF(AND(Donnees!B69:F72=Check!B69:F72),"Identique","PAS IDENTIQUE")</f>
        <v>Identique</v>
      </c>
      <c r="J70" t="s">
        <v>32</v>
      </c>
      <c r="K70" t="str" cm="1">
        <f t="array" ref="K70">IF(MAX(COUNTIF(B70:E70,B70:E70)) &gt; 1, "JOUEUR EN DOUBLE", "Pas de doublons")</f>
        <v>Pas de doublons</v>
      </c>
    </row>
    <row r="71" spans="1:11" x14ac:dyDescent="0.25">
      <c r="A71" t="s">
        <v>7</v>
      </c>
      <c r="B71" s="1">
        <v>-134</v>
      </c>
      <c r="C71" s="1">
        <v>-126</v>
      </c>
      <c r="D71" s="1">
        <v>203</v>
      </c>
      <c r="E71" s="1">
        <v>57</v>
      </c>
      <c r="H71" t="s">
        <v>33</v>
      </c>
      <c r="I71" t="str">
        <f>IF(COUNTIF(I$1:I70,I69)&gt;1,"DOUBLON LIGNE " &amp; MATCH(I69,I$1:I70,0),"Pas de doublons")</f>
        <v>Pas de doublons</v>
      </c>
      <c r="J71" t="s">
        <v>34</v>
      </c>
      <c r="K71" t="str" cm="1">
        <f t="array" ref="K71">IF(SUM(--(NOT(ISNUMBER(MATCH(B70:E70,'EMA points'!A:A,0))))) &gt; 0, "NOM INEXISTANT", "Noms ok")</f>
        <v>Noms ok</v>
      </c>
    </row>
    <row r="72" spans="1:11" x14ac:dyDescent="0.25">
      <c r="A72" t="s">
        <v>8</v>
      </c>
      <c r="B72">
        <f>Donnees!B72</f>
        <v>0</v>
      </c>
      <c r="C72">
        <f>Donnees!C72</f>
        <v>1</v>
      </c>
      <c r="D72">
        <f>Donnees!D72</f>
        <v>3</v>
      </c>
      <c r="E72">
        <f>Donnees!E72</f>
        <v>2</v>
      </c>
      <c r="H72" t="s">
        <v>11</v>
      </c>
      <c r="I72" t="str">
        <f t="shared" ref="I72" si="33">IF(SUM(B71:E71)=0, "Score ok", "SOMME NON NULLE")</f>
        <v>Score ok</v>
      </c>
    </row>
    <row r="73" spans="1:11" x14ac:dyDescent="0.25">
      <c r="A73" t="s">
        <v>5</v>
      </c>
      <c r="B73" t="s">
        <v>0</v>
      </c>
      <c r="C73" t="s">
        <v>1</v>
      </c>
      <c r="D73" t="s">
        <v>2</v>
      </c>
      <c r="E73" t="s">
        <v>3</v>
      </c>
      <c r="F73" t="str">
        <f>Donnees!F73</f>
        <v>Partie 19</v>
      </c>
      <c r="H73" t="s">
        <v>10</v>
      </c>
      <c r="I73" t="str">
        <f t="shared" ref="I73" si="34">_xlfn.TEXTJOIN(";",TRUE,B74:E75)</f>
        <v>Marie;Richard;Guilhem;Valerie D;-1;169;-123;-45</v>
      </c>
    </row>
    <row r="74" spans="1:11" x14ac:dyDescent="0.25">
      <c r="A74" t="s">
        <v>6</v>
      </c>
      <c r="B74" s="1" t="s">
        <v>48</v>
      </c>
      <c r="C74" s="1" t="s">
        <v>50</v>
      </c>
      <c r="D74" s="1" t="s">
        <v>39</v>
      </c>
      <c r="E74" s="1" t="s">
        <v>71</v>
      </c>
      <c r="F74" s="3">
        <v>45913.923703703702</v>
      </c>
      <c r="H74" t="s">
        <v>9</v>
      </c>
      <c r="I74" t="str" cm="1">
        <f t="array" ref="I74">IF(AND(Donnees!B73:F76=Check!B73:F76),"Identique","PAS IDENTIQUE")</f>
        <v>Identique</v>
      </c>
      <c r="J74" t="s">
        <v>32</v>
      </c>
      <c r="K74" t="str" cm="1">
        <f t="array" ref="K74">IF(MAX(COUNTIF(B74:E74,B74:E74)) &gt; 1, "JOUEUR EN DOUBLE", "Pas de doublons")</f>
        <v>Pas de doublons</v>
      </c>
    </row>
    <row r="75" spans="1:11" x14ac:dyDescent="0.25">
      <c r="A75" t="s">
        <v>7</v>
      </c>
      <c r="B75" s="1">
        <v>-1</v>
      </c>
      <c r="C75" s="1">
        <v>169</v>
      </c>
      <c r="D75" s="1">
        <v>-123</v>
      </c>
      <c r="E75" s="1">
        <v>-45</v>
      </c>
      <c r="H75" t="s">
        <v>33</v>
      </c>
      <c r="I75" t="str">
        <f>IF(COUNTIF(I$1:I74,I73)&gt;1,"DOUBLON LIGNE " &amp; MATCH(I73,I$1:I74,0),"Pas de doublons")</f>
        <v>Pas de doublons</v>
      </c>
      <c r="J75" t="s">
        <v>34</v>
      </c>
      <c r="K75" t="str" cm="1">
        <f t="array" ref="K75">IF(SUM(--(NOT(ISNUMBER(MATCH(B74:E74,'EMA points'!A:A,0))))) &gt; 0, "NOM INEXISTANT", "Noms ok")</f>
        <v>Noms ok</v>
      </c>
    </row>
    <row r="76" spans="1:11" x14ac:dyDescent="0.25">
      <c r="A76" t="s">
        <v>8</v>
      </c>
      <c r="B76">
        <f>Donnees!B76</f>
        <v>2</v>
      </c>
      <c r="C76">
        <f>Donnees!C76</f>
        <v>3</v>
      </c>
      <c r="D76">
        <f>Donnees!D76</f>
        <v>0</v>
      </c>
      <c r="E76">
        <f>Donnees!E76</f>
        <v>1</v>
      </c>
      <c r="H76" t="s">
        <v>11</v>
      </c>
      <c r="I76" t="str">
        <f t="shared" ref="I76" si="35">IF(SUM(B75:E75)=0, "Score ok", "SOMME NON NULLE")</f>
        <v>Score ok</v>
      </c>
    </row>
    <row r="77" spans="1:11" x14ac:dyDescent="0.25">
      <c r="A77" t="s">
        <v>5</v>
      </c>
      <c r="B77" t="s">
        <v>0</v>
      </c>
      <c r="C77" t="s">
        <v>1</v>
      </c>
      <c r="D77" t="s">
        <v>2</v>
      </c>
      <c r="E77" t="s">
        <v>3</v>
      </c>
      <c r="F77" t="str">
        <f>Donnees!F77</f>
        <v>Partie 20</v>
      </c>
      <c r="H77" t="s">
        <v>10</v>
      </c>
      <c r="I77" t="str">
        <f t="shared" ref="I77" si="36">_xlfn.TEXTJOIN(";",TRUE,B78:E79)</f>
        <v>Laurence;Christophe;Jean-Michel;Frederic;-67;-94;82;79</v>
      </c>
    </row>
    <row r="78" spans="1:11" x14ac:dyDescent="0.25">
      <c r="A78" t="s">
        <v>6</v>
      </c>
      <c r="B78" s="1" t="s">
        <v>51</v>
      </c>
      <c r="C78" s="1" t="s">
        <v>40</v>
      </c>
      <c r="D78" s="1" t="s">
        <v>49</v>
      </c>
      <c r="E78" s="1" t="s">
        <v>52</v>
      </c>
      <c r="F78" s="3">
        <v>45913.923460648148</v>
      </c>
      <c r="H78" t="s">
        <v>9</v>
      </c>
      <c r="I78" t="str" cm="1">
        <f t="array" ref="I78">IF(AND(Donnees!B77:F80=Check!B77:F80),"Identique","PAS IDENTIQUE")</f>
        <v>Identique</v>
      </c>
      <c r="J78" t="s">
        <v>32</v>
      </c>
      <c r="K78" t="str" cm="1">
        <f t="array" ref="K78">IF(MAX(COUNTIF(B78:E78,B78:E78)) &gt; 1, "JOUEUR EN DOUBLE", "Pas de doublons")</f>
        <v>Pas de doublons</v>
      </c>
    </row>
    <row r="79" spans="1:11" x14ac:dyDescent="0.25">
      <c r="A79" t="s">
        <v>7</v>
      </c>
      <c r="B79" s="1">
        <v>-67</v>
      </c>
      <c r="C79" s="1">
        <v>-94</v>
      </c>
      <c r="D79" s="1">
        <v>82</v>
      </c>
      <c r="E79" s="1">
        <v>79</v>
      </c>
      <c r="H79" t="s">
        <v>33</v>
      </c>
      <c r="I79" t="str">
        <f>IF(COUNTIF(I$1:I78,I77)&gt;1,"DOUBLON LIGNE " &amp; MATCH(I77,I$1:I78,0),"Pas de doublons")</f>
        <v>Pas de doublons</v>
      </c>
      <c r="J79" t="s">
        <v>34</v>
      </c>
      <c r="K79" t="str" cm="1">
        <f t="array" ref="K79">IF(SUM(--(NOT(ISNUMBER(MATCH(B78:E78,'EMA points'!A:A,0))))) &gt; 0, "NOM INEXISTANT", "Noms ok")</f>
        <v>Noms ok</v>
      </c>
    </row>
    <row r="80" spans="1:11" x14ac:dyDescent="0.25">
      <c r="A80" t="s">
        <v>8</v>
      </c>
      <c r="B80">
        <f>Donnees!B80</f>
        <v>1</v>
      </c>
      <c r="C80">
        <f>Donnees!C80</f>
        <v>0</v>
      </c>
      <c r="D80">
        <f>Donnees!D80</f>
        <v>3</v>
      </c>
      <c r="E80">
        <f>Donnees!E80</f>
        <v>2</v>
      </c>
      <c r="H80" t="s">
        <v>11</v>
      </c>
      <c r="I80" t="str">
        <f t="shared" ref="I80" si="37">IF(SUM(B79:E79)=0, "Score ok", "SOMME NON NULLE")</f>
        <v>Score ok</v>
      </c>
    </row>
    <row r="81" spans="1:11" x14ac:dyDescent="0.25">
      <c r="A81" t="s">
        <v>5</v>
      </c>
      <c r="B81" t="s">
        <v>0</v>
      </c>
      <c r="C81" t="s">
        <v>1</v>
      </c>
      <c r="D81" t="s">
        <v>2</v>
      </c>
      <c r="E81" t="s">
        <v>3</v>
      </c>
      <c r="F81" t="str">
        <f>Donnees!F81</f>
        <v>Partie 21</v>
      </c>
      <c r="H81" t="s">
        <v>10</v>
      </c>
      <c r="I81" t="str">
        <f t="shared" ref="I81" si="38">_xlfn.TEXTJOIN(";",TRUE,B82:E83)</f>
        <v>Marc;Sebastien;Laurence;Nathalie;35;-48;-36;49</v>
      </c>
    </row>
    <row r="82" spans="1:11" x14ac:dyDescent="0.25">
      <c r="A82" t="s">
        <v>6</v>
      </c>
      <c r="B82" s="1" t="s">
        <v>38</v>
      </c>
      <c r="C82" s="1" t="s">
        <v>46</v>
      </c>
      <c r="D82" s="1" t="s">
        <v>51</v>
      </c>
      <c r="E82" s="1" t="s">
        <v>56</v>
      </c>
      <c r="F82" s="3">
        <v>45920.590312499997</v>
      </c>
      <c r="H82" t="s">
        <v>9</v>
      </c>
      <c r="I82" t="str" cm="1">
        <f t="array" ref="I82">IF(AND(Donnees!B81:F84=Check!B81:F84),"Identique","PAS IDENTIQUE")</f>
        <v>Identique</v>
      </c>
      <c r="J82" t="s">
        <v>32</v>
      </c>
      <c r="K82" t="str" cm="1">
        <f t="array" ref="K82">IF(MAX(COUNTIF(B82:E82,B82:E82)) &gt; 1, "JOUEUR EN DOUBLE", "Pas de doublons")</f>
        <v>Pas de doublons</v>
      </c>
    </row>
    <row r="83" spans="1:11" x14ac:dyDescent="0.25">
      <c r="A83" t="s">
        <v>7</v>
      </c>
      <c r="B83" s="1">
        <v>35</v>
      </c>
      <c r="C83" s="1">
        <v>-48</v>
      </c>
      <c r="D83" s="1">
        <v>-36</v>
      </c>
      <c r="E83" s="1">
        <v>49</v>
      </c>
      <c r="H83" t="s">
        <v>33</v>
      </c>
      <c r="I83" t="str">
        <f>IF(COUNTIF(I$1:I82,I81)&gt;1,"DOUBLON LIGNE " &amp; MATCH(I81,I$1:I82,0),"Pas de doublons")</f>
        <v>Pas de doublons</v>
      </c>
      <c r="J83" t="s">
        <v>34</v>
      </c>
      <c r="K83" t="str" cm="1">
        <f t="array" ref="K83">IF(SUM(--(NOT(ISNUMBER(MATCH(B82:E82,'EMA points'!A:A,0))))) &gt; 0, "NOM INEXISTANT", "Noms ok")</f>
        <v>Noms ok</v>
      </c>
    </row>
    <row r="84" spans="1:11" x14ac:dyDescent="0.25">
      <c r="A84" t="s">
        <v>8</v>
      </c>
      <c r="B84">
        <f>Donnees!B84</f>
        <v>2</v>
      </c>
      <c r="C84">
        <f>Donnees!C84</f>
        <v>0</v>
      </c>
      <c r="D84">
        <f>Donnees!D84</f>
        <v>1</v>
      </c>
      <c r="E84">
        <f>Donnees!E84</f>
        <v>3</v>
      </c>
      <c r="H84" t="s">
        <v>11</v>
      </c>
      <c r="I84" t="str">
        <f t="shared" ref="I84" si="39">IF(SUM(B83:E83)=0, "Score ok", "SOMME NON NULLE")</f>
        <v>Score ok</v>
      </c>
    </row>
    <row r="85" spans="1:11" x14ac:dyDescent="0.25">
      <c r="A85" t="s">
        <v>5</v>
      </c>
      <c r="B85" t="s">
        <v>0</v>
      </c>
      <c r="C85" t="s">
        <v>1</v>
      </c>
      <c r="D85" t="s">
        <v>2</v>
      </c>
      <c r="E85" t="s">
        <v>3</v>
      </c>
      <c r="F85" t="str">
        <f>Donnees!F85</f>
        <v>Partie 22</v>
      </c>
      <c r="H85" t="s">
        <v>10</v>
      </c>
      <c r="I85" t="str">
        <f t="shared" ref="I85" si="40">_xlfn.TEXTJOIN(";",TRUE,B86:E87)</f>
        <v>Xavier;Matheo;Guilhem;Jean-Michel;1;-48;-11;58</v>
      </c>
    </row>
    <row r="86" spans="1:11" x14ac:dyDescent="0.25">
      <c r="A86" t="s">
        <v>6</v>
      </c>
      <c r="B86" s="1" t="s">
        <v>58</v>
      </c>
      <c r="C86" s="1" t="s">
        <v>53</v>
      </c>
      <c r="D86" s="1" t="s">
        <v>39</v>
      </c>
      <c r="E86" s="1" t="s">
        <v>49</v>
      </c>
      <c r="F86" s="3">
        <v>45920.589942129627</v>
      </c>
      <c r="H86" t="s">
        <v>9</v>
      </c>
      <c r="I86" t="str" cm="1">
        <f t="array" ref="I86">IF(AND(Donnees!B85:F88=Check!B85:F88),"Identique","PAS IDENTIQUE")</f>
        <v>Identique</v>
      </c>
      <c r="J86" t="s">
        <v>32</v>
      </c>
      <c r="K86" t="str" cm="1">
        <f t="array" ref="K86">IF(MAX(COUNTIF(B86:E86,B86:E86)) &gt; 1, "JOUEUR EN DOUBLE", "Pas de doublons")</f>
        <v>Pas de doublons</v>
      </c>
    </row>
    <row r="87" spans="1:11" x14ac:dyDescent="0.25">
      <c r="A87" t="s">
        <v>7</v>
      </c>
      <c r="B87" s="1">
        <v>1</v>
      </c>
      <c r="C87" s="1">
        <v>-48</v>
      </c>
      <c r="D87" s="1">
        <v>-11</v>
      </c>
      <c r="E87" s="1">
        <v>58</v>
      </c>
      <c r="H87" t="s">
        <v>33</v>
      </c>
      <c r="I87" t="str">
        <f>IF(COUNTIF(I$1:I86,I85)&gt;1,"DOUBLON LIGNE " &amp; MATCH(I85,I$1:I86,0),"Pas de doublons")</f>
        <v>Pas de doublons</v>
      </c>
      <c r="J87" t="s">
        <v>34</v>
      </c>
      <c r="K87" t="str" cm="1">
        <f t="array" ref="K87">IF(SUM(--(NOT(ISNUMBER(MATCH(B86:E86,'EMA points'!A:A,0))))) &gt; 0, "NOM INEXISTANT", "Noms ok")</f>
        <v>Noms ok</v>
      </c>
    </row>
    <row r="88" spans="1:11" x14ac:dyDescent="0.25">
      <c r="A88" t="s">
        <v>8</v>
      </c>
      <c r="B88">
        <f>Donnees!B88</f>
        <v>2</v>
      </c>
      <c r="C88">
        <f>Donnees!C88</f>
        <v>0</v>
      </c>
      <c r="D88">
        <f>Donnees!D88</f>
        <v>1</v>
      </c>
      <c r="E88">
        <f>Donnees!E88</f>
        <v>3</v>
      </c>
      <c r="H88" t="s">
        <v>11</v>
      </c>
      <c r="I88" t="str">
        <f t="shared" ref="I88" si="41">IF(SUM(B87:E87)=0, "Score ok", "SOMME NON NULLE")</f>
        <v>Score ok</v>
      </c>
    </row>
    <row r="89" spans="1:11" x14ac:dyDescent="0.25">
      <c r="A89" t="s">
        <v>5</v>
      </c>
      <c r="B89" t="s">
        <v>0</v>
      </c>
      <c r="C89" t="s">
        <v>1</v>
      </c>
      <c r="D89" t="s">
        <v>2</v>
      </c>
      <c r="E89" t="s">
        <v>3</v>
      </c>
      <c r="F89" t="str">
        <f>Donnees!F89</f>
        <v>Partie 23</v>
      </c>
      <c r="H89" t="s">
        <v>10</v>
      </c>
      <c r="I89" t="str">
        <f t="shared" ref="I89" si="42">_xlfn.TEXTJOIN(";",TRUE,B90:E91)</f>
        <v>Matheo;Ghislaine;Beatrice;Guilhem;1;-100;-127;226</v>
      </c>
    </row>
    <row r="90" spans="1:11" x14ac:dyDescent="0.25">
      <c r="A90" t="s">
        <v>6</v>
      </c>
      <c r="B90" s="1" t="s">
        <v>53</v>
      </c>
      <c r="C90" s="1" t="s">
        <v>43</v>
      </c>
      <c r="D90" s="1" t="s">
        <v>45</v>
      </c>
      <c r="E90" s="1" t="s">
        <v>39</v>
      </c>
      <c r="F90" s="3">
        <v>45920.694016203706</v>
      </c>
      <c r="H90" t="s">
        <v>9</v>
      </c>
      <c r="I90" t="str" cm="1">
        <f t="array" ref="I90">IF(AND(Donnees!B89:F92=Check!B89:F92),"Identique","PAS IDENTIQUE")</f>
        <v>Identique</v>
      </c>
      <c r="J90" t="s">
        <v>32</v>
      </c>
      <c r="K90" t="str" cm="1">
        <f t="array" ref="K90">IF(MAX(COUNTIF(B90:E90,B90:E90)) &gt; 1, "JOUEUR EN DOUBLE", "Pas de doublons")</f>
        <v>Pas de doublons</v>
      </c>
    </row>
    <row r="91" spans="1:11" x14ac:dyDescent="0.25">
      <c r="A91" t="s">
        <v>7</v>
      </c>
      <c r="B91" s="1">
        <v>1</v>
      </c>
      <c r="C91" s="1">
        <v>-100</v>
      </c>
      <c r="D91" s="1">
        <v>-127</v>
      </c>
      <c r="E91" s="1">
        <v>226</v>
      </c>
      <c r="H91" t="s">
        <v>33</v>
      </c>
      <c r="I91" t="str">
        <f>IF(COUNTIF(I$1:I90,I89)&gt;1,"DOUBLON LIGNE " &amp; MATCH(I89,I$1:I90,0),"Pas de doublons")</f>
        <v>Pas de doublons</v>
      </c>
      <c r="J91" t="s">
        <v>34</v>
      </c>
      <c r="K91" t="str" cm="1">
        <f t="array" ref="K91">IF(SUM(--(NOT(ISNUMBER(MATCH(B90:E90,'EMA points'!A:A,0))))) &gt; 0, "NOM INEXISTANT", "Noms ok")</f>
        <v>Noms ok</v>
      </c>
    </row>
    <row r="92" spans="1:11" x14ac:dyDescent="0.25">
      <c r="A92" t="s">
        <v>8</v>
      </c>
      <c r="B92">
        <f>Donnees!B92</f>
        <v>2</v>
      </c>
      <c r="C92">
        <f>Donnees!C92</f>
        <v>1</v>
      </c>
      <c r="D92">
        <f>Donnees!D92</f>
        <v>0</v>
      </c>
      <c r="E92">
        <f>Donnees!E92</f>
        <v>3</v>
      </c>
      <c r="H92" t="s">
        <v>11</v>
      </c>
      <c r="I92" t="str">
        <f t="shared" ref="I92" si="43">IF(SUM(B91:E91)=0, "Score ok", "SOMME NON NULLE")</f>
        <v>Score ok</v>
      </c>
    </row>
    <row r="93" spans="1:11" x14ac:dyDescent="0.25">
      <c r="A93" t="s">
        <v>5</v>
      </c>
      <c r="B93" t="s">
        <v>0</v>
      </c>
      <c r="C93" t="s">
        <v>1</v>
      </c>
      <c r="D93" t="s">
        <v>2</v>
      </c>
      <c r="E93" t="s">
        <v>3</v>
      </c>
      <c r="F93" t="str">
        <f>Donnees!F93</f>
        <v>Partie 24</v>
      </c>
      <c r="H93" t="s">
        <v>10</v>
      </c>
      <c r="I93" t="str">
        <f t="shared" ref="I93" si="44">_xlfn.TEXTJOIN(";",TRUE,B94:E95)</f>
        <v>Raphael;Nathalie;Fabienne;Jean-Michel;-41;177;-121;-15</v>
      </c>
    </row>
    <row r="94" spans="1:11" x14ac:dyDescent="0.25">
      <c r="A94" t="s">
        <v>6</v>
      </c>
      <c r="B94" s="1" t="s">
        <v>41</v>
      </c>
      <c r="C94" s="1" t="s">
        <v>56</v>
      </c>
      <c r="D94" s="1" t="s">
        <v>55</v>
      </c>
      <c r="E94" s="1" t="s">
        <v>49</v>
      </c>
      <c r="F94" s="3">
        <v>45920.834236111114</v>
      </c>
      <c r="H94" t="s">
        <v>9</v>
      </c>
      <c r="I94" t="str" cm="1">
        <f t="array" ref="I94">IF(AND(Donnees!B93:F96=Check!B93:F96),"Identique","PAS IDENTIQUE")</f>
        <v>Identique</v>
      </c>
      <c r="J94" t="s">
        <v>32</v>
      </c>
      <c r="K94" t="str" cm="1">
        <f t="array" ref="K94">IF(MAX(COUNTIF(B94:E94,B94:E94)) &gt; 1, "JOUEUR EN DOUBLE", "Pas de doublons")</f>
        <v>Pas de doublons</v>
      </c>
    </row>
    <row r="95" spans="1:11" x14ac:dyDescent="0.25">
      <c r="A95" t="s">
        <v>7</v>
      </c>
      <c r="B95" s="1">
        <v>-41</v>
      </c>
      <c r="C95" s="1">
        <v>177</v>
      </c>
      <c r="D95" s="1">
        <v>-121</v>
      </c>
      <c r="E95" s="1">
        <v>-15</v>
      </c>
      <c r="H95" t="s">
        <v>33</v>
      </c>
      <c r="I95" t="str">
        <f>IF(COUNTIF(I$1:I94,I93)&gt;1,"DOUBLON LIGNE " &amp; MATCH(I93,I$1:I94,0),"Pas de doublons")</f>
        <v>Pas de doublons</v>
      </c>
      <c r="J95" t="s">
        <v>34</v>
      </c>
      <c r="K95" t="str" cm="1">
        <f t="array" ref="K95">IF(SUM(--(NOT(ISNUMBER(MATCH(B94:E94,'EMA points'!A:A,0))))) &gt; 0, "NOM INEXISTANT", "Noms ok")</f>
        <v>Noms ok</v>
      </c>
    </row>
    <row r="96" spans="1:11" x14ac:dyDescent="0.25">
      <c r="A96" t="s">
        <v>8</v>
      </c>
      <c r="B96">
        <f>Donnees!B96</f>
        <v>1</v>
      </c>
      <c r="C96">
        <f>Donnees!C96</f>
        <v>3</v>
      </c>
      <c r="D96">
        <f>Donnees!D96</f>
        <v>0</v>
      </c>
      <c r="E96">
        <f>Donnees!E96</f>
        <v>2</v>
      </c>
      <c r="H96" t="s">
        <v>11</v>
      </c>
      <c r="I96" t="str">
        <f t="shared" ref="I96" si="45">IF(SUM(B95:E95)=0, "Score ok", "SOMME NON NULLE")</f>
        <v>Score ok</v>
      </c>
    </row>
    <row r="97" spans="1:11" x14ac:dyDescent="0.25">
      <c r="A97" t="s">
        <v>5</v>
      </c>
      <c r="B97" t="s">
        <v>0</v>
      </c>
      <c r="C97" t="s">
        <v>1</v>
      </c>
      <c r="D97" t="s">
        <v>2</v>
      </c>
      <c r="E97" t="s">
        <v>3</v>
      </c>
      <c r="F97" t="str">
        <f>Donnees!F97</f>
        <v>Partie 25</v>
      </c>
      <c r="H97" t="s">
        <v>10</v>
      </c>
      <c r="I97" t="str">
        <f t="shared" ref="I97" si="46">_xlfn.TEXTJOIN(";",TRUE,B98:E99)</f>
        <v>Delphine;Nathalie;Xavier;Jean-Michel;-51;-35;-117;203</v>
      </c>
    </row>
    <row r="98" spans="1:11" x14ac:dyDescent="0.25">
      <c r="A98" t="s">
        <v>6</v>
      </c>
      <c r="B98" s="1" t="s">
        <v>42</v>
      </c>
      <c r="C98" s="1" t="s">
        <v>56</v>
      </c>
      <c r="D98" s="1" t="s">
        <v>58</v>
      </c>
      <c r="E98" s="1" t="s">
        <v>49</v>
      </c>
      <c r="F98" s="3">
        <v>45920.693310185183</v>
      </c>
      <c r="H98" t="s">
        <v>9</v>
      </c>
      <c r="I98" t="str" cm="1">
        <f t="array" ref="I98">IF(AND(Donnees!B97:F100=Check!B97:F100),"Identique","PAS IDENTIQUE")</f>
        <v>Identique</v>
      </c>
      <c r="J98" t="s">
        <v>32</v>
      </c>
      <c r="K98" t="str" cm="1">
        <f t="array" ref="K98">IF(MAX(COUNTIF(B98:E98,B98:E98)) &gt; 1, "JOUEUR EN DOUBLE", "Pas de doublons")</f>
        <v>Pas de doublons</v>
      </c>
    </row>
    <row r="99" spans="1:11" x14ac:dyDescent="0.25">
      <c r="A99" t="s">
        <v>7</v>
      </c>
      <c r="B99" s="1">
        <v>-51</v>
      </c>
      <c r="C99" s="1">
        <v>-35</v>
      </c>
      <c r="D99" s="1">
        <v>-117</v>
      </c>
      <c r="E99" s="1">
        <v>203</v>
      </c>
      <c r="H99" t="s">
        <v>33</v>
      </c>
      <c r="I99" t="str">
        <f>IF(COUNTIF(I$1:I98,I97)&gt;1,"DOUBLON LIGNE " &amp; MATCH(I97,I$1:I98,0),"Pas de doublons")</f>
        <v>Pas de doublons</v>
      </c>
      <c r="J99" t="s">
        <v>34</v>
      </c>
      <c r="K99" t="str" cm="1">
        <f t="array" ref="K99">IF(SUM(--(NOT(ISNUMBER(MATCH(B98:E98,'EMA points'!A:A,0))))) &gt; 0, "NOM INEXISTANT", "Noms ok")</f>
        <v>Noms ok</v>
      </c>
    </row>
    <row r="100" spans="1:11" x14ac:dyDescent="0.25">
      <c r="A100" t="s">
        <v>8</v>
      </c>
      <c r="B100">
        <f>Donnees!B100</f>
        <v>1</v>
      </c>
      <c r="C100">
        <f>Donnees!C100</f>
        <v>2</v>
      </c>
      <c r="D100">
        <f>Donnees!D100</f>
        <v>0</v>
      </c>
      <c r="E100">
        <f>Donnees!E100</f>
        <v>3</v>
      </c>
      <c r="H100" t="s">
        <v>11</v>
      </c>
      <c r="I100" t="str">
        <f t="shared" ref="I100" si="47">IF(SUM(B99:E99)=0, "Score ok", "SOMME NON NULLE")</f>
        <v>Score ok</v>
      </c>
    </row>
    <row r="101" spans="1:11" x14ac:dyDescent="0.25">
      <c r="A101" t="s">
        <v>5</v>
      </c>
      <c r="B101" t="s">
        <v>0</v>
      </c>
      <c r="C101" t="s">
        <v>1</v>
      </c>
      <c r="D101" t="s">
        <v>2</v>
      </c>
      <c r="E101" t="s">
        <v>3</v>
      </c>
      <c r="F101" t="str">
        <f>Donnees!F101</f>
        <v>Partie 26</v>
      </c>
      <c r="H101" t="s">
        <v>10</v>
      </c>
      <c r="I101" t="str">
        <f t="shared" ref="I101" si="48">_xlfn.TEXTJOIN(";",TRUE,B102:E103)</f>
        <v>Christophe;Frederic;Valerie D;Victoria;61;122;-57;-126</v>
      </c>
    </row>
    <row r="102" spans="1:11" x14ac:dyDescent="0.25">
      <c r="A102" t="s">
        <v>6</v>
      </c>
      <c r="B102" s="1" t="s">
        <v>40</v>
      </c>
      <c r="C102" s="1" t="s">
        <v>52</v>
      </c>
      <c r="D102" s="1" t="s">
        <v>71</v>
      </c>
      <c r="E102" s="1" t="s">
        <v>59</v>
      </c>
      <c r="F102" s="3">
        <v>45920.834756944445</v>
      </c>
      <c r="H102" t="s">
        <v>9</v>
      </c>
      <c r="I102" t="str" cm="1">
        <f t="array" ref="I102">IF(AND(Donnees!B101:F104=Check!B101:F104),"Identique","PAS IDENTIQUE")</f>
        <v>Identique</v>
      </c>
      <c r="J102" t="s">
        <v>32</v>
      </c>
      <c r="K102" t="str" cm="1">
        <f t="array" ref="K102">IF(MAX(COUNTIF(B102:E102,B102:E102)) &gt; 1, "JOUEUR EN DOUBLE", "Pas de doublons")</f>
        <v>Pas de doublons</v>
      </c>
    </row>
    <row r="103" spans="1:11" x14ac:dyDescent="0.25">
      <c r="A103" t="s">
        <v>7</v>
      </c>
      <c r="B103" s="1">
        <v>61</v>
      </c>
      <c r="C103" s="1">
        <v>122</v>
      </c>
      <c r="D103" s="1">
        <v>-57</v>
      </c>
      <c r="E103" s="1">
        <v>-126</v>
      </c>
      <c r="H103" t="s">
        <v>33</v>
      </c>
      <c r="I103" t="str">
        <f>IF(COUNTIF(I$1:I102,I101)&gt;1,"DOUBLON LIGNE " &amp; MATCH(I101,I$1:I102,0),"Pas de doublons")</f>
        <v>Pas de doublons</v>
      </c>
      <c r="J103" t="s">
        <v>34</v>
      </c>
      <c r="K103" t="str" cm="1">
        <f t="array" ref="K103">IF(SUM(--(NOT(ISNUMBER(MATCH(B102:E102,'EMA points'!A:A,0))))) &gt; 0, "NOM INEXISTANT", "Noms ok")</f>
        <v>Noms ok</v>
      </c>
    </row>
    <row r="104" spans="1:11" x14ac:dyDescent="0.25">
      <c r="A104" t="s">
        <v>8</v>
      </c>
      <c r="B104">
        <f>Donnees!B104</f>
        <v>2</v>
      </c>
      <c r="C104">
        <f>Donnees!C104</f>
        <v>3</v>
      </c>
      <c r="D104">
        <f>Donnees!D104</f>
        <v>1</v>
      </c>
      <c r="E104">
        <f>Donnees!E104</f>
        <v>0</v>
      </c>
      <c r="H104" t="s">
        <v>11</v>
      </c>
      <c r="I104" t="str">
        <f t="shared" ref="I104" si="49">IF(SUM(B103:E103)=0, "Score ok", "SOMME NON NULLE")</f>
        <v>Score ok</v>
      </c>
    </row>
    <row r="105" spans="1:11" x14ac:dyDescent="0.25">
      <c r="A105" t="s">
        <v>5</v>
      </c>
      <c r="B105" t="s">
        <v>0</v>
      </c>
      <c r="C105" t="s">
        <v>1</v>
      </c>
      <c r="D105" t="s">
        <v>2</v>
      </c>
      <c r="E105" t="s">
        <v>3</v>
      </c>
      <c r="F105" t="str">
        <f>Donnees!F105</f>
        <v>Partie 27</v>
      </c>
      <c r="H105" t="s">
        <v>10</v>
      </c>
      <c r="I105" t="str">
        <f t="shared" ref="I105" si="50">_xlfn.TEXTJOIN(";",TRUE,B106:E107)</f>
        <v>Laurence;Guilhem;Isabelle;Marie;-69;42;157;-130</v>
      </c>
    </row>
    <row r="106" spans="1:11" x14ac:dyDescent="0.25">
      <c r="A106" t="s">
        <v>6</v>
      </c>
      <c r="B106" s="1" t="s">
        <v>51</v>
      </c>
      <c r="C106" s="1" t="s">
        <v>39</v>
      </c>
      <c r="D106" s="1" t="s">
        <v>37</v>
      </c>
      <c r="E106" s="1" t="s">
        <v>48</v>
      </c>
      <c r="F106" s="3">
        <v>45920.836689814816</v>
      </c>
      <c r="H106" t="s">
        <v>9</v>
      </c>
      <c r="I106" t="str" cm="1">
        <f t="array" ref="I106">IF(AND(Donnees!B105:F108=Check!B105:F108),"Identique","PAS IDENTIQUE")</f>
        <v>Identique</v>
      </c>
      <c r="J106" t="s">
        <v>32</v>
      </c>
      <c r="K106" t="str" cm="1">
        <f t="array" ref="K106">IF(MAX(COUNTIF(B106:E106,B106:E106)) &gt; 1, "JOUEUR EN DOUBLE", "Pas de doublons")</f>
        <v>Pas de doublons</v>
      </c>
    </row>
    <row r="107" spans="1:11" x14ac:dyDescent="0.25">
      <c r="A107" t="s">
        <v>7</v>
      </c>
      <c r="B107" s="1">
        <v>-69</v>
      </c>
      <c r="C107" s="1">
        <v>42</v>
      </c>
      <c r="D107" s="1">
        <v>157</v>
      </c>
      <c r="E107" s="1">
        <v>-130</v>
      </c>
      <c r="H107" t="s">
        <v>33</v>
      </c>
      <c r="I107" t="str">
        <f>IF(COUNTIF(I$1:I106,I105)&gt;1,"DOUBLON LIGNE " &amp; MATCH(I105,I$1:I106,0),"Pas de doublons")</f>
        <v>Pas de doublons</v>
      </c>
      <c r="J107" t="s">
        <v>34</v>
      </c>
      <c r="K107" t="str" cm="1">
        <f t="array" ref="K107">IF(SUM(--(NOT(ISNUMBER(MATCH(B106:E106,'EMA points'!A:A,0))))) &gt; 0, "NOM INEXISTANT", "Noms ok")</f>
        <v>Noms ok</v>
      </c>
    </row>
    <row r="108" spans="1:11" x14ac:dyDescent="0.25">
      <c r="A108" t="s">
        <v>8</v>
      </c>
      <c r="B108">
        <f>Donnees!B108</f>
        <v>1</v>
      </c>
      <c r="C108">
        <f>Donnees!C108</f>
        <v>2</v>
      </c>
      <c r="D108">
        <f>Donnees!D108</f>
        <v>3</v>
      </c>
      <c r="E108">
        <f>Donnees!E108</f>
        <v>0</v>
      </c>
      <c r="H108" t="s">
        <v>11</v>
      </c>
      <c r="I108" t="str">
        <f t="shared" ref="I108" si="51">IF(SUM(B107:E107)=0, "Score ok", "SOMME NON NULLE")</f>
        <v>Score ok</v>
      </c>
    </row>
    <row r="109" spans="1:11" x14ac:dyDescent="0.25">
      <c r="A109" t="s">
        <v>5</v>
      </c>
      <c r="B109" t="s">
        <v>0</v>
      </c>
      <c r="C109" t="s">
        <v>1</v>
      </c>
      <c r="D109" t="s">
        <v>2</v>
      </c>
      <c r="E109" t="s">
        <v>3</v>
      </c>
      <c r="F109" t="str">
        <f>Donnees!F109</f>
        <v>Partie 28</v>
      </c>
      <c r="H109" t="s">
        <v>10</v>
      </c>
      <c r="I109" t="str">
        <f t="shared" ref="I109" si="52">_xlfn.TEXTJOIN(";",TRUE,B110:E111)</f>
        <v>Isabelle;Frederic;Valerie D;Sebastien;-52;-19;86;-15</v>
      </c>
    </row>
    <row r="110" spans="1:11" x14ac:dyDescent="0.25">
      <c r="A110" t="s">
        <v>6</v>
      </c>
      <c r="B110" s="1" t="s">
        <v>37</v>
      </c>
      <c r="C110" s="1" t="s">
        <v>52</v>
      </c>
      <c r="D110" s="1" t="s">
        <v>71</v>
      </c>
      <c r="E110" s="1" t="s">
        <v>46</v>
      </c>
      <c r="F110" s="3">
        <v>45920.6953125</v>
      </c>
      <c r="H110" t="s">
        <v>9</v>
      </c>
      <c r="I110" t="str" cm="1">
        <f t="array" ref="I110">IF(AND(Donnees!B109:F112=Check!B109:F112),"Identique","PAS IDENTIQUE")</f>
        <v>Identique</v>
      </c>
      <c r="J110" t="s">
        <v>32</v>
      </c>
      <c r="K110" t="str" cm="1">
        <f t="array" ref="K110">IF(MAX(COUNTIF(B110:E110,B110:E110)) &gt; 1, "JOUEUR EN DOUBLE", "Pas de doublons")</f>
        <v>Pas de doublons</v>
      </c>
    </row>
    <row r="111" spans="1:11" x14ac:dyDescent="0.25">
      <c r="A111" t="s">
        <v>7</v>
      </c>
      <c r="B111" s="1">
        <v>-52</v>
      </c>
      <c r="C111" s="1">
        <v>-19</v>
      </c>
      <c r="D111" s="1">
        <v>86</v>
      </c>
      <c r="E111" s="1">
        <v>-15</v>
      </c>
      <c r="H111" t="s">
        <v>33</v>
      </c>
      <c r="I111" t="str">
        <f>IF(COUNTIF(I$1:I110,I109)&gt;1,"DOUBLON LIGNE " &amp; MATCH(I109,I$1:I110,0),"Pas de doublons")</f>
        <v>Pas de doublons</v>
      </c>
      <c r="J111" t="s">
        <v>34</v>
      </c>
      <c r="K111" t="str" cm="1">
        <f t="array" ref="K111">IF(SUM(--(NOT(ISNUMBER(MATCH(B110:E110,'EMA points'!A:A,0))))) &gt; 0, "NOM INEXISTANT", "Noms ok")</f>
        <v>Noms ok</v>
      </c>
    </row>
    <row r="112" spans="1:11" x14ac:dyDescent="0.25">
      <c r="A112" t="s">
        <v>8</v>
      </c>
      <c r="B112">
        <f>Donnees!B112</f>
        <v>0</v>
      </c>
      <c r="C112">
        <f>Donnees!C112</f>
        <v>1</v>
      </c>
      <c r="D112">
        <f>Donnees!D112</f>
        <v>3</v>
      </c>
      <c r="E112">
        <f>Donnees!E112</f>
        <v>2</v>
      </c>
      <c r="H112" t="s">
        <v>11</v>
      </c>
      <c r="I112" t="str">
        <f t="shared" ref="I112" si="53">IF(SUM(B111:E111)=0, "Score ok", "SOMME NON NULLE")</f>
        <v>Score ok</v>
      </c>
    </row>
    <row r="113" spans="1:11" x14ac:dyDescent="0.25">
      <c r="A113" t="s">
        <v>5</v>
      </c>
      <c r="B113" t="s">
        <v>0</v>
      </c>
      <c r="C113" t="s">
        <v>1</v>
      </c>
      <c r="D113" t="s">
        <v>2</v>
      </c>
      <c r="E113" t="s">
        <v>3</v>
      </c>
      <c r="F113" t="str">
        <f>Donnees!F113</f>
        <v>Partie 29</v>
      </c>
      <c r="H113" t="s">
        <v>10</v>
      </c>
      <c r="I113" t="str">
        <f t="shared" ref="I113" si="54">_xlfn.TEXTJOIN(";",TRUE,B114:E115)</f>
        <v>Nathalie;Christophe;Frederic;Victoria;29;-153;55;69</v>
      </c>
    </row>
    <row r="114" spans="1:11" x14ac:dyDescent="0.25">
      <c r="A114" t="s">
        <v>6</v>
      </c>
      <c r="B114" s="1" t="s">
        <v>56</v>
      </c>
      <c r="C114" s="1" t="s">
        <v>40</v>
      </c>
      <c r="D114" s="1" t="s">
        <v>52</v>
      </c>
      <c r="E114" s="1" t="s">
        <v>59</v>
      </c>
      <c r="F114" s="3">
        <v>45920.931354166663</v>
      </c>
      <c r="H114" t="s">
        <v>9</v>
      </c>
      <c r="I114" t="str" cm="1">
        <f t="array" ref="I114">IF(AND(Donnees!B113:F116=Check!B113:F116),"Identique","PAS IDENTIQUE")</f>
        <v>Identique</v>
      </c>
      <c r="J114" t="s">
        <v>32</v>
      </c>
      <c r="K114" t="str" cm="1">
        <f t="array" ref="K114">IF(MAX(COUNTIF(B114:E114,B114:E114)) &gt; 1, "JOUEUR EN DOUBLE", "Pas de doublons")</f>
        <v>Pas de doublons</v>
      </c>
    </row>
    <row r="115" spans="1:11" x14ac:dyDescent="0.25">
      <c r="A115" t="s">
        <v>7</v>
      </c>
      <c r="B115" s="1">
        <v>29</v>
      </c>
      <c r="C115" s="1">
        <v>-153</v>
      </c>
      <c r="D115" s="1">
        <v>55</v>
      </c>
      <c r="E115" s="1">
        <v>69</v>
      </c>
      <c r="H115" t="s">
        <v>33</v>
      </c>
      <c r="I115" t="str">
        <f>IF(COUNTIF(I$1:I114,I113)&gt;1,"DOUBLON LIGNE " &amp; MATCH(I113,I$1:I114,0),"Pas de doublons")</f>
        <v>Pas de doublons</v>
      </c>
      <c r="J115" t="s">
        <v>34</v>
      </c>
      <c r="K115" t="str" cm="1">
        <f t="array" ref="K115">IF(SUM(--(NOT(ISNUMBER(MATCH(B114:E114,'EMA points'!A:A,0))))) &gt; 0, "NOM INEXISTANT", "Noms ok")</f>
        <v>Noms ok</v>
      </c>
    </row>
    <row r="116" spans="1:11" x14ac:dyDescent="0.25">
      <c r="A116" t="s">
        <v>8</v>
      </c>
      <c r="B116">
        <f>Donnees!B116</f>
        <v>1</v>
      </c>
      <c r="C116">
        <f>Donnees!C116</f>
        <v>0</v>
      </c>
      <c r="D116">
        <f>Donnees!D116</f>
        <v>2</v>
      </c>
      <c r="E116">
        <f>Donnees!E116</f>
        <v>3</v>
      </c>
      <c r="H116" t="s">
        <v>11</v>
      </c>
      <c r="I116" t="str">
        <f t="shared" ref="I116" si="55">IF(SUM(B115:E115)=0, "Score ok", "SOMME NON NULLE")</f>
        <v>Score ok</v>
      </c>
    </row>
    <row r="117" spans="1:11" x14ac:dyDescent="0.25">
      <c r="A117" t="s">
        <v>5</v>
      </c>
      <c r="B117" t="s">
        <v>0</v>
      </c>
      <c r="C117" t="s">
        <v>1</v>
      </c>
      <c r="D117" t="s">
        <v>2</v>
      </c>
      <c r="E117" t="s">
        <v>3</v>
      </c>
      <c r="F117" t="str">
        <f>Donnees!F117</f>
        <v>Partie 30</v>
      </c>
      <c r="H117" t="s">
        <v>10</v>
      </c>
      <c r="I117" t="str">
        <f t="shared" ref="I117" si="56">_xlfn.TEXTJOIN(";",TRUE,B118:E119)</f>
        <v>Jean-Michel;Isabelle;Valerie D;Laurence;-76;74;111;-109</v>
      </c>
    </row>
    <row r="118" spans="1:11" x14ac:dyDescent="0.25">
      <c r="A118" t="s">
        <v>6</v>
      </c>
      <c r="B118" s="1" t="s">
        <v>49</v>
      </c>
      <c r="C118" s="1" t="s">
        <v>37</v>
      </c>
      <c r="D118" s="1" t="s">
        <v>71</v>
      </c>
      <c r="E118" s="1" t="s">
        <v>51</v>
      </c>
      <c r="F118" s="3">
        <v>45920.931527777779</v>
      </c>
      <c r="H118" t="s">
        <v>9</v>
      </c>
      <c r="I118" t="str" cm="1">
        <f t="array" ref="I118">IF(AND(Donnees!B117:F120=Check!B117:F120),"Identique","PAS IDENTIQUE")</f>
        <v>Identique</v>
      </c>
      <c r="J118" t="s">
        <v>32</v>
      </c>
      <c r="K118" t="str" cm="1">
        <f t="array" ref="K118">IF(MAX(COUNTIF(B118:E118,B118:E118)) &gt; 1, "JOUEUR EN DOUBLE", "Pas de doublons")</f>
        <v>Pas de doublons</v>
      </c>
    </row>
    <row r="119" spans="1:11" x14ac:dyDescent="0.25">
      <c r="A119" t="s">
        <v>7</v>
      </c>
      <c r="B119" s="1">
        <v>-76</v>
      </c>
      <c r="C119" s="1">
        <v>74</v>
      </c>
      <c r="D119" s="1">
        <v>111</v>
      </c>
      <c r="E119" s="1">
        <v>-109</v>
      </c>
      <c r="H119" t="s">
        <v>33</v>
      </c>
      <c r="I119" t="str">
        <f>IF(COUNTIF(I$1:I118,I117)&gt;1,"DOUBLON LIGNE " &amp; MATCH(I117,I$1:I118,0),"Pas de doublons")</f>
        <v>Pas de doublons</v>
      </c>
      <c r="J119" t="s">
        <v>34</v>
      </c>
      <c r="K119" t="str" cm="1">
        <f t="array" ref="K119">IF(SUM(--(NOT(ISNUMBER(MATCH(B118:E118,'EMA points'!A:A,0))))) &gt; 0, "NOM INEXISTANT", "Noms ok")</f>
        <v>Noms ok</v>
      </c>
    </row>
    <row r="120" spans="1:11" x14ac:dyDescent="0.25">
      <c r="A120" t="s">
        <v>8</v>
      </c>
      <c r="B120">
        <f>Donnees!B120</f>
        <v>1</v>
      </c>
      <c r="C120">
        <f>Donnees!C120</f>
        <v>2</v>
      </c>
      <c r="D120">
        <f>Donnees!D120</f>
        <v>3</v>
      </c>
      <c r="E120">
        <f>Donnees!E120</f>
        <v>0</v>
      </c>
      <c r="H120" t="s">
        <v>11</v>
      </c>
      <c r="I120" t="str">
        <f t="shared" ref="I120" si="57">IF(SUM(B119:E119)=0, "Score ok", "SOMME NON NULLE")</f>
        <v>Score ok</v>
      </c>
    </row>
    <row r="121" spans="1:11" x14ac:dyDescent="0.25">
      <c r="A121" t="s">
        <v>5</v>
      </c>
      <c r="B121" t="s">
        <v>0</v>
      </c>
      <c r="C121" t="s">
        <v>1</v>
      </c>
      <c r="D121" t="s">
        <v>2</v>
      </c>
      <c r="E121" t="s">
        <v>3</v>
      </c>
      <c r="F121" t="str">
        <f>Donnees!F121</f>
        <v>Partie 31</v>
      </c>
      <c r="H121" t="s">
        <v>10</v>
      </c>
      <c r="I121" t="str">
        <f t="shared" ref="I121" si="58">_xlfn.TEXTJOIN(";",TRUE,B122:E123)</f>
        <v>Guilhem;Raphael;Fabienne;Marie;-45;126;-63;-18</v>
      </c>
    </row>
    <row r="122" spans="1:11" x14ac:dyDescent="0.25">
      <c r="A122" t="s">
        <v>6</v>
      </c>
      <c r="B122" s="1" t="s">
        <v>39</v>
      </c>
      <c r="C122" s="1" t="s">
        <v>41</v>
      </c>
      <c r="D122" s="1" t="s">
        <v>55</v>
      </c>
      <c r="E122" s="1" t="s">
        <v>48</v>
      </c>
      <c r="F122" s="3">
        <v>45920.93105324074</v>
      </c>
      <c r="H122" t="s">
        <v>9</v>
      </c>
      <c r="I122" t="str" cm="1">
        <f t="array" ref="I122">IF(AND(Donnees!B121:F124=Check!B121:F124),"Identique","PAS IDENTIQUE")</f>
        <v>Identique</v>
      </c>
      <c r="J122" t="s">
        <v>32</v>
      </c>
      <c r="K122" t="str" cm="1">
        <f t="array" ref="K122">IF(MAX(COUNTIF(B122:E122,B122:E122)) &gt; 1, "JOUEUR EN DOUBLE", "Pas de doublons")</f>
        <v>Pas de doublons</v>
      </c>
    </row>
    <row r="123" spans="1:11" x14ac:dyDescent="0.25">
      <c r="A123" t="s">
        <v>7</v>
      </c>
      <c r="B123" s="1">
        <v>-45</v>
      </c>
      <c r="C123" s="1">
        <v>126</v>
      </c>
      <c r="D123" s="1">
        <v>-63</v>
      </c>
      <c r="E123" s="1">
        <v>-18</v>
      </c>
      <c r="H123" t="s">
        <v>33</v>
      </c>
      <c r="I123" t="str">
        <f>IF(COUNTIF(I$1:I122,I121)&gt;1,"DOUBLON LIGNE " &amp; MATCH(I121,I$1:I122,0),"Pas de doublons")</f>
        <v>Pas de doublons</v>
      </c>
      <c r="J123" t="s">
        <v>34</v>
      </c>
      <c r="K123" t="str" cm="1">
        <f t="array" ref="K123">IF(SUM(--(NOT(ISNUMBER(MATCH(B122:E122,'EMA points'!A:A,0))))) &gt; 0, "NOM INEXISTANT", "Noms ok")</f>
        <v>Noms ok</v>
      </c>
    </row>
    <row r="124" spans="1:11" x14ac:dyDescent="0.25">
      <c r="A124" t="s">
        <v>8</v>
      </c>
      <c r="B124">
        <f>Donnees!B124</f>
        <v>1</v>
      </c>
      <c r="C124">
        <f>Donnees!C124</f>
        <v>3</v>
      </c>
      <c r="D124">
        <f>Donnees!D124</f>
        <v>0</v>
      </c>
      <c r="E124">
        <f>Donnees!E124</f>
        <v>2</v>
      </c>
      <c r="H124" t="s">
        <v>11</v>
      </c>
      <c r="I124" t="str">
        <f t="shared" ref="I124" si="59">IF(SUM(B123:E123)=0, "Score ok", "SOMME NON NULLE")</f>
        <v>Score ok</v>
      </c>
    </row>
    <row r="125" spans="1:11" x14ac:dyDescent="0.25">
      <c r="A125" t="s">
        <v>5</v>
      </c>
      <c r="B125" t="s">
        <v>0</v>
      </c>
      <c r="C125" t="s">
        <v>1</v>
      </c>
      <c r="D125" t="s">
        <v>2</v>
      </c>
      <c r="E125" t="s">
        <v>3</v>
      </c>
      <c r="F125" t="str">
        <f>Donnees!F125</f>
        <v>Partie 32</v>
      </c>
      <c r="H125" t="s">
        <v>10</v>
      </c>
      <c r="I125" t="str">
        <f t="shared" ref="I125" si="60">_xlfn.TEXTJOIN(";",TRUE,B126:E127)</f>
        <v>Fabienne;Laurence;Francoise;Marc;94;151;-189;-56</v>
      </c>
    </row>
    <row r="126" spans="1:11" x14ac:dyDescent="0.25">
      <c r="A126" t="s">
        <v>6</v>
      </c>
      <c r="B126" s="1" t="s">
        <v>55</v>
      </c>
      <c r="C126" s="1" t="s">
        <v>51</v>
      </c>
      <c r="D126" s="1" t="s">
        <v>44</v>
      </c>
      <c r="E126" s="1" t="s">
        <v>38</v>
      </c>
      <c r="F126" s="3">
        <v>45920.694606481484</v>
      </c>
      <c r="H126" t="s">
        <v>9</v>
      </c>
      <c r="I126" t="str" cm="1">
        <f t="array" ref="I126">IF(AND(Donnees!B125:F128=Check!B125:F128),"Identique","PAS IDENTIQUE")</f>
        <v>Identique</v>
      </c>
      <c r="J126" t="s">
        <v>32</v>
      </c>
      <c r="K126" t="str" cm="1">
        <f t="array" ref="K126">IF(MAX(COUNTIF(B126:E126,B126:E126)) &gt; 1, "JOUEUR EN DOUBLE", "Pas de doublons")</f>
        <v>Pas de doublons</v>
      </c>
    </row>
    <row r="127" spans="1:11" x14ac:dyDescent="0.25">
      <c r="A127" t="s">
        <v>7</v>
      </c>
      <c r="B127" s="1">
        <v>94</v>
      </c>
      <c r="C127" s="1">
        <v>151</v>
      </c>
      <c r="D127" s="1">
        <v>-189</v>
      </c>
      <c r="E127" s="1">
        <v>-56</v>
      </c>
      <c r="H127" t="s">
        <v>33</v>
      </c>
      <c r="I127" t="str">
        <f>IF(COUNTIF(I$1:I126,I125)&gt;1,"DOUBLON LIGNE " &amp; MATCH(I125,I$1:I126,0),"Pas de doublons")</f>
        <v>Pas de doublons</v>
      </c>
      <c r="J127" t="s">
        <v>34</v>
      </c>
      <c r="K127" t="str" cm="1">
        <f t="array" ref="K127">IF(SUM(--(NOT(ISNUMBER(MATCH(B126:E126,'EMA points'!A:A,0))))) &gt; 0, "NOM INEXISTANT", "Noms ok")</f>
        <v>Noms ok</v>
      </c>
    </row>
    <row r="128" spans="1:11" x14ac:dyDescent="0.25">
      <c r="A128" t="s">
        <v>8</v>
      </c>
      <c r="B128">
        <f>Donnees!B128</f>
        <v>2</v>
      </c>
      <c r="C128">
        <f>Donnees!C128</f>
        <v>3</v>
      </c>
      <c r="D128">
        <f>Donnees!D128</f>
        <v>0</v>
      </c>
      <c r="E128">
        <f>Donnees!E128</f>
        <v>1</v>
      </c>
      <c r="H128" t="s">
        <v>11</v>
      </c>
      <c r="I128" t="str">
        <f t="shared" ref="I128" si="61">IF(SUM(B127:E127)=0, "Score ok", "SOMME NON NULLE")</f>
        <v>Score ok</v>
      </c>
    </row>
    <row r="129" spans="1:11" x14ac:dyDescent="0.25">
      <c r="A129" t="s">
        <v>5</v>
      </c>
      <c r="B129" t="s">
        <v>0</v>
      </c>
      <c r="C129" t="s">
        <v>1</v>
      </c>
      <c r="D129" t="s">
        <v>2</v>
      </c>
      <c r="E129" t="s">
        <v>3</v>
      </c>
      <c r="F129" t="str">
        <f>Donnees!F129</f>
        <v>Partie 33</v>
      </c>
      <c r="H129" t="s">
        <v>10</v>
      </c>
      <c r="I129" t="str">
        <f t="shared" ref="I129" si="62">_xlfn.TEXTJOIN(";",TRUE,B130:E131)</f>
        <v>Christophe;Binome;Frederic;Marc;76;52;120;-248</v>
      </c>
    </row>
    <row r="130" spans="1:11" x14ac:dyDescent="0.25">
      <c r="A130" t="s">
        <v>6</v>
      </c>
      <c r="B130" s="1" t="s">
        <v>40</v>
      </c>
      <c r="C130" s="1" t="s">
        <v>47</v>
      </c>
      <c r="D130" s="1" t="s">
        <v>52</v>
      </c>
      <c r="E130" s="1" t="s">
        <v>38</v>
      </c>
      <c r="F130" s="3">
        <v>45924.693298611113</v>
      </c>
      <c r="H130" t="s">
        <v>9</v>
      </c>
      <c r="I130" t="str" cm="1">
        <f t="array" ref="I130">IF(AND(Donnees!B129:F132=Check!B129:F132),"Identique","PAS IDENTIQUE")</f>
        <v>Identique</v>
      </c>
      <c r="J130" t="s">
        <v>32</v>
      </c>
      <c r="K130" t="str" cm="1">
        <f t="array" ref="K130">IF(MAX(COUNTIF(B130:E130,B130:E130)) &gt; 1, "JOUEUR EN DOUBLE", "Pas de doublons")</f>
        <v>Pas de doublons</v>
      </c>
    </row>
    <row r="131" spans="1:11" x14ac:dyDescent="0.25">
      <c r="A131" t="s">
        <v>7</v>
      </c>
      <c r="B131" s="1">
        <v>76</v>
      </c>
      <c r="C131" s="1">
        <v>52</v>
      </c>
      <c r="D131" s="1">
        <v>120</v>
      </c>
      <c r="E131" s="1">
        <v>-248</v>
      </c>
      <c r="H131" t="s">
        <v>33</v>
      </c>
      <c r="I131" t="str">
        <f>IF(COUNTIF(I$1:I130,I129)&gt;1,"DOUBLON LIGNE " &amp; MATCH(I129,I$1:I130,0),"Pas de doublons")</f>
        <v>Pas de doublons</v>
      </c>
      <c r="J131" t="s">
        <v>34</v>
      </c>
      <c r="K131" t="str" cm="1">
        <f t="array" ref="K131">IF(SUM(--(NOT(ISNUMBER(MATCH(B130:E130,'EMA points'!A:A,0))))) &gt; 0, "NOM INEXISTANT", "Noms ok")</f>
        <v>Noms ok</v>
      </c>
    </row>
    <row r="132" spans="1:11" x14ac:dyDescent="0.25">
      <c r="A132" t="s">
        <v>8</v>
      </c>
      <c r="B132">
        <f>Donnees!B132</f>
        <v>2</v>
      </c>
      <c r="C132">
        <f>Donnees!C132</f>
        <v>1</v>
      </c>
      <c r="D132">
        <f>Donnees!D132</f>
        <v>3</v>
      </c>
      <c r="E132">
        <f>Donnees!E132</f>
        <v>0</v>
      </c>
      <c r="H132" t="s">
        <v>11</v>
      </c>
      <c r="I132" t="str">
        <f t="shared" ref="I132" si="63">IF(SUM(B131:E131)=0, "Score ok", "SOMME NON NULLE")</f>
        <v>Score ok</v>
      </c>
    </row>
    <row r="133" spans="1:11" x14ac:dyDescent="0.25">
      <c r="A133" t="s">
        <v>5</v>
      </c>
      <c r="B133" t="s">
        <v>0</v>
      </c>
      <c r="C133" t="s">
        <v>1</v>
      </c>
      <c r="D133" t="s">
        <v>2</v>
      </c>
      <c r="E133" t="s">
        <v>3</v>
      </c>
      <c r="F133" t="str">
        <f>Donnees!F133</f>
        <v>Partie 34</v>
      </c>
      <c r="H133" t="s">
        <v>10</v>
      </c>
      <c r="I133" t="str">
        <f t="shared" ref="I133" si="64">_xlfn.TEXTJOIN(";",TRUE,B134:E135)</f>
        <v>Christophe;Kevin;Marc;Frederic;10;-132;-164;286</v>
      </c>
    </row>
    <row r="134" spans="1:11" x14ac:dyDescent="0.25">
      <c r="A134" t="s">
        <v>6</v>
      </c>
      <c r="B134" s="1" t="s">
        <v>40</v>
      </c>
      <c r="C134" s="1" t="s">
        <v>60</v>
      </c>
      <c r="D134" s="1" t="s">
        <v>38</v>
      </c>
      <c r="E134" s="1" t="s">
        <v>52</v>
      </c>
      <c r="F134" s="3">
        <v>45924.778819444444</v>
      </c>
      <c r="H134" t="s">
        <v>9</v>
      </c>
      <c r="I134" t="str" cm="1">
        <f t="array" ref="I134">IF(AND(Donnees!B133:F136=Check!B133:F136),"Identique","PAS IDENTIQUE")</f>
        <v>Identique</v>
      </c>
      <c r="J134" t="s">
        <v>32</v>
      </c>
      <c r="K134" t="str" cm="1">
        <f t="array" ref="K134">IF(MAX(COUNTIF(B134:E134,B134:E134)) &gt; 1, "JOUEUR EN DOUBLE", "Pas de doublons")</f>
        <v>Pas de doublons</v>
      </c>
    </row>
    <row r="135" spans="1:11" x14ac:dyDescent="0.25">
      <c r="A135" t="s">
        <v>7</v>
      </c>
      <c r="B135" s="1">
        <v>10</v>
      </c>
      <c r="C135" s="1">
        <v>-132</v>
      </c>
      <c r="D135" s="1">
        <v>-164</v>
      </c>
      <c r="E135" s="1">
        <v>286</v>
      </c>
      <c r="H135" t="s">
        <v>33</v>
      </c>
      <c r="I135" t="str">
        <f>IF(COUNTIF(I$1:I134,I133)&gt;1,"DOUBLON LIGNE " &amp; MATCH(I133,I$1:I134,0),"Pas de doublons")</f>
        <v>Pas de doublons</v>
      </c>
      <c r="J135" t="s">
        <v>34</v>
      </c>
      <c r="K135" t="str" cm="1">
        <f t="array" ref="K135">IF(SUM(--(NOT(ISNUMBER(MATCH(B134:E134,'EMA points'!A:A,0))))) &gt; 0, "NOM INEXISTANT", "Noms ok")</f>
        <v>Noms ok</v>
      </c>
    </row>
    <row r="136" spans="1:11" x14ac:dyDescent="0.25">
      <c r="A136" t="s">
        <v>8</v>
      </c>
      <c r="B136">
        <f>Donnees!B136</f>
        <v>2</v>
      </c>
      <c r="C136">
        <f>Donnees!C136</f>
        <v>1</v>
      </c>
      <c r="D136">
        <f>Donnees!D136</f>
        <v>0</v>
      </c>
      <c r="E136">
        <f>Donnees!E136</f>
        <v>3</v>
      </c>
      <c r="H136" t="s">
        <v>11</v>
      </c>
      <c r="I136" t="str">
        <f t="shared" ref="I136" si="65">IF(SUM(B135:E135)=0, "Score ok", "SOMME NON NULLE")</f>
        <v>Score ok</v>
      </c>
    </row>
    <row r="137" spans="1:11" x14ac:dyDescent="0.25">
      <c r="A137" t="s">
        <v>5</v>
      </c>
      <c r="B137" t="s">
        <v>0</v>
      </c>
      <c r="C137" t="s">
        <v>1</v>
      </c>
      <c r="D137" t="s">
        <v>2</v>
      </c>
      <c r="E137" t="s">
        <v>3</v>
      </c>
      <c r="F137" t="str">
        <f>Donnees!F137</f>
        <v>Partie 35</v>
      </c>
      <c r="H137" t="s">
        <v>10</v>
      </c>
      <c r="I137" t="str">
        <f t="shared" ref="I137" si="66">_xlfn.TEXTJOIN(";",TRUE,B138:E139)</f>
        <v>Valerie D;Marc;Christophe;Frederic;22;-120;109;-11</v>
      </c>
    </row>
    <row r="138" spans="1:11" x14ac:dyDescent="0.25">
      <c r="A138" t="s">
        <v>6</v>
      </c>
      <c r="B138" s="1" t="s">
        <v>71</v>
      </c>
      <c r="C138" s="1" t="s">
        <v>38</v>
      </c>
      <c r="D138" s="1" t="s">
        <v>40</v>
      </c>
      <c r="E138" s="1" t="s">
        <v>52</v>
      </c>
      <c r="F138" s="3">
        <v>45925.710659722223</v>
      </c>
      <c r="H138" t="s">
        <v>9</v>
      </c>
      <c r="I138" t="str" cm="1">
        <f t="array" ref="I138">IF(AND(Donnees!B137:F140=Check!B137:F140),"Identique","PAS IDENTIQUE")</f>
        <v>Identique</v>
      </c>
      <c r="J138" t="s">
        <v>32</v>
      </c>
      <c r="K138" t="str" cm="1">
        <f t="array" ref="K138">IF(MAX(COUNTIF(B138:E138,B138:E138)) &gt; 1, "JOUEUR EN DOUBLE", "Pas de doublons")</f>
        <v>Pas de doublons</v>
      </c>
    </row>
    <row r="139" spans="1:11" x14ac:dyDescent="0.25">
      <c r="A139" t="s">
        <v>7</v>
      </c>
      <c r="B139" s="1">
        <v>22</v>
      </c>
      <c r="C139" s="1">
        <v>-120</v>
      </c>
      <c r="D139" s="1">
        <v>109</v>
      </c>
      <c r="E139" s="1">
        <v>-11</v>
      </c>
      <c r="H139" t="s">
        <v>33</v>
      </c>
      <c r="I139" t="str">
        <f>IF(COUNTIF(I$1:I138,I137)&gt;1,"DOUBLON LIGNE " &amp; MATCH(I137,I$1:I138,0),"Pas de doublons")</f>
        <v>Pas de doublons</v>
      </c>
      <c r="J139" t="s">
        <v>34</v>
      </c>
      <c r="K139" t="str" cm="1">
        <f t="array" ref="K139">IF(SUM(--(NOT(ISNUMBER(MATCH(B138:E138,'EMA points'!A:A,0))))) &gt; 0, "NOM INEXISTANT", "Noms ok")</f>
        <v>Noms ok</v>
      </c>
    </row>
    <row r="140" spans="1:11" x14ac:dyDescent="0.25">
      <c r="A140" t="s">
        <v>8</v>
      </c>
      <c r="B140">
        <f>Donnees!B140</f>
        <v>2</v>
      </c>
      <c r="C140">
        <f>Donnees!C140</f>
        <v>0</v>
      </c>
      <c r="D140">
        <f>Donnees!D140</f>
        <v>3</v>
      </c>
      <c r="E140">
        <f>Donnees!E140</f>
        <v>1</v>
      </c>
      <c r="H140" t="s">
        <v>11</v>
      </c>
      <c r="I140" t="str">
        <f t="shared" ref="I140" si="67">IF(SUM(B139:E139)=0, "Score ok", "SOMME NON NULLE")</f>
        <v>Score ok</v>
      </c>
    </row>
    <row r="141" spans="1:11" x14ac:dyDescent="0.25">
      <c r="A141" t="s">
        <v>5</v>
      </c>
      <c r="B141" t="s">
        <v>0</v>
      </c>
      <c r="C141" t="s">
        <v>1</v>
      </c>
      <c r="D141" t="s">
        <v>2</v>
      </c>
      <c r="E141" t="s">
        <v>3</v>
      </c>
      <c r="F141" t="str">
        <f>Donnees!F141</f>
        <v>Partie 36</v>
      </c>
      <c r="H141" t="s">
        <v>10</v>
      </c>
      <c r="I141" t="str">
        <f t="shared" ref="I141" si="68">_xlfn.TEXTJOIN(";",TRUE,B142:E143)</f>
        <v>Christophe;Marc;Frederic;Valerie D;38;-133;135;-40</v>
      </c>
    </row>
    <row r="142" spans="1:11" x14ac:dyDescent="0.25">
      <c r="A142" t="s">
        <v>6</v>
      </c>
      <c r="B142" s="1" t="s">
        <v>40</v>
      </c>
      <c r="C142" s="1" t="s">
        <v>38</v>
      </c>
      <c r="D142" s="1" t="s">
        <v>52</v>
      </c>
      <c r="E142" s="1" t="s">
        <v>71</v>
      </c>
      <c r="F142" s="3">
        <v>45925.804814814815</v>
      </c>
      <c r="H142" t="s">
        <v>9</v>
      </c>
      <c r="I142" t="str" cm="1">
        <f t="array" ref="I142">IF(AND(Donnees!B141:F144=Check!B141:F144),"Identique","PAS IDENTIQUE")</f>
        <v>Identique</v>
      </c>
      <c r="J142" t="s">
        <v>32</v>
      </c>
      <c r="K142" t="str" cm="1">
        <f t="array" ref="K142">IF(MAX(COUNTIF(B142:E142,B142:E142)) &gt; 1, "JOUEUR EN DOUBLE", "Pas de doublons")</f>
        <v>Pas de doublons</v>
      </c>
    </row>
    <row r="143" spans="1:11" x14ac:dyDescent="0.25">
      <c r="A143" t="s">
        <v>7</v>
      </c>
      <c r="B143" s="1">
        <v>38</v>
      </c>
      <c r="C143" s="1">
        <v>-133</v>
      </c>
      <c r="D143" s="1">
        <v>135</v>
      </c>
      <c r="E143" s="1">
        <v>-40</v>
      </c>
      <c r="H143" t="s">
        <v>33</v>
      </c>
      <c r="I143" t="str">
        <f>IF(COUNTIF(I$1:I142,I141)&gt;1,"DOUBLON LIGNE " &amp; MATCH(I141,I$1:I142,0),"Pas de doublons")</f>
        <v>Pas de doublons</v>
      </c>
      <c r="J143" t="s">
        <v>34</v>
      </c>
      <c r="K143" t="str" cm="1">
        <f t="array" ref="K143">IF(SUM(--(NOT(ISNUMBER(MATCH(B142:E142,'EMA points'!A:A,0))))) &gt; 0, "NOM INEXISTANT", "Noms ok")</f>
        <v>Noms ok</v>
      </c>
    </row>
    <row r="144" spans="1:11" x14ac:dyDescent="0.25">
      <c r="A144" t="s">
        <v>8</v>
      </c>
      <c r="B144">
        <f>Donnees!B144</f>
        <v>2</v>
      </c>
      <c r="C144">
        <f>Donnees!C144</f>
        <v>0</v>
      </c>
      <c r="D144">
        <f>Donnees!D144</f>
        <v>3</v>
      </c>
      <c r="E144">
        <f>Donnees!E144</f>
        <v>1</v>
      </c>
      <c r="H144" t="s">
        <v>11</v>
      </c>
      <c r="I144" t="str">
        <f t="shared" ref="I144" si="69">IF(SUM(B143:E143)=0, "Score ok", "SOMME NON NULLE")</f>
        <v>Score ok</v>
      </c>
    </row>
    <row r="145" spans="1:11" x14ac:dyDescent="0.25">
      <c r="A145" t="s">
        <v>5</v>
      </c>
      <c r="B145" t="s">
        <v>0</v>
      </c>
      <c r="C145" t="s">
        <v>1</v>
      </c>
      <c r="D145" t="s">
        <v>2</v>
      </c>
      <c r="E145" t="s">
        <v>3</v>
      </c>
      <c r="F145" t="str">
        <f>Donnees!F145</f>
        <v>Partie 37</v>
      </c>
      <c r="H145" t="s">
        <v>10</v>
      </c>
      <c r="I145" t="str">
        <f t="shared" ref="I145" si="70">_xlfn.TEXTJOIN(";",TRUE,B146:E147)</f>
        <v>Sebastien;Jean-Michel;Marc;Nathalie;-72;195;-63;-60</v>
      </c>
    </row>
    <row r="146" spans="1:11" x14ac:dyDescent="0.25">
      <c r="A146" t="s">
        <v>6</v>
      </c>
      <c r="B146" s="1" t="s">
        <v>46</v>
      </c>
      <c r="C146" s="1" t="s">
        <v>49</v>
      </c>
      <c r="D146" s="1" t="s">
        <v>38</v>
      </c>
      <c r="E146" s="1" t="s">
        <v>56</v>
      </c>
      <c r="F146" s="3">
        <v>45927.592199074075</v>
      </c>
      <c r="H146" t="s">
        <v>9</v>
      </c>
      <c r="I146" t="str" cm="1">
        <f t="array" ref="I146">IF(AND(Donnees!B145:F148=Check!B145:F148),"Identique","PAS IDENTIQUE")</f>
        <v>Identique</v>
      </c>
      <c r="J146" t="s">
        <v>32</v>
      </c>
      <c r="K146" t="str" cm="1">
        <f t="array" ref="K146">IF(MAX(COUNTIF(B146:E146,B146:E146)) &gt; 1, "JOUEUR EN DOUBLE", "Pas de doublons")</f>
        <v>Pas de doublons</v>
      </c>
    </row>
    <row r="147" spans="1:11" x14ac:dyDescent="0.25">
      <c r="A147" t="s">
        <v>7</v>
      </c>
      <c r="B147" s="1">
        <v>-72</v>
      </c>
      <c r="C147" s="1">
        <v>195</v>
      </c>
      <c r="D147" s="1">
        <v>-63</v>
      </c>
      <c r="E147" s="1">
        <v>-60</v>
      </c>
      <c r="H147" t="s">
        <v>33</v>
      </c>
      <c r="I147" t="str">
        <f>IF(COUNTIF(I$1:I146,I145)&gt;1,"DOUBLON LIGNE " &amp; MATCH(I145,I$1:I146,0),"Pas de doublons")</f>
        <v>Pas de doublons</v>
      </c>
      <c r="J147" t="s">
        <v>34</v>
      </c>
      <c r="K147" t="str" cm="1">
        <f t="array" ref="K147">IF(SUM(--(NOT(ISNUMBER(MATCH(B146:E146,'EMA points'!A:A,0))))) &gt; 0, "NOM INEXISTANT", "Noms ok")</f>
        <v>Noms ok</v>
      </c>
    </row>
    <row r="148" spans="1:11" x14ac:dyDescent="0.25">
      <c r="A148" t="s">
        <v>8</v>
      </c>
      <c r="B148">
        <f>Donnees!B148</f>
        <v>0</v>
      </c>
      <c r="C148">
        <f>Donnees!C148</f>
        <v>3</v>
      </c>
      <c r="D148">
        <f>Donnees!D148</f>
        <v>1</v>
      </c>
      <c r="E148">
        <f>Donnees!E148</f>
        <v>2</v>
      </c>
      <c r="H148" t="s">
        <v>11</v>
      </c>
      <c r="I148" t="str">
        <f t="shared" ref="I148" si="71">IF(SUM(B147:E147)=0, "Score ok", "SOMME NON NULLE")</f>
        <v>Score ok</v>
      </c>
    </row>
    <row r="149" spans="1:11" x14ac:dyDescent="0.25">
      <c r="A149" t="s">
        <v>5</v>
      </c>
      <c r="B149" t="s">
        <v>0</v>
      </c>
      <c r="C149" t="s">
        <v>1</v>
      </c>
      <c r="D149" t="s">
        <v>2</v>
      </c>
      <c r="E149" t="s">
        <v>3</v>
      </c>
      <c r="F149" t="str">
        <f>Donnees!F149</f>
        <v>Partie 38</v>
      </c>
      <c r="H149" t="s">
        <v>10</v>
      </c>
      <c r="I149" t="str">
        <f t="shared" ref="I149" si="72">_xlfn.TEXTJOIN(";",TRUE,B150:E151)</f>
        <v>Valerie D;Laurence;Frederic;Kevin;202;-182;158;-178</v>
      </c>
    </row>
    <row r="150" spans="1:11" x14ac:dyDescent="0.25">
      <c r="A150" t="s">
        <v>6</v>
      </c>
      <c r="B150" s="1" t="s">
        <v>71</v>
      </c>
      <c r="C150" s="1" t="s">
        <v>51</v>
      </c>
      <c r="D150" s="1" t="s">
        <v>52</v>
      </c>
      <c r="E150" s="1" t="s">
        <v>60</v>
      </c>
      <c r="F150" s="3">
        <v>45927.697650462964</v>
      </c>
      <c r="H150" t="s">
        <v>9</v>
      </c>
      <c r="I150" t="str" cm="1">
        <f t="array" ref="I150">IF(AND(Donnees!B149:F152=Check!B149:F152),"Identique","PAS IDENTIQUE")</f>
        <v>Identique</v>
      </c>
      <c r="J150" t="s">
        <v>32</v>
      </c>
      <c r="K150" t="str" cm="1">
        <f t="array" ref="K150">IF(MAX(COUNTIF(B150:E150,B150:E150)) &gt; 1, "JOUEUR EN DOUBLE", "Pas de doublons")</f>
        <v>Pas de doublons</v>
      </c>
    </row>
    <row r="151" spans="1:11" x14ac:dyDescent="0.25">
      <c r="A151" t="s">
        <v>7</v>
      </c>
      <c r="B151" s="1">
        <v>202</v>
      </c>
      <c r="C151" s="1">
        <v>-182</v>
      </c>
      <c r="D151" s="1">
        <v>158</v>
      </c>
      <c r="E151" s="1">
        <v>-178</v>
      </c>
      <c r="H151" t="s">
        <v>33</v>
      </c>
      <c r="I151" t="str">
        <f>IF(COUNTIF(I$1:I150,I149)&gt;1,"DOUBLON LIGNE " &amp; MATCH(I149,I$1:I150,0),"Pas de doublons")</f>
        <v>Pas de doublons</v>
      </c>
      <c r="J151" t="s">
        <v>34</v>
      </c>
      <c r="K151" t="str" cm="1">
        <f t="array" ref="K151">IF(SUM(--(NOT(ISNUMBER(MATCH(B150:E150,'EMA points'!A:A,0))))) &gt; 0, "NOM INEXISTANT", "Noms ok")</f>
        <v>Noms ok</v>
      </c>
    </row>
    <row r="152" spans="1:11" x14ac:dyDescent="0.25">
      <c r="A152" t="s">
        <v>8</v>
      </c>
      <c r="B152">
        <f>Donnees!B152</f>
        <v>3</v>
      </c>
      <c r="C152">
        <f>Donnees!C152</f>
        <v>0</v>
      </c>
      <c r="D152">
        <f>Donnees!D152</f>
        <v>2</v>
      </c>
      <c r="E152">
        <f>Donnees!E152</f>
        <v>1</v>
      </c>
      <c r="H152" t="s">
        <v>11</v>
      </c>
      <c r="I152" t="str">
        <f t="shared" ref="I152" si="73">IF(SUM(B151:E151)=0, "Score ok", "SOMME NON NULLE")</f>
        <v>Score ok</v>
      </c>
    </row>
    <row r="153" spans="1:11" x14ac:dyDescent="0.25">
      <c r="A153" t="s">
        <v>5</v>
      </c>
      <c r="B153" t="s">
        <v>0</v>
      </c>
      <c r="C153" t="s">
        <v>1</v>
      </c>
      <c r="D153" t="s">
        <v>2</v>
      </c>
      <c r="E153" t="s">
        <v>3</v>
      </c>
      <c r="F153" t="str">
        <f>Donnees!F153</f>
        <v>Partie 39</v>
      </c>
      <c r="H153" t="s">
        <v>10</v>
      </c>
      <c r="I153" t="str">
        <f t="shared" ref="I153" si="74">_xlfn.TEXTJOIN(";",TRUE,B154:E155)</f>
        <v>Sebastien;Fabienne;Francoise;Isabelle;-78;-102;-132;312</v>
      </c>
    </row>
    <row r="154" spans="1:11" x14ac:dyDescent="0.25">
      <c r="A154" t="s">
        <v>6</v>
      </c>
      <c r="B154" s="1" t="s">
        <v>46</v>
      </c>
      <c r="C154" s="1" t="s">
        <v>55</v>
      </c>
      <c r="D154" s="1" t="s">
        <v>44</v>
      </c>
      <c r="E154" s="1" t="s">
        <v>37</v>
      </c>
      <c r="F154" s="3">
        <v>45927.696898148148</v>
      </c>
      <c r="H154" t="s">
        <v>9</v>
      </c>
      <c r="I154" t="str" cm="1">
        <f t="array" ref="I154">IF(AND(Donnees!B153:F156=Check!B153:F156),"Identique","PAS IDENTIQUE")</f>
        <v>Identique</v>
      </c>
      <c r="J154" t="s">
        <v>32</v>
      </c>
      <c r="K154" t="str" cm="1">
        <f t="array" ref="K154">IF(MAX(COUNTIF(B154:E154,B154:E154)) &gt; 1, "JOUEUR EN DOUBLE", "Pas de doublons")</f>
        <v>Pas de doublons</v>
      </c>
    </row>
    <row r="155" spans="1:11" x14ac:dyDescent="0.25">
      <c r="A155" t="s">
        <v>7</v>
      </c>
      <c r="B155" s="1">
        <v>-78</v>
      </c>
      <c r="C155" s="1">
        <v>-102</v>
      </c>
      <c r="D155" s="1">
        <v>-132</v>
      </c>
      <c r="E155" s="1">
        <v>312</v>
      </c>
      <c r="H155" t="s">
        <v>33</v>
      </c>
      <c r="I155" t="str">
        <f>IF(COUNTIF(I$1:I154,I153)&gt;1,"DOUBLON LIGNE " &amp; MATCH(I153,I$1:I154,0),"Pas de doublons")</f>
        <v>Pas de doublons</v>
      </c>
      <c r="J155" t="s">
        <v>34</v>
      </c>
      <c r="K155" t="str" cm="1">
        <f t="array" ref="K155">IF(SUM(--(NOT(ISNUMBER(MATCH(B154:E154,'EMA points'!A:A,0))))) &gt; 0, "NOM INEXISTANT", "Noms ok")</f>
        <v>Noms ok</v>
      </c>
    </row>
    <row r="156" spans="1:11" x14ac:dyDescent="0.25">
      <c r="A156" t="s">
        <v>8</v>
      </c>
      <c r="B156">
        <f>Donnees!B156</f>
        <v>2</v>
      </c>
      <c r="C156">
        <f>Donnees!C156</f>
        <v>1</v>
      </c>
      <c r="D156">
        <f>Donnees!D156</f>
        <v>0</v>
      </c>
      <c r="E156">
        <f>Donnees!E156</f>
        <v>3</v>
      </c>
      <c r="H156" t="s">
        <v>11</v>
      </c>
      <c r="I156" t="str">
        <f t="shared" ref="I156" si="75">IF(SUM(B155:E155)=0, "Score ok", "SOMME NON NULLE")</f>
        <v>Score ok</v>
      </c>
    </row>
    <row r="157" spans="1:11" x14ac:dyDescent="0.25">
      <c r="A157" t="s">
        <v>5</v>
      </c>
      <c r="B157" t="s">
        <v>0</v>
      </c>
      <c r="C157" t="s">
        <v>1</v>
      </c>
      <c r="D157" t="s">
        <v>2</v>
      </c>
      <c r="E157" t="s">
        <v>3</v>
      </c>
      <c r="F157" t="str">
        <f>Donnees!F157</f>
        <v>Partie 40</v>
      </c>
      <c r="H157" t="s">
        <v>10</v>
      </c>
      <c r="I157" t="str">
        <f t="shared" ref="I157" si="76">_xlfn.TEXTJOIN(";",TRUE,B158:E159)</f>
        <v>Nathalie;Marc;Jean-Michel;Delphine;-48;-30;100;-22</v>
      </c>
    </row>
    <row r="158" spans="1:11" x14ac:dyDescent="0.25">
      <c r="A158" t="s">
        <v>6</v>
      </c>
      <c r="B158" s="1" t="s">
        <v>56</v>
      </c>
      <c r="C158" s="1" t="s">
        <v>38</v>
      </c>
      <c r="D158" s="1" t="s">
        <v>49</v>
      </c>
      <c r="E158" s="1" t="s">
        <v>42</v>
      </c>
      <c r="F158" s="3">
        <v>45927.697187500002</v>
      </c>
      <c r="H158" t="s">
        <v>9</v>
      </c>
      <c r="I158" t="str" cm="1">
        <f t="array" ref="I158">IF(AND(Donnees!B157:F160=Check!B157:F160),"Identique","PAS IDENTIQUE")</f>
        <v>Identique</v>
      </c>
      <c r="J158" t="s">
        <v>32</v>
      </c>
      <c r="K158" t="str" cm="1">
        <f t="array" ref="K158">IF(MAX(COUNTIF(B158:E158,B158:E158)) &gt; 1, "JOUEUR EN DOUBLE", "Pas de doublons")</f>
        <v>Pas de doublons</v>
      </c>
    </row>
    <row r="159" spans="1:11" x14ac:dyDescent="0.25">
      <c r="A159" t="s">
        <v>7</v>
      </c>
      <c r="B159" s="1">
        <v>-48</v>
      </c>
      <c r="C159" s="1">
        <v>-30</v>
      </c>
      <c r="D159" s="1">
        <v>100</v>
      </c>
      <c r="E159" s="1">
        <v>-22</v>
      </c>
      <c r="H159" t="s">
        <v>33</v>
      </c>
      <c r="I159" t="str">
        <f>IF(COUNTIF(I$1:I158,I157)&gt;1,"DOUBLON LIGNE " &amp; MATCH(I157,I$1:I158,0),"Pas de doublons")</f>
        <v>Pas de doublons</v>
      </c>
      <c r="J159" t="s">
        <v>34</v>
      </c>
      <c r="K159" t="str" cm="1">
        <f t="array" ref="K159">IF(SUM(--(NOT(ISNUMBER(MATCH(B158:E158,'EMA points'!A:A,0))))) &gt; 0, "NOM INEXISTANT", "Noms ok")</f>
        <v>Noms ok</v>
      </c>
    </row>
    <row r="160" spans="1:11" x14ac:dyDescent="0.25">
      <c r="A160" t="s">
        <v>8</v>
      </c>
      <c r="B160">
        <f>Donnees!B160</f>
        <v>0</v>
      </c>
      <c r="C160">
        <f>Donnees!C160</f>
        <v>1</v>
      </c>
      <c r="D160">
        <f>Donnees!D160</f>
        <v>3</v>
      </c>
      <c r="E160">
        <f>Donnees!E160</f>
        <v>2</v>
      </c>
      <c r="H160" t="s">
        <v>11</v>
      </c>
      <c r="I160" t="str">
        <f t="shared" ref="I160" si="77">IF(SUM(B159:E159)=0, "Score ok", "SOMME NON NULLE")</f>
        <v>Score ok</v>
      </c>
    </row>
    <row r="161" spans="1:11" x14ac:dyDescent="0.25">
      <c r="A161" t="s">
        <v>5</v>
      </c>
      <c r="B161" t="s">
        <v>0</v>
      </c>
      <c r="C161" t="s">
        <v>1</v>
      </c>
      <c r="D161" t="s">
        <v>2</v>
      </c>
      <c r="E161" t="s">
        <v>3</v>
      </c>
      <c r="F161" t="str">
        <f>Donnees!F161</f>
        <v>Partie 41</v>
      </c>
      <c r="H161" t="s">
        <v>10</v>
      </c>
      <c r="I161" t="str">
        <f t="shared" ref="I161" si="78">_xlfn.TEXTJOIN(";",TRUE,B162:E163)</f>
        <v>Laurence;Francoise;Fabienne;Delphine;-128;14;44;70</v>
      </c>
    </row>
    <row r="162" spans="1:11" x14ac:dyDescent="0.25">
      <c r="A162" t="s">
        <v>6</v>
      </c>
      <c r="B162" s="1" t="s">
        <v>51</v>
      </c>
      <c r="C162" s="1" t="s">
        <v>44</v>
      </c>
      <c r="D162" s="1" t="s">
        <v>55</v>
      </c>
      <c r="E162" s="1" t="s">
        <v>42</v>
      </c>
      <c r="F162" s="3">
        <v>45927.59270833333</v>
      </c>
      <c r="H162" t="s">
        <v>9</v>
      </c>
      <c r="I162" t="str" cm="1">
        <f t="array" ref="I162">IF(AND(Donnees!B161:F164=Check!B161:F164),"Identique","PAS IDENTIQUE")</f>
        <v>Identique</v>
      </c>
      <c r="J162" t="s">
        <v>32</v>
      </c>
      <c r="K162" t="str" cm="1">
        <f t="array" ref="K162">IF(MAX(COUNTIF(B162:E162,B162:E162)) &gt; 1, "JOUEUR EN DOUBLE", "Pas de doublons")</f>
        <v>Pas de doublons</v>
      </c>
    </row>
    <row r="163" spans="1:11" x14ac:dyDescent="0.25">
      <c r="A163" t="s">
        <v>7</v>
      </c>
      <c r="B163" s="1">
        <v>-128</v>
      </c>
      <c r="C163" s="1">
        <v>14</v>
      </c>
      <c r="D163" s="1">
        <v>44</v>
      </c>
      <c r="E163" s="1">
        <v>70</v>
      </c>
      <c r="H163" t="s">
        <v>33</v>
      </c>
      <c r="I163" t="str">
        <f>IF(COUNTIF(I$1:I162,I161)&gt;1,"DOUBLON LIGNE " &amp; MATCH(I161,I$1:I162,0),"Pas de doublons")</f>
        <v>Pas de doublons</v>
      </c>
      <c r="J163" t="s">
        <v>34</v>
      </c>
      <c r="K163" t="str" cm="1">
        <f t="array" ref="K163">IF(SUM(--(NOT(ISNUMBER(MATCH(B162:E162,'EMA points'!A:A,0))))) &gt; 0, "NOM INEXISTANT", "Noms ok")</f>
        <v>Noms ok</v>
      </c>
    </row>
    <row r="164" spans="1:11" x14ac:dyDescent="0.25">
      <c r="A164" t="s">
        <v>8</v>
      </c>
      <c r="B164">
        <f>Donnees!B164</f>
        <v>0</v>
      </c>
      <c r="C164">
        <f>Donnees!C164</f>
        <v>1</v>
      </c>
      <c r="D164">
        <f>Donnees!D164</f>
        <v>2</v>
      </c>
      <c r="E164">
        <f>Donnees!E164</f>
        <v>3</v>
      </c>
      <c r="H164" t="s">
        <v>11</v>
      </c>
      <c r="I164" t="str">
        <f t="shared" ref="I164" si="79">IF(SUM(B163:E163)=0, "Score ok", "SOMME NON NULLE")</f>
        <v>Score ok</v>
      </c>
    </row>
    <row r="165" spans="1:11" x14ac:dyDescent="0.25">
      <c r="A165" t="s">
        <v>5</v>
      </c>
      <c r="B165" t="s">
        <v>0</v>
      </c>
      <c r="C165" t="s">
        <v>1</v>
      </c>
      <c r="D165" t="s">
        <v>2</v>
      </c>
      <c r="E165" t="s">
        <v>3</v>
      </c>
      <c r="F165" t="str">
        <f>Donnees!F165</f>
        <v>Partie 42</v>
      </c>
      <c r="H165" t="s">
        <v>10</v>
      </c>
      <c r="I165" t="str">
        <f t="shared" ref="I165" si="80">_xlfn.TEXTJOIN(";",TRUE,B166:E167)</f>
        <v>Marie;Valerie D;Jean-Michel;Laurence;-68;73;100;-105</v>
      </c>
    </row>
    <row r="166" spans="1:11" x14ac:dyDescent="0.25">
      <c r="A166" t="s">
        <v>6</v>
      </c>
      <c r="B166" s="1" t="s">
        <v>48</v>
      </c>
      <c r="C166" s="1" t="s">
        <v>71</v>
      </c>
      <c r="D166" s="1" t="s">
        <v>49</v>
      </c>
      <c r="E166" s="1" t="s">
        <v>51</v>
      </c>
      <c r="F166" s="3">
        <v>45927.858159722222</v>
      </c>
      <c r="H166" t="s">
        <v>9</v>
      </c>
      <c r="I166" t="str" cm="1">
        <f t="array" ref="I166">IF(AND(Donnees!B165:F168=Check!B165:F168),"Identique","PAS IDENTIQUE")</f>
        <v>Identique</v>
      </c>
      <c r="J166" t="s">
        <v>32</v>
      </c>
      <c r="K166" t="str" cm="1">
        <f t="array" ref="K166">IF(MAX(COUNTIF(B166:E166,B166:E166)) &gt; 1, "JOUEUR EN DOUBLE", "Pas de doublons")</f>
        <v>Pas de doublons</v>
      </c>
    </row>
    <row r="167" spans="1:11" x14ac:dyDescent="0.25">
      <c r="A167" t="s">
        <v>7</v>
      </c>
      <c r="B167" s="1">
        <v>-68</v>
      </c>
      <c r="C167" s="1">
        <v>73</v>
      </c>
      <c r="D167" s="1">
        <v>100</v>
      </c>
      <c r="E167" s="1">
        <v>-105</v>
      </c>
      <c r="H167" t="s">
        <v>33</v>
      </c>
      <c r="I167" t="str">
        <f>IF(COUNTIF(I$1:I166,I165)&gt;1,"DOUBLON LIGNE " &amp; MATCH(I165,I$1:I166,0),"Pas de doublons")</f>
        <v>Pas de doublons</v>
      </c>
      <c r="J167" t="s">
        <v>34</v>
      </c>
      <c r="K167" t="str" cm="1">
        <f t="array" ref="K167">IF(SUM(--(NOT(ISNUMBER(MATCH(B166:E166,'EMA points'!A:A,0))))) &gt; 0, "NOM INEXISTANT", "Noms ok")</f>
        <v>Noms ok</v>
      </c>
    </row>
    <row r="168" spans="1:11" x14ac:dyDescent="0.25">
      <c r="A168" t="s">
        <v>8</v>
      </c>
      <c r="B168">
        <f>Donnees!B168</f>
        <v>1</v>
      </c>
      <c r="C168">
        <f>Donnees!C168</f>
        <v>2</v>
      </c>
      <c r="D168">
        <f>Donnees!D168</f>
        <v>3</v>
      </c>
      <c r="E168">
        <f>Donnees!E168</f>
        <v>0</v>
      </c>
      <c r="H168" t="s">
        <v>11</v>
      </c>
      <c r="I168" t="str">
        <f t="shared" ref="I168" si="81">IF(SUM(B167:E167)=0, "Score ok", "SOMME NON NULLE")</f>
        <v>Score ok</v>
      </c>
    </row>
    <row r="169" spans="1:11" x14ac:dyDescent="0.25">
      <c r="A169" t="s">
        <v>5</v>
      </c>
      <c r="B169" t="s">
        <v>0</v>
      </c>
      <c r="C169" t="s">
        <v>1</v>
      </c>
      <c r="D169" t="s">
        <v>2</v>
      </c>
      <c r="E169" t="s">
        <v>3</v>
      </c>
      <c r="F169" t="str">
        <f>Donnees!F169</f>
        <v>Partie 43</v>
      </c>
      <c r="H169" t="s">
        <v>10</v>
      </c>
      <c r="I169" t="str">
        <f t="shared" ref="I169" si="82">_xlfn.TEXTJOIN(";",TRUE,B170:E171)</f>
        <v>Kevin;Christophe;Isabelle;Frederic;32;23;-60;5</v>
      </c>
    </row>
    <row r="170" spans="1:11" x14ac:dyDescent="0.25">
      <c r="A170" t="s">
        <v>6</v>
      </c>
      <c r="B170" s="1" t="s">
        <v>60</v>
      </c>
      <c r="C170" s="1" t="s">
        <v>40</v>
      </c>
      <c r="D170" s="1" t="s">
        <v>37</v>
      </c>
      <c r="E170" s="1" t="s">
        <v>52</v>
      </c>
      <c r="F170" s="3">
        <v>45927.860451388886</v>
      </c>
      <c r="H170" t="s">
        <v>9</v>
      </c>
      <c r="I170" t="str" cm="1">
        <f t="array" ref="I170">IF(AND(Donnees!B169:F172=Check!B169:F172),"Identique","PAS IDENTIQUE")</f>
        <v>Identique</v>
      </c>
      <c r="J170" t="s">
        <v>32</v>
      </c>
      <c r="K170" t="str" cm="1">
        <f t="array" ref="K170">IF(MAX(COUNTIF(B170:E170,B170:E170)) &gt; 1, "JOUEUR EN DOUBLE", "Pas de doublons")</f>
        <v>Pas de doublons</v>
      </c>
    </row>
    <row r="171" spans="1:11" x14ac:dyDescent="0.25">
      <c r="A171" t="s">
        <v>7</v>
      </c>
      <c r="B171" s="1">
        <v>32</v>
      </c>
      <c r="C171" s="1">
        <v>23</v>
      </c>
      <c r="D171" s="1">
        <v>-60</v>
      </c>
      <c r="E171" s="1">
        <v>5</v>
      </c>
      <c r="H171" t="s">
        <v>33</v>
      </c>
      <c r="I171" t="str">
        <f>IF(COUNTIF(I$1:I170,I169)&gt;1,"DOUBLON LIGNE " &amp; MATCH(I169,I$1:I170,0),"Pas de doublons")</f>
        <v>Pas de doublons</v>
      </c>
      <c r="J171" t="s">
        <v>34</v>
      </c>
      <c r="K171" t="str" cm="1">
        <f t="array" ref="K171">IF(SUM(--(NOT(ISNUMBER(MATCH(B170:E170,'EMA points'!A:A,0))))) &gt; 0, "NOM INEXISTANT", "Noms ok")</f>
        <v>Noms ok</v>
      </c>
    </row>
    <row r="172" spans="1:11" x14ac:dyDescent="0.25">
      <c r="A172" t="s">
        <v>8</v>
      </c>
      <c r="B172">
        <f>Donnees!B172</f>
        <v>3</v>
      </c>
      <c r="C172">
        <f>Donnees!C172</f>
        <v>2</v>
      </c>
      <c r="D172">
        <f>Donnees!D172</f>
        <v>0</v>
      </c>
      <c r="E172">
        <f>Donnees!E172</f>
        <v>1</v>
      </c>
      <c r="H172" t="s">
        <v>11</v>
      </c>
      <c r="I172" t="str">
        <f t="shared" ref="I172" si="83">IF(SUM(B171:E171)=0, "Score ok", "SOMME NON NULLE")</f>
        <v>Score ok</v>
      </c>
    </row>
    <row r="173" spans="1:11" x14ac:dyDescent="0.25">
      <c r="A173" t="s">
        <v>5</v>
      </c>
      <c r="B173" t="s">
        <v>0</v>
      </c>
      <c r="C173" t="s">
        <v>1</v>
      </c>
      <c r="D173" t="s">
        <v>2</v>
      </c>
      <c r="E173" t="s">
        <v>3</v>
      </c>
      <c r="F173" t="str">
        <f>Donnees!F173</f>
        <v>Partie 44</v>
      </c>
      <c r="H173" t="s">
        <v>10</v>
      </c>
      <c r="I173" t="str">
        <f t="shared" ref="I173" si="84">_xlfn.TEXTJOIN(";",TRUE,B174:E175)</f>
        <v>Raphael;Christophe;Frederic;Delphine;-56;46;77;-67</v>
      </c>
    </row>
    <row r="174" spans="1:11" x14ac:dyDescent="0.25">
      <c r="A174" t="s">
        <v>6</v>
      </c>
      <c r="B174" s="1" t="s">
        <v>41</v>
      </c>
      <c r="C174" s="1" t="s">
        <v>40</v>
      </c>
      <c r="D174" s="1" t="s">
        <v>52</v>
      </c>
      <c r="E174" s="1" t="s">
        <v>42</v>
      </c>
      <c r="F174" s="3">
        <v>45931.674340277779</v>
      </c>
      <c r="H174" t="s">
        <v>9</v>
      </c>
      <c r="I174" t="str" cm="1">
        <f t="array" ref="I174">IF(AND(Donnees!B173:F176=Check!B173:F176),"Identique","PAS IDENTIQUE")</f>
        <v>Identique</v>
      </c>
      <c r="J174" t="s">
        <v>32</v>
      </c>
      <c r="K174" t="str" cm="1">
        <f t="array" ref="K174">IF(MAX(COUNTIF(B174:E174,B174:E174)) &gt; 1, "JOUEUR EN DOUBLE", "Pas de doublons")</f>
        <v>Pas de doublons</v>
      </c>
    </row>
    <row r="175" spans="1:11" x14ac:dyDescent="0.25">
      <c r="A175" t="s">
        <v>7</v>
      </c>
      <c r="B175" s="1">
        <v>-56</v>
      </c>
      <c r="C175" s="1">
        <v>46</v>
      </c>
      <c r="D175" s="1">
        <v>77</v>
      </c>
      <c r="E175" s="1">
        <v>-67</v>
      </c>
      <c r="H175" t="s">
        <v>33</v>
      </c>
      <c r="I175" t="str">
        <f>IF(COUNTIF(I$1:I174,I173)&gt;1,"DOUBLON LIGNE " &amp; MATCH(I173,I$1:I174,0),"Pas de doublons")</f>
        <v>Pas de doublons</v>
      </c>
      <c r="J175" t="s">
        <v>34</v>
      </c>
      <c r="K175" t="str" cm="1">
        <f t="array" ref="K175">IF(SUM(--(NOT(ISNUMBER(MATCH(B174:E174,'EMA points'!A:A,0))))) &gt; 0, "NOM INEXISTANT", "Noms ok")</f>
        <v>Noms ok</v>
      </c>
    </row>
    <row r="176" spans="1:11" x14ac:dyDescent="0.25">
      <c r="A176" t="s">
        <v>8</v>
      </c>
      <c r="B176">
        <f>Donnees!B176</f>
        <v>1</v>
      </c>
      <c r="C176">
        <f>Donnees!C176</f>
        <v>2</v>
      </c>
      <c r="D176">
        <f>Donnees!D176</f>
        <v>3</v>
      </c>
      <c r="E176">
        <f>Donnees!E176</f>
        <v>0</v>
      </c>
      <c r="H176" t="s">
        <v>11</v>
      </c>
      <c r="I176" t="str">
        <f t="shared" ref="I176" si="85">IF(SUM(B175:E175)=0, "Score ok", "SOMME NON NULLE")</f>
        <v>Score ok</v>
      </c>
    </row>
    <row r="177" spans="1:11" x14ac:dyDescent="0.25">
      <c r="A177" t="s">
        <v>5</v>
      </c>
      <c r="B177" t="s">
        <v>0</v>
      </c>
      <c r="C177" t="s">
        <v>1</v>
      </c>
      <c r="D177" t="s">
        <v>2</v>
      </c>
      <c r="E177" t="s">
        <v>3</v>
      </c>
      <c r="F177" t="str">
        <f>Donnees!F177</f>
        <v>Partie 45</v>
      </c>
      <c r="H177" t="s">
        <v>10</v>
      </c>
      <c r="I177" t="str">
        <f t="shared" ref="I177" si="86">_xlfn.TEXTJOIN(";",TRUE,B178:E179)</f>
        <v>Delphine;Valerie D;Frederic;Christophe;-82;-140;249;-27</v>
      </c>
    </row>
    <row r="178" spans="1:11" x14ac:dyDescent="0.25">
      <c r="A178" t="s">
        <v>6</v>
      </c>
      <c r="B178" s="1" t="s">
        <v>42</v>
      </c>
      <c r="C178" s="1" t="s">
        <v>71</v>
      </c>
      <c r="D178" s="1" t="s">
        <v>52</v>
      </c>
      <c r="E178" s="1" t="s">
        <v>40</v>
      </c>
      <c r="F178" s="3">
        <v>45931.77847222222</v>
      </c>
      <c r="H178" t="s">
        <v>9</v>
      </c>
      <c r="I178" t="str" cm="1">
        <f t="array" ref="I178">IF(AND(Donnees!B177:F180=Check!B177:F180),"Identique","PAS IDENTIQUE")</f>
        <v>Identique</v>
      </c>
      <c r="J178" t="s">
        <v>32</v>
      </c>
      <c r="K178" t="str" cm="1">
        <f t="array" ref="K178">IF(MAX(COUNTIF(B178:E178,B178:E178)) &gt; 1, "JOUEUR EN DOUBLE", "Pas de doublons")</f>
        <v>Pas de doublons</v>
      </c>
    </row>
    <row r="179" spans="1:11" x14ac:dyDescent="0.25">
      <c r="A179" t="s">
        <v>7</v>
      </c>
      <c r="B179" s="1">
        <v>-82</v>
      </c>
      <c r="C179" s="1">
        <v>-140</v>
      </c>
      <c r="D179" s="1">
        <v>249</v>
      </c>
      <c r="E179" s="1">
        <v>-27</v>
      </c>
      <c r="H179" t="s">
        <v>33</v>
      </c>
      <c r="I179" t="str">
        <f>IF(COUNTIF(I$1:I178,I177)&gt;1,"DOUBLON LIGNE " &amp; MATCH(I177,I$1:I178,0),"Pas de doublons")</f>
        <v>Pas de doublons</v>
      </c>
      <c r="J179" t="s">
        <v>34</v>
      </c>
      <c r="K179" t="str" cm="1">
        <f t="array" ref="K179">IF(SUM(--(NOT(ISNUMBER(MATCH(B178:E178,'EMA points'!A:A,0))))) &gt; 0, "NOM INEXISTANT", "Noms ok")</f>
        <v>Noms ok</v>
      </c>
    </row>
    <row r="180" spans="1:11" x14ac:dyDescent="0.25">
      <c r="A180" t="s">
        <v>8</v>
      </c>
      <c r="B180">
        <f>Donnees!B180</f>
        <v>1</v>
      </c>
      <c r="C180">
        <f>Donnees!C180</f>
        <v>0</v>
      </c>
      <c r="D180">
        <f>Donnees!D180</f>
        <v>3</v>
      </c>
      <c r="E180">
        <f>Donnees!E180</f>
        <v>2</v>
      </c>
      <c r="H180" t="s">
        <v>11</v>
      </c>
      <c r="I180" t="str">
        <f t="shared" ref="I180" si="87">IF(SUM(B179:E179)=0, "Score ok", "SOMME NON NULLE")</f>
        <v>Score ok</v>
      </c>
    </row>
    <row r="181" spans="1:11" x14ac:dyDescent="0.25">
      <c r="A181" t="s">
        <v>5</v>
      </c>
      <c r="B181" t="s">
        <v>0</v>
      </c>
      <c r="C181" t="s">
        <v>1</v>
      </c>
      <c r="D181" t="s">
        <v>2</v>
      </c>
      <c r="E181" t="s">
        <v>3</v>
      </c>
      <c r="F181" t="str">
        <f>Donnees!F181</f>
        <v>Partie 46</v>
      </c>
      <c r="H181" t="s">
        <v>10</v>
      </c>
      <c r="I181" t="str">
        <f t="shared" ref="I181" si="88">_xlfn.TEXTJOIN(";",TRUE,B182:E183)</f>
        <v>Nathalie;Raphael;Frederic;Francoise;-49;49;185;-185</v>
      </c>
    </row>
    <row r="182" spans="1:11" x14ac:dyDescent="0.25">
      <c r="A182" t="s">
        <v>6</v>
      </c>
      <c r="B182" s="1" t="s">
        <v>56</v>
      </c>
      <c r="C182" s="1" t="s">
        <v>41</v>
      </c>
      <c r="D182" s="1" t="s">
        <v>52</v>
      </c>
      <c r="E182" s="1" t="s">
        <v>44</v>
      </c>
      <c r="F182" s="3">
        <v>45934.596886574072</v>
      </c>
      <c r="H182" t="s">
        <v>9</v>
      </c>
      <c r="I182" t="str" cm="1">
        <f t="array" ref="I182">IF(AND(Donnees!B181:F184=Check!B181:F184),"Identique","PAS IDENTIQUE")</f>
        <v>Identique</v>
      </c>
      <c r="J182" t="s">
        <v>32</v>
      </c>
      <c r="K182" t="str" cm="1">
        <f t="array" ref="K182">IF(MAX(COUNTIF(B182:E182,B182:E182)) &gt; 1, "JOUEUR EN DOUBLE", "Pas de doublons")</f>
        <v>Pas de doublons</v>
      </c>
    </row>
    <row r="183" spans="1:11" x14ac:dyDescent="0.25">
      <c r="A183" t="s">
        <v>7</v>
      </c>
      <c r="B183" s="1">
        <v>-49</v>
      </c>
      <c r="C183" s="1">
        <v>49</v>
      </c>
      <c r="D183" s="1">
        <v>185</v>
      </c>
      <c r="E183" s="1">
        <v>-185</v>
      </c>
      <c r="H183" t="s">
        <v>33</v>
      </c>
      <c r="I183" t="str">
        <f>IF(COUNTIF(I$1:I182,I181)&gt;1,"DOUBLON LIGNE " &amp; MATCH(I181,I$1:I182,0),"Pas de doublons")</f>
        <v>Pas de doublons</v>
      </c>
      <c r="J183" t="s">
        <v>34</v>
      </c>
      <c r="K183" t="str" cm="1">
        <f t="array" ref="K183">IF(SUM(--(NOT(ISNUMBER(MATCH(B182:E182,'EMA points'!A:A,0))))) &gt; 0, "NOM INEXISTANT", "Noms ok")</f>
        <v>Noms ok</v>
      </c>
    </row>
    <row r="184" spans="1:11" x14ac:dyDescent="0.25">
      <c r="A184" t="s">
        <v>8</v>
      </c>
      <c r="B184">
        <f>Donnees!B184</f>
        <v>1</v>
      </c>
      <c r="C184">
        <f>Donnees!C184</f>
        <v>2</v>
      </c>
      <c r="D184">
        <f>Donnees!D184</f>
        <v>3</v>
      </c>
      <c r="E184">
        <f>Donnees!E184</f>
        <v>0</v>
      </c>
      <c r="H184" t="s">
        <v>11</v>
      </c>
      <c r="I184" t="str">
        <f t="shared" ref="I184" si="89">IF(SUM(B183:E183)=0, "Score ok", "SOMME NON NULLE")</f>
        <v>Score ok</v>
      </c>
    </row>
    <row r="185" spans="1:11" x14ac:dyDescent="0.25">
      <c r="A185" t="s">
        <v>5</v>
      </c>
      <c r="B185" t="s">
        <v>0</v>
      </c>
      <c r="C185" t="s">
        <v>1</v>
      </c>
      <c r="D185" t="s">
        <v>2</v>
      </c>
      <c r="E185" t="s">
        <v>3</v>
      </c>
      <c r="F185" t="str">
        <f>Donnees!F185</f>
        <v>Partie 47</v>
      </c>
      <c r="H185" t="s">
        <v>10</v>
      </c>
      <c r="I185" t="str">
        <f t="shared" ref="I185" si="90">_xlfn.TEXTJOIN(";",TRUE,B186:E187)</f>
        <v>Delphine;Juliette;Isabelle;Valerie D;-145;90;105;-50</v>
      </c>
    </row>
    <row r="186" spans="1:11" x14ac:dyDescent="0.25">
      <c r="A186" t="s">
        <v>6</v>
      </c>
      <c r="B186" s="1" t="s">
        <v>42</v>
      </c>
      <c r="C186" s="1" t="s">
        <v>61</v>
      </c>
      <c r="D186" s="1" t="s">
        <v>37</v>
      </c>
      <c r="E186" s="1" t="s">
        <v>71</v>
      </c>
      <c r="F186" s="3">
        <v>45934.596435185187</v>
      </c>
      <c r="H186" t="s">
        <v>9</v>
      </c>
      <c r="I186" t="str" cm="1">
        <f t="array" ref="I186">IF(AND(Donnees!B185:F188=Check!B185:F188),"Identique","PAS IDENTIQUE")</f>
        <v>Identique</v>
      </c>
      <c r="J186" t="s">
        <v>32</v>
      </c>
      <c r="K186" t="str" cm="1">
        <f t="array" ref="K186">IF(MAX(COUNTIF(B186:E186,B186:E186)) &gt; 1, "JOUEUR EN DOUBLE", "Pas de doublons")</f>
        <v>Pas de doublons</v>
      </c>
    </row>
    <row r="187" spans="1:11" x14ac:dyDescent="0.25">
      <c r="A187" t="s">
        <v>7</v>
      </c>
      <c r="B187" s="1">
        <v>-145</v>
      </c>
      <c r="C187" s="1">
        <v>90</v>
      </c>
      <c r="D187" s="1">
        <v>105</v>
      </c>
      <c r="E187" s="1">
        <v>-50</v>
      </c>
      <c r="H187" t="s">
        <v>33</v>
      </c>
      <c r="I187" t="str">
        <f>IF(COUNTIF(I$1:I186,I185)&gt;1,"DOUBLON LIGNE " &amp; MATCH(I185,I$1:I186,0),"Pas de doublons")</f>
        <v>Pas de doublons</v>
      </c>
      <c r="J187" t="s">
        <v>34</v>
      </c>
      <c r="K187" t="str" cm="1">
        <f t="array" ref="K187">IF(SUM(--(NOT(ISNUMBER(MATCH(B186:E186,'EMA points'!A:A,0))))) &gt; 0, "NOM INEXISTANT", "Noms ok")</f>
        <v>Noms ok</v>
      </c>
    </row>
    <row r="188" spans="1:11" x14ac:dyDescent="0.25">
      <c r="A188" t="s">
        <v>8</v>
      </c>
      <c r="B188">
        <f>Donnees!B188</f>
        <v>0</v>
      </c>
      <c r="C188">
        <f>Donnees!C188</f>
        <v>2</v>
      </c>
      <c r="D188">
        <f>Donnees!D188</f>
        <v>3</v>
      </c>
      <c r="E188">
        <f>Donnees!E188</f>
        <v>1</v>
      </c>
      <c r="H188" t="s">
        <v>11</v>
      </c>
      <c r="I188" t="str">
        <f t="shared" ref="I188" si="91">IF(SUM(B187:E187)=0, "Score ok", "SOMME NON NULLE")</f>
        <v>Score ok</v>
      </c>
    </row>
    <row r="189" spans="1:11" x14ac:dyDescent="0.25">
      <c r="A189" t="s">
        <v>5</v>
      </c>
      <c r="B189" t="s">
        <v>0</v>
      </c>
      <c r="C189" t="s">
        <v>1</v>
      </c>
      <c r="D189" t="s">
        <v>2</v>
      </c>
      <c r="E189" t="s">
        <v>3</v>
      </c>
      <c r="F189" t="str">
        <f>Donnees!F189</f>
        <v>Partie 48</v>
      </c>
      <c r="H189" t="s">
        <v>10</v>
      </c>
      <c r="I189" t="str">
        <f t="shared" ref="I189" si="92">_xlfn.TEXTJOIN(";",TRUE,B190:E191)</f>
        <v>Marc;Laurence;Jean-Michel;Fabienne;-12;-32;138;-94</v>
      </c>
    </row>
    <row r="190" spans="1:11" x14ac:dyDescent="0.25">
      <c r="A190" t="s">
        <v>6</v>
      </c>
      <c r="B190" s="1" t="s">
        <v>38</v>
      </c>
      <c r="C190" s="1" t="s">
        <v>51</v>
      </c>
      <c r="D190" s="1" t="s">
        <v>49</v>
      </c>
      <c r="E190" s="1" t="s">
        <v>55</v>
      </c>
      <c r="F190" s="3">
        <v>45934.595358796294</v>
      </c>
      <c r="H190" t="s">
        <v>9</v>
      </c>
      <c r="I190" t="str" cm="1">
        <f t="array" ref="I190">IF(AND(Donnees!B189:F192=Check!B189:F192),"Identique","PAS IDENTIQUE")</f>
        <v>Identique</v>
      </c>
      <c r="J190" t="s">
        <v>32</v>
      </c>
      <c r="K190" t="str" cm="1">
        <f t="array" ref="K190">IF(MAX(COUNTIF(B190:E190,B190:E190)) &gt; 1, "JOUEUR EN DOUBLE", "Pas de doublons")</f>
        <v>Pas de doublons</v>
      </c>
    </row>
    <row r="191" spans="1:11" x14ac:dyDescent="0.25">
      <c r="A191" t="s">
        <v>7</v>
      </c>
      <c r="B191" s="1">
        <v>-12</v>
      </c>
      <c r="C191" s="1">
        <v>-32</v>
      </c>
      <c r="D191" s="1">
        <v>138</v>
      </c>
      <c r="E191" s="1">
        <v>-94</v>
      </c>
      <c r="H191" t="s">
        <v>33</v>
      </c>
      <c r="I191" t="str">
        <f>IF(COUNTIF(I$1:I190,I189)&gt;1,"DOUBLON LIGNE " &amp; MATCH(I189,I$1:I190,0),"Pas de doublons")</f>
        <v>Pas de doublons</v>
      </c>
      <c r="J191" t="s">
        <v>34</v>
      </c>
      <c r="K191" t="str" cm="1">
        <f t="array" ref="K191">IF(SUM(--(NOT(ISNUMBER(MATCH(B190:E190,'EMA points'!A:A,0))))) &gt; 0, "NOM INEXISTANT", "Noms ok")</f>
        <v>Noms ok</v>
      </c>
    </row>
    <row r="192" spans="1:11" x14ac:dyDescent="0.25">
      <c r="A192" t="s">
        <v>8</v>
      </c>
      <c r="B192">
        <f>Donnees!B192</f>
        <v>2</v>
      </c>
      <c r="C192">
        <f>Donnees!C192</f>
        <v>1</v>
      </c>
      <c r="D192">
        <f>Donnees!D192</f>
        <v>3</v>
      </c>
      <c r="E192">
        <f>Donnees!E192</f>
        <v>0</v>
      </c>
      <c r="H192" t="s">
        <v>11</v>
      </c>
      <c r="I192" t="str">
        <f t="shared" ref="I192" si="93">IF(SUM(B191:E191)=0, "Score ok", "SOMME NON NULLE")</f>
        <v>Score ok</v>
      </c>
    </row>
    <row r="193" spans="1:11" x14ac:dyDescent="0.25">
      <c r="A193" t="s">
        <v>5</v>
      </c>
      <c r="B193" t="s">
        <v>0</v>
      </c>
      <c r="C193" t="s">
        <v>1</v>
      </c>
      <c r="D193" t="s">
        <v>2</v>
      </c>
      <c r="E193" t="s">
        <v>3</v>
      </c>
      <c r="F193" t="str">
        <f>Donnees!F193</f>
        <v>Partie 49</v>
      </c>
      <c r="H193" t="s">
        <v>10</v>
      </c>
      <c r="I193" t="str">
        <f t="shared" ref="I193" si="94">_xlfn.TEXTJOIN(";",TRUE,B194:E195)</f>
        <v>Laurence;Francoise;Juliette;Frederic;-17;-184;136;65</v>
      </c>
    </row>
    <row r="194" spans="1:11" x14ac:dyDescent="0.25">
      <c r="A194" t="s">
        <v>6</v>
      </c>
      <c r="B194" s="1" t="s">
        <v>51</v>
      </c>
      <c r="C194" s="1" t="s">
        <v>44</v>
      </c>
      <c r="D194" s="1" t="s">
        <v>61</v>
      </c>
      <c r="E194" s="1" t="s">
        <v>52</v>
      </c>
      <c r="F194" s="3">
        <v>45934.697870370372</v>
      </c>
      <c r="H194" t="s">
        <v>9</v>
      </c>
      <c r="I194" t="str" cm="1">
        <f t="array" ref="I194">IF(AND(Donnees!B193:F196=Check!B193:F196),"Identique","PAS IDENTIQUE")</f>
        <v>Identique</v>
      </c>
      <c r="J194" t="s">
        <v>32</v>
      </c>
      <c r="K194" t="str" cm="1">
        <f t="array" ref="K194">IF(MAX(COUNTIF(B194:E194,B194:E194)) &gt; 1, "JOUEUR EN DOUBLE", "Pas de doublons")</f>
        <v>Pas de doublons</v>
      </c>
    </row>
    <row r="195" spans="1:11" x14ac:dyDescent="0.25">
      <c r="A195" t="s">
        <v>7</v>
      </c>
      <c r="B195" s="1">
        <v>-17</v>
      </c>
      <c r="C195" s="1">
        <v>-184</v>
      </c>
      <c r="D195" s="1">
        <v>136</v>
      </c>
      <c r="E195" s="1">
        <v>65</v>
      </c>
      <c r="H195" t="s">
        <v>33</v>
      </c>
      <c r="I195" t="str">
        <f>IF(COUNTIF(I$1:I194,I193)&gt;1,"DOUBLON LIGNE " &amp; MATCH(I193,I$1:I194,0),"Pas de doublons")</f>
        <v>Pas de doublons</v>
      </c>
      <c r="J195" t="s">
        <v>34</v>
      </c>
      <c r="K195" t="str" cm="1">
        <f t="array" ref="K195">IF(SUM(--(NOT(ISNUMBER(MATCH(B194:E194,'EMA points'!A:A,0))))) &gt; 0, "NOM INEXISTANT", "Noms ok")</f>
        <v>Noms ok</v>
      </c>
    </row>
    <row r="196" spans="1:11" x14ac:dyDescent="0.25">
      <c r="A196" t="s">
        <v>8</v>
      </c>
      <c r="B196">
        <f>Donnees!B196</f>
        <v>1</v>
      </c>
      <c r="C196">
        <f>Donnees!C196</f>
        <v>0</v>
      </c>
      <c r="D196">
        <f>Donnees!D196</f>
        <v>3</v>
      </c>
      <c r="E196">
        <f>Donnees!E196</f>
        <v>2</v>
      </c>
      <c r="H196" t="s">
        <v>11</v>
      </c>
      <c r="I196" t="str">
        <f t="shared" ref="I196" si="95">IF(SUM(B195:E195)=0, "Score ok", "SOMME NON NULLE")</f>
        <v>Score ok</v>
      </c>
    </row>
    <row r="197" spans="1:11" x14ac:dyDescent="0.25">
      <c r="A197" t="s">
        <v>5</v>
      </c>
      <c r="B197" t="s">
        <v>0</v>
      </c>
      <c r="C197" t="s">
        <v>1</v>
      </c>
      <c r="D197" t="s">
        <v>2</v>
      </c>
      <c r="E197" t="s">
        <v>3</v>
      </c>
      <c r="F197" t="str">
        <f>Donnees!F197</f>
        <v>Partie 50</v>
      </c>
      <c r="H197" t="s">
        <v>10</v>
      </c>
      <c r="I197" t="str">
        <f t="shared" ref="I197" si="96">_xlfn.TEXTJOIN(";",TRUE,B198:E199)</f>
        <v>Isabelle;Marc;Binome;Xavier;73;-233;14;146</v>
      </c>
    </row>
    <row r="198" spans="1:11" x14ac:dyDescent="0.25">
      <c r="A198" t="s">
        <v>6</v>
      </c>
      <c r="B198" s="1" t="s">
        <v>37</v>
      </c>
      <c r="C198" s="1" t="s">
        <v>38</v>
      </c>
      <c r="D198" s="1" t="s">
        <v>47</v>
      </c>
      <c r="E198" s="1" t="s">
        <v>58</v>
      </c>
      <c r="F198" s="3">
        <v>45934.699074074073</v>
      </c>
      <c r="H198" t="s">
        <v>9</v>
      </c>
      <c r="I198" t="str" cm="1">
        <f t="array" ref="I198">IF(AND(Donnees!B197:F200=Check!B197:F200),"Identique","PAS IDENTIQUE")</f>
        <v>Identique</v>
      </c>
      <c r="J198" t="s">
        <v>32</v>
      </c>
      <c r="K198" t="str" cm="1">
        <f t="array" ref="K198">IF(MAX(COUNTIF(B198:E198,B198:E198)) &gt; 1, "JOUEUR EN DOUBLE", "Pas de doublons")</f>
        <v>Pas de doublons</v>
      </c>
    </row>
    <row r="199" spans="1:11" x14ac:dyDescent="0.25">
      <c r="A199" t="s">
        <v>7</v>
      </c>
      <c r="B199" s="1">
        <v>73</v>
      </c>
      <c r="C199" s="1">
        <v>-233</v>
      </c>
      <c r="D199" s="1">
        <v>14</v>
      </c>
      <c r="E199" s="1">
        <v>146</v>
      </c>
      <c r="H199" t="s">
        <v>33</v>
      </c>
      <c r="I199" t="str">
        <f>IF(COUNTIF(I$1:I198,I197)&gt;1,"DOUBLON LIGNE " &amp; MATCH(I197,I$1:I198,0),"Pas de doublons")</f>
        <v>Pas de doublons</v>
      </c>
      <c r="J199" t="s">
        <v>34</v>
      </c>
      <c r="K199" t="str" cm="1">
        <f t="array" ref="K199">IF(SUM(--(NOT(ISNUMBER(MATCH(B198:E198,'EMA points'!A:A,0))))) &gt; 0, "NOM INEXISTANT", "Noms ok")</f>
        <v>Noms ok</v>
      </c>
    </row>
    <row r="200" spans="1:11" x14ac:dyDescent="0.25">
      <c r="A200" t="s">
        <v>8</v>
      </c>
      <c r="B200">
        <f>Donnees!B200</f>
        <v>2</v>
      </c>
      <c r="C200">
        <f>Donnees!C200</f>
        <v>0</v>
      </c>
      <c r="D200">
        <f>Donnees!D200</f>
        <v>1</v>
      </c>
      <c r="E200">
        <f>Donnees!E200</f>
        <v>3</v>
      </c>
      <c r="H200" t="s">
        <v>11</v>
      </c>
      <c r="I200" t="str">
        <f t="shared" ref="I200" si="97">IF(SUM(B199:E199)=0, "Score ok", "SOMME NON NULLE")</f>
        <v>Score ok</v>
      </c>
    </row>
    <row r="201" spans="1:11" x14ac:dyDescent="0.25">
      <c r="A201" t="s">
        <v>5</v>
      </c>
      <c r="B201" t="s">
        <v>0</v>
      </c>
      <c r="C201" t="s">
        <v>1</v>
      </c>
      <c r="D201" t="s">
        <v>2</v>
      </c>
      <c r="E201" t="s">
        <v>3</v>
      </c>
      <c r="F201" t="str">
        <f>Donnees!F201</f>
        <v>Partie 51</v>
      </c>
      <c r="H201" t="s">
        <v>10</v>
      </c>
      <c r="I201" t="str">
        <f t="shared" ref="I201" si="98">_xlfn.TEXTJOIN(";",TRUE,B202:E203)</f>
        <v>Jean-Michel;Matheo;Binome;Sebastien;-153;-105;365;-107</v>
      </c>
    </row>
    <row r="202" spans="1:11" x14ac:dyDescent="0.25">
      <c r="A202" t="s">
        <v>6</v>
      </c>
      <c r="B202" s="1" t="s">
        <v>49</v>
      </c>
      <c r="C202" s="1" t="s">
        <v>53</v>
      </c>
      <c r="D202" s="1" t="s">
        <v>47</v>
      </c>
      <c r="E202" s="1" t="s">
        <v>46</v>
      </c>
      <c r="F202" s="3">
        <v>45934.698171296295</v>
      </c>
      <c r="H202" t="s">
        <v>9</v>
      </c>
      <c r="I202" t="str" cm="1">
        <f t="array" ref="I202">IF(AND(Donnees!B201:F204=Check!B201:F204),"Identique","PAS IDENTIQUE")</f>
        <v>Identique</v>
      </c>
      <c r="J202" t="s">
        <v>32</v>
      </c>
      <c r="K202" t="str" cm="1">
        <f t="array" ref="K202">IF(MAX(COUNTIF(B202:E202,B202:E202)) &gt; 1, "JOUEUR EN DOUBLE", "Pas de doublons")</f>
        <v>Pas de doublons</v>
      </c>
    </row>
    <row r="203" spans="1:11" x14ac:dyDescent="0.25">
      <c r="A203" t="s">
        <v>7</v>
      </c>
      <c r="B203" s="1">
        <v>-153</v>
      </c>
      <c r="C203" s="1">
        <v>-105</v>
      </c>
      <c r="D203" s="1">
        <v>365</v>
      </c>
      <c r="E203" s="1">
        <v>-107</v>
      </c>
      <c r="H203" t="s">
        <v>33</v>
      </c>
      <c r="I203" t="str">
        <f>IF(COUNTIF(I$1:I202,I201)&gt;1,"DOUBLON LIGNE " &amp; MATCH(I201,I$1:I202,0),"Pas de doublons")</f>
        <v>Pas de doublons</v>
      </c>
      <c r="J203" t="s">
        <v>34</v>
      </c>
      <c r="K203" t="str" cm="1">
        <f t="array" ref="K203">IF(SUM(--(NOT(ISNUMBER(MATCH(B202:E202,'EMA points'!A:A,0))))) &gt; 0, "NOM INEXISTANT", "Noms ok")</f>
        <v>Noms ok</v>
      </c>
    </row>
    <row r="204" spans="1:11" x14ac:dyDescent="0.25">
      <c r="A204" t="s">
        <v>8</v>
      </c>
      <c r="B204">
        <f>Donnees!B204</f>
        <v>0</v>
      </c>
      <c r="C204">
        <f>Donnees!C204</f>
        <v>2</v>
      </c>
      <c r="D204">
        <f>Donnees!D204</f>
        <v>3</v>
      </c>
      <c r="E204">
        <f>Donnees!E204</f>
        <v>1</v>
      </c>
      <c r="H204" t="s">
        <v>11</v>
      </c>
      <c r="I204" t="str">
        <f t="shared" ref="I204" si="99">IF(SUM(B203:E203)=0, "Score ok", "SOMME NON NULLE")</f>
        <v>Score ok</v>
      </c>
    </row>
    <row r="205" spans="1:11" x14ac:dyDescent="0.25">
      <c r="A205" t="s">
        <v>5</v>
      </c>
      <c r="B205" t="s">
        <v>0</v>
      </c>
      <c r="C205" t="s">
        <v>1</v>
      </c>
      <c r="D205" t="s">
        <v>2</v>
      </c>
      <c r="E205" t="s">
        <v>3</v>
      </c>
      <c r="F205" t="str">
        <f>Donnees!F205</f>
        <v>Partie 52</v>
      </c>
      <c r="H205" t="s">
        <v>10</v>
      </c>
      <c r="I205" t="str">
        <f t="shared" ref="I205" si="100">_xlfn.TEXTJOIN(";",TRUE,B206:E207)</f>
        <v>Ghislaine;Sebastien;Guilhem;Xavier;-50;-76;227;-101</v>
      </c>
    </row>
    <row r="206" spans="1:11" x14ac:dyDescent="0.25">
      <c r="A206" t="s">
        <v>6</v>
      </c>
      <c r="B206" s="1" t="s">
        <v>43</v>
      </c>
      <c r="C206" s="1" t="s">
        <v>46</v>
      </c>
      <c r="D206" s="1" t="s">
        <v>39</v>
      </c>
      <c r="E206" s="1" t="s">
        <v>58</v>
      </c>
      <c r="F206" s="3">
        <v>45934.596504629626</v>
      </c>
      <c r="H206" t="s">
        <v>9</v>
      </c>
      <c r="I206" t="str" cm="1">
        <f t="array" ref="I206">IF(AND(Donnees!B205:F208=Check!B205:F208),"Identique","PAS IDENTIQUE")</f>
        <v>Identique</v>
      </c>
      <c r="J206" t="s">
        <v>32</v>
      </c>
      <c r="K206" t="str" cm="1">
        <f t="array" ref="K206">IF(MAX(COUNTIF(B206:E206,B206:E206)) &gt; 1, "JOUEUR EN DOUBLE", "Pas de doublons")</f>
        <v>Pas de doublons</v>
      </c>
    </row>
    <row r="207" spans="1:11" x14ac:dyDescent="0.25">
      <c r="A207" t="s">
        <v>7</v>
      </c>
      <c r="B207" s="1">
        <v>-50</v>
      </c>
      <c r="C207" s="1">
        <v>-76</v>
      </c>
      <c r="D207" s="1">
        <v>227</v>
      </c>
      <c r="E207" s="1">
        <v>-101</v>
      </c>
      <c r="H207" t="s">
        <v>33</v>
      </c>
      <c r="I207" t="str">
        <f>IF(COUNTIF(I$1:I206,I205)&gt;1,"DOUBLON LIGNE " &amp; MATCH(I205,I$1:I206,0),"Pas de doublons")</f>
        <v>Pas de doublons</v>
      </c>
      <c r="J207" t="s">
        <v>34</v>
      </c>
      <c r="K207" t="str" cm="1">
        <f t="array" ref="K207">IF(SUM(--(NOT(ISNUMBER(MATCH(B206:E206,'EMA points'!A:A,0))))) &gt; 0, "NOM INEXISTANT", "Noms ok")</f>
        <v>Noms ok</v>
      </c>
    </row>
    <row r="208" spans="1:11" x14ac:dyDescent="0.25">
      <c r="A208" t="s">
        <v>8</v>
      </c>
      <c r="B208">
        <f>Donnees!B208</f>
        <v>2</v>
      </c>
      <c r="C208">
        <f>Donnees!C208</f>
        <v>1</v>
      </c>
      <c r="D208">
        <f>Donnees!D208</f>
        <v>3</v>
      </c>
      <c r="E208">
        <f>Donnees!E208</f>
        <v>0</v>
      </c>
      <c r="H208" t="s">
        <v>11</v>
      </c>
      <c r="I208" t="str">
        <f t="shared" ref="I208" si="101">IF(SUM(B207:E207)=0, "Score ok", "SOMME NON NULLE")</f>
        <v>Score ok</v>
      </c>
    </row>
    <row r="209" spans="1:11" x14ac:dyDescent="0.25">
      <c r="A209" t="s">
        <v>5</v>
      </c>
      <c r="B209" t="s">
        <v>0</v>
      </c>
      <c r="C209" t="s">
        <v>1</v>
      </c>
      <c r="D209" t="s">
        <v>2</v>
      </c>
      <c r="E209" t="s">
        <v>3</v>
      </c>
      <c r="F209" t="str">
        <f>Donnees!F209</f>
        <v>Partie 53</v>
      </c>
      <c r="H209" t="s">
        <v>10</v>
      </c>
      <c r="I209" t="str">
        <f t="shared" ref="I209" si="102">_xlfn.TEXTJOIN(";",TRUE,B210:E211)</f>
        <v>Kevin;Ghislaine;Delphine;Christophe;248;35;-201;-82</v>
      </c>
    </row>
    <row r="210" spans="1:11" x14ac:dyDescent="0.25">
      <c r="A210" t="s">
        <v>6</v>
      </c>
      <c r="B210" s="1" t="s">
        <v>60</v>
      </c>
      <c r="C210" s="1" t="s">
        <v>43</v>
      </c>
      <c r="D210" s="1" t="s">
        <v>42</v>
      </c>
      <c r="E210" s="1" t="s">
        <v>40</v>
      </c>
      <c r="F210" s="3">
        <v>45934.614895833336</v>
      </c>
      <c r="H210" t="s">
        <v>9</v>
      </c>
      <c r="I210" t="str" cm="1">
        <f t="array" ref="I210">IF(AND(Donnees!B209:F212=Check!B209:F212),"Identique","PAS IDENTIQUE")</f>
        <v>Identique</v>
      </c>
      <c r="J210" t="s">
        <v>32</v>
      </c>
      <c r="K210" t="str" cm="1">
        <f t="array" ref="K210">IF(MAX(COUNTIF(B210:E210,B210:E210)) &gt; 1, "JOUEUR EN DOUBLE", "Pas de doublons")</f>
        <v>Pas de doublons</v>
      </c>
    </row>
    <row r="211" spans="1:11" x14ac:dyDescent="0.25">
      <c r="A211" t="s">
        <v>7</v>
      </c>
      <c r="B211" s="1">
        <v>248</v>
      </c>
      <c r="C211" s="1">
        <v>35</v>
      </c>
      <c r="D211" s="1">
        <v>-201</v>
      </c>
      <c r="E211" s="1">
        <v>-82</v>
      </c>
      <c r="H211" t="s">
        <v>33</v>
      </c>
      <c r="I211" t="str">
        <f>IF(COUNTIF(I$1:I210,I209)&gt;1,"DOUBLON LIGNE " &amp; MATCH(I209,I$1:I210,0),"Pas de doublons")</f>
        <v>Pas de doublons</v>
      </c>
      <c r="J211" t="s">
        <v>34</v>
      </c>
      <c r="K211" t="str" cm="1">
        <f t="array" ref="K211">IF(SUM(--(NOT(ISNUMBER(MATCH(B210:E210,'EMA points'!A:A,0))))) &gt; 0, "NOM INEXISTANT", "Noms ok")</f>
        <v>Noms ok</v>
      </c>
    </row>
    <row r="212" spans="1:11" x14ac:dyDescent="0.25">
      <c r="A212" t="s">
        <v>8</v>
      </c>
      <c r="B212">
        <f>Donnees!B212</f>
        <v>3</v>
      </c>
      <c r="C212">
        <f>Donnees!C212</f>
        <v>2</v>
      </c>
      <c r="D212">
        <f>Donnees!D212</f>
        <v>0</v>
      </c>
      <c r="E212">
        <f>Donnees!E212</f>
        <v>1</v>
      </c>
      <c r="H212" t="s">
        <v>11</v>
      </c>
      <c r="I212" t="str">
        <f t="shared" ref="I212" si="103">IF(SUM(B211:E211)=0, "Score ok", "SOMME NON NULLE")</f>
        <v>Score ok</v>
      </c>
    </row>
    <row r="213" spans="1:11" x14ac:dyDescent="0.25">
      <c r="A213" t="s">
        <v>5</v>
      </c>
      <c r="B213" t="s">
        <v>0</v>
      </c>
      <c r="C213" t="s">
        <v>1</v>
      </c>
      <c r="D213" t="s">
        <v>2</v>
      </c>
      <c r="E213" t="s">
        <v>3</v>
      </c>
      <c r="F213" t="str">
        <f>Donnees!F213</f>
        <v>Partie 54</v>
      </c>
      <c r="H213" t="s">
        <v>10</v>
      </c>
      <c r="I213" t="str">
        <f t="shared" ref="I213" si="104">_xlfn.TEXTJOIN(";",TRUE,B214:E215)</f>
        <v>Fabienne;Christophe;Marie;Frederic;-204;74;174;-44</v>
      </c>
    </row>
    <row r="214" spans="1:11" x14ac:dyDescent="0.25">
      <c r="A214" t="s">
        <v>6</v>
      </c>
      <c r="B214" s="1" t="s">
        <v>55</v>
      </c>
      <c r="C214" s="1" t="s">
        <v>40</v>
      </c>
      <c r="D214" s="1" t="s">
        <v>48</v>
      </c>
      <c r="E214" s="1" t="s">
        <v>52</v>
      </c>
      <c r="F214" s="3">
        <v>45934.851412037038</v>
      </c>
      <c r="H214" t="s">
        <v>9</v>
      </c>
      <c r="I214" t="str" cm="1">
        <f t="array" ref="I214">IF(AND(Donnees!B213:F216=Check!B213:F216),"Identique","PAS IDENTIQUE")</f>
        <v>Identique</v>
      </c>
      <c r="J214" t="s">
        <v>32</v>
      </c>
      <c r="K214" t="str" cm="1">
        <f t="array" ref="K214">IF(MAX(COUNTIF(B214:E214,B214:E214)) &gt; 1, "JOUEUR EN DOUBLE", "Pas de doublons")</f>
        <v>Pas de doublons</v>
      </c>
    </row>
    <row r="215" spans="1:11" x14ac:dyDescent="0.25">
      <c r="A215" t="s">
        <v>7</v>
      </c>
      <c r="B215" s="1">
        <v>-204</v>
      </c>
      <c r="C215" s="1">
        <v>74</v>
      </c>
      <c r="D215" s="1">
        <v>174</v>
      </c>
      <c r="E215" s="1">
        <v>-44</v>
      </c>
      <c r="H215" t="s">
        <v>33</v>
      </c>
      <c r="I215" t="str">
        <f>IF(COUNTIF(I$1:I214,I213)&gt;1,"DOUBLON LIGNE " &amp; MATCH(I213,I$1:I214,0),"Pas de doublons")</f>
        <v>Pas de doublons</v>
      </c>
      <c r="J215" t="s">
        <v>34</v>
      </c>
      <c r="K215" t="str" cm="1">
        <f t="array" ref="K215">IF(SUM(--(NOT(ISNUMBER(MATCH(B214:E214,'EMA points'!A:A,0))))) &gt; 0, "NOM INEXISTANT", "Noms ok")</f>
        <v>Noms ok</v>
      </c>
    </row>
    <row r="216" spans="1:11" x14ac:dyDescent="0.25">
      <c r="A216" t="s">
        <v>8</v>
      </c>
      <c r="B216">
        <f>Donnees!B216</f>
        <v>0</v>
      </c>
      <c r="C216">
        <f>Donnees!C216</f>
        <v>2</v>
      </c>
      <c r="D216">
        <f>Donnees!D216</f>
        <v>3</v>
      </c>
      <c r="E216">
        <f>Donnees!E216</f>
        <v>1</v>
      </c>
      <c r="H216" t="s">
        <v>11</v>
      </c>
      <c r="I216" t="str">
        <f t="shared" ref="I216" si="105">IF(SUM(B215:E215)=0, "Score ok", "SOMME NON NULLE")</f>
        <v>Score ok</v>
      </c>
    </row>
    <row r="217" spans="1:11" x14ac:dyDescent="0.25">
      <c r="A217" t="s">
        <v>5</v>
      </c>
      <c r="B217" t="s">
        <v>0</v>
      </c>
      <c r="C217" t="s">
        <v>1</v>
      </c>
      <c r="D217" t="s">
        <v>2</v>
      </c>
      <c r="E217" t="s">
        <v>3</v>
      </c>
      <c r="F217" t="str">
        <f>Donnees!F217</f>
        <v>Partie 55</v>
      </c>
      <c r="H217" t="s">
        <v>10</v>
      </c>
      <c r="I217" t="str">
        <f t="shared" ref="I217" si="106">_xlfn.TEXTJOIN(";",TRUE,B218:E219)</f>
        <v>Jean-Michel;Kevin;Laurence;Isabelle;-162;92;215;-145</v>
      </c>
    </row>
    <row r="218" spans="1:11" x14ac:dyDescent="0.25">
      <c r="A218" t="s">
        <v>6</v>
      </c>
      <c r="B218" s="1" t="s">
        <v>49</v>
      </c>
      <c r="C218" s="1" t="s">
        <v>60</v>
      </c>
      <c r="D218" s="1" t="s">
        <v>51</v>
      </c>
      <c r="E218" s="1" t="s">
        <v>37</v>
      </c>
      <c r="F218" s="3">
        <v>45934.851747685185</v>
      </c>
      <c r="H218" t="s">
        <v>9</v>
      </c>
      <c r="I218" t="str" cm="1">
        <f t="array" ref="I218">IF(AND(Donnees!B217:F220=Check!B217:F220),"Identique","PAS IDENTIQUE")</f>
        <v>Identique</v>
      </c>
      <c r="J218" t="s">
        <v>32</v>
      </c>
      <c r="K218" t="str" cm="1">
        <f t="array" ref="K218">IF(MAX(COUNTIF(B218:E218,B218:E218)) &gt; 1, "JOUEUR EN DOUBLE", "Pas de doublons")</f>
        <v>Pas de doublons</v>
      </c>
    </row>
    <row r="219" spans="1:11" x14ac:dyDescent="0.25">
      <c r="A219" t="s">
        <v>7</v>
      </c>
      <c r="B219" s="1">
        <v>-162</v>
      </c>
      <c r="C219" s="1">
        <v>92</v>
      </c>
      <c r="D219" s="1">
        <v>215</v>
      </c>
      <c r="E219" s="1">
        <v>-145</v>
      </c>
      <c r="H219" t="s">
        <v>33</v>
      </c>
      <c r="I219" t="str">
        <f>IF(COUNTIF(I$1:I218,I217)&gt;1,"DOUBLON LIGNE " &amp; MATCH(I217,I$1:I218,0),"Pas de doublons")</f>
        <v>Pas de doublons</v>
      </c>
      <c r="J219" t="s">
        <v>34</v>
      </c>
      <c r="K219" t="str" cm="1">
        <f t="array" ref="K219">IF(SUM(--(NOT(ISNUMBER(MATCH(B218:E218,'EMA points'!A:A,0))))) &gt; 0, "NOM INEXISTANT", "Noms ok")</f>
        <v>Noms ok</v>
      </c>
    </row>
    <row r="220" spans="1:11" x14ac:dyDescent="0.25">
      <c r="A220" t="s">
        <v>8</v>
      </c>
      <c r="B220">
        <f>Donnees!B220</f>
        <v>0</v>
      </c>
      <c r="C220">
        <f>Donnees!C220</f>
        <v>2</v>
      </c>
      <c r="D220">
        <f>Donnees!D220</f>
        <v>3</v>
      </c>
      <c r="E220">
        <f>Donnees!E220</f>
        <v>1</v>
      </c>
      <c r="H220" t="s">
        <v>11</v>
      </c>
      <c r="I220" t="str">
        <f t="shared" ref="I220" si="107">IF(SUM(B219:E219)=0, "Score ok", "SOMME NON NULLE")</f>
        <v>Score ok</v>
      </c>
    </row>
    <row r="221" spans="1:11" x14ac:dyDescent="0.25">
      <c r="A221" t="s">
        <v>5</v>
      </c>
      <c r="B221" t="s">
        <v>0</v>
      </c>
      <c r="C221" t="s">
        <v>1</v>
      </c>
      <c r="D221" t="s">
        <v>2</v>
      </c>
      <c r="E221" t="s">
        <v>3</v>
      </c>
      <c r="F221" t="str">
        <f>Donnees!F221</f>
        <v>Partie 56</v>
      </c>
      <c r="H221" t="s">
        <v>10</v>
      </c>
      <c r="I221" t="str">
        <f t="shared" ref="I221" si="108">_xlfn.TEXTJOIN(";",TRUE,B222:E223)</f>
        <v>Binome;Valerie D;Fabienne;Nathalie;-77;142;-57;-8</v>
      </c>
    </row>
    <row r="222" spans="1:11" x14ac:dyDescent="0.25">
      <c r="A222" t="s">
        <v>6</v>
      </c>
      <c r="B222" s="1" t="s">
        <v>47</v>
      </c>
      <c r="C222" s="1" t="s">
        <v>71</v>
      </c>
      <c r="D222" s="1" t="s">
        <v>55</v>
      </c>
      <c r="E222" s="1" t="s">
        <v>56</v>
      </c>
      <c r="F222" s="3">
        <v>45934.698981481481</v>
      </c>
      <c r="H222" t="s">
        <v>9</v>
      </c>
      <c r="I222" t="str" cm="1">
        <f t="array" ref="I222">IF(AND(Donnees!B221:F224=Check!B221:F224),"Identique","PAS IDENTIQUE")</f>
        <v>Identique</v>
      </c>
      <c r="J222" t="s">
        <v>32</v>
      </c>
      <c r="K222" t="str" cm="1">
        <f t="array" ref="K222">IF(MAX(COUNTIF(B222:E222,B222:E222)) &gt; 1, "JOUEUR EN DOUBLE", "Pas de doublons")</f>
        <v>Pas de doublons</v>
      </c>
    </row>
    <row r="223" spans="1:11" x14ac:dyDescent="0.25">
      <c r="A223" t="s">
        <v>7</v>
      </c>
      <c r="B223" s="1">
        <v>-77</v>
      </c>
      <c r="C223" s="1">
        <v>142</v>
      </c>
      <c r="D223" s="1">
        <v>-57</v>
      </c>
      <c r="E223" s="1">
        <v>-8</v>
      </c>
      <c r="H223" t="s">
        <v>33</v>
      </c>
      <c r="I223" t="str">
        <f>IF(COUNTIF(I$1:I222,I221)&gt;1,"DOUBLON LIGNE " &amp; MATCH(I221,I$1:I222,0),"Pas de doublons")</f>
        <v>Pas de doublons</v>
      </c>
      <c r="J223" t="s">
        <v>34</v>
      </c>
      <c r="K223" t="str" cm="1">
        <f t="array" ref="K223">IF(SUM(--(NOT(ISNUMBER(MATCH(B222:E222,'EMA points'!A:A,0))))) &gt; 0, "NOM INEXISTANT", "Noms ok")</f>
        <v>Noms ok</v>
      </c>
    </row>
    <row r="224" spans="1:11" x14ac:dyDescent="0.25">
      <c r="A224" t="s">
        <v>8</v>
      </c>
      <c r="B224">
        <f>Donnees!B224</f>
        <v>0</v>
      </c>
      <c r="C224">
        <f>Donnees!C224</f>
        <v>3</v>
      </c>
      <c r="D224">
        <f>Donnees!D224</f>
        <v>1</v>
      </c>
      <c r="E224">
        <f>Donnees!E224</f>
        <v>2</v>
      </c>
      <c r="H224" t="s">
        <v>11</v>
      </c>
      <c r="I224" t="str">
        <f t="shared" ref="I224" si="109">IF(SUM(B223:E223)=0, "Score ok", "SOMME NON NULLE")</f>
        <v>Score ok</v>
      </c>
    </row>
    <row r="225" spans="1:11" x14ac:dyDescent="0.25">
      <c r="A225" t="s">
        <v>5</v>
      </c>
      <c r="B225" t="s">
        <v>0</v>
      </c>
      <c r="C225" t="s">
        <v>1</v>
      </c>
      <c r="D225" t="s">
        <v>2</v>
      </c>
      <c r="E225" t="s">
        <v>3</v>
      </c>
      <c r="F225" t="str">
        <f>Donnees!F225</f>
        <v>Partie 57</v>
      </c>
      <c r="H225" t="s">
        <v>10</v>
      </c>
      <c r="I225" t="str">
        <f t="shared" ref="I225" si="110">_xlfn.TEXTJOIN(";",TRUE,B226:E227)</f>
        <v>Guilhem;Juliette;Valerie D;Nathalie;197;121;-157;-161</v>
      </c>
    </row>
    <row r="226" spans="1:11" x14ac:dyDescent="0.25">
      <c r="A226" t="s">
        <v>6</v>
      </c>
      <c r="B226" s="1" t="s">
        <v>39</v>
      </c>
      <c r="C226" s="1" t="s">
        <v>61</v>
      </c>
      <c r="D226" s="1" t="s">
        <v>71</v>
      </c>
      <c r="E226" s="1" t="s">
        <v>56</v>
      </c>
      <c r="F226" s="3">
        <v>45934.851493055554</v>
      </c>
      <c r="H226" t="s">
        <v>9</v>
      </c>
      <c r="I226" t="str" cm="1">
        <f t="array" ref="I226">IF(AND(Donnees!B225:F228=Check!B225:F228),"Identique","PAS IDENTIQUE")</f>
        <v>Identique</v>
      </c>
      <c r="J226" t="s">
        <v>32</v>
      </c>
      <c r="K226" t="str" cm="1">
        <f t="array" ref="K226">IF(MAX(COUNTIF(B226:E226,B226:E226)) &gt; 1, "JOUEUR EN DOUBLE", "Pas de doublons")</f>
        <v>Pas de doublons</v>
      </c>
    </row>
    <row r="227" spans="1:11" x14ac:dyDescent="0.25">
      <c r="A227" t="s">
        <v>7</v>
      </c>
      <c r="B227" s="1">
        <v>197</v>
      </c>
      <c r="C227" s="1">
        <v>121</v>
      </c>
      <c r="D227" s="1">
        <v>-157</v>
      </c>
      <c r="E227" s="1">
        <v>-161</v>
      </c>
      <c r="H227" t="s">
        <v>33</v>
      </c>
      <c r="I227" t="str">
        <f>IF(COUNTIF(I$1:I226,I225)&gt;1,"DOUBLON LIGNE " &amp; MATCH(I225,I$1:I226,0),"Pas de doublons")</f>
        <v>Pas de doublons</v>
      </c>
      <c r="J227" t="s">
        <v>34</v>
      </c>
      <c r="K227" t="str" cm="1">
        <f t="array" ref="K227">IF(SUM(--(NOT(ISNUMBER(MATCH(B226:E226,'EMA points'!A:A,0))))) &gt; 0, "NOM INEXISTANT", "Noms ok")</f>
        <v>Noms ok</v>
      </c>
    </row>
    <row r="228" spans="1:11" x14ac:dyDescent="0.25">
      <c r="A228" t="s">
        <v>8</v>
      </c>
      <c r="B228">
        <f>Donnees!B228</f>
        <v>3</v>
      </c>
      <c r="C228">
        <f>Donnees!C228</f>
        <v>2</v>
      </c>
      <c r="D228">
        <f>Donnees!D228</f>
        <v>1</v>
      </c>
      <c r="E228">
        <f>Donnees!E228</f>
        <v>0</v>
      </c>
      <c r="H228" t="s">
        <v>11</v>
      </c>
      <c r="I228" t="str">
        <f t="shared" ref="I228" si="111">IF(SUM(B227:E227)=0, "Score ok", "SOMME NON NULLE")</f>
        <v>Score ok</v>
      </c>
    </row>
    <row r="229" spans="1:11" x14ac:dyDescent="0.25">
      <c r="A229" t="s">
        <v>5</v>
      </c>
      <c r="B229" t="s">
        <v>0</v>
      </c>
      <c r="C229" t="s">
        <v>1</v>
      </c>
      <c r="D229" t="s">
        <v>2</v>
      </c>
      <c r="E229" t="s">
        <v>3</v>
      </c>
      <c r="F229" t="str">
        <f>Donnees!F229</f>
        <v>Partie 58</v>
      </c>
      <c r="H229" t="s">
        <v>10</v>
      </c>
      <c r="I229" t="str">
        <f t="shared" ref="I229" si="112">_xlfn.TEXTJOIN(";",TRUE,B230:E231)</f>
        <v>Mathieu;Laetitia;Claire;Gerard;23;-60;185;-148</v>
      </c>
    </row>
    <row r="230" spans="1:11" x14ac:dyDescent="0.25">
      <c r="A230" t="s">
        <v>6</v>
      </c>
      <c r="B230" s="1" t="s">
        <v>62</v>
      </c>
      <c r="C230" s="1" t="s">
        <v>63</v>
      </c>
      <c r="D230" s="1" t="s">
        <v>64</v>
      </c>
      <c r="E230" s="1" t="s">
        <v>65</v>
      </c>
      <c r="F230" s="3">
        <v>45939.83798611111</v>
      </c>
      <c r="H230" t="s">
        <v>9</v>
      </c>
      <c r="I230" t="str" cm="1">
        <f t="array" ref="I230">IF(AND(Donnees!B229:F232=Check!B229:F232),"Identique","PAS IDENTIQUE")</f>
        <v>Identique</v>
      </c>
      <c r="J230" t="s">
        <v>32</v>
      </c>
      <c r="K230" t="str" cm="1">
        <f t="array" ref="K230">IF(MAX(COUNTIF(B230:E230,B230:E230)) &gt; 1, "JOUEUR EN DOUBLE", "Pas de doublons")</f>
        <v>Pas de doublons</v>
      </c>
    </row>
    <row r="231" spans="1:11" x14ac:dyDescent="0.25">
      <c r="A231" t="s">
        <v>7</v>
      </c>
      <c r="B231" s="1">
        <v>23</v>
      </c>
      <c r="C231" s="1">
        <v>-60</v>
      </c>
      <c r="D231" s="1">
        <v>185</v>
      </c>
      <c r="E231" s="1">
        <v>-148</v>
      </c>
      <c r="H231" t="s">
        <v>33</v>
      </c>
      <c r="I231" t="str">
        <f>IF(COUNTIF(I$1:I230,I229)&gt;1,"DOUBLON LIGNE " &amp; MATCH(I229,I$1:I230,0),"Pas de doublons")</f>
        <v>Pas de doublons</v>
      </c>
      <c r="J231" t="s">
        <v>34</v>
      </c>
      <c r="K231" t="str" cm="1">
        <f t="array" ref="K231">IF(SUM(--(NOT(ISNUMBER(MATCH(B230:E230,'EMA points'!A:A,0))))) &gt; 0, "NOM INEXISTANT", "Noms ok")</f>
        <v>Noms ok</v>
      </c>
    </row>
    <row r="232" spans="1:11" x14ac:dyDescent="0.25">
      <c r="A232" t="s">
        <v>8</v>
      </c>
      <c r="B232">
        <f>Donnees!B232</f>
        <v>2</v>
      </c>
      <c r="C232">
        <f>Donnees!C232</f>
        <v>1</v>
      </c>
      <c r="D232">
        <f>Donnees!D232</f>
        <v>3</v>
      </c>
      <c r="E232">
        <f>Donnees!E232</f>
        <v>0</v>
      </c>
      <c r="H232" t="s">
        <v>11</v>
      </c>
      <c r="I232" t="str">
        <f t="shared" ref="I232" si="113">IF(SUM(B231:E231)=0, "Score ok", "SOMME NON NULLE")</f>
        <v>Score ok</v>
      </c>
    </row>
    <row r="233" spans="1:11" x14ac:dyDescent="0.25">
      <c r="A233" t="s">
        <v>5</v>
      </c>
      <c r="B233" t="s">
        <v>0</v>
      </c>
      <c r="C233" t="s">
        <v>1</v>
      </c>
      <c r="D233" t="s">
        <v>2</v>
      </c>
      <c r="E233" t="s">
        <v>3</v>
      </c>
      <c r="F233" t="str">
        <f>Donnees!F233</f>
        <v>Partie 59</v>
      </c>
      <c r="H233" t="s">
        <v>10</v>
      </c>
      <c r="I233" t="str">
        <f t="shared" ref="I233" si="114">_xlfn.TEXTJOIN(";",TRUE,B234:E235)</f>
        <v>Mathieu;Gerard;Laetitia;Sylvie;150;74;-25;-199</v>
      </c>
    </row>
    <row r="234" spans="1:11" x14ac:dyDescent="0.25">
      <c r="A234" t="s">
        <v>6</v>
      </c>
      <c r="B234" s="1" t="s">
        <v>62</v>
      </c>
      <c r="C234" s="1" t="s">
        <v>65</v>
      </c>
      <c r="D234" s="1" t="s">
        <v>63</v>
      </c>
      <c r="E234" s="1" t="s">
        <v>66</v>
      </c>
      <c r="F234" s="3">
        <v>45939.939386574071</v>
      </c>
      <c r="H234" t="s">
        <v>9</v>
      </c>
      <c r="I234" t="str" cm="1">
        <f t="array" ref="I234">IF(AND(Donnees!B233:F236=Check!B233:F236),"Identique","PAS IDENTIQUE")</f>
        <v>Identique</v>
      </c>
      <c r="J234" t="s">
        <v>32</v>
      </c>
      <c r="K234" t="str" cm="1">
        <f t="array" ref="K234">IF(MAX(COUNTIF(B234:E234,B234:E234)) &gt; 1, "JOUEUR EN DOUBLE", "Pas de doublons")</f>
        <v>Pas de doublons</v>
      </c>
    </row>
    <row r="235" spans="1:11" x14ac:dyDescent="0.25">
      <c r="A235" t="s">
        <v>7</v>
      </c>
      <c r="B235" s="1">
        <v>150</v>
      </c>
      <c r="C235" s="1">
        <v>74</v>
      </c>
      <c r="D235" s="1">
        <v>-25</v>
      </c>
      <c r="E235" s="1">
        <v>-199</v>
      </c>
      <c r="H235" t="s">
        <v>33</v>
      </c>
      <c r="I235" t="str">
        <f>IF(COUNTIF(I$1:I234,I233)&gt;1,"DOUBLON LIGNE " &amp; MATCH(I233,I$1:I234,0),"Pas de doublons")</f>
        <v>Pas de doublons</v>
      </c>
      <c r="J235" t="s">
        <v>34</v>
      </c>
      <c r="K235" t="str" cm="1">
        <f t="array" ref="K235">IF(SUM(--(NOT(ISNUMBER(MATCH(B234:E234,'EMA points'!A:A,0))))) &gt; 0, "NOM INEXISTANT", "Noms ok")</f>
        <v>Noms ok</v>
      </c>
    </row>
    <row r="236" spans="1:11" x14ac:dyDescent="0.25">
      <c r="A236" t="s">
        <v>8</v>
      </c>
      <c r="B236">
        <f>Donnees!B236</f>
        <v>3</v>
      </c>
      <c r="C236">
        <f>Donnees!C236</f>
        <v>2</v>
      </c>
      <c r="D236">
        <f>Donnees!D236</f>
        <v>1</v>
      </c>
      <c r="E236">
        <f>Donnees!E236</f>
        <v>0</v>
      </c>
      <c r="H236" t="s">
        <v>11</v>
      </c>
      <c r="I236" t="str">
        <f t="shared" ref="I236" si="115">IF(SUM(B235:E235)=0, "Score ok", "SOMME NON NULLE")</f>
        <v>Score ok</v>
      </c>
    </row>
    <row r="237" spans="1:11" x14ac:dyDescent="0.25">
      <c r="A237" t="s">
        <v>5</v>
      </c>
      <c r="B237" t="s">
        <v>0</v>
      </c>
      <c r="C237" t="s">
        <v>1</v>
      </c>
      <c r="D237" t="s">
        <v>2</v>
      </c>
      <c r="E237" t="s">
        <v>3</v>
      </c>
      <c r="F237" t="str">
        <f>Donnees!F237</f>
        <v>Partie 60</v>
      </c>
      <c r="H237" t="s">
        <v>10</v>
      </c>
      <c r="I237" t="str">
        <f t="shared" ref="I237" si="116">_xlfn.TEXTJOIN(";",TRUE,B238:E239)</f>
        <v>Frederic;Valerie D;Xavier;Kevin;63;98;-85;-76</v>
      </c>
    </row>
    <row r="238" spans="1:11" x14ac:dyDescent="0.25">
      <c r="A238" t="s">
        <v>6</v>
      </c>
      <c r="B238" s="1" t="s">
        <v>52</v>
      </c>
      <c r="C238" s="1" t="s">
        <v>71</v>
      </c>
      <c r="D238" s="1" t="s">
        <v>58</v>
      </c>
      <c r="E238" s="1" t="s">
        <v>60</v>
      </c>
      <c r="F238" s="3">
        <v>45939.773043981484</v>
      </c>
      <c r="H238" t="s">
        <v>9</v>
      </c>
      <c r="I238" t="str" cm="1">
        <f t="array" ref="I238">IF(AND(Donnees!B237:F240=Check!B237:F240),"Identique","PAS IDENTIQUE")</f>
        <v>Identique</v>
      </c>
      <c r="J238" t="s">
        <v>32</v>
      </c>
      <c r="K238" t="str" cm="1">
        <f t="array" ref="K238">IF(MAX(COUNTIF(B238:E238,B238:E238)) &gt; 1, "JOUEUR EN DOUBLE", "Pas de doublons")</f>
        <v>Pas de doublons</v>
      </c>
    </row>
    <row r="239" spans="1:11" x14ac:dyDescent="0.25">
      <c r="A239" t="s">
        <v>7</v>
      </c>
      <c r="B239" s="1">
        <v>63</v>
      </c>
      <c r="C239" s="1">
        <v>98</v>
      </c>
      <c r="D239" s="1">
        <v>-85</v>
      </c>
      <c r="E239" s="1">
        <v>-76</v>
      </c>
      <c r="H239" t="s">
        <v>33</v>
      </c>
      <c r="I239" t="str">
        <f>IF(COUNTIF(I$1:I238,I237)&gt;1,"DOUBLON LIGNE " &amp; MATCH(I237,I$1:I238,0),"Pas de doublons")</f>
        <v>Pas de doublons</v>
      </c>
      <c r="J239" t="s">
        <v>34</v>
      </c>
      <c r="K239" t="str" cm="1">
        <f t="array" ref="K239">IF(SUM(--(NOT(ISNUMBER(MATCH(B238:E238,'EMA points'!A:A,0))))) &gt; 0, "NOM INEXISTANT", "Noms ok")</f>
        <v>Noms ok</v>
      </c>
    </row>
    <row r="240" spans="1:11" x14ac:dyDescent="0.25">
      <c r="A240" t="s">
        <v>8</v>
      </c>
      <c r="B240">
        <f>Donnees!B240</f>
        <v>2</v>
      </c>
      <c r="C240">
        <f>Donnees!C240</f>
        <v>3</v>
      </c>
      <c r="D240">
        <f>Donnees!D240</f>
        <v>0</v>
      </c>
      <c r="E240">
        <f>Donnees!E240</f>
        <v>1</v>
      </c>
      <c r="H240" t="s">
        <v>11</v>
      </c>
      <c r="I240" t="str">
        <f t="shared" ref="I240" si="117">IF(SUM(B239:E239)=0, "Score ok", "SOMME NON NULLE")</f>
        <v>Score ok</v>
      </c>
    </row>
    <row r="241" spans="1:11" x14ac:dyDescent="0.25">
      <c r="A241" t="s">
        <v>5</v>
      </c>
      <c r="B241" t="s">
        <v>0</v>
      </c>
      <c r="C241" t="s">
        <v>1</v>
      </c>
      <c r="D241" t="s">
        <v>2</v>
      </c>
      <c r="E241" t="s">
        <v>3</v>
      </c>
      <c r="F241" t="str">
        <f>Donnees!F241</f>
        <v>Partie 61</v>
      </c>
      <c r="H241" t="s">
        <v>10</v>
      </c>
      <c r="I241" t="str">
        <f t="shared" ref="I241" si="118">_xlfn.TEXTJOIN(";",TRUE,B242:E243)</f>
        <v>Kevin;Valerie D;Frederic;Christophe;-194;41;-41;194</v>
      </c>
    </row>
    <row r="242" spans="1:11" x14ac:dyDescent="0.25">
      <c r="A242" t="s">
        <v>6</v>
      </c>
      <c r="B242" s="1" t="s">
        <v>60</v>
      </c>
      <c r="C242" s="1" t="s">
        <v>71</v>
      </c>
      <c r="D242" s="1" t="s">
        <v>52</v>
      </c>
      <c r="E242" s="1" t="s">
        <v>40</v>
      </c>
      <c r="F242" s="3">
        <v>45939.871932870374</v>
      </c>
      <c r="H242" t="s">
        <v>9</v>
      </c>
      <c r="I242" t="str" cm="1">
        <f t="array" ref="I242">IF(AND(Donnees!B241:F244=Check!B241:F244),"Identique","PAS IDENTIQUE")</f>
        <v>Identique</v>
      </c>
      <c r="J242" t="s">
        <v>32</v>
      </c>
      <c r="K242" t="str" cm="1">
        <f t="array" ref="K242">IF(MAX(COUNTIF(B242:E242,B242:E242)) &gt; 1, "JOUEUR EN DOUBLE", "Pas de doublons")</f>
        <v>Pas de doublons</v>
      </c>
    </row>
    <row r="243" spans="1:11" x14ac:dyDescent="0.25">
      <c r="A243" t="s">
        <v>7</v>
      </c>
      <c r="B243" s="1">
        <v>-194</v>
      </c>
      <c r="C243" s="1">
        <v>41</v>
      </c>
      <c r="D243" s="1">
        <v>-41</v>
      </c>
      <c r="E243" s="1">
        <v>194</v>
      </c>
      <c r="H243" t="s">
        <v>33</v>
      </c>
      <c r="I243" t="str">
        <f>IF(COUNTIF(I$1:I242,I241)&gt;1,"DOUBLON LIGNE " &amp; MATCH(I241,I$1:I242,0),"Pas de doublons")</f>
        <v>Pas de doublons</v>
      </c>
      <c r="J243" t="s">
        <v>34</v>
      </c>
      <c r="K243" t="str" cm="1">
        <f t="array" ref="K243">IF(SUM(--(NOT(ISNUMBER(MATCH(B242:E242,'EMA points'!A:A,0))))) &gt; 0, "NOM INEXISTANT", "Noms ok")</f>
        <v>Noms ok</v>
      </c>
    </row>
    <row r="244" spans="1:11" x14ac:dyDescent="0.25">
      <c r="A244" t="s">
        <v>8</v>
      </c>
      <c r="B244">
        <f>Donnees!B244</f>
        <v>0</v>
      </c>
      <c r="C244">
        <f>Donnees!C244</f>
        <v>2</v>
      </c>
      <c r="D244">
        <f>Donnees!D244</f>
        <v>1</v>
      </c>
      <c r="E244">
        <f>Donnees!E244</f>
        <v>3</v>
      </c>
      <c r="H244" t="s">
        <v>11</v>
      </c>
      <c r="I244" t="str">
        <f t="shared" ref="I244" si="119">IF(SUM(B243:E243)=0, "Score ok", "SOMME NON NULLE")</f>
        <v>Score ok</v>
      </c>
    </row>
    <row r="245" spans="1:11" x14ac:dyDescent="0.25">
      <c r="A245" t="s">
        <v>5</v>
      </c>
      <c r="B245" t="s">
        <v>0</v>
      </c>
      <c r="C245" t="s">
        <v>1</v>
      </c>
      <c r="D245" t="s">
        <v>2</v>
      </c>
      <c r="E245" t="s">
        <v>3</v>
      </c>
      <c r="F245" t="str">
        <f>Donnees!F245</f>
        <v>Partie 62</v>
      </c>
      <c r="H245" t="s">
        <v>10</v>
      </c>
      <c r="I245" t="str">
        <f t="shared" ref="I245" si="120">_xlfn.TEXTJOIN(";",TRUE,B246:E247)</f>
        <v>Jean-Michel;Isabelle;Laurence;Fabienne;63;-128;179;-114</v>
      </c>
    </row>
    <row r="246" spans="1:11" x14ac:dyDescent="0.25">
      <c r="A246" t="s">
        <v>6</v>
      </c>
      <c r="B246" s="1" t="s">
        <v>49</v>
      </c>
      <c r="C246" s="1" t="s">
        <v>37</v>
      </c>
      <c r="D246" s="1" t="s">
        <v>51</v>
      </c>
      <c r="E246" s="1" t="s">
        <v>55</v>
      </c>
      <c r="F246" s="3">
        <v>45941.594247685185</v>
      </c>
      <c r="H246" t="s">
        <v>9</v>
      </c>
      <c r="I246" t="str" cm="1">
        <f t="array" ref="I246">IF(AND(Donnees!B245:F248=Check!B245:F248),"Identique","PAS IDENTIQUE")</f>
        <v>Identique</v>
      </c>
      <c r="J246" t="s">
        <v>32</v>
      </c>
      <c r="K246" t="str" cm="1">
        <f t="array" ref="K246">IF(MAX(COUNTIF(B246:E246,B246:E246)) &gt; 1, "JOUEUR EN DOUBLE", "Pas de doublons")</f>
        <v>Pas de doublons</v>
      </c>
    </row>
    <row r="247" spans="1:11" x14ac:dyDescent="0.25">
      <c r="A247" t="s">
        <v>7</v>
      </c>
      <c r="B247" s="1">
        <v>63</v>
      </c>
      <c r="C247" s="1">
        <v>-128</v>
      </c>
      <c r="D247" s="1">
        <v>179</v>
      </c>
      <c r="E247" s="1">
        <v>-114</v>
      </c>
      <c r="H247" t="s">
        <v>33</v>
      </c>
      <c r="I247" t="str">
        <f>IF(COUNTIF(I$1:I246,I245)&gt;1,"DOUBLON LIGNE " &amp; MATCH(I245,I$1:I246,0),"Pas de doublons")</f>
        <v>Pas de doublons</v>
      </c>
      <c r="J247" t="s">
        <v>34</v>
      </c>
      <c r="K247" t="str" cm="1">
        <f t="array" ref="K247">IF(SUM(--(NOT(ISNUMBER(MATCH(B246:E246,'EMA points'!A:A,0))))) &gt; 0, "NOM INEXISTANT", "Noms ok")</f>
        <v>Noms ok</v>
      </c>
    </row>
    <row r="248" spans="1:11" x14ac:dyDescent="0.25">
      <c r="A248" t="s">
        <v>8</v>
      </c>
      <c r="B248">
        <f>Donnees!B248</f>
        <v>2</v>
      </c>
      <c r="C248">
        <f>Donnees!C248</f>
        <v>0</v>
      </c>
      <c r="D248">
        <f>Donnees!D248</f>
        <v>3</v>
      </c>
      <c r="E248">
        <f>Donnees!E248</f>
        <v>1</v>
      </c>
      <c r="H248" t="s">
        <v>11</v>
      </c>
      <c r="I248" t="str">
        <f t="shared" ref="I248" si="121">IF(SUM(B247:E247)=0, "Score ok", "SOMME NON NULLE")</f>
        <v>Score ok</v>
      </c>
    </row>
    <row r="249" spans="1:11" x14ac:dyDescent="0.25">
      <c r="A249" t="s">
        <v>5</v>
      </c>
      <c r="B249" t="s">
        <v>0</v>
      </c>
      <c r="C249" t="s">
        <v>1</v>
      </c>
      <c r="D249" t="s">
        <v>2</v>
      </c>
      <c r="E249" t="s">
        <v>3</v>
      </c>
      <c r="F249" t="str">
        <f>Donnees!F249</f>
        <v>Partie 63</v>
      </c>
      <c r="H249" t="s">
        <v>10</v>
      </c>
      <c r="I249" t="str">
        <f t="shared" ref="I249" si="122">_xlfn.TEXTJOIN(";",TRUE,B250:E251)</f>
        <v>Richard;Delphine;Marc;Christophe;96;-180;-158;242</v>
      </c>
    </row>
    <row r="250" spans="1:11" x14ac:dyDescent="0.25">
      <c r="A250" t="s">
        <v>6</v>
      </c>
      <c r="B250" s="1" t="s">
        <v>50</v>
      </c>
      <c r="C250" s="1" t="s">
        <v>42</v>
      </c>
      <c r="D250" s="1" t="s">
        <v>38</v>
      </c>
      <c r="E250" s="1" t="s">
        <v>40</v>
      </c>
      <c r="F250" s="3">
        <v>45941.593541666669</v>
      </c>
      <c r="H250" t="s">
        <v>9</v>
      </c>
      <c r="I250" t="str" cm="1">
        <f t="array" ref="I250">IF(AND(Donnees!B249:F252=Check!B249:F252),"Identique","PAS IDENTIQUE")</f>
        <v>Identique</v>
      </c>
      <c r="J250" t="s">
        <v>32</v>
      </c>
      <c r="K250" t="str" cm="1">
        <f t="array" ref="K250">IF(MAX(COUNTIF(B250:E250,B250:E250)) &gt; 1, "JOUEUR EN DOUBLE", "Pas de doublons")</f>
        <v>Pas de doublons</v>
      </c>
    </row>
    <row r="251" spans="1:11" x14ac:dyDescent="0.25">
      <c r="A251" t="s">
        <v>7</v>
      </c>
      <c r="B251" s="1">
        <v>96</v>
      </c>
      <c r="C251" s="1">
        <v>-180</v>
      </c>
      <c r="D251" s="1">
        <v>-158</v>
      </c>
      <c r="E251" s="1">
        <v>242</v>
      </c>
      <c r="H251" t="s">
        <v>33</v>
      </c>
      <c r="I251" t="str">
        <f>IF(COUNTIF(I$1:I250,I249)&gt;1,"DOUBLON LIGNE " &amp; MATCH(I249,I$1:I250,0),"Pas de doublons")</f>
        <v>Pas de doublons</v>
      </c>
      <c r="J251" t="s">
        <v>34</v>
      </c>
      <c r="K251" t="str" cm="1">
        <f t="array" ref="K251">IF(SUM(--(NOT(ISNUMBER(MATCH(B250:E250,'EMA points'!A:A,0))))) &gt; 0, "NOM INEXISTANT", "Noms ok")</f>
        <v>Noms ok</v>
      </c>
    </row>
    <row r="252" spans="1:11" x14ac:dyDescent="0.25">
      <c r="A252" t="s">
        <v>8</v>
      </c>
      <c r="B252">
        <f>Donnees!B252</f>
        <v>2</v>
      </c>
      <c r="C252">
        <f>Donnees!C252</f>
        <v>0</v>
      </c>
      <c r="D252">
        <f>Donnees!D252</f>
        <v>1</v>
      </c>
      <c r="E252">
        <f>Donnees!E252</f>
        <v>3</v>
      </c>
      <c r="H252" t="s">
        <v>11</v>
      </c>
      <c r="I252" t="str">
        <f t="shared" ref="I252" si="123">IF(SUM(B251:E251)=0, "Score ok", "SOMME NON NULLE")</f>
        <v>Score ok</v>
      </c>
    </row>
    <row r="253" spans="1:11" x14ac:dyDescent="0.25">
      <c r="A253" t="s">
        <v>5</v>
      </c>
      <c r="B253" t="s">
        <v>0</v>
      </c>
      <c r="C253" t="s">
        <v>1</v>
      </c>
      <c r="D253" t="s">
        <v>2</v>
      </c>
      <c r="E253" t="s">
        <v>3</v>
      </c>
      <c r="F253" t="str">
        <f>Donnees!F253</f>
        <v>Partie 64</v>
      </c>
      <c r="H253" t="s">
        <v>10</v>
      </c>
      <c r="I253" t="str">
        <f t="shared" ref="I253" si="124">_xlfn.TEXTJOIN(";",TRUE,B254:E255)</f>
        <v>Binome;Nathalie;Frederic;Halim;5;-47;59;-17</v>
      </c>
    </row>
    <row r="254" spans="1:11" x14ac:dyDescent="0.25">
      <c r="A254" t="s">
        <v>6</v>
      </c>
      <c r="B254" s="1" t="s">
        <v>47</v>
      </c>
      <c r="C254" s="1" t="s">
        <v>56</v>
      </c>
      <c r="D254" s="1" t="s">
        <v>52</v>
      </c>
      <c r="E254" s="1" t="s">
        <v>67</v>
      </c>
      <c r="F254" s="3">
        <v>45941.594351851854</v>
      </c>
      <c r="H254" t="s">
        <v>9</v>
      </c>
      <c r="I254" t="str" cm="1">
        <f t="array" ref="I254">IF(AND(Donnees!B253:F256=Check!B253:F256),"Identique","PAS IDENTIQUE")</f>
        <v>Identique</v>
      </c>
      <c r="J254" t="s">
        <v>32</v>
      </c>
      <c r="K254" t="str" cm="1">
        <f t="array" ref="K254">IF(MAX(COUNTIF(B254:E254,B254:E254)) &gt; 1, "JOUEUR EN DOUBLE", "Pas de doublons")</f>
        <v>Pas de doublons</v>
      </c>
    </row>
    <row r="255" spans="1:11" x14ac:dyDescent="0.25">
      <c r="A255" t="s">
        <v>7</v>
      </c>
      <c r="B255" s="1">
        <v>5</v>
      </c>
      <c r="C255" s="1">
        <v>-47</v>
      </c>
      <c r="D255" s="1">
        <v>59</v>
      </c>
      <c r="E255" s="1">
        <v>-17</v>
      </c>
      <c r="H255" t="s">
        <v>33</v>
      </c>
      <c r="I255" t="str">
        <f>IF(COUNTIF(I$1:I254,I253)&gt;1,"DOUBLON LIGNE " &amp; MATCH(I253,I$1:I254,0),"Pas de doublons")</f>
        <v>Pas de doublons</v>
      </c>
      <c r="J255" t="s">
        <v>34</v>
      </c>
      <c r="K255" t="str" cm="1">
        <f t="array" ref="K255">IF(SUM(--(NOT(ISNUMBER(MATCH(B254:E254,'EMA points'!A:A,0))))) &gt; 0, "NOM INEXISTANT", "Noms ok")</f>
        <v>Noms ok</v>
      </c>
    </row>
    <row r="256" spans="1:11" x14ac:dyDescent="0.25">
      <c r="A256" t="s">
        <v>8</v>
      </c>
      <c r="B256">
        <f>Donnees!B256</f>
        <v>2</v>
      </c>
      <c r="C256">
        <f>Donnees!C256</f>
        <v>0</v>
      </c>
      <c r="D256">
        <f>Donnees!D256</f>
        <v>3</v>
      </c>
      <c r="E256">
        <f>Donnees!E256</f>
        <v>1</v>
      </c>
      <c r="H256" t="s">
        <v>11</v>
      </c>
      <c r="I256" t="str">
        <f t="shared" ref="I256" si="125">IF(SUM(B255:E255)=0, "Score ok", "SOMME NON NULLE")</f>
        <v>Score ok</v>
      </c>
    </row>
    <row r="257" spans="1:11" x14ac:dyDescent="0.25">
      <c r="A257" t="s">
        <v>5</v>
      </c>
      <c r="B257" t="s">
        <v>0</v>
      </c>
      <c r="C257" t="s">
        <v>1</v>
      </c>
      <c r="D257" t="s">
        <v>2</v>
      </c>
      <c r="E257" t="s">
        <v>3</v>
      </c>
      <c r="F257" t="str">
        <f>Donnees!F257</f>
        <v>Partie 65</v>
      </c>
      <c r="H257" t="s">
        <v>10</v>
      </c>
      <c r="I257" t="str">
        <f t="shared" ref="I257" si="126">_xlfn.TEXTJOIN(";",TRUE,B258:E259)</f>
        <v>Nathalie;Richard;Fabienne;Jean-Michel;-163;133;-11;41</v>
      </c>
    </row>
    <row r="258" spans="1:11" x14ac:dyDescent="0.25">
      <c r="A258" t="s">
        <v>6</v>
      </c>
      <c r="B258" s="1" t="s">
        <v>56</v>
      </c>
      <c r="C258" s="1" t="s">
        <v>50</v>
      </c>
      <c r="D258" s="1" t="s">
        <v>55</v>
      </c>
      <c r="E258" s="1" t="s">
        <v>49</v>
      </c>
      <c r="F258" s="3">
        <v>45941.69259259259</v>
      </c>
      <c r="H258" t="s">
        <v>9</v>
      </c>
      <c r="I258" t="str" cm="1">
        <f t="array" ref="I258">IF(AND(Donnees!B257:F260=Check!B257:F260),"Identique","PAS IDENTIQUE")</f>
        <v>Identique</v>
      </c>
      <c r="J258" t="s">
        <v>32</v>
      </c>
      <c r="K258" t="str" cm="1">
        <f t="array" ref="K258">IF(MAX(COUNTIF(B258:E258,B258:E258)) &gt; 1, "JOUEUR EN DOUBLE", "Pas de doublons")</f>
        <v>Pas de doublons</v>
      </c>
    </row>
    <row r="259" spans="1:11" x14ac:dyDescent="0.25">
      <c r="A259" t="s">
        <v>7</v>
      </c>
      <c r="B259" s="1">
        <v>-163</v>
      </c>
      <c r="C259" s="1">
        <v>133</v>
      </c>
      <c r="D259" s="1">
        <v>-11</v>
      </c>
      <c r="E259" s="1">
        <v>41</v>
      </c>
      <c r="H259" t="s">
        <v>33</v>
      </c>
      <c r="I259" t="str">
        <f>IF(COUNTIF(I$1:I258,I257)&gt;1,"DOUBLON LIGNE " &amp; MATCH(I257,I$1:I258,0),"Pas de doublons")</f>
        <v>Pas de doublons</v>
      </c>
      <c r="J259" t="s">
        <v>34</v>
      </c>
      <c r="K259" t="str" cm="1">
        <f t="array" ref="K259">IF(SUM(--(NOT(ISNUMBER(MATCH(B258:E258,'EMA points'!A:A,0))))) &gt; 0, "NOM INEXISTANT", "Noms ok")</f>
        <v>Noms ok</v>
      </c>
    </row>
    <row r="260" spans="1:11" x14ac:dyDescent="0.25">
      <c r="A260" t="s">
        <v>8</v>
      </c>
      <c r="B260">
        <f>Donnees!B260</f>
        <v>0</v>
      </c>
      <c r="C260">
        <f>Donnees!C260</f>
        <v>3</v>
      </c>
      <c r="D260">
        <f>Donnees!D260</f>
        <v>1</v>
      </c>
      <c r="E260">
        <f>Donnees!E260</f>
        <v>2</v>
      </c>
      <c r="H260" t="s">
        <v>11</v>
      </c>
      <c r="I260" t="str">
        <f t="shared" ref="I260" si="127">IF(SUM(B259:E259)=0, "Score ok", "SOMME NON NULLE")</f>
        <v>Score ok</v>
      </c>
    </row>
    <row r="261" spans="1:11" x14ac:dyDescent="0.25">
      <c r="A261" t="s">
        <v>5</v>
      </c>
      <c r="B261" t="s">
        <v>0</v>
      </c>
      <c r="C261" t="s">
        <v>1</v>
      </c>
      <c r="D261" t="s">
        <v>2</v>
      </c>
      <c r="E261" t="s">
        <v>3</v>
      </c>
      <c r="F261" t="str">
        <f>Donnees!F261</f>
        <v>Partie 66</v>
      </c>
      <c r="H261" t="s">
        <v>10</v>
      </c>
      <c r="I261" t="str">
        <f t="shared" ref="I261" si="128">_xlfn.TEXTJOIN(";",TRUE,B262:E263)</f>
        <v>Raphael;Ghislaine;Valerie D;Guilhem;74;-45;40;-69</v>
      </c>
    </row>
    <row r="262" spans="1:11" x14ac:dyDescent="0.25">
      <c r="A262" t="s">
        <v>6</v>
      </c>
      <c r="B262" s="1" t="s">
        <v>41</v>
      </c>
      <c r="C262" s="1" t="s">
        <v>43</v>
      </c>
      <c r="D262" s="1" t="s">
        <v>71</v>
      </c>
      <c r="E262" s="1" t="s">
        <v>39</v>
      </c>
      <c r="F262" s="3">
        <v>45941.692546296297</v>
      </c>
      <c r="H262" t="s">
        <v>9</v>
      </c>
      <c r="I262" t="str" cm="1">
        <f t="array" ref="I262">IF(AND(Donnees!B261:F264=Check!B261:F264),"Identique","PAS IDENTIQUE")</f>
        <v>Identique</v>
      </c>
      <c r="J262" t="s">
        <v>32</v>
      </c>
      <c r="K262" t="str" cm="1">
        <f t="array" ref="K262">IF(MAX(COUNTIF(B262:E262,B262:E262)) &gt; 1, "JOUEUR EN DOUBLE", "Pas de doublons")</f>
        <v>Pas de doublons</v>
      </c>
    </row>
    <row r="263" spans="1:11" x14ac:dyDescent="0.25">
      <c r="A263" t="s">
        <v>7</v>
      </c>
      <c r="B263" s="1">
        <v>74</v>
      </c>
      <c r="C263" s="1">
        <v>-45</v>
      </c>
      <c r="D263" s="1">
        <v>40</v>
      </c>
      <c r="E263" s="1">
        <v>-69</v>
      </c>
      <c r="H263" t="s">
        <v>33</v>
      </c>
      <c r="I263" t="str">
        <f>IF(COUNTIF(I$1:I262,I261)&gt;1,"DOUBLON LIGNE " &amp; MATCH(I261,I$1:I262,0),"Pas de doublons")</f>
        <v>Pas de doublons</v>
      </c>
      <c r="J263" t="s">
        <v>34</v>
      </c>
      <c r="K263" t="str" cm="1">
        <f t="array" ref="K263">IF(SUM(--(NOT(ISNUMBER(MATCH(B262:E262,'EMA points'!A:A,0))))) &gt; 0, "NOM INEXISTANT", "Noms ok")</f>
        <v>Noms ok</v>
      </c>
    </row>
    <row r="264" spans="1:11" x14ac:dyDescent="0.25">
      <c r="A264" t="s">
        <v>8</v>
      </c>
      <c r="B264">
        <f>Donnees!B264</f>
        <v>3</v>
      </c>
      <c r="C264">
        <f>Donnees!C264</f>
        <v>1</v>
      </c>
      <c r="D264">
        <f>Donnees!D264</f>
        <v>2</v>
      </c>
      <c r="E264">
        <f>Donnees!E264</f>
        <v>0</v>
      </c>
      <c r="H264" t="s">
        <v>11</v>
      </c>
      <c r="I264" t="str">
        <f t="shared" ref="I264" si="129">IF(SUM(B263:E263)=0, "Score ok", "SOMME NON NULLE")</f>
        <v>Score ok</v>
      </c>
    </row>
    <row r="265" spans="1:11" x14ac:dyDescent="0.25">
      <c r="A265" t="s">
        <v>5</v>
      </c>
      <c r="B265" t="s">
        <v>0</v>
      </c>
      <c r="C265" t="s">
        <v>1</v>
      </c>
      <c r="D265" t="s">
        <v>2</v>
      </c>
      <c r="E265" t="s">
        <v>3</v>
      </c>
      <c r="F265" t="str">
        <f>Donnees!F265</f>
        <v>Partie 67</v>
      </c>
      <c r="H265" t="s">
        <v>10</v>
      </c>
      <c r="I265" t="str">
        <f t="shared" ref="I265" si="130">_xlfn.TEXTJOIN(";",TRUE,B266:E267)</f>
        <v>Halim;Valerie D;Guilhem;Frederic;-35;7;-64;92</v>
      </c>
    </row>
    <row r="266" spans="1:11" x14ac:dyDescent="0.25">
      <c r="A266" t="s">
        <v>6</v>
      </c>
      <c r="B266" s="1" t="s">
        <v>67</v>
      </c>
      <c r="C266" s="1" t="s">
        <v>71</v>
      </c>
      <c r="D266" s="1" t="s">
        <v>39</v>
      </c>
      <c r="E266" s="1" t="s">
        <v>52</v>
      </c>
      <c r="F266" s="3">
        <v>45941.826990740738</v>
      </c>
      <c r="H266" t="s">
        <v>9</v>
      </c>
      <c r="I266" t="str" cm="1">
        <f t="array" ref="I266">IF(AND(Donnees!B265:F268=Check!B265:F268),"Identique","PAS IDENTIQUE")</f>
        <v>Identique</v>
      </c>
      <c r="J266" t="s">
        <v>32</v>
      </c>
      <c r="K266" t="str" cm="1">
        <f t="array" ref="K266">IF(MAX(COUNTIF(B266:E266,B266:E266)) &gt; 1, "JOUEUR EN DOUBLE", "Pas de doublons")</f>
        <v>Pas de doublons</v>
      </c>
    </row>
    <row r="267" spans="1:11" x14ac:dyDescent="0.25">
      <c r="A267" t="s">
        <v>7</v>
      </c>
      <c r="B267" s="1">
        <v>-35</v>
      </c>
      <c r="C267" s="1">
        <v>7</v>
      </c>
      <c r="D267" s="1">
        <v>-64</v>
      </c>
      <c r="E267" s="1">
        <v>92</v>
      </c>
      <c r="H267" t="s">
        <v>33</v>
      </c>
      <c r="I267" t="str">
        <f>IF(COUNTIF(I$1:I266,I265)&gt;1,"DOUBLON LIGNE " &amp; MATCH(I265,I$1:I266,0),"Pas de doublons")</f>
        <v>Pas de doublons</v>
      </c>
      <c r="J267" t="s">
        <v>34</v>
      </c>
      <c r="K267" t="str" cm="1">
        <f t="array" ref="K267">IF(SUM(--(NOT(ISNUMBER(MATCH(B266:E266,'EMA points'!A:A,0))))) &gt; 0, "NOM INEXISTANT", "Noms ok")</f>
        <v>Noms ok</v>
      </c>
    </row>
    <row r="268" spans="1:11" x14ac:dyDescent="0.25">
      <c r="A268" t="s">
        <v>8</v>
      </c>
      <c r="B268">
        <f>Donnees!B268</f>
        <v>1</v>
      </c>
      <c r="C268">
        <f>Donnees!C268</f>
        <v>2</v>
      </c>
      <c r="D268">
        <f>Donnees!D268</f>
        <v>0</v>
      </c>
      <c r="E268">
        <f>Donnees!E268</f>
        <v>3</v>
      </c>
      <c r="H268" t="s">
        <v>11</v>
      </c>
      <c r="I268" t="str">
        <f t="shared" ref="I268" si="131">IF(SUM(B267:E267)=0, "Score ok", "SOMME NON NULLE")</f>
        <v>Score ok</v>
      </c>
    </row>
    <row r="269" spans="1:11" x14ac:dyDescent="0.25">
      <c r="A269" t="s">
        <v>5</v>
      </c>
      <c r="B269" t="s">
        <v>0</v>
      </c>
      <c r="C269" t="s">
        <v>1</v>
      </c>
      <c r="D269" t="s">
        <v>2</v>
      </c>
      <c r="E269" t="s">
        <v>3</v>
      </c>
      <c r="F269" t="str">
        <f>Donnees!F269</f>
        <v>Partie 68</v>
      </c>
      <c r="H269" t="s">
        <v>10</v>
      </c>
      <c r="I269" t="str">
        <f t="shared" ref="I269" si="132">_xlfn.TEXTJOIN(";",TRUE,B270:E271)</f>
        <v>Guilhem;Frederic;Valerie D;Halim;6;49;-39;-16</v>
      </c>
    </row>
    <row r="270" spans="1:11" x14ac:dyDescent="0.25">
      <c r="A270" t="s">
        <v>6</v>
      </c>
      <c r="B270" s="1" t="s">
        <v>39</v>
      </c>
      <c r="C270" s="1" t="s">
        <v>52</v>
      </c>
      <c r="D270" s="1" t="s">
        <v>71</v>
      </c>
      <c r="E270" s="1" t="s">
        <v>67</v>
      </c>
      <c r="F270" s="3">
        <v>45941.916192129633</v>
      </c>
      <c r="H270" t="s">
        <v>9</v>
      </c>
      <c r="I270" t="str" cm="1">
        <f t="array" ref="I270">IF(AND(Donnees!B269:F272=Check!B269:F272),"Identique","PAS IDENTIQUE")</f>
        <v>Identique</v>
      </c>
      <c r="J270" t="s">
        <v>32</v>
      </c>
      <c r="K270" t="str" cm="1">
        <f t="array" ref="K270">IF(MAX(COUNTIF(B270:E270,B270:E270)) &gt; 1, "JOUEUR EN DOUBLE", "Pas de doublons")</f>
        <v>Pas de doublons</v>
      </c>
    </row>
    <row r="271" spans="1:11" x14ac:dyDescent="0.25">
      <c r="A271" t="s">
        <v>7</v>
      </c>
      <c r="B271" s="1">
        <v>6</v>
      </c>
      <c r="C271" s="1">
        <v>49</v>
      </c>
      <c r="D271" s="1">
        <v>-39</v>
      </c>
      <c r="E271" s="1">
        <v>-16</v>
      </c>
      <c r="H271" t="s">
        <v>33</v>
      </c>
      <c r="I271" t="str">
        <f>IF(COUNTIF(I$1:I270,I269)&gt;1,"DOUBLON LIGNE " &amp; MATCH(I269,I$1:I270,0),"Pas de doublons")</f>
        <v>Pas de doublons</v>
      </c>
      <c r="J271" t="s">
        <v>34</v>
      </c>
      <c r="K271" t="str" cm="1">
        <f t="array" ref="K271">IF(SUM(--(NOT(ISNUMBER(MATCH(B270:E270,'EMA points'!A:A,0))))) &gt; 0, "NOM INEXISTANT", "Noms ok")</f>
        <v>Noms ok</v>
      </c>
    </row>
    <row r="272" spans="1:11" x14ac:dyDescent="0.25">
      <c r="A272" t="s">
        <v>8</v>
      </c>
      <c r="B272">
        <f>Donnees!B272</f>
        <v>2</v>
      </c>
      <c r="C272">
        <f>Donnees!C272</f>
        <v>3</v>
      </c>
      <c r="D272">
        <f>Donnees!D272</f>
        <v>0</v>
      </c>
      <c r="E272">
        <f>Donnees!E272</f>
        <v>1</v>
      </c>
      <c r="H272" t="s">
        <v>11</v>
      </c>
      <c r="I272" t="str">
        <f t="shared" ref="I272" si="133">IF(SUM(B271:E271)=0, "Score ok", "SOMME NON NULLE")</f>
        <v>Score ok</v>
      </c>
    </row>
    <row r="273" spans="1:11" x14ac:dyDescent="0.25">
      <c r="A273" t="s">
        <v>5</v>
      </c>
      <c r="B273" t="s">
        <v>0</v>
      </c>
      <c r="C273" t="s">
        <v>1</v>
      </c>
      <c r="D273" t="s">
        <v>2</v>
      </c>
      <c r="E273" t="s">
        <v>3</v>
      </c>
      <c r="F273" t="str">
        <f>Donnees!F273</f>
        <v>Partie 69</v>
      </c>
      <c r="H273" t="s">
        <v>10</v>
      </c>
      <c r="I273" t="str">
        <f t="shared" ref="I273" si="134">_xlfn.TEXTJOIN(";",TRUE,B274:E275)</f>
        <v>Valerie D;Raphael;Kevin;Halim;-62;304;40;-282</v>
      </c>
    </row>
    <row r="274" spans="1:11" x14ac:dyDescent="0.25">
      <c r="A274" t="s">
        <v>6</v>
      </c>
      <c r="B274" s="1" t="s">
        <v>71</v>
      </c>
      <c r="C274" s="1" t="s">
        <v>41</v>
      </c>
      <c r="D274" s="1" t="s">
        <v>60</v>
      </c>
      <c r="E274" s="1" t="s">
        <v>67</v>
      </c>
      <c r="F274" s="3">
        <v>45946.619212962964</v>
      </c>
      <c r="H274" t="s">
        <v>9</v>
      </c>
      <c r="I274" t="str" cm="1">
        <f t="array" ref="I274">IF(AND(Donnees!B273:F276=Check!B273:F276),"Identique","PAS IDENTIQUE")</f>
        <v>Identique</v>
      </c>
      <c r="J274" t="s">
        <v>32</v>
      </c>
      <c r="K274" t="str" cm="1">
        <f t="array" ref="K274">IF(MAX(COUNTIF(B274:E274,B274:E274)) &gt; 1, "JOUEUR EN DOUBLE", "Pas de doublons")</f>
        <v>Pas de doublons</v>
      </c>
    </row>
    <row r="275" spans="1:11" x14ac:dyDescent="0.25">
      <c r="A275" t="s">
        <v>7</v>
      </c>
      <c r="B275" s="1">
        <v>-62</v>
      </c>
      <c r="C275" s="1">
        <v>304</v>
      </c>
      <c r="D275" s="1">
        <v>40</v>
      </c>
      <c r="E275" s="1">
        <v>-282</v>
      </c>
      <c r="H275" t="s">
        <v>33</v>
      </c>
      <c r="I275" t="str">
        <f>IF(COUNTIF(I$1:I274,I273)&gt;1,"DOUBLON LIGNE " &amp; MATCH(I273,I$1:I274,0),"Pas de doublons")</f>
        <v>Pas de doublons</v>
      </c>
      <c r="J275" t="s">
        <v>34</v>
      </c>
      <c r="K275" t="str" cm="1">
        <f t="array" ref="K275">IF(SUM(--(NOT(ISNUMBER(MATCH(B274:E274,'EMA points'!A:A,0))))) &gt; 0, "NOM INEXISTANT", "Noms ok")</f>
        <v>Noms ok</v>
      </c>
    </row>
    <row r="276" spans="1:11" x14ac:dyDescent="0.25">
      <c r="A276" t="s">
        <v>8</v>
      </c>
      <c r="B276">
        <f>Donnees!B276</f>
        <v>1</v>
      </c>
      <c r="C276">
        <f>Donnees!C276</f>
        <v>3</v>
      </c>
      <c r="D276">
        <f>Donnees!D276</f>
        <v>2</v>
      </c>
      <c r="E276">
        <f>Donnees!E276</f>
        <v>0</v>
      </c>
      <c r="H276" t="s">
        <v>11</v>
      </c>
      <c r="I276" t="str">
        <f t="shared" ref="I276" si="135">IF(SUM(B275:E275)=0, "Score ok", "SOMME NON NULLE")</f>
        <v>Score ok</v>
      </c>
    </row>
    <row r="277" spans="1:11" x14ac:dyDescent="0.25">
      <c r="A277" t="s">
        <v>5</v>
      </c>
      <c r="B277" t="s">
        <v>0</v>
      </c>
      <c r="C277" t="s">
        <v>1</v>
      </c>
      <c r="D277" t="s">
        <v>2</v>
      </c>
      <c r="E277" t="s">
        <v>3</v>
      </c>
      <c r="F277" t="str">
        <f>Donnees!F277</f>
        <v>Partie 70</v>
      </c>
      <c r="H277" t="s">
        <v>10</v>
      </c>
      <c r="I277" t="str">
        <f t="shared" ref="I277" si="136">_xlfn.TEXTJOIN(";",TRUE,B278:E279)</f>
        <v>Kevin;Valerie D;Halim;Raphael;-40;-76;-149;265</v>
      </c>
    </row>
    <row r="278" spans="1:11" x14ac:dyDescent="0.25">
      <c r="A278" t="s">
        <v>6</v>
      </c>
      <c r="B278" s="1" t="s">
        <v>60</v>
      </c>
      <c r="C278" s="1" t="s">
        <v>71</v>
      </c>
      <c r="D278" s="1" t="s">
        <v>67</v>
      </c>
      <c r="E278" s="1" t="s">
        <v>41</v>
      </c>
      <c r="F278" s="3">
        <v>45946.733159722222</v>
      </c>
      <c r="H278" t="s">
        <v>9</v>
      </c>
      <c r="I278" t="str" cm="1">
        <f t="array" ref="I278">IF(AND(Donnees!B277:F280=Check!B277:F280),"Identique","PAS IDENTIQUE")</f>
        <v>Identique</v>
      </c>
      <c r="J278" t="s">
        <v>32</v>
      </c>
      <c r="K278" t="str" cm="1">
        <f t="array" ref="K278">IF(MAX(COUNTIF(B278:E278,B278:E278)) &gt; 1, "JOUEUR EN DOUBLE", "Pas de doublons")</f>
        <v>Pas de doublons</v>
      </c>
    </row>
    <row r="279" spans="1:11" x14ac:dyDescent="0.25">
      <c r="A279" t="s">
        <v>7</v>
      </c>
      <c r="B279" s="1">
        <v>-40</v>
      </c>
      <c r="C279" s="1">
        <v>-76</v>
      </c>
      <c r="D279" s="1">
        <v>-149</v>
      </c>
      <c r="E279" s="1">
        <v>265</v>
      </c>
      <c r="H279" t="s">
        <v>33</v>
      </c>
      <c r="I279" t="str">
        <f>IF(COUNTIF(I$1:I278,I277)&gt;1,"DOUBLON LIGNE " &amp; MATCH(I277,I$1:I278,0),"Pas de doublons")</f>
        <v>Pas de doublons</v>
      </c>
      <c r="J279" t="s">
        <v>34</v>
      </c>
      <c r="K279" t="str" cm="1">
        <f t="array" ref="K279">IF(SUM(--(NOT(ISNUMBER(MATCH(B278:E278,'EMA points'!A:A,0))))) &gt; 0, "NOM INEXISTANT", "Noms ok")</f>
        <v>Noms ok</v>
      </c>
    </row>
    <row r="280" spans="1:11" x14ac:dyDescent="0.25">
      <c r="A280" t="s">
        <v>8</v>
      </c>
      <c r="B280">
        <f>Donnees!B280</f>
        <v>2</v>
      </c>
      <c r="C280">
        <f>Donnees!C280</f>
        <v>1</v>
      </c>
      <c r="D280">
        <f>Donnees!D280</f>
        <v>0</v>
      </c>
      <c r="E280">
        <f>Donnees!E280</f>
        <v>3</v>
      </c>
      <c r="H280" t="s">
        <v>11</v>
      </c>
      <c r="I280" t="str">
        <f t="shared" ref="I280" si="137">IF(SUM(B279:E279)=0, "Score ok", "SOMME NON NULLE")</f>
        <v>Score ok</v>
      </c>
    </row>
    <row r="281" spans="1:11" x14ac:dyDescent="0.25">
      <c r="A281" t="s">
        <v>5</v>
      </c>
      <c r="B281" t="s">
        <v>0</v>
      </c>
      <c r="C281" t="s">
        <v>1</v>
      </c>
      <c r="D281" t="s">
        <v>2</v>
      </c>
      <c r="E281" t="s">
        <v>3</v>
      </c>
      <c r="F281" t="str">
        <f>Donnees!F281</f>
        <v>Partie 71</v>
      </c>
      <c r="H281" t="s">
        <v>10</v>
      </c>
      <c r="I281" t="str">
        <f t="shared" ref="I281" si="138">_xlfn.TEXTJOIN(";",TRUE,B282:E283)</f>
        <v>Sven;Christine;Claire;Jade;-23;-186;84;125</v>
      </c>
    </row>
    <row r="282" spans="1:11" x14ac:dyDescent="0.25">
      <c r="A282" t="s">
        <v>6</v>
      </c>
      <c r="B282" s="1" t="s">
        <v>68</v>
      </c>
      <c r="C282" s="1" t="s">
        <v>70</v>
      </c>
      <c r="D282" s="1" t="s">
        <v>64</v>
      </c>
      <c r="E282" s="1" t="s">
        <v>69</v>
      </c>
      <c r="F282" s="3">
        <v>45946.789652777778</v>
      </c>
      <c r="H282" t="s">
        <v>9</v>
      </c>
      <c r="I282" t="str" cm="1">
        <f t="array" ref="I282">IF(AND(Donnees!B281:F284=Check!B281:F284),"Identique","PAS IDENTIQUE")</f>
        <v>Identique</v>
      </c>
      <c r="J282" t="s">
        <v>32</v>
      </c>
      <c r="K282" t="str" cm="1">
        <f t="array" ref="K282">IF(MAX(COUNTIF(B282:E282,B282:E282)) &gt; 1, "JOUEUR EN DOUBLE", "Pas de doublons")</f>
        <v>Pas de doublons</v>
      </c>
    </row>
    <row r="283" spans="1:11" x14ac:dyDescent="0.25">
      <c r="A283" t="s">
        <v>7</v>
      </c>
      <c r="B283" s="1">
        <v>-23</v>
      </c>
      <c r="C283" s="1">
        <v>-186</v>
      </c>
      <c r="D283" s="1">
        <v>84</v>
      </c>
      <c r="E283" s="1">
        <v>125</v>
      </c>
      <c r="H283" t="s">
        <v>33</v>
      </c>
      <c r="I283" t="str">
        <f>IF(COUNTIF(I$1:I282,I281)&gt;1,"DOUBLON LIGNE " &amp; MATCH(I281,I$1:I282,0),"Pas de doublons")</f>
        <v>Pas de doublons</v>
      </c>
      <c r="J283" t="s">
        <v>34</v>
      </c>
      <c r="K283" t="str" cm="1">
        <f t="array" ref="K283">IF(SUM(--(NOT(ISNUMBER(MATCH(B282:E282,'EMA points'!A:A,0))))) &gt; 0, "NOM INEXISTANT", "Noms ok")</f>
        <v>Noms ok</v>
      </c>
    </row>
    <row r="284" spans="1:11" x14ac:dyDescent="0.25">
      <c r="A284" t="s">
        <v>8</v>
      </c>
      <c r="B284">
        <f>Donnees!B284</f>
        <v>1</v>
      </c>
      <c r="C284">
        <f>Donnees!C284</f>
        <v>0</v>
      </c>
      <c r="D284">
        <f>Donnees!D284</f>
        <v>2</v>
      </c>
      <c r="E284">
        <f>Donnees!E284</f>
        <v>3</v>
      </c>
      <c r="H284" t="s">
        <v>11</v>
      </c>
      <c r="I284" t="str">
        <f t="shared" ref="I284" si="139">IF(SUM(B283:E283)=0, "Score ok", "SOMME NON NULLE")</f>
        <v>Score ok</v>
      </c>
    </row>
    <row r="285" spans="1:11" x14ac:dyDescent="0.25">
      <c r="A285" t="s">
        <v>5</v>
      </c>
      <c r="B285" t="s">
        <v>0</v>
      </c>
      <c r="C285" t="s">
        <v>1</v>
      </c>
      <c r="D285" t="s">
        <v>2</v>
      </c>
      <c r="E285" t="s">
        <v>3</v>
      </c>
      <c r="F285" t="str">
        <f>Donnees!F285</f>
        <v>Partie 72</v>
      </c>
      <c r="H285" t="s">
        <v>10</v>
      </c>
      <c r="I285" t="str">
        <f t="shared" ref="I285" si="140">_xlfn.TEXTJOIN(";",TRUE,B286:E287)</f>
        <v>Sebastien;Matheo;Xavier;Ghislaine;-37;-117;-15;169</v>
      </c>
    </row>
    <row r="286" spans="1:11" x14ac:dyDescent="0.25">
      <c r="A286" t="s">
        <v>6</v>
      </c>
      <c r="B286" s="1" t="s">
        <v>46</v>
      </c>
      <c r="C286" s="1" t="s">
        <v>53</v>
      </c>
      <c r="D286" s="1" t="s">
        <v>58</v>
      </c>
      <c r="E286" s="1" t="s">
        <v>43</v>
      </c>
      <c r="F286" s="3">
        <v>45941.593055555553</v>
      </c>
      <c r="H286" t="s">
        <v>9</v>
      </c>
      <c r="I286" t="str" cm="1">
        <f t="array" ref="I286">IF(AND(Donnees!B285:F288=Check!B285:F288),"Identique","PAS IDENTIQUE")</f>
        <v>Identique</v>
      </c>
      <c r="J286" t="s">
        <v>32</v>
      </c>
      <c r="K286" t="str" cm="1">
        <f t="array" ref="K286">IF(MAX(COUNTIF(B286:E286,B286:E286)) &gt; 1, "JOUEUR EN DOUBLE", "Pas de doublons")</f>
        <v>Pas de doublons</v>
      </c>
    </row>
    <row r="287" spans="1:11" x14ac:dyDescent="0.25">
      <c r="A287" t="s">
        <v>7</v>
      </c>
      <c r="B287" s="1">
        <v>-37</v>
      </c>
      <c r="C287" s="1">
        <v>-117</v>
      </c>
      <c r="D287" s="1">
        <v>-15</v>
      </c>
      <c r="E287" s="1">
        <v>169</v>
      </c>
      <c r="H287" t="s">
        <v>33</v>
      </c>
      <c r="I287" t="str">
        <f>IF(COUNTIF(I$1:I286,I285)&gt;1,"DOUBLON LIGNE " &amp; MATCH(I285,I$1:I286,0),"Pas de doublons")</f>
        <v>Pas de doublons</v>
      </c>
      <c r="J287" t="s">
        <v>34</v>
      </c>
      <c r="K287" t="str" cm="1">
        <f t="array" ref="K287">IF(SUM(--(NOT(ISNUMBER(MATCH(B286:E286,'EMA points'!A:A,0))))) &gt; 0, "NOM INEXISTANT", "Noms ok")</f>
        <v>Noms ok</v>
      </c>
    </row>
    <row r="288" spans="1:11" x14ac:dyDescent="0.25">
      <c r="A288" t="s">
        <v>8</v>
      </c>
      <c r="B288">
        <f>Donnees!B288</f>
        <v>1</v>
      </c>
      <c r="C288">
        <f>Donnees!C288</f>
        <v>0</v>
      </c>
      <c r="D288">
        <f>Donnees!D288</f>
        <v>2</v>
      </c>
      <c r="E288">
        <f>Donnees!E288</f>
        <v>3</v>
      </c>
      <c r="H288" t="s">
        <v>11</v>
      </c>
      <c r="I288" t="str">
        <f t="shared" ref="I288" si="141">IF(SUM(B287:E287)=0, "Score ok", "SOMME NON NULLE")</f>
        <v>Score ok</v>
      </c>
    </row>
    <row r="289" spans="1:11" x14ac:dyDescent="0.25">
      <c r="A289" t="s">
        <v>5</v>
      </c>
      <c r="B289" t="s">
        <v>0</v>
      </c>
      <c r="C289" t="s">
        <v>1</v>
      </c>
      <c r="D289" t="s">
        <v>2</v>
      </c>
      <c r="E289" t="s">
        <v>3</v>
      </c>
      <c r="F289" t="str">
        <f>Donnees!F289</f>
        <v>Partie 73</v>
      </c>
      <c r="H289" t="s">
        <v>10</v>
      </c>
      <c r="I289" t="str">
        <f t="shared" ref="I289" si="142">_xlfn.TEXTJOIN(";",TRUE,B290:E291)</f>
        <v>Matheo;Sebastien;Halim;Laurence;48;-69;-132;153</v>
      </c>
    </row>
    <row r="290" spans="1:11" x14ac:dyDescent="0.25">
      <c r="A290" t="s">
        <v>6</v>
      </c>
      <c r="B290" s="1" t="s">
        <v>53</v>
      </c>
      <c r="C290" s="1" t="s">
        <v>46</v>
      </c>
      <c r="D290" s="1" t="s">
        <v>67</v>
      </c>
      <c r="E290" s="1" t="s">
        <v>51</v>
      </c>
      <c r="F290" s="3">
        <v>45941.692361111112</v>
      </c>
      <c r="H290" t="s">
        <v>9</v>
      </c>
      <c r="I290" t="str" cm="1">
        <f t="array" ref="I290">IF(AND(Donnees!B289:F292=Check!B289:F292),"Identique","PAS IDENTIQUE")</f>
        <v>Identique</v>
      </c>
      <c r="J290" t="s">
        <v>32</v>
      </c>
      <c r="K290" t="str" cm="1">
        <f t="array" ref="K290">IF(MAX(COUNTIF(B290:E290,B290:E290)) &gt; 1, "JOUEUR EN DOUBLE", "Pas de doublons")</f>
        <v>Pas de doublons</v>
      </c>
    </row>
    <row r="291" spans="1:11" x14ac:dyDescent="0.25">
      <c r="A291" t="s">
        <v>7</v>
      </c>
      <c r="B291" s="1">
        <v>48</v>
      </c>
      <c r="C291" s="1">
        <v>-69</v>
      </c>
      <c r="D291" s="1">
        <v>-132</v>
      </c>
      <c r="E291" s="1">
        <v>153</v>
      </c>
      <c r="H291" t="s">
        <v>33</v>
      </c>
      <c r="I291" t="str">
        <f>IF(COUNTIF(I$1:I290,I289)&gt;1,"DOUBLON LIGNE " &amp; MATCH(I289,I$1:I290,0),"Pas de doublons")</f>
        <v>Pas de doublons</v>
      </c>
      <c r="J291" t="s">
        <v>34</v>
      </c>
      <c r="K291" t="str" cm="1">
        <f t="array" ref="K291">IF(SUM(--(NOT(ISNUMBER(MATCH(B290:E290,'EMA points'!A:A,0))))) &gt; 0, "NOM INEXISTANT", "Noms ok")</f>
        <v>Noms ok</v>
      </c>
    </row>
    <row r="292" spans="1:11" x14ac:dyDescent="0.25">
      <c r="A292" t="s">
        <v>8</v>
      </c>
      <c r="B292">
        <f>Donnees!B292</f>
        <v>2</v>
      </c>
      <c r="C292">
        <f>Donnees!C292</f>
        <v>1</v>
      </c>
      <c r="D292">
        <f>Donnees!D292</f>
        <v>0</v>
      </c>
      <c r="E292">
        <f>Donnees!E292</f>
        <v>3</v>
      </c>
      <c r="H292" t="s">
        <v>11</v>
      </c>
      <c r="I292" t="str">
        <f t="shared" ref="I292" si="143">IF(SUM(B291:E291)=0, "Score ok", "SOMME NON NULLE")</f>
        <v>Score ok</v>
      </c>
    </row>
    <row r="293" spans="1:11" x14ac:dyDescent="0.25">
      <c r="A293" t="s">
        <v>5</v>
      </c>
      <c r="B293" t="s">
        <v>0</v>
      </c>
      <c r="C293" t="s">
        <v>1</v>
      </c>
      <c r="D293" t="s">
        <v>2</v>
      </c>
      <c r="E293" t="s">
        <v>3</v>
      </c>
      <c r="F293" t="str">
        <f>Donnees!F293</f>
        <v>Partie 74</v>
      </c>
      <c r="H293" t="s">
        <v>10</v>
      </c>
      <c r="I293" t="str">
        <f t="shared" ref="I293" si="144">_xlfn.TEXTJOIN(";",TRUE,B294:E295)</f>
        <v>Christophe;Kevin;Halim;Marie;71;125;-43;-153</v>
      </c>
    </row>
    <row r="294" spans="1:11" x14ac:dyDescent="0.25">
      <c r="A294" t="s">
        <v>6</v>
      </c>
      <c r="B294" s="1" t="s">
        <v>40</v>
      </c>
      <c r="C294" s="1" t="s">
        <v>60</v>
      </c>
      <c r="D294" s="1" t="s">
        <v>67</v>
      </c>
      <c r="E294" s="1" t="s">
        <v>48</v>
      </c>
      <c r="F294" s="3">
        <v>45948.62295138889</v>
      </c>
      <c r="H294" t="s">
        <v>9</v>
      </c>
      <c r="I294" t="str" cm="1">
        <f t="array" ref="I294">IF(AND(Donnees!B293:F296=Check!B293:F296),"Identique","PAS IDENTIQUE")</f>
        <v>Identique</v>
      </c>
      <c r="J294" t="s">
        <v>32</v>
      </c>
      <c r="K294" t="str" cm="1">
        <f t="array" ref="K294">IF(MAX(COUNTIF(B294:E294,B294:E294)) &gt; 1, "JOUEUR EN DOUBLE", "Pas de doublons")</f>
        <v>Pas de doublons</v>
      </c>
    </row>
    <row r="295" spans="1:11" x14ac:dyDescent="0.25">
      <c r="A295" t="s">
        <v>7</v>
      </c>
      <c r="B295" s="1">
        <v>71</v>
      </c>
      <c r="C295" s="1">
        <v>125</v>
      </c>
      <c r="D295" s="1">
        <v>-43</v>
      </c>
      <c r="E295" s="1">
        <v>-153</v>
      </c>
      <c r="H295" t="s">
        <v>33</v>
      </c>
      <c r="I295" t="str">
        <f>IF(COUNTIF(I$1:I294,I293)&gt;1,"DOUBLON LIGNE " &amp; MATCH(I293,I$1:I294,0),"Pas de doublons")</f>
        <v>Pas de doublons</v>
      </c>
      <c r="J295" t="s">
        <v>34</v>
      </c>
      <c r="K295" t="str" cm="1">
        <f t="array" ref="K295">IF(SUM(--(NOT(ISNUMBER(MATCH(B294:E294,'EMA points'!A:A,0))))) &gt; 0, "NOM INEXISTANT", "Noms ok")</f>
        <v>Noms ok</v>
      </c>
    </row>
    <row r="296" spans="1:11" x14ac:dyDescent="0.25">
      <c r="A296" t="s">
        <v>8</v>
      </c>
      <c r="B296">
        <f>Donnees!B296</f>
        <v>2</v>
      </c>
      <c r="C296">
        <f>Donnees!C296</f>
        <v>3</v>
      </c>
      <c r="D296">
        <f>Donnees!D296</f>
        <v>1</v>
      </c>
      <c r="E296">
        <f>Donnees!E296</f>
        <v>0</v>
      </c>
      <c r="H296" t="s">
        <v>11</v>
      </c>
      <c r="I296" t="str">
        <f t="shared" ref="I296" si="145">IF(SUM(B295:E295)=0, "Score ok", "SOMME NON NULLE")</f>
        <v>Score ok</v>
      </c>
    </row>
    <row r="297" spans="1:11" x14ac:dyDescent="0.25">
      <c r="A297" t="s">
        <v>5</v>
      </c>
      <c r="B297" t="s">
        <v>0</v>
      </c>
      <c r="C297" t="s">
        <v>1</v>
      </c>
      <c r="D297" t="s">
        <v>2</v>
      </c>
      <c r="E297" t="s">
        <v>3</v>
      </c>
      <c r="F297" t="str">
        <f>Donnees!F297</f>
        <v>Partie 75</v>
      </c>
      <c r="H297" t="s">
        <v>10</v>
      </c>
      <c r="I297" t="str">
        <f t="shared" ref="I297" si="146">_xlfn.TEXTJOIN(";",TRUE,B298:E299)</f>
        <v>Jean-Michel;Xavier;Isabelle;Anna;-106;326;-185;-35</v>
      </c>
    </row>
    <row r="298" spans="1:11" x14ac:dyDescent="0.25">
      <c r="A298" t="s">
        <v>6</v>
      </c>
      <c r="B298" s="1" t="s">
        <v>49</v>
      </c>
      <c r="C298" s="1" t="s">
        <v>58</v>
      </c>
      <c r="D298" s="1" t="s">
        <v>37</v>
      </c>
      <c r="E298" s="1" t="s">
        <v>57</v>
      </c>
      <c r="F298" s="3">
        <v>45948.594351851854</v>
      </c>
      <c r="H298" t="s">
        <v>9</v>
      </c>
      <c r="I298" t="str" cm="1">
        <f t="array" ref="I298">IF(AND(Donnees!B297:F300=Check!B297:F300),"Identique","PAS IDENTIQUE")</f>
        <v>Identique</v>
      </c>
      <c r="J298" t="s">
        <v>32</v>
      </c>
      <c r="K298" t="str" cm="1">
        <f t="array" ref="K298">IF(MAX(COUNTIF(B298:E298,B298:E298)) &gt; 1, "JOUEUR EN DOUBLE", "Pas de doublons")</f>
        <v>Pas de doublons</v>
      </c>
    </row>
    <row r="299" spans="1:11" x14ac:dyDescent="0.25">
      <c r="A299" t="s">
        <v>7</v>
      </c>
      <c r="B299" s="1">
        <v>-106</v>
      </c>
      <c r="C299" s="1">
        <v>326</v>
      </c>
      <c r="D299" s="1">
        <v>-185</v>
      </c>
      <c r="E299" s="1">
        <v>-35</v>
      </c>
      <c r="H299" t="s">
        <v>33</v>
      </c>
      <c r="I299" t="str">
        <f>IF(COUNTIF(I$1:I298,I297)&gt;1,"DOUBLON LIGNE " &amp; MATCH(I297,I$1:I298,0),"Pas de doublons")</f>
        <v>Pas de doublons</v>
      </c>
      <c r="J299" t="s">
        <v>34</v>
      </c>
      <c r="K299" t="str" cm="1">
        <f t="array" ref="K299">IF(SUM(--(NOT(ISNUMBER(MATCH(B298:E298,'EMA points'!A:A,0))))) &gt; 0, "NOM INEXISTANT", "Noms ok")</f>
        <v>Noms ok</v>
      </c>
    </row>
    <row r="300" spans="1:11" x14ac:dyDescent="0.25">
      <c r="A300" t="s">
        <v>8</v>
      </c>
      <c r="B300">
        <f>Donnees!B300</f>
        <v>1</v>
      </c>
      <c r="C300">
        <f>Donnees!C300</f>
        <v>3</v>
      </c>
      <c r="D300">
        <f>Donnees!D300</f>
        <v>0</v>
      </c>
      <c r="E300">
        <f>Donnees!E300</f>
        <v>2</v>
      </c>
      <c r="H300" t="s">
        <v>11</v>
      </c>
      <c r="I300" t="str">
        <f t="shared" ref="I300" si="147">IF(SUM(B299:E299)=0, "Score ok", "SOMME NON NULLE")</f>
        <v>Score ok</v>
      </c>
    </row>
    <row r="301" spans="1:11" x14ac:dyDescent="0.25">
      <c r="A301" t="s">
        <v>5</v>
      </c>
      <c r="B301" t="s">
        <v>0</v>
      </c>
      <c r="C301" t="s">
        <v>1</v>
      </c>
      <c r="D301" t="s">
        <v>2</v>
      </c>
      <c r="E301" t="s">
        <v>3</v>
      </c>
      <c r="F301" t="str">
        <f>Donnees!F301</f>
        <v>Partie 76</v>
      </c>
      <c r="H301" t="s">
        <v>10</v>
      </c>
      <c r="I301" t="str">
        <f t="shared" ref="I301" si="148">_xlfn.TEXTJOIN(";",TRUE,B302:E303)</f>
        <v>Delphine;Marc;Laurence;Juliette;-99;9;-186;276</v>
      </c>
    </row>
    <row r="302" spans="1:11" x14ac:dyDescent="0.25">
      <c r="A302" t="s">
        <v>6</v>
      </c>
      <c r="B302" s="1" t="s">
        <v>42</v>
      </c>
      <c r="C302" s="1" t="s">
        <v>38</v>
      </c>
      <c r="D302" s="1" t="s">
        <v>51</v>
      </c>
      <c r="E302" s="1" t="s">
        <v>61</v>
      </c>
      <c r="F302" s="3">
        <v>45948.593969907408</v>
      </c>
      <c r="H302" t="s">
        <v>9</v>
      </c>
      <c r="I302" t="str" cm="1">
        <f t="array" ref="I302">IF(AND(Donnees!B301:F304=Check!B301:F304),"Identique","PAS IDENTIQUE")</f>
        <v>Identique</v>
      </c>
      <c r="J302" t="s">
        <v>32</v>
      </c>
      <c r="K302" t="str" cm="1">
        <f t="array" ref="K302">IF(MAX(COUNTIF(B302:E302,B302:E302)) &gt; 1, "JOUEUR EN DOUBLE", "Pas de doublons")</f>
        <v>Pas de doublons</v>
      </c>
    </row>
    <row r="303" spans="1:11" x14ac:dyDescent="0.25">
      <c r="A303" t="s">
        <v>7</v>
      </c>
      <c r="B303" s="1">
        <v>-99</v>
      </c>
      <c r="C303" s="1">
        <v>9</v>
      </c>
      <c r="D303" s="1">
        <v>-186</v>
      </c>
      <c r="E303" s="1">
        <v>276</v>
      </c>
      <c r="H303" t="s">
        <v>33</v>
      </c>
      <c r="I303" t="str">
        <f>IF(COUNTIF(I$1:I302,I301)&gt;1,"DOUBLON LIGNE " &amp; MATCH(I301,I$1:I302,0),"Pas de doublons")</f>
        <v>Pas de doublons</v>
      </c>
      <c r="J303" t="s">
        <v>34</v>
      </c>
      <c r="K303" t="str" cm="1">
        <f t="array" ref="K303">IF(SUM(--(NOT(ISNUMBER(MATCH(B302:E302,'EMA points'!A:A,0))))) &gt; 0, "NOM INEXISTANT", "Noms ok")</f>
        <v>Noms ok</v>
      </c>
    </row>
    <row r="304" spans="1:11" x14ac:dyDescent="0.25">
      <c r="A304" t="s">
        <v>8</v>
      </c>
      <c r="B304">
        <f>Donnees!B304</f>
        <v>1</v>
      </c>
      <c r="C304">
        <f>Donnees!C304</f>
        <v>2</v>
      </c>
      <c r="D304">
        <f>Donnees!D304</f>
        <v>0</v>
      </c>
      <c r="E304">
        <f>Donnees!E304</f>
        <v>3</v>
      </c>
      <c r="H304" t="s">
        <v>11</v>
      </c>
      <c r="I304" t="str">
        <f t="shared" ref="I304" si="149">IF(SUM(B303:E303)=0, "Score ok", "SOMME NON NULLE")</f>
        <v>Score ok</v>
      </c>
    </row>
    <row r="305" spans="1:11" x14ac:dyDescent="0.25">
      <c r="A305" t="s">
        <v>5</v>
      </c>
      <c r="B305" t="s">
        <v>0</v>
      </c>
      <c r="C305" t="s">
        <v>1</v>
      </c>
      <c r="D305" t="s">
        <v>2</v>
      </c>
      <c r="E305" t="s">
        <v>3</v>
      </c>
      <c r="F305" t="str">
        <f>Donnees!F305</f>
        <v>Partie 77</v>
      </c>
      <c r="H305" t="s">
        <v>10</v>
      </c>
      <c r="I305" t="str">
        <f t="shared" ref="I305" si="150">_xlfn.TEXTJOIN(";",TRUE,B306:E307)</f>
        <v>Monique;Guilhem;Sebastien;Francoise;-111;136;-35;10</v>
      </c>
    </row>
    <row r="306" spans="1:11" x14ac:dyDescent="0.25">
      <c r="A306" t="s">
        <v>6</v>
      </c>
      <c r="B306" s="1" t="s">
        <v>54</v>
      </c>
      <c r="C306" s="1" t="s">
        <v>39</v>
      </c>
      <c r="D306" s="1" t="s">
        <v>46</v>
      </c>
      <c r="E306" s="1" t="s">
        <v>44</v>
      </c>
      <c r="F306" s="3">
        <v>45948.594872685186</v>
      </c>
      <c r="H306" t="s">
        <v>9</v>
      </c>
      <c r="I306" t="str" cm="1">
        <f t="array" ref="I306">IF(AND(Donnees!B305:F308=Check!B305:F308),"Identique","PAS IDENTIQUE")</f>
        <v>Identique</v>
      </c>
      <c r="J306" t="s">
        <v>32</v>
      </c>
      <c r="K306" t="str" cm="1">
        <f t="array" ref="K306">IF(MAX(COUNTIF(B306:E306,B306:E306)) &gt; 1, "JOUEUR EN DOUBLE", "Pas de doublons")</f>
        <v>Pas de doublons</v>
      </c>
    </row>
    <row r="307" spans="1:11" x14ac:dyDescent="0.25">
      <c r="A307" t="s">
        <v>7</v>
      </c>
      <c r="B307" s="1">
        <v>-111</v>
      </c>
      <c r="C307" s="1">
        <v>136</v>
      </c>
      <c r="D307" s="1">
        <v>-35</v>
      </c>
      <c r="E307" s="1">
        <v>10</v>
      </c>
      <c r="H307" t="s">
        <v>33</v>
      </c>
      <c r="I307" t="str">
        <f>IF(COUNTIF(I$1:I306,I305)&gt;1,"DOUBLON LIGNE " &amp; MATCH(I305,I$1:I306,0),"Pas de doublons")</f>
        <v>Pas de doublons</v>
      </c>
      <c r="J307" t="s">
        <v>34</v>
      </c>
      <c r="K307" t="str" cm="1">
        <f t="array" ref="K307">IF(SUM(--(NOT(ISNUMBER(MATCH(B306:E306,'EMA points'!A:A,0))))) &gt; 0, "NOM INEXISTANT", "Noms ok")</f>
        <v>Noms ok</v>
      </c>
    </row>
    <row r="308" spans="1:11" x14ac:dyDescent="0.25">
      <c r="A308" t="s">
        <v>8</v>
      </c>
      <c r="B308">
        <f>Donnees!B308</f>
        <v>0</v>
      </c>
      <c r="C308">
        <f>Donnees!C308</f>
        <v>3</v>
      </c>
      <c r="D308">
        <f>Donnees!D308</f>
        <v>1</v>
      </c>
      <c r="E308">
        <f>Donnees!E308</f>
        <v>2</v>
      </c>
      <c r="H308" t="s">
        <v>11</v>
      </c>
      <c r="I308" t="str">
        <f t="shared" ref="I308" si="151">IF(SUM(B307:E307)=0, "Score ok", "SOMME NON NULLE")</f>
        <v>Score ok</v>
      </c>
    </row>
    <row r="309" spans="1:11" x14ac:dyDescent="0.25">
      <c r="A309" t="s">
        <v>5</v>
      </c>
      <c r="B309" t="s">
        <v>0</v>
      </c>
      <c r="C309" t="s">
        <v>1</v>
      </c>
      <c r="D309" t="s">
        <v>2</v>
      </c>
      <c r="E309" t="s">
        <v>3</v>
      </c>
      <c r="F309" t="str">
        <f>Donnees!F309</f>
        <v>Partie 78</v>
      </c>
      <c r="H309" t="s">
        <v>10</v>
      </c>
      <c r="I309" t="str">
        <f t="shared" ref="I309" si="152">_xlfn.TEXTJOIN(";",TRUE,B310:E311)</f>
        <v>Matheo;Laurence;Jean-Michel;Valerie L;2;0;59;-61</v>
      </c>
    </row>
    <row r="310" spans="1:11" x14ac:dyDescent="0.25">
      <c r="A310" t="s">
        <v>6</v>
      </c>
      <c r="B310" s="1" t="s">
        <v>53</v>
      </c>
      <c r="C310" s="1" t="s">
        <v>51</v>
      </c>
      <c r="D310" s="1" t="s">
        <v>49</v>
      </c>
      <c r="E310" s="1" t="s">
        <v>72</v>
      </c>
      <c r="F310" s="3">
        <v>45948.698541666665</v>
      </c>
      <c r="H310" t="s">
        <v>9</v>
      </c>
      <c r="I310" t="str" cm="1">
        <f t="array" ref="I310">IF(AND(Donnees!B309:F312=Check!B309:F312),"Identique","PAS IDENTIQUE")</f>
        <v>Identique</v>
      </c>
      <c r="J310" t="s">
        <v>32</v>
      </c>
      <c r="K310" t="str" cm="1">
        <f t="array" ref="K310">IF(MAX(COUNTIF(B310:E310,B310:E310)) &gt; 1, "JOUEUR EN DOUBLE", "Pas de doublons")</f>
        <v>Pas de doublons</v>
      </c>
    </row>
    <row r="311" spans="1:11" x14ac:dyDescent="0.25">
      <c r="A311" t="s">
        <v>7</v>
      </c>
      <c r="B311" s="1">
        <v>2</v>
      </c>
      <c r="C311" s="1">
        <v>0</v>
      </c>
      <c r="D311" s="1">
        <v>59</v>
      </c>
      <c r="E311" s="1">
        <v>-61</v>
      </c>
      <c r="H311" t="s">
        <v>33</v>
      </c>
      <c r="I311" t="str">
        <f>IF(COUNTIF(I$1:I310,I309)&gt;1,"DOUBLON LIGNE " &amp; MATCH(I309,I$1:I310,0),"Pas de doublons")</f>
        <v>Pas de doublons</v>
      </c>
      <c r="J311" t="s">
        <v>34</v>
      </c>
      <c r="K311" t="str" cm="1">
        <f t="array" ref="K311">IF(SUM(--(NOT(ISNUMBER(MATCH(B310:E310,'EMA points'!A:A,0))))) &gt; 0, "NOM INEXISTANT", "Noms ok")</f>
        <v>Noms ok</v>
      </c>
    </row>
    <row r="312" spans="1:11" x14ac:dyDescent="0.25">
      <c r="A312" t="s">
        <v>8</v>
      </c>
      <c r="B312">
        <f>Donnees!B312</f>
        <v>2</v>
      </c>
      <c r="C312">
        <f>Donnees!C312</f>
        <v>1</v>
      </c>
      <c r="D312">
        <f>Donnees!D312</f>
        <v>3</v>
      </c>
      <c r="E312">
        <f>Donnees!E312</f>
        <v>0</v>
      </c>
      <c r="H312" t="s">
        <v>11</v>
      </c>
      <c r="I312" t="str">
        <f t="shared" ref="I312" si="153">IF(SUM(B311:E311)=0, "Score ok", "SOMME NON NULLE")</f>
        <v>Score ok</v>
      </c>
    </row>
    <row r="313" spans="1:11" x14ac:dyDescent="0.25">
      <c r="A313" t="s">
        <v>5</v>
      </c>
      <c r="B313" t="s">
        <v>0</v>
      </c>
      <c r="C313" t="s">
        <v>1</v>
      </c>
      <c r="D313" t="s">
        <v>2</v>
      </c>
      <c r="E313" t="s">
        <v>3</v>
      </c>
      <c r="F313" t="str">
        <f>Donnees!F313</f>
        <v>Partie 79</v>
      </c>
      <c r="H313" t="s">
        <v>10</v>
      </c>
      <c r="I313" t="str">
        <f t="shared" ref="I313" si="154">_xlfn.TEXTJOIN(";",TRUE,B314:E315)</f>
        <v>Monique;Marie;Isabelle;Juliette;-19;-117;39;97</v>
      </c>
    </row>
    <row r="314" spans="1:11" x14ac:dyDescent="0.25">
      <c r="A314" t="s">
        <v>6</v>
      </c>
      <c r="B314" s="1" t="s">
        <v>54</v>
      </c>
      <c r="C314" s="1" t="s">
        <v>48</v>
      </c>
      <c r="D314" s="1" t="s">
        <v>37</v>
      </c>
      <c r="E314" s="1" t="s">
        <v>61</v>
      </c>
      <c r="F314" s="3">
        <v>45948.697592592594</v>
      </c>
      <c r="H314" t="s">
        <v>9</v>
      </c>
      <c r="I314" t="str" cm="1">
        <f t="array" ref="I314">IF(AND(Donnees!B313:F316=Check!B313:F316),"Identique","PAS IDENTIQUE")</f>
        <v>Identique</v>
      </c>
      <c r="J314" t="s">
        <v>32</v>
      </c>
      <c r="K314" t="str" cm="1">
        <f t="array" ref="K314">IF(MAX(COUNTIF(B314:E314,B314:E314)) &gt; 1, "JOUEUR EN DOUBLE", "Pas de doublons")</f>
        <v>Pas de doublons</v>
      </c>
    </row>
    <row r="315" spans="1:11" x14ac:dyDescent="0.25">
      <c r="A315" t="s">
        <v>7</v>
      </c>
      <c r="B315" s="1">
        <v>-19</v>
      </c>
      <c r="C315" s="1">
        <v>-117</v>
      </c>
      <c r="D315" s="1">
        <v>39</v>
      </c>
      <c r="E315" s="1">
        <v>97</v>
      </c>
      <c r="H315" t="s">
        <v>33</v>
      </c>
      <c r="I315" t="str">
        <f>IF(COUNTIF(I$1:I314,I313)&gt;1,"DOUBLON LIGNE " &amp; MATCH(I313,I$1:I314,0),"Pas de doublons")</f>
        <v>Pas de doublons</v>
      </c>
      <c r="J315" t="s">
        <v>34</v>
      </c>
      <c r="K315" t="str" cm="1">
        <f t="array" ref="K315">IF(SUM(--(NOT(ISNUMBER(MATCH(B314:E314,'EMA points'!A:A,0))))) &gt; 0, "NOM INEXISTANT", "Noms ok")</f>
        <v>Noms ok</v>
      </c>
    </row>
    <row r="316" spans="1:11" x14ac:dyDescent="0.25">
      <c r="A316" t="s">
        <v>8</v>
      </c>
      <c r="B316">
        <f>Donnees!B316</f>
        <v>1</v>
      </c>
      <c r="C316">
        <f>Donnees!C316</f>
        <v>0</v>
      </c>
      <c r="D316">
        <f>Donnees!D316</f>
        <v>2</v>
      </c>
      <c r="E316">
        <f>Donnees!E316</f>
        <v>3</v>
      </c>
      <c r="H316" t="s">
        <v>11</v>
      </c>
      <c r="I316" t="str">
        <f t="shared" ref="I316" si="155">IF(SUM(B315:E315)=0, "Score ok", "SOMME NON NULLE")</f>
        <v>Score ok</v>
      </c>
    </row>
    <row r="317" spans="1:11" x14ac:dyDescent="0.25">
      <c r="A317" t="s">
        <v>5</v>
      </c>
      <c r="B317" t="s">
        <v>0</v>
      </c>
      <c r="C317" t="s">
        <v>1</v>
      </c>
      <c r="D317" t="s">
        <v>2</v>
      </c>
      <c r="E317" t="s">
        <v>3</v>
      </c>
      <c r="F317" t="str">
        <f>Donnees!F317</f>
        <v>Partie 80</v>
      </c>
      <c r="H317" t="s">
        <v>10</v>
      </c>
      <c r="I317" t="str">
        <f t="shared" ref="I317" si="156">_xlfn.TEXTJOIN(";",TRUE,B318:E319)</f>
        <v>Frederic;Anna;Halim;Xavier;41;-105;207;-143</v>
      </c>
    </row>
    <row r="318" spans="1:11" x14ac:dyDescent="0.25">
      <c r="A318" t="s">
        <v>6</v>
      </c>
      <c r="B318" s="1" t="s">
        <v>52</v>
      </c>
      <c r="C318" s="1" t="s">
        <v>57</v>
      </c>
      <c r="D318" s="1" t="s">
        <v>67</v>
      </c>
      <c r="E318" s="1" t="s">
        <v>58</v>
      </c>
      <c r="F318" s="3">
        <v>45948.697581018518</v>
      </c>
      <c r="H318" t="s">
        <v>9</v>
      </c>
      <c r="I318" t="str" cm="1">
        <f t="array" ref="I318">IF(AND(Donnees!B317:F320=Check!B317:F320),"Identique","PAS IDENTIQUE")</f>
        <v>Identique</v>
      </c>
      <c r="J318" t="s">
        <v>32</v>
      </c>
      <c r="K318" t="str" cm="1">
        <f t="array" ref="K318">IF(MAX(COUNTIF(B318:E318,B318:E318)) &gt; 1, "JOUEUR EN DOUBLE", "Pas de doublons")</f>
        <v>Pas de doublons</v>
      </c>
    </row>
    <row r="319" spans="1:11" x14ac:dyDescent="0.25">
      <c r="A319" t="s">
        <v>7</v>
      </c>
      <c r="B319" s="1">
        <v>41</v>
      </c>
      <c r="C319" s="1">
        <v>-105</v>
      </c>
      <c r="D319" s="1">
        <v>207</v>
      </c>
      <c r="E319" s="1">
        <v>-143</v>
      </c>
      <c r="H319" t="s">
        <v>33</v>
      </c>
      <c r="I319" t="str">
        <f>IF(COUNTIF(I$1:I318,I317)&gt;1,"DOUBLON LIGNE " &amp; MATCH(I317,I$1:I318,0),"Pas de doublons")</f>
        <v>Pas de doublons</v>
      </c>
      <c r="J319" t="s">
        <v>34</v>
      </c>
      <c r="K319" t="str" cm="1">
        <f t="array" ref="K319">IF(SUM(--(NOT(ISNUMBER(MATCH(B318:E318,'EMA points'!A:A,0))))) &gt; 0, "NOM INEXISTANT", "Noms ok")</f>
        <v>Noms ok</v>
      </c>
    </row>
    <row r="320" spans="1:11" x14ac:dyDescent="0.25">
      <c r="A320" t="s">
        <v>8</v>
      </c>
      <c r="B320">
        <f>Donnees!B320</f>
        <v>2</v>
      </c>
      <c r="C320">
        <f>Donnees!C320</f>
        <v>1</v>
      </c>
      <c r="D320">
        <f>Donnees!D320</f>
        <v>3</v>
      </c>
      <c r="E320">
        <f>Donnees!E320</f>
        <v>0</v>
      </c>
      <c r="H320" t="s">
        <v>11</v>
      </c>
      <c r="I320" t="str">
        <f t="shared" ref="I320" si="157">IF(SUM(B319:E319)=0, "Score ok", "SOMME NON NULLE")</f>
        <v>Score ok</v>
      </c>
    </row>
    <row r="321" spans="1:11" x14ac:dyDescent="0.25">
      <c r="A321" t="s">
        <v>5</v>
      </c>
      <c r="B321" t="s">
        <v>0</v>
      </c>
      <c r="C321" t="s">
        <v>1</v>
      </c>
      <c r="D321" t="s">
        <v>2</v>
      </c>
      <c r="E321" t="s">
        <v>3</v>
      </c>
      <c r="F321" t="str">
        <f>Donnees!F321</f>
        <v>Partie 81</v>
      </c>
      <c r="H321" t="s">
        <v>10</v>
      </c>
      <c r="I321" t="str">
        <f t="shared" ref="I321" si="158">_xlfn.TEXTJOIN(";",TRUE,B322:E323)</f>
        <v>Marie;Francoise;Raphael;Binome;5;-45;5;35</v>
      </c>
    </row>
    <row r="322" spans="1:11" x14ac:dyDescent="0.25">
      <c r="A322" t="s">
        <v>6</v>
      </c>
      <c r="B322" s="1" t="s">
        <v>48</v>
      </c>
      <c r="C322" s="1" t="s">
        <v>44</v>
      </c>
      <c r="D322" s="1" t="s">
        <v>41</v>
      </c>
      <c r="E322" s="1" t="s">
        <v>47</v>
      </c>
      <c r="F322" s="3">
        <v>45948.703761574077</v>
      </c>
      <c r="H322" t="s">
        <v>9</v>
      </c>
      <c r="I322" t="str" cm="1">
        <f t="array" ref="I322">IF(AND(Donnees!B321:F324=Check!B321:F324),"Identique","PAS IDENTIQUE")</f>
        <v>Identique</v>
      </c>
      <c r="J322" t="s">
        <v>32</v>
      </c>
      <c r="K322" t="str" cm="1">
        <f t="array" ref="K322">IF(MAX(COUNTIF(B322:E322,B322:E322)) &gt; 1, "JOUEUR EN DOUBLE", "Pas de doublons")</f>
        <v>Pas de doublons</v>
      </c>
    </row>
    <row r="323" spans="1:11" x14ac:dyDescent="0.25">
      <c r="A323" t="s">
        <v>7</v>
      </c>
      <c r="B323" s="1">
        <v>5</v>
      </c>
      <c r="C323" s="1">
        <v>-45</v>
      </c>
      <c r="D323" s="1">
        <v>5</v>
      </c>
      <c r="E323" s="1">
        <v>35</v>
      </c>
      <c r="H323" t="s">
        <v>33</v>
      </c>
      <c r="I323" t="str">
        <f>IF(COUNTIF(I$1:I322,I321)&gt;1,"DOUBLON LIGNE " &amp; MATCH(I321,I$1:I322,0),"Pas de doublons")</f>
        <v>Pas de doublons</v>
      </c>
      <c r="J323" t="s">
        <v>34</v>
      </c>
      <c r="K323" t="str" cm="1">
        <f t="array" ref="K323">IF(SUM(--(NOT(ISNUMBER(MATCH(B322:E322,'EMA points'!A:A,0))))) &gt; 0, "NOM INEXISTANT", "Noms ok")</f>
        <v>Noms ok</v>
      </c>
    </row>
    <row r="324" spans="1:11" x14ac:dyDescent="0.25">
      <c r="A324" t="s">
        <v>8</v>
      </c>
      <c r="B324">
        <f>Donnees!B324</f>
        <v>1.5</v>
      </c>
      <c r="C324">
        <f>Donnees!C324</f>
        <v>0</v>
      </c>
      <c r="D324">
        <f>Donnees!D324</f>
        <v>1.5</v>
      </c>
      <c r="E324">
        <f>Donnees!E324</f>
        <v>3</v>
      </c>
      <c r="H324" t="s">
        <v>11</v>
      </c>
      <c r="I324" t="str">
        <f t="shared" ref="I324" si="159">IF(SUM(B323:E323)=0, "Score ok", "SOMME NON NULLE")</f>
        <v>Score ok</v>
      </c>
    </row>
    <row r="325" spans="1:11" x14ac:dyDescent="0.25">
      <c r="A325" t="s">
        <v>5</v>
      </c>
      <c r="B325" t="s">
        <v>0</v>
      </c>
      <c r="C325" t="s">
        <v>1</v>
      </c>
      <c r="D325" t="s">
        <v>2</v>
      </c>
      <c r="E325" t="s">
        <v>3</v>
      </c>
      <c r="F325" t="str">
        <f>Donnees!F325</f>
        <v>Partie 82</v>
      </c>
      <c r="H325" t="s">
        <v>10</v>
      </c>
      <c r="I325" t="str">
        <f t="shared" ref="I325" si="160">_xlfn.TEXTJOIN(";",TRUE,B326:E327)</f>
        <v>Marc;Kevin;Delphine;Sebastien;-96;-17;119;-6</v>
      </c>
    </row>
    <row r="326" spans="1:11" x14ac:dyDescent="0.25">
      <c r="A326" t="s">
        <v>6</v>
      </c>
      <c r="B326" s="1" t="s">
        <v>38</v>
      </c>
      <c r="C326" s="1" t="s">
        <v>60</v>
      </c>
      <c r="D326" s="1" t="s">
        <v>42</v>
      </c>
      <c r="E326" s="1" t="s">
        <v>46</v>
      </c>
      <c r="F326" s="3">
        <v>45948.699004629627</v>
      </c>
      <c r="H326" t="s">
        <v>9</v>
      </c>
      <c r="I326" t="str" cm="1">
        <f t="array" ref="I326">IF(AND(Donnees!B325:F328=Check!B325:F328),"Identique","PAS IDENTIQUE")</f>
        <v>Identique</v>
      </c>
      <c r="J326" t="s">
        <v>32</v>
      </c>
      <c r="K326" t="str" cm="1">
        <f t="array" ref="K326">IF(MAX(COUNTIF(B326:E326,B326:E326)) &gt; 1, "JOUEUR EN DOUBLE", "Pas de doublons")</f>
        <v>Pas de doublons</v>
      </c>
    </row>
    <row r="327" spans="1:11" x14ac:dyDescent="0.25">
      <c r="A327" t="s">
        <v>7</v>
      </c>
      <c r="B327" s="1">
        <v>-96</v>
      </c>
      <c r="C327" s="1">
        <v>-17</v>
      </c>
      <c r="D327" s="1">
        <v>119</v>
      </c>
      <c r="E327" s="1">
        <v>-6</v>
      </c>
      <c r="H327" t="s">
        <v>33</v>
      </c>
      <c r="I327" t="str">
        <f>IF(COUNTIF(I$1:I326,I325)&gt;1,"DOUBLON LIGNE " &amp; MATCH(I325,I$1:I326,0),"Pas de doublons")</f>
        <v>Pas de doublons</v>
      </c>
      <c r="J327" t="s">
        <v>34</v>
      </c>
      <c r="K327" t="str" cm="1">
        <f t="array" ref="K327">IF(SUM(--(NOT(ISNUMBER(MATCH(B326:E326,'EMA points'!A:A,0))))) &gt; 0, "NOM INEXISTANT", "Noms ok")</f>
        <v>Noms ok</v>
      </c>
    </row>
    <row r="328" spans="1:11" x14ac:dyDescent="0.25">
      <c r="A328" t="s">
        <v>8</v>
      </c>
      <c r="B328">
        <f>Donnees!B328</f>
        <v>0</v>
      </c>
      <c r="C328">
        <f>Donnees!C328</f>
        <v>1</v>
      </c>
      <c r="D328">
        <f>Donnees!D328</f>
        <v>3</v>
      </c>
      <c r="E328">
        <f>Donnees!E328</f>
        <v>2</v>
      </c>
      <c r="H328" t="s">
        <v>11</v>
      </c>
      <c r="I328" t="str">
        <f t="shared" ref="I328" si="161">IF(SUM(B327:E327)=0, "Score ok", "SOMME NON NULLE")</f>
        <v>Score ok</v>
      </c>
    </row>
    <row r="329" spans="1:11" x14ac:dyDescent="0.25">
      <c r="A329" t="s">
        <v>5</v>
      </c>
      <c r="B329" t="s">
        <v>0</v>
      </c>
      <c r="C329" t="s">
        <v>1</v>
      </c>
      <c r="D329" t="s">
        <v>2</v>
      </c>
      <c r="E329" t="s">
        <v>3</v>
      </c>
      <c r="F329" t="str">
        <f>Donnees!F329</f>
        <v>Partie 83</v>
      </c>
      <c r="H329" t="s">
        <v>10</v>
      </c>
      <c r="I329" t="str">
        <f t="shared" ref="I329" si="162">_xlfn.TEXTJOIN(";",TRUE,B330:E331)</f>
        <v>Kevin;Laurence;Jean-Michel;Marc;213;-170;127;-170</v>
      </c>
    </row>
    <row r="330" spans="1:11" x14ac:dyDescent="0.25">
      <c r="A330" t="s">
        <v>6</v>
      </c>
      <c r="B330" s="1" t="s">
        <v>60</v>
      </c>
      <c r="C330" s="1" t="s">
        <v>51</v>
      </c>
      <c r="D330" s="1" t="s">
        <v>49</v>
      </c>
      <c r="E330" s="1" t="s">
        <v>38</v>
      </c>
      <c r="F330" s="3">
        <v>45948.822048611109</v>
      </c>
      <c r="H330" t="s">
        <v>9</v>
      </c>
      <c r="I330" t="str" cm="1">
        <f t="array" ref="I330">IF(AND(Donnees!B329:F332=Check!B329:F332),"Identique","PAS IDENTIQUE")</f>
        <v>Identique</v>
      </c>
      <c r="J330" t="s">
        <v>32</v>
      </c>
      <c r="K330" t="str" cm="1">
        <f t="array" ref="K330">IF(MAX(COUNTIF(B330:E330,B330:E330)) &gt; 1, "JOUEUR EN DOUBLE", "Pas de doublons")</f>
        <v>Pas de doublons</v>
      </c>
    </row>
    <row r="331" spans="1:11" x14ac:dyDescent="0.25">
      <c r="A331" t="s">
        <v>7</v>
      </c>
      <c r="B331" s="1">
        <v>213</v>
      </c>
      <c r="C331" s="1">
        <v>-170</v>
      </c>
      <c r="D331" s="1">
        <v>127</v>
      </c>
      <c r="E331" s="1">
        <v>-170</v>
      </c>
      <c r="H331" t="s">
        <v>33</v>
      </c>
      <c r="I331" t="str">
        <f>IF(COUNTIF(I$1:I330,I329)&gt;1,"DOUBLON LIGNE " &amp; MATCH(I329,I$1:I330,0),"Pas de doublons")</f>
        <v>Pas de doublons</v>
      </c>
      <c r="J331" t="s">
        <v>34</v>
      </c>
      <c r="K331" t="str" cm="1">
        <f t="array" ref="K331">IF(SUM(--(NOT(ISNUMBER(MATCH(B330:E330,'EMA points'!A:A,0))))) &gt; 0, "NOM INEXISTANT", "Noms ok")</f>
        <v>Noms ok</v>
      </c>
    </row>
    <row r="332" spans="1:11" x14ac:dyDescent="0.25">
      <c r="A332" t="s">
        <v>8</v>
      </c>
      <c r="B332">
        <f>Donnees!B332</f>
        <v>3</v>
      </c>
      <c r="C332">
        <f>Donnees!C332</f>
        <v>0.5</v>
      </c>
      <c r="D332">
        <f>Donnees!D332</f>
        <v>2</v>
      </c>
      <c r="E332">
        <f>Donnees!E332</f>
        <v>0.5</v>
      </c>
      <c r="H332" t="s">
        <v>11</v>
      </c>
      <c r="I332" t="str">
        <f t="shared" ref="I332" si="163">IF(SUM(B331:E331)=0, "Score ok", "SOMME NON NULLE")</f>
        <v>Score ok</v>
      </c>
    </row>
    <row r="333" spans="1:11" x14ac:dyDescent="0.25">
      <c r="A333" t="s">
        <v>5</v>
      </c>
      <c r="B333" t="s">
        <v>0</v>
      </c>
      <c r="C333" t="s">
        <v>1</v>
      </c>
      <c r="D333" t="s">
        <v>2</v>
      </c>
      <c r="E333" t="s">
        <v>3</v>
      </c>
      <c r="F333" t="str">
        <f>Donnees!F333</f>
        <v>Partie 84</v>
      </c>
      <c r="H333" t="s">
        <v>10</v>
      </c>
      <c r="I333" t="str">
        <f t="shared" ref="I333" si="164">_xlfn.TEXTJOIN(";",TRUE,B334:E335)</f>
        <v>Marie;Guilhem;Frederic;Christophe;-181;-14;337;-142</v>
      </c>
    </row>
    <row r="334" spans="1:11" x14ac:dyDescent="0.25">
      <c r="A334" t="s">
        <v>6</v>
      </c>
      <c r="B334" s="1" t="s">
        <v>48</v>
      </c>
      <c r="C334" s="1" t="s">
        <v>39</v>
      </c>
      <c r="D334" s="1" t="s">
        <v>52</v>
      </c>
      <c r="E334" s="1" t="s">
        <v>40</v>
      </c>
      <c r="F334" s="3">
        <v>45948.820451388892</v>
      </c>
      <c r="H334" t="s">
        <v>9</v>
      </c>
      <c r="I334" t="str" cm="1">
        <f t="array" ref="I334">IF(AND(Donnees!B333:F336=Check!B333:F336),"Identique","PAS IDENTIQUE")</f>
        <v>Identique</v>
      </c>
      <c r="J334" t="s">
        <v>32</v>
      </c>
      <c r="K334" t="str" cm="1">
        <f t="array" ref="K334">IF(MAX(COUNTIF(B334:E334,B334:E334)) &gt; 1, "JOUEUR EN DOUBLE", "Pas de doublons")</f>
        <v>Pas de doublons</v>
      </c>
    </row>
    <row r="335" spans="1:11" x14ac:dyDescent="0.25">
      <c r="A335" t="s">
        <v>7</v>
      </c>
      <c r="B335" s="1">
        <v>-181</v>
      </c>
      <c r="C335" s="1">
        <v>-14</v>
      </c>
      <c r="D335" s="1">
        <v>337</v>
      </c>
      <c r="E335" s="1">
        <v>-142</v>
      </c>
      <c r="H335" t="s">
        <v>33</v>
      </c>
      <c r="I335" t="str">
        <f>IF(COUNTIF(I$1:I334,I333)&gt;1,"DOUBLON LIGNE " &amp; MATCH(I333,I$1:I334,0),"Pas de doublons")</f>
        <v>Pas de doublons</v>
      </c>
      <c r="J335" t="s">
        <v>34</v>
      </c>
      <c r="K335" t="str" cm="1">
        <f t="array" ref="K335">IF(SUM(--(NOT(ISNUMBER(MATCH(B334:E334,'EMA points'!A:A,0))))) &gt; 0, "NOM INEXISTANT", "Noms ok")</f>
        <v>Noms ok</v>
      </c>
    </row>
    <row r="336" spans="1:11" x14ac:dyDescent="0.25">
      <c r="A336" t="s">
        <v>8</v>
      </c>
      <c r="B336">
        <f>Donnees!B336</f>
        <v>0</v>
      </c>
      <c r="C336">
        <f>Donnees!C336</f>
        <v>2</v>
      </c>
      <c r="D336">
        <f>Donnees!D336</f>
        <v>3</v>
      </c>
      <c r="E336">
        <f>Donnees!E336</f>
        <v>1</v>
      </c>
      <c r="H336" t="s">
        <v>11</v>
      </c>
      <c r="I336" t="str">
        <f t="shared" ref="I336" si="165">IF(SUM(B335:E335)=0, "Score ok", "SOMME NON NULLE")</f>
        <v>Score ok</v>
      </c>
    </row>
    <row r="337" spans="1:11" x14ac:dyDescent="0.25">
      <c r="A337" t="s">
        <v>5</v>
      </c>
      <c r="B337" t="s">
        <v>0</v>
      </c>
      <c r="C337" t="s">
        <v>1</v>
      </c>
      <c r="D337" t="s">
        <v>2</v>
      </c>
      <c r="E337" t="s">
        <v>3</v>
      </c>
      <c r="F337" t="str">
        <f>Donnees!F337</f>
        <v>Partie 85</v>
      </c>
      <c r="H337" t="s">
        <v>10</v>
      </c>
      <c r="I337" t="str">
        <f t="shared" ref="I337" si="166">_xlfn.TEXTJOIN(";",TRUE,B338:E339)</f>
        <v>Isabelle;Marie;Juliette;Halim;144;209;-226;-127</v>
      </c>
    </row>
    <row r="338" spans="1:11" x14ac:dyDescent="0.25">
      <c r="A338" t="s">
        <v>6</v>
      </c>
      <c r="B338" s="1" t="s">
        <v>37</v>
      </c>
      <c r="C338" s="1" t="s">
        <v>48</v>
      </c>
      <c r="D338" s="1" t="s">
        <v>61</v>
      </c>
      <c r="E338" s="1" t="s">
        <v>67</v>
      </c>
      <c r="F338" s="3">
        <v>45948.82304398148</v>
      </c>
      <c r="H338" t="s">
        <v>9</v>
      </c>
      <c r="I338" t="str" cm="1">
        <f t="array" ref="I338">IF(AND(Donnees!B337:F340=Check!B337:F340),"Identique","PAS IDENTIQUE")</f>
        <v>Identique</v>
      </c>
      <c r="J338" t="s">
        <v>32</v>
      </c>
      <c r="K338" t="str" cm="1">
        <f t="array" ref="K338">IF(MAX(COUNTIF(B338:E338,B338:E338)) &gt; 1, "JOUEUR EN DOUBLE", "Pas de doublons")</f>
        <v>Pas de doublons</v>
      </c>
    </row>
    <row r="339" spans="1:11" x14ac:dyDescent="0.25">
      <c r="A339" t="s">
        <v>7</v>
      </c>
      <c r="B339" s="1">
        <v>144</v>
      </c>
      <c r="C339" s="1">
        <v>209</v>
      </c>
      <c r="D339" s="1">
        <v>-226</v>
      </c>
      <c r="E339" s="1">
        <v>-127</v>
      </c>
      <c r="H339" t="s">
        <v>33</v>
      </c>
      <c r="I339" t="str">
        <f>IF(COUNTIF(I$1:I338,I337)&gt;1,"DOUBLON LIGNE " &amp; MATCH(I337,I$1:I338,0),"Pas de doublons")</f>
        <v>Pas de doublons</v>
      </c>
      <c r="J339" t="s">
        <v>34</v>
      </c>
      <c r="K339" t="str" cm="1">
        <f t="array" ref="K339">IF(SUM(--(NOT(ISNUMBER(MATCH(B338:E338,'EMA points'!A:A,0))))) &gt; 0, "NOM INEXISTANT", "Noms ok")</f>
        <v>Noms ok</v>
      </c>
    </row>
    <row r="340" spans="1:11" x14ac:dyDescent="0.25">
      <c r="A340" t="s">
        <v>8</v>
      </c>
      <c r="B340">
        <f>Donnees!B340</f>
        <v>2</v>
      </c>
      <c r="C340">
        <f>Donnees!C340</f>
        <v>3</v>
      </c>
      <c r="D340">
        <f>Donnees!D340</f>
        <v>0</v>
      </c>
      <c r="E340">
        <f>Donnees!E340</f>
        <v>1</v>
      </c>
      <c r="H340" t="s">
        <v>11</v>
      </c>
      <c r="I340" t="str">
        <f t="shared" ref="I340" si="167">IF(SUM(B339:E339)=0, "Score ok", "SOMME NON NULLE")</f>
        <v>Score ok</v>
      </c>
    </row>
    <row r="341" spans="1:11" x14ac:dyDescent="0.25">
      <c r="A341" t="s">
        <v>5</v>
      </c>
      <c r="B341" t="s">
        <v>0</v>
      </c>
      <c r="C341" t="s">
        <v>1</v>
      </c>
      <c r="D341" t="s">
        <v>2</v>
      </c>
      <c r="E341" t="s">
        <v>3</v>
      </c>
      <c r="F341" t="str">
        <f>Donnees!F341</f>
        <v>Partie 86</v>
      </c>
      <c r="H341" t="s">
        <v>10</v>
      </c>
      <c r="I341" t="str">
        <f t="shared" ref="I341" si="168">_xlfn.TEXTJOIN(";",TRUE,B342:E343)</f>
        <v>Jean-Michel;Christophe;Guilhem;Halim;2;-46;112;-68</v>
      </c>
    </row>
    <row r="342" spans="1:11" x14ac:dyDescent="0.25">
      <c r="A342" t="s">
        <v>6</v>
      </c>
      <c r="B342" s="1" t="s">
        <v>49</v>
      </c>
      <c r="C342" s="1" t="s">
        <v>40</v>
      </c>
      <c r="D342" s="1" t="s">
        <v>39</v>
      </c>
      <c r="E342" s="1" t="s">
        <v>67</v>
      </c>
      <c r="F342" s="3">
        <v>45948.917662037034</v>
      </c>
      <c r="H342" t="s">
        <v>9</v>
      </c>
      <c r="I342" t="str" cm="1">
        <f t="array" ref="I342">IF(AND(Donnees!B341:F344=Check!B341:F344),"Identique","PAS IDENTIQUE")</f>
        <v>Identique</v>
      </c>
      <c r="J342" t="s">
        <v>32</v>
      </c>
      <c r="K342" t="str" cm="1">
        <f t="array" ref="K342">IF(MAX(COUNTIF(B342:E342,B342:E342)) &gt; 1, "JOUEUR EN DOUBLE", "Pas de doublons")</f>
        <v>Pas de doublons</v>
      </c>
    </row>
    <row r="343" spans="1:11" x14ac:dyDescent="0.25">
      <c r="A343" t="s">
        <v>7</v>
      </c>
      <c r="B343" s="1">
        <v>2</v>
      </c>
      <c r="C343" s="1">
        <v>-46</v>
      </c>
      <c r="D343" s="1">
        <v>112</v>
      </c>
      <c r="E343" s="1">
        <v>-68</v>
      </c>
      <c r="H343" t="s">
        <v>33</v>
      </c>
      <c r="I343" t="str">
        <f>IF(COUNTIF(I$1:I342,I341)&gt;1,"DOUBLON LIGNE " &amp; MATCH(I341,I$1:I342,0),"Pas de doublons")</f>
        <v>Pas de doublons</v>
      </c>
      <c r="J343" t="s">
        <v>34</v>
      </c>
      <c r="K343" t="str" cm="1">
        <f t="array" ref="K343">IF(SUM(--(NOT(ISNUMBER(MATCH(B342:E342,'EMA points'!A:A,0))))) &gt; 0, "NOM INEXISTANT", "Noms ok")</f>
        <v>Noms ok</v>
      </c>
    </row>
    <row r="344" spans="1:11" x14ac:dyDescent="0.25">
      <c r="A344" t="s">
        <v>8</v>
      </c>
      <c r="B344">
        <f>Donnees!B344</f>
        <v>2</v>
      </c>
      <c r="C344">
        <f>Donnees!C344</f>
        <v>1</v>
      </c>
      <c r="D344">
        <f>Donnees!D344</f>
        <v>3</v>
      </c>
      <c r="E344">
        <f>Donnees!E344</f>
        <v>0</v>
      </c>
      <c r="H344" t="s">
        <v>11</v>
      </c>
      <c r="I344" t="str">
        <f t="shared" ref="I344" si="169">IF(SUM(B343:E343)=0, "Score ok", "SOMME NON NULLE")</f>
        <v>Score ok</v>
      </c>
    </row>
    <row r="345" spans="1:11" x14ac:dyDescent="0.25">
      <c r="A345" t="s">
        <v>5</v>
      </c>
      <c r="B345" t="s">
        <v>0</v>
      </c>
      <c r="C345" t="s">
        <v>1</v>
      </c>
      <c r="D345" t="s">
        <v>2</v>
      </c>
      <c r="E345" t="s">
        <v>3</v>
      </c>
      <c r="F345" t="str">
        <f>Donnees!F345</f>
        <v>Partie 87</v>
      </c>
      <c r="H345" t="s">
        <v>10</v>
      </c>
      <c r="I345" t="str">
        <f t="shared" ref="I345" si="170">_xlfn.TEXTJOIN(";",TRUE,B346:E347)</f>
        <v>Kevin;Marie;Isabelle;Frederic;-118;38;21;59</v>
      </c>
    </row>
    <row r="346" spans="1:11" x14ac:dyDescent="0.25">
      <c r="A346" t="s">
        <v>6</v>
      </c>
      <c r="B346" s="1" t="s">
        <v>60</v>
      </c>
      <c r="C346" s="1" t="s">
        <v>48</v>
      </c>
      <c r="D346" s="1" t="s">
        <v>37</v>
      </c>
      <c r="E346" s="1" t="s">
        <v>52</v>
      </c>
      <c r="F346" s="3">
        <v>45948.917488425926</v>
      </c>
      <c r="H346" t="s">
        <v>9</v>
      </c>
      <c r="I346" t="str" cm="1">
        <f t="array" ref="I346">IF(AND(Donnees!B345:F348=Check!B345:F348),"Identique","PAS IDENTIQUE")</f>
        <v>Identique</v>
      </c>
      <c r="J346" t="s">
        <v>32</v>
      </c>
      <c r="K346" t="str" cm="1">
        <f t="array" ref="K346">IF(MAX(COUNTIF(B346:E346,B346:E346)) &gt; 1, "JOUEUR EN DOUBLE", "Pas de doublons")</f>
        <v>Pas de doublons</v>
      </c>
    </row>
    <row r="347" spans="1:11" x14ac:dyDescent="0.25">
      <c r="A347" t="s">
        <v>7</v>
      </c>
      <c r="B347" s="1">
        <v>-118</v>
      </c>
      <c r="C347" s="1">
        <v>38</v>
      </c>
      <c r="D347" s="1">
        <v>21</v>
      </c>
      <c r="E347" s="1">
        <v>59</v>
      </c>
      <c r="H347" t="s">
        <v>33</v>
      </c>
      <c r="I347" t="str">
        <f>IF(COUNTIF(I$1:I346,I345)&gt;1,"DOUBLON LIGNE " &amp; MATCH(I345,I$1:I346,0),"Pas de doublons")</f>
        <v>Pas de doublons</v>
      </c>
      <c r="J347" t="s">
        <v>34</v>
      </c>
      <c r="K347" t="str" cm="1">
        <f t="array" ref="K347">IF(SUM(--(NOT(ISNUMBER(MATCH(B346:E346,'EMA points'!A:A,0))))) &gt; 0, "NOM INEXISTANT", "Noms ok")</f>
        <v>Noms ok</v>
      </c>
    </row>
    <row r="348" spans="1:11" x14ac:dyDescent="0.25">
      <c r="A348" t="s">
        <v>8</v>
      </c>
      <c r="B348">
        <f>Donnees!B348</f>
        <v>0</v>
      </c>
      <c r="C348">
        <f>Donnees!C348</f>
        <v>2</v>
      </c>
      <c r="D348">
        <f>Donnees!D348</f>
        <v>1</v>
      </c>
      <c r="E348">
        <f>Donnees!E348</f>
        <v>3</v>
      </c>
      <c r="H348" t="s">
        <v>11</v>
      </c>
      <c r="I348" t="str">
        <f t="shared" ref="I348" si="171">IF(SUM(B347:E347)=0, "Score ok", "SOMME NON NULLE")</f>
        <v>Score ok</v>
      </c>
    </row>
    <row r="349" spans="1:11" x14ac:dyDescent="0.25">
      <c r="A349" t="s">
        <v>5</v>
      </c>
      <c r="B349" t="s">
        <v>0</v>
      </c>
      <c r="C349" t="s">
        <v>1</v>
      </c>
      <c r="D349" t="s">
        <v>2</v>
      </c>
      <c r="E349" t="s">
        <v>3</v>
      </c>
      <c r="F349" t="str">
        <f>Donnees!F349</f>
        <v>Partie 88</v>
      </c>
      <c r="H349" t="s">
        <v>10</v>
      </c>
      <c r="I349" t="str">
        <f t="shared" ref="I349" si="172">_xlfn.TEXTJOIN(";",TRUE,B350:E351)</f>
        <v>Juliette;Laurence;Marie;Marc;236;-134;-57;-45</v>
      </c>
    </row>
    <row r="350" spans="1:11" x14ac:dyDescent="0.25">
      <c r="A350" t="s">
        <v>6</v>
      </c>
      <c r="B350" s="1" t="s">
        <v>61</v>
      </c>
      <c r="C350" s="1" t="s">
        <v>51</v>
      </c>
      <c r="D350" s="1" t="s">
        <v>48</v>
      </c>
      <c r="E350" s="1" t="s">
        <v>38</v>
      </c>
      <c r="F350" s="3">
        <v>45948.918171296296</v>
      </c>
      <c r="H350" t="s">
        <v>9</v>
      </c>
      <c r="I350" t="str" cm="1">
        <f t="array" ref="I350">IF(AND(Donnees!B349:F352=Check!B349:F352),"Identique","PAS IDENTIQUE")</f>
        <v>Identique</v>
      </c>
      <c r="J350" t="s">
        <v>32</v>
      </c>
      <c r="K350" t="str" cm="1">
        <f t="array" ref="K350">IF(MAX(COUNTIF(B350:E350,B350:E350)) &gt; 1, "JOUEUR EN DOUBLE", "Pas de doublons")</f>
        <v>Pas de doublons</v>
      </c>
    </row>
    <row r="351" spans="1:11" x14ac:dyDescent="0.25">
      <c r="A351" t="s">
        <v>7</v>
      </c>
      <c r="B351" s="1">
        <v>236</v>
      </c>
      <c r="C351" s="1">
        <v>-134</v>
      </c>
      <c r="D351" s="1">
        <v>-57</v>
      </c>
      <c r="E351" s="1">
        <v>-45</v>
      </c>
      <c r="H351" t="s">
        <v>33</v>
      </c>
      <c r="I351" t="str">
        <f>IF(COUNTIF(I$1:I350,I349)&gt;1,"DOUBLON LIGNE " &amp; MATCH(I349,I$1:I350,0),"Pas de doublons")</f>
        <v>Pas de doublons</v>
      </c>
      <c r="J351" t="s">
        <v>34</v>
      </c>
      <c r="K351" t="str" cm="1">
        <f t="array" ref="K351">IF(SUM(--(NOT(ISNUMBER(MATCH(B350:E350,'EMA points'!A:A,0))))) &gt; 0, "NOM INEXISTANT", "Noms ok")</f>
        <v>Noms ok</v>
      </c>
    </row>
    <row r="352" spans="1:11" x14ac:dyDescent="0.25">
      <c r="A352" t="s">
        <v>8</v>
      </c>
      <c r="B352">
        <f>Donnees!B352</f>
        <v>3</v>
      </c>
      <c r="C352">
        <f>Donnees!C352</f>
        <v>0</v>
      </c>
      <c r="D352">
        <f>Donnees!D352</f>
        <v>1</v>
      </c>
      <c r="E352">
        <f>Donnees!E352</f>
        <v>2</v>
      </c>
      <c r="H352" t="s">
        <v>11</v>
      </c>
      <c r="I352" t="str">
        <f t="shared" ref="I352" si="173">IF(SUM(B351:E351)=0, "Score ok", "SOMME NON NULLE")</f>
        <v>Score ok</v>
      </c>
    </row>
    <row r="353" spans="1:11" x14ac:dyDescent="0.25">
      <c r="A353" t="s">
        <v>5</v>
      </c>
      <c r="B353" t="s">
        <v>0</v>
      </c>
      <c r="C353" t="s">
        <v>1</v>
      </c>
      <c r="D353" t="s">
        <v>2</v>
      </c>
      <c r="E353" t="s">
        <v>3</v>
      </c>
      <c r="F353" t="str">
        <f>Donnees!F353</f>
        <v>Partie 89</v>
      </c>
      <c r="H353" t="s">
        <v>10</v>
      </c>
      <c r="I353" t="str">
        <f t="shared" ref="I353" si="174">_xlfn.TEXTJOIN(";",TRUE,B354:E355)</f>
        <v>Marc;Laurence;Delphine;Marie;-172;169;-43;46</v>
      </c>
    </row>
    <row r="354" spans="1:11" x14ac:dyDescent="0.25">
      <c r="A354" t="s">
        <v>6</v>
      </c>
      <c r="B354" s="1" t="s">
        <v>38</v>
      </c>
      <c r="C354" s="1" t="s">
        <v>51</v>
      </c>
      <c r="D354" s="1" t="s">
        <v>42</v>
      </c>
      <c r="E354" s="1" t="s">
        <v>48</v>
      </c>
      <c r="F354" s="3">
        <v>45952.621932870374</v>
      </c>
      <c r="H354" t="s">
        <v>9</v>
      </c>
      <c r="I354" t="str" cm="1">
        <f t="array" ref="I354">IF(AND(Donnees!B353:F356=Check!B353:F356),"Identique","PAS IDENTIQUE")</f>
        <v>Identique</v>
      </c>
      <c r="J354" t="s">
        <v>32</v>
      </c>
      <c r="K354" t="str" cm="1">
        <f t="array" ref="K354">IF(MAX(COUNTIF(B354:E354,B354:E354)) &gt; 1, "JOUEUR EN DOUBLE", "Pas de doublons")</f>
        <v>Pas de doublons</v>
      </c>
    </row>
    <row r="355" spans="1:11" x14ac:dyDescent="0.25">
      <c r="A355" t="s">
        <v>7</v>
      </c>
      <c r="B355" s="1">
        <v>-172</v>
      </c>
      <c r="C355" s="1">
        <v>169</v>
      </c>
      <c r="D355" s="1">
        <v>-43</v>
      </c>
      <c r="E355" s="1">
        <v>46</v>
      </c>
      <c r="H355" t="s">
        <v>33</v>
      </c>
      <c r="I355" t="str">
        <f>IF(COUNTIF(I$1:I354,I353)&gt;1,"DOUBLON LIGNE " &amp; MATCH(I353,I$1:I354,0),"Pas de doublons")</f>
        <v>Pas de doublons</v>
      </c>
      <c r="J355" t="s">
        <v>34</v>
      </c>
      <c r="K355" t="str" cm="1">
        <f t="array" ref="K355">IF(SUM(--(NOT(ISNUMBER(MATCH(B354:E354,'EMA points'!A:A,0))))) &gt; 0, "NOM INEXISTANT", "Noms ok")</f>
        <v>Noms ok</v>
      </c>
    </row>
    <row r="356" spans="1:11" x14ac:dyDescent="0.25">
      <c r="A356" t="s">
        <v>8</v>
      </c>
      <c r="B356">
        <f>Donnees!B356</f>
        <v>0</v>
      </c>
      <c r="C356">
        <f>Donnees!C356</f>
        <v>3</v>
      </c>
      <c r="D356">
        <f>Donnees!D356</f>
        <v>1</v>
      </c>
      <c r="E356">
        <f>Donnees!E356</f>
        <v>2</v>
      </c>
      <c r="H356" t="s">
        <v>11</v>
      </c>
      <c r="I356" t="str">
        <f t="shared" ref="I356" si="175">IF(SUM(B355:E355)=0, "Score ok", "SOMME NON NULLE")</f>
        <v>Score ok</v>
      </c>
    </row>
    <row r="357" spans="1:11" x14ac:dyDescent="0.25">
      <c r="A357" t="s">
        <v>5</v>
      </c>
      <c r="B357" t="s">
        <v>0</v>
      </c>
      <c r="C357" t="s">
        <v>1</v>
      </c>
      <c r="D357" t="s">
        <v>2</v>
      </c>
      <c r="E357" t="s">
        <v>3</v>
      </c>
      <c r="F357" t="str">
        <f>Donnees!F357</f>
        <v>Partie 90</v>
      </c>
      <c r="H357" t="s">
        <v>10</v>
      </c>
      <c r="I357" t="str">
        <f t="shared" ref="I357" si="176">_xlfn.TEXTJOIN(";",TRUE,B358:E359)</f>
        <v>Isabelle;Halim;Jean-Michel;Christophe;-343;-189;627;-95</v>
      </c>
    </row>
    <row r="358" spans="1:11" x14ac:dyDescent="0.25">
      <c r="A358" t="s">
        <v>6</v>
      </c>
      <c r="B358" s="1" t="s">
        <v>37</v>
      </c>
      <c r="C358" s="1" t="s">
        <v>67</v>
      </c>
      <c r="D358" s="1" t="s">
        <v>49</v>
      </c>
      <c r="E358" s="1" t="s">
        <v>40</v>
      </c>
      <c r="F358" s="3">
        <v>45952.620370370372</v>
      </c>
      <c r="H358" t="s">
        <v>9</v>
      </c>
      <c r="I358" t="str" cm="1">
        <f t="array" ref="I358">IF(AND(Donnees!B357:F360=Check!B357:F360),"Identique","PAS IDENTIQUE")</f>
        <v>Identique</v>
      </c>
      <c r="J358" t="s">
        <v>32</v>
      </c>
      <c r="K358" t="str" cm="1">
        <f t="array" ref="K358">IF(MAX(COUNTIF(B358:E358,B358:E358)) &gt; 1, "JOUEUR EN DOUBLE", "Pas de doublons")</f>
        <v>Pas de doublons</v>
      </c>
    </row>
    <row r="359" spans="1:11" x14ac:dyDescent="0.25">
      <c r="A359" t="s">
        <v>7</v>
      </c>
      <c r="B359" s="1">
        <v>-343</v>
      </c>
      <c r="C359" s="1">
        <v>-189</v>
      </c>
      <c r="D359" s="1">
        <v>627</v>
      </c>
      <c r="E359" s="1">
        <v>-95</v>
      </c>
      <c r="H359" t="s">
        <v>33</v>
      </c>
      <c r="I359" t="str">
        <f>IF(COUNTIF(I$1:I358,I357)&gt;1,"DOUBLON LIGNE " &amp; MATCH(I357,I$1:I358,0),"Pas de doublons")</f>
        <v>Pas de doublons</v>
      </c>
      <c r="J359" t="s">
        <v>34</v>
      </c>
      <c r="K359" t="str" cm="1">
        <f t="array" ref="K359">IF(SUM(--(NOT(ISNUMBER(MATCH(B358:E358,'EMA points'!A:A,0))))) &gt; 0, "NOM INEXISTANT", "Noms ok")</f>
        <v>Noms ok</v>
      </c>
    </row>
    <row r="360" spans="1:11" x14ac:dyDescent="0.25">
      <c r="A360" t="s">
        <v>8</v>
      </c>
      <c r="B360">
        <f>Donnees!B360</f>
        <v>0</v>
      </c>
      <c r="C360">
        <f>Donnees!C360</f>
        <v>1</v>
      </c>
      <c r="D360">
        <f>Donnees!D360</f>
        <v>3</v>
      </c>
      <c r="E360">
        <f>Donnees!E360</f>
        <v>2</v>
      </c>
      <c r="H360" t="s">
        <v>11</v>
      </c>
      <c r="I360" t="str">
        <f t="shared" ref="I360" si="177">IF(SUM(B359:E359)=0, "Score ok", "SOMME NON NULLE")</f>
        <v>Score ok</v>
      </c>
    </row>
    <row r="361" spans="1:11" x14ac:dyDescent="0.25">
      <c r="A361" t="s">
        <v>5</v>
      </c>
      <c r="B361" t="s">
        <v>0</v>
      </c>
      <c r="C361" t="s">
        <v>1</v>
      </c>
      <c r="D361" t="s">
        <v>2</v>
      </c>
      <c r="E361" t="s">
        <v>3</v>
      </c>
      <c r="F361" t="str">
        <f>Donnees!F361</f>
        <v>Partie 91</v>
      </c>
      <c r="H361" t="s">
        <v>10</v>
      </c>
      <c r="I361" t="str">
        <f t="shared" ref="I361" si="178">_xlfn.TEXTJOIN(";",TRUE,B362:E363)</f>
        <v>Marie;Christophe;Jean-Michel;Laurence;-74;-52;24;102</v>
      </c>
    </row>
    <row r="362" spans="1:11" x14ac:dyDescent="0.25">
      <c r="A362" t="s">
        <v>6</v>
      </c>
      <c r="B362" s="1" t="s">
        <v>48</v>
      </c>
      <c r="C362" s="1" t="s">
        <v>40</v>
      </c>
      <c r="D362" s="1" t="s">
        <v>49</v>
      </c>
      <c r="E362" s="1" t="s">
        <v>51</v>
      </c>
      <c r="F362" s="3">
        <v>45952.713101851848</v>
      </c>
      <c r="H362" t="s">
        <v>9</v>
      </c>
      <c r="I362" t="str" cm="1">
        <f t="array" ref="I362">IF(AND(Donnees!B361:F364=Check!B361:F364),"Identique","PAS IDENTIQUE")</f>
        <v>Identique</v>
      </c>
      <c r="J362" t="s">
        <v>32</v>
      </c>
      <c r="K362" t="str" cm="1">
        <f t="array" ref="K362">IF(MAX(COUNTIF(B362:E362,B362:E362)) &gt; 1, "JOUEUR EN DOUBLE", "Pas de doublons")</f>
        <v>Pas de doublons</v>
      </c>
    </row>
    <row r="363" spans="1:11" x14ac:dyDescent="0.25">
      <c r="A363" t="s">
        <v>7</v>
      </c>
      <c r="B363" s="1">
        <v>-74</v>
      </c>
      <c r="C363" s="1">
        <v>-52</v>
      </c>
      <c r="D363" s="1">
        <v>24</v>
      </c>
      <c r="E363" s="1">
        <v>102</v>
      </c>
      <c r="H363" t="s">
        <v>33</v>
      </c>
      <c r="I363" t="str">
        <f>IF(COUNTIF(I$1:I362,I361)&gt;1,"DOUBLON LIGNE " &amp; MATCH(I361,I$1:I362,0),"Pas de doublons")</f>
        <v>Pas de doublons</v>
      </c>
      <c r="J363" t="s">
        <v>34</v>
      </c>
      <c r="K363" t="str" cm="1">
        <f t="array" ref="K363">IF(SUM(--(NOT(ISNUMBER(MATCH(B362:E362,'EMA points'!A:A,0))))) &gt; 0, "NOM INEXISTANT", "Noms ok")</f>
        <v>Noms ok</v>
      </c>
    </row>
    <row r="364" spans="1:11" x14ac:dyDescent="0.25">
      <c r="A364" t="s">
        <v>8</v>
      </c>
      <c r="B364">
        <f>Donnees!B364</f>
        <v>0</v>
      </c>
      <c r="C364">
        <f>Donnees!C364</f>
        <v>1</v>
      </c>
      <c r="D364">
        <f>Donnees!D364</f>
        <v>2</v>
      </c>
      <c r="E364">
        <f>Donnees!E364</f>
        <v>3</v>
      </c>
      <c r="H364" t="s">
        <v>11</v>
      </c>
      <c r="I364" t="str">
        <f t="shared" ref="I364" si="179">IF(SUM(B363:E363)=0, "Score ok", "SOMME NON NULLE")</f>
        <v>Score ok</v>
      </c>
    </row>
    <row r="365" spans="1:11" x14ac:dyDescent="0.25">
      <c r="A365" t="s">
        <v>5</v>
      </c>
      <c r="B365" t="s">
        <v>0</v>
      </c>
      <c r="C365" t="s">
        <v>1</v>
      </c>
      <c r="D365" t="s">
        <v>2</v>
      </c>
      <c r="E365" t="s">
        <v>3</v>
      </c>
      <c r="F365" t="str">
        <f>Donnees!F365</f>
        <v>Partie 92</v>
      </c>
      <c r="H365" t="s">
        <v>10</v>
      </c>
      <c r="I365" t="str">
        <f t="shared" ref="I365" si="180">_xlfn.TEXTJOIN(";",TRUE,B366:E367)</f>
        <v>Delphine;Frederic;Halim;Marc;-151;197;-14;-32</v>
      </c>
    </row>
    <row r="366" spans="1:11" x14ac:dyDescent="0.25">
      <c r="A366" t="s">
        <v>6</v>
      </c>
      <c r="B366" s="1" t="s">
        <v>42</v>
      </c>
      <c r="C366" s="1" t="s">
        <v>52</v>
      </c>
      <c r="D366" s="1" t="s">
        <v>67</v>
      </c>
      <c r="E366" s="1" t="s">
        <v>38</v>
      </c>
      <c r="F366" s="3">
        <v>45952.711828703701</v>
      </c>
      <c r="H366" t="s">
        <v>9</v>
      </c>
      <c r="I366" t="str" cm="1">
        <f t="array" ref="I366">IF(AND(Donnees!B365:F368=Check!B365:F368),"Identique","PAS IDENTIQUE")</f>
        <v>Identique</v>
      </c>
      <c r="J366" t="s">
        <v>32</v>
      </c>
      <c r="K366" t="str" cm="1">
        <f t="array" ref="K366">IF(MAX(COUNTIF(B366:E366,B366:E366)) &gt; 1, "JOUEUR EN DOUBLE", "Pas de doublons")</f>
        <v>Pas de doublons</v>
      </c>
    </row>
    <row r="367" spans="1:11" x14ac:dyDescent="0.25">
      <c r="A367" t="s">
        <v>7</v>
      </c>
      <c r="B367" s="1">
        <v>-151</v>
      </c>
      <c r="C367" s="1">
        <v>197</v>
      </c>
      <c r="D367" s="1">
        <v>-14</v>
      </c>
      <c r="E367" s="1">
        <v>-32</v>
      </c>
      <c r="H367" t="s">
        <v>33</v>
      </c>
      <c r="I367" t="str">
        <f>IF(COUNTIF(I$1:I366,I365)&gt;1,"DOUBLON LIGNE " &amp; MATCH(I365,I$1:I366,0),"Pas de doublons")</f>
        <v>Pas de doublons</v>
      </c>
      <c r="J367" t="s">
        <v>34</v>
      </c>
      <c r="K367" t="str" cm="1">
        <f t="array" ref="K367">IF(SUM(--(NOT(ISNUMBER(MATCH(B366:E366,'EMA points'!A:A,0))))) &gt; 0, "NOM INEXISTANT", "Noms ok")</f>
        <v>Noms ok</v>
      </c>
    </row>
    <row r="368" spans="1:11" x14ac:dyDescent="0.25">
      <c r="A368" t="s">
        <v>8</v>
      </c>
      <c r="B368">
        <f>Donnees!B368</f>
        <v>0</v>
      </c>
      <c r="C368">
        <f>Donnees!C368</f>
        <v>3</v>
      </c>
      <c r="D368">
        <f>Donnees!D368</f>
        <v>2</v>
      </c>
      <c r="E368">
        <f>Donnees!E368</f>
        <v>1</v>
      </c>
      <c r="H368" t="s">
        <v>11</v>
      </c>
      <c r="I368" t="str">
        <f t="shared" ref="I368" si="181">IF(SUM(B367:E367)=0, "Score ok", "SOMME NON NULLE")</f>
        <v>Score ok</v>
      </c>
    </row>
    <row r="369" spans="1:11" x14ac:dyDescent="0.25">
      <c r="A369" t="s">
        <v>5</v>
      </c>
      <c r="B369" t="s">
        <v>0</v>
      </c>
      <c r="C369" t="s">
        <v>1</v>
      </c>
      <c r="D369" t="s">
        <v>2</v>
      </c>
      <c r="E369" t="s">
        <v>3</v>
      </c>
      <c r="F369" t="str">
        <f>Donnees!F369</f>
        <v>Partie 93</v>
      </c>
      <c r="H369" t="s">
        <v>10</v>
      </c>
      <c r="I369" t="str">
        <f t="shared" ref="I369" si="182">_xlfn.TEXTJOIN(";",TRUE,B370:E371)</f>
        <v>Frederic;Laurence;Christophe;Halim;-205;50;131;24</v>
      </c>
    </row>
    <row r="370" spans="1:11" x14ac:dyDescent="0.25">
      <c r="A370" t="s">
        <v>6</v>
      </c>
      <c r="B370" s="1" t="s">
        <v>52</v>
      </c>
      <c r="C370" s="1" t="s">
        <v>51</v>
      </c>
      <c r="D370" s="1" t="s">
        <v>40</v>
      </c>
      <c r="E370" s="1" t="s">
        <v>67</v>
      </c>
      <c r="F370" s="3">
        <v>45952.81523148148</v>
      </c>
      <c r="H370" t="s">
        <v>9</v>
      </c>
      <c r="I370" t="str" cm="1">
        <f t="array" ref="I370">IF(AND(Donnees!B369:F372=Check!B369:F372),"Identique","PAS IDENTIQUE")</f>
        <v>Identique</v>
      </c>
      <c r="J370" t="s">
        <v>32</v>
      </c>
      <c r="K370" t="str" cm="1">
        <f t="array" ref="K370">IF(MAX(COUNTIF(B370:E370,B370:E370)) &gt; 1, "JOUEUR EN DOUBLE", "Pas de doublons")</f>
        <v>Pas de doublons</v>
      </c>
    </row>
    <row r="371" spans="1:11" x14ac:dyDescent="0.25">
      <c r="A371" t="s">
        <v>7</v>
      </c>
      <c r="B371" s="1">
        <v>-205</v>
      </c>
      <c r="C371" s="1">
        <v>50</v>
      </c>
      <c r="D371" s="1">
        <v>131</v>
      </c>
      <c r="E371" s="1">
        <v>24</v>
      </c>
      <c r="H371" t="s">
        <v>33</v>
      </c>
      <c r="I371" t="str">
        <f>IF(COUNTIF(I$1:I370,I369)&gt;1,"DOUBLON LIGNE " &amp; MATCH(I369,I$1:I370,0),"Pas de doublons")</f>
        <v>Pas de doublons</v>
      </c>
      <c r="J371" t="s">
        <v>34</v>
      </c>
      <c r="K371" t="str" cm="1">
        <f t="array" ref="K371">IF(SUM(--(NOT(ISNUMBER(MATCH(B370:E370,'EMA points'!A:A,0))))) &gt; 0, "NOM INEXISTANT", "Noms ok")</f>
        <v>Noms ok</v>
      </c>
    </row>
    <row r="372" spans="1:11" x14ac:dyDescent="0.25">
      <c r="A372" t="s">
        <v>8</v>
      </c>
      <c r="B372">
        <f>Donnees!B372</f>
        <v>0</v>
      </c>
      <c r="C372">
        <f>Donnees!C372</f>
        <v>2</v>
      </c>
      <c r="D372">
        <f>Donnees!D372</f>
        <v>3</v>
      </c>
      <c r="E372">
        <f>Donnees!E372</f>
        <v>1</v>
      </c>
      <c r="H372" t="s">
        <v>11</v>
      </c>
      <c r="I372" t="str">
        <f t="shared" ref="I372" si="183">IF(SUM(B371:E371)=0, "Score ok", "SOMME NON NULLE")</f>
        <v>Score ok</v>
      </c>
    </row>
    <row r="373" spans="1:11" x14ac:dyDescent="0.25">
      <c r="A373" t="s">
        <v>5</v>
      </c>
      <c r="B373" t="s">
        <v>0</v>
      </c>
      <c r="C373" t="s">
        <v>1</v>
      </c>
      <c r="D373" t="s">
        <v>2</v>
      </c>
      <c r="E373" t="s">
        <v>3</v>
      </c>
      <c r="F373" t="str">
        <f>Donnees!F373</f>
        <v>Partie 94</v>
      </c>
      <c r="H373" t="s">
        <v>10</v>
      </c>
      <c r="I373" t="str">
        <f t="shared" ref="I373" si="184">_xlfn.TEXTJOIN(";",TRUE,B374:E375)</f>
        <v>Frederic;Marie;Xavier;Jean-Michel;276;37;-107;-206</v>
      </c>
    </row>
    <row r="374" spans="1:11" x14ac:dyDescent="0.25">
      <c r="A374" t="s">
        <v>6</v>
      </c>
      <c r="B374" s="1" t="s">
        <v>52</v>
      </c>
      <c r="C374" s="1" t="s">
        <v>48</v>
      </c>
      <c r="D374" s="1" t="s">
        <v>58</v>
      </c>
      <c r="E374" s="1" t="s">
        <v>49</v>
      </c>
      <c r="F374" s="3">
        <v>45952.814097222225</v>
      </c>
      <c r="H374" t="s">
        <v>9</v>
      </c>
      <c r="I374" t="str" cm="1">
        <f t="array" ref="I374">IF(AND(Donnees!B373:F376=Check!B373:F376),"Identique","PAS IDENTIQUE")</f>
        <v>Identique</v>
      </c>
      <c r="J374" t="s">
        <v>32</v>
      </c>
      <c r="K374" t="str" cm="1">
        <f t="array" ref="K374">IF(MAX(COUNTIF(B374:E374,B374:E374)) &gt; 1, "JOUEUR EN DOUBLE", "Pas de doublons")</f>
        <v>Pas de doublons</v>
      </c>
    </row>
    <row r="375" spans="1:11" x14ac:dyDescent="0.25">
      <c r="A375" t="s">
        <v>7</v>
      </c>
      <c r="B375" s="1">
        <v>276</v>
      </c>
      <c r="C375" s="1">
        <v>37</v>
      </c>
      <c r="D375" s="1">
        <v>-107</v>
      </c>
      <c r="E375" s="1">
        <v>-206</v>
      </c>
      <c r="H375" t="s">
        <v>33</v>
      </c>
      <c r="I375" t="str">
        <f>IF(COUNTIF(I$1:I374,I373)&gt;1,"DOUBLON LIGNE " &amp; MATCH(I373,I$1:I374,0),"Pas de doublons")</f>
        <v>Pas de doublons</v>
      </c>
      <c r="J375" t="s">
        <v>34</v>
      </c>
      <c r="K375" t="str" cm="1">
        <f t="array" ref="K375">IF(SUM(--(NOT(ISNUMBER(MATCH(B374:E374,'EMA points'!A:A,0))))) &gt; 0, "NOM INEXISTANT", "Noms ok")</f>
        <v>Noms ok</v>
      </c>
    </row>
    <row r="376" spans="1:11" x14ac:dyDescent="0.25">
      <c r="A376" t="s">
        <v>8</v>
      </c>
      <c r="B376">
        <f>Donnees!B376</f>
        <v>3</v>
      </c>
      <c r="C376">
        <f>Donnees!C376</f>
        <v>2</v>
      </c>
      <c r="D376">
        <f>Donnees!D376</f>
        <v>1</v>
      </c>
      <c r="E376">
        <f>Donnees!E376</f>
        <v>0</v>
      </c>
      <c r="H376" t="s">
        <v>11</v>
      </c>
      <c r="I376" t="str">
        <f t="shared" ref="I376" si="185">IF(SUM(B375:E375)=0, "Score ok", "SOMME NON NULLE")</f>
        <v>Score ok</v>
      </c>
    </row>
    <row r="377" spans="1:11" x14ac:dyDescent="0.25">
      <c r="A377" t="s">
        <v>5</v>
      </c>
      <c r="B377" t="s">
        <v>0</v>
      </c>
      <c r="C377" t="s">
        <v>1</v>
      </c>
      <c r="D377" t="s">
        <v>2</v>
      </c>
      <c r="E377" t="s">
        <v>3</v>
      </c>
      <c r="F377" t="str">
        <f>Donnees!F377</f>
        <v>Partie 95</v>
      </c>
      <c r="H377" t="s">
        <v>10</v>
      </c>
      <c r="I377" t="str">
        <f t="shared" ref="I377" si="186">_xlfn.TEXTJOIN(";",TRUE,B378:E379)</f>
        <v>Laurence;Anna;Marc;Jean-Michel;-49;-49;65;33</v>
      </c>
    </row>
    <row r="378" spans="1:11" x14ac:dyDescent="0.25">
      <c r="A378" t="s">
        <v>6</v>
      </c>
      <c r="B378" s="1" t="s">
        <v>51</v>
      </c>
      <c r="C378" s="1" t="s">
        <v>57</v>
      </c>
      <c r="D378" s="1" t="s">
        <v>38</v>
      </c>
      <c r="E378" s="1" t="s">
        <v>49</v>
      </c>
      <c r="F378" s="3">
        <v>45955.590624999997</v>
      </c>
      <c r="H378" t="s">
        <v>9</v>
      </c>
      <c r="I378" t="str" cm="1">
        <f t="array" ref="I378">IF(AND(Donnees!B377:F380=Check!B377:F380),"Identique","PAS IDENTIQUE")</f>
        <v>Identique</v>
      </c>
      <c r="J378" t="s">
        <v>32</v>
      </c>
      <c r="K378" t="str" cm="1">
        <f t="array" ref="K378">IF(MAX(COUNTIF(B378:E378,B378:E378)) &gt; 1, "JOUEUR EN DOUBLE", "Pas de doublons")</f>
        <v>Pas de doublons</v>
      </c>
    </row>
    <row r="379" spans="1:11" x14ac:dyDescent="0.25">
      <c r="A379" t="s">
        <v>7</v>
      </c>
      <c r="B379" s="1">
        <v>-49</v>
      </c>
      <c r="C379" s="1">
        <v>-49</v>
      </c>
      <c r="D379" s="1">
        <v>65</v>
      </c>
      <c r="E379" s="1">
        <v>33</v>
      </c>
      <c r="H379" t="s">
        <v>33</v>
      </c>
      <c r="I379" t="str">
        <f>IF(COUNTIF(I$1:I378,I377)&gt;1,"DOUBLON LIGNE " &amp; MATCH(I377,I$1:I378,0),"Pas de doublons")</f>
        <v>Pas de doublons</v>
      </c>
      <c r="J379" t="s">
        <v>34</v>
      </c>
      <c r="K379" t="str" cm="1">
        <f t="array" ref="K379">IF(SUM(--(NOT(ISNUMBER(MATCH(B378:E378,'EMA points'!A:A,0))))) &gt; 0, "NOM INEXISTANT", "Noms ok")</f>
        <v>Noms ok</v>
      </c>
    </row>
    <row r="380" spans="1:11" x14ac:dyDescent="0.25">
      <c r="A380" t="s">
        <v>8</v>
      </c>
      <c r="B380">
        <f>Donnees!B380</f>
        <v>0.5</v>
      </c>
      <c r="C380">
        <f>Donnees!C380</f>
        <v>0.5</v>
      </c>
      <c r="D380">
        <f>Donnees!D380</f>
        <v>3</v>
      </c>
      <c r="E380">
        <f>Donnees!E380</f>
        <v>2</v>
      </c>
      <c r="H380" t="s">
        <v>11</v>
      </c>
      <c r="I380" t="str">
        <f t="shared" ref="I380" si="187">IF(SUM(B379:E379)=0, "Score ok", "SOMME NON NULLE")</f>
        <v>Score ok</v>
      </c>
    </row>
    <row r="381" spans="1:11" x14ac:dyDescent="0.25">
      <c r="A381" t="s">
        <v>5</v>
      </c>
      <c r="B381" t="s">
        <v>0</v>
      </c>
      <c r="C381" t="s">
        <v>1</v>
      </c>
      <c r="D381" t="s">
        <v>2</v>
      </c>
      <c r="E381" t="s">
        <v>3</v>
      </c>
      <c r="F381" t="str">
        <f>Donnees!F381</f>
        <v>Partie 96</v>
      </c>
      <c r="H381" t="s">
        <v>10</v>
      </c>
      <c r="I381" t="str">
        <f t="shared" ref="I381" si="188">_xlfn.TEXTJOIN(";",TRUE,B382:E383)</f>
        <v>Richard;Marie;Christophe;Halim;-6;-36;-37;79</v>
      </c>
    </row>
    <row r="382" spans="1:11" x14ac:dyDescent="0.25">
      <c r="A382" t="s">
        <v>6</v>
      </c>
      <c r="B382" s="1" t="s">
        <v>50</v>
      </c>
      <c r="C382" s="1" t="s">
        <v>48</v>
      </c>
      <c r="D382" s="1" t="s">
        <v>40</v>
      </c>
      <c r="E382" s="1" t="s">
        <v>67</v>
      </c>
      <c r="F382" s="3">
        <v>45955.605844907404</v>
      </c>
      <c r="H382" t="s">
        <v>9</v>
      </c>
      <c r="I382" t="str" cm="1">
        <f t="array" ref="I382">IF(AND(Donnees!B381:F384=Check!B381:F384),"Identique","PAS IDENTIQUE")</f>
        <v>Identique</v>
      </c>
      <c r="J382" t="s">
        <v>32</v>
      </c>
      <c r="K382" t="str" cm="1">
        <f t="array" ref="K382">IF(MAX(COUNTIF(B382:E382,B382:E382)) &gt; 1, "JOUEUR EN DOUBLE", "Pas de doublons")</f>
        <v>Pas de doublons</v>
      </c>
    </row>
    <row r="383" spans="1:11" x14ac:dyDescent="0.25">
      <c r="A383" t="s">
        <v>7</v>
      </c>
      <c r="B383" s="1">
        <v>-6</v>
      </c>
      <c r="C383" s="1">
        <v>-36</v>
      </c>
      <c r="D383" s="1">
        <v>-37</v>
      </c>
      <c r="E383" s="1">
        <v>79</v>
      </c>
      <c r="H383" t="s">
        <v>33</v>
      </c>
      <c r="I383" t="str">
        <f>IF(COUNTIF(I$1:I382,I381)&gt;1,"DOUBLON LIGNE " &amp; MATCH(I381,I$1:I382,0),"Pas de doublons")</f>
        <v>Pas de doublons</v>
      </c>
      <c r="J383" t="s">
        <v>34</v>
      </c>
      <c r="K383" t="str" cm="1">
        <f t="array" ref="K383">IF(SUM(--(NOT(ISNUMBER(MATCH(B382:E382,'EMA points'!A:A,0))))) &gt; 0, "NOM INEXISTANT", "Noms ok")</f>
        <v>Noms ok</v>
      </c>
    </row>
    <row r="384" spans="1:11" x14ac:dyDescent="0.25">
      <c r="A384" t="s">
        <v>8</v>
      </c>
      <c r="B384">
        <f>Donnees!B384</f>
        <v>2</v>
      </c>
      <c r="C384">
        <f>Donnees!C384</f>
        <v>1</v>
      </c>
      <c r="D384">
        <f>Donnees!D384</f>
        <v>0</v>
      </c>
      <c r="E384">
        <f>Donnees!E384</f>
        <v>3</v>
      </c>
      <c r="H384" t="s">
        <v>11</v>
      </c>
      <c r="I384" t="str">
        <f t="shared" ref="I384" si="189">IF(SUM(B383:E383)=0, "Score ok", "SOMME NON NULLE")</f>
        <v>Score ok</v>
      </c>
    </row>
    <row r="385" spans="1:11" x14ac:dyDescent="0.25">
      <c r="A385" t="s">
        <v>5</v>
      </c>
      <c r="B385" t="s">
        <v>0</v>
      </c>
      <c r="C385" t="s">
        <v>1</v>
      </c>
      <c r="D385" t="s">
        <v>2</v>
      </c>
      <c r="E385" t="s">
        <v>3</v>
      </c>
      <c r="F385" t="str">
        <f>Donnees!F385</f>
        <v>Partie 97</v>
      </c>
      <c r="H385" t="s">
        <v>10</v>
      </c>
      <c r="I385" t="str">
        <f t="shared" ref="I385" si="190">_xlfn.TEXTJOIN(";",TRUE,B386:E387)</f>
        <v>Marc;Anna;Halim;Isabelle;23;141;-163;-1</v>
      </c>
    </row>
    <row r="386" spans="1:11" x14ac:dyDescent="0.25">
      <c r="A386" t="s">
        <v>6</v>
      </c>
      <c r="B386" s="1" t="s">
        <v>38</v>
      </c>
      <c r="C386" s="1" t="s">
        <v>57</v>
      </c>
      <c r="D386" s="1" t="s">
        <v>67</v>
      </c>
      <c r="E386" s="1" t="s">
        <v>37</v>
      </c>
      <c r="F386" s="3">
        <v>45955.695486111108</v>
      </c>
      <c r="H386" t="s">
        <v>9</v>
      </c>
      <c r="I386" t="str" cm="1">
        <f t="array" ref="I386">IF(AND(Donnees!B385:F388=Check!B385:F388),"Identique","PAS IDENTIQUE")</f>
        <v>Identique</v>
      </c>
      <c r="J386" t="s">
        <v>32</v>
      </c>
      <c r="K386" t="str" cm="1">
        <f t="array" ref="K386">IF(MAX(COUNTIF(B386:E386,B386:E386)) &gt; 1, "JOUEUR EN DOUBLE", "Pas de doublons")</f>
        <v>Pas de doublons</v>
      </c>
    </row>
    <row r="387" spans="1:11" x14ac:dyDescent="0.25">
      <c r="A387" t="s">
        <v>7</v>
      </c>
      <c r="B387" s="1">
        <v>23</v>
      </c>
      <c r="C387" s="1">
        <v>141</v>
      </c>
      <c r="D387" s="1">
        <v>-163</v>
      </c>
      <c r="E387" s="1">
        <v>-1</v>
      </c>
      <c r="H387" t="s">
        <v>33</v>
      </c>
      <c r="I387" t="str">
        <f>IF(COUNTIF(I$1:I386,I385)&gt;1,"DOUBLON LIGNE " &amp; MATCH(I385,I$1:I386,0),"Pas de doublons")</f>
        <v>Pas de doublons</v>
      </c>
      <c r="J387" t="s">
        <v>34</v>
      </c>
      <c r="K387" t="str" cm="1">
        <f t="array" ref="K387">IF(SUM(--(NOT(ISNUMBER(MATCH(B386:E386,'EMA points'!A:A,0))))) &gt; 0, "NOM INEXISTANT", "Noms ok")</f>
        <v>Noms ok</v>
      </c>
    </row>
    <row r="388" spans="1:11" x14ac:dyDescent="0.25">
      <c r="A388" t="s">
        <v>8</v>
      </c>
      <c r="B388">
        <f>Donnees!B388</f>
        <v>2</v>
      </c>
      <c r="C388">
        <f>Donnees!C388</f>
        <v>3</v>
      </c>
      <c r="D388">
        <f>Donnees!D388</f>
        <v>0</v>
      </c>
      <c r="E388">
        <f>Donnees!E388</f>
        <v>1</v>
      </c>
      <c r="H388" t="s">
        <v>11</v>
      </c>
      <c r="I388" t="str">
        <f t="shared" ref="I388" si="191">IF(SUM(B387:E387)=0, "Score ok", "SOMME NON NULLE")</f>
        <v>Score ok</v>
      </c>
    </row>
    <row r="389" spans="1:11" x14ac:dyDescent="0.25">
      <c r="A389" t="s">
        <v>5</v>
      </c>
      <c r="B389" t="s">
        <v>0</v>
      </c>
      <c r="C389" t="s">
        <v>1</v>
      </c>
      <c r="D389" t="s">
        <v>2</v>
      </c>
      <c r="E389" t="s">
        <v>3</v>
      </c>
      <c r="F389" t="str">
        <f>Donnees!F389</f>
        <v>Partie 98</v>
      </c>
      <c r="H389" t="s">
        <v>10</v>
      </c>
      <c r="I389" t="str">
        <f t="shared" ref="I389" si="192">_xlfn.TEXTJOIN(";",TRUE,B390:E391)</f>
        <v>Valerie D;Mathieu;Sebastien;Beatrice;75;104;45;-224</v>
      </c>
    </row>
    <row r="390" spans="1:11" x14ac:dyDescent="0.25">
      <c r="A390" t="s">
        <v>6</v>
      </c>
      <c r="B390" s="1" t="s">
        <v>71</v>
      </c>
      <c r="C390" s="1" t="s">
        <v>62</v>
      </c>
      <c r="D390" s="1" t="s">
        <v>46</v>
      </c>
      <c r="E390" s="1" t="s">
        <v>45</v>
      </c>
      <c r="F390" s="3">
        <v>45955.693842592591</v>
      </c>
      <c r="H390" t="s">
        <v>9</v>
      </c>
      <c r="I390" t="str" cm="1">
        <f t="array" ref="I390">IF(AND(Donnees!B389:F392=Check!B389:F392),"Identique","PAS IDENTIQUE")</f>
        <v>Identique</v>
      </c>
      <c r="J390" t="s">
        <v>32</v>
      </c>
      <c r="K390" t="str" cm="1">
        <f t="array" ref="K390">IF(MAX(COUNTIF(B390:E390,B390:E390)) &gt; 1, "JOUEUR EN DOUBLE", "Pas de doublons")</f>
        <v>Pas de doublons</v>
      </c>
    </row>
    <row r="391" spans="1:11" x14ac:dyDescent="0.25">
      <c r="A391" t="s">
        <v>7</v>
      </c>
      <c r="B391" s="1">
        <v>75</v>
      </c>
      <c r="C391" s="1">
        <v>104</v>
      </c>
      <c r="D391" s="1">
        <v>45</v>
      </c>
      <c r="E391" s="1">
        <v>-224</v>
      </c>
      <c r="H391" t="s">
        <v>33</v>
      </c>
      <c r="I391" t="str">
        <f>IF(COUNTIF(I$1:I390,I389)&gt;1,"DOUBLON LIGNE " &amp; MATCH(I389,I$1:I390,0),"Pas de doublons")</f>
        <v>Pas de doublons</v>
      </c>
      <c r="J391" t="s">
        <v>34</v>
      </c>
      <c r="K391" t="str" cm="1">
        <f t="array" ref="K391">IF(SUM(--(NOT(ISNUMBER(MATCH(B390:E390,'EMA points'!A:A,0))))) &gt; 0, "NOM INEXISTANT", "Noms ok")</f>
        <v>Noms ok</v>
      </c>
    </row>
    <row r="392" spans="1:11" x14ac:dyDescent="0.25">
      <c r="A392" t="s">
        <v>8</v>
      </c>
      <c r="B392">
        <f>Donnees!B392</f>
        <v>2</v>
      </c>
      <c r="C392">
        <f>Donnees!C392</f>
        <v>3</v>
      </c>
      <c r="D392">
        <f>Donnees!D392</f>
        <v>1</v>
      </c>
      <c r="E392">
        <f>Donnees!E392</f>
        <v>0</v>
      </c>
      <c r="H392" t="s">
        <v>11</v>
      </c>
      <c r="I392" t="str">
        <f t="shared" ref="I392" si="193">IF(SUM(B391:E391)=0, "Score ok", "SOMME NON NULLE")</f>
        <v>Score ok</v>
      </c>
    </row>
    <row r="393" spans="1:11" x14ac:dyDescent="0.25">
      <c r="A393" t="s">
        <v>5</v>
      </c>
      <c r="B393" t="s">
        <v>0</v>
      </c>
      <c r="C393" t="s">
        <v>1</v>
      </c>
      <c r="D393" t="s">
        <v>2</v>
      </c>
      <c r="E393" t="s">
        <v>3</v>
      </c>
      <c r="F393" t="str">
        <f>Donnees!F393</f>
        <v>Partie 99</v>
      </c>
      <c r="H393" t="s">
        <v>10</v>
      </c>
      <c r="I393" t="str">
        <f t="shared" ref="I393" si="194">_xlfn.TEXTJOIN(";",TRUE,B394:E395)</f>
        <v>Christophe;Frederic;Guilhem;Jean-Michel;-77;256;-29;-150</v>
      </c>
    </row>
    <row r="394" spans="1:11" x14ac:dyDescent="0.25">
      <c r="A394" t="s">
        <v>6</v>
      </c>
      <c r="B394" s="1" t="s">
        <v>40</v>
      </c>
      <c r="C394" s="1" t="s">
        <v>52</v>
      </c>
      <c r="D394" s="1" t="s">
        <v>39</v>
      </c>
      <c r="E394" s="1" t="s">
        <v>49</v>
      </c>
      <c r="F394" s="3">
        <v>45955.693472222221</v>
      </c>
      <c r="H394" t="s">
        <v>9</v>
      </c>
      <c r="I394" t="str" cm="1">
        <f t="array" ref="I394">IF(AND(Donnees!B393:F396=Check!B393:F396),"Identique","PAS IDENTIQUE")</f>
        <v>Identique</v>
      </c>
      <c r="J394" t="s">
        <v>32</v>
      </c>
      <c r="K394" t="str" cm="1">
        <f t="array" ref="K394">IF(MAX(COUNTIF(B394:E394,B394:E394)) &gt; 1, "JOUEUR EN DOUBLE", "Pas de doublons")</f>
        <v>Pas de doublons</v>
      </c>
    </row>
    <row r="395" spans="1:11" x14ac:dyDescent="0.25">
      <c r="A395" t="s">
        <v>7</v>
      </c>
      <c r="B395" s="1">
        <v>-77</v>
      </c>
      <c r="C395" s="1">
        <v>256</v>
      </c>
      <c r="D395" s="1">
        <v>-29</v>
      </c>
      <c r="E395" s="1">
        <v>-150</v>
      </c>
      <c r="H395" t="s">
        <v>33</v>
      </c>
      <c r="I395" t="str">
        <f>IF(COUNTIF(I$1:I394,I393)&gt;1,"DOUBLON LIGNE " &amp; MATCH(I393,I$1:I394,0),"Pas de doublons")</f>
        <v>Pas de doublons</v>
      </c>
      <c r="J395" t="s">
        <v>34</v>
      </c>
      <c r="K395" t="str" cm="1">
        <f t="array" ref="K395">IF(SUM(--(NOT(ISNUMBER(MATCH(B394:E394,'EMA points'!A:A,0))))) &gt; 0, "NOM INEXISTANT", "Noms ok")</f>
        <v>Noms ok</v>
      </c>
    </row>
    <row r="396" spans="1:11" x14ac:dyDescent="0.25">
      <c r="A396" t="s">
        <v>8</v>
      </c>
      <c r="B396">
        <f>Donnees!B396</f>
        <v>1</v>
      </c>
      <c r="C396">
        <f>Donnees!C396</f>
        <v>3</v>
      </c>
      <c r="D396">
        <f>Donnees!D396</f>
        <v>2</v>
      </c>
      <c r="E396">
        <f>Donnees!E396</f>
        <v>0</v>
      </c>
      <c r="H396" t="s">
        <v>11</v>
      </c>
      <c r="I396" t="str">
        <f t="shared" ref="I396" si="195">IF(SUM(B395:E395)=0, "Score ok", "SOMME NON NULLE")</f>
        <v>Score ok</v>
      </c>
    </row>
    <row r="397" spans="1:11" x14ac:dyDescent="0.25">
      <c r="A397" t="s">
        <v>5</v>
      </c>
      <c r="B397" t="s">
        <v>0</v>
      </c>
      <c r="C397" t="s">
        <v>1</v>
      </c>
      <c r="D397" t="s">
        <v>2</v>
      </c>
      <c r="E397" t="s">
        <v>3</v>
      </c>
      <c r="F397" t="str">
        <f>Donnees!F397</f>
        <v>Partie 100</v>
      </c>
      <c r="H397" t="s">
        <v>10</v>
      </c>
      <c r="I397" t="str">
        <f t="shared" ref="I397" si="196">_xlfn.TEXTJOIN(";",TRUE,B398:E399)</f>
        <v>Kevin;Laurence;Richard;Ghislaine;-284;121;23;140</v>
      </c>
    </row>
    <row r="398" spans="1:11" x14ac:dyDescent="0.25">
      <c r="A398" t="s">
        <v>6</v>
      </c>
      <c r="B398" s="1" t="s">
        <v>60</v>
      </c>
      <c r="C398" s="1" t="s">
        <v>51</v>
      </c>
      <c r="D398" s="1" t="s">
        <v>50</v>
      </c>
      <c r="E398" s="1" t="s">
        <v>43</v>
      </c>
      <c r="F398" s="3">
        <v>45955.695208333331</v>
      </c>
      <c r="H398" t="s">
        <v>9</v>
      </c>
      <c r="I398" t="str" cm="1">
        <f t="array" ref="I398">IF(AND(Donnees!B397:F400=Check!B397:F400),"Identique","PAS IDENTIQUE")</f>
        <v>Identique</v>
      </c>
      <c r="J398" t="s">
        <v>32</v>
      </c>
      <c r="K398" t="str" cm="1">
        <f t="array" ref="K398">IF(MAX(COUNTIF(B398:E398,B398:E398)) &gt; 1, "JOUEUR EN DOUBLE", "Pas de doublons")</f>
        <v>Pas de doublons</v>
      </c>
    </row>
    <row r="399" spans="1:11" x14ac:dyDescent="0.25">
      <c r="A399" t="s">
        <v>7</v>
      </c>
      <c r="B399" s="1">
        <v>-284</v>
      </c>
      <c r="C399" s="1">
        <v>121</v>
      </c>
      <c r="D399" s="1">
        <v>23</v>
      </c>
      <c r="E399" s="1">
        <v>140</v>
      </c>
      <c r="H399" t="s">
        <v>33</v>
      </c>
      <c r="I399" t="str">
        <f>IF(COUNTIF(I$1:I398,I397)&gt;1,"DOUBLON LIGNE " &amp; MATCH(I397,I$1:I398,0),"Pas de doublons")</f>
        <v>Pas de doublons</v>
      </c>
      <c r="J399" t="s">
        <v>34</v>
      </c>
      <c r="K399" t="str" cm="1">
        <f t="array" ref="K399">IF(SUM(--(NOT(ISNUMBER(MATCH(B398:E398,'EMA points'!A:A,0))))) &gt; 0, "NOM INEXISTANT", "Noms ok")</f>
        <v>Noms ok</v>
      </c>
    </row>
    <row r="400" spans="1:11" x14ac:dyDescent="0.25">
      <c r="A400" t="s">
        <v>8</v>
      </c>
      <c r="B400">
        <f>Donnees!B400</f>
        <v>0</v>
      </c>
      <c r="C400">
        <f>Donnees!C400</f>
        <v>2</v>
      </c>
      <c r="D400">
        <f>Donnees!D400</f>
        <v>1</v>
      </c>
      <c r="E400">
        <f>Donnees!E400</f>
        <v>3</v>
      </c>
      <c r="H400" t="s">
        <v>11</v>
      </c>
      <c r="I400" t="str">
        <f t="shared" ref="I400" si="197">IF(SUM(B399:E399)=0, "Score ok", "SOMME NON NULLE")</f>
        <v>Score ok</v>
      </c>
    </row>
    <row r="401" spans="1:11" x14ac:dyDescent="0.25">
      <c r="A401" t="s">
        <v>5</v>
      </c>
      <c r="B401" t="s">
        <v>0</v>
      </c>
      <c r="C401" t="s">
        <v>1</v>
      </c>
      <c r="D401" t="s">
        <v>2</v>
      </c>
      <c r="E401" t="s">
        <v>3</v>
      </c>
      <c r="F401" t="str">
        <f>Donnees!F401</f>
        <v>Partie 101</v>
      </c>
      <c r="H401" t="s">
        <v>10</v>
      </c>
      <c r="I401" t="str">
        <f t="shared" ref="I401" si="198">_xlfn.TEXTJOIN(";",TRUE,B402:E403)</f>
        <v>Guilhem;Kevin;Frederic;Mathieu;196;-87;87;-196</v>
      </c>
    </row>
    <row r="402" spans="1:11" x14ac:dyDescent="0.25">
      <c r="A402" t="s">
        <v>6</v>
      </c>
      <c r="B402" s="1" t="s">
        <v>39</v>
      </c>
      <c r="C402" s="1" t="s">
        <v>60</v>
      </c>
      <c r="D402" s="1" t="s">
        <v>52</v>
      </c>
      <c r="E402" s="1" t="s">
        <v>62</v>
      </c>
      <c r="F402" s="3">
        <v>45955.805798611109</v>
      </c>
      <c r="H402" t="s">
        <v>9</v>
      </c>
      <c r="I402" t="str" cm="1">
        <f t="array" ref="I402">IF(AND(Donnees!B401:F404=Check!B401:F404),"Identique","PAS IDENTIQUE")</f>
        <v>Identique</v>
      </c>
      <c r="J402" t="s">
        <v>32</v>
      </c>
      <c r="K402" t="str" cm="1">
        <f t="array" ref="K402">IF(MAX(COUNTIF(B402:E402,B402:E402)) &gt; 1, "JOUEUR EN DOUBLE", "Pas de doublons")</f>
        <v>Pas de doublons</v>
      </c>
    </row>
    <row r="403" spans="1:11" x14ac:dyDescent="0.25">
      <c r="A403" t="s">
        <v>7</v>
      </c>
      <c r="B403" s="1">
        <v>196</v>
      </c>
      <c r="C403" s="1">
        <v>-87</v>
      </c>
      <c r="D403" s="1">
        <v>87</v>
      </c>
      <c r="E403" s="1">
        <v>-196</v>
      </c>
      <c r="H403" t="s">
        <v>33</v>
      </c>
      <c r="I403" t="str">
        <f>IF(COUNTIF(I$1:I402,I401)&gt;1,"DOUBLON LIGNE " &amp; MATCH(I401,I$1:I402,0),"Pas de doublons")</f>
        <v>Pas de doublons</v>
      </c>
      <c r="J403" t="s">
        <v>34</v>
      </c>
      <c r="K403" t="str" cm="1">
        <f t="array" ref="K403">IF(SUM(--(NOT(ISNUMBER(MATCH(B402:E402,'EMA points'!A:A,0))))) &gt; 0, "NOM INEXISTANT", "Noms ok")</f>
        <v>Noms ok</v>
      </c>
    </row>
    <row r="404" spans="1:11" x14ac:dyDescent="0.25">
      <c r="A404" t="s">
        <v>8</v>
      </c>
      <c r="B404">
        <f>Donnees!B404</f>
        <v>3</v>
      </c>
      <c r="C404">
        <f>Donnees!C404</f>
        <v>1</v>
      </c>
      <c r="D404">
        <f>Donnees!D404</f>
        <v>2</v>
      </c>
      <c r="E404">
        <f>Donnees!E404</f>
        <v>0</v>
      </c>
      <c r="H404" t="s">
        <v>11</v>
      </c>
      <c r="I404" t="str">
        <f t="shared" ref="I404" si="199">IF(SUM(B403:E403)=0, "Score ok", "SOMME NON NULLE")</f>
        <v>Score ok</v>
      </c>
    </row>
    <row r="405" spans="1:11" x14ac:dyDescent="0.25">
      <c r="A405" t="s">
        <v>5</v>
      </c>
      <c r="B405" t="s">
        <v>0</v>
      </c>
      <c r="C405" t="s">
        <v>1</v>
      </c>
      <c r="D405" t="s">
        <v>2</v>
      </c>
      <c r="E405" t="s">
        <v>3</v>
      </c>
      <c r="F405" t="str">
        <f>Donnees!F405</f>
        <v>Partie 102</v>
      </c>
      <c r="H405" t="s">
        <v>10</v>
      </c>
      <c r="I405" t="str">
        <f t="shared" ref="I405" si="200">_xlfn.TEXTJOIN(";",TRUE,B406:E407)</f>
        <v>Kevin;Frederic;Mathieu;Guilhem;-162;-128;74;216</v>
      </c>
    </row>
    <row r="406" spans="1:11" x14ac:dyDescent="0.25">
      <c r="A406" t="s">
        <v>6</v>
      </c>
      <c r="B406" s="1" t="s">
        <v>60</v>
      </c>
      <c r="C406" s="1" t="s">
        <v>52</v>
      </c>
      <c r="D406" s="1" t="s">
        <v>62</v>
      </c>
      <c r="E406" s="1" t="s">
        <v>39</v>
      </c>
      <c r="F406" s="3">
        <v>45955.886678240742</v>
      </c>
      <c r="H406" t="s">
        <v>9</v>
      </c>
      <c r="I406" t="str" cm="1">
        <f t="array" ref="I406">IF(AND(Donnees!B405:F408=Check!B405:F408),"Identique","PAS IDENTIQUE")</f>
        <v>Identique</v>
      </c>
      <c r="J406" t="s">
        <v>32</v>
      </c>
      <c r="K406" t="str" cm="1">
        <f t="array" ref="K406">IF(MAX(COUNTIF(B406:E406,B406:E406)) &gt; 1, "JOUEUR EN DOUBLE", "Pas de doublons")</f>
        <v>Pas de doublons</v>
      </c>
    </row>
    <row r="407" spans="1:11" x14ac:dyDescent="0.25">
      <c r="A407" t="s">
        <v>7</v>
      </c>
      <c r="B407" s="1">
        <v>-162</v>
      </c>
      <c r="C407" s="1">
        <v>-128</v>
      </c>
      <c r="D407" s="1">
        <v>74</v>
      </c>
      <c r="E407" s="1">
        <v>216</v>
      </c>
      <c r="H407" t="s">
        <v>33</v>
      </c>
      <c r="I407" t="str">
        <f>IF(COUNTIF(I$1:I406,I405)&gt;1,"DOUBLON LIGNE " &amp; MATCH(I405,I$1:I406,0),"Pas de doublons")</f>
        <v>Pas de doublons</v>
      </c>
      <c r="J407" t="s">
        <v>34</v>
      </c>
      <c r="K407" t="str" cm="1">
        <f t="array" ref="K407">IF(SUM(--(NOT(ISNUMBER(MATCH(B406:E406,'EMA points'!A:A,0))))) &gt; 0, "NOM INEXISTANT", "Noms ok")</f>
        <v>Noms ok</v>
      </c>
    </row>
    <row r="408" spans="1:11" x14ac:dyDescent="0.25">
      <c r="A408" t="s">
        <v>8</v>
      </c>
      <c r="B408">
        <f>Donnees!B408</f>
        <v>0</v>
      </c>
      <c r="C408">
        <f>Donnees!C408</f>
        <v>1</v>
      </c>
      <c r="D408">
        <f>Donnees!D408</f>
        <v>2</v>
      </c>
      <c r="E408">
        <f>Donnees!E408</f>
        <v>3</v>
      </c>
      <c r="H408" t="s">
        <v>11</v>
      </c>
      <c r="I408" t="str">
        <f t="shared" ref="I408" si="201">IF(SUM(B407:E407)=0, "Score ok", "SOMME NON NULLE")</f>
        <v>Score ok</v>
      </c>
    </row>
    <row r="409" spans="1:11" x14ac:dyDescent="0.25">
      <c r="A409" t="s">
        <v>5</v>
      </c>
      <c r="B409" t="s">
        <v>0</v>
      </c>
      <c r="C409" t="s">
        <v>1</v>
      </c>
      <c r="D409" t="s">
        <v>2</v>
      </c>
      <c r="E409" t="s">
        <v>3</v>
      </c>
      <c r="F409" t="str">
        <f>Donnees!F409</f>
        <v>Partie 103</v>
      </c>
      <c r="H409" t="s">
        <v>10</v>
      </c>
      <c r="I409" t="str">
        <f t="shared" ref="I409" si="202">_xlfn.TEXTJOIN(";",TRUE,B410:E411)</f>
        <v>Raphael;Ghislaine;Binome;Mathieu;4;140;-146;2</v>
      </c>
    </row>
    <row r="410" spans="1:11" x14ac:dyDescent="0.25">
      <c r="A410" t="s">
        <v>6</v>
      </c>
      <c r="B410" s="1" t="s">
        <v>41</v>
      </c>
      <c r="C410" s="1" t="s">
        <v>43</v>
      </c>
      <c r="D410" s="1" t="s">
        <v>47</v>
      </c>
      <c r="E410" s="1" t="s">
        <v>62</v>
      </c>
      <c r="F410" s="3">
        <v>45955.593310185184</v>
      </c>
      <c r="H410" t="s">
        <v>9</v>
      </c>
      <c r="I410" t="str" cm="1">
        <f t="array" ref="I410">IF(AND(Donnees!B409:F412=Check!B409:F412),"Identique","PAS IDENTIQUE")</f>
        <v>Identique</v>
      </c>
      <c r="J410" t="s">
        <v>32</v>
      </c>
      <c r="K410" t="str" cm="1">
        <f t="array" ref="K410">IF(MAX(COUNTIF(B410:E410,B410:E410)) &gt; 1, "JOUEUR EN DOUBLE", "Pas de doublons")</f>
        <v>Pas de doublons</v>
      </c>
    </row>
    <row r="411" spans="1:11" x14ac:dyDescent="0.25">
      <c r="A411" t="s">
        <v>7</v>
      </c>
      <c r="B411" s="1">
        <v>4</v>
      </c>
      <c r="C411" s="1">
        <v>140</v>
      </c>
      <c r="D411" s="1">
        <v>-146</v>
      </c>
      <c r="E411" s="1">
        <v>2</v>
      </c>
      <c r="H411" t="s">
        <v>33</v>
      </c>
      <c r="I411" t="str">
        <f>IF(COUNTIF(I$1:I410,I409)&gt;1,"DOUBLON LIGNE " &amp; MATCH(I409,I$1:I410,0),"Pas de doublons")</f>
        <v>Pas de doublons</v>
      </c>
      <c r="J411" t="s">
        <v>34</v>
      </c>
      <c r="K411" t="str" cm="1">
        <f t="array" ref="K411">IF(SUM(--(NOT(ISNUMBER(MATCH(B410:E410,'EMA points'!A:A,0))))) &gt; 0, "NOM INEXISTANT", "Noms ok")</f>
        <v>Noms ok</v>
      </c>
    </row>
    <row r="412" spans="1:11" x14ac:dyDescent="0.25">
      <c r="A412" t="s">
        <v>8</v>
      </c>
      <c r="B412">
        <f>Donnees!B412</f>
        <v>2</v>
      </c>
      <c r="C412">
        <f>Donnees!C412</f>
        <v>3</v>
      </c>
      <c r="D412">
        <f>Donnees!D412</f>
        <v>0</v>
      </c>
      <c r="E412">
        <f>Donnees!E412</f>
        <v>1</v>
      </c>
      <c r="H412" t="s">
        <v>11</v>
      </c>
      <c r="I412" t="str">
        <f t="shared" ref="I412" si="203">IF(SUM(B411:E411)=0, "Score ok", "SOMME NON NULLE")</f>
        <v>Score ok</v>
      </c>
    </row>
    <row r="413" spans="1:11" x14ac:dyDescent="0.25">
      <c r="A413" t="s">
        <v>5</v>
      </c>
      <c r="B413" t="s">
        <v>0</v>
      </c>
      <c r="C413" t="s">
        <v>1</v>
      </c>
      <c r="D413" t="s">
        <v>2</v>
      </c>
      <c r="E413" t="s">
        <v>3</v>
      </c>
      <c r="F413" t="str">
        <f>Donnees!F413</f>
        <v>Partie 104</v>
      </c>
      <c r="H413" t="s">
        <v>10</v>
      </c>
      <c r="I413" t="str">
        <f t="shared" ref="I413" si="204">_xlfn.TEXTJOIN(";",TRUE,B414:E415)</f>
        <v>Kevin;Juliette;Fabienne;Nathalie;-71;33;-40;78</v>
      </c>
    </row>
    <row r="414" spans="1:11" x14ac:dyDescent="0.25">
      <c r="A414" t="s">
        <v>6</v>
      </c>
      <c r="B414" s="1" t="s">
        <v>60</v>
      </c>
      <c r="C414" s="1" t="s">
        <v>61</v>
      </c>
      <c r="D414" s="1" t="s">
        <v>55</v>
      </c>
      <c r="E414" s="1" t="s">
        <v>56</v>
      </c>
      <c r="F414" s="3">
        <v>45962.592291666668</v>
      </c>
      <c r="H414" t="s">
        <v>9</v>
      </c>
      <c r="I414" t="str" cm="1">
        <f t="array" ref="I414">IF(AND(Donnees!B413:F416=Check!B413:F416),"Identique","PAS IDENTIQUE")</f>
        <v>Identique</v>
      </c>
      <c r="J414" t="s">
        <v>32</v>
      </c>
      <c r="K414" t="str" cm="1">
        <f t="array" ref="K414">IF(MAX(COUNTIF(B414:E414,B414:E414)) &gt; 1, "JOUEUR EN DOUBLE", "Pas de doublons")</f>
        <v>Pas de doublons</v>
      </c>
    </row>
    <row r="415" spans="1:11" x14ac:dyDescent="0.25">
      <c r="A415" t="s">
        <v>7</v>
      </c>
      <c r="B415" s="1">
        <v>-71</v>
      </c>
      <c r="C415" s="1">
        <v>33</v>
      </c>
      <c r="D415" s="1">
        <v>-40</v>
      </c>
      <c r="E415" s="1">
        <v>78</v>
      </c>
      <c r="H415" t="s">
        <v>33</v>
      </c>
      <c r="I415" t="str">
        <f>IF(COUNTIF(I$1:I414,I413)&gt;1,"DOUBLON LIGNE " &amp; MATCH(I413,I$1:I414,0),"Pas de doublons")</f>
        <v>Pas de doublons</v>
      </c>
      <c r="J415" t="s">
        <v>34</v>
      </c>
      <c r="K415" t="str" cm="1">
        <f t="array" ref="K415">IF(SUM(--(NOT(ISNUMBER(MATCH(B414:E414,'EMA points'!A:A,0))))) &gt; 0, "NOM INEXISTANT", "Noms ok")</f>
        <v>Noms ok</v>
      </c>
    </row>
    <row r="416" spans="1:11" x14ac:dyDescent="0.25">
      <c r="A416" t="s">
        <v>8</v>
      </c>
      <c r="B416">
        <f>Donnees!B416</f>
        <v>0</v>
      </c>
      <c r="C416">
        <f>Donnees!C416</f>
        <v>2</v>
      </c>
      <c r="D416">
        <f>Donnees!D416</f>
        <v>1</v>
      </c>
      <c r="E416">
        <f>Donnees!E416</f>
        <v>3</v>
      </c>
      <c r="H416" t="s">
        <v>11</v>
      </c>
      <c r="I416" t="str">
        <f t="shared" ref="I416" si="205">IF(SUM(B415:E415)=0, "Score ok", "SOMME NON NULLE")</f>
        <v>Score ok</v>
      </c>
    </row>
    <row r="417" spans="1:11" x14ac:dyDescent="0.25">
      <c r="A417" t="s">
        <v>5</v>
      </c>
      <c r="B417" t="s">
        <v>0</v>
      </c>
      <c r="C417" t="s">
        <v>1</v>
      </c>
      <c r="D417" t="s">
        <v>2</v>
      </c>
      <c r="E417" t="s">
        <v>3</v>
      </c>
      <c r="F417" t="str">
        <f>Donnees!F417</f>
        <v>Partie 105</v>
      </c>
      <c r="H417" t="s">
        <v>10</v>
      </c>
      <c r="I417" t="str">
        <f t="shared" ref="I417" si="206">_xlfn.TEXTJOIN(";",TRUE,B418:E419)</f>
        <v>Beatrice;Frederic;Francoise;Monique;9;154;-105;-58</v>
      </c>
    </row>
    <row r="418" spans="1:11" x14ac:dyDescent="0.25">
      <c r="A418" t="s">
        <v>6</v>
      </c>
      <c r="B418" s="1" t="s">
        <v>45</v>
      </c>
      <c r="C418" s="1" t="s">
        <v>52</v>
      </c>
      <c r="D418" s="1" t="s">
        <v>44</v>
      </c>
      <c r="E418" s="1" t="s">
        <v>54</v>
      </c>
      <c r="F418" s="3">
        <v>45962.591736111113</v>
      </c>
      <c r="H418" t="s">
        <v>9</v>
      </c>
      <c r="I418" t="str" cm="1">
        <f t="array" ref="I418">IF(AND(Donnees!B417:F420=Check!B417:F420),"Identique","PAS IDENTIQUE")</f>
        <v>Identique</v>
      </c>
      <c r="J418" t="s">
        <v>32</v>
      </c>
      <c r="K418" t="str" cm="1">
        <f t="array" ref="K418">IF(MAX(COUNTIF(B418:E418,B418:E418)) &gt; 1, "JOUEUR EN DOUBLE", "Pas de doublons")</f>
        <v>Pas de doublons</v>
      </c>
    </row>
    <row r="419" spans="1:11" x14ac:dyDescent="0.25">
      <c r="A419" t="s">
        <v>7</v>
      </c>
      <c r="B419" s="1">
        <v>9</v>
      </c>
      <c r="C419" s="1">
        <v>154</v>
      </c>
      <c r="D419" s="1">
        <v>-105</v>
      </c>
      <c r="E419" s="1">
        <v>-58</v>
      </c>
      <c r="H419" t="s">
        <v>33</v>
      </c>
      <c r="I419" t="str">
        <f>IF(COUNTIF(I$1:I418,I417)&gt;1,"DOUBLON LIGNE " &amp; MATCH(I417,I$1:I418,0),"Pas de doublons")</f>
        <v>Pas de doublons</v>
      </c>
      <c r="J419" t="s">
        <v>34</v>
      </c>
      <c r="K419" t="str" cm="1">
        <f t="array" ref="K419">IF(SUM(--(NOT(ISNUMBER(MATCH(B418:E418,'EMA points'!A:A,0))))) &gt; 0, "NOM INEXISTANT", "Noms ok")</f>
        <v>Noms ok</v>
      </c>
    </row>
    <row r="420" spans="1:11" x14ac:dyDescent="0.25">
      <c r="A420" t="s">
        <v>8</v>
      </c>
      <c r="B420">
        <f>Donnees!B420</f>
        <v>2</v>
      </c>
      <c r="C420">
        <f>Donnees!C420</f>
        <v>3</v>
      </c>
      <c r="D420">
        <f>Donnees!D420</f>
        <v>0</v>
      </c>
      <c r="E420">
        <f>Donnees!E420</f>
        <v>1</v>
      </c>
      <c r="H420" t="s">
        <v>11</v>
      </c>
      <c r="I420" t="str">
        <f t="shared" ref="I420" si="207">IF(SUM(B419:E419)=0, "Score ok", "SOMME NON NULLE")</f>
        <v>Score ok</v>
      </c>
    </row>
    <row r="421" spans="1:11" x14ac:dyDescent="0.25">
      <c r="A421" t="s">
        <v>5</v>
      </c>
      <c r="B421" t="s">
        <v>0</v>
      </c>
      <c r="C421" t="s">
        <v>1</v>
      </c>
      <c r="D421" t="s">
        <v>2</v>
      </c>
      <c r="E421" t="s">
        <v>3</v>
      </c>
      <c r="F421" t="str">
        <f>Donnees!F421</f>
        <v>Partie 106</v>
      </c>
      <c r="H421" t="s">
        <v>10</v>
      </c>
      <c r="I421" t="str">
        <f t="shared" ref="I421" si="208">_xlfn.TEXTJOIN(";",TRUE,B422:E423)</f>
        <v>Jean-Michel;Laurence;Delphine;Halim;-54;105;63;-114</v>
      </c>
    </row>
    <row r="422" spans="1:11" x14ac:dyDescent="0.25">
      <c r="A422" t="s">
        <v>6</v>
      </c>
      <c r="B422" s="1" t="s">
        <v>49</v>
      </c>
      <c r="C422" s="1" t="s">
        <v>51</v>
      </c>
      <c r="D422" s="1" t="s">
        <v>42</v>
      </c>
      <c r="E422" s="1" t="s">
        <v>67</v>
      </c>
      <c r="F422" s="3">
        <v>45962.59134259259</v>
      </c>
      <c r="H422" t="s">
        <v>9</v>
      </c>
      <c r="I422" t="str" cm="1">
        <f t="array" ref="I422">IF(AND(Donnees!B421:F424=Check!B421:F424),"Identique","PAS IDENTIQUE")</f>
        <v>Identique</v>
      </c>
      <c r="J422" t="s">
        <v>32</v>
      </c>
      <c r="K422" t="str" cm="1">
        <f t="array" ref="K422">IF(MAX(COUNTIF(B422:E422,B422:E422)) &gt; 1, "JOUEUR EN DOUBLE", "Pas de doublons")</f>
        <v>Pas de doublons</v>
      </c>
    </row>
    <row r="423" spans="1:11" x14ac:dyDescent="0.25">
      <c r="A423" t="s">
        <v>7</v>
      </c>
      <c r="B423" s="1">
        <v>-54</v>
      </c>
      <c r="C423" s="1">
        <v>105</v>
      </c>
      <c r="D423" s="1">
        <v>63</v>
      </c>
      <c r="E423" s="1">
        <v>-114</v>
      </c>
      <c r="H423" t="s">
        <v>33</v>
      </c>
      <c r="I423" t="str">
        <f>IF(COUNTIF(I$1:I422,I421)&gt;1,"DOUBLON LIGNE " &amp; MATCH(I421,I$1:I422,0),"Pas de doublons")</f>
        <v>Pas de doublons</v>
      </c>
      <c r="J423" t="s">
        <v>34</v>
      </c>
      <c r="K423" t="str" cm="1">
        <f t="array" ref="K423">IF(SUM(--(NOT(ISNUMBER(MATCH(B422:E422,'EMA points'!A:A,0))))) &gt; 0, "NOM INEXISTANT", "Noms ok")</f>
        <v>Noms ok</v>
      </c>
    </row>
    <row r="424" spans="1:11" x14ac:dyDescent="0.25">
      <c r="A424" t="s">
        <v>8</v>
      </c>
      <c r="B424">
        <f>Donnees!B424</f>
        <v>1</v>
      </c>
      <c r="C424">
        <f>Donnees!C424</f>
        <v>3</v>
      </c>
      <c r="D424">
        <f>Donnees!D424</f>
        <v>2</v>
      </c>
      <c r="E424">
        <f>Donnees!E424</f>
        <v>0</v>
      </c>
      <c r="H424" t="s">
        <v>11</v>
      </c>
      <c r="I424" t="str">
        <f t="shared" ref="I424" si="209">IF(SUM(B423:E423)=0, "Score ok", "SOMME NON NULLE")</f>
        <v>Score ok</v>
      </c>
    </row>
    <row r="425" spans="1:11" x14ac:dyDescent="0.25">
      <c r="A425" t="s">
        <v>5</v>
      </c>
      <c r="B425" t="s">
        <v>0</v>
      </c>
      <c r="C425" t="s">
        <v>1</v>
      </c>
      <c r="D425" t="s">
        <v>2</v>
      </c>
      <c r="E425" t="s">
        <v>3</v>
      </c>
      <c r="F425" t="str">
        <f>Donnees!F425</f>
        <v>Partie 107</v>
      </c>
      <c r="H425" t="s">
        <v>10</v>
      </c>
      <c r="I425" t="str">
        <f t="shared" ref="I425" si="210">_xlfn.TEXTJOIN(";",TRUE,B426:E427)</f>
        <v>Laurence;Juliette;Jean-Michel;Halim;-49;-18;-13;80</v>
      </c>
    </row>
    <row r="426" spans="1:11" x14ac:dyDescent="0.25">
      <c r="A426" t="s">
        <v>6</v>
      </c>
      <c r="B426" s="1" t="s">
        <v>51</v>
      </c>
      <c r="C426" s="1" t="s">
        <v>61</v>
      </c>
      <c r="D426" s="1" t="s">
        <v>49</v>
      </c>
      <c r="E426" s="1" t="s">
        <v>67</v>
      </c>
      <c r="F426" s="3">
        <v>45962.686527777776</v>
      </c>
      <c r="H426" t="s">
        <v>9</v>
      </c>
      <c r="I426" t="str" cm="1">
        <f t="array" ref="I426">IF(AND(Donnees!B425:F428=Check!B425:F428),"Identique","PAS IDENTIQUE")</f>
        <v>Identique</v>
      </c>
      <c r="J426" t="s">
        <v>32</v>
      </c>
      <c r="K426" t="str" cm="1">
        <f t="array" ref="K426">IF(MAX(COUNTIF(B426:E426,B426:E426)) &gt; 1, "JOUEUR EN DOUBLE", "Pas de doublons")</f>
        <v>Pas de doublons</v>
      </c>
    </row>
    <row r="427" spans="1:11" x14ac:dyDescent="0.25">
      <c r="A427" t="s">
        <v>7</v>
      </c>
      <c r="B427" s="1">
        <v>-49</v>
      </c>
      <c r="C427" s="1">
        <v>-18</v>
      </c>
      <c r="D427" s="1">
        <v>-13</v>
      </c>
      <c r="E427" s="1">
        <v>80</v>
      </c>
      <c r="H427" t="s">
        <v>33</v>
      </c>
      <c r="I427" t="str">
        <f>IF(COUNTIF(I$1:I426,I425)&gt;1,"DOUBLON LIGNE " &amp; MATCH(I425,I$1:I426,0),"Pas de doublons")</f>
        <v>Pas de doublons</v>
      </c>
      <c r="J427" t="s">
        <v>34</v>
      </c>
      <c r="K427" t="str" cm="1">
        <f t="array" ref="K427">IF(SUM(--(NOT(ISNUMBER(MATCH(B426:E426,'EMA points'!A:A,0))))) &gt; 0, "NOM INEXISTANT", "Noms ok")</f>
        <v>Noms ok</v>
      </c>
    </row>
    <row r="428" spans="1:11" x14ac:dyDescent="0.25">
      <c r="A428" t="s">
        <v>8</v>
      </c>
      <c r="B428">
        <f>Donnees!B428</f>
        <v>0</v>
      </c>
      <c r="C428">
        <f>Donnees!C428</f>
        <v>1</v>
      </c>
      <c r="D428">
        <f>Donnees!D428</f>
        <v>2</v>
      </c>
      <c r="E428">
        <f>Donnees!E428</f>
        <v>3</v>
      </c>
      <c r="H428" t="s">
        <v>11</v>
      </c>
      <c r="I428" t="str">
        <f t="shared" ref="I428" si="211">IF(SUM(B427:E427)=0, "Score ok", "SOMME NON NULLE")</f>
        <v>Score ok</v>
      </c>
    </row>
    <row r="429" spans="1:11" x14ac:dyDescent="0.25">
      <c r="A429" t="s">
        <v>5</v>
      </c>
      <c r="B429" t="s">
        <v>0</v>
      </c>
      <c r="C429" t="s">
        <v>1</v>
      </c>
      <c r="D429" t="s">
        <v>2</v>
      </c>
      <c r="E429" t="s">
        <v>3</v>
      </c>
      <c r="F429" t="str">
        <f>Donnees!F429</f>
        <v>Partie 108</v>
      </c>
      <c r="H429" t="s">
        <v>10</v>
      </c>
      <c r="I429" t="str">
        <f t="shared" ref="I429" si="212">_xlfn.TEXTJOIN(";",TRUE,B430:E431)</f>
        <v>Beatrice;Mathieu;Delphine;Frederic;17;-39;-94;116</v>
      </c>
    </row>
    <row r="430" spans="1:11" x14ac:dyDescent="0.25">
      <c r="A430" t="s">
        <v>6</v>
      </c>
      <c r="B430" s="1" t="s">
        <v>45</v>
      </c>
      <c r="C430" s="1" t="s">
        <v>62</v>
      </c>
      <c r="D430" s="1" t="s">
        <v>42</v>
      </c>
      <c r="E430" s="1" t="s">
        <v>52</v>
      </c>
      <c r="F430" s="3">
        <v>45962.685567129629</v>
      </c>
      <c r="H430" t="s">
        <v>9</v>
      </c>
      <c r="I430" t="str" cm="1">
        <f t="array" ref="I430">IF(AND(Donnees!B429:F432=Check!B429:F432),"Identique","PAS IDENTIQUE")</f>
        <v>Identique</v>
      </c>
      <c r="J430" t="s">
        <v>32</v>
      </c>
      <c r="K430" t="str" cm="1">
        <f t="array" ref="K430">IF(MAX(COUNTIF(B430:E430,B430:E430)) &gt; 1, "JOUEUR EN DOUBLE", "Pas de doublons")</f>
        <v>Pas de doublons</v>
      </c>
    </row>
    <row r="431" spans="1:11" x14ac:dyDescent="0.25">
      <c r="A431" t="s">
        <v>7</v>
      </c>
      <c r="B431" s="1">
        <v>17</v>
      </c>
      <c r="C431" s="1">
        <v>-39</v>
      </c>
      <c r="D431" s="1">
        <v>-94</v>
      </c>
      <c r="E431" s="1">
        <v>116</v>
      </c>
      <c r="H431" t="s">
        <v>33</v>
      </c>
      <c r="I431" t="str">
        <f>IF(COUNTIF(I$1:I430,I429)&gt;1,"DOUBLON LIGNE " &amp; MATCH(I429,I$1:I430,0),"Pas de doublons")</f>
        <v>Pas de doublons</v>
      </c>
      <c r="J431" t="s">
        <v>34</v>
      </c>
      <c r="K431" t="str" cm="1">
        <f t="array" ref="K431">IF(SUM(--(NOT(ISNUMBER(MATCH(B430:E430,'EMA points'!A:A,0))))) &gt; 0, "NOM INEXISTANT", "Noms ok")</f>
        <v>Noms ok</v>
      </c>
    </row>
    <row r="432" spans="1:11" x14ac:dyDescent="0.25">
      <c r="A432" t="s">
        <v>8</v>
      </c>
      <c r="B432">
        <f>Donnees!B432</f>
        <v>2</v>
      </c>
      <c r="C432">
        <f>Donnees!C432</f>
        <v>1</v>
      </c>
      <c r="D432">
        <f>Donnees!D432</f>
        <v>0</v>
      </c>
      <c r="E432">
        <f>Donnees!E432</f>
        <v>3</v>
      </c>
      <c r="H432" t="s">
        <v>11</v>
      </c>
      <c r="I432" t="str">
        <f t="shared" ref="I432" si="213">IF(SUM(B431:E431)=0, "Score ok", "SOMME NON NULLE")</f>
        <v>Score ok</v>
      </c>
    </row>
    <row r="433" spans="1:11" x14ac:dyDescent="0.25">
      <c r="A433" t="s">
        <v>5</v>
      </c>
      <c r="B433" t="s">
        <v>0</v>
      </c>
      <c r="C433" t="s">
        <v>1</v>
      </c>
      <c r="D433" t="s">
        <v>2</v>
      </c>
      <c r="E433" t="s">
        <v>3</v>
      </c>
      <c r="F433" t="str">
        <f>Donnees!F433</f>
        <v>Partie 109</v>
      </c>
      <c r="H433" t="s">
        <v>10</v>
      </c>
      <c r="I433" t="str">
        <f t="shared" ref="I433" si="214">_xlfn.TEXTJOIN(";",TRUE,B434:E435)</f>
        <v>Halim;Mathieu;Laurence;Kevin;146;16;62;-224</v>
      </c>
    </row>
    <row r="434" spans="1:11" x14ac:dyDescent="0.25">
      <c r="A434" t="s">
        <v>6</v>
      </c>
      <c r="B434" s="1" t="s">
        <v>67</v>
      </c>
      <c r="C434" s="1" t="s">
        <v>62</v>
      </c>
      <c r="D434" s="1" t="s">
        <v>51</v>
      </c>
      <c r="E434" s="1" t="s">
        <v>60</v>
      </c>
      <c r="F434" s="3">
        <v>45962.815601851849</v>
      </c>
      <c r="H434" t="s">
        <v>9</v>
      </c>
      <c r="I434" t="str" cm="1">
        <f t="array" ref="I434">IF(AND(Donnees!B433:F436=Check!B433:F436),"Identique","PAS IDENTIQUE")</f>
        <v>Identique</v>
      </c>
      <c r="J434" t="s">
        <v>32</v>
      </c>
      <c r="K434" t="str" cm="1">
        <f t="array" ref="K434">IF(MAX(COUNTIF(B434:E434,B434:E434)) &gt; 1, "JOUEUR EN DOUBLE", "Pas de doublons")</f>
        <v>Pas de doublons</v>
      </c>
    </row>
    <row r="435" spans="1:11" x14ac:dyDescent="0.25">
      <c r="A435" t="s">
        <v>7</v>
      </c>
      <c r="B435" s="1">
        <v>146</v>
      </c>
      <c r="C435" s="1">
        <v>16</v>
      </c>
      <c r="D435" s="1">
        <v>62</v>
      </c>
      <c r="E435" s="1">
        <v>-224</v>
      </c>
      <c r="H435" t="s">
        <v>33</v>
      </c>
      <c r="I435" t="str">
        <f>IF(COUNTIF(I$1:I434,I433)&gt;1,"DOUBLON LIGNE " &amp; MATCH(I433,I$1:I434,0),"Pas de doublons")</f>
        <v>Pas de doublons</v>
      </c>
      <c r="J435" t="s">
        <v>34</v>
      </c>
      <c r="K435" t="str" cm="1">
        <f t="array" ref="K435">IF(SUM(--(NOT(ISNUMBER(MATCH(B434:E434,'EMA points'!A:A,0))))) &gt; 0, "NOM INEXISTANT", "Noms ok")</f>
        <v>Noms ok</v>
      </c>
    </row>
    <row r="436" spans="1:11" x14ac:dyDescent="0.25">
      <c r="A436" t="s">
        <v>8</v>
      </c>
      <c r="B436">
        <f>Donnees!B436</f>
        <v>3</v>
      </c>
      <c r="C436">
        <f>Donnees!C436</f>
        <v>1</v>
      </c>
      <c r="D436">
        <f>Donnees!D436</f>
        <v>2</v>
      </c>
      <c r="E436">
        <f>Donnees!E436</f>
        <v>0</v>
      </c>
      <c r="H436" t="s">
        <v>11</v>
      </c>
      <c r="I436" t="str">
        <f t="shared" ref="I436" si="215">IF(SUM(B435:E435)=0, "Score ok", "SOMME NON NULLE")</f>
        <v>Score ok</v>
      </c>
    </row>
    <row r="437" spans="1:11" x14ac:dyDescent="0.25">
      <c r="A437" t="s">
        <v>5</v>
      </c>
      <c r="B437" t="s">
        <v>0</v>
      </c>
      <c r="C437" t="s">
        <v>1</v>
      </c>
      <c r="D437" t="s">
        <v>2</v>
      </c>
      <c r="E437" t="s">
        <v>3</v>
      </c>
      <c r="F437" t="str">
        <f>Donnees!F437</f>
        <v>Partie 110</v>
      </c>
      <c r="H437" t="s">
        <v>10</v>
      </c>
      <c r="I437" t="str">
        <f t="shared" ref="I437" si="216">_xlfn.TEXTJOIN(";",TRUE,B438:E439)</f>
        <v>Frederic;Isabelle;Jean-Michel;Juliette;-146;85;84;-23</v>
      </c>
    </row>
    <row r="438" spans="1:11" x14ac:dyDescent="0.25">
      <c r="A438" t="s">
        <v>6</v>
      </c>
      <c r="B438" s="1" t="s">
        <v>52</v>
      </c>
      <c r="C438" s="1" t="s">
        <v>37</v>
      </c>
      <c r="D438" s="1" t="s">
        <v>49</v>
      </c>
      <c r="E438" s="1" t="s">
        <v>61</v>
      </c>
      <c r="F438" s="3">
        <v>45962.816608796296</v>
      </c>
      <c r="H438" t="s">
        <v>9</v>
      </c>
      <c r="I438" t="str" cm="1">
        <f t="array" ref="I438">IF(AND(Donnees!B437:F440=Check!B437:F440),"Identique","PAS IDENTIQUE")</f>
        <v>Identique</v>
      </c>
      <c r="J438" t="s">
        <v>32</v>
      </c>
      <c r="K438" t="str" cm="1">
        <f t="array" ref="K438">IF(MAX(COUNTIF(B438:E438,B438:E438)) &gt; 1, "JOUEUR EN DOUBLE", "Pas de doublons")</f>
        <v>Pas de doublons</v>
      </c>
    </row>
    <row r="439" spans="1:11" x14ac:dyDescent="0.25">
      <c r="A439" t="s">
        <v>7</v>
      </c>
      <c r="B439" s="1">
        <v>-146</v>
      </c>
      <c r="C439" s="1">
        <v>85</v>
      </c>
      <c r="D439" s="1">
        <v>84</v>
      </c>
      <c r="E439" s="1">
        <v>-23</v>
      </c>
      <c r="H439" t="s">
        <v>33</v>
      </c>
      <c r="I439" t="str">
        <f>IF(COUNTIF(I$1:I438,I437)&gt;1,"DOUBLON LIGNE " &amp; MATCH(I437,I$1:I438,0),"Pas de doublons")</f>
        <v>Pas de doublons</v>
      </c>
      <c r="J439" t="s">
        <v>34</v>
      </c>
      <c r="K439" t="str" cm="1">
        <f t="array" ref="K439">IF(SUM(--(NOT(ISNUMBER(MATCH(B438:E438,'EMA points'!A:A,0))))) &gt; 0, "NOM INEXISTANT", "Noms ok")</f>
        <v>Noms ok</v>
      </c>
    </row>
    <row r="440" spans="1:11" x14ac:dyDescent="0.25">
      <c r="A440" t="s">
        <v>8</v>
      </c>
      <c r="B440">
        <f>Donnees!B440</f>
        <v>0</v>
      </c>
      <c r="C440">
        <f>Donnees!C440</f>
        <v>3</v>
      </c>
      <c r="D440">
        <f>Donnees!D440</f>
        <v>2</v>
      </c>
      <c r="E440">
        <f>Donnees!E440</f>
        <v>1</v>
      </c>
      <c r="H440" t="s">
        <v>11</v>
      </c>
      <c r="I440" t="str">
        <f t="shared" ref="I440" si="217">IF(SUM(B439:E439)=0, "Score ok", "SOMME NON NULLE")</f>
        <v>Score ok</v>
      </c>
    </row>
    <row r="441" spans="1:11" x14ac:dyDescent="0.25">
      <c r="A441" t="s">
        <v>5</v>
      </c>
      <c r="B441" t="s">
        <v>0</v>
      </c>
      <c r="C441" t="s">
        <v>1</v>
      </c>
      <c r="D441" t="s">
        <v>2</v>
      </c>
      <c r="E441" t="s">
        <v>3</v>
      </c>
      <c r="F441" t="str">
        <f>Donnees!F441</f>
        <v>Partie 111</v>
      </c>
      <c r="H441" t="s">
        <v>10</v>
      </c>
      <c r="I441" t="str">
        <f t="shared" ref="I441" si="218">_xlfn.TEXTJOIN(";",TRUE,B442:E443)</f>
        <v>Frederic;Valerie D;Christophe;Raphael;158;46;-228;24</v>
      </c>
    </row>
    <row r="442" spans="1:11" x14ac:dyDescent="0.25">
      <c r="A442" t="s">
        <v>6</v>
      </c>
      <c r="B442" s="1" t="s">
        <v>52</v>
      </c>
      <c r="C442" s="1" t="s">
        <v>71</v>
      </c>
      <c r="D442" s="1" t="s">
        <v>40</v>
      </c>
      <c r="E442" s="1" t="s">
        <v>41</v>
      </c>
      <c r="F442" s="3">
        <v>45967.708495370367</v>
      </c>
      <c r="H442" t="s">
        <v>9</v>
      </c>
      <c r="I442" t="str" cm="1">
        <f t="array" ref="I442">IF(AND(Donnees!B441:F444=Check!B441:F444),"Identique","PAS IDENTIQUE")</f>
        <v>Identique</v>
      </c>
      <c r="J442" t="s">
        <v>32</v>
      </c>
      <c r="K442" t="str" cm="1">
        <f t="array" ref="K442">IF(MAX(COUNTIF(B442:E442,B442:E442)) &gt; 1, "JOUEUR EN DOUBLE", "Pas de doublons")</f>
        <v>Pas de doublons</v>
      </c>
    </row>
    <row r="443" spans="1:11" x14ac:dyDescent="0.25">
      <c r="A443" t="s">
        <v>7</v>
      </c>
      <c r="B443" s="1">
        <v>158</v>
      </c>
      <c r="C443" s="1">
        <v>46</v>
      </c>
      <c r="D443" s="1">
        <v>-228</v>
      </c>
      <c r="E443" s="1">
        <v>24</v>
      </c>
      <c r="H443" t="s">
        <v>33</v>
      </c>
      <c r="I443" t="str">
        <f>IF(COUNTIF(I$1:I442,I441)&gt;1,"DOUBLON LIGNE " &amp; MATCH(I441,I$1:I442,0),"Pas de doublons")</f>
        <v>Pas de doublons</v>
      </c>
      <c r="J443" t="s">
        <v>34</v>
      </c>
      <c r="K443" t="str" cm="1">
        <f t="array" ref="K443">IF(SUM(--(NOT(ISNUMBER(MATCH(B442:E442,'EMA points'!A:A,0))))) &gt; 0, "NOM INEXISTANT", "Noms ok")</f>
        <v>Noms ok</v>
      </c>
    </row>
    <row r="444" spans="1:11" x14ac:dyDescent="0.25">
      <c r="A444" t="s">
        <v>8</v>
      </c>
      <c r="B444">
        <f>Donnees!B444</f>
        <v>3</v>
      </c>
      <c r="C444">
        <f>Donnees!C444</f>
        <v>2</v>
      </c>
      <c r="D444">
        <f>Donnees!D444</f>
        <v>0</v>
      </c>
      <c r="E444">
        <f>Donnees!E444</f>
        <v>1</v>
      </c>
      <c r="H444" t="s">
        <v>11</v>
      </c>
      <c r="I444" t="str">
        <f t="shared" ref="I444" si="219">IF(SUM(B443:E443)=0, "Score ok", "SOMME NON NULLE")</f>
        <v>Score ok</v>
      </c>
    </row>
    <row r="445" spans="1:11" x14ac:dyDescent="0.25">
      <c r="A445" t="s">
        <v>5</v>
      </c>
      <c r="B445" t="s">
        <v>0</v>
      </c>
      <c r="C445" t="s">
        <v>1</v>
      </c>
      <c r="D445" t="s">
        <v>2</v>
      </c>
      <c r="E445" t="s">
        <v>3</v>
      </c>
      <c r="F445" t="str">
        <f>Donnees!F445</f>
        <v>Partie 112</v>
      </c>
      <c r="H445" t="s">
        <v>10</v>
      </c>
      <c r="I445" t="str">
        <f t="shared" ref="I445" si="220">_xlfn.TEXTJOIN(";",TRUE,B446:E447)</f>
        <v>Halim;Xavier;Isabelle;Marie;82;-182;35;65</v>
      </c>
    </row>
    <row r="446" spans="1:11" x14ac:dyDescent="0.25">
      <c r="A446" t="s">
        <v>6</v>
      </c>
      <c r="B446" s="1" t="s">
        <v>67</v>
      </c>
      <c r="C446" s="1" t="s">
        <v>58</v>
      </c>
      <c r="D446" s="1" t="s">
        <v>37</v>
      </c>
      <c r="E446" s="1" t="s">
        <v>48</v>
      </c>
      <c r="F446" s="3">
        <v>45967.777361111112</v>
      </c>
      <c r="H446" t="s">
        <v>9</v>
      </c>
      <c r="I446" t="str" cm="1">
        <f t="array" ref="I446">IF(AND(Donnees!B445:F448=Check!B445:F448),"Identique","PAS IDENTIQUE")</f>
        <v>Identique</v>
      </c>
      <c r="J446" t="s">
        <v>32</v>
      </c>
      <c r="K446" t="str" cm="1">
        <f t="array" ref="K446">IF(MAX(COUNTIF(B446:E446,B446:E446)) &gt; 1, "JOUEUR EN DOUBLE", "Pas de doublons")</f>
        <v>Pas de doublons</v>
      </c>
    </row>
    <row r="447" spans="1:11" x14ac:dyDescent="0.25">
      <c r="A447" t="s">
        <v>7</v>
      </c>
      <c r="B447" s="1">
        <v>82</v>
      </c>
      <c r="C447" s="1">
        <v>-182</v>
      </c>
      <c r="D447" s="1">
        <v>35</v>
      </c>
      <c r="E447" s="1">
        <v>65</v>
      </c>
      <c r="H447" t="s">
        <v>33</v>
      </c>
      <c r="I447" t="str">
        <f>IF(COUNTIF(I$1:I446,I445)&gt;1,"DOUBLON LIGNE " &amp; MATCH(I445,I$1:I446,0),"Pas de doublons")</f>
        <v>Pas de doublons</v>
      </c>
      <c r="J447" t="s">
        <v>34</v>
      </c>
      <c r="K447" t="str" cm="1">
        <f t="array" ref="K447">IF(SUM(--(NOT(ISNUMBER(MATCH(B446:E446,'EMA points'!A:A,0))))) &gt; 0, "NOM INEXISTANT", "Noms ok")</f>
        <v>Noms ok</v>
      </c>
    </row>
    <row r="448" spans="1:11" x14ac:dyDescent="0.25">
      <c r="A448" t="s">
        <v>8</v>
      </c>
      <c r="B448">
        <f>Donnees!B448</f>
        <v>3</v>
      </c>
      <c r="C448">
        <f>Donnees!C448</f>
        <v>0</v>
      </c>
      <c r="D448">
        <f>Donnees!D448</f>
        <v>1</v>
      </c>
      <c r="E448">
        <f>Donnees!E448</f>
        <v>2</v>
      </c>
      <c r="H448" t="s">
        <v>11</v>
      </c>
      <c r="I448" t="str">
        <f t="shared" ref="I448" si="221">IF(SUM(B447:E447)=0, "Score ok", "SOMME NON NULLE")</f>
        <v>Score ok</v>
      </c>
    </row>
    <row r="449" spans="1:11" x14ac:dyDescent="0.25">
      <c r="A449" t="s">
        <v>5</v>
      </c>
      <c r="B449" t="s">
        <v>0</v>
      </c>
      <c r="C449" t="s">
        <v>1</v>
      </c>
      <c r="D449" t="s">
        <v>2</v>
      </c>
      <c r="E449" t="s">
        <v>3</v>
      </c>
      <c r="F449" t="str">
        <f>Donnees!F449</f>
        <v>Partie 113</v>
      </c>
      <c r="H449" t="s">
        <v>10</v>
      </c>
      <c r="I449" t="str">
        <f t="shared" ref="I449" si="222">_xlfn.TEXTJOIN(";",TRUE,B450:E451)</f>
        <v>Frederic;Raphael;Christophe;Valerie D;294;-136;-250;92</v>
      </c>
    </row>
    <row r="450" spans="1:11" x14ac:dyDescent="0.25">
      <c r="A450" t="s">
        <v>6</v>
      </c>
      <c r="B450" s="1" t="s">
        <v>52</v>
      </c>
      <c r="C450" s="1" t="s">
        <v>41</v>
      </c>
      <c r="D450" s="1" t="s">
        <v>40</v>
      </c>
      <c r="E450" s="1" t="s">
        <v>71</v>
      </c>
      <c r="F450" s="3">
        <v>45967.820752314816</v>
      </c>
      <c r="H450" t="s">
        <v>9</v>
      </c>
      <c r="I450" t="str" cm="1">
        <f t="array" ref="I450">IF(AND(Donnees!B449:F452=Check!B449:F452),"Identique","PAS IDENTIQUE")</f>
        <v>Identique</v>
      </c>
      <c r="J450" t="s">
        <v>32</v>
      </c>
      <c r="K450" t="str" cm="1">
        <f t="array" ref="K450">IF(MAX(COUNTIF(B450:E450,B450:E450)) &gt; 1, "JOUEUR EN DOUBLE", "Pas de doublons")</f>
        <v>Pas de doublons</v>
      </c>
    </row>
    <row r="451" spans="1:11" x14ac:dyDescent="0.25">
      <c r="A451" t="s">
        <v>7</v>
      </c>
      <c r="B451" s="1">
        <v>294</v>
      </c>
      <c r="C451" s="1">
        <v>-136</v>
      </c>
      <c r="D451" s="1">
        <v>-250</v>
      </c>
      <c r="E451" s="1">
        <v>92</v>
      </c>
      <c r="H451" t="s">
        <v>33</v>
      </c>
      <c r="I451" t="str">
        <f>IF(COUNTIF(I$1:I450,I449)&gt;1,"DOUBLON LIGNE " &amp; MATCH(I449,I$1:I450,0),"Pas de doublons")</f>
        <v>Pas de doublons</v>
      </c>
      <c r="J451" t="s">
        <v>34</v>
      </c>
      <c r="K451" t="str" cm="1">
        <f t="array" ref="K451">IF(SUM(--(NOT(ISNUMBER(MATCH(B450:E450,'EMA points'!A:A,0))))) &gt; 0, "NOM INEXISTANT", "Noms ok")</f>
        <v>Noms ok</v>
      </c>
    </row>
    <row r="452" spans="1:11" x14ac:dyDescent="0.25">
      <c r="A452" t="s">
        <v>8</v>
      </c>
      <c r="B452">
        <f>Donnees!B452</f>
        <v>3</v>
      </c>
      <c r="C452">
        <f>Donnees!C452</f>
        <v>1</v>
      </c>
      <c r="D452">
        <f>Donnees!D452</f>
        <v>0</v>
      </c>
      <c r="E452">
        <f>Donnees!E452</f>
        <v>2</v>
      </c>
      <c r="H452" t="s">
        <v>11</v>
      </c>
      <c r="I452" t="str">
        <f t="shared" ref="I452" si="223">IF(SUM(B451:E451)=0, "Score ok", "SOMME NON NULLE")</f>
        <v>Score ok</v>
      </c>
    </row>
    <row r="453" spans="1:11" x14ac:dyDescent="0.25">
      <c r="A453" t="s">
        <v>5</v>
      </c>
      <c r="B453" t="s">
        <v>0</v>
      </c>
      <c r="C453" t="s">
        <v>1</v>
      </c>
      <c r="D453" t="s">
        <v>2</v>
      </c>
      <c r="E453" t="s">
        <v>3</v>
      </c>
      <c r="F453" t="str">
        <f>Donnees!F453</f>
        <v>Partie 114</v>
      </c>
      <c r="H453" t="s">
        <v>10</v>
      </c>
      <c r="I453" t="str">
        <f t="shared" ref="I453" si="224">_xlfn.TEXTJOIN(";",TRUE,B454:E455)</f>
        <v>Mathieu;Jean-Michel;Fabienne;Kevin;-131;348;-106;-111</v>
      </c>
    </row>
    <row r="454" spans="1:11" x14ac:dyDescent="0.25">
      <c r="A454" t="s">
        <v>6</v>
      </c>
      <c r="B454" s="1" t="s">
        <v>62</v>
      </c>
      <c r="C454" s="1" t="s">
        <v>49</v>
      </c>
      <c r="D454" s="1" t="s">
        <v>55</v>
      </c>
      <c r="E454" s="1" t="s">
        <v>60</v>
      </c>
      <c r="F454" s="3">
        <v>45969.597013888888</v>
      </c>
      <c r="H454" t="s">
        <v>9</v>
      </c>
      <c r="I454" t="str" cm="1">
        <f t="array" ref="I454">IF(AND(Donnees!B453:F456=Check!B453:F456),"Identique","PAS IDENTIQUE")</f>
        <v>Identique</v>
      </c>
      <c r="J454" t="s">
        <v>32</v>
      </c>
      <c r="K454" t="str" cm="1">
        <f t="array" ref="K454">IF(MAX(COUNTIF(B454:E454,B454:E454)) &gt; 1, "JOUEUR EN DOUBLE", "Pas de doublons")</f>
        <v>Pas de doublons</v>
      </c>
    </row>
    <row r="455" spans="1:11" x14ac:dyDescent="0.25">
      <c r="A455" t="s">
        <v>7</v>
      </c>
      <c r="B455" s="1">
        <v>-131</v>
      </c>
      <c r="C455" s="1">
        <v>348</v>
      </c>
      <c r="D455" s="1">
        <v>-106</v>
      </c>
      <c r="E455" s="1">
        <v>-111</v>
      </c>
      <c r="H455" t="s">
        <v>33</v>
      </c>
      <c r="I455" t="str">
        <f>IF(COUNTIF(I$1:I454,I453)&gt;1,"DOUBLON LIGNE " &amp; MATCH(I453,I$1:I454,0),"Pas de doublons")</f>
        <v>Pas de doublons</v>
      </c>
      <c r="J455" t="s">
        <v>34</v>
      </c>
      <c r="K455" t="str" cm="1">
        <f t="array" ref="K455">IF(SUM(--(NOT(ISNUMBER(MATCH(B454:E454,'EMA points'!A:A,0))))) &gt; 0, "NOM INEXISTANT", "Noms ok")</f>
        <v>Noms ok</v>
      </c>
    </row>
    <row r="456" spans="1:11" x14ac:dyDescent="0.25">
      <c r="A456" t="s">
        <v>8</v>
      </c>
      <c r="B456">
        <f>Donnees!B456</f>
        <v>0</v>
      </c>
      <c r="C456">
        <f>Donnees!C456</f>
        <v>3</v>
      </c>
      <c r="D456">
        <f>Donnees!D456</f>
        <v>2</v>
      </c>
      <c r="E456">
        <f>Donnees!E456</f>
        <v>1</v>
      </c>
      <c r="H456" t="s">
        <v>11</v>
      </c>
      <c r="I456" t="str">
        <f t="shared" ref="I456" si="225">IF(SUM(B455:E455)=0, "Score ok", "SOMME NON NULLE")</f>
        <v>Score ok</v>
      </c>
    </row>
    <row r="457" spans="1:11" x14ac:dyDescent="0.25">
      <c r="A457" t="s">
        <v>5</v>
      </c>
      <c r="B457" t="s">
        <v>0</v>
      </c>
      <c r="C457" t="s">
        <v>1</v>
      </c>
      <c r="D457" t="s">
        <v>2</v>
      </c>
      <c r="E457" t="s">
        <v>3</v>
      </c>
      <c r="F457" t="str">
        <f>Donnees!F457</f>
        <v>Partie 115</v>
      </c>
      <c r="H457" t="s">
        <v>10</v>
      </c>
      <c r="I457" t="str">
        <f t="shared" ref="I457" si="226">_xlfn.TEXTJOIN(";",TRUE,B458:E459)</f>
        <v>Matheo;Isabelle;Frederic;Nathalie;-33;-54;96;-9</v>
      </c>
    </row>
    <row r="458" spans="1:11" x14ac:dyDescent="0.25">
      <c r="A458" t="s">
        <v>6</v>
      </c>
      <c r="B458" s="1" t="s">
        <v>53</v>
      </c>
      <c r="C458" s="1" t="s">
        <v>37</v>
      </c>
      <c r="D458" s="1" t="s">
        <v>52</v>
      </c>
      <c r="E458" s="1" t="s">
        <v>56</v>
      </c>
      <c r="F458" s="3">
        <v>45969.594907407409</v>
      </c>
      <c r="H458" t="s">
        <v>9</v>
      </c>
      <c r="I458" t="str" cm="1">
        <f t="array" ref="I458">IF(AND(Donnees!B457:F460=Check!B457:F460),"Identique","PAS IDENTIQUE")</f>
        <v>Identique</v>
      </c>
      <c r="J458" t="s">
        <v>32</v>
      </c>
      <c r="K458" t="str" cm="1">
        <f t="array" ref="K458">IF(MAX(COUNTIF(B458:E458,B458:E458)) &gt; 1, "JOUEUR EN DOUBLE", "Pas de doublons")</f>
        <v>Pas de doublons</v>
      </c>
    </row>
    <row r="459" spans="1:11" x14ac:dyDescent="0.25">
      <c r="A459" t="s">
        <v>7</v>
      </c>
      <c r="B459" s="1">
        <v>-33</v>
      </c>
      <c r="C459" s="1">
        <v>-54</v>
      </c>
      <c r="D459" s="1">
        <v>96</v>
      </c>
      <c r="E459" s="1">
        <v>-9</v>
      </c>
      <c r="H459" t="s">
        <v>33</v>
      </c>
      <c r="I459" t="str">
        <f>IF(COUNTIF(I$1:I458,I457)&gt;1,"DOUBLON LIGNE " &amp; MATCH(I457,I$1:I458,0),"Pas de doublons")</f>
        <v>Pas de doublons</v>
      </c>
      <c r="J459" t="s">
        <v>34</v>
      </c>
      <c r="K459" t="str" cm="1">
        <f t="array" ref="K459">IF(SUM(--(NOT(ISNUMBER(MATCH(B458:E458,'EMA points'!A:A,0))))) &gt; 0, "NOM INEXISTANT", "Noms ok")</f>
        <v>Noms ok</v>
      </c>
    </row>
    <row r="460" spans="1:11" x14ac:dyDescent="0.25">
      <c r="A460" t="s">
        <v>8</v>
      </c>
      <c r="B460">
        <f>Donnees!B460</f>
        <v>1</v>
      </c>
      <c r="C460">
        <f>Donnees!C460</f>
        <v>0</v>
      </c>
      <c r="D460">
        <f>Donnees!D460</f>
        <v>3</v>
      </c>
      <c r="E460">
        <f>Donnees!E460</f>
        <v>2</v>
      </c>
      <c r="H460" t="s">
        <v>11</v>
      </c>
      <c r="I460" t="str">
        <f t="shared" ref="I460" si="227">IF(SUM(B459:E459)=0, "Score ok", "SOMME NON NULLE")</f>
        <v>Score ok</v>
      </c>
    </row>
    <row r="461" spans="1:11" x14ac:dyDescent="0.25">
      <c r="A461" t="s">
        <v>5</v>
      </c>
      <c r="B461" t="s">
        <v>0</v>
      </c>
      <c r="C461" t="s">
        <v>1</v>
      </c>
      <c r="D461" t="s">
        <v>2</v>
      </c>
      <c r="E461" t="s">
        <v>3</v>
      </c>
      <c r="F461" t="str">
        <f>Donnees!F461</f>
        <v>Partie 116</v>
      </c>
      <c r="H461" t="s">
        <v>10</v>
      </c>
      <c r="I461" t="str">
        <f t="shared" ref="I461" si="228">_xlfn.TEXTJOIN(";",TRUE,B462:E463)</f>
        <v>Valerie D;Raphael;Matheo;Sebastien;45;89;0;-134</v>
      </c>
    </row>
    <row r="462" spans="1:11" x14ac:dyDescent="0.25">
      <c r="A462" t="s">
        <v>6</v>
      </c>
      <c r="B462" s="1" t="s">
        <v>71</v>
      </c>
      <c r="C462" s="1" t="s">
        <v>41</v>
      </c>
      <c r="D462" s="1" t="s">
        <v>53</v>
      </c>
      <c r="E462" s="1" t="s">
        <v>46</v>
      </c>
      <c r="F462" s="3">
        <v>45969.698761574073</v>
      </c>
      <c r="H462" t="s">
        <v>9</v>
      </c>
      <c r="I462" t="str" cm="1">
        <f t="array" ref="I462">IF(AND(Donnees!B461:F464=Check!B461:F464),"Identique","PAS IDENTIQUE")</f>
        <v>Identique</v>
      </c>
      <c r="J462" t="s">
        <v>32</v>
      </c>
      <c r="K462" t="str" cm="1">
        <f t="array" ref="K462">IF(MAX(COUNTIF(B462:E462,B462:E462)) &gt; 1, "JOUEUR EN DOUBLE", "Pas de doublons")</f>
        <v>Pas de doublons</v>
      </c>
    </row>
    <row r="463" spans="1:11" x14ac:dyDescent="0.25">
      <c r="A463" t="s">
        <v>7</v>
      </c>
      <c r="B463" s="1">
        <v>45</v>
      </c>
      <c r="C463" s="1">
        <v>89</v>
      </c>
      <c r="D463" s="1">
        <v>0</v>
      </c>
      <c r="E463" s="1">
        <v>-134</v>
      </c>
      <c r="H463" t="s">
        <v>33</v>
      </c>
      <c r="I463" t="str">
        <f>IF(COUNTIF(I$1:I462,I461)&gt;1,"DOUBLON LIGNE " &amp; MATCH(I461,I$1:I462,0),"Pas de doublons")</f>
        <v>Pas de doublons</v>
      </c>
      <c r="J463" t="s">
        <v>34</v>
      </c>
      <c r="K463" t="str" cm="1">
        <f t="array" ref="K463">IF(SUM(--(NOT(ISNUMBER(MATCH(B462:E462,'EMA points'!A:A,0))))) &gt; 0, "NOM INEXISTANT", "Noms ok")</f>
        <v>Noms ok</v>
      </c>
    </row>
    <row r="464" spans="1:11" x14ac:dyDescent="0.25">
      <c r="A464" t="s">
        <v>8</v>
      </c>
      <c r="B464">
        <f>Donnees!B464</f>
        <v>2</v>
      </c>
      <c r="C464">
        <f>Donnees!C464</f>
        <v>3</v>
      </c>
      <c r="D464">
        <f>Donnees!D464</f>
        <v>1</v>
      </c>
      <c r="E464">
        <f>Donnees!E464</f>
        <v>0</v>
      </c>
      <c r="H464" t="s">
        <v>11</v>
      </c>
      <c r="I464" t="str">
        <f t="shared" ref="I464" si="229">IF(SUM(B463:E463)=0, "Score ok", "SOMME NON NULLE")</f>
        <v>Score ok</v>
      </c>
    </row>
    <row r="465" spans="1:11" x14ac:dyDescent="0.25">
      <c r="A465" t="s">
        <v>5</v>
      </c>
      <c r="B465" t="s">
        <v>0</v>
      </c>
      <c r="C465" t="s">
        <v>1</v>
      </c>
      <c r="D465" t="s">
        <v>2</v>
      </c>
      <c r="E465" t="s">
        <v>3</v>
      </c>
      <c r="F465" t="str">
        <f>Donnees!F465</f>
        <v>Partie 117</v>
      </c>
      <c r="H465" t="s">
        <v>10</v>
      </c>
      <c r="I465" t="str">
        <f t="shared" ref="I465" si="230">_xlfn.TEXTJOIN(";",TRUE,B466:E467)</f>
        <v>Mathieu;Laurence;Nathalie;Raphael;23;-121;72;26</v>
      </c>
    </row>
    <row r="466" spans="1:11" x14ac:dyDescent="0.25">
      <c r="A466" t="s">
        <v>6</v>
      </c>
      <c r="B466" s="1" t="s">
        <v>62</v>
      </c>
      <c r="C466" s="1" t="s">
        <v>51</v>
      </c>
      <c r="D466" s="1" t="s">
        <v>56</v>
      </c>
      <c r="E466" s="1" t="s">
        <v>41</v>
      </c>
      <c r="F466" s="3">
        <v>45969.695451388892</v>
      </c>
      <c r="H466" t="s">
        <v>9</v>
      </c>
      <c r="I466" t="str" cm="1">
        <f t="array" ref="I466">IF(AND(Donnees!B465:F468=Check!B465:F468),"Identique","PAS IDENTIQUE")</f>
        <v>Identique</v>
      </c>
      <c r="J466" t="s">
        <v>32</v>
      </c>
      <c r="K466" t="str" cm="1">
        <f t="array" ref="K466">IF(MAX(COUNTIF(B466:E466,B466:E466)) &gt; 1, "JOUEUR EN DOUBLE", "Pas de doublons")</f>
        <v>Pas de doublons</v>
      </c>
    </row>
    <row r="467" spans="1:11" x14ac:dyDescent="0.25">
      <c r="A467" t="s">
        <v>7</v>
      </c>
      <c r="B467" s="1">
        <v>23</v>
      </c>
      <c r="C467" s="1">
        <v>-121</v>
      </c>
      <c r="D467" s="1">
        <v>72</v>
      </c>
      <c r="E467" s="1">
        <v>26</v>
      </c>
      <c r="H467" t="s">
        <v>33</v>
      </c>
      <c r="I467" t="str">
        <f>IF(COUNTIF(I$1:I466,I465)&gt;1,"DOUBLON LIGNE " &amp; MATCH(I465,I$1:I466,0),"Pas de doublons")</f>
        <v>Pas de doublons</v>
      </c>
      <c r="J467" t="s">
        <v>34</v>
      </c>
      <c r="K467" t="str" cm="1">
        <f t="array" ref="K467">IF(SUM(--(NOT(ISNUMBER(MATCH(B466:E466,'EMA points'!A:A,0))))) &gt; 0, "NOM INEXISTANT", "Noms ok")</f>
        <v>Noms ok</v>
      </c>
    </row>
    <row r="468" spans="1:11" x14ac:dyDescent="0.25">
      <c r="A468" t="s">
        <v>8</v>
      </c>
      <c r="B468">
        <f>Donnees!B468</f>
        <v>1</v>
      </c>
      <c r="C468">
        <f>Donnees!C468</f>
        <v>0</v>
      </c>
      <c r="D468">
        <f>Donnees!D468</f>
        <v>3</v>
      </c>
      <c r="E468">
        <f>Donnees!E468</f>
        <v>2</v>
      </c>
      <c r="H468" t="s">
        <v>11</v>
      </c>
      <c r="I468" t="str">
        <f t="shared" ref="I468" si="231">IF(SUM(B467:E467)=0, "Score ok", "SOMME NON NULLE")</f>
        <v>Score ok</v>
      </c>
    </row>
    <row r="469" spans="1:11" x14ac:dyDescent="0.25">
      <c r="A469" t="s">
        <v>5</v>
      </c>
      <c r="B469" t="s">
        <v>0</v>
      </c>
      <c r="C469" t="s">
        <v>1</v>
      </c>
      <c r="D469" t="s">
        <v>2</v>
      </c>
      <c r="E469" t="s">
        <v>3</v>
      </c>
      <c r="F469" t="str">
        <f>Donnees!F469</f>
        <v>Partie 118</v>
      </c>
      <c r="H469" t="s">
        <v>10</v>
      </c>
      <c r="I469" t="str">
        <f t="shared" ref="I469" si="232">_xlfn.TEXTJOIN(";",TRUE,B470:E471)</f>
        <v>Jean-Michel;Ghislaine;Monique;Kevin;90;-53;-2;-35</v>
      </c>
    </row>
    <row r="470" spans="1:11" x14ac:dyDescent="0.25">
      <c r="A470" t="s">
        <v>6</v>
      </c>
      <c r="B470" s="1" t="s">
        <v>49</v>
      </c>
      <c r="C470" s="1" t="s">
        <v>43</v>
      </c>
      <c r="D470" s="1" t="s">
        <v>54</v>
      </c>
      <c r="E470" s="1" t="s">
        <v>60</v>
      </c>
      <c r="F470" s="3">
        <v>45969.698298611111</v>
      </c>
      <c r="H470" t="s">
        <v>9</v>
      </c>
      <c r="I470" t="str" cm="1">
        <f t="array" ref="I470">IF(AND(Donnees!B469:F472=Check!B469:F472),"Identique","PAS IDENTIQUE")</f>
        <v>Identique</v>
      </c>
      <c r="J470" t="s">
        <v>32</v>
      </c>
      <c r="K470" t="str" cm="1">
        <f t="array" ref="K470">IF(MAX(COUNTIF(B470:E470,B470:E470)) &gt; 1, "JOUEUR EN DOUBLE", "Pas de doublons")</f>
        <v>Pas de doublons</v>
      </c>
    </row>
    <row r="471" spans="1:11" x14ac:dyDescent="0.25">
      <c r="A471" t="s">
        <v>7</v>
      </c>
      <c r="B471" s="1">
        <v>90</v>
      </c>
      <c r="C471" s="1">
        <v>-53</v>
      </c>
      <c r="D471" s="1">
        <v>-2</v>
      </c>
      <c r="E471" s="1">
        <v>-35</v>
      </c>
      <c r="H471" t="s">
        <v>33</v>
      </c>
      <c r="I471" t="str">
        <f>IF(COUNTIF(I$1:I470,I469)&gt;1,"DOUBLON LIGNE " &amp; MATCH(I469,I$1:I470,0),"Pas de doublons")</f>
        <v>Pas de doublons</v>
      </c>
      <c r="J471" t="s">
        <v>34</v>
      </c>
      <c r="K471" t="str" cm="1">
        <f t="array" ref="K471">IF(SUM(--(NOT(ISNUMBER(MATCH(B470:E470,'EMA points'!A:A,0))))) &gt; 0, "NOM INEXISTANT", "Noms ok")</f>
        <v>Noms ok</v>
      </c>
    </row>
    <row r="472" spans="1:11" x14ac:dyDescent="0.25">
      <c r="A472" t="s">
        <v>8</v>
      </c>
      <c r="B472">
        <f>Donnees!B472</f>
        <v>3</v>
      </c>
      <c r="C472">
        <f>Donnees!C472</f>
        <v>0</v>
      </c>
      <c r="D472">
        <f>Donnees!D472</f>
        <v>2</v>
      </c>
      <c r="E472">
        <f>Donnees!E472</f>
        <v>1</v>
      </c>
      <c r="H472" t="s">
        <v>11</v>
      </c>
      <c r="I472" t="str">
        <f t="shared" ref="I472" si="233">IF(SUM(B471:E471)=0, "Score ok", "SOMME NON NULLE")</f>
        <v>Score ok</v>
      </c>
    </row>
    <row r="473" spans="1:11" x14ac:dyDescent="0.25">
      <c r="A473" t="s">
        <v>5</v>
      </c>
      <c r="B473" t="s">
        <v>0</v>
      </c>
      <c r="C473" t="s">
        <v>1</v>
      </c>
      <c r="D473" t="s">
        <v>2</v>
      </c>
      <c r="E473" t="s">
        <v>3</v>
      </c>
      <c r="F473" t="str">
        <f>Donnees!F473</f>
        <v>Partie 119</v>
      </c>
      <c r="H473" t="s">
        <v>10</v>
      </c>
      <c r="I473" t="str">
        <f t="shared" ref="I473" si="234">_xlfn.TEXTJOIN(";",TRUE,B474:E475)</f>
        <v>Ghislaine;Valerie D;Laurence;Richard;141;-131;-17;7</v>
      </c>
    </row>
    <row r="474" spans="1:11" x14ac:dyDescent="0.25">
      <c r="A474" t="s">
        <v>6</v>
      </c>
      <c r="B474" s="1" t="s">
        <v>43</v>
      </c>
      <c r="C474" s="1" t="s">
        <v>71</v>
      </c>
      <c r="D474" s="1" t="s">
        <v>51</v>
      </c>
      <c r="E474" s="1" t="s">
        <v>50</v>
      </c>
      <c r="F474" s="3">
        <v>45969.598865740743</v>
      </c>
      <c r="H474" t="s">
        <v>9</v>
      </c>
      <c r="I474" t="str" cm="1">
        <f t="array" ref="I474">IF(AND(Donnees!B473:F476=Check!B473:F476),"Identique","PAS IDENTIQUE")</f>
        <v>Identique</v>
      </c>
      <c r="J474" t="s">
        <v>32</v>
      </c>
      <c r="K474" t="str" cm="1">
        <f t="array" ref="K474">IF(MAX(COUNTIF(B474:E474,B474:E474)) &gt; 1, "JOUEUR EN DOUBLE", "Pas de doublons")</f>
        <v>Pas de doublons</v>
      </c>
    </row>
    <row r="475" spans="1:11" x14ac:dyDescent="0.25">
      <c r="A475" t="s">
        <v>7</v>
      </c>
      <c r="B475" s="1">
        <v>141</v>
      </c>
      <c r="C475" s="1">
        <v>-131</v>
      </c>
      <c r="D475" s="1">
        <v>-17</v>
      </c>
      <c r="E475" s="1">
        <v>7</v>
      </c>
      <c r="H475" t="s">
        <v>33</v>
      </c>
      <c r="I475" t="str">
        <f>IF(COUNTIF(I$1:I474,I473)&gt;1,"DOUBLON LIGNE " &amp; MATCH(I473,I$1:I474,0),"Pas de doublons")</f>
        <v>Pas de doublons</v>
      </c>
      <c r="J475" t="s">
        <v>34</v>
      </c>
      <c r="K475" t="str" cm="1">
        <f t="array" ref="K475">IF(SUM(--(NOT(ISNUMBER(MATCH(B474:E474,'EMA points'!A:A,0))))) &gt; 0, "NOM INEXISTANT", "Noms ok")</f>
        <v>Noms ok</v>
      </c>
    </row>
    <row r="476" spans="1:11" x14ac:dyDescent="0.25">
      <c r="A476" t="s">
        <v>8</v>
      </c>
      <c r="B476">
        <f>Donnees!B476</f>
        <v>3</v>
      </c>
      <c r="C476">
        <f>Donnees!C476</f>
        <v>0</v>
      </c>
      <c r="D476">
        <f>Donnees!D476</f>
        <v>1</v>
      </c>
      <c r="E476">
        <f>Donnees!E476</f>
        <v>2</v>
      </c>
      <c r="H476" t="s">
        <v>11</v>
      </c>
      <c r="I476" t="str">
        <f t="shared" ref="I476" si="235">IF(SUM(B475:E475)=0, "Score ok", "SOMME NON NULLE")</f>
        <v>Score ok</v>
      </c>
    </row>
    <row r="477" spans="1:11" x14ac:dyDescent="0.25">
      <c r="A477" t="s">
        <v>5</v>
      </c>
      <c r="B477" t="s">
        <v>0</v>
      </c>
      <c r="C477" t="s">
        <v>1</v>
      </c>
      <c r="D477" t="s">
        <v>2</v>
      </c>
      <c r="E477" t="s">
        <v>3</v>
      </c>
      <c r="F477" t="str">
        <f>Donnees!F477</f>
        <v>Partie 120</v>
      </c>
      <c r="H477" t="s">
        <v>10</v>
      </c>
      <c r="I477" t="str">
        <f t="shared" ref="I477" si="236">_xlfn.TEXTJOIN(";",TRUE,B478:E479)</f>
        <v>Laurence;Marie;Jean-Michel;Christophe;-180;-47;181;46</v>
      </c>
    </row>
    <row r="478" spans="1:11" x14ac:dyDescent="0.25">
      <c r="A478" t="s">
        <v>6</v>
      </c>
      <c r="B478" s="1" t="s">
        <v>51</v>
      </c>
      <c r="C478" s="1" t="s">
        <v>48</v>
      </c>
      <c r="D478" s="1" t="s">
        <v>49</v>
      </c>
      <c r="E478" s="1" t="s">
        <v>40</v>
      </c>
      <c r="F478" s="3">
        <v>45969.827604166669</v>
      </c>
      <c r="H478" t="s">
        <v>9</v>
      </c>
      <c r="I478" t="str" cm="1">
        <f t="array" ref="I478">IF(AND(Donnees!B477:F480=Check!B477:F480),"Identique","PAS IDENTIQUE")</f>
        <v>Identique</v>
      </c>
      <c r="J478" t="s">
        <v>32</v>
      </c>
      <c r="K478" t="str" cm="1">
        <f t="array" ref="K478">IF(MAX(COUNTIF(B478:E478,B478:E478)) &gt; 1, "JOUEUR EN DOUBLE", "Pas de doublons")</f>
        <v>Pas de doublons</v>
      </c>
    </row>
    <row r="479" spans="1:11" x14ac:dyDescent="0.25">
      <c r="A479" t="s">
        <v>7</v>
      </c>
      <c r="B479" s="1">
        <v>-180</v>
      </c>
      <c r="C479" s="1">
        <v>-47</v>
      </c>
      <c r="D479" s="1">
        <v>181</v>
      </c>
      <c r="E479" s="1">
        <v>46</v>
      </c>
      <c r="H479" t="s">
        <v>33</v>
      </c>
      <c r="I479" t="str">
        <f>IF(COUNTIF(I$1:I478,I477)&gt;1,"DOUBLON LIGNE " &amp; MATCH(I477,I$1:I478,0),"Pas de doublons")</f>
        <v>Pas de doublons</v>
      </c>
      <c r="J479" t="s">
        <v>34</v>
      </c>
      <c r="K479" t="str" cm="1">
        <f t="array" ref="K479">IF(SUM(--(NOT(ISNUMBER(MATCH(B478:E478,'EMA points'!A:A,0))))) &gt; 0, "NOM INEXISTANT", "Noms ok")</f>
        <v>Noms ok</v>
      </c>
    </row>
    <row r="480" spans="1:11" x14ac:dyDescent="0.25">
      <c r="A480" t="s">
        <v>8</v>
      </c>
      <c r="B480">
        <f>Donnees!B480</f>
        <v>0</v>
      </c>
      <c r="C480">
        <f>Donnees!C480</f>
        <v>1</v>
      </c>
      <c r="D480">
        <f>Donnees!D480</f>
        <v>3</v>
      </c>
      <c r="E480">
        <f>Donnees!E480</f>
        <v>2</v>
      </c>
      <c r="H480" t="s">
        <v>11</v>
      </c>
      <c r="I480" t="str">
        <f t="shared" ref="I480" si="237">IF(SUM(B479:E479)=0, "Score ok", "SOMME NON NULLE")</f>
        <v>Score ok</v>
      </c>
    </row>
    <row r="481" spans="1:11" x14ac:dyDescent="0.25">
      <c r="A481" t="s">
        <v>5</v>
      </c>
      <c r="B481" t="s">
        <v>0</v>
      </c>
      <c r="C481" t="s">
        <v>1</v>
      </c>
      <c r="D481" t="s">
        <v>2</v>
      </c>
      <c r="E481" t="s">
        <v>3</v>
      </c>
      <c r="F481" t="str">
        <f>Donnees!F481</f>
        <v>Partie 121</v>
      </c>
      <c r="H481" t="s">
        <v>10</v>
      </c>
      <c r="I481" t="str">
        <f t="shared" ref="I481" si="238">_xlfn.TEXTJOIN(";",TRUE,B482:E483)</f>
        <v>Frederic;Monique;Guilhem;Mathieu;23;-132;67;42</v>
      </c>
    </row>
    <row r="482" spans="1:11" x14ac:dyDescent="0.25">
      <c r="A482" t="s">
        <v>6</v>
      </c>
      <c r="B482" s="1" t="s">
        <v>52</v>
      </c>
      <c r="C482" s="1" t="s">
        <v>54</v>
      </c>
      <c r="D482" s="1" t="s">
        <v>39</v>
      </c>
      <c r="E482" s="1" t="s">
        <v>62</v>
      </c>
      <c r="F482" s="3">
        <v>45969.827615740738</v>
      </c>
      <c r="H482" t="s">
        <v>9</v>
      </c>
      <c r="I482" t="str" cm="1">
        <f t="array" ref="I482">IF(AND(Donnees!B481:F484=Check!B481:F484),"Identique","PAS IDENTIQUE")</f>
        <v>Identique</v>
      </c>
      <c r="J482" t="s">
        <v>32</v>
      </c>
      <c r="K482" t="str" cm="1">
        <f t="array" ref="K482">IF(MAX(COUNTIF(B482:E482,B482:E482)) &gt; 1, "JOUEUR EN DOUBLE", "Pas de doublons")</f>
        <v>Pas de doublons</v>
      </c>
    </row>
    <row r="483" spans="1:11" x14ac:dyDescent="0.25">
      <c r="A483" t="s">
        <v>7</v>
      </c>
      <c r="B483" s="1">
        <v>23</v>
      </c>
      <c r="C483" s="1">
        <v>-132</v>
      </c>
      <c r="D483" s="1">
        <v>67</v>
      </c>
      <c r="E483" s="1">
        <v>42</v>
      </c>
      <c r="H483" t="s">
        <v>33</v>
      </c>
      <c r="I483" t="str">
        <f>IF(COUNTIF(I$1:I482,I481)&gt;1,"DOUBLON LIGNE " &amp; MATCH(I481,I$1:I482,0),"Pas de doublons")</f>
        <v>Pas de doublons</v>
      </c>
      <c r="J483" t="s">
        <v>34</v>
      </c>
      <c r="K483" t="str" cm="1">
        <f t="array" ref="K483">IF(SUM(--(NOT(ISNUMBER(MATCH(B482:E482,'EMA points'!A:A,0))))) &gt; 0, "NOM INEXISTANT", "Noms ok")</f>
        <v>Noms ok</v>
      </c>
    </row>
    <row r="484" spans="1:11" x14ac:dyDescent="0.25">
      <c r="A484" t="s">
        <v>8</v>
      </c>
      <c r="B484">
        <f>Donnees!B484</f>
        <v>1</v>
      </c>
      <c r="C484">
        <f>Donnees!C484</f>
        <v>0</v>
      </c>
      <c r="D484">
        <f>Donnees!D484</f>
        <v>3</v>
      </c>
      <c r="E484">
        <f>Donnees!E484</f>
        <v>2</v>
      </c>
      <c r="H484" t="s">
        <v>11</v>
      </c>
      <c r="I484" t="str">
        <f t="shared" ref="I484" si="239">IF(SUM(B483:E483)=0, "Score ok", "SOMME NON NULLE")</f>
        <v>Score ok</v>
      </c>
    </row>
    <row r="485" spans="1:11" x14ac:dyDescent="0.25">
      <c r="A485" t="s">
        <v>5</v>
      </c>
      <c r="B485" t="s">
        <v>0</v>
      </c>
      <c r="C485" t="s">
        <v>1</v>
      </c>
      <c r="D485" t="s">
        <v>2</v>
      </c>
      <c r="E485" t="s">
        <v>3</v>
      </c>
      <c r="F485" t="str">
        <f>Donnees!F485</f>
        <v>Partie 122</v>
      </c>
      <c r="H485" t="s">
        <v>10</v>
      </c>
      <c r="I485" t="str">
        <f t="shared" ref="I485" si="240">_xlfn.TEXTJOIN(";",TRUE,B486:E487)</f>
        <v>Francoise;Guilhem;Richard;Delphine;-120;200;114;-194</v>
      </c>
    </row>
    <row r="486" spans="1:11" x14ac:dyDescent="0.25">
      <c r="A486" t="s">
        <v>6</v>
      </c>
      <c r="B486" s="1" t="s">
        <v>44</v>
      </c>
      <c r="C486" s="1" t="s">
        <v>39</v>
      </c>
      <c r="D486" s="1" t="s">
        <v>50</v>
      </c>
      <c r="E486" s="1" t="s">
        <v>42</v>
      </c>
      <c r="F486" s="3">
        <v>45969.698599537034</v>
      </c>
      <c r="H486" t="s">
        <v>9</v>
      </c>
      <c r="I486" t="str" cm="1">
        <f t="array" ref="I486">IF(AND(Donnees!B485:F488=Check!B485:F488),"Identique","PAS IDENTIQUE")</f>
        <v>Identique</v>
      </c>
      <c r="J486" t="s">
        <v>32</v>
      </c>
      <c r="K486" t="str" cm="1">
        <f t="array" ref="K486">IF(MAX(COUNTIF(B486:E486,B486:E486)) &gt; 1, "JOUEUR EN DOUBLE", "Pas de doublons")</f>
        <v>Pas de doublons</v>
      </c>
    </row>
    <row r="487" spans="1:11" x14ac:dyDescent="0.25">
      <c r="A487" t="s">
        <v>7</v>
      </c>
      <c r="B487" s="1">
        <v>-120</v>
      </c>
      <c r="C487" s="1">
        <v>200</v>
      </c>
      <c r="D487" s="1">
        <v>114</v>
      </c>
      <c r="E487" s="1">
        <v>-194</v>
      </c>
      <c r="H487" t="s">
        <v>33</v>
      </c>
      <c r="I487" t="str">
        <f>IF(COUNTIF(I$1:I486,I485)&gt;1,"DOUBLON LIGNE " &amp; MATCH(I485,I$1:I486,0),"Pas de doublons")</f>
        <v>Pas de doublons</v>
      </c>
      <c r="J487" t="s">
        <v>34</v>
      </c>
      <c r="K487" t="str" cm="1">
        <f t="array" ref="K487">IF(SUM(--(NOT(ISNUMBER(MATCH(B486:E486,'EMA points'!A:A,0))))) &gt; 0, "NOM INEXISTANT", "Noms ok")</f>
        <v>Noms ok</v>
      </c>
    </row>
    <row r="488" spans="1:11" x14ac:dyDescent="0.25">
      <c r="A488" t="s">
        <v>8</v>
      </c>
      <c r="B488">
        <f>Donnees!B488</f>
        <v>1</v>
      </c>
      <c r="C488">
        <f>Donnees!C488</f>
        <v>3</v>
      </c>
      <c r="D488">
        <f>Donnees!D488</f>
        <v>2</v>
      </c>
      <c r="E488">
        <f>Donnees!E488</f>
        <v>0</v>
      </c>
      <c r="H488" t="s">
        <v>11</v>
      </c>
      <c r="I488" t="str">
        <f t="shared" ref="I488" si="241">IF(SUM(B487:E487)=0, "Score ok", "SOMME NON NULLE")</f>
        <v>Score ok</v>
      </c>
    </row>
    <row r="489" spans="1:11" x14ac:dyDescent="0.25">
      <c r="A489" t="s">
        <v>5</v>
      </c>
      <c r="B489" t="s">
        <v>0</v>
      </c>
      <c r="C489" t="s">
        <v>1</v>
      </c>
      <c r="D489" t="s">
        <v>2</v>
      </c>
      <c r="E489" t="s">
        <v>3</v>
      </c>
      <c r="F489" t="str">
        <f>Donnees!F489</f>
        <v>Partie 123</v>
      </c>
      <c r="H489" t="s">
        <v>10</v>
      </c>
      <c r="I489" t="str">
        <f t="shared" ref="I489" si="242">_xlfn.TEXTJOIN(";",TRUE,B490:E491)</f>
        <v/>
      </c>
    </row>
    <row r="490" spans="1:11" x14ac:dyDescent="0.25">
      <c r="A490" t="s">
        <v>6</v>
      </c>
      <c r="B490" s="1"/>
      <c r="C490" s="1"/>
      <c r="D490" s="1"/>
      <c r="E490" s="1"/>
      <c r="F490" s="3"/>
      <c r="H490" t="s">
        <v>9</v>
      </c>
      <c r="I490" t="e" cm="1">
        <f t="array" ref="I490">IF(AND(Donnees!B489:F492=Check!B489:F492),"Identique","PAS IDENTIQUE")</f>
        <v>#N/A</v>
      </c>
      <c r="J490" t="s">
        <v>32</v>
      </c>
      <c r="K490" t="str" cm="1">
        <f t="array" ref="K490">IF(MAX(COUNTIF(B490:E490,B490:E490)) &gt; 1, "JOUEUR EN DOUBLE", "Pas de doublons")</f>
        <v>Pas de doublons</v>
      </c>
    </row>
    <row r="491" spans="1:11" x14ac:dyDescent="0.25">
      <c r="A491" t="s">
        <v>7</v>
      </c>
      <c r="B491" s="1"/>
      <c r="C491" s="1"/>
      <c r="D491" s="1"/>
      <c r="E491" s="1"/>
      <c r="H491" t="s">
        <v>33</v>
      </c>
      <c r="I491" t="str">
        <f>IF(COUNTIF(I$1:I490,I489)&gt;1,"DOUBLON LIGNE " &amp; MATCH(I489,I$1:I490,0),"Pas de doublons")</f>
        <v>Pas de doublons</v>
      </c>
      <c r="J491" t="s">
        <v>34</v>
      </c>
      <c r="K491" t="str" cm="1">
        <f t="array" ref="K491">IF(SUM(--(NOT(ISNUMBER(MATCH(B490:E490,'EMA points'!A:A,0))))) &gt; 0, "NOM INEXISTANT", "Noms ok")</f>
        <v>NOM INEXISTANT</v>
      </c>
    </row>
    <row r="492" spans="1:11" x14ac:dyDescent="0.25">
      <c r="A492" t="s">
        <v>8</v>
      </c>
      <c r="B492" t="e">
        <f>Donnees!B492</f>
        <v>#N/A</v>
      </c>
      <c r="C492" t="e">
        <f>Donnees!C492</f>
        <v>#N/A</v>
      </c>
      <c r="D492" t="e">
        <f>Donnees!D492</f>
        <v>#N/A</v>
      </c>
      <c r="E492" t="e">
        <f>Donnees!E492</f>
        <v>#N/A</v>
      </c>
      <c r="H492" t="s">
        <v>11</v>
      </c>
      <c r="I492" t="str">
        <f t="shared" ref="I492" si="243">IF(SUM(B491:E491)=0, "Score ok", "SOMME NON NULLE")</f>
        <v>Score ok</v>
      </c>
    </row>
    <row r="493" spans="1:11" x14ac:dyDescent="0.25">
      <c r="A493" t="s">
        <v>5</v>
      </c>
      <c r="B493" t="s">
        <v>0</v>
      </c>
      <c r="C493" t="s">
        <v>1</v>
      </c>
      <c r="D493" t="s">
        <v>2</v>
      </c>
      <c r="E493" t="s">
        <v>3</v>
      </c>
      <c r="F493" t="str">
        <f>Donnees!F493</f>
        <v>Partie 124</v>
      </c>
      <c r="H493" t="s">
        <v>10</v>
      </c>
      <c r="I493" t="str">
        <f t="shared" ref="I493" si="244">_xlfn.TEXTJOIN(";",TRUE,B494:E495)</f>
        <v/>
      </c>
    </row>
    <row r="494" spans="1:11" x14ac:dyDescent="0.25">
      <c r="A494" t="s">
        <v>6</v>
      </c>
      <c r="B494" s="1"/>
      <c r="C494" s="1"/>
      <c r="D494" s="1"/>
      <c r="E494" s="1"/>
      <c r="F494" s="3"/>
      <c r="H494" t="s">
        <v>9</v>
      </c>
      <c r="I494" t="e" cm="1">
        <f t="array" ref="I494">IF(AND(Donnees!B493:F496=Check!B493:F496),"Identique","PAS IDENTIQUE")</f>
        <v>#N/A</v>
      </c>
      <c r="J494" t="s">
        <v>32</v>
      </c>
      <c r="K494" t="str" cm="1">
        <f t="array" ref="K494">IF(MAX(COUNTIF(B494:E494,B494:E494)) &gt; 1, "JOUEUR EN DOUBLE", "Pas de doublons")</f>
        <v>Pas de doublons</v>
      </c>
    </row>
    <row r="495" spans="1:11" x14ac:dyDescent="0.25">
      <c r="A495" t="s">
        <v>7</v>
      </c>
      <c r="B495" s="1"/>
      <c r="C495" s="1"/>
      <c r="D495" s="1"/>
      <c r="E495" s="1"/>
      <c r="H495" t="s">
        <v>33</v>
      </c>
      <c r="I495" t="str">
        <f>IF(COUNTIF(I$1:I494,I493)&gt;1,"DOUBLON LIGNE " &amp; MATCH(I493,I$1:I494,0),"Pas de doublons")</f>
        <v>DOUBLON LIGNE 489</v>
      </c>
      <c r="J495" t="s">
        <v>34</v>
      </c>
      <c r="K495" t="str" cm="1">
        <f t="array" ref="K495">IF(SUM(--(NOT(ISNUMBER(MATCH(B494:E494,'EMA points'!A:A,0))))) &gt; 0, "NOM INEXISTANT", "Noms ok")</f>
        <v>NOM INEXISTANT</v>
      </c>
    </row>
    <row r="496" spans="1:11" x14ac:dyDescent="0.25">
      <c r="A496" t="s">
        <v>8</v>
      </c>
      <c r="B496" t="e">
        <f>Donnees!B496</f>
        <v>#N/A</v>
      </c>
      <c r="C496" t="e">
        <f>Donnees!C496</f>
        <v>#N/A</v>
      </c>
      <c r="D496" t="e">
        <f>Donnees!D496</f>
        <v>#N/A</v>
      </c>
      <c r="E496" t="e">
        <f>Donnees!E496</f>
        <v>#N/A</v>
      </c>
      <c r="H496" t="s">
        <v>11</v>
      </c>
      <c r="I496" t="str">
        <f t="shared" ref="I496" si="245">IF(SUM(B495:E495)=0, "Score ok", "SOMME NON NULLE")</f>
        <v>Score ok</v>
      </c>
    </row>
    <row r="497" spans="1:11" x14ac:dyDescent="0.25">
      <c r="A497" t="s">
        <v>5</v>
      </c>
      <c r="B497" t="s">
        <v>0</v>
      </c>
      <c r="C497" t="s">
        <v>1</v>
      </c>
      <c r="D497" t="s">
        <v>2</v>
      </c>
      <c r="E497" t="s">
        <v>3</v>
      </c>
      <c r="F497" t="str">
        <f>Donnees!F497</f>
        <v>Partie 125</v>
      </c>
      <c r="H497" t="s">
        <v>10</v>
      </c>
      <c r="I497" t="str">
        <f t="shared" ref="I497" si="246">_xlfn.TEXTJOIN(";",TRUE,B498:E499)</f>
        <v/>
      </c>
    </row>
    <row r="498" spans="1:11" x14ac:dyDescent="0.25">
      <c r="A498" t="s">
        <v>6</v>
      </c>
      <c r="B498" s="1"/>
      <c r="C498" s="1"/>
      <c r="D498" s="1"/>
      <c r="E498" s="1"/>
      <c r="F498" s="3"/>
      <c r="H498" t="s">
        <v>9</v>
      </c>
      <c r="I498" t="e" cm="1">
        <f t="array" ref="I498">IF(AND(Donnees!B497:F500=Check!B497:F500),"Identique","PAS IDENTIQUE")</f>
        <v>#N/A</v>
      </c>
      <c r="J498" t="s">
        <v>32</v>
      </c>
      <c r="K498" t="str" cm="1">
        <f t="array" ref="K498">IF(MAX(COUNTIF(B498:E498,B498:E498)) &gt; 1, "JOUEUR EN DOUBLE", "Pas de doublons")</f>
        <v>Pas de doublons</v>
      </c>
    </row>
    <row r="499" spans="1:11" x14ac:dyDescent="0.25">
      <c r="A499" t="s">
        <v>7</v>
      </c>
      <c r="B499" s="1"/>
      <c r="C499" s="1"/>
      <c r="D499" s="1"/>
      <c r="E499" s="1"/>
      <c r="H499" t="s">
        <v>33</v>
      </c>
      <c r="I499" t="str">
        <f>IF(COUNTIF(I$1:I498,I497)&gt;1,"DOUBLON LIGNE " &amp; MATCH(I497,I$1:I498,0),"Pas de doublons")</f>
        <v>DOUBLON LIGNE 489</v>
      </c>
      <c r="J499" t="s">
        <v>34</v>
      </c>
      <c r="K499" t="str" cm="1">
        <f t="array" ref="K499">IF(SUM(--(NOT(ISNUMBER(MATCH(B498:E498,'EMA points'!A:A,0))))) &gt; 0, "NOM INEXISTANT", "Noms ok")</f>
        <v>NOM INEXISTANT</v>
      </c>
    </row>
    <row r="500" spans="1:11" x14ac:dyDescent="0.25">
      <c r="A500" t="s">
        <v>8</v>
      </c>
      <c r="B500" t="e">
        <f>Donnees!B500</f>
        <v>#N/A</v>
      </c>
      <c r="C500" t="e">
        <f>Donnees!C500</f>
        <v>#N/A</v>
      </c>
      <c r="D500" t="e">
        <f>Donnees!D500</f>
        <v>#N/A</v>
      </c>
      <c r="E500" t="e">
        <f>Donnees!E500</f>
        <v>#N/A</v>
      </c>
      <c r="H500" t="s">
        <v>11</v>
      </c>
      <c r="I500" t="str">
        <f t="shared" ref="I500" si="247">IF(SUM(B499:E499)=0, "Score ok", "SOMME NON NULLE")</f>
        <v>Score ok</v>
      </c>
    </row>
    <row r="501" spans="1:11" x14ac:dyDescent="0.25">
      <c r="A501" t="s">
        <v>5</v>
      </c>
      <c r="B501" t="s">
        <v>0</v>
      </c>
      <c r="C501" t="s">
        <v>1</v>
      </c>
      <c r="D501" t="s">
        <v>2</v>
      </c>
      <c r="E501" t="s">
        <v>3</v>
      </c>
      <c r="F501" t="str">
        <f>Donnees!F501</f>
        <v>Partie 126</v>
      </c>
      <c r="H501" t="s">
        <v>10</v>
      </c>
      <c r="I501" t="str">
        <f t="shared" ref="I501" si="248">_xlfn.TEXTJOIN(";",TRUE,B502:E503)</f>
        <v/>
      </c>
    </row>
    <row r="502" spans="1:11" x14ac:dyDescent="0.25">
      <c r="A502" t="s">
        <v>6</v>
      </c>
      <c r="B502" s="1"/>
      <c r="C502" s="1"/>
      <c r="D502" s="1"/>
      <c r="E502" s="1"/>
      <c r="F502" s="3"/>
      <c r="H502" t="s">
        <v>9</v>
      </c>
      <c r="I502" t="e" cm="1">
        <f t="array" ref="I502">IF(AND(Donnees!B501:F504=Check!B501:F504),"Identique","PAS IDENTIQUE")</f>
        <v>#N/A</v>
      </c>
      <c r="J502" t="s">
        <v>32</v>
      </c>
      <c r="K502" t="str" cm="1">
        <f t="array" ref="K502">IF(MAX(COUNTIF(B502:E502,B502:E502)) &gt; 1, "JOUEUR EN DOUBLE", "Pas de doublons")</f>
        <v>Pas de doublons</v>
      </c>
    </row>
    <row r="503" spans="1:11" x14ac:dyDescent="0.25">
      <c r="A503" t="s">
        <v>7</v>
      </c>
      <c r="B503" s="1"/>
      <c r="C503" s="1"/>
      <c r="D503" s="1"/>
      <c r="E503" s="1"/>
      <c r="H503" t="s">
        <v>33</v>
      </c>
      <c r="I503" t="str">
        <f>IF(COUNTIF(I$1:I502,I501)&gt;1,"DOUBLON LIGNE " &amp; MATCH(I501,I$1:I502,0),"Pas de doublons")</f>
        <v>DOUBLON LIGNE 489</v>
      </c>
      <c r="J503" t="s">
        <v>34</v>
      </c>
      <c r="K503" t="str" cm="1">
        <f t="array" ref="K503">IF(SUM(--(NOT(ISNUMBER(MATCH(B502:E502,'EMA points'!A:A,0))))) &gt; 0, "NOM INEXISTANT", "Noms ok")</f>
        <v>NOM INEXISTANT</v>
      </c>
    </row>
    <row r="504" spans="1:11" x14ac:dyDescent="0.25">
      <c r="A504" t="s">
        <v>8</v>
      </c>
      <c r="B504" t="e">
        <f>Donnees!B504</f>
        <v>#N/A</v>
      </c>
      <c r="C504" t="e">
        <f>Donnees!C504</f>
        <v>#N/A</v>
      </c>
      <c r="D504" t="e">
        <f>Donnees!D504</f>
        <v>#N/A</v>
      </c>
      <c r="E504" t="e">
        <f>Donnees!E504</f>
        <v>#N/A</v>
      </c>
      <c r="H504" t="s">
        <v>11</v>
      </c>
      <c r="I504" t="str">
        <f t="shared" ref="I504" si="249">IF(SUM(B503:E503)=0, "Score ok", "SOMME NON NULLE")</f>
        <v>Score ok</v>
      </c>
    </row>
    <row r="505" spans="1:11" x14ac:dyDescent="0.25">
      <c r="A505" t="s">
        <v>5</v>
      </c>
      <c r="B505" t="s">
        <v>0</v>
      </c>
      <c r="C505" t="s">
        <v>1</v>
      </c>
      <c r="D505" t="s">
        <v>2</v>
      </c>
      <c r="E505" t="s">
        <v>3</v>
      </c>
      <c r="F505" t="str">
        <f>Donnees!F505</f>
        <v>Partie 127</v>
      </c>
      <c r="H505" t="s">
        <v>10</v>
      </c>
      <c r="I505" t="str">
        <f t="shared" ref="I505" si="250">_xlfn.TEXTJOIN(";",TRUE,B506:E507)</f>
        <v/>
      </c>
    </row>
    <row r="506" spans="1:11" x14ac:dyDescent="0.25">
      <c r="A506" t="s">
        <v>6</v>
      </c>
      <c r="B506" s="1"/>
      <c r="C506" s="1"/>
      <c r="D506" s="1"/>
      <c r="E506" s="1"/>
      <c r="F506" s="3"/>
      <c r="H506" t="s">
        <v>9</v>
      </c>
      <c r="I506" t="e" cm="1">
        <f t="array" ref="I506">IF(AND(Donnees!B505:F508=Check!B505:F508),"Identique","PAS IDENTIQUE")</f>
        <v>#N/A</v>
      </c>
      <c r="J506" t="s">
        <v>32</v>
      </c>
      <c r="K506" t="str" cm="1">
        <f t="array" ref="K506">IF(MAX(COUNTIF(B506:E506,B506:E506)) &gt; 1, "JOUEUR EN DOUBLE", "Pas de doublons")</f>
        <v>Pas de doublons</v>
      </c>
    </row>
    <row r="507" spans="1:11" x14ac:dyDescent="0.25">
      <c r="A507" t="s">
        <v>7</v>
      </c>
      <c r="B507" s="1"/>
      <c r="C507" s="1"/>
      <c r="D507" s="1"/>
      <c r="E507" s="1"/>
      <c r="H507" t="s">
        <v>33</v>
      </c>
      <c r="I507" t="str">
        <f>IF(COUNTIF(I$1:I506,I505)&gt;1,"DOUBLON LIGNE " &amp; MATCH(I505,I$1:I506,0),"Pas de doublons")</f>
        <v>DOUBLON LIGNE 489</v>
      </c>
      <c r="J507" t="s">
        <v>34</v>
      </c>
      <c r="K507" t="str" cm="1">
        <f t="array" ref="K507">IF(SUM(--(NOT(ISNUMBER(MATCH(B506:E506,'EMA points'!A:A,0))))) &gt; 0, "NOM INEXISTANT", "Noms ok")</f>
        <v>NOM INEXISTANT</v>
      </c>
    </row>
    <row r="508" spans="1:11" x14ac:dyDescent="0.25">
      <c r="A508" t="s">
        <v>8</v>
      </c>
      <c r="B508" t="e">
        <f>Donnees!B508</f>
        <v>#N/A</v>
      </c>
      <c r="C508" t="e">
        <f>Donnees!C508</f>
        <v>#N/A</v>
      </c>
      <c r="D508" t="e">
        <f>Donnees!D508</f>
        <v>#N/A</v>
      </c>
      <c r="E508" t="e">
        <f>Donnees!E508</f>
        <v>#N/A</v>
      </c>
      <c r="H508" t="s">
        <v>11</v>
      </c>
      <c r="I508" t="str">
        <f t="shared" ref="I508" si="251">IF(SUM(B507:E507)=0, "Score ok", "SOMME NON NULLE")</f>
        <v>Score ok</v>
      </c>
    </row>
    <row r="509" spans="1:11" x14ac:dyDescent="0.25">
      <c r="A509" t="s">
        <v>5</v>
      </c>
      <c r="B509" t="s">
        <v>0</v>
      </c>
      <c r="C509" t="s">
        <v>1</v>
      </c>
      <c r="D509" t="s">
        <v>2</v>
      </c>
      <c r="E509" t="s">
        <v>3</v>
      </c>
      <c r="F509" t="str">
        <f>Donnees!F509</f>
        <v>Partie 128</v>
      </c>
      <c r="H509" t="s">
        <v>10</v>
      </c>
      <c r="I509" t="str">
        <f t="shared" ref="I509" si="252">_xlfn.TEXTJOIN(";",TRUE,B510:E511)</f>
        <v/>
      </c>
    </row>
    <row r="510" spans="1:11" x14ac:dyDescent="0.25">
      <c r="A510" t="s">
        <v>6</v>
      </c>
      <c r="B510" s="1"/>
      <c r="C510" s="1"/>
      <c r="D510" s="1"/>
      <c r="E510" s="1"/>
      <c r="F510" s="3"/>
      <c r="H510" t="s">
        <v>9</v>
      </c>
      <c r="I510" t="e" cm="1">
        <f t="array" ref="I510">IF(AND(Donnees!B509:F512=Check!B509:F512),"Identique","PAS IDENTIQUE")</f>
        <v>#N/A</v>
      </c>
      <c r="J510" t="s">
        <v>32</v>
      </c>
      <c r="K510" t="str" cm="1">
        <f t="array" ref="K510">IF(MAX(COUNTIF(B510:E510,B510:E510)) &gt; 1, "JOUEUR EN DOUBLE", "Pas de doublons")</f>
        <v>Pas de doublons</v>
      </c>
    </row>
    <row r="511" spans="1:11" x14ac:dyDescent="0.25">
      <c r="A511" t="s">
        <v>7</v>
      </c>
      <c r="B511" s="1"/>
      <c r="C511" s="1"/>
      <c r="D511" s="1"/>
      <c r="E511" s="1"/>
      <c r="H511" t="s">
        <v>33</v>
      </c>
      <c r="I511" t="str">
        <f>IF(COUNTIF(I$1:I510,I509)&gt;1,"DOUBLON LIGNE " &amp; MATCH(I509,I$1:I510,0),"Pas de doublons")</f>
        <v>DOUBLON LIGNE 489</v>
      </c>
      <c r="J511" t="s">
        <v>34</v>
      </c>
      <c r="K511" t="str" cm="1">
        <f t="array" ref="K511">IF(SUM(--(NOT(ISNUMBER(MATCH(B510:E510,'EMA points'!A:A,0))))) &gt; 0, "NOM INEXISTANT", "Noms ok")</f>
        <v>NOM INEXISTANT</v>
      </c>
    </row>
    <row r="512" spans="1:11" x14ac:dyDescent="0.25">
      <c r="A512" t="s">
        <v>8</v>
      </c>
      <c r="B512" t="e">
        <f>Donnees!B512</f>
        <v>#N/A</v>
      </c>
      <c r="C512" t="e">
        <f>Donnees!C512</f>
        <v>#N/A</v>
      </c>
      <c r="D512" t="e">
        <f>Donnees!D512</f>
        <v>#N/A</v>
      </c>
      <c r="E512" t="e">
        <f>Donnees!E512</f>
        <v>#N/A</v>
      </c>
      <c r="H512" t="s">
        <v>11</v>
      </c>
      <c r="I512" t="str">
        <f t="shared" ref="I512" si="253">IF(SUM(B511:E511)=0, "Score ok", "SOMME NON NULLE")</f>
        <v>Score ok</v>
      </c>
    </row>
    <row r="513" spans="1:11" x14ac:dyDescent="0.25">
      <c r="A513" t="s">
        <v>5</v>
      </c>
      <c r="B513" t="s">
        <v>0</v>
      </c>
      <c r="C513" t="s">
        <v>1</v>
      </c>
      <c r="D513" t="s">
        <v>2</v>
      </c>
      <c r="E513" t="s">
        <v>3</v>
      </c>
      <c r="F513" t="str">
        <f>Donnees!F513</f>
        <v>Partie 129</v>
      </c>
      <c r="H513" t="s">
        <v>10</v>
      </c>
      <c r="I513" t="str">
        <f t="shared" ref="I513" si="254">_xlfn.TEXTJOIN(";",TRUE,B514:E515)</f>
        <v/>
      </c>
    </row>
    <row r="514" spans="1:11" x14ac:dyDescent="0.25">
      <c r="A514" t="s">
        <v>6</v>
      </c>
      <c r="B514" s="1"/>
      <c r="C514" s="1"/>
      <c r="D514" s="1"/>
      <c r="E514" s="1"/>
      <c r="F514" s="3"/>
      <c r="H514" t="s">
        <v>9</v>
      </c>
      <c r="I514" t="e" cm="1">
        <f t="array" ref="I514">IF(AND(Donnees!B513:F516=Check!B513:F516),"Identique","PAS IDENTIQUE")</f>
        <v>#N/A</v>
      </c>
      <c r="J514" t="s">
        <v>32</v>
      </c>
      <c r="K514" t="str" cm="1">
        <f t="array" ref="K514">IF(MAX(COUNTIF(B514:E514,B514:E514)) &gt; 1, "JOUEUR EN DOUBLE", "Pas de doublons")</f>
        <v>Pas de doublons</v>
      </c>
    </row>
    <row r="515" spans="1:11" x14ac:dyDescent="0.25">
      <c r="A515" t="s">
        <v>7</v>
      </c>
      <c r="B515" s="1"/>
      <c r="C515" s="1"/>
      <c r="D515" s="1"/>
      <c r="E515" s="1"/>
      <c r="H515" t="s">
        <v>33</v>
      </c>
      <c r="I515" t="str">
        <f>IF(COUNTIF(I$1:I514,I513)&gt;1,"DOUBLON LIGNE " &amp; MATCH(I513,I$1:I514,0),"Pas de doublons")</f>
        <v>DOUBLON LIGNE 489</v>
      </c>
      <c r="J515" t="s">
        <v>34</v>
      </c>
      <c r="K515" t="str" cm="1">
        <f t="array" ref="K515">IF(SUM(--(NOT(ISNUMBER(MATCH(B514:E514,'EMA points'!A:A,0))))) &gt; 0, "NOM INEXISTANT", "Noms ok")</f>
        <v>NOM INEXISTANT</v>
      </c>
    </row>
    <row r="516" spans="1:11" x14ac:dyDescent="0.25">
      <c r="A516" t="s">
        <v>8</v>
      </c>
      <c r="B516" t="e">
        <f>Donnees!B516</f>
        <v>#N/A</v>
      </c>
      <c r="C516" t="e">
        <f>Donnees!C516</f>
        <v>#N/A</v>
      </c>
      <c r="D516" t="e">
        <f>Donnees!D516</f>
        <v>#N/A</v>
      </c>
      <c r="E516" t="e">
        <f>Donnees!E516</f>
        <v>#N/A</v>
      </c>
      <c r="H516" t="s">
        <v>11</v>
      </c>
      <c r="I516" t="str">
        <f t="shared" ref="I516" si="255">IF(SUM(B515:E515)=0, "Score ok", "SOMME NON NULLE")</f>
        <v>Score ok</v>
      </c>
    </row>
    <row r="517" spans="1:11" x14ac:dyDescent="0.25">
      <c r="A517" t="s">
        <v>5</v>
      </c>
      <c r="B517" t="s">
        <v>0</v>
      </c>
      <c r="C517" t="s">
        <v>1</v>
      </c>
      <c r="D517" t="s">
        <v>2</v>
      </c>
      <c r="E517" t="s">
        <v>3</v>
      </c>
      <c r="F517" t="str">
        <f>Donnees!F517</f>
        <v>Partie 130</v>
      </c>
      <c r="H517" t="s">
        <v>10</v>
      </c>
      <c r="I517" t="str">
        <f t="shared" ref="I517" si="256">_xlfn.TEXTJOIN(";",TRUE,B518:E519)</f>
        <v/>
      </c>
    </row>
    <row r="518" spans="1:11" x14ac:dyDescent="0.25">
      <c r="A518" t="s">
        <v>6</v>
      </c>
      <c r="B518" s="1"/>
      <c r="C518" s="1"/>
      <c r="D518" s="1"/>
      <c r="E518" s="1"/>
      <c r="F518" s="3"/>
      <c r="H518" t="s">
        <v>9</v>
      </c>
      <c r="I518" t="e" cm="1">
        <f t="array" ref="I518">IF(AND(Donnees!B517:F520=Check!B517:F520),"Identique","PAS IDENTIQUE")</f>
        <v>#N/A</v>
      </c>
      <c r="J518" t="s">
        <v>32</v>
      </c>
      <c r="K518" t="str" cm="1">
        <f t="array" ref="K518">IF(MAX(COUNTIF(B518:E518,B518:E518)) &gt; 1, "JOUEUR EN DOUBLE", "Pas de doublons")</f>
        <v>Pas de doublons</v>
      </c>
    </row>
    <row r="519" spans="1:11" x14ac:dyDescent="0.25">
      <c r="A519" t="s">
        <v>7</v>
      </c>
      <c r="B519" s="1"/>
      <c r="C519" s="1"/>
      <c r="D519" s="1"/>
      <c r="E519" s="1"/>
      <c r="H519" t="s">
        <v>33</v>
      </c>
      <c r="I519" t="str">
        <f>IF(COUNTIF(I$1:I518,I517)&gt;1,"DOUBLON LIGNE " &amp; MATCH(I517,I$1:I518,0),"Pas de doublons")</f>
        <v>DOUBLON LIGNE 489</v>
      </c>
      <c r="J519" t="s">
        <v>34</v>
      </c>
      <c r="K519" t="str" cm="1">
        <f t="array" ref="K519">IF(SUM(--(NOT(ISNUMBER(MATCH(B518:E518,'EMA points'!A:A,0))))) &gt; 0, "NOM INEXISTANT", "Noms ok")</f>
        <v>NOM INEXISTANT</v>
      </c>
    </row>
    <row r="520" spans="1:11" x14ac:dyDescent="0.25">
      <c r="A520" t="s">
        <v>8</v>
      </c>
      <c r="B520" t="e">
        <f>Donnees!B520</f>
        <v>#N/A</v>
      </c>
      <c r="C520" t="e">
        <f>Donnees!C520</f>
        <v>#N/A</v>
      </c>
      <c r="D520" t="e">
        <f>Donnees!D520</f>
        <v>#N/A</v>
      </c>
      <c r="E520" t="e">
        <f>Donnees!E520</f>
        <v>#N/A</v>
      </c>
      <c r="H520" t="s">
        <v>11</v>
      </c>
      <c r="I520" t="str">
        <f t="shared" ref="I520" si="257">IF(SUM(B519:E519)=0, "Score ok", "SOMME NON NULLE")</f>
        <v>Score ok</v>
      </c>
    </row>
    <row r="521" spans="1:11" x14ac:dyDescent="0.25">
      <c r="A521" t="s">
        <v>5</v>
      </c>
      <c r="B521" t="s">
        <v>0</v>
      </c>
      <c r="C521" t="s">
        <v>1</v>
      </c>
      <c r="D521" t="s">
        <v>2</v>
      </c>
      <c r="E521" t="s">
        <v>3</v>
      </c>
      <c r="F521" t="str">
        <f>Donnees!F521</f>
        <v>Partie 131</v>
      </c>
      <c r="H521" t="s">
        <v>10</v>
      </c>
      <c r="I521" t="str">
        <f t="shared" ref="I521" si="258">_xlfn.TEXTJOIN(";",TRUE,B522:E523)</f>
        <v/>
      </c>
    </row>
    <row r="522" spans="1:11" x14ac:dyDescent="0.25">
      <c r="A522" t="s">
        <v>6</v>
      </c>
      <c r="B522" s="1"/>
      <c r="C522" s="1"/>
      <c r="D522" s="1"/>
      <c r="E522" s="1"/>
      <c r="F522" s="3"/>
      <c r="H522" t="s">
        <v>9</v>
      </c>
      <c r="I522" t="e" cm="1">
        <f t="array" ref="I522">IF(AND(Donnees!B521:F524=Check!B521:F524),"Identique","PAS IDENTIQUE")</f>
        <v>#N/A</v>
      </c>
      <c r="J522" t="s">
        <v>32</v>
      </c>
      <c r="K522" t="str" cm="1">
        <f t="array" ref="K522">IF(MAX(COUNTIF(B522:E522,B522:E522)) &gt; 1, "JOUEUR EN DOUBLE", "Pas de doublons")</f>
        <v>Pas de doublons</v>
      </c>
    </row>
    <row r="523" spans="1:11" x14ac:dyDescent="0.25">
      <c r="A523" t="s">
        <v>7</v>
      </c>
      <c r="B523" s="1"/>
      <c r="C523" s="1"/>
      <c r="D523" s="1"/>
      <c r="E523" s="1"/>
      <c r="H523" t="s">
        <v>33</v>
      </c>
      <c r="I523" t="str">
        <f>IF(COUNTIF(I$1:I522,I521)&gt;1,"DOUBLON LIGNE " &amp; MATCH(I521,I$1:I522,0),"Pas de doublons")</f>
        <v>DOUBLON LIGNE 489</v>
      </c>
      <c r="J523" t="s">
        <v>34</v>
      </c>
      <c r="K523" t="str" cm="1">
        <f t="array" ref="K523">IF(SUM(--(NOT(ISNUMBER(MATCH(B522:E522,'EMA points'!A:A,0))))) &gt; 0, "NOM INEXISTANT", "Noms ok")</f>
        <v>NOM INEXISTANT</v>
      </c>
    </row>
    <row r="524" spans="1:11" x14ac:dyDescent="0.25">
      <c r="A524" t="s">
        <v>8</v>
      </c>
      <c r="B524" t="e">
        <f>Donnees!B524</f>
        <v>#N/A</v>
      </c>
      <c r="C524" t="e">
        <f>Donnees!C524</f>
        <v>#N/A</v>
      </c>
      <c r="D524" t="e">
        <f>Donnees!D524</f>
        <v>#N/A</v>
      </c>
      <c r="E524" t="e">
        <f>Donnees!E524</f>
        <v>#N/A</v>
      </c>
      <c r="H524" t="s">
        <v>11</v>
      </c>
      <c r="I524" t="str">
        <f t="shared" ref="I524" si="259">IF(SUM(B523:E523)=0, "Score ok", "SOMME NON NULLE")</f>
        <v>Score ok</v>
      </c>
    </row>
    <row r="525" spans="1:11" x14ac:dyDescent="0.25">
      <c r="A525" t="s">
        <v>5</v>
      </c>
      <c r="B525" t="s">
        <v>0</v>
      </c>
      <c r="C525" t="s">
        <v>1</v>
      </c>
      <c r="D525" t="s">
        <v>2</v>
      </c>
      <c r="E525" t="s">
        <v>3</v>
      </c>
      <c r="F525" t="str">
        <f>Donnees!F525</f>
        <v>Partie 132</v>
      </c>
      <c r="H525" t="s">
        <v>10</v>
      </c>
      <c r="I525" t="str">
        <f t="shared" ref="I525" si="260">_xlfn.TEXTJOIN(";",TRUE,B526:E527)</f>
        <v/>
      </c>
    </row>
    <row r="526" spans="1:11" x14ac:dyDescent="0.25">
      <c r="A526" t="s">
        <v>6</v>
      </c>
      <c r="B526" s="1"/>
      <c r="C526" s="1"/>
      <c r="D526" s="1"/>
      <c r="E526" s="1"/>
      <c r="F526" s="3"/>
      <c r="H526" t="s">
        <v>9</v>
      </c>
      <c r="I526" t="e" cm="1">
        <f t="array" ref="I526">IF(AND(Donnees!B525:F528=Check!B525:F528),"Identique","PAS IDENTIQUE")</f>
        <v>#N/A</v>
      </c>
      <c r="J526" t="s">
        <v>32</v>
      </c>
      <c r="K526" t="str" cm="1">
        <f t="array" ref="K526">IF(MAX(COUNTIF(B526:E526,B526:E526)) &gt; 1, "JOUEUR EN DOUBLE", "Pas de doublons")</f>
        <v>Pas de doublons</v>
      </c>
    </row>
    <row r="527" spans="1:11" x14ac:dyDescent="0.25">
      <c r="A527" t="s">
        <v>7</v>
      </c>
      <c r="B527" s="1"/>
      <c r="C527" s="1"/>
      <c r="D527" s="1"/>
      <c r="E527" s="1"/>
      <c r="H527" t="s">
        <v>33</v>
      </c>
      <c r="I527" t="str">
        <f>IF(COUNTIF(I$1:I526,I525)&gt;1,"DOUBLON LIGNE " &amp; MATCH(I525,I$1:I526,0),"Pas de doublons")</f>
        <v>DOUBLON LIGNE 489</v>
      </c>
      <c r="J527" t="s">
        <v>34</v>
      </c>
      <c r="K527" t="str" cm="1">
        <f t="array" ref="K527">IF(SUM(--(NOT(ISNUMBER(MATCH(B526:E526,'EMA points'!A:A,0))))) &gt; 0, "NOM INEXISTANT", "Noms ok")</f>
        <v>NOM INEXISTANT</v>
      </c>
    </row>
    <row r="528" spans="1:11" x14ac:dyDescent="0.25">
      <c r="A528" t="s">
        <v>8</v>
      </c>
      <c r="B528" t="e">
        <f>Donnees!B528</f>
        <v>#N/A</v>
      </c>
      <c r="C528" t="e">
        <f>Donnees!C528</f>
        <v>#N/A</v>
      </c>
      <c r="D528" t="e">
        <f>Donnees!D528</f>
        <v>#N/A</v>
      </c>
      <c r="E528" t="e">
        <f>Donnees!E528</f>
        <v>#N/A</v>
      </c>
      <c r="H528" t="s">
        <v>11</v>
      </c>
      <c r="I528" t="str">
        <f t="shared" ref="I528" si="261">IF(SUM(B527:E527)=0, "Score ok", "SOMME NON NULLE")</f>
        <v>Score ok</v>
      </c>
    </row>
    <row r="529" spans="1:11" x14ac:dyDescent="0.25">
      <c r="A529" t="s">
        <v>5</v>
      </c>
      <c r="B529" t="s">
        <v>0</v>
      </c>
      <c r="C529" t="s">
        <v>1</v>
      </c>
      <c r="D529" t="s">
        <v>2</v>
      </c>
      <c r="E529" t="s">
        <v>3</v>
      </c>
      <c r="F529" t="str">
        <f>Donnees!F529</f>
        <v>Partie 133</v>
      </c>
      <c r="H529" t="s">
        <v>10</v>
      </c>
      <c r="I529" t="str">
        <f t="shared" ref="I529" si="262">_xlfn.TEXTJOIN(";",TRUE,B530:E531)</f>
        <v/>
      </c>
    </row>
    <row r="530" spans="1:11" x14ac:dyDescent="0.25">
      <c r="A530" t="s">
        <v>6</v>
      </c>
      <c r="B530" s="1"/>
      <c r="C530" s="1"/>
      <c r="D530" s="1"/>
      <c r="E530" s="1"/>
      <c r="F530" s="3"/>
      <c r="H530" t="s">
        <v>9</v>
      </c>
      <c r="I530" t="e" cm="1">
        <f t="array" ref="I530">IF(AND(Donnees!B529:F532=Check!B529:F532),"Identique","PAS IDENTIQUE")</f>
        <v>#N/A</v>
      </c>
      <c r="J530" t="s">
        <v>32</v>
      </c>
      <c r="K530" t="str" cm="1">
        <f t="array" ref="K530">IF(MAX(COUNTIF(B530:E530,B530:E530)) &gt; 1, "JOUEUR EN DOUBLE", "Pas de doublons")</f>
        <v>Pas de doublons</v>
      </c>
    </row>
    <row r="531" spans="1:11" x14ac:dyDescent="0.25">
      <c r="A531" t="s">
        <v>7</v>
      </c>
      <c r="B531" s="1"/>
      <c r="C531" s="1"/>
      <c r="D531" s="1"/>
      <c r="E531" s="1"/>
      <c r="H531" t="s">
        <v>33</v>
      </c>
      <c r="I531" t="str">
        <f>IF(COUNTIF(I$1:I530,I529)&gt;1,"DOUBLON LIGNE " &amp; MATCH(I529,I$1:I530,0),"Pas de doublons")</f>
        <v>DOUBLON LIGNE 489</v>
      </c>
      <c r="J531" t="s">
        <v>34</v>
      </c>
      <c r="K531" t="str" cm="1">
        <f t="array" ref="K531">IF(SUM(--(NOT(ISNUMBER(MATCH(B530:E530,'EMA points'!A:A,0))))) &gt; 0, "NOM INEXISTANT", "Noms ok")</f>
        <v>NOM INEXISTANT</v>
      </c>
    </row>
    <row r="532" spans="1:11" x14ac:dyDescent="0.25">
      <c r="A532" t="s">
        <v>8</v>
      </c>
      <c r="B532" t="e">
        <f>Donnees!B532</f>
        <v>#N/A</v>
      </c>
      <c r="C532" t="e">
        <f>Donnees!C532</f>
        <v>#N/A</v>
      </c>
      <c r="D532" t="e">
        <f>Donnees!D532</f>
        <v>#N/A</v>
      </c>
      <c r="E532" t="e">
        <f>Donnees!E532</f>
        <v>#N/A</v>
      </c>
      <c r="H532" t="s">
        <v>11</v>
      </c>
      <c r="I532" t="str">
        <f t="shared" ref="I532" si="263">IF(SUM(B531:E531)=0, "Score ok", "SOMME NON NULLE")</f>
        <v>Score ok</v>
      </c>
    </row>
    <row r="533" spans="1:11" x14ac:dyDescent="0.25">
      <c r="A533" t="s">
        <v>5</v>
      </c>
      <c r="B533" t="s">
        <v>0</v>
      </c>
      <c r="C533" t="s">
        <v>1</v>
      </c>
      <c r="D533" t="s">
        <v>2</v>
      </c>
      <c r="E533" t="s">
        <v>3</v>
      </c>
      <c r="F533" t="str">
        <f>Donnees!F533</f>
        <v>Partie 134</v>
      </c>
      <c r="H533" t="s">
        <v>10</v>
      </c>
      <c r="I533" t="str">
        <f t="shared" ref="I533" si="264">_xlfn.TEXTJOIN(";",TRUE,B534:E535)</f>
        <v/>
      </c>
    </row>
    <row r="534" spans="1:11" x14ac:dyDescent="0.25">
      <c r="A534" t="s">
        <v>6</v>
      </c>
      <c r="B534" s="1"/>
      <c r="C534" s="1"/>
      <c r="D534" s="1"/>
      <c r="E534" s="1"/>
      <c r="F534" s="3"/>
      <c r="H534" t="s">
        <v>9</v>
      </c>
      <c r="I534" t="e" cm="1">
        <f t="array" ref="I534">IF(AND(Donnees!B533:F536=Check!B533:F536),"Identique","PAS IDENTIQUE")</f>
        <v>#N/A</v>
      </c>
      <c r="J534" t="s">
        <v>32</v>
      </c>
      <c r="K534" t="str" cm="1">
        <f t="array" ref="K534">IF(MAX(COUNTIF(B534:E534,B534:E534)) &gt; 1, "JOUEUR EN DOUBLE", "Pas de doublons")</f>
        <v>Pas de doublons</v>
      </c>
    </row>
    <row r="535" spans="1:11" x14ac:dyDescent="0.25">
      <c r="A535" t="s">
        <v>7</v>
      </c>
      <c r="B535" s="1"/>
      <c r="C535" s="1"/>
      <c r="D535" s="1"/>
      <c r="E535" s="1"/>
      <c r="H535" t="s">
        <v>33</v>
      </c>
      <c r="I535" t="str">
        <f>IF(COUNTIF(I$1:I534,I533)&gt;1,"DOUBLON LIGNE " &amp; MATCH(I533,I$1:I534,0),"Pas de doublons")</f>
        <v>DOUBLON LIGNE 489</v>
      </c>
      <c r="J535" t="s">
        <v>34</v>
      </c>
      <c r="K535" t="str" cm="1">
        <f t="array" ref="K535">IF(SUM(--(NOT(ISNUMBER(MATCH(B534:E534,'EMA points'!A:A,0))))) &gt; 0, "NOM INEXISTANT", "Noms ok")</f>
        <v>NOM INEXISTANT</v>
      </c>
    </row>
    <row r="536" spans="1:11" x14ac:dyDescent="0.25">
      <c r="A536" t="s">
        <v>8</v>
      </c>
      <c r="B536" t="e">
        <f>Donnees!B536</f>
        <v>#N/A</v>
      </c>
      <c r="C536" t="e">
        <f>Donnees!C536</f>
        <v>#N/A</v>
      </c>
      <c r="D536" t="e">
        <f>Donnees!D536</f>
        <v>#N/A</v>
      </c>
      <c r="E536" t="e">
        <f>Donnees!E536</f>
        <v>#N/A</v>
      </c>
      <c r="H536" t="s">
        <v>11</v>
      </c>
      <c r="I536" t="str">
        <f t="shared" ref="I536" si="265">IF(SUM(B535:E535)=0, "Score ok", "SOMME NON NULLE")</f>
        <v>Score ok</v>
      </c>
    </row>
    <row r="537" spans="1:11" x14ac:dyDescent="0.25">
      <c r="A537" t="s">
        <v>5</v>
      </c>
      <c r="B537" t="s">
        <v>0</v>
      </c>
      <c r="C537" t="s">
        <v>1</v>
      </c>
      <c r="D537" t="s">
        <v>2</v>
      </c>
      <c r="E537" t="s">
        <v>3</v>
      </c>
      <c r="F537" t="str">
        <f>Donnees!F537</f>
        <v>Partie 135</v>
      </c>
      <c r="H537" t="s">
        <v>10</v>
      </c>
      <c r="I537" t="str">
        <f t="shared" ref="I537" si="266">_xlfn.TEXTJOIN(";",TRUE,B538:E539)</f>
        <v/>
      </c>
    </row>
    <row r="538" spans="1:11" x14ac:dyDescent="0.25">
      <c r="A538" t="s">
        <v>6</v>
      </c>
      <c r="B538" s="1"/>
      <c r="C538" s="1"/>
      <c r="D538" s="1"/>
      <c r="E538" s="1"/>
      <c r="F538" s="3"/>
      <c r="H538" t="s">
        <v>9</v>
      </c>
      <c r="I538" t="e" cm="1">
        <f t="array" ref="I538">IF(AND(Donnees!B537:F540=Check!B537:F540),"Identique","PAS IDENTIQUE")</f>
        <v>#N/A</v>
      </c>
      <c r="J538" t="s">
        <v>32</v>
      </c>
      <c r="K538" t="str" cm="1">
        <f t="array" ref="K538">IF(MAX(COUNTIF(B538:E538,B538:E538)) &gt; 1, "JOUEUR EN DOUBLE", "Pas de doublons")</f>
        <v>Pas de doublons</v>
      </c>
    </row>
    <row r="539" spans="1:11" x14ac:dyDescent="0.25">
      <c r="A539" t="s">
        <v>7</v>
      </c>
      <c r="B539" s="1"/>
      <c r="C539" s="1"/>
      <c r="D539" s="1"/>
      <c r="E539" s="1"/>
      <c r="H539" t="s">
        <v>33</v>
      </c>
      <c r="I539" t="str">
        <f>IF(COUNTIF(I$1:I538,I537)&gt;1,"DOUBLON LIGNE " &amp; MATCH(I537,I$1:I538,0),"Pas de doublons")</f>
        <v>DOUBLON LIGNE 489</v>
      </c>
      <c r="J539" t="s">
        <v>34</v>
      </c>
      <c r="K539" t="str" cm="1">
        <f t="array" ref="K539">IF(SUM(--(NOT(ISNUMBER(MATCH(B538:E538,'EMA points'!A:A,0))))) &gt; 0, "NOM INEXISTANT", "Noms ok")</f>
        <v>NOM INEXISTANT</v>
      </c>
    </row>
    <row r="540" spans="1:11" x14ac:dyDescent="0.25">
      <c r="A540" t="s">
        <v>8</v>
      </c>
      <c r="B540" t="e">
        <f>Donnees!B540</f>
        <v>#N/A</v>
      </c>
      <c r="C540" t="e">
        <f>Donnees!C540</f>
        <v>#N/A</v>
      </c>
      <c r="D540" t="e">
        <f>Donnees!D540</f>
        <v>#N/A</v>
      </c>
      <c r="E540" t="e">
        <f>Donnees!E540</f>
        <v>#N/A</v>
      </c>
      <c r="H540" t="s">
        <v>11</v>
      </c>
      <c r="I540" t="str">
        <f t="shared" ref="I540" si="267">IF(SUM(B539:E539)=0, "Score ok", "SOMME NON NULLE")</f>
        <v>Score ok</v>
      </c>
    </row>
    <row r="541" spans="1:11" x14ac:dyDescent="0.25">
      <c r="A541" t="s">
        <v>5</v>
      </c>
      <c r="B541" t="s">
        <v>0</v>
      </c>
      <c r="C541" t="s">
        <v>1</v>
      </c>
      <c r="D541" t="s">
        <v>2</v>
      </c>
      <c r="E541" t="s">
        <v>3</v>
      </c>
      <c r="F541" t="str">
        <f>Donnees!F541</f>
        <v>Partie 136</v>
      </c>
      <c r="H541" t="s">
        <v>10</v>
      </c>
      <c r="I541" t="str">
        <f t="shared" ref="I541" si="268">_xlfn.TEXTJOIN(";",TRUE,B542:E543)</f>
        <v/>
      </c>
    </row>
    <row r="542" spans="1:11" x14ac:dyDescent="0.25">
      <c r="A542" t="s">
        <v>6</v>
      </c>
      <c r="B542" s="1"/>
      <c r="C542" s="1"/>
      <c r="D542" s="1"/>
      <c r="E542" s="1"/>
      <c r="F542" s="3"/>
      <c r="H542" t="s">
        <v>9</v>
      </c>
      <c r="I542" t="e" cm="1">
        <f t="array" ref="I542">IF(AND(Donnees!B541:F544=Check!B541:F544),"Identique","PAS IDENTIQUE")</f>
        <v>#N/A</v>
      </c>
      <c r="J542" t="s">
        <v>32</v>
      </c>
      <c r="K542" t="str" cm="1">
        <f t="array" ref="K542">IF(MAX(COUNTIF(B542:E542,B542:E542)) &gt; 1, "JOUEUR EN DOUBLE", "Pas de doublons")</f>
        <v>Pas de doublons</v>
      </c>
    </row>
    <row r="543" spans="1:11" x14ac:dyDescent="0.25">
      <c r="A543" t="s">
        <v>7</v>
      </c>
      <c r="B543" s="1"/>
      <c r="C543" s="1"/>
      <c r="D543" s="1"/>
      <c r="E543" s="1"/>
      <c r="H543" t="s">
        <v>33</v>
      </c>
      <c r="I543" t="str">
        <f>IF(COUNTIF(I$1:I542,I541)&gt;1,"DOUBLON LIGNE " &amp; MATCH(I541,I$1:I542,0),"Pas de doublons")</f>
        <v>DOUBLON LIGNE 489</v>
      </c>
      <c r="J543" t="s">
        <v>34</v>
      </c>
      <c r="K543" t="str" cm="1">
        <f t="array" ref="K543">IF(SUM(--(NOT(ISNUMBER(MATCH(B542:E542,'EMA points'!A:A,0))))) &gt; 0, "NOM INEXISTANT", "Noms ok")</f>
        <v>NOM INEXISTANT</v>
      </c>
    </row>
    <row r="544" spans="1:11" x14ac:dyDescent="0.25">
      <c r="A544" t="s">
        <v>8</v>
      </c>
      <c r="B544" t="e">
        <f>Donnees!B544</f>
        <v>#N/A</v>
      </c>
      <c r="C544" t="e">
        <f>Donnees!C544</f>
        <v>#N/A</v>
      </c>
      <c r="D544" t="e">
        <f>Donnees!D544</f>
        <v>#N/A</v>
      </c>
      <c r="E544" t="e">
        <f>Donnees!E544</f>
        <v>#N/A</v>
      </c>
      <c r="H544" t="s">
        <v>11</v>
      </c>
      <c r="I544" t="str">
        <f t="shared" ref="I544" si="269">IF(SUM(B543:E543)=0, "Score ok", "SOMME NON NULLE")</f>
        <v>Score ok</v>
      </c>
    </row>
    <row r="545" spans="1:11" x14ac:dyDescent="0.25">
      <c r="A545" t="s">
        <v>5</v>
      </c>
      <c r="B545" t="s">
        <v>0</v>
      </c>
      <c r="C545" t="s">
        <v>1</v>
      </c>
      <c r="D545" t="s">
        <v>2</v>
      </c>
      <c r="E545" t="s">
        <v>3</v>
      </c>
      <c r="F545" t="str">
        <f>Donnees!F545</f>
        <v>Partie 137</v>
      </c>
      <c r="H545" t="s">
        <v>10</v>
      </c>
      <c r="I545" t="str">
        <f t="shared" ref="I545" si="270">_xlfn.TEXTJOIN(";",TRUE,B546:E547)</f>
        <v/>
      </c>
    </row>
    <row r="546" spans="1:11" x14ac:dyDescent="0.25">
      <c r="A546" t="s">
        <v>6</v>
      </c>
      <c r="B546" s="1"/>
      <c r="C546" s="1"/>
      <c r="D546" s="1"/>
      <c r="E546" s="1"/>
      <c r="F546" s="3"/>
      <c r="H546" t="s">
        <v>9</v>
      </c>
      <c r="I546" t="e" cm="1">
        <f t="array" ref="I546">IF(AND(Donnees!B545:F548=Check!B545:F548),"Identique","PAS IDENTIQUE")</f>
        <v>#N/A</v>
      </c>
      <c r="J546" t="s">
        <v>32</v>
      </c>
      <c r="K546" t="str" cm="1">
        <f t="array" ref="K546">IF(MAX(COUNTIF(B546:E546,B546:E546)) &gt; 1, "JOUEUR EN DOUBLE", "Pas de doublons")</f>
        <v>Pas de doublons</v>
      </c>
    </row>
    <row r="547" spans="1:11" x14ac:dyDescent="0.25">
      <c r="A547" t="s">
        <v>7</v>
      </c>
      <c r="B547" s="1"/>
      <c r="C547" s="1"/>
      <c r="D547" s="1"/>
      <c r="E547" s="1"/>
      <c r="H547" t="s">
        <v>33</v>
      </c>
      <c r="I547" t="str">
        <f>IF(COUNTIF(I$1:I546,I545)&gt;1,"DOUBLON LIGNE " &amp; MATCH(I545,I$1:I546,0),"Pas de doublons")</f>
        <v>DOUBLON LIGNE 489</v>
      </c>
      <c r="J547" t="s">
        <v>34</v>
      </c>
      <c r="K547" t="str" cm="1">
        <f t="array" ref="K547">IF(SUM(--(NOT(ISNUMBER(MATCH(B546:E546,'EMA points'!A:A,0))))) &gt; 0, "NOM INEXISTANT", "Noms ok")</f>
        <v>NOM INEXISTANT</v>
      </c>
    </row>
    <row r="548" spans="1:11" x14ac:dyDescent="0.25">
      <c r="A548" t="s">
        <v>8</v>
      </c>
      <c r="B548" t="e">
        <f>Donnees!B548</f>
        <v>#N/A</v>
      </c>
      <c r="C548" t="e">
        <f>Donnees!C548</f>
        <v>#N/A</v>
      </c>
      <c r="D548" t="e">
        <f>Donnees!D548</f>
        <v>#N/A</v>
      </c>
      <c r="E548" t="e">
        <f>Donnees!E548</f>
        <v>#N/A</v>
      </c>
      <c r="H548" t="s">
        <v>11</v>
      </c>
      <c r="I548" t="str">
        <f t="shared" ref="I548" si="271">IF(SUM(B547:E547)=0, "Score ok", "SOMME NON NULLE")</f>
        <v>Score ok</v>
      </c>
    </row>
    <row r="549" spans="1:11" x14ac:dyDescent="0.25">
      <c r="A549" t="s">
        <v>5</v>
      </c>
      <c r="B549" t="s">
        <v>0</v>
      </c>
      <c r="C549" t="s">
        <v>1</v>
      </c>
      <c r="D549" t="s">
        <v>2</v>
      </c>
      <c r="E549" t="s">
        <v>3</v>
      </c>
      <c r="F549" t="str">
        <f>Donnees!F549</f>
        <v>Partie 138</v>
      </c>
      <c r="H549" t="s">
        <v>10</v>
      </c>
      <c r="I549" t="str">
        <f t="shared" ref="I549" si="272">_xlfn.TEXTJOIN(";",TRUE,B550:E551)</f>
        <v/>
      </c>
    </row>
    <row r="550" spans="1:11" x14ac:dyDescent="0.25">
      <c r="A550" t="s">
        <v>6</v>
      </c>
      <c r="B550" s="1"/>
      <c r="C550" s="1"/>
      <c r="D550" s="1"/>
      <c r="E550" s="1"/>
      <c r="F550" s="3"/>
      <c r="H550" t="s">
        <v>9</v>
      </c>
      <c r="I550" t="e" cm="1">
        <f t="array" ref="I550">IF(AND(Donnees!B549:F552=Check!B549:F552),"Identique","PAS IDENTIQUE")</f>
        <v>#N/A</v>
      </c>
      <c r="J550" t="s">
        <v>32</v>
      </c>
      <c r="K550" t="str" cm="1">
        <f t="array" ref="K550">IF(MAX(COUNTIF(B550:E550,B550:E550)) &gt; 1, "JOUEUR EN DOUBLE", "Pas de doublons")</f>
        <v>Pas de doublons</v>
      </c>
    </row>
    <row r="551" spans="1:11" x14ac:dyDescent="0.25">
      <c r="A551" t="s">
        <v>7</v>
      </c>
      <c r="B551" s="1"/>
      <c r="C551" s="1"/>
      <c r="D551" s="1"/>
      <c r="E551" s="1"/>
      <c r="H551" t="s">
        <v>33</v>
      </c>
      <c r="I551" t="str">
        <f>IF(COUNTIF(I$1:I550,I549)&gt;1,"DOUBLON LIGNE " &amp; MATCH(I549,I$1:I550,0),"Pas de doublons")</f>
        <v>DOUBLON LIGNE 489</v>
      </c>
      <c r="J551" t="s">
        <v>34</v>
      </c>
      <c r="K551" t="str" cm="1">
        <f t="array" ref="K551">IF(SUM(--(NOT(ISNUMBER(MATCH(B550:E550,'EMA points'!A:A,0))))) &gt; 0, "NOM INEXISTANT", "Noms ok")</f>
        <v>NOM INEXISTANT</v>
      </c>
    </row>
    <row r="552" spans="1:11" x14ac:dyDescent="0.25">
      <c r="A552" t="s">
        <v>8</v>
      </c>
      <c r="B552" t="e">
        <f>Donnees!B552</f>
        <v>#N/A</v>
      </c>
      <c r="C552" t="e">
        <f>Donnees!C552</f>
        <v>#N/A</v>
      </c>
      <c r="D552" t="e">
        <f>Donnees!D552</f>
        <v>#N/A</v>
      </c>
      <c r="E552" t="e">
        <f>Donnees!E552</f>
        <v>#N/A</v>
      </c>
      <c r="H552" t="s">
        <v>11</v>
      </c>
      <c r="I552" t="str">
        <f t="shared" ref="I552" si="273">IF(SUM(B551:E551)=0, "Score ok", "SOMME NON NULLE")</f>
        <v>Score ok</v>
      </c>
    </row>
    <row r="553" spans="1:11" x14ac:dyDescent="0.25">
      <c r="A553" t="s">
        <v>5</v>
      </c>
      <c r="B553" t="s">
        <v>0</v>
      </c>
      <c r="C553" t="s">
        <v>1</v>
      </c>
      <c r="D553" t="s">
        <v>2</v>
      </c>
      <c r="E553" t="s">
        <v>3</v>
      </c>
      <c r="F553" t="str">
        <f>Donnees!F553</f>
        <v>Partie 139</v>
      </c>
      <c r="H553" t="s">
        <v>10</v>
      </c>
      <c r="I553" t="str">
        <f t="shared" ref="I553" si="274">_xlfn.TEXTJOIN(";",TRUE,B554:E555)</f>
        <v/>
      </c>
    </row>
    <row r="554" spans="1:11" x14ac:dyDescent="0.25">
      <c r="A554" t="s">
        <v>6</v>
      </c>
      <c r="B554" s="1"/>
      <c r="C554" s="1"/>
      <c r="D554" s="1"/>
      <c r="E554" s="1"/>
      <c r="F554" s="3"/>
      <c r="H554" t="s">
        <v>9</v>
      </c>
      <c r="I554" t="e" cm="1">
        <f t="array" ref="I554">IF(AND(Donnees!B553:F556=Check!B553:F556),"Identique","PAS IDENTIQUE")</f>
        <v>#N/A</v>
      </c>
      <c r="J554" t="s">
        <v>32</v>
      </c>
      <c r="K554" t="str" cm="1">
        <f t="array" ref="K554">IF(MAX(COUNTIF(B554:E554,B554:E554)) &gt; 1, "JOUEUR EN DOUBLE", "Pas de doublons")</f>
        <v>Pas de doublons</v>
      </c>
    </row>
    <row r="555" spans="1:11" x14ac:dyDescent="0.25">
      <c r="A555" t="s">
        <v>7</v>
      </c>
      <c r="B555" s="1"/>
      <c r="C555" s="1"/>
      <c r="D555" s="1"/>
      <c r="E555" s="1"/>
      <c r="H555" t="s">
        <v>33</v>
      </c>
      <c r="I555" t="str">
        <f>IF(COUNTIF(I$1:I554,I553)&gt;1,"DOUBLON LIGNE " &amp; MATCH(I553,I$1:I554,0),"Pas de doublons")</f>
        <v>DOUBLON LIGNE 489</v>
      </c>
      <c r="J555" t="s">
        <v>34</v>
      </c>
      <c r="K555" t="str" cm="1">
        <f t="array" ref="K555">IF(SUM(--(NOT(ISNUMBER(MATCH(B554:E554,'EMA points'!A:A,0))))) &gt; 0, "NOM INEXISTANT", "Noms ok")</f>
        <v>NOM INEXISTANT</v>
      </c>
    </row>
    <row r="556" spans="1:11" x14ac:dyDescent="0.25">
      <c r="A556" t="s">
        <v>8</v>
      </c>
      <c r="B556" t="e">
        <f>Donnees!B556</f>
        <v>#N/A</v>
      </c>
      <c r="C556" t="e">
        <f>Donnees!C556</f>
        <v>#N/A</v>
      </c>
      <c r="D556" t="e">
        <f>Donnees!D556</f>
        <v>#N/A</v>
      </c>
      <c r="E556" t="e">
        <f>Donnees!E556</f>
        <v>#N/A</v>
      </c>
      <c r="H556" t="s">
        <v>11</v>
      </c>
      <c r="I556" t="str">
        <f t="shared" ref="I556" si="275">IF(SUM(B555:E555)=0, "Score ok", "SOMME NON NULLE")</f>
        <v>Score ok</v>
      </c>
    </row>
    <row r="557" spans="1:11" x14ac:dyDescent="0.25">
      <c r="A557" t="s">
        <v>5</v>
      </c>
      <c r="B557" t="s">
        <v>0</v>
      </c>
      <c r="C557" t="s">
        <v>1</v>
      </c>
      <c r="D557" t="s">
        <v>2</v>
      </c>
      <c r="E557" t="s">
        <v>3</v>
      </c>
      <c r="F557" t="str">
        <f>Donnees!F557</f>
        <v>Partie 140</v>
      </c>
      <c r="H557" t="s">
        <v>10</v>
      </c>
      <c r="I557" t="str">
        <f t="shared" ref="I557" si="276">_xlfn.TEXTJOIN(";",TRUE,B558:E559)</f>
        <v/>
      </c>
    </row>
    <row r="558" spans="1:11" x14ac:dyDescent="0.25">
      <c r="A558" t="s">
        <v>6</v>
      </c>
      <c r="B558" s="1"/>
      <c r="C558" s="1"/>
      <c r="D558" s="1"/>
      <c r="E558" s="1"/>
      <c r="F558" s="3"/>
      <c r="H558" t="s">
        <v>9</v>
      </c>
      <c r="I558" t="e" cm="1">
        <f t="array" ref="I558">IF(AND(Donnees!B557:F560=Check!B557:F560),"Identique","PAS IDENTIQUE")</f>
        <v>#N/A</v>
      </c>
      <c r="J558" t="s">
        <v>32</v>
      </c>
      <c r="K558" t="str" cm="1">
        <f t="array" ref="K558">IF(MAX(COUNTIF(B558:E558,B558:E558)) &gt; 1, "JOUEUR EN DOUBLE", "Pas de doublons")</f>
        <v>Pas de doublons</v>
      </c>
    </row>
    <row r="559" spans="1:11" x14ac:dyDescent="0.25">
      <c r="A559" t="s">
        <v>7</v>
      </c>
      <c r="B559" s="1"/>
      <c r="C559" s="1"/>
      <c r="D559" s="1"/>
      <c r="E559" s="1"/>
      <c r="H559" t="s">
        <v>33</v>
      </c>
      <c r="I559" t="str">
        <f>IF(COUNTIF(I$1:I558,I557)&gt;1,"DOUBLON LIGNE " &amp; MATCH(I557,I$1:I558,0),"Pas de doublons")</f>
        <v>DOUBLON LIGNE 489</v>
      </c>
      <c r="J559" t="s">
        <v>34</v>
      </c>
      <c r="K559" t="str" cm="1">
        <f t="array" ref="K559">IF(SUM(--(NOT(ISNUMBER(MATCH(B558:E558,'EMA points'!A:A,0))))) &gt; 0, "NOM INEXISTANT", "Noms ok")</f>
        <v>NOM INEXISTANT</v>
      </c>
    </row>
    <row r="560" spans="1:11" x14ac:dyDescent="0.25">
      <c r="A560" t="s">
        <v>8</v>
      </c>
      <c r="B560" t="e">
        <f>Donnees!B560</f>
        <v>#N/A</v>
      </c>
      <c r="C560" t="e">
        <f>Donnees!C560</f>
        <v>#N/A</v>
      </c>
      <c r="D560" t="e">
        <f>Donnees!D560</f>
        <v>#N/A</v>
      </c>
      <c r="E560" t="e">
        <f>Donnees!E560</f>
        <v>#N/A</v>
      </c>
      <c r="H560" t="s">
        <v>11</v>
      </c>
      <c r="I560" t="str">
        <f t="shared" ref="I560" si="277">IF(SUM(B559:E559)=0, "Score ok", "SOMME NON NULLE")</f>
        <v>Score ok</v>
      </c>
    </row>
    <row r="561" spans="1:11" x14ac:dyDescent="0.25">
      <c r="A561" t="s">
        <v>5</v>
      </c>
      <c r="B561" t="s">
        <v>0</v>
      </c>
      <c r="C561" t="s">
        <v>1</v>
      </c>
      <c r="D561" t="s">
        <v>2</v>
      </c>
      <c r="E561" t="s">
        <v>3</v>
      </c>
      <c r="F561" t="str">
        <f>Donnees!F561</f>
        <v>Partie 141</v>
      </c>
      <c r="H561" t="s">
        <v>10</v>
      </c>
      <c r="I561" t="str">
        <f t="shared" ref="I561" si="278">_xlfn.TEXTJOIN(";",TRUE,B562:E563)</f>
        <v/>
      </c>
    </row>
    <row r="562" spans="1:11" x14ac:dyDescent="0.25">
      <c r="A562" t="s">
        <v>6</v>
      </c>
      <c r="B562" s="1"/>
      <c r="C562" s="1"/>
      <c r="D562" s="1"/>
      <c r="E562" s="1"/>
      <c r="F562" s="3"/>
      <c r="H562" t="s">
        <v>9</v>
      </c>
      <c r="I562" t="e" cm="1">
        <f t="array" ref="I562">IF(AND(Donnees!B561:F564=Check!B561:F564),"Identique","PAS IDENTIQUE")</f>
        <v>#N/A</v>
      </c>
      <c r="J562" t="s">
        <v>32</v>
      </c>
      <c r="K562" t="str" cm="1">
        <f t="array" ref="K562">IF(MAX(COUNTIF(B562:E562,B562:E562)) &gt; 1, "JOUEUR EN DOUBLE", "Pas de doublons")</f>
        <v>Pas de doublons</v>
      </c>
    </row>
    <row r="563" spans="1:11" x14ac:dyDescent="0.25">
      <c r="A563" t="s">
        <v>7</v>
      </c>
      <c r="B563" s="1"/>
      <c r="C563" s="1"/>
      <c r="D563" s="1"/>
      <c r="E563" s="1"/>
      <c r="H563" t="s">
        <v>33</v>
      </c>
      <c r="I563" t="str">
        <f>IF(COUNTIF(I$1:I562,I561)&gt;1,"DOUBLON LIGNE " &amp; MATCH(I561,I$1:I562,0),"Pas de doublons")</f>
        <v>DOUBLON LIGNE 489</v>
      </c>
      <c r="J563" t="s">
        <v>34</v>
      </c>
      <c r="K563" t="str" cm="1">
        <f t="array" ref="K563">IF(SUM(--(NOT(ISNUMBER(MATCH(B562:E562,'EMA points'!A:A,0))))) &gt; 0, "NOM INEXISTANT", "Noms ok")</f>
        <v>NOM INEXISTANT</v>
      </c>
    </row>
    <row r="564" spans="1:11" x14ac:dyDescent="0.25">
      <c r="A564" t="s">
        <v>8</v>
      </c>
      <c r="B564" t="e">
        <f>Donnees!B564</f>
        <v>#N/A</v>
      </c>
      <c r="C564" t="e">
        <f>Donnees!C564</f>
        <v>#N/A</v>
      </c>
      <c r="D564" t="e">
        <f>Donnees!D564</f>
        <v>#N/A</v>
      </c>
      <c r="E564" t="e">
        <f>Donnees!E564</f>
        <v>#N/A</v>
      </c>
      <c r="H564" t="s">
        <v>11</v>
      </c>
      <c r="I564" t="str">
        <f t="shared" ref="I564" si="279">IF(SUM(B563:E563)=0, "Score ok", "SOMME NON NULLE")</f>
        <v>Score ok</v>
      </c>
    </row>
    <row r="565" spans="1:11" x14ac:dyDescent="0.25">
      <c r="A565" t="s">
        <v>5</v>
      </c>
      <c r="B565" t="s">
        <v>0</v>
      </c>
      <c r="C565" t="s">
        <v>1</v>
      </c>
      <c r="D565" t="s">
        <v>2</v>
      </c>
      <c r="E565" t="s">
        <v>3</v>
      </c>
      <c r="F565" t="str">
        <f>Donnees!F565</f>
        <v>Partie 142</v>
      </c>
      <c r="H565" t="s">
        <v>10</v>
      </c>
      <c r="I565" t="str">
        <f t="shared" ref="I565" si="280">_xlfn.TEXTJOIN(";",TRUE,B566:E567)</f>
        <v/>
      </c>
    </row>
    <row r="566" spans="1:11" x14ac:dyDescent="0.25">
      <c r="A566" t="s">
        <v>6</v>
      </c>
      <c r="B566" s="1"/>
      <c r="C566" s="1"/>
      <c r="D566" s="1"/>
      <c r="E566" s="1"/>
      <c r="F566" s="3"/>
      <c r="H566" t="s">
        <v>9</v>
      </c>
      <c r="I566" t="e" cm="1">
        <f t="array" ref="I566">IF(AND(Donnees!B565:F568=Check!B565:F568),"Identique","PAS IDENTIQUE")</f>
        <v>#N/A</v>
      </c>
      <c r="J566" t="s">
        <v>32</v>
      </c>
      <c r="K566" t="str" cm="1">
        <f t="array" ref="K566">IF(MAX(COUNTIF(B566:E566,B566:E566)) &gt; 1, "JOUEUR EN DOUBLE", "Pas de doublons")</f>
        <v>Pas de doublons</v>
      </c>
    </row>
    <row r="567" spans="1:11" x14ac:dyDescent="0.25">
      <c r="A567" t="s">
        <v>7</v>
      </c>
      <c r="B567" s="1"/>
      <c r="C567" s="1"/>
      <c r="D567" s="1"/>
      <c r="E567" s="1"/>
      <c r="H567" t="s">
        <v>33</v>
      </c>
      <c r="I567" t="str">
        <f>IF(COUNTIF(I$1:I566,I565)&gt;1,"DOUBLON LIGNE " &amp; MATCH(I565,I$1:I566,0),"Pas de doublons")</f>
        <v>DOUBLON LIGNE 489</v>
      </c>
      <c r="J567" t="s">
        <v>34</v>
      </c>
      <c r="K567" t="str" cm="1">
        <f t="array" ref="K567">IF(SUM(--(NOT(ISNUMBER(MATCH(B566:E566,'EMA points'!A:A,0))))) &gt; 0, "NOM INEXISTANT", "Noms ok")</f>
        <v>NOM INEXISTANT</v>
      </c>
    </row>
    <row r="568" spans="1:11" x14ac:dyDescent="0.25">
      <c r="A568" t="s">
        <v>8</v>
      </c>
      <c r="B568" t="e">
        <f>Donnees!B568</f>
        <v>#N/A</v>
      </c>
      <c r="C568" t="e">
        <f>Donnees!C568</f>
        <v>#N/A</v>
      </c>
      <c r="D568" t="e">
        <f>Donnees!D568</f>
        <v>#N/A</v>
      </c>
      <c r="E568" t="e">
        <f>Donnees!E568</f>
        <v>#N/A</v>
      </c>
      <c r="H568" t="s">
        <v>11</v>
      </c>
      <c r="I568" t="str">
        <f t="shared" ref="I568" si="281">IF(SUM(B567:E567)=0, "Score ok", "SOMME NON NULLE")</f>
        <v>Score ok</v>
      </c>
    </row>
    <row r="569" spans="1:11" x14ac:dyDescent="0.25">
      <c r="A569" t="s">
        <v>5</v>
      </c>
      <c r="B569" t="s">
        <v>0</v>
      </c>
      <c r="C569" t="s">
        <v>1</v>
      </c>
      <c r="D569" t="s">
        <v>2</v>
      </c>
      <c r="E569" t="s">
        <v>3</v>
      </c>
      <c r="F569" t="str">
        <f>Donnees!F569</f>
        <v>Partie 143</v>
      </c>
      <c r="H569" t="s">
        <v>10</v>
      </c>
      <c r="I569" t="str">
        <f t="shared" ref="I569" si="282">_xlfn.TEXTJOIN(";",TRUE,B570:E571)</f>
        <v/>
      </c>
    </row>
    <row r="570" spans="1:11" x14ac:dyDescent="0.25">
      <c r="A570" t="s">
        <v>6</v>
      </c>
      <c r="B570" s="1"/>
      <c r="C570" s="1"/>
      <c r="D570" s="1"/>
      <c r="E570" s="1"/>
      <c r="F570" s="3"/>
      <c r="H570" t="s">
        <v>9</v>
      </c>
      <c r="I570" t="e" cm="1">
        <f t="array" ref="I570">IF(AND(Donnees!B569:F572=Check!B569:F572),"Identique","PAS IDENTIQUE")</f>
        <v>#N/A</v>
      </c>
      <c r="J570" t="s">
        <v>32</v>
      </c>
      <c r="K570" t="str" cm="1">
        <f t="array" ref="K570">IF(MAX(COUNTIF(B570:E570,B570:E570)) &gt; 1, "JOUEUR EN DOUBLE", "Pas de doublons")</f>
        <v>Pas de doublons</v>
      </c>
    </row>
    <row r="571" spans="1:11" x14ac:dyDescent="0.25">
      <c r="A571" t="s">
        <v>7</v>
      </c>
      <c r="B571" s="1"/>
      <c r="C571" s="1"/>
      <c r="D571" s="1"/>
      <c r="E571" s="1"/>
      <c r="H571" t="s">
        <v>33</v>
      </c>
      <c r="I571" t="str">
        <f>IF(COUNTIF(I$1:I570,I569)&gt;1,"DOUBLON LIGNE " &amp; MATCH(I569,I$1:I570,0),"Pas de doublons")</f>
        <v>DOUBLON LIGNE 489</v>
      </c>
      <c r="J571" t="s">
        <v>34</v>
      </c>
      <c r="K571" t="str" cm="1">
        <f t="array" ref="K571">IF(SUM(--(NOT(ISNUMBER(MATCH(B570:E570,'EMA points'!A:A,0))))) &gt; 0, "NOM INEXISTANT", "Noms ok")</f>
        <v>NOM INEXISTANT</v>
      </c>
    </row>
    <row r="572" spans="1:11" x14ac:dyDescent="0.25">
      <c r="A572" t="s">
        <v>8</v>
      </c>
      <c r="B572" t="e">
        <f>Donnees!B572</f>
        <v>#N/A</v>
      </c>
      <c r="C572" t="e">
        <f>Donnees!C572</f>
        <v>#N/A</v>
      </c>
      <c r="D572" t="e">
        <f>Donnees!D572</f>
        <v>#N/A</v>
      </c>
      <c r="E572" t="e">
        <f>Donnees!E572</f>
        <v>#N/A</v>
      </c>
      <c r="H572" t="s">
        <v>11</v>
      </c>
      <c r="I572" t="str">
        <f t="shared" ref="I572" si="283">IF(SUM(B571:E571)=0, "Score ok", "SOMME NON NULLE")</f>
        <v>Score ok</v>
      </c>
    </row>
    <row r="573" spans="1:11" x14ac:dyDescent="0.25">
      <c r="A573" t="s">
        <v>5</v>
      </c>
      <c r="B573" t="s">
        <v>0</v>
      </c>
      <c r="C573" t="s">
        <v>1</v>
      </c>
      <c r="D573" t="s">
        <v>2</v>
      </c>
      <c r="E573" t="s">
        <v>3</v>
      </c>
      <c r="F573" t="str">
        <f>Donnees!F573</f>
        <v>Partie 144</v>
      </c>
      <c r="H573" t="s">
        <v>10</v>
      </c>
      <c r="I573" t="str">
        <f t="shared" ref="I573" si="284">_xlfn.TEXTJOIN(";",TRUE,B574:E575)</f>
        <v/>
      </c>
    </row>
    <row r="574" spans="1:11" x14ac:dyDescent="0.25">
      <c r="A574" t="s">
        <v>6</v>
      </c>
      <c r="B574" s="1"/>
      <c r="C574" s="1"/>
      <c r="D574" s="1"/>
      <c r="E574" s="1"/>
      <c r="F574" s="3"/>
      <c r="H574" t="s">
        <v>9</v>
      </c>
      <c r="I574" t="e" cm="1">
        <f t="array" ref="I574">IF(AND(Donnees!B573:F576=Check!B573:F576),"Identique","PAS IDENTIQUE")</f>
        <v>#N/A</v>
      </c>
      <c r="J574" t="s">
        <v>32</v>
      </c>
      <c r="K574" t="str" cm="1">
        <f t="array" ref="K574">IF(MAX(COUNTIF(B574:E574,B574:E574)) &gt; 1, "JOUEUR EN DOUBLE", "Pas de doublons")</f>
        <v>Pas de doublons</v>
      </c>
    </row>
    <row r="575" spans="1:11" x14ac:dyDescent="0.25">
      <c r="A575" t="s">
        <v>7</v>
      </c>
      <c r="B575" s="1"/>
      <c r="C575" s="1"/>
      <c r="D575" s="1"/>
      <c r="E575" s="1"/>
      <c r="H575" t="s">
        <v>33</v>
      </c>
      <c r="I575" t="str">
        <f>IF(COUNTIF(I$1:I574,I573)&gt;1,"DOUBLON LIGNE " &amp; MATCH(I573,I$1:I574,0),"Pas de doublons")</f>
        <v>DOUBLON LIGNE 489</v>
      </c>
      <c r="J575" t="s">
        <v>34</v>
      </c>
      <c r="K575" t="str" cm="1">
        <f t="array" ref="K575">IF(SUM(--(NOT(ISNUMBER(MATCH(B574:E574,'EMA points'!A:A,0))))) &gt; 0, "NOM INEXISTANT", "Noms ok")</f>
        <v>NOM INEXISTANT</v>
      </c>
    </row>
    <row r="576" spans="1:11" x14ac:dyDescent="0.25">
      <c r="A576" t="s">
        <v>8</v>
      </c>
      <c r="B576" t="e">
        <f>Donnees!B576</f>
        <v>#N/A</v>
      </c>
      <c r="C576" t="e">
        <f>Donnees!C576</f>
        <v>#N/A</v>
      </c>
      <c r="D576" t="e">
        <f>Donnees!D576</f>
        <v>#N/A</v>
      </c>
      <c r="E576" t="e">
        <f>Donnees!E576</f>
        <v>#N/A</v>
      </c>
      <c r="H576" t="s">
        <v>11</v>
      </c>
      <c r="I576" t="str">
        <f t="shared" ref="I576" si="285">IF(SUM(B575:E575)=0, "Score ok", "SOMME NON NULLE")</f>
        <v>Score ok</v>
      </c>
    </row>
    <row r="577" spans="1:11" x14ac:dyDescent="0.25">
      <c r="A577" t="s">
        <v>5</v>
      </c>
      <c r="B577" t="s">
        <v>0</v>
      </c>
      <c r="C577" t="s">
        <v>1</v>
      </c>
      <c r="D577" t="s">
        <v>2</v>
      </c>
      <c r="E577" t="s">
        <v>3</v>
      </c>
      <c r="F577" t="str">
        <f>Donnees!F577</f>
        <v>Partie 145</v>
      </c>
      <c r="H577" t="s">
        <v>10</v>
      </c>
      <c r="I577" t="str">
        <f t="shared" ref="I577" si="286">_xlfn.TEXTJOIN(";",TRUE,B578:E579)</f>
        <v/>
      </c>
    </row>
    <row r="578" spans="1:11" x14ac:dyDescent="0.25">
      <c r="A578" t="s">
        <v>6</v>
      </c>
      <c r="B578" s="1"/>
      <c r="C578" s="1"/>
      <c r="D578" s="1"/>
      <c r="E578" s="1"/>
      <c r="F578" s="3"/>
      <c r="H578" t="s">
        <v>9</v>
      </c>
      <c r="I578" t="e" cm="1">
        <f t="array" ref="I578">IF(AND(Donnees!B577:F580=Check!B577:F580),"Identique","PAS IDENTIQUE")</f>
        <v>#N/A</v>
      </c>
      <c r="J578" t="s">
        <v>32</v>
      </c>
      <c r="K578" t="str" cm="1">
        <f t="array" ref="K578">IF(MAX(COUNTIF(B578:E578,B578:E578)) &gt; 1, "JOUEUR EN DOUBLE", "Pas de doublons")</f>
        <v>Pas de doublons</v>
      </c>
    </row>
    <row r="579" spans="1:11" x14ac:dyDescent="0.25">
      <c r="A579" t="s">
        <v>7</v>
      </c>
      <c r="B579" s="1"/>
      <c r="C579" s="1"/>
      <c r="D579" s="1"/>
      <c r="E579" s="1"/>
      <c r="H579" t="s">
        <v>33</v>
      </c>
      <c r="I579" t="str">
        <f>IF(COUNTIF(I$1:I578,I577)&gt;1,"DOUBLON LIGNE " &amp; MATCH(I577,I$1:I578,0),"Pas de doublons")</f>
        <v>DOUBLON LIGNE 489</v>
      </c>
      <c r="J579" t="s">
        <v>34</v>
      </c>
      <c r="K579" t="str" cm="1">
        <f t="array" ref="K579">IF(SUM(--(NOT(ISNUMBER(MATCH(B578:E578,'EMA points'!A:A,0))))) &gt; 0, "NOM INEXISTANT", "Noms ok")</f>
        <v>NOM INEXISTANT</v>
      </c>
    </row>
    <row r="580" spans="1:11" x14ac:dyDescent="0.25">
      <c r="A580" t="s">
        <v>8</v>
      </c>
      <c r="B580" t="e">
        <f>Donnees!B580</f>
        <v>#N/A</v>
      </c>
      <c r="C580" t="e">
        <f>Donnees!C580</f>
        <v>#N/A</v>
      </c>
      <c r="D580" t="e">
        <f>Donnees!D580</f>
        <v>#N/A</v>
      </c>
      <c r="E580" t="e">
        <f>Donnees!E580</f>
        <v>#N/A</v>
      </c>
      <c r="H580" t="s">
        <v>11</v>
      </c>
      <c r="I580" t="str">
        <f t="shared" ref="I580" si="287">IF(SUM(B579:E579)=0, "Score ok", "SOMME NON NULLE")</f>
        <v>Score ok</v>
      </c>
    </row>
    <row r="581" spans="1:11" x14ac:dyDescent="0.25">
      <c r="A581" t="s">
        <v>5</v>
      </c>
      <c r="B581" t="s">
        <v>0</v>
      </c>
      <c r="C581" t="s">
        <v>1</v>
      </c>
      <c r="D581" t="s">
        <v>2</v>
      </c>
      <c r="E581" t="s">
        <v>3</v>
      </c>
      <c r="F581" t="str">
        <f>Donnees!F581</f>
        <v>Partie 146</v>
      </c>
      <c r="H581" t="s">
        <v>10</v>
      </c>
      <c r="I581" t="str">
        <f t="shared" ref="I581" si="288">_xlfn.TEXTJOIN(";",TRUE,B582:E583)</f>
        <v/>
      </c>
    </row>
    <row r="582" spans="1:11" x14ac:dyDescent="0.25">
      <c r="A582" t="s">
        <v>6</v>
      </c>
      <c r="B582" s="1"/>
      <c r="C582" s="1"/>
      <c r="D582" s="1"/>
      <c r="E582" s="1"/>
      <c r="F582" s="3"/>
      <c r="H582" t="s">
        <v>9</v>
      </c>
      <c r="I582" t="e" cm="1">
        <f t="array" ref="I582">IF(AND(Donnees!B581:F584=Check!B581:F584),"Identique","PAS IDENTIQUE")</f>
        <v>#N/A</v>
      </c>
      <c r="J582" t="s">
        <v>32</v>
      </c>
      <c r="K582" t="str" cm="1">
        <f t="array" ref="K582">IF(MAX(COUNTIF(B582:E582,B582:E582)) &gt; 1, "JOUEUR EN DOUBLE", "Pas de doublons")</f>
        <v>Pas de doublons</v>
      </c>
    </row>
    <row r="583" spans="1:11" x14ac:dyDescent="0.25">
      <c r="A583" t="s">
        <v>7</v>
      </c>
      <c r="B583" s="1"/>
      <c r="C583" s="1"/>
      <c r="D583" s="1"/>
      <c r="E583" s="1"/>
      <c r="H583" t="s">
        <v>33</v>
      </c>
      <c r="I583" t="str">
        <f>IF(COUNTIF(I$1:I582,I581)&gt;1,"DOUBLON LIGNE " &amp; MATCH(I581,I$1:I582,0),"Pas de doublons")</f>
        <v>DOUBLON LIGNE 489</v>
      </c>
      <c r="J583" t="s">
        <v>34</v>
      </c>
      <c r="K583" t="str" cm="1">
        <f t="array" ref="K583">IF(SUM(--(NOT(ISNUMBER(MATCH(B582:E582,'EMA points'!A:A,0))))) &gt; 0, "NOM INEXISTANT", "Noms ok")</f>
        <v>NOM INEXISTANT</v>
      </c>
    </row>
    <row r="584" spans="1:11" x14ac:dyDescent="0.25">
      <c r="A584" t="s">
        <v>8</v>
      </c>
      <c r="B584" t="e">
        <f>Donnees!B584</f>
        <v>#N/A</v>
      </c>
      <c r="C584" t="e">
        <f>Donnees!C584</f>
        <v>#N/A</v>
      </c>
      <c r="D584" t="e">
        <f>Donnees!D584</f>
        <v>#N/A</v>
      </c>
      <c r="E584" t="e">
        <f>Donnees!E584</f>
        <v>#N/A</v>
      </c>
      <c r="H584" t="s">
        <v>11</v>
      </c>
      <c r="I584" t="str">
        <f t="shared" ref="I584" si="289">IF(SUM(B583:E583)=0, "Score ok", "SOMME NON NULLE")</f>
        <v>Score ok</v>
      </c>
    </row>
    <row r="585" spans="1:11" x14ac:dyDescent="0.25">
      <c r="A585" t="s">
        <v>5</v>
      </c>
      <c r="B585" t="s">
        <v>0</v>
      </c>
      <c r="C585" t="s">
        <v>1</v>
      </c>
      <c r="D585" t="s">
        <v>2</v>
      </c>
      <c r="E585" t="s">
        <v>3</v>
      </c>
      <c r="F585" t="str">
        <f>Donnees!F585</f>
        <v>Partie 147</v>
      </c>
      <c r="H585" t="s">
        <v>10</v>
      </c>
      <c r="I585" t="str">
        <f t="shared" ref="I585" si="290">_xlfn.TEXTJOIN(";",TRUE,B586:E587)</f>
        <v/>
      </c>
    </row>
    <row r="586" spans="1:11" x14ac:dyDescent="0.25">
      <c r="A586" t="s">
        <v>6</v>
      </c>
      <c r="B586" s="1"/>
      <c r="C586" s="1"/>
      <c r="D586" s="1"/>
      <c r="E586" s="1"/>
      <c r="F586" s="3"/>
      <c r="H586" t="s">
        <v>9</v>
      </c>
      <c r="I586" t="e" cm="1">
        <f t="array" ref="I586">IF(AND(Donnees!B585:F588=Check!B585:F588),"Identique","PAS IDENTIQUE")</f>
        <v>#N/A</v>
      </c>
      <c r="J586" t="s">
        <v>32</v>
      </c>
      <c r="K586" t="str" cm="1">
        <f t="array" ref="K586">IF(MAX(COUNTIF(B586:E586,B586:E586)) &gt; 1, "JOUEUR EN DOUBLE", "Pas de doublons")</f>
        <v>Pas de doublons</v>
      </c>
    </row>
    <row r="587" spans="1:11" x14ac:dyDescent="0.25">
      <c r="A587" t="s">
        <v>7</v>
      </c>
      <c r="B587" s="1"/>
      <c r="C587" s="1"/>
      <c r="D587" s="1"/>
      <c r="E587" s="1"/>
      <c r="H587" t="s">
        <v>33</v>
      </c>
      <c r="I587" t="str">
        <f>IF(COUNTIF(I$1:I586,I585)&gt;1,"DOUBLON LIGNE " &amp; MATCH(I585,I$1:I586,0),"Pas de doublons")</f>
        <v>DOUBLON LIGNE 489</v>
      </c>
      <c r="J587" t="s">
        <v>34</v>
      </c>
      <c r="K587" t="str" cm="1">
        <f t="array" ref="K587">IF(SUM(--(NOT(ISNUMBER(MATCH(B586:E586,'EMA points'!A:A,0))))) &gt; 0, "NOM INEXISTANT", "Noms ok")</f>
        <v>NOM INEXISTANT</v>
      </c>
    </row>
    <row r="588" spans="1:11" x14ac:dyDescent="0.25">
      <c r="A588" t="s">
        <v>8</v>
      </c>
      <c r="B588" t="e">
        <f>Donnees!B588</f>
        <v>#N/A</v>
      </c>
      <c r="C588" t="e">
        <f>Donnees!C588</f>
        <v>#N/A</v>
      </c>
      <c r="D588" t="e">
        <f>Donnees!D588</f>
        <v>#N/A</v>
      </c>
      <c r="E588" t="e">
        <f>Donnees!E588</f>
        <v>#N/A</v>
      </c>
      <c r="H588" t="s">
        <v>11</v>
      </c>
      <c r="I588" t="str">
        <f t="shared" ref="I588" si="291">IF(SUM(B587:E587)=0, "Score ok", "SOMME NON NULLE")</f>
        <v>Score ok</v>
      </c>
    </row>
    <row r="589" spans="1:11" x14ac:dyDescent="0.25">
      <c r="A589" t="s">
        <v>5</v>
      </c>
      <c r="B589" t="s">
        <v>0</v>
      </c>
      <c r="C589" t="s">
        <v>1</v>
      </c>
      <c r="D589" t="s">
        <v>2</v>
      </c>
      <c r="E589" t="s">
        <v>3</v>
      </c>
      <c r="F589" t="str">
        <f>Donnees!F589</f>
        <v>Partie 148</v>
      </c>
      <c r="H589" t="s">
        <v>10</v>
      </c>
      <c r="I589" t="str">
        <f t="shared" ref="I589" si="292">_xlfn.TEXTJOIN(";",TRUE,B590:E591)</f>
        <v/>
      </c>
    </row>
    <row r="590" spans="1:11" x14ac:dyDescent="0.25">
      <c r="A590" t="s">
        <v>6</v>
      </c>
      <c r="B590" s="1"/>
      <c r="C590" s="1"/>
      <c r="D590" s="1"/>
      <c r="E590" s="1"/>
      <c r="F590" s="3"/>
      <c r="H590" t="s">
        <v>9</v>
      </c>
      <c r="I590" t="e" cm="1">
        <f t="array" ref="I590">IF(AND(Donnees!B589:F592=Check!B589:F592),"Identique","PAS IDENTIQUE")</f>
        <v>#N/A</v>
      </c>
      <c r="J590" t="s">
        <v>32</v>
      </c>
      <c r="K590" t="str" cm="1">
        <f t="array" ref="K590">IF(MAX(COUNTIF(B590:E590,B590:E590)) &gt; 1, "JOUEUR EN DOUBLE", "Pas de doublons")</f>
        <v>Pas de doublons</v>
      </c>
    </row>
    <row r="591" spans="1:11" x14ac:dyDescent="0.25">
      <c r="A591" t="s">
        <v>7</v>
      </c>
      <c r="B591" s="1"/>
      <c r="C591" s="1"/>
      <c r="D591" s="1"/>
      <c r="E591" s="1"/>
      <c r="H591" t="s">
        <v>33</v>
      </c>
      <c r="I591" t="str">
        <f>IF(COUNTIF(I$1:I590,I589)&gt;1,"DOUBLON LIGNE " &amp; MATCH(I589,I$1:I590,0),"Pas de doublons")</f>
        <v>DOUBLON LIGNE 489</v>
      </c>
      <c r="J591" t="s">
        <v>34</v>
      </c>
      <c r="K591" t="str" cm="1">
        <f t="array" ref="K591">IF(SUM(--(NOT(ISNUMBER(MATCH(B590:E590,'EMA points'!A:A,0))))) &gt; 0, "NOM INEXISTANT", "Noms ok")</f>
        <v>NOM INEXISTANT</v>
      </c>
    </row>
    <row r="592" spans="1:11" x14ac:dyDescent="0.25">
      <c r="A592" t="s">
        <v>8</v>
      </c>
      <c r="B592" t="e">
        <f>Donnees!B592</f>
        <v>#N/A</v>
      </c>
      <c r="C592" t="e">
        <f>Donnees!C592</f>
        <v>#N/A</v>
      </c>
      <c r="D592" t="e">
        <f>Donnees!D592</f>
        <v>#N/A</v>
      </c>
      <c r="E592" t="e">
        <f>Donnees!E592</f>
        <v>#N/A</v>
      </c>
      <c r="H592" t="s">
        <v>11</v>
      </c>
      <c r="I592" t="str">
        <f t="shared" ref="I592" si="293">IF(SUM(B591:E591)=0, "Score ok", "SOMME NON NULLE")</f>
        <v>Score ok</v>
      </c>
    </row>
    <row r="593" spans="1:11" x14ac:dyDescent="0.25">
      <c r="A593" t="s">
        <v>5</v>
      </c>
      <c r="B593" t="s">
        <v>0</v>
      </c>
      <c r="C593" t="s">
        <v>1</v>
      </c>
      <c r="D593" t="s">
        <v>2</v>
      </c>
      <c r="E593" t="s">
        <v>3</v>
      </c>
      <c r="F593" t="str">
        <f>Donnees!F593</f>
        <v>Partie 149</v>
      </c>
      <c r="H593" t="s">
        <v>10</v>
      </c>
      <c r="I593" t="str">
        <f t="shared" ref="I593" si="294">_xlfn.TEXTJOIN(";",TRUE,B594:E595)</f>
        <v/>
      </c>
    </row>
    <row r="594" spans="1:11" x14ac:dyDescent="0.25">
      <c r="A594" t="s">
        <v>6</v>
      </c>
      <c r="B594" s="1"/>
      <c r="C594" s="1"/>
      <c r="D594" s="1"/>
      <c r="E594" s="1"/>
      <c r="F594" s="3"/>
      <c r="H594" t="s">
        <v>9</v>
      </c>
      <c r="I594" t="e" cm="1">
        <f t="array" ref="I594">IF(AND(Donnees!B593:F596=Check!B593:F596),"Identique","PAS IDENTIQUE")</f>
        <v>#N/A</v>
      </c>
      <c r="J594" t="s">
        <v>32</v>
      </c>
      <c r="K594" t="str" cm="1">
        <f t="array" ref="K594">IF(MAX(COUNTIF(B594:E594,B594:E594)) &gt; 1, "JOUEUR EN DOUBLE", "Pas de doublons")</f>
        <v>Pas de doublons</v>
      </c>
    </row>
    <row r="595" spans="1:11" x14ac:dyDescent="0.25">
      <c r="A595" t="s">
        <v>7</v>
      </c>
      <c r="B595" s="1"/>
      <c r="C595" s="1"/>
      <c r="D595" s="1"/>
      <c r="E595" s="1"/>
      <c r="H595" t="s">
        <v>33</v>
      </c>
      <c r="I595" t="str">
        <f>IF(COUNTIF(I$1:I594,I593)&gt;1,"DOUBLON LIGNE " &amp; MATCH(I593,I$1:I594,0),"Pas de doublons")</f>
        <v>DOUBLON LIGNE 489</v>
      </c>
      <c r="J595" t="s">
        <v>34</v>
      </c>
      <c r="K595" t="str" cm="1">
        <f t="array" ref="K595">IF(SUM(--(NOT(ISNUMBER(MATCH(B594:E594,'EMA points'!A:A,0))))) &gt; 0, "NOM INEXISTANT", "Noms ok")</f>
        <v>NOM INEXISTANT</v>
      </c>
    </row>
    <row r="596" spans="1:11" x14ac:dyDescent="0.25">
      <c r="A596" t="s">
        <v>8</v>
      </c>
      <c r="B596" t="e">
        <f>Donnees!B596</f>
        <v>#N/A</v>
      </c>
      <c r="C596" t="e">
        <f>Donnees!C596</f>
        <v>#N/A</v>
      </c>
      <c r="D596" t="e">
        <f>Donnees!D596</f>
        <v>#N/A</v>
      </c>
      <c r="E596" t="e">
        <f>Donnees!E596</f>
        <v>#N/A</v>
      </c>
      <c r="H596" t="s">
        <v>11</v>
      </c>
      <c r="I596" t="str">
        <f t="shared" ref="I596" si="295">IF(SUM(B595:E595)=0, "Score ok", "SOMME NON NULLE")</f>
        <v>Score ok</v>
      </c>
    </row>
    <row r="597" spans="1:11" x14ac:dyDescent="0.25">
      <c r="A597" t="s">
        <v>5</v>
      </c>
      <c r="B597" t="s">
        <v>0</v>
      </c>
      <c r="C597" t="s">
        <v>1</v>
      </c>
      <c r="D597" t="s">
        <v>2</v>
      </c>
      <c r="E597" t="s">
        <v>3</v>
      </c>
      <c r="F597" t="str">
        <f>Donnees!F597</f>
        <v>Partie 150</v>
      </c>
      <c r="H597" t="s">
        <v>10</v>
      </c>
      <c r="I597" t="str">
        <f t="shared" ref="I597" si="296">_xlfn.TEXTJOIN(";",TRUE,B598:E599)</f>
        <v/>
      </c>
    </row>
    <row r="598" spans="1:11" x14ac:dyDescent="0.25">
      <c r="A598" t="s">
        <v>6</v>
      </c>
      <c r="B598" s="1"/>
      <c r="C598" s="1"/>
      <c r="D598" s="1"/>
      <c r="E598" s="1"/>
      <c r="F598" s="3"/>
      <c r="H598" t="s">
        <v>9</v>
      </c>
      <c r="I598" t="e" cm="1">
        <f t="array" ref="I598">IF(AND(Donnees!B597:F600=Check!B597:F600),"Identique","PAS IDENTIQUE")</f>
        <v>#N/A</v>
      </c>
      <c r="J598" t="s">
        <v>32</v>
      </c>
      <c r="K598" t="str" cm="1">
        <f t="array" ref="K598">IF(MAX(COUNTIF(B598:E598,B598:E598)) &gt; 1, "JOUEUR EN DOUBLE", "Pas de doublons")</f>
        <v>Pas de doublons</v>
      </c>
    </row>
    <row r="599" spans="1:11" x14ac:dyDescent="0.25">
      <c r="A599" t="s">
        <v>7</v>
      </c>
      <c r="B599" s="1"/>
      <c r="C599" s="1"/>
      <c r="D599" s="1"/>
      <c r="E599" s="1"/>
      <c r="H599" t="s">
        <v>33</v>
      </c>
      <c r="I599" t="str">
        <f>IF(COUNTIF(I$1:I598,I597)&gt;1,"DOUBLON LIGNE " &amp; MATCH(I597,I$1:I598,0),"Pas de doublons")</f>
        <v>DOUBLON LIGNE 489</v>
      </c>
      <c r="J599" t="s">
        <v>34</v>
      </c>
      <c r="K599" t="str" cm="1">
        <f t="array" ref="K599">IF(SUM(--(NOT(ISNUMBER(MATCH(B598:E598,'EMA points'!A:A,0))))) &gt; 0, "NOM INEXISTANT", "Noms ok")</f>
        <v>NOM INEXISTANT</v>
      </c>
    </row>
    <row r="600" spans="1:11" x14ac:dyDescent="0.25">
      <c r="A600" t="s">
        <v>8</v>
      </c>
      <c r="B600" t="e">
        <f>Donnees!B600</f>
        <v>#N/A</v>
      </c>
      <c r="C600" t="e">
        <f>Donnees!C600</f>
        <v>#N/A</v>
      </c>
      <c r="D600" t="e">
        <f>Donnees!D600</f>
        <v>#N/A</v>
      </c>
      <c r="E600" t="e">
        <f>Donnees!E600</f>
        <v>#N/A</v>
      </c>
      <c r="H600" t="s">
        <v>11</v>
      </c>
      <c r="I600" t="str">
        <f t="shared" ref="I600" si="297">IF(SUM(B599:E599)=0, "Score ok", "SOMME NON NULLE")</f>
        <v>Score ok</v>
      </c>
    </row>
    <row r="601" spans="1:11" x14ac:dyDescent="0.25">
      <c r="A601" t="s">
        <v>5</v>
      </c>
      <c r="B601" t="s">
        <v>0</v>
      </c>
      <c r="C601" t="s">
        <v>1</v>
      </c>
      <c r="D601" t="s">
        <v>2</v>
      </c>
      <c r="E601" t="s">
        <v>3</v>
      </c>
      <c r="F601" t="str">
        <f>Donnees!F601</f>
        <v>Partie 151</v>
      </c>
      <c r="H601" t="s">
        <v>10</v>
      </c>
      <c r="I601" t="str">
        <f t="shared" ref="I601" si="298">_xlfn.TEXTJOIN(";",TRUE,B602:E603)</f>
        <v/>
      </c>
    </row>
    <row r="602" spans="1:11" x14ac:dyDescent="0.25">
      <c r="A602" t="s">
        <v>6</v>
      </c>
      <c r="B602" s="1"/>
      <c r="C602" s="1"/>
      <c r="D602" s="1"/>
      <c r="E602" s="1"/>
      <c r="F602" s="3"/>
      <c r="H602" t="s">
        <v>9</v>
      </c>
      <c r="I602" t="e" cm="1">
        <f t="array" ref="I602">IF(AND(Donnees!B601:F604=Check!B601:F604),"Identique","PAS IDENTIQUE")</f>
        <v>#N/A</v>
      </c>
      <c r="J602" t="s">
        <v>32</v>
      </c>
      <c r="K602" t="str" cm="1">
        <f t="array" ref="K602">IF(MAX(COUNTIF(B602:E602,B602:E602)) &gt; 1, "JOUEUR EN DOUBLE", "Pas de doublons")</f>
        <v>Pas de doublons</v>
      </c>
    </row>
    <row r="603" spans="1:11" x14ac:dyDescent="0.25">
      <c r="A603" t="s">
        <v>7</v>
      </c>
      <c r="B603" s="1"/>
      <c r="C603" s="1"/>
      <c r="D603" s="1"/>
      <c r="E603" s="1"/>
      <c r="H603" t="s">
        <v>33</v>
      </c>
      <c r="I603" t="str">
        <f>IF(COUNTIF(I$1:I602,I601)&gt;1,"DOUBLON LIGNE " &amp; MATCH(I601,I$1:I602,0),"Pas de doublons")</f>
        <v>DOUBLON LIGNE 489</v>
      </c>
      <c r="J603" t="s">
        <v>34</v>
      </c>
      <c r="K603" t="str" cm="1">
        <f t="array" ref="K603">IF(SUM(--(NOT(ISNUMBER(MATCH(B602:E602,'EMA points'!A:A,0))))) &gt; 0, "NOM INEXISTANT", "Noms ok")</f>
        <v>NOM INEXISTANT</v>
      </c>
    </row>
    <row r="604" spans="1:11" x14ac:dyDescent="0.25">
      <c r="A604" t="s">
        <v>8</v>
      </c>
      <c r="B604" t="e">
        <f>Donnees!B604</f>
        <v>#N/A</v>
      </c>
      <c r="C604" t="e">
        <f>Donnees!C604</f>
        <v>#N/A</v>
      </c>
      <c r="D604" t="e">
        <f>Donnees!D604</f>
        <v>#N/A</v>
      </c>
      <c r="E604" t="e">
        <f>Donnees!E604</f>
        <v>#N/A</v>
      </c>
      <c r="H604" t="s">
        <v>11</v>
      </c>
      <c r="I604" t="str">
        <f t="shared" ref="I604" si="299">IF(SUM(B603:E603)=0, "Score ok", "SOMME NON NULLE")</f>
        <v>Score ok</v>
      </c>
    </row>
    <row r="605" spans="1:11" x14ac:dyDescent="0.25">
      <c r="A605" t="s">
        <v>5</v>
      </c>
      <c r="B605" t="s">
        <v>0</v>
      </c>
      <c r="C605" t="s">
        <v>1</v>
      </c>
      <c r="D605" t="s">
        <v>2</v>
      </c>
      <c r="E605" t="s">
        <v>3</v>
      </c>
      <c r="F605" t="str">
        <f>Donnees!F605</f>
        <v>Partie 152</v>
      </c>
      <c r="H605" t="s">
        <v>10</v>
      </c>
      <c r="I605" t="str">
        <f t="shared" ref="I605" si="300">_xlfn.TEXTJOIN(";",TRUE,B606:E607)</f>
        <v/>
      </c>
    </row>
    <row r="606" spans="1:11" x14ac:dyDescent="0.25">
      <c r="A606" t="s">
        <v>6</v>
      </c>
      <c r="B606" s="1"/>
      <c r="C606" s="1"/>
      <c r="D606" s="1"/>
      <c r="E606" s="1"/>
      <c r="F606" s="3"/>
      <c r="H606" t="s">
        <v>9</v>
      </c>
      <c r="I606" t="e" cm="1">
        <f t="array" ref="I606">IF(AND(Donnees!B605:F608=Check!B605:F608),"Identique","PAS IDENTIQUE")</f>
        <v>#N/A</v>
      </c>
      <c r="J606" t="s">
        <v>32</v>
      </c>
      <c r="K606" t="str" cm="1">
        <f t="array" ref="K606">IF(MAX(COUNTIF(B606:E606,B606:E606)) &gt; 1, "JOUEUR EN DOUBLE", "Pas de doublons")</f>
        <v>Pas de doublons</v>
      </c>
    </row>
    <row r="607" spans="1:11" x14ac:dyDescent="0.25">
      <c r="A607" t="s">
        <v>7</v>
      </c>
      <c r="B607" s="1"/>
      <c r="C607" s="1"/>
      <c r="D607" s="1"/>
      <c r="E607" s="1"/>
      <c r="H607" t="s">
        <v>33</v>
      </c>
      <c r="I607" t="str">
        <f>IF(COUNTIF(I$1:I606,I605)&gt;1,"DOUBLON LIGNE " &amp; MATCH(I605,I$1:I606,0),"Pas de doublons")</f>
        <v>DOUBLON LIGNE 489</v>
      </c>
      <c r="J607" t="s">
        <v>34</v>
      </c>
      <c r="K607" t="str" cm="1">
        <f t="array" ref="K607">IF(SUM(--(NOT(ISNUMBER(MATCH(B606:E606,'EMA points'!A:A,0))))) &gt; 0, "NOM INEXISTANT", "Noms ok")</f>
        <v>NOM INEXISTANT</v>
      </c>
    </row>
    <row r="608" spans="1:11" x14ac:dyDescent="0.25">
      <c r="A608" t="s">
        <v>8</v>
      </c>
      <c r="B608" t="e">
        <f>Donnees!B608</f>
        <v>#N/A</v>
      </c>
      <c r="C608" t="e">
        <f>Donnees!C608</f>
        <v>#N/A</v>
      </c>
      <c r="D608" t="e">
        <f>Donnees!D608</f>
        <v>#N/A</v>
      </c>
      <c r="E608" t="e">
        <f>Donnees!E608</f>
        <v>#N/A</v>
      </c>
      <c r="H608" t="s">
        <v>11</v>
      </c>
      <c r="I608" t="str">
        <f t="shared" ref="I608" si="301">IF(SUM(B607:E607)=0, "Score ok", "SOMME NON NULLE")</f>
        <v>Score ok</v>
      </c>
    </row>
    <row r="609" spans="1:11" x14ac:dyDescent="0.25">
      <c r="A609" t="s">
        <v>5</v>
      </c>
      <c r="B609" t="s">
        <v>0</v>
      </c>
      <c r="C609" t="s">
        <v>1</v>
      </c>
      <c r="D609" t="s">
        <v>2</v>
      </c>
      <c r="E609" t="s">
        <v>3</v>
      </c>
      <c r="F609" t="str">
        <f>Donnees!F609</f>
        <v>Partie 153</v>
      </c>
      <c r="H609" t="s">
        <v>10</v>
      </c>
      <c r="I609" t="str">
        <f t="shared" ref="I609" si="302">_xlfn.TEXTJOIN(";",TRUE,B610:E611)</f>
        <v/>
      </c>
    </row>
    <row r="610" spans="1:11" x14ac:dyDescent="0.25">
      <c r="A610" t="s">
        <v>6</v>
      </c>
      <c r="B610" s="1"/>
      <c r="C610" s="1"/>
      <c r="D610" s="1"/>
      <c r="E610" s="1"/>
      <c r="F610" s="3"/>
      <c r="H610" t="s">
        <v>9</v>
      </c>
      <c r="I610" t="e" cm="1">
        <f t="array" ref="I610">IF(AND(Donnees!B609:F612=Check!B609:F612),"Identique","PAS IDENTIQUE")</f>
        <v>#N/A</v>
      </c>
      <c r="J610" t="s">
        <v>32</v>
      </c>
      <c r="K610" t="str" cm="1">
        <f t="array" ref="K610">IF(MAX(COUNTIF(B610:E610,B610:E610)) &gt; 1, "JOUEUR EN DOUBLE", "Pas de doublons")</f>
        <v>Pas de doublons</v>
      </c>
    </row>
    <row r="611" spans="1:11" x14ac:dyDescent="0.25">
      <c r="A611" t="s">
        <v>7</v>
      </c>
      <c r="B611" s="1"/>
      <c r="C611" s="1"/>
      <c r="D611" s="1"/>
      <c r="E611" s="1"/>
      <c r="H611" t="s">
        <v>33</v>
      </c>
      <c r="I611" t="str">
        <f>IF(COUNTIF(I$1:I610,I609)&gt;1,"DOUBLON LIGNE " &amp; MATCH(I609,I$1:I610,0),"Pas de doublons")</f>
        <v>DOUBLON LIGNE 489</v>
      </c>
      <c r="J611" t="s">
        <v>34</v>
      </c>
      <c r="K611" t="str" cm="1">
        <f t="array" ref="K611">IF(SUM(--(NOT(ISNUMBER(MATCH(B610:E610,'EMA points'!A:A,0))))) &gt; 0, "NOM INEXISTANT", "Noms ok")</f>
        <v>NOM INEXISTANT</v>
      </c>
    </row>
    <row r="612" spans="1:11" x14ac:dyDescent="0.25">
      <c r="A612" t="s">
        <v>8</v>
      </c>
      <c r="B612" t="e">
        <f>Donnees!B612</f>
        <v>#N/A</v>
      </c>
      <c r="C612" t="e">
        <f>Donnees!C612</f>
        <v>#N/A</v>
      </c>
      <c r="D612" t="e">
        <f>Donnees!D612</f>
        <v>#N/A</v>
      </c>
      <c r="E612" t="e">
        <f>Donnees!E612</f>
        <v>#N/A</v>
      </c>
      <c r="H612" t="s">
        <v>11</v>
      </c>
      <c r="I612" t="str">
        <f t="shared" ref="I612" si="303">IF(SUM(B611:E611)=0, "Score ok", "SOMME NON NULLE")</f>
        <v>Score ok</v>
      </c>
    </row>
    <row r="613" spans="1:11" x14ac:dyDescent="0.25">
      <c r="A613" t="s">
        <v>5</v>
      </c>
      <c r="B613" t="s">
        <v>0</v>
      </c>
      <c r="C613" t="s">
        <v>1</v>
      </c>
      <c r="D613" t="s">
        <v>2</v>
      </c>
      <c r="E613" t="s">
        <v>3</v>
      </c>
      <c r="F613" t="str">
        <f>Donnees!F613</f>
        <v>Partie 154</v>
      </c>
      <c r="H613" t="s">
        <v>10</v>
      </c>
      <c r="I613" t="str">
        <f t="shared" ref="I613" si="304">_xlfn.TEXTJOIN(";",TRUE,B614:E615)</f>
        <v/>
      </c>
    </row>
    <row r="614" spans="1:11" x14ac:dyDescent="0.25">
      <c r="A614" t="s">
        <v>6</v>
      </c>
      <c r="B614" s="1"/>
      <c r="C614" s="1"/>
      <c r="D614" s="1"/>
      <c r="E614" s="1"/>
      <c r="F614" s="3"/>
      <c r="H614" t="s">
        <v>9</v>
      </c>
      <c r="I614" t="e" cm="1">
        <f t="array" ref="I614">IF(AND(Donnees!B613:F616=Check!B613:F616),"Identique","PAS IDENTIQUE")</f>
        <v>#N/A</v>
      </c>
      <c r="J614" t="s">
        <v>32</v>
      </c>
      <c r="K614" t="str" cm="1">
        <f t="array" ref="K614">IF(MAX(COUNTIF(B614:E614,B614:E614)) &gt; 1, "JOUEUR EN DOUBLE", "Pas de doublons")</f>
        <v>Pas de doublons</v>
      </c>
    </row>
    <row r="615" spans="1:11" x14ac:dyDescent="0.25">
      <c r="A615" t="s">
        <v>7</v>
      </c>
      <c r="B615" s="1"/>
      <c r="C615" s="1"/>
      <c r="D615" s="1"/>
      <c r="E615" s="1"/>
      <c r="H615" t="s">
        <v>33</v>
      </c>
      <c r="I615" t="str">
        <f>IF(COUNTIF(I$1:I614,I613)&gt;1,"DOUBLON LIGNE " &amp; MATCH(I613,I$1:I614,0),"Pas de doublons")</f>
        <v>DOUBLON LIGNE 489</v>
      </c>
      <c r="J615" t="s">
        <v>34</v>
      </c>
      <c r="K615" t="str" cm="1">
        <f t="array" ref="K615">IF(SUM(--(NOT(ISNUMBER(MATCH(B614:E614,'EMA points'!A:A,0))))) &gt; 0, "NOM INEXISTANT", "Noms ok")</f>
        <v>NOM INEXISTANT</v>
      </c>
    </row>
    <row r="616" spans="1:11" x14ac:dyDescent="0.25">
      <c r="A616" t="s">
        <v>8</v>
      </c>
      <c r="B616" t="e">
        <f>Donnees!B616</f>
        <v>#N/A</v>
      </c>
      <c r="C616" t="e">
        <f>Donnees!C616</f>
        <v>#N/A</v>
      </c>
      <c r="D616" t="e">
        <f>Donnees!D616</f>
        <v>#N/A</v>
      </c>
      <c r="E616" t="e">
        <f>Donnees!E616</f>
        <v>#N/A</v>
      </c>
      <c r="H616" t="s">
        <v>11</v>
      </c>
      <c r="I616" t="str">
        <f t="shared" ref="I616" si="305">IF(SUM(B615:E615)=0, "Score ok", "SOMME NON NULLE")</f>
        <v>Score ok</v>
      </c>
    </row>
    <row r="617" spans="1:11" x14ac:dyDescent="0.25">
      <c r="A617" t="s">
        <v>5</v>
      </c>
      <c r="B617" t="s">
        <v>0</v>
      </c>
      <c r="C617" t="s">
        <v>1</v>
      </c>
      <c r="D617" t="s">
        <v>2</v>
      </c>
      <c r="E617" t="s">
        <v>3</v>
      </c>
      <c r="F617" t="str">
        <f>Donnees!F617</f>
        <v>Partie 155</v>
      </c>
      <c r="H617" t="s">
        <v>10</v>
      </c>
      <c r="I617" t="str">
        <f t="shared" ref="I617" si="306">_xlfn.TEXTJOIN(";",TRUE,B618:E619)</f>
        <v/>
      </c>
    </row>
    <row r="618" spans="1:11" x14ac:dyDescent="0.25">
      <c r="A618" t="s">
        <v>6</v>
      </c>
      <c r="B618" s="1"/>
      <c r="C618" s="1"/>
      <c r="D618" s="1"/>
      <c r="E618" s="1"/>
      <c r="F618" s="3"/>
      <c r="H618" t="s">
        <v>9</v>
      </c>
      <c r="I618" t="e" cm="1">
        <f t="array" ref="I618">IF(AND(Donnees!B617:F620=Check!B617:F620),"Identique","PAS IDENTIQUE")</f>
        <v>#N/A</v>
      </c>
      <c r="J618" t="s">
        <v>32</v>
      </c>
      <c r="K618" t="str" cm="1">
        <f t="array" ref="K618">IF(MAX(COUNTIF(B618:E618,B618:E618)) &gt; 1, "JOUEUR EN DOUBLE", "Pas de doublons")</f>
        <v>Pas de doublons</v>
      </c>
    </row>
    <row r="619" spans="1:11" x14ac:dyDescent="0.25">
      <c r="A619" t="s">
        <v>7</v>
      </c>
      <c r="B619" s="1"/>
      <c r="C619" s="1"/>
      <c r="D619" s="1"/>
      <c r="E619" s="1"/>
      <c r="H619" t="s">
        <v>33</v>
      </c>
      <c r="I619" t="str">
        <f>IF(COUNTIF(I$1:I618,I617)&gt;1,"DOUBLON LIGNE " &amp; MATCH(I617,I$1:I618,0),"Pas de doublons")</f>
        <v>DOUBLON LIGNE 489</v>
      </c>
      <c r="J619" t="s">
        <v>34</v>
      </c>
      <c r="K619" t="str" cm="1">
        <f t="array" ref="K619">IF(SUM(--(NOT(ISNUMBER(MATCH(B618:E618,'EMA points'!A:A,0))))) &gt; 0, "NOM INEXISTANT", "Noms ok")</f>
        <v>NOM INEXISTANT</v>
      </c>
    </row>
    <row r="620" spans="1:11" x14ac:dyDescent="0.25">
      <c r="A620" t="s">
        <v>8</v>
      </c>
      <c r="B620" t="e">
        <f>Donnees!B620</f>
        <v>#N/A</v>
      </c>
      <c r="C620" t="e">
        <f>Donnees!C620</f>
        <v>#N/A</v>
      </c>
      <c r="D620" t="e">
        <f>Donnees!D620</f>
        <v>#N/A</v>
      </c>
      <c r="E620" t="e">
        <f>Donnees!E620</f>
        <v>#N/A</v>
      </c>
      <c r="H620" t="s">
        <v>11</v>
      </c>
      <c r="I620" t="str">
        <f t="shared" ref="I620" si="307">IF(SUM(B619:E619)=0, "Score ok", "SOMME NON NULLE")</f>
        <v>Score ok</v>
      </c>
    </row>
    <row r="621" spans="1:11" x14ac:dyDescent="0.25">
      <c r="A621" t="s">
        <v>5</v>
      </c>
      <c r="B621" t="s">
        <v>0</v>
      </c>
      <c r="C621" t="s">
        <v>1</v>
      </c>
      <c r="D621" t="s">
        <v>2</v>
      </c>
      <c r="E621" t="s">
        <v>3</v>
      </c>
      <c r="F621" t="str">
        <f>Donnees!F621</f>
        <v>Partie 156</v>
      </c>
      <c r="H621" t="s">
        <v>10</v>
      </c>
      <c r="I621" t="str">
        <f t="shared" ref="I621" si="308">_xlfn.TEXTJOIN(";",TRUE,B622:E623)</f>
        <v/>
      </c>
    </row>
    <row r="622" spans="1:11" x14ac:dyDescent="0.25">
      <c r="A622" t="s">
        <v>6</v>
      </c>
      <c r="B622" s="1"/>
      <c r="C622" s="1"/>
      <c r="D622" s="1"/>
      <c r="E622" s="1"/>
      <c r="F622" s="3"/>
      <c r="H622" t="s">
        <v>9</v>
      </c>
      <c r="I622" t="e" cm="1">
        <f t="array" ref="I622">IF(AND(Donnees!B621:F624=Check!B621:F624),"Identique","PAS IDENTIQUE")</f>
        <v>#N/A</v>
      </c>
      <c r="J622" t="s">
        <v>32</v>
      </c>
      <c r="K622" t="str" cm="1">
        <f t="array" ref="K622">IF(MAX(COUNTIF(B622:E622,B622:E622)) &gt; 1, "JOUEUR EN DOUBLE", "Pas de doublons")</f>
        <v>Pas de doublons</v>
      </c>
    </row>
    <row r="623" spans="1:11" x14ac:dyDescent="0.25">
      <c r="A623" t="s">
        <v>7</v>
      </c>
      <c r="B623" s="1"/>
      <c r="C623" s="1"/>
      <c r="D623" s="1"/>
      <c r="E623" s="1"/>
      <c r="H623" t="s">
        <v>33</v>
      </c>
      <c r="I623" t="str">
        <f>IF(COUNTIF(I$1:I622,I621)&gt;1,"DOUBLON LIGNE " &amp; MATCH(I621,I$1:I622,0),"Pas de doublons")</f>
        <v>DOUBLON LIGNE 489</v>
      </c>
      <c r="J623" t="s">
        <v>34</v>
      </c>
      <c r="K623" t="str" cm="1">
        <f t="array" ref="K623">IF(SUM(--(NOT(ISNUMBER(MATCH(B622:E622,'EMA points'!A:A,0))))) &gt; 0, "NOM INEXISTANT", "Noms ok")</f>
        <v>NOM INEXISTANT</v>
      </c>
    </row>
    <row r="624" spans="1:11" x14ac:dyDescent="0.25">
      <c r="A624" t="s">
        <v>8</v>
      </c>
      <c r="B624" t="e">
        <f>Donnees!B624</f>
        <v>#N/A</v>
      </c>
      <c r="C624" t="e">
        <f>Donnees!C624</f>
        <v>#N/A</v>
      </c>
      <c r="D624" t="e">
        <f>Donnees!D624</f>
        <v>#N/A</v>
      </c>
      <c r="E624" t="e">
        <f>Donnees!E624</f>
        <v>#N/A</v>
      </c>
      <c r="H624" t="s">
        <v>11</v>
      </c>
      <c r="I624" t="str">
        <f t="shared" ref="I624" si="309">IF(SUM(B623:E623)=0, "Score ok", "SOMME NON NULLE")</f>
        <v>Score ok</v>
      </c>
    </row>
    <row r="625" spans="1:11" x14ac:dyDescent="0.25">
      <c r="A625" t="s">
        <v>5</v>
      </c>
      <c r="B625" t="s">
        <v>0</v>
      </c>
      <c r="C625" t="s">
        <v>1</v>
      </c>
      <c r="D625" t="s">
        <v>2</v>
      </c>
      <c r="E625" t="s">
        <v>3</v>
      </c>
      <c r="F625" t="str">
        <f>Donnees!F625</f>
        <v>Partie 157</v>
      </c>
      <c r="H625" t="s">
        <v>10</v>
      </c>
      <c r="I625" t="str">
        <f t="shared" ref="I625" si="310">_xlfn.TEXTJOIN(";",TRUE,B626:E627)</f>
        <v/>
      </c>
    </row>
    <row r="626" spans="1:11" x14ac:dyDescent="0.25">
      <c r="A626" t="s">
        <v>6</v>
      </c>
      <c r="B626" s="1"/>
      <c r="C626" s="1"/>
      <c r="D626" s="1"/>
      <c r="E626" s="1"/>
      <c r="F626" s="3"/>
      <c r="H626" t="s">
        <v>9</v>
      </c>
      <c r="I626" t="e" cm="1">
        <f t="array" ref="I626">IF(AND(Donnees!B625:F628=Check!B625:F628),"Identique","PAS IDENTIQUE")</f>
        <v>#N/A</v>
      </c>
      <c r="J626" t="s">
        <v>32</v>
      </c>
      <c r="K626" t="str" cm="1">
        <f t="array" ref="K626">IF(MAX(COUNTIF(B626:E626,B626:E626)) &gt; 1, "JOUEUR EN DOUBLE", "Pas de doublons")</f>
        <v>Pas de doublons</v>
      </c>
    </row>
    <row r="627" spans="1:11" x14ac:dyDescent="0.25">
      <c r="A627" t="s">
        <v>7</v>
      </c>
      <c r="B627" s="1"/>
      <c r="C627" s="1"/>
      <c r="D627" s="1"/>
      <c r="E627" s="1"/>
      <c r="H627" t="s">
        <v>33</v>
      </c>
      <c r="I627" t="str">
        <f>IF(COUNTIF(I$1:I626,I625)&gt;1,"DOUBLON LIGNE " &amp; MATCH(I625,I$1:I626,0),"Pas de doublons")</f>
        <v>DOUBLON LIGNE 489</v>
      </c>
      <c r="J627" t="s">
        <v>34</v>
      </c>
      <c r="K627" t="str" cm="1">
        <f t="array" ref="K627">IF(SUM(--(NOT(ISNUMBER(MATCH(B626:E626,'EMA points'!A:A,0))))) &gt; 0, "NOM INEXISTANT", "Noms ok")</f>
        <v>NOM INEXISTANT</v>
      </c>
    </row>
    <row r="628" spans="1:11" x14ac:dyDescent="0.25">
      <c r="A628" t="s">
        <v>8</v>
      </c>
      <c r="B628" t="e">
        <f>Donnees!B628</f>
        <v>#N/A</v>
      </c>
      <c r="C628" t="e">
        <f>Donnees!C628</f>
        <v>#N/A</v>
      </c>
      <c r="D628" t="e">
        <f>Donnees!D628</f>
        <v>#N/A</v>
      </c>
      <c r="E628" t="e">
        <f>Donnees!E628</f>
        <v>#N/A</v>
      </c>
      <c r="H628" t="s">
        <v>11</v>
      </c>
      <c r="I628" t="str">
        <f t="shared" ref="I628" si="311">IF(SUM(B627:E627)=0, "Score ok", "SOMME NON NULLE")</f>
        <v>Score ok</v>
      </c>
    </row>
    <row r="629" spans="1:11" x14ac:dyDescent="0.25">
      <c r="A629" t="s">
        <v>5</v>
      </c>
      <c r="B629" t="s">
        <v>0</v>
      </c>
      <c r="C629" t="s">
        <v>1</v>
      </c>
      <c r="D629" t="s">
        <v>2</v>
      </c>
      <c r="E629" t="s">
        <v>3</v>
      </c>
      <c r="F629" t="str">
        <f>Donnees!F629</f>
        <v>Partie 158</v>
      </c>
      <c r="H629" t="s">
        <v>10</v>
      </c>
      <c r="I629" t="str">
        <f t="shared" ref="I629" si="312">_xlfn.TEXTJOIN(";",TRUE,B630:E631)</f>
        <v/>
      </c>
    </row>
    <row r="630" spans="1:11" x14ac:dyDescent="0.25">
      <c r="A630" t="s">
        <v>6</v>
      </c>
      <c r="B630" s="1"/>
      <c r="C630" s="1"/>
      <c r="D630" s="1"/>
      <c r="E630" s="1"/>
      <c r="F630" s="3"/>
      <c r="H630" t="s">
        <v>9</v>
      </c>
      <c r="I630" t="e" cm="1">
        <f t="array" ref="I630">IF(AND(Donnees!B629:F632=Check!B629:F632),"Identique","PAS IDENTIQUE")</f>
        <v>#N/A</v>
      </c>
      <c r="J630" t="s">
        <v>32</v>
      </c>
      <c r="K630" t="str" cm="1">
        <f t="array" ref="K630">IF(MAX(COUNTIF(B630:E630,B630:E630)) &gt; 1, "JOUEUR EN DOUBLE", "Pas de doublons")</f>
        <v>Pas de doublons</v>
      </c>
    </row>
    <row r="631" spans="1:11" x14ac:dyDescent="0.25">
      <c r="A631" t="s">
        <v>7</v>
      </c>
      <c r="B631" s="1"/>
      <c r="C631" s="1"/>
      <c r="D631" s="1"/>
      <c r="E631" s="1"/>
      <c r="H631" t="s">
        <v>33</v>
      </c>
      <c r="I631" t="str">
        <f>IF(COUNTIF(I$1:I630,I629)&gt;1,"DOUBLON LIGNE " &amp; MATCH(I629,I$1:I630,0),"Pas de doublons")</f>
        <v>DOUBLON LIGNE 489</v>
      </c>
      <c r="J631" t="s">
        <v>34</v>
      </c>
      <c r="K631" t="str" cm="1">
        <f t="array" ref="K631">IF(SUM(--(NOT(ISNUMBER(MATCH(B630:E630,'EMA points'!A:A,0))))) &gt; 0, "NOM INEXISTANT", "Noms ok")</f>
        <v>NOM INEXISTANT</v>
      </c>
    </row>
    <row r="632" spans="1:11" x14ac:dyDescent="0.25">
      <c r="A632" t="s">
        <v>8</v>
      </c>
      <c r="B632" t="e">
        <f>Donnees!B632</f>
        <v>#N/A</v>
      </c>
      <c r="C632" t="e">
        <f>Donnees!C632</f>
        <v>#N/A</v>
      </c>
      <c r="D632" t="e">
        <f>Donnees!D632</f>
        <v>#N/A</v>
      </c>
      <c r="E632" t="e">
        <f>Donnees!E632</f>
        <v>#N/A</v>
      </c>
      <c r="H632" t="s">
        <v>11</v>
      </c>
      <c r="I632" t="str">
        <f t="shared" ref="I632" si="313">IF(SUM(B631:E631)=0, "Score ok", "SOMME NON NULLE")</f>
        <v>Score ok</v>
      </c>
    </row>
    <row r="633" spans="1:11" x14ac:dyDescent="0.25">
      <c r="A633" t="s">
        <v>5</v>
      </c>
      <c r="B633" t="s">
        <v>0</v>
      </c>
      <c r="C633" t="s">
        <v>1</v>
      </c>
      <c r="D633" t="s">
        <v>2</v>
      </c>
      <c r="E633" t="s">
        <v>3</v>
      </c>
      <c r="F633" t="str">
        <f>Donnees!F633</f>
        <v>Partie 159</v>
      </c>
      <c r="H633" t="s">
        <v>10</v>
      </c>
      <c r="I633" t="str">
        <f t="shared" ref="I633" si="314">_xlfn.TEXTJOIN(";",TRUE,B634:E635)</f>
        <v/>
      </c>
    </row>
    <row r="634" spans="1:11" x14ac:dyDescent="0.25">
      <c r="A634" t="s">
        <v>6</v>
      </c>
      <c r="B634" s="1"/>
      <c r="C634" s="1"/>
      <c r="D634" s="1"/>
      <c r="E634" s="1"/>
      <c r="F634" s="3"/>
      <c r="H634" t="s">
        <v>9</v>
      </c>
      <c r="I634" t="e" cm="1">
        <f t="array" ref="I634">IF(AND(Donnees!B633:F636=Check!B633:F636),"Identique","PAS IDENTIQUE")</f>
        <v>#N/A</v>
      </c>
      <c r="J634" t="s">
        <v>32</v>
      </c>
      <c r="K634" t="str" cm="1">
        <f t="array" ref="K634">IF(MAX(COUNTIF(B634:E634,B634:E634)) &gt; 1, "JOUEUR EN DOUBLE", "Pas de doublons")</f>
        <v>Pas de doublons</v>
      </c>
    </row>
    <row r="635" spans="1:11" x14ac:dyDescent="0.25">
      <c r="A635" t="s">
        <v>7</v>
      </c>
      <c r="B635" s="1"/>
      <c r="C635" s="1"/>
      <c r="D635" s="1"/>
      <c r="E635" s="1"/>
      <c r="H635" t="s">
        <v>33</v>
      </c>
      <c r="I635" t="str">
        <f>IF(COUNTIF(I$1:I634,I633)&gt;1,"DOUBLON LIGNE " &amp; MATCH(I633,I$1:I634,0),"Pas de doublons")</f>
        <v>DOUBLON LIGNE 489</v>
      </c>
      <c r="J635" t="s">
        <v>34</v>
      </c>
      <c r="K635" t="str" cm="1">
        <f t="array" ref="K635">IF(SUM(--(NOT(ISNUMBER(MATCH(B634:E634,'EMA points'!A:A,0))))) &gt; 0, "NOM INEXISTANT", "Noms ok")</f>
        <v>NOM INEXISTANT</v>
      </c>
    </row>
    <row r="636" spans="1:11" x14ac:dyDescent="0.25">
      <c r="A636" t="s">
        <v>8</v>
      </c>
      <c r="B636" t="e">
        <f>Donnees!B636</f>
        <v>#N/A</v>
      </c>
      <c r="C636" t="e">
        <f>Donnees!C636</f>
        <v>#N/A</v>
      </c>
      <c r="D636" t="e">
        <f>Donnees!D636</f>
        <v>#N/A</v>
      </c>
      <c r="E636" t="e">
        <f>Donnees!E636</f>
        <v>#N/A</v>
      </c>
      <c r="H636" t="s">
        <v>11</v>
      </c>
      <c r="I636" t="str">
        <f t="shared" ref="I636" si="315">IF(SUM(B635:E635)=0, "Score ok", "SOMME NON NULLE")</f>
        <v>Score ok</v>
      </c>
    </row>
    <row r="637" spans="1:11" x14ac:dyDescent="0.25">
      <c r="A637" t="s">
        <v>5</v>
      </c>
      <c r="B637" t="s">
        <v>0</v>
      </c>
      <c r="C637" t="s">
        <v>1</v>
      </c>
      <c r="D637" t="s">
        <v>2</v>
      </c>
      <c r="E637" t="s">
        <v>3</v>
      </c>
      <c r="F637" t="str">
        <f>Donnees!F637</f>
        <v>Partie 160</v>
      </c>
      <c r="H637" t="s">
        <v>10</v>
      </c>
      <c r="I637" t="str">
        <f t="shared" ref="I637" si="316">_xlfn.TEXTJOIN(";",TRUE,B638:E639)</f>
        <v/>
      </c>
    </row>
    <row r="638" spans="1:11" x14ac:dyDescent="0.25">
      <c r="A638" t="s">
        <v>6</v>
      </c>
      <c r="B638" s="1"/>
      <c r="C638" s="1"/>
      <c r="D638" s="1"/>
      <c r="E638" s="1"/>
      <c r="F638" s="3"/>
      <c r="H638" t="s">
        <v>9</v>
      </c>
      <c r="I638" t="e" cm="1">
        <f t="array" ref="I638">IF(AND(Donnees!B637:F640=Check!B637:F640),"Identique","PAS IDENTIQUE")</f>
        <v>#N/A</v>
      </c>
      <c r="J638" t="s">
        <v>32</v>
      </c>
      <c r="K638" t="str" cm="1">
        <f t="array" ref="K638">IF(MAX(COUNTIF(B638:E638,B638:E638)) &gt; 1, "JOUEUR EN DOUBLE", "Pas de doublons")</f>
        <v>Pas de doublons</v>
      </c>
    </row>
    <row r="639" spans="1:11" x14ac:dyDescent="0.25">
      <c r="A639" t="s">
        <v>7</v>
      </c>
      <c r="B639" s="1"/>
      <c r="C639" s="1"/>
      <c r="D639" s="1"/>
      <c r="E639" s="1"/>
      <c r="H639" t="s">
        <v>33</v>
      </c>
      <c r="I639" t="str">
        <f>IF(COUNTIF(I$1:I638,I637)&gt;1,"DOUBLON LIGNE " &amp; MATCH(I637,I$1:I638,0),"Pas de doublons")</f>
        <v>DOUBLON LIGNE 489</v>
      </c>
      <c r="J639" t="s">
        <v>34</v>
      </c>
      <c r="K639" t="str" cm="1">
        <f t="array" ref="K639">IF(SUM(--(NOT(ISNUMBER(MATCH(B638:E638,'EMA points'!A:A,0))))) &gt; 0, "NOM INEXISTANT", "Noms ok")</f>
        <v>NOM INEXISTANT</v>
      </c>
    </row>
    <row r="640" spans="1:11" x14ac:dyDescent="0.25">
      <c r="A640" t="s">
        <v>8</v>
      </c>
      <c r="B640" t="e">
        <f>Donnees!B640</f>
        <v>#N/A</v>
      </c>
      <c r="C640" t="e">
        <f>Donnees!C640</f>
        <v>#N/A</v>
      </c>
      <c r="D640" t="e">
        <f>Donnees!D640</f>
        <v>#N/A</v>
      </c>
      <c r="E640" t="e">
        <f>Donnees!E640</f>
        <v>#N/A</v>
      </c>
      <c r="H640" t="s">
        <v>11</v>
      </c>
      <c r="I640" t="str">
        <f t="shared" ref="I640" si="317">IF(SUM(B639:E639)=0, "Score ok", "SOMME NON NULLE")</f>
        <v>Score ok</v>
      </c>
    </row>
    <row r="641" spans="1:11" x14ac:dyDescent="0.25">
      <c r="A641" t="s">
        <v>5</v>
      </c>
      <c r="B641" t="s">
        <v>0</v>
      </c>
      <c r="C641" t="s">
        <v>1</v>
      </c>
      <c r="D641" t="s">
        <v>2</v>
      </c>
      <c r="E641" t="s">
        <v>3</v>
      </c>
      <c r="F641" t="str">
        <f>Donnees!F641</f>
        <v>Partie 161</v>
      </c>
      <c r="H641" t="s">
        <v>10</v>
      </c>
      <c r="I641" t="str">
        <f t="shared" ref="I641" si="318">_xlfn.TEXTJOIN(";",TRUE,B642:E643)</f>
        <v/>
      </c>
    </row>
    <row r="642" spans="1:11" x14ac:dyDescent="0.25">
      <c r="A642" t="s">
        <v>6</v>
      </c>
      <c r="B642" s="1"/>
      <c r="C642" s="1"/>
      <c r="D642" s="1"/>
      <c r="E642" s="1"/>
      <c r="F642" s="3"/>
      <c r="H642" t="s">
        <v>9</v>
      </c>
      <c r="I642" t="e" cm="1">
        <f t="array" ref="I642">IF(AND(Donnees!B641:F644=Check!B641:F644),"Identique","PAS IDENTIQUE")</f>
        <v>#N/A</v>
      </c>
      <c r="J642" t="s">
        <v>32</v>
      </c>
      <c r="K642" t="str" cm="1">
        <f t="array" ref="K642">IF(MAX(COUNTIF(B642:E642,B642:E642)) &gt; 1, "JOUEUR EN DOUBLE", "Pas de doublons")</f>
        <v>Pas de doublons</v>
      </c>
    </row>
    <row r="643" spans="1:11" x14ac:dyDescent="0.25">
      <c r="A643" t="s">
        <v>7</v>
      </c>
      <c r="B643" s="1"/>
      <c r="C643" s="1"/>
      <c r="D643" s="1"/>
      <c r="E643" s="1"/>
      <c r="H643" t="s">
        <v>33</v>
      </c>
      <c r="I643" t="str">
        <f>IF(COUNTIF(I$1:I642,I641)&gt;1,"DOUBLON LIGNE " &amp; MATCH(I641,I$1:I642,0),"Pas de doublons")</f>
        <v>DOUBLON LIGNE 489</v>
      </c>
      <c r="J643" t="s">
        <v>34</v>
      </c>
      <c r="K643" t="str" cm="1">
        <f t="array" ref="K643">IF(SUM(--(NOT(ISNUMBER(MATCH(B642:E642,'EMA points'!A:A,0))))) &gt; 0, "NOM INEXISTANT", "Noms ok")</f>
        <v>NOM INEXISTANT</v>
      </c>
    </row>
    <row r="644" spans="1:11" x14ac:dyDescent="0.25">
      <c r="A644" t="s">
        <v>8</v>
      </c>
      <c r="B644" t="e">
        <f>Donnees!B644</f>
        <v>#N/A</v>
      </c>
      <c r="C644" t="e">
        <f>Donnees!C644</f>
        <v>#N/A</v>
      </c>
      <c r="D644" t="e">
        <f>Donnees!D644</f>
        <v>#N/A</v>
      </c>
      <c r="E644" t="e">
        <f>Donnees!E644</f>
        <v>#N/A</v>
      </c>
      <c r="H644" t="s">
        <v>11</v>
      </c>
      <c r="I644" t="str">
        <f t="shared" ref="I644" si="319">IF(SUM(B643:E643)=0, "Score ok", "SOMME NON NULLE")</f>
        <v>Score ok</v>
      </c>
    </row>
    <row r="645" spans="1:11" x14ac:dyDescent="0.25">
      <c r="A645" t="s">
        <v>5</v>
      </c>
      <c r="B645" t="s">
        <v>0</v>
      </c>
      <c r="C645" t="s">
        <v>1</v>
      </c>
      <c r="D645" t="s">
        <v>2</v>
      </c>
      <c r="E645" t="s">
        <v>3</v>
      </c>
      <c r="F645" t="str">
        <f>Donnees!F645</f>
        <v>Partie 162</v>
      </c>
      <c r="H645" t="s">
        <v>10</v>
      </c>
      <c r="I645" t="str">
        <f t="shared" ref="I645" si="320">_xlfn.TEXTJOIN(";",TRUE,B646:E647)</f>
        <v/>
      </c>
    </row>
    <row r="646" spans="1:11" x14ac:dyDescent="0.25">
      <c r="A646" t="s">
        <v>6</v>
      </c>
      <c r="B646" s="1"/>
      <c r="C646" s="1"/>
      <c r="D646" s="1"/>
      <c r="E646" s="1"/>
      <c r="F646" s="3"/>
      <c r="H646" t="s">
        <v>9</v>
      </c>
      <c r="I646" t="e" cm="1">
        <f t="array" ref="I646">IF(AND(Donnees!B645:F648=Check!B645:F648),"Identique","PAS IDENTIQUE")</f>
        <v>#N/A</v>
      </c>
      <c r="J646" t="s">
        <v>32</v>
      </c>
      <c r="K646" t="str" cm="1">
        <f t="array" ref="K646">IF(MAX(COUNTIF(B646:E646,B646:E646)) &gt; 1, "JOUEUR EN DOUBLE", "Pas de doublons")</f>
        <v>Pas de doublons</v>
      </c>
    </row>
    <row r="647" spans="1:11" x14ac:dyDescent="0.25">
      <c r="A647" t="s">
        <v>7</v>
      </c>
      <c r="B647" s="1"/>
      <c r="C647" s="1"/>
      <c r="D647" s="1"/>
      <c r="E647" s="1"/>
      <c r="H647" t="s">
        <v>33</v>
      </c>
      <c r="I647" t="str">
        <f>IF(COUNTIF(I$1:I646,I645)&gt;1,"DOUBLON LIGNE " &amp; MATCH(I645,I$1:I646,0),"Pas de doublons")</f>
        <v>DOUBLON LIGNE 489</v>
      </c>
      <c r="J647" t="s">
        <v>34</v>
      </c>
      <c r="K647" t="str" cm="1">
        <f t="array" ref="K647">IF(SUM(--(NOT(ISNUMBER(MATCH(B646:E646,'EMA points'!A:A,0))))) &gt; 0, "NOM INEXISTANT", "Noms ok")</f>
        <v>NOM INEXISTANT</v>
      </c>
    </row>
    <row r="648" spans="1:11" x14ac:dyDescent="0.25">
      <c r="A648" t="s">
        <v>8</v>
      </c>
      <c r="B648" t="e">
        <f>Donnees!B648</f>
        <v>#N/A</v>
      </c>
      <c r="C648" t="e">
        <f>Donnees!C648</f>
        <v>#N/A</v>
      </c>
      <c r="D648" t="e">
        <f>Donnees!D648</f>
        <v>#N/A</v>
      </c>
      <c r="E648" t="e">
        <f>Donnees!E648</f>
        <v>#N/A</v>
      </c>
      <c r="H648" t="s">
        <v>11</v>
      </c>
      <c r="I648" t="str">
        <f t="shared" ref="I648" si="321">IF(SUM(B647:E647)=0, "Score ok", "SOMME NON NULLE")</f>
        <v>Score ok</v>
      </c>
    </row>
    <row r="649" spans="1:11" x14ac:dyDescent="0.25">
      <c r="A649" t="s">
        <v>5</v>
      </c>
      <c r="B649" t="s">
        <v>0</v>
      </c>
      <c r="C649" t="s">
        <v>1</v>
      </c>
      <c r="D649" t="s">
        <v>2</v>
      </c>
      <c r="E649" t="s">
        <v>3</v>
      </c>
      <c r="F649" t="str">
        <f>Donnees!F649</f>
        <v>Partie 163</v>
      </c>
      <c r="H649" t="s">
        <v>10</v>
      </c>
      <c r="I649" t="str">
        <f t="shared" ref="I649" si="322">_xlfn.TEXTJOIN(";",TRUE,B650:E651)</f>
        <v/>
      </c>
    </row>
    <row r="650" spans="1:11" x14ac:dyDescent="0.25">
      <c r="A650" t="s">
        <v>6</v>
      </c>
      <c r="B650" s="1"/>
      <c r="C650" s="1"/>
      <c r="D650" s="1"/>
      <c r="E650" s="1"/>
      <c r="F650" s="3"/>
      <c r="H650" t="s">
        <v>9</v>
      </c>
      <c r="I650" t="e" cm="1">
        <f t="array" ref="I650">IF(AND(Donnees!B649:F652=Check!B649:F652),"Identique","PAS IDENTIQUE")</f>
        <v>#N/A</v>
      </c>
      <c r="J650" t="s">
        <v>32</v>
      </c>
      <c r="K650" t="str" cm="1">
        <f t="array" ref="K650">IF(MAX(COUNTIF(B650:E650,B650:E650)) &gt; 1, "JOUEUR EN DOUBLE", "Pas de doublons")</f>
        <v>Pas de doublons</v>
      </c>
    </row>
    <row r="651" spans="1:11" x14ac:dyDescent="0.25">
      <c r="A651" t="s">
        <v>7</v>
      </c>
      <c r="B651" s="1"/>
      <c r="C651" s="1"/>
      <c r="D651" s="1"/>
      <c r="E651" s="1"/>
      <c r="H651" t="s">
        <v>33</v>
      </c>
      <c r="I651" t="str">
        <f>IF(COUNTIF(I$1:I650,I649)&gt;1,"DOUBLON LIGNE " &amp; MATCH(I649,I$1:I650,0),"Pas de doublons")</f>
        <v>DOUBLON LIGNE 489</v>
      </c>
      <c r="J651" t="s">
        <v>34</v>
      </c>
      <c r="K651" t="str" cm="1">
        <f t="array" ref="K651">IF(SUM(--(NOT(ISNUMBER(MATCH(B650:E650,'EMA points'!A:A,0))))) &gt; 0, "NOM INEXISTANT", "Noms ok")</f>
        <v>NOM INEXISTANT</v>
      </c>
    </row>
    <row r="652" spans="1:11" x14ac:dyDescent="0.25">
      <c r="A652" t="s">
        <v>8</v>
      </c>
      <c r="B652" t="e">
        <f>Donnees!B652</f>
        <v>#N/A</v>
      </c>
      <c r="C652" t="e">
        <f>Donnees!C652</f>
        <v>#N/A</v>
      </c>
      <c r="D652" t="e">
        <f>Donnees!D652</f>
        <v>#N/A</v>
      </c>
      <c r="E652" t="e">
        <f>Donnees!E652</f>
        <v>#N/A</v>
      </c>
      <c r="H652" t="s">
        <v>11</v>
      </c>
      <c r="I652" t="str">
        <f t="shared" ref="I652" si="323">IF(SUM(B651:E651)=0, "Score ok", "SOMME NON NULLE")</f>
        <v>Score ok</v>
      </c>
    </row>
    <row r="653" spans="1:11" x14ac:dyDescent="0.25">
      <c r="A653" t="s">
        <v>5</v>
      </c>
      <c r="B653" t="s">
        <v>0</v>
      </c>
      <c r="C653" t="s">
        <v>1</v>
      </c>
      <c r="D653" t="s">
        <v>2</v>
      </c>
      <c r="E653" t="s">
        <v>3</v>
      </c>
      <c r="F653" t="str">
        <f>Donnees!F653</f>
        <v>Partie 164</v>
      </c>
      <c r="H653" t="s">
        <v>10</v>
      </c>
      <c r="I653" t="str">
        <f t="shared" ref="I653" si="324">_xlfn.TEXTJOIN(";",TRUE,B654:E655)</f>
        <v/>
      </c>
    </row>
    <row r="654" spans="1:11" x14ac:dyDescent="0.25">
      <c r="A654" t="s">
        <v>6</v>
      </c>
      <c r="B654" s="1"/>
      <c r="C654" s="1"/>
      <c r="D654" s="1"/>
      <c r="E654" s="1"/>
      <c r="F654" s="3"/>
      <c r="H654" t="s">
        <v>9</v>
      </c>
      <c r="I654" t="e" cm="1">
        <f t="array" ref="I654">IF(AND(Donnees!B653:F656=Check!B653:F656),"Identique","PAS IDENTIQUE")</f>
        <v>#N/A</v>
      </c>
      <c r="J654" t="s">
        <v>32</v>
      </c>
      <c r="K654" t="str" cm="1">
        <f t="array" ref="K654">IF(MAX(COUNTIF(B654:E654,B654:E654)) &gt; 1, "JOUEUR EN DOUBLE", "Pas de doublons")</f>
        <v>Pas de doublons</v>
      </c>
    </row>
    <row r="655" spans="1:11" x14ac:dyDescent="0.25">
      <c r="A655" t="s">
        <v>7</v>
      </c>
      <c r="B655" s="1"/>
      <c r="C655" s="1"/>
      <c r="D655" s="1"/>
      <c r="E655" s="1"/>
      <c r="H655" t="s">
        <v>33</v>
      </c>
      <c r="I655" t="str">
        <f>IF(COUNTIF(I$1:I654,I653)&gt;1,"DOUBLON LIGNE " &amp; MATCH(I653,I$1:I654,0),"Pas de doublons")</f>
        <v>DOUBLON LIGNE 489</v>
      </c>
      <c r="J655" t="s">
        <v>34</v>
      </c>
      <c r="K655" t="str" cm="1">
        <f t="array" ref="K655">IF(SUM(--(NOT(ISNUMBER(MATCH(B654:E654,'EMA points'!A:A,0))))) &gt; 0, "NOM INEXISTANT", "Noms ok")</f>
        <v>NOM INEXISTANT</v>
      </c>
    </row>
    <row r="656" spans="1:11" x14ac:dyDescent="0.25">
      <c r="A656" t="s">
        <v>8</v>
      </c>
      <c r="B656" t="e">
        <f>Donnees!B656</f>
        <v>#N/A</v>
      </c>
      <c r="C656" t="e">
        <f>Donnees!C656</f>
        <v>#N/A</v>
      </c>
      <c r="D656" t="e">
        <f>Donnees!D656</f>
        <v>#N/A</v>
      </c>
      <c r="E656" t="e">
        <f>Donnees!E656</f>
        <v>#N/A</v>
      </c>
      <c r="H656" t="s">
        <v>11</v>
      </c>
      <c r="I656" t="str">
        <f t="shared" ref="I656" si="325">IF(SUM(B655:E655)=0, "Score ok", "SOMME NON NULLE")</f>
        <v>Score ok</v>
      </c>
    </row>
    <row r="657" spans="1:11" x14ac:dyDescent="0.25">
      <c r="A657" t="s">
        <v>5</v>
      </c>
      <c r="B657" t="s">
        <v>0</v>
      </c>
      <c r="C657" t="s">
        <v>1</v>
      </c>
      <c r="D657" t="s">
        <v>2</v>
      </c>
      <c r="E657" t="s">
        <v>3</v>
      </c>
      <c r="F657" t="str">
        <f>Donnees!F657</f>
        <v>Partie 165</v>
      </c>
      <c r="H657" t="s">
        <v>10</v>
      </c>
      <c r="I657" t="str">
        <f t="shared" ref="I657" si="326">_xlfn.TEXTJOIN(";",TRUE,B658:E659)</f>
        <v/>
      </c>
    </row>
    <row r="658" spans="1:11" x14ac:dyDescent="0.25">
      <c r="A658" t="s">
        <v>6</v>
      </c>
      <c r="B658" s="1"/>
      <c r="C658" s="1"/>
      <c r="D658" s="1"/>
      <c r="E658" s="1"/>
      <c r="F658" s="3"/>
      <c r="H658" t="s">
        <v>9</v>
      </c>
      <c r="I658" t="e" cm="1">
        <f t="array" ref="I658">IF(AND(Donnees!B657:F660=Check!B657:F660),"Identique","PAS IDENTIQUE")</f>
        <v>#N/A</v>
      </c>
      <c r="J658" t="s">
        <v>32</v>
      </c>
      <c r="K658" t="str" cm="1">
        <f t="array" ref="K658">IF(MAX(COUNTIF(B658:E658,B658:E658)) &gt; 1, "JOUEUR EN DOUBLE", "Pas de doublons")</f>
        <v>Pas de doublons</v>
      </c>
    </row>
    <row r="659" spans="1:11" x14ac:dyDescent="0.25">
      <c r="A659" t="s">
        <v>7</v>
      </c>
      <c r="B659" s="1"/>
      <c r="C659" s="1"/>
      <c r="D659" s="1"/>
      <c r="E659" s="1"/>
      <c r="H659" t="s">
        <v>33</v>
      </c>
      <c r="I659" t="str">
        <f>IF(COUNTIF(I$1:I658,I657)&gt;1,"DOUBLON LIGNE " &amp; MATCH(I657,I$1:I658,0),"Pas de doublons")</f>
        <v>DOUBLON LIGNE 489</v>
      </c>
      <c r="J659" t="s">
        <v>34</v>
      </c>
      <c r="K659" t="str" cm="1">
        <f t="array" ref="K659">IF(SUM(--(NOT(ISNUMBER(MATCH(B658:E658,'EMA points'!A:A,0))))) &gt; 0, "NOM INEXISTANT", "Noms ok")</f>
        <v>NOM INEXISTANT</v>
      </c>
    </row>
    <row r="660" spans="1:11" x14ac:dyDescent="0.25">
      <c r="A660" t="s">
        <v>8</v>
      </c>
      <c r="B660" t="e">
        <f>Donnees!B660</f>
        <v>#N/A</v>
      </c>
      <c r="C660" t="e">
        <f>Donnees!C660</f>
        <v>#N/A</v>
      </c>
      <c r="D660" t="e">
        <f>Donnees!D660</f>
        <v>#N/A</v>
      </c>
      <c r="E660" t="e">
        <f>Donnees!E660</f>
        <v>#N/A</v>
      </c>
      <c r="H660" t="s">
        <v>11</v>
      </c>
      <c r="I660" t="str">
        <f t="shared" ref="I660" si="327">IF(SUM(B659:E659)=0, "Score ok", "SOMME NON NULLE")</f>
        <v>Score ok</v>
      </c>
    </row>
    <row r="661" spans="1:11" x14ac:dyDescent="0.25">
      <c r="A661" t="s">
        <v>5</v>
      </c>
      <c r="B661" t="s">
        <v>0</v>
      </c>
      <c r="C661" t="s">
        <v>1</v>
      </c>
      <c r="D661" t="s">
        <v>2</v>
      </c>
      <c r="E661" t="s">
        <v>3</v>
      </c>
      <c r="F661" t="str">
        <f>Donnees!F661</f>
        <v>Partie 166</v>
      </c>
      <c r="H661" t="s">
        <v>10</v>
      </c>
      <c r="I661" t="str">
        <f t="shared" ref="I661" si="328">_xlfn.TEXTJOIN(";",TRUE,B662:E663)</f>
        <v/>
      </c>
    </row>
    <row r="662" spans="1:11" x14ac:dyDescent="0.25">
      <c r="A662" t="s">
        <v>6</v>
      </c>
      <c r="B662" s="1"/>
      <c r="C662" s="1"/>
      <c r="D662" s="1"/>
      <c r="E662" s="1"/>
      <c r="F662" s="3"/>
      <c r="H662" t="s">
        <v>9</v>
      </c>
      <c r="I662" t="e" cm="1">
        <f t="array" ref="I662">IF(AND(Donnees!B661:F664=Check!B661:F664),"Identique","PAS IDENTIQUE")</f>
        <v>#N/A</v>
      </c>
      <c r="J662" t="s">
        <v>32</v>
      </c>
      <c r="K662" t="str" cm="1">
        <f t="array" ref="K662">IF(MAX(COUNTIF(B662:E662,B662:E662)) &gt; 1, "JOUEUR EN DOUBLE", "Pas de doublons")</f>
        <v>Pas de doublons</v>
      </c>
    </row>
    <row r="663" spans="1:11" x14ac:dyDescent="0.25">
      <c r="A663" t="s">
        <v>7</v>
      </c>
      <c r="B663" s="1"/>
      <c r="C663" s="1"/>
      <c r="D663" s="1"/>
      <c r="E663" s="1"/>
      <c r="H663" t="s">
        <v>33</v>
      </c>
      <c r="I663" t="str">
        <f>IF(COUNTIF(I$1:I662,I661)&gt;1,"DOUBLON LIGNE " &amp; MATCH(I661,I$1:I662,0),"Pas de doublons")</f>
        <v>DOUBLON LIGNE 489</v>
      </c>
      <c r="J663" t="s">
        <v>34</v>
      </c>
      <c r="K663" t="str" cm="1">
        <f t="array" ref="K663">IF(SUM(--(NOT(ISNUMBER(MATCH(B662:E662,'EMA points'!A:A,0))))) &gt; 0, "NOM INEXISTANT", "Noms ok")</f>
        <v>NOM INEXISTANT</v>
      </c>
    </row>
    <row r="664" spans="1:11" x14ac:dyDescent="0.25">
      <c r="A664" t="s">
        <v>8</v>
      </c>
      <c r="B664" t="e">
        <f>Donnees!B664</f>
        <v>#N/A</v>
      </c>
      <c r="C664" t="e">
        <f>Donnees!C664</f>
        <v>#N/A</v>
      </c>
      <c r="D664" t="e">
        <f>Donnees!D664</f>
        <v>#N/A</v>
      </c>
      <c r="E664" t="e">
        <f>Donnees!E664</f>
        <v>#N/A</v>
      </c>
      <c r="H664" t="s">
        <v>11</v>
      </c>
      <c r="I664" t="str">
        <f t="shared" ref="I664" si="329">IF(SUM(B663:E663)=0, "Score ok", "SOMME NON NULLE")</f>
        <v>Score ok</v>
      </c>
    </row>
    <row r="665" spans="1:11" x14ac:dyDescent="0.25">
      <c r="A665" t="s">
        <v>5</v>
      </c>
      <c r="B665" t="s">
        <v>0</v>
      </c>
      <c r="C665" t="s">
        <v>1</v>
      </c>
      <c r="D665" t="s">
        <v>2</v>
      </c>
      <c r="E665" t="s">
        <v>3</v>
      </c>
      <c r="F665" t="str">
        <f>Donnees!F665</f>
        <v>Partie 167</v>
      </c>
      <c r="H665" t="s">
        <v>10</v>
      </c>
      <c r="I665" t="str">
        <f t="shared" ref="I665" si="330">_xlfn.TEXTJOIN(";",TRUE,B666:E667)</f>
        <v/>
      </c>
    </row>
    <row r="666" spans="1:11" x14ac:dyDescent="0.25">
      <c r="A666" t="s">
        <v>6</v>
      </c>
      <c r="B666" s="1"/>
      <c r="C666" s="1"/>
      <c r="D666" s="1"/>
      <c r="E666" s="1"/>
      <c r="F666" s="3"/>
      <c r="H666" t="s">
        <v>9</v>
      </c>
      <c r="I666" t="e" cm="1">
        <f t="array" ref="I666">IF(AND(Donnees!B665:F668=Check!B665:F668),"Identique","PAS IDENTIQUE")</f>
        <v>#N/A</v>
      </c>
      <c r="J666" t="s">
        <v>32</v>
      </c>
      <c r="K666" t="str" cm="1">
        <f t="array" ref="K666">IF(MAX(COUNTIF(B666:E666,B666:E666)) &gt; 1, "JOUEUR EN DOUBLE", "Pas de doublons")</f>
        <v>Pas de doublons</v>
      </c>
    </row>
    <row r="667" spans="1:11" x14ac:dyDescent="0.25">
      <c r="A667" t="s">
        <v>7</v>
      </c>
      <c r="B667" s="1"/>
      <c r="C667" s="1"/>
      <c r="D667" s="1"/>
      <c r="E667" s="1"/>
      <c r="H667" t="s">
        <v>33</v>
      </c>
      <c r="I667" t="str">
        <f>IF(COUNTIF(I$1:I666,I665)&gt;1,"DOUBLON LIGNE " &amp; MATCH(I665,I$1:I666,0),"Pas de doublons")</f>
        <v>DOUBLON LIGNE 489</v>
      </c>
      <c r="J667" t="s">
        <v>34</v>
      </c>
      <c r="K667" t="str" cm="1">
        <f t="array" ref="K667">IF(SUM(--(NOT(ISNUMBER(MATCH(B666:E666,'EMA points'!A:A,0))))) &gt; 0, "NOM INEXISTANT", "Noms ok")</f>
        <v>NOM INEXISTANT</v>
      </c>
    </row>
    <row r="668" spans="1:11" x14ac:dyDescent="0.25">
      <c r="A668" t="s">
        <v>8</v>
      </c>
      <c r="B668" t="e">
        <f>Donnees!B668</f>
        <v>#N/A</v>
      </c>
      <c r="C668" t="e">
        <f>Donnees!C668</f>
        <v>#N/A</v>
      </c>
      <c r="D668" t="e">
        <f>Donnees!D668</f>
        <v>#N/A</v>
      </c>
      <c r="E668" t="e">
        <f>Donnees!E668</f>
        <v>#N/A</v>
      </c>
      <c r="H668" t="s">
        <v>11</v>
      </c>
      <c r="I668" t="str">
        <f t="shared" ref="I668" si="331">IF(SUM(B667:E667)=0, "Score ok", "SOMME NON NULLE")</f>
        <v>Score ok</v>
      </c>
    </row>
    <row r="669" spans="1:11" x14ac:dyDescent="0.25">
      <c r="A669" t="s">
        <v>5</v>
      </c>
      <c r="B669" t="s">
        <v>0</v>
      </c>
      <c r="C669" t="s">
        <v>1</v>
      </c>
      <c r="D669" t="s">
        <v>2</v>
      </c>
      <c r="E669" t="s">
        <v>3</v>
      </c>
      <c r="F669" t="str">
        <f>Donnees!F669</f>
        <v>Partie 168</v>
      </c>
      <c r="H669" t="s">
        <v>10</v>
      </c>
      <c r="I669" t="str">
        <f t="shared" ref="I669" si="332">_xlfn.TEXTJOIN(";",TRUE,B670:E671)</f>
        <v/>
      </c>
    </row>
    <row r="670" spans="1:11" x14ac:dyDescent="0.25">
      <c r="A670" t="s">
        <v>6</v>
      </c>
      <c r="B670" s="1"/>
      <c r="C670" s="1"/>
      <c r="D670" s="1"/>
      <c r="E670" s="1"/>
      <c r="F670" s="3"/>
      <c r="H670" t="s">
        <v>9</v>
      </c>
      <c r="I670" t="e" cm="1">
        <f t="array" ref="I670">IF(AND(Donnees!B669:F672=Check!B669:F672),"Identique","PAS IDENTIQUE")</f>
        <v>#N/A</v>
      </c>
      <c r="J670" t="s">
        <v>32</v>
      </c>
      <c r="K670" t="str" cm="1">
        <f t="array" ref="K670">IF(MAX(COUNTIF(B670:E670,B670:E670)) &gt; 1, "JOUEUR EN DOUBLE", "Pas de doublons")</f>
        <v>Pas de doublons</v>
      </c>
    </row>
    <row r="671" spans="1:11" x14ac:dyDescent="0.25">
      <c r="A671" t="s">
        <v>7</v>
      </c>
      <c r="B671" s="1"/>
      <c r="C671" s="1"/>
      <c r="D671" s="1"/>
      <c r="E671" s="1"/>
      <c r="H671" t="s">
        <v>33</v>
      </c>
      <c r="I671" t="str">
        <f>IF(COUNTIF(I$1:I670,I669)&gt;1,"DOUBLON LIGNE " &amp; MATCH(I669,I$1:I670,0),"Pas de doublons")</f>
        <v>DOUBLON LIGNE 489</v>
      </c>
      <c r="J671" t="s">
        <v>34</v>
      </c>
      <c r="K671" t="str" cm="1">
        <f t="array" ref="K671">IF(SUM(--(NOT(ISNUMBER(MATCH(B670:E670,'EMA points'!A:A,0))))) &gt; 0, "NOM INEXISTANT", "Noms ok")</f>
        <v>NOM INEXISTANT</v>
      </c>
    </row>
    <row r="672" spans="1:11" x14ac:dyDescent="0.25">
      <c r="A672" t="s">
        <v>8</v>
      </c>
      <c r="B672" t="e">
        <f>Donnees!B672</f>
        <v>#N/A</v>
      </c>
      <c r="C672" t="e">
        <f>Donnees!C672</f>
        <v>#N/A</v>
      </c>
      <c r="D672" t="e">
        <f>Donnees!D672</f>
        <v>#N/A</v>
      </c>
      <c r="E672" t="e">
        <f>Donnees!E672</f>
        <v>#N/A</v>
      </c>
      <c r="H672" t="s">
        <v>11</v>
      </c>
      <c r="I672" t="str">
        <f t="shared" ref="I672" si="333">IF(SUM(B671:E671)=0, "Score ok", "SOMME NON NULLE")</f>
        <v>Score ok</v>
      </c>
    </row>
    <row r="673" spans="1:11" x14ac:dyDescent="0.25">
      <c r="A673" t="s">
        <v>5</v>
      </c>
      <c r="B673" t="s">
        <v>0</v>
      </c>
      <c r="C673" t="s">
        <v>1</v>
      </c>
      <c r="D673" t="s">
        <v>2</v>
      </c>
      <c r="E673" t="s">
        <v>3</v>
      </c>
      <c r="F673" t="str">
        <f>Donnees!F673</f>
        <v>Partie 169</v>
      </c>
      <c r="H673" t="s">
        <v>10</v>
      </c>
      <c r="I673" t="str">
        <f t="shared" ref="I673" si="334">_xlfn.TEXTJOIN(";",TRUE,B674:E675)</f>
        <v/>
      </c>
    </row>
    <row r="674" spans="1:11" x14ac:dyDescent="0.25">
      <c r="A674" t="s">
        <v>6</v>
      </c>
      <c r="B674" s="1"/>
      <c r="C674" s="1"/>
      <c r="D674" s="1"/>
      <c r="E674" s="1"/>
      <c r="F674" s="3"/>
      <c r="H674" t="s">
        <v>9</v>
      </c>
      <c r="I674" t="e" cm="1">
        <f t="array" ref="I674">IF(AND(Donnees!B673:F676=Check!B673:F676),"Identique","PAS IDENTIQUE")</f>
        <v>#N/A</v>
      </c>
      <c r="J674" t="s">
        <v>32</v>
      </c>
      <c r="K674" t="str" cm="1">
        <f t="array" ref="K674">IF(MAX(COUNTIF(B674:E674,B674:E674)) &gt; 1, "JOUEUR EN DOUBLE", "Pas de doublons")</f>
        <v>Pas de doublons</v>
      </c>
    </row>
    <row r="675" spans="1:11" x14ac:dyDescent="0.25">
      <c r="A675" t="s">
        <v>7</v>
      </c>
      <c r="B675" s="1"/>
      <c r="C675" s="1"/>
      <c r="D675" s="1"/>
      <c r="E675" s="1"/>
      <c r="H675" t="s">
        <v>33</v>
      </c>
      <c r="I675" t="str">
        <f>IF(COUNTIF(I$1:I674,I673)&gt;1,"DOUBLON LIGNE " &amp; MATCH(I673,I$1:I674,0),"Pas de doublons")</f>
        <v>DOUBLON LIGNE 489</v>
      </c>
      <c r="J675" t="s">
        <v>34</v>
      </c>
      <c r="K675" t="str" cm="1">
        <f t="array" ref="K675">IF(SUM(--(NOT(ISNUMBER(MATCH(B674:E674,'EMA points'!A:A,0))))) &gt; 0, "NOM INEXISTANT", "Noms ok")</f>
        <v>NOM INEXISTANT</v>
      </c>
    </row>
    <row r="676" spans="1:11" x14ac:dyDescent="0.25">
      <c r="A676" t="s">
        <v>8</v>
      </c>
      <c r="B676" t="e">
        <f>Donnees!B676</f>
        <v>#N/A</v>
      </c>
      <c r="C676" t="e">
        <f>Donnees!C676</f>
        <v>#N/A</v>
      </c>
      <c r="D676" t="e">
        <f>Donnees!D676</f>
        <v>#N/A</v>
      </c>
      <c r="E676" t="e">
        <f>Donnees!E676</f>
        <v>#N/A</v>
      </c>
      <c r="H676" t="s">
        <v>11</v>
      </c>
      <c r="I676" t="str">
        <f t="shared" ref="I676" si="335">IF(SUM(B675:E675)=0, "Score ok", "SOMME NON NULLE")</f>
        <v>Score ok</v>
      </c>
    </row>
    <row r="677" spans="1:11" x14ac:dyDescent="0.25">
      <c r="A677" t="s">
        <v>5</v>
      </c>
      <c r="B677" t="s">
        <v>0</v>
      </c>
      <c r="C677" t="s">
        <v>1</v>
      </c>
      <c r="D677" t="s">
        <v>2</v>
      </c>
      <c r="E677" t="s">
        <v>3</v>
      </c>
      <c r="F677" t="str">
        <f>Donnees!F677</f>
        <v>Partie 170</v>
      </c>
      <c r="H677" t="s">
        <v>10</v>
      </c>
      <c r="I677" t="str">
        <f t="shared" ref="I677" si="336">_xlfn.TEXTJOIN(";",TRUE,B678:E679)</f>
        <v/>
      </c>
    </row>
    <row r="678" spans="1:11" x14ac:dyDescent="0.25">
      <c r="A678" t="s">
        <v>6</v>
      </c>
      <c r="B678" s="1"/>
      <c r="C678" s="1"/>
      <c r="D678" s="1"/>
      <c r="E678" s="1"/>
      <c r="F678" s="3"/>
      <c r="H678" t="s">
        <v>9</v>
      </c>
      <c r="I678" t="e" cm="1">
        <f t="array" ref="I678">IF(AND(Donnees!B677:F680=Check!B677:F680),"Identique","PAS IDENTIQUE")</f>
        <v>#N/A</v>
      </c>
      <c r="J678" t="s">
        <v>32</v>
      </c>
      <c r="K678" t="str" cm="1">
        <f t="array" ref="K678">IF(MAX(COUNTIF(B678:E678,B678:E678)) &gt; 1, "JOUEUR EN DOUBLE", "Pas de doublons")</f>
        <v>Pas de doublons</v>
      </c>
    </row>
    <row r="679" spans="1:11" x14ac:dyDescent="0.25">
      <c r="A679" t="s">
        <v>7</v>
      </c>
      <c r="B679" s="1"/>
      <c r="C679" s="1"/>
      <c r="D679" s="1"/>
      <c r="E679" s="1"/>
      <c r="H679" t="s">
        <v>33</v>
      </c>
      <c r="I679" t="str">
        <f>IF(COUNTIF(I$1:I678,I677)&gt;1,"DOUBLON LIGNE " &amp; MATCH(I677,I$1:I678,0),"Pas de doublons")</f>
        <v>DOUBLON LIGNE 489</v>
      </c>
      <c r="J679" t="s">
        <v>34</v>
      </c>
      <c r="K679" t="str" cm="1">
        <f t="array" ref="K679">IF(SUM(--(NOT(ISNUMBER(MATCH(B678:E678,'EMA points'!A:A,0))))) &gt; 0, "NOM INEXISTANT", "Noms ok")</f>
        <v>NOM INEXISTANT</v>
      </c>
    </row>
    <row r="680" spans="1:11" x14ac:dyDescent="0.25">
      <c r="A680" t="s">
        <v>8</v>
      </c>
      <c r="B680" t="e">
        <f>Donnees!B680</f>
        <v>#N/A</v>
      </c>
      <c r="C680" t="e">
        <f>Donnees!C680</f>
        <v>#N/A</v>
      </c>
      <c r="D680" t="e">
        <f>Donnees!D680</f>
        <v>#N/A</v>
      </c>
      <c r="E680" t="e">
        <f>Donnees!E680</f>
        <v>#N/A</v>
      </c>
      <c r="H680" t="s">
        <v>11</v>
      </c>
      <c r="I680" t="str">
        <f t="shared" ref="I680" si="337">IF(SUM(B679:E679)=0, "Score ok", "SOMME NON NULLE")</f>
        <v>Score ok</v>
      </c>
    </row>
    <row r="681" spans="1:11" x14ac:dyDescent="0.25">
      <c r="A681" t="s">
        <v>5</v>
      </c>
      <c r="B681" t="s">
        <v>0</v>
      </c>
      <c r="C681" t="s">
        <v>1</v>
      </c>
      <c r="D681" t="s">
        <v>2</v>
      </c>
      <c r="E681" t="s">
        <v>3</v>
      </c>
      <c r="F681" t="str">
        <f>Donnees!F681</f>
        <v>Partie 171</v>
      </c>
      <c r="H681" t="s">
        <v>10</v>
      </c>
      <c r="I681" t="str">
        <f t="shared" ref="I681" si="338">_xlfn.TEXTJOIN(";",TRUE,B682:E683)</f>
        <v/>
      </c>
    </row>
    <row r="682" spans="1:11" x14ac:dyDescent="0.25">
      <c r="A682" t="s">
        <v>6</v>
      </c>
      <c r="B682" s="1"/>
      <c r="C682" s="1"/>
      <c r="D682" s="1"/>
      <c r="E682" s="1"/>
      <c r="F682" s="3"/>
      <c r="H682" t="s">
        <v>9</v>
      </c>
      <c r="I682" t="e" cm="1">
        <f t="array" ref="I682">IF(AND(Donnees!B681:F684=Check!B681:F684),"Identique","PAS IDENTIQUE")</f>
        <v>#N/A</v>
      </c>
      <c r="J682" t="s">
        <v>32</v>
      </c>
      <c r="K682" t="str" cm="1">
        <f t="array" ref="K682">IF(MAX(COUNTIF(B682:E682,B682:E682)) &gt; 1, "JOUEUR EN DOUBLE", "Pas de doublons")</f>
        <v>Pas de doublons</v>
      </c>
    </row>
    <row r="683" spans="1:11" x14ac:dyDescent="0.25">
      <c r="A683" t="s">
        <v>7</v>
      </c>
      <c r="B683" s="1"/>
      <c r="C683" s="1"/>
      <c r="D683" s="1"/>
      <c r="E683" s="1"/>
      <c r="H683" t="s">
        <v>33</v>
      </c>
      <c r="I683" t="str">
        <f>IF(COUNTIF(I$1:I682,I681)&gt;1,"DOUBLON LIGNE " &amp; MATCH(I681,I$1:I682,0),"Pas de doublons")</f>
        <v>DOUBLON LIGNE 489</v>
      </c>
      <c r="J683" t="s">
        <v>34</v>
      </c>
      <c r="K683" t="str" cm="1">
        <f t="array" ref="K683">IF(SUM(--(NOT(ISNUMBER(MATCH(B682:E682,'EMA points'!A:A,0))))) &gt; 0, "NOM INEXISTANT", "Noms ok")</f>
        <v>NOM INEXISTANT</v>
      </c>
    </row>
    <row r="684" spans="1:11" x14ac:dyDescent="0.25">
      <c r="A684" t="s">
        <v>8</v>
      </c>
      <c r="B684" t="e">
        <f>Donnees!B684</f>
        <v>#N/A</v>
      </c>
      <c r="C684" t="e">
        <f>Donnees!C684</f>
        <v>#N/A</v>
      </c>
      <c r="D684" t="e">
        <f>Donnees!D684</f>
        <v>#N/A</v>
      </c>
      <c r="E684" t="e">
        <f>Donnees!E684</f>
        <v>#N/A</v>
      </c>
      <c r="H684" t="s">
        <v>11</v>
      </c>
      <c r="I684" t="str">
        <f t="shared" ref="I684" si="339">IF(SUM(B683:E683)=0, "Score ok", "SOMME NON NULLE")</f>
        <v>Score ok</v>
      </c>
    </row>
    <row r="685" spans="1:11" x14ac:dyDescent="0.25">
      <c r="A685" t="s">
        <v>5</v>
      </c>
      <c r="B685" t="s">
        <v>0</v>
      </c>
      <c r="C685" t="s">
        <v>1</v>
      </c>
      <c r="D685" t="s">
        <v>2</v>
      </c>
      <c r="E685" t="s">
        <v>3</v>
      </c>
      <c r="F685" t="str">
        <f>Donnees!F685</f>
        <v>Partie 172</v>
      </c>
      <c r="H685" t="s">
        <v>10</v>
      </c>
      <c r="I685" t="str">
        <f t="shared" ref="I685" si="340">_xlfn.TEXTJOIN(";",TRUE,B686:E687)</f>
        <v/>
      </c>
    </row>
    <row r="686" spans="1:11" x14ac:dyDescent="0.25">
      <c r="A686" t="s">
        <v>6</v>
      </c>
      <c r="B686" s="1"/>
      <c r="C686" s="1"/>
      <c r="D686" s="1"/>
      <c r="E686" s="1"/>
      <c r="F686" s="3"/>
      <c r="H686" t="s">
        <v>9</v>
      </c>
      <c r="I686" t="e" cm="1">
        <f t="array" ref="I686">IF(AND(Donnees!B685:F688=Check!B685:F688),"Identique","PAS IDENTIQUE")</f>
        <v>#N/A</v>
      </c>
      <c r="J686" t="s">
        <v>32</v>
      </c>
      <c r="K686" t="str" cm="1">
        <f t="array" ref="K686">IF(MAX(COUNTIF(B686:E686,B686:E686)) &gt; 1, "JOUEUR EN DOUBLE", "Pas de doublons")</f>
        <v>Pas de doublons</v>
      </c>
    </row>
    <row r="687" spans="1:11" x14ac:dyDescent="0.25">
      <c r="A687" t="s">
        <v>7</v>
      </c>
      <c r="B687" s="1"/>
      <c r="C687" s="1"/>
      <c r="D687" s="1"/>
      <c r="E687" s="1"/>
      <c r="H687" t="s">
        <v>33</v>
      </c>
      <c r="I687" t="str">
        <f>IF(COUNTIF(I$1:I686,I685)&gt;1,"DOUBLON LIGNE " &amp; MATCH(I685,I$1:I686,0),"Pas de doublons")</f>
        <v>DOUBLON LIGNE 489</v>
      </c>
      <c r="J687" t="s">
        <v>34</v>
      </c>
      <c r="K687" t="str" cm="1">
        <f t="array" ref="K687">IF(SUM(--(NOT(ISNUMBER(MATCH(B686:E686,'EMA points'!A:A,0))))) &gt; 0, "NOM INEXISTANT", "Noms ok")</f>
        <v>NOM INEXISTANT</v>
      </c>
    </row>
    <row r="688" spans="1:11" x14ac:dyDescent="0.25">
      <c r="A688" t="s">
        <v>8</v>
      </c>
      <c r="B688" t="e">
        <f>Donnees!B688</f>
        <v>#N/A</v>
      </c>
      <c r="C688" t="e">
        <f>Donnees!C688</f>
        <v>#N/A</v>
      </c>
      <c r="D688" t="e">
        <f>Donnees!D688</f>
        <v>#N/A</v>
      </c>
      <c r="E688" t="e">
        <f>Donnees!E688</f>
        <v>#N/A</v>
      </c>
      <c r="H688" t="s">
        <v>11</v>
      </c>
      <c r="I688" t="str">
        <f t="shared" ref="I688" si="341">IF(SUM(B687:E687)=0, "Score ok", "SOMME NON NULLE")</f>
        <v>Score ok</v>
      </c>
    </row>
    <row r="689" spans="1:11" x14ac:dyDescent="0.25">
      <c r="A689" t="s">
        <v>5</v>
      </c>
      <c r="B689" t="s">
        <v>0</v>
      </c>
      <c r="C689" t="s">
        <v>1</v>
      </c>
      <c r="D689" t="s">
        <v>2</v>
      </c>
      <c r="E689" t="s">
        <v>3</v>
      </c>
      <c r="F689" t="str">
        <f>Donnees!F689</f>
        <v>Partie 173</v>
      </c>
      <c r="H689" t="s">
        <v>10</v>
      </c>
      <c r="I689" t="str">
        <f t="shared" ref="I689" si="342">_xlfn.TEXTJOIN(";",TRUE,B690:E691)</f>
        <v/>
      </c>
    </row>
    <row r="690" spans="1:11" x14ac:dyDescent="0.25">
      <c r="A690" t="s">
        <v>6</v>
      </c>
      <c r="B690" s="1"/>
      <c r="C690" s="1"/>
      <c r="D690" s="1"/>
      <c r="E690" s="1"/>
      <c r="F690" s="3"/>
      <c r="H690" t="s">
        <v>9</v>
      </c>
      <c r="I690" t="e" cm="1">
        <f t="array" ref="I690">IF(AND(Donnees!B689:F692=Check!B689:F692),"Identique","PAS IDENTIQUE")</f>
        <v>#N/A</v>
      </c>
      <c r="J690" t="s">
        <v>32</v>
      </c>
      <c r="K690" t="str" cm="1">
        <f t="array" ref="K690">IF(MAX(COUNTIF(B690:E690,B690:E690)) &gt; 1, "JOUEUR EN DOUBLE", "Pas de doublons")</f>
        <v>Pas de doublons</v>
      </c>
    </row>
    <row r="691" spans="1:11" x14ac:dyDescent="0.25">
      <c r="A691" t="s">
        <v>7</v>
      </c>
      <c r="B691" s="1"/>
      <c r="C691" s="1"/>
      <c r="D691" s="1"/>
      <c r="E691" s="1"/>
      <c r="H691" t="s">
        <v>33</v>
      </c>
      <c r="I691" t="str">
        <f>IF(COUNTIF(I$1:I690,I689)&gt;1,"DOUBLON LIGNE " &amp; MATCH(I689,I$1:I690,0),"Pas de doublons")</f>
        <v>DOUBLON LIGNE 489</v>
      </c>
      <c r="J691" t="s">
        <v>34</v>
      </c>
      <c r="K691" t="str" cm="1">
        <f t="array" ref="K691">IF(SUM(--(NOT(ISNUMBER(MATCH(B690:E690,'EMA points'!A:A,0))))) &gt; 0, "NOM INEXISTANT", "Noms ok")</f>
        <v>NOM INEXISTANT</v>
      </c>
    </row>
    <row r="692" spans="1:11" x14ac:dyDescent="0.25">
      <c r="A692" t="s">
        <v>8</v>
      </c>
      <c r="B692" t="e">
        <f>Donnees!B692</f>
        <v>#N/A</v>
      </c>
      <c r="C692" t="e">
        <f>Donnees!C692</f>
        <v>#N/A</v>
      </c>
      <c r="D692" t="e">
        <f>Donnees!D692</f>
        <v>#N/A</v>
      </c>
      <c r="E692" t="e">
        <f>Donnees!E692</f>
        <v>#N/A</v>
      </c>
      <c r="H692" t="s">
        <v>11</v>
      </c>
      <c r="I692" t="str">
        <f t="shared" ref="I692" si="343">IF(SUM(B691:E691)=0, "Score ok", "SOMME NON NULLE")</f>
        <v>Score ok</v>
      </c>
    </row>
    <row r="693" spans="1:11" x14ac:dyDescent="0.25">
      <c r="A693" t="s">
        <v>5</v>
      </c>
      <c r="B693" t="s">
        <v>0</v>
      </c>
      <c r="C693" t="s">
        <v>1</v>
      </c>
      <c r="D693" t="s">
        <v>2</v>
      </c>
      <c r="E693" t="s">
        <v>3</v>
      </c>
      <c r="F693" t="str">
        <f>Donnees!F693</f>
        <v>Partie 174</v>
      </c>
      <c r="H693" t="s">
        <v>10</v>
      </c>
      <c r="I693" t="str">
        <f t="shared" ref="I693" si="344">_xlfn.TEXTJOIN(";",TRUE,B694:E695)</f>
        <v/>
      </c>
    </row>
    <row r="694" spans="1:11" x14ac:dyDescent="0.25">
      <c r="A694" t="s">
        <v>6</v>
      </c>
      <c r="B694" s="1"/>
      <c r="C694" s="1"/>
      <c r="D694" s="1"/>
      <c r="E694" s="1"/>
      <c r="F694" s="3"/>
      <c r="H694" t="s">
        <v>9</v>
      </c>
      <c r="I694" t="e" cm="1">
        <f t="array" ref="I694">IF(AND(Donnees!B693:F696=Check!B693:F696),"Identique","PAS IDENTIQUE")</f>
        <v>#N/A</v>
      </c>
      <c r="J694" t="s">
        <v>32</v>
      </c>
      <c r="K694" t="str" cm="1">
        <f t="array" ref="K694">IF(MAX(COUNTIF(B694:E694,B694:E694)) &gt; 1, "JOUEUR EN DOUBLE", "Pas de doublons")</f>
        <v>Pas de doublons</v>
      </c>
    </row>
    <row r="695" spans="1:11" x14ac:dyDescent="0.25">
      <c r="A695" t="s">
        <v>7</v>
      </c>
      <c r="B695" s="1"/>
      <c r="C695" s="1"/>
      <c r="D695" s="1"/>
      <c r="E695" s="1"/>
      <c r="H695" t="s">
        <v>33</v>
      </c>
      <c r="I695" t="str">
        <f>IF(COUNTIF(I$1:I694,I693)&gt;1,"DOUBLON LIGNE " &amp; MATCH(I693,I$1:I694,0),"Pas de doublons")</f>
        <v>DOUBLON LIGNE 489</v>
      </c>
      <c r="J695" t="s">
        <v>34</v>
      </c>
      <c r="K695" t="str" cm="1">
        <f t="array" ref="K695">IF(SUM(--(NOT(ISNUMBER(MATCH(B694:E694,'EMA points'!A:A,0))))) &gt; 0, "NOM INEXISTANT", "Noms ok")</f>
        <v>NOM INEXISTANT</v>
      </c>
    </row>
    <row r="696" spans="1:11" x14ac:dyDescent="0.25">
      <c r="A696" t="s">
        <v>8</v>
      </c>
      <c r="B696" t="e">
        <f>Donnees!B696</f>
        <v>#N/A</v>
      </c>
      <c r="C696" t="e">
        <f>Donnees!C696</f>
        <v>#N/A</v>
      </c>
      <c r="D696" t="e">
        <f>Donnees!D696</f>
        <v>#N/A</v>
      </c>
      <c r="E696" t="e">
        <f>Donnees!E696</f>
        <v>#N/A</v>
      </c>
      <c r="H696" t="s">
        <v>11</v>
      </c>
      <c r="I696" t="str">
        <f t="shared" ref="I696" si="345">IF(SUM(B695:E695)=0, "Score ok", "SOMME NON NULLE")</f>
        <v>Score ok</v>
      </c>
    </row>
    <row r="697" spans="1:11" x14ac:dyDescent="0.25">
      <c r="A697" t="s">
        <v>5</v>
      </c>
      <c r="B697" t="s">
        <v>0</v>
      </c>
      <c r="C697" t="s">
        <v>1</v>
      </c>
      <c r="D697" t="s">
        <v>2</v>
      </c>
      <c r="E697" t="s">
        <v>3</v>
      </c>
      <c r="F697" t="str">
        <f>Donnees!F697</f>
        <v>Partie 175</v>
      </c>
      <c r="H697" t="s">
        <v>10</v>
      </c>
      <c r="I697" t="str">
        <f t="shared" ref="I697" si="346">_xlfn.TEXTJOIN(";",TRUE,B698:E699)</f>
        <v/>
      </c>
    </row>
    <row r="698" spans="1:11" x14ac:dyDescent="0.25">
      <c r="A698" t="s">
        <v>6</v>
      </c>
      <c r="B698" s="1"/>
      <c r="C698" s="1"/>
      <c r="D698" s="1"/>
      <c r="E698" s="1"/>
      <c r="F698" s="3"/>
      <c r="H698" t="s">
        <v>9</v>
      </c>
      <c r="I698" t="e" cm="1">
        <f t="array" ref="I698">IF(AND(Donnees!B697:F700=Check!B697:F700),"Identique","PAS IDENTIQUE")</f>
        <v>#N/A</v>
      </c>
      <c r="J698" t="s">
        <v>32</v>
      </c>
      <c r="K698" t="str" cm="1">
        <f t="array" ref="K698">IF(MAX(COUNTIF(B698:E698,B698:E698)) &gt; 1, "JOUEUR EN DOUBLE", "Pas de doublons")</f>
        <v>Pas de doublons</v>
      </c>
    </row>
    <row r="699" spans="1:11" x14ac:dyDescent="0.25">
      <c r="A699" t="s">
        <v>7</v>
      </c>
      <c r="B699" s="1"/>
      <c r="C699" s="1"/>
      <c r="D699" s="1"/>
      <c r="E699" s="1"/>
      <c r="H699" t="s">
        <v>33</v>
      </c>
      <c r="I699" t="str">
        <f>IF(COUNTIF(I$1:I698,I697)&gt;1,"DOUBLON LIGNE " &amp; MATCH(I697,I$1:I698,0),"Pas de doublons")</f>
        <v>DOUBLON LIGNE 489</v>
      </c>
      <c r="J699" t="s">
        <v>34</v>
      </c>
      <c r="K699" t="str" cm="1">
        <f t="array" ref="K699">IF(SUM(--(NOT(ISNUMBER(MATCH(B698:E698,'EMA points'!A:A,0))))) &gt; 0, "NOM INEXISTANT", "Noms ok")</f>
        <v>NOM INEXISTANT</v>
      </c>
    </row>
    <row r="700" spans="1:11" x14ac:dyDescent="0.25">
      <c r="A700" t="s">
        <v>8</v>
      </c>
      <c r="B700" t="e">
        <f>Donnees!B700</f>
        <v>#N/A</v>
      </c>
      <c r="C700" t="e">
        <f>Donnees!C700</f>
        <v>#N/A</v>
      </c>
      <c r="D700" t="e">
        <f>Donnees!D700</f>
        <v>#N/A</v>
      </c>
      <c r="E700" t="e">
        <f>Donnees!E700</f>
        <v>#N/A</v>
      </c>
      <c r="H700" t="s">
        <v>11</v>
      </c>
      <c r="I700" t="str">
        <f t="shared" ref="I700" si="347">IF(SUM(B699:E699)=0, "Score ok", "SOMME NON NULLE")</f>
        <v>Score ok</v>
      </c>
    </row>
    <row r="701" spans="1:11" x14ac:dyDescent="0.25">
      <c r="A701" t="s">
        <v>5</v>
      </c>
      <c r="B701" t="s">
        <v>0</v>
      </c>
      <c r="C701" t="s">
        <v>1</v>
      </c>
      <c r="D701" t="s">
        <v>2</v>
      </c>
      <c r="E701" t="s">
        <v>3</v>
      </c>
      <c r="F701" t="str">
        <f>Donnees!F701</f>
        <v>Partie 176</v>
      </c>
      <c r="H701" t="s">
        <v>10</v>
      </c>
      <c r="I701" t="str">
        <f t="shared" ref="I701" si="348">_xlfn.TEXTJOIN(";",TRUE,B702:E703)</f>
        <v/>
      </c>
    </row>
    <row r="702" spans="1:11" x14ac:dyDescent="0.25">
      <c r="A702" t="s">
        <v>6</v>
      </c>
      <c r="B702" s="1"/>
      <c r="C702" s="1"/>
      <c r="D702" s="1"/>
      <c r="E702" s="1"/>
      <c r="F702" s="3"/>
      <c r="H702" t="s">
        <v>9</v>
      </c>
      <c r="I702" t="e" cm="1">
        <f t="array" ref="I702">IF(AND(Donnees!B701:F704=Check!B701:F704),"Identique","PAS IDENTIQUE")</f>
        <v>#N/A</v>
      </c>
      <c r="J702" t="s">
        <v>32</v>
      </c>
      <c r="K702" t="str" cm="1">
        <f t="array" ref="K702">IF(MAX(COUNTIF(B702:E702,B702:E702)) &gt; 1, "JOUEUR EN DOUBLE", "Pas de doublons")</f>
        <v>Pas de doublons</v>
      </c>
    </row>
    <row r="703" spans="1:11" x14ac:dyDescent="0.25">
      <c r="A703" t="s">
        <v>7</v>
      </c>
      <c r="B703" s="1"/>
      <c r="C703" s="1"/>
      <c r="D703" s="1"/>
      <c r="E703" s="1"/>
      <c r="H703" t="s">
        <v>33</v>
      </c>
      <c r="I703" t="str">
        <f>IF(COUNTIF(I$1:I702,I701)&gt;1,"DOUBLON LIGNE " &amp; MATCH(I701,I$1:I702,0),"Pas de doublons")</f>
        <v>DOUBLON LIGNE 489</v>
      </c>
      <c r="J703" t="s">
        <v>34</v>
      </c>
      <c r="K703" t="str" cm="1">
        <f t="array" ref="K703">IF(SUM(--(NOT(ISNUMBER(MATCH(B702:E702,'EMA points'!A:A,0))))) &gt; 0, "NOM INEXISTANT", "Noms ok")</f>
        <v>NOM INEXISTANT</v>
      </c>
    </row>
    <row r="704" spans="1:11" x14ac:dyDescent="0.25">
      <c r="A704" t="s">
        <v>8</v>
      </c>
      <c r="B704" t="e">
        <f>Donnees!B704</f>
        <v>#N/A</v>
      </c>
      <c r="C704" t="e">
        <f>Donnees!C704</f>
        <v>#N/A</v>
      </c>
      <c r="D704" t="e">
        <f>Donnees!D704</f>
        <v>#N/A</v>
      </c>
      <c r="E704" t="e">
        <f>Donnees!E704</f>
        <v>#N/A</v>
      </c>
      <c r="H704" t="s">
        <v>11</v>
      </c>
      <c r="I704" t="str">
        <f t="shared" ref="I704" si="349">IF(SUM(B703:E703)=0, "Score ok", "SOMME NON NULLE")</f>
        <v>Score ok</v>
      </c>
    </row>
    <row r="705" spans="1:11" x14ac:dyDescent="0.25">
      <c r="A705" t="s">
        <v>5</v>
      </c>
      <c r="B705" t="s">
        <v>0</v>
      </c>
      <c r="C705" t="s">
        <v>1</v>
      </c>
      <c r="D705" t="s">
        <v>2</v>
      </c>
      <c r="E705" t="s">
        <v>3</v>
      </c>
      <c r="F705" t="str">
        <f>Donnees!F705</f>
        <v>Partie 177</v>
      </c>
      <c r="H705" t="s">
        <v>10</v>
      </c>
      <c r="I705" t="str">
        <f t="shared" ref="I705" si="350">_xlfn.TEXTJOIN(";",TRUE,B706:E707)</f>
        <v/>
      </c>
    </row>
    <row r="706" spans="1:11" x14ac:dyDescent="0.25">
      <c r="A706" t="s">
        <v>6</v>
      </c>
      <c r="B706" s="1"/>
      <c r="C706" s="1"/>
      <c r="D706" s="1"/>
      <c r="E706" s="1"/>
      <c r="F706" s="3"/>
      <c r="H706" t="s">
        <v>9</v>
      </c>
      <c r="I706" t="e" cm="1">
        <f t="array" ref="I706">IF(AND(Donnees!B705:F708=Check!B705:F708),"Identique","PAS IDENTIQUE")</f>
        <v>#N/A</v>
      </c>
      <c r="J706" t="s">
        <v>32</v>
      </c>
      <c r="K706" t="str" cm="1">
        <f t="array" ref="K706">IF(MAX(COUNTIF(B706:E706,B706:E706)) &gt; 1, "JOUEUR EN DOUBLE", "Pas de doublons")</f>
        <v>Pas de doublons</v>
      </c>
    </row>
    <row r="707" spans="1:11" x14ac:dyDescent="0.25">
      <c r="A707" t="s">
        <v>7</v>
      </c>
      <c r="B707" s="1"/>
      <c r="C707" s="1"/>
      <c r="D707" s="1"/>
      <c r="E707" s="1"/>
      <c r="H707" t="s">
        <v>33</v>
      </c>
      <c r="I707" t="str">
        <f>IF(COUNTIF(I$1:I706,I705)&gt;1,"DOUBLON LIGNE " &amp; MATCH(I705,I$1:I706,0),"Pas de doublons")</f>
        <v>DOUBLON LIGNE 489</v>
      </c>
      <c r="J707" t="s">
        <v>34</v>
      </c>
      <c r="K707" t="str" cm="1">
        <f t="array" ref="K707">IF(SUM(--(NOT(ISNUMBER(MATCH(B706:E706,'EMA points'!A:A,0))))) &gt; 0, "NOM INEXISTANT", "Noms ok")</f>
        <v>NOM INEXISTANT</v>
      </c>
    </row>
    <row r="708" spans="1:11" x14ac:dyDescent="0.25">
      <c r="A708" t="s">
        <v>8</v>
      </c>
      <c r="B708" t="e">
        <f>Donnees!B708</f>
        <v>#N/A</v>
      </c>
      <c r="C708" t="e">
        <f>Donnees!C708</f>
        <v>#N/A</v>
      </c>
      <c r="D708" t="e">
        <f>Donnees!D708</f>
        <v>#N/A</v>
      </c>
      <c r="E708" t="e">
        <f>Donnees!E708</f>
        <v>#N/A</v>
      </c>
      <c r="H708" t="s">
        <v>11</v>
      </c>
      <c r="I708" t="str">
        <f t="shared" ref="I708" si="351">IF(SUM(B707:E707)=0, "Score ok", "SOMME NON NULLE")</f>
        <v>Score ok</v>
      </c>
    </row>
    <row r="709" spans="1:11" x14ac:dyDescent="0.25">
      <c r="A709" t="s">
        <v>5</v>
      </c>
      <c r="B709" t="s">
        <v>0</v>
      </c>
      <c r="C709" t="s">
        <v>1</v>
      </c>
      <c r="D709" t="s">
        <v>2</v>
      </c>
      <c r="E709" t="s">
        <v>3</v>
      </c>
      <c r="F709" t="str">
        <f>Donnees!F709</f>
        <v>Partie 178</v>
      </c>
      <c r="H709" t="s">
        <v>10</v>
      </c>
      <c r="I709" t="str">
        <f t="shared" ref="I709" si="352">_xlfn.TEXTJOIN(";",TRUE,B710:E711)</f>
        <v/>
      </c>
    </row>
    <row r="710" spans="1:11" x14ac:dyDescent="0.25">
      <c r="A710" t="s">
        <v>6</v>
      </c>
      <c r="B710" s="1"/>
      <c r="C710" s="1"/>
      <c r="D710" s="1"/>
      <c r="E710" s="1"/>
      <c r="F710" s="3"/>
      <c r="H710" t="s">
        <v>9</v>
      </c>
      <c r="I710" t="e" cm="1">
        <f t="array" ref="I710">IF(AND(Donnees!B709:F712=Check!B709:F712),"Identique","PAS IDENTIQUE")</f>
        <v>#N/A</v>
      </c>
      <c r="J710" t="s">
        <v>32</v>
      </c>
      <c r="K710" t="str" cm="1">
        <f t="array" ref="K710">IF(MAX(COUNTIF(B710:E710,B710:E710)) &gt; 1, "JOUEUR EN DOUBLE", "Pas de doublons")</f>
        <v>Pas de doublons</v>
      </c>
    </row>
    <row r="711" spans="1:11" x14ac:dyDescent="0.25">
      <c r="A711" t="s">
        <v>7</v>
      </c>
      <c r="B711" s="1"/>
      <c r="C711" s="1"/>
      <c r="D711" s="1"/>
      <c r="E711" s="1"/>
      <c r="H711" t="s">
        <v>33</v>
      </c>
      <c r="I711" t="str">
        <f>IF(COUNTIF(I$1:I710,I709)&gt;1,"DOUBLON LIGNE " &amp; MATCH(I709,I$1:I710,0),"Pas de doublons")</f>
        <v>DOUBLON LIGNE 489</v>
      </c>
      <c r="J711" t="s">
        <v>34</v>
      </c>
      <c r="K711" t="str" cm="1">
        <f t="array" ref="K711">IF(SUM(--(NOT(ISNUMBER(MATCH(B710:E710,'EMA points'!A:A,0))))) &gt; 0, "NOM INEXISTANT", "Noms ok")</f>
        <v>NOM INEXISTANT</v>
      </c>
    </row>
    <row r="712" spans="1:11" x14ac:dyDescent="0.25">
      <c r="A712" t="s">
        <v>8</v>
      </c>
      <c r="B712" t="e">
        <f>Donnees!B712</f>
        <v>#N/A</v>
      </c>
      <c r="C712" t="e">
        <f>Donnees!C712</f>
        <v>#N/A</v>
      </c>
      <c r="D712" t="e">
        <f>Donnees!D712</f>
        <v>#N/A</v>
      </c>
      <c r="E712" t="e">
        <f>Donnees!E712</f>
        <v>#N/A</v>
      </c>
      <c r="H712" t="s">
        <v>11</v>
      </c>
      <c r="I712" t="str">
        <f t="shared" ref="I712" si="353">IF(SUM(B711:E711)=0, "Score ok", "SOMME NON NULLE")</f>
        <v>Score ok</v>
      </c>
    </row>
    <row r="713" spans="1:11" x14ac:dyDescent="0.25">
      <c r="A713" t="s">
        <v>5</v>
      </c>
      <c r="B713" t="s">
        <v>0</v>
      </c>
      <c r="C713" t="s">
        <v>1</v>
      </c>
      <c r="D713" t="s">
        <v>2</v>
      </c>
      <c r="E713" t="s">
        <v>3</v>
      </c>
      <c r="F713" t="str">
        <f>Donnees!F713</f>
        <v>Partie 179</v>
      </c>
      <c r="H713" t="s">
        <v>10</v>
      </c>
      <c r="I713" t="str">
        <f t="shared" ref="I713" si="354">_xlfn.TEXTJOIN(";",TRUE,B714:E715)</f>
        <v/>
      </c>
    </row>
    <row r="714" spans="1:11" x14ac:dyDescent="0.25">
      <c r="A714" t="s">
        <v>6</v>
      </c>
      <c r="B714" s="1"/>
      <c r="C714" s="1"/>
      <c r="D714" s="1"/>
      <c r="E714" s="1"/>
      <c r="F714" s="3"/>
      <c r="H714" t="s">
        <v>9</v>
      </c>
      <c r="I714" t="e" cm="1">
        <f t="array" ref="I714">IF(AND(Donnees!B713:F716=Check!B713:F716),"Identique","PAS IDENTIQUE")</f>
        <v>#N/A</v>
      </c>
      <c r="J714" t="s">
        <v>32</v>
      </c>
      <c r="K714" t="str" cm="1">
        <f t="array" ref="K714">IF(MAX(COUNTIF(B714:E714,B714:E714)) &gt; 1, "JOUEUR EN DOUBLE", "Pas de doublons")</f>
        <v>Pas de doublons</v>
      </c>
    </row>
    <row r="715" spans="1:11" x14ac:dyDescent="0.25">
      <c r="A715" t="s">
        <v>7</v>
      </c>
      <c r="B715" s="1"/>
      <c r="C715" s="1"/>
      <c r="D715" s="1"/>
      <c r="E715" s="1"/>
      <c r="H715" t="s">
        <v>33</v>
      </c>
      <c r="I715" t="str">
        <f>IF(COUNTIF(I$1:I714,I713)&gt;1,"DOUBLON LIGNE " &amp; MATCH(I713,I$1:I714,0),"Pas de doublons")</f>
        <v>DOUBLON LIGNE 489</v>
      </c>
      <c r="J715" t="s">
        <v>34</v>
      </c>
      <c r="K715" t="str" cm="1">
        <f t="array" ref="K715">IF(SUM(--(NOT(ISNUMBER(MATCH(B714:E714,'EMA points'!A:A,0))))) &gt; 0, "NOM INEXISTANT", "Noms ok")</f>
        <v>NOM INEXISTANT</v>
      </c>
    </row>
    <row r="716" spans="1:11" x14ac:dyDescent="0.25">
      <c r="A716" t="s">
        <v>8</v>
      </c>
      <c r="B716" t="e">
        <f>Donnees!B716</f>
        <v>#N/A</v>
      </c>
      <c r="C716" t="e">
        <f>Donnees!C716</f>
        <v>#N/A</v>
      </c>
      <c r="D716" t="e">
        <f>Donnees!D716</f>
        <v>#N/A</v>
      </c>
      <c r="E716" t="e">
        <f>Donnees!E716</f>
        <v>#N/A</v>
      </c>
      <c r="H716" t="s">
        <v>11</v>
      </c>
      <c r="I716" t="str">
        <f t="shared" ref="I716" si="355">IF(SUM(B715:E715)=0, "Score ok", "SOMME NON NULLE")</f>
        <v>Score ok</v>
      </c>
    </row>
    <row r="717" spans="1:11" x14ac:dyDescent="0.25">
      <c r="A717" t="s">
        <v>5</v>
      </c>
      <c r="B717" t="s">
        <v>0</v>
      </c>
      <c r="C717" t="s">
        <v>1</v>
      </c>
      <c r="D717" t="s">
        <v>2</v>
      </c>
      <c r="E717" t="s">
        <v>3</v>
      </c>
      <c r="F717" t="str">
        <f>Donnees!F717</f>
        <v>Partie 180</v>
      </c>
      <c r="H717" t="s">
        <v>10</v>
      </c>
      <c r="I717" t="str">
        <f t="shared" ref="I717" si="356">_xlfn.TEXTJOIN(";",TRUE,B718:E719)</f>
        <v/>
      </c>
    </row>
    <row r="718" spans="1:11" x14ac:dyDescent="0.25">
      <c r="A718" t="s">
        <v>6</v>
      </c>
      <c r="B718" s="1"/>
      <c r="C718" s="1"/>
      <c r="D718" s="1"/>
      <c r="E718" s="1"/>
      <c r="F718" s="3"/>
      <c r="H718" t="s">
        <v>9</v>
      </c>
      <c r="I718" t="e" cm="1">
        <f t="array" ref="I718">IF(AND(Donnees!B717:F720=Check!B717:F720),"Identique","PAS IDENTIQUE")</f>
        <v>#N/A</v>
      </c>
      <c r="J718" t="s">
        <v>32</v>
      </c>
      <c r="K718" t="str" cm="1">
        <f t="array" ref="K718">IF(MAX(COUNTIF(B718:E718,B718:E718)) &gt; 1, "JOUEUR EN DOUBLE", "Pas de doublons")</f>
        <v>Pas de doublons</v>
      </c>
    </row>
    <row r="719" spans="1:11" x14ac:dyDescent="0.25">
      <c r="A719" t="s">
        <v>7</v>
      </c>
      <c r="B719" s="1"/>
      <c r="C719" s="1"/>
      <c r="D719" s="1"/>
      <c r="E719" s="1"/>
      <c r="H719" t="s">
        <v>33</v>
      </c>
      <c r="I719" t="str">
        <f>IF(COUNTIF(I$1:I718,I717)&gt;1,"DOUBLON LIGNE " &amp; MATCH(I717,I$1:I718,0),"Pas de doublons")</f>
        <v>DOUBLON LIGNE 489</v>
      </c>
      <c r="J719" t="s">
        <v>34</v>
      </c>
      <c r="K719" t="str" cm="1">
        <f t="array" ref="K719">IF(SUM(--(NOT(ISNUMBER(MATCH(B718:E718,'EMA points'!A:A,0))))) &gt; 0, "NOM INEXISTANT", "Noms ok")</f>
        <v>NOM INEXISTANT</v>
      </c>
    </row>
    <row r="720" spans="1:11" x14ac:dyDescent="0.25">
      <c r="A720" t="s">
        <v>8</v>
      </c>
      <c r="B720" t="e">
        <f>Donnees!B720</f>
        <v>#N/A</v>
      </c>
      <c r="C720" t="e">
        <f>Donnees!C720</f>
        <v>#N/A</v>
      </c>
      <c r="D720" t="e">
        <f>Donnees!D720</f>
        <v>#N/A</v>
      </c>
      <c r="E720" t="e">
        <f>Donnees!E720</f>
        <v>#N/A</v>
      </c>
      <c r="H720" t="s">
        <v>11</v>
      </c>
      <c r="I720" t="str">
        <f t="shared" ref="I720" si="357">IF(SUM(B719:E719)=0, "Score ok", "SOMME NON NULLE")</f>
        <v>Score ok</v>
      </c>
    </row>
    <row r="721" spans="1:11" x14ac:dyDescent="0.25">
      <c r="A721" t="s">
        <v>5</v>
      </c>
      <c r="B721" t="s">
        <v>0</v>
      </c>
      <c r="C721" t="s">
        <v>1</v>
      </c>
      <c r="D721" t="s">
        <v>2</v>
      </c>
      <c r="E721" t="s">
        <v>3</v>
      </c>
      <c r="F721" t="str">
        <f>Donnees!F721</f>
        <v>Partie 181</v>
      </c>
      <c r="H721" t="s">
        <v>10</v>
      </c>
      <c r="I721" t="str">
        <f t="shared" ref="I721" si="358">_xlfn.TEXTJOIN(";",TRUE,B722:E723)</f>
        <v/>
      </c>
    </row>
    <row r="722" spans="1:11" x14ac:dyDescent="0.25">
      <c r="A722" t="s">
        <v>6</v>
      </c>
      <c r="B722" s="1"/>
      <c r="C722" s="1"/>
      <c r="D722" s="1"/>
      <c r="E722" s="1"/>
      <c r="F722" s="3"/>
      <c r="H722" t="s">
        <v>9</v>
      </c>
      <c r="I722" t="e" cm="1">
        <f t="array" ref="I722">IF(AND(Donnees!B721:F724=Check!B721:F724),"Identique","PAS IDENTIQUE")</f>
        <v>#N/A</v>
      </c>
      <c r="J722" t="s">
        <v>32</v>
      </c>
      <c r="K722" t="str" cm="1">
        <f t="array" ref="K722">IF(MAX(COUNTIF(B722:E722,B722:E722)) &gt; 1, "JOUEUR EN DOUBLE", "Pas de doublons")</f>
        <v>Pas de doublons</v>
      </c>
    </row>
    <row r="723" spans="1:11" x14ac:dyDescent="0.25">
      <c r="A723" t="s">
        <v>7</v>
      </c>
      <c r="B723" s="1"/>
      <c r="C723" s="1"/>
      <c r="D723" s="1"/>
      <c r="E723" s="1"/>
      <c r="H723" t="s">
        <v>33</v>
      </c>
      <c r="I723" t="str">
        <f>IF(COUNTIF(I$1:I722,I721)&gt;1,"DOUBLON LIGNE " &amp; MATCH(I721,I$1:I722,0),"Pas de doublons")</f>
        <v>DOUBLON LIGNE 489</v>
      </c>
      <c r="J723" t="s">
        <v>34</v>
      </c>
      <c r="K723" t="str" cm="1">
        <f t="array" ref="K723">IF(SUM(--(NOT(ISNUMBER(MATCH(B722:E722,'EMA points'!A:A,0))))) &gt; 0, "NOM INEXISTANT", "Noms ok")</f>
        <v>NOM INEXISTANT</v>
      </c>
    </row>
    <row r="724" spans="1:11" x14ac:dyDescent="0.25">
      <c r="A724" t="s">
        <v>8</v>
      </c>
      <c r="B724" t="e">
        <f>Donnees!B724</f>
        <v>#N/A</v>
      </c>
      <c r="C724" t="e">
        <f>Donnees!C724</f>
        <v>#N/A</v>
      </c>
      <c r="D724" t="e">
        <f>Donnees!D724</f>
        <v>#N/A</v>
      </c>
      <c r="E724" t="e">
        <f>Donnees!E724</f>
        <v>#N/A</v>
      </c>
      <c r="H724" t="s">
        <v>11</v>
      </c>
      <c r="I724" t="str">
        <f t="shared" ref="I724" si="359">IF(SUM(B723:E723)=0, "Score ok", "SOMME NON NULLE")</f>
        <v>Score ok</v>
      </c>
    </row>
    <row r="725" spans="1:11" x14ac:dyDescent="0.25">
      <c r="A725" t="s">
        <v>5</v>
      </c>
      <c r="B725" t="s">
        <v>0</v>
      </c>
      <c r="C725" t="s">
        <v>1</v>
      </c>
      <c r="D725" t="s">
        <v>2</v>
      </c>
      <c r="E725" t="s">
        <v>3</v>
      </c>
      <c r="F725" t="str">
        <f>Donnees!F725</f>
        <v>Partie 182</v>
      </c>
      <c r="H725" t="s">
        <v>10</v>
      </c>
      <c r="I725" t="str">
        <f t="shared" ref="I725" si="360">_xlfn.TEXTJOIN(";",TRUE,B726:E727)</f>
        <v/>
      </c>
    </row>
    <row r="726" spans="1:11" x14ac:dyDescent="0.25">
      <c r="A726" t="s">
        <v>6</v>
      </c>
      <c r="B726" s="1"/>
      <c r="C726" s="1"/>
      <c r="D726" s="1"/>
      <c r="E726" s="1"/>
      <c r="F726" s="3"/>
      <c r="H726" t="s">
        <v>9</v>
      </c>
      <c r="I726" t="e" cm="1">
        <f t="array" ref="I726">IF(AND(Donnees!B725:F728=Check!B725:F728),"Identique","PAS IDENTIQUE")</f>
        <v>#N/A</v>
      </c>
      <c r="J726" t="s">
        <v>32</v>
      </c>
      <c r="K726" t="str" cm="1">
        <f t="array" ref="K726">IF(MAX(COUNTIF(B726:E726,B726:E726)) &gt; 1, "JOUEUR EN DOUBLE", "Pas de doublons")</f>
        <v>Pas de doublons</v>
      </c>
    </row>
    <row r="727" spans="1:11" x14ac:dyDescent="0.25">
      <c r="A727" t="s">
        <v>7</v>
      </c>
      <c r="B727" s="1"/>
      <c r="C727" s="1"/>
      <c r="D727" s="1"/>
      <c r="E727" s="1"/>
      <c r="H727" t="s">
        <v>33</v>
      </c>
      <c r="I727" t="str">
        <f>IF(COUNTIF(I$1:I726,I725)&gt;1,"DOUBLON LIGNE " &amp; MATCH(I725,I$1:I726,0),"Pas de doublons")</f>
        <v>DOUBLON LIGNE 489</v>
      </c>
      <c r="J727" t="s">
        <v>34</v>
      </c>
      <c r="K727" t="str" cm="1">
        <f t="array" ref="K727">IF(SUM(--(NOT(ISNUMBER(MATCH(B726:E726,'EMA points'!A:A,0))))) &gt; 0, "NOM INEXISTANT", "Noms ok")</f>
        <v>NOM INEXISTANT</v>
      </c>
    </row>
    <row r="728" spans="1:11" x14ac:dyDescent="0.25">
      <c r="A728" t="s">
        <v>8</v>
      </c>
      <c r="B728" t="e">
        <f>Donnees!B728</f>
        <v>#N/A</v>
      </c>
      <c r="C728" t="e">
        <f>Donnees!C728</f>
        <v>#N/A</v>
      </c>
      <c r="D728" t="e">
        <f>Donnees!D728</f>
        <v>#N/A</v>
      </c>
      <c r="E728" t="e">
        <f>Donnees!E728</f>
        <v>#N/A</v>
      </c>
      <c r="H728" t="s">
        <v>11</v>
      </c>
      <c r="I728" t="str">
        <f t="shared" ref="I728" si="361">IF(SUM(B727:E727)=0, "Score ok", "SOMME NON NULLE")</f>
        <v>Score ok</v>
      </c>
    </row>
    <row r="729" spans="1:11" x14ac:dyDescent="0.25">
      <c r="A729" t="s">
        <v>5</v>
      </c>
      <c r="B729" t="s">
        <v>0</v>
      </c>
      <c r="C729" t="s">
        <v>1</v>
      </c>
      <c r="D729" t="s">
        <v>2</v>
      </c>
      <c r="E729" t="s">
        <v>3</v>
      </c>
      <c r="F729" t="str">
        <f>Donnees!F729</f>
        <v>Partie 183</v>
      </c>
      <c r="H729" t="s">
        <v>10</v>
      </c>
      <c r="I729" t="str">
        <f t="shared" ref="I729" si="362">_xlfn.TEXTJOIN(";",TRUE,B730:E731)</f>
        <v/>
      </c>
    </row>
    <row r="730" spans="1:11" x14ac:dyDescent="0.25">
      <c r="A730" t="s">
        <v>6</v>
      </c>
      <c r="B730" s="1"/>
      <c r="C730" s="1"/>
      <c r="D730" s="1"/>
      <c r="E730" s="1"/>
      <c r="F730" s="3"/>
      <c r="H730" t="s">
        <v>9</v>
      </c>
      <c r="I730" t="e" cm="1">
        <f t="array" ref="I730">IF(AND(Donnees!B729:F732=Check!B729:F732),"Identique","PAS IDENTIQUE")</f>
        <v>#N/A</v>
      </c>
      <c r="J730" t="s">
        <v>32</v>
      </c>
      <c r="K730" t="str" cm="1">
        <f t="array" ref="K730">IF(MAX(COUNTIF(B730:E730,B730:E730)) &gt; 1, "JOUEUR EN DOUBLE", "Pas de doublons")</f>
        <v>Pas de doublons</v>
      </c>
    </row>
    <row r="731" spans="1:11" x14ac:dyDescent="0.25">
      <c r="A731" t="s">
        <v>7</v>
      </c>
      <c r="B731" s="1"/>
      <c r="C731" s="1"/>
      <c r="D731" s="1"/>
      <c r="E731" s="1"/>
      <c r="H731" t="s">
        <v>33</v>
      </c>
      <c r="I731" t="str">
        <f>IF(COUNTIF(I$1:I730,I729)&gt;1,"DOUBLON LIGNE " &amp; MATCH(I729,I$1:I730,0),"Pas de doublons")</f>
        <v>DOUBLON LIGNE 489</v>
      </c>
      <c r="J731" t="s">
        <v>34</v>
      </c>
      <c r="K731" t="str" cm="1">
        <f t="array" ref="K731">IF(SUM(--(NOT(ISNUMBER(MATCH(B730:E730,'EMA points'!A:A,0))))) &gt; 0, "NOM INEXISTANT", "Noms ok")</f>
        <v>NOM INEXISTANT</v>
      </c>
    </row>
    <row r="732" spans="1:11" x14ac:dyDescent="0.25">
      <c r="A732" t="s">
        <v>8</v>
      </c>
      <c r="B732" t="e">
        <f>Donnees!B732</f>
        <v>#N/A</v>
      </c>
      <c r="C732" t="e">
        <f>Donnees!C732</f>
        <v>#N/A</v>
      </c>
      <c r="D732" t="e">
        <f>Donnees!D732</f>
        <v>#N/A</v>
      </c>
      <c r="E732" t="e">
        <f>Donnees!E732</f>
        <v>#N/A</v>
      </c>
      <c r="H732" t="s">
        <v>11</v>
      </c>
      <c r="I732" t="str">
        <f t="shared" ref="I732" si="363">IF(SUM(B731:E731)=0, "Score ok", "SOMME NON NULLE")</f>
        <v>Score ok</v>
      </c>
    </row>
    <row r="733" spans="1:11" x14ac:dyDescent="0.25">
      <c r="A733" t="s">
        <v>5</v>
      </c>
      <c r="B733" t="s">
        <v>0</v>
      </c>
      <c r="C733" t="s">
        <v>1</v>
      </c>
      <c r="D733" t="s">
        <v>2</v>
      </c>
      <c r="E733" t="s">
        <v>3</v>
      </c>
      <c r="F733" t="str">
        <f>Donnees!F733</f>
        <v>Partie 184</v>
      </c>
      <c r="H733" t="s">
        <v>10</v>
      </c>
      <c r="I733" t="str">
        <f t="shared" ref="I733" si="364">_xlfn.TEXTJOIN(";",TRUE,B734:E735)</f>
        <v/>
      </c>
    </row>
    <row r="734" spans="1:11" x14ac:dyDescent="0.25">
      <c r="A734" t="s">
        <v>6</v>
      </c>
      <c r="B734" s="1"/>
      <c r="C734" s="1"/>
      <c r="D734" s="1"/>
      <c r="E734" s="1"/>
      <c r="F734" s="3"/>
      <c r="H734" t="s">
        <v>9</v>
      </c>
      <c r="I734" t="e" cm="1">
        <f t="array" ref="I734">IF(AND(Donnees!B733:F736=Check!B733:F736),"Identique","PAS IDENTIQUE")</f>
        <v>#N/A</v>
      </c>
      <c r="J734" t="s">
        <v>32</v>
      </c>
      <c r="K734" t="str" cm="1">
        <f t="array" ref="K734">IF(MAX(COUNTIF(B734:E734,B734:E734)) &gt; 1, "JOUEUR EN DOUBLE", "Pas de doublons")</f>
        <v>Pas de doublons</v>
      </c>
    </row>
    <row r="735" spans="1:11" x14ac:dyDescent="0.25">
      <c r="A735" t="s">
        <v>7</v>
      </c>
      <c r="B735" s="1"/>
      <c r="C735" s="1"/>
      <c r="D735" s="1"/>
      <c r="E735" s="1"/>
      <c r="H735" t="s">
        <v>33</v>
      </c>
      <c r="I735" t="str">
        <f>IF(COUNTIF(I$1:I734,I733)&gt;1,"DOUBLON LIGNE " &amp; MATCH(I733,I$1:I734,0),"Pas de doublons")</f>
        <v>DOUBLON LIGNE 489</v>
      </c>
      <c r="J735" t="s">
        <v>34</v>
      </c>
      <c r="K735" t="str" cm="1">
        <f t="array" ref="K735">IF(SUM(--(NOT(ISNUMBER(MATCH(B734:E734,'EMA points'!A:A,0))))) &gt; 0, "NOM INEXISTANT", "Noms ok")</f>
        <v>NOM INEXISTANT</v>
      </c>
    </row>
    <row r="736" spans="1:11" x14ac:dyDescent="0.25">
      <c r="A736" t="s">
        <v>8</v>
      </c>
      <c r="B736" t="e">
        <f>Donnees!B736</f>
        <v>#N/A</v>
      </c>
      <c r="C736" t="e">
        <f>Donnees!C736</f>
        <v>#N/A</v>
      </c>
      <c r="D736" t="e">
        <f>Donnees!D736</f>
        <v>#N/A</v>
      </c>
      <c r="E736" t="e">
        <f>Donnees!E736</f>
        <v>#N/A</v>
      </c>
      <c r="H736" t="s">
        <v>11</v>
      </c>
      <c r="I736" t="str">
        <f t="shared" ref="I736" si="365">IF(SUM(B735:E735)=0, "Score ok", "SOMME NON NULLE")</f>
        <v>Score ok</v>
      </c>
    </row>
    <row r="737" spans="1:11" x14ac:dyDescent="0.25">
      <c r="A737" t="s">
        <v>5</v>
      </c>
      <c r="B737" t="s">
        <v>0</v>
      </c>
      <c r="C737" t="s">
        <v>1</v>
      </c>
      <c r="D737" t="s">
        <v>2</v>
      </c>
      <c r="E737" t="s">
        <v>3</v>
      </c>
      <c r="F737" t="str">
        <f>Donnees!F737</f>
        <v>Partie 185</v>
      </c>
      <c r="H737" t="s">
        <v>10</v>
      </c>
      <c r="I737" t="str">
        <f t="shared" ref="I737" si="366">_xlfn.TEXTJOIN(";",TRUE,B738:E739)</f>
        <v/>
      </c>
    </row>
    <row r="738" spans="1:11" x14ac:dyDescent="0.25">
      <c r="A738" t="s">
        <v>6</v>
      </c>
      <c r="B738" s="1"/>
      <c r="C738" s="1"/>
      <c r="D738" s="1"/>
      <c r="E738" s="1"/>
      <c r="F738" s="3"/>
      <c r="H738" t="s">
        <v>9</v>
      </c>
      <c r="I738" t="e" cm="1">
        <f t="array" ref="I738">IF(AND(Donnees!B737:F740=Check!B737:F740),"Identique","PAS IDENTIQUE")</f>
        <v>#N/A</v>
      </c>
      <c r="J738" t="s">
        <v>32</v>
      </c>
      <c r="K738" t="str" cm="1">
        <f t="array" ref="K738">IF(MAX(COUNTIF(B738:E738,B738:E738)) &gt; 1, "JOUEUR EN DOUBLE", "Pas de doublons")</f>
        <v>Pas de doublons</v>
      </c>
    </row>
    <row r="739" spans="1:11" x14ac:dyDescent="0.25">
      <c r="A739" t="s">
        <v>7</v>
      </c>
      <c r="B739" s="1"/>
      <c r="C739" s="1"/>
      <c r="D739" s="1"/>
      <c r="E739" s="1"/>
      <c r="H739" t="s">
        <v>33</v>
      </c>
      <c r="I739" t="str">
        <f>IF(COUNTIF(I$1:I738,I737)&gt;1,"DOUBLON LIGNE " &amp; MATCH(I737,I$1:I738,0),"Pas de doublons")</f>
        <v>DOUBLON LIGNE 489</v>
      </c>
      <c r="J739" t="s">
        <v>34</v>
      </c>
      <c r="K739" t="str" cm="1">
        <f t="array" ref="K739">IF(SUM(--(NOT(ISNUMBER(MATCH(B738:E738,'EMA points'!A:A,0))))) &gt; 0, "NOM INEXISTANT", "Noms ok")</f>
        <v>NOM INEXISTANT</v>
      </c>
    </row>
    <row r="740" spans="1:11" x14ac:dyDescent="0.25">
      <c r="A740" t="s">
        <v>8</v>
      </c>
      <c r="B740" t="e">
        <f>Donnees!B740</f>
        <v>#N/A</v>
      </c>
      <c r="C740" t="e">
        <f>Donnees!C740</f>
        <v>#N/A</v>
      </c>
      <c r="D740" t="e">
        <f>Donnees!D740</f>
        <v>#N/A</v>
      </c>
      <c r="E740" t="e">
        <f>Donnees!E740</f>
        <v>#N/A</v>
      </c>
      <c r="H740" t="s">
        <v>11</v>
      </c>
      <c r="I740" t="str">
        <f t="shared" ref="I740" si="367">IF(SUM(B739:E739)=0, "Score ok", "SOMME NON NULLE")</f>
        <v>Score ok</v>
      </c>
    </row>
    <row r="741" spans="1:11" x14ac:dyDescent="0.25">
      <c r="A741" t="s">
        <v>5</v>
      </c>
      <c r="B741" t="s">
        <v>0</v>
      </c>
      <c r="C741" t="s">
        <v>1</v>
      </c>
      <c r="D741" t="s">
        <v>2</v>
      </c>
      <c r="E741" t="s">
        <v>3</v>
      </c>
      <c r="F741" t="str">
        <f>Donnees!F741</f>
        <v>Partie 186</v>
      </c>
      <c r="H741" t="s">
        <v>10</v>
      </c>
      <c r="I741" t="str">
        <f t="shared" ref="I741" si="368">_xlfn.TEXTJOIN(";",TRUE,B742:E743)</f>
        <v/>
      </c>
    </row>
    <row r="742" spans="1:11" x14ac:dyDescent="0.25">
      <c r="A742" t="s">
        <v>6</v>
      </c>
      <c r="B742" s="1"/>
      <c r="C742" s="1"/>
      <c r="D742" s="1"/>
      <c r="E742" s="1"/>
      <c r="F742" s="3"/>
      <c r="H742" t="s">
        <v>9</v>
      </c>
      <c r="I742" t="e" cm="1">
        <f t="array" ref="I742">IF(AND(Donnees!B741:F744=Check!B741:F744),"Identique","PAS IDENTIQUE")</f>
        <v>#N/A</v>
      </c>
      <c r="J742" t="s">
        <v>32</v>
      </c>
      <c r="K742" t="str" cm="1">
        <f t="array" ref="K742">IF(MAX(COUNTIF(B742:E742,B742:E742)) &gt; 1, "JOUEUR EN DOUBLE", "Pas de doublons")</f>
        <v>Pas de doublons</v>
      </c>
    </row>
    <row r="743" spans="1:11" x14ac:dyDescent="0.25">
      <c r="A743" t="s">
        <v>7</v>
      </c>
      <c r="B743" s="1"/>
      <c r="C743" s="1"/>
      <c r="D743" s="1"/>
      <c r="E743" s="1"/>
      <c r="H743" t="s">
        <v>33</v>
      </c>
      <c r="I743" t="str">
        <f>IF(COUNTIF(I$1:I742,I741)&gt;1,"DOUBLON LIGNE " &amp; MATCH(I741,I$1:I742,0),"Pas de doublons")</f>
        <v>DOUBLON LIGNE 489</v>
      </c>
      <c r="J743" t="s">
        <v>34</v>
      </c>
      <c r="K743" t="str" cm="1">
        <f t="array" ref="K743">IF(SUM(--(NOT(ISNUMBER(MATCH(B742:E742,'EMA points'!A:A,0))))) &gt; 0, "NOM INEXISTANT", "Noms ok")</f>
        <v>NOM INEXISTANT</v>
      </c>
    </row>
    <row r="744" spans="1:11" x14ac:dyDescent="0.25">
      <c r="A744" t="s">
        <v>8</v>
      </c>
      <c r="B744" t="e">
        <f>Donnees!B744</f>
        <v>#N/A</v>
      </c>
      <c r="C744" t="e">
        <f>Donnees!C744</f>
        <v>#N/A</v>
      </c>
      <c r="D744" t="e">
        <f>Donnees!D744</f>
        <v>#N/A</v>
      </c>
      <c r="E744" t="e">
        <f>Donnees!E744</f>
        <v>#N/A</v>
      </c>
      <c r="H744" t="s">
        <v>11</v>
      </c>
      <c r="I744" t="str">
        <f t="shared" ref="I744" si="369">IF(SUM(B743:E743)=0, "Score ok", "SOMME NON NULLE")</f>
        <v>Score ok</v>
      </c>
    </row>
    <row r="745" spans="1:11" x14ac:dyDescent="0.25">
      <c r="A745" t="s">
        <v>5</v>
      </c>
      <c r="B745" t="s">
        <v>0</v>
      </c>
      <c r="C745" t="s">
        <v>1</v>
      </c>
      <c r="D745" t="s">
        <v>2</v>
      </c>
      <c r="E745" t="s">
        <v>3</v>
      </c>
      <c r="F745" t="str">
        <f>Donnees!F745</f>
        <v>Partie 187</v>
      </c>
      <c r="H745" t="s">
        <v>10</v>
      </c>
      <c r="I745" t="str">
        <f t="shared" ref="I745" si="370">_xlfn.TEXTJOIN(";",TRUE,B746:E747)</f>
        <v/>
      </c>
    </row>
    <row r="746" spans="1:11" x14ac:dyDescent="0.25">
      <c r="A746" t="s">
        <v>6</v>
      </c>
      <c r="B746" s="1"/>
      <c r="C746" s="1"/>
      <c r="D746" s="1"/>
      <c r="E746" s="1"/>
      <c r="F746" s="3"/>
      <c r="H746" t="s">
        <v>9</v>
      </c>
      <c r="I746" t="e" cm="1">
        <f t="array" ref="I746">IF(AND(Donnees!B745:F748=Check!B745:F748),"Identique","PAS IDENTIQUE")</f>
        <v>#N/A</v>
      </c>
      <c r="J746" t="s">
        <v>32</v>
      </c>
      <c r="K746" t="str" cm="1">
        <f t="array" ref="K746">IF(MAX(COUNTIF(B746:E746,B746:E746)) &gt; 1, "JOUEUR EN DOUBLE", "Pas de doublons")</f>
        <v>Pas de doublons</v>
      </c>
    </row>
    <row r="747" spans="1:11" x14ac:dyDescent="0.25">
      <c r="A747" t="s">
        <v>7</v>
      </c>
      <c r="B747" s="1"/>
      <c r="C747" s="1"/>
      <c r="D747" s="1"/>
      <c r="E747" s="1"/>
      <c r="H747" t="s">
        <v>33</v>
      </c>
      <c r="I747" t="str">
        <f>IF(COUNTIF(I$1:I746,I745)&gt;1,"DOUBLON LIGNE " &amp; MATCH(I745,I$1:I746,0),"Pas de doublons")</f>
        <v>DOUBLON LIGNE 489</v>
      </c>
      <c r="J747" t="s">
        <v>34</v>
      </c>
      <c r="K747" t="str" cm="1">
        <f t="array" ref="K747">IF(SUM(--(NOT(ISNUMBER(MATCH(B746:E746,'EMA points'!A:A,0))))) &gt; 0, "NOM INEXISTANT", "Noms ok")</f>
        <v>NOM INEXISTANT</v>
      </c>
    </row>
    <row r="748" spans="1:11" x14ac:dyDescent="0.25">
      <c r="A748" t="s">
        <v>8</v>
      </c>
      <c r="B748" t="e">
        <f>Donnees!B748</f>
        <v>#N/A</v>
      </c>
      <c r="C748" t="e">
        <f>Donnees!C748</f>
        <v>#N/A</v>
      </c>
      <c r="D748" t="e">
        <f>Donnees!D748</f>
        <v>#N/A</v>
      </c>
      <c r="E748" t="e">
        <f>Donnees!E748</f>
        <v>#N/A</v>
      </c>
      <c r="H748" t="s">
        <v>11</v>
      </c>
      <c r="I748" t="str">
        <f t="shared" ref="I748" si="371">IF(SUM(B747:E747)=0, "Score ok", "SOMME NON NULLE")</f>
        <v>Score ok</v>
      </c>
    </row>
    <row r="749" spans="1:11" x14ac:dyDescent="0.25">
      <c r="A749" t="s">
        <v>5</v>
      </c>
      <c r="B749" t="s">
        <v>0</v>
      </c>
      <c r="C749" t="s">
        <v>1</v>
      </c>
      <c r="D749" t="s">
        <v>2</v>
      </c>
      <c r="E749" t="s">
        <v>3</v>
      </c>
      <c r="F749" t="str">
        <f>Donnees!F749</f>
        <v>Partie 188</v>
      </c>
      <c r="H749" t="s">
        <v>10</v>
      </c>
      <c r="I749" t="str">
        <f t="shared" ref="I749" si="372">_xlfn.TEXTJOIN(";",TRUE,B750:E751)</f>
        <v/>
      </c>
    </row>
    <row r="750" spans="1:11" x14ac:dyDescent="0.25">
      <c r="A750" t="s">
        <v>6</v>
      </c>
      <c r="B750" s="1"/>
      <c r="C750" s="1"/>
      <c r="D750" s="1"/>
      <c r="E750" s="1"/>
      <c r="F750" s="3"/>
      <c r="H750" t="s">
        <v>9</v>
      </c>
      <c r="I750" t="e" cm="1">
        <f t="array" ref="I750">IF(AND(Donnees!B749:F752=Check!B749:F752),"Identique","PAS IDENTIQUE")</f>
        <v>#N/A</v>
      </c>
      <c r="J750" t="s">
        <v>32</v>
      </c>
      <c r="K750" t="str" cm="1">
        <f t="array" ref="K750">IF(MAX(COUNTIF(B750:E750,B750:E750)) &gt; 1, "JOUEUR EN DOUBLE", "Pas de doublons")</f>
        <v>Pas de doublons</v>
      </c>
    </row>
    <row r="751" spans="1:11" x14ac:dyDescent="0.25">
      <c r="A751" t="s">
        <v>7</v>
      </c>
      <c r="B751" s="1"/>
      <c r="C751" s="1"/>
      <c r="D751" s="1"/>
      <c r="E751" s="1"/>
      <c r="H751" t="s">
        <v>33</v>
      </c>
      <c r="I751" t="str">
        <f>IF(COUNTIF(I$1:I750,I749)&gt;1,"DOUBLON LIGNE " &amp; MATCH(I749,I$1:I750,0),"Pas de doublons")</f>
        <v>DOUBLON LIGNE 489</v>
      </c>
      <c r="J751" t="s">
        <v>34</v>
      </c>
      <c r="K751" t="str" cm="1">
        <f t="array" ref="K751">IF(SUM(--(NOT(ISNUMBER(MATCH(B750:E750,'EMA points'!A:A,0))))) &gt; 0, "NOM INEXISTANT", "Noms ok")</f>
        <v>NOM INEXISTANT</v>
      </c>
    </row>
    <row r="752" spans="1:11" x14ac:dyDescent="0.25">
      <c r="A752" t="s">
        <v>8</v>
      </c>
      <c r="B752" t="e">
        <f>Donnees!B752</f>
        <v>#N/A</v>
      </c>
      <c r="C752" t="e">
        <f>Donnees!C752</f>
        <v>#N/A</v>
      </c>
      <c r="D752" t="e">
        <f>Donnees!D752</f>
        <v>#N/A</v>
      </c>
      <c r="E752" t="e">
        <f>Donnees!E752</f>
        <v>#N/A</v>
      </c>
      <c r="H752" t="s">
        <v>11</v>
      </c>
      <c r="I752" t="str">
        <f t="shared" ref="I752" si="373">IF(SUM(B751:E751)=0, "Score ok", "SOMME NON NULLE")</f>
        <v>Score ok</v>
      </c>
    </row>
    <row r="753" spans="1:11" x14ac:dyDescent="0.25">
      <c r="A753" t="s">
        <v>5</v>
      </c>
      <c r="B753" t="s">
        <v>0</v>
      </c>
      <c r="C753" t="s">
        <v>1</v>
      </c>
      <c r="D753" t="s">
        <v>2</v>
      </c>
      <c r="E753" t="s">
        <v>3</v>
      </c>
      <c r="F753" t="str">
        <f>Donnees!F753</f>
        <v>Partie 189</v>
      </c>
      <c r="H753" t="s">
        <v>10</v>
      </c>
      <c r="I753" t="str">
        <f t="shared" ref="I753" si="374">_xlfn.TEXTJOIN(";",TRUE,B754:E755)</f>
        <v/>
      </c>
    </row>
    <row r="754" spans="1:11" x14ac:dyDescent="0.25">
      <c r="A754" t="s">
        <v>6</v>
      </c>
      <c r="B754" s="1"/>
      <c r="C754" s="1"/>
      <c r="D754" s="1"/>
      <c r="E754" s="1"/>
      <c r="F754" s="3"/>
      <c r="H754" t="s">
        <v>9</v>
      </c>
      <c r="I754" t="e" cm="1">
        <f t="array" ref="I754">IF(AND(Donnees!B753:F756=Check!B753:F756),"Identique","PAS IDENTIQUE")</f>
        <v>#N/A</v>
      </c>
      <c r="J754" t="s">
        <v>32</v>
      </c>
      <c r="K754" t="str" cm="1">
        <f t="array" ref="K754">IF(MAX(COUNTIF(B754:E754,B754:E754)) &gt; 1, "JOUEUR EN DOUBLE", "Pas de doublons")</f>
        <v>Pas de doublons</v>
      </c>
    </row>
    <row r="755" spans="1:11" x14ac:dyDescent="0.25">
      <c r="A755" t="s">
        <v>7</v>
      </c>
      <c r="B755" s="1"/>
      <c r="C755" s="1"/>
      <c r="D755" s="1"/>
      <c r="E755" s="1"/>
      <c r="H755" t="s">
        <v>33</v>
      </c>
      <c r="I755" t="str">
        <f>IF(COUNTIF(I$1:I754,I753)&gt;1,"DOUBLON LIGNE " &amp; MATCH(I753,I$1:I754,0),"Pas de doublons")</f>
        <v>DOUBLON LIGNE 489</v>
      </c>
      <c r="J755" t="s">
        <v>34</v>
      </c>
      <c r="K755" t="str" cm="1">
        <f t="array" ref="K755">IF(SUM(--(NOT(ISNUMBER(MATCH(B754:E754,'EMA points'!A:A,0))))) &gt; 0, "NOM INEXISTANT", "Noms ok")</f>
        <v>NOM INEXISTANT</v>
      </c>
    </row>
    <row r="756" spans="1:11" x14ac:dyDescent="0.25">
      <c r="A756" t="s">
        <v>8</v>
      </c>
      <c r="B756" t="e">
        <f>Donnees!B756</f>
        <v>#N/A</v>
      </c>
      <c r="C756" t="e">
        <f>Donnees!C756</f>
        <v>#N/A</v>
      </c>
      <c r="D756" t="e">
        <f>Donnees!D756</f>
        <v>#N/A</v>
      </c>
      <c r="E756" t="e">
        <f>Donnees!E756</f>
        <v>#N/A</v>
      </c>
      <c r="H756" t="s">
        <v>11</v>
      </c>
      <c r="I756" t="str">
        <f t="shared" ref="I756" si="375">IF(SUM(B755:E755)=0, "Score ok", "SOMME NON NULLE")</f>
        <v>Score ok</v>
      </c>
    </row>
    <row r="757" spans="1:11" x14ac:dyDescent="0.25">
      <c r="A757" t="s">
        <v>5</v>
      </c>
      <c r="B757" t="s">
        <v>0</v>
      </c>
      <c r="C757" t="s">
        <v>1</v>
      </c>
      <c r="D757" t="s">
        <v>2</v>
      </c>
      <c r="E757" t="s">
        <v>3</v>
      </c>
      <c r="F757" t="str">
        <f>Donnees!F757</f>
        <v>Partie 190</v>
      </c>
      <c r="H757" t="s">
        <v>10</v>
      </c>
      <c r="I757" t="str">
        <f t="shared" ref="I757" si="376">_xlfn.TEXTJOIN(";",TRUE,B758:E759)</f>
        <v/>
      </c>
    </row>
    <row r="758" spans="1:11" x14ac:dyDescent="0.25">
      <c r="A758" t="s">
        <v>6</v>
      </c>
      <c r="B758" s="1"/>
      <c r="C758" s="1"/>
      <c r="D758" s="1"/>
      <c r="E758" s="1"/>
      <c r="F758" s="3"/>
      <c r="H758" t="s">
        <v>9</v>
      </c>
      <c r="I758" t="e" cm="1">
        <f t="array" ref="I758">IF(AND(Donnees!B757:F760=Check!B757:F760),"Identique","PAS IDENTIQUE")</f>
        <v>#N/A</v>
      </c>
      <c r="J758" t="s">
        <v>32</v>
      </c>
      <c r="K758" t="str" cm="1">
        <f t="array" ref="K758">IF(MAX(COUNTIF(B758:E758,B758:E758)) &gt; 1, "JOUEUR EN DOUBLE", "Pas de doublons")</f>
        <v>Pas de doublons</v>
      </c>
    </row>
    <row r="759" spans="1:11" x14ac:dyDescent="0.25">
      <c r="A759" t="s">
        <v>7</v>
      </c>
      <c r="B759" s="1"/>
      <c r="C759" s="1"/>
      <c r="D759" s="1"/>
      <c r="E759" s="1"/>
      <c r="H759" t="s">
        <v>33</v>
      </c>
      <c r="I759" t="str">
        <f>IF(COUNTIF(I$1:I758,I757)&gt;1,"DOUBLON LIGNE " &amp; MATCH(I757,I$1:I758,0),"Pas de doublons")</f>
        <v>DOUBLON LIGNE 489</v>
      </c>
      <c r="J759" t="s">
        <v>34</v>
      </c>
      <c r="K759" t="str" cm="1">
        <f t="array" ref="K759">IF(SUM(--(NOT(ISNUMBER(MATCH(B758:E758,'EMA points'!A:A,0))))) &gt; 0, "NOM INEXISTANT", "Noms ok")</f>
        <v>NOM INEXISTANT</v>
      </c>
    </row>
    <row r="760" spans="1:11" x14ac:dyDescent="0.25">
      <c r="A760" t="s">
        <v>8</v>
      </c>
      <c r="B760" t="e">
        <f>Donnees!B760</f>
        <v>#N/A</v>
      </c>
      <c r="C760" t="e">
        <f>Donnees!C760</f>
        <v>#N/A</v>
      </c>
      <c r="D760" t="e">
        <f>Donnees!D760</f>
        <v>#N/A</v>
      </c>
      <c r="E760" t="e">
        <f>Donnees!E760</f>
        <v>#N/A</v>
      </c>
      <c r="H760" t="s">
        <v>11</v>
      </c>
      <c r="I760" t="str">
        <f t="shared" ref="I760" si="377">IF(SUM(B759:E759)=0, "Score ok", "SOMME NON NULLE")</f>
        <v>Score ok</v>
      </c>
    </row>
    <row r="761" spans="1:11" x14ac:dyDescent="0.25">
      <c r="A761" t="s">
        <v>5</v>
      </c>
      <c r="B761" t="s">
        <v>0</v>
      </c>
      <c r="C761" t="s">
        <v>1</v>
      </c>
      <c r="D761" t="s">
        <v>2</v>
      </c>
      <c r="E761" t="s">
        <v>3</v>
      </c>
      <c r="F761" t="str">
        <f>Donnees!F761</f>
        <v>Partie 191</v>
      </c>
      <c r="H761" t="s">
        <v>10</v>
      </c>
      <c r="I761" t="str">
        <f t="shared" ref="I761" si="378">_xlfn.TEXTJOIN(";",TRUE,B762:E763)</f>
        <v/>
      </c>
    </row>
    <row r="762" spans="1:11" x14ac:dyDescent="0.25">
      <c r="A762" t="s">
        <v>6</v>
      </c>
      <c r="B762" s="1"/>
      <c r="C762" s="1"/>
      <c r="D762" s="1"/>
      <c r="E762" s="1"/>
      <c r="F762" s="3"/>
      <c r="H762" t="s">
        <v>9</v>
      </c>
      <c r="I762" t="e" cm="1">
        <f t="array" ref="I762">IF(AND(Donnees!B761:F764=Check!B761:F764),"Identique","PAS IDENTIQUE")</f>
        <v>#N/A</v>
      </c>
      <c r="J762" t="s">
        <v>32</v>
      </c>
      <c r="K762" t="str" cm="1">
        <f t="array" ref="K762">IF(MAX(COUNTIF(B762:E762,B762:E762)) &gt; 1, "JOUEUR EN DOUBLE", "Pas de doublons")</f>
        <v>Pas de doublons</v>
      </c>
    </row>
    <row r="763" spans="1:11" x14ac:dyDescent="0.25">
      <c r="A763" t="s">
        <v>7</v>
      </c>
      <c r="B763" s="1"/>
      <c r="C763" s="1"/>
      <c r="D763" s="1"/>
      <c r="E763" s="1"/>
      <c r="H763" t="s">
        <v>33</v>
      </c>
      <c r="I763" t="str">
        <f>IF(COUNTIF(I$1:I762,I761)&gt;1,"DOUBLON LIGNE " &amp; MATCH(I761,I$1:I762,0),"Pas de doublons")</f>
        <v>DOUBLON LIGNE 489</v>
      </c>
      <c r="J763" t="s">
        <v>34</v>
      </c>
      <c r="K763" t="str" cm="1">
        <f t="array" ref="K763">IF(SUM(--(NOT(ISNUMBER(MATCH(B762:E762,'EMA points'!A:A,0))))) &gt; 0, "NOM INEXISTANT", "Noms ok")</f>
        <v>NOM INEXISTANT</v>
      </c>
    </row>
    <row r="764" spans="1:11" x14ac:dyDescent="0.25">
      <c r="A764" t="s">
        <v>8</v>
      </c>
      <c r="B764" t="e">
        <f>Donnees!B764</f>
        <v>#N/A</v>
      </c>
      <c r="C764" t="e">
        <f>Donnees!C764</f>
        <v>#N/A</v>
      </c>
      <c r="D764" t="e">
        <f>Donnees!D764</f>
        <v>#N/A</v>
      </c>
      <c r="E764" t="e">
        <f>Donnees!E764</f>
        <v>#N/A</v>
      </c>
      <c r="H764" t="s">
        <v>11</v>
      </c>
      <c r="I764" t="str">
        <f t="shared" ref="I764" si="379">IF(SUM(B763:E763)=0, "Score ok", "SOMME NON NULLE")</f>
        <v>Score ok</v>
      </c>
    </row>
    <row r="765" spans="1:11" x14ac:dyDescent="0.25">
      <c r="A765" t="s">
        <v>5</v>
      </c>
      <c r="B765" t="s">
        <v>0</v>
      </c>
      <c r="C765" t="s">
        <v>1</v>
      </c>
      <c r="D765" t="s">
        <v>2</v>
      </c>
      <c r="E765" t="s">
        <v>3</v>
      </c>
      <c r="F765" t="str">
        <f>Donnees!F765</f>
        <v>Partie 192</v>
      </c>
      <c r="H765" t="s">
        <v>10</v>
      </c>
      <c r="I765" t="str">
        <f t="shared" ref="I765" si="380">_xlfn.TEXTJOIN(";",TRUE,B766:E767)</f>
        <v/>
      </c>
    </row>
    <row r="766" spans="1:11" x14ac:dyDescent="0.25">
      <c r="A766" t="s">
        <v>6</v>
      </c>
      <c r="B766" s="1"/>
      <c r="C766" s="1"/>
      <c r="D766" s="1"/>
      <c r="E766" s="1"/>
      <c r="F766" s="3"/>
      <c r="H766" t="s">
        <v>9</v>
      </c>
      <c r="I766" t="e" cm="1">
        <f t="array" ref="I766">IF(AND(Donnees!B765:F768=Check!B765:F768),"Identique","PAS IDENTIQUE")</f>
        <v>#N/A</v>
      </c>
      <c r="J766" t="s">
        <v>32</v>
      </c>
      <c r="K766" t="str" cm="1">
        <f t="array" ref="K766">IF(MAX(COUNTIF(B766:E766,B766:E766)) &gt; 1, "JOUEUR EN DOUBLE", "Pas de doublons")</f>
        <v>Pas de doublons</v>
      </c>
    </row>
    <row r="767" spans="1:11" x14ac:dyDescent="0.25">
      <c r="A767" t="s">
        <v>7</v>
      </c>
      <c r="B767" s="1"/>
      <c r="C767" s="1"/>
      <c r="D767" s="1"/>
      <c r="E767" s="1"/>
      <c r="H767" t="s">
        <v>33</v>
      </c>
      <c r="I767" t="str">
        <f>IF(COUNTIF(I$1:I766,I765)&gt;1,"DOUBLON LIGNE " &amp; MATCH(I765,I$1:I766,0),"Pas de doublons")</f>
        <v>DOUBLON LIGNE 489</v>
      </c>
      <c r="J767" t="s">
        <v>34</v>
      </c>
      <c r="K767" t="str" cm="1">
        <f t="array" ref="K767">IF(SUM(--(NOT(ISNUMBER(MATCH(B766:E766,'EMA points'!A:A,0))))) &gt; 0, "NOM INEXISTANT", "Noms ok")</f>
        <v>NOM INEXISTANT</v>
      </c>
    </row>
    <row r="768" spans="1:11" x14ac:dyDescent="0.25">
      <c r="A768" t="s">
        <v>8</v>
      </c>
      <c r="B768" t="e">
        <f>Donnees!B768</f>
        <v>#N/A</v>
      </c>
      <c r="C768" t="e">
        <f>Donnees!C768</f>
        <v>#N/A</v>
      </c>
      <c r="D768" t="e">
        <f>Donnees!D768</f>
        <v>#N/A</v>
      </c>
      <c r="E768" t="e">
        <f>Donnees!E768</f>
        <v>#N/A</v>
      </c>
      <c r="H768" t="s">
        <v>11</v>
      </c>
      <c r="I768" t="str">
        <f t="shared" ref="I768" si="381">IF(SUM(B767:E767)=0, "Score ok", "SOMME NON NULLE")</f>
        <v>Score ok</v>
      </c>
    </row>
    <row r="769" spans="1:11" x14ac:dyDescent="0.25">
      <c r="A769" t="s">
        <v>5</v>
      </c>
      <c r="B769" t="s">
        <v>0</v>
      </c>
      <c r="C769" t="s">
        <v>1</v>
      </c>
      <c r="D769" t="s">
        <v>2</v>
      </c>
      <c r="E769" t="s">
        <v>3</v>
      </c>
      <c r="F769" t="str">
        <f>Donnees!F769</f>
        <v>Partie 193</v>
      </c>
      <c r="H769" t="s">
        <v>10</v>
      </c>
      <c r="I769" t="str">
        <f t="shared" ref="I769" si="382">_xlfn.TEXTJOIN(";",TRUE,B770:E771)</f>
        <v/>
      </c>
    </row>
    <row r="770" spans="1:11" x14ac:dyDescent="0.25">
      <c r="A770" t="s">
        <v>6</v>
      </c>
      <c r="B770" s="1"/>
      <c r="C770" s="1"/>
      <c r="D770" s="1"/>
      <c r="E770" s="1"/>
      <c r="F770" s="3"/>
      <c r="H770" t="s">
        <v>9</v>
      </c>
      <c r="I770" t="e" cm="1">
        <f t="array" ref="I770">IF(AND(Donnees!B769:F772=Check!B769:F772),"Identique","PAS IDENTIQUE")</f>
        <v>#N/A</v>
      </c>
      <c r="J770" t="s">
        <v>32</v>
      </c>
      <c r="K770" t="str" cm="1">
        <f t="array" ref="K770">IF(MAX(COUNTIF(B770:E770,B770:E770)) &gt; 1, "JOUEUR EN DOUBLE", "Pas de doublons")</f>
        <v>Pas de doublons</v>
      </c>
    </row>
    <row r="771" spans="1:11" x14ac:dyDescent="0.25">
      <c r="A771" t="s">
        <v>7</v>
      </c>
      <c r="B771" s="1"/>
      <c r="C771" s="1"/>
      <c r="D771" s="1"/>
      <c r="E771" s="1"/>
      <c r="H771" t="s">
        <v>33</v>
      </c>
      <c r="I771" t="str">
        <f>IF(COUNTIF(I$1:I770,I769)&gt;1,"DOUBLON LIGNE " &amp; MATCH(I769,I$1:I770,0),"Pas de doublons")</f>
        <v>DOUBLON LIGNE 489</v>
      </c>
      <c r="J771" t="s">
        <v>34</v>
      </c>
      <c r="K771" t="str" cm="1">
        <f t="array" ref="K771">IF(SUM(--(NOT(ISNUMBER(MATCH(B770:E770,'EMA points'!A:A,0))))) &gt; 0, "NOM INEXISTANT", "Noms ok")</f>
        <v>NOM INEXISTANT</v>
      </c>
    </row>
    <row r="772" spans="1:11" x14ac:dyDescent="0.25">
      <c r="A772" t="s">
        <v>8</v>
      </c>
      <c r="B772" t="e">
        <f>Donnees!B772</f>
        <v>#N/A</v>
      </c>
      <c r="C772" t="e">
        <f>Donnees!C772</f>
        <v>#N/A</v>
      </c>
      <c r="D772" t="e">
        <f>Donnees!D772</f>
        <v>#N/A</v>
      </c>
      <c r="E772" t="e">
        <f>Donnees!E772</f>
        <v>#N/A</v>
      </c>
      <c r="H772" t="s">
        <v>11</v>
      </c>
      <c r="I772" t="str">
        <f t="shared" ref="I772" si="383">IF(SUM(B771:E771)=0, "Score ok", "SOMME NON NULLE")</f>
        <v>Score ok</v>
      </c>
    </row>
    <row r="773" spans="1:11" x14ac:dyDescent="0.25">
      <c r="A773" t="s">
        <v>5</v>
      </c>
      <c r="B773" t="s">
        <v>0</v>
      </c>
      <c r="C773" t="s">
        <v>1</v>
      </c>
      <c r="D773" t="s">
        <v>2</v>
      </c>
      <c r="E773" t="s">
        <v>3</v>
      </c>
      <c r="F773" t="str">
        <f>Donnees!F773</f>
        <v>Partie 194</v>
      </c>
      <c r="H773" t="s">
        <v>10</v>
      </c>
      <c r="I773" t="str">
        <f t="shared" ref="I773" si="384">_xlfn.TEXTJOIN(";",TRUE,B774:E775)</f>
        <v/>
      </c>
    </row>
    <row r="774" spans="1:11" x14ac:dyDescent="0.25">
      <c r="A774" t="s">
        <v>6</v>
      </c>
      <c r="B774" s="1"/>
      <c r="C774" s="1"/>
      <c r="D774" s="1"/>
      <c r="E774" s="1"/>
      <c r="F774" s="3"/>
      <c r="H774" t="s">
        <v>9</v>
      </c>
      <c r="I774" t="e" cm="1">
        <f t="array" ref="I774">IF(AND(Donnees!B773:F776=Check!B773:F776),"Identique","PAS IDENTIQUE")</f>
        <v>#N/A</v>
      </c>
      <c r="J774" t="s">
        <v>32</v>
      </c>
      <c r="K774" t="str" cm="1">
        <f t="array" ref="K774">IF(MAX(COUNTIF(B774:E774,B774:E774)) &gt; 1, "JOUEUR EN DOUBLE", "Pas de doublons")</f>
        <v>Pas de doublons</v>
      </c>
    </row>
    <row r="775" spans="1:11" x14ac:dyDescent="0.25">
      <c r="A775" t="s">
        <v>7</v>
      </c>
      <c r="B775" s="1"/>
      <c r="C775" s="1"/>
      <c r="D775" s="1"/>
      <c r="E775" s="1"/>
      <c r="H775" t="s">
        <v>33</v>
      </c>
      <c r="I775" t="str">
        <f>IF(COUNTIF(I$1:I774,I773)&gt;1,"DOUBLON LIGNE " &amp; MATCH(I773,I$1:I774,0),"Pas de doublons")</f>
        <v>DOUBLON LIGNE 489</v>
      </c>
      <c r="J775" t="s">
        <v>34</v>
      </c>
      <c r="K775" t="str" cm="1">
        <f t="array" ref="K775">IF(SUM(--(NOT(ISNUMBER(MATCH(B774:E774,'EMA points'!A:A,0))))) &gt; 0, "NOM INEXISTANT", "Noms ok")</f>
        <v>NOM INEXISTANT</v>
      </c>
    </row>
    <row r="776" spans="1:11" x14ac:dyDescent="0.25">
      <c r="A776" t="s">
        <v>8</v>
      </c>
      <c r="B776" t="e">
        <f>Donnees!B776</f>
        <v>#N/A</v>
      </c>
      <c r="C776" t="e">
        <f>Donnees!C776</f>
        <v>#N/A</v>
      </c>
      <c r="D776" t="e">
        <f>Donnees!D776</f>
        <v>#N/A</v>
      </c>
      <c r="E776" t="e">
        <f>Donnees!E776</f>
        <v>#N/A</v>
      </c>
      <c r="H776" t="s">
        <v>11</v>
      </c>
      <c r="I776" t="str">
        <f t="shared" ref="I776" si="385">IF(SUM(B775:E775)=0, "Score ok", "SOMME NON NULLE")</f>
        <v>Score ok</v>
      </c>
    </row>
    <row r="777" spans="1:11" x14ac:dyDescent="0.25">
      <c r="A777" t="s">
        <v>5</v>
      </c>
      <c r="B777" t="s">
        <v>0</v>
      </c>
      <c r="C777" t="s">
        <v>1</v>
      </c>
      <c r="D777" t="s">
        <v>2</v>
      </c>
      <c r="E777" t="s">
        <v>3</v>
      </c>
      <c r="F777" t="str">
        <f>Donnees!F777</f>
        <v>Partie 195</v>
      </c>
      <c r="H777" t="s">
        <v>10</v>
      </c>
      <c r="I777" t="str">
        <f t="shared" ref="I777" si="386">_xlfn.TEXTJOIN(";",TRUE,B778:E779)</f>
        <v/>
      </c>
    </row>
    <row r="778" spans="1:11" x14ac:dyDescent="0.25">
      <c r="A778" t="s">
        <v>6</v>
      </c>
      <c r="B778" s="1"/>
      <c r="C778" s="1"/>
      <c r="D778" s="1"/>
      <c r="E778" s="1"/>
      <c r="F778" s="3"/>
      <c r="H778" t="s">
        <v>9</v>
      </c>
      <c r="I778" t="e" cm="1">
        <f t="array" ref="I778">IF(AND(Donnees!B777:F780=Check!B777:F780),"Identique","PAS IDENTIQUE")</f>
        <v>#N/A</v>
      </c>
      <c r="J778" t="s">
        <v>32</v>
      </c>
      <c r="K778" t="str" cm="1">
        <f t="array" ref="K778">IF(MAX(COUNTIF(B778:E778,B778:E778)) &gt; 1, "JOUEUR EN DOUBLE", "Pas de doublons")</f>
        <v>Pas de doublons</v>
      </c>
    </row>
    <row r="779" spans="1:11" x14ac:dyDescent="0.25">
      <c r="A779" t="s">
        <v>7</v>
      </c>
      <c r="B779" s="1"/>
      <c r="C779" s="1"/>
      <c r="D779" s="1"/>
      <c r="E779" s="1"/>
      <c r="H779" t="s">
        <v>33</v>
      </c>
      <c r="I779" t="str">
        <f>IF(COUNTIF(I$1:I778,I777)&gt;1,"DOUBLON LIGNE " &amp; MATCH(I777,I$1:I778,0),"Pas de doublons")</f>
        <v>DOUBLON LIGNE 489</v>
      </c>
      <c r="J779" t="s">
        <v>34</v>
      </c>
      <c r="K779" t="str" cm="1">
        <f t="array" ref="K779">IF(SUM(--(NOT(ISNUMBER(MATCH(B778:E778,'EMA points'!A:A,0))))) &gt; 0, "NOM INEXISTANT", "Noms ok")</f>
        <v>NOM INEXISTANT</v>
      </c>
    </row>
    <row r="780" spans="1:11" x14ac:dyDescent="0.25">
      <c r="A780" t="s">
        <v>8</v>
      </c>
      <c r="B780" t="e">
        <f>Donnees!B780</f>
        <v>#N/A</v>
      </c>
      <c r="C780" t="e">
        <f>Donnees!C780</f>
        <v>#N/A</v>
      </c>
      <c r="D780" t="e">
        <f>Donnees!D780</f>
        <v>#N/A</v>
      </c>
      <c r="E780" t="e">
        <f>Donnees!E780</f>
        <v>#N/A</v>
      </c>
      <c r="H780" t="s">
        <v>11</v>
      </c>
      <c r="I780" t="str">
        <f t="shared" ref="I780" si="387">IF(SUM(B779:E779)=0, "Score ok", "SOMME NON NULLE")</f>
        <v>Score ok</v>
      </c>
    </row>
    <row r="781" spans="1:11" x14ac:dyDescent="0.25">
      <c r="A781" t="s">
        <v>5</v>
      </c>
      <c r="B781" t="s">
        <v>0</v>
      </c>
      <c r="C781" t="s">
        <v>1</v>
      </c>
      <c r="D781" t="s">
        <v>2</v>
      </c>
      <c r="E781" t="s">
        <v>3</v>
      </c>
      <c r="F781" t="str">
        <f>Donnees!F781</f>
        <v>Partie 196</v>
      </c>
      <c r="H781" t="s">
        <v>10</v>
      </c>
      <c r="I781" t="str">
        <f t="shared" ref="I781" si="388">_xlfn.TEXTJOIN(";",TRUE,B782:E783)</f>
        <v/>
      </c>
    </row>
    <row r="782" spans="1:11" x14ac:dyDescent="0.25">
      <c r="A782" t="s">
        <v>6</v>
      </c>
      <c r="B782" s="1"/>
      <c r="C782" s="1"/>
      <c r="D782" s="1"/>
      <c r="E782" s="1"/>
      <c r="F782" s="3"/>
      <c r="H782" t="s">
        <v>9</v>
      </c>
      <c r="I782" t="e" cm="1">
        <f t="array" ref="I782">IF(AND(Donnees!B781:F784=Check!B781:F784),"Identique","PAS IDENTIQUE")</f>
        <v>#N/A</v>
      </c>
      <c r="J782" t="s">
        <v>32</v>
      </c>
      <c r="K782" t="str" cm="1">
        <f t="array" ref="K782">IF(MAX(COUNTIF(B782:E782,B782:E782)) &gt; 1, "JOUEUR EN DOUBLE", "Pas de doublons")</f>
        <v>Pas de doublons</v>
      </c>
    </row>
    <row r="783" spans="1:11" x14ac:dyDescent="0.25">
      <c r="A783" t="s">
        <v>7</v>
      </c>
      <c r="B783" s="1"/>
      <c r="C783" s="1"/>
      <c r="D783" s="1"/>
      <c r="E783" s="1"/>
      <c r="H783" t="s">
        <v>33</v>
      </c>
      <c r="I783" t="str">
        <f>IF(COUNTIF(I$1:I782,I781)&gt;1,"DOUBLON LIGNE " &amp; MATCH(I781,I$1:I782,0),"Pas de doublons")</f>
        <v>DOUBLON LIGNE 489</v>
      </c>
      <c r="J783" t="s">
        <v>34</v>
      </c>
      <c r="K783" t="str" cm="1">
        <f t="array" ref="K783">IF(SUM(--(NOT(ISNUMBER(MATCH(B782:E782,'EMA points'!A:A,0))))) &gt; 0, "NOM INEXISTANT", "Noms ok")</f>
        <v>NOM INEXISTANT</v>
      </c>
    </row>
    <row r="784" spans="1:11" x14ac:dyDescent="0.25">
      <c r="A784" t="s">
        <v>8</v>
      </c>
      <c r="B784" t="e">
        <f>Donnees!B784</f>
        <v>#N/A</v>
      </c>
      <c r="C784" t="e">
        <f>Donnees!C784</f>
        <v>#N/A</v>
      </c>
      <c r="D784" t="e">
        <f>Donnees!D784</f>
        <v>#N/A</v>
      </c>
      <c r="E784" t="e">
        <f>Donnees!E784</f>
        <v>#N/A</v>
      </c>
      <c r="H784" t="s">
        <v>11</v>
      </c>
      <c r="I784" t="str">
        <f t="shared" ref="I784" si="389">IF(SUM(B783:E783)=0, "Score ok", "SOMME NON NULLE")</f>
        <v>Score ok</v>
      </c>
    </row>
    <row r="785" spans="1:11" x14ac:dyDescent="0.25">
      <c r="A785" t="s">
        <v>5</v>
      </c>
      <c r="B785" t="s">
        <v>0</v>
      </c>
      <c r="C785" t="s">
        <v>1</v>
      </c>
      <c r="D785" t="s">
        <v>2</v>
      </c>
      <c r="E785" t="s">
        <v>3</v>
      </c>
      <c r="F785" t="str">
        <f>Donnees!F785</f>
        <v>Partie 197</v>
      </c>
      <c r="H785" t="s">
        <v>10</v>
      </c>
      <c r="I785" t="str">
        <f t="shared" ref="I785" si="390">_xlfn.TEXTJOIN(";",TRUE,B786:E787)</f>
        <v/>
      </c>
    </row>
    <row r="786" spans="1:11" x14ac:dyDescent="0.25">
      <c r="A786" t="s">
        <v>6</v>
      </c>
      <c r="B786" s="1"/>
      <c r="C786" s="1"/>
      <c r="D786" s="1"/>
      <c r="E786" s="1"/>
      <c r="F786" s="3"/>
      <c r="H786" t="s">
        <v>9</v>
      </c>
      <c r="I786" t="e" cm="1">
        <f t="array" ref="I786">IF(AND(Donnees!B785:F788=Check!B785:F788),"Identique","PAS IDENTIQUE")</f>
        <v>#N/A</v>
      </c>
      <c r="J786" t="s">
        <v>32</v>
      </c>
      <c r="K786" t="str" cm="1">
        <f t="array" ref="K786">IF(MAX(COUNTIF(B786:E786,B786:E786)) &gt; 1, "JOUEUR EN DOUBLE", "Pas de doublons")</f>
        <v>Pas de doublons</v>
      </c>
    </row>
    <row r="787" spans="1:11" x14ac:dyDescent="0.25">
      <c r="A787" t="s">
        <v>7</v>
      </c>
      <c r="B787" s="1"/>
      <c r="C787" s="1"/>
      <c r="D787" s="1"/>
      <c r="E787" s="1"/>
      <c r="H787" t="s">
        <v>33</v>
      </c>
      <c r="I787" t="str">
        <f>IF(COUNTIF(I$1:I786,I785)&gt;1,"DOUBLON LIGNE " &amp; MATCH(I785,I$1:I786,0),"Pas de doublons")</f>
        <v>DOUBLON LIGNE 489</v>
      </c>
      <c r="J787" t="s">
        <v>34</v>
      </c>
      <c r="K787" t="str" cm="1">
        <f t="array" ref="K787">IF(SUM(--(NOT(ISNUMBER(MATCH(B786:E786,'EMA points'!A:A,0))))) &gt; 0, "NOM INEXISTANT", "Noms ok")</f>
        <v>NOM INEXISTANT</v>
      </c>
    </row>
    <row r="788" spans="1:11" x14ac:dyDescent="0.25">
      <c r="A788" t="s">
        <v>8</v>
      </c>
      <c r="B788" t="e">
        <f>Donnees!B788</f>
        <v>#N/A</v>
      </c>
      <c r="C788" t="e">
        <f>Donnees!C788</f>
        <v>#N/A</v>
      </c>
      <c r="D788" t="e">
        <f>Donnees!D788</f>
        <v>#N/A</v>
      </c>
      <c r="E788" t="e">
        <f>Donnees!E788</f>
        <v>#N/A</v>
      </c>
      <c r="H788" t="s">
        <v>11</v>
      </c>
      <c r="I788" t="str">
        <f t="shared" ref="I788" si="391">IF(SUM(B787:E787)=0, "Score ok", "SOMME NON NULLE")</f>
        <v>Score ok</v>
      </c>
    </row>
    <row r="789" spans="1:11" x14ac:dyDescent="0.25">
      <c r="A789" t="s">
        <v>5</v>
      </c>
      <c r="B789" t="s">
        <v>0</v>
      </c>
      <c r="C789" t="s">
        <v>1</v>
      </c>
      <c r="D789" t="s">
        <v>2</v>
      </c>
      <c r="E789" t="s">
        <v>3</v>
      </c>
      <c r="F789" t="str">
        <f>Donnees!F789</f>
        <v>Partie 198</v>
      </c>
      <c r="H789" t="s">
        <v>10</v>
      </c>
      <c r="I789" t="str">
        <f t="shared" ref="I789" si="392">_xlfn.TEXTJOIN(";",TRUE,B790:E791)</f>
        <v/>
      </c>
    </row>
    <row r="790" spans="1:11" x14ac:dyDescent="0.25">
      <c r="A790" t="s">
        <v>6</v>
      </c>
      <c r="B790" s="1"/>
      <c r="C790" s="1"/>
      <c r="D790" s="1"/>
      <c r="E790" s="1"/>
      <c r="F790" s="3"/>
      <c r="H790" t="s">
        <v>9</v>
      </c>
      <c r="I790" t="e" cm="1">
        <f t="array" ref="I790">IF(AND(Donnees!B789:F792=Check!B789:F792),"Identique","PAS IDENTIQUE")</f>
        <v>#N/A</v>
      </c>
      <c r="J790" t="s">
        <v>32</v>
      </c>
      <c r="K790" t="str" cm="1">
        <f t="array" ref="K790">IF(MAX(COUNTIF(B790:E790,B790:E790)) &gt; 1, "JOUEUR EN DOUBLE", "Pas de doublons")</f>
        <v>Pas de doublons</v>
      </c>
    </row>
    <row r="791" spans="1:11" x14ac:dyDescent="0.25">
      <c r="A791" t="s">
        <v>7</v>
      </c>
      <c r="B791" s="1"/>
      <c r="C791" s="1"/>
      <c r="D791" s="1"/>
      <c r="E791" s="1"/>
      <c r="H791" t="s">
        <v>33</v>
      </c>
      <c r="I791" t="str">
        <f>IF(COUNTIF(I$1:I790,I789)&gt;1,"DOUBLON LIGNE " &amp; MATCH(I789,I$1:I790,0),"Pas de doublons")</f>
        <v>DOUBLON LIGNE 489</v>
      </c>
      <c r="J791" t="s">
        <v>34</v>
      </c>
      <c r="K791" t="str" cm="1">
        <f t="array" ref="K791">IF(SUM(--(NOT(ISNUMBER(MATCH(B790:E790,'EMA points'!A:A,0))))) &gt; 0, "NOM INEXISTANT", "Noms ok")</f>
        <v>NOM INEXISTANT</v>
      </c>
    </row>
    <row r="792" spans="1:11" x14ac:dyDescent="0.25">
      <c r="A792" t="s">
        <v>8</v>
      </c>
      <c r="B792" t="e">
        <f>Donnees!B792</f>
        <v>#N/A</v>
      </c>
      <c r="C792" t="e">
        <f>Donnees!C792</f>
        <v>#N/A</v>
      </c>
      <c r="D792" t="e">
        <f>Donnees!D792</f>
        <v>#N/A</v>
      </c>
      <c r="E792" t="e">
        <f>Donnees!E792</f>
        <v>#N/A</v>
      </c>
      <c r="H792" t="s">
        <v>11</v>
      </c>
      <c r="I792" t="str">
        <f t="shared" ref="I792" si="393">IF(SUM(B791:E791)=0, "Score ok", "SOMME NON NULLE")</f>
        <v>Score ok</v>
      </c>
    </row>
    <row r="793" spans="1:11" x14ac:dyDescent="0.25">
      <c r="A793" t="s">
        <v>5</v>
      </c>
      <c r="B793" t="s">
        <v>0</v>
      </c>
      <c r="C793" t="s">
        <v>1</v>
      </c>
      <c r="D793" t="s">
        <v>2</v>
      </c>
      <c r="E793" t="s">
        <v>3</v>
      </c>
      <c r="F793" t="str">
        <f>Donnees!F793</f>
        <v>Partie 199</v>
      </c>
      <c r="H793" t="s">
        <v>10</v>
      </c>
      <c r="I793" t="str">
        <f t="shared" ref="I793" si="394">_xlfn.TEXTJOIN(";",TRUE,B794:E795)</f>
        <v/>
      </c>
    </row>
    <row r="794" spans="1:11" x14ac:dyDescent="0.25">
      <c r="A794" t="s">
        <v>6</v>
      </c>
      <c r="B794" s="1"/>
      <c r="C794" s="1"/>
      <c r="D794" s="1"/>
      <c r="E794" s="1"/>
      <c r="F794" s="3"/>
      <c r="H794" t="s">
        <v>9</v>
      </c>
      <c r="I794" t="e" cm="1">
        <f t="array" ref="I794">IF(AND(Donnees!B793:F796=Check!B793:F796),"Identique","PAS IDENTIQUE")</f>
        <v>#N/A</v>
      </c>
      <c r="J794" t="s">
        <v>32</v>
      </c>
      <c r="K794" t="str" cm="1">
        <f t="array" ref="K794">IF(MAX(COUNTIF(B794:E794,B794:E794)) &gt; 1, "JOUEUR EN DOUBLE", "Pas de doublons")</f>
        <v>Pas de doublons</v>
      </c>
    </row>
    <row r="795" spans="1:11" x14ac:dyDescent="0.25">
      <c r="A795" t="s">
        <v>7</v>
      </c>
      <c r="B795" s="1"/>
      <c r="C795" s="1"/>
      <c r="D795" s="1"/>
      <c r="E795" s="1"/>
      <c r="H795" t="s">
        <v>33</v>
      </c>
      <c r="I795" t="str">
        <f>IF(COUNTIF(I$1:I794,I793)&gt;1,"DOUBLON LIGNE " &amp; MATCH(I793,I$1:I794,0),"Pas de doublons")</f>
        <v>DOUBLON LIGNE 489</v>
      </c>
      <c r="J795" t="s">
        <v>34</v>
      </c>
      <c r="K795" t="str" cm="1">
        <f t="array" ref="K795">IF(SUM(--(NOT(ISNUMBER(MATCH(B794:E794,'EMA points'!A:A,0))))) &gt; 0, "NOM INEXISTANT", "Noms ok")</f>
        <v>NOM INEXISTANT</v>
      </c>
    </row>
    <row r="796" spans="1:11" x14ac:dyDescent="0.25">
      <c r="A796" t="s">
        <v>8</v>
      </c>
      <c r="B796" t="e">
        <f>Donnees!B796</f>
        <v>#N/A</v>
      </c>
      <c r="C796" t="e">
        <f>Donnees!C796</f>
        <v>#N/A</v>
      </c>
      <c r="D796" t="e">
        <f>Donnees!D796</f>
        <v>#N/A</v>
      </c>
      <c r="E796" t="e">
        <f>Donnees!E796</f>
        <v>#N/A</v>
      </c>
      <c r="H796" t="s">
        <v>11</v>
      </c>
      <c r="I796" t="str">
        <f t="shared" ref="I796" si="395">IF(SUM(B795:E795)=0, "Score ok", "SOMME NON NULLE")</f>
        <v>Score ok</v>
      </c>
    </row>
    <row r="797" spans="1:11" x14ac:dyDescent="0.25">
      <c r="A797" t="s">
        <v>5</v>
      </c>
      <c r="B797" t="s">
        <v>0</v>
      </c>
      <c r="C797" t="s">
        <v>1</v>
      </c>
      <c r="D797" t="s">
        <v>2</v>
      </c>
      <c r="E797" t="s">
        <v>3</v>
      </c>
      <c r="F797" t="str">
        <f>Donnees!F797</f>
        <v>Partie 200</v>
      </c>
      <c r="H797" t="s">
        <v>10</v>
      </c>
      <c r="I797" t="str">
        <f t="shared" ref="I797" si="396">_xlfn.TEXTJOIN(";",TRUE,B798:E799)</f>
        <v/>
      </c>
    </row>
    <row r="798" spans="1:11" x14ac:dyDescent="0.25">
      <c r="A798" t="s">
        <v>6</v>
      </c>
      <c r="B798" s="1"/>
      <c r="C798" s="1"/>
      <c r="D798" s="1"/>
      <c r="E798" s="1"/>
      <c r="F798" s="3"/>
      <c r="H798" t="s">
        <v>9</v>
      </c>
      <c r="I798" t="e" cm="1">
        <f t="array" ref="I798">IF(AND(Donnees!B797:F800=Check!B797:F800),"Identique","PAS IDENTIQUE")</f>
        <v>#N/A</v>
      </c>
      <c r="J798" t="s">
        <v>32</v>
      </c>
      <c r="K798" t="str" cm="1">
        <f t="array" ref="K798">IF(MAX(COUNTIF(B798:E798,B798:E798)) &gt; 1, "JOUEUR EN DOUBLE", "Pas de doublons")</f>
        <v>Pas de doublons</v>
      </c>
    </row>
    <row r="799" spans="1:11" x14ac:dyDescent="0.25">
      <c r="A799" t="s">
        <v>7</v>
      </c>
      <c r="B799" s="1"/>
      <c r="C799" s="1"/>
      <c r="D799" s="1"/>
      <c r="E799" s="1"/>
      <c r="H799" t="s">
        <v>33</v>
      </c>
      <c r="I799" t="str">
        <f>IF(COUNTIF(I$1:I798,I797)&gt;1,"DOUBLON LIGNE " &amp; MATCH(I797,I$1:I798,0),"Pas de doublons")</f>
        <v>DOUBLON LIGNE 489</v>
      </c>
      <c r="J799" t="s">
        <v>34</v>
      </c>
      <c r="K799" t="str" cm="1">
        <f t="array" ref="K799">IF(SUM(--(NOT(ISNUMBER(MATCH(B798:E798,'EMA points'!A:A,0))))) &gt; 0, "NOM INEXISTANT", "Noms ok")</f>
        <v>NOM INEXISTANT</v>
      </c>
    </row>
    <row r="800" spans="1:11" x14ac:dyDescent="0.25">
      <c r="A800" t="s">
        <v>8</v>
      </c>
      <c r="B800" t="e">
        <f>Donnees!B800</f>
        <v>#N/A</v>
      </c>
      <c r="C800" t="e">
        <f>Donnees!C800</f>
        <v>#N/A</v>
      </c>
      <c r="D800" t="e">
        <f>Donnees!D800</f>
        <v>#N/A</v>
      </c>
      <c r="E800" t="e">
        <f>Donnees!E800</f>
        <v>#N/A</v>
      </c>
      <c r="H800" t="s">
        <v>11</v>
      </c>
      <c r="I800" t="str">
        <f t="shared" ref="I800" si="397">IF(SUM(B799:E799)=0, "Score ok", "SOMME NON NULLE")</f>
        <v>Score ok</v>
      </c>
    </row>
  </sheetData>
  <conditionalFormatting sqref="K2:K3 I2:I4 K6:K7 I6:I8 K10:K11 I10:I12 K14:K15 I14:I16 K18:K19 I18:I20 K22:K23 I22:I24 K26:K27 I26:I28 K30:K31 I30:I32 K34:K35 I34:I36 K38:K39 I38:I40 K42:K43 I42:I44 K46:K47 I46:I48 K50:K51 I50:I52 K54:K55 I54:I56 K58:K59 I58:I60 K62:K63 I62:I64 K66:K67 I66:I68 K70:K71 I70:I72 K74:K75 I74:I76 K78:K79 I78:I80 K82:K83 I82:I84 K86:K87 I86:I88 K90:K91 I90:I92 K94:K95 I94:I96 K98:K99 I98:I100 K102:K103 I102:I104 K106:K107 I106:I108 K110:K111 I110:I112 K114:K115 I114:I116 K118:K119 I118:I120 K122:K123 I122:I124 K126:K127 I126:I128 K130:K131 I130:I132 K134:K135 I134:I136 K138:K139 I138:I140 K142:K143 I142:I144 K146:K147 I146:I148 K150:K151 I150:I152 K154:K155 I154:I156 K158:K159 I158:I160 K162:K163 I162:I164 K166:K167 I166:I168 K170:K171 I170:I172 K174:K175 I174:I176 K178:K179 I178:I180 K182:K183 I182:I184 K186:K187 I186:I188 K190:K191 I190:I192 K194:K195 I194:I196 K198:K199 I198:I200 K202:K203 I202:I204 K206:K207 I206:I208 K210:K211 I210:I212 K214:K215 I214:I216 K218:K219 I218:I220 K222:K223 I222:I224 K226:K227 I226:I228 K230:K231 I230:I232 K234:K235 I234:I236 K238:K239 I238:I240 K242:K243 I242:I244 K246:K247 I246:I248 K250:K251 I250:I252 K254:K255 I254:I256 K258:K259 I258:I260 K262:K263 I262:I264 K266:K267 I266:I268 K270:K271 I270:I272 K274:K275 I274:I276 K278:K279 I278:I280 K282:K283 I282:I284 K286:K287 I286:I288 K290:K291 I290:I292 K294:K295 I294:I296 K298:K299 I298:I300 K302:K303 I302:I304 K306:K307 I306:I308 K310:K311 I310:I312 K314:K315 I314:I316 K318:K319 I318:I320 K322:K323 I322:I324 K326:K327 I326:I328 K330:K331 I330:I332 K334:K335 I334:I336 K338:K339 I338:I340 K342:K343 I342:I344 K346:K347 I346:I348 K350:K351 I350:I352 K354:K355 I354:I356 K358:K359 I358:I360 K362:K363 I362:I364 K366:K367 I366:I368 K370:K371 I370:I372 K374:K375 I374:I376 K378:K379 I378:I380 K382:K383 I382:I384 K386:K387 I386:I388 K390:K391 I390:I392 K394:K395 I394:I396 K398:K399 I398:I400 K402:K403 I402:I404 K406:K407 I406:I408 K410:K411 I410:I412 K414:K415 I414:I416 K418:K419 I418:I420 K422:K423 I422:I424 K426:K427 I426:I428 K430:K431 I430:I432 K434:K435 I434:I436 K438:K439 I438:I440 K442:K443 I442:I444 K446:K447 I446:I448 K450:K451 I450:I452 K454:K455 I454:I456 K458:K459 I458:I460 K462:K463 I462:I464 K466:K467 I466:I468 K470:K471 I470:I472 K474:K475 I474:I476 K478:K479 I478:I480 K482:K483 I482:I484 K486:K487 I486:I488 K490:K491 I490:I492 K494:K495 I494:I496 K498:K499 I498:I500 K502:K503 I502:I504 K506:K507 I506:I508 K510:K511 I510:I512 K514:K515 I514:I516 K518:K519 I518:I520 K522:K523 I522:I524 K526:K527 I526:I528 K530:K531 I530:I532 K534:K535 I534:I536 K538:K539 I538:I540 K542:K543 I542:I544 K546:K547 I546:I548 K550:K551 I550:I552 K554:K555 I554:I556 K558:K559 I558:I560 K562:K563 I562:I564 K566:K567 I566:I568 K570:K571 I570:I572 K574:K575 I574:I576 K578:K579 I578:I580 K582:K583 I582:I584 K586:K587 I586:I588 K590:K591 I590:I592 K594:K595 I594:I596 K598:K599 I598:I600 K602:K603 I602:I604 K606:K607 I606:I608 K610:K611 I610:I612 K614:K615 I614:I616 K618:K619 I618:I620 K622:K623 I622:I624 K626:K627 I626:I628 K630:K631 I630:I632 K634:K635 I634:I636 K638:K639 I638:I640 K642:K643 I642:I644 K646:K647 I646:I648 K650:K651 I650:I652 K654:K655 I654:I656 K658:K659 I658:I660 K662:K663 I662:I664 K666:K667 I666:I668 K670:K671 I670:I672 K674:K675 I674:I676 K678:K679 I678:I680 K682:K683 I682:I684 K686:K687 I686:I688 K690:K691 I690:I692 K694:K695 I694:I696 K698:K699 I698:I700 K702:K703 I702:I704 K706:K707 I706:I708 K710:K711 I710:I712 K714:K715 I714:I716 K718:K719 I718:I720 K722:K723 I722:I724 K726:K727 I726:I728 K730:K731 I730:I732 K734:K735 I734:I736 K738:K739 I738:I740 K742:K743 I742:I744 K746:K747 I746:I748 K750:K751 I750:I752 K754:K755 I754:I756 K758:K759 I758:I760 K762:K763 I762:I764 K766:K767 I766:I768 K770:K771 I770:I772 K774:K775 I774:I776 K778:K779 I778:I780 K782:K783 I782:I784 K786:K787 I786:I788 K790:K791 I790:I792 K794:K795 I794:I796 K798:K799 I798:I800">
    <cfRule type="expression" dxfId="1" priority="1">
      <formula>AND(EXACT(UPPER(I2),I2),I2&lt;&gt;"")</formula>
    </cfRule>
    <cfRule type="expression" dxfId="0" priority="2">
      <formula>AND(NOT(EXACT(UPPER(I2),I2)),I2&lt;&gt;"")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7B0B-84DC-49C8-BE68-0497EEED9A3E}">
  <dimension ref="A1:R38"/>
  <sheetViews>
    <sheetView workbookViewId="0">
      <selection activeCell="M17" sqref="M17"/>
    </sheetView>
  </sheetViews>
  <sheetFormatPr baseColWidth="10" defaultRowHeight="15" x14ac:dyDescent="0.25"/>
  <sheetData>
    <row r="1" spans="1:18" x14ac:dyDescent="0.25">
      <c r="D1" s="6">
        <v>45901</v>
      </c>
      <c r="E1" s="7"/>
      <c r="F1" s="7"/>
      <c r="G1" s="7"/>
      <c r="H1" s="7"/>
      <c r="I1" s="6">
        <v>45931</v>
      </c>
      <c r="J1" s="7"/>
      <c r="K1" s="7"/>
      <c r="L1" s="7"/>
      <c r="M1" s="7"/>
      <c r="N1" s="6">
        <v>45962</v>
      </c>
      <c r="O1" s="7"/>
      <c r="P1" s="7"/>
      <c r="Q1" s="7"/>
      <c r="R1" s="7"/>
    </row>
    <row r="2" spans="1:18" x14ac:dyDescent="0.25">
      <c r="A2" t="s">
        <v>12</v>
      </c>
      <c r="B2" t="s">
        <v>13</v>
      </c>
      <c r="C2" t="s">
        <v>29</v>
      </c>
      <c r="D2" t="s">
        <v>23</v>
      </c>
      <c r="E2" t="s">
        <v>24</v>
      </c>
      <c r="F2" t="s">
        <v>25</v>
      </c>
      <c r="G2" t="s">
        <v>30</v>
      </c>
      <c r="H2" t="s">
        <v>31</v>
      </c>
      <c r="I2" t="s">
        <v>23</v>
      </c>
      <c r="J2" t="s">
        <v>24</v>
      </c>
      <c r="K2" t="s">
        <v>25</v>
      </c>
      <c r="L2" t="s">
        <v>30</v>
      </c>
      <c r="M2" t="s">
        <v>31</v>
      </c>
      <c r="N2" t="s">
        <v>23</v>
      </c>
      <c r="O2" t="s">
        <v>24</v>
      </c>
      <c r="P2" t="s">
        <v>25</v>
      </c>
      <c r="Q2" t="s">
        <v>30</v>
      </c>
      <c r="R2" t="s">
        <v>31</v>
      </c>
    </row>
    <row r="3" spans="1:18" x14ac:dyDescent="0.25">
      <c r="A3" s="1" t="s">
        <v>37</v>
      </c>
      <c r="B3" s="1">
        <v>980.34500000000003</v>
      </c>
      <c r="C3">
        <v>0</v>
      </c>
      <c r="D3" cm="1">
        <f t="array" ref="D3">_xlfn.LET(
  _xlpm.dates, INDEX('Elo calculation'!$C:$C, _xlfn.SEQUENCE(COUNTA('Elo calculation'!$C:$C)-2,1,2,4)),
  _xlpm.pts, INDEX('Elo calculation'!$A:$ZZ, _xlfn.SEQUENCE(COUNTA('Elo calculation'!$C:$C)-2,1,3,4), MATCH($A3,'Elo calculation'!$1:$1,0)),
  _xlpm.nbparties, SUMPRODUCT(--(_xlpm.dates &lt;= EOMONTH(D$1,0)), --(_xlpm.dates &gt;= D$1), --(_xlpm.pts &lt;&gt; "")),
  _xlpm.nbparties
)</f>
        <v>11</v>
      </c>
      <c r="E3" cm="1">
        <f t="array" ref="E3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MATCH($A3, 'Elo calculation'!$1:$1, 0),
    INDEX('Elo calculation'!$A:$ZZ, _xlpm.ligdate + 4, _xlpm.coljoueur)
)</f>
        <v>1071.9164860500034</v>
      </c>
      <c r="F3" cm="1">
        <f t="array" ref="F3">_xlfn.LET(
  _xlpm.vals, _xlfn._xlws.FILTER(E:E, (D:D&gt;0)*(ISNUMBER(E:E)), ""),
  _xlpm.nPlus,  SUM(--(_xlpm.vals &gt; E3)),
  _xlpm.nEgal,  SUM(--(_xlpm.vals = E3)),
  _xlpm.res,  1 + _xlpm.nPlus + (_xlpm.nEgal - 1) / 2,
  IF(D3=0, "", _xlpm.res)
)</f>
        <v>7</v>
      </c>
      <c r="G3" s="5" cm="1">
        <f t="array" ref="G3">_xlfn.LET(
  _xlpm.ming, Constantes!$B$8,
  _xlpm.maxmma, Constantes!$B$6,
  _xlpm.minmma, Constantes!$B$7,
  _xlpm.maxp, MAX(_xlfn._xlws.FILTER(F:F, ISNUMBER(F:F))),
  _xlpm.place, IF(F3="", _xlpm.maxp, F3),
  MIN(_xlpm.ming,D3)/_xlpm.ming * ((_xlpm.maxp - _xlpm.place) / (_xlpm.maxp - 1) * (_xlpm.maxmma - _xlpm.minmma) + _xlpm.minmma)
)</f>
        <v>392</v>
      </c>
      <c r="H3" s="5">
        <f>C3+G3</f>
        <v>392</v>
      </c>
      <c r="I3" cm="1">
        <f t="array" ref="I3">_xlfn.LET(
  _xlpm.dates, INDEX('Elo calculation'!$C:$C, _xlfn.SEQUENCE(COUNTA('Elo calculation'!$C:$C)-2,1,2,4)),
  _xlpm.pts, INDEX('Elo calculation'!$A:$ZZ, _xlfn.SEQUENCE(COUNTA('Elo calculation'!$C:$C)-2,1,3,4), MATCH($A3,'Elo calculation'!$1:$1,0)),
  _xlpm.nbparties, SUMPRODUCT(--(_xlpm.dates &lt;= EOMONTH(I$1,0)), --(_xlpm.dates &gt;= I$1), --(_xlpm.pts &lt;&gt; "")),
  _xlpm.nbparties
)</f>
        <v>10</v>
      </c>
      <c r="J3" cm="1">
        <f t="array" ref="J3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MATCH($A3, 'Elo calculation'!$1:$1, 0),
    INDEX('Elo calculation'!$A:$ZZ, _xlpm.ligdate + 4, _xlpm.coljoueur)
)</f>
        <v>968.82938141395095</v>
      </c>
      <c r="K3" cm="1">
        <f t="array" ref="K3">_xlfn.LET(
  _xlpm.vals, _xlfn._xlws.FILTER(J:J, (I:I&gt;0)*(ISNUMBER(J:J)), ""),
  _xlpm.nPlus,  SUM(--(_xlpm.vals &gt; J3)),
  _xlpm.nEgal,  SUM(--(_xlpm.vals = J3)),
  _xlpm.res,  1 + _xlpm.nPlus + (_xlpm.nEgal - 1) / 2,
  IF(I3=0, "", _xlpm.res)
)</f>
        <v>21</v>
      </c>
      <c r="L3" s="5" cm="1">
        <f t="array" ref="L3">_xlfn.LET(
  _xlpm.ming, Constantes!$B$8,
  _xlpm.maxmma, Constantes!$B$6,
  _xlpm.minmma, Constantes!$B$7,
  _xlpm.maxp, MAX(_xlfn._xlws.FILTER(K:K, ISNUMBER(K:K))),
  _xlpm.place, IF(K3="", _xlpm.maxp, K3),
  MIN(_xlpm.ming,I3)/_xlpm.ming * ((_xlpm.maxp - _xlpm.place) / (_xlpm.maxp - 1) * (_xlpm.maxmma - _xlpm.minmma) + _xlpm.minmma)
)</f>
        <v>235.29411764705881</v>
      </c>
      <c r="M3" s="5">
        <f t="shared" ref="M3:M38" si="0">H3+L3</f>
        <v>627.29411764705878</v>
      </c>
      <c r="N3" cm="1">
        <f t="array" ref="N3">_xlfn.LET(
  _xlpm.dates, INDEX('Elo calculation'!$C:$C, _xlfn.SEQUENCE(COUNTA('Elo calculation'!$C:$C)-2,1,2,4)),
  _xlpm.pts, INDEX('Elo calculation'!$A:$ZZ, _xlfn.SEQUENCE(COUNTA('Elo calculation'!$C:$C)-2,1,3,4), MATCH($A3,'Elo calculation'!$1:$1,0)),
  _xlpm.nbparties, SUMPRODUCT(--(_xlpm.dates &lt;= EOMONTH(N$1,0)), --(_xlpm.dates &gt;= N$1), --(_xlpm.pts &lt;&gt; "")),
  _xlpm.nbparties
)</f>
        <v>3</v>
      </c>
      <c r="O3" cm="1">
        <f t="array" ref="O3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MATCH($A3, 'Elo calculation'!$1:$1, 0),
    INDEX('Elo calculation'!$A:$ZZ, _xlpm.ligdate + 4, _xlpm.coljoueur)
)</f>
        <v>970.88542284486812</v>
      </c>
      <c r="P3" cm="1">
        <f t="array" ref="P3">_xlfn.LET(
  _xlpm.vals, _xlfn._xlws.FILTER(O:O, (N:N&gt;0)*(ISNUMBER(O:O)), ""),
  _xlpm.nPlus,  SUM(--(_xlpm.vals &gt; O3)),
  _xlpm.nEgal,  SUM(--(_xlpm.vals = O3)),
  _xlpm.res,  1 + _xlpm.nPlus + (_xlpm.nEgal - 1) / 2,
  IF(N3=0, "", _xlpm.res)
)</f>
        <v>14</v>
      </c>
      <c r="Q3" s="5" cm="1">
        <f t="array" ref="Q3">_xlfn.LET(
  _xlpm.ming, Constantes!$B$8,
  _xlpm.maxmma, Constantes!$B$6,
  _xlpm.minmma, Constantes!$B$7,
  _xlpm.maxp, MAX(_xlfn._xlws.FILTER(P:P, ISNUMBER(P:P))),
  _xlpm.place, IF(P3="", _xlpm.maxp, P3),
  MIN(_xlpm.ming,N3)/_xlpm.ming * ((_xlpm.maxp - _xlpm.place) / (_xlpm.maxp - 1) * (_xlpm.maxmma - _xlpm.minmma) + _xlpm.minmma)
)</f>
        <v>184.2391304347826</v>
      </c>
      <c r="R3" s="5">
        <f t="shared" ref="R3:R38" si="1">M3+Q3</f>
        <v>811.53324808184141</v>
      </c>
    </row>
    <row r="4" spans="1:18" x14ac:dyDescent="0.25">
      <c r="A4" s="1" t="s">
        <v>39</v>
      </c>
      <c r="B4" s="1">
        <v>1083.54</v>
      </c>
      <c r="C4">
        <v>0</v>
      </c>
      <c r="D4" cm="1">
        <f t="array" ref="D4">_xlfn.LET(
  _xlpm.dates, INDEX('Elo calculation'!$C:$C, _xlfn.SEQUENCE(COUNTA('Elo calculation'!$C:$C)-2,1,2,4)),
  _xlpm.pts, INDEX('Elo calculation'!$A:$ZZ, _xlfn.SEQUENCE(COUNTA('Elo calculation'!$C:$C)-2,1,3,4), MATCH($A4,'Elo calculation'!$1:$1,0)),
  _xlpm.nbparties, SUMPRODUCT(--(_xlpm.dates &lt;= EOMONTH(D$1,0)), --(_xlpm.dates &gt;= D$1), --(_xlpm.pts &lt;&gt; "")),
  _xlpm.nbparties
)</f>
        <v>13</v>
      </c>
      <c r="E4" cm="1">
        <f t="array" ref="E4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MATCH($A4, 'Elo calculation'!$1:$1, 0),
    INDEX('Elo calculation'!$A:$ZZ, _xlpm.ligdate + 4, _xlpm.coljoueur)
)</f>
        <v>1105.3750854597461</v>
      </c>
      <c r="F4" cm="1">
        <f t="array" ref="F4">_xlfn.LET(
  _xlpm.vals, _xlfn._xlws.FILTER(E:E, (D:D&gt;0)*(ISNUMBER(E:E)), ""),
  _xlpm.nPlus,  SUM(--(_xlpm.vals &gt; E4)),
  _xlpm.nEgal,  SUM(--(_xlpm.vals = E4)),
  _xlpm.res,  1 + _xlpm.nPlus + (_xlpm.nEgal - 1) / 2,
  IF(D4=0, "", _xlpm.res)
)</f>
        <v>4</v>
      </c>
      <c r="G4" s="5" cm="1">
        <f t="array" ref="G4">_xlfn.LET(
  _xlpm.ming, Constantes!$B$8,
  _xlpm.maxmma, Constantes!$B$6,
  _xlpm.minmma, Constantes!$B$7,
  _xlpm.maxp, MAX(_xlfn._xlws.FILTER(F:F, ISNUMBER(F:F))),
  _xlpm.place, IF(F4="", _xlpm.maxp, F4),
  MIN(_xlpm.ming,D4)/_xlpm.ming * ((_xlpm.maxp - _xlpm.place) / (_xlpm.maxp - 1) * (_xlpm.maxmma - _xlpm.minmma) + _xlpm.minmma)
)</f>
        <v>446</v>
      </c>
      <c r="H4" s="5">
        <f t="shared" ref="H4:H7" si="2">C4+G4</f>
        <v>446</v>
      </c>
      <c r="I4" cm="1">
        <f t="array" ref="I4">_xlfn.LET(
  _xlpm.dates, INDEX('Elo calculation'!$C:$C, _xlfn.SEQUENCE(COUNTA('Elo calculation'!$C:$C)-2,1,2,4)),
  _xlpm.pts, INDEX('Elo calculation'!$A:$ZZ, _xlfn.SEQUENCE(COUNTA('Elo calculation'!$C:$C)-2,1,3,4), MATCH($A4,'Elo calculation'!$1:$1,0)),
  _xlpm.nbparties, SUMPRODUCT(--(_xlpm.dates &lt;= EOMONTH(I$1,0)), --(_xlpm.dates &gt;= I$1), --(_xlpm.pts &lt;&gt; "")),
  _xlpm.nbparties
)</f>
        <v>11</v>
      </c>
      <c r="J4" cm="1">
        <f t="array" ref="J4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MATCH($A4, 'Elo calculation'!$1:$1, 0),
    INDEX('Elo calculation'!$A:$ZZ, _xlpm.ligdate + 4, _xlpm.coljoueur)
)</f>
        <v>1196.4195973781996</v>
      </c>
      <c r="K4" cm="1">
        <f t="array" ref="K4">_xlfn.LET(
  _xlpm.vals, _xlfn._xlws.FILTER(J:J, (I:I&gt;0)*(ISNUMBER(J:J)), ""),
  _xlpm.nPlus,  SUM(--(_xlpm.vals &gt; J4)),
  _xlpm.nEgal,  SUM(--(_xlpm.vals = J4)),
  _xlpm.res,  1 + _xlpm.nPlus + (_xlpm.nEgal - 1) / 2,
  IF(I4=0, "", _xlpm.res)
)</f>
        <v>1</v>
      </c>
      <c r="L4" s="5" cm="1">
        <f t="array" ref="L4">_xlfn.LET(
  _xlpm.ming, Constantes!$B$8,
  _xlpm.maxmma, Constantes!$B$6,
  _xlpm.minmma, Constantes!$B$7,
  _xlpm.maxp, MAX(_xlfn._xlws.FILTER(K:K, ISNUMBER(K:K))),
  _xlpm.place, IF(K4="", _xlpm.maxp, K4),
  MIN(_xlpm.ming,I4)/_xlpm.ming * ((_xlpm.maxp - _xlpm.place) / (_xlpm.maxp - 1) * (_xlpm.maxmma - _xlpm.minmma) + _xlpm.minmma)
)</f>
        <v>500</v>
      </c>
      <c r="M4" s="5">
        <f t="shared" si="0"/>
        <v>946</v>
      </c>
      <c r="N4" cm="1">
        <f t="array" ref="N4">_xlfn.LET(
  _xlpm.dates, INDEX('Elo calculation'!$C:$C, _xlfn.SEQUENCE(COUNTA('Elo calculation'!$C:$C)-2,1,2,4)),
  _xlpm.pts, INDEX('Elo calculation'!$A:$ZZ, _xlfn.SEQUENCE(COUNTA('Elo calculation'!$C:$C)-2,1,3,4), MATCH($A4,'Elo calculation'!$1:$1,0)),
  _xlpm.nbparties, SUMPRODUCT(--(_xlpm.dates &lt;= EOMONTH(N$1,0)), --(_xlpm.dates &gt;= N$1), --(_xlpm.pts &lt;&gt; "")),
  _xlpm.nbparties
)</f>
        <v>2</v>
      </c>
      <c r="O4" cm="1">
        <f t="array" ref="O4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MATCH($A4, 'Elo calculation'!$1:$1, 0),
    INDEX('Elo calculation'!$A:$ZZ, _xlpm.ligdate + 4, _xlpm.coljoueur)
)</f>
        <v>1229.0521069339948</v>
      </c>
      <c r="P4" cm="1">
        <f t="array" ref="P4">_xlfn.LET(
  _xlpm.vals, _xlfn._xlws.FILTER(O:O, (N:N&gt;0)*(ISNUMBER(O:O)), ""),
  _xlpm.nPlus,  SUM(--(_xlpm.vals &gt; O4)),
  _xlpm.nEgal,  SUM(--(_xlpm.vals = O4)),
  _xlpm.res,  1 + _xlpm.nPlus + (_xlpm.nEgal - 1) / 2,
  IF(N4=0, "", _xlpm.res)
)</f>
        <v>1</v>
      </c>
      <c r="Q4" s="5" cm="1">
        <f t="array" ref="Q4">_xlfn.LET(
  _xlpm.ming, Constantes!$B$8,
  _xlpm.maxmma, Constantes!$B$6,
  _xlpm.minmma, Constantes!$B$7,
  _xlpm.maxp, MAX(_xlfn._xlws.FILTER(P:P, ISNUMBER(P:P))),
  _xlpm.place, IF(P4="", _xlpm.maxp, P4),
  MIN(_xlpm.ming,N4)/_xlpm.ming * ((_xlpm.maxp - _xlpm.place) / (_xlpm.maxp - 1) * (_xlpm.maxmma - _xlpm.minmma) + _xlpm.minmma)
)</f>
        <v>250</v>
      </c>
      <c r="R4" s="5">
        <f t="shared" si="1"/>
        <v>1196</v>
      </c>
    </row>
    <row r="5" spans="1:18" x14ac:dyDescent="0.25">
      <c r="A5" s="1" t="s">
        <v>38</v>
      </c>
      <c r="B5" s="1">
        <v>903.97</v>
      </c>
      <c r="C5">
        <v>0</v>
      </c>
      <c r="D5" cm="1">
        <f t="array" ref="D5">_xlfn.LET(
  _xlpm.dates, INDEX('Elo calculation'!$C:$C, _xlfn.SEQUENCE(COUNTA('Elo calculation'!$C:$C)-2,1,2,4)),
  _xlpm.pts, INDEX('Elo calculation'!$A:$ZZ, _xlfn.SEQUENCE(COUNTA('Elo calculation'!$C:$C)-2,1,3,4), MATCH($A5,'Elo calculation'!$1:$1,0)),
  _xlpm.nbparties, SUMPRODUCT(--(_xlpm.dates &lt;= EOMONTH(D$1,0)), --(_xlpm.dates &gt;= D$1), --(_xlpm.pts &lt;&gt; "")),
  _xlpm.nbparties
)</f>
        <v>14</v>
      </c>
      <c r="E5" cm="1">
        <f t="array" ref="E5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MATCH($A5, 'Elo calculation'!$1:$1, 0),
    INDEX('Elo calculation'!$A:$ZZ, _xlpm.ligdate + 4, _xlpm.coljoueur)
)</f>
        <v>839.76438398955065</v>
      </c>
      <c r="F5" cm="1">
        <f t="array" ref="F5">_xlfn.LET(
  _xlpm.vals, _xlfn._xlws.FILTER(E:E, (D:D&gt;0)*(ISNUMBER(E:E)), ""),
  _xlpm.nPlus,  SUM(--(_xlpm.vals &gt; E5)),
  _xlpm.nEgal,  SUM(--(_xlpm.vals = E5)),
  _xlpm.res,  1 + _xlpm.nPlus + (_xlpm.nEgal - 1) / 2,
  IF(D5=0, "", _xlpm.res)
)</f>
        <v>25</v>
      </c>
      <c r="G5" s="5" cm="1">
        <f t="array" ref="G5">_xlfn.LET(
  _xlpm.ming, Constantes!$B$8,
  _xlpm.maxmma, Constantes!$B$6,
  _xlpm.minmma, Constantes!$B$7,
  _xlpm.maxp, MAX(_xlfn._xlws.FILTER(F:F, ISNUMBER(F:F))),
  _xlpm.place, IF(F5="", _xlpm.maxp, F5),
  MIN(_xlpm.ming,D5)/_xlpm.ming * ((_xlpm.maxp - _xlpm.place) / (_xlpm.maxp - 1) * (_xlpm.maxmma - _xlpm.minmma) + _xlpm.minmma)
)</f>
        <v>68</v>
      </c>
      <c r="H5" s="5">
        <f t="shared" si="2"/>
        <v>68</v>
      </c>
      <c r="I5" cm="1">
        <f t="array" ref="I5">_xlfn.LET(
  _xlpm.dates, INDEX('Elo calculation'!$C:$C, _xlfn.SEQUENCE(COUNTA('Elo calculation'!$C:$C)-2,1,2,4)),
  _xlpm.pts, INDEX('Elo calculation'!$A:$ZZ, _xlfn.SEQUENCE(COUNTA('Elo calculation'!$C:$C)-2,1,3,4), MATCH($A5,'Elo calculation'!$1:$1,0)),
  _xlpm.nbparties, SUMPRODUCT(--(_xlpm.dates &lt;= EOMONTH(I$1,0)), --(_xlpm.dates &gt;= I$1), --(_xlpm.pts &lt;&gt; "")),
  _xlpm.nbparties
)</f>
        <v>11</v>
      </c>
      <c r="J5" cm="1">
        <f t="array" ref="J5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MATCH($A5, 'Elo calculation'!$1:$1, 0),
    INDEX('Elo calculation'!$A:$ZZ, _xlpm.ligdate + 4, _xlpm.coljoueur)
)</f>
        <v>911.8835833951041</v>
      </c>
      <c r="K5" cm="1">
        <f t="array" ref="K5">_xlfn.LET(
  _xlpm.vals, _xlfn._xlws.FILTER(J:J, (I:I&gt;0)*(ISNUMBER(J:J)), ""),
  _xlpm.nPlus,  SUM(--(_xlpm.vals &gt; J5)),
  _xlpm.nEgal,  SUM(--(_xlpm.vals = J5)),
  _xlpm.res,  1 + _xlpm.nPlus + (_xlpm.nEgal - 1) / 2,
  IF(I5=0, "", _xlpm.res)
)</f>
        <v>28</v>
      </c>
      <c r="L5" s="5" cm="1">
        <f t="array" ref="L5">_xlfn.LET(
  _xlpm.ming, Constantes!$B$8,
  _xlpm.maxmma, Constantes!$B$6,
  _xlpm.minmma, Constantes!$B$7,
  _xlpm.maxp, MAX(_xlfn._xlws.FILTER(K:K, ISNUMBER(K:K))),
  _xlpm.place, IF(K5="", _xlpm.maxp, K5),
  MIN(_xlpm.ming,I5)/_xlpm.ming * ((_xlpm.maxp - _xlpm.place) / (_xlpm.maxp - 1) * (_xlpm.maxmma - _xlpm.minmma) + _xlpm.minmma)
)</f>
        <v>142.64705882352939</v>
      </c>
      <c r="M5" s="5">
        <f t="shared" si="0"/>
        <v>210.64705882352939</v>
      </c>
      <c r="N5" cm="1">
        <f t="array" ref="N5">_xlfn.LET(
  _xlpm.dates, INDEX('Elo calculation'!$C:$C, _xlfn.SEQUENCE(COUNTA('Elo calculation'!$C:$C)-2,1,2,4)),
  _xlpm.pts, INDEX('Elo calculation'!$A:$ZZ, _xlfn.SEQUENCE(COUNTA('Elo calculation'!$C:$C)-2,1,3,4), MATCH($A5,'Elo calculation'!$1:$1,0)),
  _xlpm.nbparties, SUMPRODUCT(--(_xlpm.dates &lt;= EOMONTH(N$1,0)), --(_xlpm.dates &gt;= N$1), --(_xlpm.pts &lt;&gt; "")),
  _xlpm.nbparties
)</f>
        <v>0</v>
      </c>
      <c r="O5" cm="1">
        <f t="array" ref="O5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MATCH($A5, 'Elo calculation'!$1:$1, 0),
    INDEX('Elo calculation'!$A:$ZZ, _xlpm.ligdate + 4, _xlpm.coljoueur)
)</f>
        <v>911.8835833951041</v>
      </c>
      <c r="P5" t="str" cm="1">
        <f t="array" ref="P5">_xlfn.LET(
  _xlpm.vals, _xlfn._xlws.FILTER(O:O, (N:N&gt;0)*(ISNUMBER(O:O)), ""),
  _xlpm.nPlus,  SUM(--(_xlpm.vals &gt; O5)),
  _xlpm.nEgal,  SUM(--(_xlpm.vals = O5)),
  _xlpm.res,  1 + _xlpm.nPlus + (_xlpm.nEgal - 1) / 2,
  IF(N5=0, "", _xlpm.res)
)</f>
        <v/>
      </c>
      <c r="Q5" s="5" cm="1">
        <f t="array" ref="Q5">_xlfn.LET(
  _xlpm.ming, Constantes!$B$8,
  _xlpm.maxmma, Constantes!$B$6,
  _xlpm.minmma, Constantes!$B$7,
  _xlpm.maxp, MAX(_xlfn._xlws.FILTER(P:P, ISNUMBER(P:P))),
  _xlpm.place, IF(P5="", _xlpm.maxp, P5),
  MIN(_xlpm.ming,N5)/_xlpm.ming * ((_xlpm.maxp - _xlpm.place) / (_xlpm.maxp - 1) * (_xlpm.maxmma - _xlpm.minmma) + _xlpm.minmma)
)</f>
        <v>0</v>
      </c>
      <c r="R5" s="5">
        <f t="shared" si="1"/>
        <v>210.64705882352939</v>
      </c>
    </row>
    <row r="6" spans="1:18" x14ac:dyDescent="0.25">
      <c r="A6" s="1" t="s">
        <v>40</v>
      </c>
      <c r="B6" s="1">
        <v>1068.3400000000001</v>
      </c>
      <c r="C6">
        <v>0</v>
      </c>
      <c r="D6" cm="1">
        <f t="array" ref="D6">_xlfn.LET(
  _xlpm.dates, INDEX('Elo calculation'!$C:$C, _xlfn.SEQUENCE(COUNTA('Elo calculation'!$C:$C)-2,1,2,4)),
  _xlpm.pts, INDEX('Elo calculation'!$A:$ZZ, _xlfn.SEQUENCE(COUNTA('Elo calculation'!$C:$C)-2,1,3,4), MATCH($A6,'Elo calculation'!$1:$1,0)),
  _xlpm.nbparties, SUMPRODUCT(--(_xlpm.dates &lt;= EOMONTH(D$1,0)), --(_xlpm.dates &gt;= D$1), --(_xlpm.pts &lt;&gt; "")),
  _xlpm.nbparties
)</f>
        <v>16</v>
      </c>
      <c r="E6" cm="1">
        <f t="array" ref="E6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MATCH($A6, 'Elo calculation'!$1:$1, 0),
    INDEX('Elo calculation'!$A:$ZZ, _xlpm.ligdate + 4, _xlpm.coljoueur)
)</f>
        <v>1040.3895443117544</v>
      </c>
      <c r="F6" cm="1">
        <f t="array" ref="F6">_xlfn.LET(
  _xlpm.vals, _xlfn._xlws.FILTER(E:E, (D:D&gt;0)*(ISNUMBER(E:E)), ""),
  _xlpm.nPlus,  SUM(--(_xlpm.vals &gt; E6)),
  _xlpm.nEgal,  SUM(--(_xlpm.vals = E6)),
  _xlpm.res,  1 + _xlpm.nPlus + (_xlpm.nEgal - 1) / 2,
  IF(D6=0, "", _xlpm.res)
)</f>
        <v>10</v>
      </c>
      <c r="G6" s="5" cm="1">
        <f t="array" ref="G6">_xlfn.LET(
  _xlpm.ming, Constantes!$B$8,
  _xlpm.maxmma, Constantes!$B$6,
  _xlpm.minmma, Constantes!$B$7,
  _xlpm.maxp, MAX(_xlfn._xlws.FILTER(F:F, ISNUMBER(F:F))),
  _xlpm.place, IF(F6="", _xlpm.maxp, F6),
  MIN(_xlpm.ming,D6)/_xlpm.ming * ((_xlpm.maxp - _xlpm.place) / (_xlpm.maxp - 1) * (_xlpm.maxmma - _xlpm.minmma) + _xlpm.minmma)
)</f>
        <v>338</v>
      </c>
      <c r="H6" s="5">
        <f t="shared" si="2"/>
        <v>338</v>
      </c>
      <c r="I6" cm="1">
        <f t="array" ref="I6">_xlfn.LET(
  _xlpm.dates, INDEX('Elo calculation'!$C:$C, _xlfn.SEQUENCE(COUNTA('Elo calculation'!$C:$C)-2,1,2,4)),
  _xlpm.pts, INDEX('Elo calculation'!$A:$ZZ, _xlfn.SEQUENCE(COUNTA('Elo calculation'!$C:$C)-2,1,3,4), MATCH($A6,'Elo calculation'!$1:$1,0)),
  _xlpm.nbparties, SUMPRODUCT(--(_xlpm.dates &lt;= EOMONTH(I$1,0)), --(_xlpm.dates &gt;= I$1), --(_xlpm.pts &lt;&gt; "")),
  _xlpm.nbparties
)</f>
        <v>14</v>
      </c>
      <c r="J6" cm="1">
        <f t="array" ref="J6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MATCH($A6, 'Elo calculation'!$1:$1, 0),
    INDEX('Elo calculation'!$A:$ZZ, _xlpm.ligdate + 4, _xlpm.coljoueur)
)</f>
        <v>1061.9525561512175</v>
      </c>
      <c r="K6" cm="1">
        <f t="array" ref="K6">_xlfn.LET(
  _xlpm.vals, _xlfn._xlws.FILTER(J:J, (I:I&gt;0)*(ISNUMBER(J:J)), ""),
  _xlpm.nPlus,  SUM(--(_xlpm.vals &gt; J6)),
  _xlpm.nEgal,  SUM(--(_xlpm.vals = J6)),
  _xlpm.res,  1 + _xlpm.nPlus + (_xlpm.nEgal - 1) / 2,
  IF(I6=0, "", _xlpm.res)
)</f>
        <v>9</v>
      </c>
      <c r="L6" s="5" cm="1">
        <f t="array" ref="L6">_xlfn.LET(
  _xlpm.ming, Constantes!$B$8,
  _xlpm.maxmma, Constantes!$B$6,
  _xlpm.minmma, Constantes!$B$7,
  _xlpm.maxp, MAX(_xlfn._xlws.FILTER(K:K, ISNUMBER(K:K))),
  _xlpm.place, IF(K6="", _xlpm.maxp, K6),
  MIN(_xlpm.ming,I6)/_xlpm.ming * ((_xlpm.maxp - _xlpm.place) / (_xlpm.maxp - 1) * (_xlpm.maxmma - _xlpm.minmma) + _xlpm.minmma)
)</f>
        <v>394.11764705882348</v>
      </c>
      <c r="M6" s="5">
        <f t="shared" si="0"/>
        <v>732.11764705882342</v>
      </c>
      <c r="N6" cm="1">
        <f t="array" ref="N6">_xlfn.LET(
  _xlpm.dates, INDEX('Elo calculation'!$C:$C, _xlfn.SEQUENCE(COUNTA('Elo calculation'!$C:$C)-2,1,2,4)),
  _xlpm.pts, INDEX('Elo calculation'!$A:$ZZ, _xlfn.SEQUENCE(COUNTA('Elo calculation'!$C:$C)-2,1,3,4), MATCH($A6,'Elo calculation'!$1:$1,0)),
  _xlpm.nbparties, SUMPRODUCT(--(_xlpm.dates &lt;= EOMONTH(N$1,0)), --(_xlpm.dates &gt;= N$1), --(_xlpm.pts &lt;&gt; "")),
  _xlpm.nbparties
)</f>
        <v>3</v>
      </c>
      <c r="O6" cm="1">
        <f t="array" ref="O6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MATCH($A6, 'Elo calculation'!$1:$1, 0),
    INDEX('Elo calculation'!$A:$ZZ, _xlpm.ligdate + 4, _xlpm.coljoueur)
)</f>
        <v>1021.5669497794617</v>
      </c>
      <c r="P6" cm="1">
        <f t="array" ref="P6">_xlfn.LET(
  _xlpm.vals, _xlfn._xlws.FILTER(O:O, (N:N&gt;0)*(ISNUMBER(O:O)), ""),
  _xlpm.nPlus,  SUM(--(_xlpm.vals &gt; O6)),
  _xlpm.nEgal,  SUM(--(_xlpm.vals = O6)),
  _xlpm.res,  1 + _xlpm.nPlus + (_xlpm.nEgal - 1) / 2,
  IF(N6=0, "", _xlpm.res)
)</f>
        <v>10</v>
      </c>
      <c r="Q6" s="5" cm="1">
        <f t="array" ref="Q6">_xlfn.LET(
  _xlpm.ming, Constantes!$B$8,
  _xlpm.maxmma, Constantes!$B$6,
  _xlpm.minmma, Constantes!$B$7,
  _xlpm.maxp, MAX(_xlfn._xlws.FILTER(P:P, ISNUMBER(P:P))),
  _xlpm.place, IF(P6="", _xlpm.maxp, P6),
  MIN(_xlpm.ming,N6)/_xlpm.ming * ((_xlpm.maxp - _xlpm.place) / (_xlpm.maxp - 1) * (_xlpm.maxmma - _xlpm.minmma) + _xlpm.minmma)
)</f>
        <v>242.93478260869566</v>
      </c>
      <c r="R6" s="5">
        <f t="shared" si="1"/>
        <v>975.05242966751905</v>
      </c>
    </row>
    <row r="7" spans="1:18" x14ac:dyDescent="0.25">
      <c r="A7" s="1" t="s">
        <v>41</v>
      </c>
      <c r="B7" s="1">
        <v>1075.79</v>
      </c>
      <c r="C7">
        <v>0</v>
      </c>
      <c r="D7" cm="1">
        <f t="array" ref="D7">_xlfn.LET(
  _xlpm.dates, INDEX('Elo calculation'!$C:$C, _xlfn.SEQUENCE(COUNTA('Elo calculation'!$C:$C)-2,1,2,4)),
  _xlpm.pts, INDEX('Elo calculation'!$A:$ZZ, _xlfn.SEQUENCE(COUNTA('Elo calculation'!$C:$C)-2,1,3,4), MATCH($A7,'Elo calculation'!$1:$1,0)),
  _xlpm.nbparties, SUMPRODUCT(--(_xlpm.dates &lt;= EOMONTH(D$1,0)), --(_xlpm.dates &gt;= D$1), --(_xlpm.pts &lt;&gt; "")),
  _xlpm.nbparties
)</f>
        <v>6</v>
      </c>
      <c r="E7" cm="1">
        <f t="array" ref="E7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MATCH($A7, 'Elo calculation'!$1:$1, 0),
    INDEX('Elo calculation'!$A:$ZZ, _xlpm.ligdate + 4, _xlpm.coljoueur)
)</f>
        <v>1043.8545020183328</v>
      </c>
      <c r="F7" cm="1">
        <f t="array" ref="F7">_xlfn.LET(
  _xlpm.vals, _xlfn._xlws.FILTER(E:E, (D:D&gt;0)*(ISNUMBER(E:E)), ""),
  _xlpm.nPlus,  SUM(--(_xlpm.vals &gt; E7)),
  _xlpm.nEgal,  SUM(--(_xlpm.vals = E7)),
  _xlpm.res,  1 + _xlpm.nPlus + (_xlpm.nEgal - 1) / 2,
  IF(D7=0, "", _xlpm.res)
)</f>
        <v>9</v>
      </c>
      <c r="G7" s="5" cm="1">
        <f t="array" ref="G7">_xlfn.LET(
  _xlpm.ming, Constantes!$B$8,
  _xlpm.maxmma, Constantes!$B$6,
  _xlpm.minmma, Constantes!$B$7,
  _xlpm.maxp, MAX(_xlfn._xlws.FILTER(F:F, ISNUMBER(F:F))),
  _xlpm.place, IF(F7="", _xlpm.maxp, F7),
  MIN(_xlpm.ming,D7)/_xlpm.ming * ((_xlpm.maxp - _xlpm.place) / (_xlpm.maxp - 1) * (_xlpm.maxmma - _xlpm.minmma) + _xlpm.minmma)
)</f>
        <v>356</v>
      </c>
      <c r="H7" s="5">
        <f t="shared" si="2"/>
        <v>356</v>
      </c>
      <c r="I7" cm="1">
        <f t="array" ref="I7">_xlfn.LET(
  _xlpm.dates, INDEX('Elo calculation'!$C:$C, _xlfn.SEQUENCE(COUNTA('Elo calculation'!$C:$C)-2,1,2,4)),
  _xlpm.pts, INDEX('Elo calculation'!$A:$ZZ, _xlfn.SEQUENCE(COUNTA('Elo calculation'!$C:$C)-2,1,3,4), MATCH($A7,'Elo calculation'!$1:$1,0)),
  _xlpm.nbparties, SUMPRODUCT(--(_xlpm.dates &lt;= EOMONTH(I$1,0)), --(_xlpm.dates &gt;= I$1), --(_xlpm.pts &lt;&gt; "")),
  _xlpm.nbparties
)</f>
        <v>7</v>
      </c>
      <c r="J7" cm="1">
        <f t="array" ref="J7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MATCH($A7, 'Elo calculation'!$1:$1, 0),
    INDEX('Elo calculation'!$A:$ZZ, _xlpm.ligdate + 4, _xlpm.coljoueur)
)</f>
        <v>1121.8561093296914</v>
      </c>
      <c r="K7" cm="1">
        <f t="array" ref="K7">_xlfn.LET(
  _xlpm.vals, _xlfn._xlws.FILTER(J:J, (I:I&gt;0)*(ISNUMBER(J:J)), ""),
  _xlpm.nPlus,  SUM(--(_xlpm.vals &gt; J7)),
  _xlpm.nEgal,  SUM(--(_xlpm.vals = J7)),
  _xlpm.res,  1 + _xlpm.nPlus + (_xlpm.nEgal - 1) / 2,
  IF(I7=0, "", _xlpm.res)
)</f>
        <v>4</v>
      </c>
      <c r="L7" s="5" cm="1">
        <f t="array" ref="L7">_xlfn.LET(
  _xlpm.ming, Constantes!$B$8,
  _xlpm.maxmma, Constantes!$B$6,
  _xlpm.minmma, Constantes!$B$7,
  _xlpm.maxp, MAX(_xlfn._xlws.FILTER(K:K, ISNUMBER(K:K))),
  _xlpm.place, IF(K7="", _xlpm.maxp, K7),
  MIN(_xlpm.ming,I7)/_xlpm.ming * ((_xlpm.maxp - _xlpm.place) / (_xlpm.maxp - 1) * (_xlpm.maxmma - _xlpm.minmma) + _xlpm.minmma)
)</f>
        <v>460.29411764705884</v>
      </c>
      <c r="M7" s="5">
        <f t="shared" si="0"/>
        <v>816.29411764705878</v>
      </c>
      <c r="N7" cm="1">
        <f t="array" ref="N7">_xlfn.LET(
  _xlpm.dates, INDEX('Elo calculation'!$C:$C, _xlfn.SEQUENCE(COUNTA('Elo calculation'!$C:$C)-2,1,2,4)),
  _xlpm.pts, INDEX('Elo calculation'!$A:$ZZ, _xlfn.SEQUENCE(COUNTA('Elo calculation'!$C:$C)-2,1,3,4), MATCH($A7,'Elo calculation'!$1:$1,0)),
  _xlpm.nbparties, SUMPRODUCT(--(_xlpm.dates &lt;= EOMONTH(N$1,0)), --(_xlpm.dates &gt;= N$1), --(_xlpm.pts &lt;&gt; "")),
  _xlpm.nbparties
)</f>
        <v>4</v>
      </c>
      <c r="O7" cm="1">
        <f t="array" ref="O7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MATCH($A7, 'Elo calculation'!$1:$1, 0),
    INDEX('Elo calculation'!$A:$ZZ, _xlpm.ligdate + 4, _xlpm.coljoueur)
)</f>
        <v>1117.5250985570954</v>
      </c>
      <c r="P7" cm="1">
        <f t="array" ref="P7">_xlfn.LET(
  _xlpm.vals, _xlfn._xlws.FILTER(O:O, (N:N&gt;0)*(ISNUMBER(O:O)), ""),
  _xlpm.nPlus,  SUM(--(_xlpm.vals &gt; O7)),
  _xlpm.nEgal,  SUM(--(_xlpm.vals = O7)),
  _xlpm.res,  1 + _xlpm.nPlus + (_xlpm.nEgal - 1) / 2,
  IF(N7=0, "", _xlpm.res)
)</f>
        <v>5</v>
      </c>
      <c r="Q7" s="5" cm="1">
        <f t="array" ref="Q7">_xlfn.LET(
  _xlpm.ming, Constantes!$B$8,
  _xlpm.maxmma, Constantes!$B$6,
  _xlpm.minmma, Constantes!$B$7,
  _xlpm.maxp, MAX(_xlfn._xlws.FILTER(P:P, ISNUMBER(P:P))),
  _xlpm.place, IF(P7="", _xlpm.maxp, P7),
  MIN(_xlpm.ming,N7)/_xlpm.ming * ((_xlpm.maxp - _xlpm.place) / (_xlpm.maxp - 1) * (_xlpm.maxmma - _xlpm.minmma) + _xlpm.minmma)
)</f>
        <v>421.73913043478262</v>
      </c>
      <c r="R7" s="5">
        <f t="shared" si="1"/>
        <v>1238.0332480818415</v>
      </c>
    </row>
    <row r="8" spans="1:18" x14ac:dyDescent="0.25">
      <c r="A8" s="1" t="s">
        <v>42</v>
      </c>
      <c r="B8" s="1">
        <v>1000</v>
      </c>
      <c r="C8">
        <v>0</v>
      </c>
      <c r="D8" cm="1">
        <f t="array" ref="D8">_xlfn.LET(
  _xlpm.dates, INDEX('Elo calculation'!$C:$C, _xlfn.SEQUENCE(COUNTA('Elo calculation'!$C:$C)-2,1,2,4)),
  _xlpm.pts, INDEX('Elo calculation'!$A:$ZZ, _xlfn.SEQUENCE(COUNTA('Elo calculation'!$C:$C)-2,1,3,4), MATCH($A8,'Elo calculation'!$1:$1,0)),
  _xlpm.nbparties, SUMPRODUCT(--(_xlpm.dates &lt;= EOMONTH(D$1,0)), --(_xlpm.dates &gt;= D$1), --(_xlpm.pts &lt;&gt; "")),
  _xlpm.nbparties
)</f>
        <v>5</v>
      </c>
      <c r="E8" cm="1">
        <f t="array" ref="E8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MATCH($A8, 'Elo calculation'!$1:$1, 0),
    INDEX('Elo calculation'!$A:$ZZ, _xlpm.ligdate + 4, _xlpm.coljoueur)
)</f>
        <v>1084.9304838632445</v>
      </c>
      <c r="F8" cm="1">
        <f t="array" ref="F8">_xlfn.LET(
  _xlpm.vals, _xlfn._xlws.FILTER(E:E, (D:D&gt;0)*(ISNUMBER(E:E)), ""),
  _xlpm.nPlus,  SUM(--(_xlpm.vals &gt; E8)),
  _xlpm.nEgal,  SUM(--(_xlpm.vals = E8)),
  _xlpm.res,  1 + _xlpm.nPlus + (_xlpm.nEgal - 1) / 2,
  IF(D8=0, "", _xlpm.res)
)</f>
        <v>6</v>
      </c>
      <c r="G8" s="5" cm="1">
        <f t="array" ref="G8">_xlfn.LET(
  _xlpm.ming, Constantes!$B$8,
  _xlpm.maxmma, Constantes!$B$6,
  _xlpm.minmma, Constantes!$B$7,
  _xlpm.maxp, MAX(_xlfn._xlws.FILTER(F:F, ISNUMBER(F:F))),
  _xlpm.place, IF(F8="", _xlpm.maxp, F8),
  MIN(_xlpm.ming,D8)/_xlpm.ming * ((_xlpm.maxp - _xlpm.place) / (_xlpm.maxp - 1) * (_xlpm.maxmma - _xlpm.minmma) + _xlpm.minmma)
)</f>
        <v>410</v>
      </c>
      <c r="H8" s="5">
        <f t="shared" ref="H8" si="3">C8+G8</f>
        <v>410</v>
      </c>
      <c r="I8" cm="1">
        <f t="array" ref="I8">_xlfn.LET(
  _xlpm.dates, INDEX('Elo calculation'!$C:$C, _xlfn.SEQUENCE(COUNTA('Elo calculation'!$C:$C)-2,1,2,4)),
  _xlpm.pts, INDEX('Elo calculation'!$A:$ZZ, _xlfn.SEQUENCE(COUNTA('Elo calculation'!$C:$C)-2,1,3,4), MATCH($A8,'Elo calculation'!$1:$1,0)),
  _xlpm.nbparties, SUMPRODUCT(--(_xlpm.dates &lt;= EOMONTH(I$1,0)), --(_xlpm.dates &gt;= I$1), --(_xlpm.pts &lt;&gt; "")),
  _xlpm.nbparties
)</f>
        <v>9</v>
      </c>
      <c r="J8" cm="1">
        <f t="array" ref="J8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MATCH($A8, 'Elo calculation'!$1:$1, 0),
    INDEX('Elo calculation'!$A:$ZZ, _xlpm.ligdate + 4, _xlpm.coljoueur)
)</f>
        <v>912.81564332013568</v>
      </c>
      <c r="K8" cm="1">
        <f t="array" ref="K8">_xlfn.LET(
  _xlpm.vals, _xlfn._xlws.FILTER(J:J, (I:I&gt;0)*(ISNUMBER(J:J)), ""),
  _xlpm.nPlus,  SUM(--(_xlpm.vals &gt; J8)),
  _xlpm.nEgal,  SUM(--(_xlpm.vals = J8)),
  _xlpm.res,  1 + _xlpm.nPlus + (_xlpm.nEgal - 1) / 2,
  IF(I8=0, "", _xlpm.res)
)</f>
        <v>27</v>
      </c>
      <c r="L8" s="5" cm="1">
        <f t="array" ref="L8">_xlfn.LET(
  _xlpm.ming, Constantes!$B$8,
  _xlpm.maxmma, Constantes!$B$6,
  _xlpm.minmma, Constantes!$B$7,
  _xlpm.maxp, MAX(_xlfn._xlws.FILTER(K:K, ISNUMBER(K:K))),
  _xlpm.place, IF(K8="", _xlpm.maxp, K8),
  MIN(_xlpm.ming,I8)/_xlpm.ming * ((_xlpm.maxp - _xlpm.place) / (_xlpm.maxp - 1) * (_xlpm.maxmma - _xlpm.minmma) + _xlpm.minmma)
)</f>
        <v>155.88235294117646</v>
      </c>
      <c r="M8" s="5">
        <f t="shared" si="0"/>
        <v>565.88235294117646</v>
      </c>
      <c r="N8" cm="1">
        <f t="array" ref="N8">_xlfn.LET(
  _xlpm.dates, INDEX('Elo calculation'!$C:$C, _xlfn.SEQUENCE(COUNTA('Elo calculation'!$C:$C)-2,1,2,4)),
  _xlpm.pts, INDEX('Elo calculation'!$A:$ZZ, _xlfn.SEQUENCE(COUNTA('Elo calculation'!$C:$C)-2,1,3,4), MATCH($A8,'Elo calculation'!$1:$1,0)),
  _xlpm.nbparties, SUMPRODUCT(--(_xlpm.dates &lt;= EOMONTH(N$1,0)), --(_xlpm.dates &gt;= N$1), --(_xlpm.pts &lt;&gt; "")),
  _xlpm.nbparties
)</f>
        <v>3</v>
      </c>
      <c r="O8" cm="1">
        <f t="array" ref="O8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MATCH($A8, 'Elo calculation'!$1:$1, 0),
    INDEX('Elo calculation'!$A:$ZZ, _xlpm.ligdate + 4, _xlpm.coljoueur)
)</f>
        <v>883.37234630448143</v>
      </c>
      <c r="P8" cm="1">
        <f t="array" ref="P8">_xlfn.LET(
  _xlpm.vals, _xlfn._xlws.FILTER(O:O, (N:N&gt;0)*(ISNUMBER(O:O)), ""),
  _xlpm.nPlus,  SUM(--(_xlpm.vals &gt; O8)),
  _xlpm.nEgal,  SUM(--(_xlpm.vals = O8)),
  _xlpm.res,  1 + _xlpm.nPlus + (_xlpm.nEgal - 1) / 2,
  IF(N8=0, "", _xlpm.res)
)</f>
        <v>21</v>
      </c>
      <c r="Q8" s="5" cm="1">
        <f t="array" ref="Q8">_xlfn.LET(
  _xlpm.ming, Constantes!$B$8,
  _xlpm.maxmma, Constantes!$B$6,
  _xlpm.minmma, Constantes!$B$7,
  _xlpm.maxp, MAX(_xlfn._xlws.FILTER(P:P, ISNUMBER(P:P))),
  _xlpm.place, IF(P8="", _xlpm.maxp, P8),
  MIN(_xlpm.ming,N8)/_xlpm.ming * ((_xlpm.maxp - _xlpm.place) / (_xlpm.maxp - 1) * (_xlpm.maxmma - _xlpm.minmma) + _xlpm.minmma)
)</f>
        <v>81.521739130434781</v>
      </c>
      <c r="R8" s="5">
        <f t="shared" si="1"/>
        <v>647.40409207161122</v>
      </c>
    </row>
    <row r="9" spans="1:18" x14ac:dyDescent="0.25">
      <c r="A9" s="1" t="s">
        <v>62</v>
      </c>
      <c r="B9" s="1">
        <v>1030.135</v>
      </c>
      <c r="C9">
        <v>0</v>
      </c>
      <c r="D9" cm="1">
        <f t="array" ref="D9">_xlfn.LET(
  _xlpm.dates, INDEX('Elo calculation'!$C:$C, _xlfn.SEQUENCE(COUNTA('Elo calculation'!$C:$C)-2,1,2,4)),
  _xlpm.pts, INDEX('Elo calculation'!$A:$ZZ, _xlfn.SEQUENCE(COUNTA('Elo calculation'!$C:$C)-2,1,3,4), MATCH($A9,'Elo calculation'!$1:$1,0)),
  _xlpm.nbparties, SUMPRODUCT(--(_xlpm.dates &lt;= EOMONTH(D$1,0)), --(_xlpm.dates &gt;= D$1), --(_xlpm.pts &lt;&gt; "")),
  _xlpm.nbparties
)</f>
        <v>2</v>
      </c>
      <c r="E9" cm="1">
        <f t="array" ref="E9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MATCH($A9, 'Elo calculation'!$1:$1, 0),
    INDEX('Elo calculation'!$A:$ZZ, _xlpm.ligdate + 4, _xlpm.coljoueur)
)</f>
        <v>938.49433816478961</v>
      </c>
      <c r="F9" cm="1">
        <f t="array" ref="F9">_xlfn.LET(
  _xlpm.vals, _xlfn._xlws.FILTER(E:E, (D:D&gt;0)*(ISNUMBER(E:E)), ""),
  _xlpm.nPlus,  SUM(--(_xlpm.vals &gt; E9)),
  _xlpm.nEgal,  SUM(--(_xlpm.vals = E9)),
  _xlpm.res,  1 + _xlpm.nPlus + (_xlpm.nEgal - 1) / 2,
  IF(D9=0, "", _xlpm.res)
)</f>
        <v>18</v>
      </c>
      <c r="G9" s="5" cm="1">
        <f t="array" ref="G9">_xlfn.LET(
  _xlpm.ming, Constantes!$B$8,
  _xlpm.maxmma, Constantes!$B$6,
  _xlpm.minmma, Constantes!$B$7,
  _xlpm.maxp, MAX(_xlfn._xlws.FILTER(F:F, ISNUMBER(F:F))),
  _xlpm.place, IF(F9="", _xlpm.maxp, F9),
  MIN(_xlpm.ming,D9)/_xlpm.ming * ((_xlpm.maxp - _xlpm.place) / (_xlpm.maxp - 1) * (_xlpm.maxmma - _xlpm.minmma) + _xlpm.minmma)
)</f>
        <v>97</v>
      </c>
      <c r="H9" s="5">
        <f t="shared" ref="H9" si="4">C9+G9</f>
        <v>97</v>
      </c>
      <c r="I9" cm="1">
        <f t="array" ref="I9">_xlfn.LET(
  _xlpm.dates, INDEX('Elo calculation'!$C:$C, _xlfn.SEQUENCE(COUNTA('Elo calculation'!$C:$C)-2,1,2,4)),
  _xlpm.pts, INDEX('Elo calculation'!$A:$ZZ, _xlfn.SEQUENCE(COUNTA('Elo calculation'!$C:$C)-2,1,3,4), MATCH($A9,'Elo calculation'!$1:$1,0)),
  _xlpm.nbparties, SUMPRODUCT(--(_xlpm.dates &lt;= EOMONTH(I$1,0)), --(_xlpm.dates &gt;= I$1), --(_xlpm.pts &lt;&gt; "")),
  _xlpm.nbparties
)</f>
        <v>6</v>
      </c>
      <c r="J9" cm="1">
        <f t="array" ref="J9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MATCH($A9, 'Elo calculation'!$1:$1, 0),
    INDEX('Elo calculation'!$A:$ZZ, _xlpm.ligdate + 4, _xlpm.coljoueur)
)</f>
        <v>1032.4323210923594</v>
      </c>
      <c r="K9" cm="1">
        <f t="array" ref="K9">_xlfn.LET(
  _xlpm.vals, _xlfn._xlws.FILTER(J:J, (I:I&gt;0)*(ISNUMBER(J:J)), ""),
  _xlpm.nPlus,  SUM(--(_xlpm.vals &gt; J9)),
  _xlpm.nEgal,  SUM(--(_xlpm.vals = J9)),
  _xlpm.res,  1 + _xlpm.nPlus + (_xlpm.nEgal - 1) / 2,
  IF(I9=0, "", _xlpm.res)
)</f>
        <v>12</v>
      </c>
      <c r="L9" s="5" cm="1">
        <f t="array" ref="L9">_xlfn.LET(
  _xlpm.ming, Constantes!$B$8,
  _xlpm.maxmma, Constantes!$B$6,
  _xlpm.minmma, Constantes!$B$7,
  _xlpm.maxp, MAX(_xlfn._xlws.FILTER(K:K, ISNUMBER(K:K))),
  _xlpm.place, IF(K9="", _xlpm.maxp, K9),
  MIN(_xlpm.ming,I9)/_xlpm.ming * ((_xlpm.maxp - _xlpm.place) / (_xlpm.maxp - 1) * (_xlpm.maxmma - _xlpm.minmma) + _xlpm.minmma)
)</f>
        <v>354.41176470588238</v>
      </c>
      <c r="M9" s="5">
        <f t="shared" si="0"/>
        <v>451.41176470588238</v>
      </c>
      <c r="N9" cm="1">
        <f t="array" ref="N9">_xlfn.LET(
  _xlpm.dates, INDEX('Elo calculation'!$C:$C, _xlfn.SEQUENCE(COUNTA('Elo calculation'!$C:$C)-2,1,2,4)),
  _xlpm.pts, INDEX('Elo calculation'!$A:$ZZ, _xlfn.SEQUENCE(COUNTA('Elo calculation'!$C:$C)-2,1,3,4), MATCH($A9,'Elo calculation'!$1:$1,0)),
  _xlpm.nbparties, SUMPRODUCT(--(_xlpm.dates &lt;= EOMONTH(N$1,0)), --(_xlpm.dates &gt;= N$1), --(_xlpm.pts &lt;&gt; "")),
  _xlpm.nbparties
)</f>
        <v>5</v>
      </c>
      <c r="O9" cm="1">
        <f t="array" ref="O9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MATCH($A9, 'Elo calculation'!$1:$1, 0),
    INDEX('Elo calculation'!$A:$ZZ, _xlpm.ligdate + 4, _xlpm.coljoueur)
)</f>
        <v>977.48380243972645</v>
      </c>
      <c r="P9" cm="1">
        <f t="array" ref="P9">_xlfn.LET(
  _xlpm.vals, _xlfn._xlws.FILTER(O:O, (N:N&gt;0)*(ISNUMBER(O:O)), ""),
  _xlpm.nPlus,  SUM(--(_xlpm.vals &gt; O9)),
  _xlpm.nEgal,  SUM(--(_xlpm.vals = O9)),
  _xlpm.res,  1 + _xlpm.nPlus + (_xlpm.nEgal - 1) / 2,
  IF(N9=0, "", _xlpm.res)
)</f>
        <v>13</v>
      </c>
      <c r="Q9" s="5" cm="1">
        <f t="array" ref="Q9">_xlfn.LET(
  _xlpm.ming, Constantes!$B$8,
  _xlpm.maxmma, Constantes!$B$6,
  _xlpm.minmma, Constantes!$B$7,
  _xlpm.maxp, MAX(_xlfn._xlws.FILTER(P:P, ISNUMBER(P:P))),
  _xlpm.place, IF(P9="", _xlpm.maxp, P9),
  MIN(_xlpm.ming,N9)/_xlpm.ming * ((_xlpm.maxp - _xlpm.place) / (_xlpm.maxp - 1) * (_xlpm.maxmma - _xlpm.minmma) + _xlpm.minmma)
)</f>
        <v>265.21739130434787</v>
      </c>
      <c r="R9" s="5">
        <f t="shared" si="1"/>
        <v>716.62915601023019</v>
      </c>
    </row>
    <row r="10" spans="1:18" x14ac:dyDescent="0.25">
      <c r="A10" s="1" t="s">
        <v>43</v>
      </c>
      <c r="B10" s="1">
        <v>923.36</v>
      </c>
      <c r="C10">
        <v>0</v>
      </c>
      <c r="D10" cm="1">
        <f t="array" ref="D10">_xlfn.LET(
  _xlpm.dates, INDEX('Elo calculation'!$C:$C, _xlfn.SEQUENCE(COUNTA('Elo calculation'!$C:$C)-2,1,2,4)),
  _xlpm.pts, INDEX('Elo calculation'!$A:$ZZ, _xlfn.SEQUENCE(COUNTA('Elo calculation'!$C:$C)-2,1,3,4), MATCH($A10,'Elo calculation'!$1:$1,0)),
  _xlpm.nbparties, SUMPRODUCT(--(_xlpm.dates &lt;= EOMONTH(D$1,0)), --(_xlpm.dates &gt;= D$1), --(_xlpm.pts &lt;&gt; "")),
  _xlpm.nbparties
)</f>
        <v>4</v>
      </c>
      <c r="E10" cm="1">
        <f t="array" ref="E10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MATCH($A10, 'Elo calculation'!$1:$1, 0),
    INDEX('Elo calculation'!$A:$ZZ, _xlpm.ligdate + 4, _xlpm.coljoueur)
)</f>
        <v>907.51653081539087</v>
      </c>
      <c r="F10" cm="1">
        <f t="array" ref="F10">_xlfn.LET(
  _xlpm.vals, _xlfn._xlws.FILTER(E:E, (D:D&gt;0)*(ISNUMBER(E:E)), ""),
  _xlpm.nPlus,  SUM(--(_xlpm.vals &gt; E10)),
  _xlpm.nEgal,  SUM(--(_xlpm.vals = E10)),
  _xlpm.res,  1 + _xlpm.nPlus + (_xlpm.nEgal - 1) / 2,
  IF(D10=0, "", _xlpm.res)
)</f>
        <v>21</v>
      </c>
      <c r="G10" s="5" cm="1">
        <f t="array" ref="G10">_xlfn.LET(
  _xlpm.ming, Constantes!$B$8,
  _xlpm.maxmma, Constantes!$B$6,
  _xlpm.minmma, Constantes!$B$7,
  _xlpm.maxp, MAX(_xlfn._xlws.FILTER(F:F, ISNUMBER(F:F))),
  _xlpm.place, IF(F10="", _xlpm.maxp, F10),
  MIN(_xlpm.ming,D10)/_xlpm.ming * ((_xlpm.maxp - _xlpm.place) / (_xlpm.maxp - 1) * (_xlpm.maxmma - _xlpm.minmma) + _xlpm.minmma)
)</f>
        <v>140</v>
      </c>
      <c r="H10" s="5">
        <f t="shared" ref="H10" si="5">C10+G10</f>
        <v>140</v>
      </c>
      <c r="I10" cm="1">
        <f t="array" ref="I10">_xlfn.LET(
  _xlpm.dates, INDEX('Elo calculation'!$C:$C, _xlfn.SEQUENCE(COUNTA('Elo calculation'!$C:$C)-2,1,2,4)),
  _xlpm.pts, INDEX('Elo calculation'!$A:$ZZ, _xlfn.SEQUENCE(COUNTA('Elo calculation'!$C:$C)-2,1,3,4), MATCH($A10,'Elo calculation'!$1:$1,0)),
  _xlpm.nbparties, SUMPRODUCT(--(_xlpm.dates &lt;= EOMONTH(I$1,0)), --(_xlpm.dates &gt;= I$1), --(_xlpm.pts &lt;&gt; "")),
  _xlpm.nbparties
)</f>
        <v>6</v>
      </c>
      <c r="J10" cm="1">
        <f t="array" ref="J10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MATCH($A10, 'Elo calculation'!$1:$1, 0),
    INDEX('Elo calculation'!$A:$ZZ, _xlpm.ligdate + 4, _xlpm.coljoueur)
)</f>
        <v>1076.8546837336262</v>
      </c>
      <c r="K10" cm="1">
        <f t="array" ref="K10">_xlfn.LET(
  _xlpm.vals, _xlfn._xlws.FILTER(J:J, (I:I&gt;0)*(ISNUMBER(J:J)), ""),
  _xlpm.nPlus,  SUM(--(_xlpm.vals &gt; J10)),
  _xlpm.nEgal,  SUM(--(_xlpm.vals = J10)),
  _xlpm.res,  1 + _xlpm.nPlus + (_xlpm.nEgal - 1) / 2,
  IF(I10=0, "", _xlpm.res)
)</f>
        <v>7</v>
      </c>
      <c r="L10" s="5" cm="1">
        <f t="array" ref="L10">_xlfn.LET(
  _xlpm.ming, Constantes!$B$8,
  _xlpm.maxmma, Constantes!$B$6,
  _xlpm.minmma, Constantes!$B$7,
  _xlpm.maxp, MAX(_xlfn._xlws.FILTER(K:K, ISNUMBER(K:K))),
  _xlpm.place, IF(K10="", _xlpm.maxp, K10),
  MIN(_xlpm.ming,I10)/_xlpm.ming * ((_xlpm.maxp - _xlpm.place) / (_xlpm.maxp - 1) * (_xlpm.maxmma - _xlpm.minmma) + _xlpm.minmma)
)</f>
        <v>420.58823529411762</v>
      </c>
      <c r="M10" s="5">
        <f t="shared" si="0"/>
        <v>560.58823529411757</v>
      </c>
      <c r="N10" cm="1">
        <f t="array" ref="N10">_xlfn.LET(
  _xlpm.dates, INDEX('Elo calculation'!$C:$C, _xlfn.SEQUENCE(COUNTA('Elo calculation'!$C:$C)-2,1,2,4)),
  _xlpm.pts, INDEX('Elo calculation'!$A:$ZZ, _xlfn.SEQUENCE(COUNTA('Elo calculation'!$C:$C)-2,1,3,4), MATCH($A10,'Elo calculation'!$1:$1,0)),
  _xlpm.nbparties, SUMPRODUCT(--(_xlpm.dates &lt;= EOMONTH(N$1,0)), --(_xlpm.dates &gt;= N$1), --(_xlpm.pts &lt;&gt; "")),
  _xlpm.nbparties
)</f>
        <v>2</v>
      </c>
      <c r="O10" cm="1">
        <f t="array" ref="O10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MATCH($A10, 'Elo calculation'!$1:$1, 0),
    INDEX('Elo calculation'!$A:$ZZ, _xlpm.ligdate + 4, _xlpm.coljoueur)
)</f>
        <v>1062.2548360982171</v>
      </c>
      <c r="P10" cm="1">
        <f t="array" ref="P10">_xlfn.LET(
  _xlpm.vals, _xlfn._xlws.FILTER(O:O, (N:N&gt;0)*(ISNUMBER(O:O)), ""),
  _xlpm.nPlus,  SUM(--(_xlpm.vals &gt; O10)),
  _xlpm.nEgal,  SUM(--(_xlpm.vals = O10)),
  _xlpm.res,  1 + _xlpm.nPlus + (_xlpm.nEgal - 1) / 2,
  IF(N10=0, "", _xlpm.res)
)</f>
        <v>6</v>
      </c>
      <c r="Q10" s="5" cm="1">
        <f t="array" ref="Q10">_xlfn.LET(
  _xlpm.ming, Constantes!$B$8,
  _xlpm.maxmma, Constantes!$B$6,
  _xlpm.minmma, Constantes!$B$7,
  _xlpm.maxp, MAX(_xlfn._xlws.FILTER(P:P, ISNUMBER(P:P))),
  _xlpm.place, IF(P10="", _xlpm.maxp, P10),
  MIN(_xlpm.ming,N10)/_xlpm.ming * ((_xlpm.maxp - _xlpm.place) / (_xlpm.maxp - 1) * (_xlpm.maxmma - _xlpm.minmma) + _xlpm.minmma)
)</f>
        <v>201.08695652173913</v>
      </c>
      <c r="R10" s="5">
        <f t="shared" si="1"/>
        <v>761.67519181585669</v>
      </c>
    </row>
    <row r="11" spans="1:18" x14ac:dyDescent="0.25">
      <c r="A11" s="1" t="s">
        <v>44</v>
      </c>
      <c r="B11" s="1">
        <v>1000</v>
      </c>
      <c r="C11">
        <v>0</v>
      </c>
      <c r="D11" cm="1">
        <f t="array" ref="D11">_xlfn.LET(
  _xlpm.dates, INDEX('Elo calculation'!$C:$C, _xlfn.SEQUENCE(COUNTA('Elo calculation'!$C:$C)-2,1,2,4)),
  _xlpm.pts, INDEX('Elo calculation'!$A:$ZZ, _xlfn.SEQUENCE(COUNTA('Elo calculation'!$C:$C)-2,1,3,4), MATCH($A11,'Elo calculation'!$1:$1,0)),
  _xlpm.nbparties, SUMPRODUCT(--(_xlpm.dates &lt;= EOMONTH(D$1,0)), --(_xlpm.dates &gt;= D$1), --(_xlpm.pts &lt;&gt; "")),
  _xlpm.nbparties
)</f>
        <v>5</v>
      </c>
      <c r="E11" cm="1">
        <f t="array" ref="E11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MATCH($A11, 'Elo calculation'!$1:$1, 0),
    INDEX('Elo calculation'!$A:$ZZ, _xlpm.ligdate + 4, _xlpm.coljoueur)
)</f>
        <v>801.48942635099877</v>
      </c>
      <c r="F11" cm="1">
        <f t="array" ref="F11">_xlfn.LET(
  _xlpm.vals, _xlfn._xlws.FILTER(E:E, (D:D&gt;0)*(ISNUMBER(E:E)), ""),
  _xlpm.nPlus,  SUM(--(_xlpm.vals &gt; E11)),
  _xlpm.nEgal,  SUM(--(_xlpm.vals = E11)),
  _xlpm.res,  1 + _xlpm.nPlus + (_xlpm.nEgal - 1) / 2,
  IF(D11=0, "", _xlpm.res)
)</f>
        <v>26</v>
      </c>
      <c r="G11" s="5" cm="1">
        <f t="array" ref="G11">_xlfn.LET(
  _xlpm.ming, Constantes!$B$8,
  _xlpm.maxmma, Constantes!$B$6,
  _xlpm.minmma, Constantes!$B$7,
  _xlpm.maxp, MAX(_xlfn._xlws.FILTER(F:F, ISNUMBER(F:F))),
  _xlpm.place, IF(F11="", _xlpm.maxp, F11),
  MIN(_xlpm.ming,D11)/_xlpm.ming * ((_xlpm.maxp - _xlpm.place) / (_xlpm.maxp - 1) * (_xlpm.maxmma - _xlpm.minmma) + _xlpm.minmma)
)</f>
        <v>50</v>
      </c>
      <c r="H11" s="5">
        <f t="shared" ref="H11" si="6">C11+G11</f>
        <v>50</v>
      </c>
      <c r="I11" cm="1">
        <f t="array" ref="I11">_xlfn.LET(
  _xlpm.dates, INDEX('Elo calculation'!$C:$C, _xlfn.SEQUENCE(COUNTA('Elo calculation'!$C:$C)-2,1,2,4)),
  _xlpm.pts, INDEX('Elo calculation'!$A:$ZZ, _xlfn.SEQUENCE(COUNTA('Elo calculation'!$C:$C)-2,1,3,4), MATCH($A11,'Elo calculation'!$1:$1,0)),
  _xlpm.nbparties, SUMPRODUCT(--(_xlpm.dates &lt;= EOMONTH(I$1,0)), --(_xlpm.dates &gt;= I$1), --(_xlpm.pts &lt;&gt; "")),
  _xlpm.nbparties
)</f>
        <v>4</v>
      </c>
      <c r="J11" cm="1">
        <f t="array" ref="J11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MATCH($A11, 'Elo calculation'!$1:$1, 0),
    INDEX('Elo calculation'!$A:$ZZ, _xlpm.ligdate + 4, _xlpm.coljoueur)
)</f>
        <v>783.12422360152641</v>
      </c>
      <c r="K11" cm="1">
        <f t="array" ref="K11">_xlfn.LET(
  _xlpm.vals, _xlfn._xlws.FILTER(J:J, (I:I&gt;0)*(ISNUMBER(J:J)), ""),
  _xlpm.nPlus,  SUM(--(_xlpm.vals &gt; J11)),
  _xlpm.nEgal,  SUM(--(_xlpm.vals = J11)),
  _xlpm.res,  1 + _xlpm.nPlus + (_xlpm.nEgal - 1) / 2,
  IF(I11=0, "", _xlpm.res)
)</f>
        <v>35</v>
      </c>
      <c r="L11" s="5" cm="1">
        <f t="array" ref="L11">_xlfn.LET(
  _xlpm.ming, Constantes!$B$8,
  _xlpm.maxmma, Constantes!$B$6,
  _xlpm.minmma, Constantes!$B$7,
  _xlpm.maxp, MAX(_xlfn._xlws.FILTER(K:K, ISNUMBER(K:K))),
  _xlpm.place, IF(K11="", _xlpm.maxp, K11),
  MIN(_xlpm.ming,I11)/_xlpm.ming * ((_xlpm.maxp - _xlpm.place) / (_xlpm.maxp - 1) * (_xlpm.maxmma - _xlpm.minmma) + _xlpm.minmma)
)</f>
        <v>50</v>
      </c>
      <c r="M11" s="5">
        <f t="shared" si="0"/>
        <v>100</v>
      </c>
      <c r="N11" cm="1">
        <f t="array" ref="N11">_xlfn.LET(
  _xlpm.dates, INDEX('Elo calculation'!$C:$C, _xlfn.SEQUENCE(COUNTA('Elo calculation'!$C:$C)-2,1,2,4)),
  _xlpm.pts, INDEX('Elo calculation'!$A:$ZZ, _xlfn.SEQUENCE(COUNTA('Elo calculation'!$C:$C)-2,1,3,4), MATCH($A11,'Elo calculation'!$1:$1,0)),
  _xlpm.nbparties, SUMPRODUCT(--(_xlpm.dates &lt;= EOMONTH(N$1,0)), --(_xlpm.dates &gt;= N$1), --(_xlpm.pts &lt;&gt; "")),
  _xlpm.nbparties
)</f>
        <v>2</v>
      </c>
      <c r="O11" cm="1">
        <f t="array" ref="O11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MATCH($A11, 'Elo calculation'!$1:$1, 0),
    INDEX('Elo calculation'!$A:$ZZ, _xlpm.ligdate + 4, _xlpm.coljoueur)
)</f>
        <v>775.39796117257981</v>
      </c>
      <c r="P11" cm="1">
        <f t="array" ref="P11">_xlfn.LET(
  _xlpm.vals, _xlfn._xlws.FILTER(O:O, (N:N&gt;0)*(ISNUMBER(O:O)), ""),
  _xlpm.nPlus,  SUM(--(_xlpm.vals &gt; O11)),
  _xlpm.nEgal,  SUM(--(_xlpm.vals = O11)),
  _xlpm.res,  1 + _xlpm.nPlus + (_xlpm.nEgal - 1) / 2,
  IF(N11=0, "", _xlpm.res)
)</f>
        <v>24</v>
      </c>
      <c r="Q11" s="5" cm="1">
        <f t="array" ref="Q11">_xlfn.LET(
  _xlpm.ming, Constantes!$B$8,
  _xlpm.maxmma, Constantes!$B$6,
  _xlpm.minmma, Constantes!$B$7,
  _xlpm.maxp, MAX(_xlfn._xlws.FILTER(P:P, ISNUMBER(P:P))),
  _xlpm.place, IF(P11="", _xlpm.maxp, P11),
  MIN(_xlpm.ming,N11)/_xlpm.ming * ((_xlpm.maxp - _xlpm.place) / (_xlpm.maxp - 1) * (_xlpm.maxmma - _xlpm.minmma) + _xlpm.minmma)
)</f>
        <v>25</v>
      </c>
      <c r="R11" s="5">
        <f t="shared" si="1"/>
        <v>125</v>
      </c>
    </row>
    <row r="12" spans="1:18" x14ac:dyDescent="0.25">
      <c r="A12" s="1" t="s">
        <v>45</v>
      </c>
      <c r="B12" s="1">
        <v>1000</v>
      </c>
      <c r="C12">
        <v>0</v>
      </c>
      <c r="D12" cm="1">
        <f t="array" ref="D12">_xlfn.LET(
  _xlpm.dates, INDEX('Elo calculation'!$C:$C, _xlfn.SEQUENCE(COUNTA('Elo calculation'!$C:$C)-2,1,2,4)),
  _xlpm.pts, INDEX('Elo calculation'!$A:$ZZ, _xlfn.SEQUENCE(COUNTA('Elo calculation'!$C:$C)-2,1,3,4), MATCH($A12,'Elo calculation'!$1:$1,0)),
  _xlpm.nbparties, SUMPRODUCT(--(_xlpm.dates &lt;= EOMONTH(D$1,0)), --(_xlpm.dates &gt;= D$1), --(_xlpm.pts &lt;&gt; "")),
  _xlpm.nbparties
)</f>
        <v>2</v>
      </c>
      <c r="E12" cm="1">
        <f t="array" ref="E12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MATCH($A12, 'Elo calculation'!$1:$1, 0),
    INDEX('Elo calculation'!$A:$ZZ, _xlpm.ligdate + 4, _xlpm.coljoueur)
)</f>
        <v>913.41986361738122</v>
      </c>
      <c r="F12" cm="1">
        <f t="array" ref="F12">_xlfn.LET(
  _xlpm.vals, _xlfn._xlws.FILTER(E:E, (D:D&gt;0)*(ISNUMBER(E:E)), ""),
  _xlpm.nPlus,  SUM(--(_xlpm.vals &gt; E12)),
  _xlpm.nEgal,  SUM(--(_xlpm.vals = E12)),
  _xlpm.res,  1 + _xlpm.nPlus + (_xlpm.nEgal - 1) / 2,
  IF(D12=0, "", _xlpm.res)
)</f>
        <v>20</v>
      </c>
      <c r="G12" s="5" cm="1">
        <f t="array" ref="G12">_xlfn.LET(
  _xlpm.ming, Constantes!$B$8,
  _xlpm.maxmma, Constantes!$B$6,
  _xlpm.minmma, Constantes!$B$7,
  _xlpm.maxp, MAX(_xlfn._xlws.FILTER(F:F, ISNUMBER(F:F))),
  _xlpm.place, IF(F12="", _xlpm.maxp, F12),
  MIN(_xlpm.ming,D12)/_xlpm.ming * ((_xlpm.maxp - _xlpm.place) / (_xlpm.maxp - 1) * (_xlpm.maxmma - _xlpm.minmma) + _xlpm.minmma)
)</f>
        <v>79</v>
      </c>
      <c r="H12" s="5">
        <f t="shared" ref="H12" si="7">C12+G12</f>
        <v>79</v>
      </c>
      <c r="I12" cm="1">
        <f t="array" ref="I12">_xlfn.LET(
  _xlpm.dates, INDEX('Elo calculation'!$C:$C, _xlfn.SEQUENCE(COUNTA('Elo calculation'!$C:$C)-2,1,2,4)),
  _xlpm.pts, INDEX('Elo calculation'!$A:$ZZ, _xlfn.SEQUENCE(COUNTA('Elo calculation'!$C:$C)-2,1,3,4), MATCH($A12,'Elo calculation'!$1:$1,0)),
  _xlpm.nbparties, SUMPRODUCT(--(_xlpm.dates &lt;= EOMONTH(I$1,0)), --(_xlpm.dates &gt;= I$1), --(_xlpm.pts &lt;&gt; "")),
  _xlpm.nbparties
)</f>
        <v>1</v>
      </c>
      <c r="J12" cm="1">
        <f t="array" ref="J12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MATCH($A12, 'Elo calculation'!$1:$1, 0),
    INDEX('Elo calculation'!$A:$ZZ, _xlpm.ligdate + 4, _xlpm.coljoueur)
)</f>
        <v>874.31051832077719</v>
      </c>
      <c r="K12" cm="1">
        <f t="array" ref="K12">_xlfn.LET(
  _xlpm.vals, _xlfn._xlws.FILTER(J:J, (I:I&gt;0)*(ISNUMBER(J:J)), ""),
  _xlpm.nPlus,  SUM(--(_xlpm.vals &gt; J12)),
  _xlpm.nEgal,  SUM(--(_xlpm.vals = J12)),
  _xlpm.res,  1 + _xlpm.nPlus + (_xlpm.nEgal - 1) / 2,
  IF(I12=0, "", _xlpm.res)
)</f>
        <v>33</v>
      </c>
      <c r="L12" s="5" cm="1">
        <f t="array" ref="L12">_xlfn.LET(
  _xlpm.ming, Constantes!$B$8,
  _xlpm.maxmma, Constantes!$B$6,
  _xlpm.minmma, Constantes!$B$7,
  _xlpm.maxp, MAX(_xlfn._xlws.FILTER(K:K, ISNUMBER(K:K))),
  _xlpm.place, IF(K12="", _xlpm.maxp, K12),
  MIN(_xlpm.ming,I12)/_xlpm.ming * ((_xlpm.maxp - _xlpm.place) / (_xlpm.maxp - 1) * (_xlpm.maxmma - _xlpm.minmma) + _xlpm.minmma)
)</f>
        <v>19.117647058823529</v>
      </c>
      <c r="M12" s="5">
        <f t="shared" si="0"/>
        <v>98.117647058823536</v>
      </c>
      <c r="N12" cm="1">
        <f t="array" ref="N12">_xlfn.LET(
  _xlpm.dates, INDEX('Elo calculation'!$C:$C, _xlfn.SEQUENCE(COUNTA('Elo calculation'!$C:$C)-2,1,2,4)),
  _xlpm.pts, INDEX('Elo calculation'!$A:$ZZ, _xlfn.SEQUENCE(COUNTA('Elo calculation'!$C:$C)-2,1,3,4), MATCH($A12,'Elo calculation'!$1:$1,0)),
  _xlpm.nbparties, SUMPRODUCT(--(_xlpm.dates &lt;= EOMONTH(N$1,0)), --(_xlpm.dates &gt;= N$1), --(_xlpm.pts &lt;&gt; "")),
  _xlpm.nbparties
)</f>
        <v>2</v>
      </c>
      <c r="O12" cm="1">
        <f t="array" ref="O12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MATCH($A12, 'Elo calculation'!$1:$1, 0),
    INDEX('Elo calculation'!$A:$ZZ, _xlpm.ligdate + 4, _xlpm.coljoueur)
)</f>
        <v>927.4581540493366</v>
      </c>
      <c r="P12" cm="1">
        <f t="array" ref="P12">_xlfn.LET(
  _xlpm.vals, _xlfn._xlws.FILTER(O:O, (N:N&gt;0)*(ISNUMBER(O:O)), ""),
  _xlpm.nPlus,  SUM(--(_xlpm.vals &gt; O12)),
  _xlpm.nEgal,  SUM(--(_xlpm.vals = O12)),
  _xlpm.res,  1 + _xlpm.nPlus + (_xlpm.nEgal - 1) / 2,
  IF(N12=0, "", _xlpm.res)
)</f>
        <v>18</v>
      </c>
      <c r="Q12" s="5" cm="1">
        <f t="array" ref="Q12">_xlfn.LET(
  _xlpm.ming, Constantes!$B$8,
  _xlpm.maxmma, Constantes!$B$6,
  _xlpm.minmma, Constantes!$B$7,
  _xlpm.maxp, MAX(_xlfn._xlws.FILTER(P:P, ISNUMBER(P:P))),
  _xlpm.place, IF(P12="", _xlpm.maxp, P12),
  MIN(_xlpm.ming,N12)/_xlpm.ming * ((_xlpm.maxp - _xlpm.place) / (_xlpm.maxp - 1) * (_xlpm.maxmma - _xlpm.minmma) + _xlpm.minmma)
)</f>
        <v>83.695652173913032</v>
      </c>
      <c r="R12" s="5">
        <f t="shared" si="1"/>
        <v>181.81329923273657</v>
      </c>
    </row>
    <row r="13" spans="1:18" x14ac:dyDescent="0.25">
      <c r="A13" s="1" t="s">
        <v>46</v>
      </c>
      <c r="B13" s="1">
        <v>884.21</v>
      </c>
      <c r="C13">
        <v>0</v>
      </c>
      <c r="D13" cm="1">
        <f t="array" ref="D13">_xlfn.LET(
  _xlpm.dates, INDEX('Elo calculation'!$C:$C, _xlfn.SEQUENCE(COUNTA('Elo calculation'!$C:$C)-2,1,2,4)),
  _xlpm.pts, INDEX('Elo calculation'!$A:$ZZ, _xlfn.SEQUENCE(COUNTA('Elo calculation'!$C:$C)-2,1,3,4), MATCH($A13,'Elo calculation'!$1:$1,0)),
  _xlpm.nbparties, SUMPRODUCT(--(_xlpm.dates &lt;= EOMONTH(D$1,0)), --(_xlpm.dates &gt;= D$1), --(_xlpm.pts &lt;&gt; "")),
  _xlpm.nbparties
)</f>
        <v>8</v>
      </c>
      <c r="E13" cm="1">
        <f t="array" ref="E13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MATCH($A13, 'Elo calculation'!$1:$1, 0),
    INDEX('Elo calculation'!$A:$ZZ, _xlpm.ligdate + 4, _xlpm.coljoueur)
)</f>
        <v>907.32507465255833</v>
      </c>
      <c r="F13" cm="1">
        <f t="array" ref="F13">_xlfn.LET(
  _xlpm.vals, _xlfn._xlws.FILTER(E:E, (D:D&gt;0)*(ISNUMBER(E:E)), ""),
  _xlpm.nPlus,  SUM(--(_xlpm.vals &gt; E13)),
  _xlpm.nEgal,  SUM(--(_xlpm.vals = E13)),
  _xlpm.res,  1 + _xlpm.nPlus + (_xlpm.nEgal - 1) / 2,
  IF(D13=0, "", _xlpm.res)
)</f>
        <v>22</v>
      </c>
      <c r="G13" s="5" cm="1">
        <f t="array" ref="G13">_xlfn.LET(
  _xlpm.ming, Constantes!$B$8,
  _xlpm.maxmma, Constantes!$B$6,
  _xlpm.minmma, Constantes!$B$7,
  _xlpm.maxp, MAX(_xlfn._xlws.FILTER(F:F, ISNUMBER(F:F))),
  _xlpm.place, IF(F13="", _xlpm.maxp, F13),
  MIN(_xlpm.ming,D13)/_xlpm.ming * ((_xlpm.maxp - _xlpm.place) / (_xlpm.maxp - 1) * (_xlpm.maxmma - _xlpm.minmma) + _xlpm.minmma)
)</f>
        <v>122</v>
      </c>
      <c r="H13" s="5">
        <f t="shared" ref="H13" si="8">C13+G13</f>
        <v>122</v>
      </c>
      <c r="I13" cm="1">
        <f t="array" ref="I13">_xlfn.LET(
  _xlpm.dates, INDEX('Elo calculation'!$C:$C, _xlfn.SEQUENCE(COUNTA('Elo calculation'!$C:$C)-2,1,2,4)),
  _xlpm.pts, INDEX('Elo calculation'!$A:$ZZ, _xlfn.SEQUENCE(COUNTA('Elo calculation'!$C:$C)-2,1,3,4), MATCH($A13,'Elo calculation'!$1:$1,0)),
  _xlpm.nbparties, SUMPRODUCT(--(_xlpm.dates &lt;= EOMONTH(I$1,0)), --(_xlpm.dates &gt;= I$1), --(_xlpm.pts &lt;&gt; "")),
  _xlpm.nbparties
)</f>
        <v>7</v>
      </c>
      <c r="J13" cm="1">
        <f t="array" ref="J13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MATCH($A13, 'Elo calculation'!$1:$1, 0),
    INDEX('Elo calculation'!$A:$ZZ, _xlpm.ligdate + 4, _xlpm.coljoueur)
)</f>
        <v>899.98370646249032</v>
      </c>
      <c r="K13" cm="1">
        <f t="array" ref="K13">_xlfn.LET(
  _xlpm.vals, _xlfn._xlws.FILTER(J:J, (I:I&gt;0)*(ISNUMBER(J:J)), ""),
  _xlpm.nPlus,  SUM(--(_xlpm.vals &gt; J13)),
  _xlpm.nEgal,  SUM(--(_xlpm.vals = J13)),
  _xlpm.res,  1 + _xlpm.nPlus + (_xlpm.nEgal - 1) / 2,
  IF(I13=0, "", _xlpm.res)
)</f>
        <v>31</v>
      </c>
      <c r="L13" s="5" cm="1">
        <f t="array" ref="L13">_xlfn.LET(
  _xlpm.ming, Constantes!$B$8,
  _xlpm.maxmma, Constantes!$B$6,
  _xlpm.minmma, Constantes!$B$7,
  _xlpm.maxp, MAX(_xlfn._xlws.FILTER(K:K, ISNUMBER(K:K))),
  _xlpm.place, IF(K13="", _xlpm.maxp, K13),
  MIN(_xlpm.ming,I13)/_xlpm.ming * ((_xlpm.maxp - _xlpm.place) / (_xlpm.maxp - 1) * (_xlpm.maxmma - _xlpm.minmma) + _xlpm.minmma)
)</f>
        <v>102.94117647058823</v>
      </c>
      <c r="M13" s="5">
        <f t="shared" si="0"/>
        <v>224.94117647058823</v>
      </c>
      <c r="N13" cm="1">
        <f t="array" ref="N13">_xlfn.LET(
  _xlpm.dates, INDEX('Elo calculation'!$C:$C, _xlfn.SEQUENCE(COUNTA('Elo calculation'!$C:$C)-2,1,2,4)),
  _xlpm.pts, INDEX('Elo calculation'!$A:$ZZ, _xlfn.SEQUENCE(COUNTA('Elo calculation'!$C:$C)-2,1,3,4), MATCH($A13,'Elo calculation'!$1:$1,0)),
  _xlpm.nbparties, SUMPRODUCT(--(_xlpm.dates &lt;= EOMONTH(N$1,0)), --(_xlpm.dates &gt;= N$1), --(_xlpm.pts &lt;&gt; "")),
  _xlpm.nbparties
)</f>
        <v>1</v>
      </c>
      <c r="O13" cm="1">
        <f t="array" ref="O13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MATCH($A13, 'Elo calculation'!$1:$1, 0),
    INDEX('Elo calculation'!$A:$ZZ, _xlpm.ligdate + 4, _xlpm.coljoueur)
)</f>
        <v>878.15153649009756</v>
      </c>
      <c r="P13" cm="1">
        <f t="array" ref="P13">_xlfn.LET(
  _xlpm.vals, _xlfn._xlws.FILTER(O:O, (N:N&gt;0)*(ISNUMBER(O:O)), ""),
  _xlpm.nPlus,  SUM(--(_xlpm.vals &gt; O13)),
  _xlpm.nEgal,  SUM(--(_xlpm.vals = O13)),
  _xlpm.res,  1 + _xlpm.nPlus + (_xlpm.nEgal - 1) / 2,
  IF(N13=0, "", _xlpm.res)
)</f>
        <v>22</v>
      </c>
      <c r="Q13" s="5" cm="1">
        <f t="array" ref="Q13">_xlfn.LET(
  _xlpm.ming, Constantes!$B$8,
  _xlpm.maxmma, Constantes!$B$6,
  _xlpm.minmma, Constantes!$B$7,
  _xlpm.maxp, MAX(_xlfn._xlws.FILTER(P:P, ISNUMBER(P:P))),
  _xlpm.place, IF(P13="", _xlpm.maxp, P13),
  MIN(_xlpm.ming,N13)/_xlpm.ming * ((_xlpm.maxp - _xlpm.place) / (_xlpm.maxp - 1) * (_xlpm.maxmma - _xlpm.minmma) + _xlpm.minmma)
)</f>
        <v>22.282608695652172</v>
      </c>
      <c r="R13" s="5">
        <f t="shared" si="1"/>
        <v>247.22378516624042</v>
      </c>
    </row>
    <row r="14" spans="1:18" x14ac:dyDescent="0.25">
      <c r="A14" s="1" t="s">
        <v>47</v>
      </c>
      <c r="B14" s="1">
        <v>1000</v>
      </c>
      <c r="C14">
        <v>0</v>
      </c>
      <c r="D14" cm="1">
        <f t="array" ref="D14">_xlfn.LET(
  _xlpm.dates, INDEX('Elo calculation'!$C:$C, _xlfn.SEQUENCE(COUNTA('Elo calculation'!$C:$C)-2,1,2,4)),
  _xlpm.pts, INDEX('Elo calculation'!$A:$ZZ, _xlfn.SEQUENCE(COUNTA('Elo calculation'!$C:$C)-2,1,3,4), MATCH($A14,'Elo calculation'!$1:$1,0)),
  _xlpm.nbparties, SUMPRODUCT(--(_xlpm.dates &lt;= EOMONTH(D$1,0)), --(_xlpm.dates &gt;= D$1), --(_xlpm.pts &lt;&gt; "")),
  _xlpm.nbparties
)</f>
        <v>3</v>
      </c>
      <c r="E14" cm="1">
        <f t="array" ref="E14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MATCH($A14, 'Elo calculation'!$1:$1, 0),
    INDEX('Elo calculation'!$A:$ZZ, _xlpm.ligdate + 4, _xlpm.coljoueur)
)</f>
        <v>1005.4306950475848</v>
      </c>
      <c r="F14" cm="1">
        <f t="array" ref="F14">_xlfn.LET(
  _xlpm.vals, _xlfn._xlws.FILTER(E:E, (D:D&gt;0)*(ISNUMBER(E:E)), ""),
  _xlpm.nPlus,  SUM(--(_xlpm.vals &gt; E14)),
  _xlpm.nEgal,  SUM(--(_xlpm.vals = E14)),
  _xlpm.res,  1 + _xlpm.nPlus + (_xlpm.nEgal - 1) / 2,
  IF(D14=0, "", _xlpm.res)
)</f>
        <v>11</v>
      </c>
      <c r="G14" s="5" cm="1">
        <f t="array" ref="G14">_xlfn.LET(
  _xlpm.ming, Constantes!$B$8,
  _xlpm.maxmma, Constantes!$B$6,
  _xlpm.minmma, Constantes!$B$7,
  _xlpm.maxp, MAX(_xlfn._xlws.FILTER(F:F, ISNUMBER(F:F))),
  _xlpm.place, IF(F14="", _xlpm.maxp, F14),
  MIN(_xlpm.ming,D14)/_xlpm.ming * ((_xlpm.maxp - _xlpm.place) / (_xlpm.maxp - 1) * (_xlpm.maxmma - _xlpm.minmma) + _xlpm.minmma)
)</f>
        <v>240</v>
      </c>
      <c r="H14" s="5">
        <f t="shared" ref="H14" si="9">C14+G14</f>
        <v>240</v>
      </c>
      <c r="I14" cm="1">
        <f t="array" ref="I14">_xlfn.LET(
  _xlpm.dates, INDEX('Elo calculation'!$C:$C, _xlfn.SEQUENCE(COUNTA('Elo calculation'!$C:$C)-2,1,2,4)),
  _xlpm.pts, INDEX('Elo calculation'!$A:$ZZ, _xlfn.SEQUENCE(COUNTA('Elo calculation'!$C:$C)-2,1,3,4), MATCH($A14,'Elo calculation'!$1:$1,0)),
  _xlpm.nbparties, SUMPRODUCT(--(_xlpm.dates &lt;= EOMONTH(I$1,0)), --(_xlpm.dates &gt;= I$1), --(_xlpm.pts &lt;&gt; "")),
  _xlpm.nbparties
)</f>
        <v>6</v>
      </c>
      <c r="J14" cm="1">
        <f t="array" ref="J14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MATCH($A14, 'Elo calculation'!$1:$1, 0),
    INDEX('Elo calculation'!$A:$ZZ, _xlpm.ligdate + 4, _xlpm.coljoueur)
)</f>
        <v>997.04050320786712</v>
      </c>
      <c r="K14" cm="1">
        <f t="array" ref="K14">_xlfn.LET(
  _xlpm.vals, _xlfn._xlws.FILTER(J:J, (I:I&gt;0)*(ISNUMBER(J:J)), ""),
  _xlpm.nPlus,  SUM(--(_xlpm.vals &gt; J14)),
  _xlpm.nEgal,  SUM(--(_xlpm.vals = J14)),
  _xlpm.res,  1 + _xlpm.nPlus + (_xlpm.nEgal - 1) / 2,
  IF(I14=0, "", _xlpm.res)
)</f>
        <v>15</v>
      </c>
      <c r="L14" s="5" cm="1">
        <f t="array" ref="L14">_xlfn.LET(
  _xlpm.ming, Constantes!$B$8,
  _xlpm.maxmma, Constantes!$B$6,
  _xlpm.minmma, Constantes!$B$7,
  _xlpm.maxp, MAX(_xlfn._xlws.FILTER(K:K, ISNUMBER(K:K))),
  _xlpm.place, IF(K14="", _xlpm.maxp, K14),
  MIN(_xlpm.ming,I14)/_xlpm.ming * ((_xlpm.maxp - _xlpm.place) / (_xlpm.maxp - 1) * (_xlpm.maxmma - _xlpm.minmma) + _xlpm.minmma)
)</f>
        <v>314.70588235294116</v>
      </c>
      <c r="M14" s="5">
        <f t="shared" si="0"/>
        <v>554.70588235294122</v>
      </c>
      <c r="N14" cm="1">
        <f t="array" ref="N14">_xlfn.LET(
  _xlpm.dates, INDEX('Elo calculation'!$C:$C, _xlfn.SEQUENCE(COUNTA('Elo calculation'!$C:$C)-2,1,2,4)),
  _xlpm.pts, INDEX('Elo calculation'!$A:$ZZ, _xlfn.SEQUENCE(COUNTA('Elo calculation'!$C:$C)-2,1,3,4), MATCH($A14,'Elo calculation'!$1:$1,0)),
  _xlpm.nbparties, SUMPRODUCT(--(_xlpm.dates &lt;= EOMONTH(N$1,0)), --(_xlpm.dates &gt;= N$1), --(_xlpm.pts &lt;&gt; "")),
  _xlpm.nbparties
)</f>
        <v>0</v>
      </c>
      <c r="O14" cm="1">
        <f t="array" ref="O14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MATCH($A14, 'Elo calculation'!$1:$1, 0),
    INDEX('Elo calculation'!$A:$ZZ, _xlpm.ligdate + 4, _xlpm.coljoueur)
)</f>
        <v>997.04050320786712</v>
      </c>
      <c r="P14" t="str" cm="1">
        <f t="array" ref="P14">_xlfn.LET(
  _xlpm.vals, _xlfn._xlws.FILTER(O:O, (N:N&gt;0)*(ISNUMBER(O:O)), ""),
  _xlpm.nPlus,  SUM(--(_xlpm.vals &gt; O14)),
  _xlpm.nEgal,  SUM(--(_xlpm.vals = O14)),
  _xlpm.res,  1 + _xlpm.nPlus + (_xlpm.nEgal - 1) / 2,
  IF(N14=0, "", _xlpm.res)
)</f>
        <v/>
      </c>
      <c r="Q14" s="5" cm="1">
        <f t="array" ref="Q14">_xlfn.LET(
  _xlpm.ming, Constantes!$B$8,
  _xlpm.maxmma, Constantes!$B$6,
  _xlpm.minmma, Constantes!$B$7,
  _xlpm.maxp, MAX(_xlfn._xlws.FILTER(P:P, ISNUMBER(P:P))),
  _xlpm.place, IF(P14="", _xlpm.maxp, P14),
  MIN(_xlpm.ming,N14)/_xlpm.ming * ((_xlpm.maxp - _xlpm.place) / (_xlpm.maxp - 1) * (_xlpm.maxmma - _xlpm.minmma) + _xlpm.minmma)
)</f>
        <v>0</v>
      </c>
      <c r="R14" s="5">
        <f t="shared" si="1"/>
        <v>554.70588235294122</v>
      </c>
    </row>
    <row r="15" spans="1:18" x14ac:dyDescent="0.25">
      <c r="A15" s="1" t="s">
        <v>48</v>
      </c>
      <c r="B15" s="1">
        <v>993.13499999999999</v>
      </c>
      <c r="C15">
        <v>0</v>
      </c>
      <c r="D15" cm="1">
        <f t="array" ref="D15">_xlfn.LET(
  _xlpm.dates, INDEX('Elo calculation'!$C:$C, _xlfn.SEQUENCE(COUNTA('Elo calculation'!$C:$C)-2,1,2,4)),
  _xlpm.pts, INDEX('Elo calculation'!$A:$ZZ, _xlfn.SEQUENCE(COUNTA('Elo calculation'!$C:$C)-2,1,3,4), MATCH($A15,'Elo calculation'!$1:$1,0)),
  _xlpm.nbparties, SUMPRODUCT(--(_xlpm.dates &lt;= EOMONTH(D$1,0)), --(_xlpm.dates &gt;= D$1), --(_xlpm.pts &lt;&gt; "")),
  _xlpm.nbparties
)</f>
        <v>7</v>
      </c>
      <c r="E15" cm="1">
        <f t="array" ref="E15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MATCH($A15, 'Elo calculation'!$1:$1, 0),
    INDEX('Elo calculation'!$A:$ZZ, _xlpm.ligdate + 4, _xlpm.coljoueur)
)</f>
        <v>1005.4229961505649</v>
      </c>
      <c r="F15" cm="1">
        <f t="array" ref="F15">_xlfn.LET(
  _xlpm.vals, _xlfn._xlws.FILTER(E:E, (D:D&gt;0)*(ISNUMBER(E:E)), ""),
  _xlpm.nPlus,  SUM(--(_xlpm.vals &gt; E15)),
  _xlpm.nEgal,  SUM(--(_xlpm.vals = E15)),
  _xlpm.res,  1 + _xlpm.nPlus + (_xlpm.nEgal - 1) / 2,
  IF(D15=0, "", _xlpm.res)
)</f>
        <v>12</v>
      </c>
      <c r="G15" s="5" cm="1">
        <f t="array" ref="G15">_xlfn.LET(
  _xlpm.ming, Constantes!$B$8,
  _xlpm.maxmma, Constantes!$B$6,
  _xlpm.minmma, Constantes!$B$7,
  _xlpm.maxp, MAX(_xlfn._xlws.FILTER(F:F, ISNUMBER(F:F))),
  _xlpm.place, IF(F15="", _xlpm.maxp, F15),
  MIN(_xlpm.ming,D15)/_xlpm.ming * ((_xlpm.maxp - _xlpm.place) / (_xlpm.maxp - 1) * (_xlpm.maxmma - _xlpm.minmma) + _xlpm.minmma)
)</f>
        <v>302</v>
      </c>
      <c r="H15" s="5">
        <f t="shared" ref="H15" si="10">C15+G15</f>
        <v>302</v>
      </c>
      <c r="I15" cm="1">
        <f t="array" ref="I15">_xlfn.LET(
  _xlpm.dates, INDEX('Elo calculation'!$C:$C, _xlfn.SEQUENCE(COUNTA('Elo calculation'!$C:$C)-2,1,2,4)),
  _xlpm.pts, INDEX('Elo calculation'!$A:$ZZ, _xlfn.SEQUENCE(COUNTA('Elo calculation'!$C:$C)-2,1,3,4), MATCH($A15,'Elo calculation'!$1:$1,0)),
  _xlpm.nbparties, SUMPRODUCT(--(_xlpm.dates &lt;= EOMONTH(I$1,0)), --(_xlpm.dates &gt;= I$1), --(_xlpm.pts &lt;&gt; "")),
  _xlpm.nbparties
)</f>
        <v>12</v>
      </c>
      <c r="J15" cm="1">
        <f t="array" ref="J15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MATCH($A15, 'Elo calculation'!$1:$1, 0),
    INDEX('Elo calculation'!$A:$ZZ, _xlpm.ligdate + 4, _xlpm.coljoueur)
)</f>
        <v>987.86278180042575</v>
      </c>
      <c r="K15" cm="1">
        <f t="array" ref="K15">_xlfn.LET(
  _xlpm.vals, _xlfn._xlws.FILTER(J:J, (I:I&gt;0)*(ISNUMBER(J:J)), ""),
  _xlpm.nPlus,  SUM(--(_xlpm.vals &gt; J15)),
  _xlpm.nEgal,  SUM(--(_xlpm.vals = J15)),
  _xlpm.res,  1 + _xlpm.nPlus + (_xlpm.nEgal - 1) / 2,
  IF(I15=0, "", _xlpm.res)
)</f>
        <v>18</v>
      </c>
      <c r="L15" s="5" cm="1">
        <f t="array" ref="L15">_xlfn.LET(
  _xlpm.ming, Constantes!$B$8,
  _xlpm.maxmma, Constantes!$B$6,
  _xlpm.minmma, Constantes!$B$7,
  _xlpm.maxp, MAX(_xlfn._xlws.FILTER(K:K, ISNUMBER(K:K))),
  _xlpm.place, IF(K15="", _xlpm.maxp, K15),
  MIN(_xlpm.ming,I15)/_xlpm.ming * ((_xlpm.maxp - _xlpm.place) / (_xlpm.maxp - 1) * (_xlpm.maxmma - _xlpm.minmma) + _xlpm.minmma)
)</f>
        <v>275</v>
      </c>
      <c r="M15" s="5">
        <f t="shared" si="0"/>
        <v>577</v>
      </c>
      <c r="N15" cm="1">
        <f t="array" ref="N15">_xlfn.LET(
  _xlpm.dates, INDEX('Elo calculation'!$C:$C, _xlfn.SEQUENCE(COUNTA('Elo calculation'!$C:$C)-2,1,2,4)),
  _xlpm.pts, INDEX('Elo calculation'!$A:$ZZ, _xlfn.SEQUENCE(COUNTA('Elo calculation'!$C:$C)-2,1,3,4), MATCH($A15,'Elo calculation'!$1:$1,0)),
  _xlpm.nbparties, SUMPRODUCT(--(_xlpm.dates &lt;= EOMONTH(N$1,0)), --(_xlpm.dates &gt;= N$1), --(_xlpm.pts &lt;&gt; "")),
  _xlpm.nbparties
)</f>
        <v>2</v>
      </c>
      <c r="O15" cm="1">
        <f t="array" ref="O15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MATCH($A15, 'Elo calculation'!$1:$1, 0),
    INDEX('Elo calculation'!$A:$ZZ, _xlpm.ligdate + 4, _xlpm.coljoueur)
)</f>
        <v>991.32095208442081</v>
      </c>
      <c r="P15" cm="1">
        <f t="array" ref="P15">_xlfn.LET(
  _xlpm.vals, _xlfn._xlws.FILTER(O:O, (N:N&gt;0)*(ISNUMBER(O:O)), ""),
  _xlpm.nPlus,  SUM(--(_xlpm.vals &gt; O15)),
  _xlpm.nEgal,  SUM(--(_xlpm.vals = O15)),
  _xlpm.res,  1 + _xlpm.nPlus + (_xlpm.nEgal - 1) / 2,
  IF(N15=0, "", _xlpm.res)
)</f>
        <v>12</v>
      </c>
      <c r="Q15" s="5" cm="1">
        <f t="array" ref="Q15">_xlfn.LET(
  _xlpm.ming, Constantes!$B$8,
  _xlpm.maxmma, Constantes!$B$6,
  _xlpm.minmma, Constantes!$B$7,
  _xlpm.maxp, MAX(_xlfn._xlws.FILTER(P:P, ISNUMBER(P:P))),
  _xlpm.place, IF(P15="", _xlpm.maxp, P15),
  MIN(_xlpm.ming,N15)/_xlpm.ming * ((_xlpm.maxp - _xlpm.place) / (_xlpm.maxp - 1) * (_xlpm.maxmma - _xlpm.minmma) + _xlpm.minmma)
)</f>
        <v>142.39130434782606</v>
      </c>
      <c r="R15" s="5">
        <f t="shared" si="1"/>
        <v>719.39130434782601</v>
      </c>
    </row>
    <row r="16" spans="1:18" x14ac:dyDescent="0.25">
      <c r="A16" s="1" t="s">
        <v>71</v>
      </c>
      <c r="B16" s="1">
        <v>949.40499999999997</v>
      </c>
      <c r="C16">
        <v>0</v>
      </c>
      <c r="D16" cm="1">
        <f t="array" ref="D16">_xlfn.LET(
  _xlpm.dates, INDEX('Elo calculation'!$C:$C, _xlfn.SEQUENCE(COUNTA('Elo calculation'!$C:$C)-2,1,2,4)),
  _xlpm.pts, INDEX('Elo calculation'!$A:$ZZ, _xlfn.SEQUENCE(COUNTA('Elo calculation'!$C:$C)-2,1,3,4), MATCH($A16,'Elo calculation'!$1:$1,0)),
  _xlpm.nbparties, SUMPRODUCT(--(_xlpm.dates &lt;= EOMONTH(D$1,0)), --(_xlpm.dates &gt;= D$1), --(_xlpm.pts &lt;&gt; "")),
  _xlpm.nbparties
)</f>
        <v>10</v>
      </c>
      <c r="E16" cm="1">
        <f t="array" ref="E16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MATCH($A16, 'Elo calculation'!$1:$1, 0),
    INDEX('Elo calculation'!$A:$ZZ, _xlpm.ligdate + 4, _xlpm.coljoueur)
)</f>
        <v>1106.4752332192195</v>
      </c>
      <c r="F16" cm="1">
        <f t="array" ref="F16">_xlfn.LET(
  _xlpm.vals, _xlfn._xlws.FILTER(E:E, (D:D&gt;0)*(ISNUMBER(E:E)), ""),
  _xlpm.nPlus,  SUM(--(_xlpm.vals &gt; E16)),
  _xlpm.nEgal,  SUM(--(_xlpm.vals = E16)),
  _xlpm.res,  1 + _xlpm.nPlus + (_xlpm.nEgal - 1) / 2,
  IF(D16=0, "", _xlpm.res)
)</f>
        <v>3</v>
      </c>
      <c r="G16" s="5" cm="1">
        <f t="array" ref="G16">_xlfn.LET(
  _xlpm.ming, Constantes!$B$8,
  _xlpm.maxmma, Constantes!$B$6,
  _xlpm.minmma, Constantes!$B$7,
  _xlpm.maxp, MAX(_xlfn._xlws.FILTER(F:F, ISNUMBER(F:F))),
  _xlpm.place, IF(F16="", _xlpm.maxp, F16),
  MIN(_xlpm.ming,D16)/_xlpm.ming * ((_xlpm.maxp - _xlpm.place) / (_xlpm.maxp - 1) * (_xlpm.maxmma - _xlpm.minmma) + _xlpm.minmma)
)</f>
        <v>464</v>
      </c>
      <c r="H16" s="5">
        <f t="shared" ref="H16" si="11">C16+G16</f>
        <v>464</v>
      </c>
      <c r="I16" cm="1">
        <f t="array" ref="I16">_xlfn.LET(
  _xlpm.dates, INDEX('Elo calculation'!$C:$C, _xlfn.SEQUENCE(COUNTA('Elo calculation'!$C:$C)-2,1,2,4)),
  _xlpm.pts, INDEX('Elo calculation'!$A:$ZZ, _xlfn.SEQUENCE(COUNTA('Elo calculation'!$C:$C)-2,1,3,4), MATCH($A16,'Elo calculation'!$1:$1,0)),
  _xlpm.nbparties, SUMPRODUCT(--(_xlpm.dates &lt;= EOMONTH(I$1,0)), --(_xlpm.dates &gt;= I$1), --(_xlpm.pts &lt;&gt; "")),
  _xlpm.nbparties
)</f>
        <v>12</v>
      </c>
      <c r="J16" cm="1">
        <f t="array" ref="J16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MATCH($A16, 'Elo calculation'!$1:$1, 0),
    INDEX('Elo calculation'!$A:$ZZ, _xlpm.ligdate + 4, _xlpm.coljoueur)
)</f>
        <v>1051.0755127018197</v>
      </c>
      <c r="K16" cm="1">
        <f t="array" ref="K16">_xlfn.LET(
  _xlpm.vals, _xlfn._xlws.FILTER(J:J, (I:I&gt;0)*(ISNUMBER(J:J)), ""),
  _xlpm.nPlus,  SUM(--(_xlpm.vals &gt; J16)),
  _xlpm.nEgal,  SUM(--(_xlpm.vals = J16)),
  _xlpm.res,  1 + _xlpm.nPlus + (_xlpm.nEgal - 1) / 2,
  IF(I16=0, "", _xlpm.res)
)</f>
        <v>11</v>
      </c>
      <c r="L16" s="5" cm="1">
        <f t="array" ref="L16">_xlfn.LET(
  _xlpm.ming, Constantes!$B$8,
  _xlpm.maxmma, Constantes!$B$6,
  _xlpm.minmma, Constantes!$B$7,
  _xlpm.maxp, MAX(_xlfn._xlws.FILTER(K:K, ISNUMBER(K:K))),
  _xlpm.place, IF(K16="", _xlpm.maxp, K16),
  MIN(_xlpm.ming,I16)/_xlpm.ming * ((_xlpm.maxp - _xlpm.place) / (_xlpm.maxp - 1) * (_xlpm.maxmma - _xlpm.minmma) + _xlpm.minmma)
)</f>
        <v>367.64705882352945</v>
      </c>
      <c r="M16" s="5">
        <f t="shared" si="0"/>
        <v>831.64705882352951</v>
      </c>
      <c r="N16" cm="1">
        <f t="array" ref="N16">_xlfn.LET(
  _xlpm.dates, INDEX('Elo calculation'!$C:$C, _xlfn.SEQUENCE(COUNTA('Elo calculation'!$C:$C)-2,1,2,4)),
  _xlpm.pts, INDEX('Elo calculation'!$A:$ZZ, _xlfn.SEQUENCE(COUNTA('Elo calculation'!$C:$C)-2,1,3,4), MATCH($A16,'Elo calculation'!$1:$1,0)),
  _xlpm.nbparties, SUMPRODUCT(--(_xlpm.dates &lt;= EOMONTH(N$1,0)), --(_xlpm.dates &gt;= N$1), --(_xlpm.pts &lt;&gt; "")),
  _xlpm.nbparties
)</f>
        <v>4</v>
      </c>
      <c r="O16" cm="1">
        <f t="array" ref="O16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MATCH($A16, 'Elo calculation'!$1:$1, 0),
    INDEX('Elo calculation'!$A:$ZZ, _xlpm.ligdate + 4, _xlpm.coljoueur)
)</f>
        <v>1054.0946828197484</v>
      </c>
      <c r="P16" cm="1">
        <f t="array" ref="P16">_xlfn.LET(
  _xlpm.vals, _xlfn._xlws.FILTER(O:O, (N:N&gt;0)*(ISNUMBER(O:O)), ""),
  _xlpm.nPlus,  SUM(--(_xlpm.vals &gt; O16)),
  _xlpm.nEgal,  SUM(--(_xlpm.vals = O16)),
  _xlpm.res,  1 + _xlpm.nPlus + (_xlpm.nEgal - 1) / 2,
  IF(N16=0, "", _xlpm.res)
)</f>
        <v>8</v>
      </c>
      <c r="Q16" s="5" cm="1">
        <f t="array" ref="Q16">_xlfn.LET(
  _xlpm.ming, Constantes!$B$8,
  _xlpm.maxmma, Constantes!$B$6,
  _xlpm.minmma, Constantes!$B$7,
  _xlpm.maxp, MAX(_xlfn._xlws.FILTER(P:P, ISNUMBER(P:P))),
  _xlpm.place, IF(P16="", _xlpm.maxp, P16),
  MIN(_xlpm.ming,N16)/_xlpm.ming * ((_xlpm.maxp - _xlpm.place) / (_xlpm.maxp - 1) * (_xlpm.maxmma - _xlpm.minmma) + _xlpm.minmma)
)</f>
        <v>363.04347826086956</v>
      </c>
      <c r="R16" s="5">
        <f t="shared" si="1"/>
        <v>1194.690537084399</v>
      </c>
    </row>
    <row r="17" spans="1:18" x14ac:dyDescent="0.25">
      <c r="A17" s="1" t="s">
        <v>49</v>
      </c>
      <c r="B17" s="1">
        <v>997.8</v>
      </c>
      <c r="C17">
        <v>0</v>
      </c>
      <c r="D17" cm="1">
        <f t="array" ref="D17">_xlfn.LET(
  _xlpm.dates, INDEX('Elo calculation'!$C:$C, _xlfn.SEQUENCE(COUNTA('Elo calculation'!$C:$C)-2,1,2,4)),
  _xlpm.pts, INDEX('Elo calculation'!$A:$ZZ, _xlfn.SEQUENCE(COUNTA('Elo calculation'!$C:$C)-2,1,3,4), MATCH($A17,'Elo calculation'!$1:$1,0)),
  _xlpm.nbparties, SUMPRODUCT(--(_xlpm.dates &lt;= EOMONTH(D$1,0)), --(_xlpm.dates &gt;= D$1), --(_xlpm.pts &lt;&gt; "")),
  _xlpm.nbparties
)</f>
        <v>11</v>
      </c>
      <c r="E17" cm="1">
        <f t="array" ref="E17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MATCH($A17, 'Elo calculation'!$1:$1, 0),
    INDEX('Elo calculation'!$A:$ZZ, _xlpm.ligdate + 4, _xlpm.coljoueur)
)</f>
        <v>1170.8504883222886</v>
      </c>
      <c r="F17" cm="1">
        <f t="array" ref="F17">_xlfn.LET(
  _xlpm.vals, _xlfn._xlws.FILTER(E:E, (D:D&gt;0)*(ISNUMBER(E:E)), ""),
  _xlpm.nPlus,  SUM(--(_xlpm.vals &gt; E17)),
  _xlpm.nEgal,  SUM(--(_xlpm.vals = E17)),
  _xlpm.res,  1 + _xlpm.nPlus + (_xlpm.nEgal - 1) / 2,
  IF(D17=0, "", _xlpm.res)
)</f>
        <v>1</v>
      </c>
      <c r="G17" s="5" cm="1">
        <f t="array" ref="G17">_xlfn.LET(
  _xlpm.ming, Constantes!$B$8,
  _xlpm.maxmma, Constantes!$B$6,
  _xlpm.minmma, Constantes!$B$7,
  _xlpm.maxp, MAX(_xlfn._xlws.FILTER(F:F, ISNUMBER(F:F))),
  _xlpm.place, IF(F17="", _xlpm.maxp, F17),
  MIN(_xlpm.ming,D17)/_xlpm.ming * ((_xlpm.maxp - _xlpm.place) / (_xlpm.maxp - 1) * (_xlpm.maxmma - _xlpm.minmma) + _xlpm.minmma)
)</f>
        <v>500</v>
      </c>
      <c r="H17" s="5">
        <f t="shared" ref="H17:H19" si="12">C17+G17</f>
        <v>500</v>
      </c>
      <c r="I17" cm="1">
        <f t="array" ref="I17">_xlfn.LET(
  _xlpm.dates, INDEX('Elo calculation'!$C:$C, _xlfn.SEQUENCE(COUNTA('Elo calculation'!$C:$C)-2,1,2,4)),
  _xlpm.pts, INDEX('Elo calculation'!$A:$ZZ, _xlfn.SEQUENCE(COUNTA('Elo calculation'!$C:$C)-2,1,3,4), MATCH($A17,'Elo calculation'!$1:$1,0)),
  _xlpm.nbparties, SUMPRODUCT(--(_xlpm.dates &lt;= EOMONTH(I$1,0)), --(_xlpm.dates &gt;= I$1), --(_xlpm.pts &lt;&gt; "")),
  _xlpm.nbparties
)</f>
        <v>14</v>
      </c>
      <c r="J17" cm="1">
        <f t="array" ref="J17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MATCH($A17, 'Elo calculation'!$1:$1, 0),
    INDEX('Elo calculation'!$A:$ZZ, _xlpm.ligdate + 4, _xlpm.coljoueur)
)</f>
        <v>1053.036836862696</v>
      </c>
      <c r="K17" cm="1">
        <f t="array" ref="K17">_xlfn.LET(
  _xlpm.vals, _xlfn._xlws.FILTER(J:J, (I:I&gt;0)*(ISNUMBER(J:J)), ""),
  _xlpm.nPlus,  SUM(--(_xlpm.vals &gt; J17)),
  _xlpm.nEgal,  SUM(--(_xlpm.vals = J17)),
  _xlpm.res,  1 + _xlpm.nPlus + (_xlpm.nEgal - 1) / 2,
  IF(I17=0, "", _xlpm.res)
)</f>
        <v>10</v>
      </c>
      <c r="L17" s="5" cm="1">
        <f t="array" ref="L17">_xlfn.LET(
  _xlpm.ming, Constantes!$B$8,
  _xlpm.maxmma, Constantes!$B$6,
  _xlpm.minmma, Constantes!$B$7,
  _xlpm.maxp, MAX(_xlfn._xlws.FILTER(K:K, ISNUMBER(K:K))),
  _xlpm.place, IF(K17="", _xlpm.maxp, K17),
  MIN(_xlpm.ming,I17)/_xlpm.ming * ((_xlpm.maxp - _xlpm.place) / (_xlpm.maxp - 1) * (_xlpm.maxmma - _xlpm.minmma) + _xlpm.minmma)
)</f>
        <v>380.88235294117652</v>
      </c>
      <c r="M17" s="5">
        <f t="shared" si="0"/>
        <v>880.88235294117658</v>
      </c>
      <c r="N17" cm="1">
        <f t="array" ref="N17">_xlfn.LET(
  _xlpm.dates, INDEX('Elo calculation'!$C:$C, _xlfn.SEQUENCE(COUNTA('Elo calculation'!$C:$C)-2,1,2,4)),
  _xlpm.pts, INDEX('Elo calculation'!$A:$ZZ, _xlfn.SEQUENCE(COUNTA('Elo calculation'!$C:$C)-2,1,3,4), MATCH($A17,'Elo calculation'!$1:$1,0)),
  _xlpm.nbparties, SUMPRODUCT(--(_xlpm.dates &lt;= EOMONTH(N$1,0)), --(_xlpm.dates &gt;= N$1), --(_xlpm.pts &lt;&gt; "")),
  _xlpm.nbparties
)</f>
        <v>6</v>
      </c>
      <c r="O17" cm="1">
        <f t="array" ref="O17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MATCH($A17, 'Elo calculation'!$1:$1, 0),
    INDEX('Elo calculation'!$A:$ZZ, _xlpm.ligdate + 4, _xlpm.coljoueur)
)</f>
        <v>1122.8475809880031</v>
      </c>
      <c r="P17" cm="1">
        <f t="array" ref="P17">_xlfn.LET(
  _xlpm.vals, _xlfn._xlws.FILTER(O:O, (N:N&gt;0)*(ISNUMBER(O:O)), ""),
  _xlpm.nPlus,  SUM(--(_xlpm.vals &gt; O17)),
  _xlpm.nEgal,  SUM(--(_xlpm.vals = O17)),
  _xlpm.res,  1 + _xlpm.nPlus + (_xlpm.nEgal - 1) / 2,
  IF(N17=0, "", _xlpm.res)
)</f>
        <v>4</v>
      </c>
      <c r="Q17" s="5" cm="1">
        <f t="array" ref="Q17">_xlfn.LET(
  _xlpm.ming, Constantes!$B$8,
  _xlpm.maxmma, Constantes!$B$6,
  _xlpm.minmma, Constantes!$B$7,
  _xlpm.maxp, MAX(_xlfn._xlws.FILTER(P:P, ISNUMBER(P:P))),
  _xlpm.place, IF(P17="", _xlpm.maxp, P17),
  MIN(_xlpm.ming,N17)/_xlpm.ming * ((_xlpm.maxp - _xlpm.place) / (_xlpm.maxp - 1) * (_xlpm.maxmma - _xlpm.minmma) + _xlpm.minmma)
)</f>
        <v>441.30434782608694</v>
      </c>
      <c r="R17" s="5">
        <f t="shared" si="1"/>
        <v>1322.1867007672636</v>
      </c>
    </row>
    <row r="18" spans="1:18" x14ac:dyDescent="0.25">
      <c r="A18" s="1" t="s">
        <v>51</v>
      </c>
      <c r="B18" s="1">
        <v>984.505</v>
      </c>
      <c r="C18">
        <v>0</v>
      </c>
      <c r="D18" cm="1">
        <f t="array" ref="D18">_xlfn.LET(
  _xlpm.dates, INDEX('Elo calculation'!$C:$C, _xlfn.SEQUENCE(COUNTA('Elo calculation'!$C:$C)-2,1,2,4)),
  _xlpm.pts, INDEX('Elo calculation'!$A:$ZZ, _xlfn.SEQUENCE(COUNTA('Elo calculation'!$C:$C)-2,1,3,4), MATCH($A18,'Elo calculation'!$1:$1,0)),
  _xlpm.nbparties, SUMPRODUCT(--(_xlpm.dates &lt;= EOMONTH(D$1,0)), --(_xlpm.dates &gt;= D$1), --(_xlpm.pts &lt;&gt; "")),
  _xlpm.nbparties
)</f>
        <v>11</v>
      </c>
      <c r="E18" cm="1">
        <f t="array" ref="E18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MATCH($A18, 'Elo calculation'!$1:$1, 0),
    INDEX('Elo calculation'!$A:$ZZ, _xlpm.ligdate + 4, _xlpm.coljoueur)
)</f>
        <v>861.96896943211959</v>
      </c>
      <c r="F18" cm="1">
        <f t="array" ref="F18">_xlfn.LET(
  _xlpm.vals, _xlfn._xlws.FILTER(E:E, (D:D&gt;0)*(ISNUMBER(E:E)), ""),
  _xlpm.nPlus,  SUM(--(_xlpm.vals &gt; E18)),
  _xlpm.nEgal,  SUM(--(_xlpm.vals = E18)),
  _xlpm.res,  1 + _xlpm.nPlus + (_xlpm.nEgal - 1) / 2,
  IF(D18=0, "", _xlpm.res)
)</f>
        <v>23</v>
      </c>
      <c r="G18" s="5" cm="1">
        <f t="array" ref="G18">_xlfn.LET(
  _xlpm.ming, Constantes!$B$8,
  _xlpm.maxmma, Constantes!$B$6,
  _xlpm.minmma, Constantes!$B$7,
  _xlpm.maxp, MAX(_xlfn._xlws.FILTER(F:F, ISNUMBER(F:F))),
  _xlpm.place, IF(F18="", _xlpm.maxp, F18),
  MIN(_xlpm.ming,D18)/_xlpm.ming * ((_xlpm.maxp - _xlpm.place) / (_xlpm.maxp - 1) * (_xlpm.maxmma - _xlpm.minmma) + _xlpm.minmma)
)</f>
        <v>104</v>
      </c>
      <c r="H18" s="5">
        <f t="shared" si="12"/>
        <v>104</v>
      </c>
      <c r="I18" cm="1">
        <f t="array" ref="I18">_xlfn.LET(
  _xlpm.dates, INDEX('Elo calculation'!$C:$C, _xlfn.SEQUENCE(COUNTA('Elo calculation'!$C:$C)-2,1,2,4)),
  _xlpm.pts, INDEX('Elo calculation'!$A:$ZZ, _xlfn.SEQUENCE(COUNTA('Elo calculation'!$C:$C)-2,1,3,4), MATCH($A18,'Elo calculation'!$1:$1,0)),
  _xlpm.nbparties, SUMPRODUCT(--(_xlpm.dates &lt;= EOMONTH(I$1,0)), --(_xlpm.dates &gt;= I$1), --(_xlpm.pts &lt;&gt; "")),
  _xlpm.nbparties
)</f>
        <v>14</v>
      </c>
      <c r="J18" cm="1">
        <f t="array" ref="J18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MATCH($A18, 'Elo calculation'!$1:$1, 0),
    INDEX('Elo calculation'!$A:$ZZ, _xlpm.ligdate + 4, _xlpm.coljoueur)
)</f>
        <v>996.22028389505113</v>
      </c>
      <c r="K18" cm="1">
        <f t="array" ref="K18">_xlfn.LET(
  _xlpm.vals, _xlfn._xlws.FILTER(J:J, (I:I&gt;0)*(ISNUMBER(J:J)), ""),
  _xlpm.nPlus,  SUM(--(_xlpm.vals &gt; J18)),
  _xlpm.nEgal,  SUM(--(_xlpm.vals = J18)),
  _xlpm.res,  1 + _xlpm.nPlus + (_xlpm.nEgal - 1) / 2,
  IF(I18=0, "", _xlpm.res)
)</f>
        <v>16</v>
      </c>
      <c r="L18" s="5" cm="1">
        <f t="array" ref="L18">_xlfn.LET(
  _xlpm.ming, Constantes!$B$8,
  _xlpm.maxmma, Constantes!$B$6,
  _xlpm.minmma, Constantes!$B$7,
  _xlpm.maxp, MAX(_xlfn._xlws.FILTER(K:K, ISNUMBER(K:K))),
  _xlpm.place, IF(K18="", _xlpm.maxp, K18),
  MIN(_xlpm.ming,I18)/_xlpm.ming * ((_xlpm.maxp - _xlpm.place) / (_xlpm.maxp - 1) * (_xlpm.maxmma - _xlpm.minmma) + _xlpm.minmma)
)</f>
        <v>301.47058823529414</v>
      </c>
      <c r="M18" s="5">
        <f t="shared" si="0"/>
        <v>405.47058823529414</v>
      </c>
      <c r="N18" cm="1">
        <f t="array" ref="N18">_xlfn.LET(
  _xlpm.dates, INDEX('Elo calculation'!$C:$C, _xlfn.SEQUENCE(COUNTA('Elo calculation'!$C:$C)-2,1,2,4)),
  _xlpm.pts, INDEX('Elo calculation'!$A:$ZZ, _xlfn.SEQUENCE(COUNTA('Elo calculation'!$C:$C)-2,1,3,4), MATCH($A18,'Elo calculation'!$1:$1,0)),
  _xlpm.nbparties, SUMPRODUCT(--(_xlpm.dates &lt;= EOMONTH(N$1,0)), --(_xlpm.dates &gt;= N$1), --(_xlpm.pts &lt;&gt; "")),
  _xlpm.nbparties
)</f>
        <v>6</v>
      </c>
      <c r="O18" cm="1">
        <f t="array" ref="O18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MATCH($A18, 'Elo calculation'!$1:$1, 0),
    INDEX('Elo calculation'!$A:$ZZ, _xlpm.ligdate + 4, _xlpm.coljoueur)
)</f>
        <v>942.14882365209212</v>
      </c>
      <c r="P18" cm="1">
        <f t="array" ref="P18">_xlfn.LET(
  _xlpm.vals, _xlfn._xlws.FILTER(O:O, (N:N&gt;0)*(ISNUMBER(O:O)), ""),
  _xlpm.nPlus,  SUM(--(_xlpm.vals &gt; O18)),
  _xlpm.nEgal,  SUM(--(_xlpm.vals = O18)),
  _xlpm.res,  1 + _xlpm.nPlus + (_xlpm.nEgal - 1) / 2,
  IF(N18=0, "", _xlpm.res)
)</f>
        <v>17</v>
      </c>
      <c r="Q18" s="5" cm="1">
        <f t="array" ref="Q18">_xlfn.LET(
  _xlpm.ming, Constantes!$B$8,
  _xlpm.maxmma, Constantes!$B$6,
  _xlpm.minmma, Constantes!$B$7,
  _xlpm.maxp, MAX(_xlfn._xlws.FILTER(P:P, ISNUMBER(P:P))),
  _xlpm.place, IF(P18="", _xlpm.maxp, P18),
  MIN(_xlpm.ming,N18)/_xlpm.ming * ((_xlpm.maxp - _xlpm.place) / (_xlpm.maxp - 1) * (_xlpm.maxmma - _xlpm.minmma) + _xlpm.minmma)
)</f>
        <v>186.95652173913044</v>
      </c>
      <c r="R18" s="5">
        <f t="shared" si="1"/>
        <v>592.42710997442464</v>
      </c>
    </row>
    <row r="19" spans="1:18" x14ac:dyDescent="0.25">
      <c r="A19" s="1" t="s">
        <v>50</v>
      </c>
      <c r="B19" s="1">
        <v>1029.905</v>
      </c>
      <c r="C19">
        <v>0</v>
      </c>
      <c r="D19" cm="1">
        <f t="array" ref="D19">_xlfn.LET(
  _xlpm.dates, INDEX('Elo calculation'!$C:$C, _xlfn.SEQUENCE(COUNTA('Elo calculation'!$C:$C)-2,1,2,4)),
  _xlpm.pts, INDEX('Elo calculation'!$A:$ZZ, _xlfn.SEQUENCE(COUNTA('Elo calculation'!$C:$C)-2,1,3,4), MATCH($A19,'Elo calculation'!$1:$1,0)),
  _xlpm.nbparties, SUMPRODUCT(--(_xlpm.dates &lt;= EOMONTH(D$1,0)), --(_xlpm.dates &gt;= D$1), --(_xlpm.pts &lt;&gt; "")),
  _xlpm.nbparties
)</f>
        <v>4</v>
      </c>
      <c r="E19" cm="1">
        <f t="array" ref="E19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MATCH($A19, 'Elo calculation'!$1:$1, 0),
    INDEX('Elo calculation'!$A:$ZZ, _xlpm.ligdate + 4, _xlpm.coljoueur)
)</f>
        <v>1135.2782658680615</v>
      </c>
      <c r="F19" cm="1">
        <f t="array" ref="F19">_xlfn.LET(
  _xlpm.vals, _xlfn._xlws.FILTER(E:E, (D:D&gt;0)*(ISNUMBER(E:E)), ""),
  _xlpm.nPlus,  SUM(--(_xlpm.vals &gt; E19)),
  _xlpm.nEgal,  SUM(--(_xlpm.vals = E19)),
  _xlpm.res,  1 + _xlpm.nPlus + (_xlpm.nEgal - 1) / 2,
  IF(D19=0, "", _xlpm.res)
)</f>
        <v>2</v>
      </c>
      <c r="G19" s="5" cm="1">
        <f t="array" ref="G19">_xlfn.LET(
  _xlpm.ming, Constantes!$B$8,
  _xlpm.maxmma, Constantes!$B$6,
  _xlpm.minmma, Constantes!$B$7,
  _xlpm.maxp, MAX(_xlfn._xlws.FILTER(F:F, ISNUMBER(F:F))),
  _xlpm.place, IF(F19="", _xlpm.maxp, F19),
  MIN(_xlpm.ming,D19)/_xlpm.ming * ((_xlpm.maxp - _xlpm.place) / (_xlpm.maxp - 1) * (_xlpm.maxmma - _xlpm.minmma) + _xlpm.minmma)
)</f>
        <v>482</v>
      </c>
      <c r="H19" s="5">
        <f t="shared" si="12"/>
        <v>482</v>
      </c>
      <c r="I19" cm="1">
        <f t="array" ref="I19">_xlfn.LET(
  _xlpm.dates, INDEX('Elo calculation'!$C:$C, _xlfn.SEQUENCE(COUNTA('Elo calculation'!$C:$C)-2,1,2,4)),
  _xlpm.pts, INDEX('Elo calculation'!$A:$ZZ, _xlfn.SEQUENCE(COUNTA('Elo calculation'!$C:$C)-2,1,3,4), MATCH($A19,'Elo calculation'!$1:$1,0)),
  _xlpm.nbparties, SUMPRODUCT(--(_xlpm.dates &lt;= EOMONTH(I$1,0)), --(_xlpm.dates &gt;= I$1), --(_xlpm.pts &lt;&gt; "")),
  _xlpm.nbparties
)</f>
        <v>4</v>
      </c>
      <c r="J19" cm="1">
        <f t="array" ref="J19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MATCH($A19, 'Elo calculation'!$1:$1, 0),
    INDEX('Elo calculation'!$A:$ZZ, _xlpm.ligdate + 4, _xlpm.coljoueur)
)</f>
        <v>1125.604709757928</v>
      </c>
      <c r="K19" cm="1">
        <f t="array" ref="K19">_xlfn.LET(
  _xlpm.vals, _xlfn._xlws.FILTER(J:J, (I:I&gt;0)*(ISNUMBER(J:J)), ""),
  _xlpm.nPlus,  SUM(--(_xlpm.vals &gt; J19)),
  _xlpm.nEgal,  SUM(--(_xlpm.vals = J19)),
  _xlpm.res,  1 + _xlpm.nPlus + (_xlpm.nEgal - 1) / 2,
  IF(I19=0, "", _xlpm.res)
)</f>
        <v>3</v>
      </c>
      <c r="L19" s="5" cm="1">
        <f t="array" ref="L19">_xlfn.LET(
  _xlpm.ming, Constantes!$B$8,
  _xlpm.maxmma, Constantes!$B$6,
  _xlpm.minmma, Constantes!$B$7,
  _xlpm.maxp, MAX(_xlfn._xlws.FILTER(K:K, ISNUMBER(K:K))),
  _xlpm.place, IF(K19="", _xlpm.maxp, K19),
  MIN(_xlpm.ming,I19)/_xlpm.ming * ((_xlpm.maxp - _xlpm.place) / (_xlpm.maxp - 1) * (_xlpm.maxmma - _xlpm.minmma) + _xlpm.minmma)
)</f>
        <v>473.52941176470586</v>
      </c>
      <c r="M19" s="5">
        <f t="shared" si="0"/>
        <v>955.52941176470586</v>
      </c>
      <c r="N19" cm="1">
        <f t="array" ref="N19">_xlfn.LET(
  _xlpm.dates, INDEX('Elo calculation'!$C:$C, _xlfn.SEQUENCE(COUNTA('Elo calculation'!$C:$C)-2,1,2,4)),
  _xlpm.pts, INDEX('Elo calculation'!$A:$ZZ, _xlfn.SEQUENCE(COUNTA('Elo calculation'!$C:$C)-2,1,3,4), MATCH($A19,'Elo calculation'!$1:$1,0)),
  _xlpm.nbparties, SUMPRODUCT(--(_xlpm.dates &lt;= EOMONTH(N$1,0)), --(_xlpm.dates &gt;= N$1), --(_xlpm.pts &lt;&gt; "")),
  _xlpm.nbparties
)</f>
        <v>2</v>
      </c>
      <c r="O19" cm="1">
        <f t="array" ref="O19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MATCH($A19, 'Elo calculation'!$1:$1, 0),
    INDEX('Elo calculation'!$A:$ZZ, _xlpm.ligdate + 4, _xlpm.coljoueur)
)</f>
        <v>1128.5835529389994</v>
      </c>
      <c r="P19" cm="1">
        <f t="array" ref="P19">_xlfn.LET(
  _xlpm.vals, _xlfn._xlws.FILTER(O:O, (N:N&gt;0)*(ISNUMBER(O:O)), ""),
  _xlpm.nPlus,  SUM(--(_xlpm.vals &gt; O19)),
  _xlpm.nEgal,  SUM(--(_xlpm.vals = O19)),
  _xlpm.res,  1 + _xlpm.nPlus + (_xlpm.nEgal - 1) / 2,
  IF(N19=0, "", _xlpm.res)
)</f>
        <v>3</v>
      </c>
      <c r="Q19" s="5" cm="1">
        <f t="array" ref="Q19">_xlfn.LET(
  _xlpm.ming, Constantes!$B$8,
  _xlpm.maxmma, Constantes!$B$6,
  _xlpm.minmma, Constantes!$B$7,
  _xlpm.maxp, MAX(_xlfn._xlws.FILTER(P:P, ISNUMBER(P:P))),
  _xlpm.place, IF(P19="", _xlpm.maxp, P19),
  MIN(_xlpm.ming,N19)/_xlpm.ming * ((_xlpm.maxp - _xlpm.place) / (_xlpm.maxp - 1) * (_xlpm.maxmma - _xlpm.minmma) + _xlpm.minmma)
)</f>
        <v>230.43478260869563</v>
      </c>
      <c r="R19" s="5">
        <f t="shared" si="1"/>
        <v>1185.9641943734014</v>
      </c>
    </row>
    <row r="20" spans="1:18" x14ac:dyDescent="0.25">
      <c r="A20" s="1" t="s">
        <v>52</v>
      </c>
      <c r="B20" s="1">
        <v>1092.7849999999999</v>
      </c>
      <c r="C20">
        <v>0</v>
      </c>
      <c r="D20" cm="1">
        <f t="array" ref="D20">_xlfn.LET(
  _xlpm.dates, INDEX('Elo calculation'!$C:$C, _xlfn.SEQUENCE(COUNTA('Elo calculation'!$C:$C)-2,1,2,4)),
  _xlpm.pts, INDEX('Elo calculation'!$A:$ZZ, _xlfn.SEQUENCE(COUNTA('Elo calculation'!$C:$C)-2,1,3,4), MATCH($A20,'Elo calculation'!$1:$1,0)),
  _xlpm.nbparties, SUMPRODUCT(--(_xlpm.dates &lt;= EOMONTH(D$1,0)), --(_xlpm.dates &gt;= D$1), --(_xlpm.pts &lt;&gt; "")),
  _xlpm.nbparties
)</f>
        <v>12</v>
      </c>
      <c r="E20" cm="1">
        <f t="array" ref="E20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MATCH($A20, 'Elo calculation'!$1:$1, 0),
    INDEX('Elo calculation'!$A:$ZZ, _xlpm.ligdate + 4, _xlpm.coljoueur)
)</f>
        <v>1088.7077541764581</v>
      </c>
      <c r="F20" cm="1">
        <f t="array" ref="F20">_xlfn.LET(
  _xlpm.vals, _xlfn._xlws.FILTER(E:E, (D:D&gt;0)*(ISNUMBER(E:E)), ""),
  _xlpm.nPlus,  SUM(--(_xlpm.vals &gt; E20)),
  _xlpm.nEgal,  SUM(--(_xlpm.vals = E20)),
  _xlpm.res,  1 + _xlpm.nPlus + (_xlpm.nEgal - 1) / 2,
  IF(D20=0, "", _xlpm.res)
)</f>
        <v>5</v>
      </c>
      <c r="G20" s="5" cm="1">
        <f t="array" ref="G20">_xlfn.LET(
  _xlpm.ming, Constantes!$B$8,
  _xlpm.maxmma, Constantes!$B$6,
  _xlpm.minmma, Constantes!$B$7,
  _xlpm.maxp, MAX(_xlfn._xlws.FILTER(F:F, ISNUMBER(F:F))),
  _xlpm.place, IF(F20="", _xlpm.maxp, F20),
  MIN(_xlpm.ming,D20)/_xlpm.ming * ((_xlpm.maxp - _xlpm.place) / (_xlpm.maxp - 1) * (_xlpm.maxmma - _xlpm.minmma) + _xlpm.minmma)
)</f>
        <v>428</v>
      </c>
      <c r="H20" s="5">
        <f t="shared" ref="H20:H21" si="13">C20+G20</f>
        <v>428</v>
      </c>
      <c r="I20" cm="1">
        <f t="array" ref="I20">_xlfn.LET(
  _xlpm.dates, INDEX('Elo calculation'!$C:$C, _xlfn.SEQUENCE(COUNTA('Elo calculation'!$C:$C)-2,1,2,4)),
  _xlpm.pts, INDEX('Elo calculation'!$A:$ZZ, _xlfn.SEQUENCE(COUNTA('Elo calculation'!$C:$C)-2,1,3,4), MATCH($A20,'Elo calculation'!$1:$1,0)),
  _xlpm.nbparties, SUMPRODUCT(--(_xlpm.dates &lt;= EOMONTH(I$1,0)), --(_xlpm.dates &gt;= I$1), --(_xlpm.pts &lt;&gt; "")),
  _xlpm.nbparties
)</f>
        <v>19</v>
      </c>
      <c r="J20" cm="1">
        <f t="array" ref="J20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MATCH($A20, 'Elo calculation'!$1:$1, 0),
    INDEX('Elo calculation'!$A:$ZZ, _xlpm.ligdate + 4, _xlpm.coljoueur)
)</f>
        <v>1190.3972637866154</v>
      </c>
      <c r="K20" cm="1">
        <f t="array" ref="K20">_xlfn.LET(
  _xlpm.vals, _xlfn._xlws.FILTER(J:J, (I:I&gt;0)*(ISNUMBER(J:J)), ""),
  _xlpm.nPlus,  SUM(--(_xlpm.vals &gt; J20)),
  _xlpm.nEgal,  SUM(--(_xlpm.vals = J20)),
  _xlpm.res,  1 + _xlpm.nPlus + (_xlpm.nEgal - 1) / 2,
  IF(I20=0, "", _xlpm.res)
)</f>
        <v>2</v>
      </c>
      <c r="L20" s="5" cm="1">
        <f t="array" ref="L20">_xlfn.LET(
  _xlpm.ming, Constantes!$B$8,
  _xlpm.maxmma, Constantes!$B$6,
  _xlpm.minmma, Constantes!$B$7,
  _xlpm.maxp, MAX(_xlfn._xlws.FILTER(K:K, ISNUMBER(K:K))),
  _xlpm.place, IF(K20="", _xlpm.maxp, K20),
  MIN(_xlpm.ming,I20)/_xlpm.ming * ((_xlpm.maxp - _xlpm.place) / (_xlpm.maxp - 1) * (_xlpm.maxmma - _xlpm.minmma) + _xlpm.minmma)
)</f>
        <v>486.76470588235293</v>
      </c>
      <c r="M20" s="5">
        <f t="shared" si="0"/>
        <v>914.76470588235293</v>
      </c>
      <c r="N20" cm="1">
        <f t="array" ref="N20">_xlfn.LET(
  _xlpm.dates, INDEX('Elo calculation'!$C:$C, _xlfn.SEQUENCE(COUNTA('Elo calculation'!$C:$C)-2,1,2,4)),
  _xlpm.pts, INDEX('Elo calculation'!$A:$ZZ, _xlfn.SEQUENCE(COUNTA('Elo calculation'!$C:$C)-2,1,3,4), MATCH($A20,'Elo calculation'!$1:$1,0)),
  _xlpm.nbparties, SUMPRODUCT(--(_xlpm.dates &lt;= EOMONTH(N$1,0)), --(_xlpm.dates &gt;= N$1), --(_xlpm.pts &lt;&gt; "")),
  _xlpm.nbparties
)</f>
        <v>7</v>
      </c>
      <c r="O20" cm="1">
        <f t="array" ref="O20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MATCH($A20, 'Elo calculation'!$1:$1, 0),
    INDEX('Elo calculation'!$A:$ZZ, _xlpm.ligdate + 4, _xlpm.coljoueur)
)</f>
        <v>1197.0794459794581</v>
      </c>
      <c r="P20" cm="1">
        <f t="array" ref="P20">_xlfn.LET(
  _xlpm.vals, _xlfn._xlws.FILTER(O:O, (N:N&gt;0)*(ISNUMBER(O:O)), ""),
  _xlpm.nPlus,  SUM(--(_xlpm.vals &gt; O20)),
  _xlpm.nEgal,  SUM(--(_xlpm.vals = O20)),
  _xlpm.res,  1 + _xlpm.nPlus + (_xlpm.nEgal - 1) / 2,
  IF(N20=0, "", _xlpm.res)
)</f>
        <v>2</v>
      </c>
      <c r="Q20" s="5" cm="1">
        <f t="array" ref="Q20">_xlfn.LET(
  _xlpm.ming, Constantes!$B$8,
  _xlpm.maxmma, Constantes!$B$6,
  _xlpm.minmma, Constantes!$B$7,
  _xlpm.maxp, MAX(_xlfn._xlws.FILTER(P:P, ISNUMBER(P:P))),
  _xlpm.place, IF(P20="", _xlpm.maxp, P20),
  MIN(_xlpm.ming,N20)/_xlpm.ming * ((_xlpm.maxp - _xlpm.place) / (_xlpm.maxp - 1) * (_xlpm.maxmma - _xlpm.minmma) + _xlpm.minmma)
)</f>
        <v>480.43478260869568</v>
      </c>
      <c r="R20" s="5">
        <f t="shared" si="1"/>
        <v>1395.1994884910487</v>
      </c>
    </row>
    <row r="21" spans="1:18" x14ac:dyDescent="0.25">
      <c r="A21" s="1" t="s">
        <v>53</v>
      </c>
      <c r="B21" s="1">
        <v>999.59500000000003</v>
      </c>
      <c r="C21">
        <v>0</v>
      </c>
      <c r="D21" cm="1">
        <f t="array" ref="D21">_xlfn.LET(
  _xlpm.dates, INDEX('Elo calculation'!$C:$C, _xlfn.SEQUENCE(COUNTA('Elo calculation'!$C:$C)-2,1,2,4)),
  _xlpm.pts, INDEX('Elo calculation'!$A:$ZZ, _xlfn.SEQUENCE(COUNTA('Elo calculation'!$C:$C)-2,1,3,4), MATCH($A21,'Elo calculation'!$1:$1,0)),
  _xlpm.nbparties, SUMPRODUCT(--(_xlpm.dates &lt;= EOMONTH(D$1,0)), --(_xlpm.dates &gt;= D$1), --(_xlpm.pts &lt;&gt; "")),
  _xlpm.nbparties
)</f>
        <v>4</v>
      </c>
      <c r="E21" cm="1">
        <f t="array" ref="E21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MATCH($A21, 'Elo calculation'!$1:$1, 0),
    INDEX('Elo calculation'!$A:$ZZ, _xlpm.ligdate + 4, _xlpm.coljoueur)
)</f>
        <v>961.58818235691967</v>
      </c>
      <c r="F21" cm="1">
        <f t="array" ref="F21">_xlfn.LET(
  _xlpm.vals, _xlfn._xlws.FILTER(E:E, (D:D&gt;0)*(ISNUMBER(E:E)), ""),
  _xlpm.nPlus,  SUM(--(_xlpm.vals &gt; E21)),
  _xlpm.nEgal,  SUM(--(_xlpm.vals = E21)),
  _xlpm.res,  1 + _xlpm.nPlus + (_xlpm.nEgal - 1) / 2,
  IF(D21=0, "", _xlpm.res)
)</f>
        <v>17</v>
      </c>
      <c r="G21" s="5" cm="1">
        <f t="array" ref="G21">_xlfn.LET(
  _xlpm.ming, Constantes!$B$8,
  _xlpm.maxmma, Constantes!$B$6,
  _xlpm.minmma, Constantes!$B$7,
  _xlpm.maxp, MAX(_xlfn._xlws.FILTER(F:F, ISNUMBER(F:F))),
  _xlpm.place, IF(F21="", _xlpm.maxp, F21),
  MIN(_xlpm.ming,D21)/_xlpm.ming * ((_xlpm.maxp - _xlpm.place) / (_xlpm.maxp - 1) * (_xlpm.maxmma - _xlpm.minmma) + _xlpm.minmma)
)</f>
        <v>212</v>
      </c>
      <c r="H21" s="5">
        <f t="shared" si="13"/>
        <v>212</v>
      </c>
      <c r="I21" cm="1">
        <f t="array" ref="I21">_xlfn.LET(
  _xlpm.dates, INDEX('Elo calculation'!$C:$C, _xlfn.SEQUENCE(COUNTA('Elo calculation'!$C:$C)-2,1,2,4)),
  _xlpm.pts, INDEX('Elo calculation'!$A:$ZZ, _xlfn.SEQUENCE(COUNTA('Elo calculation'!$C:$C)-2,1,3,4), MATCH($A21,'Elo calculation'!$1:$1,0)),
  _xlpm.nbparties, SUMPRODUCT(--(_xlpm.dates &lt;= EOMONTH(I$1,0)), --(_xlpm.dates &gt;= I$1), --(_xlpm.pts &lt;&gt; "")),
  _xlpm.nbparties
)</f>
        <v>4</v>
      </c>
      <c r="J21" cm="1">
        <f t="array" ref="J21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MATCH($A21, 'Elo calculation'!$1:$1, 0),
    INDEX('Elo calculation'!$A:$ZZ, _xlpm.ligdate + 4, _xlpm.coljoueur)
)</f>
        <v>969.67171739286073</v>
      </c>
      <c r="K21" cm="1">
        <f t="array" ref="K21">_xlfn.LET(
  _xlpm.vals, _xlfn._xlws.FILTER(J:J, (I:I&gt;0)*(ISNUMBER(J:J)), ""),
  _xlpm.nPlus,  SUM(--(_xlpm.vals &gt; J21)),
  _xlpm.nEgal,  SUM(--(_xlpm.vals = J21)),
  _xlpm.res,  1 + _xlpm.nPlus + (_xlpm.nEgal - 1) / 2,
  IF(I21=0, "", _xlpm.res)
)</f>
        <v>20</v>
      </c>
      <c r="L21" s="5" cm="1">
        <f t="array" ref="L21">_xlfn.LET(
  _xlpm.ming, Constantes!$B$8,
  _xlpm.maxmma, Constantes!$B$6,
  _xlpm.minmma, Constantes!$B$7,
  _xlpm.maxp, MAX(_xlfn._xlws.FILTER(K:K, ISNUMBER(K:K))),
  _xlpm.place, IF(K21="", _xlpm.maxp, K21),
  MIN(_xlpm.ming,I21)/_xlpm.ming * ((_xlpm.maxp - _xlpm.place) / (_xlpm.maxp - 1) * (_xlpm.maxmma - _xlpm.minmma) + _xlpm.minmma)
)</f>
        <v>248.52941176470588</v>
      </c>
      <c r="M21" s="5">
        <f t="shared" si="0"/>
        <v>460.52941176470586</v>
      </c>
      <c r="N21" cm="1">
        <f t="array" ref="N21">_xlfn.LET(
  _xlpm.dates, INDEX('Elo calculation'!$C:$C, _xlfn.SEQUENCE(COUNTA('Elo calculation'!$C:$C)-2,1,2,4)),
  _xlpm.pts, INDEX('Elo calculation'!$A:$ZZ, _xlfn.SEQUENCE(COUNTA('Elo calculation'!$C:$C)-2,1,3,4), MATCH($A21,'Elo calculation'!$1:$1,0)),
  _xlpm.nbparties, SUMPRODUCT(--(_xlpm.dates &lt;= EOMONTH(N$1,0)), --(_xlpm.dates &gt;= N$1), --(_xlpm.pts &lt;&gt; "")),
  _xlpm.nbparties
)</f>
        <v>2</v>
      </c>
      <c r="O21" cm="1">
        <f t="array" ref="O21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MATCH($A21, 'Elo calculation'!$1:$1, 0),
    INDEX('Elo calculation'!$A:$ZZ, _xlpm.ligdate + 4, _xlpm.coljoueur)
)</f>
        <v>957.61451983344352</v>
      </c>
      <c r="P21" cm="1">
        <f t="array" ref="P21">_xlfn.LET(
  _xlpm.vals, _xlfn._xlws.FILTER(O:O, (N:N&gt;0)*(ISNUMBER(O:O)), ""),
  _xlpm.nPlus,  SUM(--(_xlpm.vals &gt; O21)),
  _xlpm.nEgal,  SUM(--(_xlpm.vals = O21)),
  _xlpm.res,  1 + _xlpm.nPlus + (_xlpm.nEgal - 1) / 2,
  IF(N21=0, "", _xlpm.res)
)</f>
        <v>15</v>
      </c>
      <c r="Q21" s="5" cm="1">
        <f t="array" ref="Q21">_xlfn.LET(
  _xlpm.ming, Constantes!$B$8,
  _xlpm.maxmma, Constantes!$B$6,
  _xlpm.minmma, Constantes!$B$7,
  _xlpm.maxp, MAX(_xlfn._xlws.FILTER(P:P, ISNUMBER(P:P))),
  _xlpm.place, IF(P21="", _xlpm.maxp, P21),
  MIN(_xlpm.ming,N21)/_xlpm.ming * ((_xlpm.maxp - _xlpm.place) / (_xlpm.maxp - 1) * (_xlpm.maxmma - _xlpm.minmma) + _xlpm.minmma)
)</f>
        <v>113.04347826086956</v>
      </c>
      <c r="R21" s="5">
        <f t="shared" si="1"/>
        <v>573.57289002557536</v>
      </c>
    </row>
    <row r="22" spans="1:18" x14ac:dyDescent="0.25">
      <c r="A22" s="1" t="s">
        <v>54</v>
      </c>
      <c r="B22" s="1">
        <v>1000</v>
      </c>
      <c r="C22">
        <v>0</v>
      </c>
      <c r="D22" cm="1">
        <f t="array" ref="D22">_xlfn.LET(
  _xlpm.dates, INDEX('Elo calculation'!$C:$C, _xlfn.SEQUENCE(COUNTA('Elo calculation'!$C:$C)-2,1,2,4)),
  _xlpm.pts, INDEX('Elo calculation'!$A:$ZZ, _xlfn.SEQUENCE(COUNTA('Elo calculation'!$C:$C)-2,1,3,4), MATCH($A22,'Elo calculation'!$1:$1,0)),
  _xlpm.nbparties, SUMPRODUCT(--(_xlpm.dates &lt;= EOMONTH(D$1,0)), --(_xlpm.dates &gt;= D$1), --(_xlpm.pts &lt;&gt; "")),
  _xlpm.nbparties
)</f>
        <v>1</v>
      </c>
      <c r="E22" cm="1">
        <f t="array" ref="E22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MATCH($A22, 'Elo calculation'!$1:$1, 0),
    INDEX('Elo calculation'!$A:$ZZ, _xlpm.ligdate + 4, _xlpm.coljoueur)
)</f>
        <v>936.79085942937002</v>
      </c>
      <c r="F22" cm="1">
        <f t="array" ref="F22">_xlfn.LET(
  _xlpm.vals, _xlfn._xlws.FILTER(E:E, (D:D&gt;0)*(ISNUMBER(E:E)), ""),
  _xlpm.nPlus,  SUM(--(_xlpm.vals &gt; E22)),
  _xlpm.nEgal,  SUM(--(_xlpm.vals = E22)),
  _xlpm.res,  1 + _xlpm.nPlus + (_xlpm.nEgal - 1) / 2,
  IF(D22=0, "", _xlpm.res)
)</f>
        <v>19</v>
      </c>
      <c r="G22" s="5" cm="1">
        <f t="array" ref="G22">_xlfn.LET(
  _xlpm.ming, Constantes!$B$8,
  _xlpm.maxmma, Constantes!$B$6,
  _xlpm.minmma, Constantes!$B$7,
  _xlpm.maxp, MAX(_xlfn._xlws.FILTER(F:F, ISNUMBER(F:F))),
  _xlpm.place, IF(F22="", _xlpm.maxp, F22),
  MIN(_xlpm.ming,D22)/_xlpm.ming * ((_xlpm.maxp - _xlpm.place) / (_xlpm.maxp - 1) * (_xlpm.maxmma - _xlpm.minmma) + _xlpm.minmma)
)</f>
        <v>44</v>
      </c>
      <c r="H22" s="5">
        <f t="shared" ref="H22" si="14">C22+G22</f>
        <v>44</v>
      </c>
      <c r="I22" cm="1">
        <f t="array" ref="I22">_xlfn.LET(
  _xlpm.dates, INDEX('Elo calculation'!$C:$C, _xlfn.SEQUENCE(COUNTA('Elo calculation'!$C:$C)-2,1,2,4)),
  _xlpm.pts, INDEX('Elo calculation'!$A:$ZZ, _xlfn.SEQUENCE(COUNTA('Elo calculation'!$C:$C)-2,1,3,4), MATCH($A22,'Elo calculation'!$1:$1,0)),
  _xlpm.nbparties, SUMPRODUCT(--(_xlpm.dates &lt;= EOMONTH(I$1,0)), --(_xlpm.dates &gt;= I$1), --(_xlpm.pts &lt;&gt; "")),
  _xlpm.nbparties
)</f>
        <v>2</v>
      </c>
      <c r="J22" cm="1">
        <f t="array" ref="J22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MATCH($A22, 'Elo calculation'!$1:$1, 0),
    INDEX('Elo calculation'!$A:$ZZ, _xlpm.ligdate + 4, _xlpm.coljoueur)
)</f>
        <v>882.29253769067657</v>
      </c>
      <c r="K22" cm="1">
        <f t="array" ref="K22">_xlfn.LET(
  _xlpm.vals, _xlfn._xlws.FILTER(J:J, (I:I&gt;0)*(ISNUMBER(J:J)), ""),
  _xlpm.nPlus,  SUM(--(_xlpm.vals &gt; J22)),
  _xlpm.nEgal,  SUM(--(_xlpm.vals = J22)),
  _xlpm.res,  1 + _xlpm.nPlus + (_xlpm.nEgal - 1) / 2,
  IF(I22=0, "", _xlpm.res)
)</f>
        <v>32</v>
      </c>
      <c r="L22" s="5" cm="1">
        <f t="array" ref="L22">_xlfn.LET(
  _xlpm.ming, Constantes!$B$8,
  _xlpm.maxmma, Constantes!$B$6,
  _xlpm.minmma, Constantes!$B$7,
  _xlpm.maxp, MAX(_xlfn._xlws.FILTER(K:K, ISNUMBER(K:K))),
  _xlpm.place, IF(K22="", _xlpm.maxp, K22),
  MIN(_xlpm.ming,I22)/_xlpm.ming * ((_xlpm.maxp - _xlpm.place) / (_xlpm.maxp - 1) * (_xlpm.maxmma - _xlpm.minmma) + _xlpm.minmma)
)</f>
        <v>44.852941176470594</v>
      </c>
      <c r="M22" s="5">
        <f t="shared" si="0"/>
        <v>88.852941176470594</v>
      </c>
      <c r="N22" cm="1">
        <f t="array" ref="N22">_xlfn.LET(
  _xlpm.dates, INDEX('Elo calculation'!$C:$C, _xlfn.SEQUENCE(COUNTA('Elo calculation'!$C:$C)-2,1,2,4)),
  _xlpm.pts, INDEX('Elo calculation'!$A:$ZZ, _xlfn.SEQUENCE(COUNTA('Elo calculation'!$C:$C)-2,1,3,4), MATCH($A22,'Elo calculation'!$1:$1,0)),
  _xlpm.nbparties, SUMPRODUCT(--(_xlpm.dates &lt;= EOMONTH(N$1,0)), --(_xlpm.dates &gt;= N$1), --(_xlpm.pts &lt;&gt; "")),
  _xlpm.nbparties
)</f>
        <v>3</v>
      </c>
      <c r="O22" cm="1">
        <f t="array" ref="O22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MATCH($A22, 'Elo calculation'!$1:$1, 0),
    INDEX('Elo calculation'!$A:$ZZ, _xlpm.ligdate + 4, _xlpm.coljoueur)
)</f>
        <v>885.72875461540445</v>
      </c>
      <c r="P22" cm="1">
        <f t="array" ref="P22">_xlfn.LET(
  _xlpm.vals, _xlfn._xlws.FILTER(O:O, (N:N&gt;0)*(ISNUMBER(O:O)), ""),
  _xlpm.nPlus,  SUM(--(_xlpm.vals &gt; O22)),
  _xlpm.nEgal,  SUM(--(_xlpm.vals = O22)),
  _xlpm.res,  1 + _xlpm.nPlus + (_xlpm.nEgal - 1) / 2,
  IF(N22=0, "", _xlpm.res)
)</f>
        <v>20</v>
      </c>
      <c r="Q22" s="5" cm="1">
        <f t="array" ref="Q22">_xlfn.LET(
  _xlpm.ming, Constantes!$B$8,
  _xlpm.maxmma, Constantes!$B$6,
  _xlpm.minmma, Constantes!$B$7,
  _xlpm.maxp, MAX(_xlfn._xlws.FILTER(P:P, ISNUMBER(P:P))),
  _xlpm.place, IF(P22="", _xlpm.maxp, P22),
  MIN(_xlpm.ming,N22)/_xlpm.ming * ((_xlpm.maxp - _xlpm.place) / (_xlpm.maxp - 1) * (_xlpm.maxmma - _xlpm.minmma) + _xlpm.minmma)
)</f>
        <v>96.195652173913032</v>
      </c>
      <c r="R22" s="5">
        <f t="shared" si="1"/>
        <v>185.04859335038361</v>
      </c>
    </row>
    <row r="23" spans="1:18" x14ac:dyDescent="0.25">
      <c r="A23" s="1" t="s">
        <v>55</v>
      </c>
      <c r="B23" s="1">
        <v>899.53</v>
      </c>
      <c r="C23">
        <v>0</v>
      </c>
      <c r="D23" cm="1">
        <f t="array" ref="D23">_xlfn.LET(
  _xlpm.dates, INDEX('Elo calculation'!$C:$C, _xlfn.SEQUENCE(COUNTA('Elo calculation'!$C:$C)-2,1,2,4)),
  _xlpm.pts, INDEX('Elo calculation'!$A:$ZZ, _xlfn.SEQUENCE(COUNTA('Elo calculation'!$C:$C)-2,1,3,4), MATCH($A23,'Elo calculation'!$1:$1,0)),
  _xlpm.nbparties, SUMPRODUCT(--(_xlpm.dates &lt;= EOMONTH(D$1,0)), --(_xlpm.dates &gt;= D$1), --(_xlpm.pts &lt;&gt; "")),
  _xlpm.nbparties
)</f>
        <v>7</v>
      </c>
      <c r="E23" cm="1">
        <f t="array" ref="E23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MATCH($A23, 'Elo calculation'!$1:$1, 0),
    INDEX('Elo calculation'!$A:$ZZ, _xlpm.ligdate + 4, _xlpm.coljoueur)
)</f>
        <v>851.6115293878712</v>
      </c>
      <c r="F23" cm="1">
        <f t="array" ref="F23">_xlfn.LET(
  _xlpm.vals, _xlfn._xlws.FILTER(E:E, (D:D&gt;0)*(ISNUMBER(E:E)), ""),
  _xlpm.nPlus,  SUM(--(_xlpm.vals &gt; E23)),
  _xlpm.nEgal,  SUM(--(_xlpm.vals = E23)),
  _xlpm.res,  1 + _xlpm.nPlus + (_xlpm.nEgal - 1) / 2,
  IF(D23=0, "", _xlpm.res)
)</f>
        <v>24</v>
      </c>
      <c r="G23" s="5" cm="1">
        <f t="array" ref="G23">_xlfn.LET(
  _xlpm.ming, Constantes!$B$8,
  _xlpm.maxmma, Constantes!$B$6,
  _xlpm.minmma, Constantes!$B$7,
  _xlpm.maxp, MAX(_xlfn._xlws.FILTER(F:F, ISNUMBER(F:F))),
  _xlpm.place, IF(F23="", _xlpm.maxp, F23),
  MIN(_xlpm.ming,D23)/_xlpm.ming * ((_xlpm.maxp - _xlpm.place) / (_xlpm.maxp - 1) * (_xlpm.maxmma - _xlpm.minmma) + _xlpm.minmma)
)</f>
        <v>86</v>
      </c>
      <c r="H23" s="5">
        <f t="shared" ref="H23" si="15">C23+G23</f>
        <v>86</v>
      </c>
      <c r="I23" cm="1">
        <f t="array" ref="I23">_xlfn.LET(
  _xlpm.dates, INDEX('Elo calculation'!$C:$C, _xlfn.SEQUENCE(COUNTA('Elo calculation'!$C:$C)-2,1,2,4)),
  _xlpm.pts, INDEX('Elo calculation'!$A:$ZZ, _xlfn.SEQUENCE(COUNTA('Elo calculation'!$C:$C)-2,1,3,4), MATCH($A23,'Elo calculation'!$1:$1,0)),
  _xlpm.nbparties, SUMPRODUCT(--(_xlpm.dates &lt;= EOMONTH(I$1,0)), --(_xlpm.dates &gt;= I$1), --(_xlpm.pts &lt;&gt; "")),
  _xlpm.nbparties
)</f>
        <v>5</v>
      </c>
      <c r="J23" cm="1">
        <f t="array" ref="J23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MATCH($A23, 'Elo calculation'!$1:$1, 0),
    INDEX('Elo calculation'!$A:$ZZ, _xlpm.ligdate + 4, _xlpm.coljoueur)
)</f>
        <v>828.97598039785271</v>
      </c>
      <c r="K23" cm="1">
        <f t="array" ref="K23">_xlfn.LET(
  _xlpm.vals, _xlfn._xlws.FILTER(J:J, (I:I&gt;0)*(ISNUMBER(J:J)), ""),
  _xlpm.nPlus,  SUM(--(_xlpm.vals &gt; J23)),
  _xlpm.nEgal,  SUM(--(_xlpm.vals = J23)),
  _xlpm.res,  1 + _xlpm.nPlus + (_xlpm.nEgal - 1) / 2,
  IF(I23=0, "", _xlpm.res)
)</f>
        <v>34</v>
      </c>
      <c r="L23" s="5" cm="1">
        <f t="array" ref="L23">_xlfn.LET(
  _xlpm.ming, Constantes!$B$8,
  _xlpm.maxmma, Constantes!$B$6,
  _xlpm.minmma, Constantes!$B$7,
  _xlpm.maxp, MAX(_xlfn._xlws.FILTER(K:K, ISNUMBER(K:K))),
  _xlpm.place, IF(K23="", _xlpm.maxp, K23),
  MIN(_xlpm.ming,I23)/_xlpm.ming * ((_xlpm.maxp - _xlpm.place) / (_xlpm.maxp - 1) * (_xlpm.maxmma - _xlpm.minmma) + _xlpm.minmma)
)</f>
        <v>63.235294117647058</v>
      </c>
      <c r="M23" s="5">
        <f t="shared" si="0"/>
        <v>149.23529411764707</v>
      </c>
      <c r="N23" cm="1">
        <f t="array" ref="N23">_xlfn.LET(
  _xlpm.dates, INDEX('Elo calculation'!$C:$C, _xlfn.SEQUENCE(COUNTA('Elo calculation'!$C:$C)-2,1,2,4)),
  _xlpm.pts, INDEX('Elo calculation'!$A:$ZZ, _xlfn.SEQUENCE(COUNTA('Elo calculation'!$C:$C)-2,1,3,4), MATCH($A23,'Elo calculation'!$1:$1,0)),
  _xlpm.nbparties, SUMPRODUCT(--(_xlpm.dates &lt;= EOMONTH(N$1,0)), --(_xlpm.dates &gt;= N$1), --(_xlpm.pts &lt;&gt; "")),
  _xlpm.nbparties
)</f>
        <v>2</v>
      </c>
      <c r="O23" cm="1">
        <f t="array" ref="O23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MATCH($A23, 'Elo calculation'!$1:$1, 0),
    INDEX('Elo calculation'!$A:$ZZ, _xlpm.ligdate + 4, _xlpm.coljoueur)
)</f>
        <v>858.92096928478088</v>
      </c>
      <c r="P23" cm="1">
        <f t="array" ref="P23">_xlfn.LET(
  _xlpm.vals, _xlfn._xlws.FILTER(O:O, (N:N&gt;0)*(ISNUMBER(O:O)), ""),
  _xlpm.nPlus,  SUM(--(_xlpm.vals &gt; O23)),
  _xlpm.nEgal,  SUM(--(_xlpm.vals = O23)),
  _xlpm.res,  1 + _xlpm.nPlus + (_xlpm.nEgal - 1) / 2,
  IF(N23=0, "", _xlpm.res)
)</f>
        <v>23</v>
      </c>
      <c r="Q23" s="5" cm="1">
        <f t="array" ref="Q23">_xlfn.LET(
  _xlpm.ming, Constantes!$B$8,
  _xlpm.maxmma, Constantes!$B$6,
  _xlpm.minmma, Constantes!$B$7,
  _xlpm.maxp, MAX(_xlfn._xlws.FILTER(P:P, ISNUMBER(P:P))),
  _xlpm.place, IF(P23="", _xlpm.maxp, P23),
  MIN(_xlpm.ming,N23)/_xlpm.ming * ((_xlpm.maxp - _xlpm.place) / (_xlpm.maxp - 1) * (_xlpm.maxmma - _xlpm.minmma) + _xlpm.minmma)
)</f>
        <v>34.782608695652172</v>
      </c>
      <c r="R23" s="5">
        <f t="shared" si="1"/>
        <v>184.01790281329926</v>
      </c>
    </row>
    <row r="24" spans="1:18" x14ac:dyDescent="0.25">
      <c r="A24" s="1" t="s">
        <v>56</v>
      </c>
      <c r="B24" s="1">
        <v>941.52</v>
      </c>
      <c r="C24">
        <v>0</v>
      </c>
      <c r="D24" cm="1">
        <f t="array" ref="D24">_xlfn.LET(
  _xlpm.dates, INDEX('Elo calculation'!$C:$C, _xlfn.SEQUENCE(COUNTA('Elo calculation'!$C:$C)-2,1,2,4)),
  _xlpm.pts, INDEX('Elo calculation'!$A:$ZZ, _xlfn.SEQUENCE(COUNTA('Elo calculation'!$C:$C)-2,1,3,4), MATCH($A24,'Elo calculation'!$1:$1,0)),
  _xlpm.nbparties, SUMPRODUCT(--(_xlpm.dates &lt;= EOMONTH(D$1,0)), --(_xlpm.dates &gt;= D$1), --(_xlpm.pts &lt;&gt; "")),
  _xlpm.nbparties
)</f>
        <v>8</v>
      </c>
      <c r="E24" cm="1">
        <f t="array" ref="E24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MATCH($A24, 'Elo calculation'!$1:$1, 0),
    INDEX('Elo calculation'!$A:$ZZ, _xlpm.ligdate + 4, _xlpm.coljoueur)
)</f>
        <v>984.68205603174124</v>
      </c>
      <c r="F24" cm="1">
        <f t="array" ref="F24">_xlfn.LET(
  _xlpm.vals, _xlfn._xlws.FILTER(E:E, (D:D&gt;0)*(ISNUMBER(E:E)), ""),
  _xlpm.nPlus,  SUM(--(_xlpm.vals &gt; E24)),
  _xlpm.nEgal,  SUM(--(_xlpm.vals = E24)),
  _xlpm.res,  1 + _xlpm.nPlus + (_xlpm.nEgal - 1) / 2,
  IF(D24=0, "", _xlpm.res)
)</f>
        <v>15</v>
      </c>
      <c r="G24" s="5" cm="1">
        <f t="array" ref="G24">_xlfn.LET(
  _xlpm.ming, Constantes!$B$8,
  _xlpm.maxmma, Constantes!$B$6,
  _xlpm.minmma, Constantes!$B$7,
  _xlpm.maxp, MAX(_xlfn._xlws.FILTER(F:F, ISNUMBER(F:F))),
  _xlpm.place, IF(F24="", _xlpm.maxp, F24),
  MIN(_xlpm.ming,D24)/_xlpm.ming * ((_xlpm.maxp - _xlpm.place) / (_xlpm.maxp - 1) * (_xlpm.maxmma - _xlpm.minmma) + _xlpm.minmma)
)</f>
        <v>248</v>
      </c>
      <c r="H24" s="5">
        <f t="shared" ref="H24" si="16">C24+G24</f>
        <v>248</v>
      </c>
      <c r="I24" cm="1">
        <f t="array" ref="I24">_xlfn.LET(
  _xlpm.dates, INDEX('Elo calculation'!$C:$C, _xlfn.SEQUENCE(COUNTA('Elo calculation'!$C:$C)-2,1,2,4)),
  _xlpm.pts, INDEX('Elo calculation'!$A:$ZZ, _xlfn.SEQUENCE(COUNTA('Elo calculation'!$C:$C)-2,1,3,4), MATCH($A24,'Elo calculation'!$1:$1,0)),
  _xlpm.nbparties, SUMPRODUCT(--(_xlpm.dates &lt;= EOMONTH(I$1,0)), --(_xlpm.dates &gt;= I$1), --(_xlpm.pts &lt;&gt; "")),
  _xlpm.nbparties
)</f>
        <v>5</v>
      </c>
      <c r="J24" cm="1">
        <f t="array" ref="J24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MATCH($A24, 'Elo calculation'!$1:$1, 0),
    INDEX('Elo calculation'!$A:$ZZ, _xlpm.ligdate + 4, _xlpm.coljoueur)
)</f>
        <v>903.14348714035714</v>
      </c>
      <c r="K24" cm="1">
        <f t="array" ref="K24">_xlfn.LET(
  _xlpm.vals, _xlfn._xlws.FILTER(J:J, (I:I&gt;0)*(ISNUMBER(J:J)), ""),
  _xlpm.nPlus,  SUM(--(_xlpm.vals &gt; J24)),
  _xlpm.nEgal,  SUM(--(_xlpm.vals = J24)),
  _xlpm.res,  1 + _xlpm.nPlus + (_xlpm.nEgal - 1) / 2,
  IF(I24=0, "", _xlpm.res)
)</f>
        <v>30</v>
      </c>
      <c r="L24" s="5" cm="1">
        <f t="array" ref="L24">_xlfn.LET(
  _xlpm.ming, Constantes!$B$8,
  _xlpm.maxmma, Constantes!$B$6,
  _xlpm.minmma, Constantes!$B$7,
  _xlpm.maxp, MAX(_xlfn._xlws.FILTER(K:K, ISNUMBER(K:K))),
  _xlpm.place, IF(K24="", _xlpm.maxp, K24),
  MIN(_xlpm.ming,I24)/_xlpm.ming * ((_xlpm.maxp - _xlpm.place) / (_xlpm.maxp - 1) * (_xlpm.maxmma - _xlpm.minmma) + _xlpm.minmma)
)</f>
        <v>116.17647058823529</v>
      </c>
      <c r="M24" s="5">
        <f t="shared" si="0"/>
        <v>364.1764705882353</v>
      </c>
      <c r="N24" cm="1">
        <f t="array" ref="N24">_xlfn.LET(
  _xlpm.dates, INDEX('Elo calculation'!$C:$C, _xlfn.SEQUENCE(COUNTA('Elo calculation'!$C:$C)-2,1,2,4)),
  _xlpm.pts, INDEX('Elo calculation'!$A:$ZZ, _xlfn.SEQUENCE(COUNTA('Elo calculation'!$C:$C)-2,1,3,4), MATCH($A24,'Elo calculation'!$1:$1,0)),
  _xlpm.nbparties, SUMPRODUCT(--(_xlpm.dates &lt;= EOMONTH(N$1,0)), --(_xlpm.dates &gt;= N$1), --(_xlpm.pts &lt;&gt; "")),
  _xlpm.nbparties
)</f>
        <v>3</v>
      </c>
      <c r="O24" cm="1">
        <f t="array" ref="O24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MATCH($A24, 'Elo calculation'!$1:$1, 0),
    INDEX('Elo calculation'!$A:$ZZ, _xlpm.ligdate + 4, _xlpm.coljoueur)
)</f>
        <v>1005.462386147187</v>
      </c>
      <c r="P24" cm="1">
        <f t="array" ref="P24">_xlfn.LET(
  _xlpm.vals, _xlfn._xlws.FILTER(O:O, (N:N&gt;0)*(ISNUMBER(O:O)), ""),
  _xlpm.nPlus,  SUM(--(_xlpm.vals &gt; O24)),
  _xlpm.nEgal,  SUM(--(_xlpm.vals = O24)),
  _xlpm.res,  1 + _xlpm.nPlus + (_xlpm.nEgal - 1) / 2,
  IF(N24=0, "", _xlpm.res)
)</f>
        <v>11</v>
      </c>
      <c r="Q24" s="5" cm="1">
        <f t="array" ref="Q24">_xlfn.LET(
  _xlpm.ming, Constantes!$B$8,
  _xlpm.maxmma, Constantes!$B$6,
  _xlpm.minmma, Constantes!$B$7,
  _xlpm.maxp, MAX(_xlfn._xlws.FILTER(P:P, ISNUMBER(P:P))),
  _xlpm.place, IF(P24="", _xlpm.maxp, P24),
  MIN(_xlpm.ming,N24)/_xlpm.ming * ((_xlpm.maxp - _xlpm.place) / (_xlpm.maxp - 1) * (_xlpm.maxmma - _xlpm.minmma) + _xlpm.minmma)
)</f>
        <v>228.26086956521738</v>
      </c>
      <c r="R24" s="5">
        <f t="shared" si="1"/>
        <v>592.43734015345262</v>
      </c>
    </row>
    <row r="25" spans="1:18" x14ac:dyDescent="0.25">
      <c r="A25" s="1" t="s">
        <v>57</v>
      </c>
      <c r="B25" s="1">
        <v>1000</v>
      </c>
      <c r="C25">
        <v>0</v>
      </c>
      <c r="D25" cm="1">
        <f t="array" ref="D25">_xlfn.LET(
  _xlpm.dates, INDEX('Elo calculation'!$C:$C, _xlfn.SEQUENCE(COUNTA('Elo calculation'!$C:$C)-2,1,2,4)),
  _xlpm.pts, INDEX('Elo calculation'!$A:$ZZ, _xlfn.SEQUENCE(COUNTA('Elo calculation'!$C:$C)-2,1,3,4), MATCH($A25,'Elo calculation'!$1:$1,0)),
  _xlpm.nbparties, SUMPRODUCT(--(_xlpm.dates &lt;= EOMONTH(D$1,0)), --(_xlpm.dates &gt;= D$1), --(_xlpm.pts &lt;&gt; "")),
  _xlpm.nbparties
)</f>
        <v>1</v>
      </c>
      <c r="E25" cm="1">
        <f t="array" ref="E25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MATCH($A25, 'Elo calculation'!$1:$1, 0),
    INDEX('Elo calculation'!$A:$ZZ, _xlpm.ligdate + 4, _xlpm.coljoueur)
)</f>
        <v>991.11904139672549</v>
      </c>
      <c r="F25" cm="1">
        <f t="array" ref="F25">_xlfn.LET(
  _xlpm.vals, _xlfn._xlws.FILTER(E:E, (D:D&gt;0)*(ISNUMBER(E:E)), ""),
  _xlpm.nPlus,  SUM(--(_xlpm.vals &gt; E25)),
  _xlpm.nEgal,  SUM(--(_xlpm.vals = E25)),
  _xlpm.res,  1 + _xlpm.nPlus + (_xlpm.nEgal - 1) / 2,
  IF(D25=0, "", _xlpm.res)
)</f>
        <v>13</v>
      </c>
      <c r="G25" s="5" cm="1">
        <f t="array" ref="G25">_xlfn.LET(
  _xlpm.ming, Constantes!$B$8,
  _xlpm.maxmma, Constantes!$B$6,
  _xlpm.minmma, Constantes!$B$7,
  _xlpm.maxp, MAX(_xlfn._xlws.FILTER(F:F, ISNUMBER(F:F))),
  _xlpm.place, IF(F25="", _xlpm.maxp, F25),
  MIN(_xlpm.ming,D25)/_xlpm.ming * ((_xlpm.maxp - _xlpm.place) / (_xlpm.maxp - 1) * (_xlpm.maxmma - _xlpm.minmma) + _xlpm.minmma)
)</f>
        <v>71</v>
      </c>
      <c r="H25" s="5">
        <f t="shared" ref="H25" si="17">C25+G25</f>
        <v>71</v>
      </c>
      <c r="I25" cm="1">
        <f t="array" ref="I25">_xlfn.LET(
  _xlpm.dates, INDEX('Elo calculation'!$C:$C, _xlfn.SEQUENCE(COUNTA('Elo calculation'!$C:$C)-2,1,2,4)),
  _xlpm.pts, INDEX('Elo calculation'!$A:$ZZ, _xlfn.SEQUENCE(COUNTA('Elo calculation'!$C:$C)-2,1,3,4), MATCH($A25,'Elo calculation'!$1:$1,0)),
  _xlpm.nbparties, SUMPRODUCT(--(_xlpm.dates &lt;= EOMONTH(I$1,0)), --(_xlpm.dates &gt;= I$1), --(_xlpm.pts &lt;&gt; "")),
  _xlpm.nbparties
)</f>
        <v>4</v>
      </c>
      <c r="J25" cm="1">
        <f t="array" ref="J25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MATCH($A25, 'Elo calculation'!$1:$1, 0),
    INDEX('Elo calculation'!$A:$ZZ, _xlpm.ligdate + 4, _xlpm.coljoueur)
)</f>
        <v>1008.6876849635962</v>
      </c>
      <c r="K25" cm="1">
        <f t="array" ref="K25">_xlfn.LET(
  _xlpm.vals, _xlfn._xlws.FILTER(J:J, (I:I&gt;0)*(ISNUMBER(J:J)), ""),
  _xlpm.nPlus,  SUM(--(_xlpm.vals &gt; J25)),
  _xlpm.nEgal,  SUM(--(_xlpm.vals = J25)),
  _xlpm.res,  1 + _xlpm.nPlus + (_xlpm.nEgal - 1) / 2,
  IF(I25=0, "", _xlpm.res)
)</f>
        <v>14</v>
      </c>
      <c r="L25" s="5" cm="1">
        <f t="array" ref="L25">_xlfn.LET(
  _xlpm.ming, Constantes!$B$8,
  _xlpm.maxmma, Constantes!$B$6,
  _xlpm.minmma, Constantes!$B$7,
  _xlpm.maxp, MAX(_xlfn._xlws.FILTER(K:K, ISNUMBER(K:K))),
  _xlpm.place, IF(K25="", _xlpm.maxp, K25),
  MIN(_xlpm.ming,I25)/_xlpm.ming * ((_xlpm.maxp - _xlpm.place) / (_xlpm.maxp - 1) * (_xlpm.maxmma - _xlpm.minmma) + _xlpm.minmma)
)</f>
        <v>327.94117647058823</v>
      </c>
      <c r="M25" s="5">
        <f t="shared" si="0"/>
        <v>398.94117647058823</v>
      </c>
      <c r="N25" cm="1">
        <f t="array" ref="N25">_xlfn.LET(
  _xlpm.dates, INDEX('Elo calculation'!$C:$C, _xlfn.SEQUENCE(COUNTA('Elo calculation'!$C:$C)-2,1,2,4)),
  _xlpm.pts, INDEX('Elo calculation'!$A:$ZZ, _xlfn.SEQUENCE(COUNTA('Elo calculation'!$C:$C)-2,1,3,4), MATCH($A25,'Elo calculation'!$1:$1,0)),
  _xlpm.nbparties, SUMPRODUCT(--(_xlpm.dates &lt;= EOMONTH(N$1,0)), --(_xlpm.dates &gt;= N$1), --(_xlpm.pts &lt;&gt; "")),
  _xlpm.nbparties
)</f>
        <v>0</v>
      </c>
      <c r="O25" cm="1">
        <f t="array" ref="O25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MATCH($A25, 'Elo calculation'!$1:$1, 0),
    INDEX('Elo calculation'!$A:$ZZ, _xlpm.ligdate + 4, _xlpm.coljoueur)
)</f>
        <v>1008.6876849635962</v>
      </c>
      <c r="P25" t="str" cm="1">
        <f t="array" ref="P25">_xlfn.LET(
  _xlpm.vals, _xlfn._xlws.FILTER(O:O, (N:N&gt;0)*(ISNUMBER(O:O)), ""),
  _xlpm.nPlus,  SUM(--(_xlpm.vals &gt; O25)),
  _xlpm.nEgal,  SUM(--(_xlpm.vals = O25)),
  _xlpm.res,  1 + _xlpm.nPlus + (_xlpm.nEgal - 1) / 2,
  IF(N25=0, "", _xlpm.res)
)</f>
        <v/>
      </c>
      <c r="Q25" s="5" cm="1">
        <f t="array" ref="Q25">_xlfn.LET(
  _xlpm.ming, Constantes!$B$8,
  _xlpm.maxmma, Constantes!$B$6,
  _xlpm.minmma, Constantes!$B$7,
  _xlpm.maxp, MAX(_xlfn._xlws.FILTER(P:P, ISNUMBER(P:P))),
  _xlpm.place, IF(P25="", _xlpm.maxp, P25),
  MIN(_xlpm.ming,N25)/_xlpm.ming * ((_xlpm.maxp - _xlpm.place) / (_xlpm.maxp - 1) * (_xlpm.maxmma - _xlpm.minmma) + _xlpm.minmma)
)</f>
        <v>0</v>
      </c>
      <c r="R25" s="5">
        <f t="shared" si="1"/>
        <v>398.94117647058823</v>
      </c>
    </row>
    <row r="26" spans="1:18" x14ac:dyDescent="0.25">
      <c r="A26" s="1" t="s">
        <v>58</v>
      </c>
      <c r="B26" s="1">
        <v>1000</v>
      </c>
      <c r="C26">
        <v>0</v>
      </c>
      <c r="D26" cm="1">
        <f t="array" ref="D26">_xlfn.LET(
  _xlpm.dates, INDEX('Elo calculation'!$C:$C, _xlfn.SEQUENCE(COUNTA('Elo calculation'!$C:$C)-2,1,2,4)),
  _xlpm.pts, INDEX('Elo calculation'!$A:$ZZ, _xlfn.SEQUENCE(COUNTA('Elo calculation'!$C:$C)-2,1,3,4), MATCH($A26,'Elo calculation'!$1:$1,0)),
  _xlpm.nbparties, SUMPRODUCT(--(_xlpm.dates &lt;= EOMONTH(D$1,0)), --(_xlpm.dates &gt;= D$1), --(_xlpm.pts &lt;&gt; "")),
  _xlpm.nbparties
)</f>
        <v>2</v>
      </c>
      <c r="E26" cm="1">
        <f t="array" ref="E26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MATCH($A26, 'Elo calculation'!$1:$1, 0),
    INDEX('Elo calculation'!$A:$ZZ, _xlpm.ligdate + 4, _xlpm.coljoueur)
)</f>
        <v>980.56756855165884</v>
      </c>
      <c r="F26" cm="1">
        <f t="array" ref="F26">_xlfn.LET(
  _xlpm.vals, _xlfn._xlws.FILTER(E:E, (D:D&gt;0)*(ISNUMBER(E:E)), ""),
  _xlpm.nPlus,  SUM(--(_xlpm.vals &gt; E26)),
  _xlpm.nEgal,  SUM(--(_xlpm.vals = E26)),
  _xlpm.res,  1 + _xlpm.nPlus + (_xlpm.nEgal - 1) / 2,
  IF(D26=0, "", _xlpm.res)
)</f>
        <v>16</v>
      </c>
      <c r="G26" s="5" cm="1">
        <f t="array" ref="G26">_xlfn.LET(
  _xlpm.ming, Constantes!$B$8,
  _xlpm.maxmma, Constantes!$B$6,
  _xlpm.minmma, Constantes!$B$7,
  _xlpm.maxp, MAX(_xlfn._xlws.FILTER(F:F, ISNUMBER(F:F))),
  _xlpm.place, IF(F26="", _xlpm.maxp, F26),
  MIN(_xlpm.ming,D26)/_xlpm.ming * ((_xlpm.maxp - _xlpm.place) / (_xlpm.maxp - 1) * (_xlpm.maxmma - _xlpm.minmma) + _xlpm.minmma)
)</f>
        <v>115</v>
      </c>
      <c r="H26" s="5">
        <f t="shared" ref="H26" si="18">C26+G26</f>
        <v>115</v>
      </c>
      <c r="I26" cm="1">
        <f t="array" ref="I26">_xlfn.LET(
  _xlpm.dates, INDEX('Elo calculation'!$C:$C, _xlfn.SEQUENCE(COUNTA('Elo calculation'!$C:$C)-2,1,2,4)),
  _xlpm.pts, INDEX('Elo calculation'!$A:$ZZ, _xlfn.SEQUENCE(COUNTA('Elo calculation'!$C:$C)-2,1,3,4), MATCH($A26,'Elo calculation'!$1:$1,0)),
  _xlpm.nbparties, SUMPRODUCT(--(_xlpm.dates &lt;= EOMONTH(I$1,0)), --(_xlpm.dates &gt;= I$1), --(_xlpm.pts &lt;&gt; "")),
  _xlpm.nbparties
)</f>
        <v>7</v>
      </c>
      <c r="J26" cm="1">
        <f t="array" ref="J26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MATCH($A26, 'Elo calculation'!$1:$1, 0),
    INDEX('Elo calculation'!$A:$ZZ, _xlpm.ligdate + 4, _xlpm.coljoueur)
)</f>
        <v>976.40065260504912</v>
      </c>
      <c r="K26" cm="1">
        <f t="array" ref="K26">_xlfn.LET(
  _xlpm.vals, _xlfn._xlws.FILTER(J:J, (I:I&gt;0)*(ISNUMBER(J:J)), ""),
  _xlpm.nPlus,  SUM(--(_xlpm.vals &gt; J26)),
  _xlpm.nEgal,  SUM(--(_xlpm.vals = J26)),
  _xlpm.res,  1 + _xlpm.nPlus + (_xlpm.nEgal - 1) / 2,
  IF(I26=0, "", _xlpm.res)
)</f>
        <v>19</v>
      </c>
      <c r="L26" s="5" cm="1">
        <f t="array" ref="L26">_xlfn.LET(
  _xlpm.ming, Constantes!$B$8,
  _xlpm.maxmma, Constantes!$B$6,
  _xlpm.minmma, Constantes!$B$7,
  _xlpm.maxp, MAX(_xlfn._xlws.FILTER(K:K, ISNUMBER(K:K))),
  _xlpm.place, IF(K26="", _xlpm.maxp, K26),
  MIN(_xlpm.ming,I26)/_xlpm.ming * ((_xlpm.maxp - _xlpm.place) / (_xlpm.maxp - 1) * (_xlpm.maxmma - _xlpm.minmma) + _xlpm.minmma)
)</f>
        <v>261.76470588235293</v>
      </c>
      <c r="M26" s="5">
        <f t="shared" si="0"/>
        <v>376.76470588235293</v>
      </c>
      <c r="N26" cm="1">
        <f t="array" ref="N26">_xlfn.LET(
  _xlpm.dates, INDEX('Elo calculation'!$C:$C, _xlfn.SEQUENCE(COUNTA('Elo calculation'!$C:$C)-2,1,2,4)),
  _xlpm.pts, INDEX('Elo calculation'!$A:$ZZ, _xlfn.SEQUENCE(COUNTA('Elo calculation'!$C:$C)-2,1,3,4), MATCH($A26,'Elo calculation'!$1:$1,0)),
  _xlpm.nbparties, SUMPRODUCT(--(_xlpm.dates &lt;= EOMONTH(N$1,0)), --(_xlpm.dates &gt;= N$1), --(_xlpm.pts &lt;&gt; "")),
  _xlpm.nbparties
)</f>
        <v>1</v>
      </c>
      <c r="O26" cm="1">
        <f t="array" ref="O26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MATCH($A26, 'Elo calculation'!$1:$1, 0),
    INDEX('Elo calculation'!$A:$ZZ, _xlpm.ligdate + 4, _xlpm.coljoueur)
)</f>
        <v>942.27730100696294</v>
      </c>
      <c r="P26" cm="1">
        <f t="array" ref="P26">_xlfn.LET(
  _xlpm.vals, _xlfn._xlws.FILTER(O:O, (N:N&gt;0)*(ISNUMBER(O:O)), ""),
  _xlpm.nPlus,  SUM(--(_xlpm.vals &gt; O26)),
  _xlpm.nEgal,  SUM(--(_xlpm.vals = O26)),
  _xlpm.res,  1 + _xlpm.nPlus + (_xlpm.nEgal - 1) / 2,
  IF(N26=0, "", _xlpm.res)
)</f>
        <v>16</v>
      </c>
      <c r="Q26" s="5" cm="1">
        <f t="array" ref="Q26">_xlfn.LET(
  _xlpm.ming, Constantes!$B$8,
  _xlpm.maxmma, Constantes!$B$6,
  _xlpm.minmma, Constantes!$B$7,
  _xlpm.maxp, MAX(_xlfn._xlws.FILTER(P:P, ISNUMBER(P:P))),
  _xlpm.place, IF(P26="", _xlpm.maxp, P26),
  MIN(_xlpm.ming,N26)/_xlpm.ming * ((_xlpm.maxp - _xlpm.place) / (_xlpm.maxp - 1) * (_xlpm.maxmma - _xlpm.minmma) + _xlpm.minmma)
)</f>
        <v>51.630434782608695</v>
      </c>
      <c r="R26" s="5">
        <f t="shared" si="1"/>
        <v>428.39514066496162</v>
      </c>
    </row>
    <row r="27" spans="1:18" x14ac:dyDescent="0.25">
      <c r="A27" s="1" t="s">
        <v>59</v>
      </c>
      <c r="B27" s="1">
        <v>979.56500000000005</v>
      </c>
      <c r="C27">
        <v>0</v>
      </c>
      <c r="D27" cm="1">
        <f t="array" ref="D27">_xlfn.LET(
  _xlpm.dates, INDEX('Elo calculation'!$C:$C, _xlfn.SEQUENCE(COUNTA('Elo calculation'!$C:$C)-2,1,2,4)),
  _xlpm.pts, INDEX('Elo calculation'!$A:$ZZ, _xlfn.SEQUENCE(COUNTA('Elo calculation'!$C:$C)-2,1,3,4), MATCH($A27,'Elo calculation'!$1:$1,0)),
  _xlpm.nbparties, SUMPRODUCT(--(_xlpm.dates &lt;= EOMONTH(D$1,0)), --(_xlpm.dates &gt;= D$1), --(_xlpm.pts &lt;&gt; "")),
  _xlpm.nbparties
)</f>
        <v>2</v>
      </c>
      <c r="E27" cm="1">
        <f t="array" ref="E27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MATCH($A27, 'Elo calculation'!$1:$1, 0),
    INDEX('Elo calculation'!$A:$ZZ, _xlpm.ligdate + 4, _xlpm.coljoueur)
)</f>
        <v>988.35669729544747</v>
      </c>
      <c r="F27" cm="1">
        <f t="array" ref="F27">_xlfn.LET(
  _xlpm.vals, _xlfn._xlws.FILTER(E:E, (D:D&gt;0)*(ISNUMBER(E:E)), ""),
  _xlpm.nPlus,  SUM(--(_xlpm.vals &gt; E27)),
  _xlpm.nEgal,  SUM(--(_xlpm.vals = E27)),
  _xlpm.res,  1 + _xlpm.nPlus + (_xlpm.nEgal - 1) / 2,
  IF(D27=0, "", _xlpm.res)
)</f>
        <v>14</v>
      </c>
      <c r="G27" s="5" cm="1">
        <f t="array" ref="G27">_xlfn.LET(
  _xlpm.ming, Constantes!$B$8,
  _xlpm.maxmma, Constantes!$B$6,
  _xlpm.minmma, Constantes!$B$7,
  _xlpm.maxp, MAX(_xlfn._xlws.FILTER(F:F, ISNUMBER(F:F))),
  _xlpm.place, IF(F27="", _xlpm.maxp, F27),
  MIN(_xlpm.ming,D27)/_xlpm.ming * ((_xlpm.maxp - _xlpm.place) / (_xlpm.maxp - 1) * (_xlpm.maxmma - _xlpm.minmma) + _xlpm.minmma)
)</f>
        <v>133</v>
      </c>
      <c r="H27" s="5">
        <f t="shared" ref="H27" si="19">C27+G27</f>
        <v>133</v>
      </c>
      <c r="I27" cm="1">
        <f t="array" ref="I27">_xlfn.LET(
  _xlpm.dates, INDEX('Elo calculation'!$C:$C, _xlfn.SEQUENCE(COUNTA('Elo calculation'!$C:$C)-2,1,2,4)),
  _xlpm.pts, INDEX('Elo calculation'!$A:$ZZ, _xlfn.SEQUENCE(COUNTA('Elo calculation'!$C:$C)-2,1,3,4), MATCH($A27,'Elo calculation'!$1:$1,0)),
  _xlpm.nbparties, SUMPRODUCT(--(_xlpm.dates &lt;= EOMONTH(I$1,0)), --(_xlpm.dates &gt;= I$1), --(_xlpm.pts &lt;&gt; "")),
  _xlpm.nbparties
)</f>
        <v>0</v>
      </c>
      <c r="J27" cm="1">
        <f t="array" ref="J27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MATCH($A27, 'Elo calculation'!$1:$1, 0),
    INDEX('Elo calculation'!$A:$ZZ, _xlpm.ligdate + 4, _xlpm.coljoueur)
)</f>
        <v>988.35669729544747</v>
      </c>
      <c r="K27" t="str" cm="1">
        <f t="array" ref="K27">_xlfn.LET(
  _xlpm.vals, _xlfn._xlws.FILTER(J:J, (I:I&gt;0)*(ISNUMBER(J:J)), ""),
  _xlpm.nPlus,  SUM(--(_xlpm.vals &gt; J27)),
  _xlpm.nEgal,  SUM(--(_xlpm.vals = J27)),
  _xlpm.res,  1 + _xlpm.nPlus + (_xlpm.nEgal - 1) / 2,
  IF(I27=0, "", _xlpm.res)
)</f>
        <v/>
      </c>
      <c r="L27" s="5" cm="1">
        <f t="array" ref="L27">_xlfn.LET(
  _xlpm.ming, Constantes!$B$8,
  _xlpm.maxmma, Constantes!$B$6,
  _xlpm.minmma, Constantes!$B$7,
  _xlpm.maxp, MAX(_xlfn._xlws.FILTER(K:K, ISNUMBER(K:K))),
  _xlpm.place, IF(K27="", _xlpm.maxp, K27),
  MIN(_xlpm.ming,I27)/_xlpm.ming * ((_xlpm.maxp - _xlpm.place) / (_xlpm.maxp - 1) * (_xlpm.maxmma - _xlpm.minmma) + _xlpm.minmma)
)</f>
        <v>0</v>
      </c>
      <c r="M27" s="5">
        <f t="shared" si="0"/>
        <v>133</v>
      </c>
      <c r="N27" cm="1">
        <f t="array" ref="N27">_xlfn.LET(
  _xlpm.dates, INDEX('Elo calculation'!$C:$C, _xlfn.SEQUENCE(COUNTA('Elo calculation'!$C:$C)-2,1,2,4)),
  _xlpm.pts, INDEX('Elo calculation'!$A:$ZZ, _xlfn.SEQUENCE(COUNTA('Elo calculation'!$C:$C)-2,1,3,4), MATCH($A27,'Elo calculation'!$1:$1,0)),
  _xlpm.nbparties, SUMPRODUCT(--(_xlpm.dates &lt;= EOMONTH(N$1,0)), --(_xlpm.dates &gt;= N$1), --(_xlpm.pts &lt;&gt; "")),
  _xlpm.nbparties
)</f>
        <v>0</v>
      </c>
      <c r="O27" cm="1">
        <f t="array" ref="O27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MATCH($A27, 'Elo calculation'!$1:$1, 0),
    INDEX('Elo calculation'!$A:$ZZ, _xlpm.ligdate + 4, _xlpm.coljoueur)
)</f>
        <v>988.35669729544747</v>
      </c>
      <c r="P27" t="str" cm="1">
        <f t="array" ref="P27">_xlfn.LET(
  _xlpm.vals, _xlfn._xlws.FILTER(O:O, (N:N&gt;0)*(ISNUMBER(O:O)), ""),
  _xlpm.nPlus,  SUM(--(_xlpm.vals &gt; O27)),
  _xlpm.nEgal,  SUM(--(_xlpm.vals = O27)),
  _xlpm.res,  1 + _xlpm.nPlus + (_xlpm.nEgal - 1) / 2,
  IF(N27=0, "", _xlpm.res)
)</f>
        <v/>
      </c>
      <c r="Q27" s="5" cm="1">
        <f t="array" ref="Q27">_xlfn.LET(
  _xlpm.ming, Constantes!$B$8,
  _xlpm.maxmma, Constantes!$B$6,
  _xlpm.minmma, Constantes!$B$7,
  _xlpm.maxp, MAX(_xlfn._xlws.FILTER(P:P, ISNUMBER(P:P))),
  _xlpm.place, IF(P27="", _xlpm.maxp, P27),
  MIN(_xlpm.ming,N27)/_xlpm.ming * ((_xlpm.maxp - _xlpm.place) / (_xlpm.maxp - 1) * (_xlpm.maxmma - _xlpm.minmma) + _xlpm.minmma)
)</f>
        <v>0</v>
      </c>
      <c r="R27" s="5">
        <f t="shared" si="1"/>
        <v>133</v>
      </c>
    </row>
    <row r="28" spans="1:18" x14ac:dyDescent="0.25">
      <c r="A28" s="1" t="s">
        <v>60</v>
      </c>
      <c r="B28" s="1">
        <v>1032.51</v>
      </c>
      <c r="C28">
        <v>0</v>
      </c>
      <c r="D28" cm="1">
        <f t="array" ref="D28">_xlfn.LET(
  _xlpm.dates, INDEX('Elo calculation'!$C:$C, _xlfn.SEQUENCE(COUNTA('Elo calculation'!$C:$C)-2,1,2,4)),
  _xlpm.pts, INDEX('Elo calculation'!$A:$ZZ, _xlfn.SEQUENCE(COUNTA('Elo calculation'!$C:$C)-2,1,3,4), MATCH($A28,'Elo calculation'!$1:$1,0)),
  _xlpm.nbparties, SUMPRODUCT(--(_xlpm.dates &lt;= EOMONTH(D$1,0)), --(_xlpm.dates &gt;= D$1), --(_xlpm.pts &lt;&gt; "")),
  _xlpm.nbparties
)</f>
        <v>3</v>
      </c>
      <c r="E28" cm="1">
        <f t="array" ref="E28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MATCH($A28, 'Elo calculation'!$1:$1, 0),
    INDEX('Elo calculation'!$A:$ZZ, _xlpm.ligdate + 4, _xlpm.coljoueur)
)</f>
        <v>1046.8071957095806</v>
      </c>
      <c r="F28" cm="1">
        <f t="array" ref="F28">_xlfn.LET(
  _xlpm.vals, _xlfn._xlws.FILTER(E:E, (D:D&gt;0)*(ISNUMBER(E:E)), ""),
  _xlpm.nPlus,  SUM(--(_xlpm.vals &gt; E28)),
  _xlpm.nEgal,  SUM(--(_xlpm.vals = E28)),
  _xlpm.res,  1 + _xlpm.nPlus + (_xlpm.nEgal - 1) / 2,
  IF(D28=0, "", _xlpm.res)
)</f>
        <v>8</v>
      </c>
      <c r="G28" s="5" cm="1">
        <f t="array" ref="G28">_xlfn.LET(
  _xlpm.ming, Constantes!$B$8,
  _xlpm.maxmma, Constantes!$B$6,
  _xlpm.minmma, Constantes!$B$7,
  _xlpm.maxp, MAX(_xlfn._xlws.FILTER(F:F, ISNUMBER(F:F))),
  _xlpm.place, IF(F28="", _xlpm.maxp, F28),
  MIN(_xlpm.ming,D28)/_xlpm.ming * ((_xlpm.maxp - _xlpm.place) / (_xlpm.maxp - 1) * (_xlpm.maxmma - _xlpm.minmma) + _xlpm.minmma)
)</f>
        <v>280.5</v>
      </c>
      <c r="H28" s="5">
        <f t="shared" ref="H28" si="20">C28+G28</f>
        <v>280.5</v>
      </c>
      <c r="I28" cm="1">
        <f t="array" ref="I28">_xlfn.LET(
  _xlpm.dates, INDEX('Elo calculation'!$C:$C, _xlfn.SEQUENCE(COUNTA('Elo calculation'!$C:$C)-2,1,2,4)),
  _xlpm.pts, INDEX('Elo calculation'!$A:$ZZ, _xlfn.SEQUENCE(COUNTA('Elo calculation'!$C:$C)-2,1,3,4), MATCH($A28,'Elo calculation'!$1:$1,0)),
  _xlpm.nbparties, SUMPRODUCT(--(_xlpm.dates &lt;= EOMONTH(I$1,0)), --(_xlpm.dates &gt;= I$1), --(_xlpm.pts &lt;&gt; "")),
  _xlpm.nbparties
)</f>
        <v>13</v>
      </c>
      <c r="J28" cm="1">
        <f t="array" ref="J28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MATCH($A28, 'Elo calculation'!$1:$1, 0),
    INDEX('Elo calculation'!$A:$ZZ, _xlpm.ligdate + 4, _xlpm.coljoueur)
)</f>
        <v>992.29252562358954</v>
      </c>
      <c r="K28" cm="1">
        <f t="array" ref="K28">_xlfn.LET(
  _xlpm.vals, _xlfn._xlws.FILTER(J:J, (I:I&gt;0)*(ISNUMBER(J:J)), ""),
  _xlpm.nPlus,  SUM(--(_xlpm.vals &gt; J28)),
  _xlpm.nEgal,  SUM(--(_xlpm.vals = J28)),
  _xlpm.res,  1 + _xlpm.nPlus + (_xlpm.nEgal - 1) / 2,
  IF(I28=0, "", _xlpm.res)
)</f>
        <v>17</v>
      </c>
      <c r="L28" s="5" cm="1">
        <f t="array" ref="L28">_xlfn.LET(
  _xlpm.ming, Constantes!$B$8,
  _xlpm.maxmma, Constantes!$B$6,
  _xlpm.minmma, Constantes!$B$7,
  _xlpm.maxp, MAX(_xlfn._xlws.FILTER(K:K, ISNUMBER(K:K))),
  _xlpm.place, IF(K28="", _xlpm.maxp, K28),
  MIN(_xlpm.ming,I28)/_xlpm.ming * ((_xlpm.maxp - _xlpm.place) / (_xlpm.maxp - 1) * (_xlpm.maxmma - _xlpm.minmma) + _xlpm.minmma)
)</f>
        <v>288.23529411764707</v>
      </c>
      <c r="M28" s="5">
        <f t="shared" si="0"/>
        <v>568.73529411764707</v>
      </c>
      <c r="N28" cm="1">
        <f t="array" ref="N28">_xlfn.LET(
  _xlpm.dates, INDEX('Elo calculation'!$C:$C, _xlfn.SEQUENCE(COUNTA('Elo calculation'!$C:$C)-2,1,2,4)),
  _xlpm.pts, INDEX('Elo calculation'!$A:$ZZ, _xlfn.SEQUENCE(COUNTA('Elo calculation'!$C:$C)-2,1,3,4), MATCH($A28,'Elo calculation'!$1:$1,0)),
  _xlpm.nbparties, SUMPRODUCT(--(_xlpm.dates &lt;= EOMONTH(N$1,0)), --(_xlpm.dates &gt;= N$1), --(_xlpm.pts &lt;&gt; "")),
  _xlpm.nbparties
)</f>
        <v>4</v>
      </c>
      <c r="O28" cm="1">
        <f t="array" ref="O28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MATCH($A28, 'Elo calculation'!$1:$1, 0),
    INDEX('Elo calculation'!$A:$ZZ, _xlpm.ligdate + 4, _xlpm.coljoueur)
)</f>
        <v>913.83290299884754</v>
      </c>
      <c r="P28" cm="1">
        <f t="array" ref="P28">_xlfn.LET(
  _xlpm.vals, _xlfn._xlws.FILTER(O:O, (N:N&gt;0)*(ISNUMBER(O:O)), ""),
  _xlpm.nPlus,  SUM(--(_xlpm.vals &gt; O28)),
  _xlpm.nEgal,  SUM(--(_xlpm.vals = O28)),
  _xlpm.res,  1 + _xlpm.nPlus + (_xlpm.nEgal - 1) / 2,
  IF(N28=0, "", _xlpm.res)
)</f>
        <v>19</v>
      </c>
      <c r="Q28" s="5" cm="1">
        <f t="array" ref="Q28">_xlfn.LET(
  _xlpm.ming, Constantes!$B$8,
  _xlpm.maxmma, Constantes!$B$6,
  _xlpm.minmma, Constantes!$B$7,
  _xlpm.maxp, MAX(_xlfn._xlws.FILTER(P:P, ISNUMBER(P:P))),
  _xlpm.place, IF(P28="", _xlpm.maxp, P28),
  MIN(_xlpm.ming,N28)/_xlpm.ming * ((_xlpm.maxp - _xlpm.place) / (_xlpm.maxp - 1) * (_xlpm.maxmma - _xlpm.minmma) + _xlpm.minmma)
)</f>
        <v>147.82608695652175</v>
      </c>
      <c r="R28" s="5">
        <f t="shared" si="1"/>
        <v>716.56138107416882</v>
      </c>
    </row>
    <row r="29" spans="1:18" x14ac:dyDescent="0.25">
      <c r="A29" s="1" t="s">
        <v>61</v>
      </c>
      <c r="B29" s="1">
        <v>974.01499999999999</v>
      </c>
      <c r="C29">
        <v>0</v>
      </c>
      <c r="D29" cm="1">
        <f t="array" ref="D29">_xlfn.LET(
  _xlpm.dates, INDEX('Elo calculation'!$C:$C, _xlfn.SEQUENCE(COUNTA('Elo calculation'!$C:$C)-2,1,2,4)),
  _xlpm.pts, INDEX('Elo calculation'!$A:$ZZ, _xlfn.SEQUENCE(COUNTA('Elo calculation'!$C:$C)-2,1,3,4), MATCH($A29,'Elo calculation'!$1:$1,0)),
  _xlpm.nbparties, SUMPRODUCT(--(_xlpm.dates &lt;= EOMONTH(D$1,0)), --(_xlpm.dates &gt;= D$1), --(_xlpm.pts &lt;&gt; "")),
  _xlpm.nbparties
)</f>
        <v>0</v>
      </c>
      <c r="E29" cm="1">
        <f t="array" ref="E29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MATCH($A29, 'Elo calculation'!$1:$1, 0),
    INDEX('Elo calculation'!$A:$ZZ, _xlpm.ligdate + 4, _xlpm.coljoueur)
)</f>
        <v>974.01499999999999</v>
      </c>
      <c r="F29" t="str" cm="1">
        <f t="array" ref="F29">_xlfn.LET(
  _xlpm.vals, _xlfn._xlws.FILTER(E:E, (D:D&gt;0)*(ISNUMBER(E:E)), ""),
  _xlpm.nPlus,  SUM(--(_xlpm.vals &gt; E29)),
  _xlpm.nEgal,  SUM(--(_xlpm.vals = E29)),
  _xlpm.res,  1 + _xlpm.nPlus + (_xlpm.nEgal - 1) / 2,
  IF(D29=0, "", _xlpm.res)
)</f>
        <v/>
      </c>
      <c r="G29" s="5" cm="1">
        <f t="array" ref="G29">_xlfn.LET(
  _xlpm.ming, Constantes!$B$8,
  _xlpm.maxmma, Constantes!$B$6,
  _xlpm.minmma, Constantes!$B$7,
  _xlpm.maxp, MAX(_xlfn._xlws.FILTER(F:F, ISNUMBER(F:F))),
  _xlpm.place, IF(F29="", _xlpm.maxp, F29),
  MIN(_xlpm.ming,D29)/_xlpm.ming * ((_xlpm.maxp - _xlpm.place) / (_xlpm.maxp - 1) * (_xlpm.maxmma - _xlpm.minmma) + _xlpm.minmma)
)</f>
        <v>0</v>
      </c>
      <c r="H29" s="5">
        <f t="shared" ref="H29" si="21">C29+G29</f>
        <v>0</v>
      </c>
      <c r="I29" cm="1">
        <f t="array" ref="I29">_xlfn.LET(
  _xlpm.dates, INDEX('Elo calculation'!$C:$C, _xlfn.SEQUENCE(COUNTA('Elo calculation'!$C:$C)-2,1,2,4)),
  _xlpm.pts, INDEX('Elo calculation'!$A:$ZZ, _xlfn.SEQUENCE(COUNTA('Elo calculation'!$C:$C)-2,1,3,4), MATCH($A29,'Elo calculation'!$1:$1,0)),
  _xlpm.nbparties, SUMPRODUCT(--(_xlpm.dates &lt;= EOMONTH(I$1,0)), --(_xlpm.dates &gt;= I$1), --(_xlpm.pts &lt;&gt; "")),
  _xlpm.nbparties
)</f>
        <v>7</v>
      </c>
      <c r="J29" cm="1">
        <f t="array" ref="J29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MATCH($A29, 'Elo calculation'!$1:$1, 0),
    INDEX('Elo calculation'!$A:$ZZ, _xlpm.ligdate + 4, _xlpm.coljoueur)
)</f>
        <v>1093.8192243082785</v>
      </c>
      <c r="K29" cm="1">
        <f t="array" ref="K29">_xlfn.LET(
  _xlpm.vals, _xlfn._xlws.FILTER(J:J, (I:I&gt;0)*(ISNUMBER(J:J)), ""),
  _xlpm.nPlus,  SUM(--(_xlpm.vals &gt; J29)),
  _xlpm.nEgal,  SUM(--(_xlpm.vals = J29)),
  _xlpm.res,  1 + _xlpm.nPlus + (_xlpm.nEgal - 1) / 2,
  IF(I29=0, "", _xlpm.res)
)</f>
        <v>6</v>
      </c>
      <c r="L29" s="5" cm="1">
        <f t="array" ref="L29">_xlfn.LET(
  _xlpm.ming, Constantes!$B$8,
  _xlpm.maxmma, Constantes!$B$6,
  _xlpm.minmma, Constantes!$B$7,
  _xlpm.maxp, MAX(_xlfn._xlws.FILTER(K:K, ISNUMBER(K:K))),
  _xlpm.place, IF(K29="", _xlpm.maxp, K29),
  MIN(_xlpm.ming,I29)/_xlpm.ming * ((_xlpm.maxp - _xlpm.place) / (_xlpm.maxp - 1) * (_xlpm.maxmma - _xlpm.minmma) + _xlpm.minmma)
)</f>
        <v>433.8235294117647</v>
      </c>
      <c r="M29" s="5">
        <f t="shared" si="0"/>
        <v>433.8235294117647</v>
      </c>
      <c r="N29" cm="1">
        <f t="array" ref="N29">_xlfn.LET(
  _xlpm.dates, INDEX('Elo calculation'!$C:$C, _xlfn.SEQUENCE(COUNTA('Elo calculation'!$C:$C)-2,1,2,4)),
  _xlpm.pts, INDEX('Elo calculation'!$A:$ZZ, _xlfn.SEQUENCE(COUNTA('Elo calculation'!$C:$C)-2,1,3,4), MATCH($A29,'Elo calculation'!$1:$1,0)),
  _xlpm.nbparties, SUMPRODUCT(--(_xlpm.dates &lt;= EOMONTH(N$1,0)), --(_xlpm.dates &gt;= N$1), --(_xlpm.pts &lt;&gt; "")),
  _xlpm.nbparties
)</f>
        <v>3</v>
      </c>
      <c r="O29" cm="1">
        <f t="array" ref="O29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MATCH($A29, 'Elo calculation'!$1:$1, 0),
    INDEX('Elo calculation'!$A:$ZZ, _xlpm.ligdate + 4, _xlpm.coljoueur)
)</f>
        <v>1054.5168154629837</v>
      </c>
      <c r="P29" cm="1">
        <f t="array" ref="P29">_xlfn.LET(
  _xlpm.vals, _xlfn._xlws.FILTER(O:O, (N:N&gt;0)*(ISNUMBER(O:O)), ""),
  _xlpm.nPlus,  SUM(--(_xlpm.vals &gt; O29)),
  _xlpm.nEgal,  SUM(--(_xlpm.vals = O29)),
  _xlpm.res,  1 + _xlpm.nPlus + (_xlpm.nEgal - 1) / 2,
  IF(N29=0, "", _xlpm.res)
)</f>
        <v>7</v>
      </c>
      <c r="Q29" s="5" cm="1">
        <f t="array" ref="Q29">_xlfn.LET(
  _xlpm.ming, Constantes!$B$8,
  _xlpm.maxmma, Constantes!$B$6,
  _xlpm.minmma, Constantes!$B$7,
  _xlpm.maxp, MAX(_xlfn._xlws.FILTER(P:P, ISNUMBER(P:P))),
  _xlpm.place, IF(P29="", _xlpm.maxp, P29),
  MIN(_xlpm.ming,N29)/_xlpm.ming * ((_xlpm.maxp - _xlpm.place) / (_xlpm.maxp - 1) * (_xlpm.maxmma - _xlpm.minmma) + _xlpm.minmma)
)</f>
        <v>286.95652173913038</v>
      </c>
      <c r="R29" s="5">
        <f t="shared" si="1"/>
        <v>720.78005115089513</v>
      </c>
    </row>
    <row r="30" spans="1:18" x14ac:dyDescent="0.25">
      <c r="A30" s="1" t="s">
        <v>63</v>
      </c>
      <c r="B30" s="1">
        <v>1011.415</v>
      </c>
      <c r="C30">
        <v>0</v>
      </c>
      <c r="D30" cm="1">
        <f t="array" ref="D30">_xlfn.LET(
  _xlpm.dates, INDEX('Elo calculation'!$C:$C, _xlfn.SEQUENCE(COUNTA('Elo calculation'!$C:$C)-2,1,2,4)),
  _xlpm.pts, INDEX('Elo calculation'!$A:$ZZ, _xlfn.SEQUENCE(COUNTA('Elo calculation'!$C:$C)-2,1,3,4), MATCH($A30,'Elo calculation'!$1:$1,0)),
  _xlpm.nbparties, SUMPRODUCT(--(_xlpm.dates &lt;= EOMONTH(D$1,0)), --(_xlpm.dates &gt;= D$1), --(_xlpm.pts &lt;&gt; "")),
  _xlpm.nbparties
)</f>
        <v>0</v>
      </c>
      <c r="E30" cm="1">
        <f t="array" ref="E30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MATCH($A30, 'Elo calculation'!$1:$1, 0),
    INDEX('Elo calculation'!$A:$ZZ, _xlpm.ligdate + 4, _xlpm.coljoueur)
)</f>
        <v>1011.415</v>
      </c>
      <c r="F30" t="str" cm="1">
        <f t="array" ref="F30">_xlfn.LET(
  _xlpm.vals, _xlfn._xlws.FILTER(E:E, (D:D&gt;0)*(ISNUMBER(E:E)), ""),
  _xlpm.nPlus,  SUM(--(_xlpm.vals &gt; E30)),
  _xlpm.nEgal,  SUM(--(_xlpm.vals = E30)),
  _xlpm.res,  1 + _xlpm.nPlus + (_xlpm.nEgal - 1) / 2,
  IF(D30=0, "", _xlpm.res)
)</f>
        <v/>
      </c>
      <c r="G30" s="5" cm="1">
        <f t="array" ref="G30">_xlfn.LET(
  _xlpm.ming, Constantes!$B$8,
  _xlpm.maxmma, Constantes!$B$6,
  _xlpm.minmma, Constantes!$B$7,
  _xlpm.maxp, MAX(_xlfn._xlws.FILTER(F:F, ISNUMBER(F:F))),
  _xlpm.place, IF(F30="", _xlpm.maxp, F30),
  MIN(_xlpm.ming,D30)/_xlpm.ming * ((_xlpm.maxp - _xlpm.place) / (_xlpm.maxp - 1) * (_xlpm.maxmma - _xlpm.minmma) + _xlpm.minmma)
)</f>
        <v>0</v>
      </c>
      <c r="H30" s="5">
        <f t="shared" ref="H30:H32" si="22">C30+G30</f>
        <v>0</v>
      </c>
      <c r="I30" cm="1">
        <f t="array" ref="I30">_xlfn.LET(
  _xlpm.dates, INDEX('Elo calculation'!$C:$C, _xlfn.SEQUENCE(COUNTA('Elo calculation'!$C:$C)-2,1,2,4)),
  _xlpm.pts, INDEX('Elo calculation'!$A:$ZZ, _xlfn.SEQUENCE(COUNTA('Elo calculation'!$C:$C)-2,1,3,4), MATCH($A30,'Elo calculation'!$1:$1,0)),
  _xlpm.nbparties, SUMPRODUCT(--(_xlpm.dates &lt;= EOMONTH(I$1,0)), --(_xlpm.dates &gt;= I$1), --(_xlpm.pts &lt;&gt; "")),
  _xlpm.nbparties
)</f>
        <v>2</v>
      </c>
      <c r="J30" cm="1">
        <f t="array" ref="J30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MATCH($A30, 'Elo calculation'!$1:$1, 0),
    INDEX('Elo calculation'!$A:$ZZ, _xlpm.ligdate + 4, _xlpm.coljoueur)
)</f>
        <v>963.23981965000235</v>
      </c>
      <c r="K30" cm="1">
        <f t="array" ref="K30">_xlfn.LET(
  _xlpm.vals, _xlfn._xlws.FILTER(J:J, (I:I&gt;0)*(ISNUMBER(J:J)), ""),
  _xlpm.nPlus,  SUM(--(_xlpm.vals &gt; J30)),
  _xlpm.nEgal,  SUM(--(_xlpm.vals = J30)),
  _xlpm.res,  1 + _xlpm.nPlus + (_xlpm.nEgal - 1) / 2,
  IF(I30=0, "", _xlpm.res)
)</f>
        <v>22</v>
      </c>
      <c r="L30" s="5" cm="1">
        <f t="array" ref="L30">_xlfn.LET(
  _xlpm.ming, Constantes!$B$8,
  _xlpm.maxmma, Constantes!$B$6,
  _xlpm.minmma, Constantes!$B$7,
  _xlpm.maxp, MAX(_xlfn._xlws.FILTER(K:K, ISNUMBER(K:K))),
  _xlpm.place, IF(K30="", _xlpm.maxp, K30),
  MIN(_xlpm.ming,I30)/_xlpm.ming * ((_xlpm.maxp - _xlpm.place) / (_xlpm.maxp - 1) * (_xlpm.maxmma - _xlpm.minmma) + _xlpm.minmma)
)</f>
        <v>111.02941176470587</v>
      </c>
      <c r="M30" s="5">
        <f t="shared" si="0"/>
        <v>111.02941176470587</v>
      </c>
      <c r="N30" cm="1">
        <f t="array" ref="N30">_xlfn.LET(
  _xlpm.dates, INDEX('Elo calculation'!$C:$C, _xlfn.SEQUENCE(COUNTA('Elo calculation'!$C:$C)-2,1,2,4)),
  _xlpm.pts, INDEX('Elo calculation'!$A:$ZZ, _xlfn.SEQUENCE(COUNTA('Elo calculation'!$C:$C)-2,1,3,4), MATCH($A30,'Elo calculation'!$1:$1,0)),
  _xlpm.nbparties, SUMPRODUCT(--(_xlpm.dates &lt;= EOMONTH(N$1,0)), --(_xlpm.dates &gt;= N$1), --(_xlpm.pts &lt;&gt; "")),
  _xlpm.nbparties
)</f>
        <v>0</v>
      </c>
      <c r="O30" cm="1">
        <f t="array" ref="O30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MATCH($A30, 'Elo calculation'!$1:$1, 0),
    INDEX('Elo calculation'!$A:$ZZ, _xlpm.ligdate + 4, _xlpm.coljoueur)
)</f>
        <v>963.23981965000235</v>
      </c>
      <c r="P30" t="str" cm="1">
        <f t="array" ref="P30">_xlfn.LET(
  _xlpm.vals, _xlfn._xlws.FILTER(O:O, (N:N&gt;0)*(ISNUMBER(O:O)), ""),
  _xlpm.nPlus,  SUM(--(_xlpm.vals &gt; O30)),
  _xlpm.nEgal,  SUM(--(_xlpm.vals = O30)),
  _xlpm.res,  1 + _xlpm.nPlus + (_xlpm.nEgal - 1) / 2,
  IF(N30=0, "", _xlpm.res)
)</f>
        <v/>
      </c>
      <c r="Q30" s="5" cm="1">
        <f t="array" ref="Q30">_xlfn.LET(
  _xlpm.ming, Constantes!$B$8,
  _xlpm.maxmma, Constantes!$B$6,
  _xlpm.minmma, Constantes!$B$7,
  _xlpm.maxp, MAX(_xlfn._xlws.FILTER(P:P, ISNUMBER(P:P))),
  _xlpm.place, IF(P30="", _xlpm.maxp, P30),
  MIN(_xlpm.ming,N30)/_xlpm.ming * ((_xlpm.maxp - _xlpm.place) / (_xlpm.maxp - 1) * (_xlpm.maxmma - _xlpm.minmma) + _xlpm.minmma)
)</f>
        <v>0</v>
      </c>
      <c r="R30" s="5">
        <f t="shared" si="1"/>
        <v>111.02941176470587</v>
      </c>
    </row>
    <row r="31" spans="1:18" x14ac:dyDescent="0.25">
      <c r="A31" s="1" t="s">
        <v>64</v>
      </c>
      <c r="B31" s="1">
        <v>1031.1199999999999</v>
      </c>
      <c r="C31">
        <v>0</v>
      </c>
      <c r="D31" cm="1">
        <f t="array" ref="D31">_xlfn.LET(
  _xlpm.dates, INDEX('Elo calculation'!$C:$C, _xlfn.SEQUENCE(COUNTA('Elo calculation'!$C:$C)-2,1,2,4)),
  _xlpm.pts, INDEX('Elo calculation'!$A:$ZZ, _xlfn.SEQUENCE(COUNTA('Elo calculation'!$C:$C)-2,1,3,4), MATCH($A31,'Elo calculation'!$1:$1,0)),
  _xlpm.nbparties, SUMPRODUCT(--(_xlpm.dates &lt;= EOMONTH(D$1,0)), --(_xlpm.dates &gt;= D$1), --(_xlpm.pts &lt;&gt; "")),
  _xlpm.nbparties
)</f>
        <v>0</v>
      </c>
      <c r="E31" cm="1">
        <f t="array" ref="E31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MATCH($A31, 'Elo calculation'!$1:$1, 0),
    INDEX('Elo calculation'!$A:$ZZ, _xlpm.ligdate + 4, _xlpm.coljoueur)
)</f>
        <v>1031.1199999999999</v>
      </c>
      <c r="F31" t="str" cm="1">
        <f t="array" ref="F31">_xlfn.LET(
  _xlpm.vals, _xlfn._xlws.FILTER(E:E, (D:D&gt;0)*(ISNUMBER(E:E)), ""),
  _xlpm.nPlus,  SUM(--(_xlpm.vals &gt; E31)),
  _xlpm.nEgal,  SUM(--(_xlpm.vals = E31)),
  _xlpm.res,  1 + _xlpm.nPlus + (_xlpm.nEgal - 1) / 2,
  IF(D31=0, "", _xlpm.res)
)</f>
        <v/>
      </c>
      <c r="G31" s="5" cm="1">
        <f t="array" ref="G31">_xlfn.LET(
  _xlpm.ming, Constantes!$B$8,
  _xlpm.maxmma, Constantes!$B$6,
  _xlpm.minmma, Constantes!$B$7,
  _xlpm.maxp, MAX(_xlfn._xlws.FILTER(F:F, ISNUMBER(F:F))),
  _xlpm.place, IF(F31="", _xlpm.maxp, F31),
  MIN(_xlpm.ming,D31)/_xlpm.ming * ((_xlpm.maxp - _xlpm.place) / (_xlpm.maxp - 1) * (_xlpm.maxmma - _xlpm.minmma) + _xlpm.minmma)
)</f>
        <v>0</v>
      </c>
      <c r="H31" s="5">
        <f t="shared" si="22"/>
        <v>0</v>
      </c>
      <c r="I31" cm="1">
        <f t="array" ref="I31">_xlfn.LET(
  _xlpm.dates, INDEX('Elo calculation'!$C:$C, _xlfn.SEQUENCE(COUNTA('Elo calculation'!$C:$C)-2,1,2,4)),
  _xlpm.pts, INDEX('Elo calculation'!$A:$ZZ, _xlfn.SEQUENCE(COUNTA('Elo calculation'!$C:$C)-2,1,3,4), MATCH($A31,'Elo calculation'!$1:$1,0)),
  _xlpm.nbparties, SUMPRODUCT(--(_xlpm.dates &lt;= EOMONTH(I$1,0)), --(_xlpm.dates &gt;= I$1), --(_xlpm.pts &lt;&gt; "")),
  _xlpm.nbparties
)</f>
        <v>2</v>
      </c>
      <c r="J31" cm="1">
        <f t="array" ref="J31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MATCH($A31, 'Elo calculation'!$1:$1, 0),
    INDEX('Elo calculation'!$A:$ZZ, _xlpm.ligdate + 4, _xlpm.coljoueur)
)</f>
        <v>1094.8196847516158</v>
      </c>
      <c r="K31" cm="1">
        <f t="array" ref="K31">_xlfn.LET(
  _xlpm.vals, _xlfn._xlws.FILTER(J:J, (I:I&gt;0)*(ISNUMBER(J:J)), ""),
  _xlpm.nPlus,  SUM(--(_xlpm.vals &gt; J31)),
  _xlpm.nEgal,  SUM(--(_xlpm.vals = J31)),
  _xlpm.res,  1 + _xlpm.nPlus + (_xlpm.nEgal - 1) / 2,
  IF(I31=0, "", _xlpm.res)
)</f>
        <v>5</v>
      </c>
      <c r="L31" s="5" cm="1">
        <f t="array" ref="L31">_xlfn.LET(
  _xlpm.ming, Constantes!$B$8,
  _xlpm.maxmma, Constantes!$B$6,
  _xlpm.minmma, Constantes!$B$7,
  _xlpm.maxp, MAX(_xlfn._xlws.FILTER(K:K, ISNUMBER(K:K))),
  _xlpm.place, IF(K31="", _xlpm.maxp, K31),
  MIN(_xlpm.ming,I31)/_xlpm.ming * ((_xlpm.maxp - _xlpm.place) / (_xlpm.maxp - 1) * (_xlpm.maxmma - _xlpm.minmma) + _xlpm.minmma)
)</f>
        <v>223.52941176470588</v>
      </c>
      <c r="M31" s="5">
        <f t="shared" si="0"/>
        <v>223.52941176470588</v>
      </c>
      <c r="N31" cm="1">
        <f t="array" ref="N31">_xlfn.LET(
  _xlpm.dates, INDEX('Elo calculation'!$C:$C, _xlfn.SEQUENCE(COUNTA('Elo calculation'!$C:$C)-2,1,2,4)),
  _xlpm.pts, INDEX('Elo calculation'!$A:$ZZ, _xlfn.SEQUENCE(COUNTA('Elo calculation'!$C:$C)-2,1,3,4), MATCH($A31,'Elo calculation'!$1:$1,0)),
  _xlpm.nbparties, SUMPRODUCT(--(_xlpm.dates &lt;= EOMONTH(N$1,0)), --(_xlpm.dates &gt;= N$1), --(_xlpm.pts &lt;&gt; "")),
  _xlpm.nbparties
)</f>
        <v>0</v>
      </c>
      <c r="O31" cm="1">
        <f t="array" ref="O31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MATCH($A31, 'Elo calculation'!$1:$1, 0),
    INDEX('Elo calculation'!$A:$ZZ, _xlpm.ligdate + 4, _xlpm.coljoueur)
)</f>
        <v>1094.8196847516158</v>
      </c>
      <c r="P31" t="str" cm="1">
        <f t="array" ref="P31">_xlfn.LET(
  _xlpm.vals, _xlfn._xlws.FILTER(O:O, (N:N&gt;0)*(ISNUMBER(O:O)), ""),
  _xlpm.nPlus,  SUM(--(_xlpm.vals &gt; O31)),
  _xlpm.nEgal,  SUM(--(_xlpm.vals = O31)),
  _xlpm.res,  1 + _xlpm.nPlus + (_xlpm.nEgal - 1) / 2,
  IF(N31=0, "", _xlpm.res)
)</f>
        <v/>
      </c>
      <c r="Q31" s="5" cm="1">
        <f t="array" ref="Q31">_xlfn.LET(
  _xlpm.ming, Constantes!$B$8,
  _xlpm.maxmma, Constantes!$B$6,
  _xlpm.minmma, Constantes!$B$7,
  _xlpm.maxp, MAX(_xlfn._xlws.FILTER(P:P, ISNUMBER(P:P))),
  _xlpm.place, IF(P31="", _xlpm.maxp, P31),
  MIN(_xlpm.ming,N31)/_xlpm.ming * ((_xlpm.maxp - _xlpm.place) / (_xlpm.maxp - 1) * (_xlpm.maxmma - _xlpm.minmma) + _xlpm.minmma)
)</f>
        <v>0</v>
      </c>
      <c r="R31" s="5">
        <f t="shared" si="1"/>
        <v>223.52941176470588</v>
      </c>
    </row>
    <row r="32" spans="1:18" x14ac:dyDescent="0.25">
      <c r="A32" s="1" t="s">
        <v>65</v>
      </c>
      <c r="B32" s="1">
        <v>1001.0350000000001</v>
      </c>
      <c r="C32">
        <v>0</v>
      </c>
      <c r="D32" cm="1">
        <f t="array" ref="D32">_xlfn.LET(
  _xlpm.dates, INDEX('Elo calculation'!$C:$C, _xlfn.SEQUENCE(COUNTA('Elo calculation'!$C:$C)-2,1,2,4)),
  _xlpm.pts, INDEX('Elo calculation'!$A:$ZZ, _xlfn.SEQUENCE(COUNTA('Elo calculation'!$C:$C)-2,1,3,4), MATCH($A32,'Elo calculation'!$1:$1,0)),
  _xlpm.nbparties, SUMPRODUCT(--(_xlpm.dates &lt;= EOMONTH(D$1,0)), --(_xlpm.dates &gt;= D$1), --(_xlpm.pts &lt;&gt; "")),
  _xlpm.nbparties
)</f>
        <v>0</v>
      </c>
      <c r="E32" cm="1">
        <f t="array" ref="E32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MATCH($A32, 'Elo calculation'!$1:$1, 0),
    INDEX('Elo calculation'!$A:$ZZ, _xlpm.ligdate + 4, _xlpm.coljoueur)
)</f>
        <v>1001.0350000000001</v>
      </c>
      <c r="F32" t="str" cm="1">
        <f t="array" ref="F32">_xlfn.LET(
  _xlpm.vals, _xlfn._xlws.FILTER(E:E, (D:D&gt;0)*(ISNUMBER(E:E)), ""),
  _xlpm.nPlus,  SUM(--(_xlpm.vals &gt; E32)),
  _xlpm.nEgal,  SUM(--(_xlpm.vals = E32)),
  _xlpm.res,  1 + _xlpm.nPlus + (_xlpm.nEgal - 1) / 2,
  IF(D32=0, "", _xlpm.res)
)</f>
        <v/>
      </c>
      <c r="G32" s="5" cm="1">
        <f t="array" ref="G32">_xlfn.LET(
  _xlpm.ming, Constantes!$B$8,
  _xlpm.maxmma, Constantes!$B$6,
  _xlpm.minmma, Constantes!$B$7,
  _xlpm.maxp, MAX(_xlfn._xlws.FILTER(F:F, ISNUMBER(F:F))),
  _xlpm.place, IF(F32="", _xlpm.maxp, F32),
  MIN(_xlpm.ming,D32)/_xlpm.ming * ((_xlpm.maxp - _xlpm.place) / (_xlpm.maxp - 1) * (_xlpm.maxmma - _xlpm.minmma) + _xlpm.minmma)
)</f>
        <v>0</v>
      </c>
      <c r="H32" s="5">
        <f t="shared" si="22"/>
        <v>0</v>
      </c>
      <c r="I32" cm="1">
        <f t="array" ref="I32">_xlfn.LET(
  _xlpm.dates, INDEX('Elo calculation'!$C:$C, _xlfn.SEQUENCE(COUNTA('Elo calculation'!$C:$C)-2,1,2,4)),
  _xlpm.pts, INDEX('Elo calculation'!$A:$ZZ, _xlfn.SEQUENCE(COUNTA('Elo calculation'!$C:$C)-2,1,3,4), MATCH($A32,'Elo calculation'!$1:$1,0)),
  _xlpm.nbparties, SUMPRODUCT(--(_xlpm.dates &lt;= EOMONTH(I$1,0)), --(_xlpm.dates &gt;= I$1), --(_xlpm.pts &lt;&gt; "")),
  _xlpm.nbparties
)</f>
        <v>2</v>
      </c>
      <c r="J32" cm="1">
        <f t="array" ref="J32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MATCH($A32, 'Elo calculation'!$1:$1, 0),
    INDEX('Elo calculation'!$A:$ZZ, _xlpm.ligdate + 4, _xlpm.coljoueur)
)</f>
        <v>958.23078604304851</v>
      </c>
      <c r="K32" cm="1">
        <f t="array" ref="K32">_xlfn.LET(
  _xlpm.vals, _xlfn._xlws.FILTER(J:J, (I:I&gt;0)*(ISNUMBER(J:J)), ""),
  _xlpm.nPlus,  SUM(--(_xlpm.vals &gt; J32)),
  _xlpm.nEgal,  SUM(--(_xlpm.vals = J32)),
  _xlpm.res,  1 + _xlpm.nPlus + (_xlpm.nEgal - 1) / 2,
  IF(I32=0, "", _xlpm.res)
)</f>
        <v>23</v>
      </c>
      <c r="L32" s="5" cm="1">
        <f t="array" ref="L32">_xlfn.LET(
  _xlpm.ming, Constantes!$B$8,
  _xlpm.maxmma, Constantes!$B$6,
  _xlpm.minmma, Constantes!$B$7,
  _xlpm.maxp, MAX(_xlfn._xlws.FILTER(K:K, ISNUMBER(K:K))),
  _xlpm.place, IF(K32="", _xlpm.maxp, K32),
  MIN(_xlpm.ming,I32)/_xlpm.ming * ((_xlpm.maxp - _xlpm.place) / (_xlpm.maxp - 1) * (_xlpm.maxmma - _xlpm.minmma) + _xlpm.minmma)
)</f>
        <v>104.41176470588236</v>
      </c>
      <c r="M32" s="5">
        <f t="shared" si="0"/>
        <v>104.41176470588236</v>
      </c>
      <c r="N32" cm="1">
        <f t="array" ref="N32">_xlfn.LET(
  _xlpm.dates, INDEX('Elo calculation'!$C:$C, _xlfn.SEQUENCE(COUNTA('Elo calculation'!$C:$C)-2,1,2,4)),
  _xlpm.pts, INDEX('Elo calculation'!$A:$ZZ, _xlfn.SEQUENCE(COUNTA('Elo calculation'!$C:$C)-2,1,3,4), MATCH($A32,'Elo calculation'!$1:$1,0)),
  _xlpm.nbparties, SUMPRODUCT(--(_xlpm.dates &lt;= EOMONTH(N$1,0)), --(_xlpm.dates &gt;= N$1), --(_xlpm.pts &lt;&gt; "")),
  _xlpm.nbparties
)</f>
        <v>0</v>
      </c>
      <c r="O32" cm="1">
        <f t="array" ref="O32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MATCH($A32, 'Elo calculation'!$1:$1, 0),
    INDEX('Elo calculation'!$A:$ZZ, _xlpm.ligdate + 4, _xlpm.coljoueur)
)</f>
        <v>958.23078604304851</v>
      </c>
      <c r="P32" t="str" cm="1">
        <f t="array" ref="P32">_xlfn.LET(
  _xlpm.vals, _xlfn._xlws.FILTER(O:O, (N:N&gt;0)*(ISNUMBER(O:O)), ""),
  _xlpm.nPlus,  SUM(--(_xlpm.vals &gt; O32)),
  _xlpm.nEgal,  SUM(--(_xlpm.vals = O32)),
  _xlpm.res,  1 + _xlpm.nPlus + (_xlpm.nEgal - 1) / 2,
  IF(N32=0, "", _xlpm.res)
)</f>
        <v/>
      </c>
      <c r="Q32" s="5" cm="1">
        <f t="array" ref="Q32">_xlfn.LET(
  _xlpm.ming, Constantes!$B$8,
  _xlpm.maxmma, Constantes!$B$6,
  _xlpm.minmma, Constantes!$B$7,
  _xlpm.maxp, MAX(_xlfn._xlws.FILTER(P:P, ISNUMBER(P:P))),
  _xlpm.place, IF(P32="", _xlpm.maxp, P32),
  MIN(_xlpm.ming,N32)/_xlpm.ming * ((_xlpm.maxp - _xlpm.place) / (_xlpm.maxp - 1) * (_xlpm.maxmma - _xlpm.minmma) + _xlpm.minmma)
)</f>
        <v>0</v>
      </c>
      <c r="R32" s="5">
        <f t="shared" si="1"/>
        <v>104.41176470588236</v>
      </c>
    </row>
    <row r="33" spans="1:18" x14ac:dyDescent="0.25">
      <c r="A33" s="1" t="s">
        <v>66</v>
      </c>
      <c r="B33" s="1">
        <v>994.44</v>
      </c>
      <c r="C33">
        <v>0</v>
      </c>
      <c r="D33" cm="1">
        <f t="array" ref="D33">_xlfn.LET(
  _xlpm.dates, INDEX('Elo calculation'!$C:$C, _xlfn.SEQUENCE(COUNTA('Elo calculation'!$C:$C)-2,1,2,4)),
  _xlpm.pts, INDEX('Elo calculation'!$A:$ZZ, _xlfn.SEQUENCE(COUNTA('Elo calculation'!$C:$C)-2,1,3,4), MATCH($A33,'Elo calculation'!$1:$1,0)),
  _xlpm.nbparties, SUMPRODUCT(--(_xlpm.dates &lt;= EOMONTH(D$1,0)), --(_xlpm.dates &gt;= D$1), --(_xlpm.pts &lt;&gt; "")),
  _xlpm.nbparties
)</f>
        <v>0</v>
      </c>
      <c r="E33" cm="1">
        <f t="array" ref="E33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MATCH($A33, 'Elo calculation'!$1:$1, 0),
    INDEX('Elo calculation'!$A:$ZZ, _xlpm.ligdate + 4, _xlpm.coljoueur)
)</f>
        <v>994.44</v>
      </c>
      <c r="F33" t="str" cm="1">
        <f t="array" ref="F33">_xlfn.LET(
  _xlpm.vals, _xlfn._xlws.FILTER(E:E, (D:D&gt;0)*(ISNUMBER(E:E)), ""),
  _xlpm.nPlus,  SUM(--(_xlpm.vals &gt; E33)),
  _xlpm.nEgal,  SUM(--(_xlpm.vals = E33)),
  _xlpm.res,  1 + _xlpm.nPlus + (_xlpm.nEgal - 1) / 2,
  IF(D33=0, "", _xlpm.res)
)</f>
        <v/>
      </c>
      <c r="G33" s="5" cm="1">
        <f t="array" ref="G33">_xlfn.LET(
  _xlpm.ming, Constantes!$B$8,
  _xlpm.maxmma, Constantes!$B$6,
  _xlpm.minmma, Constantes!$B$7,
  _xlpm.maxp, MAX(_xlfn._xlws.FILTER(F:F, ISNUMBER(F:F))),
  _xlpm.place, IF(F33="", _xlpm.maxp, F33),
  MIN(_xlpm.ming,D33)/_xlpm.ming * ((_xlpm.maxp - _xlpm.place) / (_xlpm.maxp - 1) * (_xlpm.maxmma - _xlpm.minmma) + _xlpm.minmma)
)</f>
        <v>0</v>
      </c>
      <c r="H33" s="5">
        <f t="shared" ref="H33" si="23">C33+G33</f>
        <v>0</v>
      </c>
      <c r="I33" cm="1">
        <f t="array" ref="I33">_xlfn.LET(
  _xlpm.dates, INDEX('Elo calculation'!$C:$C, _xlfn.SEQUENCE(COUNTA('Elo calculation'!$C:$C)-2,1,2,4)),
  _xlpm.pts, INDEX('Elo calculation'!$A:$ZZ, _xlfn.SEQUENCE(COUNTA('Elo calculation'!$C:$C)-2,1,3,4), MATCH($A33,'Elo calculation'!$1:$1,0)),
  _xlpm.nbparties, SUMPRODUCT(--(_xlpm.dates &lt;= EOMONTH(I$1,0)), --(_xlpm.dates &gt;= I$1), --(_xlpm.pts &lt;&gt; "")),
  _xlpm.nbparties
)</f>
        <v>1</v>
      </c>
      <c r="J33" cm="1">
        <f t="array" ref="J33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MATCH($A33, 'Elo calculation'!$1:$1, 0),
    INDEX('Elo calculation'!$A:$ZZ, _xlpm.ligdate + 4, _xlpm.coljoueur)
)</f>
        <v>920.4412636682855</v>
      </c>
      <c r="K33" cm="1">
        <f t="array" ref="K33">_xlfn.LET(
  _xlpm.vals, _xlfn._xlws.FILTER(J:J, (I:I&gt;0)*(ISNUMBER(J:J)), ""),
  _xlpm.nPlus,  SUM(--(_xlpm.vals &gt; J33)),
  _xlpm.nEgal,  SUM(--(_xlpm.vals = J33)),
  _xlpm.res,  1 + _xlpm.nPlus + (_xlpm.nEgal - 1) / 2,
  IF(I33=0, "", _xlpm.res)
)</f>
        <v>26</v>
      </c>
      <c r="L33" s="5" cm="1">
        <f t="array" ref="L33">_xlfn.LET(
  _xlpm.ming, Constantes!$B$8,
  _xlpm.maxmma, Constantes!$B$6,
  _xlpm.minmma, Constantes!$B$7,
  _xlpm.maxp, MAX(_xlfn._xlws.FILTER(K:K, ISNUMBER(K:K))),
  _xlpm.place, IF(K33="", _xlpm.maxp, K33),
  MIN(_xlpm.ming,I33)/_xlpm.ming * ((_xlpm.maxp - _xlpm.place) / (_xlpm.maxp - 1) * (_xlpm.maxmma - _xlpm.minmma) + _xlpm.minmma)
)</f>
        <v>42.279411764705884</v>
      </c>
      <c r="M33" s="5">
        <f t="shared" si="0"/>
        <v>42.279411764705884</v>
      </c>
      <c r="N33" cm="1">
        <f t="array" ref="N33">_xlfn.LET(
  _xlpm.dates, INDEX('Elo calculation'!$C:$C, _xlfn.SEQUENCE(COUNTA('Elo calculation'!$C:$C)-2,1,2,4)),
  _xlpm.pts, INDEX('Elo calculation'!$A:$ZZ, _xlfn.SEQUENCE(COUNTA('Elo calculation'!$C:$C)-2,1,3,4), MATCH($A33,'Elo calculation'!$1:$1,0)),
  _xlpm.nbparties, SUMPRODUCT(--(_xlpm.dates &lt;= EOMONTH(N$1,0)), --(_xlpm.dates &gt;= N$1), --(_xlpm.pts &lt;&gt; "")),
  _xlpm.nbparties
)</f>
        <v>0</v>
      </c>
      <c r="O33" cm="1">
        <f t="array" ref="O33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MATCH($A33, 'Elo calculation'!$1:$1, 0),
    INDEX('Elo calculation'!$A:$ZZ, _xlpm.ligdate + 4, _xlpm.coljoueur)
)</f>
        <v>920.4412636682855</v>
      </c>
      <c r="P33" t="str" cm="1">
        <f t="array" ref="P33">_xlfn.LET(
  _xlpm.vals, _xlfn._xlws.FILTER(O:O, (N:N&gt;0)*(ISNUMBER(O:O)), ""),
  _xlpm.nPlus,  SUM(--(_xlpm.vals &gt; O33)),
  _xlpm.nEgal,  SUM(--(_xlpm.vals = O33)),
  _xlpm.res,  1 + _xlpm.nPlus + (_xlpm.nEgal - 1) / 2,
  IF(N33=0, "", _xlpm.res)
)</f>
        <v/>
      </c>
      <c r="Q33" s="5" cm="1">
        <f t="array" ref="Q33">_xlfn.LET(
  _xlpm.ming, Constantes!$B$8,
  _xlpm.maxmma, Constantes!$B$6,
  _xlpm.minmma, Constantes!$B$7,
  _xlpm.maxp, MAX(_xlfn._xlws.FILTER(P:P, ISNUMBER(P:P))),
  _xlpm.place, IF(P33="", _xlpm.maxp, P33),
  MIN(_xlpm.ming,N33)/_xlpm.ming * ((_xlpm.maxp - _xlpm.place) / (_xlpm.maxp - 1) * (_xlpm.maxmma - _xlpm.minmma) + _xlpm.minmma)
)</f>
        <v>0</v>
      </c>
      <c r="R33" s="5">
        <f t="shared" si="1"/>
        <v>42.279411764705884</v>
      </c>
    </row>
    <row r="34" spans="1:18" x14ac:dyDescent="0.25">
      <c r="A34" s="1" t="s">
        <v>67</v>
      </c>
      <c r="B34" s="1">
        <v>1000</v>
      </c>
      <c r="C34">
        <v>0</v>
      </c>
      <c r="D34" cm="1">
        <f t="array" ref="D34">_xlfn.LET(
  _xlpm.dates, INDEX('Elo calculation'!$C:$C, _xlfn.SEQUENCE(COUNTA('Elo calculation'!$C:$C)-2,1,2,4)),
  _xlpm.pts, INDEX('Elo calculation'!$A:$ZZ, _xlfn.SEQUENCE(COUNTA('Elo calculation'!$C:$C)-2,1,3,4), MATCH($A34,'Elo calculation'!$1:$1,0)),
  _xlpm.nbparties, SUMPRODUCT(--(_xlpm.dates &lt;= EOMONTH(D$1,0)), --(_xlpm.dates &gt;= D$1), --(_xlpm.pts &lt;&gt; "")),
  _xlpm.nbparties
)</f>
        <v>0</v>
      </c>
      <c r="E34" cm="1">
        <f t="array" ref="E34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MATCH($A34, 'Elo calculation'!$1:$1, 0),
    INDEX('Elo calculation'!$A:$ZZ, _xlpm.ligdate + 4, _xlpm.coljoueur)
)</f>
        <v>1000</v>
      </c>
      <c r="F34" t="str" cm="1">
        <f t="array" ref="F34">_xlfn.LET(
  _xlpm.vals, _xlfn._xlws.FILTER(E:E, (D:D&gt;0)*(ISNUMBER(E:E)), ""),
  _xlpm.nPlus,  SUM(--(_xlpm.vals &gt; E34)),
  _xlpm.nEgal,  SUM(--(_xlpm.vals = E34)),
  _xlpm.res,  1 + _xlpm.nPlus + (_xlpm.nEgal - 1) / 2,
  IF(D34=0, "", _xlpm.res)
)</f>
        <v/>
      </c>
      <c r="G34" s="5" cm="1">
        <f t="array" ref="G34">_xlfn.LET(
  _xlpm.ming, Constantes!$B$8,
  _xlpm.maxmma, Constantes!$B$6,
  _xlpm.minmma, Constantes!$B$7,
  _xlpm.maxp, MAX(_xlfn._xlws.FILTER(F:F, ISNUMBER(F:F))),
  _xlpm.place, IF(F34="", _xlpm.maxp, F34),
  MIN(_xlpm.ming,D34)/_xlpm.ming * ((_xlpm.maxp - _xlpm.place) / (_xlpm.maxp - 1) * (_xlpm.maxmma - _xlpm.minmma) + _xlpm.minmma)
)</f>
        <v>0</v>
      </c>
      <c r="H34" s="5">
        <f t="shared" ref="H34" si="24">C34+G34</f>
        <v>0</v>
      </c>
      <c r="I34" cm="1">
        <f t="array" ref="I34">_xlfn.LET(
  _xlpm.dates, INDEX('Elo calculation'!$C:$C, _xlfn.SEQUENCE(COUNTA('Elo calculation'!$C:$C)-2,1,2,4)),
  _xlpm.pts, INDEX('Elo calculation'!$A:$ZZ, _xlfn.SEQUENCE(COUNTA('Elo calculation'!$C:$C)-2,1,3,4), MATCH($A34,'Elo calculation'!$1:$1,0)),
  _xlpm.nbparties, SUMPRODUCT(--(_xlpm.dates &lt;= EOMONTH(I$1,0)), --(_xlpm.dates &gt;= I$1), --(_xlpm.pts &lt;&gt; "")),
  _xlpm.nbparties
)</f>
        <v>15</v>
      </c>
      <c r="J34" cm="1">
        <f t="array" ref="J34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MATCH($A34, 'Elo calculation'!$1:$1, 0),
    INDEX('Elo calculation'!$A:$ZZ, _xlpm.ligdate + 4, _xlpm.coljoueur)
)</f>
        <v>952.77777395142914</v>
      </c>
      <c r="K34" cm="1">
        <f t="array" ref="K34">_xlfn.LET(
  _xlpm.vals, _xlfn._xlws.FILTER(J:J, (I:I&gt;0)*(ISNUMBER(J:J)), ""),
  _xlpm.nPlus,  SUM(--(_xlpm.vals &gt; J34)),
  _xlpm.nEgal,  SUM(--(_xlpm.vals = J34)),
  _xlpm.res,  1 + _xlpm.nPlus + (_xlpm.nEgal - 1) / 2,
  IF(I34=0, "", _xlpm.res)
)</f>
        <v>24</v>
      </c>
      <c r="L34" s="5" cm="1">
        <f t="array" ref="L34">_xlfn.LET(
  _xlpm.ming, Constantes!$B$8,
  _xlpm.maxmma, Constantes!$B$6,
  _xlpm.minmma, Constantes!$B$7,
  _xlpm.maxp, MAX(_xlfn._xlws.FILTER(K:K, ISNUMBER(K:K))),
  _xlpm.place, IF(K34="", _xlpm.maxp, K34),
  MIN(_xlpm.ming,I34)/_xlpm.ming * ((_xlpm.maxp - _xlpm.place) / (_xlpm.maxp - 1) * (_xlpm.maxmma - _xlpm.minmma) + _xlpm.minmma)
)</f>
        <v>195.58823529411765</v>
      </c>
      <c r="M34" s="5">
        <f t="shared" si="0"/>
        <v>195.58823529411765</v>
      </c>
      <c r="N34" cm="1">
        <f t="array" ref="N34">_xlfn.LET(
  _xlpm.dates, INDEX('Elo calculation'!$C:$C, _xlfn.SEQUENCE(COUNTA('Elo calculation'!$C:$C)-2,1,2,4)),
  _xlpm.pts, INDEX('Elo calculation'!$A:$ZZ, _xlfn.SEQUENCE(COUNTA('Elo calculation'!$C:$C)-2,1,3,4), MATCH($A34,'Elo calculation'!$1:$1,0)),
  _xlpm.nbparties, SUMPRODUCT(--(_xlpm.dates &lt;= EOMONTH(N$1,0)), --(_xlpm.dates &gt;= N$1), --(_xlpm.pts &lt;&gt; "")),
  _xlpm.nbparties
)</f>
        <v>4</v>
      </c>
      <c r="O34" cm="1">
        <f t="array" ref="O34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MATCH($A34, 'Elo calculation'!$1:$1, 0),
    INDEX('Elo calculation'!$A:$ZZ, _xlpm.ligdate + 4, _xlpm.coljoueur)
)</f>
        <v>1036.4167877702052</v>
      </c>
      <c r="P34" cm="1">
        <f t="array" ref="P34">_xlfn.LET(
  _xlpm.vals, _xlfn._xlws.FILTER(O:O, (N:N&gt;0)*(ISNUMBER(O:O)), ""),
  _xlpm.nPlus,  SUM(--(_xlpm.vals &gt; O34)),
  _xlpm.nEgal,  SUM(--(_xlpm.vals = O34)),
  _xlpm.res,  1 + _xlpm.nPlus + (_xlpm.nEgal - 1) / 2,
  IF(N34=0, "", _xlpm.res)
)</f>
        <v>9</v>
      </c>
      <c r="Q34" s="5" cm="1">
        <f t="array" ref="Q34">_xlfn.LET(
  _xlpm.ming, Constantes!$B$8,
  _xlpm.maxmma, Constantes!$B$6,
  _xlpm.minmma, Constantes!$B$7,
  _xlpm.maxp, MAX(_xlfn._xlws.FILTER(P:P, ISNUMBER(P:P))),
  _xlpm.place, IF(P34="", _xlpm.maxp, P34),
  MIN(_xlpm.ming,N34)/_xlpm.ming * ((_xlpm.maxp - _xlpm.place) / (_xlpm.maxp - 1) * (_xlpm.maxmma - _xlpm.minmma) + _xlpm.minmma)
)</f>
        <v>343.47826086956525</v>
      </c>
      <c r="R34" s="5">
        <f t="shared" si="1"/>
        <v>539.06649616368293</v>
      </c>
    </row>
    <row r="35" spans="1:18" x14ac:dyDescent="0.25">
      <c r="A35" s="1" t="s">
        <v>70</v>
      </c>
      <c r="B35" s="1">
        <v>957.2</v>
      </c>
      <c r="C35">
        <v>0</v>
      </c>
      <c r="D35" cm="1">
        <f t="array" ref="D35">_xlfn.LET(
  _xlpm.dates, INDEX('Elo calculation'!$C:$C, _xlfn.SEQUENCE(COUNTA('Elo calculation'!$C:$C)-2,1,2,4)),
  _xlpm.pts, INDEX('Elo calculation'!$A:$ZZ, _xlfn.SEQUENCE(COUNTA('Elo calculation'!$C:$C)-2,1,3,4), MATCH($A35,'Elo calculation'!$1:$1,0)),
  _xlpm.nbparties, SUMPRODUCT(--(_xlpm.dates &lt;= EOMONTH(D$1,0)), --(_xlpm.dates &gt;= D$1), --(_xlpm.pts &lt;&gt; "")),
  _xlpm.nbparties
)</f>
        <v>0</v>
      </c>
      <c r="E35" cm="1">
        <f t="array" ref="E35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MATCH($A35, 'Elo calculation'!$1:$1, 0),
    INDEX('Elo calculation'!$A:$ZZ, _xlpm.ligdate + 4, _xlpm.coljoueur)
)</f>
        <v>957.2</v>
      </c>
      <c r="F35" t="str" cm="1">
        <f t="array" ref="F35">_xlfn.LET(
  _xlpm.vals, _xlfn._xlws.FILTER(E:E, (D:D&gt;0)*(ISNUMBER(E:E)), ""),
  _xlpm.nPlus,  SUM(--(_xlpm.vals &gt; E35)),
  _xlpm.nEgal,  SUM(--(_xlpm.vals = E35)),
  _xlpm.res,  1 + _xlpm.nPlus + (_xlpm.nEgal - 1) / 2,
  IF(D35=0, "", _xlpm.res)
)</f>
        <v/>
      </c>
      <c r="G35" s="5" cm="1">
        <f t="array" ref="G35">_xlfn.LET(
  _xlpm.ming, Constantes!$B$8,
  _xlpm.maxmma, Constantes!$B$6,
  _xlpm.minmma, Constantes!$B$7,
  _xlpm.maxp, MAX(_xlfn._xlws.FILTER(F:F, ISNUMBER(F:F))),
  _xlpm.place, IF(F35="", _xlpm.maxp, F35),
  MIN(_xlpm.ming,D35)/_xlpm.ming * ((_xlpm.maxp - _xlpm.place) / (_xlpm.maxp - 1) * (_xlpm.maxmma - _xlpm.minmma) + _xlpm.minmma)
)</f>
        <v>0</v>
      </c>
      <c r="H35" s="5">
        <f t="shared" ref="H35:H36" si="25">C35+G35</f>
        <v>0</v>
      </c>
      <c r="I35" cm="1">
        <f t="array" ref="I35">_xlfn.LET(
  _xlpm.dates, INDEX('Elo calculation'!$C:$C, _xlfn.SEQUENCE(COUNTA('Elo calculation'!$C:$C)-2,1,2,4)),
  _xlpm.pts, INDEX('Elo calculation'!$A:$ZZ, _xlfn.SEQUENCE(COUNTA('Elo calculation'!$C:$C)-2,1,3,4), MATCH($A35,'Elo calculation'!$1:$1,0)),
  _xlpm.nbparties, SUMPRODUCT(--(_xlpm.dates &lt;= EOMONTH(I$1,0)), --(_xlpm.dates &gt;= I$1), --(_xlpm.pts &lt;&gt; "")),
  _xlpm.nbparties
)</f>
        <v>1</v>
      </c>
      <c r="J35" cm="1">
        <f t="array" ref="J35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MATCH($A35, 'Elo calculation'!$1:$1, 0),
    INDEX('Elo calculation'!$A:$ZZ, _xlpm.ligdate + 4, _xlpm.coljoueur)
)</f>
        <v>906.86354201913434</v>
      </c>
      <c r="K35" cm="1">
        <f t="array" ref="K35">_xlfn.LET(
  _xlpm.vals, _xlfn._xlws.FILTER(J:J, (I:I&gt;0)*(ISNUMBER(J:J)), ""),
  _xlpm.nPlus,  SUM(--(_xlpm.vals &gt; J35)),
  _xlpm.nEgal,  SUM(--(_xlpm.vals = J35)),
  _xlpm.res,  1 + _xlpm.nPlus + (_xlpm.nEgal - 1) / 2,
  IF(I35=0, "", _xlpm.res)
)</f>
        <v>29</v>
      </c>
      <c r="L35" s="5" cm="1">
        <f t="array" ref="L35">_xlfn.LET(
  _xlpm.ming, Constantes!$B$8,
  _xlpm.maxmma, Constantes!$B$6,
  _xlpm.minmma, Constantes!$B$7,
  _xlpm.maxp, MAX(_xlfn._xlws.FILTER(K:K, ISNUMBER(K:K))),
  _xlpm.place, IF(K35="", _xlpm.maxp, K35),
  MIN(_xlpm.ming,I35)/_xlpm.ming * ((_xlpm.maxp - _xlpm.place) / (_xlpm.maxp - 1) * (_xlpm.maxmma - _xlpm.minmma) + _xlpm.minmma)
)</f>
        <v>32.352941176470594</v>
      </c>
      <c r="M35" s="5">
        <f t="shared" si="0"/>
        <v>32.352941176470594</v>
      </c>
      <c r="N35" cm="1">
        <f t="array" ref="N35">_xlfn.LET(
  _xlpm.dates, INDEX('Elo calculation'!$C:$C, _xlfn.SEQUENCE(COUNTA('Elo calculation'!$C:$C)-2,1,2,4)),
  _xlpm.pts, INDEX('Elo calculation'!$A:$ZZ, _xlfn.SEQUENCE(COUNTA('Elo calculation'!$C:$C)-2,1,3,4), MATCH($A35,'Elo calculation'!$1:$1,0)),
  _xlpm.nbparties, SUMPRODUCT(--(_xlpm.dates &lt;= EOMONTH(N$1,0)), --(_xlpm.dates &gt;= N$1), --(_xlpm.pts &lt;&gt; "")),
  _xlpm.nbparties
)</f>
        <v>0</v>
      </c>
      <c r="O35" cm="1">
        <f t="array" ref="O35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MATCH($A35, 'Elo calculation'!$1:$1, 0),
    INDEX('Elo calculation'!$A:$ZZ, _xlpm.ligdate + 4, _xlpm.coljoueur)
)</f>
        <v>906.86354201913434</v>
      </c>
      <c r="P35" t="str" cm="1">
        <f t="array" ref="P35">_xlfn.LET(
  _xlpm.vals, _xlfn._xlws.FILTER(O:O, (N:N&gt;0)*(ISNUMBER(O:O)), ""),
  _xlpm.nPlus,  SUM(--(_xlpm.vals &gt; O35)),
  _xlpm.nEgal,  SUM(--(_xlpm.vals = O35)),
  _xlpm.res,  1 + _xlpm.nPlus + (_xlpm.nEgal - 1) / 2,
  IF(N35=0, "", _xlpm.res)
)</f>
        <v/>
      </c>
      <c r="Q35" s="5" cm="1">
        <f t="array" ref="Q35">_xlfn.LET(
  _xlpm.ming, Constantes!$B$8,
  _xlpm.maxmma, Constantes!$B$6,
  _xlpm.minmma, Constantes!$B$7,
  _xlpm.maxp, MAX(_xlfn._xlws.FILTER(P:P, ISNUMBER(P:P))),
  _xlpm.place, IF(P35="", _xlpm.maxp, P35),
  MIN(_xlpm.ming,N35)/_xlpm.ming * ((_xlpm.maxp - _xlpm.place) / (_xlpm.maxp - 1) * (_xlpm.maxmma - _xlpm.minmma) + _xlpm.minmma)
)</f>
        <v>0</v>
      </c>
      <c r="R35" s="5">
        <f t="shared" si="1"/>
        <v>32.352941176470594</v>
      </c>
    </row>
    <row r="36" spans="1:18" x14ac:dyDescent="0.25">
      <c r="A36" s="1" t="s">
        <v>69</v>
      </c>
      <c r="B36" s="1">
        <v>1000</v>
      </c>
      <c r="C36">
        <v>0</v>
      </c>
      <c r="D36" cm="1">
        <f t="array" ref="D36">_xlfn.LET(
  _xlpm.dates, INDEX('Elo calculation'!$C:$C, _xlfn.SEQUENCE(COUNTA('Elo calculation'!$C:$C)-2,1,2,4)),
  _xlpm.pts, INDEX('Elo calculation'!$A:$ZZ, _xlfn.SEQUENCE(COUNTA('Elo calculation'!$C:$C)-2,1,3,4), MATCH($A36,'Elo calculation'!$1:$1,0)),
  _xlpm.nbparties, SUMPRODUCT(--(_xlpm.dates &lt;= EOMONTH(D$1,0)), --(_xlpm.dates &gt;= D$1), --(_xlpm.pts &lt;&gt; "")),
  _xlpm.nbparties
)</f>
        <v>0</v>
      </c>
      <c r="E36" cm="1">
        <f t="array" ref="E36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MATCH($A36, 'Elo calculation'!$1:$1, 0),
    INDEX('Elo calculation'!$A:$ZZ, _xlpm.ligdate + 4, _xlpm.coljoueur)
)</f>
        <v>1000</v>
      </c>
      <c r="F36" t="str" cm="1">
        <f t="array" ref="F36">_xlfn.LET(
  _xlpm.vals, _xlfn._xlws.FILTER(E:E, (D:D&gt;0)*(ISNUMBER(E:E)), ""),
  _xlpm.nPlus,  SUM(--(_xlpm.vals &gt; E36)),
  _xlpm.nEgal,  SUM(--(_xlpm.vals = E36)),
  _xlpm.res,  1 + _xlpm.nPlus + (_xlpm.nEgal - 1) / 2,
  IF(D36=0, "", _xlpm.res)
)</f>
        <v/>
      </c>
      <c r="G36" s="5" cm="1">
        <f t="array" ref="G36">_xlfn.LET(
  _xlpm.ming, Constantes!$B$8,
  _xlpm.maxmma, Constantes!$B$6,
  _xlpm.minmma, Constantes!$B$7,
  _xlpm.maxp, MAX(_xlfn._xlws.FILTER(F:F, ISNUMBER(F:F))),
  _xlpm.place, IF(F36="", _xlpm.maxp, F36),
  MIN(_xlpm.ming,D36)/_xlpm.ming * ((_xlpm.maxp - _xlpm.place) / (_xlpm.maxp - 1) * (_xlpm.maxmma - _xlpm.minmma) + _xlpm.minmma)
)</f>
        <v>0</v>
      </c>
      <c r="H36" s="5">
        <f t="shared" si="25"/>
        <v>0</v>
      </c>
      <c r="I36" cm="1">
        <f t="array" ref="I36">_xlfn.LET(
  _xlpm.dates, INDEX('Elo calculation'!$C:$C, _xlfn.SEQUENCE(COUNTA('Elo calculation'!$C:$C)-2,1,2,4)),
  _xlpm.pts, INDEX('Elo calculation'!$A:$ZZ, _xlfn.SEQUENCE(COUNTA('Elo calculation'!$C:$C)-2,1,3,4), MATCH($A36,'Elo calculation'!$1:$1,0)),
  _xlpm.nbparties, SUMPRODUCT(--(_xlpm.dates &lt;= EOMONTH(I$1,0)), --(_xlpm.dates &gt;= I$1), --(_xlpm.pts &lt;&gt; "")),
  _xlpm.nbparties
)</f>
        <v>1</v>
      </c>
      <c r="J36" cm="1">
        <f t="array" ref="J36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MATCH($A36, 'Elo calculation'!$1:$1, 0),
    INDEX('Elo calculation'!$A:$ZZ, _xlpm.ligdate + 4, _xlpm.coljoueur)
)</f>
        <v>1074.0069367206956</v>
      </c>
      <c r="K36" cm="1">
        <f t="array" ref="K36">_xlfn.LET(
  _xlpm.vals, _xlfn._xlws.FILTER(J:J, (I:I&gt;0)*(ISNUMBER(J:J)), ""),
  _xlpm.nPlus,  SUM(--(_xlpm.vals &gt; J36)),
  _xlpm.nEgal,  SUM(--(_xlpm.vals = J36)),
  _xlpm.res,  1 + _xlpm.nPlus + (_xlpm.nEgal - 1) / 2,
  IF(I36=0, "", _xlpm.res)
)</f>
        <v>8</v>
      </c>
      <c r="L36" s="5" cm="1">
        <f t="array" ref="L36">_xlfn.LET(
  _xlpm.ming, Constantes!$B$8,
  _xlpm.maxmma, Constantes!$B$6,
  _xlpm.minmma, Constantes!$B$7,
  _xlpm.maxp, MAX(_xlfn._xlws.FILTER(K:K, ISNUMBER(K:K))),
  _xlpm.place, IF(K36="", _xlpm.maxp, K36),
  MIN(_xlpm.ming,I36)/_xlpm.ming * ((_xlpm.maxp - _xlpm.place) / (_xlpm.maxp - 1) * (_xlpm.maxmma - _xlpm.minmma) + _xlpm.minmma)
)</f>
        <v>101.83823529411764</v>
      </c>
      <c r="M36" s="5">
        <f t="shared" si="0"/>
        <v>101.83823529411764</v>
      </c>
      <c r="N36" cm="1">
        <f t="array" ref="N36">_xlfn.LET(
  _xlpm.dates, INDEX('Elo calculation'!$C:$C, _xlfn.SEQUENCE(COUNTA('Elo calculation'!$C:$C)-2,1,2,4)),
  _xlpm.pts, INDEX('Elo calculation'!$A:$ZZ, _xlfn.SEQUENCE(COUNTA('Elo calculation'!$C:$C)-2,1,3,4), MATCH($A36,'Elo calculation'!$1:$1,0)),
  _xlpm.nbparties, SUMPRODUCT(--(_xlpm.dates &lt;= EOMONTH(N$1,0)), --(_xlpm.dates &gt;= N$1), --(_xlpm.pts &lt;&gt; "")),
  _xlpm.nbparties
)</f>
        <v>0</v>
      </c>
      <c r="O36" cm="1">
        <f t="array" ref="O36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MATCH($A36, 'Elo calculation'!$1:$1, 0),
    INDEX('Elo calculation'!$A:$ZZ, _xlpm.ligdate + 4, _xlpm.coljoueur)
)</f>
        <v>1074.0069367206956</v>
      </c>
      <c r="P36" t="str" cm="1">
        <f t="array" ref="P36">_xlfn.LET(
  _xlpm.vals, _xlfn._xlws.FILTER(O:O, (N:N&gt;0)*(ISNUMBER(O:O)), ""),
  _xlpm.nPlus,  SUM(--(_xlpm.vals &gt; O36)),
  _xlpm.nEgal,  SUM(--(_xlpm.vals = O36)),
  _xlpm.res,  1 + _xlpm.nPlus + (_xlpm.nEgal - 1) / 2,
  IF(N36=0, "", _xlpm.res)
)</f>
        <v/>
      </c>
      <c r="Q36" s="5" cm="1">
        <f t="array" ref="Q36">_xlfn.LET(
  _xlpm.ming, Constantes!$B$8,
  _xlpm.maxmma, Constantes!$B$6,
  _xlpm.minmma, Constantes!$B$7,
  _xlpm.maxp, MAX(_xlfn._xlws.FILTER(P:P, ISNUMBER(P:P))),
  _xlpm.place, IF(P36="", _xlpm.maxp, P36),
  MIN(_xlpm.ming,N36)/_xlpm.ming * ((_xlpm.maxp - _xlpm.place) / (_xlpm.maxp - 1) * (_xlpm.maxmma - _xlpm.minmma) + _xlpm.minmma)
)</f>
        <v>0</v>
      </c>
      <c r="R36" s="5">
        <f t="shared" si="1"/>
        <v>101.83823529411764</v>
      </c>
    </row>
    <row r="37" spans="1:18" x14ac:dyDescent="0.25">
      <c r="A37" s="1" t="s">
        <v>68</v>
      </c>
      <c r="B37" s="1">
        <v>1055.9299999999998</v>
      </c>
      <c r="C37">
        <v>0</v>
      </c>
      <c r="D37" cm="1">
        <f t="array" ref="D37">_xlfn.LET(
  _xlpm.dates, INDEX('Elo calculation'!$C:$C, _xlfn.SEQUENCE(COUNTA('Elo calculation'!$C:$C)-2,1,2,4)),
  _xlpm.pts, INDEX('Elo calculation'!$A:$ZZ, _xlfn.SEQUENCE(COUNTA('Elo calculation'!$C:$C)-2,1,3,4), MATCH($A37,'Elo calculation'!$1:$1,0)),
  _xlpm.nbparties, SUMPRODUCT(--(_xlpm.dates &lt;= EOMONTH(D$1,0)), --(_xlpm.dates &gt;= D$1), --(_xlpm.pts &lt;&gt; "")),
  _xlpm.nbparties
)</f>
        <v>0</v>
      </c>
      <c r="E37" cm="1">
        <f t="array" ref="E37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MATCH($A37, 'Elo calculation'!$1:$1, 0),
    INDEX('Elo calculation'!$A:$ZZ, _xlpm.ligdate + 4, _xlpm.coljoueur)
)</f>
        <v>1055.9299999999998</v>
      </c>
      <c r="F37" t="str" cm="1">
        <f t="array" ref="F37">_xlfn.LET(
  _xlpm.vals, _xlfn._xlws.FILTER(E:E, (D:D&gt;0)*(ISNUMBER(E:E)), ""),
  _xlpm.nPlus,  SUM(--(_xlpm.vals &gt; E37)),
  _xlpm.nEgal,  SUM(--(_xlpm.vals = E37)),
  _xlpm.res,  1 + _xlpm.nPlus + (_xlpm.nEgal - 1) / 2,
  IF(D37=0, "", _xlpm.res)
)</f>
        <v/>
      </c>
      <c r="G37" s="5" cm="1">
        <f t="array" ref="G37">_xlfn.LET(
  _xlpm.ming, Constantes!$B$8,
  _xlpm.maxmma, Constantes!$B$6,
  _xlpm.minmma, Constantes!$B$7,
  _xlpm.maxp, MAX(_xlfn._xlws.FILTER(F:F, ISNUMBER(F:F))),
  _xlpm.place, IF(F37="", _xlpm.maxp, F37),
  MIN(_xlpm.ming,D37)/_xlpm.ming * ((_xlpm.maxp - _xlpm.place) / (_xlpm.maxp - 1) * (_xlpm.maxmma - _xlpm.minmma) + _xlpm.minmma)
)</f>
        <v>0</v>
      </c>
      <c r="H37" s="5">
        <f t="shared" ref="H37" si="26">C37+G37</f>
        <v>0</v>
      </c>
      <c r="I37" cm="1">
        <f t="array" ref="I37">_xlfn.LET(
  _xlpm.dates, INDEX('Elo calculation'!$C:$C, _xlfn.SEQUENCE(COUNTA('Elo calculation'!$C:$C)-2,1,2,4)),
  _xlpm.pts, INDEX('Elo calculation'!$A:$ZZ, _xlfn.SEQUENCE(COUNTA('Elo calculation'!$C:$C)-2,1,3,4), MATCH($A37,'Elo calculation'!$1:$1,0)),
  _xlpm.nbparties, SUMPRODUCT(--(_xlpm.dates &lt;= EOMONTH(I$1,0)), --(_xlpm.dates &gt;= I$1), --(_xlpm.pts &lt;&gt; "")),
  _xlpm.nbparties
)</f>
        <v>1</v>
      </c>
      <c r="J37" cm="1">
        <f t="array" ref="J37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MATCH($A37, 'Elo calculation'!$1:$1, 0),
    INDEX('Elo calculation'!$A:$ZZ, _xlpm.ligdate + 4, _xlpm.coljoueur)
)</f>
        <v>1025.7817971572972</v>
      </c>
      <c r="K37" cm="1">
        <f t="array" ref="K37">_xlfn.LET(
  _xlpm.vals, _xlfn._xlws.FILTER(J:J, (I:I&gt;0)*(ISNUMBER(J:J)), ""),
  _xlpm.nPlus,  SUM(--(_xlpm.vals &gt; J37)),
  _xlpm.nEgal,  SUM(--(_xlpm.vals = J37)),
  _xlpm.res,  1 + _xlpm.nPlus + (_xlpm.nEgal - 1) / 2,
  IF(I37=0, "", _xlpm.res)
)</f>
        <v>13</v>
      </c>
      <c r="L37" s="5" cm="1">
        <f t="array" ref="L37">_xlfn.LET(
  _xlpm.ming, Constantes!$B$8,
  _xlpm.maxmma, Constantes!$B$6,
  _xlpm.minmma, Constantes!$B$7,
  _xlpm.maxp, MAX(_xlfn._xlws.FILTER(K:K, ISNUMBER(K:K))),
  _xlpm.place, IF(K37="", _xlpm.maxp, K37),
  MIN(_xlpm.ming,I37)/_xlpm.ming * ((_xlpm.maxp - _xlpm.place) / (_xlpm.maxp - 1) * (_xlpm.maxmma - _xlpm.minmma) + _xlpm.minmma)
)</f>
        <v>85.294117647058826</v>
      </c>
      <c r="M37" s="5">
        <f t="shared" si="0"/>
        <v>85.294117647058826</v>
      </c>
      <c r="N37" cm="1">
        <f t="array" ref="N37">_xlfn.LET(
  _xlpm.dates, INDEX('Elo calculation'!$C:$C, _xlfn.SEQUENCE(COUNTA('Elo calculation'!$C:$C)-2,1,2,4)),
  _xlpm.pts, INDEX('Elo calculation'!$A:$ZZ, _xlfn.SEQUENCE(COUNTA('Elo calculation'!$C:$C)-2,1,3,4), MATCH($A37,'Elo calculation'!$1:$1,0)),
  _xlpm.nbparties, SUMPRODUCT(--(_xlpm.dates &lt;= EOMONTH(N$1,0)), --(_xlpm.dates &gt;= N$1), --(_xlpm.pts &lt;&gt; "")),
  _xlpm.nbparties
)</f>
        <v>0</v>
      </c>
      <c r="O37" cm="1">
        <f t="array" ref="O37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MATCH($A37, 'Elo calculation'!$1:$1, 0),
    INDEX('Elo calculation'!$A:$ZZ, _xlpm.ligdate + 4, _xlpm.coljoueur)
)</f>
        <v>1025.7817971572972</v>
      </c>
      <c r="P37" t="str" cm="1">
        <f t="array" ref="P37">_xlfn.LET(
  _xlpm.vals, _xlfn._xlws.FILTER(O:O, (N:N&gt;0)*(ISNUMBER(O:O)), ""),
  _xlpm.nPlus,  SUM(--(_xlpm.vals &gt; O37)),
  _xlpm.nEgal,  SUM(--(_xlpm.vals = O37)),
  _xlpm.res,  1 + _xlpm.nPlus + (_xlpm.nEgal - 1) / 2,
  IF(N37=0, "", _xlpm.res)
)</f>
        <v/>
      </c>
      <c r="Q37" s="5" cm="1">
        <f t="array" ref="Q37">_xlfn.LET(
  _xlpm.ming, Constantes!$B$8,
  _xlpm.maxmma, Constantes!$B$6,
  _xlpm.minmma, Constantes!$B$7,
  _xlpm.maxp, MAX(_xlfn._xlws.FILTER(P:P, ISNUMBER(P:P))),
  _xlpm.place, IF(P37="", _xlpm.maxp, P37),
  MIN(_xlpm.ming,N37)/_xlpm.ming * ((_xlpm.maxp - _xlpm.place) / (_xlpm.maxp - 1) * (_xlpm.maxmma - _xlpm.minmma) + _xlpm.minmma)
)</f>
        <v>0</v>
      </c>
      <c r="R37" s="5">
        <f t="shared" si="1"/>
        <v>85.294117647058826</v>
      </c>
    </row>
    <row r="38" spans="1:18" x14ac:dyDescent="0.25">
      <c r="A38" s="1" t="s">
        <v>72</v>
      </c>
      <c r="B38" s="1">
        <v>1000</v>
      </c>
      <c r="C38">
        <v>0</v>
      </c>
      <c r="D38" cm="1">
        <f t="array" ref="D38">_xlfn.LET(
  _xlpm.dates, INDEX('Elo calculation'!$C:$C, _xlfn.SEQUENCE(COUNTA('Elo calculation'!$C:$C)-2,1,2,4)),
  _xlpm.pts, INDEX('Elo calculation'!$A:$ZZ, _xlfn.SEQUENCE(COUNTA('Elo calculation'!$C:$C)-2,1,3,4), MATCH($A38,'Elo calculation'!$1:$1,0)),
  _xlpm.nbparties, SUMPRODUCT(--(_xlpm.dates &lt;= EOMONTH(D$1,0)), --(_xlpm.dates &gt;= D$1), --(_xlpm.pts &lt;&gt; "")),
  _xlpm.nbparties
)</f>
        <v>0</v>
      </c>
      <c r="E38" cm="1">
        <f t="array" ref="E38">_xlfn.LET(
    _xlpm.seq, _xlfn.SEQUENCE(COUNTA('Elo calculation'!$A:$A)/4, 1, 2, 4),
    _xlpm.dates, INDEX('Elo calculation'!$C:$C, _xlpm.seq),
    _xlpm.limite, EOMONTH(D$1,0),
    _xlpm.ligdate, MAX(IF(_xlpm.dates &lt;= _xlpm.limite, _xlpm.seq, 0)),
    _xlpm.coljoueur, MATCH($A38, 'Elo calculation'!$1:$1, 0),
    INDEX('Elo calculation'!$A:$ZZ, _xlpm.ligdate + 4, _xlpm.coljoueur)
)</f>
        <v>1000</v>
      </c>
      <c r="F38" t="str" cm="1">
        <f t="array" ref="F38">_xlfn.LET(
  _xlpm.vals, _xlfn._xlws.FILTER(E:E, (D:D&gt;0)*(ISNUMBER(E:E)), ""),
  _xlpm.nPlus,  SUM(--(_xlpm.vals &gt; E38)),
  _xlpm.nEgal,  SUM(--(_xlpm.vals = E38)),
  _xlpm.res,  1 + _xlpm.nPlus + (_xlpm.nEgal - 1) / 2,
  IF(D38=0, "", _xlpm.res)
)</f>
        <v/>
      </c>
      <c r="G38" s="5" cm="1">
        <f t="array" ref="G38">_xlfn.LET(
  _xlpm.ming, Constantes!$B$8,
  _xlpm.maxmma, Constantes!$B$6,
  _xlpm.minmma, Constantes!$B$7,
  _xlpm.maxp, MAX(_xlfn._xlws.FILTER(F:F, ISNUMBER(F:F))),
  _xlpm.place, IF(F38="", _xlpm.maxp, F38),
  MIN(_xlpm.ming,D38)/_xlpm.ming * ((_xlpm.maxp - _xlpm.place) / (_xlpm.maxp - 1) * (_xlpm.maxmma - _xlpm.minmma) + _xlpm.minmma)
)</f>
        <v>0</v>
      </c>
      <c r="H38" s="5">
        <f t="shared" ref="H38" si="27">C38+G38</f>
        <v>0</v>
      </c>
      <c r="I38" cm="1">
        <f t="array" ref="I38">_xlfn.LET(
  _xlpm.dates, INDEX('Elo calculation'!$C:$C, _xlfn.SEQUENCE(COUNTA('Elo calculation'!$C:$C)-2,1,2,4)),
  _xlpm.pts, INDEX('Elo calculation'!$A:$ZZ, _xlfn.SEQUENCE(COUNTA('Elo calculation'!$C:$C)-2,1,3,4), MATCH($A38,'Elo calculation'!$1:$1,0)),
  _xlpm.nbparties, SUMPRODUCT(--(_xlpm.dates &lt;= EOMONTH(I$1,0)), --(_xlpm.dates &gt;= I$1), --(_xlpm.pts &lt;&gt; "")),
  _xlpm.nbparties
)</f>
        <v>1</v>
      </c>
      <c r="J38" cm="1">
        <f t="array" ref="J38">_xlfn.LET(
    _xlpm.seq, _xlfn.SEQUENCE(COUNTA('Elo calculation'!$A:$A)/4, 1, 2, 4),
    _xlpm.dates, INDEX('Elo calculation'!$C:$C, _xlpm.seq),
    _xlpm.limite, EOMONTH(I$1,0),
    _xlpm.ligdate, MAX(IF(_xlpm.dates &lt;= _xlpm.limite, _xlpm.seq, 0)),
    _xlpm.coljoueur, MATCH($A38, 'Elo calculation'!$1:$1, 0),
    INDEX('Elo calculation'!$A:$ZZ, _xlpm.ligdate + 4, _xlpm.coljoueur)
)</f>
        <v>930.08392160706046</v>
      </c>
      <c r="K38" cm="1">
        <f t="array" ref="K38">_xlfn.LET(
  _xlpm.vals, _xlfn._xlws.FILTER(J:J, (I:I&gt;0)*(ISNUMBER(J:J)), ""),
  _xlpm.nPlus,  SUM(--(_xlpm.vals &gt; J38)),
  _xlpm.nEgal,  SUM(--(_xlpm.vals = J38)),
  _xlpm.res,  1 + _xlpm.nPlus + (_xlpm.nEgal - 1) / 2,
  IF(I38=0, "", _xlpm.res)
)</f>
        <v>25</v>
      </c>
      <c r="L38" s="5" cm="1">
        <f t="array" ref="L38">_xlfn.LET(
  _xlpm.ming, Constantes!$B$8,
  _xlpm.maxmma, Constantes!$B$6,
  _xlpm.minmma, Constantes!$B$7,
  _xlpm.maxp, MAX(_xlfn._xlws.FILTER(K:K, ISNUMBER(K:K))),
  _xlpm.place, IF(K38="", _xlpm.maxp, K38),
  MIN(_xlpm.ming,I38)/_xlpm.ming * ((_xlpm.maxp - _xlpm.place) / (_xlpm.maxp - 1) * (_xlpm.maxmma - _xlpm.minmma) + _xlpm.minmma)
)</f>
        <v>45.588235294117645</v>
      </c>
      <c r="M38" s="5">
        <f t="shared" si="0"/>
        <v>45.588235294117645</v>
      </c>
      <c r="N38" cm="1">
        <f t="array" ref="N38">_xlfn.LET(
  _xlpm.dates, INDEX('Elo calculation'!$C:$C, _xlfn.SEQUENCE(COUNTA('Elo calculation'!$C:$C)-2,1,2,4)),
  _xlpm.pts, INDEX('Elo calculation'!$A:$ZZ, _xlfn.SEQUENCE(COUNTA('Elo calculation'!$C:$C)-2,1,3,4), MATCH($A38,'Elo calculation'!$1:$1,0)),
  _xlpm.nbparties, SUMPRODUCT(--(_xlpm.dates &lt;= EOMONTH(N$1,0)), --(_xlpm.dates &gt;= N$1), --(_xlpm.pts &lt;&gt; "")),
  _xlpm.nbparties
)</f>
        <v>0</v>
      </c>
      <c r="O38" cm="1">
        <f t="array" ref="O38">_xlfn.LET(
    _xlpm.seq, _xlfn.SEQUENCE(COUNTA('Elo calculation'!$A:$A)/4, 1, 2, 4),
    _xlpm.dates, INDEX('Elo calculation'!$C:$C, _xlpm.seq),
    _xlpm.limite, EOMONTH(N$1,0),
    _xlpm.ligdate, MAX(IF(_xlpm.dates &lt;= _xlpm.limite, _xlpm.seq, 0)),
    _xlpm.coljoueur, MATCH($A38, 'Elo calculation'!$1:$1, 0),
    INDEX('Elo calculation'!$A:$ZZ, _xlpm.ligdate + 4, _xlpm.coljoueur)
)</f>
        <v>930.08392160706046</v>
      </c>
      <c r="P38" t="str" cm="1">
        <f t="array" ref="P38">_xlfn.LET(
  _xlpm.vals, _xlfn._xlws.FILTER(O:O, (N:N&gt;0)*(ISNUMBER(O:O)), ""),
  _xlpm.nPlus,  SUM(--(_xlpm.vals &gt; O38)),
  _xlpm.nEgal,  SUM(--(_xlpm.vals = O38)),
  _xlpm.res,  1 + _xlpm.nPlus + (_xlpm.nEgal - 1) / 2,
  IF(N38=0, "", _xlpm.res)
)</f>
        <v/>
      </c>
      <c r="Q38" s="5" cm="1">
        <f t="array" ref="Q38">_xlfn.LET(
  _xlpm.ming, Constantes!$B$8,
  _xlpm.maxmma, Constantes!$B$6,
  _xlpm.minmma, Constantes!$B$7,
  _xlpm.maxp, MAX(_xlfn._xlws.FILTER(P:P, ISNUMBER(P:P))),
  _xlpm.place, IF(P38="", _xlpm.maxp, P38),
  MIN(_xlpm.ming,N38)/_xlpm.ming * ((_xlpm.maxp - _xlpm.place) / (_xlpm.maxp - 1) * (_xlpm.maxmma - _xlpm.minmma) + _xlpm.minmma)
)</f>
        <v>0</v>
      </c>
      <c r="R38" s="5">
        <f t="shared" si="1"/>
        <v>45.588235294117645</v>
      </c>
    </row>
  </sheetData>
  <mergeCells count="3">
    <mergeCell ref="D1:H1"/>
    <mergeCell ref="I1:M1"/>
    <mergeCell ref="N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3949B-5B58-46C9-A56F-44BE835B2A72}">
  <dimension ref="A1:AM502"/>
  <sheetViews>
    <sheetView topLeftCell="A470" workbookViewId="0">
      <selection activeCell="D467" sqref="D467"/>
    </sheetView>
  </sheetViews>
  <sheetFormatPr baseColWidth="10" defaultRowHeight="15" x14ac:dyDescent="0.25"/>
  <cols>
    <col min="1" max="2" width="15.5703125" bestFit="1" customWidth="1"/>
    <col min="3" max="3" width="15.42578125" style="2" bestFit="1" customWidth="1"/>
  </cols>
  <sheetData>
    <row r="1" spans="1:39" x14ac:dyDescent="0.25">
      <c r="B1" t="s">
        <v>15</v>
      </c>
      <c r="C1" s="2" t="s">
        <v>4</v>
      </c>
      <c r="D1" t="str" cm="1">
        <f t="array" ref="D1">INDEX(
    'EMA points'!$A:$A,
    COLUMN() - COLUMN($D$1) + ROW('EMA points'!$A$3)
)</f>
        <v>Isabelle</v>
      </c>
      <c r="E1" t="str" cm="1">
        <f t="array" ref="E1">INDEX(
    'EMA points'!$A:$A,
    COLUMN() - COLUMN($D$1) + ROW('EMA points'!$A$3)
)</f>
        <v>Guilhem</v>
      </c>
      <c r="F1" t="str" cm="1">
        <f t="array" ref="F1">INDEX(
    'EMA points'!$A:$A,
    COLUMN() - COLUMN($D$1) + ROW('EMA points'!$A$3)
)</f>
        <v>Marc</v>
      </c>
      <c r="G1" t="str" cm="1">
        <f t="array" ref="G1">INDEX(
    'EMA points'!$A:$A,
    COLUMN() - COLUMN($D$1) + ROW('EMA points'!$A$3)
)</f>
        <v>Christophe</v>
      </c>
      <c r="H1" t="str" cm="1">
        <f t="array" ref="H1">INDEX(
    'EMA points'!$A:$A,
    COLUMN() - COLUMN($D$1) + ROW('EMA points'!$A$3)
)</f>
        <v>Raphael</v>
      </c>
      <c r="I1" t="str" cm="1">
        <f t="array" ref="I1">INDEX(
    'EMA points'!$A:$A,
    COLUMN() - COLUMN($D$1) + ROW('EMA points'!$A$3)
)</f>
        <v>Delphine</v>
      </c>
      <c r="J1" t="str" cm="1">
        <f t="array" ref="J1">INDEX(
    'EMA points'!$A:$A,
    COLUMN() - COLUMN($D$1) + ROW('EMA points'!$A$3)
)</f>
        <v>Mathieu</v>
      </c>
      <c r="K1" t="str" cm="1">
        <f t="array" ref="K1">INDEX(
    'EMA points'!$A:$A,
    COLUMN() - COLUMN($D$1) + ROW('EMA points'!$A$3)
)</f>
        <v>Ghislaine</v>
      </c>
      <c r="L1" t="str" cm="1">
        <f t="array" ref="L1">INDEX(
    'EMA points'!$A:$A,
    COLUMN() - COLUMN($D$1) + ROW('EMA points'!$A$3)
)</f>
        <v>Francoise</v>
      </c>
      <c r="M1" t="str" cm="1">
        <f t="array" ref="M1">INDEX(
    'EMA points'!$A:$A,
    COLUMN() - COLUMN($D$1) + ROW('EMA points'!$A$3)
)</f>
        <v>Beatrice</v>
      </c>
      <c r="N1" t="str" cm="1">
        <f t="array" ref="N1">INDEX(
    'EMA points'!$A:$A,
    COLUMN() - COLUMN($D$1) + ROW('EMA points'!$A$3)
)</f>
        <v>Sebastien</v>
      </c>
      <c r="O1" t="str" cm="1">
        <f t="array" ref="O1">INDEX(
    'EMA points'!$A:$A,
    COLUMN() - COLUMN($D$1) + ROW('EMA points'!$A$3)
)</f>
        <v>Binome</v>
      </c>
      <c r="P1" t="str" cm="1">
        <f t="array" ref="P1">INDEX(
    'EMA points'!$A:$A,
    COLUMN() - COLUMN($D$1) + ROW('EMA points'!$A$3)
)</f>
        <v>Marie</v>
      </c>
      <c r="Q1" t="str" cm="1">
        <f t="array" ref="Q1">INDEX(
    'EMA points'!$A:$A,
    COLUMN() - COLUMN($D$1) + ROW('EMA points'!$A$3)
)</f>
        <v>Valerie D</v>
      </c>
      <c r="R1" t="str" cm="1">
        <f t="array" ref="R1">INDEX(
    'EMA points'!$A:$A,
    COLUMN() - COLUMN($D$1) + ROW('EMA points'!$A$3)
)</f>
        <v>Jean-Michel</v>
      </c>
      <c r="S1" t="str" cm="1">
        <f t="array" ref="S1">INDEX(
    'EMA points'!$A:$A,
    COLUMN() - COLUMN($D$1) + ROW('EMA points'!$A$3)
)</f>
        <v>Laurence</v>
      </c>
      <c r="T1" t="str" cm="1">
        <f t="array" ref="T1">INDEX(
    'EMA points'!$A:$A,
    COLUMN() - COLUMN($D$1) + ROW('EMA points'!$A$3)
)</f>
        <v>Richard</v>
      </c>
      <c r="U1" t="str" cm="1">
        <f t="array" ref="U1">INDEX(
    'EMA points'!$A:$A,
    COLUMN() - COLUMN($D$1) + ROW('EMA points'!$A$3)
)</f>
        <v>Frederic</v>
      </c>
      <c r="V1" t="str" cm="1">
        <f t="array" ref="V1">INDEX(
    'EMA points'!$A:$A,
    COLUMN() - COLUMN($D$1) + ROW('EMA points'!$A$3)
)</f>
        <v>Matheo</v>
      </c>
      <c r="W1" t="str" cm="1">
        <f t="array" ref="W1">INDEX(
    'EMA points'!$A:$A,
    COLUMN() - COLUMN($D$1) + ROW('EMA points'!$A$3)
)</f>
        <v>Monique</v>
      </c>
      <c r="X1" t="str" cm="1">
        <f t="array" ref="X1">INDEX(
    'EMA points'!$A:$A,
    COLUMN() - COLUMN($D$1) + ROW('EMA points'!$A$3)
)</f>
        <v>Fabienne</v>
      </c>
      <c r="Y1" t="str" cm="1">
        <f t="array" ref="Y1">INDEX(
    'EMA points'!$A:$A,
    COLUMN() - COLUMN($D$1) + ROW('EMA points'!$A$3)
)</f>
        <v>Nathalie</v>
      </c>
      <c r="Z1" t="str" cm="1">
        <f t="array" ref="Z1">INDEX(
    'EMA points'!$A:$A,
    COLUMN() - COLUMN($D$1) + ROW('EMA points'!$A$3)
)</f>
        <v>Anna</v>
      </c>
      <c r="AA1" t="str" cm="1">
        <f t="array" ref="AA1">INDEX(
    'EMA points'!$A:$A,
    COLUMN() - COLUMN($D$1) + ROW('EMA points'!$A$3)
)</f>
        <v>Xavier</v>
      </c>
      <c r="AB1" t="str" cm="1">
        <f t="array" ref="AB1">INDEX(
    'EMA points'!$A:$A,
    COLUMN() - COLUMN($D$1) + ROW('EMA points'!$A$3)
)</f>
        <v>Victoria</v>
      </c>
      <c r="AC1" t="str" cm="1">
        <f t="array" ref="AC1">INDEX(
    'EMA points'!$A:$A,
    COLUMN() - COLUMN($D$1) + ROW('EMA points'!$A$3)
)</f>
        <v>Kevin</v>
      </c>
      <c r="AD1" t="str" cm="1">
        <f t="array" ref="AD1">INDEX(
    'EMA points'!$A:$A,
    COLUMN() - COLUMN($D$1) + ROW('EMA points'!$A$3)
)</f>
        <v>Juliette</v>
      </c>
      <c r="AE1" t="str" cm="1">
        <f t="array" ref="AE1">INDEX(
    'EMA points'!$A:$A,
    COLUMN() - COLUMN($D$1) + ROW('EMA points'!$A$3)
)</f>
        <v>Laetitia</v>
      </c>
      <c r="AF1" t="str" cm="1">
        <f t="array" ref="AF1">INDEX(
    'EMA points'!$A:$A,
    COLUMN() - COLUMN($D$1) + ROW('EMA points'!$A$3)
)</f>
        <v>Claire</v>
      </c>
      <c r="AG1" t="str" cm="1">
        <f t="array" ref="AG1">INDEX(
    'EMA points'!$A:$A,
    COLUMN() - COLUMN($D$1) + ROW('EMA points'!$A$3)
)</f>
        <v>Gerard</v>
      </c>
      <c r="AH1" t="str" cm="1">
        <f t="array" ref="AH1">INDEX(
    'EMA points'!$A:$A,
    COLUMN() - COLUMN($D$1) + ROW('EMA points'!$A$3)
)</f>
        <v>Sylvie</v>
      </c>
      <c r="AI1" t="str" cm="1">
        <f t="array" ref="AI1">INDEX(
    'EMA points'!$A:$A,
    COLUMN() - COLUMN($D$1) + ROW('EMA points'!$A$3)
)</f>
        <v>Halim</v>
      </c>
      <c r="AJ1" t="str" cm="1">
        <f t="array" ref="AJ1">INDEX(
    'EMA points'!$A:$A,
    COLUMN() - COLUMN($D$1) + ROW('EMA points'!$A$3)
)</f>
        <v>Christine</v>
      </c>
      <c r="AK1" t="str" cm="1">
        <f t="array" ref="AK1">INDEX(
    'EMA points'!$A:$A,
    COLUMN() - COLUMN($D$1) + ROW('EMA points'!$A$3)
)</f>
        <v>Jade</v>
      </c>
      <c r="AL1" t="str" cm="1">
        <f t="array" ref="AL1">INDEX(
    'EMA points'!$A:$A,
    COLUMN() - COLUMN($D$1) + ROW('EMA points'!$A$3)
)</f>
        <v>Sven</v>
      </c>
      <c r="AM1" t="str" cm="1">
        <f t="array" ref="AM1">INDEX(
    'EMA points'!$A:$A,
    COLUMN() - COLUMN($D$1) + ROW('EMA points'!$A$3)
)</f>
        <v>Valerie L</v>
      </c>
    </row>
    <row r="2" spans="1:39" x14ac:dyDescent="0.25">
      <c r="A2" t="s">
        <v>14</v>
      </c>
      <c r="B2" t="str" cm="1">
        <f t="array" ref="B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</v>
      </c>
      <c r="C2" s="2" cm="1">
        <f t="array" ref="C2">IF(B2="","",
  INDEX(Donnees!F:F, MATCH(B2, Donnees!F:F, 0)+1))</f>
        <v>45903.589861111112</v>
      </c>
      <c r="D2">
        <f>INDEX('EMA points'!$B:$B,MATCH(D1,'EMA points'!$A:$A,0))</f>
        <v>980.34500000000003</v>
      </c>
      <c r="E2">
        <f>INDEX('EMA points'!$B:$B,MATCH(E1,'EMA points'!$A:$A,0))</f>
        <v>1083.54</v>
      </c>
      <c r="F2">
        <f>INDEX('EMA points'!$B:$B,MATCH(F1,'EMA points'!$A:$A,0))</f>
        <v>903.97</v>
      </c>
      <c r="G2">
        <f>INDEX('EMA points'!$B:$B,MATCH(G1,'EMA points'!$A:$A,0))</f>
        <v>1068.3400000000001</v>
      </c>
      <c r="H2">
        <f>INDEX('EMA points'!$B:$B,MATCH(H1,'EMA points'!$A:$A,0))</f>
        <v>1075.79</v>
      </c>
      <c r="I2">
        <f>INDEX('EMA points'!$B:$B,MATCH(I1,'EMA points'!$A:$A,0))</f>
        <v>1000</v>
      </c>
      <c r="J2">
        <f>INDEX('EMA points'!$B:$B,MATCH(J1,'EMA points'!$A:$A,0))</f>
        <v>1030.135</v>
      </c>
      <c r="K2">
        <f>INDEX('EMA points'!$B:$B,MATCH(K1,'EMA points'!$A:$A,0))</f>
        <v>923.36</v>
      </c>
      <c r="L2">
        <f>INDEX('EMA points'!$B:$B,MATCH(L1,'EMA points'!$A:$A,0))</f>
        <v>1000</v>
      </c>
      <c r="M2">
        <f>INDEX('EMA points'!$B:$B,MATCH(M1,'EMA points'!$A:$A,0))</f>
        <v>1000</v>
      </c>
      <c r="N2">
        <f>INDEX('EMA points'!$B:$B,MATCH(N1,'EMA points'!$A:$A,0))</f>
        <v>884.21</v>
      </c>
      <c r="O2">
        <f>INDEX('EMA points'!$B:$B,MATCH(O1,'EMA points'!$A:$A,0))</f>
        <v>1000</v>
      </c>
      <c r="P2">
        <f>INDEX('EMA points'!$B:$B,MATCH(P1,'EMA points'!$A:$A,0))</f>
        <v>993.13499999999999</v>
      </c>
      <c r="Q2">
        <f>INDEX('EMA points'!$B:$B,MATCH(Q1,'EMA points'!$A:$A,0))</f>
        <v>949.40499999999997</v>
      </c>
      <c r="R2">
        <f>INDEX('EMA points'!$B:$B,MATCH(R1,'EMA points'!$A:$A,0))</f>
        <v>997.8</v>
      </c>
      <c r="S2">
        <f>INDEX('EMA points'!$B:$B,MATCH(S1,'EMA points'!$A:$A,0))</f>
        <v>984.505</v>
      </c>
      <c r="T2">
        <f>INDEX('EMA points'!$B:$B,MATCH(T1,'EMA points'!$A:$A,0))</f>
        <v>1029.905</v>
      </c>
      <c r="U2">
        <f>INDEX('EMA points'!$B:$B,MATCH(U1,'EMA points'!$A:$A,0))</f>
        <v>1092.7849999999999</v>
      </c>
      <c r="V2">
        <f>INDEX('EMA points'!$B:$B,MATCH(V1,'EMA points'!$A:$A,0))</f>
        <v>999.59500000000003</v>
      </c>
      <c r="W2">
        <f>INDEX('EMA points'!$B:$B,MATCH(W1,'EMA points'!$A:$A,0))</f>
        <v>1000</v>
      </c>
      <c r="X2">
        <f>INDEX('EMA points'!$B:$B,MATCH(X1,'EMA points'!$A:$A,0))</f>
        <v>899.53</v>
      </c>
      <c r="Y2">
        <f>INDEX('EMA points'!$B:$B,MATCH(Y1,'EMA points'!$A:$A,0))</f>
        <v>941.52</v>
      </c>
      <c r="Z2">
        <f>INDEX('EMA points'!$B:$B,MATCH(Z1,'EMA points'!$A:$A,0))</f>
        <v>1000</v>
      </c>
      <c r="AA2">
        <f>INDEX('EMA points'!$B:$B,MATCH(AA1,'EMA points'!$A:$A,0))</f>
        <v>1000</v>
      </c>
      <c r="AB2">
        <f>INDEX('EMA points'!$B:$B,MATCH(AB1,'EMA points'!$A:$A,0))</f>
        <v>979.56500000000005</v>
      </c>
      <c r="AC2">
        <f>INDEX('EMA points'!$B:$B,MATCH(AC1,'EMA points'!$A:$A,0))</f>
        <v>1032.51</v>
      </c>
      <c r="AD2">
        <f>INDEX('EMA points'!$B:$B,MATCH(AD1,'EMA points'!$A:$A,0))</f>
        <v>974.01499999999999</v>
      </c>
      <c r="AE2">
        <f>INDEX('EMA points'!$B:$B,MATCH(AE1,'EMA points'!$A:$A,0))</f>
        <v>1011.415</v>
      </c>
      <c r="AF2">
        <f>INDEX('EMA points'!$B:$B,MATCH(AF1,'EMA points'!$A:$A,0))</f>
        <v>1031.1199999999999</v>
      </c>
      <c r="AG2">
        <f>INDEX('EMA points'!$B:$B,MATCH(AG1,'EMA points'!$A:$A,0))</f>
        <v>1001.0350000000001</v>
      </c>
      <c r="AH2">
        <f>INDEX('EMA points'!$B:$B,MATCH(AH1,'EMA points'!$A:$A,0))</f>
        <v>994.44</v>
      </c>
      <c r="AI2">
        <f>INDEX('EMA points'!$B:$B,MATCH(AI1,'EMA points'!$A:$A,0))</f>
        <v>1000</v>
      </c>
      <c r="AJ2">
        <f>INDEX('EMA points'!$B:$B,MATCH(AJ1,'EMA points'!$A:$A,0))</f>
        <v>957.2</v>
      </c>
      <c r="AK2">
        <f>INDEX('EMA points'!$B:$B,MATCH(AK1,'EMA points'!$A:$A,0))</f>
        <v>1000</v>
      </c>
      <c r="AL2">
        <f>INDEX('EMA points'!$B:$B,MATCH(AL1,'EMA points'!$A:$A,0))</f>
        <v>1055.9299999999998</v>
      </c>
      <c r="AM2">
        <f>INDEX('EMA points'!$B:$B,MATCH(AM1,'EMA points'!$A:$A,0))</f>
        <v>1000</v>
      </c>
    </row>
    <row r="3" spans="1:39" x14ac:dyDescent="0.25">
      <c r="A3" t="s">
        <v>21</v>
      </c>
      <c r="D3" cm="1">
        <f t="array" ref="D3">IFERROR(
  _xlfn.LET(
    _xlpm.ligpartie, MATCH($B2, Donnees!$F:$F, 0),
    _xlpm.joueurs, INDEX(Donnees!$A:$Z, _xlpm.ligpartie+1, _xlfn.SEQUENCE(1, 4, 2)),
    INDEX(
      Donnees!$A:$Z,
      _xlpm.ligpartie + 3,
      MATCH(D$1, _xlpm.joueurs, 0) + 1
    )
  ), ""
)</f>
        <v>2</v>
      </c>
      <c r="E3" cm="1">
        <f t="array" ref="E3">IFERROR(
  _xlfn.LET(
    _xlpm.ligpartie, MATCH($B2, Donnees!$F:$F, 0),
    _xlpm.joueurs, INDEX(Donnees!$A:$Z, _xlpm.ligpartie+1, _xlfn.SEQUENCE(1, 4, 2)),
    INDEX(
      Donnees!$A:$Z,
      _xlpm.ligpartie + 3,
      MATCH(E$1, _xlpm.joueurs, 0) + 1
    )
  ), ""
)</f>
        <v>3</v>
      </c>
      <c r="F3" cm="1">
        <f t="array" ref="F3">IFERROR(
  _xlfn.LET(
    _xlpm.ligpartie, MATCH($B2, Donnees!$F:$F, 0),
    _xlpm.joueurs, INDEX(Donnees!$A:$Z, _xlpm.ligpartie+1, _xlfn.SEQUENCE(1, 4, 2)),
    INDEX(
      Donnees!$A:$Z,
      _xlpm.ligpartie + 3,
      MATCH(F$1, _xlpm.joueurs, 0) + 1
    )
  ), ""
)</f>
        <v>1</v>
      </c>
      <c r="G3" cm="1">
        <f t="array" ref="G3">IFERROR(
  _xlfn.LET(
    _xlpm.ligpartie, MATCH($B2, Donnees!$F:$F, 0),
    _xlpm.joueurs, INDEX(Donnees!$A:$Z, _xlpm.ligpartie+1, _xlfn.SEQUENCE(1, 4, 2)),
    INDEX(
      Donnees!$A:$Z,
      _xlpm.ligpartie + 3,
      MATCH(G$1, _xlpm.joueurs, 0) + 1
    )
  ), ""
)</f>
        <v>0</v>
      </c>
      <c r="H3" t="str" cm="1">
        <f t="array" ref="H3">IFERROR(
  _xlfn.LET(
    _xlpm.ligpartie, MATCH($B2, Donnees!$F:$F, 0),
    _xlpm.joueurs, INDEX(Donnees!$A:$Z, _xlpm.ligpartie+1, _xlfn.SEQUENCE(1, 4, 2)),
    INDEX(
      Donnees!$A:$Z,
      _xlpm.ligpartie + 3,
      MATCH(H$1, _xlpm.joueurs, 0) + 1
    )
  ), ""
)</f>
        <v/>
      </c>
      <c r="I3" t="str" cm="1">
        <f t="array" ref="I3">IFERROR(
  _xlfn.LET(
    _xlpm.ligpartie, MATCH($B2, Donnees!$F:$F, 0),
    _xlpm.joueurs, INDEX(Donnees!$A:$Z, _xlpm.ligpartie+1, _xlfn.SEQUENCE(1, 4, 2)),
    INDEX(
      Donnees!$A:$Z,
      _xlpm.ligpartie + 3,
      MATCH(I$1, _xlpm.joueurs, 0) + 1
    )
  ), ""
)</f>
        <v/>
      </c>
      <c r="J3" t="str" cm="1">
        <f t="array" ref="J3">IFERROR(
  _xlfn.LET(
    _xlpm.ligpartie, MATCH($B2, Donnees!$F:$F, 0),
    _xlpm.joueurs, INDEX(Donnees!$A:$Z, _xlpm.ligpartie+1, _xlfn.SEQUENCE(1, 4, 2)),
    INDEX(
      Donnees!$A:$Z,
      _xlpm.ligpartie + 3,
      MATCH(J$1, _xlpm.joueurs, 0) + 1
    )
  ), ""
)</f>
        <v/>
      </c>
      <c r="K3" t="str" cm="1">
        <f t="array" ref="K3">IFERROR(
  _xlfn.LET(
    _xlpm.ligpartie, MATCH($B2, Donnees!$F:$F, 0),
    _xlpm.joueurs, INDEX(Donnees!$A:$Z, _xlpm.ligpartie+1, _xlfn.SEQUENCE(1, 4, 2)),
    INDEX(
      Donnees!$A:$Z,
      _xlpm.ligpartie + 3,
      MATCH(K$1, _xlpm.joueurs, 0) + 1
    )
  ), ""
)</f>
        <v/>
      </c>
      <c r="L3" t="str" cm="1">
        <f t="array" ref="L3">IFERROR(
  _xlfn.LET(
    _xlpm.ligpartie, MATCH($B2, Donnees!$F:$F, 0),
    _xlpm.joueurs, INDEX(Donnees!$A:$Z, _xlpm.ligpartie+1, _xlfn.SEQUENCE(1, 4, 2)),
    INDEX(
      Donnees!$A:$Z,
      _xlpm.ligpartie + 3,
      MATCH(L$1, _xlpm.joueurs, 0) + 1
    )
  ), ""
)</f>
        <v/>
      </c>
      <c r="M3" t="str" cm="1">
        <f t="array" ref="M3">IFERROR(
  _xlfn.LET(
    _xlpm.ligpartie, MATCH($B2, Donnees!$F:$F, 0),
    _xlpm.joueurs, INDEX(Donnees!$A:$Z, _xlpm.ligpartie+1, _xlfn.SEQUENCE(1, 4, 2)),
    INDEX(
      Donnees!$A:$Z,
      _xlpm.ligpartie + 3,
      MATCH(M$1, _xlpm.joueurs, 0) + 1
    )
  ), ""
)</f>
        <v/>
      </c>
      <c r="N3" t="str" cm="1">
        <f t="array" ref="N3">IFERROR(
  _xlfn.LET(
    _xlpm.ligpartie, MATCH($B2, Donnees!$F:$F, 0),
    _xlpm.joueurs, INDEX(Donnees!$A:$Z, _xlpm.ligpartie+1, _xlfn.SEQUENCE(1, 4, 2)),
    INDEX(
      Donnees!$A:$Z,
      _xlpm.ligpartie + 3,
      MATCH(N$1, _xlpm.joueurs, 0) + 1
    )
  ), ""
)</f>
        <v/>
      </c>
      <c r="O3" t="str" cm="1">
        <f t="array" ref="O3">IFERROR(
  _xlfn.LET(
    _xlpm.ligpartie, MATCH($B2, Donnees!$F:$F, 0),
    _xlpm.joueurs, INDEX(Donnees!$A:$Z, _xlpm.ligpartie+1, _xlfn.SEQUENCE(1, 4, 2)),
    INDEX(
      Donnees!$A:$Z,
      _xlpm.ligpartie + 3,
      MATCH(O$1, _xlpm.joueurs, 0) + 1
    )
  ), ""
)</f>
        <v/>
      </c>
      <c r="P3" t="str" cm="1">
        <f t="array" ref="P3">IFERROR(
  _xlfn.LET(
    _xlpm.ligpartie, MATCH($B2, Donnees!$F:$F, 0),
    _xlpm.joueurs, INDEX(Donnees!$A:$Z, _xlpm.ligpartie+1, _xlfn.SEQUENCE(1, 4, 2)),
    INDEX(
      Donnees!$A:$Z,
      _xlpm.ligpartie + 3,
      MATCH(P$1, _xlpm.joueurs, 0) + 1
    )
  ), ""
)</f>
        <v/>
      </c>
      <c r="Q3" t="str" cm="1">
        <f t="array" ref="Q3">IFERROR(
  _xlfn.LET(
    _xlpm.ligpartie, MATCH($B2, Donnees!$F:$F, 0),
    _xlpm.joueurs, INDEX(Donnees!$A:$Z, _xlpm.ligpartie+1, _xlfn.SEQUENCE(1, 4, 2)),
    INDEX(
      Donnees!$A:$Z,
      _xlpm.ligpartie + 3,
      MATCH(Q$1, _xlpm.joueurs, 0) + 1
    )
  ), ""
)</f>
        <v/>
      </c>
      <c r="R3" t="str" cm="1">
        <f t="array" ref="R3">IFERROR(
  _xlfn.LET(
    _xlpm.ligpartie, MATCH($B2, Donnees!$F:$F, 0),
    _xlpm.joueurs, INDEX(Donnees!$A:$Z, _xlpm.ligpartie+1, _xlfn.SEQUENCE(1, 4, 2)),
    INDEX(
      Donnees!$A:$Z,
      _xlpm.ligpartie + 3,
      MATCH(R$1, _xlpm.joueurs, 0) + 1
    )
  ), ""
)</f>
        <v/>
      </c>
      <c r="S3" t="str" cm="1">
        <f t="array" ref="S3">IFERROR(
  _xlfn.LET(
    _xlpm.ligpartie, MATCH($B2, Donnees!$F:$F, 0),
    _xlpm.joueurs, INDEX(Donnees!$A:$Z, _xlpm.ligpartie+1, _xlfn.SEQUENCE(1, 4, 2)),
    INDEX(
      Donnees!$A:$Z,
      _xlpm.ligpartie + 3,
      MATCH(S$1, _xlpm.joueurs, 0) + 1
    )
  ), ""
)</f>
        <v/>
      </c>
      <c r="T3" t="str" cm="1">
        <f t="array" ref="T3">IFERROR(
  _xlfn.LET(
    _xlpm.ligpartie, MATCH($B2, Donnees!$F:$F, 0),
    _xlpm.joueurs, INDEX(Donnees!$A:$Z, _xlpm.ligpartie+1, _xlfn.SEQUENCE(1, 4, 2)),
    INDEX(
      Donnees!$A:$Z,
      _xlpm.ligpartie + 3,
      MATCH(T$1, _xlpm.joueurs, 0) + 1
    )
  ), ""
)</f>
        <v/>
      </c>
      <c r="U3" t="str" cm="1">
        <f t="array" ref="U3">IFERROR(
  _xlfn.LET(
    _xlpm.ligpartie, MATCH($B2, Donnees!$F:$F, 0),
    _xlpm.joueurs, INDEX(Donnees!$A:$Z, _xlpm.ligpartie+1, _xlfn.SEQUENCE(1, 4, 2)),
    INDEX(
      Donnees!$A:$Z,
      _xlpm.ligpartie + 3,
      MATCH(U$1, _xlpm.joueurs, 0) + 1
    )
  ), ""
)</f>
        <v/>
      </c>
      <c r="V3" t="str" cm="1">
        <f t="array" ref="V3">IFERROR(
  _xlfn.LET(
    _xlpm.ligpartie, MATCH($B2, Donnees!$F:$F, 0),
    _xlpm.joueurs, INDEX(Donnees!$A:$Z, _xlpm.ligpartie+1, _xlfn.SEQUENCE(1, 4, 2)),
    INDEX(
      Donnees!$A:$Z,
      _xlpm.ligpartie + 3,
      MATCH(V$1, _xlpm.joueurs, 0) + 1
    )
  ), ""
)</f>
        <v/>
      </c>
      <c r="W3" t="str" cm="1">
        <f t="array" ref="W3">IFERROR(
  _xlfn.LET(
    _xlpm.ligpartie, MATCH($B2, Donnees!$F:$F, 0),
    _xlpm.joueurs, INDEX(Donnees!$A:$Z, _xlpm.ligpartie+1, _xlfn.SEQUENCE(1, 4, 2)),
    INDEX(
      Donnees!$A:$Z,
      _xlpm.ligpartie + 3,
      MATCH(W$1, _xlpm.joueurs, 0) + 1
    )
  ), ""
)</f>
        <v/>
      </c>
      <c r="X3" t="str" cm="1">
        <f t="array" ref="X3">IFERROR(
  _xlfn.LET(
    _xlpm.ligpartie, MATCH($B2, Donnees!$F:$F, 0),
    _xlpm.joueurs, INDEX(Donnees!$A:$Z, _xlpm.ligpartie+1, _xlfn.SEQUENCE(1, 4, 2)),
    INDEX(
      Donnees!$A:$Z,
      _xlpm.ligpartie + 3,
      MATCH(X$1, _xlpm.joueurs, 0) + 1
    )
  ), ""
)</f>
        <v/>
      </c>
      <c r="Y3" t="str" cm="1">
        <f t="array" ref="Y3">IFERROR(
  _xlfn.LET(
    _xlpm.ligpartie, MATCH($B2, Donnees!$F:$F, 0),
    _xlpm.joueurs, INDEX(Donnees!$A:$Z, _xlpm.ligpartie+1, _xlfn.SEQUENCE(1, 4, 2)),
    INDEX(
      Donnees!$A:$Z,
      _xlpm.ligpartie + 3,
      MATCH(Y$1, _xlpm.joueurs, 0) + 1
    )
  ), ""
)</f>
        <v/>
      </c>
      <c r="Z3" t="str" cm="1">
        <f t="array" ref="Z3">IFERROR(
  _xlfn.LET(
    _xlpm.ligpartie, MATCH($B2, Donnees!$F:$F, 0),
    _xlpm.joueurs, INDEX(Donnees!$A:$Z, _xlpm.ligpartie+1, _xlfn.SEQUENCE(1, 4, 2)),
    INDEX(
      Donnees!$A:$Z,
      _xlpm.ligpartie + 3,
      MATCH(Z$1, _xlpm.joueurs, 0) + 1
    )
  ), ""
)</f>
        <v/>
      </c>
      <c r="AA3" t="str" cm="1">
        <f t="array" ref="AA3">IFERROR(
  _xlfn.LET(
    _xlpm.ligpartie, MATCH($B2, Donnees!$F:$F, 0),
    _xlpm.joueurs, INDEX(Donnees!$A:$Z, _xlpm.ligpartie+1, _xlfn.SEQUENCE(1, 4, 2)),
    INDEX(
      Donnees!$A:$Z,
      _xlpm.ligpartie + 3,
      MATCH(AA$1, _xlpm.joueurs, 0) + 1
    )
  ), ""
)</f>
        <v/>
      </c>
      <c r="AB3" t="str" cm="1">
        <f t="array" ref="AB3">IFERROR(
  _xlfn.LET(
    _xlpm.ligpartie, MATCH($B2, Donnees!$F:$F, 0),
    _xlpm.joueurs, INDEX(Donnees!$A:$Z, _xlpm.ligpartie+1, _xlfn.SEQUENCE(1, 4, 2)),
    INDEX(
      Donnees!$A:$Z,
      _xlpm.ligpartie + 3,
      MATCH(AB$1, _xlpm.joueurs, 0) + 1
    )
  ), ""
)</f>
        <v/>
      </c>
      <c r="AC3" t="str" cm="1">
        <f t="array" ref="AC3">IFERROR(
  _xlfn.LET(
    _xlpm.ligpartie, MATCH($B2, Donnees!$F:$F, 0),
    _xlpm.joueurs, INDEX(Donnees!$A:$Z, _xlpm.ligpartie+1, _xlfn.SEQUENCE(1, 4, 2)),
    INDEX(
      Donnees!$A:$Z,
      _xlpm.ligpartie + 3,
      MATCH(AC$1, _xlpm.joueurs, 0) + 1
    )
  ), ""
)</f>
        <v/>
      </c>
      <c r="AD3" t="str" cm="1">
        <f t="array" ref="AD3">IFERROR(
  _xlfn.LET(
    _xlpm.ligpartie, MATCH($B2, Donnees!$F:$F, 0),
    _xlpm.joueurs, INDEX(Donnees!$A:$Z, _xlpm.ligpartie+1, _xlfn.SEQUENCE(1, 4, 2)),
    INDEX(
      Donnees!$A:$Z,
      _xlpm.ligpartie + 3,
      MATCH(AD$1, _xlpm.joueurs, 0) + 1
    )
  ), ""
)</f>
        <v/>
      </c>
      <c r="AE3" t="str" cm="1">
        <f t="array" ref="AE3">IFERROR(
  _xlfn.LET(
    _xlpm.ligpartie, MATCH($B2, Donnees!$F:$F, 0),
    _xlpm.joueurs, INDEX(Donnees!$A:$Z, _xlpm.ligpartie+1, _xlfn.SEQUENCE(1, 4, 2)),
    INDEX(
      Donnees!$A:$Z,
      _xlpm.ligpartie + 3,
      MATCH(AE$1, _xlpm.joueurs, 0) + 1
    )
  ), ""
)</f>
        <v/>
      </c>
      <c r="AF3" t="str" cm="1">
        <f t="array" ref="AF3">IFERROR(
  _xlfn.LET(
    _xlpm.ligpartie, MATCH($B2, Donnees!$F:$F, 0),
    _xlpm.joueurs, INDEX(Donnees!$A:$Z, _xlpm.ligpartie+1, _xlfn.SEQUENCE(1, 4, 2)),
    INDEX(
      Donnees!$A:$Z,
      _xlpm.ligpartie + 3,
      MATCH(AF$1, _xlpm.joueurs, 0) + 1
    )
  ), ""
)</f>
        <v/>
      </c>
      <c r="AG3" t="str" cm="1">
        <f t="array" ref="AG3">IFERROR(
  _xlfn.LET(
    _xlpm.ligpartie, MATCH($B2, Donnees!$F:$F, 0),
    _xlpm.joueurs, INDEX(Donnees!$A:$Z, _xlpm.ligpartie+1, _xlfn.SEQUENCE(1, 4, 2)),
    INDEX(
      Donnees!$A:$Z,
      _xlpm.ligpartie + 3,
      MATCH(AG$1, _xlpm.joueurs, 0) + 1
    )
  ), ""
)</f>
        <v/>
      </c>
      <c r="AH3" t="str" cm="1">
        <f t="array" ref="AH3">IFERROR(
  _xlfn.LET(
    _xlpm.ligpartie, MATCH($B2, Donnees!$F:$F, 0),
    _xlpm.joueurs, INDEX(Donnees!$A:$Z, _xlpm.ligpartie+1, _xlfn.SEQUENCE(1, 4, 2)),
    INDEX(
      Donnees!$A:$Z,
      _xlpm.ligpartie + 3,
      MATCH(AH$1, _xlpm.joueurs, 0) + 1
    )
  ), ""
)</f>
        <v/>
      </c>
      <c r="AI3" t="str" cm="1">
        <f t="array" ref="AI3">IFERROR(
  _xlfn.LET(
    _xlpm.ligpartie, MATCH($B2, Donnees!$F:$F, 0),
    _xlpm.joueurs, INDEX(Donnees!$A:$Z, _xlpm.ligpartie+1, _xlfn.SEQUENCE(1, 4, 2)),
    INDEX(
      Donnees!$A:$Z,
      _xlpm.ligpartie + 3,
      MATCH(AI$1, _xlpm.joueurs, 0) + 1
    )
  ), ""
)</f>
        <v/>
      </c>
      <c r="AJ3" t="str" cm="1">
        <f t="array" ref="AJ3">IFERROR(
  _xlfn.LET(
    _xlpm.ligpartie, MATCH($B2, Donnees!$F:$F, 0),
    _xlpm.joueurs, INDEX(Donnees!$A:$Z, _xlpm.ligpartie+1, _xlfn.SEQUENCE(1, 4, 2)),
    INDEX(
      Donnees!$A:$Z,
      _xlpm.ligpartie + 3,
      MATCH(AJ$1, _xlpm.joueurs, 0) + 1
    )
  ), ""
)</f>
        <v/>
      </c>
      <c r="AK3" t="str" cm="1">
        <f t="array" ref="AK3">IFERROR(
  _xlfn.LET(
    _xlpm.ligpartie, MATCH($B2, Donnees!$F:$F, 0),
    _xlpm.joueurs, INDEX(Donnees!$A:$Z, _xlpm.ligpartie+1, _xlfn.SEQUENCE(1, 4, 2)),
    INDEX(
      Donnees!$A:$Z,
      _xlpm.ligpartie + 3,
      MATCH(AK$1, _xlpm.joueurs, 0) + 1
    )
  ), ""
)</f>
        <v/>
      </c>
      <c r="AL3" t="str" cm="1">
        <f t="array" ref="AL3">IFERROR(
  _xlfn.LET(
    _xlpm.ligpartie, MATCH($B2, Donnees!$F:$F, 0),
    _xlpm.joueurs, INDEX(Donnees!$A:$Z, _xlpm.ligpartie+1, _xlfn.SEQUENCE(1, 4, 2)),
    INDEX(
      Donnees!$A:$Z,
      _xlpm.ligpartie + 3,
      MATCH(AL$1, _xlpm.joueurs, 0) + 1
    )
  ), ""
)</f>
        <v/>
      </c>
      <c r="AM3" t="str" cm="1">
        <f t="array" ref="AM3">IFERROR(
  _xlfn.LET(
    _xlpm.ligpartie, MATCH($B2, Donnees!$F:$F, 0),
    _xlpm.joueurs, INDEX(Donnees!$A:$Z, _xlpm.ligpartie+1, _xlfn.SEQUENCE(1, 4, 2)),
    INDEX(
      Donnees!$A:$Z,
      _xlpm.ligpartie + 3,
      MATCH(AM$1, _xlpm.joueurs, 0) + 1
    )
  ), ""
)</f>
        <v/>
      </c>
    </row>
    <row r="4" spans="1:39" x14ac:dyDescent="0.25">
      <c r="A4" t="s">
        <v>20</v>
      </c>
      <c r="D4" cm="1">
        <f t="array" ref="D4">_xlfn.LET(
  _xlpm.colj, _xlfn._xlws.FILTER(IF(ISNUMBER(3:3), COLUMN(3:3)), ISNUMBER(3:3)),
  _xlpm.elos, INDEX(2:2,1,_xlpm.colj),
  _xlpm.diffscale, Constantes!$B$2,
  IF(D3="",
    "",
    SUM(1/(1+POWER(10,-(D2-_xlpm.elos)/_xlpm.diffscale)))-0.5)
)</f>
        <v>1.3398894337298846</v>
      </c>
      <c r="E4" cm="1">
        <f t="array" ref="E4">_xlfn.LET(
  _xlpm.colj, _xlfn._xlws.FILTER(IF(ISNUMBER(3:3), COLUMN(3:3)), ISNUMBER(3:3)),
  _xlpm.elos, INDEX(2:2,1,_xlpm.colj),
  _xlpm.diffscale, Constantes!$B$2,
  IF(E3="",
    "",
    SUM(1/(1+POWER(10,-(E2-_xlpm.elos)/_xlpm.diffscale)))-0.5)
)</f>
        <v>1.9037820346968712</v>
      </c>
      <c r="F4" cm="1">
        <f t="array" ref="F4">_xlfn.LET(
  _xlpm.colj, _xlfn._xlws.FILTER(IF(ISNUMBER(3:3), COLUMN(3:3)), ISNUMBER(3:3)),
  _xlpm.elos, INDEX(2:2,1,_xlpm.colj),
  _xlpm.diffscale, Constantes!$B$2,
  IF(F3="",
    "",
    SUM(1/(1+POWER(10,-(F2-_xlpm.elos)/_xlpm.diffscale)))-0.5)
)</f>
        <v>0.93384587251237594</v>
      </c>
      <c r="G4" cm="1">
        <f t="array" ref="G4">_xlfn.LET(
  _xlpm.colj, _xlfn._xlws.FILTER(IF(ISNUMBER(3:3), COLUMN(3:3)), ISNUMBER(3:3)),
  _xlpm.elos, INDEX(2:2,1,_xlpm.colj),
  _xlpm.diffscale, Constantes!$B$2,
  IF(G3="",
    "",
    SUM(1/(1+POWER(10,-(G2-_xlpm.elos)/_xlpm.diffscale)))-0.5)
)</f>
        <v>1.8224826590608689</v>
      </c>
      <c r="H4" t="str" cm="1">
        <f t="array" ref="H4">_xlfn.LET(
  _xlpm.colj, _xlfn._xlws.FILTER(IF(ISNUMBER(3:3), COLUMN(3:3)), ISNUMBER(3:3)),
  _xlpm.elos, INDEX(2:2,1,_xlpm.colj),
  _xlpm.diffscale, Constantes!$B$2,
  IF(H3="",
    "",
    SUM(1/(1+POWER(10,-(H2-_xlpm.elos)/_xlpm.diffscale)))-0.5)
)</f>
        <v/>
      </c>
      <c r="I4" t="str" cm="1">
        <f t="array" ref="I4">_xlfn.LET(
  _xlpm.colj, _xlfn._xlws.FILTER(IF(ISNUMBER(3:3), COLUMN(3:3)), ISNUMBER(3:3)),
  _xlpm.elos, INDEX(2:2,1,_xlpm.colj),
  _xlpm.diffscale, Constantes!$B$2,
  IF(I3="",
    "",
    SUM(1/(1+POWER(10,-(I2-_xlpm.elos)/_xlpm.diffscale)))-0.5)
)</f>
        <v/>
      </c>
      <c r="J4" t="str" cm="1">
        <f t="array" ref="J4">_xlfn.LET(
  _xlpm.colj, _xlfn._xlws.FILTER(IF(ISNUMBER(3:3), COLUMN(3:3)), ISNUMBER(3:3)),
  _xlpm.elos, INDEX(2:2,1,_xlpm.colj),
  _xlpm.diffscale, Constantes!$B$2,
  IF(J3="",
    "",
    SUM(1/(1+POWER(10,-(J2-_xlpm.elos)/_xlpm.diffscale)))-0.5)
)</f>
        <v/>
      </c>
      <c r="K4" t="str" cm="1">
        <f t="array" ref="K4">_xlfn.LET(
  _xlpm.colj, _xlfn._xlws.FILTER(IF(ISNUMBER(3:3), COLUMN(3:3)), ISNUMBER(3:3)),
  _xlpm.elos, INDEX(2:2,1,_xlpm.colj),
  _xlpm.diffscale, Constantes!$B$2,
  IF(K3="",
    "",
    SUM(1/(1+POWER(10,-(K2-_xlpm.elos)/_xlpm.diffscale)))-0.5)
)</f>
        <v/>
      </c>
      <c r="L4" t="str" cm="1">
        <f t="array" ref="L4">_xlfn.LET(
  _xlpm.colj, _xlfn._xlws.FILTER(IF(ISNUMBER(3:3), COLUMN(3:3)), ISNUMBER(3:3)),
  _xlpm.elos, INDEX(2:2,1,_xlpm.colj),
  _xlpm.diffscale, Constantes!$B$2,
  IF(L3="",
    "",
    SUM(1/(1+POWER(10,-(L2-_xlpm.elos)/_xlpm.diffscale)))-0.5)
)</f>
        <v/>
      </c>
      <c r="M4" t="str" cm="1">
        <f t="array" ref="M4">_xlfn.LET(
  _xlpm.colj, _xlfn._xlws.FILTER(IF(ISNUMBER(3:3), COLUMN(3:3)), ISNUMBER(3:3)),
  _xlpm.elos, INDEX(2:2,1,_xlpm.colj),
  _xlpm.diffscale, Constantes!$B$2,
  IF(M3="",
    "",
    SUM(1/(1+POWER(10,-(M2-_xlpm.elos)/_xlpm.diffscale)))-0.5)
)</f>
        <v/>
      </c>
      <c r="N4" t="str" cm="1">
        <f t="array" ref="N4">_xlfn.LET(
  _xlpm.colj, _xlfn._xlws.FILTER(IF(ISNUMBER(3:3), COLUMN(3:3)), ISNUMBER(3:3)),
  _xlpm.elos, INDEX(2:2,1,_xlpm.colj),
  _xlpm.diffscale, Constantes!$B$2,
  IF(N3="",
    "",
    SUM(1/(1+POWER(10,-(N2-_xlpm.elos)/_xlpm.diffscale)))-0.5)
)</f>
        <v/>
      </c>
      <c r="O4" t="str" cm="1">
        <f t="array" ref="O4">_xlfn.LET(
  _xlpm.colj, _xlfn._xlws.FILTER(IF(ISNUMBER(3:3), COLUMN(3:3)), ISNUMBER(3:3)),
  _xlpm.elos, INDEX(2:2,1,_xlpm.colj),
  _xlpm.diffscale, Constantes!$B$2,
  IF(O3="",
    "",
    SUM(1/(1+POWER(10,-(O2-_xlpm.elos)/_xlpm.diffscale)))-0.5)
)</f>
        <v/>
      </c>
      <c r="P4" t="str" cm="1">
        <f t="array" ref="P4">_xlfn.LET(
  _xlpm.colj, _xlfn._xlws.FILTER(IF(ISNUMBER(3:3), COLUMN(3:3)), ISNUMBER(3:3)),
  _xlpm.elos, INDEX(2:2,1,_xlpm.colj),
  _xlpm.diffscale, Constantes!$B$2,
  IF(P3="",
    "",
    SUM(1/(1+POWER(10,-(P2-_xlpm.elos)/_xlpm.diffscale)))-0.5)
)</f>
        <v/>
      </c>
      <c r="Q4" t="str" cm="1">
        <f t="array" ref="Q4">_xlfn.LET(
  _xlpm.colj, _xlfn._xlws.FILTER(IF(ISNUMBER(3:3), COLUMN(3:3)), ISNUMBER(3:3)),
  _xlpm.elos, INDEX(2:2,1,_xlpm.colj),
  _xlpm.diffscale, Constantes!$B$2,
  IF(Q3="",
    "",
    SUM(1/(1+POWER(10,-(Q2-_xlpm.elos)/_xlpm.diffscale)))-0.5)
)</f>
        <v/>
      </c>
      <c r="R4" t="str" cm="1">
        <f t="array" ref="R4">_xlfn.LET(
  _xlpm.colj, _xlfn._xlws.FILTER(IF(ISNUMBER(3:3), COLUMN(3:3)), ISNUMBER(3:3)),
  _xlpm.elos, INDEX(2:2,1,_xlpm.colj),
  _xlpm.diffscale, Constantes!$B$2,
  IF(R3="",
    "",
    SUM(1/(1+POWER(10,-(R2-_xlpm.elos)/_xlpm.diffscale)))-0.5)
)</f>
        <v/>
      </c>
      <c r="S4" t="str" cm="1">
        <f t="array" ref="S4">_xlfn.LET(
  _xlpm.colj, _xlfn._xlws.FILTER(IF(ISNUMBER(3:3), COLUMN(3:3)), ISNUMBER(3:3)),
  _xlpm.elos, INDEX(2:2,1,_xlpm.colj),
  _xlpm.diffscale, Constantes!$B$2,
  IF(S3="",
    "",
    SUM(1/(1+POWER(10,-(S2-_xlpm.elos)/_xlpm.diffscale)))-0.5)
)</f>
        <v/>
      </c>
      <c r="T4" t="str" cm="1">
        <f t="array" ref="T4">_xlfn.LET(
  _xlpm.colj, _xlfn._xlws.FILTER(IF(ISNUMBER(3:3), COLUMN(3:3)), ISNUMBER(3:3)),
  _xlpm.elos, INDEX(2:2,1,_xlpm.colj),
  _xlpm.diffscale, Constantes!$B$2,
  IF(T3="",
    "",
    SUM(1/(1+POWER(10,-(T2-_xlpm.elos)/_xlpm.diffscale)))-0.5)
)</f>
        <v/>
      </c>
      <c r="U4" t="str" cm="1">
        <f t="array" ref="U4">_xlfn.LET(
  _xlpm.colj, _xlfn._xlws.FILTER(IF(ISNUMBER(3:3), COLUMN(3:3)), ISNUMBER(3:3)),
  _xlpm.elos, INDEX(2:2,1,_xlpm.colj),
  _xlpm.diffscale, Constantes!$B$2,
  IF(U3="",
    "",
    SUM(1/(1+POWER(10,-(U2-_xlpm.elos)/_xlpm.diffscale)))-0.5)
)</f>
        <v/>
      </c>
      <c r="V4" t="str" cm="1">
        <f t="array" ref="V4">_xlfn.LET(
  _xlpm.colj, _xlfn._xlws.FILTER(IF(ISNUMBER(3:3), COLUMN(3:3)), ISNUMBER(3:3)),
  _xlpm.elos, INDEX(2:2,1,_xlpm.colj),
  _xlpm.diffscale, Constantes!$B$2,
  IF(V3="",
    "",
    SUM(1/(1+POWER(10,-(V2-_xlpm.elos)/_xlpm.diffscale)))-0.5)
)</f>
        <v/>
      </c>
      <c r="W4" t="str" cm="1">
        <f t="array" ref="W4">_xlfn.LET(
  _xlpm.colj, _xlfn._xlws.FILTER(IF(ISNUMBER(3:3), COLUMN(3:3)), ISNUMBER(3:3)),
  _xlpm.elos, INDEX(2:2,1,_xlpm.colj),
  _xlpm.diffscale, Constantes!$B$2,
  IF(W3="",
    "",
    SUM(1/(1+POWER(10,-(W2-_xlpm.elos)/_xlpm.diffscale)))-0.5)
)</f>
        <v/>
      </c>
      <c r="X4" t="str" cm="1">
        <f t="array" ref="X4">_xlfn.LET(
  _xlpm.colj, _xlfn._xlws.FILTER(IF(ISNUMBER(3:3), COLUMN(3:3)), ISNUMBER(3:3)),
  _xlpm.elos, INDEX(2:2,1,_xlpm.colj),
  _xlpm.diffscale, Constantes!$B$2,
  IF(X3="",
    "",
    SUM(1/(1+POWER(10,-(X2-_xlpm.elos)/_xlpm.diffscale)))-0.5)
)</f>
        <v/>
      </c>
      <c r="Y4" t="str" cm="1">
        <f t="array" ref="Y4">_xlfn.LET(
  _xlpm.colj, _xlfn._xlws.FILTER(IF(ISNUMBER(3:3), COLUMN(3:3)), ISNUMBER(3:3)),
  _xlpm.elos, INDEX(2:2,1,_xlpm.colj),
  _xlpm.diffscale, Constantes!$B$2,
  IF(Y3="",
    "",
    SUM(1/(1+POWER(10,-(Y2-_xlpm.elos)/_xlpm.diffscale)))-0.5)
)</f>
        <v/>
      </c>
      <c r="Z4" t="str" cm="1">
        <f t="array" ref="Z4">_xlfn.LET(
  _xlpm.colj, _xlfn._xlws.FILTER(IF(ISNUMBER(3:3), COLUMN(3:3)), ISNUMBER(3:3)),
  _xlpm.elos, INDEX(2:2,1,_xlpm.colj),
  _xlpm.diffscale, Constantes!$B$2,
  IF(Z3="",
    "",
    SUM(1/(1+POWER(10,-(Z2-_xlpm.elos)/_xlpm.diffscale)))-0.5)
)</f>
        <v/>
      </c>
      <c r="AA4" t="str" cm="1">
        <f t="array" ref="AA4">_xlfn.LET(
  _xlpm.colj, _xlfn._xlws.FILTER(IF(ISNUMBER(3:3), COLUMN(3:3)), ISNUMBER(3:3)),
  _xlpm.elos, INDEX(2:2,1,_xlpm.colj),
  _xlpm.diffscale, Constantes!$B$2,
  IF(AA3="",
    "",
    SUM(1/(1+POWER(10,-(AA2-_xlpm.elos)/_xlpm.diffscale)))-0.5)
)</f>
        <v/>
      </c>
      <c r="AB4" t="str" cm="1">
        <f t="array" ref="AB4">_xlfn.LET(
  _xlpm.colj, _xlfn._xlws.FILTER(IF(ISNUMBER(3:3), COLUMN(3:3)), ISNUMBER(3:3)),
  _xlpm.elos, INDEX(2:2,1,_xlpm.colj),
  _xlpm.diffscale, Constantes!$B$2,
  IF(AB3="",
    "",
    SUM(1/(1+POWER(10,-(AB2-_xlpm.elos)/_xlpm.diffscale)))-0.5)
)</f>
        <v/>
      </c>
      <c r="AC4" t="str" cm="1">
        <f t="array" ref="AC4">_xlfn.LET(
  _xlpm.colj, _xlfn._xlws.FILTER(IF(ISNUMBER(3:3), COLUMN(3:3)), ISNUMBER(3:3)),
  _xlpm.elos, INDEX(2:2,1,_xlpm.colj),
  _xlpm.diffscale, Constantes!$B$2,
  IF(AC3="",
    "",
    SUM(1/(1+POWER(10,-(AC2-_xlpm.elos)/_xlpm.diffscale)))-0.5)
)</f>
        <v/>
      </c>
      <c r="AD4" t="str" cm="1">
        <f t="array" ref="AD4">_xlfn.LET(
  _xlpm.colj, _xlfn._xlws.FILTER(IF(ISNUMBER(3:3), COLUMN(3:3)), ISNUMBER(3:3)),
  _xlpm.elos, INDEX(2:2,1,_xlpm.colj),
  _xlpm.diffscale, Constantes!$B$2,
  IF(AD3="",
    "",
    SUM(1/(1+POWER(10,-(AD2-_xlpm.elos)/_xlpm.diffscale)))-0.5)
)</f>
        <v/>
      </c>
      <c r="AE4" t="str" cm="1">
        <f t="array" ref="AE4">_xlfn.LET(
  _xlpm.colj, _xlfn._xlws.FILTER(IF(ISNUMBER(3:3), COLUMN(3:3)), ISNUMBER(3:3)),
  _xlpm.elos, INDEX(2:2,1,_xlpm.colj),
  _xlpm.diffscale, Constantes!$B$2,
  IF(AE3="",
    "",
    SUM(1/(1+POWER(10,-(AE2-_xlpm.elos)/_xlpm.diffscale)))-0.5)
)</f>
        <v/>
      </c>
      <c r="AF4" t="str" cm="1">
        <f t="array" ref="AF4">_xlfn.LET(
  _xlpm.colj, _xlfn._xlws.FILTER(IF(ISNUMBER(3:3), COLUMN(3:3)), ISNUMBER(3:3)),
  _xlpm.elos, INDEX(2:2,1,_xlpm.colj),
  _xlpm.diffscale, Constantes!$B$2,
  IF(AF3="",
    "",
    SUM(1/(1+POWER(10,-(AF2-_xlpm.elos)/_xlpm.diffscale)))-0.5)
)</f>
        <v/>
      </c>
      <c r="AG4" t="str" cm="1">
        <f t="array" ref="AG4">_xlfn.LET(
  _xlpm.colj, _xlfn._xlws.FILTER(IF(ISNUMBER(3:3), COLUMN(3:3)), ISNUMBER(3:3)),
  _xlpm.elos, INDEX(2:2,1,_xlpm.colj),
  _xlpm.diffscale, Constantes!$B$2,
  IF(AG3="",
    "",
    SUM(1/(1+POWER(10,-(AG2-_xlpm.elos)/_xlpm.diffscale)))-0.5)
)</f>
        <v/>
      </c>
      <c r="AH4" t="str" cm="1">
        <f t="array" ref="AH4">_xlfn.LET(
  _xlpm.colj, _xlfn._xlws.FILTER(IF(ISNUMBER(3:3), COLUMN(3:3)), ISNUMBER(3:3)),
  _xlpm.elos, INDEX(2:2,1,_xlpm.colj),
  _xlpm.diffscale, Constantes!$B$2,
  IF(AH3="",
    "",
    SUM(1/(1+POWER(10,-(AH2-_xlpm.elos)/_xlpm.diffscale)))-0.5)
)</f>
        <v/>
      </c>
      <c r="AI4" t="str" cm="1">
        <f t="array" ref="AI4">_xlfn.LET(
  _xlpm.colj, _xlfn._xlws.FILTER(IF(ISNUMBER(3:3), COLUMN(3:3)), ISNUMBER(3:3)),
  _xlpm.elos, INDEX(2:2,1,_xlpm.colj),
  _xlpm.diffscale, Constantes!$B$2,
  IF(AI3="",
    "",
    SUM(1/(1+POWER(10,-(AI2-_xlpm.elos)/_xlpm.diffscale)))-0.5)
)</f>
        <v/>
      </c>
      <c r="AJ4" t="str" cm="1">
        <f t="array" ref="AJ4">_xlfn.LET(
  _xlpm.colj, _xlfn._xlws.FILTER(IF(ISNUMBER(3:3), COLUMN(3:3)), ISNUMBER(3:3)),
  _xlpm.elos, INDEX(2:2,1,_xlpm.colj),
  _xlpm.diffscale, Constantes!$B$2,
  IF(AJ3="",
    "",
    SUM(1/(1+POWER(10,-(AJ2-_xlpm.elos)/_xlpm.diffscale)))-0.5)
)</f>
        <v/>
      </c>
      <c r="AK4" t="str" cm="1">
        <f t="array" ref="AK4">_xlfn.LET(
  _xlpm.colj, _xlfn._xlws.FILTER(IF(ISNUMBER(3:3), COLUMN(3:3)), ISNUMBER(3:3)),
  _xlpm.elos, INDEX(2:2,1,_xlpm.colj),
  _xlpm.diffscale, Constantes!$B$2,
  IF(AK3="",
    "",
    SUM(1/(1+POWER(10,-(AK2-_xlpm.elos)/_xlpm.diffscale)))-0.5)
)</f>
        <v/>
      </c>
      <c r="AL4" t="str" cm="1">
        <f t="array" ref="AL4">_xlfn.LET(
  _xlpm.colj, _xlfn._xlws.FILTER(IF(ISNUMBER(3:3), COLUMN(3:3)), ISNUMBER(3:3)),
  _xlpm.elos, INDEX(2:2,1,_xlpm.colj),
  _xlpm.diffscale, Constantes!$B$2,
  IF(AL3="",
    "",
    SUM(1/(1+POWER(10,-(AL2-_xlpm.elos)/_xlpm.diffscale)))-0.5)
)</f>
        <v/>
      </c>
      <c r="AM4" t="str" cm="1">
        <f t="array" ref="AM4">_xlfn.LET(
  _xlpm.colj, _xlfn._xlws.FILTER(IF(ISNUMBER(3:3), COLUMN(3:3)), ISNUMBER(3:3)),
  _xlpm.elos, INDEX(2:2,1,_xlpm.colj),
  _xlpm.diffscale, Constantes!$B$2,
  IF(AM3="",
    "",
    SUM(1/(1+POWER(10,-(AM2-_xlpm.elos)/_xlpm.diffscale)))-0.5)
)</f>
        <v/>
      </c>
    </row>
    <row r="5" spans="1:39" x14ac:dyDescent="0.25">
      <c r="A5" t="s">
        <v>22</v>
      </c>
      <c r="D5" cm="1">
        <f t="array" ref="D5">_xlfn.LET(
  _xlpm.K, Constantes!$B$3,
  _xlpm.Knewgain, Constantes!$B$4,
  _xlpm.Knewscale, Constantes!$B$5,
  _xlpm.ptstables, INDEX(D:D, _xlfn.SEQUENCE(COUNTA($C$2:$C5), 1, 3, 4)),
  _xlpm.nbparties, COUNTA(_xlfn._xlws.FILTER(_xlpm.ptstables, _xlpm.ptstables &lt;&gt; "")),
  _xlpm.coef, _xlpm.K + _xlpm.Knewgain / (_xlpm.Knewscale + _xlpm.nbparties),
  IF(D3="",
    "",
    _xlpm.coef * (D3-D4))
)</f>
        <v>29.704975482155195</v>
      </c>
      <c r="E5" cm="1">
        <f t="array" ref="E5">_xlfn.LET(
  _xlpm.K, Constantes!$B$3,
  _xlpm.Knewgain, Constantes!$B$4,
  _xlpm.Knewscale, Constantes!$B$5,
  _xlpm.ptstables, INDEX(E:E, _xlfn.SEQUENCE(COUNTA($C$2:$C5), 1, 3, 4)),
  _xlpm.nbparties, COUNTA(_xlfn._xlws.FILTER(_xlpm.ptstables, _xlpm.ptstables &lt;&gt; "")),
  _xlpm.coef, _xlpm.K + _xlpm.Knewgain / (_xlpm.Knewscale + _xlpm.nbparties),
  IF(E3="",
    "",
    _xlpm.coef * (E3-E4))
)</f>
        <v>49.329808438640796</v>
      </c>
      <c r="F5" cm="1">
        <f t="array" ref="F5">_xlfn.LET(
  _xlpm.K, Constantes!$B$3,
  _xlpm.Knewgain, Constantes!$B$4,
  _xlpm.Knewscale, Constantes!$B$5,
  _xlpm.ptstables, INDEX(F:F, _xlfn.SEQUENCE(COUNTA($C$2:$C5), 1, 3, 4)),
  _xlpm.nbparties, COUNTA(_xlfn._xlws.FILTER(_xlpm.ptstables, _xlpm.ptstables &lt;&gt; "")),
  _xlpm.coef, _xlpm.K + _xlpm.Knewgain / (_xlpm.Knewscale + _xlpm.nbparties),
  IF(F3="",
    "",
    _xlpm.coef * (F3-F4))
)</f>
        <v>2.9769357369430827</v>
      </c>
      <c r="G5" cm="1">
        <f t="array" ref="G5">_xlfn.LET(
  _xlpm.K, Constantes!$B$3,
  _xlpm.Knewgain, Constantes!$B$4,
  _xlpm.Knewscale, Constantes!$B$5,
  _xlpm.ptstables, INDEX(G:G, _xlfn.SEQUENCE(COUNTA($C$2:$C5), 1, 3, 4)),
  _xlpm.nbparties, COUNTA(_xlfn._xlws.FILTER(_xlpm.ptstables, _xlpm.ptstables &lt;&gt; "")),
  _xlpm.coef, _xlpm.K + _xlpm.Knewgain / (_xlpm.Knewscale + _xlpm.nbparties),
  IF(G3="",
    "",
    _xlpm.coef * (G3-G4))
)</f>
        <v>-82.011719657739107</v>
      </c>
      <c r="H5" t="str" cm="1">
        <f t="array" ref="H5">_xlfn.LET(
  _xlpm.K, Constantes!$B$3,
  _xlpm.Knewgain, Constantes!$B$4,
  _xlpm.Knewscale, Constantes!$B$5,
  _xlpm.ptstables, INDEX(H:H, _xlfn.SEQUENCE(COUNTA($C$2:$C5), 1, 3, 4)),
  _xlpm.nbparties, COUNTA(_xlfn._xlws.FILTER(_xlpm.ptstables, _xlpm.ptstables &lt;&gt; "")),
  _xlpm.coef, _xlpm.K + _xlpm.Knewgain / (_xlpm.Knewscale + _xlpm.nbparties),
  IF(H3="",
    "",
    _xlpm.coef * (H3-H4))
)</f>
        <v/>
      </c>
      <c r="I5" t="str" cm="1">
        <f t="array" ref="I5">_xlfn.LET(
  _xlpm.K, Constantes!$B$3,
  _xlpm.Knewgain, Constantes!$B$4,
  _xlpm.Knewscale, Constantes!$B$5,
  _xlpm.ptstables, INDEX(I:I, _xlfn.SEQUENCE(COUNTA($C$2:$C5), 1, 3, 4)),
  _xlpm.nbparties, COUNTA(_xlfn._xlws.FILTER(_xlpm.ptstables, _xlpm.ptstables &lt;&gt; "")),
  _xlpm.coef, _xlpm.K + _xlpm.Knewgain / (_xlpm.Knewscale + _xlpm.nbparties),
  IF(I3="",
    "",
    _xlpm.coef * (I3-I4))
)</f>
        <v/>
      </c>
      <c r="J5" t="str" cm="1">
        <f t="array" ref="J5">_xlfn.LET(
  _xlpm.K, Constantes!$B$3,
  _xlpm.Knewgain, Constantes!$B$4,
  _xlpm.Knewscale, Constantes!$B$5,
  _xlpm.ptstables, INDEX(J:J, _xlfn.SEQUENCE(COUNTA($C$2:$C5), 1, 3, 4)),
  _xlpm.nbparties, COUNTA(_xlfn._xlws.FILTER(_xlpm.ptstables, _xlpm.ptstables &lt;&gt; "")),
  _xlpm.coef, _xlpm.K + _xlpm.Knewgain / (_xlpm.Knewscale + _xlpm.nbparties),
  IF(J3="",
    "",
    _xlpm.coef * (J3-J4))
)</f>
        <v/>
      </c>
      <c r="K5" t="str" cm="1">
        <f t="array" ref="K5">_xlfn.LET(
  _xlpm.K, Constantes!$B$3,
  _xlpm.Knewgain, Constantes!$B$4,
  _xlpm.Knewscale, Constantes!$B$5,
  _xlpm.ptstables, INDEX(K:K, _xlfn.SEQUENCE(COUNTA($C$2:$C5), 1, 3, 4)),
  _xlpm.nbparties, COUNTA(_xlfn._xlws.FILTER(_xlpm.ptstables, _xlpm.ptstables &lt;&gt; "")),
  _xlpm.coef, _xlpm.K + _xlpm.Knewgain / (_xlpm.Knewscale + _xlpm.nbparties),
  IF(K3="",
    "",
    _xlpm.coef * (K3-K4))
)</f>
        <v/>
      </c>
      <c r="L5" t="str" cm="1">
        <f t="array" ref="L5">_xlfn.LET(
  _xlpm.K, Constantes!$B$3,
  _xlpm.Knewgain, Constantes!$B$4,
  _xlpm.Knewscale, Constantes!$B$5,
  _xlpm.ptstables, INDEX(L:L, _xlfn.SEQUENCE(COUNTA($C$2:$C5), 1, 3, 4)),
  _xlpm.nbparties, COUNTA(_xlfn._xlws.FILTER(_xlpm.ptstables, _xlpm.ptstables &lt;&gt; "")),
  _xlpm.coef, _xlpm.K + _xlpm.Knewgain / (_xlpm.Knewscale + _xlpm.nbparties),
  IF(L3="",
    "",
    _xlpm.coef * (L3-L4))
)</f>
        <v/>
      </c>
      <c r="M5" t="str" cm="1">
        <f t="array" ref="M5">_xlfn.LET(
  _xlpm.K, Constantes!$B$3,
  _xlpm.Knewgain, Constantes!$B$4,
  _xlpm.Knewscale, Constantes!$B$5,
  _xlpm.ptstables, INDEX(M:M, _xlfn.SEQUENCE(COUNTA($C$2:$C5), 1, 3, 4)),
  _xlpm.nbparties, COUNTA(_xlfn._xlws.FILTER(_xlpm.ptstables, _xlpm.ptstables &lt;&gt; "")),
  _xlpm.coef, _xlpm.K + _xlpm.Knewgain / (_xlpm.Knewscale + _xlpm.nbparties),
  IF(M3="",
    "",
    _xlpm.coef * (M3-M4))
)</f>
        <v/>
      </c>
      <c r="N5" t="str" cm="1">
        <f t="array" ref="N5">_xlfn.LET(
  _xlpm.K, Constantes!$B$3,
  _xlpm.Knewgain, Constantes!$B$4,
  _xlpm.Knewscale, Constantes!$B$5,
  _xlpm.ptstables, INDEX(N:N, _xlfn.SEQUENCE(COUNTA($C$2:$C5), 1, 3, 4)),
  _xlpm.nbparties, COUNTA(_xlfn._xlws.FILTER(_xlpm.ptstables, _xlpm.ptstables &lt;&gt; "")),
  _xlpm.coef, _xlpm.K + _xlpm.Knewgain / (_xlpm.Knewscale + _xlpm.nbparties),
  IF(N3="",
    "",
    _xlpm.coef * (N3-N4))
)</f>
        <v/>
      </c>
      <c r="O5" t="str" cm="1">
        <f t="array" ref="O5">_xlfn.LET(
  _xlpm.K, Constantes!$B$3,
  _xlpm.Knewgain, Constantes!$B$4,
  _xlpm.Knewscale, Constantes!$B$5,
  _xlpm.ptstables, INDEX(O:O, _xlfn.SEQUENCE(COUNTA($C$2:$C5), 1, 3, 4)),
  _xlpm.nbparties, COUNTA(_xlfn._xlws.FILTER(_xlpm.ptstables, _xlpm.ptstables &lt;&gt; "")),
  _xlpm.coef, _xlpm.K + _xlpm.Knewgain / (_xlpm.Knewscale + _xlpm.nbparties),
  IF(O3="",
    "",
    _xlpm.coef * (O3-O4))
)</f>
        <v/>
      </c>
      <c r="P5" t="str" cm="1">
        <f t="array" ref="P5">_xlfn.LET(
  _xlpm.K, Constantes!$B$3,
  _xlpm.Knewgain, Constantes!$B$4,
  _xlpm.Knewscale, Constantes!$B$5,
  _xlpm.ptstables, INDEX(P:P, _xlfn.SEQUENCE(COUNTA($C$2:$C5), 1, 3, 4)),
  _xlpm.nbparties, COUNTA(_xlfn._xlws.FILTER(_xlpm.ptstables, _xlpm.ptstables &lt;&gt; "")),
  _xlpm.coef, _xlpm.K + _xlpm.Knewgain / (_xlpm.Knewscale + _xlpm.nbparties),
  IF(P3="",
    "",
    _xlpm.coef * (P3-P4))
)</f>
        <v/>
      </c>
      <c r="Q5" t="str" cm="1">
        <f t="array" ref="Q5">_xlfn.LET(
  _xlpm.K, Constantes!$B$3,
  _xlpm.Knewgain, Constantes!$B$4,
  _xlpm.Knewscale, Constantes!$B$5,
  _xlpm.ptstables, INDEX(Q:Q, _xlfn.SEQUENCE(COUNTA($C$2:$C5), 1, 3, 4)),
  _xlpm.nbparties, COUNTA(_xlfn._xlws.FILTER(_xlpm.ptstables, _xlpm.ptstables &lt;&gt; "")),
  _xlpm.coef, _xlpm.K + _xlpm.Knewgain / (_xlpm.Knewscale + _xlpm.nbparties),
  IF(Q3="",
    "",
    _xlpm.coef * (Q3-Q4))
)</f>
        <v/>
      </c>
      <c r="R5" t="str" cm="1">
        <f t="array" ref="R5">_xlfn.LET(
  _xlpm.K, Constantes!$B$3,
  _xlpm.Knewgain, Constantes!$B$4,
  _xlpm.Knewscale, Constantes!$B$5,
  _xlpm.ptstables, INDEX(R:R, _xlfn.SEQUENCE(COUNTA($C$2:$C5), 1, 3, 4)),
  _xlpm.nbparties, COUNTA(_xlfn._xlws.FILTER(_xlpm.ptstables, _xlpm.ptstables &lt;&gt; "")),
  _xlpm.coef, _xlpm.K + _xlpm.Knewgain / (_xlpm.Knewscale + _xlpm.nbparties),
  IF(R3="",
    "",
    _xlpm.coef * (R3-R4))
)</f>
        <v/>
      </c>
      <c r="S5" t="str" cm="1">
        <f t="array" ref="S5">_xlfn.LET(
  _xlpm.K, Constantes!$B$3,
  _xlpm.Knewgain, Constantes!$B$4,
  _xlpm.Knewscale, Constantes!$B$5,
  _xlpm.ptstables, INDEX(S:S, _xlfn.SEQUENCE(COUNTA($C$2:$C5), 1, 3, 4)),
  _xlpm.nbparties, COUNTA(_xlfn._xlws.FILTER(_xlpm.ptstables, _xlpm.ptstables &lt;&gt; "")),
  _xlpm.coef, _xlpm.K + _xlpm.Knewgain / (_xlpm.Knewscale + _xlpm.nbparties),
  IF(S3="",
    "",
    _xlpm.coef * (S3-S4))
)</f>
        <v/>
      </c>
      <c r="T5" t="str" cm="1">
        <f t="array" ref="T5">_xlfn.LET(
  _xlpm.K, Constantes!$B$3,
  _xlpm.Knewgain, Constantes!$B$4,
  _xlpm.Knewscale, Constantes!$B$5,
  _xlpm.ptstables, INDEX(T:T, _xlfn.SEQUENCE(COUNTA($C$2:$C5), 1, 3, 4)),
  _xlpm.nbparties, COUNTA(_xlfn._xlws.FILTER(_xlpm.ptstables, _xlpm.ptstables &lt;&gt; "")),
  _xlpm.coef, _xlpm.K + _xlpm.Knewgain / (_xlpm.Knewscale + _xlpm.nbparties),
  IF(T3="",
    "",
    _xlpm.coef * (T3-T4))
)</f>
        <v/>
      </c>
      <c r="U5" t="str" cm="1">
        <f t="array" ref="U5">_xlfn.LET(
  _xlpm.K, Constantes!$B$3,
  _xlpm.Knewgain, Constantes!$B$4,
  _xlpm.Knewscale, Constantes!$B$5,
  _xlpm.ptstables, INDEX(U:U, _xlfn.SEQUENCE(COUNTA($C$2:$C5), 1, 3, 4)),
  _xlpm.nbparties, COUNTA(_xlfn._xlws.FILTER(_xlpm.ptstables, _xlpm.ptstables &lt;&gt; "")),
  _xlpm.coef, _xlpm.K + _xlpm.Knewgain / (_xlpm.Knewscale + _xlpm.nbparties),
  IF(U3="",
    "",
    _xlpm.coef * (U3-U4))
)</f>
        <v/>
      </c>
      <c r="V5" t="str" cm="1">
        <f t="array" ref="V5">_xlfn.LET(
  _xlpm.K, Constantes!$B$3,
  _xlpm.Knewgain, Constantes!$B$4,
  _xlpm.Knewscale, Constantes!$B$5,
  _xlpm.ptstables, INDEX(V:V, _xlfn.SEQUENCE(COUNTA($C$2:$C5), 1, 3, 4)),
  _xlpm.nbparties, COUNTA(_xlfn._xlws.FILTER(_xlpm.ptstables, _xlpm.ptstables &lt;&gt; "")),
  _xlpm.coef, _xlpm.K + _xlpm.Knewgain / (_xlpm.Knewscale + _xlpm.nbparties),
  IF(V3="",
    "",
    _xlpm.coef * (V3-V4))
)</f>
        <v/>
      </c>
      <c r="W5" t="str" cm="1">
        <f t="array" ref="W5">_xlfn.LET(
  _xlpm.K, Constantes!$B$3,
  _xlpm.Knewgain, Constantes!$B$4,
  _xlpm.Knewscale, Constantes!$B$5,
  _xlpm.ptstables, INDEX(W:W, _xlfn.SEQUENCE(COUNTA($C$2:$C5), 1, 3, 4)),
  _xlpm.nbparties, COUNTA(_xlfn._xlws.FILTER(_xlpm.ptstables, _xlpm.ptstables &lt;&gt; "")),
  _xlpm.coef, _xlpm.K + _xlpm.Knewgain / (_xlpm.Knewscale + _xlpm.nbparties),
  IF(W3="",
    "",
    _xlpm.coef * (W3-W4))
)</f>
        <v/>
      </c>
      <c r="X5" t="str" cm="1">
        <f t="array" ref="X5">_xlfn.LET(
  _xlpm.K, Constantes!$B$3,
  _xlpm.Knewgain, Constantes!$B$4,
  _xlpm.Knewscale, Constantes!$B$5,
  _xlpm.ptstables, INDEX(X:X, _xlfn.SEQUENCE(COUNTA($C$2:$C5), 1, 3, 4)),
  _xlpm.nbparties, COUNTA(_xlfn._xlws.FILTER(_xlpm.ptstables, _xlpm.ptstables &lt;&gt; "")),
  _xlpm.coef, _xlpm.K + _xlpm.Knewgain / (_xlpm.Knewscale + _xlpm.nbparties),
  IF(X3="",
    "",
    _xlpm.coef * (X3-X4))
)</f>
        <v/>
      </c>
      <c r="Y5" t="str" cm="1">
        <f t="array" ref="Y5">_xlfn.LET(
  _xlpm.K, Constantes!$B$3,
  _xlpm.Knewgain, Constantes!$B$4,
  _xlpm.Knewscale, Constantes!$B$5,
  _xlpm.ptstables, INDEX(Y:Y, _xlfn.SEQUENCE(COUNTA($C$2:$C5), 1, 3, 4)),
  _xlpm.nbparties, COUNTA(_xlfn._xlws.FILTER(_xlpm.ptstables, _xlpm.ptstables &lt;&gt; "")),
  _xlpm.coef, _xlpm.K + _xlpm.Knewgain / (_xlpm.Knewscale + _xlpm.nbparties),
  IF(Y3="",
    "",
    _xlpm.coef * (Y3-Y4))
)</f>
        <v/>
      </c>
      <c r="Z5" t="str" cm="1">
        <f t="array" ref="Z5">_xlfn.LET(
  _xlpm.K, Constantes!$B$3,
  _xlpm.Knewgain, Constantes!$B$4,
  _xlpm.Knewscale, Constantes!$B$5,
  _xlpm.ptstables, INDEX(Z:Z, _xlfn.SEQUENCE(COUNTA($C$2:$C5), 1, 3, 4)),
  _xlpm.nbparties, COUNTA(_xlfn._xlws.FILTER(_xlpm.ptstables, _xlpm.ptstables &lt;&gt; "")),
  _xlpm.coef, _xlpm.K + _xlpm.Knewgain / (_xlpm.Knewscale + _xlpm.nbparties),
  IF(Z3="",
    "",
    _xlpm.coef * (Z3-Z4))
)</f>
        <v/>
      </c>
      <c r="AA5" t="str" cm="1">
        <f t="array" ref="AA5">_xlfn.LET(
  _xlpm.K, Constantes!$B$3,
  _xlpm.Knewgain, Constantes!$B$4,
  _xlpm.Knewscale, Constantes!$B$5,
  _xlpm.ptstables, INDEX(AA:AA, _xlfn.SEQUENCE(COUNTA($C$2:$C5), 1, 3, 4)),
  _xlpm.nbparties, COUNTA(_xlfn._xlws.FILTER(_xlpm.ptstables, _xlpm.ptstables &lt;&gt; "")),
  _xlpm.coef, _xlpm.K + _xlpm.Knewgain / (_xlpm.Knewscale + _xlpm.nbparties),
  IF(AA3="",
    "",
    _xlpm.coef * (AA3-AA4))
)</f>
        <v/>
      </c>
      <c r="AB5" t="str" cm="1">
        <f t="array" ref="AB5">_xlfn.LET(
  _xlpm.K, Constantes!$B$3,
  _xlpm.Knewgain, Constantes!$B$4,
  _xlpm.Knewscale, Constantes!$B$5,
  _xlpm.ptstables, INDEX(AB:AB, _xlfn.SEQUENCE(COUNTA($C$2:$C5), 1, 3, 4)),
  _xlpm.nbparties, COUNTA(_xlfn._xlws.FILTER(_xlpm.ptstables, _xlpm.ptstables &lt;&gt; "")),
  _xlpm.coef, _xlpm.K + _xlpm.Knewgain / (_xlpm.Knewscale + _xlpm.nbparties),
  IF(AB3="",
    "",
    _xlpm.coef * (AB3-AB4))
)</f>
        <v/>
      </c>
      <c r="AC5" t="str" cm="1">
        <f t="array" ref="AC5">_xlfn.LET(
  _xlpm.K, Constantes!$B$3,
  _xlpm.Knewgain, Constantes!$B$4,
  _xlpm.Knewscale, Constantes!$B$5,
  _xlpm.ptstables, INDEX(AC:AC, _xlfn.SEQUENCE(COUNTA($C$2:$C5), 1, 3, 4)),
  _xlpm.nbparties, COUNTA(_xlfn._xlws.FILTER(_xlpm.ptstables, _xlpm.ptstables &lt;&gt; "")),
  _xlpm.coef, _xlpm.K + _xlpm.Knewgain / (_xlpm.Knewscale + _xlpm.nbparties),
  IF(AC3="",
    "",
    _xlpm.coef * (AC3-AC4))
)</f>
        <v/>
      </c>
      <c r="AD5" t="str" cm="1">
        <f t="array" ref="AD5">_xlfn.LET(
  _xlpm.K, Constantes!$B$3,
  _xlpm.Knewgain, Constantes!$B$4,
  _xlpm.Knewscale, Constantes!$B$5,
  _xlpm.ptstables, INDEX(AD:AD, _xlfn.SEQUENCE(COUNTA($C$2:$C5), 1, 3, 4)),
  _xlpm.nbparties, COUNTA(_xlfn._xlws.FILTER(_xlpm.ptstables, _xlpm.ptstables &lt;&gt; "")),
  _xlpm.coef, _xlpm.K + _xlpm.Knewgain / (_xlpm.Knewscale + _xlpm.nbparties),
  IF(AD3="",
    "",
    _xlpm.coef * (AD3-AD4))
)</f>
        <v/>
      </c>
      <c r="AE5" t="str" cm="1">
        <f t="array" ref="AE5">_xlfn.LET(
  _xlpm.K, Constantes!$B$3,
  _xlpm.Knewgain, Constantes!$B$4,
  _xlpm.Knewscale, Constantes!$B$5,
  _xlpm.ptstables, INDEX(AE:AE, _xlfn.SEQUENCE(COUNTA($C$2:$C5), 1, 3, 4)),
  _xlpm.nbparties, COUNTA(_xlfn._xlws.FILTER(_xlpm.ptstables, _xlpm.ptstables &lt;&gt; "")),
  _xlpm.coef, _xlpm.K + _xlpm.Knewgain / (_xlpm.Knewscale + _xlpm.nbparties),
  IF(AE3="",
    "",
    _xlpm.coef * (AE3-AE4))
)</f>
        <v/>
      </c>
      <c r="AF5" t="str" cm="1">
        <f t="array" ref="AF5">_xlfn.LET(
  _xlpm.K, Constantes!$B$3,
  _xlpm.Knewgain, Constantes!$B$4,
  _xlpm.Knewscale, Constantes!$B$5,
  _xlpm.ptstables, INDEX(AF:AF, _xlfn.SEQUENCE(COUNTA($C$2:$C5), 1, 3, 4)),
  _xlpm.nbparties, COUNTA(_xlfn._xlws.FILTER(_xlpm.ptstables, _xlpm.ptstables &lt;&gt; "")),
  _xlpm.coef, _xlpm.K + _xlpm.Knewgain / (_xlpm.Knewscale + _xlpm.nbparties),
  IF(AF3="",
    "",
    _xlpm.coef * (AF3-AF4))
)</f>
        <v/>
      </c>
      <c r="AG5" t="str" cm="1">
        <f t="array" ref="AG5">_xlfn.LET(
  _xlpm.K, Constantes!$B$3,
  _xlpm.Knewgain, Constantes!$B$4,
  _xlpm.Knewscale, Constantes!$B$5,
  _xlpm.ptstables, INDEX(AG:AG, _xlfn.SEQUENCE(COUNTA($C$2:$C5), 1, 3, 4)),
  _xlpm.nbparties, COUNTA(_xlfn._xlws.FILTER(_xlpm.ptstables, _xlpm.ptstables &lt;&gt; "")),
  _xlpm.coef, _xlpm.K + _xlpm.Knewgain / (_xlpm.Knewscale + _xlpm.nbparties),
  IF(AG3="",
    "",
    _xlpm.coef * (AG3-AG4))
)</f>
        <v/>
      </c>
      <c r="AH5" t="str" cm="1">
        <f t="array" ref="AH5">_xlfn.LET(
  _xlpm.K, Constantes!$B$3,
  _xlpm.Knewgain, Constantes!$B$4,
  _xlpm.Knewscale, Constantes!$B$5,
  _xlpm.ptstables, INDEX(AH:AH, _xlfn.SEQUENCE(COUNTA($C$2:$C5), 1, 3, 4)),
  _xlpm.nbparties, COUNTA(_xlfn._xlws.FILTER(_xlpm.ptstables, _xlpm.ptstables &lt;&gt; "")),
  _xlpm.coef, _xlpm.K + _xlpm.Knewgain / (_xlpm.Knewscale + _xlpm.nbparties),
  IF(AH3="",
    "",
    _xlpm.coef * (AH3-AH4))
)</f>
        <v/>
      </c>
      <c r="AI5" t="str" cm="1">
        <f t="array" ref="AI5">_xlfn.LET(
  _xlpm.K, Constantes!$B$3,
  _xlpm.Knewgain, Constantes!$B$4,
  _xlpm.Knewscale, Constantes!$B$5,
  _xlpm.ptstables, INDEX(AI:AI, _xlfn.SEQUENCE(COUNTA($C$2:$C5), 1, 3, 4)),
  _xlpm.nbparties, COUNTA(_xlfn._xlws.FILTER(_xlpm.ptstables, _xlpm.ptstables &lt;&gt; "")),
  _xlpm.coef, _xlpm.K + _xlpm.Knewgain / (_xlpm.Knewscale + _xlpm.nbparties),
  IF(AI3="",
    "",
    _xlpm.coef * (AI3-AI4))
)</f>
        <v/>
      </c>
      <c r="AJ5" t="str" cm="1">
        <f t="array" ref="AJ5">_xlfn.LET(
  _xlpm.K, Constantes!$B$3,
  _xlpm.Knewgain, Constantes!$B$4,
  _xlpm.Knewscale, Constantes!$B$5,
  _xlpm.ptstables, INDEX(AJ:AJ, _xlfn.SEQUENCE(COUNTA($C$2:$C5), 1, 3, 4)),
  _xlpm.nbparties, COUNTA(_xlfn._xlws.FILTER(_xlpm.ptstables, _xlpm.ptstables &lt;&gt; "")),
  _xlpm.coef, _xlpm.K + _xlpm.Knewgain / (_xlpm.Knewscale + _xlpm.nbparties),
  IF(AJ3="",
    "",
    _xlpm.coef * (AJ3-AJ4))
)</f>
        <v/>
      </c>
      <c r="AK5" t="str" cm="1">
        <f t="array" ref="AK5">_xlfn.LET(
  _xlpm.K, Constantes!$B$3,
  _xlpm.Knewgain, Constantes!$B$4,
  _xlpm.Knewscale, Constantes!$B$5,
  _xlpm.ptstables, INDEX(AK:AK, _xlfn.SEQUENCE(COUNTA($C$2:$C5), 1, 3, 4)),
  _xlpm.nbparties, COUNTA(_xlfn._xlws.FILTER(_xlpm.ptstables, _xlpm.ptstables &lt;&gt; "")),
  _xlpm.coef, _xlpm.K + _xlpm.Knewgain / (_xlpm.Knewscale + _xlpm.nbparties),
  IF(AK3="",
    "",
    _xlpm.coef * (AK3-AK4))
)</f>
        <v/>
      </c>
      <c r="AL5" t="str" cm="1">
        <f t="array" ref="AL5">_xlfn.LET(
  _xlpm.K, Constantes!$B$3,
  _xlpm.Knewgain, Constantes!$B$4,
  _xlpm.Knewscale, Constantes!$B$5,
  _xlpm.ptstables, INDEX(AL:AL, _xlfn.SEQUENCE(COUNTA($C$2:$C5), 1, 3, 4)),
  _xlpm.nbparties, COUNTA(_xlfn._xlws.FILTER(_xlpm.ptstables, _xlpm.ptstables &lt;&gt; "")),
  _xlpm.coef, _xlpm.K + _xlpm.Knewgain / (_xlpm.Knewscale + _xlpm.nbparties),
  IF(AL3="",
    "",
    _xlpm.coef * (AL3-AL4))
)</f>
        <v/>
      </c>
      <c r="AM5" t="str" cm="1">
        <f t="array" ref="AM5">_xlfn.LET(
  _xlpm.K, Constantes!$B$3,
  _xlpm.Knewgain, Constantes!$B$4,
  _xlpm.Knewscale, Constantes!$B$5,
  _xlpm.ptstables, INDEX(AM:AM, _xlfn.SEQUENCE(COUNTA($C$2:$C5), 1, 3, 4)),
  _xlpm.nbparties, COUNTA(_xlfn._xlws.FILTER(_xlpm.ptstables, _xlpm.ptstables &lt;&gt; "")),
  _xlpm.coef, _xlpm.K + _xlpm.Knewgain / (_xlpm.Knewscale + _xlpm.nbparties),
  IF(AM3="",
    "",
    _xlpm.coef * (AM3-AM4))
)</f>
        <v/>
      </c>
    </row>
    <row r="6" spans="1:39" x14ac:dyDescent="0.25">
      <c r="A6" t="s">
        <v>14</v>
      </c>
      <c r="B6" t="str" cm="1">
        <f t="array" ref="B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</v>
      </c>
      <c r="C6" s="2" cm="1">
        <f t="array" ref="C6">IF(B6="","",
  INDEX(Donnees!F:F, MATCH(B6, Donnees!F:F, 0)+1))</f>
        <v>45903.68005787037</v>
      </c>
      <c r="D6">
        <f>D2+IF(D5="",0,D5)</f>
        <v>1010.0499754821552</v>
      </c>
      <c r="E6">
        <f t="shared" ref="E6:H6" si="0">E2+IF(E5="",0,E5)</f>
        <v>1132.8698084386408</v>
      </c>
      <c r="F6">
        <f t="shared" si="0"/>
        <v>906.94693573694315</v>
      </c>
      <c r="G6">
        <f t="shared" si="0"/>
        <v>986.328280342261</v>
      </c>
      <c r="H6">
        <f t="shared" si="0"/>
        <v>1075.79</v>
      </c>
      <c r="I6">
        <f t="shared" ref="I6:J6" si="1">I2+IF(I5="",0,I5)</f>
        <v>1000</v>
      </c>
      <c r="J6">
        <f t="shared" si="1"/>
        <v>1030.135</v>
      </c>
      <c r="K6">
        <f t="shared" ref="K6:N6" si="2">K2+IF(K5="",0,K5)</f>
        <v>923.36</v>
      </c>
      <c r="L6">
        <f t="shared" si="2"/>
        <v>1000</v>
      </c>
      <c r="M6">
        <f t="shared" si="2"/>
        <v>1000</v>
      </c>
      <c r="N6">
        <f t="shared" si="2"/>
        <v>884.21</v>
      </c>
      <c r="O6">
        <f t="shared" ref="O6:Q6" si="3">O2+IF(O5="",0,O5)</f>
        <v>1000</v>
      </c>
      <c r="P6">
        <f t="shared" si="3"/>
        <v>993.13499999999999</v>
      </c>
      <c r="Q6">
        <f t="shared" si="3"/>
        <v>949.40499999999997</v>
      </c>
      <c r="R6">
        <f t="shared" ref="R6:T6" si="4">R2+IF(R5="",0,R5)</f>
        <v>997.8</v>
      </c>
      <c r="S6">
        <f t="shared" si="4"/>
        <v>984.505</v>
      </c>
      <c r="T6">
        <f t="shared" si="4"/>
        <v>1029.905</v>
      </c>
      <c r="U6">
        <f t="shared" ref="U6:AC6" si="5">U2+IF(U5="",0,U5)</f>
        <v>1092.7849999999999</v>
      </c>
      <c r="V6">
        <f t="shared" si="5"/>
        <v>999.59500000000003</v>
      </c>
      <c r="W6">
        <f t="shared" si="5"/>
        <v>1000</v>
      </c>
      <c r="X6">
        <f t="shared" si="5"/>
        <v>899.53</v>
      </c>
      <c r="Y6">
        <f t="shared" si="5"/>
        <v>941.52</v>
      </c>
      <c r="Z6">
        <f t="shared" si="5"/>
        <v>1000</v>
      </c>
      <c r="AA6">
        <f t="shared" si="5"/>
        <v>1000</v>
      </c>
      <c r="AB6">
        <f t="shared" si="5"/>
        <v>979.56500000000005</v>
      </c>
      <c r="AC6">
        <f t="shared" si="5"/>
        <v>1032.51</v>
      </c>
      <c r="AD6">
        <f t="shared" ref="AD6:AE6" si="6">AD2+IF(AD5="",0,AD5)</f>
        <v>974.01499999999999</v>
      </c>
      <c r="AE6">
        <f t="shared" si="6"/>
        <v>1011.415</v>
      </c>
      <c r="AF6">
        <f t="shared" ref="AF6:AI6" si="7">AF2+IF(AF5="",0,AF5)</f>
        <v>1031.1199999999999</v>
      </c>
      <c r="AG6">
        <f t="shared" si="7"/>
        <v>1001.0350000000001</v>
      </c>
      <c r="AH6">
        <f t="shared" si="7"/>
        <v>994.44</v>
      </c>
      <c r="AI6">
        <f t="shared" si="7"/>
        <v>1000</v>
      </c>
      <c r="AJ6">
        <f t="shared" ref="AJ6:AL6" si="8">AJ2+IF(AJ5="",0,AJ5)</f>
        <v>957.2</v>
      </c>
      <c r="AK6">
        <f t="shared" si="8"/>
        <v>1000</v>
      </c>
      <c r="AL6">
        <f t="shared" si="8"/>
        <v>1055.9299999999998</v>
      </c>
      <c r="AM6">
        <f t="shared" ref="AM6" si="9">AM2+IF(AM5="",0,AM5)</f>
        <v>1000</v>
      </c>
    </row>
    <row r="7" spans="1:39" x14ac:dyDescent="0.25">
      <c r="A7" t="s">
        <v>21</v>
      </c>
      <c r="D7" cm="1">
        <f t="array" ref="D7">IFERROR(
  _xlfn.LET(
    _xlpm.ligpartie, MATCH($B6, Donnees!$F:$F, 0),
    _xlpm.joueurs, INDEX(Donnees!$A:$Z, _xlpm.ligpartie+1, _xlfn.SEQUENCE(1, 4, 2)),
    INDEX(
      Donnees!$A:$Z,
      _xlpm.ligpartie + 3,
      MATCH(D$1, _xlpm.joueurs, 0) + 1
    )
  ), ""
)</f>
        <v>0</v>
      </c>
      <c r="E7" cm="1">
        <f t="array" ref="E7">IFERROR(
  _xlfn.LET(
    _xlpm.ligpartie, MATCH($B6, Donnees!$F:$F, 0),
    _xlpm.joueurs, INDEX(Donnees!$A:$Z, _xlpm.ligpartie+1, _xlfn.SEQUENCE(1, 4, 2)),
    INDEX(
      Donnees!$A:$Z,
      _xlpm.ligpartie + 3,
      MATCH(E$1, _xlpm.joueurs, 0) + 1
    )
  ), ""
)</f>
        <v>2</v>
      </c>
      <c r="F7" cm="1">
        <f t="array" ref="F7">IFERROR(
  _xlfn.LET(
    _xlpm.ligpartie, MATCH($B6, Donnees!$F:$F, 0),
    _xlpm.joueurs, INDEX(Donnees!$A:$Z, _xlpm.ligpartie+1, _xlfn.SEQUENCE(1, 4, 2)),
    INDEX(
      Donnees!$A:$Z,
      _xlpm.ligpartie + 3,
      MATCH(F$1, _xlpm.joueurs, 0) + 1
    )
  ), ""
)</f>
        <v>1</v>
      </c>
      <c r="G7" cm="1">
        <f t="array" ref="G7">IFERROR(
  _xlfn.LET(
    _xlpm.ligpartie, MATCH($B6, Donnees!$F:$F, 0),
    _xlpm.joueurs, INDEX(Donnees!$A:$Z, _xlpm.ligpartie+1, _xlfn.SEQUENCE(1, 4, 2)),
    INDEX(
      Donnees!$A:$Z,
      _xlpm.ligpartie + 3,
      MATCH(G$1, _xlpm.joueurs, 0) + 1
    )
  ), ""
)</f>
        <v>3</v>
      </c>
      <c r="H7" t="str" cm="1">
        <f t="array" ref="H7">IFERROR(
  _xlfn.LET(
    _xlpm.ligpartie, MATCH($B6, Donnees!$F:$F, 0),
    _xlpm.joueurs, INDEX(Donnees!$A:$Z, _xlpm.ligpartie+1, _xlfn.SEQUENCE(1, 4, 2)),
    INDEX(
      Donnees!$A:$Z,
      _xlpm.ligpartie + 3,
      MATCH(H$1, _xlpm.joueurs, 0) + 1
    )
  ), ""
)</f>
        <v/>
      </c>
      <c r="I7" t="str" cm="1">
        <f t="array" ref="I7">IFERROR(
  _xlfn.LET(
    _xlpm.ligpartie, MATCH($B6, Donnees!$F:$F, 0),
    _xlpm.joueurs, INDEX(Donnees!$A:$Z, _xlpm.ligpartie+1, _xlfn.SEQUENCE(1, 4, 2)),
    INDEX(
      Donnees!$A:$Z,
      _xlpm.ligpartie + 3,
      MATCH(I$1, _xlpm.joueurs, 0) + 1
    )
  ), ""
)</f>
        <v/>
      </c>
      <c r="J7" t="str" cm="1">
        <f t="array" ref="J7">IFERROR(
  _xlfn.LET(
    _xlpm.ligpartie, MATCH($B6, Donnees!$F:$F, 0),
    _xlpm.joueurs, INDEX(Donnees!$A:$Z, _xlpm.ligpartie+1, _xlfn.SEQUENCE(1, 4, 2)),
    INDEX(
      Donnees!$A:$Z,
      _xlpm.ligpartie + 3,
      MATCH(J$1, _xlpm.joueurs, 0) + 1
    )
  ), ""
)</f>
        <v/>
      </c>
      <c r="K7" t="str" cm="1">
        <f t="array" ref="K7">IFERROR(
  _xlfn.LET(
    _xlpm.ligpartie, MATCH($B6, Donnees!$F:$F, 0),
    _xlpm.joueurs, INDEX(Donnees!$A:$Z, _xlpm.ligpartie+1, _xlfn.SEQUENCE(1, 4, 2)),
    INDEX(
      Donnees!$A:$Z,
      _xlpm.ligpartie + 3,
      MATCH(K$1, _xlpm.joueurs, 0) + 1
    )
  ), ""
)</f>
        <v/>
      </c>
      <c r="L7" t="str" cm="1">
        <f t="array" ref="L7">IFERROR(
  _xlfn.LET(
    _xlpm.ligpartie, MATCH($B6, Donnees!$F:$F, 0),
    _xlpm.joueurs, INDEX(Donnees!$A:$Z, _xlpm.ligpartie+1, _xlfn.SEQUENCE(1, 4, 2)),
    INDEX(
      Donnees!$A:$Z,
      _xlpm.ligpartie + 3,
      MATCH(L$1, _xlpm.joueurs, 0) + 1
    )
  ), ""
)</f>
        <v/>
      </c>
      <c r="M7" t="str" cm="1">
        <f t="array" ref="M7">IFERROR(
  _xlfn.LET(
    _xlpm.ligpartie, MATCH($B6, Donnees!$F:$F, 0),
    _xlpm.joueurs, INDEX(Donnees!$A:$Z, _xlpm.ligpartie+1, _xlfn.SEQUENCE(1, 4, 2)),
    INDEX(
      Donnees!$A:$Z,
      _xlpm.ligpartie + 3,
      MATCH(M$1, _xlpm.joueurs, 0) + 1
    )
  ), ""
)</f>
        <v/>
      </c>
      <c r="N7" t="str" cm="1">
        <f t="array" ref="N7">IFERROR(
  _xlfn.LET(
    _xlpm.ligpartie, MATCH($B6, Donnees!$F:$F, 0),
    _xlpm.joueurs, INDEX(Donnees!$A:$Z, _xlpm.ligpartie+1, _xlfn.SEQUENCE(1, 4, 2)),
    INDEX(
      Donnees!$A:$Z,
      _xlpm.ligpartie + 3,
      MATCH(N$1, _xlpm.joueurs, 0) + 1
    )
  ), ""
)</f>
        <v/>
      </c>
      <c r="O7" t="str" cm="1">
        <f t="array" ref="O7">IFERROR(
  _xlfn.LET(
    _xlpm.ligpartie, MATCH($B6, Donnees!$F:$F, 0),
    _xlpm.joueurs, INDEX(Donnees!$A:$Z, _xlpm.ligpartie+1, _xlfn.SEQUENCE(1, 4, 2)),
    INDEX(
      Donnees!$A:$Z,
      _xlpm.ligpartie + 3,
      MATCH(O$1, _xlpm.joueurs, 0) + 1
    )
  ), ""
)</f>
        <v/>
      </c>
      <c r="P7" t="str" cm="1">
        <f t="array" ref="P7">IFERROR(
  _xlfn.LET(
    _xlpm.ligpartie, MATCH($B6, Donnees!$F:$F, 0),
    _xlpm.joueurs, INDEX(Donnees!$A:$Z, _xlpm.ligpartie+1, _xlfn.SEQUENCE(1, 4, 2)),
    INDEX(
      Donnees!$A:$Z,
      _xlpm.ligpartie + 3,
      MATCH(P$1, _xlpm.joueurs, 0) + 1
    )
  ), ""
)</f>
        <v/>
      </c>
      <c r="Q7" t="str" cm="1">
        <f t="array" ref="Q7">IFERROR(
  _xlfn.LET(
    _xlpm.ligpartie, MATCH($B6, Donnees!$F:$F, 0),
    _xlpm.joueurs, INDEX(Donnees!$A:$Z, _xlpm.ligpartie+1, _xlfn.SEQUENCE(1, 4, 2)),
    INDEX(
      Donnees!$A:$Z,
      _xlpm.ligpartie + 3,
      MATCH(Q$1, _xlpm.joueurs, 0) + 1
    )
  ), ""
)</f>
        <v/>
      </c>
      <c r="R7" t="str" cm="1">
        <f t="array" ref="R7">IFERROR(
  _xlfn.LET(
    _xlpm.ligpartie, MATCH($B6, Donnees!$F:$F, 0),
    _xlpm.joueurs, INDEX(Donnees!$A:$Z, _xlpm.ligpartie+1, _xlfn.SEQUENCE(1, 4, 2)),
    INDEX(
      Donnees!$A:$Z,
      _xlpm.ligpartie + 3,
      MATCH(R$1, _xlpm.joueurs, 0) + 1
    )
  ), ""
)</f>
        <v/>
      </c>
      <c r="S7" t="str" cm="1">
        <f t="array" ref="S7">IFERROR(
  _xlfn.LET(
    _xlpm.ligpartie, MATCH($B6, Donnees!$F:$F, 0),
    _xlpm.joueurs, INDEX(Donnees!$A:$Z, _xlpm.ligpartie+1, _xlfn.SEQUENCE(1, 4, 2)),
    INDEX(
      Donnees!$A:$Z,
      _xlpm.ligpartie + 3,
      MATCH(S$1, _xlpm.joueurs, 0) + 1
    )
  ), ""
)</f>
        <v/>
      </c>
      <c r="T7" t="str" cm="1">
        <f t="array" ref="T7">IFERROR(
  _xlfn.LET(
    _xlpm.ligpartie, MATCH($B6, Donnees!$F:$F, 0),
    _xlpm.joueurs, INDEX(Donnees!$A:$Z, _xlpm.ligpartie+1, _xlfn.SEQUENCE(1, 4, 2)),
    INDEX(
      Donnees!$A:$Z,
      _xlpm.ligpartie + 3,
      MATCH(T$1, _xlpm.joueurs, 0) + 1
    )
  ), ""
)</f>
        <v/>
      </c>
      <c r="U7" t="str" cm="1">
        <f t="array" ref="U7">IFERROR(
  _xlfn.LET(
    _xlpm.ligpartie, MATCH($B6, Donnees!$F:$F, 0),
    _xlpm.joueurs, INDEX(Donnees!$A:$Z, _xlpm.ligpartie+1, _xlfn.SEQUENCE(1, 4, 2)),
    INDEX(
      Donnees!$A:$Z,
      _xlpm.ligpartie + 3,
      MATCH(U$1, _xlpm.joueurs, 0) + 1
    )
  ), ""
)</f>
        <v/>
      </c>
      <c r="V7" t="str" cm="1">
        <f t="array" ref="V7">IFERROR(
  _xlfn.LET(
    _xlpm.ligpartie, MATCH($B6, Donnees!$F:$F, 0),
    _xlpm.joueurs, INDEX(Donnees!$A:$Z, _xlpm.ligpartie+1, _xlfn.SEQUENCE(1, 4, 2)),
    INDEX(
      Donnees!$A:$Z,
      _xlpm.ligpartie + 3,
      MATCH(V$1, _xlpm.joueurs, 0) + 1
    )
  ), ""
)</f>
        <v/>
      </c>
      <c r="W7" t="str" cm="1">
        <f t="array" ref="W7">IFERROR(
  _xlfn.LET(
    _xlpm.ligpartie, MATCH($B6, Donnees!$F:$F, 0),
    _xlpm.joueurs, INDEX(Donnees!$A:$Z, _xlpm.ligpartie+1, _xlfn.SEQUENCE(1, 4, 2)),
    INDEX(
      Donnees!$A:$Z,
      _xlpm.ligpartie + 3,
      MATCH(W$1, _xlpm.joueurs, 0) + 1
    )
  ), ""
)</f>
        <v/>
      </c>
      <c r="X7" t="str" cm="1">
        <f t="array" ref="X7">IFERROR(
  _xlfn.LET(
    _xlpm.ligpartie, MATCH($B6, Donnees!$F:$F, 0),
    _xlpm.joueurs, INDEX(Donnees!$A:$Z, _xlpm.ligpartie+1, _xlfn.SEQUENCE(1, 4, 2)),
    INDEX(
      Donnees!$A:$Z,
      _xlpm.ligpartie + 3,
      MATCH(X$1, _xlpm.joueurs, 0) + 1
    )
  ), ""
)</f>
        <v/>
      </c>
      <c r="Y7" t="str" cm="1">
        <f t="array" ref="Y7">IFERROR(
  _xlfn.LET(
    _xlpm.ligpartie, MATCH($B6, Donnees!$F:$F, 0),
    _xlpm.joueurs, INDEX(Donnees!$A:$Z, _xlpm.ligpartie+1, _xlfn.SEQUENCE(1, 4, 2)),
    INDEX(
      Donnees!$A:$Z,
      _xlpm.ligpartie + 3,
      MATCH(Y$1, _xlpm.joueurs, 0) + 1
    )
  ), ""
)</f>
        <v/>
      </c>
      <c r="Z7" t="str" cm="1">
        <f t="array" ref="Z7">IFERROR(
  _xlfn.LET(
    _xlpm.ligpartie, MATCH($B6, Donnees!$F:$F, 0),
    _xlpm.joueurs, INDEX(Donnees!$A:$Z, _xlpm.ligpartie+1, _xlfn.SEQUENCE(1, 4, 2)),
    INDEX(
      Donnees!$A:$Z,
      _xlpm.ligpartie + 3,
      MATCH(Z$1, _xlpm.joueurs, 0) + 1
    )
  ), ""
)</f>
        <v/>
      </c>
      <c r="AA7" t="str" cm="1">
        <f t="array" ref="AA7">IFERROR(
  _xlfn.LET(
    _xlpm.ligpartie, MATCH($B6, Donnees!$F:$F, 0),
    _xlpm.joueurs, INDEX(Donnees!$A:$Z, _xlpm.ligpartie+1, _xlfn.SEQUENCE(1, 4, 2)),
    INDEX(
      Donnees!$A:$Z,
      _xlpm.ligpartie + 3,
      MATCH(AA$1, _xlpm.joueurs, 0) + 1
    )
  ), ""
)</f>
        <v/>
      </c>
      <c r="AB7" t="str" cm="1">
        <f t="array" ref="AB7">IFERROR(
  _xlfn.LET(
    _xlpm.ligpartie, MATCH($B6, Donnees!$F:$F, 0),
    _xlpm.joueurs, INDEX(Donnees!$A:$Z, _xlpm.ligpartie+1, _xlfn.SEQUENCE(1, 4, 2)),
    INDEX(
      Donnees!$A:$Z,
      _xlpm.ligpartie + 3,
      MATCH(AB$1, _xlpm.joueurs, 0) + 1
    )
  ), ""
)</f>
        <v/>
      </c>
      <c r="AC7" t="str" cm="1">
        <f t="array" ref="AC7">IFERROR(
  _xlfn.LET(
    _xlpm.ligpartie, MATCH($B6, Donnees!$F:$F, 0),
    _xlpm.joueurs, INDEX(Donnees!$A:$Z, _xlpm.ligpartie+1, _xlfn.SEQUENCE(1, 4, 2)),
    INDEX(
      Donnees!$A:$Z,
      _xlpm.ligpartie + 3,
      MATCH(AC$1, _xlpm.joueurs, 0) + 1
    )
  ), ""
)</f>
        <v/>
      </c>
      <c r="AD7" t="str" cm="1">
        <f t="array" ref="AD7">IFERROR(
  _xlfn.LET(
    _xlpm.ligpartie, MATCH($B6, Donnees!$F:$F, 0),
    _xlpm.joueurs, INDEX(Donnees!$A:$Z, _xlpm.ligpartie+1, _xlfn.SEQUENCE(1, 4, 2)),
    INDEX(
      Donnees!$A:$Z,
      _xlpm.ligpartie + 3,
      MATCH(AD$1, _xlpm.joueurs, 0) + 1
    )
  ), ""
)</f>
        <v/>
      </c>
      <c r="AE7" t="str" cm="1">
        <f t="array" ref="AE7">IFERROR(
  _xlfn.LET(
    _xlpm.ligpartie, MATCH($B6, Donnees!$F:$F, 0),
    _xlpm.joueurs, INDEX(Donnees!$A:$Z, _xlpm.ligpartie+1, _xlfn.SEQUENCE(1, 4, 2)),
    INDEX(
      Donnees!$A:$Z,
      _xlpm.ligpartie + 3,
      MATCH(AE$1, _xlpm.joueurs, 0) + 1
    )
  ), ""
)</f>
        <v/>
      </c>
      <c r="AF7" t="str" cm="1">
        <f t="array" ref="AF7">IFERROR(
  _xlfn.LET(
    _xlpm.ligpartie, MATCH($B6, Donnees!$F:$F, 0),
    _xlpm.joueurs, INDEX(Donnees!$A:$Z, _xlpm.ligpartie+1, _xlfn.SEQUENCE(1, 4, 2)),
    INDEX(
      Donnees!$A:$Z,
      _xlpm.ligpartie + 3,
      MATCH(AF$1, _xlpm.joueurs, 0) + 1
    )
  ), ""
)</f>
        <v/>
      </c>
      <c r="AG7" t="str" cm="1">
        <f t="array" ref="AG7">IFERROR(
  _xlfn.LET(
    _xlpm.ligpartie, MATCH($B6, Donnees!$F:$F, 0),
    _xlpm.joueurs, INDEX(Donnees!$A:$Z, _xlpm.ligpartie+1, _xlfn.SEQUENCE(1, 4, 2)),
    INDEX(
      Donnees!$A:$Z,
      _xlpm.ligpartie + 3,
      MATCH(AG$1, _xlpm.joueurs, 0) + 1
    )
  ), ""
)</f>
        <v/>
      </c>
      <c r="AH7" t="str" cm="1">
        <f t="array" ref="AH7">IFERROR(
  _xlfn.LET(
    _xlpm.ligpartie, MATCH($B6, Donnees!$F:$F, 0),
    _xlpm.joueurs, INDEX(Donnees!$A:$Z, _xlpm.ligpartie+1, _xlfn.SEQUENCE(1, 4, 2)),
    INDEX(
      Donnees!$A:$Z,
      _xlpm.ligpartie + 3,
      MATCH(AH$1, _xlpm.joueurs, 0) + 1
    )
  ), ""
)</f>
        <v/>
      </c>
      <c r="AI7" t="str" cm="1">
        <f t="array" ref="AI7">IFERROR(
  _xlfn.LET(
    _xlpm.ligpartie, MATCH($B6, Donnees!$F:$F, 0),
    _xlpm.joueurs, INDEX(Donnees!$A:$Z, _xlpm.ligpartie+1, _xlfn.SEQUENCE(1, 4, 2)),
    INDEX(
      Donnees!$A:$Z,
      _xlpm.ligpartie + 3,
      MATCH(AI$1, _xlpm.joueurs, 0) + 1
    )
  ), ""
)</f>
        <v/>
      </c>
      <c r="AJ7" t="str" cm="1">
        <f t="array" ref="AJ7">IFERROR(
  _xlfn.LET(
    _xlpm.ligpartie, MATCH($B6, Donnees!$F:$F, 0),
    _xlpm.joueurs, INDEX(Donnees!$A:$Z, _xlpm.ligpartie+1, _xlfn.SEQUENCE(1, 4, 2)),
    INDEX(
      Donnees!$A:$Z,
      _xlpm.ligpartie + 3,
      MATCH(AJ$1, _xlpm.joueurs, 0) + 1
    )
  ), ""
)</f>
        <v/>
      </c>
      <c r="AK7" t="str" cm="1">
        <f t="array" ref="AK7">IFERROR(
  _xlfn.LET(
    _xlpm.ligpartie, MATCH($B6, Donnees!$F:$F, 0),
    _xlpm.joueurs, INDEX(Donnees!$A:$Z, _xlpm.ligpartie+1, _xlfn.SEQUENCE(1, 4, 2)),
    INDEX(
      Donnees!$A:$Z,
      _xlpm.ligpartie + 3,
      MATCH(AK$1, _xlpm.joueurs, 0) + 1
    )
  ), ""
)</f>
        <v/>
      </c>
      <c r="AL7" t="str" cm="1">
        <f t="array" ref="AL7">IFERROR(
  _xlfn.LET(
    _xlpm.ligpartie, MATCH($B6, Donnees!$F:$F, 0),
    _xlpm.joueurs, INDEX(Donnees!$A:$Z, _xlpm.ligpartie+1, _xlfn.SEQUENCE(1, 4, 2)),
    INDEX(
      Donnees!$A:$Z,
      _xlpm.ligpartie + 3,
      MATCH(AL$1, _xlpm.joueurs, 0) + 1
    )
  ), ""
)</f>
        <v/>
      </c>
      <c r="AM7" t="str" cm="1">
        <f t="array" ref="AM7">IFERROR(
  _xlfn.LET(
    _xlpm.ligpartie, MATCH($B6, Donnees!$F:$F, 0),
    _xlpm.joueurs, INDEX(Donnees!$A:$Z, _xlpm.ligpartie+1, _xlfn.SEQUENCE(1, 4, 2)),
    INDEX(
      Donnees!$A:$Z,
      _xlpm.ligpartie + 3,
      MATCH(AM$1, _xlpm.joueurs, 0) + 1
    )
  ), ""
)</f>
        <v/>
      </c>
    </row>
    <row r="8" spans="1:39" x14ac:dyDescent="0.25">
      <c r="A8" t="s">
        <v>20</v>
      </c>
      <c r="D8" cm="1">
        <f t="array" ref="D8">_xlfn.LET(
  _xlpm.colj, _xlfn._xlws.FILTER(IF(ISNUMBER(7:7), COLUMN(7:7)), ISNUMBER(7:7)),
  _xlpm.elos, INDEX(6:6,1,_xlpm.colj),
  _xlpm.diffscale, Constantes!$B$2,
  IF(D7="",
    "",
    SUM(1/(1+POWER(10,-(D6-_xlpm.elos)/_xlpm.diffscale)))-0.5)
)</f>
        <v>1.5085154837983978</v>
      </c>
      <c r="E8" cm="1">
        <f t="array" ref="E8">_xlfn.LET(
  _xlpm.colj, _xlfn._xlws.FILTER(IF(ISNUMBER(7:7), COLUMN(7:7)), ISNUMBER(7:7)),
  _xlpm.elos, INDEX(6:6,1,_xlpm.colj),
  _xlpm.diffscale, Constantes!$B$2,
  IF(E7="",
    "",
    SUM(1/(1+POWER(10,-(E6-_xlpm.elos)/_xlpm.diffscale)))-0.5)
)</f>
        <v>2.1548762076675128</v>
      </c>
      <c r="F8" cm="1">
        <f t="array" ref="F8">_xlfn.LET(
  _xlpm.colj, _xlfn._xlws.FILTER(IF(ISNUMBER(7:7), COLUMN(7:7)), ISNUMBER(7:7)),
  _xlpm.elos, INDEX(6:6,1,_xlpm.colj),
  _xlpm.diffscale, Constantes!$B$2,
  IF(F7="",
    "",
    SUM(1/(1+POWER(10,-(F6-_xlpm.elos)/_xlpm.diffscale)))-0.5)
)</f>
        <v>0.95761651637980671</v>
      </c>
      <c r="G8" cm="1">
        <f t="array" ref="G8">_xlfn.LET(
  _xlpm.colj, _xlfn._xlws.FILTER(IF(ISNUMBER(7:7), COLUMN(7:7)), ISNUMBER(7:7)),
  _xlpm.elos, INDEX(6:6,1,_xlpm.colj),
  _xlpm.diffscale, Constantes!$B$2,
  IF(G7="",
    "",
    SUM(1/(1+POWER(10,-(G6-_xlpm.elos)/_xlpm.diffscale)))-0.5)
)</f>
        <v>1.3789917921542829</v>
      </c>
      <c r="H8" t="str" cm="1">
        <f t="array" ref="H8">_xlfn.LET(
  _xlpm.colj, _xlfn._xlws.FILTER(IF(ISNUMBER(7:7), COLUMN(7:7)), ISNUMBER(7:7)),
  _xlpm.elos, INDEX(6:6,1,_xlpm.colj),
  _xlpm.diffscale, Constantes!$B$2,
  IF(H7="",
    "",
    SUM(1/(1+POWER(10,-(H6-_xlpm.elos)/_xlpm.diffscale)))-0.5)
)</f>
        <v/>
      </c>
      <c r="I8" t="str" cm="1">
        <f t="array" ref="I8">_xlfn.LET(
  _xlpm.colj, _xlfn._xlws.FILTER(IF(ISNUMBER(7:7), COLUMN(7:7)), ISNUMBER(7:7)),
  _xlpm.elos, INDEX(6:6,1,_xlpm.colj),
  _xlpm.diffscale, Constantes!$B$2,
  IF(I7="",
    "",
    SUM(1/(1+POWER(10,-(I6-_xlpm.elos)/_xlpm.diffscale)))-0.5)
)</f>
        <v/>
      </c>
      <c r="J8" t="str" cm="1">
        <f t="array" ref="J8">_xlfn.LET(
  _xlpm.colj, _xlfn._xlws.FILTER(IF(ISNUMBER(7:7), COLUMN(7:7)), ISNUMBER(7:7)),
  _xlpm.elos, INDEX(6:6,1,_xlpm.colj),
  _xlpm.diffscale, Constantes!$B$2,
  IF(J7="",
    "",
    SUM(1/(1+POWER(10,-(J6-_xlpm.elos)/_xlpm.diffscale)))-0.5)
)</f>
        <v/>
      </c>
      <c r="K8" t="str" cm="1">
        <f t="array" ref="K8">_xlfn.LET(
  _xlpm.colj, _xlfn._xlws.FILTER(IF(ISNUMBER(7:7), COLUMN(7:7)), ISNUMBER(7:7)),
  _xlpm.elos, INDEX(6:6,1,_xlpm.colj),
  _xlpm.diffscale, Constantes!$B$2,
  IF(K7="",
    "",
    SUM(1/(1+POWER(10,-(K6-_xlpm.elos)/_xlpm.diffscale)))-0.5)
)</f>
        <v/>
      </c>
      <c r="L8" t="str" cm="1">
        <f t="array" ref="L8">_xlfn.LET(
  _xlpm.colj, _xlfn._xlws.FILTER(IF(ISNUMBER(7:7), COLUMN(7:7)), ISNUMBER(7:7)),
  _xlpm.elos, INDEX(6:6,1,_xlpm.colj),
  _xlpm.diffscale, Constantes!$B$2,
  IF(L7="",
    "",
    SUM(1/(1+POWER(10,-(L6-_xlpm.elos)/_xlpm.diffscale)))-0.5)
)</f>
        <v/>
      </c>
      <c r="M8" t="str" cm="1">
        <f t="array" ref="M8">_xlfn.LET(
  _xlpm.colj, _xlfn._xlws.FILTER(IF(ISNUMBER(7:7), COLUMN(7:7)), ISNUMBER(7:7)),
  _xlpm.elos, INDEX(6:6,1,_xlpm.colj),
  _xlpm.diffscale, Constantes!$B$2,
  IF(M7="",
    "",
    SUM(1/(1+POWER(10,-(M6-_xlpm.elos)/_xlpm.diffscale)))-0.5)
)</f>
        <v/>
      </c>
      <c r="N8" t="str" cm="1">
        <f t="array" ref="N8">_xlfn.LET(
  _xlpm.colj, _xlfn._xlws.FILTER(IF(ISNUMBER(7:7), COLUMN(7:7)), ISNUMBER(7:7)),
  _xlpm.elos, INDEX(6:6,1,_xlpm.colj),
  _xlpm.diffscale, Constantes!$B$2,
  IF(N7="",
    "",
    SUM(1/(1+POWER(10,-(N6-_xlpm.elos)/_xlpm.diffscale)))-0.5)
)</f>
        <v/>
      </c>
      <c r="O8" t="str" cm="1">
        <f t="array" ref="O8">_xlfn.LET(
  _xlpm.colj, _xlfn._xlws.FILTER(IF(ISNUMBER(7:7), COLUMN(7:7)), ISNUMBER(7:7)),
  _xlpm.elos, INDEX(6:6,1,_xlpm.colj),
  _xlpm.diffscale, Constantes!$B$2,
  IF(O7="",
    "",
    SUM(1/(1+POWER(10,-(O6-_xlpm.elos)/_xlpm.diffscale)))-0.5)
)</f>
        <v/>
      </c>
      <c r="P8" t="str" cm="1">
        <f t="array" ref="P8">_xlfn.LET(
  _xlpm.colj, _xlfn._xlws.FILTER(IF(ISNUMBER(7:7), COLUMN(7:7)), ISNUMBER(7:7)),
  _xlpm.elos, INDEX(6:6,1,_xlpm.colj),
  _xlpm.diffscale, Constantes!$B$2,
  IF(P7="",
    "",
    SUM(1/(1+POWER(10,-(P6-_xlpm.elos)/_xlpm.diffscale)))-0.5)
)</f>
        <v/>
      </c>
      <c r="Q8" t="str" cm="1">
        <f t="array" ref="Q8">_xlfn.LET(
  _xlpm.colj, _xlfn._xlws.FILTER(IF(ISNUMBER(7:7), COLUMN(7:7)), ISNUMBER(7:7)),
  _xlpm.elos, INDEX(6:6,1,_xlpm.colj),
  _xlpm.diffscale, Constantes!$B$2,
  IF(Q7="",
    "",
    SUM(1/(1+POWER(10,-(Q6-_xlpm.elos)/_xlpm.diffscale)))-0.5)
)</f>
        <v/>
      </c>
      <c r="R8" t="str" cm="1">
        <f t="array" ref="R8">_xlfn.LET(
  _xlpm.colj, _xlfn._xlws.FILTER(IF(ISNUMBER(7:7), COLUMN(7:7)), ISNUMBER(7:7)),
  _xlpm.elos, INDEX(6:6,1,_xlpm.colj),
  _xlpm.diffscale, Constantes!$B$2,
  IF(R7="",
    "",
    SUM(1/(1+POWER(10,-(R6-_xlpm.elos)/_xlpm.diffscale)))-0.5)
)</f>
        <v/>
      </c>
      <c r="S8" t="str" cm="1">
        <f t="array" ref="S8">_xlfn.LET(
  _xlpm.colj, _xlfn._xlws.FILTER(IF(ISNUMBER(7:7), COLUMN(7:7)), ISNUMBER(7:7)),
  _xlpm.elos, INDEX(6:6,1,_xlpm.colj),
  _xlpm.diffscale, Constantes!$B$2,
  IF(S7="",
    "",
    SUM(1/(1+POWER(10,-(S6-_xlpm.elos)/_xlpm.diffscale)))-0.5)
)</f>
        <v/>
      </c>
      <c r="T8" t="str" cm="1">
        <f t="array" ref="T8">_xlfn.LET(
  _xlpm.colj, _xlfn._xlws.FILTER(IF(ISNUMBER(7:7), COLUMN(7:7)), ISNUMBER(7:7)),
  _xlpm.elos, INDEX(6:6,1,_xlpm.colj),
  _xlpm.diffscale, Constantes!$B$2,
  IF(T7="",
    "",
    SUM(1/(1+POWER(10,-(T6-_xlpm.elos)/_xlpm.diffscale)))-0.5)
)</f>
        <v/>
      </c>
      <c r="U8" t="str" cm="1">
        <f t="array" ref="U8">_xlfn.LET(
  _xlpm.colj, _xlfn._xlws.FILTER(IF(ISNUMBER(7:7), COLUMN(7:7)), ISNUMBER(7:7)),
  _xlpm.elos, INDEX(6:6,1,_xlpm.colj),
  _xlpm.diffscale, Constantes!$B$2,
  IF(U7="",
    "",
    SUM(1/(1+POWER(10,-(U6-_xlpm.elos)/_xlpm.diffscale)))-0.5)
)</f>
        <v/>
      </c>
      <c r="V8" t="str" cm="1">
        <f t="array" ref="V8">_xlfn.LET(
  _xlpm.colj, _xlfn._xlws.FILTER(IF(ISNUMBER(7:7), COLUMN(7:7)), ISNUMBER(7:7)),
  _xlpm.elos, INDEX(6:6,1,_xlpm.colj),
  _xlpm.diffscale, Constantes!$B$2,
  IF(V7="",
    "",
    SUM(1/(1+POWER(10,-(V6-_xlpm.elos)/_xlpm.diffscale)))-0.5)
)</f>
        <v/>
      </c>
      <c r="W8" t="str" cm="1">
        <f t="array" ref="W8">_xlfn.LET(
  _xlpm.colj, _xlfn._xlws.FILTER(IF(ISNUMBER(7:7), COLUMN(7:7)), ISNUMBER(7:7)),
  _xlpm.elos, INDEX(6:6,1,_xlpm.colj),
  _xlpm.diffscale, Constantes!$B$2,
  IF(W7="",
    "",
    SUM(1/(1+POWER(10,-(W6-_xlpm.elos)/_xlpm.diffscale)))-0.5)
)</f>
        <v/>
      </c>
      <c r="X8" t="str" cm="1">
        <f t="array" ref="X8">_xlfn.LET(
  _xlpm.colj, _xlfn._xlws.FILTER(IF(ISNUMBER(7:7), COLUMN(7:7)), ISNUMBER(7:7)),
  _xlpm.elos, INDEX(6:6,1,_xlpm.colj),
  _xlpm.diffscale, Constantes!$B$2,
  IF(X7="",
    "",
    SUM(1/(1+POWER(10,-(X6-_xlpm.elos)/_xlpm.diffscale)))-0.5)
)</f>
        <v/>
      </c>
      <c r="Y8" t="str" cm="1">
        <f t="array" ref="Y8">_xlfn.LET(
  _xlpm.colj, _xlfn._xlws.FILTER(IF(ISNUMBER(7:7), COLUMN(7:7)), ISNUMBER(7:7)),
  _xlpm.elos, INDEX(6:6,1,_xlpm.colj),
  _xlpm.diffscale, Constantes!$B$2,
  IF(Y7="",
    "",
    SUM(1/(1+POWER(10,-(Y6-_xlpm.elos)/_xlpm.diffscale)))-0.5)
)</f>
        <v/>
      </c>
      <c r="Z8" t="str" cm="1">
        <f t="array" ref="Z8">_xlfn.LET(
  _xlpm.colj, _xlfn._xlws.FILTER(IF(ISNUMBER(7:7), COLUMN(7:7)), ISNUMBER(7:7)),
  _xlpm.elos, INDEX(6:6,1,_xlpm.colj),
  _xlpm.diffscale, Constantes!$B$2,
  IF(Z7="",
    "",
    SUM(1/(1+POWER(10,-(Z6-_xlpm.elos)/_xlpm.diffscale)))-0.5)
)</f>
        <v/>
      </c>
      <c r="AA8" t="str" cm="1">
        <f t="array" ref="AA8">_xlfn.LET(
  _xlpm.colj, _xlfn._xlws.FILTER(IF(ISNUMBER(7:7), COLUMN(7:7)), ISNUMBER(7:7)),
  _xlpm.elos, INDEX(6:6,1,_xlpm.colj),
  _xlpm.diffscale, Constantes!$B$2,
  IF(AA7="",
    "",
    SUM(1/(1+POWER(10,-(AA6-_xlpm.elos)/_xlpm.diffscale)))-0.5)
)</f>
        <v/>
      </c>
      <c r="AB8" t="str" cm="1">
        <f t="array" ref="AB8">_xlfn.LET(
  _xlpm.colj, _xlfn._xlws.FILTER(IF(ISNUMBER(7:7), COLUMN(7:7)), ISNUMBER(7:7)),
  _xlpm.elos, INDEX(6:6,1,_xlpm.colj),
  _xlpm.diffscale, Constantes!$B$2,
  IF(AB7="",
    "",
    SUM(1/(1+POWER(10,-(AB6-_xlpm.elos)/_xlpm.diffscale)))-0.5)
)</f>
        <v/>
      </c>
      <c r="AC8" t="str" cm="1">
        <f t="array" ref="AC8">_xlfn.LET(
  _xlpm.colj, _xlfn._xlws.FILTER(IF(ISNUMBER(7:7), COLUMN(7:7)), ISNUMBER(7:7)),
  _xlpm.elos, INDEX(6:6,1,_xlpm.colj),
  _xlpm.diffscale, Constantes!$B$2,
  IF(AC7="",
    "",
    SUM(1/(1+POWER(10,-(AC6-_xlpm.elos)/_xlpm.diffscale)))-0.5)
)</f>
        <v/>
      </c>
      <c r="AD8" t="str" cm="1">
        <f t="array" ref="AD8">_xlfn.LET(
  _xlpm.colj, _xlfn._xlws.FILTER(IF(ISNUMBER(7:7), COLUMN(7:7)), ISNUMBER(7:7)),
  _xlpm.elos, INDEX(6:6,1,_xlpm.colj),
  _xlpm.diffscale, Constantes!$B$2,
  IF(AD7="",
    "",
    SUM(1/(1+POWER(10,-(AD6-_xlpm.elos)/_xlpm.diffscale)))-0.5)
)</f>
        <v/>
      </c>
      <c r="AE8" t="str" cm="1">
        <f t="array" ref="AE8">_xlfn.LET(
  _xlpm.colj, _xlfn._xlws.FILTER(IF(ISNUMBER(7:7), COLUMN(7:7)), ISNUMBER(7:7)),
  _xlpm.elos, INDEX(6:6,1,_xlpm.colj),
  _xlpm.diffscale, Constantes!$B$2,
  IF(AE7="",
    "",
    SUM(1/(1+POWER(10,-(AE6-_xlpm.elos)/_xlpm.diffscale)))-0.5)
)</f>
        <v/>
      </c>
      <c r="AF8" t="str" cm="1">
        <f t="array" ref="AF8">_xlfn.LET(
  _xlpm.colj, _xlfn._xlws.FILTER(IF(ISNUMBER(7:7), COLUMN(7:7)), ISNUMBER(7:7)),
  _xlpm.elos, INDEX(6:6,1,_xlpm.colj),
  _xlpm.diffscale, Constantes!$B$2,
  IF(AF7="",
    "",
    SUM(1/(1+POWER(10,-(AF6-_xlpm.elos)/_xlpm.diffscale)))-0.5)
)</f>
        <v/>
      </c>
      <c r="AG8" t="str" cm="1">
        <f t="array" ref="AG8">_xlfn.LET(
  _xlpm.colj, _xlfn._xlws.FILTER(IF(ISNUMBER(7:7), COLUMN(7:7)), ISNUMBER(7:7)),
  _xlpm.elos, INDEX(6:6,1,_xlpm.colj),
  _xlpm.diffscale, Constantes!$B$2,
  IF(AG7="",
    "",
    SUM(1/(1+POWER(10,-(AG6-_xlpm.elos)/_xlpm.diffscale)))-0.5)
)</f>
        <v/>
      </c>
      <c r="AH8" t="str" cm="1">
        <f t="array" ref="AH8">_xlfn.LET(
  _xlpm.colj, _xlfn._xlws.FILTER(IF(ISNUMBER(7:7), COLUMN(7:7)), ISNUMBER(7:7)),
  _xlpm.elos, INDEX(6:6,1,_xlpm.colj),
  _xlpm.diffscale, Constantes!$B$2,
  IF(AH7="",
    "",
    SUM(1/(1+POWER(10,-(AH6-_xlpm.elos)/_xlpm.diffscale)))-0.5)
)</f>
        <v/>
      </c>
      <c r="AI8" t="str" cm="1">
        <f t="array" ref="AI8">_xlfn.LET(
  _xlpm.colj, _xlfn._xlws.FILTER(IF(ISNUMBER(7:7), COLUMN(7:7)), ISNUMBER(7:7)),
  _xlpm.elos, INDEX(6:6,1,_xlpm.colj),
  _xlpm.diffscale, Constantes!$B$2,
  IF(AI7="",
    "",
    SUM(1/(1+POWER(10,-(AI6-_xlpm.elos)/_xlpm.diffscale)))-0.5)
)</f>
        <v/>
      </c>
      <c r="AJ8" t="str" cm="1">
        <f t="array" ref="AJ8">_xlfn.LET(
  _xlpm.colj, _xlfn._xlws.FILTER(IF(ISNUMBER(7:7), COLUMN(7:7)), ISNUMBER(7:7)),
  _xlpm.elos, INDEX(6:6,1,_xlpm.colj),
  _xlpm.diffscale, Constantes!$B$2,
  IF(AJ7="",
    "",
    SUM(1/(1+POWER(10,-(AJ6-_xlpm.elos)/_xlpm.diffscale)))-0.5)
)</f>
        <v/>
      </c>
      <c r="AK8" t="str" cm="1">
        <f t="array" ref="AK8">_xlfn.LET(
  _xlpm.colj, _xlfn._xlws.FILTER(IF(ISNUMBER(7:7), COLUMN(7:7)), ISNUMBER(7:7)),
  _xlpm.elos, INDEX(6:6,1,_xlpm.colj),
  _xlpm.diffscale, Constantes!$B$2,
  IF(AK7="",
    "",
    SUM(1/(1+POWER(10,-(AK6-_xlpm.elos)/_xlpm.diffscale)))-0.5)
)</f>
        <v/>
      </c>
      <c r="AL8" t="str" cm="1">
        <f t="array" ref="AL8">_xlfn.LET(
  _xlpm.colj, _xlfn._xlws.FILTER(IF(ISNUMBER(7:7), COLUMN(7:7)), ISNUMBER(7:7)),
  _xlpm.elos, INDEX(6:6,1,_xlpm.colj),
  _xlpm.diffscale, Constantes!$B$2,
  IF(AL7="",
    "",
    SUM(1/(1+POWER(10,-(AL6-_xlpm.elos)/_xlpm.diffscale)))-0.5)
)</f>
        <v/>
      </c>
      <c r="AM8" t="str" cm="1">
        <f t="array" ref="AM8">_xlfn.LET(
  _xlpm.colj, _xlfn._xlws.FILTER(IF(ISNUMBER(7:7), COLUMN(7:7)), ISNUMBER(7:7)),
  _xlpm.elos, INDEX(6:6,1,_xlpm.colj),
  _xlpm.diffscale, Constantes!$B$2,
  IF(AM7="",
    "",
    SUM(1/(1+POWER(10,-(AM6-_xlpm.elos)/_xlpm.diffscale)))-0.5)
)</f>
        <v/>
      </c>
    </row>
    <row r="9" spans="1:39" x14ac:dyDescent="0.25">
      <c r="A9" t="s">
        <v>22</v>
      </c>
      <c r="D9" cm="1">
        <f t="array" ref="D9">_xlfn.LET(
  _xlpm.K, Constantes!$B$3,
  _xlpm.Knewgain, Constantes!$B$4,
  _xlpm.Knewscale, Constantes!$B$5,
  _xlpm.ptstables, INDEX(D:D, _xlfn.SEQUENCE(COUNTA($C$2:$C9), 1, 3, 4)),
  _xlpm.nbparties, COUNTA(_xlfn._xlws.FILTER(_xlpm.ptstables, _xlpm.ptstables &lt;&gt; "")),
  _xlpm.coef, _xlpm.K + _xlpm.Knewgain / (_xlpm.Knewscale + _xlpm.nbparties),
  IF(D7="",
    "",
    _xlpm.coef * (D7-D8))
)</f>
        <v>-55.312234405941261</v>
      </c>
      <c r="E9" cm="1">
        <f t="array" ref="E9">_xlfn.LET(
  _xlpm.K, Constantes!$B$3,
  _xlpm.Knewgain, Constantes!$B$4,
  _xlpm.Knewscale, Constantes!$B$5,
  _xlpm.ptstables, INDEX(E:E, _xlfn.SEQUENCE(COUNTA($C$2:$C9), 1, 3, 4)),
  _xlpm.nbparties, COUNTA(_xlfn._xlws.FILTER(_xlpm.ptstables, _xlpm.ptstables &lt;&gt; "")),
  _xlpm.coef, _xlpm.K + _xlpm.Knewgain / (_xlpm.Knewscale + _xlpm.nbparties),
  IF(E7="",
    "",
    _xlpm.coef * (E7-E8))
)</f>
        <v>-5.6787942811421352</v>
      </c>
      <c r="F9" cm="1">
        <f t="array" ref="F9">_xlfn.LET(
  _xlpm.K, Constantes!$B$3,
  _xlpm.Knewgain, Constantes!$B$4,
  _xlpm.Knewscale, Constantes!$B$5,
  _xlpm.ptstables, INDEX(F:F, _xlfn.SEQUENCE(COUNTA($C$2:$C9), 1, 3, 4)),
  _xlpm.nbparties, COUNTA(_xlfn._xlws.FILTER(_xlpm.ptstables, _xlpm.ptstables &lt;&gt; "")),
  _xlpm.coef, _xlpm.K + _xlpm.Knewgain / (_xlpm.Knewscale + _xlpm.nbparties),
  IF(F7="",
    "",
    _xlpm.coef * (F7-F8))
)</f>
        <v>1.5540610660737539</v>
      </c>
      <c r="G9" cm="1">
        <f t="array" ref="G9">_xlfn.LET(
  _xlpm.K, Constantes!$B$3,
  _xlpm.Knewgain, Constantes!$B$4,
  _xlpm.Knewscale, Constantes!$B$5,
  _xlpm.ptstables, INDEX(G:G, _xlfn.SEQUENCE(COUNTA($C$2:$C9), 1, 3, 4)),
  _xlpm.nbparties, COUNTA(_xlfn._xlws.FILTER(_xlpm.ptstables, _xlpm.ptstables &lt;&gt; "")),
  _xlpm.coef, _xlpm.K + _xlpm.Knewgain / (_xlpm.Knewscale + _xlpm.nbparties),
  IF(G7="",
    "",
    _xlpm.coef * (G7-G8))
)</f>
        <v>59.436967621009636</v>
      </c>
      <c r="H9" t="str" cm="1">
        <f t="array" ref="H9">_xlfn.LET(
  _xlpm.K, Constantes!$B$3,
  _xlpm.Knewgain, Constantes!$B$4,
  _xlpm.Knewscale, Constantes!$B$5,
  _xlpm.ptstables, INDEX(H:H, _xlfn.SEQUENCE(COUNTA($C$2:$C9), 1, 3, 4)),
  _xlpm.nbparties, COUNTA(_xlfn._xlws.FILTER(_xlpm.ptstables, _xlpm.ptstables &lt;&gt; "")),
  _xlpm.coef, _xlpm.K + _xlpm.Knewgain / (_xlpm.Knewscale + _xlpm.nbparties),
  IF(H7="",
    "",
    _xlpm.coef * (H7-H8))
)</f>
        <v/>
      </c>
      <c r="I9" t="str" cm="1">
        <f t="array" ref="I9">_xlfn.LET(
  _xlpm.K, Constantes!$B$3,
  _xlpm.Knewgain, Constantes!$B$4,
  _xlpm.Knewscale, Constantes!$B$5,
  _xlpm.ptstables, INDEX(I:I, _xlfn.SEQUENCE(COUNTA($C$2:$C9), 1, 3, 4)),
  _xlpm.nbparties, COUNTA(_xlfn._xlws.FILTER(_xlpm.ptstables, _xlpm.ptstables &lt;&gt; "")),
  _xlpm.coef, _xlpm.K + _xlpm.Knewgain / (_xlpm.Knewscale + _xlpm.nbparties),
  IF(I7="",
    "",
    _xlpm.coef * (I7-I8))
)</f>
        <v/>
      </c>
      <c r="J9" t="str" cm="1">
        <f t="array" ref="J9">_xlfn.LET(
  _xlpm.K, Constantes!$B$3,
  _xlpm.Knewgain, Constantes!$B$4,
  _xlpm.Knewscale, Constantes!$B$5,
  _xlpm.ptstables, INDEX(J:J, _xlfn.SEQUENCE(COUNTA($C$2:$C9), 1, 3, 4)),
  _xlpm.nbparties, COUNTA(_xlfn._xlws.FILTER(_xlpm.ptstables, _xlpm.ptstables &lt;&gt; "")),
  _xlpm.coef, _xlpm.K + _xlpm.Knewgain / (_xlpm.Knewscale + _xlpm.nbparties),
  IF(J7="",
    "",
    _xlpm.coef * (J7-J8))
)</f>
        <v/>
      </c>
      <c r="K9" t="str" cm="1">
        <f t="array" ref="K9">_xlfn.LET(
  _xlpm.K, Constantes!$B$3,
  _xlpm.Knewgain, Constantes!$B$4,
  _xlpm.Knewscale, Constantes!$B$5,
  _xlpm.ptstables, INDEX(K:K, _xlfn.SEQUENCE(COUNTA($C$2:$C9), 1, 3, 4)),
  _xlpm.nbparties, COUNTA(_xlfn._xlws.FILTER(_xlpm.ptstables, _xlpm.ptstables &lt;&gt; "")),
  _xlpm.coef, _xlpm.K + _xlpm.Knewgain / (_xlpm.Knewscale + _xlpm.nbparties),
  IF(K7="",
    "",
    _xlpm.coef * (K7-K8))
)</f>
        <v/>
      </c>
      <c r="L9" t="str" cm="1">
        <f t="array" ref="L9">_xlfn.LET(
  _xlpm.K, Constantes!$B$3,
  _xlpm.Knewgain, Constantes!$B$4,
  _xlpm.Knewscale, Constantes!$B$5,
  _xlpm.ptstables, INDEX(L:L, _xlfn.SEQUENCE(COUNTA($C$2:$C9), 1, 3, 4)),
  _xlpm.nbparties, COUNTA(_xlfn._xlws.FILTER(_xlpm.ptstables, _xlpm.ptstables &lt;&gt; "")),
  _xlpm.coef, _xlpm.K + _xlpm.Knewgain / (_xlpm.Knewscale + _xlpm.nbparties),
  IF(L7="",
    "",
    _xlpm.coef * (L7-L8))
)</f>
        <v/>
      </c>
      <c r="M9" t="str" cm="1">
        <f t="array" ref="M9">_xlfn.LET(
  _xlpm.K, Constantes!$B$3,
  _xlpm.Knewgain, Constantes!$B$4,
  _xlpm.Knewscale, Constantes!$B$5,
  _xlpm.ptstables, INDEX(M:M, _xlfn.SEQUENCE(COUNTA($C$2:$C9), 1, 3, 4)),
  _xlpm.nbparties, COUNTA(_xlfn._xlws.FILTER(_xlpm.ptstables, _xlpm.ptstables &lt;&gt; "")),
  _xlpm.coef, _xlpm.K + _xlpm.Knewgain / (_xlpm.Knewscale + _xlpm.nbparties),
  IF(M7="",
    "",
    _xlpm.coef * (M7-M8))
)</f>
        <v/>
      </c>
      <c r="N9" t="str" cm="1">
        <f t="array" ref="N9">_xlfn.LET(
  _xlpm.K, Constantes!$B$3,
  _xlpm.Knewgain, Constantes!$B$4,
  _xlpm.Knewscale, Constantes!$B$5,
  _xlpm.ptstables, INDEX(N:N, _xlfn.SEQUENCE(COUNTA($C$2:$C9), 1, 3, 4)),
  _xlpm.nbparties, COUNTA(_xlfn._xlws.FILTER(_xlpm.ptstables, _xlpm.ptstables &lt;&gt; "")),
  _xlpm.coef, _xlpm.K + _xlpm.Knewgain / (_xlpm.Knewscale + _xlpm.nbparties),
  IF(N7="",
    "",
    _xlpm.coef * (N7-N8))
)</f>
        <v/>
      </c>
      <c r="O9" t="str" cm="1">
        <f t="array" ref="O9">_xlfn.LET(
  _xlpm.K, Constantes!$B$3,
  _xlpm.Knewgain, Constantes!$B$4,
  _xlpm.Knewscale, Constantes!$B$5,
  _xlpm.ptstables, INDEX(O:O, _xlfn.SEQUENCE(COUNTA($C$2:$C9), 1, 3, 4)),
  _xlpm.nbparties, COUNTA(_xlfn._xlws.FILTER(_xlpm.ptstables, _xlpm.ptstables &lt;&gt; "")),
  _xlpm.coef, _xlpm.K + _xlpm.Knewgain / (_xlpm.Knewscale + _xlpm.nbparties),
  IF(O7="",
    "",
    _xlpm.coef * (O7-O8))
)</f>
        <v/>
      </c>
      <c r="P9" t="str" cm="1">
        <f t="array" ref="P9">_xlfn.LET(
  _xlpm.K, Constantes!$B$3,
  _xlpm.Knewgain, Constantes!$B$4,
  _xlpm.Knewscale, Constantes!$B$5,
  _xlpm.ptstables, INDEX(P:P, _xlfn.SEQUENCE(COUNTA($C$2:$C9), 1, 3, 4)),
  _xlpm.nbparties, COUNTA(_xlfn._xlws.FILTER(_xlpm.ptstables, _xlpm.ptstables &lt;&gt; "")),
  _xlpm.coef, _xlpm.K + _xlpm.Knewgain / (_xlpm.Knewscale + _xlpm.nbparties),
  IF(P7="",
    "",
    _xlpm.coef * (P7-P8))
)</f>
        <v/>
      </c>
      <c r="Q9" t="str" cm="1">
        <f t="array" ref="Q9">_xlfn.LET(
  _xlpm.K, Constantes!$B$3,
  _xlpm.Knewgain, Constantes!$B$4,
  _xlpm.Knewscale, Constantes!$B$5,
  _xlpm.ptstables, INDEX(Q:Q, _xlfn.SEQUENCE(COUNTA($C$2:$C9), 1, 3, 4)),
  _xlpm.nbparties, COUNTA(_xlfn._xlws.FILTER(_xlpm.ptstables, _xlpm.ptstables &lt;&gt; "")),
  _xlpm.coef, _xlpm.K + _xlpm.Knewgain / (_xlpm.Knewscale + _xlpm.nbparties),
  IF(Q7="",
    "",
    _xlpm.coef * (Q7-Q8))
)</f>
        <v/>
      </c>
      <c r="R9" t="str" cm="1">
        <f t="array" ref="R9">_xlfn.LET(
  _xlpm.K, Constantes!$B$3,
  _xlpm.Knewgain, Constantes!$B$4,
  _xlpm.Knewscale, Constantes!$B$5,
  _xlpm.ptstables, INDEX(R:R, _xlfn.SEQUENCE(COUNTA($C$2:$C9), 1, 3, 4)),
  _xlpm.nbparties, COUNTA(_xlfn._xlws.FILTER(_xlpm.ptstables, _xlpm.ptstables &lt;&gt; "")),
  _xlpm.coef, _xlpm.K + _xlpm.Knewgain / (_xlpm.Knewscale + _xlpm.nbparties),
  IF(R7="",
    "",
    _xlpm.coef * (R7-R8))
)</f>
        <v/>
      </c>
      <c r="S9" t="str" cm="1">
        <f t="array" ref="S9">_xlfn.LET(
  _xlpm.K, Constantes!$B$3,
  _xlpm.Knewgain, Constantes!$B$4,
  _xlpm.Knewscale, Constantes!$B$5,
  _xlpm.ptstables, INDEX(S:S, _xlfn.SEQUENCE(COUNTA($C$2:$C9), 1, 3, 4)),
  _xlpm.nbparties, COUNTA(_xlfn._xlws.FILTER(_xlpm.ptstables, _xlpm.ptstables &lt;&gt; "")),
  _xlpm.coef, _xlpm.K + _xlpm.Knewgain / (_xlpm.Knewscale + _xlpm.nbparties),
  IF(S7="",
    "",
    _xlpm.coef * (S7-S8))
)</f>
        <v/>
      </c>
      <c r="T9" t="str" cm="1">
        <f t="array" ref="T9">_xlfn.LET(
  _xlpm.K, Constantes!$B$3,
  _xlpm.Knewgain, Constantes!$B$4,
  _xlpm.Knewscale, Constantes!$B$5,
  _xlpm.ptstables, INDEX(T:T, _xlfn.SEQUENCE(COUNTA($C$2:$C9), 1, 3, 4)),
  _xlpm.nbparties, COUNTA(_xlfn._xlws.FILTER(_xlpm.ptstables, _xlpm.ptstables &lt;&gt; "")),
  _xlpm.coef, _xlpm.K + _xlpm.Knewgain / (_xlpm.Knewscale + _xlpm.nbparties),
  IF(T7="",
    "",
    _xlpm.coef * (T7-T8))
)</f>
        <v/>
      </c>
      <c r="U9" t="str" cm="1">
        <f t="array" ref="U9">_xlfn.LET(
  _xlpm.K, Constantes!$B$3,
  _xlpm.Knewgain, Constantes!$B$4,
  _xlpm.Knewscale, Constantes!$B$5,
  _xlpm.ptstables, INDEX(U:U, _xlfn.SEQUENCE(COUNTA($C$2:$C9), 1, 3, 4)),
  _xlpm.nbparties, COUNTA(_xlfn._xlws.FILTER(_xlpm.ptstables, _xlpm.ptstables &lt;&gt; "")),
  _xlpm.coef, _xlpm.K + _xlpm.Knewgain / (_xlpm.Knewscale + _xlpm.nbparties),
  IF(U7="",
    "",
    _xlpm.coef * (U7-U8))
)</f>
        <v/>
      </c>
      <c r="V9" t="str" cm="1">
        <f t="array" ref="V9">_xlfn.LET(
  _xlpm.K, Constantes!$B$3,
  _xlpm.Knewgain, Constantes!$B$4,
  _xlpm.Knewscale, Constantes!$B$5,
  _xlpm.ptstables, INDEX(V:V, _xlfn.SEQUENCE(COUNTA($C$2:$C9), 1, 3, 4)),
  _xlpm.nbparties, COUNTA(_xlfn._xlws.FILTER(_xlpm.ptstables, _xlpm.ptstables &lt;&gt; "")),
  _xlpm.coef, _xlpm.K + _xlpm.Knewgain / (_xlpm.Knewscale + _xlpm.nbparties),
  IF(V7="",
    "",
    _xlpm.coef * (V7-V8))
)</f>
        <v/>
      </c>
      <c r="W9" t="str" cm="1">
        <f t="array" ref="W9">_xlfn.LET(
  _xlpm.K, Constantes!$B$3,
  _xlpm.Knewgain, Constantes!$B$4,
  _xlpm.Knewscale, Constantes!$B$5,
  _xlpm.ptstables, INDEX(W:W, _xlfn.SEQUENCE(COUNTA($C$2:$C9), 1, 3, 4)),
  _xlpm.nbparties, COUNTA(_xlfn._xlws.FILTER(_xlpm.ptstables, _xlpm.ptstables &lt;&gt; "")),
  _xlpm.coef, _xlpm.K + _xlpm.Knewgain / (_xlpm.Knewscale + _xlpm.nbparties),
  IF(W7="",
    "",
    _xlpm.coef * (W7-W8))
)</f>
        <v/>
      </c>
      <c r="X9" t="str" cm="1">
        <f t="array" ref="X9">_xlfn.LET(
  _xlpm.K, Constantes!$B$3,
  _xlpm.Knewgain, Constantes!$B$4,
  _xlpm.Knewscale, Constantes!$B$5,
  _xlpm.ptstables, INDEX(X:X, _xlfn.SEQUENCE(COUNTA($C$2:$C9), 1, 3, 4)),
  _xlpm.nbparties, COUNTA(_xlfn._xlws.FILTER(_xlpm.ptstables, _xlpm.ptstables &lt;&gt; "")),
  _xlpm.coef, _xlpm.K + _xlpm.Knewgain / (_xlpm.Knewscale + _xlpm.nbparties),
  IF(X7="",
    "",
    _xlpm.coef * (X7-X8))
)</f>
        <v/>
      </c>
      <c r="Y9" t="str" cm="1">
        <f t="array" ref="Y9">_xlfn.LET(
  _xlpm.K, Constantes!$B$3,
  _xlpm.Knewgain, Constantes!$B$4,
  _xlpm.Knewscale, Constantes!$B$5,
  _xlpm.ptstables, INDEX(Y:Y, _xlfn.SEQUENCE(COUNTA($C$2:$C9), 1, 3, 4)),
  _xlpm.nbparties, COUNTA(_xlfn._xlws.FILTER(_xlpm.ptstables, _xlpm.ptstables &lt;&gt; "")),
  _xlpm.coef, _xlpm.K + _xlpm.Knewgain / (_xlpm.Knewscale + _xlpm.nbparties),
  IF(Y7="",
    "",
    _xlpm.coef * (Y7-Y8))
)</f>
        <v/>
      </c>
      <c r="Z9" t="str" cm="1">
        <f t="array" ref="Z9">_xlfn.LET(
  _xlpm.K, Constantes!$B$3,
  _xlpm.Knewgain, Constantes!$B$4,
  _xlpm.Knewscale, Constantes!$B$5,
  _xlpm.ptstables, INDEX(Z:Z, _xlfn.SEQUENCE(COUNTA($C$2:$C9), 1, 3, 4)),
  _xlpm.nbparties, COUNTA(_xlfn._xlws.FILTER(_xlpm.ptstables, _xlpm.ptstables &lt;&gt; "")),
  _xlpm.coef, _xlpm.K + _xlpm.Knewgain / (_xlpm.Knewscale + _xlpm.nbparties),
  IF(Z7="",
    "",
    _xlpm.coef * (Z7-Z8))
)</f>
        <v/>
      </c>
      <c r="AA9" t="str" cm="1">
        <f t="array" ref="AA9">_xlfn.LET(
  _xlpm.K, Constantes!$B$3,
  _xlpm.Knewgain, Constantes!$B$4,
  _xlpm.Knewscale, Constantes!$B$5,
  _xlpm.ptstables, INDEX(AA:AA, _xlfn.SEQUENCE(COUNTA($C$2:$C9), 1, 3, 4)),
  _xlpm.nbparties, COUNTA(_xlfn._xlws.FILTER(_xlpm.ptstables, _xlpm.ptstables &lt;&gt; "")),
  _xlpm.coef, _xlpm.K + _xlpm.Knewgain / (_xlpm.Knewscale + _xlpm.nbparties),
  IF(AA7="",
    "",
    _xlpm.coef * (AA7-AA8))
)</f>
        <v/>
      </c>
      <c r="AB9" t="str" cm="1">
        <f t="array" ref="AB9">_xlfn.LET(
  _xlpm.K, Constantes!$B$3,
  _xlpm.Knewgain, Constantes!$B$4,
  _xlpm.Knewscale, Constantes!$B$5,
  _xlpm.ptstables, INDEX(AB:AB, _xlfn.SEQUENCE(COUNTA($C$2:$C9), 1, 3, 4)),
  _xlpm.nbparties, COUNTA(_xlfn._xlws.FILTER(_xlpm.ptstables, _xlpm.ptstables &lt;&gt; "")),
  _xlpm.coef, _xlpm.K + _xlpm.Knewgain / (_xlpm.Knewscale + _xlpm.nbparties),
  IF(AB7="",
    "",
    _xlpm.coef * (AB7-AB8))
)</f>
        <v/>
      </c>
      <c r="AC9" t="str" cm="1">
        <f t="array" ref="AC9">_xlfn.LET(
  _xlpm.K, Constantes!$B$3,
  _xlpm.Knewgain, Constantes!$B$4,
  _xlpm.Knewscale, Constantes!$B$5,
  _xlpm.ptstables, INDEX(AC:AC, _xlfn.SEQUENCE(COUNTA($C$2:$C9), 1, 3, 4)),
  _xlpm.nbparties, COUNTA(_xlfn._xlws.FILTER(_xlpm.ptstables, _xlpm.ptstables &lt;&gt; "")),
  _xlpm.coef, _xlpm.K + _xlpm.Knewgain / (_xlpm.Knewscale + _xlpm.nbparties),
  IF(AC7="",
    "",
    _xlpm.coef * (AC7-AC8))
)</f>
        <v/>
      </c>
      <c r="AD9" t="str" cm="1">
        <f t="array" ref="AD9">_xlfn.LET(
  _xlpm.K, Constantes!$B$3,
  _xlpm.Knewgain, Constantes!$B$4,
  _xlpm.Knewscale, Constantes!$B$5,
  _xlpm.ptstables, INDEX(AD:AD, _xlfn.SEQUENCE(COUNTA($C$2:$C9), 1, 3, 4)),
  _xlpm.nbparties, COUNTA(_xlfn._xlws.FILTER(_xlpm.ptstables, _xlpm.ptstables &lt;&gt; "")),
  _xlpm.coef, _xlpm.K + _xlpm.Knewgain / (_xlpm.Knewscale + _xlpm.nbparties),
  IF(AD7="",
    "",
    _xlpm.coef * (AD7-AD8))
)</f>
        <v/>
      </c>
      <c r="AE9" t="str" cm="1">
        <f t="array" ref="AE9">_xlfn.LET(
  _xlpm.K, Constantes!$B$3,
  _xlpm.Knewgain, Constantes!$B$4,
  _xlpm.Knewscale, Constantes!$B$5,
  _xlpm.ptstables, INDEX(AE:AE, _xlfn.SEQUENCE(COUNTA($C$2:$C9), 1, 3, 4)),
  _xlpm.nbparties, COUNTA(_xlfn._xlws.FILTER(_xlpm.ptstables, _xlpm.ptstables &lt;&gt; "")),
  _xlpm.coef, _xlpm.K + _xlpm.Knewgain / (_xlpm.Knewscale + _xlpm.nbparties),
  IF(AE7="",
    "",
    _xlpm.coef * (AE7-AE8))
)</f>
        <v/>
      </c>
      <c r="AF9" t="str" cm="1">
        <f t="array" ref="AF9">_xlfn.LET(
  _xlpm.K, Constantes!$B$3,
  _xlpm.Knewgain, Constantes!$B$4,
  _xlpm.Knewscale, Constantes!$B$5,
  _xlpm.ptstables, INDEX(AF:AF, _xlfn.SEQUENCE(COUNTA($C$2:$C9), 1, 3, 4)),
  _xlpm.nbparties, COUNTA(_xlfn._xlws.FILTER(_xlpm.ptstables, _xlpm.ptstables &lt;&gt; "")),
  _xlpm.coef, _xlpm.K + _xlpm.Knewgain / (_xlpm.Knewscale + _xlpm.nbparties),
  IF(AF7="",
    "",
    _xlpm.coef * (AF7-AF8))
)</f>
        <v/>
      </c>
      <c r="AG9" t="str" cm="1">
        <f t="array" ref="AG9">_xlfn.LET(
  _xlpm.K, Constantes!$B$3,
  _xlpm.Knewgain, Constantes!$B$4,
  _xlpm.Knewscale, Constantes!$B$5,
  _xlpm.ptstables, INDEX(AG:AG, _xlfn.SEQUENCE(COUNTA($C$2:$C9), 1, 3, 4)),
  _xlpm.nbparties, COUNTA(_xlfn._xlws.FILTER(_xlpm.ptstables, _xlpm.ptstables &lt;&gt; "")),
  _xlpm.coef, _xlpm.K + _xlpm.Knewgain / (_xlpm.Knewscale + _xlpm.nbparties),
  IF(AG7="",
    "",
    _xlpm.coef * (AG7-AG8))
)</f>
        <v/>
      </c>
      <c r="AH9" t="str" cm="1">
        <f t="array" ref="AH9">_xlfn.LET(
  _xlpm.K, Constantes!$B$3,
  _xlpm.Knewgain, Constantes!$B$4,
  _xlpm.Knewscale, Constantes!$B$5,
  _xlpm.ptstables, INDEX(AH:AH, _xlfn.SEQUENCE(COUNTA($C$2:$C9), 1, 3, 4)),
  _xlpm.nbparties, COUNTA(_xlfn._xlws.FILTER(_xlpm.ptstables, _xlpm.ptstables &lt;&gt; "")),
  _xlpm.coef, _xlpm.K + _xlpm.Knewgain / (_xlpm.Knewscale + _xlpm.nbparties),
  IF(AH7="",
    "",
    _xlpm.coef * (AH7-AH8))
)</f>
        <v/>
      </c>
      <c r="AI9" t="str" cm="1">
        <f t="array" ref="AI9">_xlfn.LET(
  _xlpm.K, Constantes!$B$3,
  _xlpm.Knewgain, Constantes!$B$4,
  _xlpm.Knewscale, Constantes!$B$5,
  _xlpm.ptstables, INDEX(AI:AI, _xlfn.SEQUENCE(COUNTA($C$2:$C9), 1, 3, 4)),
  _xlpm.nbparties, COUNTA(_xlfn._xlws.FILTER(_xlpm.ptstables, _xlpm.ptstables &lt;&gt; "")),
  _xlpm.coef, _xlpm.K + _xlpm.Knewgain / (_xlpm.Knewscale + _xlpm.nbparties),
  IF(AI7="",
    "",
    _xlpm.coef * (AI7-AI8))
)</f>
        <v/>
      </c>
      <c r="AJ9" t="str" cm="1">
        <f t="array" ref="AJ9">_xlfn.LET(
  _xlpm.K, Constantes!$B$3,
  _xlpm.Knewgain, Constantes!$B$4,
  _xlpm.Knewscale, Constantes!$B$5,
  _xlpm.ptstables, INDEX(AJ:AJ, _xlfn.SEQUENCE(COUNTA($C$2:$C9), 1, 3, 4)),
  _xlpm.nbparties, COUNTA(_xlfn._xlws.FILTER(_xlpm.ptstables, _xlpm.ptstables &lt;&gt; "")),
  _xlpm.coef, _xlpm.K + _xlpm.Knewgain / (_xlpm.Knewscale + _xlpm.nbparties),
  IF(AJ7="",
    "",
    _xlpm.coef * (AJ7-AJ8))
)</f>
        <v/>
      </c>
      <c r="AK9" t="str" cm="1">
        <f t="array" ref="AK9">_xlfn.LET(
  _xlpm.K, Constantes!$B$3,
  _xlpm.Knewgain, Constantes!$B$4,
  _xlpm.Knewscale, Constantes!$B$5,
  _xlpm.ptstables, INDEX(AK:AK, _xlfn.SEQUENCE(COUNTA($C$2:$C9), 1, 3, 4)),
  _xlpm.nbparties, COUNTA(_xlfn._xlws.FILTER(_xlpm.ptstables, _xlpm.ptstables &lt;&gt; "")),
  _xlpm.coef, _xlpm.K + _xlpm.Knewgain / (_xlpm.Knewscale + _xlpm.nbparties),
  IF(AK7="",
    "",
    _xlpm.coef * (AK7-AK8))
)</f>
        <v/>
      </c>
      <c r="AL9" t="str" cm="1">
        <f t="array" ref="AL9">_xlfn.LET(
  _xlpm.K, Constantes!$B$3,
  _xlpm.Knewgain, Constantes!$B$4,
  _xlpm.Knewscale, Constantes!$B$5,
  _xlpm.ptstables, INDEX(AL:AL, _xlfn.SEQUENCE(COUNTA($C$2:$C9), 1, 3, 4)),
  _xlpm.nbparties, COUNTA(_xlfn._xlws.FILTER(_xlpm.ptstables, _xlpm.ptstables &lt;&gt; "")),
  _xlpm.coef, _xlpm.K + _xlpm.Knewgain / (_xlpm.Knewscale + _xlpm.nbparties),
  IF(AL7="",
    "",
    _xlpm.coef * (AL7-AL8))
)</f>
        <v/>
      </c>
      <c r="AM9" t="str" cm="1">
        <f t="array" ref="AM9">_xlfn.LET(
  _xlpm.K, Constantes!$B$3,
  _xlpm.Knewgain, Constantes!$B$4,
  _xlpm.Knewscale, Constantes!$B$5,
  _xlpm.ptstables, INDEX(AM:AM, _xlfn.SEQUENCE(COUNTA($C$2:$C9), 1, 3, 4)),
  _xlpm.nbparties, COUNTA(_xlfn._xlws.FILTER(_xlpm.ptstables, _xlpm.ptstables &lt;&gt; "")),
  _xlpm.coef, _xlpm.K + _xlpm.Knewgain / (_xlpm.Knewscale + _xlpm.nbparties),
  IF(AM7="",
    "",
    _xlpm.coef * (AM7-AM8))
)</f>
        <v/>
      </c>
    </row>
    <row r="10" spans="1:39" x14ac:dyDescent="0.25">
      <c r="A10" t="s">
        <v>14</v>
      </c>
      <c r="B10" t="str" cm="1">
        <f t="array" ref="B1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</v>
      </c>
      <c r="C10" s="2" cm="1">
        <f t="array" ref="C10">IF(B10="","",
  INDEX(Donnees!F:F, MATCH(B10, Donnees!F:F, 0)+1))</f>
        <v>45904.60833333333</v>
      </c>
      <c r="D10">
        <f t="shared" ref="D10:AM10" si="10">D6+IF(D9="",0,D9)</f>
        <v>954.73774107621398</v>
      </c>
      <c r="E10">
        <f t="shared" si="10"/>
        <v>1127.1910141574986</v>
      </c>
      <c r="F10">
        <f t="shared" si="10"/>
        <v>908.50099680301685</v>
      </c>
      <c r="G10">
        <f t="shared" si="10"/>
        <v>1045.7652479632707</v>
      </c>
      <c r="H10">
        <f t="shared" si="10"/>
        <v>1075.79</v>
      </c>
      <c r="I10">
        <f t="shared" si="10"/>
        <v>1000</v>
      </c>
      <c r="J10">
        <f t="shared" si="10"/>
        <v>1030.135</v>
      </c>
      <c r="K10">
        <f t="shared" si="10"/>
        <v>923.36</v>
      </c>
      <c r="L10">
        <f t="shared" si="10"/>
        <v>1000</v>
      </c>
      <c r="M10">
        <f t="shared" si="10"/>
        <v>1000</v>
      </c>
      <c r="N10">
        <f t="shared" si="10"/>
        <v>884.21</v>
      </c>
      <c r="O10">
        <f t="shared" si="10"/>
        <v>1000</v>
      </c>
      <c r="P10">
        <f t="shared" si="10"/>
        <v>993.13499999999999</v>
      </c>
      <c r="Q10">
        <f t="shared" si="10"/>
        <v>949.40499999999997</v>
      </c>
      <c r="R10">
        <f t="shared" si="10"/>
        <v>997.8</v>
      </c>
      <c r="S10">
        <f t="shared" si="10"/>
        <v>984.505</v>
      </c>
      <c r="T10">
        <f t="shared" si="10"/>
        <v>1029.905</v>
      </c>
      <c r="U10">
        <f t="shared" si="10"/>
        <v>1092.7849999999999</v>
      </c>
      <c r="V10">
        <f t="shared" si="10"/>
        <v>999.59500000000003</v>
      </c>
      <c r="W10">
        <f t="shared" si="10"/>
        <v>1000</v>
      </c>
      <c r="X10">
        <f t="shared" si="10"/>
        <v>899.53</v>
      </c>
      <c r="Y10">
        <f t="shared" si="10"/>
        <v>941.52</v>
      </c>
      <c r="Z10">
        <f t="shared" si="10"/>
        <v>1000</v>
      </c>
      <c r="AA10">
        <f t="shared" si="10"/>
        <v>1000</v>
      </c>
      <c r="AB10">
        <f t="shared" si="10"/>
        <v>979.56500000000005</v>
      </c>
      <c r="AC10">
        <f t="shared" si="10"/>
        <v>1032.51</v>
      </c>
      <c r="AD10">
        <f t="shared" si="10"/>
        <v>974.01499999999999</v>
      </c>
      <c r="AE10">
        <f t="shared" si="10"/>
        <v>1011.415</v>
      </c>
      <c r="AF10">
        <f t="shared" si="10"/>
        <v>1031.1199999999999</v>
      </c>
      <c r="AG10">
        <f t="shared" si="10"/>
        <v>1001.0350000000001</v>
      </c>
      <c r="AH10">
        <f t="shared" si="10"/>
        <v>994.44</v>
      </c>
      <c r="AI10">
        <f t="shared" si="10"/>
        <v>1000</v>
      </c>
      <c r="AJ10">
        <f t="shared" si="10"/>
        <v>957.2</v>
      </c>
      <c r="AK10">
        <f t="shared" si="10"/>
        <v>1000</v>
      </c>
      <c r="AL10">
        <f t="shared" si="10"/>
        <v>1055.9299999999998</v>
      </c>
      <c r="AM10">
        <f t="shared" si="10"/>
        <v>1000</v>
      </c>
    </row>
    <row r="11" spans="1:39" x14ac:dyDescent="0.25">
      <c r="A11" t="s">
        <v>21</v>
      </c>
      <c r="D11" t="str" cm="1">
        <f t="array" ref="D11">IFERROR(
  _xlfn.LET(
    _xlpm.ligpartie, MATCH($B10, Donnees!$F:$F, 0),
    _xlpm.joueurs, INDEX(Donnees!$A:$Z, _xlpm.ligpartie+1, _xlfn.SEQUENCE(1, 4, 2)),
    INDEX(
      Donnees!$A:$Z,
      _xlpm.ligpartie + 3,
      MATCH(D$1, _xlpm.joueurs, 0) + 1
    )
  ), ""
)</f>
        <v/>
      </c>
      <c r="E11" cm="1">
        <f t="array" ref="E11">IFERROR(
  _xlfn.LET(
    _xlpm.ligpartie, MATCH($B10, Donnees!$F:$F, 0),
    _xlpm.joueurs, INDEX(Donnees!$A:$Z, _xlpm.ligpartie+1, _xlfn.SEQUENCE(1, 4, 2)),
    INDEX(
      Donnees!$A:$Z,
      _xlpm.ligpartie + 3,
      MATCH(E$1, _xlpm.joueurs, 0) + 1
    )
  ), ""
)</f>
        <v>2</v>
      </c>
      <c r="F11" cm="1">
        <f t="array" ref="F11">IFERROR(
  _xlfn.LET(
    _xlpm.ligpartie, MATCH($B10, Donnees!$F:$F, 0),
    _xlpm.joueurs, INDEX(Donnees!$A:$Z, _xlpm.ligpartie+1, _xlfn.SEQUENCE(1, 4, 2)),
    INDEX(
      Donnees!$A:$Z,
      _xlpm.ligpartie + 3,
      MATCH(F$1, _xlpm.joueurs, 0) + 1
    )
  ), ""
)</f>
        <v>0</v>
      </c>
      <c r="G11" cm="1">
        <f t="array" ref="G11">IFERROR(
  _xlfn.LET(
    _xlpm.ligpartie, MATCH($B10, Donnees!$F:$F, 0),
    _xlpm.joueurs, INDEX(Donnees!$A:$Z, _xlpm.ligpartie+1, _xlfn.SEQUENCE(1, 4, 2)),
    INDEX(
      Donnees!$A:$Z,
      _xlpm.ligpartie + 3,
      MATCH(G$1, _xlpm.joueurs, 0) + 1
    )
  ), ""
)</f>
        <v>3</v>
      </c>
      <c r="H11" cm="1">
        <f t="array" ref="H11">IFERROR(
  _xlfn.LET(
    _xlpm.ligpartie, MATCH($B10, Donnees!$F:$F, 0),
    _xlpm.joueurs, INDEX(Donnees!$A:$Z, _xlpm.ligpartie+1, _xlfn.SEQUENCE(1, 4, 2)),
    INDEX(
      Donnees!$A:$Z,
      _xlpm.ligpartie + 3,
      MATCH(H$1, _xlpm.joueurs, 0) + 1
    )
  ), ""
)</f>
        <v>1</v>
      </c>
      <c r="I11" t="str" cm="1">
        <f t="array" ref="I11">IFERROR(
  _xlfn.LET(
    _xlpm.ligpartie, MATCH($B10, Donnees!$F:$F, 0),
    _xlpm.joueurs, INDEX(Donnees!$A:$Z, _xlpm.ligpartie+1, _xlfn.SEQUENCE(1, 4, 2)),
    INDEX(
      Donnees!$A:$Z,
      _xlpm.ligpartie + 3,
      MATCH(I$1, _xlpm.joueurs, 0) + 1
    )
  ), ""
)</f>
        <v/>
      </c>
      <c r="J11" t="str" cm="1">
        <f t="array" ref="J11">IFERROR(
  _xlfn.LET(
    _xlpm.ligpartie, MATCH($B10, Donnees!$F:$F, 0),
    _xlpm.joueurs, INDEX(Donnees!$A:$Z, _xlpm.ligpartie+1, _xlfn.SEQUENCE(1, 4, 2)),
    INDEX(
      Donnees!$A:$Z,
      _xlpm.ligpartie + 3,
      MATCH(J$1, _xlpm.joueurs, 0) + 1
    )
  ), ""
)</f>
        <v/>
      </c>
      <c r="K11" t="str" cm="1">
        <f t="array" ref="K11">IFERROR(
  _xlfn.LET(
    _xlpm.ligpartie, MATCH($B10, Donnees!$F:$F, 0),
    _xlpm.joueurs, INDEX(Donnees!$A:$Z, _xlpm.ligpartie+1, _xlfn.SEQUENCE(1, 4, 2)),
    INDEX(
      Donnees!$A:$Z,
      _xlpm.ligpartie + 3,
      MATCH(K$1, _xlpm.joueurs, 0) + 1
    )
  ), ""
)</f>
        <v/>
      </c>
      <c r="L11" t="str" cm="1">
        <f t="array" ref="L11">IFERROR(
  _xlfn.LET(
    _xlpm.ligpartie, MATCH($B10, Donnees!$F:$F, 0),
    _xlpm.joueurs, INDEX(Donnees!$A:$Z, _xlpm.ligpartie+1, _xlfn.SEQUENCE(1, 4, 2)),
    INDEX(
      Donnees!$A:$Z,
      _xlpm.ligpartie + 3,
      MATCH(L$1, _xlpm.joueurs, 0) + 1
    )
  ), ""
)</f>
        <v/>
      </c>
      <c r="M11" t="str" cm="1">
        <f t="array" ref="M11">IFERROR(
  _xlfn.LET(
    _xlpm.ligpartie, MATCH($B10, Donnees!$F:$F, 0),
    _xlpm.joueurs, INDEX(Donnees!$A:$Z, _xlpm.ligpartie+1, _xlfn.SEQUENCE(1, 4, 2)),
    INDEX(
      Donnees!$A:$Z,
      _xlpm.ligpartie + 3,
      MATCH(M$1, _xlpm.joueurs, 0) + 1
    )
  ), ""
)</f>
        <v/>
      </c>
      <c r="N11" t="str" cm="1">
        <f t="array" ref="N11">IFERROR(
  _xlfn.LET(
    _xlpm.ligpartie, MATCH($B10, Donnees!$F:$F, 0),
    _xlpm.joueurs, INDEX(Donnees!$A:$Z, _xlpm.ligpartie+1, _xlfn.SEQUENCE(1, 4, 2)),
    INDEX(
      Donnees!$A:$Z,
      _xlpm.ligpartie + 3,
      MATCH(N$1, _xlpm.joueurs, 0) + 1
    )
  ), ""
)</f>
        <v/>
      </c>
      <c r="O11" t="str" cm="1">
        <f t="array" ref="O11">IFERROR(
  _xlfn.LET(
    _xlpm.ligpartie, MATCH($B10, Donnees!$F:$F, 0),
    _xlpm.joueurs, INDEX(Donnees!$A:$Z, _xlpm.ligpartie+1, _xlfn.SEQUENCE(1, 4, 2)),
    INDEX(
      Donnees!$A:$Z,
      _xlpm.ligpartie + 3,
      MATCH(O$1, _xlpm.joueurs, 0) + 1
    )
  ), ""
)</f>
        <v/>
      </c>
      <c r="P11" t="str" cm="1">
        <f t="array" ref="P11">IFERROR(
  _xlfn.LET(
    _xlpm.ligpartie, MATCH($B10, Donnees!$F:$F, 0),
    _xlpm.joueurs, INDEX(Donnees!$A:$Z, _xlpm.ligpartie+1, _xlfn.SEQUENCE(1, 4, 2)),
    INDEX(
      Donnees!$A:$Z,
      _xlpm.ligpartie + 3,
      MATCH(P$1, _xlpm.joueurs, 0) + 1
    )
  ), ""
)</f>
        <v/>
      </c>
      <c r="Q11" t="str" cm="1">
        <f t="array" ref="Q11">IFERROR(
  _xlfn.LET(
    _xlpm.ligpartie, MATCH($B10, Donnees!$F:$F, 0),
    _xlpm.joueurs, INDEX(Donnees!$A:$Z, _xlpm.ligpartie+1, _xlfn.SEQUENCE(1, 4, 2)),
    INDEX(
      Donnees!$A:$Z,
      _xlpm.ligpartie + 3,
      MATCH(Q$1, _xlpm.joueurs, 0) + 1
    )
  ), ""
)</f>
        <v/>
      </c>
      <c r="R11" t="str" cm="1">
        <f t="array" ref="R11">IFERROR(
  _xlfn.LET(
    _xlpm.ligpartie, MATCH($B10, Donnees!$F:$F, 0),
    _xlpm.joueurs, INDEX(Donnees!$A:$Z, _xlpm.ligpartie+1, _xlfn.SEQUENCE(1, 4, 2)),
    INDEX(
      Donnees!$A:$Z,
      _xlpm.ligpartie + 3,
      MATCH(R$1, _xlpm.joueurs, 0) + 1
    )
  ), ""
)</f>
        <v/>
      </c>
      <c r="S11" t="str" cm="1">
        <f t="array" ref="S11">IFERROR(
  _xlfn.LET(
    _xlpm.ligpartie, MATCH($B10, Donnees!$F:$F, 0),
    _xlpm.joueurs, INDEX(Donnees!$A:$Z, _xlpm.ligpartie+1, _xlfn.SEQUENCE(1, 4, 2)),
    INDEX(
      Donnees!$A:$Z,
      _xlpm.ligpartie + 3,
      MATCH(S$1, _xlpm.joueurs, 0) + 1
    )
  ), ""
)</f>
        <v/>
      </c>
      <c r="T11" t="str" cm="1">
        <f t="array" ref="T11">IFERROR(
  _xlfn.LET(
    _xlpm.ligpartie, MATCH($B10, Donnees!$F:$F, 0),
    _xlpm.joueurs, INDEX(Donnees!$A:$Z, _xlpm.ligpartie+1, _xlfn.SEQUENCE(1, 4, 2)),
    INDEX(
      Donnees!$A:$Z,
      _xlpm.ligpartie + 3,
      MATCH(T$1, _xlpm.joueurs, 0) + 1
    )
  ), ""
)</f>
        <v/>
      </c>
      <c r="U11" t="str" cm="1">
        <f t="array" ref="U11">IFERROR(
  _xlfn.LET(
    _xlpm.ligpartie, MATCH($B10, Donnees!$F:$F, 0),
    _xlpm.joueurs, INDEX(Donnees!$A:$Z, _xlpm.ligpartie+1, _xlfn.SEQUENCE(1, 4, 2)),
    INDEX(
      Donnees!$A:$Z,
      _xlpm.ligpartie + 3,
      MATCH(U$1, _xlpm.joueurs, 0) + 1
    )
  ), ""
)</f>
        <v/>
      </c>
      <c r="V11" t="str" cm="1">
        <f t="array" ref="V11">IFERROR(
  _xlfn.LET(
    _xlpm.ligpartie, MATCH($B10, Donnees!$F:$F, 0),
    _xlpm.joueurs, INDEX(Donnees!$A:$Z, _xlpm.ligpartie+1, _xlfn.SEQUENCE(1, 4, 2)),
    INDEX(
      Donnees!$A:$Z,
      _xlpm.ligpartie + 3,
      MATCH(V$1, _xlpm.joueurs, 0) + 1
    )
  ), ""
)</f>
        <v/>
      </c>
      <c r="W11" t="str" cm="1">
        <f t="array" ref="W11">IFERROR(
  _xlfn.LET(
    _xlpm.ligpartie, MATCH($B10, Donnees!$F:$F, 0),
    _xlpm.joueurs, INDEX(Donnees!$A:$Z, _xlpm.ligpartie+1, _xlfn.SEQUENCE(1, 4, 2)),
    INDEX(
      Donnees!$A:$Z,
      _xlpm.ligpartie + 3,
      MATCH(W$1, _xlpm.joueurs, 0) + 1
    )
  ), ""
)</f>
        <v/>
      </c>
      <c r="X11" t="str" cm="1">
        <f t="array" ref="X11">IFERROR(
  _xlfn.LET(
    _xlpm.ligpartie, MATCH($B10, Donnees!$F:$F, 0),
    _xlpm.joueurs, INDEX(Donnees!$A:$Z, _xlpm.ligpartie+1, _xlfn.SEQUENCE(1, 4, 2)),
    INDEX(
      Donnees!$A:$Z,
      _xlpm.ligpartie + 3,
      MATCH(X$1, _xlpm.joueurs, 0) + 1
    )
  ), ""
)</f>
        <v/>
      </c>
      <c r="Y11" t="str" cm="1">
        <f t="array" ref="Y11">IFERROR(
  _xlfn.LET(
    _xlpm.ligpartie, MATCH($B10, Donnees!$F:$F, 0),
    _xlpm.joueurs, INDEX(Donnees!$A:$Z, _xlpm.ligpartie+1, _xlfn.SEQUENCE(1, 4, 2)),
    INDEX(
      Donnees!$A:$Z,
      _xlpm.ligpartie + 3,
      MATCH(Y$1, _xlpm.joueurs, 0) + 1
    )
  ), ""
)</f>
        <v/>
      </c>
      <c r="Z11" t="str" cm="1">
        <f t="array" ref="Z11">IFERROR(
  _xlfn.LET(
    _xlpm.ligpartie, MATCH($B10, Donnees!$F:$F, 0),
    _xlpm.joueurs, INDEX(Donnees!$A:$Z, _xlpm.ligpartie+1, _xlfn.SEQUENCE(1, 4, 2)),
    INDEX(
      Donnees!$A:$Z,
      _xlpm.ligpartie + 3,
      MATCH(Z$1, _xlpm.joueurs, 0) + 1
    )
  ), ""
)</f>
        <v/>
      </c>
      <c r="AA11" t="str" cm="1">
        <f t="array" ref="AA11">IFERROR(
  _xlfn.LET(
    _xlpm.ligpartie, MATCH($B10, Donnees!$F:$F, 0),
    _xlpm.joueurs, INDEX(Donnees!$A:$Z, _xlpm.ligpartie+1, _xlfn.SEQUENCE(1, 4, 2)),
    INDEX(
      Donnees!$A:$Z,
      _xlpm.ligpartie + 3,
      MATCH(AA$1, _xlpm.joueurs, 0) + 1
    )
  ), ""
)</f>
        <v/>
      </c>
      <c r="AB11" t="str" cm="1">
        <f t="array" ref="AB11">IFERROR(
  _xlfn.LET(
    _xlpm.ligpartie, MATCH($B10, Donnees!$F:$F, 0),
    _xlpm.joueurs, INDEX(Donnees!$A:$Z, _xlpm.ligpartie+1, _xlfn.SEQUENCE(1, 4, 2)),
    INDEX(
      Donnees!$A:$Z,
      _xlpm.ligpartie + 3,
      MATCH(AB$1, _xlpm.joueurs, 0) + 1
    )
  ), ""
)</f>
        <v/>
      </c>
      <c r="AC11" t="str" cm="1">
        <f t="array" ref="AC11">IFERROR(
  _xlfn.LET(
    _xlpm.ligpartie, MATCH($B10, Donnees!$F:$F, 0),
    _xlpm.joueurs, INDEX(Donnees!$A:$Z, _xlpm.ligpartie+1, _xlfn.SEQUENCE(1, 4, 2)),
    INDEX(
      Donnees!$A:$Z,
      _xlpm.ligpartie + 3,
      MATCH(AC$1, _xlpm.joueurs, 0) + 1
    )
  ), ""
)</f>
        <v/>
      </c>
      <c r="AD11" t="str" cm="1">
        <f t="array" ref="AD11">IFERROR(
  _xlfn.LET(
    _xlpm.ligpartie, MATCH($B10, Donnees!$F:$F, 0),
    _xlpm.joueurs, INDEX(Donnees!$A:$Z, _xlpm.ligpartie+1, _xlfn.SEQUENCE(1, 4, 2)),
    INDEX(
      Donnees!$A:$Z,
      _xlpm.ligpartie + 3,
      MATCH(AD$1, _xlpm.joueurs, 0) + 1
    )
  ), ""
)</f>
        <v/>
      </c>
      <c r="AE11" t="str" cm="1">
        <f t="array" ref="AE11">IFERROR(
  _xlfn.LET(
    _xlpm.ligpartie, MATCH($B10, Donnees!$F:$F, 0),
    _xlpm.joueurs, INDEX(Donnees!$A:$Z, _xlpm.ligpartie+1, _xlfn.SEQUENCE(1, 4, 2)),
    INDEX(
      Donnees!$A:$Z,
      _xlpm.ligpartie + 3,
      MATCH(AE$1, _xlpm.joueurs, 0) + 1
    )
  ), ""
)</f>
        <v/>
      </c>
      <c r="AF11" t="str" cm="1">
        <f t="array" ref="AF11">IFERROR(
  _xlfn.LET(
    _xlpm.ligpartie, MATCH($B10, Donnees!$F:$F, 0),
    _xlpm.joueurs, INDEX(Donnees!$A:$Z, _xlpm.ligpartie+1, _xlfn.SEQUENCE(1, 4, 2)),
    INDEX(
      Donnees!$A:$Z,
      _xlpm.ligpartie + 3,
      MATCH(AF$1, _xlpm.joueurs, 0) + 1
    )
  ), ""
)</f>
        <v/>
      </c>
      <c r="AG11" t="str" cm="1">
        <f t="array" ref="AG11">IFERROR(
  _xlfn.LET(
    _xlpm.ligpartie, MATCH($B10, Donnees!$F:$F, 0),
    _xlpm.joueurs, INDEX(Donnees!$A:$Z, _xlpm.ligpartie+1, _xlfn.SEQUENCE(1, 4, 2)),
    INDEX(
      Donnees!$A:$Z,
      _xlpm.ligpartie + 3,
      MATCH(AG$1, _xlpm.joueurs, 0) + 1
    )
  ), ""
)</f>
        <v/>
      </c>
      <c r="AH11" t="str" cm="1">
        <f t="array" ref="AH11">IFERROR(
  _xlfn.LET(
    _xlpm.ligpartie, MATCH($B10, Donnees!$F:$F, 0),
    _xlpm.joueurs, INDEX(Donnees!$A:$Z, _xlpm.ligpartie+1, _xlfn.SEQUENCE(1, 4, 2)),
    INDEX(
      Donnees!$A:$Z,
      _xlpm.ligpartie + 3,
      MATCH(AH$1, _xlpm.joueurs, 0) + 1
    )
  ), ""
)</f>
        <v/>
      </c>
      <c r="AI11" t="str" cm="1">
        <f t="array" ref="AI11">IFERROR(
  _xlfn.LET(
    _xlpm.ligpartie, MATCH($B10, Donnees!$F:$F, 0),
    _xlpm.joueurs, INDEX(Donnees!$A:$Z, _xlpm.ligpartie+1, _xlfn.SEQUENCE(1, 4, 2)),
    INDEX(
      Donnees!$A:$Z,
      _xlpm.ligpartie + 3,
      MATCH(AI$1, _xlpm.joueurs, 0) + 1
    )
  ), ""
)</f>
        <v/>
      </c>
      <c r="AJ11" t="str" cm="1">
        <f t="array" ref="AJ11">IFERROR(
  _xlfn.LET(
    _xlpm.ligpartie, MATCH($B10, Donnees!$F:$F, 0),
    _xlpm.joueurs, INDEX(Donnees!$A:$Z, _xlpm.ligpartie+1, _xlfn.SEQUENCE(1, 4, 2)),
    INDEX(
      Donnees!$A:$Z,
      _xlpm.ligpartie + 3,
      MATCH(AJ$1, _xlpm.joueurs, 0) + 1
    )
  ), ""
)</f>
        <v/>
      </c>
      <c r="AK11" t="str" cm="1">
        <f t="array" ref="AK11">IFERROR(
  _xlfn.LET(
    _xlpm.ligpartie, MATCH($B10, Donnees!$F:$F, 0),
    _xlpm.joueurs, INDEX(Donnees!$A:$Z, _xlpm.ligpartie+1, _xlfn.SEQUENCE(1, 4, 2)),
    INDEX(
      Donnees!$A:$Z,
      _xlpm.ligpartie + 3,
      MATCH(AK$1, _xlpm.joueurs, 0) + 1
    )
  ), ""
)</f>
        <v/>
      </c>
      <c r="AL11" t="str" cm="1">
        <f t="array" ref="AL11">IFERROR(
  _xlfn.LET(
    _xlpm.ligpartie, MATCH($B10, Donnees!$F:$F, 0),
    _xlpm.joueurs, INDEX(Donnees!$A:$Z, _xlpm.ligpartie+1, _xlfn.SEQUENCE(1, 4, 2)),
    INDEX(
      Donnees!$A:$Z,
      _xlpm.ligpartie + 3,
      MATCH(AL$1, _xlpm.joueurs, 0) + 1
    )
  ), ""
)</f>
        <v/>
      </c>
      <c r="AM11" t="str" cm="1">
        <f t="array" ref="AM11">IFERROR(
  _xlfn.LET(
    _xlpm.ligpartie, MATCH($B10, Donnees!$F:$F, 0),
    _xlpm.joueurs, INDEX(Donnees!$A:$Z, _xlpm.ligpartie+1, _xlfn.SEQUENCE(1, 4, 2)),
    INDEX(
      Donnees!$A:$Z,
      _xlpm.ligpartie + 3,
      MATCH(AM$1, _xlpm.joueurs, 0) + 1
    )
  ), ""
)</f>
        <v/>
      </c>
    </row>
    <row r="12" spans="1:39" x14ac:dyDescent="0.25">
      <c r="A12" t="s">
        <v>20</v>
      </c>
      <c r="D12" t="str" cm="1">
        <f t="array" ref="D12">_xlfn.LET(
  _xlpm.colj, _xlfn._xlws.FILTER(IF(ISNUMBER(11:11), COLUMN(11:11)), ISNUMBER(11:11)),
  _xlpm.elos, INDEX(10:10,1,_xlpm.colj),
  _xlpm.diffscale, Constantes!$B$2,
  IF(D11="",
    "",
    SUM(1/(1+POWER(10,-(D10-_xlpm.elos)/_xlpm.diffscale)))-0.5)
)</f>
        <v/>
      </c>
      <c r="E12" cm="1">
        <f t="array" ref="E12">_xlfn.LET(
  _xlpm.colj, _xlfn._xlws.FILTER(IF(ISNUMBER(11:11), COLUMN(11:11)), ISNUMBER(11:11)),
  _xlpm.elos, INDEX(10:10,1,_xlpm.colj),
  _xlpm.diffscale, Constantes!$B$2,
  IF(E11="",
    "",
    SUM(1/(1+POWER(10,-(E10-_xlpm.elos)/_xlpm.diffscale)))-0.5)
)</f>
        <v>1.9673522020014831</v>
      </c>
      <c r="F12" cm="1">
        <f t="array" ref="F12">_xlfn.LET(
  _xlpm.colj, _xlfn._xlws.FILTER(IF(ISNUMBER(11:11), COLUMN(11:11)), ISNUMBER(11:11)),
  _xlpm.elos, INDEX(10:10,1,_xlpm.colj),
  _xlpm.diffscale, Constantes!$B$2,
  IF(F11="",
    "",
    SUM(1/(1+POWER(10,-(F10-_xlpm.elos)/_xlpm.diffscale)))-0.5)
)</f>
        <v>0.80958101435514296</v>
      </c>
      <c r="G12" cm="1">
        <f t="array" ref="G12">_xlfn.LET(
  _xlpm.colj, _xlfn._xlws.FILTER(IF(ISNUMBER(11:11), COLUMN(11:11)), ISNUMBER(11:11)),
  _xlpm.elos, INDEX(10:10,1,_xlpm.colj),
  _xlpm.diffscale, Constantes!$B$2,
  IF(G11="",
    "",
    SUM(1/(1+POWER(10,-(G10-_xlpm.elos)/_xlpm.diffscale)))-0.5)
)</f>
        <v>1.5296813026737759</v>
      </c>
      <c r="H12" cm="1">
        <f t="array" ref="H12">_xlfn.LET(
  _xlpm.colj, _xlfn._xlws.FILTER(IF(ISNUMBER(11:11), COLUMN(11:11)), ISNUMBER(11:11)),
  _xlpm.elos, INDEX(10:10,1,_xlpm.colj),
  _xlpm.diffscale, Constantes!$B$2,
  IF(H11="",
    "",
    SUM(1/(1+POWER(10,-(H10-_xlpm.elos)/_xlpm.diffscale)))-0.5)
)</f>
        <v>1.6933854809695985</v>
      </c>
      <c r="I12" t="str" cm="1">
        <f t="array" ref="I12">_xlfn.LET(
  _xlpm.colj, _xlfn._xlws.FILTER(IF(ISNUMBER(11:11), COLUMN(11:11)), ISNUMBER(11:11)),
  _xlpm.elos, INDEX(10:10,1,_xlpm.colj),
  _xlpm.diffscale, Constantes!$B$2,
  IF(I11="",
    "",
    SUM(1/(1+POWER(10,-(I10-_xlpm.elos)/_xlpm.diffscale)))-0.5)
)</f>
        <v/>
      </c>
      <c r="J12" t="str" cm="1">
        <f t="array" ref="J12">_xlfn.LET(
  _xlpm.colj, _xlfn._xlws.FILTER(IF(ISNUMBER(11:11), COLUMN(11:11)), ISNUMBER(11:11)),
  _xlpm.elos, INDEX(10:10,1,_xlpm.colj),
  _xlpm.diffscale, Constantes!$B$2,
  IF(J11="",
    "",
    SUM(1/(1+POWER(10,-(J10-_xlpm.elos)/_xlpm.diffscale)))-0.5)
)</f>
        <v/>
      </c>
      <c r="K12" t="str" cm="1">
        <f t="array" ref="K12">_xlfn.LET(
  _xlpm.colj, _xlfn._xlws.FILTER(IF(ISNUMBER(11:11), COLUMN(11:11)), ISNUMBER(11:11)),
  _xlpm.elos, INDEX(10:10,1,_xlpm.colj),
  _xlpm.diffscale, Constantes!$B$2,
  IF(K11="",
    "",
    SUM(1/(1+POWER(10,-(K10-_xlpm.elos)/_xlpm.diffscale)))-0.5)
)</f>
        <v/>
      </c>
      <c r="L12" t="str" cm="1">
        <f t="array" ref="L12">_xlfn.LET(
  _xlpm.colj, _xlfn._xlws.FILTER(IF(ISNUMBER(11:11), COLUMN(11:11)), ISNUMBER(11:11)),
  _xlpm.elos, INDEX(10:10,1,_xlpm.colj),
  _xlpm.diffscale, Constantes!$B$2,
  IF(L11="",
    "",
    SUM(1/(1+POWER(10,-(L10-_xlpm.elos)/_xlpm.diffscale)))-0.5)
)</f>
        <v/>
      </c>
      <c r="M12" t="str" cm="1">
        <f t="array" ref="M12">_xlfn.LET(
  _xlpm.colj, _xlfn._xlws.FILTER(IF(ISNUMBER(11:11), COLUMN(11:11)), ISNUMBER(11:11)),
  _xlpm.elos, INDEX(10:10,1,_xlpm.colj),
  _xlpm.diffscale, Constantes!$B$2,
  IF(M11="",
    "",
    SUM(1/(1+POWER(10,-(M10-_xlpm.elos)/_xlpm.diffscale)))-0.5)
)</f>
        <v/>
      </c>
      <c r="N12" t="str" cm="1">
        <f t="array" ref="N12">_xlfn.LET(
  _xlpm.colj, _xlfn._xlws.FILTER(IF(ISNUMBER(11:11), COLUMN(11:11)), ISNUMBER(11:11)),
  _xlpm.elos, INDEX(10:10,1,_xlpm.colj),
  _xlpm.diffscale, Constantes!$B$2,
  IF(N11="",
    "",
    SUM(1/(1+POWER(10,-(N10-_xlpm.elos)/_xlpm.diffscale)))-0.5)
)</f>
        <v/>
      </c>
      <c r="O12" t="str" cm="1">
        <f t="array" ref="O12">_xlfn.LET(
  _xlpm.colj, _xlfn._xlws.FILTER(IF(ISNUMBER(11:11), COLUMN(11:11)), ISNUMBER(11:11)),
  _xlpm.elos, INDEX(10:10,1,_xlpm.colj),
  _xlpm.diffscale, Constantes!$B$2,
  IF(O11="",
    "",
    SUM(1/(1+POWER(10,-(O10-_xlpm.elos)/_xlpm.diffscale)))-0.5)
)</f>
        <v/>
      </c>
      <c r="P12" t="str" cm="1">
        <f t="array" ref="P12">_xlfn.LET(
  _xlpm.colj, _xlfn._xlws.FILTER(IF(ISNUMBER(11:11), COLUMN(11:11)), ISNUMBER(11:11)),
  _xlpm.elos, INDEX(10:10,1,_xlpm.colj),
  _xlpm.diffscale, Constantes!$B$2,
  IF(P11="",
    "",
    SUM(1/(1+POWER(10,-(P10-_xlpm.elos)/_xlpm.diffscale)))-0.5)
)</f>
        <v/>
      </c>
      <c r="Q12" t="str" cm="1">
        <f t="array" ref="Q12">_xlfn.LET(
  _xlpm.colj, _xlfn._xlws.FILTER(IF(ISNUMBER(11:11), COLUMN(11:11)), ISNUMBER(11:11)),
  _xlpm.elos, INDEX(10:10,1,_xlpm.colj),
  _xlpm.diffscale, Constantes!$B$2,
  IF(Q11="",
    "",
    SUM(1/(1+POWER(10,-(Q10-_xlpm.elos)/_xlpm.diffscale)))-0.5)
)</f>
        <v/>
      </c>
      <c r="R12" t="str" cm="1">
        <f t="array" ref="R12">_xlfn.LET(
  _xlpm.colj, _xlfn._xlws.FILTER(IF(ISNUMBER(11:11), COLUMN(11:11)), ISNUMBER(11:11)),
  _xlpm.elos, INDEX(10:10,1,_xlpm.colj),
  _xlpm.diffscale, Constantes!$B$2,
  IF(R11="",
    "",
    SUM(1/(1+POWER(10,-(R10-_xlpm.elos)/_xlpm.diffscale)))-0.5)
)</f>
        <v/>
      </c>
      <c r="S12" t="str" cm="1">
        <f t="array" ref="S12">_xlfn.LET(
  _xlpm.colj, _xlfn._xlws.FILTER(IF(ISNUMBER(11:11), COLUMN(11:11)), ISNUMBER(11:11)),
  _xlpm.elos, INDEX(10:10,1,_xlpm.colj),
  _xlpm.diffscale, Constantes!$B$2,
  IF(S11="",
    "",
    SUM(1/(1+POWER(10,-(S10-_xlpm.elos)/_xlpm.diffscale)))-0.5)
)</f>
        <v/>
      </c>
      <c r="T12" t="str" cm="1">
        <f t="array" ref="T12">_xlfn.LET(
  _xlpm.colj, _xlfn._xlws.FILTER(IF(ISNUMBER(11:11), COLUMN(11:11)), ISNUMBER(11:11)),
  _xlpm.elos, INDEX(10:10,1,_xlpm.colj),
  _xlpm.diffscale, Constantes!$B$2,
  IF(T11="",
    "",
    SUM(1/(1+POWER(10,-(T10-_xlpm.elos)/_xlpm.diffscale)))-0.5)
)</f>
        <v/>
      </c>
      <c r="U12" t="str" cm="1">
        <f t="array" ref="U12">_xlfn.LET(
  _xlpm.colj, _xlfn._xlws.FILTER(IF(ISNUMBER(11:11), COLUMN(11:11)), ISNUMBER(11:11)),
  _xlpm.elos, INDEX(10:10,1,_xlpm.colj),
  _xlpm.diffscale, Constantes!$B$2,
  IF(U11="",
    "",
    SUM(1/(1+POWER(10,-(U10-_xlpm.elos)/_xlpm.diffscale)))-0.5)
)</f>
        <v/>
      </c>
      <c r="V12" t="str" cm="1">
        <f t="array" ref="V12">_xlfn.LET(
  _xlpm.colj, _xlfn._xlws.FILTER(IF(ISNUMBER(11:11), COLUMN(11:11)), ISNUMBER(11:11)),
  _xlpm.elos, INDEX(10:10,1,_xlpm.colj),
  _xlpm.diffscale, Constantes!$B$2,
  IF(V11="",
    "",
    SUM(1/(1+POWER(10,-(V10-_xlpm.elos)/_xlpm.diffscale)))-0.5)
)</f>
        <v/>
      </c>
      <c r="W12" t="str" cm="1">
        <f t="array" ref="W12">_xlfn.LET(
  _xlpm.colj, _xlfn._xlws.FILTER(IF(ISNUMBER(11:11), COLUMN(11:11)), ISNUMBER(11:11)),
  _xlpm.elos, INDEX(10:10,1,_xlpm.colj),
  _xlpm.diffscale, Constantes!$B$2,
  IF(W11="",
    "",
    SUM(1/(1+POWER(10,-(W10-_xlpm.elos)/_xlpm.diffscale)))-0.5)
)</f>
        <v/>
      </c>
      <c r="X12" t="str" cm="1">
        <f t="array" ref="X12">_xlfn.LET(
  _xlpm.colj, _xlfn._xlws.FILTER(IF(ISNUMBER(11:11), COLUMN(11:11)), ISNUMBER(11:11)),
  _xlpm.elos, INDEX(10:10,1,_xlpm.colj),
  _xlpm.diffscale, Constantes!$B$2,
  IF(X11="",
    "",
    SUM(1/(1+POWER(10,-(X10-_xlpm.elos)/_xlpm.diffscale)))-0.5)
)</f>
        <v/>
      </c>
      <c r="Y12" t="str" cm="1">
        <f t="array" ref="Y12">_xlfn.LET(
  _xlpm.colj, _xlfn._xlws.FILTER(IF(ISNUMBER(11:11), COLUMN(11:11)), ISNUMBER(11:11)),
  _xlpm.elos, INDEX(10:10,1,_xlpm.colj),
  _xlpm.diffscale, Constantes!$B$2,
  IF(Y11="",
    "",
    SUM(1/(1+POWER(10,-(Y10-_xlpm.elos)/_xlpm.diffscale)))-0.5)
)</f>
        <v/>
      </c>
      <c r="Z12" t="str" cm="1">
        <f t="array" ref="Z12">_xlfn.LET(
  _xlpm.colj, _xlfn._xlws.FILTER(IF(ISNUMBER(11:11), COLUMN(11:11)), ISNUMBER(11:11)),
  _xlpm.elos, INDEX(10:10,1,_xlpm.colj),
  _xlpm.diffscale, Constantes!$B$2,
  IF(Z11="",
    "",
    SUM(1/(1+POWER(10,-(Z10-_xlpm.elos)/_xlpm.diffscale)))-0.5)
)</f>
        <v/>
      </c>
      <c r="AA12" t="str" cm="1">
        <f t="array" ref="AA12">_xlfn.LET(
  _xlpm.colj, _xlfn._xlws.FILTER(IF(ISNUMBER(11:11), COLUMN(11:11)), ISNUMBER(11:11)),
  _xlpm.elos, INDEX(10:10,1,_xlpm.colj),
  _xlpm.diffscale, Constantes!$B$2,
  IF(AA11="",
    "",
    SUM(1/(1+POWER(10,-(AA10-_xlpm.elos)/_xlpm.diffscale)))-0.5)
)</f>
        <v/>
      </c>
      <c r="AB12" t="str" cm="1">
        <f t="array" ref="AB12">_xlfn.LET(
  _xlpm.colj, _xlfn._xlws.FILTER(IF(ISNUMBER(11:11), COLUMN(11:11)), ISNUMBER(11:11)),
  _xlpm.elos, INDEX(10:10,1,_xlpm.colj),
  _xlpm.diffscale, Constantes!$B$2,
  IF(AB11="",
    "",
    SUM(1/(1+POWER(10,-(AB10-_xlpm.elos)/_xlpm.diffscale)))-0.5)
)</f>
        <v/>
      </c>
      <c r="AC12" t="str" cm="1">
        <f t="array" ref="AC12">_xlfn.LET(
  _xlpm.colj, _xlfn._xlws.FILTER(IF(ISNUMBER(11:11), COLUMN(11:11)), ISNUMBER(11:11)),
  _xlpm.elos, INDEX(10:10,1,_xlpm.colj),
  _xlpm.diffscale, Constantes!$B$2,
  IF(AC11="",
    "",
    SUM(1/(1+POWER(10,-(AC10-_xlpm.elos)/_xlpm.diffscale)))-0.5)
)</f>
        <v/>
      </c>
      <c r="AD12" t="str" cm="1">
        <f t="array" ref="AD12">_xlfn.LET(
  _xlpm.colj, _xlfn._xlws.FILTER(IF(ISNUMBER(11:11), COLUMN(11:11)), ISNUMBER(11:11)),
  _xlpm.elos, INDEX(10:10,1,_xlpm.colj),
  _xlpm.diffscale, Constantes!$B$2,
  IF(AD11="",
    "",
    SUM(1/(1+POWER(10,-(AD10-_xlpm.elos)/_xlpm.diffscale)))-0.5)
)</f>
        <v/>
      </c>
      <c r="AE12" t="str" cm="1">
        <f t="array" ref="AE12">_xlfn.LET(
  _xlpm.colj, _xlfn._xlws.FILTER(IF(ISNUMBER(11:11), COLUMN(11:11)), ISNUMBER(11:11)),
  _xlpm.elos, INDEX(10:10,1,_xlpm.colj),
  _xlpm.diffscale, Constantes!$B$2,
  IF(AE11="",
    "",
    SUM(1/(1+POWER(10,-(AE10-_xlpm.elos)/_xlpm.diffscale)))-0.5)
)</f>
        <v/>
      </c>
      <c r="AF12" t="str" cm="1">
        <f t="array" ref="AF12">_xlfn.LET(
  _xlpm.colj, _xlfn._xlws.FILTER(IF(ISNUMBER(11:11), COLUMN(11:11)), ISNUMBER(11:11)),
  _xlpm.elos, INDEX(10:10,1,_xlpm.colj),
  _xlpm.diffscale, Constantes!$B$2,
  IF(AF11="",
    "",
    SUM(1/(1+POWER(10,-(AF10-_xlpm.elos)/_xlpm.diffscale)))-0.5)
)</f>
        <v/>
      </c>
      <c r="AG12" t="str" cm="1">
        <f t="array" ref="AG12">_xlfn.LET(
  _xlpm.colj, _xlfn._xlws.FILTER(IF(ISNUMBER(11:11), COLUMN(11:11)), ISNUMBER(11:11)),
  _xlpm.elos, INDEX(10:10,1,_xlpm.colj),
  _xlpm.diffscale, Constantes!$B$2,
  IF(AG11="",
    "",
    SUM(1/(1+POWER(10,-(AG10-_xlpm.elos)/_xlpm.diffscale)))-0.5)
)</f>
        <v/>
      </c>
      <c r="AH12" t="str" cm="1">
        <f t="array" ref="AH12">_xlfn.LET(
  _xlpm.colj, _xlfn._xlws.FILTER(IF(ISNUMBER(11:11), COLUMN(11:11)), ISNUMBER(11:11)),
  _xlpm.elos, INDEX(10:10,1,_xlpm.colj),
  _xlpm.diffscale, Constantes!$B$2,
  IF(AH11="",
    "",
    SUM(1/(1+POWER(10,-(AH10-_xlpm.elos)/_xlpm.diffscale)))-0.5)
)</f>
        <v/>
      </c>
      <c r="AI12" t="str" cm="1">
        <f t="array" ref="AI12">_xlfn.LET(
  _xlpm.colj, _xlfn._xlws.FILTER(IF(ISNUMBER(11:11), COLUMN(11:11)), ISNUMBER(11:11)),
  _xlpm.elos, INDEX(10:10,1,_xlpm.colj),
  _xlpm.diffscale, Constantes!$B$2,
  IF(AI11="",
    "",
    SUM(1/(1+POWER(10,-(AI10-_xlpm.elos)/_xlpm.diffscale)))-0.5)
)</f>
        <v/>
      </c>
      <c r="AJ12" t="str" cm="1">
        <f t="array" ref="AJ12">_xlfn.LET(
  _xlpm.colj, _xlfn._xlws.FILTER(IF(ISNUMBER(11:11), COLUMN(11:11)), ISNUMBER(11:11)),
  _xlpm.elos, INDEX(10:10,1,_xlpm.colj),
  _xlpm.diffscale, Constantes!$B$2,
  IF(AJ11="",
    "",
    SUM(1/(1+POWER(10,-(AJ10-_xlpm.elos)/_xlpm.diffscale)))-0.5)
)</f>
        <v/>
      </c>
      <c r="AK12" t="str" cm="1">
        <f t="array" ref="AK12">_xlfn.LET(
  _xlpm.colj, _xlfn._xlws.FILTER(IF(ISNUMBER(11:11), COLUMN(11:11)), ISNUMBER(11:11)),
  _xlpm.elos, INDEX(10:10,1,_xlpm.colj),
  _xlpm.diffscale, Constantes!$B$2,
  IF(AK11="",
    "",
    SUM(1/(1+POWER(10,-(AK10-_xlpm.elos)/_xlpm.diffscale)))-0.5)
)</f>
        <v/>
      </c>
      <c r="AL12" t="str" cm="1">
        <f t="array" ref="AL12">_xlfn.LET(
  _xlpm.colj, _xlfn._xlws.FILTER(IF(ISNUMBER(11:11), COLUMN(11:11)), ISNUMBER(11:11)),
  _xlpm.elos, INDEX(10:10,1,_xlpm.colj),
  _xlpm.diffscale, Constantes!$B$2,
  IF(AL11="",
    "",
    SUM(1/(1+POWER(10,-(AL10-_xlpm.elos)/_xlpm.diffscale)))-0.5)
)</f>
        <v/>
      </c>
      <c r="AM12" t="str" cm="1">
        <f t="array" ref="AM12">_xlfn.LET(
  _xlpm.colj, _xlfn._xlws.FILTER(IF(ISNUMBER(11:11), COLUMN(11:11)), ISNUMBER(11:11)),
  _xlpm.elos, INDEX(10:10,1,_xlpm.colj),
  _xlpm.diffscale, Constantes!$B$2,
  IF(AM11="",
    "",
    SUM(1/(1+POWER(10,-(AM10-_xlpm.elos)/_xlpm.diffscale)))-0.5)
)</f>
        <v/>
      </c>
    </row>
    <row r="13" spans="1:39" x14ac:dyDescent="0.25">
      <c r="A13" t="s">
        <v>22</v>
      </c>
      <c r="D13" t="str" cm="1">
        <f t="array" ref="D13">_xlfn.LET(
  _xlpm.K, Constantes!$B$3,
  _xlpm.Knewgain, Constantes!$B$4,
  _xlpm.Knewscale, Constantes!$B$5,
  _xlpm.ptstables, INDEX(D:D, _xlfn.SEQUENCE(COUNTA($C$2:$C13), 1, 3, 4)),
  _xlpm.nbparties, COUNTA(_xlfn._xlws.FILTER(_xlpm.ptstables, _xlpm.ptstables &lt;&gt; "")),
  _xlpm.coef, _xlpm.K + _xlpm.Knewgain / (_xlpm.Knewscale + _xlpm.nbparties),
  IF(D11="",
    "",
    _xlpm.coef * (D11-D12))
)</f>
        <v/>
      </c>
      <c r="E13" cm="1">
        <f t="array" ref="E13">_xlfn.LET(
  _xlpm.K, Constantes!$B$3,
  _xlpm.Knewgain, Constantes!$B$4,
  _xlpm.Knewscale, Constantes!$B$5,
  _xlpm.ptstables, INDEX(E:E, _xlfn.SEQUENCE(COUNTA($C$2:$C13), 1, 3, 4)),
  _xlpm.nbparties, COUNTA(_xlfn._xlws.FILTER(_xlpm.ptstables, _xlpm.ptstables &lt;&gt; "")),
  _xlpm.coef, _xlpm.K + _xlpm.Knewgain / (_xlpm.Knewscale + _xlpm.nbparties),
  IF(E11="",
    "",
    _xlpm.coef * (E11-E12))
)</f>
        <v>1.0610534349517997</v>
      </c>
      <c r="F13" cm="1">
        <f t="array" ref="F13">_xlfn.LET(
  _xlpm.K, Constantes!$B$3,
  _xlpm.Knewgain, Constantes!$B$4,
  _xlpm.Knewscale, Constantes!$B$5,
  _xlpm.ptstables, INDEX(F:F, _xlfn.SEQUENCE(COUNTA($C$2:$C13), 1, 3, 4)),
  _xlpm.nbparties, COUNTA(_xlfn._xlws.FILTER(_xlpm.ptstables, _xlpm.ptstables &lt;&gt; "")),
  _xlpm.coef, _xlpm.K + _xlpm.Knewgain / (_xlpm.Knewscale + _xlpm.nbparties),
  IF(F11="",
    "",
    _xlpm.coef * (F11-F12))
)</f>
        <v>-26.311382966542148</v>
      </c>
      <c r="G13" cm="1">
        <f t="array" ref="G13">_xlfn.LET(
  _xlpm.K, Constantes!$B$3,
  _xlpm.Knewgain, Constantes!$B$4,
  _xlpm.Knewscale, Constantes!$B$5,
  _xlpm.ptstables, INDEX(G:G, _xlfn.SEQUENCE(COUNTA($C$2:$C13), 1, 3, 4)),
  _xlpm.nbparties, COUNTA(_xlfn._xlws.FILTER(_xlpm.ptstables, _xlpm.ptstables &lt;&gt; "")),
  _xlpm.coef, _xlpm.K + _xlpm.Knewgain / (_xlpm.Knewscale + _xlpm.nbparties),
  IF(G11="",
    "",
    _xlpm.coef * (G11-G12))
)</f>
        <v>47.785357663102282</v>
      </c>
      <c r="H13" cm="1">
        <f t="array" ref="H13">_xlfn.LET(
  _xlpm.K, Constantes!$B$3,
  _xlpm.Knewgain, Constantes!$B$4,
  _xlpm.Knewscale, Constantes!$B$5,
  _xlpm.ptstables, INDEX(H:H, _xlfn.SEQUENCE(COUNTA($C$2:$C13), 1, 3, 4)),
  _xlpm.nbparties, COUNTA(_xlfn._xlws.FILTER(_xlpm.ptstables, _xlpm.ptstables &lt;&gt; "")),
  _xlpm.coef, _xlpm.K + _xlpm.Knewgain / (_xlpm.Knewscale + _xlpm.nbparties),
  IF(H11="",
    "",
    _xlpm.coef * (H11-H12))
)</f>
        <v>-31.202346643631934</v>
      </c>
      <c r="I13" t="str" cm="1">
        <f t="array" ref="I13">_xlfn.LET(
  _xlpm.K, Constantes!$B$3,
  _xlpm.Knewgain, Constantes!$B$4,
  _xlpm.Knewscale, Constantes!$B$5,
  _xlpm.ptstables, INDEX(I:I, _xlfn.SEQUENCE(COUNTA($C$2:$C13), 1, 3, 4)),
  _xlpm.nbparties, COUNTA(_xlfn._xlws.FILTER(_xlpm.ptstables, _xlpm.ptstables &lt;&gt; "")),
  _xlpm.coef, _xlpm.K + _xlpm.Knewgain / (_xlpm.Knewscale + _xlpm.nbparties),
  IF(I11="",
    "",
    _xlpm.coef * (I11-I12))
)</f>
        <v/>
      </c>
      <c r="J13" t="str" cm="1">
        <f t="array" ref="J13">_xlfn.LET(
  _xlpm.K, Constantes!$B$3,
  _xlpm.Knewgain, Constantes!$B$4,
  _xlpm.Knewscale, Constantes!$B$5,
  _xlpm.ptstables, INDEX(J:J, _xlfn.SEQUENCE(COUNTA($C$2:$C13), 1, 3, 4)),
  _xlpm.nbparties, COUNTA(_xlfn._xlws.FILTER(_xlpm.ptstables, _xlpm.ptstables &lt;&gt; "")),
  _xlpm.coef, _xlpm.K + _xlpm.Knewgain / (_xlpm.Knewscale + _xlpm.nbparties),
  IF(J11="",
    "",
    _xlpm.coef * (J11-J12))
)</f>
        <v/>
      </c>
      <c r="K13" t="str" cm="1">
        <f t="array" ref="K13">_xlfn.LET(
  _xlpm.K, Constantes!$B$3,
  _xlpm.Knewgain, Constantes!$B$4,
  _xlpm.Knewscale, Constantes!$B$5,
  _xlpm.ptstables, INDEX(K:K, _xlfn.SEQUENCE(COUNTA($C$2:$C13), 1, 3, 4)),
  _xlpm.nbparties, COUNTA(_xlfn._xlws.FILTER(_xlpm.ptstables, _xlpm.ptstables &lt;&gt; "")),
  _xlpm.coef, _xlpm.K + _xlpm.Knewgain / (_xlpm.Knewscale + _xlpm.nbparties),
  IF(K11="",
    "",
    _xlpm.coef * (K11-K12))
)</f>
        <v/>
      </c>
      <c r="L13" t="str" cm="1">
        <f t="array" ref="L13">_xlfn.LET(
  _xlpm.K, Constantes!$B$3,
  _xlpm.Knewgain, Constantes!$B$4,
  _xlpm.Knewscale, Constantes!$B$5,
  _xlpm.ptstables, INDEX(L:L, _xlfn.SEQUENCE(COUNTA($C$2:$C13), 1, 3, 4)),
  _xlpm.nbparties, COUNTA(_xlfn._xlws.FILTER(_xlpm.ptstables, _xlpm.ptstables &lt;&gt; "")),
  _xlpm.coef, _xlpm.K + _xlpm.Knewgain / (_xlpm.Knewscale + _xlpm.nbparties),
  IF(L11="",
    "",
    _xlpm.coef * (L11-L12))
)</f>
        <v/>
      </c>
      <c r="M13" t="str" cm="1">
        <f t="array" ref="M13">_xlfn.LET(
  _xlpm.K, Constantes!$B$3,
  _xlpm.Knewgain, Constantes!$B$4,
  _xlpm.Knewscale, Constantes!$B$5,
  _xlpm.ptstables, INDEX(M:M, _xlfn.SEQUENCE(COUNTA($C$2:$C13), 1, 3, 4)),
  _xlpm.nbparties, COUNTA(_xlfn._xlws.FILTER(_xlpm.ptstables, _xlpm.ptstables &lt;&gt; "")),
  _xlpm.coef, _xlpm.K + _xlpm.Knewgain / (_xlpm.Knewscale + _xlpm.nbparties),
  IF(M11="",
    "",
    _xlpm.coef * (M11-M12))
)</f>
        <v/>
      </c>
      <c r="N13" t="str" cm="1">
        <f t="array" ref="N13">_xlfn.LET(
  _xlpm.K, Constantes!$B$3,
  _xlpm.Knewgain, Constantes!$B$4,
  _xlpm.Knewscale, Constantes!$B$5,
  _xlpm.ptstables, INDEX(N:N, _xlfn.SEQUENCE(COUNTA($C$2:$C13), 1, 3, 4)),
  _xlpm.nbparties, COUNTA(_xlfn._xlws.FILTER(_xlpm.ptstables, _xlpm.ptstables &lt;&gt; "")),
  _xlpm.coef, _xlpm.K + _xlpm.Knewgain / (_xlpm.Knewscale + _xlpm.nbparties),
  IF(N11="",
    "",
    _xlpm.coef * (N11-N12))
)</f>
        <v/>
      </c>
      <c r="O13" t="str" cm="1">
        <f t="array" ref="O13">_xlfn.LET(
  _xlpm.K, Constantes!$B$3,
  _xlpm.Knewgain, Constantes!$B$4,
  _xlpm.Knewscale, Constantes!$B$5,
  _xlpm.ptstables, INDEX(O:O, _xlfn.SEQUENCE(COUNTA($C$2:$C13), 1, 3, 4)),
  _xlpm.nbparties, COUNTA(_xlfn._xlws.FILTER(_xlpm.ptstables, _xlpm.ptstables &lt;&gt; "")),
  _xlpm.coef, _xlpm.K + _xlpm.Knewgain / (_xlpm.Knewscale + _xlpm.nbparties),
  IF(O11="",
    "",
    _xlpm.coef * (O11-O12))
)</f>
        <v/>
      </c>
      <c r="P13" t="str" cm="1">
        <f t="array" ref="P13">_xlfn.LET(
  _xlpm.K, Constantes!$B$3,
  _xlpm.Knewgain, Constantes!$B$4,
  _xlpm.Knewscale, Constantes!$B$5,
  _xlpm.ptstables, INDEX(P:P, _xlfn.SEQUENCE(COUNTA($C$2:$C13), 1, 3, 4)),
  _xlpm.nbparties, COUNTA(_xlfn._xlws.FILTER(_xlpm.ptstables, _xlpm.ptstables &lt;&gt; "")),
  _xlpm.coef, _xlpm.K + _xlpm.Knewgain / (_xlpm.Knewscale + _xlpm.nbparties),
  IF(P11="",
    "",
    _xlpm.coef * (P11-P12))
)</f>
        <v/>
      </c>
      <c r="Q13" t="str" cm="1">
        <f t="array" ref="Q13">_xlfn.LET(
  _xlpm.K, Constantes!$B$3,
  _xlpm.Knewgain, Constantes!$B$4,
  _xlpm.Knewscale, Constantes!$B$5,
  _xlpm.ptstables, INDEX(Q:Q, _xlfn.SEQUENCE(COUNTA($C$2:$C13), 1, 3, 4)),
  _xlpm.nbparties, COUNTA(_xlfn._xlws.FILTER(_xlpm.ptstables, _xlpm.ptstables &lt;&gt; "")),
  _xlpm.coef, _xlpm.K + _xlpm.Knewgain / (_xlpm.Knewscale + _xlpm.nbparties),
  IF(Q11="",
    "",
    _xlpm.coef * (Q11-Q12))
)</f>
        <v/>
      </c>
      <c r="R13" t="str" cm="1">
        <f t="array" ref="R13">_xlfn.LET(
  _xlpm.K, Constantes!$B$3,
  _xlpm.Knewgain, Constantes!$B$4,
  _xlpm.Knewscale, Constantes!$B$5,
  _xlpm.ptstables, INDEX(R:R, _xlfn.SEQUENCE(COUNTA($C$2:$C13), 1, 3, 4)),
  _xlpm.nbparties, COUNTA(_xlfn._xlws.FILTER(_xlpm.ptstables, _xlpm.ptstables &lt;&gt; "")),
  _xlpm.coef, _xlpm.K + _xlpm.Knewgain / (_xlpm.Knewscale + _xlpm.nbparties),
  IF(R11="",
    "",
    _xlpm.coef * (R11-R12))
)</f>
        <v/>
      </c>
      <c r="S13" t="str" cm="1">
        <f t="array" ref="S13">_xlfn.LET(
  _xlpm.K, Constantes!$B$3,
  _xlpm.Knewgain, Constantes!$B$4,
  _xlpm.Knewscale, Constantes!$B$5,
  _xlpm.ptstables, INDEX(S:S, _xlfn.SEQUENCE(COUNTA($C$2:$C13), 1, 3, 4)),
  _xlpm.nbparties, COUNTA(_xlfn._xlws.FILTER(_xlpm.ptstables, _xlpm.ptstables &lt;&gt; "")),
  _xlpm.coef, _xlpm.K + _xlpm.Knewgain / (_xlpm.Knewscale + _xlpm.nbparties),
  IF(S11="",
    "",
    _xlpm.coef * (S11-S12))
)</f>
        <v/>
      </c>
      <c r="T13" t="str" cm="1">
        <f t="array" ref="T13">_xlfn.LET(
  _xlpm.K, Constantes!$B$3,
  _xlpm.Knewgain, Constantes!$B$4,
  _xlpm.Knewscale, Constantes!$B$5,
  _xlpm.ptstables, INDEX(T:T, _xlfn.SEQUENCE(COUNTA($C$2:$C13), 1, 3, 4)),
  _xlpm.nbparties, COUNTA(_xlfn._xlws.FILTER(_xlpm.ptstables, _xlpm.ptstables &lt;&gt; "")),
  _xlpm.coef, _xlpm.K + _xlpm.Knewgain / (_xlpm.Knewscale + _xlpm.nbparties),
  IF(T11="",
    "",
    _xlpm.coef * (T11-T12))
)</f>
        <v/>
      </c>
      <c r="U13" t="str" cm="1">
        <f t="array" ref="U13">_xlfn.LET(
  _xlpm.K, Constantes!$B$3,
  _xlpm.Knewgain, Constantes!$B$4,
  _xlpm.Knewscale, Constantes!$B$5,
  _xlpm.ptstables, INDEX(U:U, _xlfn.SEQUENCE(COUNTA($C$2:$C13), 1, 3, 4)),
  _xlpm.nbparties, COUNTA(_xlfn._xlws.FILTER(_xlpm.ptstables, _xlpm.ptstables &lt;&gt; "")),
  _xlpm.coef, _xlpm.K + _xlpm.Knewgain / (_xlpm.Knewscale + _xlpm.nbparties),
  IF(U11="",
    "",
    _xlpm.coef * (U11-U12))
)</f>
        <v/>
      </c>
      <c r="V13" t="str" cm="1">
        <f t="array" ref="V13">_xlfn.LET(
  _xlpm.K, Constantes!$B$3,
  _xlpm.Knewgain, Constantes!$B$4,
  _xlpm.Knewscale, Constantes!$B$5,
  _xlpm.ptstables, INDEX(V:V, _xlfn.SEQUENCE(COUNTA($C$2:$C13), 1, 3, 4)),
  _xlpm.nbparties, COUNTA(_xlfn._xlws.FILTER(_xlpm.ptstables, _xlpm.ptstables &lt;&gt; "")),
  _xlpm.coef, _xlpm.K + _xlpm.Knewgain / (_xlpm.Knewscale + _xlpm.nbparties),
  IF(V11="",
    "",
    _xlpm.coef * (V11-V12))
)</f>
        <v/>
      </c>
      <c r="W13" t="str" cm="1">
        <f t="array" ref="W13">_xlfn.LET(
  _xlpm.K, Constantes!$B$3,
  _xlpm.Knewgain, Constantes!$B$4,
  _xlpm.Knewscale, Constantes!$B$5,
  _xlpm.ptstables, INDEX(W:W, _xlfn.SEQUENCE(COUNTA($C$2:$C13), 1, 3, 4)),
  _xlpm.nbparties, COUNTA(_xlfn._xlws.FILTER(_xlpm.ptstables, _xlpm.ptstables &lt;&gt; "")),
  _xlpm.coef, _xlpm.K + _xlpm.Knewgain / (_xlpm.Knewscale + _xlpm.nbparties),
  IF(W11="",
    "",
    _xlpm.coef * (W11-W12))
)</f>
        <v/>
      </c>
      <c r="X13" t="str" cm="1">
        <f t="array" ref="X13">_xlfn.LET(
  _xlpm.K, Constantes!$B$3,
  _xlpm.Knewgain, Constantes!$B$4,
  _xlpm.Knewscale, Constantes!$B$5,
  _xlpm.ptstables, INDEX(X:X, _xlfn.SEQUENCE(COUNTA($C$2:$C13), 1, 3, 4)),
  _xlpm.nbparties, COUNTA(_xlfn._xlws.FILTER(_xlpm.ptstables, _xlpm.ptstables &lt;&gt; "")),
  _xlpm.coef, _xlpm.K + _xlpm.Knewgain / (_xlpm.Knewscale + _xlpm.nbparties),
  IF(X11="",
    "",
    _xlpm.coef * (X11-X12))
)</f>
        <v/>
      </c>
      <c r="Y13" t="str" cm="1">
        <f t="array" ref="Y13">_xlfn.LET(
  _xlpm.K, Constantes!$B$3,
  _xlpm.Knewgain, Constantes!$B$4,
  _xlpm.Knewscale, Constantes!$B$5,
  _xlpm.ptstables, INDEX(Y:Y, _xlfn.SEQUENCE(COUNTA($C$2:$C13), 1, 3, 4)),
  _xlpm.nbparties, COUNTA(_xlfn._xlws.FILTER(_xlpm.ptstables, _xlpm.ptstables &lt;&gt; "")),
  _xlpm.coef, _xlpm.K + _xlpm.Knewgain / (_xlpm.Knewscale + _xlpm.nbparties),
  IF(Y11="",
    "",
    _xlpm.coef * (Y11-Y12))
)</f>
        <v/>
      </c>
      <c r="Z13" t="str" cm="1">
        <f t="array" ref="Z13">_xlfn.LET(
  _xlpm.K, Constantes!$B$3,
  _xlpm.Knewgain, Constantes!$B$4,
  _xlpm.Knewscale, Constantes!$B$5,
  _xlpm.ptstables, INDEX(Z:Z, _xlfn.SEQUENCE(COUNTA($C$2:$C13), 1, 3, 4)),
  _xlpm.nbparties, COUNTA(_xlfn._xlws.FILTER(_xlpm.ptstables, _xlpm.ptstables &lt;&gt; "")),
  _xlpm.coef, _xlpm.K + _xlpm.Knewgain / (_xlpm.Knewscale + _xlpm.nbparties),
  IF(Z11="",
    "",
    _xlpm.coef * (Z11-Z12))
)</f>
        <v/>
      </c>
      <c r="AA13" t="str" cm="1">
        <f t="array" ref="AA13">_xlfn.LET(
  _xlpm.K, Constantes!$B$3,
  _xlpm.Knewgain, Constantes!$B$4,
  _xlpm.Knewscale, Constantes!$B$5,
  _xlpm.ptstables, INDEX(AA:AA, _xlfn.SEQUENCE(COUNTA($C$2:$C13), 1, 3, 4)),
  _xlpm.nbparties, COUNTA(_xlfn._xlws.FILTER(_xlpm.ptstables, _xlpm.ptstables &lt;&gt; "")),
  _xlpm.coef, _xlpm.K + _xlpm.Knewgain / (_xlpm.Knewscale + _xlpm.nbparties),
  IF(AA11="",
    "",
    _xlpm.coef * (AA11-AA12))
)</f>
        <v/>
      </c>
      <c r="AB13" t="str" cm="1">
        <f t="array" ref="AB13">_xlfn.LET(
  _xlpm.K, Constantes!$B$3,
  _xlpm.Knewgain, Constantes!$B$4,
  _xlpm.Knewscale, Constantes!$B$5,
  _xlpm.ptstables, INDEX(AB:AB, _xlfn.SEQUENCE(COUNTA($C$2:$C13), 1, 3, 4)),
  _xlpm.nbparties, COUNTA(_xlfn._xlws.FILTER(_xlpm.ptstables, _xlpm.ptstables &lt;&gt; "")),
  _xlpm.coef, _xlpm.K + _xlpm.Knewgain / (_xlpm.Knewscale + _xlpm.nbparties),
  IF(AB11="",
    "",
    _xlpm.coef * (AB11-AB12))
)</f>
        <v/>
      </c>
      <c r="AC13" t="str" cm="1">
        <f t="array" ref="AC13">_xlfn.LET(
  _xlpm.K, Constantes!$B$3,
  _xlpm.Knewgain, Constantes!$B$4,
  _xlpm.Knewscale, Constantes!$B$5,
  _xlpm.ptstables, INDEX(AC:AC, _xlfn.SEQUENCE(COUNTA($C$2:$C13), 1, 3, 4)),
  _xlpm.nbparties, COUNTA(_xlfn._xlws.FILTER(_xlpm.ptstables, _xlpm.ptstables &lt;&gt; "")),
  _xlpm.coef, _xlpm.K + _xlpm.Knewgain / (_xlpm.Knewscale + _xlpm.nbparties),
  IF(AC11="",
    "",
    _xlpm.coef * (AC11-AC12))
)</f>
        <v/>
      </c>
      <c r="AD13" t="str" cm="1">
        <f t="array" ref="AD13">_xlfn.LET(
  _xlpm.K, Constantes!$B$3,
  _xlpm.Knewgain, Constantes!$B$4,
  _xlpm.Knewscale, Constantes!$B$5,
  _xlpm.ptstables, INDEX(AD:AD, _xlfn.SEQUENCE(COUNTA($C$2:$C13), 1, 3, 4)),
  _xlpm.nbparties, COUNTA(_xlfn._xlws.FILTER(_xlpm.ptstables, _xlpm.ptstables &lt;&gt; "")),
  _xlpm.coef, _xlpm.K + _xlpm.Knewgain / (_xlpm.Knewscale + _xlpm.nbparties),
  IF(AD11="",
    "",
    _xlpm.coef * (AD11-AD12))
)</f>
        <v/>
      </c>
      <c r="AE13" t="str" cm="1">
        <f t="array" ref="AE13">_xlfn.LET(
  _xlpm.K, Constantes!$B$3,
  _xlpm.Knewgain, Constantes!$B$4,
  _xlpm.Knewscale, Constantes!$B$5,
  _xlpm.ptstables, INDEX(AE:AE, _xlfn.SEQUENCE(COUNTA($C$2:$C13), 1, 3, 4)),
  _xlpm.nbparties, COUNTA(_xlfn._xlws.FILTER(_xlpm.ptstables, _xlpm.ptstables &lt;&gt; "")),
  _xlpm.coef, _xlpm.K + _xlpm.Knewgain / (_xlpm.Knewscale + _xlpm.nbparties),
  IF(AE11="",
    "",
    _xlpm.coef * (AE11-AE12))
)</f>
        <v/>
      </c>
      <c r="AF13" t="str" cm="1">
        <f t="array" ref="AF13">_xlfn.LET(
  _xlpm.K, Constantes!$B$3,
  _xlpm.Knewgain, Constantes!$B$4,
  _xlpm.Knewscale, Constantes!$B$5,
  _xlpm.ptstables, INDEX(AF:AF, _xlfn.SEQUENCE(COUNTA($C$2:$C13), 1, 3, 4)),
  _xlpm.nbparties, COUNTA(_xlfn._xlws.FILTER(_xlpm.ptstables, _xlpm.ptstables &lt;&gt; "")),
  _xlpm.coef, _xlpm.K + _xlpm.Knewgain / (_xlpm.Knewscale + _xlpm.nbparties),
  IF(AF11="",
    "",
    _xlpm.coef * (AF11-AF12))
)</f>
        <v/>
      </c>
      <c r="AG13" t="str" cm="1">
        <f t="array" ref="AG13">_xlfn.LET(
  _xlpm.K, Constantes!$B$3,
  _xlpm.Knewgain, Constantes!$B$4,
  _xlpm.Knewscale, Constantes!$B$5,
  _xlpm.ptstables, INDEX(AG:AG, _xlfn.SEQUENCE(COUNTA($C$2:$C13), 1, 3, 4)),
  _xlpm.nbparties, COUNTA(_xlfn._xlws.FILTER(_xlpm.ptstables, _xlpm.ptstables &lt;&gt; "")),
  _xlpm.coef, _xlpm.K + _xlpm.Knewgain / (_xlpm.Knewscale + _xlpm.nbparties),
  IF(AG11="",
    "",
    _xlpm.coef * (AG11-AG12))
)</f>
        <v/>
      </c>
      <c r="AH13" t="str" cm="1">
        <f t="array" ref="AH13">_xlfn.LET(
  _xlpm.K, Constantes!$B$3,
  _xlpm.Knewgain, Constantes!$B$4,
  _xlpm.Knewscale, Constantes!$B$5,
  _xlpm.ptstables, INDEX(AH:AH, _xlfn.SEQUENCE(COUNTA($C$2:$C13), 1, 3, 4)),
  _xlpm.nbparties, COUNTA(_xlfn._xlws.FILTER(_xlpm.ptstables, _xlpm.ptstables &lt;&gt; "")),
  _xlpm.coef, _xlpm.K + _xlpm.Knewgain / (_xlpm.Knewscale + _xlpm.nbparties),
  IF(AH11="",
    "",
    _xlpm.coef * (AH11-AH12))
)</f>
        <v/>
      </c>
      <c r="AI13" t="str" cm="1">
        <f t="array" ref="AI13">_xlfn.LET(
  _xlpm.K, Constantes!$B$3,
  _xlpm.Knewgain, Constantes!$B$4,
  _xlpm.Knewscale, Constantes!$B$5,
  _xlpm.ptstables, INDEX(AI:AI, _xlfn.SEQUENCE(COUNTA($C$2:$C13), 1, 3, 4)),
  _xlpm.nbparties, COUNTA(_xlfn._xlws.FILTER(_xlpm.ptstables, _xlpm.ptstables &lt;&gt; "")),
  _xlpm.coef, _xlpm.K + _xlpm.Knewgain / (_xlpm.Knewscale + _xlpm.nbparties),
  IF(AI11="",
    "",
    _xlpm.coef * (AI11-AI12))
)</f>
        <v/>
      </c>
      <c r="AJ13" t="str" cm="1">
        <f t="array" ref="AJ13">_xlfn.LET(
  _xlpm.K, Constantes!$B$3,
  _xlpm.Knewgain, Constantes!$B$4,
  _xlpm.Knewscale, Constantes!$B$5,
  _xlpm.ptstables, INDEX(AJ:AJ, _xlfn.SEQUENCE(COUNTA($C$2:$C13), 1, 3, 4)),
  _xlpm.nbparties, COUNTA(_xlfn._xlws.FILTER(_xlpm.ptstables, _xlpm.ptstables &lt;&gt; "")),
  _xlpm.coef, _xlpm.K + _xlpm.Knewgain / (_xlpm.Knewscale + _xlpm.nbparties),
  IF(AJ11="",
    "",
    _xlpm.coef * (AJ11-AJ12))
)</f>
        <v/>
      </c>
      <c r="AK13" t="str" cm="1">
        <f t="array" ref="AK13">_xlfn.LET(
  _xlpm.K, Constantes!$B$3,
  _xlpm.Knewgain, Constantes!$B$4,
  _xlpm.Knewscale, Constantes!$B$5,
  _xlpm.ptstables, INDEX(AK:AK, _xlfn.SEQUENCE(COUNTA($C$2:$C13), 1, 3, 4)),
  _xlpm.nbparties, COUNTA(_xlfn._xlws.FILTER(_xlpm.ptstables, _xlpm.ptstables &lt;&gt; "")),
  _xlpm.coef, _xlpm.K + _xlpm.Knewgain / (_xlpm.Knewscale + _xlpm.nbparties),
  IF(AK11="",
    "",
    _xlpm.coef * (AK11-AK12))
)</f>
        <v/>
      </c>
      <c r="AL13" t="str" cm="1">
        <f t="array" ref="AL13">_xlfn.LET(
  _xlpm.K, Constantes!$B$3,
  _xlpm.Knewgain, Constantes!$B$4,
  _xlpm.Knewscale, Constantes!$B$5,
  _xlpm.ptstables, INDEX(AL:AL, _xlfn.SEQUENCE(COUNTA($C$2:$C13), 1, 3, 4)),
  _xlpm.nbparties, COUNTA(_xlfn._xlws.FILTER(_xlpm.ptstables, _xlpm.ptstables &lt;&gt; "")),
  _xlpm.coef, _xlpm.K + _xlpm.Knewgain / (_xlpm.Knewscale + _xlpm.nbparties),
  IF(AL11="",
    "",
    _xlpm.coef * (AL11-AL12))
)</f>
        <v/>
      </c>
      <c r="AM13" t="str" cm="1">
        <f t="array" ref="AM13">_xlfn.LET(
  _xlpm.K, Constantes!$B$3,
  _xlpm.Knewgain, Constantes!$B$4,
  _xlpm.Knewscale, Constantes!$B$5,
  _xlpm.ptstables, INDEX(AM:AM, _xlfn.SEQUENCE(COUNTA($C$2:$C13), 1, 3, 4)),
  _xlpm.nbparties, COUNTA(_xlfn._xlws.FILTER(_xlpm.ptstables, _xlpm.ptstables &lt;&gt; "")),
  _xlpm.coef, _xlpm.K + _xlpm.Knewgain / (_xlpm.Knewscale + _xlpm.nbparties),
  IF(AM11="",
    "",
    _xlpm.coef * (AM11-AM12))
)</f>
        <v/>
      </c>
    </row>
    <row r="14" spans="1:39" x14ac:dyDescent="0.25">
      <c r="A14" t="s">
        <v>14</v>
      </c>
      <c r="B14" t="str" cm="1">
        <f t="array" ref="B1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</v>
      </c>
      <c r="C14" s="2" cm="1">
        <f t="array" ref="C14">IF(B14="","",
  INDEX(Donnees!F:F, MATCH(B14, Donnees!F:F, 0)+1))</f>
        <v>45904.69321759259</v>
      </c>
      <c r="D14">
        <f t="shared" ref="D14:AM14" si="11">D10+IF(D13="",0,D13)</f>
        <v>954.73774107621398</v>
      </c>
      <c r="E14">
        <f t="shared" si="11"/>
        <v>1128.2520675924504</v>
      </c>
      <c r="F14">
        <f t="shared" si="11"/>
        <v>882.18961383647468</v>
      </c>
      <c r="G14">
        <f t="shared" si="11"/>
        <v>1093.550605626373</v>
      </c>
      <c r="H14">
        <f t="shared" si="11"/>
        <v>1044.587653356368</v>
      </c>
      <c r="I14">
        <f t="shared" si="11"/>
        <v>1000</v>
      </c>
      <c r="J14">
        <f t="shared" si="11"/>
        <v>1030.135</v>
      </c>
      <c r="K14">
        <f t="shared" si="11"/>
        <v>923.36</v>
      </c>
      <c r="L14">
        <f t="shared" si="11"/>
        <v>1000</v>
      </c>
      <c r="M14">
        <f t="shared" si="11"/>
        <v>1000</v>
      </c>
      <c r="N14">
        <f t="shared" si="11"/>
        <v>884.21</v>
      </c>
      <c r="O14">
        <f t="shared" si="11"/>
        <v>1000</v>
      </c>
      <c r="P14">
        <f t="shared" si="11"/>
        <v>993.13499999999999</v>
      </c>
      <c r="Q14">
        <f t="shared" si="11"/>
        <v>949.40499999999997</v>
      </c>
      <c r="R14">
        <f t="shared" si="11"/>
        <v>997.8</v>
      </c>
      <c r="S14">
        <f t="shared" si="11"/>
        <v>984.505</v>
      </c>
      <c r="T14">
        <f t="shared" si="11"/>
        <v>1029.905</v>
      </c>
      <c r="U14">
        <f t="shared" si="11"/>
        <v>1092.7849999999999</v>
      </c>
      <c r="V14">
        <f t="shared" si="11"/>
        <v>999.59500000000003</v>
      </c>
      <c r="W14">
        <f t="shared" si="11"/>
        <v>1000</v>
      </c>
      <c r="X14">
        <f t="shared" si="11"/>
        <v>899.53</v>
      </c>
      <c r="Y14">
        <f t="shared" si="11"/>
        <v>941.52</v>
      </c>
      <c r="Z14">
        <f t="shared" si="11"/>
        <v>1000</v>
      </c>
      <c r="AA14">
        <f t="shared" si="11"/>
        <v>1000</v>
      </c>
      <c r="AB14">
        <f t="shared" si="11"/>
        <v>979.56500000000005</v>
      </c>
      <c r="AC14">
        <f t="shared" si="11"/>
        <v>1032.51</v>
      </c>
      <c r="AD14">
        <f t="shared" si="11"/>
        <v>974.01499999999999</v>
      </c>
      <c r="AE14">
        <f t="shared" si="11"/>
        <v>1011.415</v>
      </c>
      <c r="AF14">
        <f t="shared" si="11"/>
        <v>1031.1199999999999</v>
      </c>
      <c r="AG14">
        <f t="shared" si="11"/>
        <v>1001.0350000000001</v>
      </c>
      <c r="AH14">
        <f t="shared" si="11"/>
        <v>994.44</v>
      </c>
      <c r="AI14">
        <f t="shared" si="11"/>
        <v>1000</v>
      </c>
      <c r="AJ14">
        <f t="shared" si="11"/>
        <v>957.2</v>
      </c>
      <c r="AK14">
        <f t="shared" si="11"/>
        <v>1000</v>
      </c>
      <c r="AL14">
        <f t="shared" si="11"/>
        <v>1055.9299999999998</v>
      </c>
      <c r="AM14">
        <f t="shared" si="11"/>
        <v>1000</v>
      </c>
    </row>
    <row r="15" spans="1:39" x14ac:dyDescent="0.25">
      <c r="A15" t="s">
        <v>21</v>
      </c>
      <c r="D15" t="str" cm="1">
        <f t="array" ref="D15">IFERROR(
  _xlfn.LET(
    _xlpm.ligpartie, MATCH($B14, Donnees!$F:$F, 0),
    _xlpm.joueurs, INDEX(Donnees!$A:$Z, _xlpm.ligpartie+1, _xlfn.SEQUENCE(1, 4, 2)),
    INDEX(
      Donnees!$A:$Z,
      _xlpm.ligpartie + 3,
      MATCH(D$1, _xlpm.joueurs, 0) + 1
    )
  ), ""
)</f>
        <v/>
      </c>
      <c r="E15" cm="1">
        <f t="array" ref="E15">IFERROR(
  _xlfn.LET(
    _xlpm.ligpartie, MATCH($B14, Donnees!$F:$F, 0),
    _xlpm.joueurs, INDEX(Donnees!$A:$Z, _xlpm.ligpartie+1, _xlfn.SEQUENCE(1, 4, 2)),
    INDEX(
      Donnees!$A:$Z,
      _xlpm.ligpartie + 3,
      MATCH(E$1, _xlpm.joueurs, 0) + 1
    )
  ), ""
)</f>
        <v>3</v>
      </c>
      <c r="F15" cm="1">
        <f t="array" ref="F15">IFERROR(
  _xlfn.LET(
    _xlpm.ligpartie, MATCH($B14, Donnees!$F:$F, 0),
    _xlpm.joueurs, INDEX(Donnees!$A:$Z, _xlpm.ligpartie+1, _xlfn.SEQUENCE(1, 4, 2)),
    INDEX(
      Donnees!$A:$Z,
      _xlpm.ligpartie + 3,
      MATCH(F$1, _xlpm.joueurs, 0) + 1
    )
  ), ""
)</f>
        <v>2</v>
      </c>
      <c r="G15" cm="1">
        <f t="array" ref="G15">IFERROR(
  _xlfn.LET(
    _xlpm.ligpartie, MATCH($B14, Donnees!$F:$F, 0),
    _xlpm.joueurs, INDEX(Donnees!$A:$Z, _xlpm.ligpartie+1, _xlfn.SEQUENCE(1, 4, 2)),
    INDEX(
      Donnees!$A:$Z,
      _xlpm.ligpartie + 3,
      MATCH(G$1, _xlpm.joueurs, 0) + 1
    )
  ), ""
)</f>
        <v>1</v>
      </c>
      <c r="H15" cm="1">
        <f t="array" ref="H15">IFERROR(
  _xlfn.LET(
    _xlpm.ligpartie, MATCH($B14, Donnees!$F:$F, 0),
    _xlpm.joueurs, INDEX(Donnees!$A:$Z, _xlpm.ligpartie+1, _xlfn.SEQUENCE(1, 4, 2)),
    INDEX(
      Donnees!$A:$Z,
      _xlpm.ligpartie + 3,
      MATCH(H$1, _xlpm.joueurs, 0) + 1
    )
  ), ""
)</f>
        <v>0</v>
      </c>
      <c r="I15" t="str" cm="1">
        <f t="array" ref="I15">IFERROR(
  _xlfn.LET(
    _xlpm.ligpartie, MATCH($B14, Donnees!$F:$F, 0),
    _xlpm.joueurs, INDEX(Donnees!$A:$Z, _xlpm.ligpartie+1, _xlfn.SEQUENCE(1, 4, 2)),
    INDEX(
      Donnees!$A:$Z,
      _xlpm.ligpartie + 3,
      MATCH(I$1, _xlpm.joueurs, 0) + 1
    )
  ), ""
)</f>
        <v/>
      </c>
      <c r="J15" t="str" cm="1">
        <f t="array" ref="J15">IFERROR(
  _xlfn.LET(
    _xlpm.ligpartie, MATCH($B14, Donnees!$F:$F, 0),
    _xlpm.joueurs, INDEX(Donnees!$A:$Z, _xlpm.ligpartie+1, _xlfn.SEQUENCE(1, 4, 2)),
    INDEX(
      Donnees!$A:$Z,
      _xlpm.ligpartie + 3,
      MATCH(J$1, _xlpm.joueurs, 0) + 1
    )
  ), ""
)</f>
        <v/>
      </c>
      <c r="K15" t="str" cm="1">
        <f t="array" ref="K15">IFERROR(
  _xlfn.LET(
    _xlpm.ligpartie, MATCH($B14, Donnees!$F:$F, 0),
    _xlpm.joueurs, INDEX(Donnees!$A:$Z, _xlpm.ligpartie+1, _xlfn.SEQUENCE(1, 4, 2)),
    INDEX(
      Donnees!$A:$Z,
      _xlpm.ligpartie + 3,
      MATCH(K$1, _xlpm.joueurs, 0) + 1
    )
  ), ""
)</f>
        <v/>
      </c>
      <c r="L15" t="str" cm="1">
        <f t="array" ref="L15">IFERROR(
  _xlfn.LET(
    _xlpm.ligpartie, MATCH($B14, Donnees!$F:$F, 0),
    _xlpm.joueurs, INDEX(Donnees!$A:$Z, _xlpm.ligpartie+1, _xlfn.SEQUENCE(1, 4, 2)),
    INDEX(
      Donnees!$A:$Z,
      _xlpm.ligpartie + 3,
      MATCH(L$1, _xlpm.joueurs, 0) + 1
    )
  ), ""
)</f>
        <v/>
      </c>
      <c r="M15" t="str" cm="1">
        <f t="array" ref="M15">IFERROR(
  _xlfn.LET(
    _xlpm.ligpartie, MATCH($B14, Donnees!$F:$F, 0),
    _xlpm.joueurs, INDEX(Donnees!$A:$Z, _xlpm.ligpartie+1, _xlfn.SEQUENCE(1, 4, 2)),
    INDEX(
      Donnees!$A:$Z,
      _xlpm.ligpartie + 3,
      MATCH(M$1, _xlpm.joueurs, 0) + 1
    )
  ), ""
)</f>
        <v/>
      </c>
      <c r="N15" t="str" cm="1">
        <f t="array" ref="N15">IFERROR(
  _xlfn.LET(
    _xlpm.ligpartie, MATCH($B14, Donnees!$F:$F, 0),
    _xlpm.joueurs, INDEX(Donnees!$A:$Z, _xlpm.ligpartie+1, _xlfn.SEQUENCE(1, 4, 2)),
    INDEX(
      Donnees!$A:$Z,
      _xlpm.ligpartie + 3,
      MATCH(N$1, _xlpm.joueurs, 0) + 1
    )
  ), ""
)</f>
        <v/>
      </c>
      <c r="O15" t="str" cm="1">
        <f t="array" ref="O15">IFERROR(
  _xlfn.LET(
    _xlpm.ligpartie, MATCH($B14, Donnees!$F:$F, 0),
    _xlpm.joueurs, INDEX(Donnees!$A:$Z, _xlpm.ligpartie+1, _xlfn.SEQUENCE(1, 4, 2)),
    INDEX(
      Donnees!$A:$Z,
      _xlpm.ligpartie + 3,
      MATCH(O$1, _xlpm.joueurs, 0) + 1
    )
  ), ""
)</f>
        <v/>
      </c>
      <c r="P15" t="str" cm="1">
        <f t="array" ref="P15">IFERROR(
  _xlfn.LET(
    _xlpm.ligpartie, MATCH($B14, Donnees!$F:$F, 0),
    _xlpm.joueurs, INDEX(Donnees!$A:$Z, _xlpm.ligpartie+1, _xlfn.SEQUENCE(1, 4, 2)),
    INDEX(
      Donnees!$A:$Z,
      _xlpm.ligpartie + 3,
      MATCH(P$1, _xlpm.joueurs, 0) + 1
    )
  ), ""
)</f>
        <v/>
      </c>
      <c r="Q15" t="str" cm="1">
        <f t="array" ref="Q15">IFERROR(
  _xlfn.LET(
    _xlpm.ligpartie, MATCH($B14, Donnees!$F:$F, 0),
    _xlpm.joueurs, INDEX(Donnees!$A:$Z, _xlpm.ligpartie+1, _xlfn.SEQUENCE(1, 4, 2)),
    INDEX(
      Donnees!$A:$Z,
      _xlpm.ligpartie + 3,
      MATCH(Q$1, _xlpm.joueurs, 0) + 1
    )
  ), ""
)</f>
        <v/>
      </c>
      <c r="R15" t="str" cm="1">
        <f t="array" ref="R15">IFERROR(
  _xlfn.LET(
    _xlpm.ligpartie, MATCH($B14, Donnees!$F:$F, 0),
    _xlpm.joueurs, INDEX(Donnees!$A:$Z, _xlpm.ligpartie+1, _xlfn.SEQUENCE(1, 4, 2)),
    INDEX(
      Donnees!$A:$Z,
      _xlpm.ligpartie + 3,
      MATCH(R$1, _xlpm.joueurs, 0) + 1
    )
  ), ""
)</f>
        <v/>
      </c>
      <c r="S15" t="str" cm="1">
        <f t="array" ref="S15">IFERROR(
  _xlfn.LET(
    _xlpm.ligpartie, MATCH($B14, Donnees!$F:$F, 0),
    _xlpm.joueurs, INDEX(Donnees!$A:$Z, _xlpm.ligpartie+1, _xlfn.SEQUENCE(1, 4, 2)),
    INDEX(
      Donnees!$A:$Z,
      _xlpm.ligpartie + 3,
      MATCH(S$1, _xlpm.joueurs, 0) + 1
    )
  ), ""
)</f>
        <v/>
      </c>
      <c r="T15" t="str" cm="1">
        <f t="array" ref="T15">IFERROR(
  _xlfn.LET(
    _xlpm.ligpartie, MATCH($B14, Donnees!$F:$F, 0),
    _xlpm.joueurs, INDEX(Donnees!$A:$Z, _xlpm.ligpartie+1, _xlfn.SEQUENCE(1, 4, 2)),
    INDEX(
      Donnees!$A:$Z,
      _xlpm.ligpartie + 3,
      MATCH(T$1, _xlpm.joueurs, 0) + 1
    )
  ), ""
)</f>
        <v/>
      </c>
      <c r="U15" t="str" cm="1">
        <f t="array" ref="U15">IFERROR(
  _xlfn.LET(
    _xlpm.ligpartie, MATCH($B14, Donnees!$F:$F, 0),
    _xlpm.joueurs, INDEX(Donnees!$A:$Z, _xlpm.ligpartie+1, _xlfn.SEQUENCE(1, 4, 2)),
    INDEX(
      Donnees!$A:$Z,
      _xlpm.ligpartie + 3,
      MATCH(U$1, _xlpm.joueurs, 0) + 1
    )
  ), ""
)</f>
        <v/>
      </c>
      <c r="V15" t="str" cm="1">
        <f t="array" ref="V15">IFERROR(
  _xlfn.LET(
    _xlpm.ligpartie, MATCH($B14, Donnees!$F:$F, 0),
    _xlpm.joueurs, INDEX(Donnees!$A:$Z, _xlpm.ligpartie+1, _xlfn.SEQUENCE(1, 4, 2)),
    INDEX(
      Donnees!$A:$Z,
      _xlpm.ligpartie + 3,
      MATCH(V$1, _xlpm.joueurs, 0) + 1
    )
  ), ""
)</f>
        <v/>
      </c>
      <c r="W15" t="str" cm="1">
        <f t="array" ref="W15">IFERROR(
  _xlfn.LET(
    _xlpm.ligpartie, MATCH($B14, Donnees!$F:$F, 0),
    _xlpm.joueurs, INDEX(Donnees!$A:$Z, _xlpm.ligpartie+1, _xlfn.SEQUENCE(1, 4, 2)),
    INDEX(
      Donnees!$A:$Z,
      _xlpm.ligpartie + 3,
      MATCH(W$1, _xlpm.joueurs, 0) + 1
    )
  ), ""
)</f>
        <v/>
      </c>
      <c r="X15" t="str" cm="1">
        <f t="array" ref="X15">IFERROR(
  _xlfn.LET(
    _xlpm.ligpartie, MATCH($B14, Donnees!$F:$F, 0),
    _xlpm.joueurs, INDEX(Donnees!$A:$Z, _xlpm.ligpartie+1, _xlfn.SEQUENCE(1, 4, 2)),
    INDEX(
      Donnees!$A:$Z,
      _xlpm.ligpartie + 3,
      MATCH(X$1, _xlpm.joueurs, 0) + 1
    )
  ), ""
)</f>
        <v/>
      </c>
      <c r="Y15" t="str" cm="1">
        <f t="array" ref="Y15">IFERROR(
  _xlfn.LET(
    _xlpm.ligpartie, MATCH($B14, Donnees!$F:$F, 0),
    _xlpm.joueurs, INDEX(Donnees!$A:$Z, _xlpm.ligpartie+1, _xlfn.SEQUENCE(1, 4, 2)),
    INDEX(
      Donnees!$A:$Z,
      _xlpm.ligpartie + 3,
      MATCH(Y$1, _xlpm.joueurs, 0) + 1
    )
  ), ""
)</f>
        <v/>
      </c>
      <c r="Z15" t="str" cm="1">
        <f t="array" ref="Z15">IFERROR(
  _xlfn.LET(
    _xlpm.ligpartie, MATCH($B14, Donnees!$F:$F, 0),
    _xlpm.joueurs, INDEX(Donnees!$A:$Z, _xlpm.ligpartie+1, _xlfn.SEQUENCE(1, 4, 2)),
    INDEX(
      Donnees!$A:$Z,
      _xlpm.ligpartie + 3,
      MATCH(Z$1, _xlpm.joueurs, 0) + 1
    )
  ), ""
)</f>
        <v/>
      </c>
      <c r="AA15" t="str" cm="1">
        <f t="array" ref="AA15">IFERROR(
  _xlfn.LET(
    _xlpm.ligpartie, MATCH($B14, Donnees!$F:$F, 0),
    _xlpm.joueurs, INDEX(Donnees!$A:$Z, _xlpm.ligpartie+1, _xlfn.SEQUENCE(1, 4, 2)),
    INDEX(
      Donnees!$A:$Z,
      _xlpm.ligpartie + 3,
      MATCH(AA$1, _xlpm.joueurs, 0) + 1
    )
  ), ""
)</f>
        <v/>
      </c>
      <c r="AB15" t="str" cm="1">
        <f t="array" ref="AB15">IFERROR(
  _xlfn.LET(
    _xlpm.ligpartie, MATCH($B14, Donnees!$F:$F, 0),
    _xlpm.joueurs, INDEX(Donnees!$A:$Z, _xlpm.ligpartie+1, _xlfn.SEQUENCE(1, 4, 2)),
    INDEX(
      Donnees!$A:$Z,
      _xlpm.ligpartie + 3,
      MATCH(AB$1, _xlpm.joueurs, 0) + 1
    )
  ), ""
)</f>
        <v/>
      </c>
      <c r="AC15" t="str" cm="1">
        <f t="array" ref="AC15">IFERROR(
  _xlfn.LET(
    _xlpm.ligpartie, MATCH($B14, Donnees!$F:$F, 0),
    _xlpm.joueurs, INDEX(Donnees!$A:$Z, _xlpm.ligpartie+1, _xlfn.SEQUENCE(1, 4, 2)),
    INDEX(
      Donnees!$A:$Z,
      _xlpm.ligpartie + 3,
      MATCH(AC$1, _xlpm.joueurs, 0) + 1
    )
  ), ""
)</f>
        <v/>
      </c>
      <c r="AD15" t="str" cm="1">
        <f t="array" ref="AD15">IFERROR(
  _xlfn.LET(
    _xlpm.ligpartie, MATCH($B14, Donnees!$F:$F, 0),
    _xlpm.joueurs, INDEX(Donnees!$A:$Z, _xlpm.ligpartie+1, _xlfn.SEQUENCE(1, 4, 2)),
    INDEX(
      Donnees!$A:$Z,
      _xlpm.ligpartie + 3,
      MATCH(AD$1, _xlpm.joueurs, 0) + 1
    )
  ), ""
)</f>
        <v/>
      </c>
      <c r="AE15" t="str" cm="1">
        <f t="array" ref="AE15">IFERROR(
  _xlfn.LET(
    _xlpm.ligpartie, MATCH($B14, Donnees!$F:$F, 0),
    _xlpm.joueurs, INDEX(Donnees!$A:$Z, _xlpm.ligpartie+1, _xlfn.SEQUENCE(1, 4, 2)),
    INDEX(
      Donnees!$A:$Z,
      _xlpm.ligpartie + 3,
      MATCH(AE$1, _xlpm.joueurs, 0) + 1
    )
  ), ""
)</f>
        <v/>
      </c>
      <c r="AF15" t="str" cm="1">
        <f t="array" ref="AF15">IFERROR(
  _xlfn.LET(
    _xlpm.ligpartie, MATCH($B14, Donnees!$F:$F, 0),
    _xlpm.joueurs, INDEX(Donnees!$A:$Z, _xlpm.ligpartie+1, _xlfn.SEQUENCE(1, 4, 2)),
    INDEX(
      Donnees!$A:$Z,
      _xlpm.ligpartie + 3,
      MATCH(AF$1, _xlpm.joueurs, 0) + 1
    )
  ), ""
)</f>
        <v/>
      </c>
      <c r="AG15" t="str" cm="1">
        <f t="array" ref="AG15">IFERROR(
  _xlfn.LET(
    _xlpm.ligpartie, MATCH($B14, Donnees!$F:$F, 0),
    _xlpm.joueurs, INDEX(Donnees!$A:$Z, _xlpm.ligpartie+1, _xlfn.SEQUENCE(1, 4, 2)),
    INDEX(
      Donnees!$A:$Z,
      _xlpm.ligpartie + 3,
      MATCH(AG$1, _xlpm.joueurs, 0) + 1
    )
  ), ""
)</f>
        <v/>
      </c>
      <c r="AH15" t="str" cm="1">
        <f t="array" ref="AH15">IFERROR(
  _xlfn.LET(
    _xlpm.ligpartie, MATCH($B14, Donnees!$F:$F, 0),
    _xlpm.joueurs, INDEX(Donnees!$A:$Z, _xlpm.ligpartie+1, _xlfn.SEQUENCE(1, 4, 2)),
    INDEX(
      Donnees!$A:$Z,
      _xlpm.ligpartie + 3,
      MATCH(AH$1, _xlpm.joueurs, 0) + 1
    )
  ), ""
)</f>
        <v/>
      </c>
      <c r="AI15" t="str" cm="1">
        <f t="array" ref="AI15">IFERROR(
  _xlfn.LET(
    _xlpm.ligpartie, MATCH($B14, Donnees!$F:$F, 0),
    _xlpm.joueurs, INDEX(Donnees!$A:$Z, _xlpm.ligpartie+1, _xlfn.SEQUENCE(1, 4, 2)),
    INDEX(
      Donnees!$A:$Z,
      _xlpm.ligpartie + 3,
      MATCH(AI$1, _xlpm.joueurs, 0) + 1
    )
  ), ""
)</f>
        <v/>
      </c>
      <c r="AJ15" t="str" cm="1">
        <f t="array" ref="AJ15">IFERROR(
  _xlfn.LET(
    _xlpm.ligpartie, MATCH($B14, Donnees!$F:$F, 0),
    _xlpm.joueurs, INDEX(Donnees!$A:$Z, _xlpm.ligpartie+1, _xlfn.SEQUENCE(1, 4, 2)),
    INDEX(
      Donnees!$A:$Z,
      _xlpm.ligpartie + 3,
      MATCH(AJ$1, _xlpm.joueurs, 0) + 1
    )
  ), ""
)</f>
        <v/>
      </c>
      <c r="AK15" t="str" cm="1">
        <f t="array" ref="AK15">IFERROR(
  _xlfn.LET(
    _xlpm.ligpartie, MATCH($B14, Donnees!$F:$F, 0),
    _xlpm.joueurs, INDEX(Donnees!$A:$Z, _xlpm.ligpartie+1, _xlfn.SEQUENCE(1, 4, 2)),
    INDEX(
      Donnees!$A:$Z,
      _xlpm.ligpartie + 3,
      MATCH(AK$1, _xlpm.joueurs, 0) + 1
    )
  ), ""
)</f>
        <v/>
      </c>
      <c r="AL15" t="str" cm="1">
        <f t="array" ref="AL15">IFERROR(
  _xlfn.LET(
    _xlpm.ligpartie, MATCH($B14, Donnees!$F:$F, 0),
    _xlpm.joueurs, INDEX(Donnees!$A:$Z, _xlpm.ligpartie+1, _xlfn.SEQUENCE(1, 4, 2)),
    INDEX(
      Donnees!$A:$Z,
      _xlpm.ligpartie + 3,
      MATCH(AL$1, _xlpm.joueurs, 0) + 1
    )
  ), ""
)</f>
        <v/>
      </c>
      <c r="AM15" t="str" cm="1">
        <f t="array" ref="AM15">IFERROR(
  _xlfn.LET(
    _xlpm.ligpartie, MATCH($B14, Donnees!$F:$F, 0),
    _xlpm.joueurs, INDEX(Donnees!$A:$Z, _xlpm.ligpartie+1, _xlfn.SEQUENCE(1, 4, 2)),
    INDEX(
      Donnees!$A:$Z,
      _xlpm.ligpartie + 3,
      MATCH(AM$1, _xlpm.joueurs, 0) + 1
    )
  ), ""
)</f>
        <v/>
      </c>
    </row>
    <row r="16" spans="1:39" x14ac:dyDescent="0.25">
      <c r="A16" t="s">
        <v>20</v>
      </c>
      <c r="D16" t="str" cm="1">
        <f t="array" ref="D16">_xlfn.LET(
  _xlpm.colj, _xlfn._xlws.FILTER(IF(ISNUMBER(15:15), COLUMN(15:15)), ISNUMBER(15:15)),
  _xlpm.elos, INDEX(14:14,1,_xlpm.colj),
  _xlpm.diffscale, Constantes!$B$2,
  IF(D15="",
    "",
    SUM(1/(1+POWER(10,-(D14-_xlpm.elos)/_xlpm.diffscale)))-0.5)
)</f>
        <v/>
      </c>
      <c r="E16" cm="1">
        <f t="array" ref="E16">_xlfn.LET(
  _xlpm.colj, _xlfn._xlws.FILTER(IF(ISNUMBER(15:15), COLUMN(15:15)), ISNUMBER(15:15)),
  _xlpm.elos, INDEX(14:14,1,_xlpm.colj),
  _xlpm.diffscale, Constantes!$B$2,
  IF(E15="",
    "",
    SUM(1/(1+POWER(10,-(E14-_xlpm.elos)/_xlpm.diffscale)))-0.5)
)</f>
        <v>1.972683434924754</v>
      </c>
      <c r="F16" cm="1">
        <f t="array" ref="F16">_xlfn.LET(
  _xlpm.colj, _xlfn._xlws.FILTER(IF(ISNUMBER(15:15), COLUMN(15:15)), ISNUMBER(15:15)),
  _xlpm.elos, INDEX(14:14,1,_xlpm.colj),
  _xlpm.diffscale, Constantes!$B$2,
  IF(F15="",
    "",
    SUM(1/(1+POWER(10,-(F14-_xlpm.elos)/_xlpm.diffscale)))-0.5)
)</f>
        <v>0.70568216431148745</v>
      </c>
      <c r="G16" cm="1">
        <f t="array" ref="G16">_xlfn.LET(
  _xlpm.colj, _xlfn._xlws.FILTER(IF(ISNUMBER(15:15), COLUMN(15:15)), ISNUMBER(15:15)),
  _xlpm.elos, INDEX(14:14,1,_xlpm.colj),
  _xlpm.diffscale, Constantes!$B$2,
  IF(G15="",
    "",
    SUM(1/(1+POWER(10,-(G14-_xlpm.elos)/_xlpm.diffscale)))-0.5)
)</f>
        <v>1.7917073581138814</v>
      </c>
      <c r="H16" cm="1">
        <f t="array" ref="H16">_xlfn.LET(
  _xlpm.colj, _xlfn._xlws.FILTER(IF(ISNUMBER(15:15), COLUMN(15:15)), ISNUMBER(15:15)),
  _xlpm.elos, INDEX(14:14,1,_xlpm.colj),
  _xlpm.diffscale, Constantes!$B$2,
  IF(H15="",
    "",
    SUM(1/(1+POWER(10,-(H14-_xlpm.elos)/_xlpm.diffscale)))-0.5)
)</f>
        <v>1.5299270426498777</v>
      </c>
      <c r="I16" t="str" cm="1">
        <f t="array" ref="I16">_xlfn.LET(
  _xlpm.colj, _xlfn._xlws.FILTER(IF(ISNUMBER(15:15), COLUMN(15:15)), ISNUMBER(15:15)),
  _xlpm.elos, INDEX(14:14,1,_xlpm.colj),
  _xlpm.diffscale, Constantes!$B$2,
  IF(I15="",
    "",
    SUM(1/(1+POWER(10,-(I14-_xlpm.elos)/_xlpm.diffscale)))-0.5)
)</f>
        <v/>
      </c>
      <c r="J16" t="str" cm="1">
        <f t="array" ref="J16">_xlfn.LET(
  _xlpm.colj, _xlfn._xlws.FILTER(IF(ISNUMBER(15:15), COLUMN(15:15)), ISNUMBER(15:15)),
  _xlpm.elos, INDEX(14:14,1,_xlpm.colj),
  _xlpm.diffscale, Constantes!$B$2,
  IF(J15="",
    "",
    SUM(1/(1+POWER(10,-(J14-_xlpm.elos)/_xlpm.diffscale)))-0.5)
)</f>
        <v/>
      </c>
      <c r="K16" t="str" cm="1">
        <f t="array" ref="K16">_xlfn.LET(
  _xlpm.colj, _xlfn._xlws.FILTER(IF(ISNUMBER(15:15), COLUMN(15:15)), ISNUMBER(15:15)),
  _xlpm.elos, INDEX(14:14,1,_xlpm.colj),
  _xlpm.diffscale, Constantes!$B$2,
  IF(K15="",
    "",
    SUM(1/(1+POWER(10,-(K14-_xlpm.elos)/_xlpm.diffscale)))-0.5)
)</f>
        <v/>
      </c>
      <c r="L16" t="str" cm="1">
        <f t="array" ref="L16">_xlfn.LET(
  _xlpm.colj, _xlfn._xlws.FILTER(IF(ISNUMBER(15:15), COLUMN(15:15)), ISNUMBER(15:15)),
  _xlpm.elos, INDEX(14:14,1,_xlpm.colj),
  _xlpm.diffscale, Constantes!$B$2,
  IF(L15="",
    "",
    SUM(1/(1+POWER(10,-(L14-_xlpm.elos)/_xlpm.diffscale)))-0.5)
)</f>
        <v/>
      </c>
      <c r="M16" t="str" cm="1">
        <f t="array" ref="M16">_xlfn.LET(
  _xlpm.colj, _xlfn._xlws.FILTER(IF(ISNUMBER(15:15), COLUMN(15:15)), ISNUMBER(15:15)),
  _xlpm.elos, INDEX(14:14,1,_xlpm.colj),
  _xlpm.diffscale, Constantes!$B$2,
  IF(M15="",
    "",
    SUM(1/(1+POWER(10,-(M14-_xlpm.elos)/_xlpm.diffscale)))-0.5)
)</f>
        <v/>
      </c>
      <c r="N16" t="str" cm="1">
        <f t="array" ref="N16">_xlfn.LET(
  _xlpm.colj, _xlfn._xlws.FILTER(IF(ISNUMBER(15:15), COLUMN(15:15)), ISNUMBER(15:15)),
  _xlpm.elos, INDEX(14:14,1,_xlpm.colj),
  _xlpm.diffscale, Constantes!$B$2,
  IF(N15="",
    "",
    SUM(1/(1+POWER(10,-(N14-_xlpm.elos)/_xlpm.diffscale)))-0.5)
)</f>
        <v/>
      </c>
      <c r="O16" t="str" cm="1">
        <f t="array" ref="O16">_xlfn.LET(
  _xlpm.colj, _xlfn._xlws.FILTER(IF(ISNUMBER(15:15), COLUMN(15:15)), ISNUMBER(15:15)),
  _xlpm.elos, INDEX(14:14,1,_xlpm.colj),
  _xlpm.diffscale, Constantes!$B$2,
  IF(O15="",
    "",
    SUM(1/(1+POWER(10,-(O14-_xlpm.elos)/_xlpm.diffscale)))-0.5)
)</f>
        <v/>
      </c>
      <c r="P16" t="str" cm="1">
        <f t="array" ref="P16">_xlfn.LET(
  _xlpm.colj, _xlfn._xlws.FILTER(IF(ISNUMBER(15:15), COLUMN(15:15)), ISNUMBER(15:15)),
  _xlpm.elos, INDEX(14:14,1,_xlpm.colj),
  _xlpm.diffscale, Constantes!$B$2,
  IF(P15="",
    "",
    SUM(1/(1+POWER(10,-(P14-_xlpm.elos)/_xlpm.diffscale)))-0.5)
)</f>
        <v/>
      </c>
      <c r="Q16" t="str" cm="1">
        <f t="array" ref="Q16">_xlfn.LET(
  _xlpm.colj, _xlfn._xlws.FILTER(IF(ISNUMBER(15:15), COLUMN(15:15)), ISNUMBER(15:15)),
  _xlpm.elos, INDEX(14:14,1,_xlpm.colj),
  _xlpm.diffscale, Constantes!$B$2,
  IF(Q15="",
    "",
    SUM(1/(1+POWER(10,-(Q14-_xlpm.elos)/_xlpm.diffscale)))-0.5)
)</f>
        <v/>
      </c>
      <c r="R16" t="str" cm="1">
        <f t="array" ref="R16">_xlfn.LET(
  _xlpm.colj, _xlfn._xlws.FILTER(IF(ISNUMBER(15:15), COLUMN(15:15)), ISNUMBER(15:15)),
  _xlpm.elos, INDEX(14:14,1,_xlpm.colj),
  _xlpm.diffscale, Constantes!$B$2,
  IF(R15="",
    "",
    SUM(1/(1+POWER(10,-(R14-_xlpm.elos)/_xlpm.diffscale)))-0.5)
)</f>
        <v/>
      </c>
      <c r="S16" t="str" cm="1">
        <f t="array" ref="S16">_xlfn.LET(
  _xlpm.colj, _xlfn._xlws.FILTER(IF(ISNUMBER(15:15), COLUMN(15:15)), ISNUMBER(15:15)),
  _xlpm.elos, INDEX(14:14,1,_xlpm.colj),
  _xlpm.diffscale, Constantes!$B$2,
  IF(S15="",
    "",
    SUM(1/(1+POWER(10,-(S14-_xlpm.elos)/_xlpm.diffscale)))-0.5)
)</f>
        <v/>
      </c>
      <c r="T16" t="str" cm="1">
        <f t="array" ref="T16">_xlfn.LET(
  _xlpm.colj, _xlfn._xlws.FILTER(IF(ISNUMBER(15:15), COLUMN(15:15)), ISNUMBER(15:15)),
  _xlpm.elos, INDEX(14:14,1,_xlpm.colj),
  _xlpm.diffscale, Constantes!$B$2,
  IF(T15="",
    "",
    SUM(1/(1+POWER(10,-(T14-_xlpm.elos)/_xlpm.diffscale)))-0.5)
)</f>
        <v/>
      </c>
      <c r="U16" t="str" cm="1">
        <f t="array" ref="U16">_xlfn.LET(
  _xlpm.colj, _xlfn._xlws.FILTER(IF(ISNUMBER(15:15), COLUMN(15:15)), ISNUMBER(15:15)),
  _xlpm.elos, INDEX(14:14,1,_xlpm.colj),
  _xlpm.diffscale, Constantes!$B$2,
  IF(U15="",
    "",
    SUM(1/(1+POWER(10,-(U14-_xlpm.elos)/_xlpm.diffscale)))-0.5)
)</f>
        <v/>
      </c>
      <c r="V16" t="str" cm="1">
        <f t="array" ref="V16">_xlfn.LET(
  _xlpm.colj, _xlfn._xlws.FILTER(IF(ISNUMBER(15:15), COLUMN(15:15)), ISNUMBER(15:15)),
  _xlpm.elos, INDEX(14:14,1,_xlpm.colj),
  _xlpm.diffscale, Constantes!$B$2,
  IF(V15="",
    "",
    SUM(1/(1+POWER(10,-(V14-_xlpm.elos)/_xlpm.diffscale)))-0.5)
)</f>
        <v/>
      </c>
      <c r="W16" t="str" cm="1">
        <f t="array" ref="W16">_xlfn.LET(
  _xlpm.colj, _xlfn._xlws.FILTER(IF(ISNUMBER(15:15), COLUMN(15:15)), ISNUMBER(15:15)),
  _xlpm.elos, INDEX(14:14,1,_xlpm.colj),
  _xlpm.diffscale, Constantes!$B$2,
  IF(W15="",
    "",
    SUM(1/(1+POWER(10,-(W14-_xlpm.elos)/_xlpm.diffscale)))-0.5)
)</f>
        <v/>
      </c>
      <c r="X16" t="str" cm="1">
        <f t="array" ref="X16">_xlfn.LET(
  _xlpm.colj, _xlfn._xlws.FILTER(IF(ISNUMBER(15:15), COLUMN(15:15)), ISNUMBER(15:15)),
  _xlpm.elos, INDEX(14:14,1,_xlpm.colj),
  _xlpm.diffscale, Constantes!$B$2,
  IF(X15="",
    "",
    SUM(1/(1+POWER(10,-(X14-_xlpm.elos)/_xlpm.diffscale)))-0.5)
)</f>
        <v/>
      </c>
      <c r="Y16" t="str" cm="1">
        <f t="array" ref="Y16">_xlfn.LET(
  _xlpm.colj, _xlfn._xlws.FILTER(IF(ISNUMBER(15:15), COLUMN(15:15)), ISNUMBER(15:15)),
  _xlpm.elos, INDEX(14:14,1,_xlpm.colj),
  _xlpm.diffscale, Constantes!$B$2,
  IF(Y15="",
    "",
    SUM(1/(1+POWER(10,-(Y14-_xlpm.elos)/_xlpm.diffscale)))-0.5)
)</f>
        <v/>
      </c>
      <c r="Z16" t="str" cm="1">
        <f t="array" ref="Z16">_xlfn.LET(
  _xlpm.colj, _xlfn._xlws.FILTER(IF(ISNUMBER(15:15), COLUMN(15:15)), ISNUMBER(15:15)),
  _xlpm.elos, INDEX(14:14,1,_xlpm.colj),
  _xlpm.diffscale, Constantes!$B$2,
  IF(Z15="",
    "",
    SUM(1/(1+POWER(10,-(Z14-_xlpm.elos)/_xlpm.diffscale)))-0.5)
)</f>
        <v/>
      </c>
      <c r="AA16" t="str" cm="1">
        <f t="array" ref="AA16">_xlfn.LET(
  _xlpm.colj, _xlfn._xlws.FILTER(IF(ISNUMBER(15:15), COLUMN(15:15)), ISNUMBER(15:15)),
  _xlpm.elos, INDEX(14:14,1,_xlpm.colj),
  _xlpm.diffscale, Constantes!$B$2,
  IF(AA15="",
    "",
    SUM(1/(1+POWER(10,-(AA14-_xlpm.elos)/_xlpm.diffscale)))-0.5)
)</f>
        <v/>
      </c>
      <c r="AB16" t="str" cm="1">
        <f t="array" ref="AB16">_xlfn.LET(
  _xlpm.colj, _xlfn._xlws.FILTER(IF(ISNUMBER(15:15), COLUMN(15:15)), ISNUMBER(15:15)),
  _xlpm.elos, INDEX(14:14,1,_xlpm.colj),
  _xlpm.diffscale, Constantes!$B$2,
  IF(AB15="",
    "",
    SUM(1/(1+POWER(10,-(AB14-_xlpm.elos)/_xlpm.diffscale)))-0.5)
)</f>
        <v/>
      </c>
      <c r="AC16" t="str" cm="1">
        <f t="array" ref="AC16">_xlfn.LET(
  _xlpm.colj, _xlfn._xlws.FILTER(IF(ISNUMBER(15:15), COLUMN(15:15)), ISNUMBER(15:15)),
  _xlpm.elos, INDEX(14:14,1,_xlpm.colj),
  _xlpm.diffscale, Constantes!$B$2,
  IF(AC15="",
    "",
    SUM(1/(1+POWER(10,-(AC14-_xlpm.elos)/_xlpm.diffscale)))-0.5)
)</f>
        <v/>
      </c>
      <c r="AD16" t="str" cm="1">
        <f t="array" ref="AD16">_xlfn.LET(
  _xlpm.colj, _xlfn._xlws.FILTER(IF(ISNUMBER(15:15), COLUMN(15:15)), ISNUMBER(15:15)),
  _xlpm.elos, INDEX(14:14,1,_xlpm.colj),
  _xlpm.diffscale, Constantes!$B$2,
  IF(AD15="",
    "",
    SUM(1/(1+POWER(10,-(AD14-_xlpm.elos)/_xlpm.diffscale)))-0.5)
)</f>
        <v/>
      </c>
      <c r="AE16" t="str" cm="1">
        <f t="array" ref="AE16">_xlfn.LET(
  _xlpm.colj, _xlfn._xlws.FILTER(IF(ISNUMBER(15:15), COLUMN(15:15)), ISNUMBER(15:15)),
  _xlpm.elos, INDEX(14:14,1,_xlpm.colj),
  _xlpm.diffscale, Constantes!$B$2,
  IF(AE15="",
    "",
    SUM(1/(1+POWER(10,-(AE14-_xlpm.elos)/_xlpm.diffscale)))-0.5)
)</f>
        <v/>
      </c>
      <c r="AF16" t="str" cm="1">
        <f t="array" ref="AF16">_xlfn.LET(
  _xlpm.colj, _xlfn._xlws.FILTER(IF(ISNUMBER(15:15), COLUMN(15:15)), ISNUMBER(15:15)),
  _xlpm.elos, INDEX(14:14,1,_xlpm.colj),
  _xlpm.diffscale, Constantes!$B$2,
  IF(AF15="",
    "",
    SUM(1/(1+POWER(10,-(AF14-_xlpm.elos)/_xlpm.diffscale)))-0.5)
)</f>
        <v/>
      </c>
      <c r="AG16" t="str" cm="1">
        <f t="array" ref="AG16">_xlfn.LET(
  _xlpm.colj, _xlfn._xlws.FILTER(IF(ISNUMBER(15:15), COLUMN(15:15)), ISNUMBER(15:15)),
  _xlpm.elos, INDEX(14:14,1,_xlpm.colj),
  _xlpm.diffscale, Constantes!$B$2,
  IF(AG15="",
    "",
    SUM(1/(1+POWER(10,-(AG14-_xlpm.elos)/_xlpm.diffscale)))-0.5)
)</f>
        <v/>
      </c>
      <c r="AH16" t="str" cm="1">
        <f t="array" ref="AH16">_xlfn.LET(
  _xlpm.colj, _xlfn._xlws.FILTER(IF(ISNUMBER(15:15), COLUMN(15:15)), ISNUMBER(15:15)),
  _xlpm.elos, INDEX(14:14,1,_xlpm.colj),
  _xlpm.diffscale, Constantes!$B$2,
  IF(AH15="",
    "",
    SUM(1/(1+POWER(10,-(AH14-_xlpm.elos)/_xlpm.diffscale)))-0.5)
)</f>
        <v/>
      </c>
      <c r="AI16" t="str" cm="1">
        <f t="array" ref="AI16">_xlfn.LET(
  _xlpm.colj, _xlfn._xlws.FILTER(IF(ISNUMBER(15:15), COLUMN(15:15)), ISNUMBER(15:15)),
  _xlpm.elos, INDEX(14:14,1,_xlpm.colj),
  _xlpm.diffscale, Constantes!$B$2,
  IF(AI15="",
    "",
    SUM(1/(1+POWER(10,-(AI14-_xlpm.elos)/_xlpm.diffscale)))-0.5)
)</f>
        <v/>
      </c>
      <c r="AJ16" t="str" cm="1">
        <f t="array" ref="AJ16">_xlfn.LET(
  _xlpm.colj, _xlfn._xlws.FILTER(IF(ISNUMBER(15:15), COLUMN(15:15)), ISNUMBER(15:15)),
  _xlpm.elos, INDEX(14:14,1,_xlpm.colj),
  _xlpm.diffscale, Constantes!$B$2,
  IF(AJ15="",
    "",
    SUM(1/(1+POWER(10,-(AJ14-_xlpm.elos)/_xlpm.diffscale)))-0.5)
)</f>
        <v/>
      </c>
      <c r="AK16" t="str" cm="1">
        <f t="array" ref="AK16">_xlfn.LET(
  _xlpm.colj, _xlfn._xlws.FILTER(IF(ISNUMBER(15:15), COLUMN(15:15)), ISNUMBER(15:15)),
  _xlpm.elos, INDEX(14:14,1,_xlpm.colj),
  _xlpm.diffscale, Constantes!$B$2,
  IF(AK15="",
    "",
    SUM(1/(1+POWER(10,-(AK14-_xlpm.elos)/_xlpm.diffscale)))-0.5)
)</f>
        <v/>
      </c>
      <c r="AL16" t="str" cm="1">
        <f t="array" ref="AL16">_xlfn.LET(
  _xlpm.colj, _xlfn._xlws.FILTER(IF(ISNUMBER(15:15), COLUMN(15:15)), ISNUMBER(15:15)),
  _xlpm.elos, INDEX(14:14,1,_xlpm.colj),
  _xlpm.diffscale, Constantes!$B$2,
  IF(AL15="",
    "",
    SUM(1/(1+POWER(10,-(AL14-_xlpm.elos)/_xlpm.diffscale)))-0.5)
)</f>
        <v/>
      </c>
      <c r="AM16" t="str" cm="1">
        <f t="array" ref="AM16">_xlfn.LET(
  _xlpm.colj, _xlfn._xlws.FILTER(IF(ISNUMBER(15:15), COLUMN(15:15)), ISNUMBER(15:15)),
  _xlpm.elos, INDEX(14:14,1,_xlpm.colj),
  _xlpm.diffscale, Constantes!$B$2,
  IF(AM15="",
    "",
    SUM(1/(1+POWER(10,-(AM14-_xlpm.elos)/_xlpm.diffscale)))-0.5)
)</f>
        <v/>
      </c>
    </row>
    <row r="17" spans="1:39" x14ac:dyDescent="0.25">
      <c r="A17" t="s">
        <v>22</v>
      </c>
      <c r="D17" t="str" cm="1">
        <f t="array" ref="D17">_xlfn.LET(
  _xlpm.K, Constantes!$B$3,
  _xlpm.Knewgain, Constantes!$B$4,
  _xlpm.Knewscale, Constantes!$B$5,
  _xlpm.ptstables, INDEX(D:D, _xlfn.SEQUENCE(COUNTA($C$2:$C17), 1, 3, 4)),
  _xlpm.nbparties, COUNTA(_xlfn._xlws.FILTER(_xlpm.ptstables, _xlpm.ptstables &lt;&gt; "")),
  _xlpm.coef, _xlpm.K + _xlpm.Knewgain / (_xlpm.Knewscale + _xlpm.nbparties),
  IF(D15="",
    "",
    _xlpm.coef * (D15-D16))
)</f>
        <v/>
      </c>
      <c r="E17" cm="1">
        <f t="array" ref="E17">_xlfn.LET(
  _xlpm.K, Constantes!$B$3,
  _xlpm.Knewgain, Constantes!$B$4,
  _xlpm.Knewscale, Constantes!$B$5,
  _xlpm.ptstables, INDEX(E:E, _xlfn.SEQUENCE(COUNTA($C$2:$C17), 1, 3, 4)),
  _xlpm.nbparties, COUNTA(_xlfn._xlws.FILTER(_xlpm.ptstables, _xlpm.ptstables &lt;&gt; "")),
  _xlpm.coef, _xlpm.K + _xlpm.Knewgain / (_xlpm.Knewscale + _xlpm.nbparties),
  IF(E15="",
    "",
    _xlpm.coef * (E15-E16))
)</f>
        <v>30.819496952257381</v>
      </c>
      <c r="F17" cm="1">
        <f t="array" ref="F17">_xlfn.LET(
  _xlpm.K, Constantes!$B$3,
  _xlpm.Knewgain, Constantes!$B$4,
  _xlpm.Knewscale, Constantes!$B$5,
  _xlpm.ptstables, INDEX(F:F, _xlfn.SEQUENCE(COUNTA($C$2:$C17), 1, 3, 4)),
  _xlpm.nbparties, COUNTA(_xlfn._xlws.FILTER(_xlpm.ptstables, _xlpm.ptstables &lt;&gt; "")),
  _xlpm.coef, _xlpm.K + _xlpm.Knewgain / (_xlpm.Knewscale + _xlpm.nbparties),
  IF(F15="",
    "",
    _xlpm.coef * (F15-F16))
)</f>
        <v>38.829535070655375</v>
      </c>
      <c r="G17" cm="1">
        <f t="array" ref="G17">_xlfn.LET(
  _xlpm.K, Constantes!$B$3,
  _xlpm.Knewgain, Constantes!$B$4,
  _xlpm.Knewscale, Constantes!$B$5,
  _xlpm.ptstables, INDEX(G:G, _xlfn.SEQUENCE(COUNTA($C$2:$C17), 1, 3, 4)),
  _xlpm.nbparties, COUNTA(_xlfn._xlws.FILTER(_xlpm.ptstables, _xlpm.ptstables &lt;&gt; "")),
  _xlpm.coef, _xlpm.K + _xlpm.Knewgain / (_xlpm.Knewscale + _xlpm.nbparties),
  IF(G15="",
    "",
    _xlpm.coef * (G15-G16))
)</f>
        <v>-23.75122074341644</v>
      </c>
      <c r="H17" cm="1">
        <f t="array" ref="H17">_xlfn.LET(
  _xlpm.K, Constantes!$B$3,
  _xlpm.Knewgain, Constantes!$B$4,
  _xlpm.Knewscale, Constantes!$B$5,
  _xlpm.ptstables, INDEX(H:H, _xlfn.SEQUENCE(COUNTA($C$2:$C17), 1, 3, 4)),
  _xlpm.nbparties, COUNTA(_xlfn._xlws.FILTER(_xlpm.ptstables, _xlpm.ptstables &lt;&gt; "")),
  _xlpm.coef, _xlpm.K + _xlpm.Knewgain / (_xlpm.Knewscale + _xlpm.nbparties),
  IF(H15="",
    "",
    _xlpm.coef * (H15-H16))
)</f>
        <v>-56.097324897162189</v>
      </c>
      <c r="I17" t="str" cm="1">
        <f t="array" ref="I17">_xlfn.LET(
  _xlpm.K, Constantes!$B$3,
  _xlpm.Knewgain, Constantes!$B$4,
  _xlpm.Knewscale, Constantes!$B$5,
  _xlpm.ptstables, INDEX(I:I, _xlfn.SEQUENCE(COUNTA($C$2:$C17), 1, 3, 4)),
  _xlpm.nbparties, COUNTA(_xlfn._xlws.FILTER(_xlpm.ptstables, _xlpm.ptstables &lt;&gt; "")),
  _xlpm.coef, _xlpm.K + _xlpm.Knewgain / (_xlpm.Knewscale + _xlpm.nbparties),
  IF(I15="",
    "",
    _xlpm.coef * (I15-I16))
)</f>
        <v/>
      </c>
      <c r="J17" t="str" cm="1">
        <f t="array" ref="J17">_xlfn.LET(
  _xlpm.K, Constantes!$B$3,
  _xlpm.Knewgain, Constantes!$B$4,
  _xlpm.Knewscale, Constantes!$B$5,
  _xlpm.ptstables, INDEX(J:J, _xlfn.SEQUENCE(COUNTA($C$2:$C17), 1, 3, 4)),
  _xlpm.nbparties, COUNTA(_xlfn._xlws.FILTER(_xlpm.ptstables, _xlpm.ptstables &lt;&gt; "")),
  _xlpm.coef, _xlpm.K + _xlpm.Knewgain / (_xlpm.Knewscale + _xlpm.nbparties),
  IF(J15="",
    "",
    _xlpm.coef * (J15-J16))
)</f>
        <v/>
      </c>
      <c r="K17" t="str" cm="1">
        <f t="array" ref="K17">_xlfn.LET(
  _xlpm.K, Constantes!$B$3,
  _xlpm.Knewgain, Constantes!$B$4,
  _xlpm.Knewscale, Constantes!$B$5,
  _xlpm.ptstables, INDEX(K:K, _xlfn.SEQUENCE(COUNTA($C$2:$C17), 1, 3, 4)),
  _xlpm.nbparties, COUNTA(_xlfn._xlws.FILTER(_xlpm.ptstables, _xlpm.ptstables &lt;&gt; "")),
  _xlpm.coef, _xlpm.K + _xlpm.Knewgain / (_xlpm.Knewscale + _xlpm.nbparties),
  IF(K15="",
    "",
    _xlpm.coef * (K15-K16))
)</f>
        <v/>
      </c>
      <c r="L17" t="str" cm="1">
        <f t="array" ref="L17">_xlfn.LET(
  _xlpm.K, Constantes!$B$3,
  _xlpm.Knewgain, Constantes!$B$4,
  _xlpm.Knewscale, Constantes!$B$5,
  _xlpm.ptstables, INDEX(L:L, _xlfn.SEQUENCE(COUNTA($C$2:$C17), 1, 3, 4)),
  _xlpm.nbparties, COUNTA(_xlfn._xlws.FILTER(_xlpm.ptstables, _xlpm.ptstables &lt;&gt; "")),
  _xlpm.coef, _xlpm.K + _xlpm.Knewgain / (_xlpm.Knewscale + _xlpm.nbparties),
  IF(L15="",
    "",
    _xlpm.coef * (L15-L16))
)</f>
        <v/>
      </c>
      <c r="M17" t="str" cm="1">
        <f t="array" ref="M17">_xlfn.LET(
  _xlpm.K, Constantes!$B$3,
  _xlpm.Knewgain, Constantes!$B$4,
  _xlpm.Knewscale, Constantes!$B$5,
  _xlpm.ptstables, INDEX(M:M, _xlfn.SEQUENCE(COUNTA($C$2:$C17), 1, 3, 4)),
  _xlpm.nbparties, COUNTA(_xlfn._xlws.FILTER(_xlpm.ptstables, _xlpm.ptstables &lt;&gt; "")),
  _xlpm.coef, _xlpm.K + _xlpm.Knewgain / (_xlpm.Knewscale + _xlpm.nbparties),
  IF(M15="",
    "",
    _xlpm.coef * (M15-M16))
)</f>
        <v/>
      </c>
      <c r="N17" t="str" cm="1">
        <f t="array" ref="N17">_xlfn.LET(
  _xlpm.K, Constantes!$B$3,
  _xlpm.Knewgain, Constantes!$B$4,
  _xlpm.Knewscale, Constantes!$B$5,
  _xlpm.ptstables, INDEX(N:N, _xlfn.SEQUENCE(COUNTA($C$2:$C17), 1, 3, 4)),
  _xlpm.nbparties, COUNTA(_xlfn._xlws.FILTER(_xlpm.ptstables, _xlpm.ptstables &lt;&gt; "")),
  _xlpm.coef, _xlpm.K + _xlpm.Knewgain / (_xlpm.Knewscale + _xlpm.nbparties),
  IF(N15="",
    "",
    _xlpm.coef * (N15-N16))
)</f>
        <v/>
      </c>
      <c r="O17" t="str" cm="1">
        <f t="array" ref="O17">_xlfn.LET(
  _xlpm.K, Constantes!$B$3,
  _xlpm.Knewgain, Constantes!$B$4,
  _xlpm.Knewscale, Constantes!$B$5,
  _xlpm.ptstables, INDEX(O:O, _xlfn.SEQUENCE(COUNTA($C$2:$C17), 1, 3, 4)),
  _xlpm.nbparties, COUNTA(_xlfn._xlws.FILTER(_xlpm.ptstables, _xlpm.ptstables &lt;&gt; "")),
  _xlpm.coef, _xlpm.K + _xlpm.Knewgain / (_xlpm.Knewscale + _xlpm.nbparties),
  IF(O15="",
    "",
    _xlpm.coef * (O15-O16))
)</f>
        <v/>
      </c>
      <c r="P17" t="str" cm="1">
        <f t="array" ref="P17">_xlfn.LET(
  _xlpm.K, Constantes!$B$3,
  _xlpm.Knewgain, Constantes!$B$4,
  _xlpm.Knewscale, Constantes!$B$5,
  _xlpm.ptstables, INDEX(P:P, _xlfn.SEQUENCE(COUNTA($C$2:$C17), 1, 3, 4)),
  _xlpm.nbparties, COUNTA(_xlfn._xlws.FILTER(_xlpm.ptstables, _xlpm.ptstables &lt;&gt; "")),
  _xlpm.coef, _xlpm.K + _xlpm.Knewgain / (_xlpm.Knewscale + _xlpm.nbparties),
  IF(P15="",
    "",
    _xlpm.coef * (P15-P16))
)</f>
        <v/>
      </c>
      <c r="Q17" t="str" cm="1">
        <f t="array" ref="Q17">_xlfn.LET(
  _xlpm.K, Constantes!$B$3,
  _xlpm.Knewgain, Constantes!$B$4,
  _xlpm.Knewscale, Constantes!$B$5,
  _xlpm.ptstables, INDEX(Q:Q, _xlfn.SEQUENCE(COUNTA($C$2:$C17), 1, 3, 4)),
  _xlpm.nbparties, COUNTA(_xlfn._xlws.FILTER(_xlpm.ptstables, _xlpm.ptstables &lt;&gt; "")),
  _xlpm.coef, _xlpm.K + _xlpm.Knewgain / (_xlpm.Knewscale + _xlpm.nbparties),
  IF(Q15="",
    "",
    _xlpm.coef * (Q15-Q16))
)</f>
        <v/>
      </c>
      <c r="R17" t="str" cm="1">
        <f t="array" ref="R17">_xlfn.LET(
  _xlpm.K, Constantes!$B$3,
  _xlpm.Knewgain, Constantes!$B$4,
  _xlpm.Knewscale, Constantes!$B$5,
  _xlpm.ptstables, INDEX(R:R, _xlfn.SEQUENCE(COUNTA($C$2:$C17), 1, 3, 4)),
  _xlpm.nbparties, COUNTA(_xlfn._xlws.FILTER(_xlpm.ptstables, _xlpm.ptstables &lt;&gt; "")),
  _xlpm.coef, _xlpm.K + _xlpm.Knewgain / (_xlpm.Knewscale + _xlpm.nbparties),
  IF(R15="",
    "",
    _xlpm.coef * (R15-R16))
)</f>
        <v/>
      </c>
      <c r="S17" t="str" cm="1">
        <f t="array" ref="S17">_xlfn.LET(
  _xlpm.K, Constantes!$B$3,
  _xlpm.Knewgain, Constantes!$B$4,
  _xlpm.Knewscale, Constantes!$B$5,
  _xlpm.ptstables, INDEX(S:S, _xlfn.SEQUENCE(COUNTA($C$2:$C17), 1, 3, 4)),
  _xlpm.nbparties, COUNTA(_xlfn._xlws.FILTER(_xlpm.ptstables, _xlpm.ptstables &lt;&gt; "")),
  _xlpm.coef, _xlpm.K + _xlpm.Knewgain / (_xlpm.Knewscale + _xlpm.nbparties),
  IF(S15="",
    "",
    _xlpm.coef * (S15-S16))
)</f>
        <v/>
      </c>
      <c r="T17" t="str" cm="1">
        <f t="array" ref="T17">_xlfn.LET(
  _xlpm.K, Constantes!$B$3,
  _xlpm.Knewgain, Constantes!$B$4,
  _xlpm.Knewscale, Constantes!$B$5,
  _xlpm.ptstables, INDEX(T:T, _xlfn.SEQUENCE(COUNTA($C$2:$C17), 1, 3, 4)),
  _xlpm.nbparties, COUNTA(_xlfn._xlws.FILTER(_xlpm.ptstables, _xlpm.ptstables &lt;&gt; "")),
  _xlpm.coef, _xlpm.K + _xlpm.Knewgain / (_xlpm.Knewscale + _xlpm.nbparties),
  IF(T15="",
    "",
    _xlpm.coef * (T15-T16))
)</f>
        <v/>
      </c>
      <c r="U17" t="str" cm="1">
        <f t="array" ref="U17">_xlfn.LET(
  _xlpm.K, Constantes!$B$3,
  _xlpm.Knewgain, Constantes!$B$4,
  _xlpm.Knewscale, Constantes!$B$5,
  _xlpm.ptstables, INDEX(U:U, _xlfn.SEQUENCE(COUNTA($C$2:$C17), 1, 3, 4)),
  _xlpm.nbparties, COUNTA(_xlfn._xlws.FILTER(_xlpm.ptstables, _xlpm.ptstables &lt;&gt; "")),
  _xlpm.coef, _xlpm.K + _xlpm.Knewgain / (_xlpm.Knewscale + _xlpm.nbparties),
  IF(U15="",
    "",
    _xlpm.coef * (U15-U16))
)</f>
        <v/>
      </c>
      <c r="V17" t="str" cm="1">
        <f t="array" ref="V17">_xlfn.LET(
  _xlpm.K, Constantes!$B$3,
  _xlpm.Knewgain, Constantes!$B$4,
  _xlpm.Knewscale, Constantes!$B$5,
  _xlpm.ptstables, INDEX(V:V, _xlfn.SEQUENCE(COUNTA($C$2:$C17), 1, 3, 4)),
  _xlpm.nbparties, COUNTA(_xlfn._xlws.FILTER(_xlpm.ptstables, _xlpm.ptstables &lt;&gt; "")),
  _xlpm.coef, _xlpm.K + _xlpm.Knewgain / (_xlpm.Knewscale + _xlpm.nbparties),
  IF(V15="",
    "",
    _xlpm.coef * (V15-V16))
)</f>
        <v/>
      </c>
      <c r="W17" t="str" cm="1">
        <f t="array" ref="W17">_xlfn.LET(
  _xlpm.K, Constantes!$B$3,
  _xlpm.Knewgain, Constantes!$B$4,
  _xlpm.Knewscale, Constantes!$B$5,
  _xlpm.ptstables, INDEX(W:W, _xlfn.SEQUENCE(COUNTA($C$2:$C17), 1, 3, 4)),
  _xlpm.nbparties, COUNTA(_xlfn._xlws.FILTER(_xlpm.ptstables, _xlpm.ptstables &lt;&gt; "")),
  _xlpm.coef, _xlpm.K + _xlpm.Knewgain / (_xlpm.Knewscale + _xlpm.nbparties),
  IF(W15="",
    "",
    _xlpm.coef * (W15-W16))
)</f>
        <v/>
      </c>
      <c r="X17" t="str" cm="1">
        <f t="array" ref="X17">_xlfn.LET(
  _xlpm.K, Constantes!$B$3,
  _xlpm.Knewgain, Constantes!$B$4,
  _xlpm.Knewscale, Constantes!$B$5,
  _xlpm.ptstables, INDEX(X:X, _xlfn.SEQUENCE(COUNTA($C$2:$C17), 1, 3, 4)),
  _xlpm.nbparties, COUNTA(_xlfn._xlws.FILTER(_xlpm.ptstables, _xlpm.ptstables &lt;&gt; "")),
  _xlpm.coef, _xlpm.K + _xlpm.Knewgain / (_xlpm.Knewscale + _xlpm.nbparties),
  IF(X15="",
    "",
    _xlpm.coef * (X15-X16))
)</f>
        <v/>
      </c>
      <c r="Y17" t="str" cm="1">
        <f t="array" ref="Y17">_xlfn.LET(
  _xlpm.K, Constantes!$B$3,
  _xlpm.Knewgain, Constantes!$B$4,
  _xlpm.Knewscale, Constantes!$B$5,
  _xlpm.ptstables, INDEX(Y:Y, _xlfn.SEQUENCE(COUNTA($C$2:$C17), 1, 3, 4)),
  _xlpm.nbparties, COUNTA(_xlfn._xlws.FILTER(_xlpm.ptstables, _xlpm.ptstables &lt;&gt; "")),
  _xlpm.coef, _xlpm.K + _xlpm.Knewgain / (_xlpm.Knewscale + _xlpm.nbparties),
  IF(Y15="",
    "",
    _xlpm.coef * (Y15-Y16))
)</f>
        <v/>
      </c>
      <c r="Z17" t="str" cm="1">
        <f t="array" ref="Z17">_xlfn.LET(
  _xlpm.K, Constantes!$B$3,
  _xlpm.Knewgain, Constantes!$B$4,
  _xlpm.Knewscale, Constantes!$B$5,
  _xlpm.ptstables, INDEX(Z:Z, _xlfn.SEQUENCE(COUNTA($C$2:$C17), 1, 3, 4)),
  _xlpm.nbparties, COUNTA(_xlfn._xlws.FILTER(_xlpm.ptstables, _xlpm.ptstables &lt;&gt; "")),
  _xlpm.coef, _xlpm.K + _xlpm.Knewgain / (_xlpm.Knewscale + _xlpm.nbparties),
  IF(Z15="",
    "",
    _xlpm.coef * (Z15-Z16))
)</f>
        <v/>
      </c>
      <c r="AA17" t="str" cm="1">
        <f t="array" ref="AA17">_xlfn.LET(
  _xlpm.K, Constantes!$B$3,
  _xlpm.Knewgain, Constantes!$B$4,
  _xlpm.Knewscale, Constantes!$B$5,
  _xlpm.ptstables, INDEX(AA:AA, _xlfn.SEQUENCE(COUNTA($C$2:$C17), 1, 3, 4)),
  _xlpm.nbparties, COUNTA(_xlfn._xlws.FILTER(_xlpm.ptstables, _xlpm.ptstables &lt;&gt; "")),
  _xlpm.coef, _xlpm.K + _xlpm.Knewgain / (_xlpm.Knewscale + _xlpm.nbparties),
  IF(AA15="",
    "",
    _xlpm.coef * (AA15-AA16))
)</f>
        <v/>
      </c>
      <c r="AB17" t="str" cm="1">
        <f t="array" ref="AB17">_xlfn.LET(
  _xlpm.K, Constantes!$B$3,
  _xlpm.Knewgain, Constantes!$B$4,
  _xlpm.Knewscale, Constantes!$B$5,
  _xlpm.ptstables, INDEX(AB:AB, _xlfn.SEQUENCE(COUNTA($C$2:$C17), 1, 3, 4)),
  _xlpm.nbparties, COUNTA(_xlfn._xlws.FILTER(_xlpm.ptstables, _xlpm.ptstables &lt;&gt; "")),
  _xlpm.coef, _xlpm.K + _xlpm.Knewgain / (_xlpm.Knewscale + _xlpm.nbparties),
  IF(AB15="",
    "",
    _xlpm.coef * (AB15-AB16))
)</f>
        <v/>
      </c>
      <c r="AC17" t="str" cm="1">
        <f t="array" ref="AC17">_xlfn.LET(
  _xlpm.K, Constantes!$B$3,
  _xlpm.Knewgain, Constantes!$B$4,
  _xlpm.Knewscale, Constantes!$B$5,
  _xlpm.ptstables, INDEX(AC:AC, _xlfn.SEQUENCE(COUNTA($C$2:$C17), 1, 3, 4)),
  _xlpm.nbparties, COUNTA(_xlfn._xlws.FILTER(_xlpm.ptstables, _xlpm.ptstables &lt;&gt; "")),
  _xlpm.coef, _xlpm.K + _xlpm.Knewgain / (_xlpm.Knewscale + _xlpm.nbparties),
  IF(AC15="",
    "",
    _xlpm.coef * (AC15-AC16))
)</f>
        <v/>
      </c>
      <c r="AD17" t="str" cm="1">
        <f t="array" ref="AD17">_xlfn.LET(
  _xlpm.K, Constantes!$B$3,
  _xlpm.Knewgain, Constantes!$B$4,
  _xlpm.Knewscale, Constantes!$B$5,
  _xlpm.ptstables, INDEX(AD:AD, _xlfn.SEQUENCE(COUNTA($C$2:$C17), 1, 3, 4)),
  _xlpm.nbparties, COUNTA(_xlfn._xlws.FILTER(_xlpm.ptstables, _xlpm.ptstables &lt;&gt; "")),
  _xlpm.coef, _xlpm.K + _xlpm.Knewgain / (_xlpm.Knewscale + _xlpm.nbparties),
  IF(AD15="",
    "",
    _xlpm.coef * (AD15-AD16))
)</f>
        <v/>
      </c>
      <c r="AE17" t="str" cm="1">
        <f t="array" ref="AE17">_xlfn.LET(
  _xlpm.K, Constantes!$B$3,
  _xlpm.Knewgain, Constantes!$B$4,
  _xlpm.Knewscale, Constantes!$B$5,
  _xlpm.ptstables, INDEX(AE:AE, _xlfn.SEQUENCE(COUNTA($C$2:$C17), 1, 3, 4)),
  _xlpm.nbparties, COUNTA(_xlfn._xlws.FILTER(_xlpm.ptstables, _xlpm.ptstables &lt;&gt; "")),
  _xlpm.coef, _xlpm.K + _xlpm.Knewgain / (_xlpm.Knewscale + _xlpm.nbparties),
  IF(AE15="",
    "",
    _xlpm.coef * (AE15-AE16))
)</f>
        <v/>
      </c>
      <c r="AF17" t="str" cm="1">
        <f t="array" ref="AF17">_xlfn.LET(
  _xlpm.K, Constantes!$B$3,
  _xlpm.Knewgain, Constantes!$B$4,
  _xlpm.Knewscale, Constantes!$B$5,
  _xlpm.ptstables, INDEX(AF:AF, _xlfn.SEQUENCE(COUNTA($C$2:$C17), 1, 3, 4)),
  _xlpm.nbparties, COUNTA(_xlfn._xlws.FILTER(_xlpm.ptstables, _xlpm.ptstables &lt;&gt; "")),
  _xlpm.coef, _xlpm.K + _xlpm.Knewgain / (_xlpm.Knewscale + _xlpm.nbparties),
  IF(AF15="",
    "",
    _xlpm.coef * (AF15-AF16))
)</f>
        <v/>
      </c>
      <c r="AG17" t="str" cm="1">
        <f t="array" ref="AG17">_xlfn.LET(
  _xlpm.K, Constantes!$B$3,
  _xlpm.Knewgain, Constantes!$B$4,
  _xlpm.Knewscale, Constantes!$B$5,
  _xlpm.ptstables, INDEX(AG:AG, _xlfn.SEQUENCE(COUNTA($C$2:$C17), 1, 3, 4)),
  _xlpm.nbparties, COUNTA(_xlfn._xlws.FILTER(_xlpm.ptstables, _xlpm.ptstables &lt;&gt; "")),
  _xlpm.coef, _xlpm.K + _xlpm.Knewgain / (_xlpm.Knewscale + _xlpm.nbparties),
  IF(AG15="",
    "",
    _xlpm.coef * (AG15-AG16))
)</f>
        <v/>
      </c>
      <c r="AH17" t="str" cm="1">
        <f t="array" ref="AH17">_xlfn.LET(
  _xlpm.K, Constantes!$B$3,
  _xlpm.Knewgain, Constantes!$B$4,
  _xlpm.Knewscale, Constantes!$B$5,
  _xlpm.ptstables, INDEX(AH:AH, _xlfn.SEQUENCE(COUNTA($C$2:$C17), 1, 3, 4)),
  _xlpm.nbparties, COUNTA(_xlfn._xlws.FILTER(_xlpm.ptstables, _xlpm.ptstables &lt;&gt; "")),
  _xlpm.coef, _xlpm.K + _xlpm.Knewgain / (_xlpm.Knewscale + _xlpm.nbparties),
  IF(AH15="",
    "",
    _xlpm.coef * (AH15-AH16))
)</f>
        <v/>
      </c>
      <c r="AI17" t="str" cm="1">
        <f t="array" ref="AI17">_xlfn.LET(
  _xlpm.K, Constantes!$B$3,
  _xlpm.Knewgain, Constantes!$B$4,
  _xlpm.Knewscale, Constantes!$B$5,
  _xlpm.ptstables, INDEX(AI:AI, _xlfn.SEQUENCE(COUNTA($C$2:$C17), 1, 3, 4)),
  _xlpm.nbparties, COUNTA(_xlfn._xlws.FILTER(_xlpm.ptstables, _xlpm.ptstables &lt;&gt; "")),
  _xlpm.coef, _xlpm.K + _xlpm.Knewgain / (_xlpm.Knewscale + _xlpm.nbparties),
  IF(AI15="",
    "",
    _xlpm.coef * (AI15-AI16))
)</f>
        <v/>
      </c>
      <c r="AJ17" t="str" cm="1">
        <f t="array" ref="AJ17">_xlfn.LET(
  _xlpm.K, Constantes!$B$3,
  _xlpm.Knewgain, Constantes!$B$4,
  _xlpm.Knewscale, Constantes!$B$5,
  _xlpm.ptstables, INDEX(AJ:AJ, _xlfn.SEQUENCE(COUNTA($C$2:$C17), 1, 3, 4)),
  _xlpm.nbparties, COUNTA(_xlfn._xlws.FILTER(_xlpm.ptstables, _xlpm.ptstables &lt;&gt; "")),
  _xlpm.coef, _xlpm.K + _xlpm.Knewgain / (_xlpm.Knewscale + _xlpm.nbparties),
  IF(AJ15="",
    "",
    _xlpm.coef * (AJ15-AJ16))
)</f>
        <v/>
      </c>
      <c r="AK17" t="str" cm="1">
        <f t="array" ref="AK17">_xlfn.LET(
  _xlpm.K, Constantes!$B$3,
  _xlpm.Knewgain, Constantes!$B$4,
  _xlpm.Knewscale, Constantes!$B$5,
  _xlpm.ptstables, INDEX(AK:AK, _xlfn.SEQUENCE(COUNTA($C$2:$C17), 1, 3, 4)),
  _xlpm.nbparties, COUNTA(_xlfn._xlws.FILTER(_xlpm.ptstables, _xlpm.ptstables &lt;&gt; "")),
  _xlpm.coef, _xlpm.K + _xlpm.Knewgain / (_xlpm.Knewscale + _xlpm.nbparties),
  IF(AK15="",
    "",
    _xlpm.coef * (AK15-AK16))
)</f>
        <v/>
      </c>
      <c r="AL17" t="str" cm="1">
        <f t="array" ref="AL17">_xlfn.LET(
  _xlpm.K, Constantes!$B$3,
  _xlpm.Knewgain, Constantes!$B$4,
  _xlpm.Knewscale, Constantes!$B$5,
  _xlpm.ptstables, INDEX(AL:AL, _xlfn.SEQUENCE(COUNTA($C$2:$C17), 1, 3, 4)),
  _xlpm.nbparties, COUNTA(_xlfn._xlws.FILTER(_xlpm.ptstables, _xlpm.ptstables &lt;&gt; "")),
  _xlpm.coef, _xlpm.K + _xlpm.Knewgain / (_xlpm.Knewscale + _xlpm.nbparties),
  IF(AL15="",
    "",
    _xlpm.coef * (AL15-AL16))
)</f>
        <v/>
      </c>
      <c r="AM17" t="str" cm="1">
        <f t="array" ref="AM17">_xlfn.LET(
  _xlpm.K, Constantes!$B$3,
  _xlpm.Knewgain, Constantes!$B$4,
  _xlpm.Knewscale, Constantes!$B$5,
  _xlpm.ptstables, INDEX(AM:AM, _xlfn.SEQUENCE(COUNTA($C$2:$C17), 1, 3, 4)),
  _xlpm.nbparties, COUNTA(_xlfn._xlws.FILTER(_xlpm.ptstables, _xlpm.ptstables &lt;&gt; "")),
  _xlpm.coef, _xlpm.K + _xlpm.Knewgain / (_xlpm.Knewscale + _xlpm.nbparties),
  IF(AM15="",
    "",
    _xlpm.coef * (AM15-AM16))
)</f>
        <v/>
      </c>
    </row>
    <row r="18" spans="1:39" x14ac:dyDescent="0.25">
      <c r="A18" t="s">
        <v>14</v>
      </c>
      <c r="B18" t="str" cm="1">
        <f t="array" ref="B1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</v>
      </c>
      <c r="C18" s="2" cm="1">
        <f t="array" ref="C18">IF(B18="","",
  INDEX(Donnees!F:F, MATCH(B18, Donnees!F:F, 0)+1))</f>
        <v>45906.588425925926</v>
      </c>
      <c r="D18">
        <f t="shared" ref="D18:AM18" si="12">D14+IF(D17="",0,D17)</f>
        <v>954.73774107621398</v>
      </c>
      <c r="E18">
        <f t="shared" si="12"/>
        <v>1159.0715645447078</v>
      </c>
      <c r="F18">
        <f t="shared" si="12"/>
        <v>921.0191489071301</v>
      </c>
      <c r="G18">
        <f t="shared" si="12"/>
        <v>1069.7993848829565</v>
      </c>
      <c r="H18">
        <f t="shared" si="12"/>
        <v>988.4903284592059</v>
      </c>
      <c r="I18">
        <f t="shared" si="12"/>
        <v>1000</v>
      </c>
      <c r="J18">
        <f t="shared" si="12"/>
        <v>1030.135</v>
      </c>
      <c r="K18">
        <f t="shared" si="12"/>
        <v>923.36</v>
      </c>
      <c r="L18">
        <f t="shared" si="12"/>
        <v>1000</v>
      </c>
      <c r="M18">
        <f t="shared" si="12"/>
        <v>1000</v>
      </c>
      <c r="N18">
        <f t="shared" si="12"/>
        <v>884.21</v>
      </c>
      <c r="O18">
        <f t="shared" si="12"/>
        <v>1000</v>
      </c>
      <c r="P18">
        <f t="shared" si="12"/>
        <v>993.13499999999999</v>
      </c>
      <c r="Q18">
        <f t="shared" si="12"/>
        <v>949.40499999999997</v>
      </c>
      <c r="R18">
        <f t="shared" si="12"/>
        <v>997.8</v>
      </c>
      <c r="S18">
        <f t="shared" si="12"/>
        <v>984.505</v>
      </c>
      <c r="T18">
        <f t="shared" si="12"/>
        <v>1029.905</v>
      </c>
      <c r="U18">
        <f t="shared" si="12"/>
        <v>1092.7849999999999</v>
      </c>
      <c r="V18">
        <f t="shared" si="12"/>
        <v>999.59500000000003</v>
      </c>
      <c r="W18">
        <f t="shared" si="12"/>
        <v>1000</v>
      </c>
      <c r="X18">
        <f t="shared" si="12"/>
        <v>899.53</v>
      </c>
      <c r="Y18">
        <f t="shared" si="12"/>
        <v>941.52</v>
      </c>
      <c r="Z18">
        <f t="shared" si="12"/>
        <v>1000</v>
      </c>
      <c r="AA18">
        <f t="shared" si="12"/>
        <v>1000</v>
      </c>
      <c r="AB18">
        <f t="shared" si="12"/>
        <v>979.56500000000005</v>
      </c>
      <c r="AC18">
        <f t="shared" si="12"/>
        <v>1032.51</v>
      </c>
      <c r="AD18">
        <f t="shared" si="12"/>
        <v>974.01499999999999</v>
      </c>
      <c r="AE18">
        <f t="shared" si="12"/>
        <v>1011.415</v>
      </c>
      <c r="AF18">
        <f t="shared" si="12"/>
        <v>1031.1199999999999</v>
      </c>
      <c r="AG18">
        <f t="shared" si="12"/>
        <v>1001.0350000000001</v>
      </c>
      <c r="AH18">
        <f t="shared" si="12"/>
        <v>994.44</v>
      </c>
      <c r="AI18">
        <f t="shared" si="12"/>
        <v>1000</v>
      </c>
      <c r="AJ18">
        <f t="shared" si="12"/>
        <v>957.2</v>
      </c>
      <c r="AK18">
        <f t="shared" si="12"/>
        <v>1000</v>
      </c>
      <c r="AL18">
        <f t="shared" si="12"/>
        <v>1055.9299999999998</v>
      </c>
      <c r="AM18">
        <f t="shared" si="12"/>
        <v>1000</v>
      </c>
    </row>
    <row r="19" spans="1:39" x14ac:dyDescent="0.25">
      <c r="A19" t="s">
        <v>21</v>
      </c>
      <c r="D19" cm="1">
        <f t="array" ref="D19">IFERROR(
  _xlfn.LET(
    _xlpm.ligpartie, MATCH($B18, Donnees!$F:$F, 0),
    _xlpm.joueurs, INDEX(Donnees!$A:$Z, _xlpm.ligpartie+1, _xlfn.SEQUENCE(1, 4, 2)),
    INDEX(
      Donnees!$A:$Z,
      _xlpm.ligpartie + 3,
      MATCH(D$1, _xlpm.joueurs, 0) + 1
    )
  ), ""
)</f>
        <v>3</v>
      </c>
      <c r="E19" t="str" cm="1">
        <f t="array" ref="E19">IFERROR(
  _xlfn.LET(
    _xlpm.ligpartie, MATCH($B18, Donnees!$F:$F, 0),
    _xlpm.joueurs, INDEX(Donnees!$A:$Z, _xlpm.ligpartie+1, _xlfn.SEQUENCE(1, 4, 2)),
    INDEX(
      Donnees!$A:$Z,
      _xlpm.ligpartie + 3,
      MATCH(E$1, _xlpm.joueurs, 0) + 1
    )
  ), ""
)</f>
        <v/>
      </c>
      <c r="F19" t="str" cm="1">
        <f t="array" ref="F19">IFERROR(
  _xlfn.LET(
    _xlpm.ligpartie, MATCH($B18, Donnees!$F:$F, 0),
    _xlpm.joueurs, INDEX(Donnees!$A:$Z, _xlpm.ligpartie+1, _xlfn.SEQUENCE(1, 4, 2)),
    INDEX(
      Donnees!$A:$Z,
      _xlpm.ligpartie + 3,
      MATCH(F$1, _xlpm.joueurs, 0) + 1
    )
  ), ""
)</f>
        <v/>
      </c>
      <c r="G19" t="str" cm="1">
        <f t="array" ref="G19">IFERROR(
  _xlfn.LET(
    _xlpm.ligpartie, MATCH($B18, Donnees!$F:$F, 0),
    _xlpm.joueurs, INDEX(Donnees!$A:$Z, _xlpm.ligpartie+1, _xlfn.SEQUENCE(1, 4, 2)),
    INDEX(
      Donnees!$A:$Z,
      _xlpm.ligpartie + 3,
      MATCH(G$1, _xlpm.joueurs, 0) + 1
    )
  ), ""
)</f>
        <v/>
      </c>
      <c r="H19" t="str" cm="1">
        <f t="array" ref="H19">IFERROR(
  _xlfn.LET(
    _xlpm.ligpartie, MATCH($B18, Donnees!$F:$F, 0),
    _xlpm.joueurs, INDEX(Donnees!$A:$Z, _xlpm.ligpartie+1, _xlfn.SEQUENCE(1, 4, 2)),
    INDEX(
      Donnees!$A:$Z,
      _xlpm.ligpartie + 3,
      MATCH(H$1, _xlpm.joueurs, 0) + 1
    )
  ), ""
)</f>
        <v/>
      </c>
      <c r="I19" cm="1">
        <f t="array" ref="I19">IFERROR(
  _xlfn.LET(
    _xlpm.ligpartie, MATCH($B18, Donnees!$F:$F, 0),
    _xlpm.joueurs, INDEX(Donnees!$A:$Z, _xlpm.ligpartie+1, _xlfn.SEQUENCE(1, 4, 2)),
    INDEX(
      Donnees!$A:$Z,
      _xlpm.ligpartie + 3,
      MATCH(I$1, _xlpm.joueurs, 0) + 1
    )
  ), ""
)</f>
        <v>2</v>
      </c>
      <c r="J19" cm="1">
        <f t="array" ref="J19">IFERROR(
  _xlfn.LET(
    _xlpm.ligpartie, MATCH($B18, Donnees!$F:$F, 0),
    _xlpm.joueurs, INDEX(Donnees!$A:$Z, _xlpm.ligpartie+1, _xlfn.SEQUENCE(1, 4, 2)),
    INDEX(
      Donnees!$A:$Z,
      _xlpm.ligpartie + 3,
      MATCH(J$1, _xlpm.joueurs, 0) + 1
    )
  ), ""
)</f>
        <v>0</v>
      </c>
      <c r="K19" cm="1">
        <f t="array" ref="K19">IFERROR(
  _xlfn.LET(
    _xlpm.ligpartie, MATCH($B18, Donnees!$F:$F, 0),
    _xlpm.joueurs, INDEX(Donnees!$A:$Z, _xlpm.ligpartie+1, _xlfn.SEQUENCE(1, 4, 2)),
    INDEX(
      Donnees!$A:$Z,
      _xlpm.ligpartie + 3,
      MATCH(K$1, _xlpm.joueurs, 0) + 1
    )
  ), ""
)</f>
        <v>1</v>
      </c>
      <c r="L19" t="str" cm="1">
        <f t="array" ref="L19">IFERROR(
  _xlfn.LET(
    _xlpm.ligpartie, MATCH($B18, Donnees!$F:$F, 0),
    _xlpm.joueurs, INDEX(Donnees!$A:$Z, _xlpm.ligpartie+1, _xlfn.SEQUENCE(1, 4, 2)),
    INDEX(
      Donnees!$A:$Z,
      _xlpm.ligpartie + 3,
      MATCH(L$1, _xlpm.joueurs, 0) + 1
    )
  ), ""
)</f>
        <v/>
      </c>
      <c r="M19" t="str" cm="1">
        <f t="array" ref="M19">IFERROR(
  _xlfn.LET(
    _xlpm.ligpartie, MATCH($B18, Donnees!$F:$F, 0),
    _xlpm.joueurs, INDEX(Donnees!$A:$Z, _xlpm.ligpartie+1, _xlfn.SEQUENCE(1, 4, 2)),
    INDEX(
      Donnees!$A:$Z,
      _xlpm.ligpartie + 3,
      MATCH(M$1, _xlpm.joueurs, 0) + 1
    )
  ), ""
)</f>
        <v/>
      </c>
      <c r="N19" t="str" cm="1">
        <f t="array" ref="N19">IFERROR(
  _xlfn.LET(
    _xlpm.ligpartie, MATCH($B18, Donnees!$F:$F, 0),
    _xlpm.joueurs, INDEX(Donnees!$A:$Z, _xlpm.ligpartie+1, _xlfn.SEQUENCE(1, 4, 2)),
    INDEX(
      Donnees!$A:$Z,
      _xlpm.ligpartie + 3,
      MATCH(N$1, _xlpm.joueurs, 0) + 1
    )
  ), ""
)</f>
        <v/>
      </c>
      <c r="O19" t="str" cm="1">
        <f t="array" ref="O19">IFERROR(
  _xlfn.LET(
    _xlpm.ligpartie, MATCH($B18, Donnees!$F:$F, 0),
    _xlpm.joueurs, INDEX(Donnees!$A:$Z, _xlpm.ligpartie+1, _xlfn.SEQUENCE(1, 4, 2)),
    INDEX(
      Donnees!$A:$Z,
      _xlpm.ligpartie + 3,
      MATCH(O$1, _xlpm.joueurs, 0) + 1
    )
  ), ""
)</f>
        <v/>
      </c>
      <c r="P19" t="str" cm="1">
        <f t="array" ref="P19">IFERROR(
  _xlfn.LET(
    _xlpm.ligpartie, MATCH($B18, Donnees!$F:$F, 0),
    _xlpm.joueurs, INDEX(Donnees!$A:$Z, _xlpm.ligpartie+1, _xlfn.SEQUENCE(1, 4, 2)),
    INDEX(
      Donnees!$A:$Z,
      _xlpm.ligpartie + 3,
      MATCH(P$1, _xlpm.joueurs, 0) + 1
    )
  ), ""
)</f>
        <v/>
      </c>
      <c r="Q19" t="str" cm="1">
        <f t="array" ref="Q19">IFERROR(
  _xlfn.LET(
    _xlpm.ligpartie, MATCH($B18, Donnees!$F:$F, 0),
    _xlpm.joueurs, INDEX(Donnees!$A:$Z, _xlpm.ligpartie+1, _xlfn.SEQUENCE(1, 4, 2)),
    INDEX(
      Donnees!$A:$Z,
      _xlpm.ligpartie + 3,
      MATCH(Q$1, _xlpm.joueurs, 0) + 1
    )
  ), ""
)</f>
        <v/>
      </c>
      <c r="R19" t="str" cm="1">
        <f t="array" ref="R19">IFERROR(
  _xlfn.LET(
    _xlpm.ligpartie, MATCH($B18, Donnees!$F:$F, 0),
    _xlpm.joueurs, INDEX(Donnees!$A:$Z, _xlpm.ligpartie+1, _xlfn.SEQUENCE(1, 4, 2)),
    INDEX(
      Donnees!$A:$Z,
      _xlpm.ligpartie + 3,
      MATCH(R$1, _xlpm.joueurs, 0) + 1
    )
  ), ""
)</f>
        <v/>
      </c>
      <c r="S19" t="str" cm="1">
        <f t="array" ref="S19">IFERROR(
  _xlfn.LET(
    _xlpm.ligpartie, MATCH($B18, Donnees!$F:$F, 0),
    _xlpm.joueurs, INDEX(Donnees!$A:$Z, _xlpm.ligpartie+1, _xlfn.SEQUENCE(1, 4, 2)),
    INDEX(
      Donnees!$A:$Z,
      _xlpm.ligpartie + 3,
      MATCH(S$1, _xlpm.joueurs, 0) + 1
    )
  ), ""
)</f>
        <v/>
      </c>
      <c r="T19" t="str" cm="1">
        <f t="array" ref="T19">IFERROR(
  _xlfn.LET(
    _xlpm.ligpartie, MATCH($B18, Donnees!$F:$F, 0),
    _xlpm.joueurs, INDEX(Donnees!$A:$Z, _xlpm.ligpartie+1, _xlfn.SEQUENCE(1, 4, 2)),
    INDEX(
      Donnees!$A:$Z,
      _xlpm.ligpartie + 3,
      MATCH(T$1, _xlpm.joueurs, 0) + 1
    )
  ), ""
)</f>
        <v/>
      </c>
      <c r="U19" t="str" cm="1">
        <f t="array" ref="U19">IFERROR(
  _xlfn.LET(
    _xlpm.ligpartie, MATCH($B18, Donnees!$F:$F, 0),
    _xlpm.joueurs, INDEX(Donnees!$A:$Z, _xlpm.ligpartie+1, _xlfn.SEQUENCE(1, 4, 2)),
    INDEX(
      Donnees!$A:$Z,
      _xlpm.ligpartie + 3,
      MATCH(U$1, _xlpm.joueurs, 0) + 1
    )
  ), ""
)</f>
        <v/>
      </c>
      <c r="V19" t="str" cm="1">
        <f t="array" ref="V19">IFERROR(
  _xlfn.LET(
    _xlpm.ligpartie, MATCH($B18, Donnees!$F:$F, 0),
    _xlpm.joueurs, INDEX(Donnees!$A:$Z, _xlpm.ligpartie+1, _xlfn.SEQUENCE(1, 4, 2)),
    INDEX(
      Donnees!$A:$Z,
      _xlpm.ligpartie + 3,
      MATCH(V$1, _xlpm.joueurs, 0) + 1
    )
  ), ""
)</f>
        <v/>
      </c>
      <c r="W19" t="str" cm="1">
        <f t="array" ref="W19">IFERROR(
  _xlfn.LET(
    _xlpm.ligpartie, MATCH($B18, Donnees!$F:$F, 0),
    _xlpm.joueurs, INDEX(Donnees!$A:$Z, _xlpm.ligpartie+1, _xlfn.SEQUENCE(1, 4, 2)),
    INDEX(
      Donnees!$A:$Z,
      _xlpm.ligpartie + 3,
      MATCH(W$1, _xlpm.joueurs, 0) + 1
    )
  ), ""
)</f>
        <v/>
      </c>
      <c r="X19" t="str" cm="1">
        <f t="array" ref="X19">IFERROR(
  _xlfn.LET(
    _xlpm.ligpartie, MATCH($B18, Donnees!$F:$F, 0),
    _xlpm.joueurs, INDEX(Donnees!$A:$Z, _xlpm.ligpartie+1, _xlfn.SEQUENCE(1, 4, 2)),
    INDEX(
      Donnees!$A:$Z,
      _xlpm.ligpartie + 3,
      MATCH(X$1, _xlpm.joueurs, 0) + 1
    )
  ), ""
)</f>
        <v/>
      </c>
      <c r="Y19" t="str" cm="1">
        <f t="array" ref="Y19">IFERROR(
  _xlfn.LET(
    _xlpm.ligpartie, MATCH($B18, Donnees!$F:$F, 0),
    _xlpm.joueurs, INDEX(Donnees!$A:$Z, _xlpm.ligpartie+1, _xlfn.SEQUENCE(1, 4, 2)),
    INDEX(
      Donnees!$A:$Z,
      _xlpm.ligpartie + 3,
      MATCH(Y$1, _xlpm.joueurs, 0) + 1
    )
  ), ""
)</f>
        <v/>
      </c>
      <c r="Z19" t="str" cm="1">
        <f t="array" ref="Z19">IFERROR(
  _xlfn.LET(
    _xlpm.ligpartie, MATCH($B18, Donnees!$F:$F, 0),
    _xlpm.joueurs, INDEX(Donnees!$A:$Z, _xlpm.ligpartie+1, _xlfn.SEQUENCE(1, 4, 2)),
    INDEX(
      Donnees!$A:$Z,
      _xlpm.ligpartie + 3,
      MATCH(Z$1, _xlpm.joueurs, 0) + 1
    )
  ), ""
)</f>
        <v/>
      </c>
      <c r="AA19" t="str" cm="1">
        <f t="array" ref="AA19">IFERROR(
  _xlfn.LET(
    _xlpm.ligpartie, MATCH($B18, Donnees!$F:$F, 0),
    _xlpm.joueurs, INDEX(Donnees!$A:$Z, _xlpm.ligpartie+1, _xlfn.SEQUENCE(1, 4, 2)),
    INDEX(
      Donnees!$A:$Z,
      _xlpm.ligpartie + 3,
      MATCH(AA$1, _xlpm.joueurs, 0) + 1
    )
  ), ""
)</f>
        <v/>
      </c>
      <c r="AB19" t="str" cm="1">
        <f t="array" ref="AB19">IFERROR(
  _xlfn.LET(
    _xlpm.ligpartie, MATCH($B18, Donnees!$F:$F, 0),
    _xlpm.joueurs, INDEX(Donnees!$A:$Z, _xlpm.ligpartie+1, _xlfn.SEQUENCE(1, 4, 2)),
    INDEX(
      Donnees!$A:$Z,
      _xlpm.ligpartie + 3,
      MATCH(AB$1, _xlpm.joueurs, 0) + 1
    )
  ), ""
)</f>
        <v/>
      </c>
      <c r="AC19" t="str" cm="1">
        <f t="array" ref="AC19">IFERROR(
  _xlfn.LET(
    _xlpm.ligpartie, MATCH($B18, Donnees!$F:$F, 0),
    _xlpm.joueurs, INDEX(Donnees!$A:$Z, _xlpm.ligpartie+1, _xlfn.SEQUENCE(1, 4, 2)),
    INDEX(
      Donnees!$A:$Z,
      _xlpm.ligpartie + 3,
      MATCH(AC$1, _xlpm.joueurs, 0) + 1
    )
  ), ""
)</f>
        <v/>
      </c>
      <c r="AD19" t="str" cm="1">
        <f t="array" ref="AD19">IFERROR(
  _xlfn.LET(
    _xlpm.ligpartie, MATCH($B18, Donnees!$F:$F, 0),
    _xlpm.joueurs, INDEX(Donnees!$A:$Z, _xlpm.ligpartie+1, _xlfn.SEQUENCE(1, 4, 2)),
    INDEX(
      Donnees!$A:$Z,
      _xlpm.ligpartie + 3,
      MATCH(AD$1, _xlpm.joueurs, 0) + 1
    )
  ), ""
)</f>
        <v/>
      </c>
      <c r="AE19" t="str" cm="1">
        <f t="array" ref="AE19">IFERROR(
  _xlfn.LET(
    _xlpm.ligpartie, MATCH($B18, Donnees!$F:$F, 0),
    _xlpm.joueurs, INDEX(Donnees!$A:$Z, _xlpm.ligpartie+1, _xlfn.SEQUENCE(1, 4, 2)),
    INDEX(
      Donnees!$A:$Z,
      _xlpm.ligpartie + 3,
      MATCH(AE$1, _xlpm.joueurs, 0) + 1
    )
  ), ""
)</f>
        <v/>
      </c>
      <c r="AF19" t="str" cm="1">
        <f t="array" ref="AF19">IFERROR(
  _xlfn.LET(
    _xlpm.ligpartie, MATCH($B18, Donnees!$F:$F, 0),
    _xlpm.joueurs, INDEX(Donnees!$A:$Z, _xlpm.ligpartie+1, _xlfn.SEQUENCE(1, 4, 2)),
    INDEX(
      Donnees!$A:$Z,
      _xlpm.ligpartie + 3,
      MATCH(AF$1, _xlpm.joueurs, 0) + 1
    )
  ), ""
)</f>
        <v/>
      </c>
      <c r="AG19" t="str" cm="1">
        <f t="array" ref="AG19">IFERROR(
  _xlfn.LET(
    _xlpm.ligpartie, MATCH($B18, Donnees!$F:$F, 0),
    _xlpm.joueurs, INDEX(Donnees!$A:$Z, _xlpm.ligpartie+1, _xlfn.SEQUENCE(1, 4, 2)),
    INDEX(
      Donnees!$A:$Z,
      _xlpm.ligpartie + 3,
      MATCH(AG$1, _xlpm.joueurs, 0) + 1
    )
  ), ""
)</f>
        <v/>
      </c>
      <c r="AH19" t="str" cm="1">
        <f t="array" ref="AH19">IFERROR(
  _xlfn.LET(
    _xlpm.ligpartie, MATCH($B18, Donnees!$F:$F, 0),
    _xlpm.joueurs, INDEX(Donnees!$A:$Z, _xlpm.ligpartie+1, _xlfn.SEQUENCE(1, 4, 2)),
    INDEX(
      Donnees!$A:$Z,
      _xlpm.ligpartie + 3,
      MATCH(AH$1, _xlpm.joueurs, 0) + 1
    )
  ), ""
)</f>
        <v/>
      </c>
      <c r="AI19" t="str" cm="1">
        <f t="array" ref="AI19">IFERROR(
  _xlfn.LET(
    _xlpm.ligpartie, MATCH($B18, Donnees!$F:$F, 0),
    _xlpm.joueurs, INDEX(Donnees!$A:$Z, _xlpm.ligpartie+1, _xlfn.SEQUENCE(1, 4, 2)),
    INDEX(
      Donnees!$A:$Z,
      _xlpm.ligpartie + 3,
      MATCH(AI$1, _xlpm.joueurs, 0) + 1
    )
  ), ""
)</f>
        <v/>
      </c>
      <c r="AJ19" t="str" cm="1">
        <f t="array" ref="AJ19">IFERROR(
  _xlfn.LET(
    _xlpm.ligpartie, MATCH($B18, Donnees!$F:$F, 0),
    _xlpm.joueurs, INDEX(Donnees!$A:$Z, _xlpm.ligpartie+1, _xlfn.SEQUENCE(1, 4, 2)),
    INDEX(
      Donnees!$A:$Z,
      _xlpm.ligpartie + 3,
      MATCH(AJ$1, _xlpm.joueurs, 0) + 1
    )
  ), ""
)</f>
        <v/>
      </c>
      <c r="AK19" t="str" cm="1">
        <f t="array" ref="AK19">IFERROR(
  _xlfn.LET(
    _xlpm.ligpartie, MATCH($B18, Donnees!$F:$F, 0),
    _xlpm.joueurs, INDEX(Donnees!$A:$Z, _xlpm.ligpartie+1, _xlfn.SEQUENCE(1, 4, 2)),
    INDEX(
      Donnees!$A:$Z,
      _xlpm.ligpartie + 3,
      MATCH(AK$1, _xlpm.joueurs, 0) + 1
    )
  ), ""
)</f>
        <v/>
      </c>
      <c r="AL19" t="str" cm="1">
        <f t="array" ref="AL19">IFERROR(
  _xlfn.LET(
    _xlpm.ligpartie, MATCH($B18, Donnees!$F:$F, 0),
    _xlpm.joueurs, INDEX(Donnees!$A:$Z, _xlpm.ligpartie+1, _xlfn.SEQUENCE(1, 4, 2)),
    INDEX(
      Donnees!$A:$Z,
      _xlpm.ligpartie + 3,
      MATCH(AL$1, _xlpm.joueurs, 0) + 1
    )
  ), ""
)</f>
        <v/>
      </c>
      <c r="AM19" t="str" cm="1">
        <f t="array" ref="AM19">IFERROR(
  _xlfn.LET(
    _xlpm.ligpartie, MATCH($B18, Donnees!$F:$F, 0),
    _xlpm.joueurs, INDEX(Donnees!$A:$Z, _xlpm.ligpartie+1, _xlfn.SEQUENCE(1, 4, 2)),
    INDEX(
      Donnees!$A:$Z,
      _xlpm.ligpartie + 3,
      MATCH(AM$1, _xlpm.joueurs, 0) + 1
    )
  ), ""
)</f>
        <v/>
      </c>
    </row>
    <row r="20" spans="1:39" x14ac:dyDescent="0.25">
      <c r="A20" t="s">
        <v>20</v>
      </c>
      <c r="D20" cm="1">
        <f t="array" ref="D20">_xlfn.LET(
  _xlpm.colj, _xlfn._xlws.FILTER(IF(ISNUMBER(19:19), COLUMN(19:19)), ISNUMBER(19:19)),
  _xlpm.elos, INDEX(18:18,1,_xlpm.colj),
  _xlpm.diffscale, Constantes!$B$2,
  IF(D19="",
    "",
    SUM(1/(1+POWER(10,-(D18-_xlpm.elos)/_xlpm.diffscale)))-0.5)
)</f>
        <v>1.3734286570063059</v>
      </c>
      <c r="E20" t="str" cm="1">
        <f t="array" ref="E20">_xlfn.LET(
  _xlpm.colj, _xlfn._xlws.FILTER(IF(ISNUMBER(19:19), COLUMN(19:19)), ISNUMBER(19:19)),
  _xlpm.elos, INDEX(18:18,1,_xlpm.colj),
  _xlpm.diffscale, Constantes!$B$2,
  IF(E19="",
    "",
    SUM(1/(1+POWER(10,-(E18-_xlpm.elos)/_xlpm.diffscale)))-0.5)
)</f>
        <v/>
      </c>
      <c r="F20" t="str" cm="1">
        <f t="array" ref="F20">_xlfn.LET(
  _xlpm.colj, _xlfn._xlws.FILTER(IF(ISNUMBER(19:19), COLUMN(19:19)), ISNUMBER(19:19)),
  _xlpm.elos, INDEX(18:18,1,_xlpm.colj),
  _xlpm.diffscale, Constantes!$B$2,
  IF(F19="",
    "",
    SUM(1/(1+POWER(10,-(F18-_xlpm.elos)/_xlpm.diffscale)))-0.5)
)</f>
        <v/>
      </c>
      <c r="G20" t="str" cm="1">
        <f t="array" ref="G20">_xlfn.LET(
  _xlpm.colj, _xlfn._xlws.FILTER(IF(ISNUMBER(19:19), COLUMN(19:19)), ISNUMBER(19:19)),
  _xlpm.elos, INDEX(18:18,1,_xlpm.colj),
  _xlpm.diffscale, Constantes!$B$2,
  IF(G19="",
    "",
    SUM(1/(1+POWER(10,-(G18-_xlpm.elos)/_xlpm.diffscale)))-0.5)
)</f>
        <v/>
      </c>
      <c r="H20" t="str" cm="1">
        <f t="array" ref="H20">_xlfn.LET(
  _xlpm.colj, _xlfn._xlws.FILTER(IF(ISNUMBER(19:19), COLUMN(19:19)), ISNUMBER(19:19)),
  _xlpm.elos, INDEX(18:18,1,_xlpm.colj),
  _xlpm.diffscale, Constantes!$B$2,
  IF(H19="",
    "",
    SUM(1/(1+POWER(10,-(H18-_xlpm.elos)/_xlpm.diffscale)))-0.5)
)</f>
        <v/>
      </c>
      <c r="I20" cm="1">
        <f t="array" ref="I20">_xlfn.LET(
  _xlpm.colj, _xlfn._xlws.FILTER(IF(ISNUMBER(19:19), COLUMN(19:19)), ISNUMBER(19:19)),
  _xlpm.elos, INDEX(18:18,1,_xlpm.colj),
  _xlpm.diffscale, Constantes!$B$2,
  IF(I19="",
    "",
    SUM(1/(1+POWER(10,-(I18-_xlpm.elos)/_xlpm.diffscale)))-0.5)
)</f>
        <v>1.6300513353501169</v>
      </c>
      <c r="J20" cm="1">
        <f t="array" ref="J20">_xlfn.LET(
  _xlpm.colj, _xlfn._xlws.FILTER(IF(ISNUMBER(19:19), COLUMN(19:19)), ISNUMBER(19:19)),
  _xlpm.elos, INDEX(18:18,1,_xlpm.colj),
  _xlpm.diffscale, Constantes!$B$2,
  IF(J19="",
    "",
    SUM(1/(1+POWER(10,-(J18-_xlpm.elos)/_xlpm.diffscale)))-0.5)
)</f>
        <v>1.7990928408591644</v>
      </c>
      <c r="K20" cm="1">
        <f t="array" ref="K20">_xlfn.LET(
  _xlpm.colj, _xlfn._xlws.FILTER(IF(ISNUMBER(19:19), COLUMN(19:19)), ISNUMBER(19:19)),
  _xlpm.elos, INDEX(18:18,1,_xlpm.colj),
  _xlpm.diffscale, Constantes!$B$2,
  IF(K19="",
    "",
    SUM(1/(1+POWER(10,-(K18-_xlpm.elos)/_xlpm.diffscale)))-0.5)
)</f>
        <v>1.1974271667844125</v>
      </c>
      <c r="L20" t="str" cm="1">
        <f t="array" ref="L20">_xlfn.LET(
  _xlpm.colj, _xlfn._xlws.FILTER(IF(ISNUMBER(19:19), COLUMN(19:19)), ISNUMBER(19:19)),
  _xlpm.elos, INDEX(18:18,1,_xlpm.colj),
  _xlpm.diffscale, Constantes!$B$2,
  IF(L19="",
    "",
    SUM(1/(1+POWER(10,-(L18-_xlpm.elos)/_xlpm.diffscale)))-0.5)
)</f>
        <v/>
      </c>
      <c r="M20" t="str" cm="1">
        <f t="array" ref="M20">_xlfn.LET(
  _xlpm.colj, _xlfn._xlws.FILTER(IF(ISNUMBER(19:19), COLUMN(19:19)), ISNUMBER(19:19)),
  _xlpm.elos, INDEX(18:18,1,_xlpm.colj),
  _xlpm.diffscale, Constantes!$B$2,
  IF(M19="",
    "",
    SUM(1/(1+POWER(10,-(M18-_xlpm.elos)/_xlpm.diffscale)))-0.5)
)</f>
        <v/>
      </c>
      <c r="N20" t="str" cm="1">
        <f t="array" ref="N20">_xlfn.LET(
  _xlpm.colj, _xlfn._xlws.FILTER(IF(ISNUMBER(19:19), COLUMN(19:19)), ISNUMBER(19:19)),
  _xlpm.elos, INDEX(18:18,1,_xlpm.colj),
  _xlpm.diffscale, Constantes!$B$2,
  IF(N19="",
    "",
    SUM(1/(1+POWER(10,-(N18-_xlpm.elos)/_xlpm.diffscale)))-0.5)
)</f>
        <v/>
      </c>
      <c r="O20" t="str" cm="1">
        <f t="array" ref="O20">_xlfn.LET(
  _xlpm.colj, _xlfn._xlws.FILTER(IF(ISNUMBER(19:19), COLUMN(19:19)), ISNUMBER(19:19)),
  _xlpm.elos, INDEX(18:18,1,_xlpm.colj),
  _xlpm.diffscale, Constantes!$B$2,
  IF(O19="",
    "",
    SUM(1/(1+POWER(10,-(O18-_xlpm.elos)/_xlpm.diffscale)))-0.5)
)</f>
        <v/>
      </c>
      <c r="P20" t="str" cm="1">
        <f t="array" ref="P20">_xlfn.LET(
  _xlpm.colj, _xlfn._xlws.FILTER(IF(ISNUMBER(19:19), COLUMN(19:19)), ISNUMBER(19:19)),
  _xlpm.elos, INDEX(18:18,1,_xlpm.colj),
  _xlpm.diffscale, Constantes!$B$2,
  IF(P19="",
    "",
    SUM(1/(1+POWER(10,-(P18-_xlpm.elos)/_xlpm.diffscale)))-0.5)
)</f>
        <v/>
      </c>
      <c r="Q20" t="str" cm="1">
        <f t="array" ref="Q20">_xlfn.LET(
  _xlpm.colj, _xlfn._xlws.FILTER(IF(ISNUMBER(19:19), COLUMN(19:19)), ISNUMBER(19:19)),
  _xlpm.elos, INDEX(18:18,1,_xlpm.colj),
  _xlpm.diffscale, Constantes!$B$2,
  IF(Q19="",
    "",
    SUM(1/(1+POWER(10,-(Q18-_xlpm.elos)/_xlpm.diffscale)))-0.5)
)</f>
        <v/>
      </c>
      <c r="R20" t="str" cm="1">
        <f t="array" ref="R20">_xlfn.LET(
  _xlpm.colj, _xlfn._xlws.FILTER(IF(ISNUMBER(19:19), COLUMN(19:19)), ISNUMBER(19:19)),
  _xlpm.elos, INDEX(18:18,1,_xlpm.colj),
  _xlpm.diffscale, Constantes!$B$2,
  IF(R19="",
    "",
    SUM(1/(1+POWER(10,-(R18-_xlpm.elos)/_xlpm.diffscale)))-0.5)
)</f>
        <v/>
      </c>
      <c r="S20" t="str" cm="1">
        <f t="array" ref="S20">_xlfn.LET(
  _xlpm.colj, _xlfn._xlws.FILTER(IF(ISNUMBER(19:19), COLUMN(19:19)), ISNUMBER(19:19)),
  _xlpm.elos, INDEX(18:18,1,_xlpm.colj),
  _xlpm.diffscale, Constantes!$B$2,
  IF(S19="",
    "",
    SUM(1/(1+POWER(10,-(S18-_xlpm.elos)/_xlpm.diffscale)))-0.5)
)</f>
        <v/>
      </c>
      <c r="T20" t="str" cm="1">
        <f t="array" ref="T20">_xlfn.LET(
  _xlpm.colj, _xlfn._xlws.FILTER(IF(ISNUMBER(19:19), COLUMN(19:19)), ISNUMBER(19:19)),
  _xlpm.elos, INDEX(18:18,1,_xlpm.colj),
  _xlpm.diffscale, Constantes!$B$2,
  IF(T19="",
    "",
    SUM(1/(1+POWER(10,-(T18-_xlpm.elos)/_xlpm.diffscale)))-0.5)
)</f>
        <v/>
      </c>
      <c r="U20" t="str" cm="1">
        <f t="array" ref="U20">_xlfn.LET(
  _xlpm.colj, _xlfn._xlws.FILTER(IF(ISNUMBER(19:19), COLUMN(19:19)), ISNUMBER(19:19)),
  _xlpm.elos, INDEX(18:18,1,_xlpm.colj),
  _xlpm.diffscale, Constantes!$B$2,
  IF(U19="",
    "",
    SUM(1/(1+POWER(10,-(U18-_xlpm.elos)/_xlpm.diffscale)))-0.5)
)</f>
        <v/>
      </c>
      <c r="V20" t="str" cm="1">
        <f t="array" ref="V20">_xlfn.LET(
  _xlpm.colj, _xlfn._xlws.FILTER(IF(ISNUMBER(19:19), COLUMN(19:19)), ISNUMBER(19:19)),
  _xlpm.elos, INDEX(18:18,1,_xlpm.colj),
  _xlpm.diffscale, Constantes!$B$2,
  IF(V19="",
    "",
    SUM(1/(1+POWER(10,-(V18-_xlpm.elos)/_xlpm.diffscale)))-0.5)
)</f>
        <v/>
      </c>
      <c r="W20" t="str" cm="1">
        <f t="array" ref="W20">_xlfn.LET(
  _xlpm.colj, _xlfn._xlws.FILTER(IF(ISNUMBER(19:19), COLUMN(19:19)), ISNUMBER(19:19)),
  _xlpm.elos, INDEX(18:18,1,_xlpm.colj),
  _xlpm.diffscale, Constantes!$B$2,
  IF(W19="",
    "",
    SUM(1/(1+POWER(10,-(W18-_xlpm.elos)/_xlpm.diffscale)))-0.5)
)</f>
        <v/>
      </c>
      <c r="X20" t="str" cm="1">
        <f t="array" ref="X20">_xlfn.LET(
  _xlpm.colj, _xlfn._xlws.FILTER(IF(ISNUMBER(19:19), COLUMN(19:19)), ISNUMBER(19:19)),
  _xlpm.elos, INDEX(18:18,1,_xlpm.colj),
  _xlpm.diffscale, Constantes!$B$2,
  IF(X19="",
    "",
    SUM(1/(1+POWER(10,-(X18-_xlpm.elos)/_xlpm.diffscale)))-0.5)
)</f>
        <v/>
      </c>
      <c r="Y20" t="str" cm="1">
        <f t="array" ref="Y20">_xlfn.LET(
  _xlpm.colj, _xlfn._xlws.FILTER(IF(ISNUMBER(19:19), COLUMN(19:19)), ISNUMBER(19:19)),
  _xlpm.elos, INDEX(18:18,1,_xlpm.colj),
  _xlpm.diffscale, Constantes!$B$2,
  IF(Y19="",
    "",
    SUM(1/(1+POWER(10,-(Y18-_xlpm.elos)/_xlpm.diffscale)))-0.5)
)</f>
        <v/>
      </c>
      <c r="Z20" t="str" cm="1">
        <f t="array" ref="Z20">_xlfn.LET(
  _xlpm.colj, _xlfn._xlws.FILTER(IF(ISNUMBER(19:19), COLUMN(19:19)), ISNUMBER(19:19)),
  _xlpm.elos, INDEX(18:18,1,_xlpm.colj),
  _xlpm.diffscale, Constantes!$B$2,
  IF(Z19="",
    "",
    SUM(1/(1+POWER(10,-(Z18-_xlpm.elos)/_xlpm.diffscale)))-0.5)
)</f>
        <v/>
      </c>
      <c r="AA20" t="str" cm="1">
        <f t="array" ref="AA20">_xlfn.LET(
  _xlpm.colj, _xlfn._xlws.FILTER(IF(ISNUMBER(19:19), COLUMN(19:19)), ISNUMBER(19:19)),
  _xlpm.elos, INDEX(18:18,1,_xlpm.colj),
  _xlpm.diffscale, Constantes!$B$2,
  IF(AA19="",
    "",
    SUM(1/(1+POWER(10,-(AA18-_xlpm.elos)/_xlpm.diffscale)))-0.5)
)</f>
        <v/>
      </c>
      <c r="AB20" t="str" cm="1">
        <f t="array" ref="AB20">_xlfn.LET(
  _xlpm.colj, _xlfn._xlws.FILTER(IF(ISNUMBER(19:19), COLUMN(19:19)), ISNUMBER(19:19)),
  _xlpm.elos, INDEX(18:18,1,_xlpm.colj),
  _xlpm.diffscale, Constantes!$B$2,
  IF(AB19="",
    "",
    SUM(1/(1+POWER(10,-(AB18-_xlpm.elos)/_xlpm.diffscale)))-0.5)
)</f>
        <v/>
      </c>
      <c r="AC20" t="str" cm="1">
        <f t="array" ref="AC20">_xlfn.LET(
  _xlpm.colj, _xlfn._xlws.FILTER(IF(ISNUMBER(19:19), COLUMN(19:19)), ISNUMBER(19:19)),
  _xlpm.elos, INDEX(18:18,1,_xlpm.colj),
  _xlpm.diffscale, Constantes!$B$2,
  IF(AC19="",
    "",
    SUM(1/(1+POWER(10,-(AC18-_xlpm.elos)/_xlpm.diffscale)))-0.5)
)</f>
        <v/>
      </c>
      <c r="AD20" t="str" cm="1">
        <f t="array" ref="AD20">_xlfn.LET(
  _xlpm.colj, _xlfn._xlws.FILTER(IF(ISNUMBER(19:19), COLUMN(19:19)), ISNUMBER(19:19)),
  _xlpm.elos, INDEX(18:18,1,_xlpm.colj),
  _xlpm.diffscale, Constantes!$B$2,
  IF(AD19="",
    "",
    SUM(1/(1+POWER(10,-(AD18-_xlpm.elos)/_xlpm.diffscale)))-0.5)
)</f>
        <v/>
      </c>
      <c r="AE20" t="str" cm="1">
        <f t="array" ref="AE20">_xlfn.LET(
  _xlpm.colj, _xlfn._xlws.FILTER(IF(ISNUMBER(19:19), COLUMN(19:19)), ISNUMBER(19:19)),
  _xlpm.elos, INDEX(18:18,1,_xlpm.colj),
  _xlpm.diffscale, Constantes!$B$2,
  IF(AE19="",
    "",
    SUM(1/(1+POWER(10,-(AE18-_xlpm.elos)/_xlpm.diffscale)))-0.5)
)</f>
        <v/>
      </c>
      <c r="AF20" t="str" cm="1">
        <f t="array" ref="AF20">_xlfn.LET(
  _xlpm.colj, _xlfn._xlws.FILTER(IF(ISNUMBER(19:19), COLUMN(19:19)), ISNUMBER(19:19)),
  _xlpm.elos, INDEX(18:18,1,_xlpm.colj),
  _xlpm.diffscale, Constantes!$B$2,
  IF(AF19="",
    "",
    SUM(1/(1+POWER(10,-(AF18-_xlpm.elos)/_xlpm.diffscale)))-0.5)
)</f>
        <v/>
      </c>
      <c r="AG20" t="str" cm="1">
        <f t="array" ref="AG20">_xlfn.LET(
  _xlpm.colj, _xlfn._xlws.FILTER(IF(ISNUMBER(19:19), COLUMN(19:19)), ISNUMBER(19:19)),
  _xlpm.elos, INDEX(18:18,1,_xlpm.colj),
  _xlpm.diffscale, Constantes!$B$2,
  IF(AG19="",
    "",
    SUM(1/(1+POWER(10,-(AG18-_xlpm.elos)/_xlpm.diffscale)))-0.5)
)</f>
        <v/>
      </c>
      <c r="AH20" t="str" cm="1">
        <f t="array" ref="AH20">_xlfn.LET(
  _xlpm.colj, _xlfn._xlws.FILTER(IF(ISNUMBER(19:19), COLUMN(19:19)), ISNUMBER(19:19)),
  _xlpm.elos, INDEX(18:18,1,_xlpm.colj),
  _xlpm.diffscale, Constantes!$B$2,
  IF(AH19="",
    "",
    SUM(1/(1+POWER(10,-(AH18-_xlpm.elos)/_xlpm.diffscale)))-0.5)
)</f>
        <v/>
      </c>
      <c r="AI20" t="str" cm="1">
        <f t="array" ref="AI20">_xlfn.LET(
  _xlpm.colj, _xlfn._xlws.FILTER(IF(ISNUMBER(19:19), COLUMN(19:19)), ISNUMBER(19:19)),
  _xlpm.elos, INDEX(18:18,1,_xlpm.colj),
  _xlpm.diffscale, Constantes!$B$2,
  IF(AI19="",
    "",
    SUM(1/(1+POWER(10,-(AI18-_xlpm.elos)/_xlpm.diffscale)))-0.5)
)</f>
        <v/>
      </c>
      <c r="AJ20" t="str" cm="1">
        <f t="array" ref="AJ20">_xlfn.LET(
  _xlpm.colj, _xlfn._xlws.FILTER(IF(ISNUMBER(19:19), COLUMN(19:19)), ISNUMBER(19:19)),
  _xlpm.elos, INDEX(18:18,1,_xlpm.colj),
  _xlpm.diffscale, Constantes!$B$2,
  IF(AJ19="",
    "",
    SUM(1/(1+POWER(10,-(AJ18-_xlpm.elos)/_xlpm.diffscale)))-0.5)
)</f>
        <v/>
      </c>
      <c r="AK20" t="str" cm="1">
        <f t="array" ref="AK20">_xlfn.LET(
  _xlpm.colj, _xlfn._xlws.FILTER(IF(ISNUMBER(19:19), COLUMN(19:19)), ISNUMBER(19:19)),
  _xlpm.elos, INDEX(18:18,1,_xlpm.colj),
  _xlpm.diffscale, Constantes!$B$2,
  IF(AK19="",
    "",
    SUM(1/(1+POWER(10,-(AK18-_xlpm.elos)/_xlpm.diffscale)))-0.5)
)</f>
        <v/>
      </c>
      <c r="AL20" t="str" cm="1">
        <f t="array" ref="AL20">_xlfn.LET(
  _xlpm.colj, _xlfn._xlws.FILTER(IF(ISNUMBER(19:19), COLUMN(19:19)), ISNUMBER(19:19)),
  _xlpm.elos, INDEX(18:18,1,_xlpm.colj),
  _xlpm.diffscale, Constantes!$B$2,
  IF(AL19="",
    "",
    SUM(1/(1+POWER(10,-(AL18-_xlpm.elos)/_xlpm.diffscale)))-0.5)
)</f>
        <v/>
      </c>
      <c r="AM20" t="str" cm="1">
        <f t="array" ref="AM20">_xlfn.LET(
  _xlpm.colj, _xlfn._xlws.FILTER(IF(ISNUMBER(19:19), COLUMN(19:19)), ISNUMBER(19:19)),
  _xlpm.elos, INDEX(18:18,1,_xlpm.colj),
  _xlpm.diffscale, Constantes!$B$2,
  IF(AM19="",
    "",
    SUM(1/(1+POWER(10,-(AM18-_xlpm.elos)/_xlpm.diffscale)))-0.5)
)</f>
        <v/>
      </c>
    </row>
    <row r="21" spans="1:39" x14ac:dyDescent="0.25">
      <c r="A21" t="s">
        <v>22</v>
      </c>
      <c r="D21" cm="1">
        <f t="array" ref="D21">_xlfn.LET(
  _xlpm.K, Constantes!$B$3,
  _xlpm.Knewgain, Constantes!$B$4,
  _xlpm.Knewscale, Constantes!$B$5,
  _xlpm.ptstables, INDEX(D:D, _xlfn.SEQUENCE(COUNTA($C$2:$C21), 1, 3, 4)),
  _xlpm.nbparties, COUNTA(_xlfn._xlws.FILTER(_xlpm.ptstables, _xlpm.ptstables &lt;&gt; "")),
  _xlpm.coef, _xlpm.K + _xlpm.Knewgain / (_xlpm.Knewscale + _xlpm.nbparties),
  IF(D19="",
    "",
    _xlpm.coef * (D19-D20))
)</f>
        <v>52.863568647295061</v>
      </c>
      <c r="E21" t="str" cm="1">
        <f t="array" ref="E21">_xlfn.LET(
  _xlpm.K, Constantes!$B$3,
  _xlpm.Knewgain, Constantes!$B$4,
  _xlpm.Knewscale, Constantes!$B$5,
  _xlpm.ptstables, INDEX(E:E, _xlfn.SEQUENCE(COUNTA($C$2:$C21), 1, 3, 4)),
  _xlpm.nbparties, COUNTA(_xlfn._xlws.FILTER(_xlpm.ptstables, _xlpm.ptstables &lt;&gt; "")),
  _xlpm.coef, _xlpm.K + _xlpm.Knewgain / (_xlpm.Knewscale + _xlpm.nbparties),
  IF(E19="",
    "",
    _xlpm.coef * (E19-E20))
)</f>
        <v/>
      </c>
      <c r="F21" t="str" cm="1">
        <f t="array" ref="F21">_xlfn.LET(
  _xlpm.K, Constantes!$B$3,
  _xlpm.Knewgain, Constantes!$B$4,
  _xlpm.Knewscale, Constantes!$B$5,
  _xlpm.ptstables, INDEX(F:F, _xlfn.SEQUENCE(COUNTA($C$2:$C21), 1, 3, 4)),
  _xlpm.nbparties, COUNTA(_xlfn._xlws.FILTER(_xlpm.ptstables, _xlpm.ptstables &lt;&gt; "")),
  _xlpm.coef, _xlpm.K + _xlpm.Knewgain / (_xlpm.Knewscale + _xlpm.nbparties),
  IF(F19="",
    "",
    _xlpm.coef * (F19-F20))
)</f>
        <v/>
      </c>
      <c r="G21" t="str" cm="1">
        <f t="array" ref="G21">_xlfn.LET(
  _xlpm.K, Constantes!$B$3,
  _xlpm.Knewgain, Constantes!$B$4,
  _xlpm.Knewscale, Constantes!$B$5,
  _xlpm.ptstables, INDEX(G:G, _xlfn.SEQUENCE(COUNTA($C$2:$C21), 1, 3, 4)),
  _xlpm.nbparties, COUNTA(_xlfn._xlws.FILTER(_xlpm.ptstables, _xlpm.ptstables &lt;&gt; "")),
  _xlpm.coef, _xlpm.K + _xlpm.Knewgain / (_xlpm.Knewscale + _xlpm.nbparties),
  IF(G19="",
    "",
    _xlpm.coef * (G19-G20))
)</f>
        <v/>
      </c>
      <c r="H21" t="str" cm="1">
        <f t="array" ref="H21">_xlfn.LET(
  _xlpm.K, Constantes!$B$3,
  _xlpm.Knewgain, Constantes!$B$4,
  _xlpm.Knewscale, Constantes!$B$5,
  _xlpm.ptstables, INDEX(H:H, _xlfn.SEQUENCE(COUNTA($C$2:$C21), 1, 3, 4)),
  _xlpm.nbparties, COUNTA(_xlfn._xlws.FILTER(_xlpm.ptstables, _xlpm.ptstables &lt;&gt; "")),
  _xlpm.coef, _xlpm.K + _xlpm.Knewgain / (_xlpm.Knewscale + _xlpm.nbparties),
  IF(H19="",
    "",
    _xlpm.coef * (H19-H20))
)</f>
        <v/>
      </c>
      <c r="I21" cm="1">
        <f t="array" ref="I21">_xlfn.LET(
  _xlpm.K, Constantes!$B$3,
  _xlpm.Knewgain, Constantes!$B$4,
  _xlpm.Knewscale, Constantes!$B$5,
  _xlpm.ptstables, INDEX(I:I, _xlfn.SEQUENCE(COUNTA($C$2:$C21), 1, 3, 4)),
  _xlpm.nbparties, COUNTA(_xlfn._xlws.FILTER(_xlpm.ptstables, _xlpm.ptstables &lt;&gt; "")),
  _xlpm.coef, _xlpm.K + _xlpm.Knewgain / (_xlpm.Knewscale + _xlpm.nbparties),
  IF(I19="",
    "",
    _xlpm.coef * (I19-I20))
)</f>
        <v>16.64768990924474</v>
      </c>
      <c r="J21" cm="1">
        <f t="array" ref="J21">_xlfn.LET(
  _xlpm.K, Constantes!$B$3,
  _xlpm.Knewgain, Constantes!$B$4,
  _xlpm.Knewscale, Constantes!$B$5,
  _xlpm.ptstables, INDEX(J:J, _xlfn.SEQUENCE(COUNTA($C$2:$C21), 1, 3, 4)),
  _xlpm.nbparties, COUNTA(_xlfn._xlws.FILTER(_xlpm.ptstables, _xlpm.ptstables &lt;&gt; "")),
  _xlpm.coef, _xlpm.K + _xlpm.Knewgain / (_xlpm.Knewscale + _xlpm.nbparties),
  IF(J19="",
    "",
    _xlpm.coef * (J19-J20))
)</f>
        <v>-80.959177838662399</v>
      </c>
      <c r="K21" cm="1">
        <f t="array" ref="K21">_xlfn.LET(
  _xlpm.K, Constantes!$B$3,
  _xlpm.Knewgain, Constantes!$B$4,
  _xlpm.Knewscale, Constantes!$B$5,
  _xlpm.ptstables, INDEX(K:K, _xlfn.SEQUENCE(COUNTA($C$2:$C21), 1, 3, 4)),
  _xlpm.nbparties, COUNTA(_xlfn._xlws.FILTER(_xlpm.ptstables, _xlpm.ptstables &lt;&gt; "")),
  _xlpm.coef, _xlpm.K + _xlpm.Knewgain / (_xlpm.Knewscale + _xlpm.nbparties),
  IF(K19="",
    "",
    _xlpm.coef * (K19-K20))
)</f>
        <v>-8.8842225052985633</v>
      </c>
      <c r="L21" t="str" cm="1">
        <f t="array" ref="L21">_xlfn.LET(
  _xlpm.K, Constantes!$B$3,
  _xlpm.Knewgain, Constantes!$B$4,
  _xlpm.Knewscale, Constantes!$B$5,
  _xlpm.ptstables, INDEX(L:L, _xlfn.SEQUENCE(COUNTA($C$2:$C21), 1, 3, 4)),
  _xlpm.nbparties, COUNTA(_xlfn._xlws.FILTER(_xlpm.ptstables, _xlpm.ptstables &lt;&gt; "")),
  _xlpm.coef, _xlpm.K + _xlpm.Knewgain / (_xlpm.Knewscale + _xlpm.nbparties),
  IF(L19="",
    "",
    _xlpm.coef * (L19-L20))
)</f>
        <v/>
      </c>
      <c r="M21" t="str" cm="1">
        <f t="array" ref="M21">_xlfn.LET(
  _xlpm.K, Constantes!$B$3,
  _xlpm.Knewgain, Constantes!$B$4,
  _xlpm.Knewscale, Constantes!$B$5,
  _xlpm.ptstables, INDEX(M:M, _xlfn.SEQUENCE(COUNTA($C$2:$C21), 1, 3, 4)),
  _xlpm.nbparties, COUNTA(_xlfn._xlws.FILTER(_xlpm.ptstables, _xlpm.ptstables &lt;&gt; "")),
  _xlpm.coef, _xlpm.K + _xlpm.Knewgain / (_xlpm.Knewscale + _xlpm.nbparties),
  IF(M19="",
    "",
    _xlpm.coef * (M19-M20))
)</f>
        <v/>
      </c>
      <c r="N21" t="str" cm="1">
        <f t="array" ref="N21">_xlfn.LET(
  _xlpm.K, Constantes!$B$3,
  _xlpm.Knewgain, Constantes!$B$4,
  _xlpm.Knewscale, Constantes!$B$5,
  _xlpm.ptstables, INDEX(N:N, _xlfn.SEQUENCE(COUNTA($C$2:$C21), 1, 3, 4)),
  _xlpm.nbparties, COUNTA(_xlfn._xlws.FILTER(_xlpm.ptstables, _xlpm.ptstables &lt;&gt; "")),
  _xlpm.coef, _xlpm.K + _xlpm.Knewgain / (_xlpm.Knewscale + _xlpm.nbparties),
  IF(N19="",
    "",
    _xlpm.coef * (N19-N20))
)</f>
        <v/>
      </c>
      <c r="O21" t="str" cm="1">
        <f t="array" ref="O21">_xlfn.LET(
  _xlpm.K, Constantes!$B$3,
  _xlpm.Knewgain, Constantes!$B$4,
  _xlpm.Knewscale, Constantes!$B$5,
  _xlpm.ptstables, INDEX(O:O, _xlfn.SEQUENCE(COUNTA($C$2:$C21), 1, 3, 4)),
  _xlpm.nbparties, COUNTA(_xlfn._xlws.FILTER(_xlpm.ptstables, _xlpm.ptstables &lt;&gt; "")),
  _xlpm.coef, _xlpm.K + _xlpm.Knewgain / (_xlpm.Knewscale + _xlpm.nbparties),
  IF(O19="",
    "",
    _xlpm.coef * (O19-O20))
)</f>
        <v/>
      </c>
      <c r="P21" t="str" cm="1">
        <f t="array" ref="P21">_xlfn.LET(
  _xlpm.K, Constantes!$B$3,
  _xlpm.Knewgain, Constantes!$B$4,
  _xlpm.Knewscale, Constantes!$B$5,
  _xlpm.ptstables, INDEX(P:P, _xlfn.SEQUENCE(COUNTA($C$2:$C21), 1, 3, 4)),
  _xlpm.nbparties, COUNTA(_xlfn._xlws.FILTER(_xlpm.ptstables, _xlpm.ptstables &lt;&gt; "")),
  _xlpm.coef, _xlpm.K + _xlpm.Knewgain / (_xlpm.Knewscale + _xlpm.nbparties),
  IF(P19="",
    "",
    _xlpm.coef * (P19-P20))
)</f>
        <v/>
      </c>
      <c r="Q21" t="str" cm="1">
        <f t="array" ref="Q21">_xlfn.LET(
  _xlpm.K, Constantes!$B$3,
  _xlpm.Knewgain, Constantes!$B$4,
  _xlpm.Knewscale, Constantes!$B$5,
  _xlpm.ptstables, INDEX(Q:Q, _xlfn.SEQUENCE(COUNTA($C$2:$C21), 1, 3, 4)),
  _xlpm.nbparties, COUNTA(_xlfn._xlws.FILTER(_xlpm.ptstables, _xlpm.ptstables &lt;&gt; "")),
  _xlpm.coef, _xlpm.K + _xlpm.Knewgain / (_xlpm.Knewscale + _xlpm.nbparties),
  IF(Q19="",
    "",
    _xlpm.coef * (Q19-Q20))
)</f>
        <v/>
      </c>
      <c r="R21" t="str" cm="1">
        <f t="array" ref="R21">_xlfn.LET(
  _xlpm.K, Constantes!$B$3,
  _xlpm.Knewgain, Constantes!$B$4,
  _xlpm.Knewscale, Constantes!$B$5,
  _xlpm.ptstables, INDEX(R:R, _xlfn.SEQUENCE(COUNTA($C$2:$C21), 1, 3, 4)),
  _xlpm.nbparties, COUNTA(_xlfn._xlws.FILTER(_xlpm.ptstables, _xlpm.ptstables &lt;&gt; "")),
  _xlpm.coef, _xlpm.K + _xlpm.Knewgain / (_xlpm.Knewscale + _xlpm.nbparties),
  IF(R19="",
    "",
    _xlpm.coef * (R19-R20))
)</f>
        <v/>
      </c>
      <c r="S21" t="str" cm="1">
        <f t="array" ref="S21">_xlfn.LET(
  _xlpm.K, Constantes!$B$3,
  _xlpm.Knewgain, Constantes!$B$4,
  _xlpm.Knewscale, Constantes!$B$5,
  _xlpm.ptstables, INDEX(S:S, _xlfn.SEQUENCE(COUNTA($C$2:$C21), 1, 3, 4)),
  _xlpm.nbparties, COUNTA(_xlfn._xlws.FILTER(_xlpm.ptstables, _xlpm.ptstables &lt;&gt; "")),
  _xlpm.coef, _xlpm.K + _xlpm.Knewgain / (_xlpm.Knewscale + _xlpm.nbparties),
  IF(S19="",
    "",
    _xlpm.coef * (S19-S20))
)</f>
        <v/>
      </c>
      <c r="T21" t="str" cm="1">
        <f t="array" ref="T21">_xlfn.LET(
  _xlpm.K, Constantes!$B$3,
  _xlpm.Knewgain, Constantes!$B$4,
  _xlpm.Knewscale, Constantes!$B$5,
  _xlpm.ptstables, INDEX(T:T, _xlfn.SEQUENCE(COUNTA($C$2:$C21), 1, 3, 4)),
  _xlpm.nbparties, COUNTA(_xlfn._xlws.FILTER(_xlpm.ptstables, _xlpm.ptstables &lt;&gt; "")),
  _xlpm.coef, _xlpm.K + _xlpm.Knewgain / (_xlpm.Knewscale + _xlpm.nbparties),
  IF(T19="",
    "",
    _xlpm.coef * (T19-T20))
)</f>
        <v/>
      </c>
      <c r="U21" t="str" cm="1">
        <f t="array" ref="U21">_xlfn.LET(
  _xlpm.K, Constantes!$B$3,
  _xlpm.Knewgain, Constantes!$B$4,
  _xlpm.Knewscale, Constantes!$B$5,
  _xlpm.ptstables, INDEX(U:U, _xlfn.SEQUENCE(COUNTA($C$2:$C21), 1, 3, 4)),
  _xlpm.nbparties, COUNTA(_xlfn._xlws.FILTER(_xlpm.ptstables, _xlpm.ptstables &lt;&gt; "")),
  _xlpm.coef, _xlpm.K + _xlpm.Knewgain / (_xlpm.Knewscale + _xlpm.nbparties),
  IF(U19="",
    "",
    _xlpm.coef * (U19-U20))
)</f>
        <v/>
      </c>
      <c r="V21" t="str" cm="1">
        <f t="array" ref="V21">_xlfn.LET(
  _xlpm.K, Constantes!$B$3,
  _xlpm.Knewgain, Constantes!$B$4,
  _xlpm.Knewscale, Constantes!$B$5,
  _xlpm.ptstables, INDEX(V:V, _xlfn.SEQUENCE(COUNTA($C$2:$C21), 1, 3, 4)),
  _xlpm.nbparties, COUNTA(_xlfn._xlws.FILTER(_xlpm.ptstables, _xlpm.ptstables &lt;&gt; "")),
  _xlpm.coef, _xlpm.K + _xlpm.Knewgain / (_xlpm.Knewscale + _xlpm.nbparties),
  IF(V19="",
    "",
    _xlpm.coef * (V19-V20))
)</f>
        <v/>
      </c>
      <c r="W21" t="str" cm="1">
        <f t="array" ref="W21">_xlfn.LET(
  _xlpm.K, Constantes!$B$3,
  _xlpm.Knewgain, Constantes!$B$4,
  _xlpm.Knewscale, Constantes!$B$5,
  _xlpm.ptstables, INDEX(W:W, _xlfn.SEQUENCE(COUNTA($C$2:$C21), 1, 3, 4)),
  _xlpm.nbparties, COUNTA(_xlfn._xlws.FILTER(_xlpm.ptstables, _xlpm.ptstables &lt;&gt; "")),
  _xlpm.coef, _xlpm.K + _xlpm.Knewgain / (_xlpm.Knewscale + _xlpm.nbparties),
  IF(W19="",
    "",
    _xlpm.coef * (W19-W20))
)</f>
        <v/>
      </c>
      <c r="X21" t="str" cm="1">
        <f t="array" ref="X21">_xlfn.LET(
  _xlpm.K, Constantes!$B$3,
  _xlpm.Knewgain, Constantes!$B$4,
  _xlpm.Knewscale, Constantes!$B$5,
  _xlpm.ptstables, INDEX(X:X, _xlfn.SEQUENCE(COUNTA($C$2:$C21), 1, 3, 4)),
  _xlpm.nbparties, COUNTA(_xlfn._xlws.FILTER(_xlpm.ptstables, _xlpm.ptstables &lt;&gt; "")),
  _xlpm.coef, _xlpm.K + _xlpm.Knewgain / (_xlpm.Knewscale + _xlpm.nbparties),
  IF(X19="",
    "",
    _xlpm.coef * (X19-X20))
)</f>
        <v/>
      </c>
      <c r="Y21" t="str" cm="1">
        <f t="array" ref="Y21">_xlfn.LET(
  _xlpm.K, Constantes!$B$3,
  _xlpm.Knewgain, Constantes!$B$4,
  _xlpm.Knewscale, Constantes!$B$5,
  _xlpm.ptstables, INDEX(Y:Y, _xlfn.SEQUENCE(COUNTA($C$2:$C21), 1, 3, 4)),
  _xlpm.nbparties, COUNTA(_xlfn._xlws.FILTER(_xlpm.ptstables, _xlpm.ptstables &lt;&gt; "")),
  _xlpm.coef, _xlpm.K + _xlpm.Knewgain / (_xlpm.Knewscale + _xlpm.nbparties),
  IF(Y19="",
    "",
    _xlpm.coef * (Y19-Y20))
)</f>
        <v/>
      </c>
      <c r="Z21" t="str" cm="1">
        <f t="array" ref="Z21">_xlfn.LET(
  _xlpm.K, Constantes!$B$3,
  _xlpm.Knewgain, Constantes!$B$4,
  _xlpm.Knewscale, Constantes!$B$5,
  _xlpm.ptstables, INDEX(Z:Z, _xlfn.SEQUENCE(COUNTA($C$2:$C21), 1, 3, 4)),
  _xlpm.nbparties, COUNTA(_xlfn._xlws.FILTER(_xlpm.ptstables, _xlpm.ptstables &lt;&gt; "")),
  _xlpm.coef, _xlpm.K + _xlpm.Knewgain / (_xlpm.Knewscale + _xlpm.nbparties),
  IF(Z19="",
    "",
    _xlpm.coef * (Z19-Z20))
)</f>
        <v/>
      </c>
      <c r="AA21" t="str" cm="1">
        <f t="array" ref="AA21">_xlfn.LET(
  _xlpm.K, Constantes!$B$3,
  _xlpm.Knewgain, Constantes!$B$4,
  _xlpm.Knewscale, Constantes!$B$5,
  _xlpm.ptstables, INDEX(AA:AA, _xlfn.SEQUENCE(COUNTA($C$2:$C21), 1, 3, 4)),
  _xlpm.nbparties, COUNTA(_xlfn._xlws.FILTER(_xlpm.ptstables, _xlpm.ptstables &lt;&gt; "")),
  _xlpm.coef, _xlpm.K + _xlpm.Knewgain / (_xlpm.Knewscale + _xlpm.nbparties),
  IF(AA19="",
    "",
    _xlpm.coef * (AA19-AA20))
)</f>
        <v/>
      </c>
      <c r="AB21" t="str" cm="1">
        <f t="array" ref="AB21">_xlfn.LET(
  _xlpm.K, Constantes!$B$3,
  _xlpm.Knewgain, Constantes!$B$4,
  _xlpm.Knewscale, Constantes!$B$5,
  _xlpm.ptstables, INDEX(AB:AB, _xlfn.SEQUENCE(COUNTA($C$2:$C21), 1, 3, 4)),
  _xlpm.nbparties, COUNTA(_xlfn._xlws.FILTER(_xlpm.ptstables, _xlpm.ptstables &lt;&gt; "")),
  _xlpm.coef, _xlpm.K + _xlpm.Knewgain / (_xlpm.Knewscale + _xlpm.nbparties),
  IF(AB19="",
    "",
    _xlpm.coef * (AB19-AB20))
)</f>
        <v/>
      </c>
      <c r="AC21" t="str" cm="1">
        <f t="array" ref="AC21">_xlfn.LET(
  _xlpm.K, Constantes!$B$3,
  _xlpm.Knewgain, Constantes!$B$4,
  _xlpm.Knewscale, Constantes!$B$5,
  _xlpm.ptstables, INDEX(AC:AC, _xlfn.SEQUENCE(COUNTA($C$2:$C21), 1, 3, 4)),
  _xlpm.nbparties, COUNTA(_xlfn._xlws.FILTER(_xlpm.ptstables, _xlpm.ptstables &lt;&gt; "")),
  _xlpm.coef, _xlpm.K + _xlpm.Knewgain / (_xlpm.Knewscale + _xlpm.nbparties),
  IF(AC19="",
    "",
    _xlpm.coef * (AC19-AC20))
)</f>
        <v/>
      </c>
      <c r="AD21" t="str" cm="1">
        <f t="array" ref="AD21">_xlfn.LET(
  _xlpm.K, Constantes!$B$3,
  _xlpm.Knewgain, Constantes!$B$4,
  _xlpm.Knewscale, Constantes!$B$5,
  _xlpm.ptstables, INDEX(AD:AD, _xlfn.SEQUENCE(COUNTA($C$2:$C21), 1, 3, 4)),
  _xlpm.nbparties, COUNTA(_xlfn._xlws.FILTER(_xlpm.ptstables, _xlpm.ptstables &lt;&gt; "")),
  _xlpm.coef, _xlpm.K + _xlpm.Knewgain / (_xlpm.Knewscale + _xlpm.nbparties),
  IF(AD19="",
    "",
    _xlpm.coef * (AD19-AD20))
)</f>
        <v/>
      </c>
      <c r="AE21" t="str" cm="1">
        <f t="array" ref="AE21">_xlfn.LET(
  _xlpm.K, Constantes!$B$3,
  _xlpm.Knewgain, Constantes!$B$4,
  _xlpm.Knewscale, Constantes!$B$5,
  _xlpm.ptstables, INDEX(AE:AE, _xlfn.SEQUENCE(COUNTA($C$2:$C21), 1, 3, 4)),
  _xlpm.nbparties, COUNTA(_xlfn._xlws.FILTER(_xlpm.ptstables, _xlpm.ptstables &lt;&gt; "")),
  _xlpm.coef, _xlpm.K + _xlpm.Knewgain / (_xlpm.Knewscale + _xlpm.nbparties),
  IF(AE19="",
    "",
    _xlpm.coef * (AE19-AE20))
)</f>
        <v/>
      </c>
      <c r="AF21" t="str" cm="1">
        <f t="array" ref="AF21">_xlfn.LET(
  _xlpm.K, Constantes!$B$3,
  _xlpm.Knewgain, Constantes!$B$4,
  _xlpm.Knewscale, Constantes!$B$5,
  _xlpm.ptstables, INDEX(AF:AF, _xlfn.SEQUENCE(COUNTA($C$2:$C21), 1, 3, 4)),
  _xlpm.nbparties, COUNTA(_xlfn._xlws.FILTER(_xlpm.ptstables, _xlpm.ptstables &lt;&gt; "")),
  _xlpm.coef, _xlpm.K + _xlpm.Knewgain / (_xlpm.Knewscale + _xlpm.nbparties),
  IF(AF19="",
    "",
    _xlpm.coef * (AF19-AF20))
)</f>
        <v/>
      </c>
      <c r="AG21" t="str" cm="1">
        <f t="array" ref="AG21">_xlfn.LET(
  _xlpm.K, Constantes!$B$3,
  _xlpm.Knewgain, Constantes!$B$4,
  _xlpm.Knewscale, Constantes!$B$5,
  _xlpm.ptstables, INDEX(AG:AG, _xlfn.SEQUENCE(COUNTA($C$2:$C21), 1, 3, 4)),
  _xlpm.nbparties, COUNTA(_xlfn._xlws.FILTER(_xlpm.ptstables, _xlpm.ptstables &lt;&gt; "")),
  _xlpm.coef, _xlpm.K + _xlpm.Knewgain / (_xlpm.Knewscale + _xlpm.nbparties),
  IF(AG19="",
    "",
    _xlpm.coef * (AG19-AG20))
)</f>
        <v/>
      </c>
      <c r="AH21" t="str" cm="1">
        <f t="array" ref="AH21">_xlfn.LET(
  _xlpm.K, Constantes!$B$3,
  _xlpm.Knewgain, Constantes!$B$4,
  _xlpm.Knewscale, Constantes!$B$5,
  _xlpm.ptstables, INDEX(AH:AH, _xlfn.SEQUENCE(COUNTA($C$2:$C21), 1, 3, 4)),
  _xlpm.nbparties, COUNTA(_xlfn._xlws.FILTER(_xlpm.ptstables, _xlpm.ptstables &lt;&gt; "")),
  _xlpm.coef, _xlpm.K + _xlpm.Knewgain / (_xlpm.Knewscale + _xlpm.nbparties),
  IF(AH19="",
    "",
    _xlpm.coef * (AH19-AH20))
)</f>
        <v/>
      </c>
      <c r="AI21" t="str" cm="1">
        <f t="array" ref="AI21">_xlfn.LET(
  _xlpm.K, Constantes!$B$3,
  _xlpm.Knewgain, Constantes!$B$4,
  _xlpm.Knewscale, Constantes!$B$5,
  _xlpm.ptstables, INDEX(AI:AI, _xlfn.SEQUENCE(COUNTA($C$2:$C21), 1, 3, 4)),
  _xlpm.nbparties, COUNTA(_xlfn._xlws.FILTER(_xlpm.ptstables, _xlpm.ptstables &lt;&gt; "")),
  _xlpm.coef, _xlpm.K + _xlpm.Knewgain / (_xlpm.Knewscale + _xlpm.nbparties),
  IF(AI19="",
    "",
    _xlpm.coef * (AI19-AI20))
)</f>
        <v/>
      </c>
      <c r="AJ21" t="str" cm="1">
        <f t="array" ref="AJ21">_xlfn.LET(
  _xlpm.K, Constantes!$B$3,
  _xlpm.Knewgain, Constantes!$B$4,
  _xlpm.Knewscale, Constantes!$B$5,
  _xlpm.ptstables, INDEX(AJ:AJ, _xlfn.SEQUENCE(COUNTA($C$2:$C21), 1, 3, 4)),
  _xlpm.nbparties, COUNTA(_xlfn._xlws.FILTER(_xlpm.ptstables, _xlpm.ptstables &lt;&gt; "")),
  _xlpm.coef, _xlpm.K + _xlpm.Knewgain / (_xlpm.Knewscale + _xlpm.nbparties),
  IF(AJ19="",
    "",
    _xlpm.coef * (AJ19-AJ20))
)</f>
        <v/>
      </c>
      <c r="AK21" t="str" cm="1">
        <f t="array" ref="AK21">_xlfn.LET(
  _xlpm.K, Constantes!$B$3,
  _xlpm.Knewgain, Constantes!$B$4,
  _xlpm.Knewscale, Constantes!$B$5,
  _xlpm.ptstables, INDEX(AK:AK, _xlfn.SEQUENCE(COUNTA($C$2:$C21), 1, 3, 4)),
  _xlpm.nbparties, COUNTA(_xlfn._xlws.FILTER(_xlpm.ptstables, _xlpm.ptstables &lt;&gt; "")),
  _xlpm.coef, _xlpm.K + _xlpm.Knewgain / (_xlpm.Knewscale + _xlpm.nbparties),
  IF(AK19="",
    "",
    _xlpm.coef * (AK19-AK20))
)</f>
        <v/>
      </c>
      <c r="AL21" t="str" cm="1">
        <f t="array" ref="AL21">_xlfn.LET(
  _xlpm.K, Constantes!$B$3,
  _xlpm.Knewgain, Constantes!$B$4,
  _xlpm.Knewscale, Constantes!$B$5,
  _xlpm.ptstables, INDEX(AL:AL, _xlfn.SEQUENCE(COUNTA($C$2:$C21), 1, 3, 4)),
  _xlpm.nbparties, COUNTA(_xlfn._xlws.FILTER(_xlpm.ptstables, _xlpm.ptstables &lt;&gt; "")),
  _xlpm.coef, _xlpm.K + _xlpm.Knewgain / (_xlpm.Knewscale + _xlpm.nbparties),
  IF(AL19="",
    "",
    _xlpm.coef * (AL19-AL20))
)</f>
        <v/>
      </c>
      <c r="AM21" t="str" cm="1">
        <f t="array" ref="AM21">_xlfn.LET(
  _xlpm.K, Constantes!$B$3,
  _xlpm.Knewgain, Constantes!$B$4,
  _xlpm.Knewscale, Constantes!$B$5,
  _xlpm.ptstables, INDEX(AM:AM, _xlfn.SEQUENCE(COUNTA($C$2:$C21), 1, 3, 4)),
  _xlpm.nbparties, COUNTA(_xlfn._xlws.FILTER(_xlpm.ptstables, _xlpm.ptstables &lt;&gt; "")),
  _xlpm.coef, _xlpm.K + _xlpm.Knewgain / (_xlpm.Knewscale + _xlpm.nbparties),
  IF(AM19="",
    "",
    _xlpm.coef * (AM19-AM20))
)</f>
        <v/>
      </c>
    </row>
    <row r="22" spans="1:39" x14ac:dyDescent="0.25">
      <c r="A22" t="s">
        <v>14</v>
      </c>
      <c r="B22" t="str" cm="1">
        <f t="array" ref="B2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</v>
      </c>
      <c r="C22" s="2" cm="1">
        <f t="array" ref="C22">IF(B22="","",
  INDEX(Donnees!F:F, MATCH(B22, Donnees!F:F, 0)+1))</f>
        <v>45906.589131944442</v>
      </c>
      <c r="D22">
        <f t="shared" ref="D22:AM22" si="13">D18+IF(D21="",0,D21)</f>
        <v>1007.6013097235091</v>
      </c>
      <c r="E22">
        <f t="shared" si="13"/>
        <v>1159.0715645447078</v>
      </c>
      <c r="F22">
        <f t="shared" si="13"/>
        <v>921.0191489071301</v>
      </c>
      <c r="G22">
        <f t="shared" si="13"/>
        <v>1069.7993848829565</v>
      </c>
      <c r="H22">
        <f t="shared" si="13"/>
        <v>988.4903284592059</v>
      </c>
      <c r="I22">
        <f t="shared" si="13"/>
        <v>1016.6476899092447</v>
      </c>
      <c r="J22">
        <f t="shared" si="13"/>
        <v>949.17582216133758</v>
      </c>
      <c r="K22">
        <f t="shared" si="13"/>
        <v>914.47577749470145</v>
      </c>
      <c r="L22">
        <f t="shared" si="13"/>
        <v>1000</v>
      </c>
      <c r="M22">
        <f t="shared" si="13"/>
        <v>1000</v>
      </c>
      <c r="N22">
        <f t="shared" si="13"/>
        <v>884.21</v>
      </c>
      <c r="O22">
        <f t="shared" si="13"/>
        <v>1000</v>
      </c>
      <c r="P22">
        <f t="shared" si="13"/>
        <v>993.13499999999999</v>
      </c>
      <c r="Q22">
        <f t="shared" si="13"/>
        <v>949.40499999999997</v>
      </c>
      <c r="R22">
        <f t="shared" si="13"/>
        <v>997.8</v>
      </c>
      <c r="S22">
        <f t="shared" si="13"/>
        <v>984.505</v>
      </c>
      <c r="T22">
        <f t="shared" si="13"/>
        <v>1029.905</v>
      </c>
      <c r="U22">
        <f t="shared" si="13"/>
        <v>1092.7849999999999</v>
      </c>
      <c r="V22">
        <f t="shared" si="13"/>
        <v>999.59500000000003</v>
      </c>
      <c r="W22">
        <f t="shared" si="13"/>
        <v>1000</v>
      </c>
      <c r="X22">
        <f t="shared" si="13"/>
        <v>899.53</v>
      </c>
      <c r="Y22">
        <f t="shared" si="13"/>
        <v>941.52</v>
      </c>
      <c r="Z22">
        <f t="shared" si="13"/>
        <v>1000</v>
      </c>
      <c r="AA22">
        <f t="shared" si="13"/>
        <v>1000</v>
      </c>
      <c r="AB22">
        <f t="shared" si="13"/>
        <v>979.56500000000005</v>
      </c>
      <c r="AC22">
        <f t="shared" si="13"/>
        <v>1032.51</v>
      </c>
      <c r="AD22">
        <f t="shared" si="13"/>
        <v>974.01499999999999</v>
      </c>
      <c r="AE22">
        <f t="shared" si="13"/>
        <v>1011.415</v>
      </c>
      <c r="AF22">
        <f t="shared" si="13"/>
        <v>1031.1199999999999</v>
      </c>
      <c r="AG22">
        <f t="shared" si="13"/>
        <v>1001.0350000000001</v>
      </c>
      <c r="AH22">
        <f t="shared" si="13"/>
        <v>994.44</v>
      </c>
      <c r="AI22">
        <f t="shared" si="13"/>
        <v>1000</v>
      </c>
      <c r="AJ22">
        <f t="shared" si="13"/>
        <v>957.2</v>
      </c>
      <c r="AK22">
        <f t="shared" si="13"/>
        <v>1000</v>
      </c>
      <c r="AL22">
        <f t="shared" si="13"/>
        <v>1055.9299999999998</v>
      </c>
      <c r="AM22">
        <f t="shared" si="13"/>
        <v>1000</v>
      </c>
    </row>
    <row r="23" spans="1:39" x14ac:dyDescent="0.25">
      <c r="A23" t="s">
        <v>21</v>
      </c>
      <c r="D23" t="str" cm="1">
        <f t="array" ref="D23">IFERROR(
  _xlfn.LET(
    _xlpm.ligpartie, MATCH($B22, Donnees!$F:$F, 0),
    _xlpm.joueurs, INDEX(Donnees!$A:$Z, _xlpm.ligpartie+1, _xlfn.SEQUENCE(1, 4, 2)),
    INDEX(
      Donnees!$A:$Z,
      _xlpm.ligpartie + 3,
      MATCH(D$1, _xlpm.joueurs, 0) + 1
    )
  ), ""
)</f>
        <v/>
      </c>
      <c r="E23" t="str" cm="1">
        <f t="array" ref="E23">IFERROR(
  _xlfn.LET(
    _xlpm.ligpartie, MATCH($B22, Donnees!$F:$F, 0),
    _xlpm.joueurs, INDEX(Donnees!$A:$Z, _xlpm.ligpartie+1, _xlfn.SEQUENCE(1, 4, 2)),
    INDEX(
      Donnees!$A:$Z,
      _xlpm.ligpartie + 3,
      MATCH(E$1, _xlpm.joueurs, 0) + 1
    )
  ), ""
)</f>
        <v/>
      </c>
      <c r="F23" cm="1">
        <f t="array" ref="F23">IFERROR(
  _xlfn.LET(
    _xlpm.ligpartie, MATCH($B22, Donnees!$F:$F, 0),
    _xlpm.joueurs, INDEX(Donnees!$A:$Z, _xlpm.ligpartie+1, _xlfn.SEQUENCE(1, 4, 2)),
    INDEX(
      Donnees!$A:$Z,
      _xlpm.ligpartie + 3,
      MATCH(F$1, _xlpm.joueurs, 0) + 1
    )
  ), ""
)</f>
        <v>2</v>
      </c>
      <c r="G23" t="str" cm="1">
        <f t="array" ref="G23">IFERROR(
  _xlfn.LET(
    _xlpm.ligpartie, MATCH($B22, Donnees!$F:$F, 0),
    _xlpm.joueurs, INDEX(Donnees!$A:$Z, _xlpm.ligpartie+1, _xlfn.SEQUENCE(1, 4, 2)),
    INDEX(
      Donnees!$A:$Z,
      _xlpm.ligpartie + 3,
      MATCH(G$1, _xlpm.joueurs, 0) + 1
    )
  ), ""
)</f>
        <v/>
      </c>
      <c r="H23" t="str" cm="1">
        <f t="array" ref="H23">IFERROR(
  _xlfn.LET(
    _xlpm.ligpartie, MATCH($B22, Donnees!$F:$F, 0),
    _xlpm.joueurs, INDEX(Donnees!$A:$Z, _xlpm.ligpartie+1, _xlfn.SEQUENCE(1, 4, 2)),
    INDEX(
      Donnees!$A:$Z,
      _xlpm.ligpartie + 3,
      MATCH(H$1, _xlpm.joueurs, 0) + 1
    )
  ), ""
)</f>
        <v/>
      </c>
      <c r="I23" t="str" cm="1">
        <f t="array" ref="I23">IFERROR(
  _xlfn.LET(
    _xlpm.ligpartie, MATCH($B22, Donnees!$F:$F, 0),
    _xlpm.joueurs, INDEX(Donnees!$A:$Z, _xlpm.ligpartie+1, _xlfn.SEQUENCE(1, 4, 2)),
    INDEX(
      Donnees!$A:$Z,
      _xlpm.ligpartie + 3,
      MATCH(I$1, _xlpm.joueurs, 0) + 1
    )
  ), ""
)</f>
        <v/>
      </c>
      <c r="J23" t="str" cm="1">
        <f t="array" ref="J23">IFERROR(
  _xlfn.LET(
    _xlpm.ligpartie, MATCH($B22, Donnees!$F:$F, 0),
    _xlpm.joueurs, INDEX(Donnees!$A:$Z, _xlpm.ligpartie+1, _xlfn.SEQUENCE(1, 4, 2)),
    INDEX(
      Donnees!$A:$Z,
      _xlpm.ligpartie + 3,
      MATCH(J$1, _xlpm.joueurs, 0) + 1
    )
  ), ""
)</f>
        <v/>
      </c>
      <c r="K23" t="str" cm="1">
        <f t="array" ref="K23">IFERROR(
  _xlfn.LET(
    _xlpm.ligpartie, MATCH($B22, Donnees!$F:$F, 0),
    _xlpm.joueurs, INDEX(Donnees!$A:$Z, _xlpm.ligpartie+1, _xlfn.SEQUENCE(1, 4, 2)),
    INDEX(
      Donnees!$A:$Z,
      _xlpm.ligpartie + 3,
      MATCH(K$1, _xlpm.joueurs, 0) + 1
    )
  ), ""
)</f>
        <v/>
      </c>
      <c r="L23" cm="1">
        <f t="array" ref="L23">IFERROR(
  _xlfn.LET(
    _xlpm.ligpartie, MATCH($B22, Donnees!$F:$F, 0),
    _xlpm.joueurs, INDEX(Donnees!$A:$Z, _xlpm.ligpartie+1, _xlfn.SEQUENCE(1, 4, 2)),
    INDEX(
      Donnees!$A:$Z,
      _xlpm.ligpartie + 3,
      MATCH(L$1, _xlpm.joueurs, 0) + 1
    )
  ), ""
)</f>
        <v>0</v>
      </c>
      <c r="M23" cm="1">
        <f t="array" ref="M23">IFERROR(
  _xlfn.LET(
    _xlpm.ligpartie, MATCH($B22, Donnees!$F:$F, 0),
    _xlpm.joueurs, INDEX(Donnees!$A:$Z, _xlpm.ligpartie+1, _xlfn.SEQUENCE(1, 4, 2)),
    INDEX(
      Donnees!$A:$Z,
      _xlpm.ligpartie + 3,
      MATCH(M$1, _xlpm.joueurs, 0) + 1
    )
  ), ""
)</f>
        <v>1</v>
      </c>
      <c r="N23" cm="1">
        <f t="array" ref="N23">IFERROR(
  _xlfn.LET(
    _xlpm.ligpartie, MATCH($B22, Donnees!$F:$F, 0),
    _xlpm.joueurs, INDEX(Donnees!$A:$Z, _xlpm.ligpartie+1, _xlfn.SEQUENCE(1, 4, 2)),
    INDEX(
      Donnees!$A:$Z,
      _xlpm.ligpartie + 3,
      MATCH(N$1, _xlpm.joueurs, 0) + 1
    )
  ), ""
)</f>
        <v>3</v>
      </c>
      <c r="O23" t="str" cm="1">
        <f t="array" ref="O23">IFERROR(
  _xlfn.LET(
    _xlpm.ligpartie, MATCH($B22, Donnees!$F:$F, 0),
    _xlpm.joueurs, INDEX(Donnees!$A:$Z, _xlpm.ligpartie+1, _xlfn.SEQUENCE(1, 4, 2)),
    INDEX(
      Donnees!$A:$Z,
      _xlpm.ligpartie + 3,
      MATCH(O$1, _xlpm.joueurs, 0) + 1
    )
  ), ""
)</f>
        <v/>
      </c>
      <c r="P23" t="str" cm="1">
        <f t="array" ref="P23">IFERROR(
  _xlfn.LET(
    _xlpm.ligpartie, MATCH($B22, Donnees!$F:$F, 0),
    _xlpm.joueurs, INDEX(Donnees!$A:$Z, _xlpm.ligpartie+1, _xlfn.SEQUENCE(1, 4, 2)),
    INDEX(
      Donnees!$A:$Z,
      _xlpm.ligpartie + 3,
      MATCH(P$1, _xlpm.joueurs, 0) + 1
    )
  ), ""
)</f>
        <v/>
      </c>
      <c r="Q23" t="str" cm="1">
        <f t="array" ref="Q23">IFERROR(
  _xlfn.LET(
    _xlpm.ligpartie, MATCH($B22, Donnees!$F:$F, 0),
    _xlpm.joueurs, INDEX(Donnees!$A:$Z, _xlpm.ligpartie+1, _xlfn.SEQUENCE(1, 4, 2)),
    INDEX(
      Donnees!$A:$Z,
      _xlpm.ligpartie + 3,
      MATCH(Q$1, _xlpm.joueurs, 0) + 1
    )
  ), ""
)</f>
        <v/>
      </c>
      <c r="R23" t="str" cm="1">
        <f t="array" ref="R23">IFERROR(
  _xlfn.LET(
    _xlpm.ligpartie, MATCH($B22, Donnees!$F:$F, 0),
    _xlpm.joueurs, INDEX(Donnees!$A:$Z, _xlpm.ligpartie+1, _xlfn.SEQUENCE(1, 4, 2)),
    INDEX(
      Donnees!$A:$Z,
      _xlpm.ligpartie + 3,
      MATCH(R$1, _xlpm.joueurs, 0) + 1
    )
  ), ""
)</f>
        <v/>
      </c>
      <c r="S23" t="str" cm="1">
        <f t="array" ref="S23">IFERROR(
  _xlfn.LET(
    _xlpm.ligpartie, MATCH($B22, Donnees!$F:$F, 0),
    _xlpm.joueurs, INDEX(Donnees!$A:$Z, _xlpm.ligpartie+1, _xlfn.SEQUENCE(1, 4, 2)),
    INDEX(
      Donnees!$A:$Z,
      _xlpm.ligpartie + 3,
      MATCH(S$1, _xlpm.joueurs, 0) + 1
    )
  ), ""
)</f>
        <v/>
      </c>
      <c r="T23" t="str" cm="1">
        <f t="array" ref="T23">IFERROR(
  _xlfn.LET(
    _xlpm.ligpartie, MATCH($B22, Donnees!$F:$F, 0),
    _xlpm.joueurs, INDEX(Donnees!$A:$Z, _xlpm.ligpartie+1, _xlfn.SEQUENCE(1, 4, 2)),
    INDEX(
      Donnees!$A:$Z,
      _xlpm.ligpartie + 3,
      MATCH(T$1, _xlpm.joueurs, 0) + 1
    )
  ), ""
)</f>
        <v/>
      </c>
      <c r="U23" t="str" cm="1">
        <f t="array" ref="U23">IFERROR(
  _xlfn.LET(
    _xlpm.ligpartie, MATCH($B22, Donnees!$F:$F, 0),
    _xlpm.joueurs, INDEX(Donnees!$A:$Z, _xlpm.ligpartie+1, _xlfn.SEQUENCE(1, 4, 2)),
    INDEX(
      Donnees!$A:$Z,
      _xlpm.ligpartie + 3,
      MATCH(U$1, _xlpm.joueurs, 0) + 1
    )
  ), ""
)</f>
        <v/>
      </c>
      <c r="V23" t="str" cm="1">
        <f t="array" ref="V23">IFERROR(
  _xlfn.LET(
    _xlpm.ligpartie, MATCH($B22, Donnees!$F:$F, 0),
    _xlpm.joueurs, INDEX(Donnees!$A:$Z, _xlpm.ligpartie+1, _xlfn.SEQUENCE(1, 4, 2)),
    INDEX(
      Donnees!$A:$Z,
      _xlpm.ligpartie + 3,
      MATCH(V$1, _xlpm.joueurs, 0) + 1
    )
  ), ""
)</f>
        <v/>
      </c>
      <c r="W23" t="str" cm="1">
        <f t="array" ref="W23">IFERROR(
  _xlfn.LET(
    _xlpm.ligpartie, MATCH($B22, Donnees!$F:$F, 0),
    _xlpm.joueurs, INDEX(Donnees!$A:$Z, _xlpm.ligpartie+1, _xlfn.SEQUENCE(1, 4, 2)),
    INDEX(
      Donnees!$A:$Z,
      _xlpm.ligpartie + 3,
      MATCH(W$1, _xlpm.joueurs, 0) + 1
    )
  ), ""
)</f>
        <v/>
      </c>
      <c r="X23" t="str" cm="1">
        <f t="array" ref="X23">IFERROR(
  _xlfn.LET(
    _xlpm.ligpartie, MATCH($B22, Donnees!$F:$F, 0),
    _xlpm.joueurs, INDEX(Donnees!$A:$Z, _xlpm.ligpartie+1, _xlfn.SEQUENCE(1, 4, 2)),
    INDEX(
      Donnees!$A:$Z,
      _xlpm.ligpartie + 3,
      MATCH(X$1, _xlpm.joueurs, 0) + 1
    )
  ), ""
)</f>
        <v/>
      </c>
      <c r="Y23" t="str" cm="1">
        <f t="array" ref="Y23">IFERROR(
  _xlfn.LET(
    _xlpm.ligpartie, MATCH($B22, Donnees!$F:$F, 0),
    _xlpm.joueurs, INDEX(Donnees!$A:$Z, _xlpm.ligpartie+1, _xlfn.SEQUENCE(1, 4, 2)),
    INDEX(
      Donnees!$A:$Z,
      _xlpm.ligpartie + 3,
      MATCH(Y$1, _xlpm.joueurs, 0) + 1
    )
  ), ""
)</f>
        <v/>
      </c>
      <c r="Z23" t="str" cm="1">
        <f t="array" ref="Z23">IFERROR(
  _xlfn.LET(
    _xlpm.ligpartie, MATCH($B22, Donnees!$F:$F, 0),
    _xlpm.joueurs, INDEX(Donnees!$A:$Z, _xlpm.ligpartie+1, _xlfn.SEQUENCE(1, 4, 2)),
    INDEX(
      Donnees!$A:$Z,
      _xlpm.ligpartie + 3,
      MATCH(Z$1, _xlpm.joueurs, 0) + 1
    )
  ), ""
)</f>
        <v/>
      </c>
      <c r="AA23" t="str" cm="1">
        <f t="array" ref="AA23">IFERROR(
  _xlfn.LET(
    _xlpm.ligpartie, MATCH($B22, Donnees!$F:$F, 0),
    _xlpm.joueurs, INDEX(Donnees!$A:$Z, _xlpm.ligpartie+1, _xlfn.SEQUENCE(1, 4, 2)),
    INDEX(
      Donnees!$A:$Z,
      _xlpm.ligpartie + 3,
      MATCH(AA$1, _xlpm.joueurs, 0) + 1
    )
  ), ""
)</f>
        <v/>
      </c>
      <c r="AB23" t="str" cm="1">
        <f t="array" ref="AB23">IFERROR(
  _xlfn.LET(
    _xlpm.ligpartie, MATCH($B22, Donnees!$F:$F, 0),
    _xlpm.joueurs, INDEX(Donnees!$A:$Z, _xlpm.ligpartie+1, _xlfn.SEQUENCE(1, 4, 2)),
    INDEX(
      Donnees!$A:$Z,
      _xlpm.ligpartie + 3,
      MATCH(AB$1, _xlpm.joueurs, 0) + 1
    )
  ), ""
)</f>
        <v/>
      </c>
      <c r="AC23" t="str" cm="1">
        <f t="array" ref="AC23">IFERROR(
  _xlfn.LET(
    _xlpm.ligpartie, MATCH($B22, Donnees!$F:$F, 0),
    _xlpm.joueurs, INDEX(Donnees!$A:$Z, _xlpm.ligpartie+1, _xlfn.SEQUENCE(1, 4, 2)),
    INDEX(
      Donnees!$A:$Z,
      _xlpm.ligpartie + 3,
      MATCH(AC$1, _xlpm.joueurs, 0) + 1
    )
  ), ""
)</f>
        <v/>
      </c>
      <c r="AD23" t="str" cm="1">
        <f t="array" ref="AD23">IFERROR(
  _xlfn.LET(
    _xlpm.ligpartie, MATCH($B22, Donnees!$F:$F, 0),
    _xlpm.joueurs, INDEX(Donnees!$A:$Z, _xlpm.ligpartie+1, _xlfn.SEQUENCE(1, 4, 2)),
    INDEX(
      Donnees!$A:$Z,
      _xlpm.ligpartie + 3,
      MATCH(AD$1, _xlpm.joueurs, 0) + 1
    )
  ), ""
)</f>
        <v/>
      </c>
      <c r="AE23" t="str" cm="1">
        <f t="array" ref="AE23">IFERROR(
  _xlfn.LET(
    _xlpm.ligpartie, MATCH($B22, Donnees!$F:$F, 0),
    _xlpm.joueurs, INDEX(Donnees!$A:$Z, _xlpm.ligpartie+1, _xlfn.SEQUENCE(1, 4, 2)),
    INDEX(
      Donnees!$A:$Z,
      _xlpm.ligpartie + 3,
      MATCH(AE$1, _xlpm.joueurs, 0) + 1
    )
  ), ""
)</f>
        <v/>
      </c>
      <c r="AF23" t="str" cm="1">
        <f t="array" ref="AF23">IFERROR(
  _xlfn.LET(
    _xlpm.ligpartie, MATCH($B22, Donnees!$F:$F, 0),
    _xlpm.joueurs, INDEX(Donnees!$A:$Z, _xlpm.ligpartie+1, _xlfn.SEQUENCE(1, 4, 2)),
    INDEX(
      Donnees!$A:$Z,
      _xlpm.ligpartie + 3,
      MATCH(AF$1, _xlpm.joueurs, 0) + 1
    )
  ), ""
)</f>
        <v/>
      </c>
      <c r="AG23" t="str" cm="1">
        <f t="array" ref="AG23">IFERROR(
  _xlfn.LET(
    _xlpm.ligpartie, MATCH($B22, Donnees!$F:$F, 0),
    _xlpm.joueurs, INDEX(Donnees!$A:$Z, _xlpm.ligpartie+1, _xlfn.SEQUENCE(1, 4, 2)),
    INDEX(
      Donnees!$A:$Z,
      _xlpm.ligpartie + 3,
      MATCH(AG$1, _xlpm.joueurs, 0) + 1
    )
  ), ""
)</f>
        <v/>
      </c>
      <c r="AH23" t="str" cm="1">
        <f t="array" ref="AH23">IFERROR(
  _xlfn.LET(
    _xlpm.ligpartie, MATCH($B22, Donnees!$F:$F, 0),
    _xlpm.joueurs, INDEX(Donnees!$A:$Z, _xlpm.ligpartie+1, _xlfn.SEQUENCE(1, 4, 2)),
    INDEX(
      Donnees!$A:$Z,
      _xlpm.ligpartie + 3,
      MATCH(AH$1, _xlpm.joueurs, 0) + 1
    )
  ), ""
)</f>
        <v/>
      </c>
      <c r="AI23" t="str" cm="1">
        <f t="array" ref="AI23">IFERROR(
  _xlfn.LET(
    _xlpm.ligpartie, MATCH($B22, Donnees!$F:$F, 0),
    _xlpm.joueurs, INDEX(Donnees!$A:$Z, _xlpm.ligpartie+1, _xlfn.SEQUENCE(1, 4, 2)),
    INDEX(
      Donnees!$A:$Z,
      _xlpm.ligpartie + 3,
      MATCH(AI$1, _xlpm.joueurs, 0) + 1
    )
  ), ""
)</f>
        <v/>
      </c>
      <c r="AJ23" t="str" cm="1">
        <f t="array" ref="AJ23">IFERROR(
  _xlfn.LET(
    _xlpm.ligpartie, MATCH($B22, Donnees!$F:$F, 0),
    _xlpm.joueurs, INDEX(Donnees!$A:$Z, _xlpm.ligpartie+1, _xlfn.SEQUENCE(1, 4, 2)),
    INDEX(
      Donnees!$A:$Z,
      _xlpm.ligpartie + 3,
      MATCH(AJ$1, _xlpm.joueurs, 0) + 1
    )
  ), ""
)</f>
        <v/>
      </c>
      <c r="AK23" t="str" cm="1">
        <f t="array" ref="AK23">IFERROR(
  _xlfn.LET(
    _xlpm.ligpartie, MATCH($B22, Donnees!$F:$F, 0),
    _xlpm.joueurs, INDEX(Donnees!$A:$Z, _xlpm.ligpartie+1, _xlfn.SEQUENCE(1, 4, 2)),
    INDEX(
      Donnees!$A:$Z,
      _xlpm.ligpartie + 3,
      MATCH(AK$1, _xlpm.joueurs, 0) + 1
    )
  ), ""
)</f>
        <v/>
      </c>
      <c r="AL23" t="str" cm="1">
        <f t="array" ref="AL23">IFERROR(
  _xlfn.LET(
    _xlpm.ligpartie, MATCH($B22, Donnees!$F:$F, 0),
    _xlpm.joueurs, INDEX(Donnees!$A:$Z, _xlpm.ligpartie+1, _xlfn.SEQUENCE(1, 4, 2)),
    INDEX(
      Donnees!$A:$Z,
      _xlpm.ligpartie + 3,
      MATCH(AL$1, _xlpm.joueurs, 0) + 1
    )
  ), ""
)</f>
        <v/>
      </c>
      <c r="AM23" t="str" cm="1">
        <f t="array" ref="AM23">IFERROR(
  _xlfn.LET(
    _xlpm.ligpartie, MATCH($B22, Donnees!$F:$F, 0),
    _xlpm.joueurs, INDEX(Donnees!$A:$Z, _xlpm.ligpartie+1, _xlfn.SEQUENCE(1, 4, 2)),
    INDEX(
      Donnees!$A:$Z,
      _xlpm.ligpartie + 3,
      MATCH(AM$1, _xlpm.joueurs, 0) + 1
    )
  ), ""
)</f>
        <v/>
      </c>
    </row>
    <row r="24" spans="1:39" x14ac:dyDescent="0.25">
      <c r="A24" t="s">
        <v>20</v>
      </c>
      <c r="D24" t="str" cm="1">
        <f t="array" ref="D24">_xlfn.LET(
  _xlpm.colj, _xlfn._xlws.FILTER(IF(ISNUMBER(23:23), COLUMN(23:23)), ISNUMBER(23:23)),
  _xlpm.elos, INDEX(22:22,1,_xlpm.colj),
  _xlpm.diffscale, Constantes!$B$2,
  IF(D23="",
    "",
    SUM(1/(1+POWER(10,-(D22-_xlpm.elos)/_xlpm.diffscale)))-0.5)
)</f>
        <v/>
      </c>
      <c r="E24" t="str" cm="1">
        <f t="array" ref="E24">_xlfn.LET(
  _xlpm.colj, _xlfn._xlws.FILTER(IF(ISNUMBER(23:23), COLUMN(23:23)), ISNUMBER(23:23)),
  _xlpm.elos, INDEX(22:22,1,_xlpm.colj),
  _xlpm.diffscale, Constantes!$B$2,
  IF(E23="",
    "",
    SUM(1/(1+POWER(10,-(E22-_xlpm.elos)/_xlpm.diffscale)))-0.5)
)</f>
        <v/>
      </c>
      <c r="F24" cm="1">
        <f t="array" ref="F24">_xlfn.LET(
  _xlpm.colj, _xlfn._xlws.FILTER(IF(ISNUMBER(23:23), COLUMN(23:23)), ISNUMBER(23:23)),
  _xlpm.elos, INDEX(22:22,1,_xlpm.colj),
  _xlpm.diffscale, Constantes!$B$2,
  IF(F23="",
    "",
    SUM(1/(1+POWER(10,-(F22-_xlpm.elos)/_xlpm.diffscale)))-0.5)
)</f>
        <v>1.3292866740161902</v>
      </c>
      <c r="G24" t="str" cm="1">
        <f t="array" ref="G24">_xlfn.LET(
  _xlpm.colj, _xlfn._xlws.FILTER(IF(ISNUMBER(23:23), COLUMN(23:23)), ISNUMBER(23:23)),
  _xlpm.elos, INDEX(22:22,1,_xlpm.colj),
  _xlpm.diffscale, Constantes!$B$2,
  IF(G23="",
    "",
    SUM(1/(1+POWER(10,-(G22-_xlpm.elos)/_xlpm.diffscale)))-0.5)
)</f>
        <v/>
      </c>
      <c r="H24" t="str" cm="1">
        <f t="array" ref="H24">_xlfn.LET(
  _xlpm.colj, _xlfn._xlws.FILTER(IF(ISNUMBER(23:23), COLUMN(23:23)), ISNUMBER(23:23)),
  _xlpm.elos, INDEX(22:22,1,_xlpm.colj),
  _xlpm.diffscale, Constantes!$B$2,
  IF(H23="",
    "",
    SUM(1/(1+POWER(10,-(H22-_xlpm.elos)/_xlpm.diffscale)))-0.5)
)</f>
        <v/>
      </c>
      <c r="I24" t="str" cm="1">
        <f t="array" ref="I24">_xlfn.LET(
  _xlpm.colj, _xlfn._xlws.FILTER(IF(ISNUMBER(23:23), COLUMN(23:23)), ISNUMBER(23:23)),
  _xlpm.elos, INDEX(22:22,1,_xlpm.colj),
  _xlpm.diffscale, Constantes!$B$2,
  IF(I23="",
    "",
    SUM(1/(1+POWER(10,-(I22-_xlpm.elos)/_xlpm.diffscale)))-0.5)
)</f>
        <v/>
      </c>
      <c r="J24" t="str" cm="1">
        <f t="array" ref="J24">_xlfn.LET(
  _xlpm.colj, _xlfn._xlws.FILTER(IF(ISNUMBER(23:23), COLUMN(23:23)), ISNUMBER(23:23)),
  _xlpm.elos, INDEX(22:22,1,_xlpm.colj),
  _xlpm.diffscale, Constantes!$B$2,
  IF(J23="",
    "",
    SUM(1/(1+POWER(10,-(J22-_xlpm.elos)/_xlpm.diffscale)))-0.5)
)</f>
        <v/>
      </c>
      <c r="K24" t="str" cm="1">
        <f t="array" ref="K24">_xlfn.LET(
  _xlpm.colj, _xlfn._xlws.FILTER(IF(ISNUMBER(23:23), COLUMN(23:23)), ISNUMBER(23:23)),
  _xlpm.elos, INDEX(22:22,1,_xlpm.colj),
  _xlpm.diffscale, Constantes!$B$2,
  IF(K23="",
    "",
    SUM(1/(1+POWER(10,-(K22-_xlpm.elos)/_xlpm.diffscale)))-0.5)
)</f>
        <v/>
      </c>
      <c r="L24" cm="1">
        <f t="array" ref="L24">_xlfn.LET(
  _xlpm.colj, _xlfn._xlws.FILTER(IF(ISNUMBER(23:23), COLUMN(23:23)), ISNUMBER(23:23)),
  _xlpm.elos, INDEX(22:22,1,_xlpm.colj),
  _xlpm.diffscale, Constantes!$B$2,
  IF(L23="",
    "",
    SUM(1/(1+POWER(10,-(L22-_xlpm.elos)/_xlpm.diffscale)))-0.5)
)</f>
        <v>1.7724724787185782</v>
      </c>
      <c r="M24" cm="1">
        <f t="array" ref="M24">_xlfn.LET(
  _xlpm.colj, _xlfn._xlws.FILTER(IF(ISNUMBER(23:23), COLUMN(23:23)), ISNUMBER(23:23)),
  _xlpm.elos, INDEX(22:22,1,_xlpm.colj),
  _xlpm.diffscale, Constantes!$B$2,
  IF(M23="",
    "",
    SUM(1/(1+POWER(10,-(M22-_xlpm.elos)/_xlpm.diffscale)))-0.5)
)</f>
        <v>1.7724724787185782</v>
      </c>
      <c r="N24" cm="1">
        <f t="array" ref="N24">_xlfn.LET(
  _xlpm.colj, _xlfn._xlws.FILTER(IF(ISNUMBER(23:23), COLUMN(23:23)), ISNUMBER(23:23)),
  _xlpm.elos, INDEX(22:22,1,_xlpm.colj),
  _xlpm.diffscale, Constantes!$B$2,
  IF(N23="",
    "",
    SUM(1/(1+POWER(10,-(N22-_xlpm.elos)/_xlpm.diffscale)))-0.5)
)</f>
        <v>1.1257683685466535</v>
      </c>
      <c r="O24" t="str" cm="1">
        <f t="array" ref="O24">_xlfn.LET(
  _xlpm.colj, _xlfn._xlws.FILTER(IF(ISNUMBER(23:23), COLUMN(23:23)), ISNUMBER(23:23)),
  _xlpm.elos, INDEX(22:22,1,_xlpm.colj),
  _xlpm.diffscale, Constantes!$B$2,
  IF(O23="",
    "",
    SUM(1/(1+POWER(10,-(O22-_xlpm.elos)/_xlpm.diffscale)))-0.5)
)</f>
        <v/>
      </c>
      <c r="P24" t="str" cm="1">
        <f t="array" ref="P24">_xlfn.LET(
  _xlpm.colj, _xlfn._xlws.FILTER(IF(ISNUMBER(23:23), COLUMN(23:23)), ISNUMBER(23:23)),
  _xlpm.elos, INDEX(22:22,1,_xlpm.colj),
  _xlpm.diffscale, Constantes!$B$2,
  IF(P23="",
    "",
    SUM(1/(1+POWER(10,-(P22-_xlpm.elos)/_xlpm.diffscale)))-0.5)
)</f>
        <v/>
      </c>
      <c r="Q24" t="str" cm="1">
        <f t="array" ref="Q24">_xlfn.LET(
  _xlpm.colj, _xlfn._xlws.FILTER(IF(ISNUMBER(23:23), COLUMN(23:23)), ISNUMBER(23:23)),
  _xlpm.elos, INDEX(22:22,1,_xlpm.colj),
  _xlpm.diffscale, Constantes!$B$2,
  IF(Q23="",
    "",
    SUM(1/(1+POWER(10,-(Q22-_xlpm.elos)/_xlpm.diffscale)))-0.5)
)</f>
        <v/>
      </c>
      <c r="R24" t="str" cm="1">
        <f t="array" ref="R24">_xlfn.LET(
  _xlpm.colj, _xlfn._xlws.FILTER(IF(ISNUMBER(23:23), COLUMN(23:23)), ISNUMBER(23:23)),
  _xlpm.elos, INDEX(22:22,1,_xlpm.colj),
  _xlpm.diffscale, Constantes!$B$2,
  IF(R23="",
    "",
    SUM(1/(1+POWER(10,-(R22-_xlpm.elos)/_xlpm.diffscale)))-0.5)
)</f>
        <v/>
      </c>
      <c r="S24" t="str" cm="1">
        <f t="array" ref="S24">_xlfn.LET(
  _xlpm.colj, _xlfn._xlws.FILTER(IF(ISNUMBER(23:23), COLUMN(23:23)), ISNUMBER(23:23)),
  _xlpm.elos, INDEX(22:22,1,_xlpm.colj),
  _xlpm.diffscale, Constantes!$B$2,
  IF(S23="",
    "",
    SUM(1/(1+POWER(10,-(S22-_xlpm.elos)/_xlpm.diffscale)))-0.5)
)</f>
        <v/>
      </c>
      <c r="T24" t="str" cm="1">
        <f t="array" ref="T24">_xlfn.LET(
  _xlpm.colj, _xlfn._xlws.FILTER(IF(ISNUMBER(23:23), COLUMN(23:23)), ISNUMBER(23:23)),
  _xlpm.elos, INDEX(22:22,1,_xlpm.colj),
  _xlpm.diffscale, Constantes!$B$2,
  IF(T23="",
    "",
    SUM(1/(1+POWER(10,-(T22-_xlpm.elos)/_xlpm.diffscale)))-0.5)
)</f>
        <v/>
      </c>
      <c r="U24" t="str" cm="1">
        <f t="array" ref="U24">_xlfn.LET(
  _xlpm.colj, _xlfn._xlws.FILTER(IF(ISNUMBER(23:23), COLUMN(23:23)), ISNUMBER(23:23)),
  _xlpm.elos, INDEX(22:22,1,_xlpm.colj),
  _xlpm.diffscale, Constantes!$B$2,
  IF(U23="",
    "",
    SUM(1/(1+POWER(10,-(U22-_xlpm.elos)/_xlpm.diffscale)))-0.5)
)</f>
        <v/>
      </c>
      <c r="V24" t="str" cm="1">
        <f t="array" ref="V24">_xlfn.LET(
  _xlpm.colj, _xlfn._xlws.FILTER(IF(ISNUMBER(23:23), COLUMN(23:23)), ISNUMBER(23:23)),
  _xlpm.elos, INDEX(22:22,1,_xlpm.colj),
  _xlpm.diffscale, Constantes!$B$2,
  IF(V23="",
    "",
    SUM(1/(1+POWER(10,-(V22-_xlpm.elos)/_xlpm.diffscale)))-0.5)
)</f>
        <v/>
      </c>
      <c r="W24" t="str" cm="1">
        <f t="array" ref="W24">_xlfn.LET(
  _xlpm.colj, _xlfn._xlws.FILTER(IF(ISNUMBER(23:23), COLUMN(23:23)), ISNUMBER(23:23)),
  _xlpm.elos, INDEX(22:22,1,_xlpm.colj),
  _xlpm.diffscale, Constantes!$B$2,
  IF(W23="",
    "",
    SUM(1/(1+POWER(10,-(W22-_xlpm.elos)/_xlpm.diffscale)))-0.5)
)</f>
        <v/>
      </c>
      <c r="X24" t="str" cm="1">
        <f t="array" ref="X24">_xlfn.LET(
  _xlpm.colj, _xlfn._xlws.FILTER(IF(ISNUMBER(23:23), COLUMN(23:23)), ISNUMBER(23:23)),
  _xlpm.elos, INDEX(22:22,1,_xlpm.colj),
  _xlpm.diffscale, Constantes!$B$2,
  IF(X23="",
    "",
    SUM(1/(1+POWER(10,-(X22-_xlpm.elos)/_xlpm.diffscale)))-0.5)
)</f>
        <v/>
      </c>
      <c r="Y24" t="str" cm="1">
        <f t="array" ref="Y24">_xlfn.LET(
  _xlpm.colj, _xlfn._xlws.FILTER(IF(ISNUMBER(23:23), COLUMN(23:23)), ISNUMBER(23:23)),
  _xlpm.elos, INDEX(22:22,1,_xlpm.colj),
  _xlpm.diffscale, Constantes!$B$2,
  IF(Y23="",
    "",
    SUM(1/(1+POWER(10,-(Y22-_xlpm.elos)/_xlpm.diffscale)))-0.5)
)</f>
        <v/>
      </c>
      <c r="Z24" t="str" cm="1">
        <f t="array" ref="Z24">_xlfn.LET(
  _xlpm.colj, _xlfn._xlws.FILTER(IF(ISNUMBER(23:23), COLUMN(23:23)), ISNUMBER(23:23)),
  _xlpm.elos, INDEX(22:22,1,_xlpm.colj),
  _xlpm.diffscale, Constantes!$B$2,
  IF(Z23="",
    "",
    SUM(1/(1+POWER(10,-(Z22-_xlpm.elos)/_xlpm.diffscale)))-0.5)
)</f>
        <v/>
      </c>
      <c r="AA24" t="str" cm="1">
        <f t="array" ref="AA24">_xlfn.LET(
  _xlpm.colj, _xlfn._xlws.FILTER(IF(ISNUMBER(23:23), COLUMN(23:23)), ISNUMBER(23:23)),
  _xlpm.elos, INDEX(22:22,1,_xlpm.colj),
  _xlpm.diffscale, Constantes!$B$2,
  IF(AA23="",
    "",
    SUM(1/(1+POWER(10,-(AA22-_xlpm.elos)/_xlpm.diffscale)))-0.5)
)</f>
        <v/>
      </c>
      <c r="AB24" t="str" cm="1">
        <f t="array" ref="AB24">_xlfn.LET(
  _xlpm.colj, _xlfn._xlws.FILTER(IF(ISNUMBER(23:23), COLUMN(23:23)), ISNUMBER(23:23)),
  _xlpm.elos, INDEX(22:22,1,_xlpm.colj),
  _xlpm.diffscale, Constantes!$B$2,
  IF(AB23="",
    "",
    SUM(1/(1+POWER(10,-(AB22-_xlpm.elos)/_xlpm.diffscale)))-0.5)
)</f>
        <v/>
      </c>
      <c r="AC24" t="str" cm="1">
        <f t="array" ref="AC24">_xlfn.LET(
  _xlpm.colj, _xlfn._xlws.FILTER(IF(ISNUMBER(23:23), COLUMN(23:23)), ISNUMBER(23:23)),
  _xlpm.elos, INDEX(22:22,1,_xlpm.colj),
  _xlpm.diffscale, Constantes!$B$2,
  IF(AC23="",
    "",
    SUM(1/(1+POWER(10,-(AC22-_xlpm.elos)/_xlpm.diffscale)))-0.5)
)</f>
        <v/>
      </c>
      <c r="AD24" t="str" cm="1">
        <f t="array" ref="AD24">_xlfn.LET(
  _xlpm.colj, _xlfn._xlws.FILTER(IF(ISNUMBER(23:23), COLUMN(23:23)), ISNUMBER(23:23)),
  _xlpm.elos, INDEX(22:22,1,_xlpm.colj),
  _xlpm.diffscale, Constantes!$B$2,
  IF(AD23="",
    "",
    SUM(1/(1+POWER(10,-(AD22-_xlpm.elos)/_xlpm.diffscale)))-0.5)
)</f>
        <v/>
      </c>
      <c r="AE24" t="str" cm="1">
        <f t="array" ref="AE24">_xlfn.LET(
  _xlpm.colj, _xlfn._xlws.FILTER(IF(ISNUMBER(23:23), COLUMN(23:23)), ISNUMBER(23:23)),
  _xlpm.elos, INDEX(22:22,1,_xlpm.colj),
  _xlpm.diffscale, Constantes!$B$2,
  IF(AE23="",
    "",
    SUM(1/(1+POWER(10,-(AE22-_xlpm.elos)/_xlpm.diffscale)))-0.5)
)</f>
        <v/>
      </c>
      <c r="AF24" t="str" cm="1">
        <f t="array" ref="AF24">_xlfn.LET(
  _xlpm.colj, _xlfn._xlws.FILTER(IF(ISNUMBER(23:23), COLUMN(23:23)), ISNUMBER(23:23)),
  _xlpm.elos, INDEX(22:22,1,_xlpm.colj),
  _xlpm.diffscale, Constantes!$B$2,
  IF(AF23="",
    "",
    SUM(1/(1+POWER(10,-(AF22-_xlpm.elos)/_xlpm.diffscale)))-0.5)
)</f>
        <v/>
      </c>
      <c r="AG24" t="str" cm="1">
        <f t="array" ref="AG24">_xlfn.LET(
  _xlpm.colj, _xlfn._xlws.FILTER(IF(ISNUMBER(23:23), COLUMN(23:23)), ISNUMBER(23:23)),
  _xlpm.elos, INDEX(22:22,1,_xlpm.colj),
  _xlpm.diffscale, Constantes!$B$2,
  IF(AG23="",
    "",
    SUM(1/(1+POWER(10,-(AG22-_xlpm.elos)/_xlpm.diffscale)))-0.5)
)</f>
        <v/>
      </c>
      <c r="AH24" t="str" cm="1">
        <f t="array" ref="AH24">_xlfn.LET(
  _xlpm.colj, _xlfn._xlws.FILTER(IF(ISNUMBER(23:23), COLUMN(23:23)), ISNUMBER(23:23)),
  _xlpm.elos, INDEX(22:22,1,_xlpm.colj),
  _xlpm.diffscale, Constantes!$B$2,
  IF(AH23="",
    "",
    SUM(1/(1+POWER(10,-(AH22-_xlpm.elos)/_xlpm.diffscale)))-0.5)
)</f>
        <v/>
      </c>
      <c r="AI24" t="str" cm="1">
        <f t="array" ref="AI24">_xlfn.LET(
  _xlpm.colj, _xlfn._xlws.FILTER(IF(ISNUMBER(23:23), COLUMN(23:23)), ISNUMBER(23:23)),
  _xlpm.elos, INDEX(22:22,1,_xlpm.colj),
  _xlpm.diffscale, Constantes!$B$2,
  IF(AI23="",
    "",
    SUM(1/(1+POWER(10,-(AI22-_xlpm.elos)/_xlpm.diffscale)))-0.5)
)</f>
        <v/>
      </c>
      <c r="AJ24" t="str" cm="1">
        <f t="array" ref="AJ24">_xlfn.LET(
  _xlpm.colj, _xlfn._xlws.FILTER(IF(ISNUMBER(23:23), COLUMN(23:23)), ISNUMBER(23:23)),
  _xlpm.elos, INDEX(22:22,1,_xlpm.colj),
  _xlpm.diffscale, Constantes!$B$2,
  IF(AJ23="",
    "",
    SUM(1/(1+POWER(10,-(AJ22-_xlpm.elos)/_xlpm.diffscale)))-0.5)
)</f>
        <v/>
      </c>
      <c r="AK24" t="str" cm="1">
        <f t="array" ref="AK24">_xlfn.LET(
  _xlpm.colj, _xlfn._xlws.FILTER(IF(ISNUMBER(23:23), COLUMN(23:23)), ISNUMBER(23:23)),
  _xlpm.elos, INDEX(22:22,1,_xlpm.colj),
  _xlpm.diffscale, Constantes!$B$2,
  IF(AK23="",
    "",
    SUM(1/(1+POWER(10,-(AK22-_xlpm.elos)/_xlpm.diffscale)))-0.5)
)</f>
        <v/>
      </c>
      <c r="AL24" t="str" cm="1">
        <f t="array" ref="AL24">_xlfn.LET(
  _xlpm.colj, _xlfn._xlws.FILTER(IF(ISNUMBER(23:23), COLUMN(23:23)), ISNUMBER(23:23)),
  _xlpm.elos, INDEX(22:22,1,_xlpm.colj),
  _xlpm.diffscale, Constantes!$B$2,
  IF(AL23="",
    "",
    SUM(1/(1+POWER(10,-(AL22-_xlpm.elos)/_xlpm.diffscale)))-0.5)
)</f>
        <v/>
      </c>
      <c r="AM24" t="str" cm="1">
        <f t="array" ref="AM24">_xlfn.LET(
  _xlpm.colj, _xlfn._xlws.FILTER(IF(ISNUMBER(23:23), COLUMN(23:23)), ISNUMBER(23:23)),
  _xlpm.elos, INDEX(22:22,1,_xlpm.colj),
  _xlpm.diffscale, Constantes!$B$2,
  IF(AM23="",
    "",
    SUM(1/(1+POWER(10,-(AM22-_xlpm.elos)/_xlpm.diffscale)))-0.5)
)</f>
        <v/>
      </c>
    </row>
    <row r="25" spans="1:39" x14ac:dyDescent="0.25">
      <c r="A25" t="s">
        <v>22</v>
      </c>
      <c r="D25" t="str" cm="1">
        <f t="array" ref="D25">_xlfn.LET(
  _xlpm.K, Constantes!$B$3,
  _xlpm.Knewgain, Constantes!$B$4,
  _xlpm.Knewscale, Constantes!$B$5,
  _xlpm.ptstables, INDEX(D:D, _xlfn.SEQUENCE(COUNTA($C$2:$C25), 1, 3, 4)),
  _xlpm.nbparties, COUNTA(_xlfn._xlws.FILTER(_xlpm.ptstables, _xlpm.ptstables &lt;&gt; "")),
  _xlpm.coef, _xlpm.K + _xlpm.Knewgain / (_xlpm.Knewscale + _xlpm.nbparties),
  IF(D23="",
    "",
    _xlpm.coef * (D23-D24))
)</f>
        <v/>
      </c>
      <c r="E25" t="str" cm="1">
        <f t="array" ref="E25">_xlfn.LET(
  _xlpm.K, Constantes!$B$3,
  _xlpm.Knewgain, Constantes!$B$4,
  _xlpm.Knewscale, Constantes!$B$5,
  _xlpm.ptstables, INDEX(E:E, _xlfn.SEQUENCE(COUNTA($C$2:$C25), 1, 3, 4)),
  _xlpm.nbparties, COUNTA(_xlfn._xlws.FILTER(_xlpm.ptstables, _xlpm.ptstables &lt;&gt; "")),
  _xlpm.coef, _xlpm.K + _xlpm.Knewgain / (_xlpm.Knewscale + _xlpm.nbparties),
  IF(E23="",
    "",
    _xlpm.coef * (E23-E24))
)</f>
        <v/>
      </c>
      <c r="F25" cm="1">
        <f t="array" ref="F25">_xlfn.LET(
  _xlpm.K, Constantes!$B$3,
  _xlpm.Knewgain, Constantes!$B$4,
  _xlpm.Knewscale, Constantes!$B$5,
  _xlpm.ptstables, INDEX(F:F, _xlfn.SEQUENCE(COUNTA($C$2:$C25), 1, 3, 4)),
  _xlpm.nbparties, COUNTA(_xlfn._xlws.FILTER(_xlpm.ptstables, _xlpm.ptstables &lt;&gt; "")),
  _xlpm.coef, _xlpm.K + _xlpm.Knewgain / (_xlpm.Knewscale + _xlpm.nbparties),
  IF(F23="",
    "",
    _xlpm.coef * (F23-F24))
)</f>
        <v>19.003544236207947</v>
      </c>
      <c r="G25" t="str" cm="1">
        <f t="array" ref="G25">_xlfn.LET(
  _xlpm.K, Constantes!$B$3,
  _xlpm.Knewgain, Constantes!$B$4,
  _xlpm.Knewscale, Constantes!$B$5,
  _xlpm.ptstables, INDEX(G:G, _xlfn.SEQUENCE(COUNTA($C$2:$C25), 1, 3, 4)),
  _xlpm.nbparties, COUNTA(_xlfn._xlws.FILTER(_xlpm.ptstables, _xlpm.ptstables &lt;&gt; "")),
  _xlpm.coef, _xlpm.K + _xlpm.Knewgain / (_xlpm.Knewscale + _xlpm.nbparties),
  IF(G23="",
    "",
    _xlpm.coef * (G23-G24))
)</f>
        <v/>
      </c>
      <c r="H25" t="str" cm="1">
        <f t="array" ref="H25">_xlfn.LET(
  _xlpm.K, Constantes!$B$3,
  _xlpm.Knewgain, Constantes!$B$4,
  _xlpm.Knewscale, Constantes!$B$5,
  _xlpm.ptstables, INDEX(H:H, _xlfn.SEQUENCE(COUNTA($C$2:$C25), 1, 3, 4)),
  _xlpm.nbparties, COUNTA(_xlfn._xlws.FILTER(_xlpm.ptstables, _xlpm.ptstables &lt;&gt; "")),
  _xlpm.coef, _xlpm.K + _xlpm.Knewgain / (_xlpm.Knewscale + _xlpm.nbparties),
  IF(H23="",
    "",
    _xlpm.coef * (H23-H24))
)</f>
        <v/>
      </c>
      <c r="I25" t="str" cm="1">
        <f t="array" ref="I25">_xlfn.LET(
  _xlpm.K, Constantes!$B$3,
  _xlpm.Knewgain, Constantes!$B$4,
  _xlpm.Knewscale, Constantes!$B$5,
  _xlpm.ptstables, INDEX(I:I, _xlfn.SEQUENCE(COUNTA($C$2:$C25), 1, 3, 4)),
  _xlpm.nbparties, COUNTA(_xlfn._xlws.FILTER(_xlpm.ptstables, _xlpm.ptstables &lt;&gt; "")),
  _xlpm.coef, _xlpm.K + _xlpm.Knewgain / (_xlpm.Knewscale + _xlpm.nbparties),
  IF(I23="",
    "",
    _xlpm.coef * (I23-I24))
)</f>
        <v/>
      </c>
      <c r="J25" t="str" cm="1">
        <f t="array" ref="J25">_xlfn.LET(
  _xlpm.K, Constantes!$B$3,
  _xlpm.Knewgain, Constantes!$B$4,
  _xlpm.Knewscale, Constantes!$B$5,
  _xlpm.ptstables, INDEX(J:J, _xlfn.SEQUENCE(COUNTA($C$2:$C25), 1, 3, 4)),
  _xlpm.nbparties, COUNTA(_xlfn._xlws.FILTER(_xlpm.ptstables, _xlpm.ptstables &lt;&gt; "")),
  _xlpm.coef, _xlpm.K + _xlpm.Knewgain / (_xlpm.Knewscale + _xlpm.nbparties),
  IF(J23="",
    "",
    _xlpm.coef * (J23-J24))
)</f>
        <v/>
      </c>
      <c r="K25" t="str" cm="1">
        <f t="array" ref="K25">_xlfn.LET(
  _xlpm.K, Constantes!$B$3,
  _xlpm.Knewgain, Constantes!$B$4,
  _xlpm.Knewscale, Constantes!$B$5,
  _xlpm.ptstables, INDEX(K:K, _xlfn.SEQUENCE(COUNTA($C$2:$C25), 1, 3, 4)),
  _xlpm.nbparties, COUNTA(_xlfn._xlws.FILTER(_xlpm.ptstables, _xlpm.ptstables &lt;&gt; "")),
  _xlpm.coef, _xlpm.K + _xlpm.Knewgain / (_xlpm.Knewscale + _xlpm.nbparties),
  IF(K23="",
    "",
    _xlpm.coef * (K23-K24))
)</f>
        <v/>
      </c>
      <c r="L25" cm="1">
        <f t="array" ref="L25">_xlfn.LET(
  _xlpm.K, Constantes!$B$3,
  _xlpm.Knewgain, Constantes!$B$4,
  _xlpm.Knewscale, Constantes!$B$5,
  _xlpm.ptstables, INDEX(L:L, _xlfn.SEQUENCE(COUNTA($C$2:$C25), 1, 3, 4)),
  _xlpm.nbparties, COUNTA(_xlfn._xlws.FILTER(_xlpm.ptstables, _xlpm.ptstables &lt;&gt; "")),
  _xlpm.coef, _xlpm.K + _xlpm.Knewgain / (_xlpm.Knewscale + _xlpm.nbparties),
  IF(L23="",
    "",
    _xlpm.coef * (L23-L24))
)</f>
        <v>-79.761261542336015</v>
      </c>
      <c r="M25" cm="1">
        <f t="array" ref="M25">_xlfn.LET(
  _xlpm.K, Constantes!$B$3,
  _xlpm.Knewgain, Constantes!$B$4,
  _xlpm.Knewscale, Constantes!$B$5,
  _xlpm.ptstables, INDEX(M:M, _xlfn.SEQUENCE(COUNTA($C$2:$C25), 1, 3, 4)),
  _xlpm.nbparties, COUNTA(_xlfn._xlws.FILTER(_xlpm.ptstables, _xlpm.ptstables &lt;&gt; "")),
  _xlpm.coef, _xlpm.K + _xlpm.Knewgain / (_xlpm.Knewscale + _xlpm.nbparties),
  IF(M23="",
    "",
    _xlpm.coef * (M23-M24))
)</f>
        <v>-34.761261542336015</v>
      </c>
      <c r="N25" cm="1">
        <f t="array" ref="N25">_xlfn.LET(
  _xlpm.K, Constantes!$B$3,
  _xlpm.Knewgain, Constantes!$B$4,
  _xlpm.Knewscale, Constantes!$B$5,
  _xlpm.ptstables, INDEX(N:N, _xlfn.SEQUENCE(COUNTA($C$2:$C25), 1, 3, 4)),
  _xlpm.nbparties, COUNTA(_xlfn._xlws.FILTER(_xlpm.ptstables, _xlpm.ptstables &lt;&gt; "")),
  _xlpm.coef, _xlpm.K + _xlpm.Knewgain / (_xlpm.Knewscale + _xlpm.nbparties),
  IF(N23="",
    "",
    _xlpm.coef * (N23-N24))
)</f>
        <v>84.340423415400593</v>
      </c>
      <c r="O25" t="str" cm="1">
        <f t="array" ref="O25">_xlfn.LET(
  _xlpm.K, Constantes!$B$3,
  _xlpm.Knewgain, Constantes!$B$4,
  _xlpm.Knewscale, Constantes!$B$5,
  _xlpm.ptstables, INDEX(O:O, _xlfn.SEQUENCE(COUNTA($C$2:$C25), 1, 3, 4)),
  _xlpm.nbparties, COUNTA(_xlfn._xlws.FILTER(_xlpm.ptstables, _xlpm.ptstables &lt;&gt; "")),
  _xlpm.coef, _xlpm.K + _xlpm.Knewgain / (_xlpm.Knewscale + _xlpm.nbparties),
  IF(O23="",
    "",
    _xlpm.coef * (O23-O24))
)</f>
        <v/>
      </c>
      <c r="P25" t="str" cm="1">
        <f t="array" ref="P25">_xlfn.LET(
  _xlpm.K, Constantes!$B$3,
  _xlpm.Knewgain, Constantes!$B$4,
  _xlpm.Knewscale, Constantes!$B$5,
  _xlpm.ptstables, INDEX(P:P, _xlfn.SEQUENCE(COUNTA($C$2:$C25), 1, 3, 4)),
  _xlpm.nbparties, COUNTA(_xlfn._xlws.FILTER(_xlpm.ptstables, _xlpm.ptstables &lt;&gt; "")),
  _xlpm.coef, _xlpm.K + _xlpm.Knewgain / (_xlpm.Knewscale + _xlpm.nbparties),
  IF(P23="",
    "",
    _xlpm.coef * (P23-P24))
)</f>
        <v/>
      </c>
      <c r="Q25" t="str" cm="1">
        <f t="array" ref="Q25">_xlfn.LET(
  _xlpm.K, Constantes!$B$3,
  _xlpm.Knewgain, Constantes!$B$4,
  _xlpm.Knewscale, Constantes!$B$5,
  _xlpm.ptstables, INDEX(Q:Q, _xlfn.SEQUENCE(COUNTA($C$2:$C25), 1, 3, 4)),
  _xlpm.nbparties, COUNTA(_xlfn._xlws.FILTER(_xlpm.ptstables, _xlpm.ptstables &lt;&gt; "")),
  _xlpm.coef, _xlpm.K + _xlpm.Knewgain / (_xlpm.Knewscale + _xlpm.nbparties),
  IF(Q23="",
    "",
    _xlpm.coef * (Q23-Q24))
)</f>
        <v/>
      </c>
      <c r="R25" t="str" cm="1">
        <f t="array" ref="R25">_xlfn.LET(
  _xlpm.K, Constantes!$B$3,
  _xlpm.Knewgain, Constantes!$B$4,
  _xlpm.Knewscale, Constantes!$B$5,
  _xlpm.ptstables, INDEX(R:R, _xlfn.SEQUENCE(COUNTA($C$2:$C25), 1, 3, 4)),
  _xlpm.nbparties, COUNTA(_xlfn._xlws.FILTER(_xlpm.ptstables, _xlpm.ptstables &lt;&gt; "")),
  _xlpm.coef, _xlpm.K + _xlpm.Knewgain / (_xlpm.Knewscale + _xlpm.nbparties),
  IF(R23="",
    "",
    _xlpm.coef * (R23-R24))
)</f>
        <v/>
      </c>
      <c r="S25" t="str" cm="1">
        <f t="array" ref="S25">_xlfn.LET(
  _xlpm.K, Constantes!$B$3,
  _xlpm.Knewgain, Constantes!$B$4,
  _xlpm.Knewscale, Constantes!$B$5,
  _xlpm.ptstables, INDEX(S:S, _xlfn.SEQUENCE(COUNTA($C$2:$C25), 1, 3, 4)),
  _xlpm.nbparties, COUNTA(_xlfn._xlws.FILTER(_xlpm.ptstables, _xlpm.ptstables &lt;&gt; "")),
  _xlpm.coef, _xlpm.K + _xlpm.Knewgain / (_xlpm.Knewscale + _xlpm.nbparties),
  IF(S23="",
    "",
    _xlpm.coef * (S23-S24))
)</f>
        <v/>
      </c>
      <c r="T25" t="str" cm="1">
        <f t="array" ref="T25">_xlfn.LET(
  _xlpm.K, Constantes!$B$3,
  _xlpm.Knewgain, Constantes!$B$4,
  _xlpm.Knewscale, Constantes!$B$5,
  _xlpm.ptstables, INDEX(T:T, _xlfn.SEQUENCE(COUNTA($C$2:$C25), 1, 3, 4)),
  _xlpm.nbparties, COUNTA(_xlfn._xlws.FILTER(_xlpm.ptstables, _xlpm.ptstables &lt;&gt; "")),
  _xlpm.coef, _xlpm.K + _xlpm.Knewgain / (_xlpm.Knewscale + _xlpm.nbparties),
  IF(T23="",
    "",
    _xlpm.coef * (T23-T24))
)</f>
        <v/>
      </c>
      <c r="U25" t="str" cm="1">
        <f t="array" ref="U25">_xlfn.LET(
  _xlpm.K, Constantes!$B$3,
  _xlpm.Knewgain, Constantes!$B$4,
  _xlpm.Knewscale, Constantes!$B$5,
  _xlpm.ptstables, INDEX(U:U, _xlfn.SEQUENCE(COUNTA($C$2:$C25), 1, 3, 4)),
  _xlpm.nbparties, COUNTA(_xlfn._xlws.FILTER(_xlpm.ptstables, _xlpm.ptstables &lt;&gt; "")),
  _xlpm.coef, _xlpm.K + _xlpm.Knewgain / (_xlpm.Knewscale + _xlpm.nbparties),
  IF(U23="",
    "",
    _xlpm.coef * (U23-U24))
)</f>
        <v/>
      </c>
      <c r="V25" t="str" cm="1">
        <f t="array" ref="V25">_xlfn.LET(
  _xlpm.K, Constantes!$B$3,
  _xlpm.Knewgain, Constantes!$B$4,
  _xlpm.Knewscale, Constantes!$B$5,
  _xlpm.ptstables, INDEX(V:V, _xlfn.SEQUENCE(COUNTA($C$2:$C25), 1, 3, 4)),
  _xlpm.nbparties, COUNTA(_xlfn._xlws.FILTER(_xlpm.ptstables, _xlpm.ptstables &lt;&gt; "")),
  _xlpm.coef, _xlpm.K + _xlpm.Knewgain / (_xlpm.Knewscale + _xlpm.nbparties),
  IF(V23="",
    "",
    _xlpm.coef * (V23-V24))
)</f>
        <v/>
      </c>
      <c r="W25" t="str" cm="1">
        <f t="array" ref="W25">_xlfn.LET(
  _xlpm.K, Constantes!$B$3,
  _xlpm.Knewgain, Constantes!$B$4,
  _xlpm.Knewscale, Constantes!$B$5,
  _xlpm.ptstables, INDEX(W:W, _xlfn.SEQUENCE(COUNTA($C$2:$C25), 1, 3, 4)),
  _xlpm.nbparties, COUNTA(_xlfn._xlws.FILTER(_xlpm.ptstables, _xlpm.ptstables &lt;&gt; "")),
  _xlpm.coef, _xlpm.K + _xlpm.Knewgain / (_xlpm.Knewscale + _xlpm.nbparties),
  IF(W23="",
    "",
    _xlpm.coef * (W23-W24))
)</f>
        <v/>
      </c>
      <c r="X25" t="str" cm="1">
        <f t="array" ref="X25">_xlfn.LET(
  _xlpm.K, Constantes!$B$3,
  _xlpm.Knewgain, Constantes!$B$4,
  _xlpm.Knewscale, Constantes!$B$5,
  _xlpm.ptstables, INDEX(X:X, _xlfn.SEQUENCE(COUNTA($C$2:$C25), 1, 3, 4)),
  _xlpm.nbparties, COUNTA(_xlfn._xlws.FILTER(_xlpm.ptstables, _xlpm.ptstables &lt;&gt; "")),
  _xlpm.coef, _xlpm.K + _xlpm.Knewgain / (_xlpm.Knewscale + _xlpm.nbparties),
  IF(X23="",
    "",
    _xlpm.coef * (X23-X24))
)</f>
        <v/>
      </c>
      <c r="Y25" t="str" cm="1">
        <f t="array" ref="Y25">_xlfn.LET(
  _xlpm.K, Constantes!$B$3,
  _xlpm.Knewgain, Constantes!$B$4,
  _xlpm.Knewscale, Constantes!$B$5,
  _xlpm.ptstables, INDEX(Y:Y, _xlfn.SEQUENCE(COUNTA($C$2:$C25), 1, 3, 4)),
  _xlpm.nbparties, COUNTA(_xlfn._xlws.FILTER(_xlpm.ptstables, _xlpm.ptstables &lt;&gt; "")),
  _xlpm.coef, _xlpm.K + _xlpm.Knewgain / (_xlpm.Knewscale + _xlpm.nbparties),
  IF(Y23="",
    "",
    _xlpm.coef * (Y23-Y24))
)</f>
        <v/>
      </c>
      <c r="Z25" t="str" cm="1">
        <f t="array" ref="Z25">_xlfn.LET(
  _xlpm.K, Constantes!$B$3,
  _xlpm.Knewgain, Constantes!$B$4,
  _xlpm.Knewscale, Constantes!$B$5,
  _xlpm.ptstables, INDEX(Z:Z, _xlfn.SEQUENCE(COUNTA($C$2:$C25), 1, 3, 4)),
  _xlpm.nbparties, COUNTA(_xlfn._xlws.FILTER(_xlpm.ptstables, _xlpm.ptstables &lt;&gt; "")),
  _xlpm.coef, _xlpm.K + _xlpm.Knewgain / (_xlpm.Knewscale + _xlpm.nbparties),
  IF(Z23="",
    "",
    _xlpm.coef * (Z23-Z24))
)</f>
        <v/>
      </c>
      <c r="AA25" t="str" cm="1">
        <f t="array" ref="AA25">_xlfn.LET(
  _xlpm.K, Constantes!$B$3,
  _xlpm.Knewgain, Constantes!$B$4,
  _xlpm.Knewscale, Constantes!$B$5,
  _xlpm.ptstables, INDEX(AA:AA, _xlfn.SEQUENCE(COUNTA($C$2:$C25), 1, 3, 4)),
  _xlpm.nbparties, COUNTA(_xlfn._xlws.FILTER(_xlpm.ptstables, _xlpm.ptstables &lt;&gt; "")),
  _xlpm.coef, _xlpm.K + _xlpm.Knewgain / (_xlpm.Knewscale + _xlpm.nbparties),
  IF(AA23="",
    "",
    _xlpm.coef * (AA23-AA24))
)</f>
        <v/>
      </c>
      <c r="AB25" t="str" cm="1">
        <f t="array" ref="AB25">_xlfn.LET(
  _xlpm.K, Constantes!$B$3,
  _xlpm.Knewgain, Constantes!$B$4,
  _xlpm.Knewscale, Constantes!$B$5,
  _xlpm.ptstables, INDEX(AB:AB, _xlfn.SEQUENCE(COUNTA($C$2:$C25), 1, 3, 4)),
  _xlpm.nbparties, COUNTA(_xlfn._xlws.FILTER(_xlpm.ptstables, _xlpm.ptstables &lt;&gt; "")),
  _xlpm.coef, _xlpm.K + _xlpm.Knewgain / (_xlpm.Knewscale + _xlpm.nbparties),
  IF(AB23="",
    "",
    _xlpm.coef * (AB23-AB24))
)</f>
        <v/>
      </c>
      <c r="AC25" t="str" cm="1">
        <f t="array" ref="AC25">_xlfn.LET(
  _xlpm.K, Constantes!$B$3,
  _xlpm.Knewgain, Constantes!$B$4,
  _xlpm.Knewscale, Constantes!$B$5,
  _xlpm.ptstables, INDEX(AC:AC, _xlfn.SEQUENCE(COUNTA($C$2:$C25), 1, 3, 4)),
  _xlpm.nbparties, COUNTA(_xlfn._xlws.FILTER(_xlpm.ptstables, _xlpm.ptstables &lt;&gt; "")),
  _xlpm.coef, _xlpm.K + _xlpm.Knewgain / (_xlpm.Knewscale + _xlpm.nbparties),
  IF(AC23="",
    "",
    _xlpm.coef * (AC23-AC24))
)</f>
        <v/>
      </c>
      <c r="AD25" t="str" cm="1">
        <f t="array" ref="AD25">_xlfn.LET(
  _xlpm.K, Constantes!$B$3,
  _xlpm.Knewgain, Constantes!$B$4,
  _xlpm.Knewscale, Constantes!$B$5,
  _xlpm.ptstables, INDEX(AD:AD, _xlfn.SEQUENCE(COUNTA($C$2:$C25), 1, 3, 4)),
  _xlpm.nbparties, COUNTA(_xlfn._xlws.FILTER(_xlpm.ptstables, _xlpm.ptstables &lt;&gt; "")),
  _xlpm.coef, _xlpm.K + _xlpm.Knewgain / (_xlpm.Knewscale + _xlpm.nbparties),
  IF(AD23="",
    "",
    _xlpm.coef * (AD23-AD24))
)</f>
        <v/>
      </c>
      <c r="AE25" t="str" cm="1">
        <f t="array" ref="AE25">_xlfn.LET(
  _xlpm.K, Constantes!$B$3,
  _xlpm.Knewgain, Constantes!$B$4,
  _xlpm.Knewscale, Constantes!$B$5,
  _xlpm.ptstables, INDEX(AE:AE, _xlfn.SEQUENCE(COUNTA($C$2:$C25), 1, 3, 4)),
  _xlpm.nbparties, COUNTA(_xlfn._xlws.FILTER(_xlpm.ptstables, _xlpm.ptstables &lt;&gt; "")),
  _xlpm.coef, _xlpm.K + _xlpm.Knewgain / (_xlpm.Knewscale + _xlpm.nbparties),
  IF(AE23="",
    "",
    _xlpm.coef * (AE23-AE24))
)</f>
        <v/>
      </c>
      <c r="AF25" t="str" cm="1">
        <f t="array" ref="AF25">_xlfn.LET(
  _xlpm.K, Constantes!$B$3,
  _xlpm.Knewgain, Constantes!$B$4,
  _xlpm.Knewscale, Constantes!$B$5,
  _xlpm.ptstables, INDEX(AF:AF, _xlfn.SEQUENCE(COUNTA($C$2:$C25), 1, 3, 4)),
  _xlpm.nbparties, COUNTA(_xlfn._xlws.FILTER(_xlpm.ptstables, _xlpm.ptstables &lt;&gt; "")),
  _xlpm.coef, _xlpm.K + _xlpm.Knewgain / (_xlpm.Knewscale + _xlpm.nbparties),
  IF(AF23="",
    "",
    _xlpm.coef * (AF23-AF24))
)</f>
        <v/>
      </c>
      <c r="AG25" t="str" cm="1">
        <f t="array" ref="AG25">_xlfn.LET(
  _xlpm.K, Constantes!$B$3,
  _xlpm.Knewgain, Constantes!$B$4,
  _xlpm.Knewscale, Constantes!$B$5,
  _xlpm.ptstables, INDEX(AG:AG, _xlfn.SEQUENCE(COUNTA($C$2:$C25), 1, 3, 4)),
  _xlpm.nbparties, COUNTA(_xlfn._xlws.FILTER(_xlpm.ptstables, _xlpm.ptstables &lt;&gt; "")),
  _xlpm.coef, _xlpm.K + _xlpm.Knewgain / (_xlpm.Knewscale + _xlpm.nbparties),
  IF(AG23="",
    "",
    _xlpm.coef * (AG23-AG24))
)</f>
        <v/>
      </c>
      <c r="AH25" t="str" cm="1">
        <f t="array" ref="AH25">_xlfn.LET(
  _xlpm.K, Constantes!$B$3,
  _xlpm.Knewgain, Constantes!$B$4,
  _xlpm.Knewscale, Constantes!$B$5,
  _xlpm.ptstables, INDEX(AH:AH, _xlfn.SEQUENCE(COUNTA($C$2:$C25), 1, 3, 4)),
  _xlpm.nbparties, COUNTA(_xlfn._xlws.FILTER(_xlpm.ptstables, _xlpm.ptstables &lt;&gt; "")),
  _xlpm.coef, _xlpm.K + _xlpm.Knewgain / (_xlpm.Knewscale + _xlpm.nbparties),
  IF(AH23="",
    "",
    _xlpm.coef * (AH23-AH24))
)</f>
        <v/>
      </c>
      <c r="AI25" t="str" cm="1">
        <f t="array" ref="AI25">_xlfn.LET(
  _xlpm.K, Constantes!$B$3,
  _xlpm.Knewgain, Constantes!$B$4,
  _xlpm.Knewscale, Constantes!$B$5,
  _xlpm.ptstables, INDEX(AI:AI, _xlfn.SEQUENCE(COUNTA($C$2:$C25), 1, 3, 4)),
  _xlpm.nbparties, COUNTA(_xlfn._xlws.FILTER(_xlpm.ptstables, _xlpm.ptstables &lt;&gt; "")),
  _xlpm.coef, _xlpm.K + _xlpm.Knewgain / (_xlpm.Knewscale + _xlpm.nbparties),
  IF(AI23="",
    "",
    _xlpm.coef * (AI23-AI24))
)</f>
        <v/>
      </c>
      <c r="AJ25" t="str" cm="1">
        <f t="array" ref="AJ25">_xlfn.LET(
  _xlpm.K, Constantes!$B$3,
  _xlpm.Knewgain, Constantes!$B$4,
  _xlpm.Knewscale, Constantes!$B$5,
  _xlpm.ptstables, INDEX(AJ:AJ, _xlfn.SEQUENCE(COUNTA($C$2:$C25), 1, 3, 4)),
  _xlpm.nbparties, COUNTA(_xlfn._xlws.FILTER(_xlpm.ptstables, _xlpm.ptstables &lt;&gt; "")),
  _xlpm.coef, _xlpm.K + _xlpm.Knewgain / (_xlpm.Knewscale + _xlpm.nbparties),
  IF(AJ23="",
    "",
    _xlpm.coef * (AJ23-AJ24))
)</f>
        <v/>
      </c>
      <c r="AK25" t="str" cm="1">
        <f t="array" ref="AK25">_xlfn.LET(
  _xlpm.K, Constantes!$B$3,
  _xlpm.Knewgain, Constantes!$B$4,
  _xlpm.Knewscale, Constantes!$B$5,
  _xlpm.ptstables, INDEX(AK:AK, _xlfn.SEQUENCE(COUNTA($C$2:$C25), 1, 3, 4)),
  _xlpm.nbparties, COUNTA(_xlfn._xlws.FILTER(_xlpm.ptstables, _xlpm.ptstables &lt;&gt; "")),
  _xlpm.coef, _xlpm.K + _xlpm.Knewgain / (_xlpm.Knewscale + _xlpm.nbparties),
  IF(AK23="",
    "",
    _xlpm.coef * (AK23-AK24))
)</f>
        <v/>
      </c>
      <c r="AL25" t="str" cm="1">
        <f t="array" ref="AL25">_xlfn.LET(
  _xlpm.K, Constantes!$B$3,
  _xlpm.Knewgain, Constantes!$B$4,
  _xlpm.Knewscale, Constantes!$B$5,
  _xlpm.ptstables, INDEX(AL:AL, _xlfn.SEQUENCE(COUNTA($C$2:$C25), 1, 3, 4)),
  _xlpm.nbparties, COUNTA(_xlfn._xlws.FILTER(_xlpm.ptstables, _xlpm.ptstables &lt;&gt; "")),
  _xlpm.coef, _xlpm.K + _xlpm.Knewgain / (_xlpm.Knewscale + _xlpm.nbparties),
  IF(AL23="",
    "",
    _xlpm.coef * (AL23-AL24))
)</f>
        <v/>
      </c>
      <c r="AM25" t="str" cm="1">
        <f t="array" ref="AM25">_xlfn.LET(
  _xlpm.K, Constantes!$B$3,
  _xlpm.Knewgain, Constantes!$B$4,
  _xlpm.Knewscale, Constantes!$B$5,
  _xlpm.ptstables, INDEX(AM:AM, _xlfn.SEQUENCE(COUNTA($C$2:$C25), 1, 3, 4)),
  _xlpm.nbparties, COUNTA(_xlfn._xlws.FILTER(_xlpm.ptstables, _xlpm.ptstables &lt;&gt; "")),
  _xlpm.coef, _xlpm.K + _xlpm.Knewgain / (_xlpm.Knewscale + _xlpm.nbparties),
  IF(AM23="",
    "",
    _xlpm.coef * (AM23-AM24))
)</f>
        <v/>
      </c>
    </row>
    <row r="26" spans="1:39" x14ac:dyDescent="0.25">
      <c r="A26" t="s">
        <v>14</v>
      </c>
      <c r="B26" t="str" cm="1">
        <f t="array" ref="B2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</v>
      </c>
      <c r="C26" s="2" cm="1">
        <f t="array" ref="C26">IF(B26="","",
  INDEX(Donnees!F:F, MATCH(B26, Donnees!F:F, 0)+1))</f>
        <v>45906.696539351855</v>
      </c>
      <c r="D26">
        <f t="shared" ref="D26:AM26" si="14">D22+IF(D25="",0,D25)</f>
        <v>1007.6013097235091</v>
      </c>
      <c r="E26">
        <f t="shared" si="14"/>
        <v>1159.0715645447078</v>
      </c>
      <c r="F26">
        <f t="shared" si="14"/>
        <v>940.02269314333807</v>
      </c>
      <c r="G26">
        <f t="shared" si="14"/>
        <v>1069.7993848829565</v>
      </c>
      <c r="H26">
        <f t="shared" si="14"/>
        <v>988.4903284592059</v>
      </c>
      <c r="I26">
        <f t="shared" si="14"/>
        <v>1016.6476899092447</v>
      </c>
      <c r="J26">
        <f t="shared" si="14"/>
        <v>949.17582216133758</v>
      </c>
      <c r="K26">
        <f t="shared" si="14"/>
        <v>914.47577749470145</v>
      </c>
      <c r="L26">
        <f t="shared" si="14"/>
        <v>920.238738457664</v>
      </c>
      <c r="M26">
        <f t="shared" si="14"/>
        <v>965.238738457664</v>
      </c>
      <c r="N26">
        <f t="shared" si="14"/>
        <v>968.55042341540059</v>
      </c>
      <c r="O26">
        <f t="shared" si="14"/>
        <v>1000</v>
      </c>
      <c r="P26">
        <f t="shared" si="14"/>
        <v>993.13499999999999</v>
      </c>
      <c r="Q26">
        <f t="shared" si="14"/>
        <v>949.40499999999997</v>
      </c>
      <c r="R26">
        <f t="shared" si="14"/>
        <v>997.8</v>
      </c>
      <c r="S26">
        <f t="shared" si="14"/>
        <v>984.505</v>
      </c>
      <c r="T26">
        <f t="shared" si="14"/>
        <v>1029.905</v>
      </c>
      <c r="U26">
        <f t="shared" si="14"/>
        <v>1092.7849999999999</v>
      </c>
      <c r="V26">
        <f t="shared" si="14"/>
        <v>999.59500000000003</v>
      </c>
      <c r="W26">
        <f t="shared" si="14"/>
        <v>1000</v>
      </c>
      <c r="X26">
        <f t="shared" si="14"/>
        <v>899.53</v>
      </c>
      <c r="Y26">
        <f t="shared" si="14"/>
        <v>941.52</v>
      </c>
      <c r="Z26">
        <f t="shared" si="14"/>
        <v>1000</v>
      </c>
      <c r="AA26">
        <f t="shared" si="14"/>
        <v>1000</v>
      </c>
      <c r="AB26">
        <f t="shared" si="14"/>
        <v>979.56500000000005</v>
      </c>
      <c r="AC26">
        <f t="shared" si="14"/>
        <v>1032.51</v>
      </c>
      <c r="AD26">
        <f t="shared" si="14"/>
        <v>974.01499999999999</v>
      </c>
      <c r="AE26">
        <f t="shared" si="14"/>
        <v>1011.415</v>
      </c>
      <c r="AF26">
        <f t="shared" si="14"/>
        <v>1031.1199999999999</v>
      </c>
      <c r="AG26">
        <f t="shared" si="14"/>
        <v>1001.0350000000001</v>
      </c>
      <c r="AH26">
        <f t="shared" si="14"/>
        <v>994.44</v>
      </c>
      <c r="AI26">
        <f t="shared" si="14"/>
        <v>1000</v>
      </c>
      <c r="AJ26">
        <f t="shared" si="14"/>
        <v>957.2</v>
      </c>
      <c r="AK26">
        <f t="shared" si="14"/>
        <v>1000</v>
      </c>
      <c r="AL26">
        <f t="shared" si="14"/>
        <v>1055.9299999999998</v>
      </c>
      <c r="AM26">
        <f t="shared" si="14"/>
        <v>1000</v>
      </c>
    </row>
    <row r="27" spans="1:39" x14ac:dyDescent="0.25">
      <c r="A27" t="s">
        <v>21</v>
      </c>
      <c r="D27" t="str" cm="1">
        <f t="array" ref="D27">IFERROR(
  _xlfn.LET(
    _xlpm.ligpartie, MATCH($B26, Donnees!$F:$F, 0),
    _xlpm.joueurs, INDEX(Donnees!$A:$Z, _xlpm.ligpartie+1, _xlfn.SEQUENCE(1, 4, 2)),
    INDEX(
      Donnees!$A:$Z,
      _xlpm.ligpartie + 3,
      MATCH(D$1, _xlpm.joueurs, 0) + 1
    )
  ), ""
)</f>
        <v/>
      </c>
      <c r="E27" cm="1">
        <f t="array" ref="E27">IFERROR(
  _xlfn.LET(
    _xlpm.ligpartie, MATCH($B26, Donnees!$F:$F, 0),
    _xlpm.joueurs, INDEX(Donnees!$A:$Z, _xlpm.ligpartie+1, _xlfn.SEQUENCE(1, 4, 2)),
    INDEX(
      Donnees!$A:$Z,
      _xlpm.ligpartie + 3,
      MATCH(E$1, _xlpm.joueurs, 0) + 1
    )
  ), ""
)</f>
        <v>3</v>
      </c>
      <c r="F27" cm="1">
        <f t="array" ref="F27">IFERROR(
  _xlfn.LET(
    _xlpm.ligpartie, MATCH($B26, Donnees!$F:$F, 0),
    _xlpm.joueurs, INDEX(Donnees!$A:$Z, _xlpm.ligpartie+1, _xlfn.SEQUENCE(1, 4, 2)),
    INDEX(
      Donnees!$A:$Z,
      _xlpm.ligpartie + 3,
      MATCH(F$1, _xlpm.joueurs, 0) + 1
    )
  ), ""
)</f>
        <v>0</v>
      </c>
      <c r="G27" t="str" cm="1">
        <f t="array" ref="G27">IFERROR(
  _xlfn.LET(
    _xlpm.ligpartie, MATCH($B26, Donnees!$F:$F, 0),
    _xlpm.joueurs, INDEX(Donnees!$A:$Z, _xlpm.ligpartie+1, _xlfn.SEQUENCE(1, 4, 2)),
    INDEX(
      Donnees!$A:$Z,
      _xlpm.ligpartie + 3,
      MATCH(G$1, _xlpm.joueurs, 0) + 1
    )
  ), ""
)</f>
        <v/>
      </c>
      <c r="H27" cm="1">
        <f t="array" ref="H27">IFERROR(
  _xlfn.LET(
    _xlpm.ligpartie, MATCH($B26, Donnees!$F:$F, 0),
    _xlpm.joueurs, INDEX(Donnees!$A:$Z, _xlpm.ligpartie+1, _xlfn.SEQUENCE(1, 4, 2)),
    INDEX(
      Donnees!$A:$Z,
      _xlpm.ligpartie + 3,
      MATCH(H$1, _xlpm.joueurs, 0) + 1
    )
  ), ""
)</f>
        <v>1</v>
      </c>
      <c r="I27" t="str" cm="1">
        <f t="array" ref="I27">IFERROR(
  _xlfn.LET(
    _xlpm.ligpartie, MATCH($B26, Donnees!$F:$F, 0),
    _xlpm.joueurs, INDEX(Donnees!$A:$Z, _xlpm.ligpartie+1, _xlfn.SEQUENCE(1, 4, 2)),
    INDEX(
      Donnees!$A:$Z,
      _xlpm.ligpartie + 3,
      MATCH(I$1, _xlpm.joueurs, 0) + 1
    )
  ), ""
)</f>
        <v/>
      </c>
      <c r="J27" t="str" cm="1">
        <f t="array" ref="J27">IFERROR(
  _xlfn.LET(
    _xlpm.ligpartie, MATCH($B26, Donnees!$F:$F, 0),
    _xlpm.joueurs, INDEX(Donnees!$A:$Z, _xlpm.ligpartie+1, _xlfn.SEQUENCE(1, 4, 2)),
    INDEX(
      Donnees!$A:$Z,
      _xlpm.ligpartie + 3,
      MATCH(J$1, _xlpm.joueurs, 0) + 1
    )
  ), ""
)</f>
        <v/>
      </c>
      <c r="K27" t="str" cm="1">
        <f t="array" ref="K27">IFERROR(
  _xlfn.LET(
    _xlpm.ligpartie, MATCH($B26, Donnees!$F:$F, 0),
    _xlpm.joueurs, INDEX(Donnees!$A:$Z, _xlpm.ligpartie+1, _xlfn.SEQUENCE(1, 4, 2)),
    INDEX(
      Donnees!$A:$Z,
      _xlpm.ligpartie + 3,
      MATCH(K$1, _xlpm.joueurs, 0) + 1
    )
  ), ""
)</f>
        <v/>
      </c>
      <c r="L27" t="str" cm="1">
        <f t="array" ref="L27">IFERROR(
  _xlfn.LET(
    _xlpm.ligpartie, MATCH($B26, Donnees!$F:$F, 0),
    _xlpm.joueurs, INDEX(Donnees!$A:$Z, _xlpm.ligpartie+1, _xlfn.SEQUENCE(1, 4, 2)),
    INDEX(
      Donnees!$A:$Z,
      _xlpm.ligpartie + 3,
      MATCH(L$1, _xlpm.joueurs, 0) + 1
    )
  ), ""
)</f>
        <v/>
      </c>
      <c r="M27" t="str" cm="1">
        <f t="array" ref="M27">IFERROR(
  _xlfn.LET(
    _xlpm.ligpartie, MATCH($B26, Donnees!$F:$F, 0),
    _xlpm.joueurs, INDEX(Donnees!$A:$Z, _xlpm.ligpartie+1, _xlfn.SEQUENCE(1, 4, 2)),
    INDEX(
      Donnees!$A:$Z,
      _xlpm.ligpartie + 3,
      MATCH(M$1, _xlpm.joueurs, 0) + 1
    )
  ), ""
)</f>
        <v/>
      </c>
      <c r="N27" cm="1">
        <f t="array" ref="N27">IFERROR(
  _xlfn.LET(
    _xlpm.ligpartie, MATCH($B26, Donnees!$F:$F, 0),
    _xlpm.joueurs, INDEX(Donnees!$A:$Z, _xlpm.ligpartie+1, _xlfn.SEQUENCE(1, 4, 2)),
    INDEX(
      Donnees!$A:$Z,
      _xlpm.ligpartie + 3,
      MATCH(N$1, _xlpm.joueurs, 0) + 1
    )
  ), ""
)</f>
        <v>2</v>
      </c>
      <c r="O27" t="str" cm="1">
        <f t="array" ref="O27">IFERROR(
  _xlfn.LET(
    _xlpm.ligpartie, MATCH($B26, Donnees!$F:$F, 0),
    _xlpm.joueurs, INDEX(Donnees!$A:$Z, _xlpm.ligpartie+1, _xlfn.SEQUENCE(1, 4, 2)),
    INDEX(
      Donnees!$A:$Z,
      _xlpm.ligpartie + 3,
      MATCH(O$1, _xlpm.joueurs, 0) + 1
    )
  ), ""
)</f>
        <v/>
      </c>
      <c r="P27" t="str" cm="1">
        <f t="array" ref="P27">IFERROR(
  _xlfn.LET(
    _xlpm.ligpartie, MATCH($B26, Donnees!$F:$F, 0),
    _xlpm.joueurs, INDEX(Donnees!$A:$Z, _xlpm.ligpartie+1, _xlfn.SEQUENCE(1, 4, 2)),
    INDEX(
      Donnees!$A:$Z,
      _xlpm.ligpartie + 3,
      MATCH(P$1, _xlpm.joueurs, 0) + 1
    )
  ), ""
)</f>
        <v/>
      </c>
      <c r="Q27" t="str" cm="1">
        <f t="array" ref="Q27">IFERROR(
  _xlfn.LET(
    _xlpm.ligpartie, MATCH($B26, Donnees!$F:$F, 0),
    _xlpm.joueurs, INDEX(Donnees!$A:$Z, _xlpm.ligpartie+1, _xlfn.SEQUENCE(1, 4, 2)),
    INDEX(
      Donnees!$A:$Z,
      _xlpm.ligpartie + 3,
      MATCH(Q$1, _xlpm.joueurs, 0) + 1
    )
  ), ""
)</f>
        <v/>
      </c>
      <c r="R27" t="str" cm="1">
        <f t="array" ref="R27">IFERROR(
  _xlfn.LET(
    _xlpm.ligpartie, MATCH($B26, Donnees!$F:$F, 0),
    _xlpm.joueurs, INDEX(Donnees!$A:$Z, _xlpm.ligpartie+1, _xlfn.SEQUENCE(1, 4, 2)),
    INDEX(
      Donnees!$A:$Z,
      _xlpm.ligpartie + 3,
      MATCH(R$1, _xlpm.joueurs, 0) + 1
    )
  ), ""
)</f>
        <v/>
      </c>
      <c r="S27" t="str" cm="1">
        <f t="array" ref="S27">IFERROR(
  _xlfn.LET(
    _xlpm.ligpartie, MATCH($B26, Donnees!$F:$F, 0),
    _xlpm.joueurs, INDEX(Donnees!$A:$Z, _xlpm.ligpartie+1, _xlfn.SEQUENCE(1, 4, 2)),
    INDEX(
      Donnees!$A:$Z,
      _xlpm.ligpartie + 3,
      MATCH(S$1, _xlpm.joueurs, 0) + 1
    )
  ), ""
)</f>
        <v/>
      </c>
      <c r="T27" t="str" cm="1">
        <f t="array" ref="T27">IFERROR(
  _xlfn.LET(
    _xlpm.ligpartie, MATCH($B26, Donnees!$F:$F, 0),
    _xlpm.joueurs, INDEX(Donnees!$A:$Z, _xlpm.ligpartie+1, _xlfn.SEQUENCE(1, 4, 2)),
    INDEX(
      Donnees!$A:$Z,
      _xlpm.ligpartie + 3,
      MATCH(T$1, _xlpm.joueurs, 0) + 1
    )
  ), ""
)</f>
        <v/>
      </c>
      <c r="U27" t="str" cm="1">
        <f t="array" ref="U27">IFERROR(
  _xlfn.LET(
    _xlpm.ligpartie, MATCH($B26, Donnees!$F:$F, 0),
    _xlpm.joueurs, INDEX(Donnees!$A:$Z, _xlpm.ligpartie+1, _xlfn.SEQUENCE(1, 4, 2)),
    INDEX(
      Donnees!$A:$Z,
      _xlpm.ligpartie + 3,
      MATCH(U$1, _xlpm.joueurs, 0) + 1
    )
  ), ""
)</f>
        <v/>
      </c>
      <c r="V27" t="str" cm="1">
        <f t="array" ref="V27">IFERROR(
  _xlfn.LET(
    _xlpm.ligpartie, MATCH($B26, Donnees!$F:$F, 0),
    _xlpm.joueurs, INDEX(Donnees!$A:$Z, _xlpm.ligpartie+1, _xlfn.SEQUENCE(1, 4, 2)),
    INDEX(
      Donnees!$A:$Z,
      _xlpm.ligpartie + 3,
      MATCH(V$1, _xlpm.joueurs, 0) + 1
    )
  ), ""
)</f>
        <v/>
      </c>
      <c r="W27" t="str" cm="1">
        <f t="array" ref="W27">IFERROR(
  _xlfn.LET(
    _xlpm.ligpartie, MATCH($B26, Donnees!$F:$F, 0),
    _xlpm.joueurs, INDEX(Donnees!$A:$Z, _xlpm.ligpartie+1, _xlfn.SEQUENCE(1, 4, 2)),
    INDEX(
      Donnees!$A:$Z,
      _xlpm.ligpartie + 3,
      MATCH(W$1, _xlpm.joueurs, 0) + 1
    )
  ), ""
)</f>
        <v/>
      </c>
      <c r="X27" t="str" cm="1">
        <f t="array" ref="X27">IFERROR(
  _xlfn.LET(
    _xlpm.ligpartie, MATCH($B26, Donnees!$F:$F, 0),
    _xlpm.joueurs, INDEX(Donnees!$A:$Z, _xlpm.ligpartie+1, _xlfn.SEQUENCE(1, 4, 2)),
    INDEX(
      Donnees!$A:$Z,
      _xlpm.ligpartie + 3,
      MATCH(X$1, _xlpm.joueurs, 0) + 1
    )
  ), ""
)</f>
        <v/>
      </c>
      <c r="Y27" t="str" cm="1">
        <f t="array" ref="Y27">IFERROR(
  _xlfn.LET(
    _xlpm.ligpartie, MATCH($B26, Donnees!$F:$F, 0),
    _xlpm.joueurs, INDEX(Donnees!$A:$Z, _xlpm.ligpartie+1, _xlfn.SEQUENCE(1, 4, 2)),
    INDEX(
      Donnees!$A:$Z,
      _xlpm.ligpartie + 3,
      MATCH(Y$1, _xlpm.joueurs, 0) + 1
    )
  ), ""
)</f>
        <v/>
      </c>
      <c r="Z27" t="str" cm="1">
        <f t="array" ref="Z27">IFERROR(
  _xlfn.LET(
    _xlpm.ligpartie, MATCH($B26, Donnees!$F:$F, 0),
    _xlpm.joueurs, INDEX(Donnees!$A:$Z, _xlpm.ligpartie+1, _xlfn.SEQUENCE(1, 4, 2)),
    INDEX(
      Donnees!$A:$Z,
      _xlpm.ligpartie + 3,
      MATCH(Z$1, _xlpm.joueurs, 0) + 1
    )
  ), ""
)</f>
        <v/>
      </c>
      <c r="AA27" t="str" cm="1">
        <f t="array" ref="AA27">IFERROR(
  _xlfn.LET(
    _xlpm.ligpartie, MATCH($B26, Donnees!$F:$F, 0),
    _xlpm.joueurs, INDEX(Donnees!$A:$Z, _xlpm.ligpartie+1, _xlfn.SEQUENCE(1, 4, 2)),
    INDEX(
      Donnees!$A:$Z,
      _xlpm.ligpartie + 3,
      MATCH(AA$1, _xlpm.joueurs, 0) + 1
    )
  ), ""
)</f>
        <v/>
      </c>
      <c r="AB27" t="str" cm="1">
        <f t="array" ref="AB27">IFERROR(
  _xlfn.LET(
    _xlpm.ligpartie, MATCH($B26, Donnees!$F:$F, 0),
    _xlpm.joueurs, INDEX(Donnees!$A:$Z, _xlpm.ligpartie+1, _xlfn.SEQUENCE(1, 4, 2)),
    INDEX(
      Donnees!$A:$Z,
      _xlpm.ligpartie + 3,
      MATCH(AB$1, _xlpm.joueurs, 0) + 1
    )
  ), ""
)</f>
        <v/>
      </c>
      <c r="AC27" t="str" cm="1">
        <f t="array" ref="AC27">IFERROR(
  _xlfn.LET(
    _xlpm.ligpartie, MATCH($B26, Donnees!$F:$F, 0),
    _xlpm.joueurs, INDEX(Donnees!$A:$Z, _xlpm.ligpartie+1, _xlfn.SEQUENCE(1, 4, 2)),
    INDEX(
      Donnees!$A:$Z,
      _xlpm.ligpartie + 3,
      MATCH(AC$1, _xlpm.joueurs, 0) + 1
    )
  ), ""
)</f>
        <v/>
      </c>
      <c r="AD27" t="str" cm="1">
        <f t="array" ref="AD27">IFERROR(
  _xlfn.LET(
    _xlpm.ligpartie, MATCH($B26, Donnees!$F:$F, 0),
    _xlpm.joueurs, INDEX(Donnees!$A:$Z, _xlpm.ligpartie+1, _xlfn.SEQUENCE(1, 4, 2)),
    INDEX(
      Donnees!$A:$Z,
      _xlpm.ligpartie + 3,
      MATCH(AD$1, _xlpm.joueurs, 0) + 1
    )
  ), ""
)</f>
        <v/>
      </c>
      <c r="AE27" t="str" cm="1">
        <f t="array" ref="AE27">IFERROR(
  _xlfn.LET(
    _xlpm.ligpartie, MATCH($B26, Donnees!$F:$F, 0),
    _xlpm.joueurs, INDEX(Donnees!$A:$Z, _xlpm.ligpartie+1, _xlfn.SEQUENCE(1, 4, 2)),
    INDEX(
      Donnees!$A:$Z,
      _xlpm.ligpartie + 3,
      MATCH(AE$1, _xlpm.joueurs, 0) + 1
    )
  ), ""
)</f>
        <v/>
      </c>
      <c r="AF27" t="str" cm="1">
        <f t="array" ref="AF27">IFERROR(
  _xlfn.LET(
    _xlpm.ligpartie, MATCH($B26, Donnees!$F:$F, 0),
    _xlpm.joueurs, INDEX(Donnees!$A:$Z, _xlpm.ligpartie+1, _xlfn.SEQUENCE(1, 4, 2)),
    INDEX(
      Donnees!$A:$Z,
      _xlpm.ligpartie + 3,
      MATCH(AF$1, _xlpm.joueurs, 0) + 1
    )
  ), ""
)</f>
        <v/>
      </c>
      <c r="AG27" t="str" cm="1">
        <f t="array" ref="AG27">IFERROR(
  _xlfn.LET(
    _xlpm.ligpartie, MATCH($B26, Donnees!$F:$F, 0),
    _xlpm.joueurs, INDEX(Donnees!$A:$Z, _xlpm.ligpartie+1, _xlfn.SEQUENCE(1, 4, 2)),
    INDEX(
      Donnees!$A:$Z,
      _xlpm.ligpartie + 3,
      MATCH(AG$1, _xlpm.joueurs, 0) + 1
    )
  ), ""
)</f>
        <v/>
      </c>
      <c r="AH27" t="str" cm="1">
        <f t="array" ref="AH27">IFERROR(
  _xlfn.LET(
    _xlpm.ligpartie, MATCH($B26, Donnees!$F:$F, 0),
    _xlpm.joueurs, INDEX(Donnees!$A:$Z, _xlpm.ligpartie+1, _xlfn.SEQUENCE(1, 4, 2)),
    INDEX(
      Donnees!$A:$Z,
      _xlpm.ligpartie + 3,
      MATCH(AH$1, _xlpm.joueurs, 0) + 1
    )
  ), ""
)</f>
        <v/>
      </c>
      <c r="AI27" t="str" cm="1">
        <f t="array" ref="AI27">IFERROR(
  _xlfn.LET(
    _xlpm.ligpartie, MATCH($B26, Donnees!$F:$F, 0),
    _xlpm.joueurs, INDEX(Donnees!$A:$Z, _xlpm.ligpartie+1, _xlfn.SEQUENCE(1, 4, 2)),
    INDEX(
      Donnees!$A:$Z,
      _xlpm.ligpartie + 3,
      MATCH(AI$1, _xlpm.joueurs, 0) + 1
    )
  ), ""
)</f>
        <v/>
      </c>
      <c r="AJ27" t="str" cm="1">
        <f t="array" ref="AJ27">IFERROR(
  _xlfn.LET(
    _xlpm.ligpartie, MATCH($B26, Donnees!$F:$F, 0),
    _xlpm.joueurs, INDEX(Donnees!$A:$Z, _xlpm.ligpartie+1, _xlfn.SEQUENCE(1, 4, 2)),
    INDEX(
      Donnees!$A:$Z,
      _xlpm.ligpartie + 3,
      MATCH(AJ$1, _xlpm.joueurs, 0) + 1
    )
  ), ""
)</f>
        <v/>
      </c>
      <c r="AK27" t="str" cm="1">
        <f t="array" ref="AK27">IFERROR(
  _xlfn.LET(
    _xlpm.ligpartie, MATCH($B26, Donnees!$F:$F, 0),
    _xlpm.joueurs, INDEX(Donnees!$A:$Z, _xlpm.ligpartie+1, _xlfn.SEQUENCE(1, 4, 2)),
    INDEX(
      Donnees!$A:$Z,
      _xlpm.ligpartie + 3,
      MATCH(AK$1, _xlpm.joueurs, 0) + 1
    )
  ), ""
)</f>
        <v/>
      </c>
      <c r="AL27" t="str" cm="1">
        <f t="array" ref="AL27">IFERROR(
  _xlfn.LET(
    _xlpm.ligpartie, MATCH($B26, Donnees!$F:$F, 0),
    _xlpm.joueurs, INDEX(Donnees!$A:$Z, _xlpm.ligpartie+1, _xlfn.SEQUENCE(1, 4, 2)),
    INDEX(
      Donnees!$A:$Z,
      _xlpm.ligpartie + 3,
      MATCH(AL$1, _xlpm.joueurs, 0) + 1
    )
  ), ""
)</f>
        <v/>
      </c>
      <c r="AM27" t="str" cm="1">
        <f t="array" ref="AM27">IFERROR(
  _xlfn.LET(
    _xlpm.ligpartie, MATCH($B26, Donnees!$F:$F, 0),
    _xlpm.joueurs, INDEX(Donnees!$A:$Z, _xlpm.ligpartie+1, _xlfn.SEQUENCE(1, 4, 2)),
    INDEX(
      Donnees!$A:$Z,
      _xlpm.ligpartie + 3,
      MATCH(AM$1, _xlpm.joueurs, 0) + 1
    )
  ), ""
)</f>
        <v/>
      </c>
    </row>
    <row r="28" spans="1:39" x14ac:dyDescent="0.25">
      <c r="A28" t="s">
        <v>20</v>
      </c>
      <c r="D28" t="str" cm="1">
        <f t="array" ref="D28">_xlfn.LET(
  _xlpm.colj, _xlfn._xlws.FILTER(IF(ISNUMBER(27:27), COLUMN(27:27)), ISNUMBER(27:27)),
  _xlpm.elos, INDEX(26:26,1,_xlpm.colj),
  _xlpm.diffscale, Constantes!$B$2,
  IF(D27="",
    "",
    SUM(1/(1+POWER(10,-(D26-_xlpm.elos)/_xlpm.diffscale)))-0.5)
)</f>
        <v/>
      </c>
      <c r="E28" cm="1">
        <f t="array" ref="E28">_xlfn.LET(
  _xlpm.colj, _xlfn._xlws.FILTER(IF(ISNUMBER(27:27), COLUMN(27:27)), ISNUMBER(27:27)),
  _xlpm.elos, INDEX(26:26,1,_xlpm.colj),
  _xlpm.diffscale, Constantes!$B$2,
  IF(E27="",
    "",
    SUM(1/(1+POWER(10,-(E26-_xlpm.elos)/_xlpm.diffscale)))-0.5)
)</f>
        <v>2.2563294117137107</v>
      </c>
      <c r="F28" cm="1">
        <f t="array" ref="F28">_xlfn.LET(
  _xlpm.colj, _xlfn._xlws.FILTER(IF(ISNUMBER(27:27), COLUMN(27:27)), ISNUMBER(27:27)),
  _xlpm.elos, INDEX(26:26,1,_xlpm.colj),
  _xlpm.diffscale, Constantes!$B$2,
  IF(F27="",
    "",
    SUM(1/(1+POWER(10,-(F26-_xlpm.elos)/_xlpm.diffscale)))-0.5)
)</f>
        <v>1.1105467155719984</v>
      </c>
      <c r="G28" t="str" cm="1">
        <f t="array" ref="G28">_xlfn.LET(
  _xlpm.colj, _xlfn._xlws.FILTER(IF(ISNUMBER(27:27), COLUMN(27:27)), ISNUMBER(27:27)),
  _xlpm.elos, INDEX(26:26,1,_xlpm.colj),
  _xlpm.diffscale, Constantes!$B$2,
  IF(G27="",
    "",
    SUM(1/(1+POWER(10,-(G26-_xlpm.elos)/_xlpm.diffscale)))-0.5)
)</f>
        <v/>
      </c>
      <c r="H28" cm="1">
        <f t="array" ref="H28">_xlfn.LET(
  _xlpm.colj, _xlfn._xlws.FILTER(IF(ISNUMBER(27:27), COLUMN(27:27)), ISNUMBER(27:27)),
  _xlpm.elos, INDEX(26:26,1,_xlpm.colj),
  _xlpm.diffscale, Constantes!$B$2,
  IF(H27="",
    "",
    SUM(1/(1+POWER(10,-(H26-_xlpm.elos)/_xlpm.diffscale)))-0.5)
)</f>
        <v>1.3704720499834435</v>
      </c>
      <c r="I28" t="str" cm="1">
        <f t="array" ref="I28">_xlfn.LET(
  _xlpm.colj, _xlfn._xlws.FILTER(IF(ISNUMBER(27:27), COLUMN(27:27)), ISNUMBER(27:27)),
  _xlpm.elos, INDEX(26:26,1,_xlpm.colj),
  _xlpm.diffscale, Constantes!$B$2,
  IF(I27="",
    "",
    SUM(1/(1+POWER(10,-(I26-_xlpm.elos)/_xlpm.diffscale)))-0.5)
)</f>
        <v/>
      </c>
      <c r="J28" t="str" cm="1">
        <f t="array" ref="J28">_xlfn.LET(
  _xlpm.colj, _xlfn._xlws.FILTER(IF(ISNUMBER(27:27), COLUMN(27:27)), ISNUMBER(27:27)),
  _xlpm.elos, INDEX(26:26,1,_xlpm.colj),
  _xlpm.diffscale, Constantes!$B$2,
  IF(J27="",
    "",
    SUM(1/(1+POWER(10,-(J26-_xlpm.elos)/_xlpm.diffscale)))-0.5)
)</f>
        <v/>
      </c>
      <c r="K28" t="str" cm="1">
        <f t="array" ref="K28">_xlfn.LET(
  _xlpm.colj, _xlfn._xlws.FILTER(IF(ISNUMBER(27:27), COLUMN(27:27)), ISNUMBER(27:27)),
  _xlpm.elos, INDEX(26:26,1,_xlpm.colj),
  _xlpm.diffscale, Constantes!$B$2,
  IF(K27="",
    "",
    SUM(1/(1+POWER(10,-(K26-_xlpm.elos)/_xlpm.diffscale)))-0.5)
)</f>
        <v/>
      </c>
      <c r="L28" t="str" cm="1">
        <f t="array" ref="L28">_xlfn.LET(
  _xlpm.colj, _xlfn._xlws.FILTER(IF(ISNUMBER(27:27), COLUMN(27:27)), ISNUMBER(27:27)),
  _xlpm.elos, INDEX(26:26,1,_xlpm.colj),
  _xlpm.diffscale, Constantes!$B$2,
  IF(L27="",
    "",
    SUM(1/(1+POWER(10,-(L26-_xlpm.elos)/_xlpm.diffscale)))-0.5)
)</f>
        <v/>
      </c>
      <c r="M28" t="str" cm="1">
        <f t="array" ref="M28">_xlfn.LET(
  _xlpm.colj, _xlfn._xlws.FILTER(IF(ISNUMBER(27:27), COLUMN(27:27)), ISNUMBER(27:27)),
  _xlpm.elos, INDEX(26:26,1,_xlpm.colj),
  _xlpm.diffscale, Constantes!$B$2,
  IF(M27="",
    "",
    SUM(1/(1+POWER(10,-(M26-_xlpm.elos)/_xlpm.diffscale)))-0.5)
)</f>
        <v/>
      </c>
      <c r="N28" cm="1">
        <f t="array" ref="N28">_xlfn.LET(
  _xlpm.colj, _xlfn._xlws.FILTER(IF(ISNUMBER(27:27), COLUMN(27:27)), ISNUMBER(27:27)),
  _xlpm.elos, INDEX(26:26,1,_xlpm.colj),
  _xlpm.diffscale, Constantes!$B$2,
  IF(N27="",
    "",
    SUM(1/(1+POWER(10,-(N26-_xlpm.elos)/_xlpm.diffscale)))-0.5)
)</f>
        <v>1.2626518227308474</v>
      </c>
      <c r="O28" t="str" cm="1">
        <f t="array" ref="O28">_xlfn.LET(
  _xlpm.colj, _xlfn._xlws.FILTER(IF(ISNUMBER(27:27), COLUMN(27:27)), ISNUMBER(27:27)),
  _xlpm.elos, INDEX(26:26,1,_xlpm.colj),
  _xlpm.diffscale, Constantes!$B$2,
  IF(O27="",
    "",
    SUM(1/(1+POWER(10,-(O26-_xlpm.elos)/_xlpm.diffscale)))-0.5)
)</f>
        <v/>
      </c>
      <c r="P28" t="str" cm="1">
        <f t="array" ref="P28">_xlfn.LET(
  _xlpm.colj, _xlfn._xlws.FILTER(IF(ISNUMBER(27:27), COLUMN(27:27)), ISNUMBER(27:27)),
  _xlpm.elos, INDEX(26:26,1,_xlpm.colj),
  _xlpm.diffscale, Constantes!$B$2,
  IF(P27="",
    "",
    SUM(1/(1+POWER(10,-(P26-_xlpm.elos)/_xlpm.diffscale)))-0.5)
)</f>
        <v/>
      </c>
      <c r="Q28" t="str" cm="1">
        <f t="array" ref="Q28">_xlfn.LET(
  _xlpm.colj, _xlfn._xlws.FILTER(IF(ISNUMBER(27:27), COLUMN(27:27)), ISNUMBER(27:27)),
  _xlpm.elos, INDEX(26:26,1,_xlpm.colj),
  _xlpm.diffscale, Constantes!$B$2,
  IF(Q27="",
    "",
    SUM(1/(1+POWER(10,-(Q26-_xlpm.elos)/_xlpm.diffscale)))-0.5)
)</f>
        <v/>
      </c>
      <c r="R28" t="str" cm="1">
        <f t="array" ref="R28">_xlfn.LET(
  _xlpm.colj, _xlfn._xlws.FILTER(IF(ISNUMBER(27:27), COLUMN(27:27)), ISNUMBER(27:27)),
  _xlpm.elos, INDEX(26:26,1,_xlpm.colj),
  _xlpm.diffscale, Constantes!$B$2,
  IF(R27="",
    "",
    SUM(1/(1+POWER(10,-(R26-_xlpm.elos)/_xlpm.diffscale)))-0.5)
)</f>
        <v/>
      </c>
      <c r="S28" t="str" cm="1">
        <f t="array" ref="S28">_xlfn.LET(
  _xlpm.colj, _xlfn._xlws.FILTER(IF(ISNUMBER(27:27), COLUMN(27:27)), ISNUMBER(27:27)),
  _xlpm.elos, INDEX(26:26,1,_xlpm.colj),
  _xlpm.diffscale, Constantes!$B$2,
  IF(S27="",
    "",
    SUM(1/(1+POWER(10,-(S26-_xlpm.elos)/_xlpm.diffscale)))-0.5)
)</f>
        <v/>
      </c>
      <c r="T28" t="str" cm="1">
        <f t="array" ref="T28">_xlfn.LET(
  _xlpm.colj, _xlfn._xlws.FILTER(IF(ISNUMBER(27:27), COLUMN(27:27)), ISNUMBER(27:27)),
  _xlpm.elos, INDEX(26:26,1,_xlpm.colj),
  _xlpm.diffscale, Constantes!$B$2,
  IF(T27="",
    "",
    SUM(1/(1+POWER(10,-(T26-_xlpm.elos)/_xlpm.diffscale)))-0.5)
)</f>
        <v/>
      </c>
      <c r="U28" t="str" cm="1">
        <f t="array" ref="U28">_xlfn.LET(
  _xlpm.colj, _xlfn._xlws.FILTER(IF(ISNUMBER(27:27), COLUMN(27:27)), ISNUMBER(27:27)),
  _xlpm.elos, INDEX(26:26,1,_xlpm.colj),
  _xlpm.diffscale, Constantes!$B$2,
  IF(U27="",
    "",
    SUM(1/(1+POWER(10,-(U26-_xlpm.elos)/_xlpm.diffscale)))-0.5)
)</f>
        <v/>
      </c>
      <c r="V28" t="str" cm="1">
        <f t="array" ref="V28">_xlfn.LET(
  _xlpm.colj, _xlfn._xlws.FILTER(IF(ISNUMBER(27:27), COLUMN(27:27)), ISNUMBER(27:27)),
  _xlpm.elos, INDEX(26:26,1,_xlpm.colj),
  _xlpm.diffscale, Constantes!$B$2,
  IF(V27="",
    "",
    SUM(1/(1+POWER(10,-(V26-_xlpm.elos)/_xlpm.diffscale)))-0.5)
)</f>
        <v/>
      </c>
      <c r="W28" t="str" cm="1">
        <f t="array" ref="W28">_xlfn.LET(
  _xlpm.colj, _xlfn._xlws.FILTER(IF(ISNUMBER(27:27), COLUMN(27:27)), ISNUMBER(27:27)),
  _xlpm.elos, INDEX(26:26,1,_xlpm.colj),
  _xlpm.diffscale, Constantes!$B$2,
  IF(W27="",
    "",
    SUM(1/(1+POWER(10,-(W26-_xlpm.elos)/_xlpm.diffscale)))-0.5)
)</f>
        <v/>
      </c>
      <c r="X28" t="str" cm="1">
        <f t="array" ref="X28">_xlfn.LET(
  _xlpm.colj, _xlfn._xlws.FILTER(IF(ISNUMBER(27:27), COLUMN(27:27)), ISNUMBER(27:27)),
  _xlpm.elos, INDEX(26:26,1,_xlpm.colj),
  _xlpm.diffscale, Constantes!$B$2,
  IF(X27="",
    "",
    SUM(1/(1+POWER(10,-(X26-_xlpm.elos)/_xlpm.diffscale)))-0.5)
)</f>
        <v/>
      </c>
      <c r="Y28" t="str" cm="1">
        <f t="array" ref="Y28">_xlfn.LET(
  _xlpm.colj, _xlfn._xlws.FILTER(IF(ISNUMBER(27:27), COLUMN(27:27)), ISNUMBER(27:27)),
  _xlpm.elos, INDEX(26:26,1,_xlpm.colj),
  _xlpm.diffscale, Constantes!$B$2,
  IF(Y27="",
    "",
    SUM(1/(1+POWER(10,-(Y26-_xlpm.elos)/_xlpm.diffscale)))-0.5)
)</f>
        <v/>
      </c>
      <c r="Z28" t="str" cm="1">
        <f t="array" ref="Z28">_xlfn.LET(
  _xlpm.colj, _xlfn._xlws.FILTER(IF(ISNUMBER(27:27), COLUMN(27:27)), ISNUMBER(27:27)),
  _xlpm.elos, INDEX(26:26,1,_xlpm.colj),
  _xlpm.diffscale, Constantes!$B$2,
  IF(Z27="",
    "",
    SUM(1/(1+POWER(10,-(Z26-_xlpm.elos)/_xlpm.diffscale)))-0.5)
)</f>
        <v/>
      </c>
      <c r="AA28" t="str" cm="1">
        <f t="array" ref="AA28">_xlfn.LET(
  _xlpm.colj, _xlfn._xlws.FILTER(IF(ISNUMBER(27:27), COLUMN(27:27)), ISNUMBER(27:27)),
  _xlpm.elos, INDEX(26:26,1,_xlpm.colj),
  _xlpm.diffscale, Constantes!$B$2,
  IF(AA27="",
    "",
    SUM(1/(1+POWER(10,-(AA26-_xlpm.elos)/_xlpm.diffscale)))-0.5)
)</f>
        <v/>
      </c>
      <c r="AB28" t="str" cm="1">
        <f t="array" ref="AB28">_xlfn.LET(
  _xlpm.colj, _xlfn._xlws.FILTER(IF(ISNUMBER(27:27), COLUMN(27:27)), ISNUMBER(27:27)),
  _xlpm.elos, INDEX(26:26,1,_xlpm.colj),
  _xlpm.diffscale, Constantes!$B$2,
  IF(AB27="",
    "",
    SUM(1/(1+POWER(10,-(AB26-_xlpm.elos)/_xlpm.diffscale)))-0.5)
)</f>
        <v/>
      </c>
      <c r="AC28" t="str" cm="1">
        <f t="array" ref="AC28">_xlfn.LET(
  _xlpm.colj, _xlfn._xlws.FILTER(IF(ISNUMBER(27:27), COLUMN(27:27)), ISNUMBER(27:27)),
  _xlpm.elos, INDEX(26:26,1,_xlpm.colj),
  _xlpm.diffscale, Constantes!$B$2,
  IF(AC27="",
    "",
    SUM(1/(1+POWER(10,-(AC26-_xlpm.elos)/_xlpm.diffscale)))-0.5)
)</f>
        <v/>
      </c>
      <c r="AD28" t="str" cm="1">
        <f t="array" ref="AD28">_xlfn.LET(
  _xlpm.colj, _xlfn._xlws.FILTER(IF(ISNUMBER(27:27), COLUMN(27:27)), ISNUMBER(27:27)),
  _xlpm.elos, INDEX(26:26,1,_xlpm.colj),
  _xlpm.diffscale, Constantes!$B$2,
  IF(AD27="",
    "",
    SUM(1/(1+POWER(10,-(AD26-_xlpm.elos)/_xlpm.diffscale)))-0.5)
)</f>
        <v/>
      </c>
      <c r="AE28" t="str" cm="1">
        <f t="array" ref="AE28">_xlfn.LET(
  _xlpm.colj, _xlfn._xlws.FILTER(IF(ISNUMBER(27:27), COLUMN(27:27)), ISNUMBER(27:27)),
  _xlpm.elos, INDEX(26:26,1,_xlpm.colj),
  _xlpm.diffscale, Constantes!$B$2,
  IF(AE27="",
    "",
    SUM(1/(1+POWER(10,-(AE26-_xlpm.elos)/_xlpm.diffscale)))-0.5)
)</f>
        <v/>
      </c>
      <c r="AF28" t="str" cm="1">
        <f t="array" ref="AF28">_xlfn.LET(
  _xlpm.colj, _xlfn._xlws.FILTER(IF(ISNUMBER(27:27), COLUMN(27:27)), ISNUMBER(27:27)),
  _xlpm.elos, INDEX(26:26,1,_xlpm.colj),
  _xlpm.diffscale, Constantes!$B$2,
  IF(AF27="",
    "",
    SUM(1/(1+POWER(10,-(AF26-_xlpm.elos)/_xlpm.diffscale)))-0.5)
)</f>
        <v/>
      </c>
      <c r="AG28" t="str" cm="1">
        <f t="array" ref="AG28">_xlfn.LET(
  _xlpm.colj, _xlfn._xlws.FILTER(IF(ISNUMBER(27:27), COLUMN(27:27)), ISNUMBER(27:27)),
  _xlpm.elos, INDEX(26:26,1,_xlpm.colj),
  _xlpm.diffscale, Constantes!$B$2,
  IF(AG27="",
    "",
    SUM(1/(1+POWER(10,-(AG26-_xlpm.elos)/_xlpm.diffscale)))-0.5)
)</f>
        <v/>
      </c>
      <c r="AH28" t="str" cm="1">
        <f t="array" ref="AH28">_xlfn.LET(
  _xlpm.colj, _xlfn._xlws.FILTER(IF(ISNUMBER(27:27), COLUMN(27:27)), ISNUMBER(27:27)),
  _xlpm.elos, INDEX(26:26,1,_xlpm.colj),
  _xlpm.diffscale, Constantes!$B$2,
  IF(AH27="",
    "",
    SUM(1/(1+POWER(10,-(AH26-_xlpm.elos)/_xlpm.diffscale)))-0.5)
)</f>
        <v/>
      </c>
      <c r="AI28" t="str" cm="1">
        <f t="array" ref="AI28">_xlfn.LET(
  _xlpm.colj, _xlfn._xlws.FILTER(IF(ISNUMBER(27:27), COLUMN(27:27)), ISNUMBER(27:27)),
  _xlpm.elos, INDEX(26:26,1,_xlpm.colj),
  _xlpm.diffscale, Constantes!$B$2,
  IF(AI27="",
    "",
    SUM(1/(1+POWER(10,-(AI26-_xlpm.elos)/_xlpm.diffscale)))-0.5)
)</f>
        <v/>
      </c>
      <c r="AJ28" t="str" cm="1">
        <f t="array" ref="AJ28">_xlfn.LET(
  _xlpm.colj, _xlfn._xlws.FILTER(IF(ISNUMBER(27:27), COLUMN(27:27)), ISNUMBER(27:27)),
  _xlpm.elos, INDEX(26:26,1,_xlpm.colj),
  _xlpm.diffscale, Constantes!$B$2,
  IF(AJ27="",
    "",
    SUM(1/(1+POWER(10,-(AJ26-_xlpm.elos)/_xlpm.diffscale)))-0.5)
)</f>
        <v/>
      </c>
      <c r="AK28" t="str" cm="1">
        <f t="array" ref="AK28">_xlfn.LET(
  _xlpm.colj, _xlfn._xlws.FILTER(IF(ISNUMBER(27:27), COLUMN(27:27)), ISNUMBER(27:27)),
  _xlpm.elos, INDEX(26:26,1,_xlpm.colj),
  _xlpm.diffscale, Constantes!$B$2,
  IF(AK27="",
    "",
    SUM(1/(1+POWER(10,-(AK26-_xlpm.elos)/_xlpm.diffscale)))-0.5)
)</f>
        <v/>
      </c>
      <c r="AL28" t="str" cm="1">
        <f t="array" ref="AL28">_xlfn.LET(
  _xlpm.colj, _xlfn._xlws.FILTER(IF(ISNUMBER(27:27), COLUMN(27:27)), ISNUMBER(27:27)),
  _xlpm.elos, INDEX(26:26,1,_xlpm.colj),
  _xlpm.diffscale, Constantes!$B$2,
  IF(AL27="",
    "",
    SUM(1/(1+POWER(10,-(AL26-_xlpm.elos)/_xlpm.diffscale)))-0.5)
)</f>
        <v/>
      </c>
      <c r="AM28" t="str" cm="1">
        <f t="array" ref="AM28">_xlfn.LET(
  _xlpm.colj, _xlfn._xlws.FILTER(IF(ISNUMBER(27:27), COLUMN(27:27)), ISNUMBER(27:27)),
  _xlpm.elos, INDEX(26:26,1,_xlpm.colj),
  _xlpm.diffscale, Constantes!$B$2,
  IF(AM27="",
    "",
    SUM(1/(1+POWER(10,-(AM26-_xlpm.elos)/_xlpm.diffscale)))-0.5)
)</f>
        <v/>
      </c>
    </row>
    <row r="29" spans="1:39" x14ac:dyDescent="0.25">
      <c r="A29" t="s">
        <v>22</v>
      </c>
      <c r="D29" t="str" cm="1">
        <f t="array" ref="D29">_xlfn.LET(
  _xlpm.K, Constantes!$B$3,
  _xlpm.Knewgain, Constantes!$B$4,
  _xlpm.Knewscale, Constantes!$B$5,
  _xlpm.ptstables, INDEX(D:D, _xlfn.SEQUENCE(COUNTA($C$2:$C29), 1, 3, 4)),
  _xlpm.nbparties, COUNTA(_xlfn._xlws.FILTER(_xlpm.ptstables, _xlpm.ptstables &lt;&gt; "")),
  _xlpm.coef, _xlpm.K + _xlpm.Knewgain / (_xlpm.Knewscale + _xlpm.nbparties),
  IF(D27="",
    "",
    _xlpm.coef * (D27-D28))
)</f>
        <v/>
      </c>
      <c r="E29" cm="1">
        <f t="array" ref="E29">_xlfn.LET(
  _xlpm.K, Constantes!$B$3,
  _xlpm.Knewgain, Constantes!$B$4,
  _xlpm.Knewscale, Constantes!$B$5,
  _xlpm.ptstables, INDEX(E:E, _xlfn.SEQUENCE(COUNTA($C$2:$C29), 1, 3, 4)),
  _xlpm.nbparties, COUNTA(_xlfn._xlws.FILTER(_xlpm.ptstables, _xlpm.ptstables &lt;&gt; "")),
  _xlpm.coef, _xlpm.K + _xlpm.Knewgain / (_xlpm.Knewscale + _xlpm.nbparties),
  IF(E27="",
    "",
    _xlpm.coef * (E27-E28))
)</f>
        <v>21.070666668111532</v>
      </c>
      <c r="F29" cm="1">
        <f t="array" ref="F29">_xlfn.LET(
  _xlpm.K, Constantes!$B$3,
  _xlpm.Knewgain, Constantes!$B$4,
  _xlpm.Knewscale, Constantes!$B$5,
  _xlpm.ptstables, INDEX(F:F, _xlfn.SEQUENCE(COUNTA($C$2:$C29), 1, 3, 4)),
  _xlpm.nbparties, COUNTA(_xlfn._xlws.FILTER(_xlpm.ptstables, _xlpm.ptstables &lt;&gt; "")),
  _xlpm.coef, _xlpm.K + _xlpm.Knewgain / (_xlpm.Knewscale + _xlpm.nbparties),
  IF(F27="",
    "",
    _xlpm.coef * (F27-F28))
)</f>
        <v>-30.143410851239956</v>
      </c>
      <c r="G29" t="str" cm="1">
        <f t="array" ref="G29">_xlfn.LET(
  _xlpm.K, Constantes!$B$3,
  _xlpm.Knewgain, Constantes!$B$4,
  _xlpm.Knewscale, Constantes!$B$5,
  _xlpm.ptstables, INDEX(G:G, _xlfn.SEQUENCE(COUNTA($C$2:$C29), 1, 3, 4)),
  _xlpm.nbparties, COUNTA(_xlfn._xlws.FILTER(_xlpm.ptstables, _xlpm.ptstables &lt;&gt; "")),
  _xlpm.coef, _xlpm.K + _xlpm.Knewgain / (_xlpm.Knewscale + _xlpm.nbparties),
  IF(G27="",
    "",
    _xlpm.coef * (G27-G28))
)</f>
        <v/>
      </c>
      <c r="H29" cm="1">
        <f t="array" ref="H29">_xlfn.LET(
  _xlpm.K, Constantes!$B$3,
  _xlpm.Knewgain, Constantes!$B$4,
  _xlpm.Knewscale, Constantes!$B$5,
  _xlpm.ptstables, INDEX(H:H, _xlfn.SEQUENCE(COUNTA($C$2:$C29), 1, 3, 4)),
  _xlpm.nbparties, COUNTA(_xlfn._xlws.FILTER(_xlpm.ptstables, _xlpm.ptstables &lt;&gt; "")),
  _xlpm.coef, _xlpm.K + _xlpm.Knewgain / (_xlpm.Knewscale + _xlpm.nbparties),
  IF(H27="",
    "",
    _xlpm.coef * (H27-H28))
)</f>
        <v>-12.040341624461915</v>
      </c>
      <c r="I29" t="str" cm="1">
        <f t="array" ref="I29">_xlfn.LET(
  _xlpm.K, Constantes!$B$3,
  _xlpm.Knewgain, Constantes!$B$4,
  _xlpm.Knewscale, Constantes!$B$5,
  _xlpm.ptstables, INDEX(I:I, _xlfn.SEQUENCE(COUNTA($C$2:$C29), 1, 3, 4)),
  _xlpm.nbparties, COUNTA(_xlfn._xlws.FILTER(_xlpm.ptstables, _xlpm.ptstables &lt;&gt; "")),
  _xlpm.coef, _xlpm.K + _xlpm.Knewgain / (_xlpm.Knewscale + _xlpm.nbparties),
  IF(I27="",
    "",
    _xlpm.coef * (I27-I28))
)</f>
        <v/>
      </c>
      <c r="J29" t="str" cm="1">
        <f t="array" ref="J29">_xlfn.LET(
  _xlpm.K, Constantes!$B$3,
  _xlpm.Knewgain, Constantes!$B$4,
  _xlpm.Knewscale, Constantes!$B$5,
  _xlpm.ptstables, INDEX(J:J, _xlfn.SEQUENCE(COUNTA($C$2:$C29), 1, 3, 4)),
  _xlpm.nbparties, COUNTA(_xlfn._xlws.FILTER(_xlpm.ptstables, _xlpm.ptstables &lt;&gt; "")),
  _xlpm.coef, _xlpm.K + _xlpm.Knewgain / (_xlpm.Knewscale + _xlpm.nbparties),
  IF(J27="",
    "",
    _xlpm.coef * (J27-J28))
)</f>
        <v/>
      </c>
      <c r="K29" t="str" cm="1">
        <f t="array" ref="K29">_xlfn.LET(
  _xlpm.K, Constantes!$B$3,
  _xlpm.Knewgain, Constantes!$B$4,
  _xlpm.Knewscale, Constantes!$B$5,
  _xlpm.ptstables, INDEX(K:K, _xlfn.SEQUENCE(COUNTA($C$2:$C29), 1, 3, 4)),
  _xlpm.nbparties, COUNTA(_xlfn._xlws.FILTER(_xlpm.ptstables, _xlpm.ptstables &lt;&gt; "")),
  _xlpm.coef, _xlpm.K + _xlpm.Knewgain / (_xlpm.Knewscale + _xlpm.nbparties),
  IF(K27="",
    "",
    _xlpm.coef * (K27-K28))
)</f>
        <v/>
      </c>
      <c r="L29" t="str" cm="1">
        <f t="array" ref="L29">_xlfn.LET(
  _xlpm.K, Constantes!$B$3,
  _xlpm.Knewgain, Constantes!$B$4,
  _xlpm.Knewscale, Constantes!$B$5,
  _xlpm.ptstables, INDEX(L:L, _xlfn.SEQUENCE(COUNTA($C$2:$C29), 1, 3, 4)),
  _xlpm.nbparties, COUNTA(_xlfn._xlws.FILTER(_xlpm.ptstables, _xlpm.ptstables &lt;&gt; "")),
  _xlpm.coef, _xlpm.K + _xlpm.Knewgain / (_xlpm.Knewscale + _xlpm.nbparties),
  IF(L27="",
    "",
    _xlpm.coef * (L27-L28))
)</f>
        <v/>
      </c>
      <c r="M29" t="str" cm="1">
        <f t="array" ref="M29">_xlfn.LET(
  _xlpm.K, Constantes!$B$3,
  _xlpm.Knewgain, Constantes!$B$4,
  _xlpm.Knewscale, Constantes!$B$5,
  _xlpm.ptstables, INDEX(M:M, _xlfn.SEQUENCE(COUNTA($C$2:$C29), 1, 3, 4)),
  _xlpm.nbparties, COUNTA(_xlfn._xlws.FILTER(_xlpm.ptstables, _xlpm.ptstables &lt;&gt; "")),
  _xlpm.coef, _xlpm.K + _xlpm.Knewgain / (_xlpm.Knewscale + _xlpm.nbparties),
  IF(M27="",
    "",
    _xlpm.coef * (M27-M28))
)</f>
        <v/>
      </c>
      <c r="N29" cm="1">
        <f t="array" ref="N29">_xlfn.LET(
  _xlpm.K, Constantes!$B$3,
  _xlpm.Knewgain, Constantes!$B$4,
  _xlpm.Knewscale, Constantes!$B$5,
  _xlpm.ptstables, INDEX(N:N, _xlfn.SEQUENCE(COUNTA($C$2:$C29), 1, 3, 4)),
  _xlpm.nbparties, COUNTA(_xlfn._xlws.FILTER(_xlpm.ptstables, _xlpm.ptstables &lt;&gt; "")),
  _xlpm.coef, _xlpm.K + _xlpm.Knewgain / (_xlpm.Knewscale + _xlpm.nbparties),
  IF(N27="",
    "",
    _xlpm.coef * (N27-N28))
)</f>
        <v>27.036099833202265</v>
      </c>
      <c r="O29" t="str" cm="1">
        <f t="array" ref="O29">_xlfn.LET(
  _xlpm.K, Constantes!$B$3,
  _xlpm.Knewgain, Constantes!$B$4,
  _xlpm.Knewscale, Constantes!$B$5,
  _xlpm.ptstables, INDEX(O:O, _xlfn.SEQUENCE(COUNTA($C$2:$C29), 1, 3, 4)),
  _xlpm.nbparties, COUNTA(_xlfn._xlws.FILTER(_xlpm.ptstables, _xlpm.ptstables &lt;&gt; "")),
  _xlpm.coef, _xlpm.K + _xlpm.Knewgain / (_xlpm.Knewscale + _xlpm.nbparties),
  IF(O27="",
    "",
    _xlpm.coef * (O27-O28))
)</f>
        <v/>
      </c>
      <c r="P29" t="str" cm="1">
        <f t="array" ref="P29">_xlfn.LET(
  _xlpm.K, Constantes!$B$3,
  _xlpm.Knewgain, Constantes!$B$4,
  _xlpm.Knewscale, Constantes!$B$5,
  _xlpm.ptstables, INDEX(P:P, _xlfn.SEQUENCE(COUNTA($C$2:$C29), 1, 3, 4)),
  _xlpm.nbparties, COUNTA(_xlfn._xlws.FILTER(_xlpm.ptstables, _xlpm.ptstables &lt;&gt; "")),
  _xlpm.coef, _xlpm.K + _xlpm.Knewgain / (_xlpm.Knewscale + _xlpm.nbparties),
  IF(P27="",
    "",
    _xlpm.coef * (P27-P28))
)</f>
        <v/>
      </c>
      <c r="Q29" t="str" cm="1">
        <f t="array" ref="Q29">_xlfn.LET(
  _xlpm.K, Constantes!$B$3,
  _xlpm.Knewgain, Constantes!$B$4,
  _xlpm.Knewscale, Constantes!$B$5,
  _xlpm.ptstables, INDEX(Q:Q, _xlfn.SEQUENCE(COUNTA($C$2:$C29), 1, 3, 4)),
  _xlpm.nbparties, COUNTA(_xlfn._xlws.FILTER(_xlpm.ptstables, _xlpm.ptstables &lt;&gt; "")),
  _xlpm.coef, _xlpm.K + _xlpm.Knewgain / (_xlpm.Knewscale + _xlpm.nbparties),
  IF(Q27="",
    "",
    _xlpm.coef * (Q27-Q28))
)</f>
        <v/>
      </c>
      <c r="R29" t="str" cm="1">
        <f t="array" ref="R29">_xlfn.LET(
  _xlpm.K, Constantes!$B$3,
  _xlpm.Knewgain, Constantes!$B$4,
  _xlpm.Knewscale, Constantes!$B$5,
  _xlpm.ptstables, INDEX(R:R, _xlfn.SEQUENCE(COUNTA($C$2:$C29), 1, 3, 4)),
  _xlpm.nbparties, COUNTA(_xlfn._xlws.FILTER(_xlpm.ptstables, _xlpm.ptstables &lt;&gt; "")),
  _xlpm.coef, _xlpm.K + _xlpm.Knewgain / (_xlpm.Knewscale + _xlpm.nbparties),
  IF(R27="",
    "",
    _xlpm.coef * (R27-R28))
)</f>
        <v/>
      </c>
      <c r="S29" t="str" cm="1">
        <f t="array" ref="S29">_xlfn.LET(
  _xlpm.K, Constantes!$B$3,
  _xlpm.Knewgain, Constantes!$B$4,
  _xlpm.Knewscale, Constantes!$B$5,
  _xlpm.ptstables, INDEX(S:S, _xlfn.SEQUENCE(COUNTA($C$2:$C29), 1, 3, 4)),
  _xlpm.nbparties, COUNTA(_xlfn._xlws.FILTER(_xlpm.ptstables, _xlpm.ptstables &lt;&gt; "")),
  _xlpm.coef, _xlpm.K + _xlpm.Knewgain / (_xlpm.Knewscale + _xlpm.nbparties),
  IF(S27="",
    "",
    _xlpm.coef * (S27-S28))
)</f>
        <v/>
      </c>
      <c r="T29" t="str" cm="1">
        <f t="array" ref="T29">_xlfn.LET(
  _xlpm.K, Constantes!$B$3,
  _xlpm.Knewgain, Constantes!$B$4,
  _xlpm.Knewscale, Constantes!$B$5,
  _xlpm.ptstables, INDEX(T:T, _xlfn.SEQUENCE(COUNTA($C$2:$C29), 1, 3, 4)),
  _xlpm.nbparties, COUNTA(_xlfn._xlws.FILTER(_xlpm.ptstables, _xlpm.ptstables &lt;&gt; "")),
  _xlpm.coef, _xlpm.K + _xlpm.Knewgain / (_xlpm.Knewscale + _xlpm.nbparties),
  IF(T27="",
    "",
    _xlpm.coef * (T27-T28))
)</f>
        <v/>
      </c>
      <c r="U29" t="str" cm="1">
        <f t="array" ref="U29">_xlfn.LET(
  _xlpm.K, Constantes!$B$3,
  _xlpm.Knewgain, Constantes!$B$4,
  _xlpm.Knewscale, Constantes!$B$5,
  _xlpm.ptstables, INDEX(U:U, _xlfn.SEQUENCE(COUNTA($C$2:$C29), 1, 3, 4)),
  _xlpm.nbparties, COUNTA(_xlfn._xlws.FILTER(_xlpm.ptstables, _xlpm.ptstables &lt;&gt; "")),
  _xlpm.coef, _xlpm.K + _xlpm.Knewgain / (_xlpm.Knewscale + _xlpm.nbparties),
  IF(U27="",
    "",
    _xlpm.coef * (U27-U28))
)</f>
        <v/>
      </c>
      <c r="V29" t="str" cm="1">
        <f t="array" ref="V29">_xlfn.LET(
  _xlpm.K, Constantes!$B$3,
  _xlpm.Knewgain, Constantes!$B$4,
  _xlpm.Knewscale, Constantes!$B$5,
  _xlpm.ptstables, INDEX(V:V, _xlfn.SEQUENCE(COUNTA($C$2:$C29), 1, 3, 4)),
  _xlpm.nbparties, COUNTA(_xlfn._xlws.FILTER(_xlpm.ptstables, _xlpm.ptstables &lt;&gt; "")),
  _xlpm.coef, _xlpm.K + _xlpm.Knewgain / (_xlpm.Knewscale + _xlpm.nbparties),
  IF(V27="",
    "",
    _xlpm.coef * (V27-V28))
)</f>
        <v/>
      </c>
      <c r="W29" t="str" cm="1">
        <f t="array" ref="W29">_xlfn.LET(
  _xlpm.K, Constantes!$B$3,
  _xlpm.Knewgain, Constantes!$B$4,
  _xlpm.Knewscale, Constantes!$B$5,
  _xlpm.ptstables, INDEX(W:W, _xlfn.SEQUENCE(COUNTA($C$2:$C29), 1, 3, 4)),
  _xlpm.nbparties, COUNTA(_xlfn._xlws.FILTER(_xlpm.ptstables, _xlpm.ptstables &lt;&gt; "")),
  _xlpm.coef, _xlpm.K + _xlpm.Knewgain / (_xlpm.Knewscale + _xlpm.nbparties),
  IF(W27="",
    "",
    _xlpm.coef * (W27-W28))
)</f>
        <v/>
      </c>
      <c r="X29" t="str" cm="1">
        <f t="array" ref="X29">_xlfn.LET(
  _xlpm.K, Constantes!$B$3,
  _xlpm.Knewgain, Constantes!$B$4,
  _xlpm.Knewscale, Constantes!$B$5,
  _xlpm.ptstables, INDEX(X:X, _xlfn.SEQUENCE(COUNTA($C$2:$C29), 1, 3, 4)),
  _xlpm.nbparties, COUNTA(_xlfn._xlws.FILTER(_xlpm.ptstables, _xlpm.ptstables &lt;&gt; "")),
  _xlpm.coef, _xlpm.K + _xlpm.Knewgain / (_xlpm.Knewscale + _xlpm.nbparties),
  IF(X27="",
    "",
    _xlpm.coef * (X27-X28))
)</f>
        <v/>
      </c>
      <c r="Y29" t="str" cm="1">
        <f t="array" ref="Y29">_xlfn.LET(
  _xlpm.K, Constantes!$B$3,
  _xlpm.Knewgain, Constantes!$B$4,
  _xlpm.Knewscale, Constantes!$B$5,
  _xlpm.ptstables, INDEX(Y:Y, _xlfn.SEQUENCE(COUNTA($C$2:$C29), 1, 3, 4)),
  _xlpm.nbparties, COUNTA(_xlfn._xlws.FILTER(_xlpm.ptstables, _xlpm.ptstables &lt;&gt; "")),
  _xlpm.coef, _xlpm.K + _xlpm.Knewgain / (_xlpm.Knewscale + _xlpm.nbparties),
  IF(Y27="",
    "",
    _xlpm.coef * (Y27-Y28))
)</f>
        <v/>
      </c>
      <c r="Z29" t="str" cm="1">
        <f t="array" ref="Z29">_xlfn.LET(
  _xlpm.K, Constantes!$B$3,
  _xlpm.Knewgain, Constantes!$B$4,
  _xlpm.Knewscale, Constantes!$B$5,
  _xlpm.ptstables, INDEX(Z:Z, _xlfn.SEQUENCE(COUNTA($C$2:$C29), 1, 3, 4)),
  _xlpm.nbparties, COUNTA(_xlfn._xlws.FILTER(_xlpm.ptstables, _xlpm.ptstables &lt;&gt; "")),
  _xlpm.coef, _xlpm.K + _xlpm.Knewgain / (_xlpm.Knewscale + _xlpm.nbparties),
  IF(Z27="",
    "",
    _xlpm.coef * (Z27-Z28))
)</f>
        <v/>
      </c>
      <c r="AA29" t="str" cm="1">
        <f t="array" ref="AA29">_xlfn.LET(
  _xlpm.K, Constantes!$B$3,
  _xlpm.Knewgain, Constantes!$B$4,
  _xlpm.Knewscale, Constantes!$B$5,
  _xlpm.ptstables, INDEX(AA:AA, _xlfn.SEQUENCE(COUNTA($C$2:$C29), 1, 3, 4)),
  _xlpm.nbparties, COUNTA(_xlfn._xlws.FILTER(_xlpm.ptstables, _xlpm.ptstables &lt;&gt; "")),
  _xlpm.coef, _xlpm.K + _xlpm.Knewgain / (_xlpm.Knewscale + _xlpm.nbparties),
  IF(AA27="",
    "",
    _xlpm.coef * (AA27-AA28))
)</f>
        <v/>
      </c>
      <c r="AB29" t="str" cm="1">
        <f t="array" ref="AB29">_xlfn.LET(
  _xlpm.K, Constantes!$B$3,
  _xlpm.Knewgain, Constantes!$B$4,
  _xlpm.Knewscale, Constantes!$B$5,
  _xlpm.ptstables, INDEX(AB:AB, _xlfn.SEQUENCE(COUNTA($C$2:$C29), 1, 3, 4)),
  _xlpm.nbparties, COUNTA(_xlfn._xlws.FILTER(_xlpm.ptstables, _xlpm.ptstables &lt;&gt; "")),
  _xlpm.coef, _xlpm.K + _xlpm.Knewgain / (_xlpm.Knewscale + _xlpm.nbparties),
  IF(AB27="",
    "",
    _xlpm.coef * (AB27-AB28))
)</f>
        <v/>
      </c>
      <c r="AC29" t="str" cm="1">
        <f t="array" ref="AC29">_xlfn.LET(
  _xlpm.K, Constantes!$B$3,
  _xlpm.Knewgain, Constantes!$B$4,
  _xlpm.Knewscale, Constantes!$B$5,
  _xlpm.ptstables, INDEX(AC:AC, _xlfn.SEQUENCE(COUNTA($C$2:$C29), 1, 3, 4)),
  _xlpm.nbparties, COUNTA(_xlfn._xlws.FILTER(_xlpm.ptstables, _xlpm.ptstables &lt;&gt; "")),
  _xlpm.coef, _xlpm.K + _xlpm.Knewgain / (_xlpm.Knewscale + _xlpm.nbparties),
  IF(AC27="",
    "",
    _xlpm.coef * (AC27-AC28))
)</f>
        <v/>
      </c>
      <c r="AD29" t="str" cm="1">
        <f t="array" ref="AD29">_xlfn.LET(
  _xlpm.K, Constantes!$B$3,
  _xlpm.Knewgain, Constantes!$B$4,
  _xlpm.Knewscale, Constantes!$B$5,
  _xlpm.ptstables, INDEX(AD:AD, _xlfn.SEQUENCE(COUNTA($C$2:$C29), 1, 3, 4)),
  _xlpm.nbparties, COUNTA(_xlfn._xlws.FILTER(_xlpm.ptstables, _xlpm.ptstables &lt;&gt; "")),
  _xlpm.coef, _xlpm.K + _xlpm.Knewgain / (_xlpm.Knewscale + _xlpm.nbparties),
  IF(AD27="",
    "",
    _xlpm.coef * (AD27-AD28))
)</f>
        <v/>
      </c>
      <c r="AE29" t="str" cm="1">
        <f t="array" ref="AE29">_xlfn.LET(
  _xlpm.K, Constantes!$B$3,
  _xlpm.Knewgain, Constantes!$B$4,
  _xlpm.Knewscale, Constantes!$B$5,
  _xlpm.ptstables, INDEX(AE:AE, _xlfn.SEQUENCE(COUNTA($C$2:$C29), 1, 3, 4)),
  _xlpm.nbparties, COUNTA(_xlfn._xlws.FILTER(_xlpm.ptstables, _xlpm.ptstables &lt;&gt; "")),
  _xlpm.coef, _xlpm.K + _xlpm.Knewgain / (_xlpm.Knewscale + _xlpm.nbparties),
  IF(AE27="",
    "",
    _xlpm.coef * (AE27-AE28))
)</f>
        <v/>
      </c>
      <c r="AF29" t="str" cm="1">
        <f t="array" ref="AF29">_xlfn.LET(
  _xlpm.K, Constantes!$B$3,
  _xlpm.Knewgain, Constantes!$B$4,
  _xlpm.Knewscale, Constantes!$B$5,
  _xlpm.ptstables, INDEX(AF:AF, _xlfn.SEQUENCE(COUNTA($C$2:$C29), 1, 3, 4)),
  _xlpm.nbparties, COUNTA(_xlfn._xlws.FILTER(_xlpm.ptstables, _xlpm.ptstables &lt;&gt; "")),
  _xlpm.coef, _xlpm.K + _xlpm.Knewgain / (_xlpm.Knewscale + _xlpm.nbparties),
  IF(AF27="",
    "",
    _xlpm.coef * (AF27-AF28))
)</f>
        <v/>
      </c>
      <c r="AG29" t="str" cm="1">
        <f t="array" ref="AG29">_xlfn.LET(
  _xlpm.K, Constantes!$B$3,
  _xlpm.Knewgain, Constantes!$B$4,
  _xlpm.Knewscale, Constantes!$B$5,
  _xlpm.ptstables, INDEX(AG:AG, _xlfn.SEQUENCE(COUNTA($C$2:$C29), 1, 3, 4)),
  _xlpm.nbparties, COUNTA(_xlfn._xlws.FILTER(_xlpm.ptstables, _xlpm.ptstables &lt;&gt; "")),
  _xlpm.coef, _xlpm.K + _xlpm.Knewgain / (_xlpm.Knewscale + _xlpm.nbparties),
  IF(AG27="",
    "",
    _xlpm.coef * (AG27-AG28))
)</f>
        <v/>
      </c>
      <c r="AH29" t="str" cm="1">
        <f t="array" ref="AH29">_xlfn.LET(
  _xlpm.K, Constantes!$B$3,
  _xlpm.Knewgain, Constantes!$B$4,
  _xlpm.Knewscale, Constantes!$B$5,
  _xlpm.ptstables, INDEX(AH:AH, _xlfn.SEQUENCE(COUNTA($C$2:$C29), 1, 3, 4)),
  _xlpm.nbparties, COUNTA(_xlfn._xlws.FILTER(_xlpm.ptstables, _xlpm.ptstables &lt;&gt; "")),
  _xlpm.coef, _xlpm.K + _xlpm.Knewgain / (_xlpm.Knewscale + _xlpm.nbparties),
  IF(AH27="",
    "",
    _xlpm.coef * (AH27-AH28))
)</f>
        <v/>
      </c>
      <c r="AI29" t="str" cm="1">
        <f t="array" ref="AI29">_xlfn.LET(
  _xlpm.K, Constantes!$B$3,
  _xlpm.Knewgain, Constantes!$B$4,
  _xlpm.Knewscale, Constantes!$B$5,
  _xlpm.ptstables, INDEX(AI:AI, _xlfn.SEQUENCE(COUNTA($C$2:$C29), 1, 3, 4)),
  _xlpm.nbparties, COUNTA(_xlfn._xlws.FILTER(_xlpm.ptstables, _xlpm.ptstables &lt;&gt; "")),
  _xlpm.coef, _xlpm.K + _xlpm.Knewgain / (_xlpm.Knewscale + _xlpm.nbparties),
  IF(AI27="",
    "",
    _xlpm.coef * (AI27-AI28))
)</f>
        <v/>
      </c>
      <c r="AJ29" t="str" cm="1">
        <f t="array" ref="AJ29">_xlfn.LET(
  _xlpm.K, Constantes!$B$3,
  _xlpm.Knewgain, Constantes!$B$4,
  _xlpm.Knewscale, Constantes!$B$5,
  _xlpm.ptstables, INDEX(AJ:AJ, _xlfn.SEQUENCE(COUNTA($C$2:$C29), 1, 3, 4)),
  _xlpm.nbparties, COUNTA(_xlfn._xlws.FILTER(_xlpm.ptstables, _xlpm.ptstables &lt;&gt; "")),
  _xlpm.coef, _xlpm.K + _xlpm.Knewgain / (_xlpm.Knewscale + _xlpm.nbparties),
  IF(AJ27="",
    "",
    _xlpm.coef * (AJ27-AJ28))
)</f>
        <v/>
      </c>
      <c r="AK29" t="str" cm="1">
        <f t="array" ref="AK29">_xlfn.LET(
  _xlpm.K, Constantes!$B$3,
  _xlpm.Knewgain, Constantes!$B$4,
  _xlpm.Knewscale, Constantes!$B$5,
  _xlpm.ptstables, INDEX(AK:AK, _xlfn.SEQUENCE(COUNTA($C$2:$C29), 1, 3, 4)),
  _xlpm.nbparties, COUNTA(_xlfn._xlws.FILTER(_xlpm.ptstables, _xlpm.ptstables &lt;&gt; "")),
  _xlpm.coef, _xlpm.K + _xlpm.Knewgain / (_xlpm.Knewscale + _xlpm.nbparties),
  IF(AK27="",
    "",
    _xlpm.coef * (AK27-AK28))
)</f>
        <v/>
      </c>
      <c r="AL29" t="str" cm="1">
        <f t="array" ref="AL29">_xlfn.LET(
  _xlpm.K, Constantes!$B$3,
  _xlpm.Knewgain, Constantes!$B$4,
  _xlpm.Knewscale, Constantes!$B$5,
  _xlpm.ptstables, INDEX(AL:AL, _xlfn.SEQUENCE(COUNTA($C$2:$C29), 1, 3, 4)),
  _xlpm.nbparties, COUNTA(_xlfn._xlws.FILTER(_xlpm.ptstables, _xlpm.ptstables &lt;&gt; "")),
  _xlpm.coef, _xlpm.K + _xlpm.Knewgain / (_xlpm.Knewscale + _xlpm.nbparties),
  IF(AL27="",
    "",
    _xlpm.coef * (AL27-AL28))
)</f>
        <v/>
      </c>
      <c r="AM29" t="str" cm="1">
        <f t="array" ref="AM29">_xlfn.LET(
  _xlpm.K, Constantes!$B$3,
  _xlpm.Knewgain, Constantes!$B$4,
  _xlpm.Knewscale, Constantes!$B$5,
  _xlpm.ptstables, INDEX(AM:AM, _xlfn.SEQUENCE(COUNTA($C$2:$C29), 1, 3, 4)),
  _xlpm.nbparties, COUNTA(_xlfn._xlws.FILTER(_xlpm.ptstables, _xlpm.ptstables &lt;&gt; "")),
  _xlpm.coef, _xlpm.K + _xlpm.Knewgain / (_xlpm.Knewscale + _xlpm.nbparties),
  IF(AM27="",
    "",
    _xlpm.coef * (AM27-AM28))
)</f>
        <v/>
      </c>
    </row>
    <row r="30" spans="1:39" x14ac:dyDescent="0.25">
      <c r="A30" t="s">
        <v>14</v>
      </c>
      <c r="B30" t="str" cm="1">
        <f t="array" ref="B3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</v>
      </c>
      <c r="C30" s="2" cm="1">
        <f t="array" ref="C30">IF(B30="","",
  INDEX(Donnees!F:F, MATCH(B30, Donnees!F:F, 0)+1))</f>
        <v>45906.70385416667</v>
      </c>
      <c r="D30">
        <f t="shared" ref="D30:AM30" si="15">D26+IF(D29="",0,D29)</f>
        <v>1007.6013097235091</v>
      </c>
      <c r="E30">
        <f t="shared" si="15"/>
        <v>1180.1422312128193</v>
      </c>
      <c r="F30">
        <f t="shared" si="15"/>
        <v>909.87928229209808</v>
      </c>
      <c r="G30">
        <f t="shared" si="15"/>
        <v>1069.7993848829565</v>
      </c>
      <c r="H30">
        <f t="shared" si="15"/>
        <v>976.44998683474398</v>
      </c>
      <c r="I30">
        <f t="shared" si="15"/>
        <v>1016.6476899092447</v>
      </c>
      <c r="J30">
        <f t="shared" si="15"/>
        <v>949.17582216133758</v>
      </c>
      <c r="K30">
        <f t="shared" si="15"/>
        <v>914.47577749470145</v>
      </c>
      <c r="L30">
        <f t="shared" si="15"/>
        <v>920.238738457664</v>
      </c>
      <c r="M30">
        <f t="shared" si="15"/>
        <v>965.238738457664</v>
      </c>
      <c r="N30">
        <f t="shared" si="15"/>
        <v>995.58652324860282</v>
      </c>
      <c r="O30">
        <f t="shared" si="15"/>
        <v>1000</v>
      </c>
      <c r="P30">
        <f t="shared" si="15"/>
        <v>993.13499999999999</v>
      </c>
      <c r="Q30">
        <f t="shared" si="15"/>
        <v>949.40499999999997</v>
      </c>
      <c r="R30">
        <f t="shared" si="15"/>
        <v>997.8</v>
      </c>
      <c r="S30">
        <f t="shared" si="15"/>
        <v>984.505</v>
      </c>
      <c r="T30">
        <f t="shared" si="15"/>
        <v>1029.905</v>
      </c>
      <c r="U30">
        <f t="shared" si="15"/>
        <v>1092.7849999999999</v>
      </c>
      <c r="V30">
        <f t="shared" si="15"/>
        <v>999.59500000000003</v>
      </c>
      <c r="W30">
        <f t="shared" si="15"/>
        <v>1000</v>
      </c>
      <c r="X30">
        <f t="shared" si="15"/>
        <v>899.53</v>
      </c>
      <c r="Y30">
        <f t="shared" si="15"/>
        <v>941.52</v>
      </c>
      <c r="Z30">
        <f t="shared" si="15"/>
        <v>1000</v>
      </c>
      <c r="AA30">
        <f t="shared" si="15"/>
        <v>1000</v>
      </c>
      <c r="AB30">
        <f t="shared" si="15"/>
        <v>979.56500000000005</v>
      </c>
      <c r="AC30">
        <f t="shared" si="15"/>
        <v>1032.51</v>
      </c>
      <c r="AD30">
        <f t="shared" si="15"/>
        <v>974.01499999999999</v>
      </c>
      <c r="AE30">
        <f t="shared" si="15"/>
        <v>1011.415</v>
      </c>
      <c r="AF30">
        <f t="shared" si="15"/>
        <v>1031.1199999999999</v>
      </c>
      <c r="AG30">
        <f t="shared" si="15"/>
        <v>1001.0350000000001</v>
      </c>
      <c r="AH30">
        <f t="shared" si="15"/>
        <v>994.44</v>
      </c>
      <c r="AI30">
        <f t="shared" si="15"/>
        <v>1000</v>
      </c>
      <c r="AJ30">
        <f t="shared" si="15"/>
        <v>957.2</v>
      </c>
      <c r="AK30">
        <f t="shared" si="15"/>
        <v>1000</v>
      </c>
      <c r="AL30">
        <f t="shared" si="15"/>
        <v>1055.9299999999998</v>
      </c>
      <c r="AM30">
        <f t="shared" si="15"/>
        <v>1000</v>
      </c>
    </row>
    <row r="31" spans="1:39" x14ac:dyDescent="0.25">
      <c r="A31" t="s">
        <v>21</v>
      </c>
      <c r="D31" cm="1">
        <f t="array" ref="D31">IFERROR(
  _xlfn.LET(
    _xlpm.ligpartie, MATCH($B30, Donnees!$F:$F, 0),
    _xlpm.joueurs, INDEX(Donnees!$A:$Z, _xlpm.ligpartie+1, _xlfn.SEQUENCE(1, 4, 2)),
    INDEX(
      Donnees!$A:$Z,
      _xlpm.ligpartie + 3,
      MATCH(D$1, _xlpm.joueurs, 0) + 1
    )
  ), ""
)</f>
        <v>3</v>
      </c>
      <c r="E31" t="str" cm="1">
        <f t="array" ref="E31">IFERROR(
  _xlfn.LET(
    _xlpm.ligpartie, MATCH($B30, Donnees!$F:$F, 0),
    _xlpm.joueurs, INDEX(Donnees!$A:$Z, _xlpm.ligpartie+1, _xlfn.SEQUENCE(1, 4, 2)),
    INDEX(
      Donnees!$A:$Z,
      _xlpm.ligpartie + 3,
      MATCH(E$1, _xlpm.joueurs, 0) + 1
    )
  ), ""
)</f>
        <v/>
      </c>
      <c r="F31" t="str" cm="1">
        <f t="array" ref="F31">IFERROR(
  _xlfn.LET(
    _xlpm.ligpartie, MATCH($B30, Donnees!$F:$F, 0),
    _xlpm.joueurs, INDEX(Donnees!$A:$Z, _xlpm.ligpartie+1, _xlfn.SEQUENCE(1, 4, 2)),
    INDEX(
      Donnees!$A:$Z,
      _xlpm.ligpartie + 3,
      MATCH(F$1, _xlpm.joueurs, 0) + 1
    )
  ), ""
)</f>
        <v/>
      </c>
      <c r="G31" cm="1">
        <f t="array" ref="G31">IFERROR(
  _xlfn.LET(
    _xlpm.ligpartie, MATCH($B30, Donnees!$F:$F, 0),
    _xlpm.joueurs, INDEX(Donnees!$A:$Z, _xlpm.ligpartie+1, _xlfn.SEQUENCE(1, 4, 2)),
    INDEX(
      Donnees!$A:$Z,
      _xlpm.ligpartie + 3,
      MATCH(G$1, _xlpm.joueurs, 0) + 1
    )
  ), ""
)</f>
        <v>2</v>
      </c>
      <c r="H31" t="str" cm="1">
        <f t="array" ref="H31">IFERROR(
  _xlfn.LET(
    _xlpm.ligpartie, MATCH($B30, Donnees!$F:$F, 0),
    _xlpm.joueurs, INDEX(Donnees!$A:$Z, _xlpm.ligpartie+1, _xlfn.SEQUENCE(1, 4, 2)),
    INDEX(
      Donnees!$A:$Z,
      _xlpm.ligpartie + 3,
      MATCH(H$1, _xlpm.joueurs, 0) + 1
    )
  ), ""
)</f>
        <v/>
      </c>
      <c r="I31" t="str" cm="1">
        <f t="array" ref="I31">IFERROR(
  _xlfn.LET(
    _xlpm.ligpartie, MATCH($B30, Donnees!$F:$F, 0),
    _xlpm.joueurs, INDEX(Donnees!$A:$Z, _xlpm.ligpartie+1, _xlfn.SEQUENCE(1, 4, 2)),
    INDEX(
      Donnees!$A:$Z,
      _xlpm.ligpartie + 3,
      MATCH(I$1, _xlpm.joueurs, 0) + 1
    )
  ), ""
)</f>
        <v/>
      </c>
      <c r="J31" cm="1">
        <f t="array" ref="J31">IFERROR(
  _xlfn.LET(
    _xlpm.ligpartie, MATCH($B30, Donnees!$F:$F, 0),
    _xlpm.joueurs, INDEX(Donnees!$A:$Z, _xlpm.ligpartie+1, _xlfn.SEQUENCE(1, 4, 2)),
    INDEX(
      Donnees!$A:$Z,
      _xlpm.ligpartie + 3,
      MATCH(J$1, _xlpm.joueurs, 0) + 1
    )
  ), ""
)</f>
        <v>1</v>
      </c>
      <c r="K31" t="str" cm="1">
        <f t="array" ref="K31">IFERROR(
  _xlfn.LET(
    _xlpm.ligpartie, MATCH($B30, Donnees!$F:$F, 0),
    _xlpm.joueurs, INDEX(Donnees!$A:$Z, _xlpm.ligpartie+1, _xlfn.SEQUENCE(1, 4, 2)),
    INDEX(
      Donnees!$A:$Z,
      _xlpm.ligpartie + 3,
      MATCH(K$1, _xlpm.joueurs, 0) + 1
    )
  ), ""
)</f>
        <v/>
      </c>
      <c r="L31" cm="1">
        <f t="array" ref="L31">IFERROR(
  _xlfn.LET(
    _xlpm.ligpartie, MATCH($B30, Donnees!$F:$F, 0),
    _xlpm.joueurs, INDEX(Donnees!$A:$Z, _xlpm.ligpartie+1, _xlfn.SEQUENCE(1, 4, 2)),
    INDEX(
      Donnees!$A:$Z,
      _xlpm.ligpartie + 3,
      MATCH(L$1, _xlpm.joueurs, 0) + 1
    )
  ), ""
)</f>
        <v>0</v>
      </c>
      <c r="M31" t="str" cm="1">
        <f t="array" ref="M31">IFERROR(
  _xlfn.LET(
    _xlpm.ligpartie, MATCH($B30, Donnees!$F:$F, 0),
    _xlpm.joueurs, INDEX(Donnees!$A:$Z, _xlpm.ligpartie+1, _xlfn.SEQUENCE(1, 4, 2)),
    INDEX(
      Donnees!$A:$Z,
      _xlpm.ligpartie + 3,
      MATCH(M$1, _xlpm.joueurs, 0) + 1
    )
  ), ""
)</f>
        <v/>
      </c>
      <c r="N31" t="str" cm="1">
        <f t="array" ref="N31">IFERROR(
  _xlfn.LET(
    _xlpm.ligpartie, MATCH($B30, Donnees!$F:$F, 0),
    _xlpm.joueurs, INDEX(Donnees!$A:$Z, _xlpm.ligpartie+1, _xlfn.SEQUENCE(1, 4, 2)),
    INDEX(
      Donnees!$A:$Z,
      _xlpm.ligpartie + 3,
      MATCH(N$1, _xlpm.joueurs, 0) + 1
    )
  ), ""
)</f>
        <v/>
      </c>
      <c r="O31" t="str" cm="1">
        <f t="array" ref="O31">IFERROR(
  _xlfn.LET(
    _xlpm.ligpartie, MATCH($B30, Donnees!$F:$F, 0),
    _xlpm.joueurs, INDEX(Donnees!$A:$Z, _xlpm.ligpartie+1, _xlfn.SEQUENCE(1, 4, 2)),
    INDEX(
      Donnees!$A:$Z,
      _xlpm.ligpartie + 3,
      MATCH(O$1, _xlpm.joueurs, 0) + 1
    )
  ), ""
)</f>
        <v/>
      </c>
      <c r="P31" t="str" cm="1">
        <f t="array" ref="P31">IFERROR(
  _xlfn.LET(
    _xlpm.ligpartie, MATCH($B30, Donnees!$F:$F, 0),
    _xlpm.joueurs, INDEX(Donnees!$A:$Z, _xlpm.ligpartie+1, _xlfn.SEQUENCE(1, 4, 2)),
    INDEX(
      Donnees!$A:$Z,
      _xlpm.ligpartie + 3,
      MATCH(P$1, _xlpm.joueurs, 0) + 1
    )
  ), ""
)</f>
        <v/>
      </c>
      <c r="Q31" t="str" cm="1">
        <f t="array" ref="Q31">IFERROR(
  _xlfn.LET(
    _xlpm.ligpartie, MATCH($B30, Donnees!$F:$F, 0),
    _xlpm.joueurs, INDEX(Donnees!$A:$Z, _xlpm.ligpartie+1, _xlfn.SEQUENCE(1, 4, 2)),
    INDEX(
      Donnees!$A:$Z,
      _xlpm.ligpartie + 3,
      MATCH(Q$1, _xlpm.joueurs, 0) + 1
    )
  ), ""
)</f>
        <v/>
      </c>
      <c r="R31" t="str" cm="1">
        <f t="array" ref="R31">IFERROR(
  _xlfn.LET(
    _xlpm.ligpartie, MATCH($B30, Donnees!$F:$F, 0),
    _xlpm.joueurs, INDEX(Donnees!$A:$Z, _xlpm.ligpartie+1, _xlfn.SEQUENCE(1, 4, 2)),
    INDEX(
      Donnees!$A:$Z,
      _xlpm.ligpartie + 3,
      MATCH(R$1, _xlpm.joueurs, 0) + 1
    )
  ), ""
)</f>
        <v/>
      </c>
      <c r="S31" t="str" cm="1">
        <f t="array" ref="S31">IFERROR(
  _xlfn.LET(
    _xlpm.ligpartie, MATCH($B30, Donnees!$F:$F, 0),
    _xlpm.joueurs, INDEX(Donnees!$A:$Z, _xlpm.ligpartie+1, _xlfn.SEQUENCE(1, 4, 2)),
    INDEX(
      Donnees!$A:$Z,
      _xlpm.ligpartie + 3,
      MATCH(S$1, _xlpm.joueurs, 0) + 1
    )
  ), ""
)</f>
        <v/>
      </c>
      <c r="T31" t="str" cm="1">
        <f t="array" ref="T31">IFERROR(
  _xlfn.LET(
    _xlpm.ligpartie, MATCH($B30, Donnees!$F:$F, 0),
    _xlpm.joueurs, INDEX(Donnees!$A:$Z, _xlpm.ligpartie+1, _xlfn.SEQUENCE(1, 4, 2)),
    INDEX(
      Donnees!$A:$Z,
      _xlpm.ligpartie + 3,
      MATCH(T$1, _xlpm.joueurs, 0) + 1
    )
  ), ""
)</f>
        <v/>
      </c>
      <c r="U31" t="str" cm="1">
        <f t="array" ref="U31">IFERROR(
  _xlfn.LET(
    _xlpm.ligpartie, MATCH($B30, Donnees!$F:$F, 0),
    _xlpm.joueurs, INDEX(Donnees!$A:$Z, _xlpm.ligpartie+1, _xlfn.SEQUENCE(1, 4, 2)),
    INDEX(
      Donnees!$A:$Z,
      _xlpm.ligpartie + 3,
      MATCH(U$1, _xlpm.joueurs, 0) + 1
    )
  ), ""
)</f>
        <v/>
      </c>
      <c r="V31" t="str" cm="1">
        <f t="array" ref="V31">IFERROR(
  _xlfn.LET(
    _xlpm.ligpartie, MATCH($B30, Donnees!$F:$F, 0),
    _xlpm.joueurs, INDEX(Donnees!$A:$Z, _xlpm.ligpartie+1, _xlfn.SEQUENCE(1, 4, 2)),
    INDEX(
      Donnees!$A:$Z,
      _xlpm.ligpartie + 3,
      MATCH(V$1, _xlpm.joueurs, 0) + 1
    )
  ), ""
)</f>
        <v/>
      </c>
      <c r="W31" t="str" cm="1">
        <f t="array" ref="W31">IFERROR(
  _xlfn.LET(
    _xlpm.ligpartie, MATCH($B30, Donnees!$F:$F, 0),
    _xlpm.joueurs, INDEX(Donnees!$A:$Z, _xlpm.ligpartie+1, _xlfn.SEQUENCE(1, 4, 2)),
    INDEX(
      Donnees!$A:$Z,
      _xlpm.ligpartie + 3,
      MATCH(W$1, _xlpm.joueurs, 0) + 1
    )
  ), ""
)</f>
        <v/>
      </c>
      <c r="X31" t="str" cm="1">
        <f t="array" ref="X31">IFERROR(
  _xlfn.LET(
    _xlpm.ligpartie, MATCH($B30, Donnees!$F:$F, 0),
    _xlpm.joueurs, INDEX(Donnees!$A:$Z, _xlpm.ligpartie+1, _xlfn.SEQUENCE(1, 4, 2)),
    INDEX(
      Donnees!$A:$Z,
      _xlpm.ligpartie + 3,
      MATCH(X$1, _xlpm.joueurs, 0) + 1
    )
  ), ""
)</f>
        <v/>
      </c>
      <c r="Y31" t="str" cm="1">
        <f t="array" ref="Y31">IFERROR(
  _xlfn.LET(
    _xlpm.ligpartie, MATCH($B30, Donnees!$F:$F, 0),
    _xlpm.joueurs, INDEX(Donnees!$A:$Z, _xlpm.ligpartie+1, _xlfn.SEQUENCE(1, 4, 2)),
    INDEX(
      Donnees!$A:$Z,
      _xlpm.ligpartie + 3,
      MATCH(Y$1, _xlpm.joueurs, 0) + 1
    )
  ), ""
)</f>
        <v/>
      </c>
      <c r="Z31" t="str" cm="1">
        <f t="array" ref="Z31">IFERROR(
  _xlfn.LET(
    _xlpm.ligpartie, MATCH($B30, Donnees!$F:$F, 0),
    _xlpm.joueurs, INDEX(Donnees!$A:$Z, _xlpm.ligpartie+1, _xlfn.SEQUENCE(1, 4, 2)),
    INDEX(
      Donnees!$A:$Z,
      _xlpm.ligpartie + 3,
      MATCH(Z$1, _xlpm.joueurs, 0) + 1
    )
  ), ""
)</f>
        <v/>
      </c>
      <c r="AA31" t="str" cm="1">
        <f t="array" ref="AA31">IFERROR(
  _xlfn.LET(
    _xlpm.ligpartie, MATCH($B30, Donnees!$F:$F, 0),
    _xlpm.joueurs, INDEX(Donnees!$A:$Z, _xlpm.ligpartie+1, _xlfn.SEQUENCE(1, 4, 2)),
    INDEX(
      Donnees!$A:$Z,
      _xlpm.ligpartie + 3,
      MATCH(AA$1, _xlpm.joueurs, 0) + 1
    )
  ), ""
)</f>
        <v/>
      </c>
      <c r="AB31" t="str" cm="1">
        <f t="array" ref="AB31">IFERROR(
  _xlfn.LET(
    _xlpm.ligpartie, MATCH($B30, Donnees!$F:$F, 0),
    _xlpm.joueurs, INDEX(Donnees!$A:$Z, _xlpm.ligpartie+1, _xlfn.SEQUENCE(1, 4, 2)),
    INDEX(
      Donnees!$A:$Z,
      _xlpm.ligpartie + 3,
      MATCH(AB$1, _xlpm.joueurs, 0) + 1
    )
  ), ""
)</f>
        <v/>
      </c>
      <c r="AC31" t="str" cm="1">
        <f t="array" ref="AC31">IFERROR(
  _xlfn.LET(
    _xlpm.ligpartie, MATCH($B30, Donnees!$F:$F, 0),
    _xlpm.joueurs, INDEX(Donnees!$A:$Z, _xlpm.ligpartie+1, _xlfn.SEQUENCE(1, 4, 2)),
    INDEX(
      Donnees!$A:$Z,
      _xlpm.ligpartie + 3,
      MATCH(AC$1, _xlpm.joueurs, 0) + 1
    )
  ), ""
)</f>
        <v/>
      </c>
      <c r="AD31" t="str" cm="1">
        <f t="array" ref="AD31">IFERROR(
  _xlfn.LET(
    _xlpm.ligpartie, MATCH($B30, Donnees!$F:$F, 0),
    _xlpm.joueurs, INDEX(Donnees!$A:$Z, _xlpm.ligpartie+1, _xlfn.SEQUENCE(1, 4, 2)),
    INDEX(
      Donnees!$A:$Z,
      _xlpm.ligpartie + 3,
      MATCH(AD$1, _xlpm.joueurs, 0) + 1
    )
  ), ""
)</f>
        <v/>
      </c>
      <c r="AE31" t="str" cm="1">
        <f t="array" ref="AE31">IFERROR(
  _xlfn.LET(
    _xlpm.ligpartie, MATCH($B30, Donnees!$F:$F, 0),
    _xlpm.joueurs, INDEX(Donnees!$A:$Z, _xlpm.ligpartie+1, _xlfn.SEQUENCE(1, 4, 2)),
    INDEX(
      Donnees!$A:$Z,
      _xlpm.ligpartie + 3,
      MATCH(AE$1, _xlpm.joueurs, 0) + 1
    )
  ), ""
)</f>
        <v/>
      </c>
      <c r="AF31" t="str" cm="1">
        <f t="array" ref="AF31">IFERROR(
  _xlfn.LET(
    _xlpm.ligpartie, MATCH($B30, Donnees!$F:$F, 0),
    _xlpm.joueurs, INDEX(Donnees!$A:$Z, _xlpm.ligpartie+1, _xlfn.SEQUENCE(1, 4, 2)),
    INDEX(
      Donnees!$A:$Z,
      _xlpm.ligpartie + 3,
      MATCH(AF$1, _xlpm.joueurs, 0) + 1
    )
  ), ""
)</f>
        <v/>
      </c>
      <c r="AG31" t="str" cm="1">
        <f t="array" ref="AG31">IFERROR(
  _xlfn.LET(
    _xlpm.ligpartie, MATCH($B30, Donnees!$F:$F, 0),
    _xlpm.joueurs, INDEX(Donnees!$A:$Z, _xlpm.ligpartie+1, _xlfn.SEQUENCE(1, 4, 2)),
    INDEX(
      Donnees!$A:$Z,
      _xlpm.ligpartie + 3,
      MATCH(AG$1, _xlpm.joueurs, 0) + 1
    )
  ), ""
)</f>
        <v/>
      </c>
      <c r="AH31" t="str" cm="1">
        <f t="array" ref="AH31">IFERROR(
  _xlfn.LET(
    _xlpm.ligpartie, MATCH($B30, Donnees!$F:$F, 0),
    _xlpm.joueurs, INDEX(Donnees!$A:$Z, _xlpm.ligpartie+1, _xlfn.SEQUENCE(1, 4, 2)),
    INDEX(
      Donnees!$A:$Z,
      _xlpm.ligpartie + 3,
      MATCH(AH$1, _xlpm.joueurs, 0) + 1
    )
  ), ""
)</f>
        <v/>
      </c>
      <c r="AI31" t="str" cm="1">
        <f t="array" ref="AI31">IFERROR(
  _xlfn.LET(
    _xlpm.ligpartie, MATCH($B30, Donnees!$F:$F, 0),
    _xlpm.joueurs, INDEX(Donnees!$A:$Z, _xlpm.ligpartie+1, _xlfn.SEQUENCE(1, 4, 2)),
    INDEX(
      Donnees!$A:$Z,
      _xlpm.ligpartie + 3,
      MATCH(AI$1, _xlpm.joueurs, 0) + 1
    )
  ), ""
)</f>
        <v/>
      </c>
      <c r="AJ31" t="str" cm="1">
        <f t="array" ref="AJ31">IFERROR(
  _xlfn.LET(
    _xlpm.ligpartie, MATCH($B30, Donnees!$F:$F, 0),
    _xlpm.joueurs, INDEX(Donnees!$A:$Z, _xlpm.ligpartie+1, _xlfn.SEQUENCE(1, 4, 2)),
    INDEX(
      Donnees!$A:$Z,
      _xlpm.ligpartie + 3,
      MATCH(AJ$1, _xlpm.joueurs, 0) + 1
    )
  ), ""
)</f>
        <v/>
      </c>
      <c r="AK31" t="str" cm="1">
        <f t="array" ref="AK31">IFERROR(
  _xlfn.LET(
    _xlpm.ligpartie, MATCH($B30, Donnees!$F:$F, 0),
    _xlpm.joueurs, INDEX(Donnees!$A:$Z, _xlpm.ligpartie+1, _xlfn.SEQUENCE(1, 4, 2)),
    INDEX(
      Donnees!$A:$Z,
      _xlpm.ligpartie + 3,
      MATCH(AK$1, _xlpm.joueurs, 0) + 1
    )
  ), ""
)</f>
        <v/>
      </c>
      <c r="AL31" t="str" cm="1">
        <f t="array" ref="AL31">IFERROR(
  _xlfn.LET(
    _xlpm.ligpartie, MATCH($B30, Donnees!$F:$F, 0),
    _xlpm.joueurs, INDEX(Donnees!$A:$Z, _xlpm.ligpartie+1, _xlfn.SEQUENCE(1, 4, 2)),
    INDEX(
      Donnees!$A:$Z,
      _xlpm.ligpartie + 3,
      MATCH(AL$1, _xlpm.joueurs, 0) + 1
    )
  ), ""
)</f>
        <v/>
      </c>
      <c r="AM31" t="str" cm="1">
        <f t="array" ref="AM31">IFERROR(
  _xlfn.LET(
    _xlpm.ligpartie, MATCH($B30, Donnees!$F:$F, 0),
    _xlpm.joueurs, INDEX(Donnees!$A:$Z, _xlpm.ligpartie+1, _xlfn.SEQUENCE(1, 4, 2)),
    INDEX(
      Donnees!$A:$Z,
      _xlpm.ligpartie + 3,
      MATCH(AM$1, _xlpm.joueurs, 0) + 1
    )
  ), ""
)</f>
        <v/>
      </c>
    </row>
    <row r="32" spans="1:39" x14ac:dyDescent="0.25">
      <c r="A32" t="s">
        <v>20</v>
      </c>
      <c r="D32" cm="1">
        <f t="array" ref="D32">_xlfn.LET(
  _xlpm.colj, _xlfn._xlws.FILTER(IF(ISNUMBER(31:31), COLUMN(31:31)), ISNUMBER(31:31)),
  _xlpm.elos, INDEX(30:30,1,_xlpm.colj),
  _xlpm.diffscale, Constantes!$B$2,
  IF(D31="",
    "",
    SUM(1/(1+POWER(10,-(D30-_xlpm.elos)/_xlpm.diffscale)))-0.5)
)</f>
        <v>1.6178716838933305</v>
      </c>
      <c r="E32" t="str" cm="1">
        <f t="array" ref="E32">_xlfn.LET(
  _xlpm.colj, _xlfn._xlws.FILTER(IF(ISNUMBER(31:31), COLUMN(31:31)), ISNUMBER(31:31)),
  _xlpm.elos, INDEX(30:30,1,_xlpm.colj),
  _xlpm.diffscale, Constantes!$B$2,
  IF(E31="",
    "",
    SUM(1/(1+POWER(10,-(E30-_xlpm.elos)/_xlpm.diffscale)))-0.5)
)</f>
        <v/>
      </c>
      <c r="F32" t="str" cm="1">
        <f t="array" ref="F32">_xlfn.LET(
  _xlpm.colj, _xlfn._xlws.FILTER(IF(ISNUMBER(31:31), COLUMN(31:31)), ISNUMBER(31:31)),
  _xlpm.elos, INDEX(30:30,1,_xlpm.colj),
  _xlpm.diffscale, Constantes!$B$2,
  IF(F31="",
    "",
    SUM(1/(1+POWER(10,-(F30-_xlpm.elos)/_xlpm.diffscale)))-0.5)
)</f>
        <v/>
      </c>
      <c r="G32" cm="1">
        <f t="array" ref="G32">_xlfn.LET(
  _xlpm.colj, _xlfn._xlws.FILTER(IF(ISNUMBER(31:31), COLUMN(31:31)), ISNUMBER(31:31)),
  _xlpm.elos, INDEX(30:30,1,_xlpm.colj),
  _xlpm.diffscale, Constantes!$B$2,
  IF(G31="",
    "",
    SUM(1/(1+POWER(10,-(G30-_xlpm.elos)/_xlpm.diffscale)))-0.5)
)</f>
        <v>1.9583604268113315</v>
      </c>
      <c r="H32" t="str" cm="1">
        <f t="array" ref="H32">_xlfn.LET(
  _xlpm.colj, _xlfn._xlws.FILTER(IF(ISNUMBER(31:31), COLUMN(31:31)), ISNUMBER(31:31)),
  _xlpm.elos, INDEX(30:30,1,_xlpm.colj),
  _xlpm.diffscale, Constantes!$B$2,
  IF(H31="",
    "",
    SUM(1/(1+POWER(10,-(H30-_xlpm.elos)/_xlpm.diffscale)))-0.5)
)</f>
        <v/>
      </c>
      <c r="I32" t="str" cm="1">
        <f t="array" ref="I32">_xlfn.LET(
  _xlpm.colj, _xlfn._xlws.FILTER(IF(ISNUMBER(31:31), COLUMN(31:31)), ISNUMBER(31:31)),
  _xlpm.elos, INDEX(30:30,1,_xlpm.colj),
  _xlpm.diffscale, Constantes!$B$2,
  IF(I31="",
    "",
    SUM(1/(1+POWER(10,-(I30-_xlpm.elos)/_xlpm.diffscale)))-0.5)
)</f>
        <v/>
      </c>
      <c r="J32" cm="1">
        <f t="array" ref="J32">_xlfn.LET(
  _xlpm.colj, _xlfn._xlws.FILTER(IF(ISNUMBER(31:31), COLUMN(31:31)), ISNUMBER(31:31)),
  _xlpm.elos, INDEX(30:30,1,_xlpm.colj),
  _xlpm.diffscale, Constantes!$B$2,
  IF(J31="",
    "",
    SUM(1/(1+POWER(10,-(J30-_xlpm.elos)/_xlpm.diffscale)))-0.5)
)</f>
        <v>1.2913131999058525</v>
      </c>
      <c r="K32" t="str" cm="1">
        <f t="array" ref="K32">_xlfn.LET(
  _xlpm.colj, _xlfn._xlws.FILTER(IF(ISNUMBER(31:31), COLUMN(31:31)), ISNUMBER(31:31)),
  _xlpm.elos, INDEX(30:30,1,_xlpm.colj),
  _xlpm.diffscale, Constantes!$B$2,
  IF(K31="",
    "",
    SUM(1/(1+POWER(10,-(K30-_xlpm.elos)/_xlpm.diffscale)))-0.5)
)</f>
        <v/>
      </c>
      <c r="L32" cm="1">
        <f t="array" ref="L32">_xlfn.LET(
  _xlpm.colj, _xlfn._xlws.FILTER(IF(ISNUMBER(31:31), COLUMN(31:31)), ISNUMBER(31:31)),
  _xlpm.elos, INDEX(30:30,1,_xlpm.colj),
  _xlpm.diffscale, Constantes!$B$2,
  IF(L31="",
    "",
    SUM(1/(1+POWER(10,-(L30-_xlpm.elos)/_xlpm.diffscale)))-0.5)
)</f>
        <v>1.1324546893894853</v>
      </c>
      <c r="M32" t="str" cm="1">
        <f t="array" ref="M32">_xlfn.LET(
  _xlpm.colj, _xlfn._xlws.FILTER(IF(ISNUMBER(31:31), COLUMN(31:31)), ISNUMBER(31:31)),
  _xlpm.elos, INDEX(30:30,1,_xlpm.colj),
  _xlpm.diffscale, Constantes!$B$2,
  IF(M31="",
    "",
    SUM(1/(1+POWER(10,-(M30-_xlpm.elos)/_xlpm.diffscale)))-0.5)
)</f>
        <v/>
      </c>
      <c r="N32" t="str" cm="1">
        <f t="array" ref="N32">_xlfn.LET(
  _xlpm.colj, _xlfn._xlws.FILTER(IF(ISNUMBER(31:31), COLUMN(31:31)), ISNUMBER(31:31)),
  _xlpm.elos, INDEX(30:30,1,_xlpm.colj),
  _xlpm.diffscale, Constantes!$B$2,
  IF(N31="",
    "",
    SUM(1/(1+POWER(10,-(N30-_xlpm.elos)/_xlpm.diffscale)))-0.5)
)</f>
        <v/>
      </c>
      <c r="O32" t="str" cm="1">
        <f t="array" ref="O32">_xlfn.LET(
  _xlpm.colj, _xlfn._xlws.FILTER(IF(ISNUMBER(31:31), COLUMN(31:31)), ISNUMBER(31:31)),
  _xlpm.elos, INDEX(30:30,1,_xlpm.colj),
  _xlpm.diffscale, Constantes!$B$2,
  IF(O31="",
    "",
    SUM(1/(1+POWER(10,-(O30-_xlpm.elos)/_xlpm.diffscale)))-0.5)
)</f>
        <v/>
      </c>
      <c r="P32" t="str" cm="1">
        <f t="array" ref="P32">_xlfn.LET(
  _xlpm.colj, _xlfn._xlws.FILTER(IF(ISNUMBER(31:31), COLUMN(31:31)), ISNUMBER(31:31)),
  _xlpm.elos, INDEX(30:30,1,_xlpm.colj),
  _xlpm.diffscale, Constantes!$B$2,
  IF(P31="",
    "",
    SUM(1/(1+POWER(10,-(P30-_xlpm.elos)/_xlpm.diffscale)))-0.5)
)</f>
        <v/>
      </c>
      <c r="Q32" t="str" cm="1">
        <f t="array" ref="Q32">_xlfn.LET(
  _xlpm.colj, _xlfn._xlws.FILTER(IF(ISNUMBER(31:31), COLUMN(31:31)), ISNUMBER(31:31)),
  _xlpm.elos, INDEX(30:30,1,_xlpm.colj),
  _xlpm.diffscale, Constantes!$B$2,
  IF(Q31="",
    "",
    SUM(1/(1+POWER(10,-(Q30-_xlpm.elos)/_xlpm.diffscale)))-0.5)
)</f>
        <v/>
      </c>
      <c r="R32" t="str" cm="1">
        <f t="array" ref="R32">_xlfn.LET(
  _xlpm.colj, _xlfn._xlws.FILTER(IF(ISNUMBER(31:31), COLUMN(31:31)), ISNUMBER(31:31)),
  _xlpm.elos, INDEX(30:30,1,_xlpm.colj),
  _xlpm.diffscale, Constantes!$B$2,
  IF(R31="",
    "",
    SUM(1/(1+POWER(10,-(R30-_xlpm.elos)/_xlpm.diffscale)))-0.5)
)</f>
        <v/>
      </c>
      <c r="S32" t="str" cm="1">
        <f t="array" ref="S32">_xlfn.LET(
  _xlpm.colj, _xlfn._xlws.FILTER(IF(ISNUMBER(31:31), COLUMN(31:31)), ISNUMBER(31:31)),
  _xlpm.elos, INDEX(30:30,1,_xlpm.colj),
  _xlpm.diffscale, Constantes!$B$2,
  IF(S31="",
    "",
    SUM(1/(1+POWER(10,-(S30-_xlpm.elos)/_xlpm.diffscale)))-0.5)
)</f>
        <v/>
      </c>
      <c r="T32" t="str" cm="1">
        <f t="array" ref="T32">_xlfn.LET(
  _xlpm.colj, _xlfn._xlws.FILTER(IF(ISNUMBER(31:31), COLUMN(31:31)), ISNUMBER(31:31)),
  _xlpm.elos, INDEX(30:30,1,_xlpm.colj),
  _xlpm.diffscale, Constantes!$B$2,
  IF(T31="",
    "",
    SUM(1/(1+POWER(10,-(T30-_xlpm.elos)/_xlpm.diffscale)))-0.5)
)</f>
        <v/>
      </c>
      <c r="U32" t="str" cm="1">
        <f t="array" ref="U32">_xlfn.LET(
  _xlpm.colj, _xlfn._xlws.FILTER(IF(ISNUMBER(31:31), COLUMN(31:31)), ISNUMBER(31:31)),
  _xlpm.elos, INDEX(30:30,1,_xlpm.colj),
  _xlpm.diffscale, Constantes!$B$2,
  IF(U31="",
    "",
    SUM(1/(1+POWER(10,-(U30-_xlpm.elos)/_xlpm.diffscale)))-0.5)
)</f>
        <v/>
      </c>
      <c r="V32" t="str" cm="1">
        <f t="array" ref="V32">_xlfn.LET(
  _xlpm.colj, _xlfn._xlws.FILTER(IF(ISNUMBER(31:31), COLUMN(31:31)), ISNUMBER(31:31)),
  _xlpm.elos, INDEX(30:30,1,_xlpm.colj),
  _xlpm.diffscale, Constantes!$B$2,
  IF(V31="",
    "",
    SUM(1/(1+POWER(10,-(V30-_xlpm.elos)/_xlpm.diffscale)))-0.5)
)</f>
        <v/>
      </c>
      <c r="W32" t="str" cm="1">
        <f t="array" ref="W32">_xlfn.LET(
  _xlpm.colj, _xlfn._xlws.FILTER(IF(ISNUMBER(31:31), COLUMN(31:31)), ISNUMBER(31:31)),
  _xlpm.elos, INDEX(30:30,1,_xlpm.colj),
  _xlpm.diffscale, Constantes!$B$2,
  IF(W31="",
    "",
    SUM(1/(1+POWER(10,-(W30-_xlpm.elos)/_xlpm.diffscale)))-0.5)
)</f>
        <v/>
      </c>
      <c r="X32" t="str" cm="1">
        <f t="array" ref="X32">_xlfn.LET(
  _xlpm.colj, _xlfn._xlws.FILTER(IF(ISNUMBER(31:31), COLUMN(31:31)), ISNUMBER(31:31)),
  _xlpm.elos, INDEX(30:30,1,_xlpm.colj),
  _xlpm.diffscale, Constantes!$B$2,
  IF(X31="",
    "",
    SUM(1/(1+POWER(10,-(X30-_xlpm.elos)/_xlpm.diffscale)))-0.5)
)</f>
        <v/>
      </c>
      <c r="Y32" t="str" cm="1">
        <f t="array" ref="Y32">_xlfn.LET(
  _xlpm.colj, _xlfn._xlws.FILTER(IF(ISNUMBER(31:31), COLUMN(31:31)), ISNUMBER(31:31)),
  _xlpm.elos, INDEX(30:30,1,_xlpm.colj),
  _xlpm.diffscale, Constantes!$B$2,
  IF(Y31="",
    "",
    SUM(1/(1+POWER(10,-(Y30-_xlpm.elos)/_xlpm.diffscale)))-0.5)
)</f>
        <v/>
      </c>
      <c r="Z32" t="str" cm="1">
        <f t="array" ref="Z32">_xlfn.LET(
  _xlpm.colj, _xlfn._xlws.FILTER(IF(ISNUMBER(31:31), COLUMN(31:31)), ISNUMBER(31:31)),
  _xlpm.elos, INDEX(30:30,1,_xlpm.colj),
  _xlpm.diffscale, Constantes!$B$2,
  IF(Z31="",
    "",
    SUM(1/(1+POWER(10,-(Z30-_xlpm.elos)/_xlpm.diffscale)))-0.5)
)</f>
        <v/>
      </c>
      <c r="AA32" t="str" cm="1">
        <f t="array" ref="AA32">_xlfn.LET(
  _xlpm.colj, _xlfn._xlws.FILTER(IF(ISNUMBER(31:31), COLUMN(31:31)), ISNUMBER(31:31)),
  _xlpm.elos, INDEX(30:30,1,_xlpm.colj),
  _xlpm.diffscale, Constantes!$B$2,
  IF(AA31="",
    "",
    SUM(1/(1+POWER(10,-(AA30-_xlpm.elos)/_xlpm.diffscale)))-0.5)
)</f>
        <v/>
      </c>
      <c r="AB32" t="str" cm="1">
        <f t="array" ref="AB32">_xlfn.LET(
  _xlpm.colj, _xlfn._xlws.FILTER(IF(ISNUMBER(31:31), COLUMN(31:31)), ISNUMBER(31:31)),
  _xlpm.elos, INDEX(30:30,1,_xlpm.colj),
  _xlpm.diffscale, Constantes!$B$2,
  IF(AB31="",
    "",
    SUM(1/(1+POWER(10,-(AB30-_xlpm.elos)/_xlpm.diffscale)))-0.5)
)</f>
        <v/>
      </c>
      <c r="AC32" t="str" cm="1">
        <f t="array" ref="AC32">_xlfn.LET(
  _xlpm.colj, _xlfn._xlws.FILTER(IF(ISNUMBER(31:31), COLUMN(31:31)), ISNUMBER(31:31)),
  _xlpm.elos, INDEX(30:30,1,_xlpm.colj),
  _xlpm.diffscale, Constantes!$B$2,
  IF(AC31="",
    "",
    SUM(1/(1+POWER(10,-(AC30-_xlpm.elos)/_xlpm.diffscale)))-0.5)
)</f>
        <v/>
      </c>
      <c r="AD32" t="str" cm="1">
        <f t="array" ref="AD32">_xlfn.LET(
  _xlpm.colj, _xlfn._xlws.FILTER(IF(ISNUMBER(31:31), COLUMN(31:31)), ISNUMBER(31:31)),
  _xlpm.elos, INDEX(30:30,1,_xlpm.colj),
  _xlpm.diffscale, Constantes!$B$2,
  IF(AD31="",
    "",
    SUM(1/(1+POWER(10,-(AD30-_xlpm.elos)/_xlpm.diffscale)))-0.5)
)</f>
        <v/>
      </c>
      <c r="AE32" t="str" cm="1">
        <f t="array" ref="AE32">_xlfn.LET(
  _xlpm.colj, _xlfn._xlws.FILTER(IF(ISNUMBER(31:31), COLUMN(31:31)), ISNUMBER(31:31)),
  _xlpm.elos, INDEX(30:30,1,_xlpm.colj),
  _xlpm.diffscale, Constantes!$B$2,
  IF(AE31="",
    "",
    SUM(1/(1+POWER(10,-(AE30-_xlpm.elos)/_xlpm.diffscale)))-0.5)
)</f>
        <v/>
      </c>
      <c r="AF32" t="str" cm="1">
        <f t="array" ref="AF32">_xlfn.LET(
  _xlpm.colj, _xlfn._xlws.FILTER(IF(ISNUMBER(31:31), COLUMN(31:31)), ISNUMBER(31:31)),
  _xlpm.elos, INDEX(30:30,1,_xlpm.colj),
  _xlpm.diffscale, Constantes!$B$2,
  IF(AF31="",
    "",
    SUM(1/(1+POWER(10,-(AF30-_xlpm.elos)/_xlpm.diffscale)))-0.5)
)</f>
        <v/>
      </c>
      <c r="AG32" t="str" cm="1">
        <f t="array" ref="AG32">_xlfn.LET(
  _xlpm.colj, _xlfn._xlws.FILTER(IF(ISNUMBER(31:31), COLUMN(31:31)), ISNUMBER(31:31)),
  _xlpm.elos, INDEX(30:30,1,_xlpm.colj),
  _xlpm.diffscale, Constantes!$B$2,
  IF(AG31="",
    "",
    SUM(1/(1+POWER(10,-(AG30-_xlpm.elos)/_xlpm.diffscale)))-0.5)
)</f>
        <v/>
      </c>
      <c r="AH32" t="str" cm="1">
        <f t="array" ref="AH32">_xlfn.LET(
  _xlpm.colj, _xlfn._xlws.FILTER(IF(ISNUMBER(31:31), COLUMN(31:31)), ISNUMBER(31:31)),
  _xlpm.elos, INDEX(30:30,1,_xlpm.colj),
  _xlpm.diffscale, Constantes!$B$2,
  IF(AH31="",
    "",
    SUM(1/(1+POWER(10,-(AH30-_xlpm.elos)/_xlpm.diffscale)))-0.5)
)</f>
        <v/>
      </c>
      <c r="AI32" t="str" cm="1">
        <f t="array" ref="AI32">_xlfn.LET(
  _xlpm.colj, _xlfn._xlws.FILTER(IF(ISNUMBER(31:31), COLUMN(31:31)), ISNUMBER(31:31)),
  _xlpm.elos, INDEX(30:30,1,_xlpm.colj),
  _xlpm.diffscale, Constantes!$B$2,
  IF(AI31="",
    "",
    SUM(1/(1+POWER(10,-(AI30-_xlpm.elos)/_xlpm.diffscale)))-0.5)
)</f>
        <v/>
      </c>
      <c r="AJ32" t="str" cm="1">
        <f t="array" ref="AJ32">_xlfn.LET(
  _xlpm.colj, _xlfn._xlws.FILTER(IF(ISNUMBER(31:31), COLUMN(31:31)), ISNUMBER(31:31)),
  _xlpm.elos, INDEX(30:30,1,_xlpm.colj),
  _xlpm.diffscale, Constantes!$B$2,
  IF(AJ31="",
    "",
    SUM(1/(1+POWER(10,-(AJ30-_xlpm.elos)/_xlpm.diffscale)))-0.5)
)</f>
        <v/>
      </c>
      <c r="AK32" t="str" cm="1">
        <f t="array" ref="AK32">_xlfn.LET(
  _xlpm.colj, _xlfn._xlws.FILTER(IF(ISNUMBER(31:31), COLUMN(31:31)), ISNUMBER(31:31)),
  _xlpm.elos, INDEX(30:30,1,_xlpm.colj),
  _xlpm.diffscale, Constantes!$B$2,
  IF(AK31="",
    "",
    SUM(1/(1+POWER(10,-(AK30-_xlpm.elos)/_xlpm.diffscale)))-0.5)
)</f>
        <v/>
      </c>
      <c r="AL32" t="str" cm="1">
        <f t="array" ref="AL32">_xlfn.LET(
  _xlpm.colj, _xlfn._xlws.FILTER(IF(ISNUMBER(31:31), COLUMN(31:31)), ISNUMBER(31:31)),
  _xlpm.elos, INDEX(30:30,1,_xlpm.colj),
  _xlpm.diffscale, Constantes!$B$2,
  IF(AL31="",
    "",
    SUM(1/(1+POWER(10,-(AL30-_xlpm.elos)/_xlpm.diffscale)))-0.5)
)</f>
        <v/>
      </c>
      <c r="AM32" t="str" cm="1">
        <f t="array" ref="AM32">_xlfn.LET(
  _xlpm.colj, _xlfn._xlws.FILTER(IF(ISNUMBER(31:31), COLUMN(31:31)), ISNUMBER(31:31)),
  _xlpm.elos, INDEX(30:30,1,_xlpm.colj),
  _xlpm.diffscale, Constantes!$B$2,
  IF(AM31="",
    "",
    SUM(1/(1+POWER(10,-(AM30-_xlpm.elos)/_xlpm.diffscale)))-0.5)
)</f>
        <v/>
      </c>
    </row>
    <row r="33" spans="1:39" x14ac:dyDescent="0.25">
      <c r="A33" t="s">
        <v>22</v>
      </c>
      <c r="D33" cm="1">
        <f t="array" ref="D33">_xlfn.LET(
  _xlpm.K, Constantes!$B$3,
  _xlpm.Knewgain, Constantes!$B$4,
  _xlpm.Knewscale, Constantes!$B$5,
  _xlpm.ptstables, INDEX(D:D, _xlfn.SEQUENCE(COUNTA($C$2:$C33), 1, 3, 4)),
  _xlpm.nbparties, COUNTA(_xlfn._xlws.FILTER(_xlpm.ptstables, _xlpm.ptstables &lt;&gt; "")),
  _xlpm.coef, _xlpm.K + _xlpm.Knewgain / (_xlpm.Knewscale + _xlpm.nbparties),
  IF(D31="",
    "",
    _xlpm.coef * (D31-D32))
)</f>
        <v>41.463849483200086</v>
      </c>
      <c r="E33" t="str" cm="1">
        <f t="array" ref="E33">_xlfn.LET(
  _xlpm.K, Constantes!$B$3,
  _xlpm.Knewgain, Constantes!$B$4,
  _xlpm.Knewscale, Constantes!$B$5,
  _xlpm.ptstables, INDEX(E:E, _xlfn.SEQUENCE(COUNTA($C$2:$C33), 1, 3, 4)),
  _xlpm.nbparties, COUNTA(_xlfn._xlws.FILTER(_xlpm.ptstables, _xlpm.ptstables &lt;&gt; "")),
  _xlpm.coef, _xlpm.K + _xlpm.Knewgain / (_xlpm.Knewscale + _xlpm.nbparties),
  IF(E31="",
    "",
    _xlpm.coef * (E31-E32))
)</f>
        <v/>
      </c>
      <c r="F33" t="str" cm="1">
        <f t="array" ref="F33">_xlfn.LET(
  _xlpm.K, Constantes!$B$3,
  _xlpm.Knewgain, Constantes!$B$4,
  _xlpm.Knewscale, Constantes!$B$5,
  _xlpm.ptstables, INDEX(F:F, _xlfn.SEQUENCE(COUNTA($C$2:$C33), 1, 3, 4)),
  _xlpm.nbparties, COUNTA(_xlfn._xlws.FILTER(_xlpm.ptstables, _xlpm.ptstables &lt;&gt; "")),
  _xlpm.coef, _xlpm.K + _xlpm.Knewgain / (_xlpm.Knewscale + _xlpm.nbparties),
  IF(F31="",
    "",
    _xlpm.coef * (F31-F32))
)</f>
        <v/>
      </c>
      <c r="G33" cm="1">
        <f t="array" ref="G33">_xlfn.LET(
  _xlpm.K, Constantes!$B$3,
  _xlpm.Knewgain, Constantes!$B$4,
  _xlpm.Knewscale, Constantes!$B$5,
  _xlpm.ptstables, INDEX(G:G, _xlfn.SEQUENCE(COUNTA($C$2:$C33), 1, 3, 4)),
  _xlpm.nbparties, COUNTA(_xlfn._xlws.FILTER(_xlpm.ptstables, _xlpm.ptstables &lt;&gt; "")),
  _xlpm.coef, _xlpm.K + _xlpm.Knewgain / (_xlpm.Knewscale + _xlpm.nbparties),
  IF(G31="",
    "",
    _xlpm.coef * (G31-G32))
)</f>
        <v>1.1797879070122745</v>
      </c>
      <c r="H33" t="str" cm="1">
        <f t="array" ref="H33">_xlfn.LET(
  _xlpm.K, Constantes!$B$3,
  _xlpm.Knewgain, Constantes!$B$4,
  _xlpm.Knewscale, Constantes!$B$5,
  _xlpm.ptstables, INDEX(H:H, _xlfn.SEQUENCE(COUNTA($C$2:$C33), 1, 3, 4)),
  _xlpm.nbparties, COUNTA(_xlfn._xlws.FILTER(_xlpm.ptstables, _xlpm.ptstables &lt;&gt; "")),
  _xlpm.coef, _xlpm.K + _xlpm.Knewgain / (_xlpm.Knewscale + _xlpm.nbparties),
  IF(H31="",
    "",
    _xlpm.coef * (H31-H32))
)</f>
        <v/>
      </c>
      <c r="I33" t="str" cm="1">
        <f t="array" ref="I33">_xlfn.LET(
  _xlpm.K, Constantes!$B$3,
  _xlpm.Knewgain, Constantes!$B$4,
  _xlpm.Knewscale, Constantes!$B$5,
  _xlpm.ptstables, INDEX(I:I, _xlfn.SEQUENCE(COUNTA($C$2:$C33), 1, 3, 4)),
  _xlpm.nbparties, COUNTA(_xlfn._xlws.FILTER(_xlpm.ptstables, _xlpm.ptstables &lt;&gt; "")),
  _xlpm.coef, _xlpm.K + _xlpm.Knewgain / (_xlpm.Knewscale + _xlpm.nbparties),
  IF(I31="",
    "",
    _xlpm.coef * (I31-I32))
)</f>
        <v/>
      </c>
      <c r="J33" cm="1">
        <f t="array" ref="J33">_xlfn.LET(
  _xlpm.K, Constantes!$B$3,
  _xlpm.Knewgain, Constantes!$B$4,
  _xlpm.Knewscale, Constantes!$B$5,
  _xlpm.ptstables, INDEX(J:J, _xlfn.SEQUENCE(COUNTA($C$2:$C33), 1, 3, 4)),
  _xlpm.nbparties, COUNTA(_xlfn._xlws.FILTER(_xlpm.ptstables, _xlpm.ptstables &lt;&gt; "")),
  _xlpm.coef, _xlpm.K + _xlpm.Knewgain / (_xlpm.Knewscale + _xlpm.nbparties),
  IF(J31="",
    "",
    _xlpm.coef * (J31-J32))
)</f>
        <v>-10.681483996547925</v>
      </c>
      <c r="K33" t="str" cm="1">
        <f t="array" ref="K33">_xlfn.LET(
  _xlpm.K, Constantes!$B$3,
  _xlpm.Knewgain, Constantes!$B$4,
  _xlpm.Knewscale, Constantes!$B$5,
  _xlpm.ptstables, INDEX(K:K, _xlfn.SEQUENCE(COUNTA($C$2:$C33), 1, 3, 4)),
  _xlpm.nbparties, COUNTA(_xlfn._xlws.FILTER(_xlpm.ptstables, _xlpm.ptstables &lt;&gt; "")),
  _xlpm.coef, _xlpm.K + _xlpm.Knewgain / (_xlpm.Knewscale + _xlpm.nbparties),
  IF(K31="",
    "",
    _xlpm.coef * (K31-K32))
)</f>
        <v/>
      </c>
      <c r="L33" cm="1">
        <f t="array" ref="L33">_xlfn.LET(
  _xlpm.K, Constantes!$B$3,
  _xlpm.Knewgain, Constantes!$B$4,
  _xlpm.Knewscale, Constantes!$B$5,
  _xlpm.ptstables, INDEX(L:L, _xlfn.SEQUENCE(COUNTA($C$2:$C33), 1, 3, 4)),
  _xlpm.nbparties, COUNTA(_xlfn._xlws.FILTER(_xlpm.ptstables, _xlpm.ptstables &lt;&gt; "")),
  _xlpm.coef, _xlpm.K + _xlpm.Knewgain / (_xlpm.Knewscale + _xlpm.nbparties),
  IF(L31="",
    "",
    _xlpm.coef * (L31-L32))
)</f>
        <v>-41.523338610947803</v>
      </c>
      <c r="M33" t="str" cm="1">
        <f t="array" ref="M33">_xlfn.LET(
  _xlpm.K, Constantes!$B$3,
  _xlpm.Knewgain, Constantes!$B$4,
  _xlpm.Knewscale, Constantes!$B$5,
  _xlpm.ptstables, INDEX(M:M, _xlfn.SEQUENCE(COUNTA($C$2:$C33), 1, 3, 4)),
  _xlpm.nbparties, COUNTA(_xlfn._xlws.FILTER(_xlpm.ptstables, _xlpm.ptstables &lt;&gt; "")),
  _xlpm.coef, _xlpm.K + _xlpm.Knewgain / (_xlpm.Knewscale + _xlpm.nbparties),
  IF(M31="",
    "",
    _xlpm.coef * (M31-M32))
)</f>
        <v/>
      </c>
      <c r="N33" t="str" cm="1">
        <f t="array" ref="N33">_xlfn.LET(
  _xlpm.K, Constantes!$B$3,
  _xlpm.Knewgain, Constantes!$B$4,
  _xlpm.Knewscale, Constantes!$B$5,
  _xlpm.ptstables, INDEX(N:N, _xlfn.SEQUENCE(COUNTA($C$2:$C33), 1, 3, 4)),
  _xlpm.nbparties, COUNTA(_xlfn._xlws.FILTER(_xlpm.ptstables, _xlpm.ptstables &lt;&gt; "")),
  _xlpm.coef, _xlpm.K + _xlpm.Knewgain / (_xlpm.Knewscale + _xlpm.nbparties),
  IF(N31="",
    "",
    _xlpm.coef * (N31-N32))
)</f>
        <v/>
      </c>
      <c r="O33" t="str" cm="1">
        <f t="array" ref="O33">_xlfn.LET(
  _xlpm.K, Constantes!$B$3,
  _xlpm.Knewgain, Constantes!$B$4,
  _xlpm.Knewscale, Constantes!$B$5,
  _xlpm.ptstables, INDEX(O:O, _xlfn.SEQUENCE(COUNTA($C$2:$C33), 1, 3, 4)),
  _xlpm.nbparties, COUNTA(_xlfn._xlws.FILTER(_xlpm.ptstables, _xlpm.ptstables &lt;&gt; "")),
  _xlpm.coef, _xlpm.K + _xlpm.Knewgain / (_xlpm.Knewscale + _xlpm.nbparties),
  IF(O31="",
    "",
    _xlpm.coef * (O31-O32))
)</f>
        <v/>
      </c>
      <c r="P33" t="str" cm="1">
        <f t="array" ref="P33">_xlfn.LET(
  _xlpm.K, Constantes!$B$3,
  _xlpm.Knewgain, Constantes!$B$4,
  _xlpm.Knewscale, Constantes!$B$5,
  _xlpm.ptstables, INDEX(P:P, _xlfn.SEQUENCE(COUNTA($C$2:$C33), 1, 3, 4)),
  _xlpm.nbparties, COUNTA(_xlfn._xlws.FILTER(_xlpm.ptstables, _xlpm.ptstables &lt;&gt; "")),
  _xlpm.coef, _xlpm.K + _xlpm.Knewgain / (_xlpm.Knewscale + _xlpm.nbparties),
  IF(P31="",
    "",
    _xlpm.coef * (P31-P32))
)</f>
        <v/>
      </c>
      <c r="Q33" t="str" cm="1">
        <f t="array" ref="Q33">_xlfn.LET(
  _xlpm.K, Constantes!$B$3,
  _xlpm.Knewgain, Constantes!$B$4,
  _xlpm.Knewscale, Constantes!$B$5,
  _xlpm.ptstables, INDEX(Q:Q, _xlfn.SEQUENCE(COUNTA($C$2:$C33), 1, 3, 4)),
  _xlpm.nbparties, COUNTA(_xlfn._xlws.FILTER(_xlpm.ptstables, _xlpm.ptstables &lt;&gt; "")),
  _xlpm.coef, _xlpm.K + _xlpm.Knewgain / (_xlpm.Knewscale + _xlpm.nbparties),
  IF(Q31="",
    "",
    _xlpm.coef * (Q31-Q32))
)</f>
        <v/>
      </c>
      <c r="R33" t="str" cm="1">
        <f t="array" ref="R33">_xlfn.LET(
  _xlpm.K, Constantes!$B$3,
  _xlpm.Knewgain, Constantes!$B$4,
  _xlpm.Knewscale, Constantes!$B$5,
  _xlpm.ptstables, INDEX(R:R, _xlfn.SEQUENCE(COUNTA($C$2:$C33), 1, 3, 4)),
  _xlpm.nbparties, COUNTA(_xlfn._xlws.FILTER(_xlpm.ptstables, _xlpm.ptstables &lt;&gt; "")),
  _xlpm.coef, _xlpm.K + _xlpm.Knewgain / (_xlpm.Knewscale + _xlpm.nbparties),
  IF(R31="",
    "",
    _xlpm.coef * (R31-R32))
)</f>
        <v/>
      </c>
      <c r="S33" t="str" cm="1">
        <f t="array" ref="S33">_xlfn.LET(
  _xlpm.K, Constantes!$B$3,
  _xlpm.Knewgain, Constantes!$B$4,
  _xlpm.Knewscale, Constantes!$B$5,
  _xlpm.ptstables, INDEX(S:S, _xlfn.SEQUENCE(COUNTA($C$2:$C33), 1, 3, 4)),
  _xlpm.nbparties, COUNTA(_xlfn._xlws.FILTER(_xlpm.ptstables, _xlpm.ptstables &lt;&gt; "")),
  _xlpm.coef, _xlpm.K + _xlpm.Knewgain / (_xlpm.Knewscale + _xlpm.nbparties),
  IF(S31="",
    "",
    _xlpm.coef * (S31-S32))
)</f>
        <v/>
      </c>
      <c r="T33" t="str" cm="1">
        <f t="array" ref="T33">_xlfn.LET(
  _xlpm.K, Constantes!$B$3,
  _xlpm.Knewgain, Constantes!$B$4,
  _xlpm.Knewscale, Constantes!$B$5,
  _xlpm.ptstables, INDEX(T:T, _xlfn.SEQUENCE(COUNTA($C$2:$C33), 1, 3, 4)),
  _xlpm.nbparties, COUNTA(_xlfn._xlws.FILTER(_xlpm.ptstables, _xlpm.ptstables &lt;&gt; "")),
  _xlpm.coef, _xlpm.K + _xlpm.Knewgain / (_xlpm.Knewscale + _xlpm.nbparties),
  IF(T31="",
    "",
    _xlpm.coef * (T31-T32))
)</f>
        <v/>
      </c>
      <c r="U33" t="str" cm="1">
        <f t="array" ref="U33">_xlfn.LET(
  _xlpm.K, Constantes!$B$3,
  _xlpm.Knewgain, Constantes!$B$4,
  _xlpm.Knewscale, Constantes!$B$5,
  _xlpm.ptstables, INDEX(U:U, _xlfn.SEQUENCE(COUNTA($C$2:$C33), 1, 3, 4)),
  _xlpm.nbparties, COUNTA(_xlfn._xlws.FILTER(_xlpm.ptstables, _xlpm.ptstables &lt;&gt; "")),
  _xlpm.coef, _xlpm.K + _xlpm.Knewgain / (_xlpm.Knewscale + _xlpm.nbparties),
  IF(U31="",
    "",
    _xlpm.coef * (U31-U32))
)</f>
        <v/>
      </c>
      <c r="V33" t="str" cm="1">
        <f t="array" ref="V33">_xlfn.LET(
  _xlpm.K, Constantes!$B$3,
  _xlpm.Knewgain, Constantes!$B$4,
  _xlpm.Knewscale, Constantes!$B$5,
  _xlpm.ptstables, INDEX(V:V, _xlfn.SEQUENCE(COUNTA($C$2:$C33), 1, 3, 4)),
  _xlpm.nbparties, COUNTA(_xlfn._xlws.FILTER(_xlpm.ptstables, _xlpm.ptstables &lt;&gt; "")),
  _xlpm.coef, _xlpm.K + _xlpm.Knewgain / (_xlpm.Knewscale + _xlpm.nbparties),
  IF(V31="",
    "",
    _xlpm.coef * (V31-V32))
)</f>
        <v/>
      </c>
      <c r="W33" t="str" cm="1">
        <f t="array" ref="W33">_xlfn.LET(
  _xlpm.K, Constantes!$B$3,
  _xlpm.Knewgain, Constantes!$B$4,
  _xlpm.Knewscale, Constantes!$B$5,
  _xlpm.ptstables, INDEX(W:W, _xlfn.SEQUENCE(COUNTA($C$2:$C33), 1, 3, 4)),
  _xlpm.nbparties, COUNTA(_xlfn._xlws.FILTER(_xlpm.ptstables, _xlpm.ptstables &lt;&gt; "")),
  _xlpm.coef, _xlpm.K + _xlpm.Knewgain / (_xlpm.Knewscale + _xlpm.nbparties),
  IF(W31="",
    "",
    _xlpm.coef * (W31-W32))
)</f>
        <v/>
      </c>
      <c r="X33" t="str" cm="1">
        <f t="array" ref="X33">_xlfn.LET(
  _xlpm.K, Constantes!$B$3,
  _xlpm.Knewgain, Constantes!$B$4,
  _xlpm.Knewscale, Constantes!$B$5,
  _xlpm.ptstables, INDEX(X:X, _xlfn.SEQUENCE(COUNTA($C$2:$C33), 1, 3, 4)),
  _xlpm.nbparties, COUNTA(_xlfn._xlws.FILTER(_xlpm.ptstables, _xlpm.ptstables &lt;&gt; "")),
  _xlpm.coef, _xlpm.K + _xlpm.Knewgain / (_xlpm.Knewscale + _xlpm.nbparties),
  IF(X31="",
    "",
    _xlpm.coef * (X31-X32))
)</f>
        <v/>
      </c>
      <c r="Y33" t="str" cm="1">
        <f t="array" ref="Y33">_xlfn.LET(
  _xlpm.K, Constantes!$B$3,
  _xlpm.Knewgain, Constantes!$B$4,
  _xlpm.Knewscale, Constantes!$B$5,
  _xlpm.ptstables, INDEX(Y:Y, _xlfn.SEQUENCE(COUNTA($C$2:$C33), 1, 3, 4)),
  _xlpm.nbparties, COUNTA(_xlfn._xlws.FILTER(_xlpm.ptstables, _xlpm.ptstables &lt;&gt; "")),
  _xlpm.coef, _xlpm.K + _xlpm.Knewgain / (_xlpm.Knewscale + _xlpm.nbparties),
  IF(Y31="",
    "",
    _xlpm.coef * (Y31-Y32))
)</f>
        <v/>
      </c>
      <c r="Z33" t="str" cm="1">
        <f t="array" ref="Z33">_xlfn.LET(
  _xlpm.K, Constantes!$B$3,
  _xlpm.Knewgain, Constantes!$B$4,
  _xlpm.Knewscale, Constantes!$B$5,
  _xlpm.ptstables, INDEX(Z:Z, _xlfn.SEQUENCE(COUNTA($C$2:$C33), 1, 3, 4)),
  _xlpm.nbparties, COUNTA(_xlfn._xlws.FILTER(_xlpm.ptstables, _xlpm.ptstables &lt;&gt; "")),
  _xlpm.coef, _xlpm.K + _xlpm.Knewgain / (_xlpm.Knewscale + _xlpm.nbparties),
  IF(Z31="",
    "",
    _xlpm.coef * (Z31-Z32))
)</f>
        <v/>
      </c>
      <c r="AA33" t="str" cm="1">
        <f t="array" ref="AA33">_xlfn.LET(
  _xlpm.K, Constantes!$B$3,
  _xlpm.Knewgain, Constantes!$B$4,
  _xlpm.Knewscale, Constantes!$B$5,
  _xlpm.ptstables, INDEX(AA:AA, _xlfn.SEQUENCE(COUNTA($C$2:$C33), 1, 3, 4)),
  _xlpm.nbparties, COUNTA(_xlfn._xlws.FILTER(_xlpm.ptstables, _xlpm.ptstables &lt;&gt; "")),
  _xlpm.coef, _xlpm.K + _xlpm.Knewgain / (_xlpm.Knewscale + _xlpm.nbparties),
  IF(AA31="",
    "",
    _xlpm.coef * (AA31-AA32))
)</f>
        <v/>
      </c>
      <c r="AB33" t="str" cm="1">
        <f t="array" ref="AB33">_xlfn.LET(
  _xlpm.K, Constantes!$B$3,
  _xlpm.Knewgain, Constantes!$B$4,
  _xlpm.Knewscale, Constantes!$B$5,
  _xlpm.ptstables, INDEX(AB:AB, _xlfn.SEQUENCE(COUNTA($C$2:$C33), 1, 3, 4)),
  _xlpm.nbparties, COUNTA(_xlfn._xlws.FILTER(_xlpm.ptstables, _xlpm.ptstables &lt;&gt; "")),
  _xlpm.coef, _xlpm.K + _xlpm.Knewgain / (_xlpm.Knewscale + _xlpm.nbparties),
  IF(AB31="",
    "",
    _xlpm.coef * (AB31-AB32))
)</f>
        <v/>
      </c>
      <c r="AC33" t="str" cm="1">
        <f t="array" ref="AC33">_xlfn.LET(
  _xlpm.K, Constantes!$B$3,
  _xlpm.Knewgain, Constantes!$B$4,
  _xlpm.Knewscale, Constantes!$B$5,
  _xlpm.ptstables, INDEX(AC:AC, _xlfn.SEQUENCE(COUNTA($C$2:$C33), 1, 3, 4)),
  _xlpm.nbparties, COUNTA(_xlfn._xlws.FILTER(_xlpm.ptstables, _xlpm.ptstables &lt;&gt; "")),
  _xlpm.coef, _xlpm.K + _xlpm.Knewgain / (_xlpm.Knewscale + _xlpm.nbparties),
  IF(AC31="",
    "",
    _xlpm.coef * (AC31-AC32))
)</f>
        <v/>
      </c>
      <c r="AD33" t="str" cm="1">
        <f t="array" ref="AD33">_xlfn.LET(
  _xlpm.K, Constantes!$B$3,
  _xlpm.Knewgain, Constantes!$B$4,
  _xlpm.Knewscale, Constantes!$B$5,
  _xlpm.ptstables, INDEX(AD:AD, _xlfn.SEQUENCE(COUNTA($C$2:$C33), 1, 3, 4)),
  _xlpm.nbparties, COUNTA(_xlfn._xlws.FILTER(_xlpm.ptstables, _xlpm.ptstables &lt;&gt; "")),
  _xlpm.coef, _xlpm.K + _xlpm.Knewgain / (_xlpm.Knewscale + _xlpm.nbparties),
  IF(AD31="",
    "",
    _xlpm.coef * (AD31-AD32))
)</f>
        <v/>
      </c>
      <c r="AE33" t="str" cm="1">
        <f t="array" ref="AE33">_xlfn.LET(
  _xlpm.K, Constantes!$B$3,
  _xlpm.Knewgain, Constantes!$B$4,
  _xlpm.Knewscale, Constantes!$B$5,
  _xlpm.ptstables, INDEX(AE:AE, _xlfn.SEQUENCE(COUNTA($C$2:$C33), 1, 3, 4)),
  _xlpm.nbparties, COUNTA(_xlfn._xlws.FILTER(_xlpm.ptstables, _xlpm.ptstables &lt;&gt; "")),
  _xlpm.coef, _xlpm.K + _xlpm.Knewgain / (_xlpm.Knewscale + _xlpm.nbparties),
  IF(AE31="",
    "",
    _xlpm.coef * (AE31-AE32))
)</f>
        <v/>
      </c>
      <c r="AF33" t="str" cm="1">
        <f t="array" ref="AF33">_xlfn.LET(
  _xlpm.K, Constantes!$B$3,
  _xlpm.Knewgain, Constantes!$B$4,
  _xlpm.Knewscale, Constantes!$B$5,
  _xlpm.ptstables, INDEX(AF:AF, _xlfn.SEQUENCE(COUNTA($C$2:$C33), 1, 3, 4)),
  _xlpm.nbparties, COUNTA(_xlfn._xlws.FILTER(_xlpm.ptstables, _xlpm.ptstables &lt;&gt; "")),
  _xlpm.coef, _xlpm.K + _xlpm.Knewgain / (_xlpm.Knewscale + _xlpm.nbparties),
  IF(AF31="",
    "",
    _xlpm.coef * (AF31-AF32))
)</f>
        <v/>
      </c>
      <c r="AG33" t="str" cm="1">
        <f t="array" ref="AG33">_xlfn.LET(
  _xlpm.K, Constantes!$B$3,
  _xlpm.Knewgain, Constantes!$B$4,
  _xlpm.Knewscale, Constantes!$B$5,
  _xlpm.ptstables, INDEX(AG:AG, _xlfn.SEQUENCE(COUNTA($C$2:$C33), 1, 3, 4)),
  _xlpm.nbparties, COUNTA(_xlfn._xlws.FILTER(_xlpm.ptstables, _xlpm.ptstables &lt;&gt; "")),
  _xlpm.coef, _xlpm.K + _xlpm.Knewgain / (_xlpm.Knewscale + _xlpm.nbparties),
  IF(AG31="",
    "",
    _xlpm.coef * (AG31-AG32))
)</f>
        <v/>
      </c>
      <c r="AH33" t="str" cm="1">
        <f t="array" ref="AH33">_xlfn.LET(
  _xlpm.K, Constantes!$B$3,
  _xlpm.Knewgain, Constantes!$B$4,
  _xlpm.Knewscale, Constantes!$B$5,
  _xlpm.ptstables, INDEX(AH:AH, _xlfn.SEQUENCE(COUNTA($C$2:$C33), 1, 3, 4)),
  _xlpm.nbparties, COUNTA(_xlfn._xlws.FILTER(_xlpm.ptstables, _xlpm.ptstables &lt;&gt; "")),
  _xlpm.coef, _xlpm.K + _xlpm.Knewgain / (_xlpm.Knewscale + _xlpm.nbparties),
  IF(AH31="",
    "",
    _xlpm.coef * (AH31-AH32))
)</f>
        <v/>
      </c>
      <c r="AI33" t="str" cm="1">
        <f t="array" ref="AI33">_xlfn.LET(
  _xlpm.K, Constantes!$B$3,
  _xlpm.Knewgain, Constantes!$B$4,
  _xlpm.Knewscale, Constantes!$B$5,
  _xlpm.ptstables, INDEX(AI:AI, _xlfn.SEQUENCE(COUNTA($C$2:$C33), 1, 3, 4)),
  _xlpm.nbparties, COUNTA(_xlfn._xlws.FILTER(_xlpm.ptstables, _xlpm.ptstables &lt;&gt; "")),
  _xlpm.coef, _xlpm.K + _xlpm.Knewgain / (_xlpm.Knewscale + _xlpm.nbparties),
  IF(AI31="",
    "",
    _xlpm.coef * (AI31-AI32))
)</f>
        <v/>
      </c>
      <c r="AJ33" t="str" cm="1">
        <f t="array" ref="AJ33">_xlfn.LET(
  _xlpm.K, Constantes!$B$3,
  _xlpm.Knewgain, Constantes!$B$4,
  _xlpm.Knewscale, Constantes!$B$5,
  _xlpm.ptstables, INDEX(AJ:AJ, _xlfn.SEQUENCE(COUNTA($C$2:$C33), 1, 3, 4)),
  _xlpm.nbparties, COUNTA(_xlfn._xlws.FILTER(_xlpm.ptstables, _xlpm.ptstables &lt;&gt; "")),
  _xlpm.coef, _xlpm.K + _xlpm.Knewgain / (_xlpm.Knewscale + _xlpm.nbparties),
  IF(AJ31="",
    "",
    _xlpm.coef * (AJ31-AJ32))
)</f>
        <v/>
      </c>
      <c r="AK33" t="str" cm="1">
        <f t="array" ref="AK33">_xlfn.LET(
  _xlpm.K, Constantes!$B$3,
  _xlpm.Knewgain, Constantes!$B$4,
  _xlpm.Knewscale, Constantes!$B$5,
  _xlpm.ptstables, INDEX(AK:AK, _xlfn.SEQUENCE(COUNTA($C$2:$C33), 1, 3, 4)),
  _xlpm.nbparties, COUNTA(_xlfn._xlws.FILTER(_xlpm.ptstables, _xlpm.ptstables &lt;&gt; "")),
  _xlpm.coef, _xlpm.K + _xlpm.Knewgain / (_xlpm.Knewscale + _xlpm.nbparties),
  IF(AK31="",
    "",
    _xlpm.coef * (AK31-AK32))
)</f>
        <v/>
      </c>
      <c r="AL33" t="str" cm="1">
        <f t="array" ref="AL33">_xlfn.LET(
  _xlpm.K, Constantes!$B$3,
  _xlpm.Knewgain, Constantes!$B$4,
  _xlpm.Knewscale, Constantes!$B$5,
  _xlpm.ptstables, INDEX(AL:AL, _xlfn.SEQUENCE(COUNTA($C$2:$C33), 1, 3, 4)),
  _xlpm.nbparties, COUNTA(_xlfn._xlws.FILTER(_xlpm.ptstables, _xlpm.ptstables &lt;&gt; "")),
  _xlpm.coef, _xlpm.K + _xlpm.Knewgain / (_xlpm.Knewscale + _xlpm.nbparties),
  IF(AL31="",
    "",
    _xlpm.coef * (AL31-AL32))
)</f>
        <v/>
      </c>
      <c r="AM33" t="str" cm="1">
        <f t="array" ref="AM33">_xlfn.LET(
  _xlpm.K, Constantes!$B$3,
  _xlpm.Knewgain, Constantes!$B$4,
  _xlpm.Knewscale, Constantes!$B$5,
  _xlpm.ptstables, INDEX(AM:AM, _xlfn.SEQUENCE(COUNTA($C$2:$C33), 1, 3, 4)),
  _xlpm.nbparties, COUNTA(_xlfn._xlws.FILTER(_xlpm.ptstables, _xlpm.ptstables &lt;&gt; "")),
  _xlpm.coef, _xlpm.K + _xlpm.Knewgain / (_xlpm.Knewscale + _xlpm.nbparties),
  IF(AM31="",
    "",
    _xlpm.coef * (AM31-AM32))
)</f>
        <v/>
      </c>
    </row>
    <row r="34" spans="1:39" x14ac:dyDescent="0.25">
      <c r="A34" t="s">
        <v>14</v>
      </c>
      <c r="B34" t="str" cm="1">
        <f t="array" ref="B3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</v>
      </c>
      <c r="C34" s="2" cm="1">
        <f t="array" ref="C34">IF(B34="","",
  INDEX(Donnees!F:F, MATCH(B34, Donnees!F:F, 0)+1))</f>
        <v>45906.856342592589</v>
      </c>
      <c r="D34">
        <f t="shared" ref="D34:AM34" si="16">D30+IF(D33="",0,D33)</f>
        <v>1049.0651592067093</v>
      </c>
      <c r="E34">
        <f t="shared" si="16"/>
        <v>1180.1422312128193</v>
      </c>
      <c r="F34">
        <f t="shared" si="16"/>
        <v>909.87928229209808</v>
      </c>
      <c r="G34">
        <f t="shared" si="16"/>
        <v>1070.9791727899687</v>
      </c>
      <c r="H34">
        <f t="shared" si="16"/>
        <v>976.44998683474398</v>
      </c>
      <c r="I34">
        <f t="shared" si="16"/>
        <v>1016.6476899092447</v>
      </c>
      <c r="J34">
        <f t="shared" si="16"/>
        <v>938.49433816478961</v>
      </c>
      <c r="K34">
        <f t="shared" si="16"/>
        <v>914.47577749470145</v>
      </c>
      <c r="L34">
        <f t="shared" si="16"/>
        <v>878.7153998467162</v>
      </c>
      <c r="M34">
        <f t="shared" si="16"/>
        <v>965.238738457664</v>
      </c>
      <c r="N34">
        <f t="shared" si="16"/>
        <v>995.58652324860282</v>
      </c>
      <c r="O34">
        <f t="shared" si="16"/>
        <v>1000</v>
      </c>
      <c r="P34">
        <f t="shared" si="16"/>
        <v>993.13499999999999</v>
      </c>
      <c r="Q34">
        <f t="shared" si="16"/>
        <v>949.40499999999997</v>
      </c>
      <c r="R34">
        <f t="shared" si="16"/>
        <v>997.8</v>
      </c>
      <c r="S34">
        <f t="shared" si="16"/>
        <v>984.505</v>
      </c>
      <c r="T34">
        <f t="shared" si="16"/>
        <v>1029.905</v>
      </c>
      <c r="U34">
        <f t="shared" si="16"/>
        <v>1092.7849999999999</v>
      </c>
      <c r="V34">
        <f t="shared" si="16"/>
        <v>999.59500000000003</v>
      </c>
      <c r="W34">
        <f t="shared" si="16"/>
        <v>1000</v>
      </c>
      <c r="X34">
        <f t="shared" si="16"/>
        <v>899.53</v>
      </c>
      <c r="Y34">
        <f t="shared" si="16"/>
        <v>941.52</v>
      </c>
      <c r="Z34">
        <f t="shared" si="16"/>
        <v>1000</v>
      </c>
      <c r="AA34">
        <f t="shared" si="16"/>
        <v>1000</v>
      </c>
      <c r="AB34">
        <f t="shared" si="16"/>
        <v>979.56500000000005</v>
      </c>
      <c r="AC34">
        <f t="shared" si="16"/>
        <v>1032.51</v>
      </c>
      <c r="AD34">
        <f t="shared" si="16"/>
        <v>974.01499999999999</v>
      </c>
      <c r="AE34">
        <f t="shared" si="16"/>
        <v>1011.415</v>
      </c>
      <c r="AF34">
        <f t="shared" si="16"/>
        <v>1031.1199999999999</v>
      </c>
      <c r="AG34">
        <f t="shared" si="16"/>
        <v>1001.0350000000001</v>
      </c>
      <c r="AH34">
        <f t="shared" si="16"/>
        <v>994.44</v>
      </c>
      <c r="AI34">
        <f t="shared" si="16"/>
        <v>1000</v>
      </c>
      <c r="AJ34">
        <f t="shared" si="16"/>
        <v>957.2</v>
      </c>
      <c r="AK34">
        <f t="shared" si="16"/>
        <v>1000</v>
      </c>
      <c r="AL34">
        <f t="shared" si="16"/>
        <v>1055.9299999999998</v>
      </c>
      <c r="AM34">
        <f t="shared" si="16"/>
        <v>1000</v>
      </c>
    </row>
    <row r="35" spans="1:39" x14ac:dyDescent="0.25">
      <c r="A35" t="s">
        <v>21</v>
      </c>
      <c r="D35" t="str" cm="1">
        <f t="array" ref="D35">IFERROR(
  _xlfn.LET(
    _xlpm.ligpartie, MATCH($B34, Donnees!$F:$F, 0),
    _xlpm.joueurs, INDEX(Donnees!$A:$Z, _xlpm.ligpartie+1, _xlfn.SEQUENCE(1, 4, 2)),
    INDEX(
      Donnees!$A:$Z,
      _xlpm.ligpartie + 3,
      MATCH(D$1, _xlpm.joueurs, 0) + 1
    )
  ), ""
)</f>
        <v/>
      </c>
      <c r="E35" t="str" cm="1">
        <f t="array" ref="E35">IFERROR(
  _xlfn.LET(
    _xlpm.ligpartie, MATCH($B34, Donnees!$F:$F, 0),
    _xlpm.joueurs, INDEX(Donnees!$A:$Z, _xlpm.ligpartie+1, _xlfn.SEQUENCE(1, 4, 2)),
    INDEX(
      Donnees!$A:$Z,
      _xlpm.ligpartie + 3,
      MATCH(E$1, _xlpm.joueurs, 0) + 1
    )
  ), ""
)</f>
        <v/>
      </c>
      <c r="F35" t="str" cm="1">
        <f t="array" ref="F35">IFERROR(
  _xlfn.LET(
    _xlpm.ligpartie, MATCH($B34, Donnees!$F:$F, 0),
    _xlpm.joueurs, INDEX(Donnees!$A:$Z, _xlpm.ligpartie+1, _xlfn.SEQUENCE(1, 4, 2)),
    INDEX(
      Donnees!$A:$Z,
      _xlpm.ligpartie + 3,
      MATCH(F$1, _xlpm.joueurs, 0) + 1
    )
  ), ""
)</f>
        <v/>
      </c>
      <c r="G35" cm="1">
        <f t="array" ref="G35">IFERROR(
  _xlfn.LET(
    _xlpm.ligpartie, MATCH($B34, Donnees!$F:$F, 0),
    _xlpm.joueurs, INDEX(Donnees!$A:$Z, _xlpm.ligpartie+1, _xlfn.SEQUENCE(1, 4, 2)),
    INDEX(
      Donnees!$A:$Z,
      _xlpm.ligpartie + 3,
      MATCH(G$1, _xlpm.joueurs, 0) + 1
    )
  ), ""
)</f>
        <v>1</v>
      </c>
      <c r="H35" t="str" cm="1">
        <f t="array" ref="H35">IFERROR(
  _xlfn.LET(
    _xlpm.ligpartie, MATCH($B34, Donnees!$F:$F, 0),
    _xlpm.joueurs, INDEX(Donnees!$A:$Z, _xlpm.ligpartie+1, _xlfn.SEQUENCE(1, 4, 2)),
    INDEX(
      Donnees!$A:$Z,
      _xlpm.ligpartie + 3,
      MATCH(H$1, _xlpm.joueurs, 0) + 1
    )
  ), ""
)</f>
        <v/>
      </c>
      <c r="I35" t="str" cm="1">
        <f t="array" ref="I35">IFERROR(
  _xlfn.LET(
    _xlpm.ligpartie, MATCH($B34, Donnees!$F:$F, 0),
    _xlpm.joueurs, INDEX(Donnees!$A:$Z, _xlpm.ligpartie+1, _xlfn.SEQUENCE(1, 4, 2)),
    INDEX(
      Donnees!$A:$Z,
      _xlpm.ligpartie + 3,
      MATCH(I$1, _xlpm.joueurs, 0) + 1
    )
  ), ""
)</f>
        <v/>
      </c>
      <c r="J35" t="str" cm="1">
        <f t="array" ref="J35">IFERROR(
  _xlfn.LET(
    _xlpm.ligpartie, MATCH($B34, Donnees!$F:$F, 0),
    _xlpm.joueurs, INDEX(Donnees!$A:$Z, _xlpm.ligpartie+1, _xlfn.SEQUENCE(1, 4, 2)),
    INDEX(
      Donnees!$A:$Z,
      _xlpm.ligpartie + 3,
      MATCH(J$1, _xlpm.joueurs, 0) + 1
    )
  ), ""
)</f>
        <v/>
      </c>
      <c r="K35" t="str" cm="1">
        <f t="array" ref="K35">IFERROR(
  _xlfn.LET(
    _xlpm.ligpartie, MATCH($B34, Donnees!$F:$F, 0),
    _xlpm.joueurs, INDEX(Donnees!$A:$Z, _xlpm.ligpartie+1, _xlfn.SEQUENCE(1, 4, 2)),
    INDEX(
      Donnees!$A:$Z,
      _xlpm.ligpartie + 3,
      MATCH(K$1, _xlpm.joueurs, 0) + 1
    )
  ), ""
)</f>
        <v/>
      </c>
      <c r="L35" t="str" cm="1">
        <f t="array" ref="L35">IFERROR(
  _xlfn.LET(
    _xlpm.ligpartie, MATCH($B34, Donnees!$F:$F, 0),
    _xlpm.joueurs, INDEX(Donnees!$A:$Z, _xlpm.ligpartie+1, _xlfn.SEQUENCE(1, 4, 2)),
    INDEX(
      Donnees!$A:$Z,
      _xlpm.ligpartie + 3,
      MATCH(L$1, _xlpm.joueurs, 0) + 1
    )
  ), ""
)</f>
        <v/>
      </c>
      <c r="M35" t="str" cm="1">
        <f t="array" ref="M35">IFERROR(
  _xlfn.LET(
    _xlpm.ligpartie, MATCH($B34, Donnees!$F:$F, 0),
    _xlpm.joueurs, INDEX(Donnees!$A:$Z, _xlpm.ligpartie+1, _xlfn.SEQUENCE(1, 4, 2)),
    INDEX(
      Donnees!$A:$Z,
      _xlpm.ligpartie + 3,
      MATCH(M$1, _xlpm.joueurs, 0) + 1
    )
  ), ""
)</f>
        <v/>
      </c>
      <c r="N35" t="str" cm="1">
        <f t="array" ref="N35">IFERROR(
  _xlfn.LET(
    _xlpm.ligpartie, MATCH($B34, Donnees!$F:$F, 0),
    _xlpm.joueurs, INDEX(Donnees!$A:$Z, _xlpm.ligpartie+1, _xlfn.SEQUENCE(1, 4, 2)),
    INDEX(
      Donnees!$A:$Z,
      _xlpm.ligpartie + 3,
      MATCH(N$1, _xlpm.joueurs, 0) + 1
    )
  ), ""
)</f>
        <v/>
      </c>
      <c r="O35" cm="1">
        <f t="array" ref="O35">IFERROR(
  _xlfn.LET(
    _xlpm.ligpartie, MATCH($B34, Donnees!$F:$F, 0),
    _xlpm.joueurs, INDEX(Donnees!$A:$Z, _xlpm.ligpartie+1, _xlfn.SEQUENCE(1, 4, 2)),
    INDEX(
      Donnees!$A:$Z,
      _xlpm.ligpartie + 3,
      MATCH(O$1, _xlpm.joueurs, 0) + 1
    )
  ), ""
)</f>
        <v>3</v>
      </c>
      <c r="P35" cm="1">
        <f t="array" ref="P35">IFERROR(
  _xlfn.LET(
    _xlpm.ligpartie, MATCH($B34, Donnees!$F:$F, 0),
    _xlpm.joueurs, INDEX(Donnees!$A:$Z, _xlpm.ligpartie+1, _xlfn.SEQUENCE(1, 4, 2)),
    INDEX(
      Donnees!$A:$Z,
      _xlpm.ligpartie + 3,
      MATCH(P$1, _xlpm.joueurs, 0) + 1
    )
  ), ""
)</f>
        <v>0</v>
      </c>
      <c r="Q35" cm="1">
        <f t="array" ref="Q35">IFERROR(
  _xlfn.LET(
    _xlpm.ligpartie, MATCH($B34, Donnees!$F:$F, 0),
    _xlpm.joueurs, INDEX(Donnees!$A:$Z, _xlpm.ligpartie+1, _xlfn.SEQUENCE(1, 4, 2)),
    INDEX(
      Donnees!$A:$Z,
      _xlpm.ligpartie + 3,
      MATCH(Q$1, _xlpm.joueurs, 0) + 1
    )
  ), ""
)</f>
        <v>2</v>
      </c>
      <c r="R35" t="str" cm="1">
        <f t="array" ref="R35">IFERROR(
  _xlfn.LET(
    _xlpm.ligpartie, MATCH($B34, Donnees!$F:$F, 0),
    _xlpm.joueurs, INDEX(Donnees!$A:$Z, _xlpm.ligpartie+1, _xlfn.SEQUENCE(1, 4, 2)),
    INDEX(
      Donnees!$A:$Z,
      _xlpm.ligpartie + 3,
      MATCH(R$1, _xlpm.joueurs, 0) + 1
    )
  ), ""
)</f>
        <v/>
      </c>
      <c r="S35" t="str" cm="1">
        <f t="array" ref="S35">IFERROR(
  _xlfn.LET(
    _xlpm.ligpartie, MATCH($B34, Donnees!$F:$F, 0),
    _xlpm.joueurs, INDEX(Donnees!$A:$Z, _xlpm.ligpartie+1, _xlfn.SEQUENCE(1, 4, 2)),
    INDEX(
      Donnees!$A:$Z,
      _xlpm.ligpartie + 3,
      MATCH(S$1, _xlpm.joueurs, 0) + 1
    )
  ), ""
)</f>
        <v/>
      </c>
      <c r="T35" t="str" cm="1">
        <f t="array" ref="T35">IFERROR(
  _xlfn.LET(
    _xlpm.ligpartie, MATCH($B34, Donnees!$F:$F, 0),
    _xlpm.joueurs, INDEX(Donnees!$A:$Z, _xlpm.ligpartie+1, _xlfn.SEQUENCE(1, 4, 2)),
    INDEX(
      Donnees!$A:$Z,
      _xlpm.ligpartie + 3,
      MATCH(T$1, _xlpm.joueurs, 0) + 1
    )
  ), ""
)</f>
        <v/>
      </c>
      <c r="U35" t="str" cm="1">
        <f t="array" ref="U35">IFERROR(
  _xlfn.LET(
    _xlpm.ligpartie, MATCH($B34, Donnees!$F:$F, 0),
    _xlpm.joueurs, INDEX(Donnees!$A:$Z, _xlpm.ligpartie+1, _xlfn.SEQUENCE(1, 4, 2)),
    INDEX(
      Donnees!$A:$Z,
      _xlpm.ligpartie + 3,
      MATCH(U$1, _xlpm.joueurs, 0) + 1
    )
  ), ""
)</f>
        <v/>
      </c>
      <c r="V35" t="str" cm="1">
        <f t="array" ref="V35">IFERROR(
  _xlfn.LET(
    _xlpm.ligpartie, MATCH($B34, Donnees!$F:$F, 0),
    _xlpm.joueurs, INDEX(Donnees!$A:$Z, _xlpm.ligpartie+1, _xlfn.SEQUENCE(1, 4, 2)),
    INDEX(
      Donnees!$A:$Z,
      _xlpm.ligpartie + 3,
      MATCH(V$1, _xlpm.joueurs, 0) + 1
    )
  ), ""
)</f>
        <v/>
      </c>
      <c r="W35" t="str" cm="1">
        <f t="array" ref="W35">IFERROR(
  _xlfn.LET(
    _xlpm.ligpartie, MATCH($B34, Donnees!$F:$F, 0),
    _xlpm.joueurs, INDEX(Donnees!$A:$Z, _xlpm.ligpartie+1, _xlfn.SEQUENCE(1, 4, 2)),
    INDEX(
      Donnees!$A:$Z,
      _xlpm.ligpartie + 3,
      MATCH(W$1, _xlpm.joueurs, 0) + 1
    )
  ), ""
)</f>
        <v/>
      </c>
      <c r="X35" t="str" cm="1">
        <f t="array" ref="X35">IFERROR(
  _xlfn.LET(
    _xlpm.ligpartie, MATCH($B34, Donnees!$F:$F, 0),
    _xlpm.joueurs, INDEX(Donnees!$A:$Z, _xlpm.ligpartie+1, _xlfn.SEQUENCE(1, 4, 2)),
    INDEX(
      Donnees!$A:$Z,
      _xlpm.ligpartie + 3,
      MATCH(X$1, _xlpm.joueurs, 0) + 1
    )
  ), ""
)</f>
        <v/>
      </c>
      <c r="Y35" t="str" cm="1">
        <f t="array" ref="Y35">IFERROR(
  _xlfn.LET(
    _xlpm.ligpartie, MATCH($B34, Donnees!$F:$F, 0),
    _xlpm.joueurs, INDEX(Donnees!$A:$Z, _xlpm.ligpartie+1, _xlfn.SEQUENCE(1, 4, 2)),
    INDEX(
      Donnees!$A:$Z,
      _xlpm.ligpartie + 3,
      MATCH(Y$1, _xlpm.joueurs, 0) + 1
    )
  ), ""
)</f>
        <v/>
      </c>
      <c r="Z35" t="str" cm="1">
        <f t="array" ref="Z35">IFERROR(
  _xlfn.LET(
    _xlpm.ligpartie, MATCH($B34, Donnees!$F:$F, 0),
    _xlpm.joueurs, INDEX(Donnees!$A:$Z, _xlpm.ligpartie+1, _xlfn.SEQUENCE(1, 4, 2)),
    INDEX(
      Donnees!$A:$Z,
      _xlpm.ligpartie + 3,
      MATCH(Z$1, _xlpm.joueurs, 0) + 1
    )
  ), ""
)</f>
        <v/>
      </c>
      <c r="AA35" t="str" cm="1">
        <f t="array" ref="AA35">IFERROR(
  _xlfn.LET(
    _xlpm.ligpartie, MATCH($B34, Donnees!$F:$F, 0),
    _xlpm.joueurs, INDEX(Donnees!$A:$Z, _xlpm.ligpartie+1, _xlfn.SEQUENCE(1, 4, 2)),
    INDEX(
      Donnees!$A:$Z,
      _xlpm.ligpartie + 3,
      MATCH(AA$1, _xlpm.joueurs, 0) + 1
    )
  ), ""
)</f>
        <v/>
      </c>
      <c r="AB35" t="str" cm="1">
        <f t="array" ref="AB35">IFERROR(
  _xlfn.LET(
    _xlpm.ligpartie, MATCH($B34, Donnees!$F:$F, 0),
    _xlpm.joueurs, INDEX(Donnees!$A:$Z, _xlpm.ligpartie+1, _xlfn.SEQUENCE(1, 4, 2)),
    INDEX(
      Donnees!$A:$Z,
      _xlpm.ligpartie + 3,
      MATCH(AB$1, _xlpm.joueurs, 0) + 1
    )
  ), ""
)</f>
        <v/>
      </c>
      <c r="AC35" t="str" cm="1">
        <f t="array" ref="AC35">IFERROR(
  _xlfn.LET(
    _xlpm.ligpartie, MATCH($B34, Donnees!$F:$F, 0),
    _xlpm.joueurs, INDEX(Donnees!$A:$Z, _xlpm.ligpartie+1, _xlfn.SEQUENCE(1, 4, 2)),
    INDEX(
      Donnees!$A:$Z,
      _xlpm.ligpartie + 3,
      MATCH(AC$1, _xlpm.joueurs, 0) + 1
    )
  ), ""
)</f>
        <v/>
      </c>
      <c r="AD35" t="str" cm="1">
        <f t="array" ref="AD35">IFERROR(
  _xlfn.LET(
    _xlpm.ligpartie, MATCH($B34, Donnees!$F:$F, 0),
    _xlpm.joueurs, INDEX(Donnees!$A:$Z, _xlpm.ligpartie+1, _xlfn.SEQUENCE(1, 4, 2)),
    INDEX(
      Donnees!$A:$Z,
      _xlpm.ligpartie + 3,
      MATCH(AD$1, _xlpm.joueurs, 0) + 1
    )
  ), ""
)</f>
        <v/>
      </c>
      <c r="AE35" t="str" cm="1">
        <f t="array" ref="AE35">IFERROR(
  _xlfn.LET(
    _xlpm.ligpartie, MATCH($B34, Donnees!$F:$F, 0),
    _xlpm.joueurs, INDEX(Donnees!$A:$Z, _xlpm.ligpartie+1, _xlfn.SEQUENCE(1, 4, 2)),
    INDEX(
      Donnees!$A:$Z,
      _xlpm.ligpartie + 3,
      MATCH(AE$1, _xlpm.joueurs, 0) + 1
    )
  ), ""
)</f>
        <v/>
      </c>
      <c r="AF35" t="str" cm="1">
        <f t="array" ref="AF35">IFERROR(
  _xlfn.LET(
    _xlpm.ligpartie, MATCH($B34, Donnees!$F:$F, 0),
    _xlpm.joueurs, INDEX(Donnees!$A:$Z, _xlpm.ligpartie+1, _xlfn.SEQUENCE(1, 4, 2)),
    INDEX(
      Donnees!$A:$Z,
      _xlpm.ligpartie + 3,
      MATCH(AF$1, _xlpm.joueurs, 0) + 1
    )
  ), ""
)</f>
        <v/>
      </c>
      <c r="AG35" t="str" cm="1">
        <f t="array" ref="AG35">IFERROR(
  _xlfn.LET(
    _xlpm.ligpartie, MATCH($B34, Donnees!$F:$F, 0),
    _xlpm.joueurs, INDEX(Donnees!$A:$Z, _xlpm.ligpartie+1, _xlfn.SEQUENCE(1, 4, 2)),
    INDEX(
      Donnees!$A:$Z,
      _xlpm.ligpartie + 3,
      MATCH(AG$1, _xlpm.joueurs, 0) + 1
    )
  ), ""
)</f>
        <v/>
      </c>
      <c r="AH35" t="str" cm="1">
        <f t="array" ref="AH35">IFERROR(
  _xlfn.LET(
    _xlpm.ligpartie, MATCH($B34, Donnees!$F:$F, 0),
    _xlpm.joueurs, INDEX(Donnees!$A:$Z, _xlpm.ligpartie+1, _xlfn.SEQUENCE(1, 4, 2)),
    INDEX(
      Donnees!$A:$Z,
      _xlpm.ligpartie + 3,
      MATCH(AH$1, _xlpm.joueurs, 0) + 1
    )
  ), ""
)</f>
        <v/>
      </c>
      <c r="AI35" t="str" cm="1">
        <f t="array" ref="AI35">IFERROR(
  _xlfn.LET(
    _xlpm.ligpartie, MATCH($B34, Donnees!$F:$F, 0),
    _xlpm.joueurs, INDEX(Donnees!$A:$Z, _xlpm.ligpartie+1, _xlfn.SEQUENCE(1, 4, 2)),
    INDEX(
      Donnees!$A:$Z,
      _xlpm.ligpartie + 3,
      MATCH(AI$1, _xlpm.joueurs, 0) + 1
    )
  ), ""
)</f>
        <v/>
      </c>
      <c r="AJ35" t="str" cm="1">
        <f t="array" ref="AJ35">IFERROR(
  _xlfn.LET(
    _xlpm.ligpartie, MATCH($B34, Donnees!$F:$F, 0),
    _xlpm.joueurs, INDEX(Donnees!$A:$Z, _xlpm.ligpartie+1, _xlfn.SEQUENCE(1, 4, 2)),
    INDEX(
      Donnees!$A:$Z,
      _xlpm.ligpartie + 3,
      MATCH(AJ$1, _xlpm.joueurs, 0) + 1
    )
  ), ""
)</f>
        <v/>
      </c>
      <c r="AK35" t="str" cm="1">
        <f t="array" ref="AK35">IFERROR(
  _xlfn.LET(
    _xlpm.ligpartie, MATCH($B34, Donnees!$F:$F, 0),
    _xlpm.joueurs, INDEX(Donnees!$A:$Z, _xlpm.ligpartie+1, _xlfn.SEQUENCE(1, 4, 2)),
    INDEX(
      Donnees!$A:$Z,
      _xlpm.ligpartie + 3,
      MATCH(AK$1, _xlpm.joueurs, 0) + 1
    )
  ), ""
)</f>
        <v/>
      </c>
      <c r="AL35" t="str" cm="1">
        <f t="array" ref="AL35">IFERROR(
  _xlfn.LET(
    _xlpm.ligpartie, MATCH($B34, Donnees!$F:$F, 0),
    _xlpm.joueurs, INDEX(Donnees!$A:$Z, _xlpm.ligpartie+1, _xlfn.SEQUENCE(1, 4, 2)),
    INDEX(
      Donnees!$A:$Z,
      _xlpm.ligpartie + 3,
      MATCH(AL$1, _xlpm.joueurs, 0) + 1
    )
  ), ""
)</f>
        <v/>
      </c>
      <c r="AM35" t="str" cm="1">
        <f t="array" ref="AM35">IFERROR(
  _xlfn.LET(
    _xlpm.ligpartie, MATCH($B34, Donnees!$F:$F, 0),
    _xlpm.joueurs, INDEX(Donnees!$A:$Z, _xlpm.ligpartie+1, _xlfn.SEQUENCE(1, 4, 2)),
    INDEX(
      Donnees!$A:$Z,
      _xlpm.ligpartie + 3,
      MATCH(AM$1, _xlpm.joueurs, 0) + 1
    )
  ), ""
)</f>
        <v/>
      </c>
    </row>
    <row r="36" spans="1:39" x14ac:dyDescent="0.25">
      <c r="A36" t="s">
        <v>20</v>
      </c>
      <c r="D36" t="str" cm="1">
        <f t="array" ref="D36">_xlfn.LET(
  _xlpm.colj, _xlfn._xlws.FILTER(IF(ISNUMBER(35:35), COLUMN(35:35)), ISNUMBER(35:35)),
  _xlpm.elos, INDEX(34:34,1,_xlpm.colj),
  _xlpm.diffscale, Constantes!$B$2,
  IF(D35="",
    "",
    SUM(1/(1+POWER(10,-(D34-_xlpm.elos)/_xlpm.diffscale)))-0.5)
)</f>
        <v/>
      </c>
      <c r="E36" t="str" cm="1">
        <f t="array" ref="E36">_xlfn.LET(
  _xlpm.colj, _xlfn._xlws.FILTER(IF(ISNUMBER(35:35), COLUMN(35:35)), ISNUMBER(35:35)),
  _xlpm.elos, INDEX(34:34,1,_xlpm.colj),
  _xlpm.diffscale, Constantes!$B$2,
  IF(E35="",
    "",
    SUM(1/(1+POWER(10,-(E34-_xlpm.elos)/_xlpm.diffscale)))-0.5)
)</f>
        <v/>
      </c>
      <c r="F36" t="str" cm="1">
        <f t="array" ref="F36">_xlfn.LET(
  _xlpm.colj, _xlfn._xlws.FILTER(IF(ISNUMBER(35:35), COLUMN(35:35)), ISNUMBER(35:35)),
  _xlpm.elos, INDEX(34:34,1,_xlpm.colj),
  _xlpm.diffscale, Constantes!$B$2,
  IF(F35="",
    "",
    SUM(1/(1+POWER(10,-(F34-_xlpm.elos)/_xlpm.diffscale)))-0.5)
)</f>
        <v/>
      </c>
      <c r="G36" cm="1">
        <f t="array" ref="G36">_xlfn.LET(
  _xlpm.colj, _xlfn._xlws.FILTER(IF(ISNUMBER(35:35), COLUMN(35:35)), ISNUMBER(35:35)),
  _xlpm.elos, INDEX(34:34,1,_xlpm.colj),
  _xlpm.diffscale, Constantes!$B$2,
  IF(G35="",
    "",
    SUM(1/(1+POWER(10,-(G34-_xlpm.elos)/_xlpm.diffscale)))-0.5)
)</f>
        <v>1.8790902466386976</v>
      </c>
      <c r="H36" t="str" cm="1">
        <f t="array" ref="H36">_xlfn.LET(
  _xlpm.colj, _xlfn._xlws.FILTER(IF(ISNUMBER(35:35), COLUMN(35:35)), ISNUMBER(35:35)),
  _xlpm.elos, INDEX(34:34,1,_xlpm.colj),
  _xlpm.diffscale, Constantes!$B$2,
  IF(H35="",
    "",
    SUM(1/(1+POWER(10,-(H34-_xlpm.elos)/_xlpm.diffscale)))-0.5)
)</f>
        <v/>
      </c>
      <c r="I36" t="str" cm="1">
        <f t="array" ref="I36">_xlfn.LET(
  _xlpm.colj, _xlfn._xlws.FILTER(IF(ISNUMBER(35:35), COLUMN(35:35)), ISNUMBER(35:35)),
  _xlpm.elos, INDEX(34:34,1,_xlpm.colj),
  _xlpm.diffscale, Constantes!$B$2,
  IF(I35="",
    "",
    SUM(1/(1+POWER(10,-(I34-_xlpm.elos)/_xlpm.diffscale)))-0.5)
)</f>
        <v/>
      </c>
      <c r="J36" t="str" cm="1">
        <f t="array" ref="J36">_xlfn.LET(
  _xlpm.colj, _xlfn._xlws.FILTER(IF(ISNUMBER(35:35), COLUMN(35:35)), ISNUMBER(35:35)),
  _xlpm.elos, INDEX(34:34,1,_xlpm.colj),
  _xlpm.diffscale, Constantes!$B$2,
  IF(J35="",
    "",
    SUM(1/(1+POWER(10,-(J34-_xlpm.elos)/_xlpm.diffscale)))-0.5)
)</f>
        <v/>
      </c>
      <c r="K36" t="str" cm="1">
        <f t="array" ref="K36">_xlfn.LET(
  _xlpm.colj, _xlfn._xlws.FILTER(IF(ISNUMBER(35:35), COLUMN(35:35)), ISNUMBER(35:35)),
  _xlpm.elos, INDEX(34:34,1,_xlpm.colj),
  _xlpm.diffscale, Constantes!$B$2,
  IF(K35="",
    "",
    SUM(1/(1+POWER(10,-(K34-_xlpm.elos)/_xlpm.diffscale)))-0.5)
)</f>
        <v/>
      </c>
      <c r="L36" t="str" cm="1">
        <f t="array" ref="L36">_xlfn.LET(
  _xlpm.colj, _xlfn._xlws.FILTER(IF(ISNUMBER(35:35), COLUMN(35:35)), ISNUMBER(35:35)),
  _xlpm.elos, INDEX(34:34,1,_xlpm.colj),
  _xlpm.diffscale, Constantes!$B$2,
  IF(L35="",
    "",
    SUM(1/(1+POWER(10,-(L34-_xlpm.elos)/_xlpm.diffscale)))-0.5)
)</f>
        <v/>
      </c>
      <c r="M36" t="str" cm="1">
        <f t="array" ref="M36">_xlfn.LET(
  _xlpm.colj, _xlfn._xlws.FILTER(IF(ISNUMBER(35:35), COLUMN(35:35)), ISNUMBER(35:35)),
  _xlpm.elos, INDEX(34:34,1,_xlpm.colj),
  _xlpm.diffscale, Constantes!$B$2,
  IF(M35="",
    "",
    SUM(1/(1+POWER(10,-(M34-_xlpm.elos)/_xlpm.diffscale)))-0.5)
)</f>
        <v/>
      </c>
      <c r="N36" t="str" cm="1">
        <f t="array" ref="N36">_xlfn.LET(
  _xlpm.colj, _xlfn._xlws.FILTER(IF(ISNUMBER(35:35), COLUMN(35:35)), ISNUMBER(35:35)),
  _xlpm.elos, INDEX(34:34,1,_xlpm.colj),
  _xlpm.diffscale, Constantes!$B$2,
  IF(N35="",
    "",
    SUM(1/(1+POWER(10,-(N34-_xlpm.elos)/_xlpm.diffscale)))-0.5)
)</f>
        <v/>
      </c>
      <c r="O36" cm="1">
        <f t="array" ref="O36">_xlfn.LET(
  _xlpm.colj, _xlfn._xlws.FILTER(IF(ISNUMBER(35:35), COLUMN(35:35)), ISNUMBER(35:35)),
  _xlpm.elos, INDEX(34:34,1,_xlpm.colj),
  _xlpm.diffscale, Constantes!$B$2,
  IF(O35="",
    "",
    SUM(1/(1+POWER(10,-(O34-_xlpm.elos)/_xlpm.diffscale)))-0.5)
)</f>
        <v>1.4814304464999741</v>
      </c>
      <c r="P36" cm="1">
        <f t="array" ref="P36">_xlfn.LET(
  _xlpm.colj, _xlfn._xlws.FILTER(IF(ISNUMBER(35:35), COLUMN(35:35)), ISNUMBER(35:35)),
  _xlpm.elos, INDEX(34:34,1,_xlpm.colj),
  _xlpm.diffscale, Constantes!$B$2,
  IF(P35="",
    "",
    SUM(1/(1+POWER(10,-(P34-_xlpm.elos)/_xlpm.diffscale)))-0.5)
)</f>
        <v>1.4425349706503359</v>
      </c>
      <c r="Q36" cm="1">
        <f t="array" ref="Q36">_xlfn.LET(
  _xlpm.colj, _xlfn._xlws.FILTER(IF(ISNUMBER(35:35), COLUMN(35:35)), ISNUMBER(35:35)),
  _xlpm.elos, INDEX(34:34,1,_xlpm.colj),
  _xlpm.diffscale, Constantes!$B$2,
  IF(Q35="",
    "",
    SUM(1/(1+POWER(10,-(Q34-_xlpm.elos)/_xlpm.diffscale)))-0.5)
)</f>
        <v>1.1969443362109924</v>
      </c>
      <c r="R36" t="str" cm="1">
        <f t="array" ref="R36">_xlfn.LET(
  _xlpm.colj, _xlfn._xlws.FILTER(IF(ISNUMBER(35:35), COLUMN(35:35)), ISNUMBER(35:35)),
  _xlpm.elos, INDEX(34:34,1,_xlpm.colj),
  _xlpm.diffscale, Constantes!$B$2,
  IF(R35="",
    "",
    SUM(1/(1+POWER(10,-(R34-_xlpm.elos)/_xlpm.diffscale)))-0.5)
)</f>
        <v/>
      </c>
      <c r="S36" t="str" cm="1">
        <f t="array" ref="S36">_xlfn.LET(
  _xlpm.colj, _xlfn._xlws.FILTER(IF(ISNUMBER(35:35), COLUMN(35:35)), ISNUMBER(35:35)),
  _xlpm.elos, INDEX(34:34,1,_xlpm.colj),
  _xlpm.diffscale, Constantes!$B$2,
  IF(S35="",
    "",
    SUM(1/(1+POWER(10,-(S34-_xlpm.elos)/_xlpm.diffscale)))-0.5)
)</f>
        <v/>
      </c>
      <c r="T36" t="str" cm="1">
        <f t="array" ref="T36">_xlfn.LET(
  _xlpm.colj, _xlfn._xlws.FILTER(IF(ISNUMBER(35:35), COLUMN(35:35)), ISNUMBER(35:35)),
  _xlpm.elos, INDEX(34:34,1,_xlpm.colj),
  _xlpm.diffscale, Constantes!$B$2,
  IF(T35="",
    "",
    SUM(1/(1+POWER(10,-(T34-_xlpm.elos)/_xlpm.diffscale)))-0.5)
)</f>
        <v/>
      </c>
      <c r="U36" t="str" cm="1">
        <f t="array" ref="U36">_xlfn.LET(
  _xlpm.colj, _xlfn._xlws.FILTER(IF(ISNUMBER(35:35), COLUMN(35:35)), ISNUMBER(35:35)),
  _xlpm.elos, INDEX(34:34,1,_xlpm.colj),
  _xlpm.diffscale, Constantes!$B$2,
  IF(U35="",
    "",
    SUM(1/(1+POWER(10,-(U34-_xlpm.elos)/_xlpm.diffscale)))-0.5)
)</f>
        <v/>
      </c>
      <c r="V36" t="str" cm="1">
        <f t="array" ref="V36">_xlfn.LET(
  _xlpm.colj, _xlfn._xlws.FILTER(IF(ISNUMBER(35:35), COLUMN(35:35)), ISNUMBER(35:35)),
  _xlpm.elos, INDEX(34:34,1,_xlpm.colj),
  _xlpm.diffscale, Constantes!$B$2,
  IF(V35="",
    "",
    SUM(1/(1+POWER(10,-(V34-_xlpm.elos)/_xlpm.diffscale)))-0.5)
)</f>
        <v/>
      </c>
      <c r="W36" t="str" cm="1">
        <f t="array" ref="W36">_xlfn.LET(
  _xlpm.colj, _xlfn._xlws.FILTER(IF(ISNUMBER(35:35), COLUMN(35:35)), ISNUMBER(35:35)),
  _xlpm.elos, INDEX(34:34,1,_xlpm.colj),
  _xlpm.diffscale, Constantes!$B$2,
  IF(W35="",
    "",
    SUM(1/(1+POWER(10,-(W34-_xlpm.elos)/_xlpm.diffscale)))-0.5)
)</f>
        <v/>
      </c>
      <c r="X36" t="str" cm="1">
        <f t="array" ref="X36">_xlfn.LET(
  _xlpm.colj, _xlfn._xlws.FILTER(IF(ISNUMBER(35:35), COLUMN(35:35)), ISNUMBER(35:35)),
  _xlpm.elos, INDEX(34:34,1,_xlpm.colj),
  _xlpm.diffscale, Constantes!$B$2,
  IF(X35="",
    "",
    SUM(1/(1+POWER(10,-(X34-_xlpm.elos)/_xlpm.diffscale)))-0.5)
)</f>
        <v/>
      </c>
      <c r="Y36" t="str" cm="1">
        <f t="array" ref="Y36">_xlfn.LET(
  _xlpm.colj, _xlfn._xlws.FILTER(IF(ISNUMBER(35:35), COLUMN(35:35)), ISNUMBER(35:35)),
  _xlpm.elos, INDEX(34:34,1,_xlpm.colj),
  _xlpm.diffscale, Constantes!$B$2,
  IF(Y35="",
    "",
    SUM(1/(1+POWER(10,-(Y34-_xlpm.elos)/_xlpm.diffscale)))-0.5)
)</f>
        <v/>
      </c>
      <c r="Z36" t="str" cm="1">
        <f t="array" ref="Z36">_xlfn.LET(
  _xlpm.colj, _xlfn._xlws.FILTER(IF(ISNUMBER(35:35), COLUMN(35:35)), ISNUMBER(35:35)),
  _xlpm.elos, INDEX(34:34,1,_xlpm.colj),
  _xlpm.diffscale, Constantes!$B$2,
  IF(Z35="",
    "",
    SUM(1/(1+POWER(10,-(Z34-_xlpm.elos)/_xlpm.diffscale)))-0.5)
)</f>
        <v/>
      </c>
      <c r="AA36" t="str" cm="1">
        <f t="array" ref="AA36">_xlfn.LET(
  _xlpm.colj, _xlfn._xlws.FILTER(IF(ISNUMBER(35:35), COLUMN(35:35)), ISNUMBER(35:35)),
  _xlpm.elos, INDEX(34:34,1,_xlpm.colj),
  _xlpm.diffscale, Constantes!$B$2,
  IF(AA35="",
    "",
    SUM(1/(1+POWER(10,-(AA34-_xlpm.elos)/_xlpm.diffscale)))-0.5)
)</f>
        <v/>
      </c>
      <c r="AB36" t="str" cm="1">
        <f t="array" ref="AB36">_xlfn.LET(
  _xlpm.colj, _xlfn._xlws.FILTER(IF(ISNUMBER(35:35), COLUMN(35:35)), ISNUMBER(35:35)),
  _xlpm.elos, INDEX(34:34,1,_xlpm.colj),
  _xlpm.diffscale, Constantes!$B$2,
  IF(AB35="",
    "",
    SUM(1/(1+POWER(10,-(AB34-_xlpm.elos)/_xlpm.diffscale)))-0.5)
)</f>
        <v/>
      </c>
      <c r="AC36" t="str" cm="1">
        <f t="array" ref="AC36">_xlfn.LET(
  _xlpm.colj, _xlfn._xlws.FILTER(IF(ISNUMBER(35:35), COLUMN(35:35)), ISNUMBER(35:35)),
  _xlpm.elos, INDEX(34:34,1,_xlpm.colj),
  _xlpm.diffscale, Constantes!$B$2,
  IF(AC35="",
    "",
    SUM(1/(1+POWER(10,-(AC34-_xlpm.elos)/_xlpm.diffscale)))-0.5)
)</f>
        <v/>
      </c>
      <c r="AD36" t="str" cm="1">
        <f t="array" ref="AD36">_xlfn.LET(
  _xlpm.colj, _xlfn._xlws.FILTER(IF(ISNUMBER(35:35), COLUMN(35:35)), ISNUMBER(35:35)),
  _xlpm.elos, INDEX(34:34,1,_xlpm.colj),
  _xlpm.diffscale, Constantes!$B$2,
  IF(AD35="",
    "",
    SUM(1/(1+POWER(10,-(AD34-_xlpm.elos)/_xlpm.diffscale)))-0.5)
)</f>
        <v/>
      </c>
      <c r="AE36" t="str" cm="1">
        <f t="array" ref="AE36">_xlfn.LET(
  _xlpm.colj, _xlfn._xlws.FILTER(IF(ISNUMBER(35:35), COLUMN(35:35)), ISNUMBER(35:35)),
  _xlpm.elos, INDEX(34:34,1,_xlpm.colj),
  _xlpm.diffscale, Constantes!$B$2,
  IF(AE35="",
    "",
    SUM(1/(1+POWER(10,-(AE34-_xlpm.elos)/_xlpm.diffscale)))-0.5)
)</f>
        <v/>
      </c>
      <c r="AF36" t="str" cm="1">
        <f t="array" ref="AF36">_xlfn.LET(
  _xlpm.colj, _xlfn._xlws.FILTER(IF(ISNUMBER(35:35), COLUMN(35:35)), ISNUMBER(35:35)),
  _xlpm.elos, INDEX(34:34,1,_xlpm.colj),
  _xlpm.diffscale, Constantes!$B$2,
  IF(AF35="",
    "",
    SUM(1/(1+POWER(10,-(AF34-_xlpm.elos)/_xlpm.diffscale)))-0.5)
)</f>
        <v/>
      </c>
      <c r="AG36" t="str" cm="1">
        <f t="array" ref="AG36">_xlfn.LET(
  _xlpm.colj, _xlfn._xlws.FILTER(IF(ISNUMBER(35:35), COLUMN(35:35)), ISNUMBER(35:35)),
  _xlpm.elos, INDEX(34:34,1,_xlpm.colj),
  _xlpm.diffscale, Constantes!$B$2,
  IF(AG35="",
    "",
    SUM(1/(1+POWER(10,-(AG34-_xlpm.elos)/_xlpm.diffscale)))-0.5)
)</f>
        <v/>
      </c>
      <c r="AH36" t="str" cm="1">
        <f t="array" ref="AH36">_xlfn.LET(
  _xlpm.colj, _xlfn._xlws.FILTER(IF(ISNUMBER(35:35), COLUMN(35:35)), ISNUMBER(35:35)),
  _xlpm.elos, INDEX(34:34,1,_xlpm.colj),
  _xlpm.diffscale, Constantes!$B$2,
  IF(AH35="",
    "",
    SUM(1/(1+POWER(10,-(AH34-_xlpm.elos)/_xlpm.diffscale)))-0.5)
)</f>
        <v/>
      </c>
      <c r="AI36" t="str" cm="1">
        <f t="array" ref="AI36">_xlfn.LET(
  _xlpm.colj, _xlfn._xlws.FILTER(IF(ISNUMBER(35:35), COLUMN(35:35)), ISNUMBER(35:35)),
  _xlpm.elos, INDEX(34:34,1,_xlpm.colj),
  _xlpm.diffscale, Constantes!$B$2,
  IF(AI35="",
    "",
    SUM(1/(1+POWER(10,-(AI34-_xlpm.elos)/_xlpm.diffscale)))-0.5)
)</f>
        <v/>
      </c>
      <c r="AJ36" t="str" cm="1">
        <f t="array" ref="AJ36">_xlfn.LET(
  _xlpm.colj, _xlfn._xlws.FILTER(IF(ISNUMBER(35:35), COLUMN(35:35)), ISNUMBER(35:35)),
  _xlpm.elos, INDEX(34:34,1,_xlpm.colj),
  _xlpm.diffscale, Constantes!$B$2,
  IF(AJ35="",
    "",
    SUM(1/(1+POWER(10,-(AJ34-_xlpm.elos)/_xlpm.diffscale)))-0.5)
)</f>
        <v/>
      </c>
      <c r="AK36" t="str" cm="1">
        <f t="array" ref="AK36">_xlfn.LET(
  _xlpm.colj, _xlfn._xlws.FILTER(IF(ISNUMBER(35:35), COLUMN(35:35)), ISNUMBER(35:35)),
  _xlpm.elos, INDEX(34:34,1,_xlpm.colj),
  _xlpm.diffscale, Constantes!$B$2,
  IF(AK35="",
    "",
    SUM(1/(1+POWER(10,-(AK34-_xlpm.elos)/_xlpm.diffscale)))-0.5)
)</f>
        <v/>
      </c>
      <c r="AL36" t="str" cm="1">
        <f t="array" ref="AL36">_xlfn.LET(
  _xlpm.colj, _xlfn._xlws.FILTER(IF(ISNUMBER(35:35), COLUMN(35:35)), ISNUMBER(35:35)),
  _xlpm.elos, INDEX(34:34,1,_xlpm.colj),
  _xlpm.diffscale, Constantes!$B$2,
  IF(AL35="",
    "",
    SUM(1/(1+POWER(10,-(AL34-_xlpm.elos)/_xlpm.diffscale)))-0.5)
)</f>
        <v/>
      </c>
      <c r="AM36" t="str" cm="1">
        <f t="array" ref="AM36">_xlfn.LET(
  _xlpm.colj, _xlfn._xlws.FILTER(IF(ISNUMBER(35:35), COLUMN(35:35)), ISNUMBER(35:35)),
  _xlpm.elos, INDEX(34:34,1,_xlpm.colj),
  _xlpm.diffscale, Constantes!$B$2,
  IF(AM35="",
    "",
    SUM(1/(1+POWER(10,-(AM34-_xlpm.elos)/_xlpm.diffscale)))-0.5)
)</f>
        <v/>
      </c>
    </row>
    <row r="37" spans="1:39" x14ac:dyDescent="0.25">
      <c r="A37" t="s">
        <v>22</v>
      </c>
      <c r="D37" t="str" cm="1">
        <f t="array" ref="D37">_xlfn.LET(
  _xlpm.K, Constantes!$B$3,
  _xlpm.Knewgain, Constantes!$B$4,
  _xlpm.Knewscale, Constantes!$B$5,
  _xlpm.ptstables, INDEX(D:D, _xlfn.SEQUENCE(COUNTA($C$2:$C37), 1, 3, 4)),
  _xlpm.nbparties, COUNTA(_xlfn._xlws.FILTER(_xlpm.ptstables, _xlpm.ptstables &lt;&gt; "")),
  _xlpm.coef, _xlpm.K + _xlpm.Knewgain / (_xlpm.Knewscale + _xlpm.nbparties),
  IF(D35="",
    "",
    _xlpm.coef * (D35-D36))
)</f>
        <v/>
      </c>
      <c r="E37" t="str" cm="1">
        <f t="array" ref="E37">_xlfn.LET(
  _xlpm.K, Constantes!$B$3,
  _xlpm.Knewgain, Constantes!$B$4,
  _xlpm.Knewscale, Constantes!$B$5,
  _xlpm.ptstables, INDEX(E:E, _xlfn.SEQUENCE(COUNTA($C$2:$C37), 1, 3, 4)),
  _xlpm.nbparties, COUNTA(_xlfn._xlws.FILTER(_xlpm.ptstables, _xlpm.ptstables &lt;&gt; "")),
  _xlpm.coef, _xlpm.K + _xlpm.Knewgain / (_xlpm.Knewscale + _xlpm.nbparties),
  IF(E35="",
    "",
    _xlpm.coef * (E35-E36))
)</f>
        <v/>
      </c>
      <c r="F37" t="str" cm="1">
        <f t="array" ref="F37">_xlfn.LET(
  _xlpm.K, Constantes!$B$3,
  _xlpm.Knewgain, Constantes!$B$4,
  _xlpm.Knewscale, Constantes!$B$5,
  _xlpm.ptstables, INDEX(F:F, _xlfn.SEQUENCE(COUNTA($C$2:$C37), 1, 3, 4)),
  _xlpm.nbparties, COUNTA(_xlfn._xlws.FILTER(_xlpm.ptstables, _xlpm.ptstables &lt;&gt; "")),
  _xlpm.coef, _xlpm.K + _xlpm.Knewgain / (_xlpm.Knewscale + _xlpm.nbparties),
  IF(F35="",
    "",
    _xlpm.coef * (F35-F36))
)</f>
        <v/>
      </c>
      <c r="G37" cm="1">
        <f t="array" ref="G37">_xlfn.LET(
  _xlpm.K, Constantes!$B$3,
  _xlpm.Knewgain, Constantes!$B$4,
  _xlpm.Knewscale, Constantes!$B$5,
  _xlpm.ptstables, INDEX(G:G, _xlfn.SEQUENCE(COUNTA($C$2:$C37), 1, 3, 4)),
  _xlpm.nbparties, COUNTA(_xlfn._xlws.FILTER(_xlpm.ptstables, _xlpm.ptstables &lt;&gt; "")),
  _xlpm.coef, _xlpm.K + _xlpm.Knewgain / (_xlpm.Knewscale + _xlpm.nbparties),
  IF(G35="",
    "",
    _xlpm.coef * (G35-G36))
)</f>
        <v>-23.861020980193221</v>
      </c>
      <c r="H37" t="str" cm="1">
        <f t="array" ref="H37">_xlfn.LET(
  _xlpm.K, Constantes!$B$3,
  _xlpm.Knewgain, Constantes!$B$4,
  _xlpm.Knewscale, Constantes!$B$5,
  _xlpm.ptstables, INDEX(H:H, _xlfn.SEQUENCE(COUNTA($C$2:$C37), 1, 3, 4)),
  _xlpm.nbparties, COUNTA(_xlfn._xlws.FILTER(_xlpm.ptstables, _xlpm.ptstables &lt;&gt; "")),
  _xlpm.coef, _xlpm.K + _xlpm.Knewgain / (_xlpm.Knewscale + _xlpm.nbparties),
  IF(H35="",
    "",
    _xlpm.coef * (H35-H36))
)</f>
        <v/>
      </c>
      <c r="I37" t="str" cm="1">
        <f t="array" ref="I37">_xlfn.LET(
  _xlpm.K, Constantes!$B$3,
  _xlpm.Knewgain, Constantes!$B$4,
  _xlpm.Knewscale, Constantes!$B$5,
  _xlpm.ptstables, INDEX(I:I, _xlfn.SEQUENCE(COUNTA($C$2:$C37), 1, 3, 4)),
  _xlpm.nbparties, COUNTA(_xlfn._xlws.FILTER(_xlpm.ptstables, _xlpm.ptstables &lt;&gt; "")),
  _xlpm.coef, _xlpm.K + _xlpm.Knewgain / (_xlpm.Knewscale + _xlpm.nbparties),
  IF(I35="",
    "",
    _xlpm.coef * (I35-I36))
)</f>
        <v/>
      </c>
      <c r="J37" t="str" cm="1">
        <f t="array" ref="J37">_xlfn.LET(
  _xlpm.K, Constantes!$B$3,
  _xlpm.Knewgain, Constantes!$B$4,
  _xlpm.Knewscale, Constantes!$B$5,
  _xlpm.ptstables, INDEX(J:J, _xlfn.SEQUENCE(COUNTA($C$2:$C37), 1, 3, 4)),
  _xlpm.nbparties, COUNTA(_xlfn._xlws.FILTER(_xlpm.ptstables, _xlpm.ptstables &lt;&gt; "")),
  _xlpm.coef, _xlpm.K + _xlpm.Knewgain / (_xlpm.Knewscale + _xlpm.nbparties),
  IF(J35="",
    "",
    _xlpm.coef * (J35-J36))
)</f>
        <v/>
      </c>
      <c r="K37" t="str" cm="1">
        <f t="array" ref="K37">_xlfn.LET(
  _xlpm.K, Constantes!$B$3,
  _xlpm.Knewgain, Constantes!$B$4,
  _xlpm.Knewscale, Constantes!$B$5,
  _xlpm.ptstables, INDEX(K:K, _xlfn.SEQUENCE(COUNTA($C$2:$C37), 1, 3, 4)),
  _xlpm.nbparties, COUNTA(_xlfn._xlws.FILTER(_xlpm.ptstables, _xlpm.ptstables &lt;&gt; "")),
  _xlpm.coef, _xlpm.K + _xlpm.Knewgain / (_xlpm.Knewscale + _xlpm.nbparties),
  IF(K35="",
    "",
    _xlpm.coef * (K35-K36))
)</f>
        <v/>
      </c>
      <c r="L37" t="str" cm="1">
        <f t="array" ref="L37">_xlfn.LET(
  _xlpm.K, Constantes!$B$3,
  _xlpm.Knewgain, Constantes!$B$4,
  _xlpm.Knewscale, Constantes!$B$5,
  _xlpm.ptstables, INDEX(L:L, _xlfn.SEQUENCE(COUNTA($C$2:$C37), 1, 3, 4)),
  _xlpm.nbparties, COUNTA(_xlfn._xlws.FILTER(_xlpm.ptstables, _xlpm.ptstables &lt;&gt; "")),
  _xlpm.coef, _xlpm.K + _xlpm.Knewgain / (_xlpm.Knewscale + _xlpm.nbparties),
  IF(L35="",
    "",
    _xlpm.coef * (L35-L36))
)</f>
        <v/>
      </c>
      <c r="M37" t="str" cm="1">
        <f t="array" ref="M37">_xlfn.LET(
  _xlpm.K, Constantes!$B$3,
  _xlpm.Knewgain, Constantes!$B$4,
  _xlpm.Knewscale, Constantes!$B$5,
  _xlpm.ptstables, INDEX(M:M, _xlfn.SEQUENCE(COUNTA($C$2:$C37), 1, 3, 4)),
  _xlpm.nbparties, COUNTA(_xlfn._xlws.FILTER(_xlpm.ptstables, _xlpm.ptstables &lt;&gt; "")),
  _xlpm.coef, _xlpm.K + _xlpm.Knewgain / (_xlpm.Knewscale + _xlpm.nbparties),
  IF(M35="",
    "",
    _xlpm.coef * (M35-M36))
)</f>
        <v/>
      </c>
      <c r="N37" t="str" cm="1">
        <f t="array" ref="N37">_xlfn.LET(
  _xlpm.K, Constantes!$B$3,
  _xlpm.Knewgain, Constantes!$B$4,
  _xlpm.Knewscale, Constantes!$B$5,
  _xlpm.ptstables, INDEX(N:N, _xlfn.SEQUENCE(COUNTA($C$2:$C37), 1, 3, 4)),
  _xlpm.nbparties, COUNTA(_xlfn._xlws.FILTER(_xlpm.ptstables, _xlpm.ptstables &lt;&gt; "")),
  _xlpm.coef, _xlpm.K + _xlpm.Knewgain / (_xlpm.Knewscale + _xlpm.nbparties),
  IF(N35="",
    "",
    _xlpm.coef * (N35-N36))
)</f>
        <v/>
      </c>
      <c r="O37" cm="1">
        <f t="array" ref="O37">_xlfn.LET(
  _xlpm.K, Constantes!$B$3,
  _xlpm.Knewgain, Constantes!$B$4,
  _xlpm.Knewscale, Constantes!$B$5,
  _xlpm.ptstables, INDEX(O:O, _xlfn.SEQUENCE(COUNTA($C$2:$C37), 1, 3, 4)),
  _xlpm.nbparties, COUNTA(_xlfn._xlws.FILTER(_xlpm.ptstables, _xlpm.ptstables &lt;&gt; "")),
  _xlpm.coef, _xlpm.K + _xlpm.Knewgain / (_xlpm.Knewscale + _xlpm.nbparties),
  IF(O35="",
    "",
    _xlpm.coef * (O35-O36))
)</f>
        <v>68.335629907501158</v>
      </c>
      <c r="P37" cm="1">
        <f t="array" ref="P37">_xlfn.LET(
  _xlpm.K, Constantes!$B$3,
  _xlpm.Knewgain, Constantes!$B$4,
  _xlpm.Knewscale, Constantes!$B$5,
  _xlpm.ptstables, INDEX(P:P, _xlfn.SEQUENCE(COUNTA($C$2:$C37), 1, 3, 4)),
  _xlpm.nbparties, COUNTA(_xlfn._xlws.FILTER(_xlpm.ptstables, _xlpm.ptstables &lt;&gt; "")),
  _xlpm.coef, _xlpm.K + _xlpm.Knewgain / (_xlpm.Knewscale + _xlpm.nbparties),
  IF(P35="",
    "",
    _xlpm.coef * (P35-P36))
)</f>
        <v>-64.914073679265115</v>
      </c>
      <c r="Q37" cm="1">
        <f t="array" ref="Q37">_xlfn.LET(
  _xlpm.K, Constantes!$B$3,
  _xlpm.Knewgain, Constantes!$B$4,
  _xlpm.Knewscale, Constantes!$B$5,
  _xlpm.ptstables, INDEX(Q:Q, _xlfn.SEQUENCE(COUNTA($C$2:$C37), 1, 3, 4)),
  _xlpm.nbparties, COUNTA(_xlfn._xlws.FILTER(_xlpm.ptstables, _xlpm.ptstables &lt;&gt; "")),
  _xlpm.coef, _xlpm.K + _xlpm.Knewgain / (_xlpm.Knewscale + _xlpm.nbparties),
  IF(Q35="",
    "",
    _xlpm.coef * (Q35-Q36))
)</f>
        <v>36.137504870505346</v>
      </c>
      <c r="R37" t="str" cm="1">
        <f t="array" ref="R37">_xlfn.LET(
  _xlpm.K, Constantes!$B$3,
  _xlpm.Knewgain, Constantes!$B$4,
  _xlpm.Knewscale, Constantes!$B$5,
  _xlpm.ptstables, INDEX(R:R, _xlfn.SEQUENCE(COUNTA($C$2:$C37), 1, 3, 4)),
  _xlpm.nbparties, COUNTA(_xlfn._xlws.FILTER(_xlpm.ptstables, _xlpm.ptstables &lt;&gt; "")),
  _xlpm.coef, _xlpm.K + _xlpm.Knewgain / (_xlpm.Knewscale + _xlpm.nbparties),
  IF(R35="",
    "",
    _xlpm.coef * (R35-R36))
)</f>
        <v/>
      </c>
      <c r="S37" t="str" cm="1">
        <f t="array" ref="S37">_xlfn.LET(
  _xlpm.K, Constantes!$B$3,
  _xlpm.Knewgain, Constantes!$B$4,
  _xlpm.Knewscale, Constantes!$B$5,
  _xlpm.ptstables, INDEX(S:S, _xlfn.SEQUENCE(COUNTA($C$2:$C37), 1, 3, 4)),
  _xlpm.nbparties, COUNTA(_xlfn._xlws.FILTER(_xlpm.ptstables, _xlpm.ptstables &lt;&gt; "")),
  _xlpm.coef, _xlpm.K + _xlpm.Knewgain / (_xlpm.Knewscale + _xlpm.nbparties),
  IF(S35="",
    "",
    _xlpm.coef * (S35-S36))
)</f>
        <v/>
      </c>
      <c r="T37" t="str" cm="1">
        <f t="array" ref="T37">_xlfn.LET(
  _xlpm.K, Constantes!$B$3,
  _xlpm.Knewgain, Constantes!$B$4,
  _xlpm.Knewscale, Constantes!$B$5,
  _xlpm.ptstables, INDEX(T:T, _xlfn.SEQUENCE(COUNTA($C$2:$C37), 1, 3, 4)),
  _xlpm.nbparties, COUNTA(_xlfn._xlws.FILTER(_xlpm.ptstables, _xlpm.ptstables &lt;&gt; "")),
  _xlpm.coef, _xlpm.K + _xlpm.Knewgain / (_xlpm.Knewscale + _xlpm.nbparties),
  IF(T35="",
    "",
    _xlpm.coef * (T35-T36))
)</f>
        <v/>
      </c>
      <c r="U37" t="str" cm="1">
        <f t="array" ref="U37">_xlfn.LET(
  _xlpm.K, Constantes!$B$3,
  _xlpm.Knewgain, Constantes!$B$4,
  _xlpm.Knewscale, Constantes!$B$5,
  _xlpm.ptstables, INDEX(U:U, _xlfn.SEQUENCE(COUNTA($C$2:$C37), 1, 3, 4)),
  _xlpm.nbparties, COUNTA(_xlfn._xlws.FILTER(_xlpm.ptstables, _xlpm.ptstables &lt;&gt; "")),
  _xlpm.coef, _xlpm.K + _xlpm.Knewgain / (_xlpm.Knewscale + _xlpm.nbparties),
  IF(U35="",
    "",
    _xlpm.coef * (U35-U36))
)</f>
        <v/>
      </c>
      <c r="V37" t="str" cm="1">
        <f t="array" ref="V37">_xlfn.LET(
  _xlpm.K, Constantes!$B$3,
  _xlpm.Knewgain, Constantes!$B$4,
  _xlpm.Knewscale, Constantes!$B$5,
  _xlpm.ptstables, INDEX(V:V, _xlfn.SEQUENCE(COUNTA($C$2:$C37), 1, 3, 4)),
  _xlpm.nbparties, COUNTA(_xlfn._xlws.FILTER(_xlpm.ptstables, _xlpm.ptstables &lt;&gt; "")),
  _xlpm.coef, _xlpm.K + _xlpm.Knewgain / (_xlpm.Knewscale + _xlpm.nbparties),
  IF(V35="",
    "",
    _xlpm.coef * (V35-V36))
)</f>
        <v/>
      </c>
      <c r="W37" t="str" cm="1">
        <f t="array" ref="W37">_xlfn.LET(
  _xlpm.K, Constantes!$B$3,
  _xlpm.Knewgain, Constantes!$B$4,
  _xlpm.Knewscale, Constantes!$B$5,
  _xlpm.ptstables, INDEX(W:W, _xlfn.SEQUENCE(COUNTA($C$2:$C37), 1, 3, 4)),
  _xlpm.nbparties, COUNTA(_xlfn._xlws.FILTER(_xlpm.ptstables, _xlpm.ptstables &lt;&gt; "")),
  _xlpm.coef, _xlpm.K + _xlpm.Knewgain / (_xlpm.Knewscale + _xlpm.nbparties),
  IF(W35="",
    "",
    _xlpm.coef * (W35-W36))
)</f>
        <v/>
      </c>
      <c r="X37" t="str" cm="1">
        <f t="array" ref="X37">_xlfn.LET(
  _xlpm.K, Constantes!$B$3,
  _xlpm.Knewgain, Constantes!$B$4,
  _xlpm.Knewscale, Constantes!$B$5,
  _xlpm.ptstables, INDEX(X:X, _xlfn.SEQUENCE(COUNTA($C$2:$C37), 1, 3, 4)),
  _xlpm.nbparties, COUNTA(_xlfn._xlws.FILTER(_xlpm.ptstables, _xlpm.ptstables &lt;&gt; "")),
  _xlpm.coef, _xlpm.K + _xlpm.Knewgain / (_xlpm.Knewscale + _xlpm.nbparties),
  IF(X35="",
    "",
    _xlpm.coef * (X35-X36))
)</f>
        <v/>
      </c>
      <c r="Y37" t="str" cm="1">
        <f t="array" ref="Y37">_xlfn.LET(
  _xlpm.K, Constantes!$B$3,
  _xlpm.Knewgain, Constantes!$B$4,
  _xlpm.Knewscale, Constantes!$B$5,
  _xlpm.ptstables, INDEX(Y:Y, _xlfn.SEQUENCE(COUNTA($C$2:$C37), 1, 3, 4)),
  _xlpm.nbparties, COUNTA(_xlfn._xlws.FILTER(_xlpm.ptstables, _xlpm.ptstables &lt;&gt; "")),
  _xlpm.coef, _xlpm.K + _xlpm.Knewgain / (_xlpm.Knewscale + _xlpm.nbparties),
  IF(Y35="",
    "",
    _xlpm.coef * (Y35-Y36))
)</f>
        <v/>
      </c>
      <c r="Z37" t="str" cm="1">
        <f t="array" ref="Z37">_xlfn.LET(
  _xlpm.K, Constantes!$B$3,
  _xlpm.Knewgain, Constantes!$B$4,
  _xlpm.Knewscale, Constantes!$B$5,
  _xlpm.ptstables, INDEX(Z:Z, _xlfn.SEQUENCE(COUNTA($C$2:$C37), 1, 3, 4)),
  _xlpm.nbparties, COUNTA(_xlfn._xlws.FILTER(_xlpm.ptstables, _xlpm.ptstables &lt;&gt; "")),
  _xlpm.coef, _xlpm.K + _xlpm.Knewgain / (_xlpm.Knewscale + _xlpm.nbparties),
  IF(Z35="",
    "",
    _xlpm.coef * (Z35-Z36))
)</f>
        <v/>
      </c>
      <c r="AA37" t="str" cm="1">
        <f t="array" ref="AA37">_xlfn.LET(
  _xlpm.K, Constantes!$B$3,
  _xlpm.Knewgain, Constantes!$B$4,
  _xlpm.Knewscale, Constantes!$B$5,
  _xlpm.ptstables, INDEX(AA:AA, _xlfn.SEQUENCE(COUNTA($C$2:$C37), 1, 3, 4)),
  _xlpm.nbparties, COUNTA(_xlfn._xlws.FILTER(_xlpm.ptstables, _xlpm.ptstables &lt;&gt; "")),
  _xlpm.coef, _xlpm.K + _xlpm.Knewgain / (_xlpm.Knewscale + _xlpm.nbparties),
  IF(AA35="",
    "",
    _xlpm.coef * (AA35-AA36))
)</f>
        <v/>
      </c>
      <c r="AB37" t="str" cm="1">
        <f t="array" ref="AB37">_xlfn.LET(
  _xlpm.K, Constantes!$B$3,
  _xlpm.Knewgain, Constantes!$B$4,
  _xlpm.Knewscale, Constantes!$B$5,
  _xlpm.ptstables, INDEX(AB:AB, _xlfn.SEQUENCE(COUNTA($C$2:$C37), 1, 3, 4)),
  _xlpm.nbparties, COUNTA(_xlfn._xlws.FILTER(_xlpm.ptstables, _xlpm.ptstables &lt;&gt; "")),
  _xlpm.coef, _xlpm.K + _xlpm.Knewgain / (_xlpm.Knewscale + _xlpm.nbparties),
  IF(AB35="",
    "",
    _xlpm.coef * (AB35-AB36))
)</f>
        <v/>
      </c>
      <c r="AC37" t="str" cm="1">
        <f t="array" ref="AC37">_xlfn.LET(
  _xlpm.K, Constantes!$B$3,
  _xlpm.Knewgain, Constantes!$B$4,
  _xlpm.Knewscale, Constantes!$B$5,
  _xlpm.ptstables, INDEX(AC:AC, _xlfn.SEQUENCE(COUNTA($C$2:$C37), 1, 3, 4)),
  _xlpm.nbparties, COUNTA(_xlfn._xlws.FILTER(_xlpm.ptstables, _xlpm.ptstables &lt;&gt; "")),
  _xlpm.coef, _xlpm.K + _xlpm.Knewgain / (_xlpm.Knewscale + _xlpm.nbparties),
  IF(AC35="",
    "",
    _xlpm.coef * (AC35-AC36))
)</f>
        <v/>
      </c>
      <c r="AD37" t="str" cm="1">
        <f t="array" ref="AD37">_xlfn.LET(
  _xlpm.K, Constantes!$B$3,
  _xlpm.Knewgain, Constantes!$B$4,
  _xlpm.Knewscale, Constantes!$B$5,
  _xlpm.ptstables, INDEX(AD:AD, _xlfn.SEQUENCE(COUNTA($C$2:$C37), 1, 3, 4)),
  _xlpm.nbparties, COUNTA(_xlfn._xlws.FILTER(_xlpm.ptstables, _xlpm.ptstables &lt;&gt; "")),
  _xlpm.coef, _xlpm.K + _xlpm.Knewgain / (_xlpm.Knewscale + _xlpm.nbparties),
  IF(AD35="",
    "",
    _xlpm.coef * (AD35-AD36))
)</f>
        <v/>
      </c>
      <c r="AE37" t="str" cm="1">
        <f t="array" ref="AE37">_xlfn.LET(
  _xlpm.K, Constantes!$B$3,
  _xlpm.Knewgain, Constantes!$B$4,
  _xlpm.Knewscale, Constantes!$B$5,
  _xlpm.ptstables, INDEX(AE:AE, _xlfn.SEQUENCE(COUNTA($C$2:$C37), 1, 3, 4)),
  _xlpm.nbparties, COUNTA(_xlfn._xlws.FILTER(_xlpm.ptstables, _xlpm.ptstables &lt;&gt; "")),
  _xlpm.coef, _xlpm.K + _xlpm.Knewgain / (_xlpm.Knewscale + _xlpm.nbparties),
  IF(AE35="",
    "",
    _xlpm.coef * (AE35-AE36))
)</f>
        <v/>
      </c>
      <c r="AF37" t="str" cm="1">
        <f t="array" ref="AF37">_xlfn.LET(
  _xlpm.K, Constantes!$B$3,
  _xlpm.Knewgain, Constantes!$B$4,
  _xlpm.Knewscale, Constantes!$B$5,
  _xlpm.ptstables, INDEX(AF:AF, _xlfn.SEQUENCE(COUNTA($C$2:$C37), 1, 3, 4)),
  _xlpm.nbparties, COUNTA(_xlfn._xlws.FILTER(_xlpm.ptstables, _xlpm.ptstables &lt;&gt; "")),
  _xlpm.coef, _xlpm.K + _xlpm.Knewgain / (_xlpm.Knewscale + _xlpm.nbparties),
  IF(AF35="",
    "",
    _xlpm.coef * (AF35-AF36))
)</f>
        <v/>
      </c>
      <c r="AG37" t="str" cm="1">
        <f t="array" ref="AG37">_xlfn.LET(
  _xlpm.K, Constantes!$B$3,
  _xlpm.Knewgain, Constantes!$B$4,
  _xlpm.Knewscale, Constantes!$B$5,
  _xlpm.ptstables, INDEX(AG:AG, _xlfn.SEQUENCE(COUNTA($C$2:$C37), 1, 3, 4)),
  _xlpm.nbparties, COUNTA(_xlfn._xlws.FILTER(_xlpm.ptstables, _xlpm.ptstables &lt;&gt; "")),
  _xlpm.coef, _xlpm.K + _xlpm.Knewgain / (_xlpm.Knewscale + _xlpm.nbparties),
  IF(AG35="",
    "",
    _xlpm.coef * (AG35-AG36))
)</f>
        <v/>
      </c>
      <c r="AH37" t="str" cm="1">
        <f t="array" ref="AH37">_xlfn.LET(
  _xlpm.K, Constantes!$B$3,
  _xlpm.Knewgain, Constantes!$B$4,
  _xlpm.Knewscale, Constantes!$B$5,
  _xlpm.ptstables, INDEX(AH:AH, _xlfn.SEQUENCE(COUNTA($C$2:$C37), 1, 3, 4)),
  _xlpm.nbparties, COUNTA(_xlfn._xlws.FILTER(_xlpm.ptstables, _xlpm.ptstables &lt;&gt; "")),
  _xlpm.coef, _xlpm.K + _xlpm.Knewgain / (_xlpm.Knewscale + _xlpm.nbparties),
  IF(AH35="",
    "",
    _xlpm.coef * (AH35-AH36))
)</f>
        <v/>
      </c>
      <c r="AI37" t="str" cm="1">
        <f t="array" ref="AI37">_xlfn.LET(
  _xlpm.K, Constantes!$B$3,
  _xlpm.Knewgain, Constantes!$B$4,
  _xlpm.Knewscale, Constantes!$B$5,
  _xlpm.ptstables, INDEX(AI:AI, _xlfn.SEQUENCE(COUNTA($C$2:$C37), 1, 3, 4)),
  _xlpm.nbparties, COUNTA(_xlfn._xlws.FILTER(_xlpm.ptstables, _xlpm.ptstables &lt;&gt; "")),
  _xlpm.coef, _xlpm.K + _xlpm.Knewgain / (_xlpm.Knewscale + _xlpm.nbparties),
  IF(AI35="",
    "",
    _xlpm.coef * (AI35-AI36))
)</f>
        <v/>
      </c>
      <c r="AJ37" t="str" cm="1">
        <f t="array" ref="AJ37">_xlfn.LET(
  _xlpm.K, Constantes!$B$3,
  _xlpm.Knewgain, Constantes!$B$4,
  _xlpm.Knewscale, Constantes!$B$5,
  _xlpm.ptstables, INDEX(AJ:AJ, _xlfn.SEQUENCE(COUNTA($C$2:$C37), 1, 3, 4)),
  _xlpm.nbparties, COUNTA(_xlfn._xlws.FILTER(_xlpm.ptstables, _xlpm.ptstables &lt;&gt; "")),
  _xlpm.coef, _xlpm.K + _xlpm.Knewgain / (_xlpm.Knewscale + _xlpm.nbparties),
  IF(AJ35="",
    "",
    _xlpm.coef * (AJ35-AJ36))
)</f>
        <v/>
      </c>
      <c r="AK37" t="str" cm="1">
        <f t="array" ref="AK37">_xlfn.LET(
  _xlpm.K, Constantes!$B$3,
  _xlpm.Knewgain, Constantes!$B$4,
  _xlpm.Knewscale, Constantes!$B$5,
  _xlpm.ptstables, INDEX(AK:AK, _xlfn.SEQUENCE(COUNTA($C$2:$C37), 1, 3, 4)),
  _xlpm.nbparties, COUNTA(_xlfn._xlws.FILTER(_xlpm.ptstables, _xlpm.ptstables &lt;&gt; "")),
  _xlpm.coef, _xlpm.K + _xlpm.Knewgain / (_xlpm.Knewscale + _xlpm.nbparties),
  IF(AK35="",
    "",
    _xlpm.coef * (AK35-AK36))
)</f>
        <v/>
      </c>
      <c r="AL37" t="str" cm="1">
        <f t="array" ref="AL37">_xlfn.LET(
  _xlpm.K, Constantes!$B$3,
  _xlpm.Knewgain, Constantes!$B$4,
  _xlpm.Knewscale, Constantes!$B$5,
  _xlpm.ptstables, INDEX(AL:AL, _xlfn.SEQUENCE(COUNTA($C$2:$C37), 1, 3, 4)),
  _xlpm.nbparties, COUNTA(_xlfn._xlws.FILTER(_xlpm.ptstables, _xlpm.ptstables &lt;&gt; "")),
  _xlpm.coef, _xlpm.K + _xlpm.Knewgain / (_xlpm.Knewscale + _xlpm.nbparties),
  IF(AL35="",
    "",
    _xlpm.coef * (AL35-AL36))
)</f>
        <v/>
      </c>
      <c r="AM37" t="str" cm="1">
        <f t="array" ref="AM37">_xlfn.LET(
  _xlpm.K, Constantes!$B$3,
  _xlpm.Knewgain, Constantes!$B$4,
  _xlpm.Knewscale, Constantes!$B$5,
  _xlpm.ptstables, INDEX(AM:AM, _xlfn.SEQUENCE(COUNTA($C$2:$C37), 1, 3, 4)),
  _xlpm.nbparties, COUNTA(_xlfn._xlws.FILTER(_xlpm.ptstables, _xlpm.ptstables &lt;&gt; "")),
  _xlpm.coef, _xlpm.K + _xlpm.Knewgain / (_xlpm.Knewscale + _xlpm.nbparties),
  IF(AM35="",
    "",
    _xlpm.coef * (AM35-AM36))
)</f>
        <v/>
      </c>
    </row>
    <row r="38" spans="1:39" x14ac:dyDescent="0.25">
      <c r="A38" t="s">
        <v>14</v>
      </c>
      <c r="B38" t="str" cm="1">
        <f t="array" ref="B3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</v>
      </c>
      <c r="C38" s="2" cm="1">
        <f t="array" ref="C38">IF(B38="","",
  INDEX(Donnees!F:F, MATCH(B38, Donnees!F:F, 0)+1))</f>
        <v>45913.589953703704</v>
      </c>
      <c r="D38">
        <f t="shared" ref="D38:AM38" si="17">D34+IF(D37="",0,D37)</f>
        <v>1049.0651592067093</v>
      </c>
      <c r="E38">
        <f t="shared" si="17"/>
        <v>1180.1422312128193</v>
      </c>
      <c r="F38">
        <f t="shared" si="17"/>
        <v>909.87928229209808</v>
      </c>
      <c r="G38">
        <f t="shared" si="17"/>
        <v>1047.1181518097756</v>
      </c>
      <c r="H38">
        <f t="shared" si="17"/>
        <v>976.44998683474398</v>
      </c>
      <c r="I38">
        <f t="shared" si="17"/>
        <v>1016.6476899092447</v>
      </c>
      <c r="J38">
        <f t="shared" si="17"/>
        <v>938.49433816478961</v>
      </c>
      <c r="K38">
        <f t="shared" si="17"/>
        <v>914.47577749470145</v>
      </c>
      <c r="L38">
        <f t="shared" si="17"/>
        <v>878.7153998467162</v>
      </c>
      <c r="M38">
        <f t="shared" si="17"/>
        <v>965.238738457664</v>
      </c>
      <c r="N38">
        <f t="shared" si="17"/>
        <v>995.58652324860282</v>
      </c>
      <c r="O38">
        <f t="shared" si="17"/>
        <v>1068.3356299075012</v>
      </c>
      <c r="P38">
        <f t="shared" si="17"/>
        <v>928.22092632073486</v>
      </c>
      <c r="Q38">
        <f t="shared" si="17"/>
        <v>985.54250487050535</v>
      </c>
      <c r="R38">
        <f t="shared" si="17"/>
        <v>997.8</v>
      </c>
      <c r="S38">
        <f t="shared" si="17"/>
        <v>984.505</v>
      </c>
      <c r="T38">
        <f t="shared" si="17"/>
        <v>1029.905</v>
      </c>
      <c r="U38">
        <f t="shared" si="17"/>
        <v>1092.7849999999999</v>
      </c>
      <c r="V38">
        <f t="shared" si="17"/>
        <v>999.59500000000003</v>
      </c>
      <c r="W38">
        <f t="shared" si="17"/>
        <v>1000</v>
      </c>
      <c r="X38">
        <f t="shared" si="17"/>
        <v>899.53</v>
      </c>
      <c r="Y38">
        <f t="shared" si="17"/>
        <v>941.52</v>
      </c>
      <c r="Z38">
        <f t="shared" si="17"/>
        <v>1000</v>
      </c>
      <c r="AA38">
        <f t="shared" si="17"/>
        <v>1000</v>
      </c>
      <c r="AB38">
        <f t="shared" si="17"/>
        <v>979.56500000000005</v>
      </c>
      <c r="AC38">
        <f t="shared" si="17"/>
        <v>1032.51</v>
      </c>
      <c r="AD38">
        <f t="shared" si="17"/>
        <v>974.01499999999999</v>
      </c>
      <c r="AE38">
        <f t="shared" si="17"/>
        <v>1011.415</v>
      </c>
      <c r="AF38">
        <f t="shared" si="17"/>
        <v>1031.1199999999999</v>
      </c>
      <c r="AG38">
        <f t="shared" si="17"/>
        <v>1001.0350000000001</v>
      </c>
      <c r="AH38">
        <f t="shared" si="17"/>
        <v>994.44</v>
      </c>
      <c r="AI38">
        <f t="shared" si="17"/>
        <v>1000</v>
      </c>
      <c r="AJ38">
        <f t="shared" si="17"/>
        <v>957.2</v>
      </c>
      <c r="AK38">
        <f t="shared" si="17"/>
        <v>1000</v>
      </c>
      <c r="AL38">
        <f t="shared" si="17"/>
        <v>1055.9299999999998</v>
      </c>
      <c r="AM38">
        <f t="shared" si="17"/>
        <v>1000</v>
      </c>
    </row>
    <row r="39" spans="1:39" x14ac:dyDescent="0.25">
      <c r="A39" t="s">
        <v>21</v>
      </c>
      <c r="D39" t="str" cm="1">
        <f t="array" ref="D39">IFERROR(
  _xlfn.LET(
    _xlpm.ligpartie, MATCH($B38, Donnees!$F:$F, 0),
    _xlpm.joueurs, INDEX(Donnees!$A:$Z, _xlpm.ligpartie+1, _xlfn.SEQUENCE(1, 4, 2)),
    INDEX(
      Donnees!$A:$Z,
      _xlpm.ligpartie + 3,
      MATCH(D$1, _xlpm.joueurs, 0) + 1
    )
  ), ""
)</f>
        <v/>
      </c>
      <c r="E39" cm="1">
        <f t="array" ref="E39">IFERROR(
  _xlfn.LET(
    _xlpm.ligpartie, MATCH($B38, Donnees!$F:$F, 0),
    _xlpm.joueurs, INDEX(Donnees!$A:$Z, _xlpm.ligpartie+1, _xlfn.SEQUENCE(1, 4, 2)),
    INDEX(
      Donnees!$A:$Z,
      _xlpm.ligpartie + 3,
      MATCH(E$1, _xlpm.joueurs, 0) + 1
    )
  ), ""
)</f>
        <v>3</v>
      </c>
      <c r="F39" t="str" cm="1">
        <f t="array" ref="F39">IFERROR(
  _xlfn.LET(
    _xlpm.ligpartie, MATCH($B38, Donnees!$F:$F, 0),
    _xlpm.joueurs, INDEX(Donnees!$A:$Z, _xlpm.ligpartie+1, _xlfn.SEQUENCE(1, 4, 2)),
    INDEX(
      Donnees!$A:$Z,
      _xlpm.ligpartie + 3,
      MATCH(F$1, _xlpm.joueurs, 0) + 1
    )
  ), ""
)</f>
        <v/>
      </c>
      <c r="G39" t="str" cm="1">
        <f t="array" ref="G39">IFERROR(
  _xlfn.LET(
    _xlpm.ligpartie, MATCH($B38, Donnees!$F:$F, 0),
    _xlpm.joueurs, INDEX(Donnees!$A:$Z, _xlpm.ligpartie+1, _xlfn.SEQUENCE(1, 4, 2)),
    INDEX(
      Donnees!$A:$Z,
      _xlpm.ligpartie + 3,
      MATCH(G$1, _xlpm.joueurs, 0) + 1
    )
  ), ""
)</f>
        <v/>
      </c>
      <c r="H39" t="str" cm="1">
        <f t="array" ref="H39">IFERROR(
  _xlfn.LET(
    _xlpm.ligpartie, MATCH($B38, Donnees!$F:$F, 0),
    _xlpm.joueurs, INDEX(Donnees!$A:$Z, _xlpm.ligpartie+1, _xlfn.SEQUENCE(1, 4, 2)),
    INDEX(
      Donnees!$A:$Z,
      _xlpm.ligpartie + 3,
      MATCH(H$1, _xlpm.joueurs, 0) + 1
    )
  ), ""
)</f>
        <v/>
      </c>
      <c r="I39" t="str" cm="1">
        <f t="array" ref="I39">IFERROR(
  _xlfn.LET(
    _xlpm.ligpartie, MATCH($B38, Donnees!$F:$F, 0),
    _xlpm.joueurs, INDEX(Donnees!$A:$Z, _xlpm.ligpartie+1, _xlfn.SEQUENCE(1, 4, 2)),
    INDEX(
      Donnees!$A:$Z,
      _xlpm.ligpartie + 3,
      MATCH(I$1, _xlpm.joueurs, 0) + 1
    )
  ), ""
)</f>
        <v/>
      </c>
      <c r="J39" t="str" cm="1">
        <f t="array" ref="J39">IFERROR(
  _xlfn.LET(
    _xlpm.ligpartie, MATCH($B38, Donnees!$F:$F, 0),
    _xlpm.joueurs, INDEX(Donnees!$A:$Z, _xlpm.ligpartie+1, _xlfn.SEQUENCE(1, 4, 2)),
    INDEX(
      Donnees!$A:$Z,
      _xlpm.ligpartie + 3,
      MATCH(J$1, _xlpm.joueurs, 0) + 1
    )
  ), ""
)</f>
        <v/>
      </c>
      <c r="K39" cm="1">
        <f t="array" ref="K39">IFERROR(
  _xlfn.LET(
    _xlpm.ligpartie, MATCH($B38, Donnees!$F:$F, 0),
    _xlpm.joueurs, INDEX(Donnees!$A:$Z, _xlpm.ligpartie+1, _xlfn.SEQUENCE(1, 4, 2)),
    INDEX(
      Donnees!$A:$Z,
      _xlpm.ligpartie + 3,
      MATCH(K$1, _xlpm.joueurs, 0) + 1
    )
  ), ""
)</f>
        <v>2</v>
      </c>
      <c r="L39" t="str" cm="1">
        <f t="array" ref="L39">IFERROR(
  _xlfn.LET(
    _xlpm.ligpartie, MATCH($B38, Donnees!$F:$F, 0),
    _xlpm.joueurs, INDEX(Donnees!$A:$Z, _xlpm.ligpartie+1, _xlfn.SEQUENCE(1, 4, 2)),
    INDEX(
      Donnees!$A:$Z,
      _xlpm.ligpartie + 3,
      MATCH(L$1, _xlpm.joueurs, 0) + 1
    )
  ), ""
)</f>
        <v/>
      </c>
      <c r="M39" t="str" cm="1">
        <f t="array" ref="M39">IFERROR(
  _xlfn.LET(
    _xlpm.ligpartie, MATCH($B38, Donnees!$F:$F, 0),
    _xlpm.joueurs, INDEX(Donnees!$A:$Z, _xlpm.ligpartie+1, _xlfn.SEQUENCE(1, 4, 2)),
    INDEX(
      Donnees!$A:$Z,
      _xlpm.ligpartie + 3,
      MATCH(M$1, _xlpm.joueurs, 0) + 1
    )
  ), ""
)</f>
        <v/>
      </c>
      <c r="N39" t="str" cm="1">
        <f t="array" ref="N39">IFERROR(
  _xlfn.LET(
    _xlpm.ligpartie, MATCH($B38, Donnees!$F:$F, 0),
    _xlpm.joueurs, INDEX(Donnees!$A:$Z, _xlpm.ligpartie+1, _xlfn.SEQUENCE(1, 4, 2)),
    INDEX(
      Donnees!$A:$Z,
      _xlpm.ligpartie + 3,
      MATCH(N$1, _xlpm.joueurs, 0) + 1
    )
  ), ""
)</f>
        <v/>
      </c>
      <c r="O39" t="str" cm="1">
        <f t="array" ref="O39">IFERROR(
  _xlfn.LET(
    _xlpm.ligpartie, MATCH($B38, Donnees!$F:$F, 0),
    _xlpm.joueurs, INDEX(Donnees!$A:$Z, _xlpm.ligpartie+1, _xlfn.SEQUENCE(1, 4, 2)),
    INDEX(
      Donnees!$A:$Z,
      _xlpm.ligpartie + 3,
      MATCH(O$1, _xlpm.joueurs, 0) + 1
    )
  ), ""
)</f>
        <v/>
      </c>
      <c r="P39" t="str" cm="1">
        <f t="array" ref="P39">IFERROR(
  _xlfn.LET(
    _xlpm.ligpartie, MATCH($B38, Donnees!$F:$F, 0),
    _xlpm.joueurs, INDEX(Donnees!$A:$Z, _xlpm.ligpartie+1, _xlfn.SEQUENCE(1, 4, 2)),
    INDEX(
      Donnees!$A:$Z,
      _xlpm.ligpartie + 3,
      MATCH(P$1, _xlpm.joueurs, 0) + 1
    )
  ), ""
)</f>
        <v/>
      </c>
      <c r="Q39" t="str" cm="1">
        <f t="array" ref="Q39">IFERROR(
  _xlfn.LET(
    _xlpm.ligpartie, MATCH($B38, Donnees!$F:$F, 0),
    _xlpm.joueurs, INDEX(Donnees!$A:$Z, _xlpm.ligpartie+1, _xlfn.SEQUENCE(1, 4, 2)),
    INDEX(
      Donnees!$A:$Z,
      _xlpm.ligpartie + 3,
      MATCH(Q$1, _xlpm.joueurs, 0) + 1
    )
  ), ""
)</f>
        <v/>
      </c>
      <c r="R39" t="str" cm="1">
        <f t="array" ref="R39">IFERROR(
  _xlfn.LET(
    _xlpm.ligpartie, MATCH($B38, Donnees!$F:$F, 0),
    _xlpm.joueurs, INDEX(Donnees!$A:$Z, _xlpm.ligpartie+1, _xlfn.SEQUENCE(1, 4, 2)),
    INDEX(
      Donnees!$A:$Z,
      _xlpm.ligpartie + 3,
      MATCH(R$1, _xlpm.joueurs, 0) + 1
    )
  ), ""
)</f>
        <v/>
      </c>
      <c r="S39" t="str" cm="1">
        <f t="array" ref="S39">IFERROR(
  _xlfn.LET(
    _xlpm.ligpartie, MATCH($B38, Donnees!$F:$F, 0),
    _xlpm.joueurs, INDEX(Donnees!$A:$Z, _xlpm.ligpartie+1, _xlfn.SEQUENCE(1, 4, 2)),
    INDEX(
      Donnees!$A:$Z,
      _xlpm.ligpartie + 3,
      MATCH(S$1, _xlpm.joueurs, 0) + 1
    )
  ), ""
)</f>
        <v/>
      </c>
      <c r="T39" t="str" cm="1">
        <f t="array" ref="T39">IFERROR(
  _xlfn.LET(
    _xlpm.ligpartie, MATCH($B38, Donnees!$F:$F, 0),
    _xlpm.joueurs, INDEX(Donnees!$A:$Z, _xlpm.ligpartie+1, _xlfn.SEQUENCE(1, 4, 2)),
    INDEX(
      Donnees!$A:$Z,
      _xlpm.ligpartie + 3,
      MATCH(T$1, _xlpm.joueurs, 0) + 1
    )
  ), ""
)</f>
        <v/>
      </c>
      <c r="U39" cm="1">
        <f t="array" ref="U39">IFERROR(
  _xlfn.LET(
    _xlpm.ligpartie, MATCH($B38, Donnees!$F:$F, 0),
    _xlpm.joueurs, INDEX(Donnees!$A:$Z, _xlpm.ligpartie+1, _xlfn.SEQUENCE(1, 4, 2)),
    INDEX(
      Donnees!$A:$Z,
      _xlpm.ligpartie + 3,
      MATCH(U$1, _xlpm.joueurs, 0) + 1
    )
  ), ""
)</f>
        <v>1</v>
      </c>
      <c r="V39" cm="1">
        <f t="array" ref="V39">IFERROR(
  _xlfn.LET(
    _xlpm.ligpartie, MATCH($B38, Donnees!$F:$F, 0),
    _xlpm.joueurs, INDEX(Donnees!$A:$Z, _xlpm.ligpartie+1, _xlfn.SEQUENCE(1, 4, 2)),
    INDEX(
      Donnees!$A:$Z,
      _xlpm.ligpartie + 3,
      MATCH(V$1, _xlpm.joueurs, 0) + 1
    )
  ), ""
)</f>
        <v>0</v>
      </c>
      <c r="W39" t="str" cm="1">
        <f t="array" ref="W39">IFERROR(
  _xlfn.LET(
    _xlpm.ligpartie, MATCH($B38, Donnees!$F:$F, 0),
    _xlpm.joueurs, INDEX(Donnees!$A:$Z, _xlpm.ligpartie+1, _xlfn.SEQUENCE(1, 4, 2)),
    INDEX(
      Donnees!$A:$Z,
      _xlpm.ligpartie + 3,
      MATCH(W$1, _xlpm.joueurs, 0) + 1
    )
  ), ""
)</f>
        <v/>
      </c>
      <c r="X39" t="str" cm="1">
        <f t="array" ref="X39">IFERROR(
  _xlfn.LET(
    _xlpm.ligpartie, MATCH($B38, Donnees!$F:$F, 0),
    _xlpm.joueurs, INDEX(Donnees!$A:$Z, _xlpm.ligpartie+1, _xlfn.SEQUENCE(1, 4, 2)),
    INDEX(
      Donnees!$A:$Z,
      _xlpm.ligpartie + 3,
      MATCH(X$1, _xlpm.joueurs, 0) + 1
    )
  ), ""
)</f>
        <v/>
      </c>
      <c r="Y39" t="str" cm="1">
        <f t="array" ref="Y39">IFERROR(
  _xlfn.LET(
    _xlpm.ligpartie, MATCH($B38, Donnees!$F:$F, 0),
    _xlpm.joueurs, INDEX(Donnees!$A:$Z, _xlpm.ligpartie+1, _xlfn.SEQUENCE(1, 4, 2)),
    INDEX(
      Donnees!$A:$Z,
      _xlpm.ligpartie + 3,
      MATCH(Y$1, _xlpm.joueurs, 0) + 1
    )
  ), ""
)</f>
        <v/>
      </c>
      <c r="Z39" t="str" cm="1">
        <f t="array" ref="Z39">IFERROR(
  _xlfn.LET(
    _xlpm.ligpartie, MATCH($B38, Donnees!$F:$F, 0),
    _xlpm.joueurs, INDEX(Donnees!$A:$Z, _xlpm.ligpartie+1, _xlfn.SEQUENCE(1, 4, 2)),
    INDEX(
      Donnees!$A:$Z,
      _xlpm.ligpartie + 3,
      MATCH(Z$1, _xlpm.joueurs, 0) + 1
    )
  ), ""
)</f>
        <v/>
      </c>
      <c r="AA39" t="str" cm="1">
        <f t="array" ref="AA39">IFERROR(
  _xlfn.LET(
    _xlpm.ligpartie, MATCH($B38, Donnees!$F:$F, 0),
    _xlpm.joueurs, INDEX(Donnees!$A:$Z, _xlpm.ligpartie+1, _xlfn.SEQUENCE(1, 4, 2)),
    INDEX(
      Donnees!$A:$Z,
      _xlpm.ligpartie + 3,
      MATCH(AA$1, _xlpm.joueurs, 0) + 1
    )
  ), ""
)</f>
        <v/>
      </c>
      <c r="AB39" t="str" cm="1">
        <f t="array" ref="AB39">IFERROR(
  _xlfn.LET(
    _xlpm.ligpartie, MATCH($B38, Donnees!$F:$F, 0),
    _xlpm.joueurs, INDEX(Donnees!$A:$Z, _xlpm.ligpartie+1, _xlfn.SEQUENCE(1, 4, 2)),
    INDEX(
      Donnees!$A:$Z,
      _xlpm.ligpartie + 3,
      MATCH(AB$1, _xlpm.joueurs, 0) + 1
    )
  ), ""
)</f>
        <v/>
      </c>
      <c r="AC39" t="str" cm="1">
        <f t="array" ref="AC39">IFERROR(
  _xlfn.LET(
    _xlpm.ligpartie, MATCH($B38, Donnees!$F:$F, 0),
    _xlpm.joueurs, INDEX(Donnees!$A:$Z, _xlpm.ligpartie+1, _xlfn.SEQUENCE(1, 4, 2)),
    INDEX(
      Donnees!$A:$Z,
      _xlpm.ligpartie + 3,
      MATCH(AC$1, _xlpm.joueurs, 0) + 1
    )
  ), ""
)</f>
        <v/>
      </c>
      <c r="AD39" t="str" cm="1">
        <f t="array" ref="AD39">IFERROR(
  _xlfn.LET(
    _xlpm.ligpartie, MATCH($B38, Donnees!$F:$F, 0),
    _xlpm.joueurs, INDEX(Donnees!$A:$Z, _xlpm.ligpartie+1, _xlfn.SEQUENCE(1, 4, 2)),
    INDEX(
      Donnees!$A:$Z,
      _xlpm.ligpartie + 3,
      MATCH(AD$1, _xlpm.joueurs, 0) + 1
    )
  ), ""
)</f>
        <v/>
      </c>
      <c r="AE39" t="str" cm="1">
        <f t="array" ref="AE39">IFERROR(
  _xlfn.LET(
    _xlpm.ligpartie, MATCH($B38, Donnees!$F:$F, 0),
    _xlpm.joueurs, INDEX(Donnees!$A:$Z, _xlpm.ligpartie+1, _xlfn.SEQUENCE(1, 4, 2)),
    INDEX(
      Donnees!$A:$Z,
      _xlpm.ligpartie + 3,
      MATCH(AE$1, _xlpm.joueurs, 0) + 1
    )
  ), ""
)</f>
        <v/>
      </c>
      <c r="AF39" t="str" cm="1">
        <f t="array" ref="AF39">IFERROR(
  _xlfn.LET(
    _xlpm.ligpartie, MATCH($B38, Donnees!$F:$F, 0),
    _xlpm.joueurs, INDEX(Donnees!$A:$Z, _xlpm.ligpartie+1, _xlfn.SEQUENCE(1, 4, 2)),
    INDEX(
      Donnees!$A:$Z,
      _xlpm.ligpartie + 3,
      MATCH(AF$1, _xlpm.joueurs, 0) + 1
    )
  ), ""
)</f>
        <v/>
      </c>
      <c r="AG39" t="str" cm="1">
        <f t="array" ref="AG39">IFERROR(
  _xlfn.LET(
    _xlpm.ligpartie, MATCH($B38, Donnees!$F:$F, 0),
    _xlpm.joueurs, INDEX(Donnees!$A:$Z, _xlpm.ligpartie+1, _xlfn.SEQUENCE(1, 4, 2)),
    INDEX(
      Donnees!$A:$Z,
      _xlpm.ligpartie + 3,
      MATCH(AG$1, _xlpm.joueurs, 0) + 1
    )
  ), ""
)</f>
        <v/>
      </c>
      <c r="AH39" t="str" cm="1">
        <f t="array" ref="AH39">IFERROR(
  _xlfn.LET(
    _xlpm.ligpartie, MATCH($B38, Donnees!$F:$F, 0),
    _xlpm.joueurs, INDEX(Donnees!$A:$Z, _xlpm.ligpartie+1, _xlfn.SEQUENCE(1, 4, 2)),
    INDEX(
      Donnees!$A:$Z,
      _xlpm.ligpartie + 3,
      MATCH(AH$1, _xlpm.joueurs, 0) + 1
    )
  ), ""
)</f>
        <v/>
      </c>
      <c r="AI39" t="str" cm="1">
        <f t="array" ref="AI39">IFERROR(
  _xlfn.LET(
    _xlpm.ligpartie, MATCH($B38, Donnees!$F:$F, 0),
    _xlpm.joueurs, INDEX(Donnees!$A:$Z, _xlpm.ligpartie+1, _xlfn.SEQUENCE(1, 4, 2)),
    INDEX(
      Donnees!$A:$Z,
      _xlpm.ligpartie + 3,
      MATCH(AI$1, _xlpm.joueurs, 0) + 1
    )
  ), ""
)</f>
        <v/>
      </c>
      <c r="AJ39" t="str" cm="1">
        <f t="array" ref="AJ39">IFERROR(
  _xlfn.LET(
    _xlpm.ligpartie, MATCH($B38, Donnees!$F:$F, 0),
    _xlpm.joueurs, INDEX(Donnees!$A:$Z, _xlpm.ligpartie+1, _xlfn.SEQUENCE(1, 4, 2)),
    INDEX(
      Donnees!$A:$Z,
      _xlpm.ligpartie + 3,
      MATCH(AJ$1, _xlpm.joueurs, 0) + 1
    )
  ), ""
)</f>
        <v/>
      </c>
      <c r="AK39" t="str" cm="1">
        <f t="array" ref="AK39">IFERROR(
  _xlfn.LET(
    _xlpm.ligpartie, MATCH($B38, Donnees!$F:$F, 0),
    _xlpm.joueurs, INDEX(Donnees!$A:$Z, _xlpm.ligpartie+1, _xlfn.SEQUENCE(1, 4, 2)),
    INDEX(
      Donnees!$A:$Z,
      _xlpm.ligpartie + 3,
      MATCH(AK$1, _xlpm.joueurs, 0) + 1
    )
  ), ""
)</f>
        <v/>
      </c>
      <c r="AL39" t="str" cm="1">
        <f t="array" ref="AL39">IFERROR(
  _xlfn.LET(
    _xlpm.ligpartie, MATCH($B38, Donnees!$F:$F, 0),
    _xlpm.joueurs, INDEX(Donnees!$A:$Z, _xlpm.ligpartie+1, _xlfn.SEQUENCE(1, 4, 2)),
    INDEX(
      Donnees!$A:$Z,
      _xlpm.ligpartie + 3,
      MATCH(AL$1, _xlpm.joueurs, 0) + 1
    )
  ), ""
)</f>
        <v/>
      </c>
      <c r="AM39" t="str" cm="1">
        <f t="array" ref="AM39">IFERROR(
  _xlfn.LET(
    _xlpm.ligpartie, MATCH($B38, Donnees!$F:$F, 0),
    _xlpm.joueurs, INDEX(Donnees!$A:$Z, _xlpm.ligpartie+1, _xlfn.SEQUENCE(1, 4, 2)),
    INDEX(
      Donnees!$A:$Z,
      _xlpm.ligpartie + 3,
      MATCH(AM$1, _xlpm.joueurs, 0) + 1
    )
  ), ""
)</f>
        <v/>
      </c>
    </row>
    <row r="40" spans="1:39" x14ac:dyDescent="0.25">
      <c r="A40" t="s">
        <v>20</v>
      </c>
      <c r="D40" t="str" cm="1">
        <f t="array" ref="D40">_xlfn.LET(
  _xlpm.colj, _xlfn._xlws.FILTER(IF(ISNUMBER(39:39), COLUMN(39:39)), ISNUMBER(39:39)),
  _xlpm.elos, INDEX(38:38,1,_xlpm.colj),
  _xlpm.diffscale, Constantes!$B$2,
  IF(D39="",
    "",
    SUM(1/(1+POWER(10,-(D38-_xlpm.elos)/_xlpm.diffscale)))-0.5)
)</f>
        <v/>
      </c>
      <c r="E40" cm="1">
        <f t="array" ref="E40">_xlfn.LET(
  _xlpm.colj, _xlfn._xlws.FILTER(IF(ISNUMBER(39:39), COLUMN(39:39)), ISNUMBER(39:39)),
  _xlpm.elos, INDEX(38:38,1,_xlpm.colj),
  _xlpm.diffscale, Constantes!$B$2,
  IF(E39="",
    "",
    SUM(1/(1+POWER(10,-(E38-_xlpm.elos)/_xlpm.diffscale)))-0.5)
)</f>
        <v>2.1837544746577464</v>
      </c>
      <c r="F40" t="str" cm="1">
        <f t="array" ref="F40">_xlfn.LET(
  _xlpm.colj, _xlfn._xlws.FILTER(IF(ISNUMBER(39:39), COLUMN(39:39)), ISNUMBER(39:39)),
  _xlpm.elos, INDEX(38:38,1,_xlpm.colj),
  _xlpm.diffscale, Constantes!$B$2,
  IF(F39="",
    "",
    SUM(1/(1+POWER(10,-(F38-_xlpm.elos)/_xlpm.diffscale)))-0.5)
)</f>
        <v/>
      </c>
      <c r="G40" t="str" cm="1">
        <f t="array" ref="G40">_xlfn.LET(
  _xlpm.colj, _xlfn._xlws.FILTER(IF(ISNUMBER(39:39), COLUMN(39:39)), ISNUMBER(39:39)),
  _xlpm.elos, INDEX(38:38,1,_xlpm.colj),
  _xlpm.diffscale, Constantes!$B$2,
  IF(G39="",
    "",
    SUM(1/(1+POWER(10,-(G38-_xlpm.elos)/_xlpm.diffscale)))-0.5)
)</f>
        <v/>
      </c>
      <c r="H40" t="str" cm="1">
        <f t="array" ref="H40">_xlfn.LET(
  _xlpm.colj, _xlfn._xlws.FILTER(IF(ISNUMBER(39:39), COLUMN(39:39)), ISNUMBER(39:39)),
  _xlpm.elos, INDEX(38:38,1,_xlpm.colj),
  _xlpm.diffscale, Constantes!$B$2,
  IF(H39="",
    "",
    SUM(1/(1+POWER(10,-(H38-_xlpm.elos)/_xlpm.diffscale)))-0.5)
)</f>
        <v/>
      </c>
      <c r="I40" t="str" cm="1">
        <f t="array" ref="I40">_xlfn.LET(
  _xlpm.colj, _xlfn._xlws.FILTER(IF(ISNUMBER(39:39), COLUMN(39:39)), ISNUMBER(39:39)),
  _xlpm.elos, INDEX(38:38,1,_xlpm.colj),
  _xlpm.diffscale, Constantes!$B$2,
  IF(I39="",
    "",
    SUM(1/(1+POWER(10,-(I38-_xlpm.elos)/_xlpm.diffscale)))-0.5)
)</f>
        <v/>
      </c>
      <c r="J40" t="str" cm="1">
        <f t="array" ref="J40">_xlfn.LET(
  _xlpm.colj, _xlfn._xlws.FILTER(IF(ISNUMBER(39:39), COLUMN(39:39)), ISNUMBER(39:39)),
  _xlpm.elos, INDEX(38:38,1,_xlpm.colj),
  _xlpm.diffscale, Constantes!$B$2,
  IF(J39="",
    "",
    SUM(1/(1+POWER(10,-(J38-_xlpm.elos)/_xlpm.diffscale)))-0.5)
)</f>
        <v/>
      </c>
      <c r="K40" cm="1">
        <f t="array" ref="K40">_xlfn.LET(
  _xlpm.colj, _xlfn._xlws.FILTER(IF(ISNUMBER(39:39), COLUMN(39:39)), ISNUMBER(39:39)),
  _xlpm.elos, INDEX(38:38,1,_xlpm.colj),
  _xlpm.diffscale, Constantes!$B$2,
  IF(K39="",
    "",
    SUM(1/(1+POWER(10,-(K38-_xlpm.elos)/_xlpm.diffscale)))-0.5)
)</f>
        <v>0.82176995181290824</v>
      </c>
      <c r="L40" t="str" cm="1">
        <f t="array" ref="L40">_xlfn.LET(
  _xlpm.colj, _xlfn._xlws.FILTER(IF(ISNUMBER(39:39), COLUMN(39:39)), ISNUMBER(39:39)),
  _xlpm.elos, INDEX(38:38,1,_xlpm.colj),
  _xlpm.diffscale, Constantes!$B$2,
  IF(L39="",
    "",
    SUM(1/(1+POWER(10,-(L38-_xlpm.elos)/_xlpm.diffscale)))-0.5)
)</f>
        <v/>
      </c>
      <c r="M40" t="str" cm="1">
        <f t="array" ref="M40">_xlfn.LET(
  _xlpm.colj, _xlfn._xlws.FILTER(IF(ISNUMBER(39:39), COLUMN(39:39)), ISNUMBER(39:39)),
  _xlpm.elos, INDEX(38:38,1,_xlpm.colj),
  _xlpm.diffscale, Constantes!$B$2,
  IF(M39="",
    "",
    SUM(1/(1+POWER(10,-(M38-_xlpm.elos)/_xlpm.diffscale)))-0.5)
)</f>
        <v/>
      </c>
      <c r="N40" t="str" cm="1">
        <f t="array" ref="N40">_xlfn.LET(
  _xlpm.colj, _xlfn._xlws.FILTER(IF(ISNUMBER(39:39), COLUMN(39:39)), ISNUMBER(39:39)),
  _xlpm.elos, INDEX(38:38,1,_xlpm.colj),
  _xlpm.diffscale, Constantes!$B$2,
  IF(N39="",
    "",
    SUM(1/(1+POWER(10,-(N38-_xlpm.elos)/_xlpm.diffscale)))-0.5)
)</f>
        <v/>
      </c>
      <c r="O40" t="str" cm="1">
        <f t="array" ref="O40">_xlfn.LET(
  _xlpm.colj, _xlfn._xlws.FILTER(IF(ISNUMBER(39:39), COLUMN(39:39)), ISNUMBER(39:39)),
  _xlpm.elos, INDEX(38:38,1,_xlpm.colj),
  _xlpm.diffscale, Constantes!$B$2,
  IF(O39="",
    "",
    SUM(1/(1+POWER(10,-(O38-_xlpm.elos)/_xlpm.diffscale)))-0.5)
)</f>
        <v/>
      </c>
      <c r="P40" t="str" cm="1">
        <f t="array" ref="P40">_xlfn.LET(
  _xlpm.colj, _xlfn._xlws.FILTER(IF(ISNUMBER(39:39), COLUMN(39:39)), ISNUMBER(39:39)),
  _xlpm.elos, INDEX(38:38,1,_xlpm.colj),
  _xlpm.diffscale, Constantes!$B$2,
  IF(P39="",
    "",
    SUM(1/(1+POWER(10,-(P38-_xlpm.elos)/_xlpm.diffscale)))-0.5)
)</f>
        <v/>
      </c>
      <c r="Q40" t="str" cm="1">
        <f t="array" ref="Q40">_xlfn.LET(
  _xlpm.colj, _xlfn._xlws.FILTER(IF(ISNUMBER(39:39), COLUMN(39:39)), ISNUMBER(39:39)),
  _xlpm.elos, INDEX(38:38,1,_xlpm.colj),
  _xlpm.diffscale, Constantes!$B$2,
  IF(Q39="",
    "",
    SUM(1/(1+POWER(10,-(Q38-_xlpm.elos)/_xlpm.diffscale)))-0.5)
)</f>
        <v/>
      </c>
      <c r="R40" t="str" cm="1">
        <f t="array" ref="R40">_xlfn.LET(
  _xlpm.colj, _xlfn._xlws.FILTER(IF(ISNUMBER(39:39), COLUMN(39:39)), ISNUMBER(39:39)),
  _xlpm.elos, INDEX(38:38,1,_xlpm.colj),
  _xlpm.diffscale, Constantes!$B$2,
  IF(R39="",
    "",
    SUM(1/(1+POWER(10,-(R38-_xlpm.elos)/_xlpm.diffscale)))-0.5)
)</f>
        <v/>
      </c>
      <c r="S40" t="str" cm="1">
        <f t="array" ref="S40">_xlfn.LET(
  _xlpm.colj, _xlfn._xlws.FILTER(IF(ISNUMBER(39:39), COLUMN(39:39)), ISNUMBER(39:39)),
  _xlpm.elos, INDEX(38:38,1,_xlpm.colj),
  _xlpm.diffscale, Constantes!$B$2,
  IF(S39="",
    "",
    SUM(1/(1+POWER(10,-(S38-_xlpm.elos)/_xlpm.diffscale)))-0.5)
)</f>
        <v/>
      </c>
      <c r="T40" t="str" cm="1">
        <f t="array" ref="T40">_xlfn.LET(
  _xlpm.colj, _xlfn._xlws.FILTER(IF(ISNUMBER(39:39), COLUMN(39:39)), ISNUMBER(39:39)),
  _xlpm.elos, INDEX(38:38,1,_xlpm.colj),
  _xlpm.diffscale, Constantes!$B$2,
  IF(T39="",
    "",
    SUM(1/(1+POWER(10,-(T38-_xlpm.elos)/_xlpm.diffscale)))-0.5)
)</f>
        <v/>
      </c>
      <c r="U40" cm="1">
        <f t="array" ref="U40">_xlfn.LET(
  _xlpm.colj, _xlfn._xlws.FILTER(IF(ISNUMBER(39:39), COLUMN(39:39)), ISNUMBER(39:39)),
  _xlpm.elos, INDEX(38:38,1,_xlpm.colj),
  _xlpm.diffscale, Constantes!$B$2,
  IF(U39="",
    "",
    SUM(1/(1+POWER(10,-(U38-_xlpm.elos)/_xlpm.diffscale)))-0.5)
)</f>
        <v>1.7440750237385441</v>
      </c>
      <c r="V40" cm="1">
        <f t="array" ref="V40">_xlfn.LET(
  _xlpm.colj, _xlfn._xlws.FILTER(IF(ISNUMBER(39:39), COLUMN(39:39)), ISNUMBER(39:39)),
  _xlpm.elos, INDEX(38:38,1,_xlpm.colj),
  _xlpm.diffscale, Constantes!$B$2,
  IF(V39="",
    "",
    SUM(1/(1+POWER(10,-(V38-_xlpm.elos)/_xlpm.diffscale)))-0.5)
)</f>
        <v>1.2504005497908015</v>
      </c>
      <c r="W40" t="str" cm="1">
        <f t="array" ref="W40">_xlfn.LET(
  _xlpm.colj, _xlfn._xlws.FILTER(IF(ISNUMBER(39:39), COLUMN(39:39)), ISNUMBER(39:39)),
  _xlpm.elos, INDEX(38:38,1,_xlpm.colj),
  _xlpm.diffscale, Constantes!$B$2,
  IF(W39="",
    "",
    SUM(1/(1+POWER(10,-(W38-_xlpm.elos)/_xlpm.diffscale)))-0.5)
)</f>
        <v/>
      </c>
      <c r="X40" t="str" cm="1">
        <f t="array" ref="X40">_xlfn.LET(
  _xlpm.colj, _xlfn._xlws.FILTER(IF(ISNUMBER(39:39), COLUMN(39:39)), ISNUMBER(39:39)),
  _xlpm.elos, INDEX(38:38,1,_xlpm.colj),
  _xlpm.diffscale, Constantes!$B$2,
  IF(X39="",
    "",
    SUM(1/(1+POWER(10,-(X38-_xlpm.elos)/_xlpm.diffscale)))-0.5)
)</f>
        <v/>
      </c>
      <c r="Y40" t="str" cm="1">
        <f t="array" ref="Y40">_xlfn.LET(
  _xlpm.colj, _xlfn._xlws.FILTER(IF(ISNUMBER(39:39), COLUMN(39:39)), ISNUMBER(39:39)),
  _xlpm.elos, INDEX(38:38,1,_xlpm.colj),
  _xlpm.diffscale, Constantes!$B$2,
  IF(Y39="",
    "",
    SUM(1/(1+POWER(10,-(Y38-_xlpm.elos)/_xlpm.diffscale)))-0.5)
)</f>
        <v/>
      </c>
      <c r="Z40" t="str" cm="1">
        <f t="array" ref="Z40">_xlfn.LET(
  _xlpm.colj, _xlfn._xlws.FILTER(IF(ISNUMBER(39:39), COLUMN(39:39)), ISNUMBER(39:39)),
  _xlpm.elos, INDEX(38:38,1,_xlpm.colj),
  _xlpm.diffscale, Constantes!$B$2,
  IF(Z39="",
    "",
    SUM(1/(1+POWER(10,-(Z38-_xlpm.elos)/_xlpm.diffscale)))-0.5)
)</f>
        <v/>
      </c>
      <c r="AA40" t="str" cm="1">
        <f t="array" ref="AA40">_xlfn.LET(
  _xlpm.colj, _xlfn._xlws.FILTER(IF(ISNUMBER(39:39), COLUMN(39:39)), ISNUMBER(39:39)),
  _xlpm.elos, INDEX(38:38,1,_xlpm.colj),
  _xlpm.diffscale, Constantes!$B$2,
  IF(AA39="",
    "",
    SUM(1/(1+POWER(10,-(AA38-_xlpm.elos)/_xlpm.diffscale)))-0.5)
)</f>
        <v/>
      </c>
      <c r="AB40" t="str" cm="1">
        <f t="array" ref="AB40">_xlfn.LET(
  _xlpm.colj, _xlfn._xlws.FILTER(IF(ISNUMBER(39:39), COLUMN(39:39)), ISNUMBER(39:39)),
  _xlpm.elos, INDEX(38:38,1,_xlpm.colj),
  _xlpm.diffscale, Constantes!$B$2,
  IF(AB39="",
    "",
    SUM(1/(1+POWER(10,-(AB38-_xlpm.elos)/_xlpm.diffscale)))-0.5)
)</f>
        <v/>
      </c>
      <c r="AC40" t="str" cm="1">
        <f t="array" ref="AC40">_xlfn.LET(
  _xlpm.colj, _xlfn._xlws.FILTER(IF(ISNUMBER(39:39), COLUMN(39:39)), ISNUMBER(39:39)),
  _xlpm.elos, INDEX(38:38,1,_xlpm.colj),
  _xlpm.diffscale, Constantes!$B$2,
  IF(AC39="",
    "",
    SUM(1/(1+POWER(10,-(AC38-_xlpm.elos)/_xlpm.diffscale)))-0.5)
)</f>
        <v/>
      </c>
      <c r="AD40" t="str" cm="1">
        <f t="array" ref="AD40">_xlfn.LET(
  _xlpm.colj, _xlfn._xlws.FILTER(IF(ISNUMBER(39:39), COLUMN(39:39)), ISNUMBER(39:39)),
  _xlpm.elos, INDEX(38:38,1,_xlpm.colj),
  _xlpm.diffscale, Constantes!$B$2,
  IF(AD39="",
    "",
    SUM(1/(1+POWER(10,-(AD38-_xlpm.elos)/_xlpm.diffscale)))-0.5)
)</f>
        <v/>
      </c>
      <c r="AE40" t="str" cm="1">
        <f t="array" ref="AE40">_xlfn.LET(
  _xlpm.colj, _xlfn._xlws.FILTER(IF(ISNUMBER(39:39), COLUMN(39:39)), ISNUMBER(39:39)),
  _xlpm.elos, INDEX(38:38,1,_xlpm.colj),
  _xlpm.diffscale, Constantes!$B$2,
  IF(AE39="",
    "",
    SUM(1/(1+POWER(10,-(AE38-_xlpm.elos)/_xlpm.diffscale)))-0.5)
)</f>
        <v/>
      </c>
      <c r="AF40" t="str" cm="1">
        <f t="array" ref="AF40">_xlfn.LET(
  _xlpm.colj, _xlfn._xlws.FILTER(IF(ISNUMBER(39:39), COLUMN(39:39)), ISNUMBER(39:39)),
  _xlpm.elos, INDEX(38:38,1,_xlpm.colj),
  _xlpm.diffscale, Constantes!$B$2,
  IF(AF39="",
    "",
    SUM(1/(1+POWER(10,-(AF38-_xlpm.elos)/_xlpm.diffscale)))-0.5)
)</f>
        <v/>
      </c>
      <c r="AG40" t="str" cm="1">
        <f t="array" ref="AG40">_xlfn.LET(
  _xlpm.colj, _xlfn._xlws.FILTER(IF(ISNUMBER(39:39), COLUMN(39:39)), ISNUMBER(39:39)),
  _xlpm.elos, INDEX(38:38,1,_xlpm.colj),
  _xlpm.diffscale, Constantes!$B$2,
  IF(AG39="",
    "",
    SUM(1/(1+POWER(10,-(AG38-_xlpm.elos)/_xlpm.diffscale)))-0.5)
)</f>
        <v/>
      </c>
      <c r="AH40" t="str" cm="1">
        <f t="array" ref="AH40">_xlfn.LET(
  _xlpm.colj, _xlfn._xlws.FILTER(IF(ISNUMBER(39:39), COLUMN(39:39)), ISNUMBER(39:39)),
  _xlpm.elos, INDEX(38:38,1,_xlpm.colj),
  _xlpm.diffscale, Constantes!$B$2,
  IF(AH39="",
    "",
    SUM(1/(1+POWER(10,-(AH38-_xlpm.elos)/_xlpm.diffscale)))-0.5)
)</f>
        <v/>
      </c>
      <c r="AI40" t="str" cm="1">
        <f t="array" ref="AI40">_xlfn.LET(
  _xlpm.colj, _xlfn._xlws.FILTER(IF(ISNUMBER(39:39), COLUMN(39:39)), ISNUMBER(39:39)),
  _xlpm.elos, INDEX(38:38,1,_xlpm.colj),
  _xlpm.diffscale, Constantes!$B$2,
  IF(AI39="",
    "",
    SUM(1/(1+POWER(10,-(AI38-_xlpm.elos)/_xlpm.diffscale)))-0.5)
)</f>
        <v/>
      </c>
      <c r="AJ40" t="str" cm="1">
        <f t="array" ref="AJ40">_xlfn.LET(
  _xlpm.colj, _xlfn._xlws.FILTER(IF(ISNUMBER(39:39), COLUMN(39:39)), ISNUMBER(39:39)),
  _xlpm.elos, INDEX(38:38,1,_xlpm.colj),
  _xlpm.diffscale, Constantes!$B$2,
  IF(AJ39="",
    "",
    SUM(1/(1+POWER(10,-(AJ38-_xlpm.elos)/_xlpm.diffscale)))-0.5)
)</f>
        <v/>
      </c>
      <c r="AK40" t="str" cm="1">
        <f t="array" ref="AK40">_xlfn.LET(
  _xlpm.colj, _xlfn._xlws.FILTER(IF(ISNUMBER(39:39), COLUMN(39:39)), ISNUMBER(39:39)),
  _xlpm.elos, INDEX(38:38,1,_xlpm.colj),
  _xlpm.diffscale, Constantes!$B$2,
  IF(AK39="",
    "",
    SUM(1/(1+POWER(10,-(AK38-_xlpm.elos)/_xlpm.diffscale)))-0.5)
)</f>
        <v/>
      </c>
      <c r="AL40" t="str" cm="1">
        <f t="array" ref="AL40">_xlfn.LET(
  _xlpm.colj, _xlfn._xlws.FILTER(IF(ISNUMBER(39:39), COLUMN(39:39)), ISNUMBER(39:39)),
  _xlpm.elos, INDEX(38:38,1,_xlpm.colj),
  _xlpm.diffscale, Constantes!$B$2,
  IF(AL39="",
    "",
    SUM(1/(1+POWER(10,-(AL38-_xlpm.elos)/_xlpm.diffscale)))-0.5)
)</f>
        <v/>
      </c>
      <c r="AM40" t="str" cm="1">
        <f t="array" ref="AM40">_xlfn.LET(
  _xlpm.colj, _xlfn._xlws.FILTER(IF(ISNUMBER(39:39), COLUMN(39:39)), ISNUMBER(39:39)),
  _xlpm.elos, INDEX(38:38,1,_xlpm.colj),
  _xlpm.diffscale, Constantes!$B$2,
  IF(AM39="",
    "",
    SUM(1/(1+POWER(10,-(AM38-_xlpm.elos)/_xlpm.diffscale)))-0.5)
)</f>
        <v/>
      </c>
    </row>
    <row r="41" spans="1:39" x14ac:dyDescent="0.25">
      <c r="A41" t="s">
        <v>22</v>
      </c>
      <c r="D41" t="str" cm="1">
        <f t="array" ref="D41">_xlfn.LET(
  _xlpm.K, Constantes!$B$3,
  _xlpm.Knewgain, Constantes!$B$4,
  _xlpm.Knewscale, Constantes!$B$5,
  _xlpm.ptstables, INDEX(D:D, _xlfn.SEQUENCE(COUNTA($C$2:$C41), 1, 3, 4)),
  _xlpm.nbparties, COUNTA(_xlfn._xlws.FILTER(_xlpm.ptstables, _xlpm.ptstables &lt;&gt; "")),
  _xlpm.coef, _xlpm.K + _xlpm.Knewgain / (_xlpm.Knewscale + _xlpm.nbparties),
  IF(D39="",
    "",
    _xlpm.coef * (D39-D40))
)</f>
        <v/>
      </c>
      <c r="E41" cm="1">
        <f t="array" ref="E41">_xlfn.LET(
  _xlpm.K, Constantes!$B$3,
  _xlpm.Knewgain, Constantes!$B$4,
  _xlpm.Knewscale, Constantes!$B$5,
  _xlpm.ptstables, INDEX(E:E, _xlfn.SEQUENCE(COUNTA($C$2:$C41), 1, 3, 4)),
  _xlpm.nbparties, COUNTA(_xlfn._xlws.FILTER(_xlpm.ptstables, _xlpm.ptstables &lt;&gt; "")),
  _xlpm.coef, _xlpm.K + _xlpm.Knewgain / (_xlpm.Knewscale + _xlpm.nbparties),
  IF(E39="",
    "",
    _xlpm.coef * (E39-E40))
)</f>
        <v>22.155235687861168</v>
      </c>
      <c r="F41" t="str" cm="1">
        <f t="array" ref="F41">_xlfn.LET(
  _xlpm.K, Constantes!$B$3,
  _xlpm.Knewgain, Constantes!$B$4,
  _xlpm.Knewscale, Constantes!$B$5,
  _xlpm.ptstables, INDEX(F:F, _xlfn.SEQUENCE(COUNTA($C$2:$C41), 1, 3, 4)),
  _xlpm.nbparties, COUNTA(_xlfn._xlws.FILTER(_xlpm.ptstables, _xlpm.ptstables &lt;&gt; "")),
  _xlpm.coef, _xlpm.K + _xlpm.Knewgain / (_xlpm.Knewscale + _xlpm.nbparties),
  IF(F39="",
    "",
    _xlpm.coef * (F39-F40))
)</f>
        <v/>
      </c>
      <c r="G41" t="str" cm="1">
        <f t="array" ref="G41">_xlfn.LET(
  _xlpm.K, Constantes!$B$3,
  _xlpm.Knewgain, Constantes!$B$4,
  _xlpm.Knewscale, Constantes!$B$5,
  _xlpm.ptstables, INDEX(G:G, _xlfn.SEQUENCE(COUNTA($C$2:$C41), 1, 3, 4)),
  _xlpm.nbparties, COUNTA(_xlfn._xlws.FILTER(_xlpm.ptstables, _xlpm.ptstables &lt;&gt; "")),
  _xlpm.coef, _xlpm.K + _xlpm.Knewgain / (_xlpm.Knewscale + _xlpm.nbparties),
  IF(G39="",
    "",
    _xlpm.coef * (G39-G40))
)</f>
        <v/>
      </c>
      <c r="H41" t="str" cm="1">
        <f t="array" ref="H41">_xlfn.LET(
  _xlpm.K, Constantes!$B$3,
  _xlpm.Knewgain, Constantes!$B$4,
  _xlpm.Knewscale, Constantes!$B$5,
  _xlpm.ptstables, INDEX(H:H, _xlfn.SEQUENCE(COUNTA($C$2:$C41), 1, 3, 4)),
  _xlpm.nbparties, COUNTA(_xlfn._xlws.FILTER(_xlpm.ptstables, _xlpm.ptstables &lt;&gt; "")),
  _xlpm.coef, _xlpm.K + _xlpm.Knewgain / (_xlpm.Knewscale + _xlpm.nbparties),
  IF(H39="",
    "",
    _xlpm.coef * (H39-H40))
)</f>
        <v/>
      </c>
      <c r="I41" t="str" cm="1">
        <f t="array" ref="I41">_xlfn.LET(
  _xlpm.K, Constantes!$B$3,
  _xlpm.Knewgain, Constantes!$B$4,
  _xlpm.Knewscale, Constantes!$B$5,
  _xlpm.ptstables, INDEX(I:I, _xlfn.SEQUENCE(COUNTA($C$2:$C41), 1, 3, 4)),
  _xlpm.nbparties, COUNTA(_xlfn._xlws.FILTER(_xlpm.ptstables, _xlpm.ptstables &lt;&gt; "")),
  _xlpm.coef, _xlpm.K + _xlpm.Knewgain / (_xlpm.Knewscale + _xlpm.nbparties),
  IF(I39="",
    "",
    _xlpm.coef * (I39-I40))
)</f>
        <v/>
      </c>
      <c r="J41" t="str" cm="1">
        <f t="array" ref="J41">_xlfn.LET(
  _xlpm.K, Constantes!$B$3,
  _xlpm.Knewgain, Constantes!$B$4,
  _xlpm.Knewscale, Constantes!$B$5,
  _xlpm.ptstables, INDEX(J:J, _xlfn.SEQUENCE(COUNTA($C$2:$C41), 1, 3, 4)),
  _xlpm.nbparties, COUNTA(_xlfn._xlws.FILTER(_xlpm.ptstables, _xlpm.ptstables &lt;&gt; "")),
  _xlpm.coef, _xlpm.K + _xlpm.Knewgain / (_xlpm.Knewscale + _xlpm.nbparties),
  IF(J39="",
    "",
    _xlpm.coef * (J39-J40))
)</f>
        <v/>
      </c>
      <c r="K41" cm="1">
        <f t="array" ref="K41">_xlfn.LET(
  _xlpm.K, Constantes!$B$3,
  _xlpm.Knewgain, Constantes!$B$4,
  _xlpm.Knewscale, Constantes!$B$5,
  _xlpm.ptstables, INDEX(K:K, _xlfn.SEQUENCE(COUNTA($C$2:$C41), 1, 3, 4)),
  _xlpm.nbparties, COUNTA(_xlfn._xlws.FILTER(_xlpm.ptstables, _xlpm.ptstables &lt;&gt; "")),
  _xlpm.coef, _xlpm.K + _xlpm.Knewgain / (_xlpm.Knewscale + _xlpm.nbparties),
  IF(K39="",
    "",
    _xlpm.coef * (K39-K40))
)</f>
        <v>43.201768433526702</v>
      </c>
      <c r="L41" t="str" cm="1">
        <f t="array" ref="L41">_xlfn.LET(
  _xlpm.K, Constantes!$B$3,
  _xlpm.Knewgain, Constantes!$B$4,
  _xlpm.Knewscale, Constantes!$B$5,
  _xlpm.ptstables, INDEX(L:L, _xlfn.SEQUENCE(COUNTA($C$2:$C41), 1, 3, 4)),
  _xlpm.nbparties, COUNTA(_xlfn._xlws.FILTER(_xlpm.ptstables, _xlpm.ptstables &lt;&gt; "")),
  _xlpm.coef, _xlpm.K + _xlpm.Knewgain / (_xlpm.Knewscale + _xlpm.nbparties),
  IF(L39="",
    "",
    _xlpm.coef * (L39-L40))
)</f>
        <v/>
      </c>
      <c r="M41" t="str" cm="1">
        <f t="array" ref="M41">_xlfn.LET(
  _xlpm.K, Constantes!$B$3,
  _xlpm.Knewgain, Constantes!$B$4,
  _xlpm.Knewscale, Constantes!$B$5,
  _xlpm.ptstables, INDEX(M:M, _xlfn.SEQUENCE(COUNTA($C$2:$C41), 1, 3, 4)),
  _xlpm.nbparties, COUNTA(_xlfn._xlws.FILTER(_xlpm.ptstables, _xlpm.ptstables &lt;&gt; "")),
  _xlpm.coef, _xlpm.K + _xlpm.Knewgain / (_xlpm.Knewscale + _xlpm.nbparties),
  IF(M39="",
    "",
    _xlpm.coef * (M39-M40))
)</f>
        <v/>
      </c>
      <c r="N41" t="str" cm="1">
        <f t="array" ref="N41">_xlfn.LET(
  _xlpm.K, Constantes!$B$3,
  _xlpm.Knewgain, Constantes!$B$4,
  _xlpm.Knewscale, Constantes!$B$5,
  _xlpm.ptstables, INDEX(N:N, _xlfn.SEQUENCE(COUNTA($C$2:$C41), 1, 3, 4)),
  _xlpm.nbparties, COUNTA(_xlfn._xlws.FILTER(_xlpm.ptstables, _xlpm.ptstables &lt;&gt; "")),
  _xlpm.coef, _xlpm.K + _xlpm.Knewgain / (_xlpm.Knewscale + _xlpm.nbparties),
  IF(N39="",
    "",
    _xlpm.coef * (N39-N40))
)</f>
        <v/>
      </c>
      <c r="O41" t="str" cm="1">
        <f t="array" ref="O41">_xlfn.LET(
  _xlpm.K, Constantes!$B$3,
  _xlpm.Knewgain, Constantes!$B$4,
  _xlpm.Knewscale, Constantes!$B$5,
  _xlpm.ptstables, INDEX(O:O, _xlfn.SEQUENCE(COUNTA($C$2:$C41), 1, 3, 4)),
  _xlpm.nbparties, COUNTA(_xlfn._xlws.FILTER(_xlpm.ptstables, _xlpm.ptstables &lt;&gt; "")),
  _xlpm.coef, _xlpm.K + _xlpm.Knewgain / (_xlpm.Knewscale + _xlpm.nbparties),
  IF(O39="",
    "",
    _xlpm.coef * (O39-O40))
)</f>
        <v/>
      </c>
      <c r="P41" t="str" cm="1">
        <f t="array" ref="P41">_xlfn.LET(
  _xlpm.K, Constantes!$B$3,
  _xlpm.Knewgain, Constantes!$B$4,
  _xlpm.Knewscale, Constantes!$B$5,
  _xlpm.ptstables, INDEX(P:P, _xlfn.SEQUENCE(COUNTA($C$2:$C41), 1, 3, 4)),
  _xlpm.nbparties, COUNTA(_xlfn._xlws.FILTER(_xlpm.ptstables, _xlpm.ptstables &lt;&gt; "")),
  _xlpm.coef, _xlpm.K + _xlpm.Knewgain / (_xlpm.Knewscale + _xlpm.nbparties),
  IF(P39="",
    "",
    _xlpm.coef * (P39-P40))
)</f>
        <v/>
      </c>
      <c r="Q41" t="str" cm="1">
        <f t="array" ref="Q41">_xlfn.LET(
  _xlpm.K, Constantes!$B$3,
  _xlpm.Knewgain, Constantes!$B$4,
  _xlpm.Knewscale, Constantes!$B$5,
  _xlpm.ptstables, INDEX(Q:Q, _xlfn.SEQUENCE(COUNTA($C$2:$C41), 1, 3, 4)),
  _xlpm.nbparties, COUNTA(_xlfn._xlws.FILTER(_xlpm.ptstables, _xlpm.ptstables &lt;&gt; "")),
  _xlpm.coef, _xlpm.K + _xlpm.Knewgain / (_xlpm.Knewscale + _xlpm.nbparties),
  IF(Q39="",
    "",
    _xlpm.coef * (Q39-Q40))
)</f>
        <v/>
      </c>
      <c r="R41" t="str" cm="1">
        <f t="array" ref="R41">_xlfn.LET(
  _xlpm.K, Constantes!$B$3,
  _xlpm.Knewgain, Constantes!$B$4,
  _xlpm.Knewscale, Constantes!$B$5,
  _xlpm.ptstables, INDEX(R:R, _xlfn.SEQUENCE(COUNTA($C$2:$C41), 1, 3, 4)),
  _xlpm.nbparties, COUNTA(_xlfn._xlws.FILTER(_xlpm.ptstables, _xlpm.ptstables &lt;&gt; "")),
  _xlpm.coef, _xlpm.K + _xlpm.Knewgain / (_xlpm.Knewscale + _xlpm.nbparties),
  IF(R39="",
    "",
    _xlpm.coef * (R39-R40))
)</f>
        <v/>
      </c>
      <c r="S41" t="str" cm="1">
        <f t="array" ref="S41">_xlfn.LET(
  _xlpm.K, Constantes!$B$3,
  _xlpm.Knewgain, Constantes!$B$4,
  _xlpm.Knewscale, Constantes!$B$5,
  _xlpm.ptstables, INDEX(S:S, _xlfn.SEQUENCE(COUNTA($C$2:$C41), 1, 3, 4)),
  _xlpm.nbparties, COUNTA(_xlfn._xlws.FILTER(_xlpm.ptstables, _xlpm.ptstables &lt;&gt; "")),
  _xlpm.coef, _xlpm.K + _xlpm.Knewgain / (_xlpm.Knewscale + _xlpm.nbparties),
  IF(S39="",
    "",
    _xlpm.coef * (S39-S40))
)</f>
        <v/>
      </c>
      <c r="T41" t="str" cm="1">
        <f t="array" ref="T41">_xlfn.LET(
  _xlpm.K, Constantes!$B$3,
  _xlpm.Knewgain, Constantes!$B$4,
  _xlpm.Knewscale, Constantes!$B$5,
  _xlpm.ptstables, INDEX(T:T, _xlfn.SEQUENCE(COUNTA($C$2:$C41), 1, 3, 4)),
  _xlpm.nbparties, COUNTA(_xlfn._xlws.FILTER(_xlpm.ptstables, _xlpm.ptstables &lt;&gt; "")),
  _xlpm.coef, _xlpm.K + _xlpm.Knewgain / (_xlpm.Knewscale + _xlpm.nbparties),
  IF(T39="",
    "",
    _xlpm.coef * (T39-T40))
)</f>
        <v/>
      </c>
      <c r="U41" cm="1">
        <f t="array" ref="U41">_xlfn.LET(
  _xlpm.K, Constantes!$B$3,
  _xlpm.Knewgain, Constantes!$B$4,
  _xlpm.Knewscale, Constantes!$B$5,
  _xlpm.ptstables, INDEX(U:U, _xlfn.SEQUENCE(COUNTA($C$2:$C41), 1, 3, 4)),
  _xlpm.nbparties, COUNTA(_xlfn._xlws.FILTER(_xlpm.ptstables, _xlpm.ptstables &lt;&gt; "")),
  _xlpm.coef, _xlpm.K + _xlpm.Knewgain / (_xlpm.Knewscale + _xlpm.nbparties),
  IF(U39="",
    "",
    _xlpm.coef * (U39-U40))
)</f>
        <v>-33.483376068234485</v>
      </c>
      <c r="V41" cm="1">
        <f t="array" ref="V41">_xlfn.LET(
  _xlpm.K, Constantes!$B$3,
  _xlpm.Knewgain, Constantes!$B$4,
  _xlpm.Knewscale, Constantes!$B$5,
  _xlpm.ptstables, INDEX(V:V, _xlfn.SEQUENCE(COUNTA($C$2:$C41), 1, 3, 4)),
  _xlpm.nbparties, COUNTA(_xlfn._xlws.FILTER(_xlpm.ptstables, _xlpm.ptstables &lt;&gt; "")),
  _xlpm.coef, _xlpm.K + _xlpm.Knewgain / (_xlpm.Knewscale + _xlpm.nbparties),
  IF(V39="",
    "",
    _xlpm.coef * (V39-V40))
)</f>
        <v>-56.268024740586071</v>
      </c>
      <c r="W41" t="str" cm="1">
        <f t="array" ref="W41">_xlfn.LET(
  _xlpm.K, Constantes!$B$3,
  _xlpm.Knewgain, Constantes!$B$4,
  _xlpm.Knewscale, Constantes!$B$5,
  _xlpm.ptstables, INDEX(W:W, _xlfn.SEQUENCE(COUNTA($C$2:$C41), 1, 3, 4)),
  _xlpm.nbparties, COUNTA(_xlfn._xlws.FILTER(_xlpm.ptstables, _xlpm.ptstables &lt;&gt; "")),
  _xlpm.coef, _xlpm.K + _xlpm.Knewgain / (_xlpm.Knewscale + _xlpm.nbparties),
  IF(W39="",
    "",
    _xlpm.coef * (W39-W40))
)</f>
        <v/>
      </c>
      <c r="X41" t="str" cm="1">
        <f t="array" ref="X41">_xlfn.LET(
  _xlpm.K, Constantes!$B$3,
  _xlpm.Knewgain, Constantes!$B$4,
  _xlpm.Knewscale, Constantes!$B$5,
  _xlpm.ptstables, INDEX(X:X, _xlfn.SEQUENCE(COUNTA($C$2:$C41), 1, 3, 4)),
  _xlpm.nbparties, COUNTA(_xlfn._xlws.FILTER(_xlpm.ptstables, _xlpm.ptstables &lt;&gt; "")),
  _xlpm.coef, _xlpm.K + _xlpm.Knewgain / (_xlpm.Knewscale + _xlpm.nbparties),
  IF(X39="",
    "",
    _xlpm.coef * (X39-X40))
)</f>
        <v/>
      </c>
      <c r="Y41" t="str" cm="1">
        <f t="array" ref="Y41">_xlfn.LET(
  _xlpm.K, Constantes!$B$3,
  _xlpm.Knewgain, Constantes!$B$4,
  _xlpm.Knewscale, Constantes!$B$5,
  _xlpm.ptstables, INDEX(Y:Y, _xlfn.SEQUENCE(COUNTA($C$2:$C41), 1, 3, 4)),
  _xlpm.nbparties, COUNTA(_xlfn._xlws.FILTER(_xlpm.ptstables, _xlpm.ptstables &lt;&gt; "")),
  _xlpm.coef, _xlpm.K + _xlpm.Knewgain / (_xlpm.Knewscale + _xlpm.nbparties),
  IF(Y39="",
    "",
    _xlpm.coef * (Y39-Y40))
)</f>
        <v/>
      </c>
      <c r="Z41" t="str" cm="1">
        <f t="array" ref="Z41">_xlfn.LET(
  _xlpm.K, Constantes!$B$3,
  _xlpm.Knewgain, Constantes!$B$4,
  _xlpm.Knewscale, Constantes!$B$5,
  _xlpm.ptstables, INDEX(Z:Z, _xlfn.SEQUENCE(COUNTA($C$2:$C41), 1, 3, 4)),
  _xlpm.nbparties, COUNTA(_xlfn._xlws.FILTER(_xlpm.ptstables, _xlpm.ptstables &lt;&gt; "")),
  _xlpm.coef, _xlpm.K + _xlpm.Knewgain / (_xlpm.Knewscale + _xlpm.nbparties),
  IF(Z39="",
    "",
    _xlpm.coef * (Z39-Z40))
)</f>
        <v/>
      </c>
      <c r="AA41" t="str" cm="1">
        <f t="array" ref="AA41">_xlfn.LET(
  _xlpm.K, Constantes!$B$3,
  _xlpm.Knewgain, Constantes!$B$4,
  _xlpm.Knewscale, Constantes!$B$5,
  _xlpm.ptstables, INDEX(AA:AA, _xlfn.SEQUENCE(COUNTA($C$2:$C41), 1, 3, 4)),
  _xlpm.nbparties, COUNTA(_xlfn._xlws.FILTER(_xlpm.ptstables, _xlpm.ptstables &lt;&gt; "")),
  _xlpm.coef, _xlpm.K + _xlpm.Knewgain / (_xlpm.Knewscale + _xlpm.nbparties),
  IF(AA39="",
    "",
    _xlpm.coef * (AA39-AA40))
)</f>
        <v/>
      </c>
      <c r="AB41" t="str" cm="1">
        <f t="array" ref="AB41">_xlfn.LET(
  _xlpm.K, Constantes!$B$3,
  _xlpm.Knewgain, Constantes!$B$4,
  _xlpm.Knewscale, Constantes!$B$5,
  _xlpm.ptstables, INDEX(AB:AB, _xlfn.SEQUENCE(COUNTA($C$2:$C41), 1, 3, 4)),
  _xlpm.nbparties, COUNTA(_xlfn._xlws.FILTER(_xlpm.ptstables, _xlpm.ptstables &lt;&gt; "")),
  _xlpm.coef, _xlpm.K + _xlpm.Knewgain / (_xlpm.Knewscale + _xlpm.nbparties),
  IF(AB39="",
    "",
    _xlpm.coef * (AB39-AB40))
)</f>
        <v/>
      </c>
      <c r="AC41" t="str" cm="1">
        <f t="array" ref="AC41">_xlfn.LET(
  _xlpm.K, Constantes!$B$3,
  _xlpm.Knewgain, Constantes!$B$4,
  _xlpm.Knewscale, Constantes!$B$5,
  _xlpm.ptstables, INDEX(AC:AC, _xlfn.SEQUENCE(COUNTA($C$2:$C41), 1, 3, 4)),
  _xlpm.nbparties, COUNTA(_xlfn._xlws.FILTER(_xlpm.ptstables, _xlpm.ptstables &lt;&gt; "")),
  _xlpm.coef, _xlpm.K + _xlpm.Knewgain / (_xlpm.Knewscale + _xlpm.nbparties),
  IF(AC39="",
    "",
    _xlpm.coef * (AC39-AC40))
)</f>
        <v/>
      </c>
      <c r="AD41" t="str" cm="1">
        <f t="array" ref="AD41">_xlfn.LET(
  _xlpm.K, Constantes!$B$3,
  _xlpm.Knewgain, Constantes!$B$4,
  _xlpm.Knewscale, Constantes!$B$5,
  _xlpm.ptstables, INDEX(AD:AD, _xlfn.SEQUENCE(COUNTA($C$2:$C41), 1, 3, 4)),
  _xlpm.nbparties, COUNTA(_xlfn._xlws.FILTER(_xlpm.ptstables, _xlpm.ptstables &lt;&gt; "")),
  _xlpm.coef, _xlpm.K + _xlpm.Knewgain / (_xlpm.Knewscale + _xlpm.nbparties),
  IF(AD39="",
    "",
    _xlpm.coef * (AD39-AD40))
)</f>
        <v/>
      </c>
      <c r="AE41" t="str" cm="1">
        <f t="array" ref="AE41">_xlfn.LET(
  _xlpm.K, Constantes!$B$3,
  _xlpm.Knewgain, Constantes!$B$4,
  _xlpm.Knewscale, Constantes!$B$5,
  _xlpm.ptstables, INDEX(AE:AE, _xlfn.SEQUENCE(COUNTA($C$2:$C41), 1, 3, 4)),
  _xlpm.nbparties, COUNTA(_xlfn._xlws.FILTER(_xlpm.ptstables, _xlpm.ptstables &lt;&gt; "")),
  _xlpm.coef, _xlpm.K + _xlpm.Knewgain / (_xlpm.Knewscale + _xlpm.nbparties),
  IF(AE39="",
    "",
    _xlpm.coef * (AE39-AE40))
)</f>
        <v/>
      </c>
      <c r="AF41" t="str" cm="1">
        <f t="array" ref="AF41">_xlfn.LET(
  _xlpm.K, Constantes!$B$3,
  _xlpm.Knewgain, Constantes!$B$4,
  _xlpm.Knewscale, Constantes!$B$5,
  _xlpm.ptstables, INDEX(AF:AF, _xlfn.SEQUENCE(COUNTA($C$2:$C41), 1, 3, 4)),
  _xlpm.nbparties, COUNTA(_xlfn._xlws.FILTER(_xlpm.ptstables, _xlpm.ptstables &lt;&gt; "")),
  _xlpm.coef, _xlpm.K + _xlpm.Knewgain / (_xlpm.Knewscale + _xlpm.nbparties),
  IF(AF39="",
    "",
    _xlpm.coef * (AF39-AF40))
)</f>
        <v/>
      </c>
      <c r="AG41" t="str" cm="1">
        <f t="array" ref="AG41">_xlfn.LET(
  _xlpm.K, Constantes!$B$3,
  _xlpm.Knewgain, Constantes!$B$4,
  _xlpm.Knewscale, Constantes!$B$5,
  _xlpm.ptstables, INDEX(AG:AG, _xlfn.SEQUENCE(COUNTA($C$2:$C41), 1, 3, 4)),
  _xlpm.nbparties, COUNTA(_xlfn._xlws.FILTER(_xlpm.ptstables, _xlpm.ptstables &lt;&gt; "")),
  _xlpm.coef, _xlpm.K + _xlpm.Knewgain / (_xlpm.Knewscale + _xlpm.nbparties),
  IF(AG39="",
    "",
    _xlpm.coef * (AG39-AG40))
)</f>
        <v/>
      </c>
      <c r="AH41" t="str" cm="1">
        <f t="array" ref="AH41">_xlfn.LET(
  _xlpm.K, Constantes!$B$3,
  _xlpm.Knewgain, Constantes!$B$4,
  _xlpm.Knewscale, Constantes!$B$5,
  _xlpm.ptstables, INDEX(AH:AH, _xlfn.SEQUENCE(COUNTA($C$2:$C41), 1, 3, 4)),
  _xlpm.nbparties, COUNTA(_xlfn._xlws.FILTER(_xlpm.ptstables, _xlpm.ptstables &lt;&gt; "")),
  _xlpm.coef, _xlpm.K + _xlpm.Knewgain / (_xlpm.Knewscale + _xlpm.nbparties),
  IF(AH39="",
    "",
    _xlpm.coef * (AH39-AH40))
)</f>
        <v/>
      </c>
      <c r="AI41" t="str" cm="1">
        <f t="array" ref="AI41">_xlfn.LET(
  _xlpm.K, Constantes!$B$3,
  _xlpm.Knewgain, Constantes!$B$4,
  _xlpm.Knewscale, Constantes!$B$5,
  _xlpm.ptstables, INDEX(AI:AI, _xlfn.SEQUENCE(COUNTA($C$2:$C41), 1, 3, 4)),
  _xlpm.nbparties, COUNTA(_xlfn._xlws.FILTER(_xlpm.ptstables, _xlpm.ptstables &lt;&gt; "")),
  _xlpm.coef, _xlpm.K + _xlpm.Knewgain / (_xlpm.Knewscale + _xlpm.nbparties),
  IF(AI39="",
    "",
    _xlpm.coef * (AI39-AI40))
)</f>
        <v/>
      </c>
      <c r="AJ41" t="str" cm="1">
        <f t="array" ref="AJ41">_xlfn.LET(
  _xlpm.K, Constantes!$B$3,
  _xlpm.Knewgain, Constantes!$B$4,
  _xlpm.Knewscale, Constantes!$B$5,
  _xlpm.ptstables, INDEX(AJ:AJ, _xlfn.SEQUENCE(COUNTA($C$2:$C41), 1, 3, 4)),
  _xlpm.nbparties, COUNTA(_xlfn._xlws.FILTER(_xlpm.ptstables, _xlpm.ptstables &lt;&gt; "")),
  _xlpm.coef, _xlpm.K + _xlpm.Knewgain / (_xlpm.Knewscale + _xlpm.nbparties),
  IF(AJ39="",
    "",
    _xlpm.coef * (AJ39-AJ40))
)</f>
        <v/>
      </c>
      <c r="AK41" t="str" cm="1">
        <f t="array" ref="AK41">_xlfn.LET(
  _xlpm.K, Constantes!$B$3,
  _xlpm.Knewgain, Constantes!$B$4,
  _xlpm.Knewscale, Constantes!$B$5,
  _xlpm.ptstables, INDEX(AK:AK, _xlfn.SEQUENCE(COUNTA($C$2:$C41), 1, 3, 4)),
  _xlpm.nbparties, COUNTA(_xlfn._xlws.FILTER(_xlpm.ptstables, _xlpm.ptstables &lt;&gt; "")),
  _xlpm.coef, _xlpm.K + _xlpm.Knewgain / (_xlpm.Knewscale + _xlpm.nbparties),
  IF(AK39="",
    "",
    _xlpm.coef * (AK39-AK40))
)</f>
        <v/>
      </c>
      <c r="AL41" t="str" cm="1">
        <f t="array" ref="AL41">_xlfn.LET(
  _xlpm.K, Constantes!$B$3,
  _xlpm.Knewgain, Constantes!$B$4,
  _xlpm.Knewscale, Constantes!$B$5,
  _xlpm.ptstables, INDEX(AL:AL, _xlfn.SEQUENCE(COUNTA($C$2:$C41), 1, 3, 4)),
  _xlpm.nbparties, COUNTA(_xlfn._xlws.FILTER(_xlpm.ptstables, _xlpm.ptstables &lt;&gt; "")),
  _xlpm.coef, _xlpm.K + _xlpm.Knewgain / (_xlpm.Knewscale + _xlpm.nbparties),
  IF(AL39="",
    "",
    _xlpm.coef * (AL39-AL40))
)</f>
        <v/>
      </c>
      <c r="AM41" t="str" cm="1">
        <f t="array" ref="AM41">_xlfn.LET(
  _xlpm.K, Constantes!$B$3,
  _xlpm.Knewgain, Constantes!$B$4,
  _xlpm.Knewscale, Constantes!$B$5,
  _xlpm.ptstables, INDEX(AM:AM, _xlfn.SEQUENCE(COUNTA($C$2:$C41), 1, 3, 4)),
  _xlpm.nbparties, COUNTA(_xlfn._xlws.FILTER(_xlpm.ptstables, _xlpm.ptstables &lt;&gt; "")),
  _xlpm.coef, _xlpm.K + _xlpm.Knewgain / (_xlpm.Knewscale + _xlpm.nbparties),
  IF(AM39="",
    "",
    _xlpm.coef * (AM39-AM40))
)</f>
        <v/>
      </c>
    </row>
    <row r="42" spans="1:39" x14ac:dyDescent="0.25">
      <c r="A42" t="s">
        <v>14</v>
      </c>
      <c r="B42" t="str" cm="1">
        <f t="array" ref="B4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14</v>
      </c>
      <c r="C42" s="2" cm="1">
        <f t="array" ref="C42">IF(B42="","",
  INDEX(Donnees!F:F, MATCH(B42, Donnees!F:F, 0)+1))</f>
        <v>45913.591493055559</v>
      </c>
      <c r="D42">
        <f t="shared" ref="D42:AM42" si="18">D38+IF(D41="",0,D41)</f>
        <v>1049.0651592067093</v>
      </c>
      <c r="E42">
        <f t="shared" si="18"/>
        <v>1202.2974669006805</v>
      </c>
      <c r="F42">
        <f t="shared" si="18"/>
        <v>909.87928229209808</v>
      </c>
      <c r="G42">
        <f t="shared" si="18"/>
        <v>1047.1181518097756</v>
      </c>
      <c r="H42">
        <f t="shared" si="18"/>
        <v>976.44998683474398</v>
      </c>
      <c r="I42">
        <f t="shared" si="18"/>
        <v>1016.6476899092447</v>
      </c>
      <c r="J42">
        <f t="shared" si="18"/>
        <v>938.49433816478961</v>
      </c>
      <c r="K42">
        <f t="shared" si="18"/>
        <v>957.67754592822814</v>
      </c>
      <c r="L42">
        <f t="shared" si="18"/>
        <v>878.7153998467162</v>
      </c>
      <c r="M42">
        <f t="shared" si="18"/>
        <v>965.238738457664</v>
      </c>
      <c r="N42">
        <f t="shared" si="18"/>
        <v>995.58652324860282</v>
      </c>
      <c r="O42">
        <f t="shared" si="18"/>
        <v>1068.3356299075012</v>
      </c>
      <c r="P42">
        <f t="shared" si="18"/>
        <v>928.22092632073486</v>
      </c>
      <c r="Q42">
        <f t="shared" si="18"/>
        <v>985.54250487050535</v>
      </c>
      <c r="R42">
        <f t="shared" si="18"/>
        <v>997.8</v>
      </c>
      <c r="S42">
        <f t="shared" si="18"/>
        <v>984.505</v>
      </c>
      <c r="T42">
        <f t="shared" si="18"/>
        <v>1029.905</v>
      </c>
      <c r="U42">
        <f t="shared" si="18"/>
        <v>1059.3016239317653</v>
      </c>
      <c r="V42">
        <f t="shared" si="18"/>
        <v>943.32697525941398</v>
      </c>
      <c r="W42">
        <f t="shared" si="18"/>
        <v>1000</v>
      </c>
      <c r="X42">
        <f t="shared" si="18"/>
        <v>899.53</v>
      </c>
      <c r="Y42">
        <f t="shared" si="18"/>
        <v>941.52</v>
      </c>
      <c r="Z42">
        <f t="shared" si="18"/>
        <v>1000</v>
      </c>
      <c r="AA42">
        <f t="shared" si="18"/>
        <v>1000</v>
      </c>
      <c r="AB42">
        <f t="shared" si="18"/>
        <v>979.56500000000005</v>
      </c>
      <c r="AC42">
        <f t="shared" si="18"/>
        <v>1032.51</v>
      </c>
      <c r="AD42">
        <f t="shared" si="18"/>
        <v>974.01499999999999</v>
      </c>
      <c r="AE42">
        <f t="shared" si="18"/>
        <v>1011.415</v>
      </c>
      <c r="AF42">
        <f t="shared" si="18"/>
        <v>1031.1199999999999</v>
      </c>
      <c r="AG42">
        <f t="shared" si="18"/>
        <v>1001.0350000000001</v>
      </c>
      <c r="AH42">
        <f t="shared" si="18"/>
        <v>994.44</v>
      </c>
      <c r="AI42">
        <f t="shared" si="18"/>
        <v>1000</v>
      </c>
      <c r="AJ42">
        <f t="shared" si="18"/>
        <v>957.2</v>
      </c>
      <c r="AK42">
        <f t="shared" si="18"/>
        <v>1000</v>
      </c>
      <c r="AL42">
        <f t="shared" si="18"/>
        <v>1055.9299999999998</v>
      </c>
      <c r="AM42">
        <f t="shared" si="18"/>
        <v>1000</v>
      </c>
    </row>
    <row r="43" spans="1:39" x14ac:dyDescent="0.25">
      <c r="A43" t="s">
        <v>21</v>
      </c>
      <c r="D43" cm="1">
        <f t="array" ref="D43">IFERROR(
  _xlfn.LET(
    _xlpm.ligpartie, MATCH($B42, Donnees!$F:$F, 0),
    _xlpm.joueurs, INDEX(Donnees!$A:$Z, _xlpm.ligpartie+1, _xlfn.SEQUENCE(1, 4, 2)),
    INDEX(
      Donnees!$A:$Z,
      _xlpm.ligpartie + 3,
      MATCH(D$1, _xlpm.joueurs, 0) + 1
    )
  ), ""
)</f>
        <v>3</v>
      </c>
      <c r="E43" t="str" cm="1">
        <f t="array" ref="E43">IFERROR(
  _xlfn.LET(
    _xlpm.ligpartie, MATCH($B42, Donnees!$F:$F, 0),
    _xlpm.joueurs, INDEX(Donnees!$A:$Z, _xlpm.ligpartie+1, _xlfn.SEQUENCE(1, 4, 2)),
    INDEX(
      Donnees!$A:$Z,
      _xlpm.ligpartie + 3,
      MATCH(E$1, _xlpm.joueurs, 0) + 1
    )
  ), ""
)</f>
        <v/>
      </c>
      <c r="F43" t="str" cm="1">
        <f t="array" ref="F43">IFERROR(
  _xlfn.LET(
    _xlpm.ligpartie, MATCH($B42, Donnees!$F:$F, 0),
    _xlpm.joueurs, INDEX(Donnees!$A:$Z, _xlpm.ligpartie+1, _xlfn.SEQUENCE(1, 4, 2)),
    INDEX(
      Donnees!$A:$Z,
      _xlpm.ligpartie + 3,
      MATCH(F$1, _xlpm.joueurs, 0) + 1
    )
  ), ""
)</f>
        <v/>
      </c>
      <c r="G43" t="str" cm="1">
        <f t="array" ref="G43">IFERROR(
  _xlfn.LET(
    _xlpm.ligpartie, MATCH($B42, Donnees!$F:$F, 0),
    _xlpm.joueurs, INDEX(Donnees!$A:$Z, _xlpm.ligpartie+1, _xlfn.SEQUENCE(1, 4, 2)),
    INDEX(
      Donnees!$A:$Z,
      _xlpm.ligpartie + 3,
      MATCH(G$1, _xlpm.joueurs, 0) + 1
    )
  ), ""
)</f>
        <v/>
      </c>
      <c r="H43" t="str" cm="1">
        <f t="array" ref="H43">IFERROR(
  _xlfn.LET(
    _xlpm.ligpartie, MATCH($B42, Donnees!$F:$F, 0),
    _xlpm.joueurs, INDEX(Donnees!$A:$Z, _xlpm.ligpartie+1, _xlfn.SEQUENCE(1, 4, 2)),
    INDEX(
      Donnees!$A:$Z,
      _xlpm.ligpartie + 3,
      MATCH(H$1, _xlpm.joueurs, 0) + 1
    )
  ), ""
)</f>
        <v/>
      </c>
      <c r="I43" t="str" cm="1">
        <f t="array" ref="I43">IFERROR(
  _xlfn.LET(
    _xlpm.ligpartie, MATCH($B42, Donnees!$F:$F, 0),
    _xlpm.joueurs, INDEX(Donnees!$A:$Z, _xlpm.ligpartie+1, _xlfn.SEQUENCE(1, 4, 2)),
    INDEX(
      Donnees!$A:$Z,
      _xlpm.ligpartie + 3,
      MATCH(I$1, _xlpm.joueurs, 0) + 1
    )
  ), ""
)</f>
        <v/>
      </c>
      <c r="J43" t="str" cm="1">
        <f t="array" ref="J43">IFERROR(
  _xlfn.LET(
    _xlpm.ligpartie, MATCH($B42, Donnees!$F:$F, 0),
    _xlpm.joueurs, INDEX(Donnees!$A:$Z, _xlpm.ligpartie+1, _xlfn.SEQUENCE(1, 4, 2)),
    INDEX(
      Donnees!$A:$Z,
      _xlpm.ligpartie + 3,
      MATCH(J$1, _xlpm.joueurs, 0) + 1
    )
  ), ""
)</f>
        <v/>
      </c>
      <c r="K43" t="str" cm="1">
        <f t="array" ref="K43">IFERROR(
  _xlfn.LET(
    _xlpm.ligpartie, MATCH($B42, Donnees!$F:$F, 0),
    _xlpm.joueurs, INDEX(Donnees!$A:$Z, _xlpm.ligpartie+1, _xlfn.SEQUENCE(1, 4, 2)),
    INDEX(
      Donnees!$A:$Z,
      _xlpm.ligpartie + 3,
      MATCH(K$1, _xlpm.joueurs, 0) + 1
    )
  ), ""
)</f>
        <v/>
      </c>
      <c r="L43" t="str" cm="1">
        <f t="array" ref="L43">IFERROR(
  _xlfn.LET(
    _xlpm.ligpartie, MATCH($B42, Donnees!$F:$F, 0),
    _xlpm.joueurs, INDEX(Donnees!$A:$Z, _xlpm.ligpartie+1, _xlfn.SEQUENCE(1, 4, 2)),
    INDEX(
      Donnees!$A:$Z,
      _xlpm.ligpartie + 3,
      MATCH(L$1, _xlpm.joueurs, 0) + 1
    )
  ), ""
)</f>
        <v/>
      </c>
      <c r="M43" t="str" cm="1">
        <f t="array" ref="M43">IFERROR(
  _xlfn.LET(
    _xlpm.ligpartie, MATCH($B42, Donnees!$F:$F, 0),
    _xlpm.joueurs, INDEX(Donnees!$A:$Z, _xlpm.ligpartie+1, _xlfn.SEQUENCE(1, 4, 2)),
    INDEX(
      Donnees!$A:$Z,
      _xlpm.ligpartie + 3,
      MATCH(M$1, _xlpm.joueurs, 0) + 1
    )
  ), ""
)</f>
        <v/>
      </c>
      <c r="N43" t="str" cm="1">
        <f t="array" ref="N43">IFERROR(
  _xlfn.LET(
    _xlpm.ligpartie, MATCH($B42, Donnees!$F:$F, 0),
    _xlpm.joueurs, INDEX(Donnees!$A:$Z, _xlpm.ligpartie+1, _xlfn.SEQUENCE(1, 4, 2)),
    INDEX(
      Donnees!$A:$Z,
      _xlpm.ligpartie + 3,
      MATCH(N$1, _xlpm.joueurs, 0) + 1
    )
  ), ""
)</f>
        <v/>
      </c>
      <c r="O43" t="str" cm="1">
        <f t="array" ref="O43">IFERROR(
  _xlfn.LET(
    _xlpm.ligpartie, MATCH($B42, Donnees!$F:$F, 0),
    _xlpm.joueurs, INDEX(Donnees!$A:$Z, _xlpm.ligpartie+1, _xlfn.SEQUENCE(1, 4, 2)),
    INDEX(
      Donnees!$A:$Z,
      _xlpm.ligpartie + 3,
      MATCH(O$1, _xlpm.joueurs, 0) + 1
    )
  ), ""
)</f>
        <v/>
      </c>
      <c r="P43" cm="1">
        <f t="array" ref="P43">IFERROR(
  _xlfn.LET(
    _xlpm.ligpartie, MATCH($B42, Donnees!$F:$F, 0),
    _xlpm.joueurs, INDEX(Donnees!$A:$Z, _xlpm.ligpartie+1, _xlfn.SEQUENCE(1, 4, 2)),
    INDEX(
      Donnees!$A:$Z,
      _xlpm.ligpartie + 3,
      MATCH(P$1, _xlpm.joueurs, 0) + 1
    )
  ), ""
)</f>
        <v>2</v>
      </c>
      <c r="Q43" t="str" cm="1">
        <f t="array" ref="Q43">IFERROR(
  _xlfn.LET(
    _xlpm.ligpartie, MATCH($B42, Donnees!$F:$F, 0),
    _xlpm.joueurs, INDEX(Donnees!$A:$Z, _xlpm.ligpartie+1, _xlfn.SEQUENCE(1, 4, 2)),
    INDEX(
      Donnees!$A:$Z,
      _xlpm.ligpartie + 3,
      MATCH(Q$1, _xlpm.joueurs, 0) + 1
    )
  ), ""
)</f>
        <v/>
      </c>
      <c r="R43" t="str" cm="1">
        <f t="array" ref="R43">IFERROR(
  _xlfn.LET(
    _xlpm.ligpartie, MATCH($B42, Donnees!$F:$F, 0),
    _xlpm.joueurs, INDEX(Donnees!$A:$Z, _xlpm.ligpartie+1, _xlfn.SEQUENCE(1, 4, 2)),
    INDEX(
      Donnees!$A:$Z,
      _xlpm.ligpartie + 3,
      MATCH(R$1, _xlpm.joueurs, 0) + 1
    )
  ), ""
)</f>
        <v/>
      </c>
      <c r="S43" t="str" cm="1">
        <f t="array" ref="S43">IFERROR(
  _xlfn.LET(
    _xlpm.ligpartie, MATCH($B42, Donnees!$F:$F, 0),
    _xlpm.joueurs, INDEX(Donnees!$A:$Z, _xlpm.ligpartie+1, _xlfn.SEQUENCE(1, 4, 2)),
    INDEX(
      Donnees!$A:$Z,
      _xlpm.ligpartie + 3,
      MATCH(S$1, _xlpm.joueurs, 0) + 1
    )
  ), ""
)</f>
        <v/>
      </c>
      <c r="T43" t="str" cm="1">
        <f t="array" ref="T43">IFERROR(
  _xlfn.LET(
    _xlpm.ligpartie, MATCH($B42, Donnees!$F:$F, 0),
    _xlpm.joueurs, INDEX(Donnees!$A:$Z, _xlpm.ligpartie+1, _xlfn.SEQUENCE(1, 4, 2)),
    INDEX(
      Donnees!$A:$Z,
      _xlpm.ligpartie + 3,
      MATCH(T$1, _xlpm.joueurs, 0) + 1
    )
  ), ""
)</f>
        <v/>
      </c>
      <c r="U43" t="str" cm="1">
        <f t="array" ref="U43">IFERROR(
  _xlfn.LET(
    _xlpm.ligpartie, MATCH($B42, Donnees!$F:$F, 0),
    _xlpm.joueurs, INDEX(Donnees!$A:$Z, _xlpm.ligpartie+1, _xlfn.SEQUENCE(1, 4, 2)),
    INDEX(
      Donnees!$A:$Z,
      _xlpm.ligpartie + 3,
      MATCH(U$1, _xlpm.joueurs, 0) + 1
    )
  ), ""
)</f>
        <v/>
      </c>
      <c r="V43" t="str" cm="1">
        <f t="array" ref="V43">IFERROR(
  _xlfn.LET(
    _xlpm.ligpartie, MATCH($B42, Donnees!$F:$F, 0),
    _xlpm.joueurs, INDEX(Donnees!$A:$Z, _xlpm.ligpartie+1, _xlfn.SEQUENCE(1, 4, 2)),
    INDEX(
      Donnees!$A:$Z,
      _xlpm.ligpartie + 3,
      MATCH(V$1, _xlpm.joueurs, 0) + 1
    )
  ), ""
)</f>
        <v/>
      </c>
      <c r="W43" t="str" cm="1">
        <f t="array" ref="W43">IFERROR(
  _xlfn.LET(
    _xlpm.ligpartie, MATCH($B42, Donnees!$F:$F, 0),
    _xlpm.joueurs, INDEX(Donnees!$A:$Z, _xlpm.ligpartie+1, _xlfn.SEQUENCE(1, 4, 2)),
    INDEX(
      Donnees!$A:$Z,
      _xlpm.ligpartie + 3,
      MATCH(W$1, _xlpm.joueurs, 0) + 1
    )
  ), ""
)</f>
        <v/>
      </c>
      <c r="X43" cm="1">
        <f t="array" ref="X43">IFERROR(
  _xlfn.LET(
    _xlpm.ligpartie, MATCH($B42, Donnees!$F:$F, 0),
    _xlpm.joueurs, INDEX(Donnees!$A:$Z, _xlpm.ligpartie+1, _xlfn.SEQUENCE(1, 4, 2)),
    INDEX(
      Donnees!$A:$Z,
      _xlpm.ligpartie + 3,
      MATCH(X$1, _xlpm.joueurs, 0) + 1
    )
  ), ""
)</f>
        <v>1</v>
      </c>
      <c r="Y43" cm="1">
        <f t="array" ref="Y43">IFERROR(
  _xlfn.LET(
    _xlpm.ligpartie, MATCH($B42, Donnees!$F:$F, 0),
    _xlpm.joueurs, INDEX(Donnees!$A:$Z, _xlpm.ligpartie+1, _xlfn.SEQUENCE(1, 4, 2)),
    INDEX(
      Donnees!$A:$Z,
      _xlpm.ligpartie + 3,
      MATCH(Y$1, _xlpm.joueurs, 0) + 1
    )
  ), ""
)</f>
        <v>0</v>
      </c>
      <c r="Z43" t="str" cm="1">
        <f t="array" ref="Z43">IFERROR(
  _xlfn.LET(
    _xlpm.ligpartie, MATCH($B42, Donnees!$F:$F, 0),
    _xlpm.joueurs, INDEX(Donnees!$A:$Z, _xlpm.ligpartie+1, _xlfn.SEQUENCE(1, 4, 2)),
    INDEX(
      Donnees!$A:$Z,
      _xlpm.ligpartie + 3,
      MATCH(Z$1, _xlpm.joueurs, 0) + 1
    )
  ), ""
)</f>
        <v/>
      </c>
      <c r="AA43" t="str" cm="1">
        <f t="array" ref="AA43">IFERROR(
  _xlfn.LET(
    _xlpm.ligpartie, MATCH($B42, Donnees!$F:$F, 0),
    _xlpm.joueurs, INDEX(Donnees!$A:$Z, _xlpm.ligpartie+1, _xlfn.SEQUENCE(1, 4, 2)),
    INDEX(
      Donnees!$A:$Z,
      _xlpm.ligpartie + 3,
      MATCH(AA$1, _xlpm.joueurs, 0) + 1
    )
  ), ""
)</f>
        <v/>
      </c>
      <c r="AB43" t="str" cm="1">
        <f t="array" ref="AB43">IFERROR(
  _xlfn.LET(
    _xlpm.ligpartie, MATCH($B42, Donnees!$F:$F, 0),
    _xlpm.joueurs, INDEX(Donnees!$A:$Z, _xlpm.ligpartie+1, _xlfn.SEQUENCE(1, 4, 2)),
    INDEX(
      Donnees!$A:$Z,
      _xlpm.ligpartie + 3,
      MATCH(AB$1, _xlpm.joueurs, 0) + 1
    )
  ), ""
)</f>
        <v/>
      </c>
      <c r="AC43" t="str" cm="1">
        <f t="array" ref="AC43">IFERROR(
  _xlfn.LET(
    _xlpm.ligpartie, MATCH($B42, Donnees!$F:$F, 0),
    _xlpm.joueurs, INDEX(Donnees!$A:$Z, _xlpm.ligpartie+1, _xlfn.SEQUENCE(1, 4, 2)),
    INDEX(
      Donnees!$A:$Z,
      _xlpm.ligpartie + 3,
      MATCH(AC$1, _xlpm.joueurs, 0) + 1
    )
  ), ""
)</f>
        <v/>
      </c>
      <c r="AD43" t="str" cm="1">
        <f t="array" ref="AD43">IFERROR(
  _xlfn.LET(
    _xlpm.ligpartie, MATCH($B42, Donnees!$F:$F, 0),
    _xlpm.joueurs, INDEX(Donnees!$A:$Z, _xlpm.ligpartie+1, _xlfn.SEQUENCE(1, 4, 2)),
    INDEX(
      Donnees!$A:$Z,
      _xlpm.ligpartie + 3,
      MATCH(AD$1, _xlpm.joueurs, 0) + 1
    )
  ), ""
)</f>
        <v/>
      </c>
      <c r="AE43" t="str" cm="1">
        <f t="array" ref="AE43">IFERROR(
  _xlfn.LET(
    _xlpm.ligpartie, MATCH($B42, Donnees!$F:$F, 0),
    _xlpm.joueurs, INDEX(Donnees!$A:$Z, _xlpm.ligpartie+1, _xlfn.SEQUENCE(1, 4, 2)),
    INDEX(
      Donnees!$A:$Z,
      _xlpm.ligpartie + 3,
      MATCH(AE$1, _xlpm.joueurs, 0) + 1
    )
  ), ""
)</f>
        <v/>
      </c>
      <c r="AF43" t="str" cm="1">
        <f t="array" ref="AF43">IFERROR(
  _xlfn.LET(
    _xlpm.ligpartie, MATCH($B42, Donnees!$F:$F, 0),
    _xlpm.joueurs, INDEX(Donnees!$A:$Z, _xlpm.ligpartie+1, _xlfn.SEQUENCE(1, 4, 2)),
    INDEX(
      Donnees!$A:$Z,
      _xlpm.ligpartie + 3,
      MATCH(AF$1, _xlpm.joueurs, 0) + 1
    )
  ), ""
)</f>
        <v/>
      </c>
      <c r="AG43" t="str" cm="1">
        <f t="array" ref="AG43">IFERROR(
  _xlfn.LET(
    _xlpm.ligpartie, MATCH($B42, Donnees!$F:$F, 0),
    _xlpm.joueurs, INDEX(Donnees!$A:$Z, _xlpm.ligpartie+1, _xlfn.SEQUENCE(1, 4, 2)),
    INDEX(
      Donnees!$A:$Z,
      _xlpm.ligpartie + 3,
      MATCH(AG$1, _xlpm.joueurs, 0) + 1
    )
  ), ""
)</f>
        <v/>
      </c>
      <c r="AH43" t="str" cm="1">
        <f t="array" ref="AH43">IFERROR(
  _xlfn.LET(
    _xlpm.ligpartie, MATCH($B42, Donnees!$F:$F, 0),
    _xlpm.joueurs, INDEX(Donnees!$A:$Z, _xlpm.ligpartie+1, _xlfn.SEQUENCE(1, 4, 2)),
    INDEX(
      Donnees!$A:$Z,
      _xlpm.ligpartie + 3,
      MATCH(AH$1, _xlpm.joueurs, 0) + 1
    )
  ), ""
)</f>
        <v/>
      </c>
      <c r="AI43" t="str" cm="1">
        <f t="array" ref="AI43">IFERROR(
  _xlfn.LET(
    _xlpm.ligpartie, MATCH($B42, Donnees!$F:$F, 0),
    _xlpm.joueurs, INDEX(Donnees!$A:$Z, _xlpm.ligpartie+1, _xlfn.SEQUENCE(1, 4, 2)),
    INDEX(
      Donnees!$A:$Z,
      _xlpm.ligpartie + 3,
      MATCH(AI$1, _xlpm.joueurs, 0) + 1
    )
  ), ""
)</f>
        <v/>
      </c>
      <c r="AJ43" t="str" cm="1">
        <f t="array" ref="AJ43">IFERROR(
  _xlfn.LET(
    _xlpm.ligpartie, MATCH($B42, Donnees!$F:$F, 0),
    _xlpm.joueurs, INDEX(Donnees!$A:$Z, _xlpm.ligpartie+1, _xlfn.SEQUENCE(1, 4, 2)),
    INDEX(
      Donnees!$A:$Z,
      _xlpm.ligpartie + 3,
      MATCH(AJ$1, _xlpm.joueurs, 0) + 1
    )
  ), ""
)</f>
        <v/>
      </c>
      <c r="AK43" t="str" cm="1">
        <f t="array" ref="AK43">IFERROR(
  _xlfn.LET(
    _xlpm.ligpartie, MATCH($B42, Donnees!$F:$F, 0),
    _xlpm.joueurs, INDEX(Donnees!$A:$Z, _xlpm.ligpartie+1, _xlfn.SEQUENCE(1, 4, 2)),
    INDEX(
      Donnees!$A:$Z,
      _xlpm.ligpartie + 3,
      MATCH(AK$1, _xlpm.joueurs, 0) + 1
    )
  ), ""
)</f>
        <v/>
      </c>
      <c r="AL43" t="str" cm="1">
        <f t="array" ref="AL43">IFERROR(
  _xlfn.LET(
    _xlpm.ligpartie, MATCH($B42, Donnees!$F:$F, 0),
    _xlpm.joueurs, INDEX(Donnees!$A:$Z, _xlpm.ligpartie+1, _xlfn.SEQUENCE(1, 4, 2)),
    INDEX(
      Donnees!$A:$Z,
      _xlpm.ligpartie + 3,
      MATCH(AL$1, _xlpm.joueurs, 0) + 1
    )
  ), ""
)</f>
        <v/>
      </c>
      <c r="AM43" t="str" cm="1">
        <f t="array" ref="AM43">IFERROR(
  _xlfn.LET(
    _xlpm.ligpartie, MATCH($B42, Donnees!$F:$F, 0),
    _xlpm.joueurs, INDEX(Donnees!$A:$Z, _xlpm.ligpartie+1, _xlfn.SEQUENCE(1, 4, 2)),
    INDEX(
      Donnees!$A:$Z,
      _xlpm.ligpartie + 3,
      MATCH(AM$1, _xlpm.joueurs, 0) + 1
    )
  ), ""
)</f>
        <v/>
      </c>
    </row>
    <row r="44" spans="1:39" x14ac:dyDescent="0.25">
      <c r="A44" t="s">
        <v>20</v>
      </c>
      <c r="D44" cm="1">
        <f t="array" ref="D44">_xlfn.LET(
  _xlpm.colj, _xlfn._xlws.FILTER(IF(ISNUMBER(43:43), COLUMN(43:43)), ISNUMBER(43:43)),
  _xlpm.elos, INDEX(42:42,1,_xlpm.colj),
  _xlpm.diffscale, Constantes!$B$2,
  IF(D43="",
    "",
    SUM(1/(1+POWER(10,-(D42-_xlpm.elos)/_xlpm.diffscale)))-0.5)
)</f>
        <v>2.0200549971902761</v>
      </c>
      <c r="E44" t="str" cm="1">
        <f t="array" ref="E44">_xlfn.LET(
  _xlpm.colj, _xlfn._xlws.FILTER(IF(ISNUMBER(43:43), COLUMN(43:43)), ISNUMBER(43:43)),
  _xlpm.elos, INDEX(42:42,1,_xlpm.colj),
  _xlpm.diffscale, Constantes!$B$2,
  IF(E43="",
    "",
    SUM(1/(1+POWER(10,-(E42-_xlpm.elos)/_xlpm.diffscale)))-0.5)
)</f>
        <v/>
      </c>
      <c r="F44" t="str" cm="1">
        <f t="array" ref="F44">_xlfn.LET(
  _xlpm.colj, _xlfn._xlws.FILTER(IF(ISNUMBER(43:43), COLUMN(43:43)), ISNUMBER(43:43)),
  _xlpm.elos, INDEX(42:42,1,_xlpm.colj),
  _xlpm.diffscale, Constantes!$B$2,
  IF(F43="",
    "",
    SUM(1/(1+POWER(10,-(F42-_xlpm.elos)/_xlpm.diffscale)))-0.5)
)</f>
        <v/>
      </c>
      <c r="G44" t="str" cm="1">
        <f t="array" ref="G44">_xlfn.LET(
  _xlpm.colj, _xlfn._xlws.FILTER(IF(ISNUMBER(43:43), COLUMN(43:43)), ISNUMBER(43:43)),
  _xlpm.elos, INDEX(42:42,1,_xlpm.colj),
  _xlpm.diffscale, Constantes!$B$2,
  IF(G43="",
    "",
    SUM(1/(1+POWER(10,-(G42-_xlpm.elos)/_xlpm.diffscale)))-0.5)
)</f>
        <v/>
      </c>
      <c r="H44" t="str" cm="1">
        <f t="array" ref="H44">_xlfn.LET(
  _xlpm.colj, _xlfn._xlws.FILTER(IF(ISNUMBER(43:43), COLUMN(43:43)), ISNUMBER(43:43)),
  _xlpm.elos, INDEX(42:42,1,_xlpm.colj),
  _xlpm.diffscale, Constantes!$B$2,
  IF(H43="",
    "",
    SUM(1/(1+POWER(10,-(H42-_xlpm.elos)/_xlpm.diffscale)))-0.5)
)</f>
        <v/>
      </c>
      <c r="I44" t="str" cm="1">
        <f t="array" ref="I44">_xlfn.LET(
  _xlpm.colj, _xlfn._xlws.FILTER(IF(ISNUMBER(43:43), COLUMN(43:43)), ISNUMBER(43:43)),
  _xlpm.elos, INDEX(42:42,1,_xlpm.colj),
  _xlpm.diffscale, Constantes!$B$2,
  IF(I43="",
    "",
    SUM(1/(1+POWER(10,-(I42-_xlpm.elos)/_xlpm.diffscale)))-0.5)
)</f>
        <v/>
      </c>
      <c r="J44" t="str" cm="1">
        <f t="array" ref="J44">_xlfn.LET(
  _xlpm.colj, _xlfn._xlws.FILTER(IF(ISNUMBER(43:43), COLUMN(43:43)), ISNUMBER(43:43)),
  _xlpm.elos, INDEX(42:42,1,_xlpm.colj),
  _xlpm.diffscale, Constantes!$B$2,
  IF(J43="",
    "",
    SUM(1/(1+POWER(10,-(J42-_xlpm.elos)/_xlpm.diffscale)))-0.5)
)</f>
        <v/>
      </c>
      <c r="K44" t="str" cm="1">
        <f t="array" ref="K44">_xlfn.LET(
  _xlpm.colj, _xlfn._xlws.FILTER(IF(ISNUMBER(43:43), COLUMN(43:43)), ISNUMBER(43:43)),
  _xlpm.elos, INDEX(42:42,1,_xlpm.colj),
  _xlpm.diffscale, Constantes!$B$2,
  IF(K43="",
    "",
    SUM(1/(1+POWER(10,-(K42-_xlpm.elos)/_xlpm.diffscale)))-0.5)
)</f>
        <v/>
      </c>
      <c r="L44" t="str" cm="1">
        <f t="array" ref="L44">_xlfn.LET(
  _xlpm.colj, _xlfn._xlws.FILTER(IF(ISNUMBER(43:43), COLUMN(43:43)), ISNUMBER(43:43)),
  _xlpm.elos, INDEX(42:42,1,_xlpm.colj),
  _xlpm.diffscale, Constantes!$B$2,
  IF(L43="",
    "",
    SUM(1/(1+POWER(10,-(L42-_xlpm.elos)/_xlpm.diffscale)))-0.5)
)</f>
        <v/>
      </c>
      <c r="M44" t="str" cm="1">
        <f t="array" ref="M44">_xlfn.LET(
  _xlpm.colj, _xlfn._xlws.FILTER(IF(ISNUMBER(43:43), COLUMN(43:43)), ISNUMBER(43:43)),
  _xlpm.elos, INDEX(42:42,1,_xlpm.colj),
  _xlpm.diffscale, Constantes!$B$2,
  IF(M43="",
    "",
    SUM(1/(1+POWER(10,-(M42-_xlpm.elos)/_xlpm.diffscale)))-0.5)
)</f>
        <v/>
      </c>
      <c r="N44" t="str" cm="1">
        <f t="array" ref="N44">_xlfn.LET(
  _xlpm.colj, _xlfn._xlws.FILTER(IF(ISNUMBER(43:43), COLUMN(43:43)), ISNUMBER(43:43)),
  _xlpm.elos, INDEX(42:42,1,_xlpm.colj),
  _xlpm.diffscale, Constantes!$B$2,
  IF(N43="",
    "",
    SUM(1/(1+POWER(10,-(N42-_xlpm.elos)/_xlpm.diffscale)))-0.5)
)</f>
        <v/>
      </c>
      <c r="O44" t="str" cm="1">
        <f t="array" ref="O44">_xlfn.LET(
  _xlpm.colj, _xlfn._xlws.FILTER(IF(ISNUMBER(43:43), COLUMN(43:43)), ISNUMBER(43:43)),
  _xlpm.elos, INDEX(42:42,1,_xlpm.colj),
  _xlpm.diffscale, Constantes!$B$2,
  IF(O43="",
    "",
    SUM(1/(1+POWER(10,-(O42-_xlpm.elos)/_xlpm.diffscale)))-0.5)
)</f>
        <v/>
      </c>
      <c r="P44" cm="1">
        <f t="array" ref="P44">_xlfn.LET(
  _xlpm.colj, _xlfn._xlws.FILTER(IF(ISNUMBER(43:43), COLUMN(43:43)), ISNUMBER(43:43)),
  _xlpm.elos, INDEX(42:42,1,_xlpm.colj),
  _xlpm.diffscale, Constantes!$B$2,
  IF(P43="",
    "",
    SUM(1/(1+POWER(10,-(P42-_xlpm.elos)/_xlpm.diffscale)))-0.5)
)</f>
        <v>1.354847040540891</v>
      </c>
      <c r="Q44" t="str" cm="1">
        <f t="array" ref="Q44">_xlfn.LET(
  _xlpm.colj, _xlfn._xlws.FILTER(IF(ISNUMBER(43:43), COLUMN(43:43)), ISNUMBER(43:43)),
  _xlpm.elos, INDEX(42:42,1,_xlpm.colj),
  _xlpm.diffscale, Constantes!$B$2,
  IF(Q43="",
    "",
    SUM(1/(1+POWER(10,-(Q42-_xlpm.elos)/_xlpm.diffscale)))-0.5)
)</f>
        <v/>
      </c>
      <c r="R44" t="str" cm="1">
        <f t="array" ref="R44">_xlfn.LET(
  _xlpm.colj, _xlfn._xlws.FILTER(IF(ISNUMBER(43:43), COLUMN(43:43)), ISNUMBER(43:43)),
  _xlpm.elos, INDEX(42:42,1,_xlpm.colj),
  _xlpm.diffscale, Constantes!$B$2,
  IF(R43="",
    "",
    SUM(1/(1+POWER(10,-(R42-_xlpm.elos)/_xlpm.diffscale)))-0.5)
)</f>
        <v/>
      </c>
      <c r="S44" t="str" cm="1">
        <f t="array" ref="S44">_xlfn.LET(
  _xlpm.colj, _xlfn._xlws.FILTER(IF(ISNUMBER(43:43), COLUMN(43:43)), ISNUMBER(43:43)),
  _xlpm.elos, INDEX(42:42,1,_xlpm.colj),
  _xlpm.diffscale, Constantes!$B$2,
  IF(S43="",
    "",
    SUM(1/(1+POWER(10,-(S42-_xlpm.elos)/_xlpm.diffscale)))-0.5)
)</f>
        <v/>
      </c>
      <c r="T44" t="str" cm="1">
        <f t="array" ref="T44">_xlfn.LET(
  _xlpm.colj, _xlfn._xlws.FILTER(IF(ISNUMBER(43:43), COLUMN(43:43)), ISNUMBER(43:43)),
  _xlpm.elos, INDEX(42:42,1,_xlpm.colj),
  _xlpm.diffscale, Constantes!$B$2,
  IF(T43="",
    "",
    SUM(1/(1+POWER(10,-(T42-_xlpm.elos)/_xlpm.diffscale)))-0.5)
)</f>
        <v/>
      </c>
      <c r="U44" t="str" cm="1">
        <f t="array" ref="U44">_xlfn.LET(
  _xlpm.colj, _xlfn._xlws.FILTER(IF(ISNUMBER(43:43), COLUMN(43:43)), ISNUMBER(43:43)),
  _xlpm.elos, INDEX(42:42,1,_xlpm.colj),
  _xlpm.diffscale, Constantes!$B$2,
  IF(U43="",
    "",
    SUM(1/(1+POWER(10,-(U42-_xlpm.elos)/_xlpm.diffscale)))-0.5)
)</f>
        <v/>
      </c>
      <c r="V44" t="str" cm="1">
        <f t="array" ref="V44">_xlfn.LET(
  _xlpm.colj, _xlfn._xlws.FILTER(IF(ISNUMBER(43:43), COLUMN(43:43)), ISNUMBER(43:43)),
  _xlpm.elos, INDEX(42:42,1,_xlpm.colj),
  _xlpm.diffscale, Constantes!$B$2,
  IF(V43="",
    "",
    SUM(1/(1+POWER(10,-(V42-_xlpm.elos)/_xlpm.diffscale)))-0.5)
)</f>
        <v/>
      </c>
      <c r="W44" t="str" cm="1">
        <f t="array" ref="W44">_xlfn.LET(
  _xlpm.colj, _xlfn._xlws.FILTER(IF(ISNUMBER(43:43), COLUMN(43:43)), ISNUMBER(43:43)),
  _xlpm.elos, INDEX(42:42,1,_xlpm.colj),
  _xlpm.diffscale, Constantes!$B$2,
  IF(W43="",
    "",
    SUM(1/(1+POWER(10,-(W42-_xlpm.elos)/_xlpm.diffscale)))-0.5)
)</f>
        <v/>
      </c>
      <c r="X44" cm="1">
        <f t="array" ref="X44">_xlfn.LET(
  _xlpm.colj, _xlfn._xlws.FILTER(IF(ISNUMBER(43:43), COLUMN(43:43)), ISNUMBER(43:43)),
  _xlpm.elos, INDEX(42:42,1,_xlpm.colj),
  _xlpm.diffscale, Constantes!$B$2,
  IF(X43="",
    "",
    SUM(1/(1+POWER(10,-(X42-_xlpm.elos)/_xlpm.diffscale)))-0.5)
)</f>
        <v>1.1958416483932948</v>
      </c>
      <c r="Y44" cm="1">
        <f t="array" ref="Y44">_xlfn.LET(
  _xlpm.colj, _xlfn._xlws.FILTER(IF(ISNUMBER(43:43), COLUMN(43:43)), ISNUMBER(43:43)),
  _xlpm.elos, INDEX(42:42,1,_xlpm.colj),
  _xlpm.diffscale, Constantes!$B$2,
  IF(Y43="",
    "",
    SUM(1/(1+POWER(10,-(Y42-_xlpm.elos)/_xlpm.diffscale)))-0.5)
)</f>
        <v>1.4292563138755385</v>
      </c>
      <c r="Z44" t="str" cm="1">
        <f t="array" ref="Z44">_xlfn.LET(
  _xlpm.colj, _xlfn._xlws.FILTER(IF(ISNUMBER(43:43), COLUMN(43:43)), ISNUMBER(43:43)),
  _xlpm.elos, INDEX(42:42,1,_xlpm.colj),
  _xlpm.diffscale, Constantes!$B$2,
  IF(Z43="",
    "",
    SUM(1/(1+POWER(10,-(Z42-_xlpm.elos)/_xlpm.diffscale)))-0.5)
)</f>
        <v/>
      </c>
      <c r="AA44" t="str" cm="1">
        <f t="array" ref="AA44">_xlfn.LET(
  _xlpm.colj, _xlfn._xlws.FILTER(IF(ISNUMBER(43:43), COLUMN(43:43)), ISNUMBER(43:43)),
  _xlpm.elos, INDEX(42:42,1,_xlpm.colj),
  _xlpm.diffscale, Constantes!$B$2,
  IF(AA43="",
    "",
    SUM(1/(1+POWER(10,-(AA42-_xlpm.elos)/_xlpm.diffscale)))-0.5)
)</f>
        <v/>
      </c>
      <c r="AB44" t="str" cm="1">
        <f t="array" ref="AB44">_xlfn.LET(
  _xlpm.colj, _xlfn._xlws.FILTER(IF(ISNUMBER(43:43), COLUMN(43:43)), ISNUMBER(43:43)),
  _xlpm.elos, INDEX(42:42,1,_xlpm.colj),
  _xlpm.diffscale, Constantes!$B$2,
  IF(AB43="",
    "",
    SUM(1/(1+POWER(10,-(AB42-_xlpm.elos)/_xlpm.diffscale)))-0.5)
)</f>
        <v/>
      </c>
      <c r="AC44" t="str" cm="1">
        <f t="array" ref="AC44">_xlfn.LET(
  _xlpm.colj, _xlfn._xlws.FILTER(IF(ISNUMBER(43:43), COLUMN(43:43)), ISNUMBER(43:43)),
  _xlpm.elos, INDEX(42:42,1,_xlpm.colj),
  _xlpm.diffscale, Constantes!$B$2,
  IF(AC43="",
    "",
    SUM(1/(1+POWER(10,-(AC42-_xlpm.elos)/_xlpm.diffscale)))-0.5)
)</f>
        <v/>
      </c>
      <c r="AD44" t="str" cm="1">
        <f t="array" ref="AD44">_xlfn.LET(
  _xlpm.colj, _xlfn._xlws.FILTER(IF(ISNUMBER(43:43), COLUMN(43:43)), ISNUMBER(43:43)),
  _xlpm.elos, INDEX(42:42,1,_xlpm.colj),
  _xlpm.diffscale, Constantes!$B$2,
  IF(AD43="",
    "",
    SUM(1/(1+POWER(10,-(AD42-_xlpm.elos)/_xlpm.diffscale)))-0.5)
)</f>
        <v/>
      </c>
      <c r="AE44" t="str" cm="1">
        <f t="array" ref="AE44">_xlfn.LET(
  _xlpm.colj, _xlfn._xlws.FILTER(IF(ISNUMBER(43:43), COLUMN(43:43)), ISNUMBER(43:43)),
  _xlpm.elos, INDEX(42:42,1,_xlpm.colj),
  _xlpm.diffscale, Constantes!$B$2,
  IF(AE43="",
    "",
    SUM(1/(1+POWER(10,-(AE42-_xlpm.elos)/_xlpm.diffscale)))-0.5)
)</f>
        <v/>
      </c>
      <c r="AF44" t="str" cm="1">
        <f t="array" ref="AF44">_xlfn.LET(
  _xlpm.colj, _xlfn._xlws.FILTER(IF(ISNUMBER(43:43), COLUMN(43:43)), ISNUMBER(43:43)),
  _xlpm.elos, INDEX(42:42,1,_xlpm.colj),
  _xlpm.diffscale, Constantes!$B$2,
  IF(AF43="",
    "",
    SUM(1/(1+POWER(10,-(AF42-_xlpm.elos)/_xlpm.diffscale)))-0.5)
)</f>
        <v/>
      </c>
      <c r="AG44" t="str" cm="1">
        <f t="array" ref="AG44">_xlfn.LET(
  _xlpm.colj, _xlfn._xlws.FILTER(IF(ISNUMBER(43:43), COLUMN(43:43)), ISNUMBER(43:43)),
  _xlpm.elos, INDEX(42:42,1,_xlpm.colj),
  _xlpm.diffscale, Constantes!$B$2,
  IF(AG43="",
    "",
    SUM(1/(1+POWER(10,-(AG42-_xlpm.elos)/_xlpm.diffscale)))-0.5)
)</f>
        <v/>
      </c>
      <c r="AH44" t="str" cm="1">
        <f t="array" ref="AH44">_xlfn.LET(
  _xlpm.colj, _xlfn._xlws.FILTER(IF(ISNUMBER(43:43), COLUMN(43:43)), ISNUMBER(43:43)),
  _xlpm.elos, INDEX(42:42,1,_xlpm.colj),
  _xlpm.diffscale, Constantes!$B$2,
  IF(AH43="",
    "",
    SUM(1/(1+POWER(10,-(AH42-_xlpm.elos)/_xlpm.diffscale)))-0.5)
)</f>
        <v/>
      </c>
      <c r="AI44" t="str" cm="1">
        <f t="array" ref="AI44">_xlfn.LET(
  _xlpm.colj, _xlfn._xlws.FILTER(IF(ISNUMBER(43:43), COLUMN(43:43)), ISNUMBER(43:43)),
  _xlpm.elos, INDEX(42:42,1,_xlpm.colj),
  _xlpm.diffscale, Constantes!$B$2,
  IF(AI43="",
    "",
    SUM(1/(1+POWER(10,-(AI42-_xlpm.elos)/_xlpm.diffscale)))-0.5)
)</f>
        <v/>
      </c>
      <c r="AJ44" t="str" cm="1">
        <f t="array" ref="AJ44">_xlfn.LET(
  _xlpm.colj, _xlfn._xlws.FILTER(IF(ISNUMBER(43:43), COLUMN(43:43)), ISNUMBER(43:43)),
  _xlpm.elos, INDEX(42:42,1,_xlpm.colj),
  _xlpm.diffscale, Constantes!$B$2,
  IF(AJ43="",
    "",
    SUM(1/(1+POWER(10,-(AJ42-_xlpm.elos)/_xlpm.diffscale)))-0.5)
)</f>
        <v/>
      </c>
      <c r="AK44" t="str" cm="1">
        <f t="array" ref="AK44">_xlfn.LET(
  _xlpm.colj, _xlfn._xlws.FILTER(IF(ISNUMBER(43:43), COLUMN(43:43)), ISNUMBER(43:43)),
  _xlpm.elos, INDEX(42:42,1,_xlpm.colj),
  _xlpm.diffscale, Constantes!$B$2,
  IF(AK43="",
    "",
    SUM(1/(1+POWER(10,-(AK42-_xlpm.elos)/_xlpm.diffscale)))-0.5)
)</f>
        <v/>
      </c>
      <c r="AL44" t="str" cm="1">
        <f t="array" ref="AL44">_xlfn.LET(
  _xlpm.colj, _xlfn._xlws.FILTER(IF(ISNUMBER(43:43), COLUMN(43:43)), ISNUMBER(43:43)),
  _xlpm.elos, INDEX(42:42,1,_xlpm.colj),
  _xlpm.diffscale, Constantes!$B$2,
  IF(AL43="",
    "",
    SUM(1/(1+POWER(10,-(AL42-_xlpm.elos)/_xlpm.diffscale)))-0.5)
)</f>
        <v/>
      </c>
      <c r="AM44" t="str" cm="1">
        <f t="array" ref="AM44">_xlfn.LET(
  _xlpm.colj, _xlfn._xlws.FILTER(IF(ISNUMBER(43:43), COLUMN(43:43)), ISNUMBER(43:43)),
  _xlpm.elos, INDEX(42:42,1,_xlpm.colj),
  _xlpm.diffscale, Constantes!$B$2,
  IF(AM43="",
    "",
    SUM(1/(1+POWER(10,-(AM42-_xlpm.elos)/_xlpm.diffscale)))-0.5)
)</f>
        <v/>
      </c>
    </row>
    <row r="45" spans="1:39" x14ac:dyDescent="0.25">
      <c r="A45" t="s">
        <v>22</v>
      </c>
      <c r="D45" cm="1">
        <f t="array" ref="D45">_xlfn.LET(
  _xlpm.K, Constantes!$B$3,
  _xlpm.Knewgain, Constantes!$B$4,
  _xlpm.Knewscale, Constantes!$B$5,
  _xlpm.ptstables, INDEX(D:D, _xlfn.SEQUENCE(COUNTA($C$2:$C45), 1, 3, 4)),
  _xlpm.nbparties, COUNTA(_xlfn._xlws.FILTER(_xlpm.ptstables, _xlpm.ptstables &lt;&gt; "")),
  _xlpm.coef, _xlpm.K + _xlpm.Knewgain / (_xlpm.Knewscale + _xlpm.nbparties),
  IF(D43="",
    "",
    _xlpm.coef * (D43-D44))
)</f>
        <v>27.76510841294218</v>
      </c>
      <c r="E45" t="str" cm="1">
        <f t="array" ref="E45">_xlfn.LET(
  _xlpm.K, Constantes!$B$3,
  _xlpm.Knewgain, Constantes!$B$4,
  _xlpm.Knewscale, Constantes!$B$5,
  _xlpm.ptstables, INDEX(E:E, _xlfn.SEQUENCE(COUNTA($C$2:$C45), 1, 3, 4)),
  _xlpm.nbparties, COUNTA(_xlfn._xlws.FILTER(_xlpm.ptstables, _xlpm.ptstables &lt;&gt; "")),
  _xlpm.coef, _xlpm.K + _xlpm.Knewgain / (_xlpm.Knewscale + _xlpm.nbparties),
  IF(E43="",
    "",
    _xlpm.coef * (E43-E44))
)</f>
        <v/>
      </c>
      <c r="F45" t="str" cm="1">
        <f t="array" ref="F45">_xlfn.LET(
  _xlpm.K, Constantes!$B$3,
  _xlpm.Knewgain, Constantes!$B$4,
  _xlpm.Knewscale, Constantes!$B$5,
  _xlpm.ptstables, INDEX(F:F, _xlfn.SEQUENCE(COUNTA($C$2:$C45), 1, 3, 4)),
  _xlpm.nbparties, COUNTA(_xlfn._xlws.FILTER(_xlpm.ptstables, _xlpm.ptstables &lt;&gt; "")),
  _xlpm.coef, _xlpm.K + _xlpm.Knewgain / (_xlpm.Knewscale + _xlpm.nbparties),
  IF(F43="",
    "",
    _xlpm.coef * (F43-F44))
)</f>
        <v/>
      </c>
      <c r="G45" t="str" cm="1">
        <f t="array" ref="G45">_xlfn.LET(
  _xlpm.K, Constantes!$B$3,
  _xlpm.Knewgain, Constantes!$B$4,
  _xlpm.Knewscale, Constantes!$B$5,
  _xlpm.ptstables, INDEX(G:G, _xlfn.SEQUENCE(COUNTA($C$2:$C45), 1, 3, 4)),
  _xlpm.nbparties, COUNTA(_xlfn._xlws.FILTER(_xlpm.ptstables, _xlpm.ptstables &lt;&gt; "")),
  _xlpm.coef, _xlpm.K + _xlpm.Knewgain / (_xlpm.Knewscale + _xlpm.nbparties),
  IF(G43="",
    "",
    _xlpm.coef * (G43-G44))
)</f>
        <v/>
      </c>
      <c r="H45" t="str" cm="1">
        <f t="array" ref="H45">_xlfn.LET(
  _xlpm.K, Constantes!$B$3,
  _xlpm.Knewgain, Constantes!$B$4,
  _xlpm.Knewscale, Constantes!$B$5,
  _xlpm.ptstables, INDEX(H:H, _xlfn.SEQUENCE(COUNTA($C$2:$C45), 1, 3, 4)),
  _xlpm.nbparties, COUNTA(_xlfn._xlws.FILTER(_xlpm.ptstables, _xlpm.ptstables &lt;&gt; "")),
  _xlpm.coef, _xlpm.K + _xlpm.Knewgain / (_xlpm.Knewscale + _xlpm.nbparties),
  IF(H43="",
    "",
    _xlpm.coef * (H43-H44))
)</f>
        <v/>
      </c>
      <c r="I45" t="str" cm="1">
        <f t="array" ref="I45">_xlfn.LET(
  _xlpm.K, Constantes!$B$3,
  _xlpm.Knewgain, Constantes!$B$4,
  _xlpm.Knewscale, Constantes!$B$5,
  _xlpm.ptstables, INDEX(I:I, _xlfn.SEQUENCE(COUNTA($C$2:$C45), 1, 3, 4)),
  _xlpm.nbparties, COUNTA(_xlfn._xlws.FILTER(_xlpm.ptstables, _xlpm.ptstables &lt;&gt; "")),
  _xlpm.coef, _xlpm.K + _xlpm.Knewgain / (_xlpm.Knewscale + _xlpm.nbparties),
  IF(I43="",
    "",
    _xlpm.coef * (I43-I44))
)</f>
        <v/>
      </c>
      <c r="J45" t="str" cm="1">
        <f t="array" ref="J45">_xlfn.LET(
  _xlpm.K, Constantes!$B$3,
  _xlpm.Knewgain, Constantes!$B$4,
  _xlpm.Knewscale, Constantes!$B$5,
  _xlpm.ptstables, INDEX(J:J, _xlfn.SEQUENCE(COUNTA($C$2:$C45), 1, 3, 4)),
  _xlpm.nbparties, COUNTA(_xlfn._xlws.FILTER(_xlpm.ptstables, _xlpm.ptstables &lt;&gt; "")),
  _xlpm.coef, _xlpm.K + _xlpm.Knewgain / (_xlpm.Knewscale + _xlpm.nbparties),
  IF(J43="",
    "",
    _xlpm.coef * (J43-J44))
)</f>
        <v/>
      </c>
      <c r="K45" t="str" cm="1">
        <f t="array" ref="K45">_xlfn.LET(
  _xlpm.K, Constantes!$B$3,
  _xlpm.Knewgain, Constantes!$B$4,
  _xlpm.Knewscale, Constantes!$B$5,
  _xlpm.ptstables, INDEX(K:K, _xlfn.SEQUENCE(COUNTA($C$2:$C45), 1, 3, 4)),
  _xlpm.nbparties, COUNTA(_xlfn._xlws.FILTER(_xlpm.ptstables, _xlpm.ptstables &lt;&gt; "")),
  _xlpm.coef, _xlpm.K + _xlpm.Knewgain / (_xlpm.Knewscale + _xlpm.nbparties),
  IF(K43="",
    "",
    _xlpm.coef * (K43-K44))
)</f>
        <v/>
      </c>
      <c r="L45" t="str" cm="1">
        <f t="array" ref="L45">_xlfn.LET(
  _xlpm.K, Constantes!$B$3,
  _xlpm.Knewgain, Constantes!$B$4,
  _xlpm.Knewscale, Constantes!$B$5,
  _xlpm.ptstables, INDEX(L:L, _xlfn.SEQUENCE(COUNTA($C$2:$C45), 1, 3, 4)),
  _xlpm.nbparties, COUNTA(_xlfn._xlws.FILTER(_xlpm.ptstables, _xlpm.ptstables &lt;&gt; "")),
  _xlpm.coef, _xlpm.K + _xlpm.Knewgain / (_xlpm.Knewscale + _xlpm.nbparties),
  IF(L43="",
    "",
    _xlpm.coef * (L43-L44))
)</f>
        <v/>
      </c>
      <c r="M45" t="str" cm="1">
        <f t="array" ref="M45">_xlfn.LET(
  _xlpm.K, Constantes!$B$3,
  _xlpm.Knewgain, Constantes!$B$4,
  _xlpm.Knewscale, Constantes!$B$5,
  _xlpm.ptstables, INDEX(M:M, _xlfn.SEQUENCE(COUNTA($C$2:$C45), 1, 3, 4)),
  _xlpm.nbparties, COUNTA(_xlfn._xlws.FILTER(_xlpm.ptstables, _xlpm.ptstables &lt;&gt; "")),
  _xlpm.coef, _xlpm.K + _xlpm.Knewgain / (_xlpm.Knewscale + _xlpm.nbparties),
  IF(M43="",
    "",
    _xlpm.coef * (M43-M44))
)</f>
        <v/>
      </c>
      <c r="N45" t="str" cm="1">
        <f t="array" ref="N45">_xlfn.LET(
  _xlpm.K, Constantes!$B$3,
  _xlpm.Knewgain, Constantes!$B$4,
  _xlpm.Knewscale, Constantes!$B$5,
  _xlpm.ptstables, INDEX(N:N, _xlfn.SEQUENCE(COUNTA($C$2:$C45), 1, 3, 4)),
  _xlpm.nbparties, COUNTA(_xlfn._xlws.FILTER(_xlpm.ptstables, _xlpm.ptstables &lt;&gt; "")),
  _xlpm.coef, _xlpm.K + _xlpm.Knewgain / (_xlpm.Knewscale + _xlpm.nbparties),
  IF(N43="",
    "",
    _xlpm.coef * (N43-N44))
)</f>
        <v/>
      </c>
      <c r="O45" t="str" cm="1">
        <f t="array" ref="O45">_xlfn.LET(
  _xlpm.K, Constantes!$B$3,
  _xlpm.Knewgain, Constantes!$B$4,
  _xlpm.Knewscale, Constantes!$B$5,
  _xlpm.ptstables, INDEX(O:O, _xlfn.SEQUENCE(COUNTA($C$2:$C45), 1, 3, 4)),
  _xlpm.nbparties, COUNTA(_xlfn._xlws.FILTER(_xlpm.ptstables, _xlpm.ptstables &lt;&gt; "")),
  _xlpm.coef, _xlpm.K + _xlpm.Knewgain / (_xlpm.Knewscale + _xlpm.nbparties),
  IF(O43="",
    "",
    _xlpm.coef * (O43-O44))
)</f>
        <v/>
      </c>
      <c r="P45" cm="1">
        <f t="array" ref="P45">_xlfn.LET(
  _xlpm.K, Constantes!$B$3,
  _xlpm.Knewgain, Constantes!$B$4,
  _xlpm.Knewscale, Constantes!$B$5,
  _xlpm.ptstables, INDEX(P:P, _xlfn.SEQUENCE(COUNTA($C$2:$C45), 1, 3, 4)),
  _xlpm.nbparties, COUNTA(_xlfn._xlws.FILTER(_xlpm.ptstables, _xlpm.ptstables &lt;&gt; "")),
  _xlpm.coef, _xlpm.K + _xlpm.Knewgain / (_xlpm.Knewscale + _xlpm.nbparties),
  IF(P43="",
    "",
    _xlpm.coef * (P43-P44))
)</f>
        <v>23.655608513500667</v>
      </c>
      <c r="Q45" t="str" cm="1">
        <f t="array" ref="Q45">_xlfn.LET(
  _xlpm.K, Constantes!$B$3,
  _xlpm.Knewgain, Constantes!$B$4,
  _xlpm.Knewscale, Constantes!$B$5,
  _xlpm.ptstables, INDEX(Q:Q, _xlfn.SEQUENCE(COUNTA($C$2:$C45), 1, 3, 4)),
  _xlpm.nbparties, COUNTA(_xlfn._xlws.FILTER(_xlpm.ptstables, _xlpm.ptstables &lt;&gt; "")),
  _xlpm.coef, _xlpm.K + _xlpm.Knewgain / (_xlpm.Knewscale + _xlpm.nbparties),
  IF(Q43="",
    "",
    _xlpm.coef * (Q43-Q44))
)</f>
        <v/>
      </c>
      <c r="R45" t="str" cm="1">
        <f t="array" ref="R45">_xlfn.LET(
  _xlpm.K, Constantes!$B$3,
  _xlpm.Knewgain, Constantes!$B$4,
  _xlpm.Knewscale, Constantes!$B$5,
  _xlpm.ptstables, INDEX(R:R, _xlfn.SEQUENCE(COUNTA($C$2:$C45), 1, 3, 4)),
  _xlpm.nbparties, COUNTA(_xlfn._xlws.FILTER(_xlpm.ptstables, _xlpm.ptstables &lt;&gt; "")),
  _xlpm.coef, _xlpm.K + _xlpm.Knewgain / (_xlpm.Knewscale + _xlpm.nbparties),
  IF(R43="",
    "",
    _xlpm.coef * (R43-R44))
)</f>
        <v/>
      </c>
      <c r="S45" t="str" cm="1">
        <f t="array" ref="S45">_xlfn.LET(
  _xlpm.K, Constantes!$B$3,
  _xlpm.Knewgain, Constantes!$B$4,
  _xlpm.Knewscale, Constantes!$B$5,
  _xlpm.ptstables, INDEX(S:S, _xlfn.SEQUENCE(COUNTA($C$2:$C45), 1, 3, 4)),
  _xlpm.nbparties, COUNTA(_xlfn._xlws.FILTER(_xlpm.ptstables, _xlpm.ptstables &lt;&gt; "")),
  _xlpm.coef, _xlpm.K + _xlpm.Knewgain / (_xlpm.Knewscale + _xlpm.nbparties),
  IF(S43="",
    "",
    _xlpm.coef * (S43-S44))
)</f>
        <v/>
      </c>
      <c r="T45" t="str" cm="1">
        <f t="array" ref="T45">_xlfn.LET(
  _xlpm.K, Constantes!$B$3,
  _xlpm.Knewgain, Constantes!$B$4,
  _xlpm.Knewscale, Constantes!$B$5,
  _xlpm.ptstables, INDEX(T:T, _xlfn.SEQUENCE(COUNTA($C$2:$C45), 1, 3, 4)),
  _xlpm.nbparties, COUNTA(_xlfn._xlws.FILTER(_xlpm.ptstables, _xlpm.ptstables &lt;&gt; "")),
  _xlpm.coef, _xlpm.K + _xlpm.Knewgain / (_xlpm.Knewscale + _xlpm.nbparties),
  IF(T43="",
    "",
    _xlpm.coef * (T43-T44))
)</f>
        <v/>
      </c>
      <c r="U45" t="str" cm="1">
        <f t="array" ref="U45">_xlfn.LET(
  _xlpm.K, Constantes!$B$3,
  _xlpm.Knewgain, Constantes!$B$4,
  _xlpm.Knewscale, Constantes!$B$5,
  _xlpm.ptstables, INDEX(U:U, _xlfn.SEQUENCE(COUNTA($C$2:$C45), 1, 3, 4)),
  _xlpm.nbparties, COUNTA(_xlfn._xlws.FILTER(_xlpm.ptstables, _xlpm.ptstables &lt;&gt; "")),
  _xlpm.coef, _xlpm.K + _xlpm.Knewgain / (_xlpm.Knewscale + _xlpm.nbparties),
  IF(U43="",
    "",
    _xlpm.coef * (U43-U44))
)</f>
        <v/>
      </c>
      <c r="V45" t="str" cm="1">
        <f t="array" ref="V45">_xlfn.LET(
  _xlpm.K, Constantes!$B$3,
  _xlpm.Knewgain, Constantes!$B$4,
  _xlpm.Knewscale, Constantes!$B$5,
  _xlpm.ptstables, INDEX(V:V, _xlfn.SEQUENCE(COUNTA($C$2:$C45), 1, 3, 4)),
  _xlpm.nbparties, COUNTA(_xlfn._xlws.FILTER(_xlpm.ptstables, _xlpm.ptstables &lt;&gt; "")),
  _xlpm.coef, _xlpm.K + _xlpm.Knewgain / (_xlpm.Knewscale + _xlpm.nbparties),
  IF(V43="",
    "",
    _xlpm.coef * (V43-V44))
)</f>
        <v/>
      </c>
      <c r="W45" t="str" cm="1">
        <f t="array" ref="W45">_xlfn.LET(
  _xlpm.K, Constantes!$B$3,
  _xlpm.Knewgain, Constantes!$B$4,
  _xlpm.Knewscale, Constantes!$B$5,
  _xlpm.ptstables, INDEX(W:W, _xlfn.SEQUENCE(COUNTA($C$2:$C45), 1, 3, 4)),
  _xlpm.nbparties, COUNTA(_xlfn._xlws.FILTER(_xlpm.ptstables, _xlpm.ptstables &lt;&gt; "")),
  _xlpm.coef, _xlpm.K + _xlpm.Knewgain / (_xlpm.Knewscale + _xlpm.nbparties),
  IF(W43="",
    "",
    _xlpm.coef * (W43-W44))
)</f>
        <v/>
      </c>
      <c r="X45" cm="1">
        <f t="array" ref="X45">_xlfn.LET(
  _xlpm.K, Constantes!$B$3,
  _xlpm.Knewgain, Constantes!$B$4,
  _xlpm.Knewscale, Constantes!$B$5,
  _xlpm.ptstables, INDEX(X:X, _xlfn.SEQUENCE(COUNTA($C$2:$C45), 1, 3, 4)),
  _xlpm.nbparties, COUNTA(_xlfn._xlws.FILTER(_xlpm.ptstables, _xlpm.ptstables &lt;&gt; "")),
  _xlpm.coef, _xlpm.K + _xlpm.Knewgain / (_xlpm.Knewscale + _xlpm.nbparties),
  IF(X43="",
    "",
    _xlpm.coef * (X43-X44))
)</f>
        <v>-8.812874177698264</v>
      </c>
      <c r="Y45" cm="1">
        <f t="array" ref="Y45">_xlfn.LET(
  _xlpm.K, Constantes!$B$3,
  _xlpm.Knewgain, Constantes!$B$4,
  _xlpm.Knewscale, Constantes!$B$5,
  _xlpm.ptstables, INDEX(Y:Y, _xlfn.SEQUENCE(COUNTA($C$2:$C45), 1, 3, 4)),
  _xlpm.nbparties, COUNTA(_xlfn._xlws.FILTER(_xlpm.ptstables, _xlpm.ptstables &lt;&gt; "")),
  _xlpm.coef, _xlpm.K + _xlpm.Knewgain / (_xlpm.Knewscale + _xlpm.nbparties),
  IF(Y43="",
    "",
    _xlpm.coef * (Y43-Y44))
)</f>
        <v>-64.31653412439924</v>
      </c>
      <c r="Z45" t="str" cm="1">
        <f t="array" ref="Z45">_xlfn.LET(
  _xlpm.K, Constantes!$B$3,
  _xlpm.Knewgain, Constantes!$B$4,
  _xlpm.Knewscale, Constantes!$B$5,
  _xlpm.ptstables, INDEX(Z:Z, _xlfn.SEQUENCE(COUNTA($C$2:$C45), 1, 3, 4)),
  _xlpm.nbparties, COUNTA(_xlfn._xlws.FILTER(_xlpm.ptstables, _xlpm.ptstables &lt;&gt; "")),
  _xlpm.coef, _xlpm.K + _xlpm.Knewgain / (_xlpm.Knewscale + _xlpm.nbparties),
  IF(Z43="",
    "",
    _xlpm.coef * (Z43-Z44))
)</f>
        <v/>
      </c>
      <c r="AA45" t="str" cm="1">
        <f t="array" ref="AA45">_xlfn.LET(
  _xlpm.K, Constantes!$B$3,
  _xlpm.Knewgain, Constantes!$B$4,
  _xlpm.Knewscale, Constantes!$B$5,
  _xlpm.ptstables, INDEX(AA:AA, _xlfn.SEQUENCE(COUNTA($C$2:$C45), 1, 3, 4)),
  _xlpm.nbparties, COUNTA(_xlfn._xlws.FILTER(_xlpm.ptstables, _xlpm.ptstables &lt;&gt; "")),
  _xlpm.coef, _xlpm.K + _xlpm.Knewgain / (_xlpm.Knewscale + _xlpm.nbparties),
  IF(AA43="",
    "",
    _xlpm.coef * (AA43-AA44))
)</f>
        <v/>
      </c>
      <c r="AB45" t="str" cm="1">
        <f t="array" ref="AB45">_xlfn.LET(
  _xlpm.K, Constantes!$B$3,
  _xlpm.Knewgain, Constantes!$B$4,
  _xlpm.Knewscale, Constantes!$B$5,
  _xlpm.ptstables, INDEX(AB:AB, _xlfn.SEQUENCE(COUNTA($C$2:$C45), 1, 3, 4)),
  _xlpm.nbparties, COUNTA(_xlfn._xlws.FILTER(_xlpm.ptstables, _xlpm.ptstables &lt;&gt; "")),
  _xlpm.coef, _xlpm.K + _xlpm.Knewgain / (_xlpm.Knewscale + _xlpm.nbparties),
  IF(AB43="",
    "",
    _xlpm.coef * (AB43-AB44))
)</f>
        <v/>
      </c>
      <c r="AC45" t="str" cm="1">
        <f t="array" ref="AC45">_xlfn.LET(
  _xlpm.K, Constantes!$B$3,
  _xlpm.Knewgain, Constantes!$B$4,
  _xlpm.Knewscale, Constantes!$B$5,
  _xlpm.ptstables, INDEX(AC:AC, _xlfn.SEQUENCE(COUNTA($C$2:$C45), 1, 3, 4)),
  _xlpm.nbparties, COUNTA(_xlfn._xlws.FILTER(_xlpm.ptstables, _xlpm.ptstables &lt;&gt; "")),
  _xlpm.coef, _xlpm.K + _xlpm.Knewgain / (_xlpm.Knewscale + _xlpm.nbparties),
  IF(AC43="",
    "",
    _xlpm.coef * (AC43-AC44))
)</f>
        <v/>
      </c>
      <c r="AD45" t="str" cm="1">
        <f t="array" ref="AD45">_xlfn.LET(
  _xlpm.K, Constantes!$B$3,
  _xlpm.Knewgain, Constantes!$B$4,
  _xlpm.Knewscale, Constantes!$B$5,
  _xlpm.ptstables, INDEX(AD:AD, _xlfn.SEQUENCE(COUNTA($C$2:$C45), 1, 3, 4)),
  _xlpm.nbparties, COUNTA(_xlfn._xlws.FILTER(_xlpm.ptstables, _xlpm.ptstables &lt;&gt; "")),
  _xlpm.coef, _xlpm.K + _xlpm.Knewgain / (_xlpm.Knewscale + _xlpm.nbparties),
  IF(AD43="",
    "",
    _xlpm.coef * (AD43-AD44))
)</f>
        <v/>
      </c>
      <c r="AE45" t="str" cm="1">
        <f t="array" ref="AE45">_xlfn.LET(
  _xlpm.K, Constantes!$B$3,
  _xlpm.Knewgain, Constantes!$B$4,
  _xlpm.Knewscale, Constantes!$B$5,
  _xlpm.ptstables, INDEX(AE:AE, _xlfn.SEQUENCE(COUNTA($C$2:$C45), 1, 3, 4)),
  _xlpm.nbparties, COUNTA(_xlfn._xlws.FILTER(_xlpm.ptstables, _xlpm.ptstables &lt;&gt; "")),
  _xlpm.coef, _xlpm.K + _xlpm.Knewgain / (_xlpm.Knewscale + _xlpm.nbparties),
  IF(AE43="",
    "",
    _xlpm.coef * (AE43-AE44))
)</f>
        <v/>
      </c>
      <c r="AF45" t="str" cm="1">
        <f t="array" ref="AF45">_xlfn.LET(
  _xlpm.K, Constantes!$B$3,
  _xlpm.Knewgain, Constantes!$B$4,
  _xlpm.Knewscale, Constantes!$B$5,
  _xlpm.ptstables, INDEX(AF:AF, _xlfn.SEQUENCE(COUNTA($C$2:$C45), 1, 3, 4)),
  _xlpm.nbparties, COUNTA(_xlfn._xlws.FILTER(_xlpm.ptstables, _xlpm.ptstables &lt;&gt; "")),
  _xlpm.coef, _xlpm.K + _xlpm.Knewgain / (_xlpm.Knewscale + _xlpm.nbparties),
  IF(AF43="",
    "",
    _xlpm.coef * (AF43-AF44))
)</f>
        <v/>
      </c>
      <c r="AG45" t="str" cm="1">
        <f t="array" ref="AG45">_xlfn.LET(
  _xlpm.K, Constantes!$B$3,
  _xlpm.Knewgain, Constantes!$B$4,
  _xlpm.Knewscale, Constantes!$B$5,
  _xlpm.ptstables, INDEX(AG:AG, _xlfn.SEQUENCE(COUNTA($C$2:$C45), 1, 3, 4)),
  _xlpm.nbparties, COUNTA(_xlfn._xlws.FILTER(_xlpm.ptstables, _xlpm.ptstables &lt;&gt; "")),
  _xlpm.coef, _xlpm.K + _xlpm.Knewgain / (_xlpm.Knewscale + _xlpm.nbparties),
  IF(AG43="",
    "",
    _xlpm.coef * (AG43-AG44))
)</f>
        <v/>
      </c>
      <c r="AH45" t="str" cm="1">
        <f t="array" ref="AH45">_xlfn.LET(
  _xlpm.K, Constantes!$B$3,
  _xlpm.Knewgain, Constantes!$B$4,
  _xlpm.Knewscale, Constantes!$B$5,
  _xlpm.ptstables, INDEX(AH:AH, _xlfn.SEQUENCE(COUNTA($C$2:$C45), 1, 3, 4)),
  _xlpm.nbparties, COUNTA(_xlfn._xlws.FILTER(_xlpm.ptstables, _xlpm.ptstables &lt;&gt; "")),
  _xlpm.coef, _xlpm.K + _xlpm.Knewgain / (_xlpm.Knewscale + _xlpm.nbparties),
  IF(AH43="",
    "",
    _xlpm.coef * (AH43-AH44))
)</f>
        <v/>
      </c>
      <c r="AI45" t="str" cm="1">
        <f t="array" ref="AI45">_xlfn.LET(
  _xlpm.K, Constantes!$B$3,
  _xlpm.Knewgain, Constantes!$B$4,
  _xlpm.Knewscale, Constantes!$B$5,
  _xlpm.ptstables, INDEX(AI:AI, _xlfn.SEQUENCE(COUNTA($C$2:$C45), 1, 3, 4)),
  _xlpm.nbparties, COUNTA(_xlfn._xlws.FILTER(_xlpm.ptstables, _xlpm.ptstables &lt;&gt; "")),
  _xlpm.coef, _xlpm.K + _xlpm.Knewgain / (_xlpm.Knewscale + _xlpm.nbparties),
  IF(AI43="",
    "",
    _xlpm.coef * (AI43-AI44))
)</f>
        <v/>
      </c>
      <c r="AJ45" t="str" cm="1">
        <f t="array" ref="AJ45">_xlfn.LET(
  _xlpm.K, Constantes!$B$3,
  _xlpm.Knewgain, Constantes!$B$4,
  _xlpm.Knewscale, Constantes!$B$5,
  _xlpm.ptstables, INDEX(AJ:AJ, _xlfn.SEQUENCE(COUNTA($C$2:$C45), 1, 3, 4)),
  _xlpm.nbparties, COUNTA(_xlfn._xlws.FILTER(_xlpm.ptstables, _xlpm.ptstables &lt;&gt; "")),
  _xlpm.coef, _xlpm.K + _xlpm.Knewgain / (_xlpm.Knewscale + _xlpm.nbparties),
  IF(AJ43="",
    "",
    _xlpm.coef * (AJ43-AJ44))
)</f>
        <v/>
      </c>
      <c r="AK45" t="str" cm="1">
        <f t="array" ref="AK45">_xlfn.LET(
  _xlpm.K, Constantes!$B$3,
  _xlpm.Knewgain, Constantes!$B$4,
  _xlpm.Knewscale, Constantes!$B$5,
  _xlpm.ptstables, INDEX(AK:AK, _xlfn.SEQUENCE(COUNTA($C$2:$C45), 1, 3, 4)),
  _xlpm.nbparties, COUNTA(_xlfn._xlws.FILTER(_xlpm.ptstables, _xlpm.ptstables &lt;&gt; "")),
  _xlpm.coef, _xlpm.K + _xlpm.Knewgain / (_xlpm.Knewscale + _xlpm.nbparties),
  IF(AK43="",
    "",
    _xlpm.coef * (AK43-AK44))
)</f>
        <v/>
      </c>
      <c r="AL45" t="str" cm="1">
        <f t="array" ref="AL45">_xlfn.LET(
  _xlpm.K, Constantes!$B$3,
  _xlpm.Knewgain, Constantes!$B$4,
  _xlpm.Knewscale, Constantes!$B$5,
  _xlpm.ptstables, INDEX(AL:AL, _xlfn.SEQUENCE(COUNTA($C$2:$C45), 1, 3, 4)),
  _xlpm.nbparties, COUNTA(_xlfn._xlws.FILTER(_xlpm.ptstables, _xlpm.ptstables &lt;&gt; "")),
  _xlpm.coef, _xlpm.K + _xlpm.Knewgain / (_xlpm.Knewscale + _xlpm.nbparties),
  IF(AL43="",
    "",
    _xlpm.coef * (AL43-AL44))
)</f>
        <v/>
      </c>
      <c r="AM45" t="str" cm="1">
        <f t="array" ref="AM45">_xlfn.LET(
  _xlpm.K, Constantes!$B$3,
  _xlpm.Knewgain, Constantes!$B$4,
  _xlpm.Knewscale, Constantes!$B$5,
  _xlpm.ptstables, INDEX(AM:AM, _xlfn.SEQUENCE(COUNTA($C$2:$C45), 1, 3, 4)),
  _xlpm.nbparties, COUNTA(_xlfn._xlws.FILTER(_xlpm.ptstables, _xlpm.ptstables &lt;&gt; "")),
  _xlpm.coef, _xlpm.K + _xlpm.Knewgain / (_xlpm.Knewscale + _xlpm.nbparties),
  IF(AM43="",
    "",
    _xlpm.coef * (AM43-AM44))
)</f>
        <v/>
      </c>
    </row>
    <row r="46" spans="1:39" x14ac:dyDescent="0.25">
      <c r="A46" t="s">
        <v>14</v>
      </c>
      <c r="B46" t="str" cm="1">
        <f t="array" ref="B4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</v>
      </c>
      <c r="C46" s="2" cm="1">
        <f t="array" ref="C46">IF(B46="","",
  INDEX(Donnees!F:F, MATCH(B46, Donnees!F:F, 0)+1))</f>
        <v>45913.593726851854</v>
      </c>
      <c r="D46">
        <f t="shared" ref="D46:AM46" si="19">D42+IF(D45="",0,D45)</f>
        <v>1076.8302676196515</v>
      </c>
      <c r="E46">
        <f t="shared" si="19"/>
        <v>1202.2974669006805</v>
      </c>
      <c r="F46">
        <f t="shared" si="19"/>
        <v>909.87928229209808</v>
      </c>
      <c r="G46">
        <f t="shared" si="19"/>
        <v>1047.1181518097756</v>
      </c>
      <c r="H46">
        <f t="shared" si="19"/>
        <v>976.44998683474398</v>
      </c>
      <c r="I46">
        <f t="shared" si="19"/>
        <v>1016.6476899092447</v>
      </c>
      <c r="J46">
        <f t="shared" si="19"/>
        <v>938.49433816478961</v>
      </c>
      <c r="K46">
        <f t="shared" si="19"/>
        <v>957.67754592822814</v>
      </c>
      <c r="L46">
        <f t="shared" si="19"/>
        <v>878.7153998467162</v>
      </c>
      <c r="M46">
        <f t="shared" si="19"/>
        <v>965.238738457664</v>
      </c>
      <c r="N46">
        <f t="shared" si="19"/>
        <v>995.58652324860282</v>
      </c>
      <c r="O46">
        <f t="shared" si="19"/>
        <v>1068.3356299075012</v>
      </c>
      <c r="P46">
        <f t="shared" si="19"/>
        <v>951.87653483423549</v>
      </c>
      <c r="Q46">
        <f t="shared" si="19"/>
        <v>985.54250487050535</v>
      </c>
      <c r="R46">
        <f t="shared" si="19"/>
        <v>997.8</v>
      </c>
      <c r="S46">
        <f t="shared" si="19"/>
        <v>984.505</v>
      </c>
      <c r="T46">
        <f t="shared" si="19"/>
        <v>1029.905</v>
      </c>
      <c r="U46">
        <f t="shared" si="19"/>
        <v>1059.3016239317653</v>
      </c>
      <c r="V46">
        <f t="shared" si="19"/>
        <v>943.32697525941398</v>
      </c>
      <c r="W46">
        <f t="shared" si="19"/>
        <v>1000</v>
      </c>
      <c r="X46">
        <f t="shared" si="19"/>
        <v>890.71712582230168</v>
      </c>
      <c r="Y46">
        <f t="shared" si="19"/>
        <v>877.20346587560073</v>
      </c>
      <c r="Z46">
        <f t="shared" si="19"/>
        <v>1000</v>
      </c>
      <c r="AA46">
        <f t="shared" si="19"/>
        <v>1000</v>
      </c>
      <c r="AB46">
        <f t="shared" si="19"/>
        <v>979.56500000000005</v>
      </c>
      <c r="AC46">
        <f t="shared" si="19"/>
        <v>1032.51</v>
      </c>
      <c r="AD46">
        <f t="shared" si="19"/>
        <v>974.01499999999999</v>
      </c>
      <c r="AE46">
        <f t="shared" si="19"/>
        <v>1011.415</v>
      </c>
      <c r="AF46">
        <f t="shared" si="19"/>
        <v>1031.1199999999999</v>
      </c>
      <c r="AG46">
        <f t="shared" si="19"/>
        <v>1001.0350000000001</v>
      </c>
      <c r="AH46">
        <f t="shared" si="19"/>
        <v>994.44</v>
      </c>
      <c r="AI46">
        <f t="shared" si="19"/>
        <v>1000</v>
      </c>
      <c r="AJ46">
        <f t="shared" si="19"/>
        <v>957.2</v>
      </c>
      <c r="AK46">
        <f t="shared" si="19"/>
        <v>1000</v>
      </c>
      <c r="AL46">
        <f t="shared" si="19"/>
        <v>1055.9299999999998</v>
      </c>
      <c r="AM46">
        <f t="shared" si="19"/>
        <v>1000</v>
      </c>
    </row>
    <row r="47" spans="1:39" x14ac:dyDescent="0.25">
      <c r="A47" t="s">
        <v>21</v>
      </c>
      <c r="D47" t="str" cm="1">
        <f t="array" ref="D47">IFERROR(
  _xlfn.LET(
    _xlpm.ligpartie, MATCH($B46, Donnees!$F:$F, 0),
    _xlpm.joueurs, INDEX(Donnees!$A:$Z, _xlpm.ligpartie+1, _xlfn.SEQUENCE(1, 4, 2)),
    INDEX(
      Donnees!$A:$Z,
      _xlpm.ligpartie + 3,
      MATCH(D$1, _xlpm.joueurs, 0) + 1
    )
  ), ""
)</f>
        <v/>
      </c>
      <c r="E47" t="str" cm="1">
        <f t="array" ref="E47">IFERROR(
  _xlfn.LET(
    _xlpm.ligpartie, MATCH($B46, Donnees!$F:$F, 0),
    _xlpm.joueurs, INDEX(Donnees!$A:$Z, _xlpm.ligpartie+1, _xlfn.SEQUENCE(1, 4, 2)),
    INDEX(
      Donnees!$A:$Z,
      _xlpm.ligpartie + 3,
      MATCH(E$1, _xlpm.joueurs, 0) + 1
    )
  ), ""
)</f>
        <v/>
      </c>
      <c r="F47" t="str" cm="1">
        <f t="array" ref="F47">IFERROR(
  _xlfn.LET(
    _xlpm.ligpartie, MATCH($B46, Donnees!$F:$F, 0),
    _xlpm.joueurs, INDEX(Donnees!$A:$Z, _xlpm.ligpartie+1, _xlfn.SEQUENCE(1, 4, 2)),
    INDEX(
      Donnees!$A:$Z,
      _xlpm.ligpartie + 3,
      MATCH(F$1, _xlpm.joueurs, 0) + 1
    )
  ), ""
)</f>
        <v/>
      </c>
      <c r="G47" t="str" cm="1">
        <f t="array" ref="G47">IFERROR(
  _xlfn.LET(
    _xlpm.ligpartie, MATCH($B46, Donnees!$F:$F, 0),
    _xlpm.joueurs, INDEX(Donnees!$A:$Z, _xlpm.ligpartie+1, _xlfn.SEQUENCE(1, 4, 2)),
    INDEX(
      Donnees!$A:$Z,
      _xlpm.ligpartie + 3,
      MATCH(G$1, _xlpm.joueurs, 0) + 1
    )
  ), ""
)</f>
        <v/>
      </c>
      <c r="H47" t="str" cm="1">
        <f t="array" ref="H47">IFERROR(
  _xlfn.LET(
    _xlpm.ligpartie, MATCH($B46, Donnees!$F:$F, 0),
    _xlpm.joueurs, INDEX(Donnees!$A:$Z, _xlpm.ligpartie+1, _xlfn.SEQUENCE(1, 4, 2)),
    INDEX(
      Donnees!$A:$Z,
      _xlpm.ligpartie + 3,
      MATCH(H$1, _xlpm.joueurs, 0) + 1
    )
  ), ""
)</f>
        <v/>
      </c>
      <c r="I47" t="str" cm="1">
        <f t="array" ref="I47">IFERROR(
  _xlfn.LET(
    _xlpm.ligpartie, MATCH($B46, Donnees!$F:$F, 0),
    _xlpm.joueurs, INDEX(Donnees!$A:$Z, _xlpm.ligpartie+1, _xlfn.SEQUENCE(1, 4, 2)),
    INDEX(
      Donnees!$A:$Z,
      _xlpm.ligpartie + 3,
      MATCH(I$1, _xlpm.joueurs, 0) + 1
    )
  ), ""
)</f>
        <v/>
      </c>
      <c r="J47" t="str" cm="1">
        <f t="array" ref="J47">IFERROR(
  _xlfn.LET(
    _xlpm.ligpartie, MATCH($B46, Donnees!$F:$F, 0),
    _xlpm.joueurs, INDEX(Donnees!$A:$Z, _xlpm.ligpartie+1, _xlfn.SEQUENCE(1, 4, 2)),
    INDEX(
      Donnees!$A:$Z,
      _xlpm.ligpartie + 3,
      MATCH(J$1, _xlpm.joueurs, 0) + 1
    )
  ), ""
)</f>
        <v/>
      </c>
      <c r="K47" t="str" cm="1">
        <f t="array" ref="K47">IFERROR(
  _xlfn.LET(
    _xlpm.ligpartie, MATCH($B46, Donnees!$F:$F, 0),
    _xlpm.joueurs, INDEX(Donnees!$A:$Z, _xlpm.ligpartie+1, _xlfn.SEQUENCE(1, 4, 2)),
    INDEX(
      Donnees!$A:$Z,
      _xlpm.ligpartie + 3,
      MATCH(K$1, _xlpm.joueurs, 0) + 1
    )
  ), ""
)</f>
        <v/>
      </c>
      <c r="L47" t="str" cm="1">
        <f t="array" ref="L47">IFERROR(
  _xlfn.LET(
    _xlpm.ligpartie, MATCH($B46, Donnees!$F:$F, 0),
    _xlpm.joueurs, INDEX(Donnees!$A:$Z, _xlpm.ligpartie+1, _xlfn.SEQUENCE(1, 4, 2)),
    INDEX(
      Donnees!$A:$Z,
      _xlpm.ligpartie + 3,
      MATCH(L$1, _xlpm.joueurs, 0) + 1
    )
  ), ""
)</f>
        <v/>
      </c>
      <c r="M47" t="str" cm="1">
        <f t="array" ref="M47">IFERROR(
  _xlfn.LET(
    _xlpm.ligpartie, MATCH($B46, Donnees!$F:$F, 0),
    _xlpm.joueurs, INDEX(Donnees!$A:$Z, _xlpm.ligpartie+1, _xlfn.SEQUENCE(1, 4, 2)),
    INDEX(
      Donnees!$A:$Z,
      _xlpm.ligpartie + 3,
      MATCH(M$1, _xlpm.joueurs, 0) + 1
    )
  ), ""
)</f>
        <v/>
      </c>
      <c r="N47" cm="1">
        <f t="array" ref="N47">IFERROR(
  _xlfn.LET(
    _xlpm.ligpartie, MATCH($B46, Donnees!$F:$F, 0),
    _xlpm.joueurs, INDEX(Donnees!$A:$Z, _xlpm.ligpartie+1, _xlfn.SEQUENCE(1, 4, 2)),
    INDEX(
      Donnees!$A:$Z,
      _xlpm.ligpartie + 3,
      MATCH(N$1, _xlpm.joueurs, 0) + 1
    )
  ), ""
)</f>
        <v>0</v>
      </c>
      <c r="O47" t="str" cm="1">
        <f t="array" ref="O47">IFERROR(
  _xlfn.LET(
    _xlpm.ligpartie, MATCH($B46, Donnees!$F:$F, 0),
    _xlpm.joueurs, INDEX(Donnees!$A:$Z, _xlpm.ligpartie+1, _xlfn.SEQUENCE(1, 4, 2)),
    INDEX(
      Donnees!$A:$Z,
      _xlpm.ligpartie + 3,
      MATCH(O$1, _xlpm.joueurs, 0) + 1
    )
  ), ""
)</f>
        <v/>
      </c>
      <c r="P47" t="str" cm="1">
        <f t="array" ref="P47">IFERROR(
  _xlfn.LET(
    _xlpm.ligpartie, MATCH($B46, Donnees!$F:$F, 0),
    _xlpm.joueurs, INDEX(Donnees!$A:$Z, _xlpm.ligpartie+1, _xlfn.SEQUENCE(1, 4, 2)),
    INDEX(
      Donnees!$A:$Z,
      _xlpm.ligpartie + 3,
      MATCH(P$1, _xlpm.joueurs, 0) + 1
    )
  ), ""
)</f>
        <v/>
      </c>
      <c r="Q47" t="str" cm="1">
        <f t="array" ref="Q47">IFERROR(
  _xlfn.LET(
    _xlpm.ligpartie, MATCH($B46, Donnees!$F:$F, 0),
    _xlpm.joueurs, INDEX(Donnees!$A:$Z, _xlpm.ligpartie+1, _xlfn.SEQUENCE(1, 4, 2)),
    INDEX(
      Donnees!$A:$Z,
      _xlpm.ligpartie + 3,
      MATCH(Q$1, _xlpm.joueurs, 0) + 1
    )
  ), ""
)</f>
        <v/>
      </c>
      <c r="R47" cm="1">
        <f t="array" ref="R47">IFERROR(
  _xlfn.LET(
    _xlpm.ligpartie, MATCH($B46, Donnees!$F:$F, 0),
    _xlpm.joueurs, INDEX(Donnees!$A:$Z, _xlpm.ligpartie+1, _xlfn.SEQUENCE(1, 4, 2)),
    INDEX(
      Donnees!$A:$Z,
      _xlpm.ligpartie + 3,
      MATCH(R$1, _xlpm.joueurs, 0) + 1
    )
  ), ""
)</f>
        <v>1</v>
      </c>
      <c r="S47" cm="1">
        <f t="array" ref="S47">IFERROR(
  _xlfn.LET(
    _xlpm.ligpartie, MATCH($B46, Donnees!$F:$F, 0),
    _xlpm.joueurs, INDEX(Donnees!$A:$Z, _xlpm.ligpartie+1, _xlfn.SEQUENCE(1, 4, 2)),
    INDEX(
      Donnees!$A:$Z,
      _xlpm.ligpartie + 3,
      MATCH(S$1, _xlpm.joueurs, 0) + 1
    )
  ), ""
)</f>
        <v>2</v>
      </c>
      <c r="T47" cm="1">
        <f t="array" ref="T47">IFERROR(
  _xlfn.LET(
    _xlpm.ligpartie, MATCH($B46, Donnees!$F:$F, 0),
    _xlpm.joueurs, INDEX(Donnees!$A:$Z, _xlpm.ligpartie+1, _xlfn.SEQUENCE(1, 4, 2)),
    INDEX(
      Donnees!$A:$Z,
      _xlpm.ligpartie + 3,
      MATCH(T$1, _xlpm.joueurs, 0) + 1
    )
  ), ""
)</f>
        <v>3</v>
      </c>
      <c r="U47" t="str" cm="1">
        <f t="array" ref="U47">IFERROR(
  _xlfn.LET(
    _xlpm.ligpartie, MATCH($B46, Donnees!$F:$F, 0),
    _xlpm.joueurs, INDEX(Donnees!$A:$Z, _xlpm.ligpartie+1, _xlfn.SEQUENCE(1, 4, 2)),
    INDEX(
      Donnees!$A:$Z,
      _xlpm.ligpartie + 3,
      MATCH(U$1, _xlpm.joueurs, 0) + 1
    )
  ), ""
)</f>
        <v/>
      </c>
      <c r="V47" t="str" cm="1">
        <f t="array" ref="V47">IFERROR(
  _xlfn.LET(
    _xlpm.ligpartie, MATCH($B46, Donnees!$F:$F, 0),
    _xlpm.joueurs, INDEX(Donnees!$A:$Z, _xlpm.ligpartie+1, _xlfn.SEQUENCE(1, 4, 2)),
    INDEX(
      Donnees!$A:$Z,
      _xlpm.ligpartie + 3,
      MATCH(V$1, _xlpm.joueurs, 0) + 1
    )
  ), ""
)</f>
        <v/>
      </c>
      <c r="W47" t="str" cm="1">
        <f t="array" ref="W47">IFERROR(
  _xlfn.LET(
    _xlpm.ligpartie, MATCH($B46, Donnees!$F:$F, 0),
    _xlpm.joueurs, INDEX(Donnees!$A:$Z, _xlpm.ligpartie+1, _xlfn.SEQUENCE(1, 4, 2)),
    INDEX(
      Donnees!$A:$Z,
      _xlpm.ligpartie + 3,
      MATCH(W$1, _xlpm.joueurs, 0) + 1
    )
  ), ""
)</f>
        <v/>
      </c>
      <c r="X47" t="str" cm="1">
        <f t="array" ref="X47">IFERROR(
  _xlfn.LET(
    _xlpm.ligpartie, MATCH($B46, Donnees!$F:$F, 0),
    _xlpm.joueurs, INDEX(Donnees!$A:$Z, _xlpm.ligpartie+1, _xlfn.SEQUENCE(1, 4, 2)),
    INDEX(
      Donnees!$A:$Z,
      _xlpm.ligpartie + 3,
      MATCH(X$1, _xlpm.joueurs, 0) + 1
    )
  ), ""
)</f>
        <v/>
      </c>
      <c r="Y47" t="str" cm="1">
        <f t="array" ref="Y47">IFERROR(
  _xlfn.LET(
    _xlpm.ligpartie, MATCH($B46, Donnees!$F:$F, 0),
    _xlpm.joueurs, INDEX(Donnees!$A:$Z, _xlpm.ligpartie+1, _xlfn.SEQUENCE(1, 4, 2)),
    INDEX(
      Donnees!$A:$Z,
      _xlpm.ligpartie + 3,
      MATCH(Y$1, _xlpm.joueurs, 0) + 1
    )
  ), ""
)</f>
        <v/>
      </c>
      <c r="Z47" t="str" cm="1">
        <f t="array" ref="Z47">IFERROR(
  _xlfn.LET(
    _xlpm.ligpartie, MATCH($B46, Donnees!$F:$F, 0),
    _xlpm.joueurs, INDEX(Donnees!$A:$Z, _xlpm.ligpartie+1, _xlfn.SEQUENCE(1, 4, 2)),
    INDEX(
      Donnees!$A:$Z,
      _xlpm.ligpartie + 3,
      MATCH(Z$1, _xlpm.joueurs, 0) + 1
    )
  ), ""
)</f>
        <v/>
      </c>
      <c r="AA47" t="str" cm="1">
        <f t="array" ref="AA47">IFERROR(
  _xlfn.LET(
    _xlpm.ligpartie, MATCH($B46, Donnees!$F:$F, 0),
    _xlpm.joueurs, INDEX(Donnees!$A:$Z, _xlpm.ligpartie+1, _xlfn.SEQUENCE(1, 4, 2)),
    INDEX(
      Donnees!$A:$Z,
      _xlpm.ligpartie + 3,
      MATCH(AA$1, _xlpm.joueurs, 0) + 1
    )
  ), ""
)</f>
        <v/>
      </c>
      <c r="AB47" t="str" cm="1">
        <f t="array" ref="AB47">IFERROR(
  _xlfn.LET(
    _xlpm.ligpartie, MATCH($B46, Donnees!$F:$F, 0),
    _xlpm.joueurs, INDEX(Donnees!$A:$Z, _xlpm.ligpartie+1, _xlfn.SEQUENCE(1, 4, 2)),
    INDEX(
      Donnees!$A:$Z,
      _xlpm.ligpartie + 3,
      MATCH(AB$1, _xlpm.joueurs, 0) + 1
    )
  ), ""
)</f>
        <v/>
      </c>
      <c r="AC47" t="str" cm="1">
        <f t="array" ref="AC47">IFERROR(
  _xlfn.LET(
    _xlpm.ligpartie, MATCH($B46, Donnees!$F:$F, 0),
    _xlpm.joueurs, INDEX(Donnees!$A:$Z, _xlpm.ligpartie+1, _xlfn.SEQUENCE(1, 4, 2)),
    INDEX(
      Donnees!$A:$Z,
      _xlpm.ligpartie + 3,
      MATCH(AC$1, _xlpm.joueurs, 0) + 1
    )
  ), ""
)</f>
        <v/>
      </c>
      <c r="AD47" t="str" cm="1">
        <f t="array" ref="AD47">IFERROR(
  _xlfn.LET(
    _xlpm.ligpartie, MATCH($B46, Donnees!$F:$F, 0),
    _xlpm.joueurs, INDEX(Donnees!$A:$Z, _xlpm.ligpartie+1, _xlfn.SEQUENCE(1, 4, 2)),
    INDEX(
      Donnees!$A:$Z,
      _xlpm.ligpartie + 3,
      MATCH(AD$1, _xlpm.joueurs, 0) + 1
    )
  ), ""
)</f>
        <v/>
      </c>
      <c r="AE47" t="str" cm="1">
        <f t="array" ref="AE47">IFERROR(
  _xlfn.LET(
    _xlpm.ligpartie, MATCH($B46, Donnees!$F:$F, 0),
    _xlpm.joueurs, INDEX(Donnees!$A:$Z, _xlpm.ligpartie+1, _xlfn.SEQUENCE(1, 4, 2)),
    INDEX(
      Donnees!$A:$Z,
      _xlpm.ligpartie + 3,
      MATCH(AE$1, _xlpm.joueurs, 0) + 1
    )
  ), ""
)</f>
        <v/>
      </c>
      <c r="AF47" t="str" cm="1">
        <f t="array" ref="AF47">IFERROR(
  _xlfn.LET(
    _xlpm.ligpartie, MATCH($B46, Donnees!$F:$F, 0),
    _xlpm.joueurs, INDEX(Donnees!$A:$Z, _xlpm.ligpartie+1, _xlfn.SEQUENCE(1, 4, 2)),
    INDEX(
      Donnees!$A:$Z,
      _xlpm.ligpartie + 3,
      MATCH(AF$1, _xlpm.joueurs, 0) + 1
    )
  ), ""
)</f>
        <v/>
      </c>
      <c r="AG47" t="str" cm="1">
        <f t="array" ref="AG47">IFERROR(
  _xlfn.LET(
    _xlpm.ligpartie, MATCH($B46, Donnees!$F:$F, 0),
    _xlpm.joueurs, INDEX(Donnees!$A:$Z, _xlpm.ligpartie+1, _xlfn.SEQUENCE(1, 4, 2)),
    INDEX(
      Donnees!$A:$Z,
      _xlpm.ligpartie + 3,
      MATCH(AG$1, _xlpm.joueurs, 0) + 1
    )
  ), ""
)</f>
        <v/>
      </c>
      <c r="AH47" t="str" cm="1">
        <f t="array" ref="AH47">IFERROR(
  _xlfn.LET(
    _xlpm.ligpartie, MATCH($B46, Donnees!$F:$F, 0),
    _xlpm.joueurs, INDEX(Donnees!$A:$Z, _xlpm.ligpartie+1, _xlfn.SEQUENCE(1, 4, 2)),
    INDEX(
      Donnees!$A:$Z,
      _xlpm.ligpartie + 3,
      MATCH(AH$1, _xlpm.joueurs, 0) + 1
    )
  ), ""
)</f>
        <v/>
      </c>
      <c r="AI47" t="str" cm="1">
        <f t="array" ref="AI47">IFERROR(
  _xlfn.LET(
    _xlpm.ligpartie, MATCH($B46, Donnees!$F:$F, 0),
    _xlpm.joueurs, INDEX(Donnees!$A:$Z, _xlpm.ligpartie+1, _xlfn.SEQUENCE(1, 4, 2)),
    INDEX(
      Donnees!$A:$Z,
      _xlpm.ligpartie + 3,
      MATCH(AI$1, _xlpm.joueurs, 0) + 1
    )
  ), ""
)</f>
        <v/>
      </c>
      <c r="AJ47" t="str" cm="1">
        <f t="array" ref="AJ47">IFERROR(
  _xlfn.LET(
    _xlpm.ligpartie, MATCH($B46, Donnees!$F:$F, 0),
    _xlpm.joueurs, INDEX(Donnees!$A:$Z, _xlpm.ligpartie+1, _xlfn.SEQUENCE(1, 4, 2)),
    INDEX(
      Donnees!$A:$Z,
      _xlpm.ligpartie + 3,
      MATCH(AJ$1, _xlpm.joueurs, 0) + 1
    )
  ), ""
)</f>
        <v/>
      </c>
      <c r="AK47" t="str" cm="1">
        <f t="array" ref="AK47">IFERROR(
  _xlfn.LET(
    _xlpm.ligpartie, MATCH($B46, Donnees!$F:$F, 0),
    _xlpm.joueurs, INDEX(Donnees!$A:$Z, _xlpm.ligpartie+1, _xlfn.SEQUENCE(1, 4, 2)),
    INDEX(
      Donnees!$A:$Z,
      _xlpm.ligpartie + 3,
      MATCH(AK$1, _xlpm.joueurs, 0) + 1
    )
  ), ""
)</f>
        <v/>
      </c>
      <c r="AL47" t="str" cm="1">
        <f t="array" ref="AL47">IFERROR(
  _xlfn.LET(
    _xlpm.ligpartie, MATCH($B46, Donnees!$F:$F, 0),
    _xlpm.joueurs, INDEX(Donnees!$A:$Z, _xlpm.ligpartie+1, _xlfn.SEQUENCE(1, 4, 2)),
    INDEX(
      Donnees!$A:$Z,
      _xlpm.ligpartie + 3,
      MATCH(AL$1, _xlpm.joueurs, 0) + 1
    )
  ), ""
)</f>
        <v/>
      </c>
      <c r="AM47" t="str" cm="1">
        <f t="array" ref="AM47">IFERROR(
  _xlfn.LET(
    _xlpm.ligpartie, MATCH($B46, Donnees!$F:$F, 0),
    _xlpm.joueurs, INDEX(Donnees!$A:$Z, _xlpm.ligpartie+1, _xlfn.SEQUENCE(1, 4, 2)),
    INDEX(
      Donnees!$A:$Z,
      _xlpm.ligpartie + 3,
      MATCH(AM$1, _xlpm.joueurs, 0) + 1
    )
  ), ""
)</f>
        <v/>
      </c>
    </row>
    <row r="48" spans="1:39" x14ac:dyDescent="0.25">
      <c r="A48" t="s">
        <v>20</v>
      </c>
      <c r="D48" t="str" cm="1">
        <f t="array" ref="D48">_xlfn.LET(
  _xlpm.colj, _xlfn._xlws.FILTER(IF(ISNUMBER(47:47), COLUMN(47:47)), ISNUMBER(47:47)),
  _xlpm.elos, INDEX(46:46,1,_xlpm.colj),
  _xlpm.diffscale, Constantes!$B$2,
  IF(D47="",
    "",
    SUM(1/(1+POWER(10,-(D46-_xlpm.elos)/_xlpm.diffscale)))-0.5)
)</f>
        <v/>
      </c>
      <c r="E48" t="str" cm="1">
        <f t="array" ref="E48">_xlfn.LET(
  _xlpm.colj, _xlfn._xlws.FILTER(IF(ISNUMBER(47:47), COLUMN(47:47)), ISNUMBER(47:47)),
  _xlpm.elos, INDEX(46:46,1,_xlpm.colj),
  _xlpm.diffscale, Constantes!$B$2,
  IF(E47="",
    "",
    SUM(1/(1+POWER(10,-(E46-_xlpm.elos)/_xlpm.diffscale)))-0.5)
)</f>
        <v/>
      </c>
      <c r="F48" t="str" cm="1">
        <f t="array" ref="F48">_xlfn.LET(
  _xlpm.colj, _xlfn._xlws.FILTER(IF(ISNUMBER(47:47), COLUMN(47:47)), ISNUMBER(47:47)),
  _xlpm.elos, INDEX(46:46,1,_xlpm.colj),
  _xlpm.diffscale, Constantes!$B$2,
  IF(F47="",
    "",
    SUM(1/(1+POWER(10,-(F46-_xlpm.elos)/_xlpm.diffscale)))-0.5)
)</f>
        <v/>
      </c>
      <c r="G48" t="str" cm="1">
        <f t="array" ref="G48">_xlfn.LET(
  _xlpm.colj, _xlfn._xlws.FILTER(IF(ISNUMBER(47:47), COLUMN(47:47)), ISNUMBER(47:47)),
  _xlpm.elos, INDEX(46:46,1,_xlpm.colj),
  _xlpm.diffscale, Constantes!$B$2,
  IF(G47="",
    "",
    SUM(1/(1+POWER(10,-(G46-_xlpm.elos)/_xlpm.diffscale)))-0.5)
)</f>
        <v/>
      </c>
      <c r="H48" t="str" cm="1">
        <f t="array" ref="H48">_xlfn.LET(
  _xlpm.colj, _xlfn._xlws.FILTER(IF(ISNUMBER(47:47), COLUMN(47:47)), ISNUMBER(47:47)),
  _xlpm.elos, INDEX(46:46,1,_xlpm.colj),
  _xlpm.diffscale, Constantes!$B$2,
  IF(H47="",
    "",
    SUM(1/(1+POWER(10,-(H46-_xlpm.elos)/_xlpm.diffscale)))-0.5)
)</f>
        <v/>
      </c>
      <c r="I48" t="str" cm="1">
        <f t="array" ref="I48">_xlfn.LET(
  _xlpm.colj, _xlfn._xlws.FILTER(IF(ISNUMBER(47:47), COLUMN(47:47)), ISNUMBER(47:47)),
  _xlpm.elos, INDEX(46:46,1,_xlpm.colj),
  _xlpm.diffscale, Constantes!$B$2,
  IF(I47="",
    "",
    SUM(1/(1+POWER(10,-(I46-_xlpm.elos)/_xlpm.diffscale)))-0.5)
)</f>
        <v/>
      </c>
      <c r="J48" t="str" cm="1">
        <f t="array" ref="J48">_xlfn.LET(
  _xlpm.colj, _xlfn._xlws.FILTER(IF(ISNUMBER(47:47), COLUMN(47:47)), ISNUMBER(47:47)),
  _xlpm.elos, INDEX(46:46,1,_xlpm.colj),
  _xlpm.diffscale, Constantes!$B$2,
  IF(J47="",
    "",
    SUM(1/(1+POWER(10,-(J46-_xlpm.elos)/_xlpm.diffscale)))-0.5)
)</f>
        <v/>
      </c>
      <c r="K48" t="str" cm="1">
        <f t="array" ref="K48">_xlfn.LET(
  _xlpm.colj, _xlfn._xlws.FILTER(IF(ISNUMBER(47:47), COLUMN(47:47)), ISNUMBER(47:47)),
  _xlpm.elos, INDEX(46:46,1,_xlpm.colj),
  _xlpm.diffscale, Constantes!$B$2,
  IF(K47="",
    "",
    SUM(1/(1+POWER(10,-(K46-_xlpm.elos)/_xlpm.diffscale)))-0.5)
)</f>
        <v/>
      </c>
      <c r="L48" t="str" cm="1">
        <f t="array" ref="L48">_xlfn.LET(
  _xlpm.colj, _xlfn._xlws.FILTER(IF(ISNUMBER(47:47), COLUMN(47:47)), ISNUMBER(47:47)),
  _xlpm.elos, INDEX(46:46,1,_xlpm.colj),
  _xlpm.diffscale, Constantes!$B$2,
  IF(L47="",
    "",
    SUM(1/(1+POWER(10,-(L46-_xlpm.elos)/_xlpm.diffscale)))-0.5)
)</f>
        <v/>
      </c>
      <c r="M48" t="str" cm="1">
        <f t="array" ref="M48">_xlfn.LET(
  _xlpm.colj, _xlfn._xlws.FILTER(IF(ISNUMBER(47:47), COLUMN(47:47)), ISNUMBER(47:47)),
  _xlpm.elos, INDEX(46:46,1,_xlpm.colj),
  _xlpm.diffscale, Constantes!$B$2,
  IF(M47="",
    "",
    SUM(1/(1+POWER(10,-(M46-_xlpm.elos)/_xlpm.diffscale)))-0.5)
)</f>
        <v/>
      </c>
      <c r="N48" cm="1">
        <f t="array" ref="N48">_xlfn.LET(
  _xlpm.colj, _xlfn._xlws.FILTER(IF(ISNUMBER(47:47), COLUMN(47:47)), ISNUMBER(47:47)),
  _xlpm.elos, INDEX(46:46,1,_xlpm.colj),
  _xlpm.diffscale, Constantes!$B$2,
  IF(N47="",
    "",
    SUM(1/(1+POWER(10,-(N46-_xlpm.elos)/_xlpm.diffscale)))-0.5)
)</f>
        <v>1.4635285235146556</v>
      </c>
      <c r="O48" t="str" cm="1">
        <f t="array" ref="O48">_xlfn.LET(
  _xlpm.colj, _xlfn._xlws.FILTER(IF(ISNUMBER(47:47), COLUMN(47:47)), ISNUMBER(47:47)),
  _xlpm.elos, INDEX(46:46,1,_xlpm.colj),
  _xlpm.diffscale, Constantes!$B$2,
  IF(O47="",
    "",
    SUM(1/(1+POWER(10,-(O46-_xlpm.elos)/_xlpm.diffscale)))-0.5)
)</f>
        <v/>
      </c>
      <c r="P48" t="str" cm="1">
        <f t="array" ref="P48">_xlfn.LET(
  _xlpm.colj, _xlfn._xlws.FILTER(IF(ISNUMBER(47:47), COLUMN(47:47)), ISNUMBER(47:47)),
  _xlpm.elos, INDEX(46:46,1,_xlpm.colj),
  _xlpm.diffscale, Constantes!$B$2,
  IF(P47="",
    "",
    SUM(1/(1+POWER(10,-(P46-_xlpm.elos)/_xlpm.diffscale)))-0.5)
)</f>
        <v/>
      </c>
      <c r="Q48" t="str" cm="1">
        <f t="array" ref="Q48">_xlfn.LET(
  _xlpm.colj, _xlfn._xlws.FILTER(IF(ISNUMBER(47:47), COLUMN(47:47)), ISNUMBER(47:47)),
  _xlpm.elos, INDEX(46:46,1,_xlpm.colj),
  _xlpm.diffscale, Constantes!$B$2,
  IF(Q47="",
    "",
    SUM(1/(1+POWER(10,-(Q46-_xlpm.elos)/_xlpm.diffscale)))-0.5)
)</f>
        <v/>
      </c>
      <c r="R48" cm="1">
        <f t="array" ref="R48">_xlfn.LET(
  _xlpm.colj, _xlfn._xlws.FILTER(IF(ISNUMBER(47:47), COLUMN(47:47)), ISNUMBER(47:47)),
  _xlpm.elos, INDEX(46:46,1,_xlpm.colj),
  _xlpm.diffscale, Constantes!$B$2,
  IF(R47="",
    "",
    SUM(1/(1+POWER(10,-(R46-_xlpm.elos)/_xlpm.diffscale)))-0.5)
)</f>
        <v>1.4762373645573996</v>
      </c>
      <c r="S48" cm="1">
        <f t="array" ref="S48">_xlfn.LET(
  _xlpm.colj, _xlfn._xlws.FILTER(IF(ISNUMBER(47:47), COLUMN(47:47)), ISNUMBER(47:47)),
  _xlpm.elos, INDEX(46:46,1,_xlpm.colj),
  _xlpm.diffscale, Constantes!$B$2,
  IF(S47="",
    "",
    SUM(1/(1+POWER(10,-(S46-_xlpm.elos)/_xlpm.diffscale)))-0.5)
)</f>
        <v>1.3999675995312453</v>
      </c>
      <c r="T48" cm="1">
        <f t="array" ref="T48">_xlfn.LET(
  _xlpm.colj, _xlfn._xlws.FILTER(IF(ISNUMBER(47:47), COLUMN(47:47)), ISNUMBER(47:47)),
  _xlpm.elos, INDEX(46:46,1,_xlpm.colj),
  _xlpm.diffscale, Constantes!$B$2,
  IF(T47="",
    "",
    SUM(1/(1+POWER(10,-(T46-_xlpm.elos)/_xlpm.diffscale)))-0.5)
)</f>
        <v>1.6602665123966993</v>
      </c>
      <c r="U48" t="str" cm="1">
        <f t="array" ref="U48">_xlfn.LET(
  _xlpm.colj, _xlfn._xlws.FILTER(IF(ISNUMBER(47:47), COLUMN(47:47)), ISNUMBER(47:47)),
  _xlpm.elos, INDEX(46:46,1,_xlpm.colj),
  _xlpm.diffscale, Constantes!$B$2,
  IF(U47="",
    "",
    SUM(1/(1+POWER(10,-(U46-_xlpm.elos)/_xlpm.diffscale)))-0.5)
)</f>
        <v/>
      </c>
      <c r="V48" t="str" cm="1">
        <f t="array" ref="V48">_xlfn.LET(
  _xlpm.colj, _xlfn._xlws.FILTER(IF(ISNUMBER(47:47), COLUMN(47:47)), ISNUMBER(47:47)),
  _xlpm.elos, INDEX(46:46,1,_xlpm.colj),
  _xlpm.diffscale, Constantes!$B$2,
  IF(V47="",
    "",
    SUM(1/(1+POWER(10,-(V46-_xlpm.elos)/_xlpm.diffscale)))-0.5)
)</f>
        <v/>
      </c>
      <c r="W48" t="str" cm="1">
        <f t="array" ref="W48">_xlfn.LET(
  _xlpm.colj, _xlfn._xlws.FILTER(IF(ISNUMBER(47:47), COLUMN(47:47)), ISNUMBER(47:47)),
  _xlpm.elos, INDEX(46:46,1,_xlpm.colj),
  _xlpm.diffscale, Constantes!$B$2,
  IF(W47="",
    "",
    SUM(1/(1+POWER(10,-(W46-_xlpm.elos)/_xlpm.diffscale)))-0.5)
)</f>
        <v/>
      </c>
      <c r="X48" t="str" cm="1">
        <f t="array" ref="X48">_xlfn.LET(
  _xlpm.colj, _xlfn._xlws.FILTER(IF(ISNUMBER(47:47), COLUMN(47:47)), ISNUMBER(47:47)),
  _xlpm.elos, INDEX(46:46,1,_xlpm.colj),
  _xlpm.diffscale, Constantes!$B$2,
  IF(X47="",
    "",
    SUM(1/(1+POWER(10,-(X46-_xlpm.elos)/_xlpm.diffscale)))-0.5)
)</f>
        <v/>
      </c>
      <c r="Y48" t="str" cm="1">
        <f t="array" ref="Y48">_xlfn.LET(
  _xlpm.colj, _xlfn._xlws.FILTER(IF(ISNUMBER(47:47), COLUMN(47:47)), ISNUMBER(47:47)),
  _xlpm.elos, INDEX(46:46,1,_xlpm.colj),
  _xlpm.diffscale, Constantes!$B$2,
  IF(Y47="",
    "",
    SUM(1/(1+POWER(10,-(Y46-_xlpm.elos)/_xlpm.diffscale)))-0.5)
)</f>
        <v/>
      </c>
      <c r="Z48" t="str" cm="1">
        <f t="array" ref="Z48">_xlfn.LET(
  _xlpm.colj, _xlfn._xlws.FILTER(IF(ISNUMBER(47:47), COLUMN(47:47)), ISNUMBER(47:47)),
  _xlpm.elos, INDEX(46:46,1,_xlpm.colj),
  _xlpm.diffscale, Constantes!$B$2,
  IF(Z47="",
    "",
    SUM(1/(1+POWER(10,-(Z46-_xlpm.elos)/_xlpm.diffscale)))-0.5)
)</f>
        <v/>
      </c>
      <c r="AA48" t="str" cm="1">
        <f t="array" ref="AA48">_xlfn.LET(
  _xlpm.colj, _xlfn._xlws.FILTER(IF(ISNUMBER(47:47), COLUMN(47:47)), ISNUMBER(47:47)),
  _xlpm.elos, INDEX(46:46,1,_xlpm.colj),
  _xlpm.diffscale, Constantes!$B$2,
  IF(AA47="",
    "",
    SUM(1/(1+POWER(10,-(AA46-_xlpm.elos)/_xlpm.diffscale)))-0.5)
)</f>
        <v/>
      </c>
      <c r="AB48" t="str" cm="1">
        <f t="array" ref="AB48">_xlfn.LET(
  _xlpm.colj, _xlfn._xlws.FILTER(IF(ISNUMBER(47:47), COLUMN(47:47)), ISNUMBER(47:47)),
  _xlpm.elos, INDEX(46:46,1,_xlpm.colj),
  _xlpm.diffscale, Constantes!$B$2,
  IF(AB47="",
    "",
    SUM(1/(1+POWER(10,-(AB46-_xlpm.elos)/_xlpm.diffscale)))-0.5)
)</f>
        <v/>
      </c>
      <c r="AC48" t="str" cm="1">
        <f t="array" ref="AC48">_xlfn.LET(
  _xlpm.colj, _xlfn._xlws.FILTER(IF(ISNUMBER(47:47), COLUMN(47:47)), ISNUMBER(47:47)),
  _xlpm.elos, INDEX(46:46,1,_xlpm.colj),
  _xlpm.diffscale, Constantes!$B$2,
  IF(AC47="",
    "",
    SUM(1/(1+POWER(10,-(AC46-_xlpm.elos)/_xlpm.diffscale)))-0.5)
)</f>
        <v/>
      </c>
      <c r="AD48" t="str" cm="1">
        <f t="array" ref="AD48">_xlfn.LET(
  _xlpm.colj, _xlfn._xlws.FILTER(IF(ISNUMBER(47:47), COLUMN(47:47)), ISNUMBER(47:47)),
  _xlpm.elos, INDEX(46:46,1,_xlpm.colj),
  _xlpm.diffscale, Constantes!$B$2,
  IF(AD47="",
    "",
    SUM(1/(1+POWER(10,-(AD46-_xlpm.elos)/_xlpm.diffscale)))-0.5)
)</f>
        <v/>
      </c>
      <c r="AE48" t="str" cm="1">
        <f t="array" ref="AE48">_xlfn.LET(
  _xlpm.colj, _xlfn._xlws.FILTER(IF(ISNUMBER(47:47), COLUMN(47:47)), ISNUMBER(47:47)),
  _xlpm.elos, INDEX(46:46,1,_xlpm.colj),
  _xlpm.diffscale, Constantes!$B$2,
  IF(AE47="",
    "",
    SUM(1/(1+POWER(10,-(AE46-_xlpm.elos)/_xlpm.diffscale)))-0.5)
)</f>
        <v/>
      </c>
      <c r="AF48" t="str" cm="1">
        <f t="array" ref="AF48">_xlfn.LET(
  _xlpm.colj, _xlfn._xlws.FILTER(IF(ISNUMBER(47:47), COLUMN(47:47)), ISNUMBER(47:47)),
  _xlpm.elos, INDEX(46:46,1,_xlpm.colj),
  _xlpm.diffscale, Constantes!$B$2,
  IF(AF47="",
    "",
    SUM(1/(1+POWER(10,-(AF46-_xlpm.elos)/_xlpm.diffscale)))-0.5)
)</f>
        <v/>
      </c>
      <c r="AG48" t="str" cm="1">
        <f t="array" ref="AG48">_xlfn.LET(
  _xlpm.colj, _xlfn._xlws.FILTER(IF(ISNUMBER(47:47), COLUMN(47:47)), ISNUMBER(47:47)),
  _xlpm.elos, INDEX(46:46,1,_xlpm.colj),
  _xlpm.diffscale, Constantes!$B$2,
  IF(AG47="",
    "",
    SUM(1/(1+POWER(10,-(AG46-_xlpm.elos)/_xlpm.diffscale)))-0.5)
)</f>
        <v/>
      </c>
      <c r="AH48" t="str" cm="1">
        <f t="array" ref="AH48">_xlfn.LET(
  _xlpm.colj, _xlfn._xlws.FILTER(IF(ISNUMBER(47:47), COLUMN(47:47)), ISNUMBER(47:47)),
  _xlpm.elos, INDEX(46:46,1,_xlpm.colj),
  _xlpm.diffscale, Constantes!$B$2,
  IF(AH47="",
    "",
    SUM(1/(1+POWER(10,-(AH46-_xlpm.elos)/_xlpm.diffscale)))-0.5)
)</f>
        <v/>
      </c>
      <c r="AI48" t="str" cm="1">
        <f t="array" ref="AI48">_xlfn.LET(
  _xlpm.colj, _xlfn._xlws.FILTER(IF(ISNUMBER(47:47), COLUMN(47:47)), ISNUMBER(47:47)),
  _xlpm.elos, INDEX(46:46,1,_xlpm.colj),
  _xlpm.diffscale, Constantes!$B$2,
  IF(AI47="",
    "",
    SUM(1/(1+POWER(10,-(AI46-_xlpm.elos)/_xlpm.diffscale)))-0.5)
)</f>
        <v/>
      </c>
      <c r="AJ48" t="str" cm="1">
        <f t="array" ref="AJ48">_xlfn.LET(
  _xlpm.colj, _xlfn._xlws.FILTER(IF(ISNUMBER(47:47), COLUMN(47:47)), ISNUMBER(47:47)),
  _xlpm.elos, INDEX(46:46,1,_xlpm.colj),
  _xlpm.diffscale, Constantes!$B$2,
  IF(AJ47="",
    "",
    SUM(1/(1+POWER(10,-(AJ46-_xlpm.elos)/_xlpm.diffscale)))-0.5)
)</f>
        <v/>
      </c>
      <c r="AK48" t="str" cm="1">
        <f t="array" ref="AK48">_xlfn.LET(
  _xlpm.colj, _xlfn._xlws.FILTER(IF(ISNUMBER(47:47), COLUMN(47:47)), ISNUMBER(47:47)),
  _xlpm.elos, INDEX(46:46,1,_xlpm.colj),
  _xlpm.diffscale, Constantes!$B$2,
  IF(AK47="",
    "",
    SUM(1/(1+POWER(10,-(AK46-_xlpm.elos)/_xlpm.diffscale)))-0.5)
)</f>
        <v/>
      </c>
      <c r="AL48" t="str" cm="1">
        <f t="array" ref="AL48">_xlfn.LET(
  _xlpm.colj, _xlfn._xlws.FILTER(IF(ISNUMBER(47:47), COLUMN(47:47)), ISNUMBER(47:47)),
  _xlpm.elos, INDEX(46:46,1,_xlpm.colj),
  _xlpm.diffscale, Constantes!$B$2,
  IF(AL47="",
    "",
    SUM(1/(1+POWER(10,-(AL46-_xlpm.elos)/_xlpm.diffscale)))-0.5)
)</f>
        <v/>
      </c>
      <c r="AM48" t="str" cm="1">
        <f t="array" ref="AM48">_xlfn.LET(
  _xlpm.colj, _xlfn._xlws.FILTER(IF(ISNUMBER(47:47), COLUMN(47:47)), ISNUMBER(47:47)),
  _xlpm.elos, INDEX(46:46,1,_xlpm.colj),
  _xlpm.diffscale, Constantes!$B$2,
  IF(AM47="",
    "",
    SUM(1/(1+POWER(10,-(AM46-_xlpm.elos)/_xlpm.diffscale)))-0.5)
)</f>
        <v/>
      </c>
    </row>
    <row r="49" spans="1:39" x14ac:dyDescent="0.25">
      <c r="A49" t="s">
        <v>22</v>
      </c>
      <c r="D49" t="str" cm="1">
        <f t="array" ref="D49">_xlfn.LET(
  _xlpm.K, Constantes!$B$3,
  _xlpm.Knewgain, Constantes!$B$4,
  _xlpm.Knewscale, Constantes!$B$5,
  _xlpm.ptstables, INDEX(D:D, _xlfn.SEQUENCE(COUNTA($C$2:$C49), 1, 3, 4)),
  _xlpm.nbparties, COUNTA(_xlfn._xlws.FILTER(_xlpm.ptstables, _xlpm.ptstables &lt;&gt; "")),
  _xlpm.coef, _xlpm.K + _xlpm.Knewgain / (_xlpm.Knewscale + _xlpm.nbparties),
  IF(D47="",
    "",
    _xlpm.coef * (D47-D48))
)</f>
        <v/>
      </c>
      <c r="E49" t="str" cm="1">
        <f t="array" ref="E49">_xlfn.LET(
  _xlpm.K, Constantes!$B$3,
  _xlpm.Knewgain, Constantes!$B$4,
  _xlpm.Knewscale, Constantes!$B$5,
  _xlpm.ptstables, INDEX(E:E, _xlfn.SEQUENCE(COUNTA($C$2:$C49), 1, 3, 4)),
  _xlpm.nbparties, COUNTA(_xlfn._xlws.FILTER(_xlpm.ptstables, _xlpm.ptstables &lt;&gt; "")),
  _xlpm.coef, _xlpm.K + _xlpm.Knewgain / (_xlpm.Knewscale + _xlpm.nbparties),
  IF(E47="",
    "",
    _xlpm.coef * (E47-E48))
)</f>
        <v/>
      </c>
      <c r="F49" t="str" cm="1">
        <f t="array" ref="F49">_xlfn.LET(
  _xlpm.K, Constantes!$B$3,
  _xlpm.Knewgain, Constantes!$B$4,
  _xlpm.Knewscale, Constantes!$B$5,
  _xlpm.ptstables, INDEX(F:F, _xlfn.SEQUENCE(COUNTA($C$2:$C49), 1, 3, 4)),
  _xlpm.nbparties, COUNTA(_xlfn._xlws.FILTER(_xlpm.ptstables, _xlpm.ptstables &lt;&gt; "")),
  _xlpm.coef, _xlpm.K + _xlpm.Knewgain / (_xlpm.Knewscale + _xlpm.nbparties),
  IF(F47="",
    "",
    _xlpm.coef * (F47-F48))
)</f>
        <v/>
      </c>
      <c r="G49" t="str" cm="1">
        <f t="array" ref="G49">_xlfn.LET(
  _xlpm.K, Constantes!$B$3,
  _xlpm.Knewgain, Constantes!$B$4,
  _xlpm.Knewscale, Constantes!$B$5,
  _xlpm.ptstables, INDEX(G:G, _xlfn.SEQUENCE(COUNTA($C$2:$C49), 1, 3, 4)),
  _xlpm.nbparties, COUNTA(_xlfn._xlws.FILTER(_xlpm.ptstables, _xlpm.ptstables &lt;&gt; "")),
  _xlpm.coef, _xlpm.K + _xlpm.Knewgain / (_xlpm.Knewscale + _xlpm.nbparties),
  IF(G47="",
    "",
    _xlpm.coef * (G47-G48))
)</f>
        <v/>
      </c>
      <c r="H49" t="str" cm="1">
        <f t="array" ref="H49">_xlfn.LET(
  _xlpm.K, Constantes!$B$3,
  _xlpm.Knewgain, Constantes!$B$4,
  _xlpm.Knewscale, Constantes!$B$5,
  _xlpm.ptstables, INDEX(H:H, _xlfn.SEQUENCE(COUNTA($C$2:$C49), 1, 3, 4)),
  _xlpm.nbparties, COUNTA(_xlfn._xlws.FILTER(_xlpm.ptstables, _xlpm.ptstables &lt;&gt; "")),
  _xlpm.coef, _xlpm.K + _xlpm.Knewgain / (_xlpm.Knewscale + _xlpm.nbparties),
  IF(H47="",
    "",
    _xlpm.coef * (H47-H48))
)</f>
        <v/>
      </c>
      <c r="I49" t="str" cm="1">
        <f t="array" ref="I49">_xlfn.LET(
  _xlpm.K, Constantes!$B$3,
  _xlpm.Knewgain, Constantes!$B$4,
  _xlpm.Knewscale, Constantes!$B$5,
  _xlpm.ptstables, INDEX(I:I, _xlfn.SEQUENCE(COUNTA($C$2:$C49), 1, 3, 4)),
  _xlpm.nbparties, COUNTA(_xlfn._xlws.FILTER(_xlpm.ptstables, _xlpm.ptstables &lt;&gt; "")),
  _xlpm.coef, _xlpm.K + _xlpm.Knewgain / (_xlpm.Knewscale + _xlpm.nbparties),
  IF(I47="",
    "",
    _xlpm.coef * (I47-I48))
)</f>
        <v/>
      </c>
      <c r="J49" t="str" cm="1">
        <f t="array" ref="J49">_xlfn.LET(
  _xlpm.K, Constantes!$B$3,
  _xlpm.Knewgain, Constantes!$B$4,
  _xlpm.Knewscale, Constantes!$B$5,
  _xlpm.ptstables, INDEX(J:J, _xlfn.SEQUENCE(COUNTA($C$2:$C49), 1, 3, 4)),
  _xlpm.nbparties, COUNTA(_xlfn._xlws.FILTER(_xlpm.ptstables, _xlpm.ptstables &lt;&gt; "")),
  _xlpm.coef, _xlpm.K + _xlpm.Knewgain / (_xlpm.Knewscale + _xlpm.nbparties),
  IF(J47="",
    "",
    _xlpm.coef * (J47-J48))
)</f>
        <v/>
      </c>
      <c r="K49" t="str" cm="1">
        <f t="array" ref="K49">_xlfn.LET(
  _xlpm.K, Constantes!$B$3,
  _xlpm.Knewgain, Constantes!$B$4,
  _xlpm.Knewscale, Constantes!$B$5,
  _xlpm.ptstables, INDEX(K:K, _xlfn.SEQUENCE(COUNTA($C$2:$C49), 1, 3, 4)),
  _xlpm.nbparties, COUNTA(_xlfn._xlws.FILTER(_xlpm.ptstables, _xlpm.ptstables &lt;&gt; "")),
  _xlpm.coef, _xlpm.K + _xlpm.Knewgain / (_xlpm.Knewscale + _xlpm.nbparties),
  IF(K47="",
    "",
    _xlpm.coef * (K47-K48))
)</f>
        <v/>
      </c>
      <c r="L49" t="str" cm="1">
        <f t="array" ref="L49">_xlfn.LET(
  _xlpm.K, Constantes!$B$3,
  _xlpm.Knewgain, Constantes!$B$4,
  _xlpm.Knewscale, Constantes!$B$5,
  _xlpm.ptstables, INDEX(L:L, _xlfn.SEQUENCE(COUNTA($C$2:$C49), 1, 3, 4)),
  _xlpm.nbparties, COUNTA(_xlfn._xlws.FILTER(_xlpm.ptstables, _xlpm.ptstables &lt;&gt; "")),
  _xlpm.coef, _xlpm.K + _xlpm.Knewgain / (_xlpm.Knewscale + _xlpm.nbparties),
  IF(L47="",
    "",
    _xlpm.coef * (L47-L48))
)</f>
        <v/>
      </c>
      <c r="M49" t="str" cm="1">
        <f t="array" ref="M49">_xlfn.LET(
  _xlpm.K, Constantes!$B$3,
  _xlpm.Knewgain, Constantes!$B$4,
  _xlpm.Knewscale, Constantes!$B$5,
  _xlpm.ptstables, INDEX(M:M, _xlfn.SEQUENCE(COUNTA($C$2:$C49), 1, 3, 4)),
  _xlpm.nbparties, COUNTA(_xlfn._xlws.FILTER(_xlpm.ptstables, _xlpm.ptstables &lt;&gt; "")),
  _xlpm.coef, _xlpm.K + _xlpm.Knewgain / (_xlpm.Knewscale + _xlpm.nbparties),
  IF(M47="",
    "",
    _xlpm.coef * (M47-M48))
)</f>
        <v/>
      </c>
      <c r="N49" cm="1">
        <f t="array" ref="N49">_xlfn.LET(
  _xlpm.K, Constantes!$B$3,
  _xlpm.Knewgain, Constantes!$B$4,
  _xlpm.Knewscale, Constantes!$B$5,
  _xlpm.ptstables, INDEX(N:N, _xlfn.SEQUENCE(COUNTA($C$2:$C49), 1, 3, 4)),
  _xlpm.nbparties, COUNTA(_xlfn._xlws.FILTER(_xlpm.ptstables, _xlpm.ptstables &lt;&gt; "")),
  _xlpm.coef, _xlpm.K + _xlpm.Knewgain / (_xlpm.Knewscale + _xlpm.nbparties),
  IF(N47="",
    "",
    _xlpm.coef * (N47-N48))
)</f>
        <v>-47.564677014226305</v>
      </c>
      <c r="O49" t="str" cm="1">
        <f t="array" ref="O49">_xlfn.LET(
  _xlpm.K, Constantes!$B$3,
  _xlpm.Knewgain, Constantes!$B$4,
  _xlpm.Knewscale, Constantes!$B$5,
  _xlpm.ptstables, INDEX(O:O, _xlfn.SEQUENCE(COUNTA($C$2:$C49), 1, 3, 4)),
  _xlpm.nbparties, COUNTA(_xlfn._xlws.FILTER(_xlpm.ptstables, _xlpm.ptstables &lt;&gt; "")),
  _xlpm.coef, _xlpm.K + _xlpm.Knewgain / (_xlpm.Knewscale + _xlpm.nbparties),
  IF(O47="",
    "",
    _xlpm.coef * (O47-O48))
)</f>
        <v/>
      </c>
      <c r="P49" t="str" cm="1">
        <f t="array" ref="P49">_xlfn.LET(
  _xlpm.K, Constantes!$B$3,
  _xlpm.Knewgain, Constantes!$B$4,
  _xlpm.Knewscale, Constantes!$B$5,
  _xlpm.ptstables, INDEX(P:P, _xlfn.SEQUENCE(COUNTA($C$2:$C49), 1, 3, 4)),
  _xlpm.nbparties, COUNTA(_xlfn._xlws.FILTER(_xlpm.ptstables, _xlpm.ptstables &lt;&gt; "")),
  _xlpm.coef, _xlpm.K + _xlpm.Knewgain / (_xlpm.Knewscale + _xlpm.nbparties),
  IF(P47="",
    "",
    _xlpm.coef * (P47-P48))
)</f>
        <v/>
      </c>
      <c r="Q49" t="str" cm="1">
        <f t="array" ref="Q49">_xlfn.LET(
  _xlpm.K, Constantes!$B$3,
  _xlpm.Knewgain, Constantes!$B$4,
  _xlpm.Knewscale, Constantes!$B$5,
  _xlpm.ptstables, INDEX(Q:Q, _xlfn.SEQUENCE(COUNTA($C$2:$C49), 1, 3, 4)),
  _xlpm.nbparties, COUNTA(_xlfn._xlws.FILTER(_xlpm.ptstables, _xlpm.ptstables &lt;&gt; "")),
  _xlpm.coef, _xlpm.K + _xlpm.Knewgain / (_xlpm.Knewscale + _xlpm.nbparties),
  IF(Q47="",
    "",
    _xlpm.coef * (Q47-Q48))
)</f>
        <v/>
      </c>
      <c r="R49" cm="1">
        <f t="array" ref="R49">_xlfn.LET(
  _xlpm.K, Constantes!$B$3,
  _xlpm.Knewgain, Constantes!$B$4,
  _xlpm.Knewscale, Constantes!$B$5,
  _xlpm.ptstables, INDEX(R:R, _xlfn.SEQUENCE(COUNTA($C$2:$C49), 1, 3, 4)),
  _xlpm.nbparties, COUNTA(_xlfn._xlws.FILTER(_xlpm.ptstables, _xlpm.ptstables &lt;&gt; "")),
  _xlpm.coef, _xlpm.K + _xlpm.Knewgain / (_xlpm.Knewscale + _xlpm.nbparties),
  IF(R47="",
    "",
    _xlpm.coef * (R47-R48))
)</f>
        <v>-21.430681405082982</v>
      </c>
      <c r="S49" cm="1">
        <f t="array" ref="S49">_xlfn.LET(
  _xlpm.K, Constantes!$B$3,
  _xlpm.Knewgain, Constantes!$B$4,
  _xlpm.Knewscale, Constantes!$B$5,
  _xlpm.ptstables, INDEX(S:S, _xlfn.SEQUENCE(COUNTA($C$2:$C49), 1, 3, 4)),
  _xlpm.nbparties, COUNTA(_xlfn._xlws.FILTER(_xlpm.ptstables, _xlpm.ptstables &lt;&gt; "")),
  _xlpm.coef, _xlpm.K + _xlpm.Knewgain / (_xlpm.Knewscale + _xlpm.nbparties),
  IF(S47="",
    "",
    _xlpm.coef * (S47-S48))
)</f>
        <v>27.001458021093963</v>
      </c>
      <c r="T49" cm="1">
        <f t="array" ref="T49">_xlfn.LET(
  _xlpm.K, Constantes!$B$3,
  _xlpm.Knewgain, Constantes!$B$4,
  _xlpm.Knewscale, Constantes!$B$5,
  _xlpm.ptstables, INDEX(T:T, _xlfn.SEQUENCE(COUNTA($C$2:$C49), 1, 3, 4)),
  _xlpm.nbparties, COUNTA(_xlfn._xlws.FILTER(_xlpm.ptstables, _xlpm.ptstables &lt;&gt; "")),
  _xlpm.coef, _xlpm.K + _xlpm.Knewgain / (_xlpm.Knewscale + _xlpm.nbparties),
  IF(T47="",
    "",
    _xlpm.coef * (T47-T48))
)</f>
        <v>60.288006942148527</v>
      </c>
      <c r="U49" t="str" cm="1">
        <f t="array" ref="U49">_xlfn.LET(
  _xlpm.K, Constantes!$B$3,
  _xlpm.Knewgain, Constantes!$B$4,
  _xlpm.Knewscale, Constantes!$B$5,
  _xlpm.ptstables, INDEX(U:U, _xlfn.SEQUENCE(COUNTA($C$2:$C49), 1, 3, 4)),
  _xlpm.nbparties, COUNTA(_xlfn._xlws.FILTER(_xlpm.ptstables, _xlpm.ptstables &lt;&gt; "")),
  _xlpm.coef, _xlpm.K + _xlpm.Knewgain / (_xlpm.Knewscale + _xlpm.nbparties),
  IF(U47="",
    "",
    _xlpm.coef * (U47-U48))
)</f>
        <v/>
      </c>
      <c r="V49" t="str" cm="1">
        <f t="array" ref="V49">_xlfn.LET(
  _xlpm.K, Constantes!$B$3,
  _xlpm.Knewgain, Constantes!$B$4,
  _xlpm.Knewscale, Constantes!$B$5,
  _xlpm.ptstables, INDEX(V:V, _xlfn.SEQUENCE(COUNTA($C$2:$C49), 1, 3, 4)),
  _xlpm.nbparties, COUNTA(_xlfn._xlws.FILTER(_xlpm.ptstables, _xlpm.ptstables &lt;&gt; "")),
  _xlpm.coef, _xlpm.K + _xlpm.Knewgain / (_xlpm.Knewscale + _xlpm.nbparties),
  IF(V47="",
    "",
    _xlpm.coef * (V47-V48))
)</f>
        <v/>
      </c>
      <c r="W49" t="str" cm="1">
        <f t="array" ref="W49">_xlfn.LET(
  _xlpm.K, Constantes!$B$3,
  _xlpm.Knewgain, Constantes!$B$4,
  _xlpm.Knewscale, Constantes!$B$5,
  _xlpm.ptstables, INDEX(W:W, _xlfn.SEQUENCE(COUNTA($C$2:$C49), 1, 3, 4)),
  _xlpm.nbparties, COUNTA(_xlfn._xlws.FILTER(_xlpm.ptstables, _xlpm.ptstables &lt;&gt; "")),
  _xlpm.coef, _xlpm.K + _xlpm.Knewgain / (_xlpm.Knewscale + _xlpm.nbparties),
  IF(W47="",
    "",
    _xlpm.coef * (W47-W48))
)</f>
        <v/>
      </c>
      <c r="X49" t="str" cm="1">
        <f t="array" ref="X49">_xlfn.LET(
  _xlpm.K, Constantes!$B$3,
  _xlpm.Knewgain, Constantes!$B$4,
  _xlpm.Knewscale, Constantes!$B$5,
  _xlpm.ptstables, INDEX(X:X, _xlfn.SEQUENCE(COUNTA($C$2:$C49), 1, 3, 4)),
  _xlpm.nbparties, COUNTA(_xlfn._xlws.FILTER(_xlpm.ptstables, _xlpm.ptstables &lt;&gt; "")),
  _xlpm.coef, _xlpm.K + _xlpm.Knewgain / (_xlpm.Knewscale + _xlpm.nbparties),
  IF(X47="",
    "",
    _xlpm.coef * (X47-X48))
)</f>
        <v/>
      </c>
      <c r="Y49" t="str" cm="1">
        <f t="array" ref="Y49">_xlfn.LET(
  _xlpm.K, Constantes!$B$3,
  _xlpm.Knewgain, Constantes!$B$4,
  _xlpm.Knewscale, Constantes!$B$5,
  _xlpm.ptstables, INDEX(Y:Y, _xlfn.SEQUENCE(COUNTA($C$2:$C49), 1, 3, 4)),
  _xlpm.nbparties, COUNTA(_xlfn._xlws.FILTER(_xlpm.ptstables, _xlpm.ptstables &lt;&gt; "")),
  _xlpm.coef, _xlpm.K + _xlpm.Knewgain / (_xlpm.Knewscale + _xlpm.nbparties),
  IF(Y47="",
    "",
    _xlpm.coef * (Y47-Y48))
)</f>
        <v/>
      </c>
      <c r="Z49" t="str" cm="1">
        <f t="array" ref="Z49">_xlfn.LET(
  _xlpm.K, Constantes!$B$3,
  _xlpm.Knewgain, Constantes!$B$4,
  _xlpm.Knewscale, Constantes!$B$5,
  _xlpm.ptstables, INDEX(Z:Z, _xlfn.SEQUENCE(COUNTA($C$2:$C49), 1, 3, 4)),
  _xlpm.nbparties, COUNTA(_xlfn._xlws.FILTER(_xlpm.ptstables, _xlpm.ptstables &lt;&gt; "")),
  _xlpm.coef, _xlpm.K + _xlpm.Knewgain / (_xlpm.Knewscale + _xlpm.nbparties),
  IF(Z47="",
    "",
    _xlpm.coef * (Z47-Z48))
)</f>
        <v/>
      </c>
      <c r="AA49" t="str" cm="1">
        <f t="array" ref="AA49">_xlfn.LET(
  _xlpm.K, Constantes!$B$3,
  _xlpm.Knewgain, Constantes!$B$4,
  _xlpm.Knewscale, Constantes!$B$5,
  _xlpm.ptstables, INDEX(AA:AA, _xlfn.SEQUENCE(COUNTA($C$2:$C49), 1, 3, 4)),
  _xlpm.nbparties, COUNTA(_xlfn._xlws.FILTER(_xlpm.ptstables, _xlpm.ptstables &lt;&gt; "")),
  _xlpm.coef, _xlpm.K + _xlpm.Knewgain / (_xlpm.Knewscale + _xlpm.nbparties),
  IF(AA47="",
    "",
    _xlpm.coef * (AA47-AA48))
)</f>
        <v/>
      </c>
      <c r="AB49" t="str" cm="1">
        <f t="array" ref="AB49">_xlfn.LET(
  _xlpm.K, Constantes!$B$3,
  _xlpm.Knewgain, Constantes!$B$4,
  _xlpm.Knewscale, Constantes!$B$5,
  _xlpm.ptstables, INDEX(AB:AB, _xlfn.SEQUENCE(COUNTA($C$2:$C49), 1, 3, 4)),
  _xlpm.nbparties, COUNTA(_xlfn._xlws.FILTER(_xlpm.ptstables, _xlpm.ptstables &lt;&gt; "")),
  _xlpm.coef, _xlpm.K + _xlpm.Knewgain / (_xlpm.Knewscale + _xlpm.nbparties),
  IF(AB47="",
    "",
    _xlpm.coef * (AB47-AB48))
)</f>
        <v/>
      </c>
      <c r="AC49" t="str" cm="1">
        <f t="array" ref="AC49">_xlfn.LET(
  _xlpm.K, Constantes!$B$3,
  _xlpm.Knewgain, Constantes!$B$4,
  _xlpm.Knewscale, Constantes!$B$5,
  _xlpm.ptstables, INDEX(AC:AC, _xlfn.SEQUENCE(COUNTA($C$2:$C49), 1, 3, 4)),
  _xlpm.nbparties, COUNTA(_xlfn._xlws.FILTER(_xlpm.ptstables, _xlpm.ptstables &lt;&gt; "")),
  _xlpm.coef, _xlpm.K + _xlpm.Knewgain / (_xlpm.Knewscale + _xlpm.nbparties),
  IF(AC47="",
    "",
    _xlpm.coef * (AC47-AC48))
)</f>
        <v/>
      </c>
      <c r="AD49" t="str" cm="1">
        <f t="array" ref="AD49">_xlfn.LET(
  _xlpm.K, Constantes!$B$3,
  _xlpm.Knewgain, Constantes!$B$4,
  _xlpm.Knewscale, Constantes!$B$5,
  _xlpm.ptstables, INDEX(AD:AD, _xlfn.SEQUENCE(COUNTA($C$2:$C49), 1, 3, 4)),
  _xlpm.nbparties, COUNTA(_xlfn._xlws.FILTER(_xlpm.ptstables, _xlpm.ptstables &lt;&gt; "")),
  _xlpm.coef, _xlpm.K + _xlpm.Knewgain / (_xlpm.Knewscale + _xlpm.nbparties),
  IF(AD47="",
    "",
    _xlpm.coef * (AD47-AD48))
)</f>
        <v/>
      </c>
      <c r="AE49" t="str" cm="1">
        <f t="array" ref="AE49">_xlfn.LET(
  _xlpm.K, Constantes!$B$3,
  _xlpm.Knewgain, Constantes!$B$4,
  _xlpm.Knewscale, Constantes!$B$5,
  _xlpm.ptstables, INDEX(AE:AE, _xlfn.SEQUENCE(COUNTA($C$2:$C49), 1, 3, 4)),
  _xlpm.nbparties, COUNTA(_xlfn._xlws.FILTER(_xlpm.ptstables, _xlpm.ptstables &lt;&gt; "")),
  _xlpm.coef, _xlpm.K + _xlpm.Knewgain / (_xlpm.Knewscale + _xlpm.nbparties),
  IF(AE47="",
    "",
    _xlpm.coef * (AE47-AE48))
)</f>
        <v/>
      </c>
      <c r="AF49" t="str" cm="1">
        <f t="array" ref="AF49">_xlfn.LET(
  _xlpm.K, Constantes!$B$3,
  _xlpm.Knewgain, Constantes!$B$4,
  _xlpm.Knewscale, Constantes!$B$5,
  _xlpm.ptstables, INDEX(AF:AF, _xlfn.SEQUENCE(COUNTA($C$2:$C49), 1, 3, 4)),
  _xlpm.nbparties, COUNTA(_xlfn._xlws.FILTER(_xlpm.ptstables, _xlpm.ptstables &lt;&gt; "")),
  _xlpm.coef, _xlpm.K + _xlpm.Knewgain / (_xlpm.Knewscale + _xlpm.nbparties),
  IF(AF47="",
    "",
    _xlpm.coef * (AF47-AF48))
)</f>
        <v/>
      </c>
      <c r="AG49" t="str" cm="1">
        <f t="array" ref="AG49">_xlfn.LET(
  _xlpm.K, Constantes!$B$3,
  _xlpm.Knewgain, Constantes!$B$4,
  _xlpm.Knewscale, Constantes!$B$5,
  _xlpm.ptstables, INDEX(AG:AG, _xlfn.SEQUENCE(COUNTA($C$2:$C49), 1, 3, 4)),
  _xlpm.nbparties, COUNTA(_xlfn._xlws.FILTER(_xlpm.ptstables, _xlpm.ptstables &lt;&gt; "")),
  _xlpm.coef, _xlpm.K + _xlpm.Knewgain / (_xlpm.Knewscale + _xlpm.nbparties),
  IF(AG47="",
    "",
    _xlpm.coef * (AG47-AG48))
)</f>
        <v/>
      </c>
      <c r="AH49" t="str" cm="1">
        <f t="array" ref="AH49">_xlfn.LET(
  _xlpm.K, Constantes!$B$3,
  _xlpm.Knewgain, Constantes!$B$4,
  _xlpm.Knewscale, Constantes!$B$5,
  _xlpm.ptstables, INDEX(AH:AH, _xlfn.SEQUENCE(COUNTA($C$2:$C49), 1, 3, 4)),
  _xlpm.nbparties, COUNTA(_xlfn._xlws.FILTER(_xlpm.ptstables, _xlpm.ptstables &lt;&gt; "")),
  _xlpm.coef, _xlpm.K + _xlpm.Knewgain / (_xlpm.Knewscale + _xlpm.nbparties),
  IF(AH47="",
    "",
    _xlpm.coef * (AH47-AH48))
)</f>
        <v/>
      </c>
      <c r="AI49" t="str" cm="1">
        <f t="array" ref="AI49">_xlfn.LET(
  _xlpm.K, Constantes!$B$3,
  _xlpm.Knewgain, Constantes!$B$4,
  _xlpm.Knewscale, Constantes!$B$5,
  _xlpm.ptstables, INDEX(AI:AI, _xlfn.SEQUENCE(COUNTA($C$2:$C49), 1, 3, 4)),
  _xlpm.nbparties, COUNTA(_xlfn._xlws.FILTER(_xlpm.ptstables, _xlpm.ptstables &lt;&gt; "")),
  _xlpm.coef, _xlpm.K + _xlpm.Knewgain / (_xlpm.Knewscale + _xlpm.nbparties),
  IF(AI47="",
    "",
    _xlpm.coef * (AI47-AI48))
)</f>
        <v/>
      </c>
      <c r="AJ49" t="str" cm="1">
        <f t="array" ref="AJ49">_xlfn.LET(
  _xlpm.K, Constantes!$B$3,
  _xlpm.Knewgain, Constantes!$B$4,
  _xlpm.Knewscale, Constantes!$B$5,
  _xlpm.ptstables, INDEX(AJ:AJ, _xlfn.SEQUENCE(COUNTA($C$2:$C49), 1, 3, 4)),
  _xlpm.nbparties, COUNTA(_xlfn._xlws.FILTER(_xlpm.ptstables, _xlpm.ptstables &lt;&gt; "")),
  _xlpm.coef, _xlpm.K + _xlpm.Knewgain / (_xlpm.Knewscale + _xlpm.nbparties),
  IF(AJ47="",
    "",
    _xlpm.coef * (AJ47-AJ48))
)</f>
        <v/>
      </c>
      <c r="AK49" t="str" cm="1">
        <f t="array" ref="AK49">_xlfn.LET(
  _xlpm.K, Constantes!$B$3,
  _xlpm.Knewgain, Constantes!$B$4,
  _xlpm.Knewscale, Constantes!$B$5,
  _xlpm.ptstables, INDEX(AK:AK, _xlfn.SEQUENCE(COUNTA($C$2:$C49), 1, 3, 4)),
  _xlpm.nbparties, COUNTA(_xlfn._xlws.FILTER(_xlpm.ptstables, _xlpm.ptstables &lt;&gt; "")),
  _xlpm.coef, _xlpm.K + _xlpm.Knewgain / (_xlpm.Knewscale + _xlpm.nbparties),
  IF(AK47="",
    "",
    _xlpm.coef * (AK47-AK48))
)</f>
        <v/>
      </c>
      <c r="AL49" t="str" cm="1">
        <f t="array" ref="AL49">_xlfn.LET(
  _xlpm.K, Constantes!$B$3,
  _xlpm.Knewgain, Constantes!$B$4,
  _xlpm.Knewscale, Constantes!$B$5,
  _xlpm.ptstables, INDEX(AL:AL, _xlfn.SEQUENCE(COUNTA($C$2:$C49), 1, 3, 4)),
  _xlpm.nbparties, COUNTA(_xlfn._xlws.FILTER(_xlpm.ptstables, _xlpm.ptstables &lt;&gt; "")),
  _xlpm.coef, _xlpm.K + _xlpm.Knewgain / (_xlpm.Knewscale + _xlpm.nbparties),
  IF(AL47="",
    "",
    _xlpm.coef * (AL47-AL48))
)</f>
        <v/>
      </c>
      <c r="AM49" t="str" cm="1">
        <f t="array" ref="AM49">_xlfn.LET(
  _xlpm.K, Constantes!$B$3,
  _xlpm.Knewgain, Constantes!$B$4,
  _xlpm.Knewscale, Constantes!$B$5,
  _xlpm.ptstables, INDEX(AM:AM, _xlfn.SEQUENCE(COUNTA($C$2:$C49), 1, 3, 4)),
  _xlpm.nbparties, COUNTA(_xlfn._xlws.FILTER(_xlpm.ptstables, _xlpm.ptstables &lt;&gt; "")),
  _xlpm.coef, _xlpm.K + _xlpm.Knewgain / (_xlpm.Knewscale + _xlpm.nbparties),
  IF(AM47="",
    "",
    _xlpm.coef * (AM47-AM48))
)</f>
        <v/>
      </c>
    </row>
    <row r="50" spans="1:39" x14ac:dyDescent="0.25">
      <c r="A50" t="s">
        <v>14</v>
      </c>
      <c r="B50" t="str" cm="1">
        <f t="array" ref="B5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17</v>
      </c>
      <c r="C50" s="2" cm="1">
        <f t="array" ref="C50">IF(B50="","",
  INDEX(Donnees!F:F, MATCH(B50, Donnees!F:F, 0)+1))</f>
        <v>45913.692071759258</v>
      </c>
      <c r="D50">
        <f t="shared" ref="D50:AM50" si="20">D46+IF(D49="",0,D49)</f>
        <v>1076.8302676196515</v>
      </c>
      <c r="E50">
        <f t="shared" si="20"/>
        <v>1202.2974669006805</v>
      </c>
      <c r="F50">
        <f t="shared" si="20"/>
        <v>909.87928229209808</v>
      </c>
      <c r="G50">
        <f t="shared" si="20"/>
        <v>1047.1181518097756</v>
      </c>
      <c r="H50">
        <f t="shared" si="20"/>
        <v>976.44998683474398</v>
      </c>
      <c r="I50">
        <f t="shared" si="20"/>
        <v>1016.6476899092447</v>
      </c>
      <c r="J50">
        <f t="shared" si="20"/>
        <v>938.49433816478961</v>
      </c>
      <c r="K50">
        <f t="shared" si="20"/>
        <v>957.67754592822814</v>
      </c>
      <c r="L50">
        <f t="shared" si="20"/>
        <v>878.7153998467162</v>
      </c>
      <c r="M50">
        <f t="shared" si="20"/>
        <v>965.238738457664</v>
      </c>
      <c r="N50">
        <f t="shared" si="20"/>
        <v>948.02184623437654</v>
      </c>
      <c r="O50">
        <f t="shared" si="20"/>
        <v>1068.3356299075012</v>
      </c>
      <c r="P50">
        <f t="shared" si="20"/>
        <v>951.87653483423549</v>
      </c>
      <c r="Q50">
        <f t="shared" si="20"/>
        <v>985.54250487050535</v>
      </c>
      <c r="R50">
        <f t="shared" si="20"/>
        <v>976.36931859491699</v>
      </c>
      <c r="S50">
        <f t="shared" si="20"/>
        <v>1011.506458021094</v>
      </c>
      <c r="T50">
        <f t="shared" si="20"/>
        <v>1090.1930069421485</v>
      </c>
      <c r="U50">
        <f t="shared" si="20"/>
        <v>1059.3016239317653</v>
      </c>
      <c r="V50">
        <f t="shared" si="20"/>
        <v>943.32697525941398</v>
      </c>
      <c r="W50">
        <f t="shared" si="20"/>
        <v>1000</v>
      </c>
      <c r="X50">
        <f t="shared" si="20"/>
        <v>890.71712582230168</v>
      </c>
      <c r="Y50">
        <f t="shared" si="20"/>
        <v>877.20346587560073</v>
      </c>
      <c r="Z50">
        <f t="shared" si="20"/>
        <v>1000</v>
      </c>
      <c r="AA50">
        <f t="shared" si="20"/>
        <v>1000</v>
      </c>
      <c r="AB50">
        <f t="shared" si="20"/>
        <v>979.56500000000005</v>
      </c>
      <c r="AC50">
        <f t="shared" si="20"/>
        <v>1032.51</v>
      </c>
      <c r="AD50">
        <f t="shared" si="20"/>
        <v>974.01499999999999</v>
      </c>
      <c r="AE50">
        <f t="shared" si="20"/>
        <v>1011.415</v>
      </c>
      <c r="AF50">
        <f t="shared" si="20"/>
        <v>1031.1199999999999</v>
      </c>
      <c r="AG50">
        <f t="shared" si="20"/>
        <v>1001.0350000000001</v>
      </c>
      <c r="AH50">
        <f t="shared" si="20"/>
        <v>994.44</v>
      </c>
      <c r="AI50">
        <f t="shared" si="20"/>
        <v>1000</v>
      </c>
      <c r="AJ50">
        <f t="shared" si="20"/>
        <v>957.2</v>
      </c>
      <c r="AK50">
        <f t="shared" si="20"/>
        <v>1000</v>
      </c>
      <c r="AL50">
        <f t="shared" si="20"/>
        <v>1055.9299999999998</v>
      </c>
      <c r="AM50">
        <f t="shared" si="20"/>
        <v>1000</v>
      </c>
    </row>
    <row r="51" spans="1:39" x14ac:dyDescent="0.25">
      <c r="A51" t="s">
        <v>21</v>
      </c>
      <c r="D51" t="str" cm="1">
        <f t="array" ref="D51">IFERROR(
  _xlfn.LET(
    _xlpm.ligpartie, MATCH($B50, Donnees!$F:$F, 0),
    _xlpm.joueurs, INDEX(Donnees!$A:$Z, _xlpm.ligpartie+1, _xlfn.SEQUENCE(1, 4, 2)),
    INDEX(
      Donnees!$A:$Z,
      _xlpm.ligpartie + 3,
      MATCH(D$1, _xlpm.joueurs, 0) + 1
    )
  ), ""
)</f>
        <v/>
      </c>
      <c r="E51" cm="1">
        <f t="array" ref="E51">IFERROR(
  _xlfn.LET(
    _xlpm.ligpartie, MATCH($B50, Donnees!$F:$F, 0),
    _xlpm.joueurs, INDEX(Donnees!$A:$Z, _xlpm.ligpartie+1, _xlfn.SEQUENCE(1, 4, 2)),
    INDEX(
      Donnees!$A:$Z,
      _xlpm.ligpartie + 3,
      MATCH(E$1, _xlpm.joueurs, 0) + 1
    )
  ), ""
)</f>
        <v>2</v>
      </c>
      <c r="F51" t="str" cm="1">
        <f t="array" ref="F51">IFERROR(
  _xlfn.LET(
    _xlpm.ligpartie, MATCH($B50, Donnees!$F:$F, 0),
    _xlpm.joueurs, INDEX(Donnees!$A:$Z, _xlpm.ligpartie+1, _xlfn.SEQUENCE(1, 4, 2)),
    INDEX(
      Donnees!$A:$Z,
      _xlpm.ligpartie + 3,
      MATCH(F$1, _xlpm.joueurs, 0) + 1
    )
  ), ""
)</f>
        <v/>
      </c>
      <c r="G51" t="str" cm="1">
        <f t="array" ref="G51">IFERROR(
  _xlfn.LET(
    _xlpm.ligpartie, MATCH($B50, Donnees!$F:$F, 0),
    _xlpm.joueurs, INDEX(Donnees!$A:$Z, _xlpm.ligpartie+1, _xlfn.SEQUENCE(1, 4, 2)),
    INDEX(
      Donnees!$A:$Z,
      _xlpm.ligpartie + 3,
      MATCH(G$1, _xlpm.joueurs, 0) + 1
    )
  ), ""
)</f>
        <v/>
      </c>
      <c r="H51" t="str" cm="1">
        <f t="array" ref="H51">IFERROR(
  _xlfn.LET(
    _xlpm.ligpartie, MATCH($B50, Donnees!$F:$F, 0),
    _xlpm.joueurs, INDEX(Donnees!$A:$Z, _xlpm.ligpartie+1, _xlfn.SEQUENCE(1, 4, 2)),
    INDEX(
      Donnees!$A:$Z,
      _xlpm.ligpartie + 3,
      MATCH(H$1, _xlpm.joueurs, 0) + 1
    )
  ), ""
)</f>
        <v/>
      </c>
      <c r="I51" cm="1">
        <f t="array" ref="I51">IFERROR(
  _xlfn.LET(
    _xlpm.ligpartie, MATCH($B50, Donnees!$F:$F, 0),
    _xlpm.joueurs, INDEX(Donnees!$A:$Z, _xlpm.ligpartie+1, _xlfn.SEQUENCE(1, 4, 2)),
    INDEX(
      Donnees!$A:$Z,
      _xlpm.ligpartie + 3,
      MATCH(I$1, _xlpm.joueurs, 0) + 1
    )
  ), ""
)</f>
        <v>3</v>
      </c>
      <c r="J51" t="str" cm="1">
        <f t="array" ref="J51">IFERROR(
  _xlfn.LET(
    _xlpm.ligpartie, MATCH($B50, Donnees!$F:$F, 0),
    _xlpm.joueurs, INDEX(Donnees!$A:$Z, _xlpm.ligpartie+1, _xlfn.SEQUENCE(1, 4, 2)),
    INDEX(
      Donnees!$A:$Z,
      _xlpm.ligpartie + 3,
      MATCH(J$1, _xlpm.joueurs, 0) + 1
    )
  ), ""
)</f>
        <v/>
      </c>
      <c r="K51" t="str" cm="1">
        <f t="array" ref="K51">IFERROR(
  _xlfn.LET(
    _xlpm.ligpartie, MATCH($B50, Donnees!$F:$F, 0),
    _xlpm.joueurs, INDEX(Donnees!$A:$Z, _xlpm.ligpartie+1, _xlfn.SEQUENCE(1, 4, 2)),
    INDEX(
      Donnees!$A:$Z,
      _xlpm.ligpartie + 3,
      MATCH(K$1, _xlpm.joueurs, 0) + 1
    )
  ), ""
)</f>
        <v/>
      </c>
      <c r="L51" t="str" cm="1">
        <f t="array" ref="L51">IFERROR(
  _xlfn.LET(
    _xlpm.ligpartie, MATCH($B50, Donnees!$F:$F, 0),
    _xlpm.joueurs, INDEX(Donnees!$A:$Z, _xlpm.ligpartie+1, _xlfn.SEQUENCE(1, 4, 2)),
    INDEX(
      Donnees!$A:$Z,
      _xlpm.ligpartie + 3,
      MATCH(L$1, _xlpm.joueurs, 0) + 1
    )
  ), ""
)</f>
        <v/>
      </c>
      <c r="M51" t="str" cm="1">
        <f t="array" ref="M51">IFERROR(
  _xlfn.LET(
    _xlpm.ligpartie, MATCH($B50, Donnees!$F:$F, 0),
    _xlpm.joueurs, INDEX(Donnees!$A:$Z, _xlpm.ligpartie+1, _xlfn.SEQUENCE(1, 4, 2)),
    INDEX(
      Donnees!$A:$Z,
      _xlpm.ligpartie + 3,
      MATCH(M$1, _xlpm.joueurs, 0) + 1
    )
  ), ""
)</f>
        <v/>
      </c>
      <c r="N51" t="str" cm="1">
        <f t="array" ref="N51">IFERROR(
  _xlfn.LET(
    _xlpm.ligpartie, MATCH($B50, Donnees!$F:$F, 0),
    _xlpm.joueurs, INDEX(Donnees!$A:$Z, _xlpm.ligpartie+1, _xlfn.SEQUENCE(1, 4, 2)),
    INDEX(
      Donnees!$A:$Z,
      _xlpm.ligpartie + 3,
      MATCH(N$1, _xlpm.joueurs, 0) + 1
    )
  ), ""
)</f>
        <v/>
      </c>
      <c r="O51" t="str" cm="1">
        <f t="array" ref="O51">IFERROR(
  _xlfn.LET(
    _xlpm.ligpartie, MATCH($B50, Donnees!$F:$F, 0),
    _xlpm.joueurs, INDEX(Donnees!$A:$Z, _xlpm.ligpartie+1, _xlfn.SEQUENCE(1, 4, 2)),
    INDEX(
      Donnees!$A:$Z,
      _xlpm.ligpartie + 3,
      MATCH(O$1, _xlpm.joueurs, 0) + 1
    )
  ), ""
)</f>
        <v/>
      </c>
      <c r="P51" t="str" cm="1">
        <f t="array" ref="P51">IFERROR(
  _xlfn.LET(
    _xlpm.ligpartie, MATCH($B50, Donnees!$F:$F, 0),
    _xlpm.joueurs, INDEX(Donnees!$A:$Z, _xlpm.ligpartie+1, _xlfn.SEQUENCE(1, 4, 2)),
    INDEX(
      Donnees!$A:$Z,
      _xlpm.ligpartie + 3,
      MATCH(P$1, _xlpm.joueurs, 0) + 1
    )
  ), ""
)</f>
        <v/>
      </c>
      <c r="Q51" t="str" cm="1">
        <f t="array" ref="Q51">IFERROR(
  _xlfn.LET(
    _xlpm.ligpartie, MATCH($B50, Donnees!$F:$F, 0),
    _xlpm.joueurs, INDEX(Donnees!$A:$Z, _xlpm.ligpartie+1, _xlfn.SEQUENCE(1, 4, 2)),
    INDEX(
      Donnees!$A:$Z,
      _xlpm.ligpartie + 3,
      MATCH(Q$1, _xlpm.joueurs, 0) + 1
    )
  ), ""
)</f>
        <v/>
      </c>
      <c r="R51" t="str" cm="1">
        <f t="array" ref="R51">IFERROR(
  _xlfn.LET(
    _xlpm.ligpartie, MATCH($B50, Donnees!$F:$F, 0),
    _xlpm.joueurs, INDEX(Donnees!$A:$Z, _xlpm.ligpartie+1, _xlfn.SEQUENCE(1, 4, 2)),
    INDEX(
      Donnees!$A:$Z,
      _xlpm.ligpartie + 3,
      MATCH(R$1, _xlpm.joueurs, 0) + 1
    )
  ), ""
)</f>
        <v/>
      </c>
      <c r="S51" cm="1">
        <f t="array" ref="S51">IFERROR(
  _xlfn.LET(
    _xlpm.ligpartie, MATCH($B50, Donnees!$F:$F, 0),
    _xlpm.joueurs, INDEX(Donnees!$A:$Z, _xlpm.ligpartie+1, _xlfn.SEQUENCE(1, 4, 2)),
    INDEX(
      Donnees!$A:$Z,
      _xlpm.ligpartie + 3,
      MATCH(S$1, _xlpm.joueurs, 0) + 1
    )
  ), ""
)</f>
        <v>0</v>
      </c>
      <c r="T51" t="str" cm="1">
        <f t="array" ref="T51">IFERROR(
  _xlfn.LET(
    _xlpm.ligpartie, MATCH($B50, Donnees!$F:$F, 0),
    _xlpm.joueurs, INDEX(Donnees!$A:$Z, _xlpm.ligpartie+1, _xlfn.SEQUENCE(1, 4, 2)),
    INDEX(
      Donnees!$A:$Z,
      _xlpm.ligpartie + 3,
      MATCH(T$1, _xlpm.joueurs, 0) + 1
    )
  ), ""
)</f>
        <v/>
      </c>
      <c r="U51" t="str" cm="1">
        <f t="array" ref="U51">IFERROR(
  _xlfn.LET(
    _xlpm.ligpartie, MATCH($B50, Donnees!$F:$F, 0),
    _xlpm.joueurs, INDEX(Donnees!$A:$Z, _xlpm.ligpartie+1, _xlfn.SEQUENCE(1, 4, 2)),
    INDEX(
      Donnees!$A:$Z,
      _xlpm.ligpartie + 3,
      MATCH(U$1, _xlpm.joueurs, 0) + 1
    )
  ), ""
)</f>
        <v/>
      </c>
      <c r="V51" t="str" cm="1">
        <f t="array" ref="V51">IFERROR(
  _xlfn.LET(
    _xlpm.ligpartie, MATCH($B50, Donnees!$F:$F, 0),
    _xlpm.joueurs, INDEX(Donnees!$A:$Z, _xlpm.ligpartie+1, _xlfn.SEQUENCE(1, 4, 2)),
    INDEX(
      Donnees!$A:$Z,
      _xlpm.ligpartie + 3,
      MATCH(V$1, _xlpm.joueurs, 0) + 1
    )
  ), ""
)</f>
        <v/>
      </c>
      <c r="W51" t="str" cm="1">
        <f t="array" ref="W51">IFERROR(
  _xlfn.LET(
    _xlpm.ligpartie, MATCH($B50, Donnees!$F:$F, 0),
    _xlpm.joueurs, INDEX(Donnees!$A:$Z, _xlpm.ligpartie+1, _xlfn.SEQUENCE(1, 4, 2)),
    INDEX(
      Donnees!$A:$Z,
      _xlpm.ligpartie + 3,
      MATCH(W$1, _xlpm.joueurs, 0) + 1
    )
  ), ""
)</f>
        <v/>
      </c>
      <c r="X51" t="str" cm="1">
        <f t="array" ref="X51">IFERROR(
  _xlfn.LET(
    _xlpm.ligpartie, MATCH($B50, Donnees!$F:$F, 0),
    _xlpm.joueurs, INDEX(Donnees!$A:$Z, _xlpm.ligpartie+1, _xlfn.SEQUENCE(1, 4, 2)),
    INDEX(
      Donnees!$A:$Z,
      _xlpm.ligpartie + 3,
      MATCH(X$1, _xlpm.joueurs, 0) + 1
    )
  ), ""
)</f>
        <v/>
      </c>
      <c r="Y51" t="str" cm="1">
        <f t="array" ref="Y51">IFERROR(
  _xlfn.LET(
    _xlpm.ligpartie, MATCH($B50, Donnees!$F:$F, 0),
    _xlpm.joueurs, INDEX(Donnees!$A:$Z, _xlpm.ligpartie+1, _xlfn.SEQUENCE(1, 4, 2)),
    INDEX(
      Donnees!$A:$Z,
      _xlpm.ligpartie + 3,
      MATCH(Y$1, _xlpm.joueurs, 0) + 1
    )
  ), ""
)</f>
        <v/>
      </c>
      <c r="Z51" cm="1">
        <f t="array" ref="Z51">IFERROR(
  _xlfn.LET(
    _xlpm.ligpartie, MATCH($B50, Donnees!$F:$F, 0),
    _xlpm.joueurs, INDEX(Donnees!$A:$Z, _xlpm.ligpartie+1, _xlfn.SEQUENCE(1, 4, 2)),
    INDEX(
      Donnees!$A:$Z,
      _xlpm.ligpartie + 3,
      MATCH(Z$1, _xlpm.joueurs, 0) + 1
    )
  ), ""
)</f>
        <v>1</v>
      </c>
      <c r="AA51" t="str" cm="1">
        <f t="array" ref="AA51">IFERROR(
  _xlfn.LET(
    _xlpm.ligpartie, MATCH($B50, Donnees!$F:$F, 0),
    _xlpm.joueurs, INDEX(Donnees!$A:$Z, _xlpm.ligpartie+1, _xlfn.SEQUENCE(1, 4, 2)),
    INDEX(
      Donnees!$A:$Z,
      _xlpm.ligpartie + 3,
      MATCH(AA$1, _xlpm.joueurs, 0) + 1
    )
  ), ""
)</f>
        <v/>
      </c>
      <c r="AB51" t="str" cm="1">
        <f t="array" ref="AB51">IFERROR(
  _xlfn.LET(
    _xlpm.ligpartie, MATCH($B50, Donnees!$F:$F, 0),
    _xlpm.joueurs, INDEX(Donnees!$A:$Z, _xlpm.ligpartie+1, _xlfn.SEQUENCE(1, 4, 2)),
    INDEX(
      Donnees!$A:$Z,
      _xlpm.ligpartie + 3,
      MATCH(AB$1, _xlpm.joueurs, 0) + 1
    )
  ), ""
)</f>
        <v/>
      </c>
      <c r="AC51" t="str" cm="1">
        <f t="array" ref="AC51">IFERROR(
  _xlfn.LET(
    _xlpm.ligpartie, MATCH($B50, Donnees!$F:$F, 0),
    _xlpm.joueurs, INDEX(Donnees!$A:$Z, _xlpm.ligpartie+1, _xlfn.SEQUENCE(1, 4, 2)),
    INDEX(
      Donnees!$A:$Z,
      _xlpm.ligpartie + 3,
      MATCH(AC$1, _xlpm.joueurs, 0) + 1
    )
  ), ""
)</f>
        <v/>
      </c>
      <c r="AD51" t="str" cm="1">
        <f t="array" ref="AD51">IFERROR(
  _xlfn.LET(
    _xlpm.ligpartie, MATCH($B50, Donnees!$F:$F, 0),
    _xlpm.joueurs, INDEX(Donnees!$A:$Z, _xlpm.ligpartie+1, _xlfn.SEQUENCE(1, 4, 2)),
    INDEX(
      Donnees!$A:$Z,
      _xlpm.ligpartie + 3,
      MATCH(AD$1, _xlpm.joueurs, 0) + 1
    )
  ), ""
)</f>
        <v/>
      </c>
      <c r="AE51" t="str" cm="1">
        <f t="array" ref="AE51">IFERROR(
  _xlfn.LET(
    _xlpm.ligpartie, MATCH($B50, Donnees!$F:$F, 0),
    _xlpm.joueurs, INDEX(Donnees!$A:$Z, _xlpm.ligpartie+1, _xlfn.SEQUENCE(1, 4, 2)),
    INDEX(
      Donnees!$A:$Z,
      _xlpm.ligpartie + 3,
      MATCH(AE$1, _xlpm.joueurs, 0) + 1
    )
  ), ""
)</f>
        <v/>
      </c>
      <c r="AF51" t="str" cm="1">
        <f t="array" ref="AF51">IFERROR(
  _xlfn.LET(
    _xlpm.ligpartie, MATCH($B50, Donnees!$F:$F, 0),
    _xlpm.joueurs, INDEX(Donnees!$A:$Z, _xlpm.ligpartie+1, _xlfn.SEQUENCE(1, 4, 2)),
    INDEX(
      Donnees!$A:$Z,
      _xlpm.ligpartie + 3,
      MATCH(AF$1, _xlpm.joueurs, 0) + 1
    )
  ), ""
)</f>
        <v/>
      </c>
      <c r="AG51" t="str" cm="1">
        <f t="array" ref="AG51">IFERROR(
  _xlfn.LET(
    _xlpm.ligpartie, MATCH($B50, Donnees!$F:$F, 0),
    _xlpm.joueurs, INDEX(Donnees!$A:$Z, _xlpm.ligpartie+1, _xlfn.SEQUENCE(1, 4, 2)),
    INDEX(
      Donnees!$A:$Z,
      _xlpm.ligpartie + 3,
      MATCH(AG$1, _xlpm.joueurs, 0) + 1
    )
  ), ""
)</f>
        <v/>
      </c>
      <c r="AH51" t="str" cm="1">
        <f t="array" ref="AH51">IFERROR(
  _xlfn.LET(
    _xlpm.ligpartie, MATCH($B50, Donnees!$F:$F, 0),
    _xlpm.joueurs, INDEX(Donnees!$A:$Z, _xlpm.ligpartie+1, _xlfn.SEQUENCE(1, 4, 2)),
    INDEX(
      Donnees!$A:$Z,
      _xlpm.ligpartie + 3,
      MATCH(AH$1, _xlpm.joueurs, 0) + 1
    )
  ), ""
)</f>
        <v/>
      </c>
      <c r="AI51" t="str" cm="1">
        <f t="array" ref="AI51">IFERROR(
  _xlfn.LET(
    _xlpm.ligpartie, MATCH($B50, Donnees!$F:$F, 0),
    _xlpm.joueurs, INDEX(Donnees!$A:$Z, _xlpm.ligpartie+1, _xlfn.SEQUENCE(1, 4, 2)),
    INDEX(
      Donnees!$A:$Z,
      _xlpm.ligpartie + 3,
      MATCH(AI$1, _xlpm.joueurs, 0) + 1
    )
  ), ""
)</f>
        <v/>
      </c>
      <c r="AJ51" t="str" cm="1">
        <f t="array" ref="AJ51">IFERROR(
  _xlfn.LET(
    _xlpm.ligpartie, MATCH($B50, Donnees!$F:$F, 0),
    _xlpm.joueurs, INDEX(Donnees!$A:$Z, _xlpm.ligpartie+1, _xlfn.SEQUENCE(1, 4, 2)),
    INDEX(
      Donnees!$A:$Z,
      _xlpm.ligpartie + 3,
      MATCH(AJ$1, _xlpm.joueurs, 0) + 1
    )
  ), ""
)</f>
        <v/>
      </c>
      <c r="AK51" t="str" cm="1">
        <f t="array" ref="AK51">IFERROR(
  _xlfn.LET(
    _xlpm.ligpartie, MATCH($B50, Donnees!$F:$F, 0),
    _xlpm.joueurs, INDEX(Donnees!$A:$Z, _xlpm.ligpartie+1, _xlfn.SEQUENCE(1, 4, 2)),
    INDEX(
      Donnees!$A:$Z,
      _xlpm.ligpartie + 3,
      MATCH(AK$1, _xlpm.joueurs, 0) + 1
    )
  ), ""
)</f>
        <v/>
      </c>
      <c r="AL51" t="str" cm="1">
        <f t="array" ref="AL51">IFERROR(
  _xlfn.LET(
    _xlpm.ligpartie, MATCH($B50, Donnees!$F:$F, 0),
    _xlpm.joueurs, INDEX(Donnees!$A:$Z, _xlpm.ligpartie+1, _xlfn.SEQUENCE(1, 4, 2)),
    INDEX(
      Donnees!$A:$Z,
      _xlpm.ligpartie + 3,
      MATCH(AL$1, _xlpm.joueurs, 0) + 1
    )
  ), ""
)</f>
        <v/>
      </c>
      <c r="AM51" t="str" cm="1">
        <f t="array" ref="AM51">IFERROR(
  _xlfn.LET(
    _xlpm.ligpartie, MATCH($B50, Donnees!$F:$F, 0),
    _xlpm.joueurs, INDEX(Donnees!$A:$Z, _xlpm.ligpartie+1, _xlfn.SEQUENCE(1, 4, 2)),
    INDEX(
      Donnees!$A:$Z,
      _xlpm.ligpartie + 3,
      MATCH(AM$1, _xlpm.joueurs, 0) + 1
    )
  ), ""
)</f>
        <v/>
      </c>
    </row>
    <row r="52" spans="1:39" x14ac:dyDescent="0.25">
      <c r="A52" t="s">
        <v>20</v>
      </c>
      <c r="D52" t="str" cm="1">
        <f t="array" ref="D52">_xlfn.LET(
  _xlpm.colj, _xlfn._xlws.FILTER(IF(ISNUMBER(51:51), COLUMN(51:51)), ISNUMBER(51:51)),
  _xlpm.elos, INDEX(50:50,1,_xlpm.colj),
  _xlpm.diffscale, Constantes!$B$2,
  IF(D51="",
    "",
    SUM(1/(1+POWER(10,-(D50-_xlpm.elos)/_xlpm.diffscale)))-0.5)
)</f>
        <v/>
      </c>
      <c r="E52" cm="1">
        <f t="array" ref="E52">_xlfn.LET(
  _xlpm.colj, _xlfn._xlws.FILTER(IF(ISNUMBER(51:51), COLUMN(51:51)), ISNUMBER(51:51)),
  _xlpm.elos, INDEX(50:50,1,_xlpm.colj),
  _xlpm.diffscale, Constantes!$B$2,
  IF(E51="",
    "",
    SUM(1/(1+POWER(10,-(E50-_xlpm.elos)/_xlpm.diffscale)))-0.5)
)</f>
        <v>2.256437552366144</v>
      </c>
      <c r="F52" t="str" cm="1">
        <f t="array" ref="F52">_xlfn.LET(
  _xlpm.colj, _xlfn._xlws.FILTER(IF(ISNUMBER(51:51), COLUMN(51:51)), ISNUMBER(51:51)),
  _xlpm.elos, INDEX(50:50,1,_xlpm.colj),
  _xlpm.diffscale, Constantes!$B$2,
  IF(F51="",
    "",
    SUM(1/(1+POWER(10,-(F50-_xlpm.elos)/_xlpm.diffscale)))-0.5)
)</f>
        <v/>
      </c>
      <c r="G52" t="str" cm="1">
        <f t="array" ref="G52">_xlfn.LET(
  _xlpm.colj, _xlfn._xlws.FILTER(IF(ISNUMBER(51:51), COLUMN(51:51)), ISNUMBER(51:51)),
  _xlpm.elos, INDEX(50:50,1,_xlpm.colj),
  _xlpm.diffscale, Constantes!$B$2,
  IF(G51="",
    "",
    SUM(1/(1+POWER(10,-(G50-_xlpm.elos)/_xlpm.diffscale)))-0.5)
)</f>
        <v/>
      </c>
      <c r="H52" t="str" cm="1">
        <f t="array" ref="H52">_xlfn.LET(
  _xlpm.colj, _xlfn._xlws.FILTER(IF(ISNUMBER(51:51), COLUMN(51:51)), ISNUMBER(51:51)),
  _xlpm.elos, INDEX(50:50,1,_xlpm.colj),
  _xlpm.diffscale, Constantes!$B$2,
  IF(H51="",
    "",
    SUM(1/(1+POWER(10,-(H50-_xlpm.elos)/_xlpm.diffscale)))-0.5)
)</f>
        <v/>
      </c>
      <c r="I52" cm="1">
        <f t="array" ref="I52">_xlfn.LET(
  _xlpm.colj, _xlfn._xlws.FILTER(IF(ISNUMBER(51:51), COLUMN(51:51)), ISNUMBER(51:51)),
  _xlpm.elos, INDEX(50:50,1,_xlpm.colj),
  _xlpm.diffscale, Constantes!$B$2,
  IF(I51="",
    "",
    SUM(1/(1+POWER(10,-(I50-_xlpm.elos)/_xlpm.diffscale)))-0.5)
)</f>
        <v>1.286990967267152</v>
      </c>
      <c r="J52" t="str" cm="1">
        <f t="array" ref="J52">_xlfn.LET(
  _xlpm.colj, _xlfn._xlws.FILTER(IF(ISNUMBER(51:51), COLUMN(51:51)), ISNUMBER(51:51)),
  _xlpm.elos, INDEX(50:50,1,_xlpm.colj),
  _xlpm.diffscale, Constantes!$B$2,
  IF(J51="",
    "",
    SUM(1/(1+POWER(10,-(J50-_xlpm.elos)/_xlpm.diffscale)))-0.5)
)</f>
        <v/>
      </c>
      <c r="K52" t="str" cm="1">
        <f t="array" ref="K52">_xlfn.LET(
  _xlpm.colj, _xlfn._xlws.FILTER(IF(ISNUMBER(51:51), COLUMN(51:51)), ISNUMBER(51:51)),
  _xlpm.elos, INDEX(50:50,1,_xlpm.colj),
  _xlpm.diffscale, Constantes!$B$2,
  IF(K51="",
    "",
    SUM(1/(1+POWER(10,-(K50-_xlpm.elos)/_xlpm.diffscale)))-0.5)
)</f>
        <v/>
      </c>
      <c r="L52" t="str" cm="1">
        <f t="array" ref="L52">_xlfn.LET(
  _xlpm.colj, _xlfn._xlws.FILTER(IF(ISNUMBER(51:51), COLUMN(51:51)), ISNUMBER(51:51)),
  _xlpm.elos, INDEX(50:50,1,_xlpm.colj),
  _xlpm.diffscale, Constantes!$B$2,
  IF(L51="",
    "",
    SUM(1/(1+POWER(10,-(L50-_xlpm.elos)/_xlpm.diffscale)))-0.5)
)</f>
        <v/>
      </c>
      <c r="M52" t="str" cm="1">
        <f t="array" ref="M52">_xlfn.LET(
  _xlpm.colj, _xlfn._xlws.FILTER(IF(ISNUMBER(51:51), COLUMN(51:51)), ISNUMBER(51:51)),
  _xlpm.elos, INDEX(50:50,1,_xlpm.colj),
  _xlpm.diffscale, Constantes!$B$2,
  IF(M51="",
    "",
    SUM(1/(1+POWER(10,-(M50-_xlpm.elos)/_xlpm.diffscale)))-0.5)
)</f>
        <v/>
      </c>
      <c r="N52" t="str" cm="1">
        <f t="array" ref="N52">_xlfn.LET(
  _xlpm.colj, _xlfn._xlws.FILTER(IF(ISNUMBER(51:51), COLUMN(51:51)), ISNUMBER(51:51)),
  _xlpm.elos, INDEX(50:50,1,_xlpm.colj),
  _xlpm.diffscale, Constantes!$B$2,
  IF(N51="",
    "",
    SUM(1/(1+POWER(10,-(N50-_xlpm.elos)/_xlpm.diffscale)))-0.5)
)</f>
        <v/>
      </c>
      <c r="O52" t="str" cm="1">
        <f t="array" ref="O52">_xlfn.LET(
  _xlpm.colj, _xlfn._xlws.FILTER(IF(ISNUMBER(51:51), COLUMN(51:51)), ISNUMBER(51:51)),
  _xlpm.elos, INDEX(50:50,1,_xlpm.colj),
  _xlpm.diffscale, Constantes!$B$2,
  IF(O51="",
    "",
    SUM(1/(1+POWER(10,-(O50-_xlpm.elos)/_xlpm.diffscale)))-0.5)
)</f>
        <v/>
      </c>
      <c r="P52" t="str" cm="1">
        <f t="array" ref="P52">_xlfn.LET(
  _xlpm.colj, _xlfn._xlws.FILTER(IF(ISNUMBER(51:51), COLUMN(51:51)), ISNUMBER(51:51)),
  _xlpm.elos, INDEX(50:50,1,_xlpm.colj),
  _xlpm.diffscale, Constantes!$B$2,
  IF(P51="",
    "",
    SUM(1/(1+POWER(10,-(P50-_xlpm.elos)/_xlpm.diffscale)))-0.5)
)</f>
        <v/>
      </c>
      <c r="Q52" t="str" cm="1">
        <f t="array" ref="Q52">_xlfn.LET(
  _xlpm.colj, _xlfn._xlws.FILTER(IF(ISNUMBER(51:51), COLUMN(51:51)), ISNUMBER(51:51)),
  _xlpm.elos, INDEX(50:50,1,_xlpm.colj),
  _xlpm.diffscale, Constantes!$B$2,
  IF(Q51="",
    "",
    SUM(1/(1+POWER(10,-(Q50-_xlpm.elos)/_xlpm.diffscale)))-0.5)
)</f>
        <v/>
      </c>
      <c r="R52" t="str" cm="1">
        <f t="array" ref="R52">_xlfn.LET(
  _xlpm.colj, _xlfn._xlws.FILTER(IF(ISNUMBER(51:51), COLUMN(51:51)), ISNUMBER(51:51)),
  _xlpm.elos, INDEX(50:50,1,_xlpm.colj),
  _xlpm.diffscale, Constantes!$B$2,
  IF(R51="",
    "",
    SUM(1/(1+POWER(10,-(R50-_xlpm.elos)/_xlpm.diffscale)))-0.5)
)</f>
        <v/>
      </c>
      <c r="S52" cm="1">
        <f t="array" ref="S52">_xlfn.LET(
  _xlpm.colj, _xlfn._xlws.FILTER(IF(ISNUMBER(51:51), COLUMN(51:51)), ISNUMBER(51:51)),
  _xlpm.elos, INDEX(50:50,1,_xlpm.colj),
  _xlpm.diffscale, Constantes!$B$2,
  IF(S51="",
    "",
    SUM(1/(1+POWER(10,-(S50-_xlpm.elos)/_xlpm.diffscale)))-0.5)
)</f>
        <v>1.2592168447383831</v>
      </c>
      <c r="T52" t="str" cm="1">
        <f t="array" ref="T52">_xlfn.LET(
  _xlpm.colj, _xlfn._xlws.FILTER(IF(ISNUMBER(51:51), COLUMN(51:51)), ISNUMBER(51:51)),
  _xlpm.elos, INDEX(50:50,1,_xlpm.colj),
  _xlpm.diffscale, Constantes!$B$2,
  IF(T51="",
    "",
    SUM(1/(1+POWER(10,-(T50-_xlpm.elos)/_xlpm.diffscale)))-0.5)
)</f>
        <v/>
      </c>
      <c r="U52" t="str" cm="1">
        <f t="array" ref="U52">_xlfn.LET(
  _xlpm.colj, _xlfn._xlws.FILTER(IF(ISNUMBER(51:51), COLUMN(51:51)), ISNUMBER(51:51)),
  _xlpm.elos, INDEX(50:50,1,_xlpm.colj),
  _xlpm.diffscale, Constantes!$B$2,
  IF(U51="",
    "",
    SUM(1/(1+POWER(10,-(U50-_xlpm.elos)/_xlpm.diffscale)))-0.5)
)</f>
        <v/>
      </c>
      <c r="V52" t="str" cm="1">
        <f t="array" ref="V52">_xlfn.LET(
  _xlpm.colj, _xlfn._xlws.FILTER(IF(ISNUMBER(51:51), COLUMN(51:51)), ISNUMBER(51:51)),
  _xlpm.elos, INDEX(50:50,1,_xlpm.colj),
  _xlpm.diffscale, Constantes!$B$2,
  IF(V51="",
    "",
    SUM(1/(1+POWER(10,-(V50-_xlpm.elos)/_xlpm.diffscale)))-0.5)
)</f>
        <v/>
      </c>
      <c r="W52" t="str" cm="1">
        <f t="array" ref="W52">_xlfn.LET(
  _xlpm.colj, _xlfn._xlws.FILTER(IF(ISNUMBER(51:51), COLUMN(51:51)), ISNUMBER(51:51)),
  _xlpm.elos, INDEX(50:50,1,_xlpm.colj),
  _xlpm.diffscale, Constantes!$B$2,
  IF(W51="",
    "",
    SUM(1/(1+POWER(10,-(W50-_xlpm.elos)/_xlpm.diffscale)))-0.5)
)</f>
        <v/>
      </c>
      <c r="X52" t="str" cm="1">
        <f t="array" ref="X52">_xlfn.LET(
  _xlpm.colj, _xlfn._xlws.FILTER(IF(ISNUMBER(51:51), COLUMN(51:51)), ISNUMBER(51:51)),
  _xlpm.elos, INDEX(50:50,1,_xlpm.colj),
  _xlpm.diffscale, Constantes!$B$2,
  IF(X51="",
    "",
    SUM(1/(1+POWER(10,-(X50-_xlpm.elos)/_xlpm.diffscale)))-0.5)
)</f>
        <v/>
      </c>
      <c r="Y52" t="str" cm="1">
        <f t="array" ref="Y52">_xlfn.LET(
  _xlpm.colj, _xlfn._xlws.FILTER(IF(ISNUMBER(51:51), COLUMN(51:51)), ISNUMBER(51:51)),
  _xlpm.elos, INDEX(50:50,1,_xlpm.colj),
  _xlpm.diffscale, Constantes!$B$2,
  IF(Y51="",
    "",
    SUM(1/(1+POWER(10,-(Y50-_xlpm.elos)/_xlpm.diffscale)))-0.5)
)</f>
        <v/>
      </c>
      <c r="Z52" cm="1">
        <f t="array" ref="Z52">_xlfn.LET(
  _xlpm.colj, _xlfn._xlws.FILTER(IF(ISNUMBER(51:51), COLUMN(51:51)), ISNUMBER(51:51)),
  _xlpm.elos, INDEX(50:50,1,_xlpm.colj),
  _xlpm.diffscale, Constantes!$B$2,
  IF(Z51="",
    "",
    SUM(1/(1+POWER(10,-(Z50-_xlpm.elos)/_xlpm.diffscale)))-0.5)
)</f>
        <v>1.1973546356283213</v>
      </c>
      <c r="AA52" t="str" cm="1">
        <f t="array" ref="AA52">_xlfn.LET(
  _xlpm.colj, _xlfn._xlws.FILTER(IF(ISNUMBER(51:51), COLUMN(51:51)), ISNUMBER(51:51)),
  _xlpm.elos, INDEX(50:50,1,_xlpm.colj),
  _xlpm.diffscale, Constantes!$B$2,
  IF(AA51="",
    "",
    SUM(1/(1+POWER(10,-(AA50-_xlpm.elos)/_xlpm.diffscale)))-0.5)
)</f>
        <v/>
      </c>
      <c r="AB52" t="str" cm="1">
        <f t="array" ref="AB52">_xlfn.LET(
  _xlpm.colj, _xlfn._xlws.FILTER(IF(ISNUMBER(51:51), COLUMN(51:51)), ISNUMBER(51:51)),
  _xlpm.elos, INDEX(50:50,1,_xlpm.colj),
  _xlpm.diffscale, Constantes!$B$2,
  IF(AB51="",
    "",
    SUM(1/(1+POWER(10,-(AB50-_xlpm.elos)/_xlpm.diffscale)))-0.5)
)</f>
        <v/>
      </c>
      <c r="AC52" t="str" cm="1">
        <f t="array" ref="AC52">_xlfn.LET(
  _xlpm.colj, _xlfn._xlws.FILTER(IF(ISNUMBER(51:51), COLUMN(51:51)), ISNUMBER(51:51)),
  _xlpm.elos, INDEX(50:50,1,_xlpm.colj),
  _xlpm.diffscale, Constantes!$B$2,
  IF(AC51="",
    "",
    SUM(1/(1+POWER(10,-(AC50-_xlpm.elos)/_xlpm.diffscale)))-0.5)
)</f>
        <v/>
      </c>
      <c r="AD52" t="str" cm="1">
        <f t="array" ref="AD52">_xlfn.LET(
  _xlpm.colj, _xlfn._xlws.FILTER(IF(ISNUMBER(51:51), COLUMN(51:51)), ISNUMBER(51:51)),
  _xlpm.elos, INDEX(50:50,1,_xlpm.colj),
  _xlpm.diffscale, Constantes!$B$2,
  IF(AD51="",
    "",
    SUM(1/(1+POWER(10,-(AD50-_xlpm.elos)/_xlpm.diffscale)))-0.5)
)</f>
        <v/>
      </c>
      <c r="AE52" t="str" cm="1">
        <f t="array" ref="AE52">_xlfn.LET(
  _xlpm.colj, _xlfn._xlws.FILTER(IF(ISNUMBER(51:51), COLUMN(51:51)), ISNUMBER(51:51)),
  _xlpm.elos, INDEX(50:50,1,_xlpm.colj),
  _xlpm.diffscale, Constantes!$B$2,
  IF(AE51="",
    "",
    SUM(1/(1+POWER(10,-(AE50-_xlpm.elos)/_xlpm.diffscale)))-0.5)
)</f>
        <v/>
      </c>
      <c r="AF52" t="str" cm="1">
        <f t="array" ref="AF52">_xlfn.LET(
  _xlpm.colj, _xlfn._xlws.FILTER(IF(ISNUMBER(51:51), COLUMN(51:51)), ISNUMBER(51:51)),
  _xlpm.elos, INDEX(50:50,1,_xlpm.colj),
  _xlpm.diffscale, Constantes!$B$2,
  IF(AF51="",
    "",
    SUM(1/(1+POWER(10,-(AF50-_xlpm.elos)/_xlpm.diffscale)))-0.5)
)</f>
        <v/>
      </c>
      <c r="AG52" t="str" cm="1">
        <f t="array" ref="AG52">_xlfn.LET(
  _xlpm.colj, _xlfn._xlws.FILTER(IF(ISNUMBER(51:51), COLUMN(51:51)), ISNUMBER(51:51)),
  _xlpm.elos, INDEX(50:50,1,_xlpm.colj),
  _xlpm.diffscale, Constantes!$B$2,
  IF(AG51="",
    "",
    SUM(1/(1+POWER(10,-(AG50-_xlpm.elos)/_xlpm.diffscale)))-0.5)
)</f>
        <v/>
      </c>
      <c r="AH52" t="str" cm="1">
        <f t="array" ref="AH52">_xlfn.LET(
  _xlpm.colj, _xlfn._xlws.FILTER(IF(ISNUMBER(51:51), COLUMN(51:51)), ISNUMBER(51:51)),
  _xlpm.elos, INDEX(50:50,1,_xlpm.colj),
  _xlpm.diffscale, Constantes!$B$2,
  IF(AH51="",
    "",
    SUM(1/(1+POWER(10,-(AH50-_xlpm.elos)/_xlpm.diffscale)))-0.5)
)</f>
        <v/>
      </c>
      <c r="AI52" t="str" cm="1">
        <f t="array" ref="AI52">_xlfn.LET(
  _xlpm.colj, _xlfn._xlws.FILTER(IF(ISNUMBER(51:51), COLUMN(51:51)), ISNUMBER(51:51)),
  _xlpm.elos, INDEX(50:50,1,_xlpm.colj),
  _xlpm.diffscale, Constantes!$B$2,
  IF(AI51="",
    "",
    SUM(1/(1+POWER(10,-(AI50-_xlpm.elos)/_xlpm.diffscale)))-0.5)
)</f>
        <v/>
      </c>
      <c r="AJ52" t="str" cm="1">
        <f t="array" ref="AJ52">_xlfn.LET(
  _xlpm.colj, _xlfn._xlws.FILTER(IF(ISNUMBER(51:51), COLUMN(51:51)), ISNUMBER(51:51)),
  _xlpm.elos, INDEX(50:50,1,_xlpm.colj),
  _xlpm.diffscale, Constantes!$B$2,
  IF(AJ51="",
    "",
    SUM(1/(1+POWER(10,-(AJ50-_xlpm.elos)/_xlpm.diffscale)))-0.5)
)</f>
        <v/>
      </c>
      <c r="AK52" t="str" cm="1">
        <f t="array" ref="AK52">_xlfn.LET(
  _xlpm.colj, _xlfn._xlws.FILTER(IF(ISNUMBER(51:51), COLUMN(51:51)), ISNUMBER(51:51)),
  _xlpm.elos, INDEX(50:50,1,_xlpm.colj),
  _xlpm.diffscale, Constantes!$B$2,
  IF(AK51="",
    "",
    SUM(1/(1+POWER(10,-(AK50-_xlpm.elos)/_xlpm.diffscale)))-0.5)
)</f>
        <v/>
      </c>
      <c r="AL52" t="str" cm="1">
        <f t="array" ref="AL52">_xlfn.LET(
  _xlpm.colj, _xlfn._xlws.FILTER(IF(ISNUMBER(51:51), COLUMN(51:51)), ISNUMBER(51:51)),
  _xlpm.elos, INDEX(50:50,1,_xlpm.colj),
  _xlpm.diffscale, Constantes!$B$2,
  IF(AL51="",
    "",
    SUM(1/(1+POWER(10,-(AL50-_xlpm.elos)/_xlpm.diffscale)))-0.5)
)</f>
        <v/>
      </c>
      <c r="AM52" t="str" cm="1">
        <f t="array" ref="AM52">_xlfn.LET(
  _xlpm.colj, _xlfn._xlws.FILTER(IF(ISNUMBER(51:51), COLUMN(51:51)), ISNUMBER(51:51)),
  _xlpm.elos, INDEX(50:50,1,_xlpm.colj),
  _xlpm.diffscale, Constantes!$B$2,
  IF(AM51="",
    "",
    SUM(1/(1+POWER(10,-(AM50-_xlpm.elos)/_xlpm.diffscale)))-0.5)
)</f>
        <v/>
      </c>
    </row>
    <row r="53" spans="1:39" x14ac:dyDescent="0.25">
      <c r="A53" t="s">
        <v>22</v>
      </c>
      <c r="D53" t="str" cm="1">
        <f t="array" ref="D53">_xlfn.LET(
  _xlpm.K, Constantes!$B$3,
  _xlpm.Knewgain, Constantes!$B$4,
  _xlpm.Knewscale, Constantes!$B$5,
  _xlpm.ptstables, INDEX(D:D, _xlfn.SEQUENCE(COUNTA($C$2:$C53), 1, 3, 4)),
  _xlpm.nbparties, COUNTA(_xlfn._xlws.FILTER(_xlpm.ptstables, _xlpm.ptstables &lt;&gt; "")),
  _xlpm.coef, _xlpm.K + _xlpm.Knewgain / (_xlpm.Knewscale + _xlpm.nbparties),
  IF(D51="",
    "",
    _xlpm.coef * (D51-D52))
)</f>
        <v/>
      </c>
      <c r="E53" cm="1">
        <f t="array" ref="E53">_xlfn.LET(
  _xlpm.K, Constantes!$B$3,
  _xlpm.Knewgain, Constantes!$B$4,
  _xlpm.Knewscale, Constantes!$B$5,
  _xlpm.ptstables, INDEX(E:E, _xlfn.SEQUENCE(COUNTA($C$2:$C53), 1, 3, 4)),
  _xlpm.nbparties, COUNTA(_xlfn._xlws.FILTER(_xlpm.ptstables, _xlpm.ptstables &lt;&gt; "")),
  _xlpm.coef, _xlpm.K + _xlpm.Knewgain / (_xlpm.Knewscale + _xlpm.nbparties),
  IF(E51="",
    "",
    _xlpm.coef * (E51-E52))
)</f>
        <v>-6.731485749611279</v>
      </c>
      <c r="F53" t="str" cm="1">
        <f t="array" ref="F53">_xlfn.LET(
  _xlpm.K, Constantes!$B$3,
  _xlpm.Knewgain, Constantes!$B$4,
  _xlpm.Knewscale, Constantes!$B$5,
  _xlpm.ptstables, INDEX(F:F, _xlfn.SEQUENCE(COUNTA($C$2:$C53), 1, 3, 4)),
  _xlpm.nbparties, COUNTA(_xlfn._xlws.FILTER(_xlpm.ptstables, _xlpm.ptstables &lt;&gt; "")),
  _xlpm.coef, _xlpm.K + _xlpm.Knewgain / (_xlpm.Knewscale + _xlpm.nbparties),
  IF(F51="",
    "",
    _xlpm.coef * (F51-F52))
)</f>
        <v/>
      </c>
      <c r="G53" t="str" cm="1">
        <f t="array" ref="G53">_xlfn.LET(
  _xlpm.K, Constantes!$B$3,
  _xlpm.Knewgain, Constantes!$B$4,
  _xlpm.Knewscale, Constantes!$B$5,
  _xlpm.ptstables, INDEX(G:G, _xlfn.SEQUENCE(COUNTA($C$2:$C53), 1, 3, 4)),
  _xlpm.nbparties, COUNTA(_xlfn._xlws.FILTER(_xlpm.ptstables, _xlpm.ptstables &lt;&gt; "")),
  _xlpm.coef, _xlpm.K + _xlpm.Knewgain / (_xlpm.Knewscale + _xlpm.nbparties),
  IF(G51="",
    "",
    _xlpm.coef * (G51-G52))
)</f>
        <v/>
      </c>
      <c r="H53" t="str" cm="1">
        <f t="array" ref="H53">_xlfn.LET(
  _xlpm.K, Constantes!$B$3,
  _xlpm.Knewgain, Constantes!$B$4,
  _xlpm.Knewscale, Constantes!$B$5,
  _xlpm.ptstables, INDEX(H:H, _xlfn.SEQUENCE(COUNTA($C$2:$C53), 1, 3, 4)),
  _xlpm.nbparties, COUNTA(_xlfn._xlws.FILTER(_xlpm.ptstables, _xlpm.ptstables &lt;&gt; "")),
  _xlpm.coef, _xlpm.K + _xlpm.Knewgain / (_xlpm.Knewscale + _xlpm.nbparties),
  IF(H51="",
    "",
    _xlpm.coef * (H51-H52))
)</f>
        <v/>
      </c>
      <c r="I53" cm="1">
        <f t="array" ref="I53">_xlfn.LET(
  _xlpm.K, Constantes!$B$3,
  _xlpm.Knewgain, Constantes!$B$4,
  _xlpm.Knewscale, Constantes!$B$5,
  _xlpm.ptstables, INDEX(I:I, _xlfn.SEQUENCE(COUNTA($C$2:$C53), 1, 3, 4)),
  _xlpm.nbparties, COUNTA(_xlfn._xlws.FILTER(_xlpm.ptstables, _xlpm.ptstables &lt;&gt; "")),
  _xlpm.coef, _xlpm.K + _xlpm.Knewgain / (_xlpm.Knewscale + _xlpm.nbparties),
  IF(I51="",
    "",
    _xlpm.coef * (I51-I52))
)</f>
        <v>62.810331200204438</v>
      </c>
      <c r="J53" t="str" cm="1">
        <f t="array" ref="J53">_xlfn.LET(
  _xlpm.K, Constantes!$B$3,
  _xlpm.Knewgain, Constantes!$B$4,
  _xlpm.Knewscale, Constantes!$B$5,
  _xlpm.ptstables, INDEX(J:J, _xlfn.SEQUENCE(COUNTA($C$2:$C53), 1, 3, 4)),
  _xlpm.nbparties, COUNTA(_xlfn._xlws.FILTER(_xlpm.ptstables, _xlpm.ptstables &lt;&gt; "")),
  _xlpm.coef, _xlpm.K + _xlpm.Knewgain / (_xlpm.Knewscale + _xlpm.nbparties),
  IF(J51="",
    "",
    _xlpm.coef * (J51-J52))
)</f>
        <v/>
      </c>
      <c r="K53" t="str" cm="1">
        <f t="array" ref="K53">_xlfn.LET(
  _xlpm.K, Constantes!$B$3,
  _xlpm.Knewgain, Constantes!$B$4,
  _xlpm.Knewscale, Constantes!$B$5,
  _xlpm.ptstables, INDEX(K:K, _xlfn.SEQUENCE(COUNTA($C$2:$C53), 1, 3, 4)),
  _xlpm.nbparties, COUNTA(_xlfn._xlws.FILTER(_xlpm.ptstables, _xlpm.ptstables &lt;&gt; "")),
  _xlpm.coef, _xlpm.K + _xlpm.Knewgain / (_xlpm.Knewscale + _xlpm.nbparties),
  IF(K51="",
    "",
    _xlpm.coef * (K51-K52))
)</f>
        <v/>
      </c>
      <c r="L53" t="str" cm="1">
        <f t="array" ref="L53">_xlfn.LET(
  _xlpm.K, Constantes!$B$3,
  _xlpm.Knewgain, Constantes!$B$4,
  _xlpm.Knewscale, Constantes!$B$5,
  _xlpm.ptstables, INDEX(L:L, _xlfn.SEQUENCE(COUNTA($C$2:$C53), 1, 3, 4)),
  _xlpm.nbparties, COUNTA(_xlfn._xlws.FILTER(_xlpm.ptstables, _xlpm.ptstables &lt;&gt; "")),
  _xlpm.coef, _xlpm.K + _xlpm.Knewgain / (_xlpm.Knewscale + _xlpm.nbparties),
  IF(L51="",
    "",
    _xlpm.coef * (L51-L52))
)</f>
        <v/>
      </c>
      <c r="M53" t="str" cm="1">
        <f t="array" ref="M53">_xlfn.LET(
  _xlpm.K, Constantes!$B$3,
  _xlpm.Knewgain, Constantes!$B$4,
  _xlpm.Knewscale, Constantes!$B$5,
  _xlpm.ptstables, INDEX(M:M, _xlfn.SEQUENCE(COUNTA($C$2:$C53), 1, 3, 4)),
  _xlpm.nbparties, COUNTA(_xlfn._xlws.FILTER(_xlpm.ptstables, _xlpm.ptstables &lt;&gt; "")),
  _xlpm.coef, _xlpm.K + _xlpm.Knewgain / (_xlpm.Knewscale + _xlpm.nbparties),
  IF(M51="",
    "",
    _xlpm.coef * (M51-M52))
)</f>
        <v/>
      </c>
      <c r="N53" t="str" cm="1">
        <f t="array" ref="N53">_xlfn.LET(
  _xlpm.K, Constantes!$B$3,
  _xlpm.Knewgain, Constantes!$B$4,
  _xlpm.Knewscale, Constantes!$B$5,
  _xlpm.ptstables, INDEX(N:N, _xlfn.SEQUENCE(COUNTA($C$2:$C53), 1, 3, 4)),
  _xlpm.nbparties, COUNTA(_xlfn._xlws.FILTER(_xlpm.ptstables, _xlpm.ptstables &lt;&gt; "")),
  _xlpm.coef, _xlpm.K + _xlpm.Knewgain / (_xlpm.Knewscale + _xlpm.nbparties),
  IF(N51="",
    "",
    _xlpm.coef * (N51-N52))
)</f>
        <v/>
      </c>
      <c r="O53" t="str" cm="1">
        <f t="array" ref="O53">_xlfn.LET(
  _xlpm.K, Constantes!$B$3,
  _xlpm.Knewgain, Constantes!$B$4,
  _xlpm.Knewscale, Constantes!$B$5,
  _xlpm.ptstables, INDEX(O:O, _xlfn.SEQUENCE(COUNTA($C$2:$C53), 1, 3, 4)),
  _xlpm.nbparties, COUNTA(_xlfn._xlws.FILTER(_xlpm.ptstables, _xlpm.ptstables &lt;&gt; "")),
  _xlpm.coef, _xlpm.K + _xlpm.Knewgain / (_xlpm.Knewscale + _xlpm.nbparties),
  IF(O51="",
    "",
    _xlpm.coef * (O51-O52))
)</f>
        <v/>
      </c>
      <c r="P53" t="str" cm="1">
        <f t="array" ref="P53">_xlfn.LET(
  _xlpm.K, Constantes!$B$3,
  _xlpm.Knewgain, Constantes!$B$4,
  _xlpm.Knewscale, Constantes!$B$5,
  _xlpm.ptstables, INDEX(P:P, _xlfn.SEQUENCE(COUNTA($C$2:$C53), 1, 3, 4)),
  _xlpm.nbparties, COUNTA(_xlfn._xlws.FILTER(_xlpm.ptstables, _xlpm.ptstables &lt;&gt; "")),
  _xlpm.coef, _xlpm.K + _xlpm.Knewgain / (_xlpm.Knewscale + _xlpm.nbparties),
  IF(P51="",
    "",
    _xlpm.coef * (P51-P52))
)</f>
        <v/>
      </c>
      <c r="Q53" t="str" cm="1">
        <f t="array" ref="Q53">_xlfn.LET(
  _xlpm.K, Constantes!$B$3,
  _xlpm.Knewgain, Constantes!$B$4,
  _xlpm.Knewscale, Constantes!$B$5,
  _xlpm.ptstables, INDEX(Q:Q, _xlfn.SEQUENCE(COUNTA($C$2:$C53), 1, 3, 4)),
  _xlpm.nbparties, COUNTA(_xlfn._xlws.FILTER(_xlpm.ptstables, _xlpm.ptstables &lt;&gt; "")),
  _xlpm.coef, _xlpm.K + _xlpm.Knewgain / (_xlpm.Knewscale + _xlpm.nbparties),
  IF(Q51="",
    "",
    _xlpm.coef * (Q51-Q52))
)</f>
        <v/>
      </c>
      <c r="R53" t="str" cm="1">
        <f t="array" ref="R53">_xlfn.LET(
  _xlpm.K, Constantes!$B$3,
  _xlpm.Knewgain, Constantes!$B$4,
  _xlpm.Knewscale, Constantes!$B$5,
  _xlpm.ptstables, INDEX(R:R, _xlfn.SEQUENCE(COUNTA($C$2:$C53), 1, 3, 4)),
  _xlpm.nbparties, COUNTA(_xlfn._xlws.FILTER(_xlpm.ptstables, _xlpm.ptstables &lt;&gt; "")),
  _xlpm.coef, _xlpm.K + _xlpm.Knewgain / (_xlpm.Knewscale + _xlpm.nbparties),
  IF(R51="",
    "",
    _xlpm.coef * (R51-R52))
)</f>
        <v/>
      </c>
      <c r="S53" cm="1">
        <f t="array" ref="S53">_xlfn.LET(
  _xlpm.K, Constantes!$B$3,
  _xlpm.Knewgain, Constantes!$B$4,
  _xlpm.Knewscale, Constantes!$B$5,
  _xlpm.ptstables, INDEX(S:S, _xlfn.SEQUENCE(COUNTA($C$2:$C53), 1, 3, 4)),
  _xlpm.nbparties, COUNTA(_xlfn._xlws.FILTER(_xlpm.ptstables, _xlpm.ptstables &lt;&gt; "")),
  _xlpm.coef, _xlpm.K + _xlpm.Knewgain / (_xlpm.Knewscale + _xlpm.nbparties),
  IF(S51="",
    "",
    _xlpm.coef * (S51-S52))
)</f>
        <v>-46.171284307074053</v>
      </c>
      <c r="T53" t="str" cm="1">
        <f t="array" ref="T53">_xlfn.LET(
  _xlpm.K, Constantes!$B$3,
  _xlpm.Knewgain, Constantes!$B$4,
  _xlpm.Knewscale, Constantes!$B$5,
  _xlpm.ptstables, INDEX(T:T, _xlfn.SEQUENCE(COUNTA($C$2:$C53), 1, 3, 4)),
  _xlpm.nbparties, COUNTA(_xlfn._xlws.FILTER(_xlpm.ptstables, _xlpm.ptstables &lt;&gt; "")),
  _xlpm.coef, _xlpm.K + _xlpm.Knewgain / (_xlpm.Knewscale + _xlpm.nbparties),
  IF(T51="",
    "",
    _xlpm.coef * (T51-T52))
)</f>
        <v/>
      </c>
      <c r="U53" t="str" cm="1">
        <f t="array" ref="U53">_xlfn.LET(
  _xlpm.K, Constantes!$B$3,
  _xlpm.Knewgain, Constantes!$B$4,
  _xlpm.Knewscale, Constantes!$B$5,
  _xlpm.ptstables, INDEX(U:U, _xlfn.SEQUENCE(COUNTA($C$2:$C53), 1, 3, 4)),
  _xlpm.nbparties, COUNTA(_xlfn._xlws.FILTER(_xlpm.ptstables, _xlpm.ptstables &lt;&gt; "")),
  _xlpm.coef, _xlpm.K + _xlpm.Knewgain / (_xlpm.Knewscale + _xlpm.nbparties),
  IF(U51="",
    "",
    _xlpm.coef * (U51-U52))
)</f>
        <v/>
      </c>
      <c r="V53" t="str" cm="1">
        <f t="array" ref="V53">_xlfn.LET(
  _xlpm.K, Constantes!$B$3,
  _xlpm.Knewgain, Constantes!$B$4,
  _xlpm.Knewscale, Constantes!$B$5,
  _xlpm.ptstables, INDEX(V:V, _xlfn.SEQUENCE(COUNTA($C$2:$C53), 1, 3, 4)),
  _xlpm.nbparties, COUNTA(_xlfn._xlws.FILTER(_xlpm.ptstables, _xlpm.ptstables &lt;&gt; "")),
  _xlpm.coef, _xlpm.K + _xlpm.Knewgain / (_xlpm.Knewscale + _xlpm.nbparties),
  IF(V51="",
    "",
    _xlpm.coef * (V51-V52))
)</f>
        <v/>
      </c>
      <c r="W53" t="str" cm="1">
        <f t="array" ref="W53">_xlfn.LET(
  _xlpm.K, Constantes!$B$3,
  _xlpm.Knewgain, Constantes!$B$4,
  _xlpm.Knewscale, Constantes!$B$5,
  _xlpm.ptstables, INDEX(W:W, _xlfn.SEQUENCE(COUNTA($C$2:$C53), 1, 3, 4)),
  _xlpm.nbparties, COUNTA(_xlfn._xlws.FILTER(_xlpm.ptstables, _xlpm.ptstables &lt;&gt; "")),
  _xlpm.coef, _xlpm.K + _xlpm.Knewgain / (_xlpm.Knewscale + _xlpm.nbparties),
  IF(W51="",
    "",
    _xlpm.coef * (W51-W52))
)</f>
        <v/>
      </c>
      <c r="X53" t="str" cm="1">
        <f t="array" ref="X53">_xlfn.LET(
  _xlpm.K, Constantes!$B$3,
  _xlpm.Knewgain, Constantes!$B$4,
  _xlpm.Knewscale, Constantes!$B$5,
  _xlpm.ptstables, INDEX(X:X, _xlfn.SEQUENCE(COUNTA($C$2:$C53), 1, 3, 4)),
  _xlpm.nbparties, COUNTA(_xlfn._xlws.FILTER(_xlpm.ptstables, _xlpm.ptstables &lt;&gt; "")),
  _xlpm.coef, _xlpm.K + _xlpm.Knewgain / (_xlpm.Knewscale + _xlpm.nbparties),
  IF(X51="",
    "",
    _xlpm.coef * (X51-X52))
)</f>
        <v/>
      </c>
      <c r="Y53" t="str" cm="1">
        <f t="array" ref="Y53">_xlfn.LET(
  _xlpm.K, Constantes!$B$3,
  _xlpm.Knewgain, Constantes!$B$4,
  _xlpm.Knewscale, Constantes!$B$5,
  _xlpm.ptstables, INDEX(Y:Y, _xlfn.SEQUENCE(COUNTA($C$2:$C53), 1, 3, 4)),
  _xlpm.nbparties, COUNTA(_xlfn._xlws.FILTER(_xlpm.ptstables, _xlpm.ptstables &lt;&gt; "")),
  _xlpm.coef, _xlpm.K + _xlpm.Knewgain / (_xlpm.Knewscale + _xlpm.nbparties),
  IF(Y51="",
    "",
    _xlpm.coef * (Y51-Y52))
)</f>
        <v/>
      </c>
      <c r="Z53" cm="1">
        <f t="array" ref="Z53">_xlfn.LET(
  _xlpm.K, Constantes!$B$3,
  _xlpm.Knewgain, Constantes!$B$4,
  _xlpm.Knewscale, Constantes!$B$5,
  _xlpm.ptstables, INDEX(Z:Z, _xlfn.SEQUENCE(COUNTA($C$2:$C53), 1, 3, 4)),
  _xlpm.nbparties, COUNTA(_xlfn._xlws.FILTER(_xlpm.ptstables, _xlpm.ptstables &lt;&gt; "")),
  _xlpm.coef, _xlpm.K + _xlpm.Knewgain / (_xlpm.Knewscale + _xlpm.nbparties),
  IF(Z51="",
    "",
    _xlpm.coef * (Z51-Z52))
)</f>
        <v>-8.8809586032744612</v>
      </c>
      <c r="AA53" t="str" cm="1">
        <f t="array" ref="AA53">_xlfn.LET(
  _xlpm.K, Constantes!$B$3,
  _xlpm.Knewgain, Constantes!$B$4,
  _xlpm.Knewscale, Constantes!$B$5,
  _xlpm.ptstables, INDEX(AA:AA, _xlfn.SEQUENCE(COUNTA($C$2:$C53), 1, 3, 4)),
  _xlpm.nbparties, COUNTA(_xlfn._xlws.FILTER(_xlpm.ptstables, _xlpm.ptstables &lt;&gt; "")),
  _xlpm.coef, _xlpm.K + _xlpm.Knewgain / (_xlpm.Knewscale + _xlpm.nbparties),
  IF(AA51="",
    "",
    _xlpm.coef * (AA51-AA52))
)</f>
        <v/>
      </c>
      <c r="AB53" t="str" cm="1">
        <f t="array" ref="AB53">_xlfn.LET(
  _xlpm.K, Constantes!$B$3,
  _xlpm.Knewgain, Constantes!$B$4,
  _xlpm.Knewscale, Constantes!$B$5,
  _xlpm.ptstables, INDEX(AB:AB, _xlfn.SEQUENCE(COUNTA($C$2:$C53), 1, 3, 4)),
  _xlpm.nbparties, COUNTA(_xlfn._xlws.FILTER(_xlpm.ptstables, _xlpm.ptstables &lt;&gt; "")),
  _xlpm.coef, _xlpm.K + _xlpm.Knewgain / (_xlpm.Knewscale + _xlpm.nbparties),
  IF(AB51="",
    "",
    _xlpm.coef * (AB51-AB52))
)</f>
        <v/>
      </c>
      <c r="AC53" t="str" cm="1">
        <f t="array" ref="AC53">_xlfn.LET(
  _xlpm.K, Constantes!$B$3,
  _xlpm.Knewgain, Constantes!$B$4,
  _xlpm.Knewscale, Constantes!$B$5,
  _xlpm.ptstables, INDEX(AC:AC, _xlfn.SEQUENCE(COUNTA($C$2:$C53), 1, 3, 4)),
  _xlpm.nbparties, COUNTA(_xlfn._xlws.FILTER(_xlpm.ptstables, _xlpm.ptstables &lt;&gt; "")),
  _xlpm.coef, _xlpm.K + _xlpm.Knewgain / (_xlpm.Knewscale + _xlpm.nbparties),
  IF(AC51="",
    "",
    _xlpm.coef * (AC51-AC52))
)</f>
        <v/>
      </c>
      <c r="AD53" t="str" cm="1">
        <f t="array" ref="AD53">_xlfn.LET(
  _xlpm.K, Constantes!$B$3,
  _xlpm.Knewgain, Constantes!$B$4,
  _xlpm.Knewscale, Constantes!$B$5,
  _xlpm.ptstables, INDEX(AD:AD, _xlfn.SEQUENCE(COUNTA($C$2:$C53), 1, 3, 4)),
  _xlpm.nbparties, COUNTA(_xlfn._xlws.FILTER(_xlpm.ptstables, _xlpm.ptstables &lt;&gt; "")),
  _xlpm.coef, _xlpm.K + _xlpm.Knewgain / (_xlpm.Knewscale + _xlpm.nbparties),
  IF(AD51="",
    "",
    _xlpm.coef * (AD51-AD52))
)</f>
        <v/>
      </c>
      <c r="AE53" t="str" cm="1">
        <f t="array" ref="AE53">_xlfn.LET(
  _xlpm.K, Constantes!$B$3,
  _xlpm.Knewgain, Constantes!$B$4,
  _xlpm.Knewscale, Constantes!$B$5,
  _xlpm.ptstables, INDEX(AE:AE, _xlfn.SEQUENCE(COUNTA($C$2:$C53), 1, 3, 4)),
  _xlpm.nbparties, COUNTA(_xlfn._xlws.FILTER(_xlpm.ptstables, _xlpm.ptstables &lt;&gt; "")),
  _xlpm.coef, _xlpm.K + _xlpm.Knewgain / (_xlpm.Knewscale + _xlpm.nbparties),
  IF(AE51="",
    "",
    _xlpm.coef * (AE51-AE52))
)</f>
        <v/>
      </c>
      <c r="AF53" t="str" cm="1">
        <f t="array" ref="AF53">_xlfn.LET(
  _xlpm.K, Constantes!$B$3,
  _xlpm.Knewgain, Constantes!$B$4,
  _xlpm.Knewscale, Constantes!$B$5,
  _xlpm.ptstables, INDEX(AF:AF, _xlfn.SEQUENCE(COUNTA($C$2:$C53), 1, 3, 4)),
  _xlpm.nbparties, COUNTA(_xlfn._xlws.FILTER(_xlpm.ptstables, _xlpm.ptstables &lt;&gt; "")),
  _xlpm.coef, _xlpm.K + _xlpm.Knewgain / (_xlpm.Knewscale + _xlpm.nbparties),
  IF(AF51="",
    "",
    _xlpm.coef * (AF51-AF52))
)</f>
        <v/>
      </c>
      <c r="AG53" t="str" cm="1">
        <f t="array" ref="AG53">_xlfn.LET(
  _xlpm.K, Constantes!$B$3,
  _xlpm.Knewgain, Constantes!$B$4,
  _xlpm.Knewscale, Constantes!$B$5,
  _xlpm.ptstables, INDEX(AG:AG, _xlfn.SEQUENCE(COUNTA($C$2:$C53), 1, 3, 4)),
  _xlpm.nbparties, COUNTA(_xlfn._xlws.FILTER(_xlpm.ptstables, _xlpm.ptstables &lt;&gt; "")),
  _xlpm.coef, _xlpm.K + _xlpm.Knewgain / (_xlpm.Knewscale + _xlpm.nbparties),
  IF(AG51="",
    "",
    _xlpm.coef * (AG51-AG52))
)</f>
        <v/>
      </c>
      <c r="AH53" t="str" cm="1">
        <f t="array" ref="AH53">_xlfn.LET(
  _xlpm.K, Constantes!$B$3,
  _xlpm.Knewgain, Constantes!$B$4,
  _xlpm.Knewscale, Constantes!$B$5,
  _xlpm.ptstables, INDEX(AH:AH, _xlfn.SEQUENCE(COUNTA($C$2:$C53), 1, 3, 4)),
  _xlpm.nbparties, COUNTA(_xlfn._xlws.FILTER(_xlpm.ptstables, _xlpm.ptstables &lt;&gt; "")),
  _xlpm.coef, _xlpm.K + _xlpm.Knewgain / (_xlpm.Knewscale + _xlpm.nbparties),
  IF(AH51="",
    "",
    _xlpm.coef * (AH51-AH52))
)</f>
        <v/>
      </c>
      <c r="AI53" t="str" cm="1">
        <f t="array" ref="AI53">_xlfn.LET(
  _xlpm.K, Constantes!$B$3,
  _xlpm.Knewgain, Constantes!$B$4,
  _xlpm.Knewscale, Constantes!$B$5,
  _xlpm.ptstables, INDEX(AI:AI, _xlfn.SEQUENCE(COUNTA($C$2:$C53), 1, 3, 4)),
  _xlpm.nbparties, COUNTA(_xlfn._xlws.FILTER(_xlpm.ptstables, _xlpm.ptstables &lt;&gt; "")),
  _xlpm.coef, _xlpm.K + _xlpm.Knewgain / (_xlpm.Knewscale + _xlpm.nbparties),
  IF(AI51="",
    "",
    _xlpm.coef * (AI51-AI52))
)</f>
        <v/>
      </c>
      <c r="AJ53" t="str" cm="1">
        <f t="array" ref="AJ53">_xlfn.LET(
  _xlpm.K, Constantes!$B$3,
  _xlpm.Knewgain, Constantes!$B$4,
  _xlpm.Knewscale, Constantes!$B$5,
  _xlpm.ptstables, INDEX(AJ:AJ, _xlfn.SEQUENCE(COUNTA($C$2:$C53), 1, 3, 4)),
  _xlpm.nbparties, COUNTA(_xlfn._xlws.FILTER(_xlpm.ptstables, _xlpm.ptstables &lt;&gt; "")),
  _xlpm.coef, _xlpm.K + _xlpm.Knewgain / (_xlpm.Knewscale + _xlpm.nbparties),
  IF(AJ51="",
    "",
    _xlpm.coef * (AJ51-AJ52))
)</f>
        <v/>
      </c>
      <c r="AK53" t="str" cm="1">
        <f t="array" ref="AK53">_xlfn.LET(
  _xlpm.K, Constantes!$B$3,
  _xlpm.Knewgain, Constantes!$B$4,
  _xlpm.Knewscale, Constantes!$B$5,
  _xlpm.ptstables, INDEX(AK:AK, _xlfn.SEQUENCE(COUNTA($C$2:$C53), 1, 3, 4)),
  _xlpm.nbparties, COUNTA(_xlfn._xlws.FILTER(_xlpm.ptstables, _xlpm.ptstables &lt;&gt; "")),
  _xlpm.coef, _xlpm.K + _xlpm.Knewgain / (_xlpm.Knewscale + _xlpm.nbparties),
  IF(AK51="",
    "",
    _xlpm.coef * (AK51-AK52))
)</f>
        <v/>
      </c>
      <c r="AL53" t="str" cm="1">
        <f t="array" ref="AL53">_xlfn.LET(
  _xlpm.K, Constantes!$B$3,
  _xlpm.Knewgain, Constantes!$B$4,
  _xlpm.Knewscale, Constantes!$B$5,
  _xlpm.ptstables, INDEX(AL:AL, _xlfn.SEQUENCE(COUNTA($C$2:$C53), 1, 3, 4)),
  _xlpm.nbparties, COUNTA(_xlfn._xlws.FILTER(_xlpm.ptstables, _xlpm.ptstables &lt;&gt; "")),
  _xlpm.coef, _xlpm.K + _xlpm.Knewgain / (_xlpm.Knewscale + _xlpm.nbparties),
  IF(AL51="",
    "",
    _xlpm.coef * (AL51-AL52))
)</f>
        <v/>
      </c>
      <c r="AM53" t="str" cm="1">
        <f t="array" ref="AM53">_xlfn.LET(
  _xlpm.K, Constantes!$B$3,
  _xlpm.Knewgain, Constantes!$B$4,
  _xlpm.Knewscale, Constantes!$B$5,
  _xlpm.ptstables, INDEX(AM:AM, _xlfn.SEQUENCE(COUNTA($C$2:$C53), 1, 3, 4)),
  _xlpm.nbparties, COUNTA(_xlfn._xlws.FILTER(_xlpm.ptstables, _xlpm.ptstables &lt;&gt; "")),
  _xlpm.coef, _xlpm.K + _xlpm.Knewgain / (_xlpm.Knewscale + _xlpm.nbparties),
  IF(AM51="",
    "",
    _xlpm.coef * (AM51-AM52))
)</f>
        <v/>
      </c>
    </row>
    <row r="54" spans="1:39" x14ac:dyDescent="0.25">
      <c r="A54" t="s">
        <v>14</v>
      </c>
      <c r="B54" t="str" cm="1">
        <f t="array" ref="B5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13</v>
      </c>
      <c r="C54" s="2" cm="1">
        <f t="array" ref="C54">IF(B54="","",
  INDEX(Donnees!F:F, MATCH(B54, Donnees!F:F, 0)+1))</f>
        <v>45913.693287037036</v>
      </c>
      <c r="D54">
        <f t="shared" ref="D54:AM54" si="21">D50+IF(D53="",0,D53)</f>
        <v>1076.8302676196515</v>
      </c>
      <c r="E54">
        <f t="shared" si="21"/>
        <v>1195.5659811510693</v>
      </c>
      <c r="F54">
        <f t="shared" si="21"/>
        <v>909.87928229209808</v>
      </c>
      <c r="G54">
        <f t="shared" si="21"/>
        <v>1047.1181518097756</v>
      </c>
      <c r="H54">
        <f t="shared" si="21"/>
        <v>976.44998683474398</v>
      </c>
      <c r="I54">
        <f t="shared" si="21"/>
        <v>1079.4580211094492</v>
      </c>
      <c r="J54">
        <f t="shared" si="21"/>
        <v>938.49433816478961</v>
      </c>
      <c r="K54">
        <f t="shared" si="21"/>
        <v>957.67754592822814</v>
      </c>
      <c r="L54">
        <f t="shared" si="21"/>
        <v>878.7153998467162</v>
      </c>
      <c r="M54">
        <f t="shared" si="21"/>
        <v>965.238738457664</v>
      </c>
      <c r="N54">
        <f t="shared" si="21"/>
        <v>948.02184623437654</v>
      </c>
      <c r="O54">
        <f t="shared" si="21"/>
        <v>1068.3356299075012</v>
      </c>
      <c r="P54">
        <f t="shared" si="21"/>
        <v>951.87653483423549</v>
      </c>
      <c r="Q54">
        <f t="shared" si="21"/>
        <v>985.54250487050535</v>
      </c>
      <c r="R54">
        <f t="shared" si="21"/>
        <v>976.36931859491699</v>
      </c>
      <c r="S54">
        <f t="shared" si="21"/>
        <v>965.3351737140199</v>
      </c>
      <c r="T54">
        <f t="shared" si="21"/>
        <v>1090.1930069421485</v>
      </c>
      <c r="U54">
        <f t="shared" si="21"/>
        <v>1059.3016239317653</v>
      </c>
      <c r="V54">
        <f t="shared" si="21"/>
        <v>943.32697525941398</v>
      </c>
      <c r="W54">
        <f t="shared" si="21"/>
        <v>1000</v>
      </c>
      <c r="X54">
        <f t="shared" si="21"/>
        <v>890.71712582230168</v>
      </c>
      <c r="Y54">
        <f t="shared" si="21"/>
        <v>877.20346587560073</v>
      </c>
      <c r="Z54">
        <f t="shared" si="21"/>
        <v>991.11904139672549</v>
      </c>
      <c r="AA54">
        <f t="shared" si="21"/>
        <v>1000</v>
      </c>
      <c r="AB54">
        <f t="shared" si="21"/>
        <v>979.56500000000005</v>
      </c>
      <c r="AC54">
        <f t="shared" si="21"/>
        <v>1032.51</v>
      </c>
      <c r="AD54">
        <f t="shared" si="21"/>
        <v>974.01499999999999</v>
      </c>
      <c r="AE54">
        <f t="shared" si="21"/>
        <v>1011.415</v>
      </c>
      <c r="AF54">
        <f t="shared" si="21"/>
        <v>1031.1199999999999</v>
      </c>
      <c r="AG54">
        <f t="shared" si="21"/>
        <v>1001.0350000000001</v>
      </c>
      <c r="AH54">
        <f t="shared" si="21"/>
        <v>994.44</v>
      </c>
      <c r="AI54">
        <f t="shared" si="21"/>
        <v>1000</v>
      </c>
      <c r="AJ54">
        <f t="shared" si="21"/>
        <v>957.2</v>
      </c>
      <c r="AK54">
        <f t="shared" si="21"/>
        <v>1000</v>
      </c>
      <c r="AL54">
        <f t="shared" si="21"/>
        <v>1055.9299999999998</v>
      </c>
      <c r="AM54">
        <f t="shared" si="21"/>
        <v>1000</v>
      </c>
    </row>
    <row r="55" spans="1:39" x14ac:dyDescent="0.25">
      <c r="A55" t="s">
        <v>21</v>
      </c>
      <c r="D55" t="str" cm="1">
        <f t="array" ref="D55">IFERROR(
  _xlfn.LET(
    _xlpm.ligpartie, MATCH($B54, Donnees!$F:$F, 0),
    _xlpm.joueurs, INDEX(Donnees!$A:$Z, _xlpm.ligpartie+1, _xlfn.SEQUENCE(1, 4, 2)),
    INDEX(
      Donnees!$A:$Z,
      _xlpm.ligpartie + 3,
      MATCH(D$1, _xlpm.joueurs, 0) + 1
    )
  ), ""
)</f>
        <v/>
      </c>
      <c r="E55" t="str" cm="1">
        <f t="array" ref="E55">IFERROR(
  _xlfn.LET(
    _xlpm.ligpartie, MATCH($B54, Donnees!$F:$F, 0),
    _xlpm.joueurs, INDEX(Donnees!$A:$Z, _xlpm.ligpartie+1, _xlfn.SEQUENCE(1, 4, 2)),
    INDEX(
      Donnees!$A:$Z,
      _xlpm.ligpartie + 3,
      MATCH(E$1, _xlpm.joueurs, 0) + 1
    )
  ), ""
)</f>
        <v/>
      </c>
      <c r="F55" t="str" cm="1">
        <f t="array" ref="F55">IFERROR(
  _xlfn.LET(
    _xlpm.ligpartie, MATCH($B54, Donnees!$F:$F, 0),
    _xlpm.joueurs, INDEX(Donnees!$A:$Z, _xlpm.ligpartie+1, _xlfn.SEQUENCE(1, 4, 2)),
    INDEX(
      Donnees!$A:$Z,
      _xlpm.ligpartie + 3,
      MATCH(F$1, _xlpm.joueurs, 0) + 1
    )
  ), ""
)</f>
        <v/>
      </c>
      <c r="G55" t="str" cm="1">
        <f t="array" ref="G55">IFERROR(
  _xlfn.LET(
    _xlpm.ligpartie, MATCH($B54, Donnees!$F:$F, 0),
    _xlpm.joueurs, INDEX(Donnees!$A:$Z, _xlpm.ligpartie+1, _xlfn.SEQUENCE(1, 4, 2)),
    INDEX(
      Donnees!$A:$Z,
      _xlpm.ligpartie + 3,
      MATCH(G$1, _xlpm.joueurs, 0) + 1
    )
  ), ""
)</f>
        <v/>
      </c>
      <c r="H55" t="str" cm="1">
        <f t="array" ref="H55">IFERROR(
  _xlfn.LET(
    _xlpm.ligpartie, MATCH($B54, Donnees!$F:$F, 0),
    _xlpm.joueurs, INDEX(Donnees!$A:$Z, _xlpm.ligpartie+1, _xlfn.SEQUENCE(1, 4, 2)),
    INDEX(
      Donnees!$A:$Z,
      _xlpm.ligpartie + 3,
      MATCH(H$1, _xlpm.joueurs, 0) + 1
    )
  ), ""
)</f>
        <v/>
      </c>
      <c r="I55" t="str" cm="1">
        <f t="array" ref="I55">IFERROR(
  _xlfn.LET(
    _xlpm.ligpartie, MATCH($B54, Donnees!$F:$F, 0),
    _xlpm.joueurs, INDEX(Donnees!$A:$Z, _xlpm.ligpartie+1, _xlfn.SEQUENCE(1, 4, 2)),
    INDEX(
      Donnees!$A:$Z,
      _xlpm.ligpartie + 3,
      MATCH(I$1, _xlpm.joueurs, 0) + 1
    )
  ), ""
)</f>
        <v/>
      </c>
      <c r="J55" t="str" cm="1">
        <f t="array" ref="J55">IFERROR(
  _xlfn.LET(
    _xlpm.ligpartie, MATCH($B54, Donnees!$F:$F, 0),
    _xlpm.joueurs, INDEX(Donnees!$A:$Z, _xlpm.ligpartie+1, _xlfn.SEQUENCE(1, 4, 2)),
    INDEX(
      Donnees!$A:$Z,
      _xlpm.ligpartie + 3,
      MATCH(J$1, _xlpm.joueurs, 0) + 1
    )
  ), ""
)</f>
        <v/>
      </c>
      <c r="K55" t="str" cm="1">
        <f t="array" ref="K55">IFERROR(
  _xlfn.LET(
    _xlpm.ligpartie, MATCH($B54, Donnees!$F:$F, 0),
    _xlpm.joueurs, INDEX(Donnees!$A:$Z, _xlpm.ligpartie+1, _xlfn.SEQUENCE(1, 4, 2)),
    INDEX(
      Donnees!$A:$Z,
      _xlpm.ligpartie + 3,
      MATCH(K$1, _xlpm.joueurs, 0) + 1
    )
  ), ""
)</f>
        <v/>
      </c>
      <c r="L55" t="str" cm="1">
        <f t="array" ref="L55">IFERROR(
  _xlfn.LET(
    _xlpm.ligpartie, MATCH($B54, Donnees!$F:$F, 0),
    _xlpm.joueurs, INDEX(Donnees!$A:$Z, _xlpm.ligpartie+1, _xlfn.SEQUENCE(1, 4, 2)),
    INDEX(
      Donnees!$A:$Z,
      _xlpm.ligpartie + 3,
      MATCH(L$1, _xlpm.joueurs, 0) + 1
    )
  ), ""
)</f>
        <v/>
      </c>
      <c r="M55" t="str" cm="1">
        <f t="array" ref="M55">IFERROR(
  _xlfn.LET(
    _xlpm.ligpartie, MATCH($B54, Donnees!$F:$F, 0),
    _xlpm.joueurs, INDEX(Donnees!$A:$Z, _xlpm.ligpartie+1, _xlfn.SEQUENCE(1, 4, 2)),
    INDEX(
      Donnees!$A:$Z,
      _xlpm.ligpartie + 3,
      MATCH(M$1, _xlpm.joueurs, 0) + 1
    )
  ), ""
)</f>
        <v/>
      </c>
      <c r="N55" cm="1">
        <f t="array" ref="N55">IFERROR(
  _xlfn.LET(
    _xlpm.ligpartie, MATCH($B54, Donnees!$F:$F, 0),
    _xlpm.joueurs, INDEX(Donnees!$A:$Z, _xlpm.ligpartie+1, _xlfn.SEQUENCE(1, 4, 2)),
    INDEX(
      Donnees!$A:$Z,
      _xlpm.ligpartie + 3,
      MATCH(N$1, _xlpm.joueurs, 0) + 1
    )
  ), ""
)</f>
        <v>1</v>
      </c>
      <c r="O55" t="str" cm="1">
        <f t="array" ref="O55">IFERROR(
  _xlfn.LET(
    _xlpm.ligpartie, MATCH($B54, Donnees!$F:$F, 0),
    _xlpm.joueurs, INDEX(Donnees!$A:$Z, _xlpm.ligpartie+1, _xlfn.SEQUENCE(1, 4, 2)),
    INDEX(
      Donnees!$A:$Z,
      _xlpm.ligpartie + 3,
      MATCH(O$1, _xlpm.joueurs, 0) + 1
    )
  ), ""
)</f>
        <v/>
      </c>
      <c r="P55" t="str" cm="1">
        <f t="array" ref="P55">IFERROR(
  _xlfn.LET(
    _xlpm.ligpartie, MATCH($B54, Donnees!$F:$F, 0),
    _xlpm.joueurs, INDEX(Donnees!$A:$Z, _xlpm.ligpartie+1, _xlfn.SEQUENCE(1, 4, 2)),
    INDEX(
      Donnees!$A:$Z,
      _xlpm.ligpartie + 3,
      MATCH(P$1, _xlpm.joueurs, 0) + 1
    )
  ), ""
)</f>
        <v/>
      </c>
      <c r="Q55" t="str" cm="1">
        <f t="array" ref="Q55">IFERROR(
  _xlfn.LET(
    _xlpm.ligpartie, MATCH($B54, Donnees!$F:$F, 0),
    _xlpm.joueurs, INDEX(Donnees!$A:$Z, _xlpm.ligpartie+1, _xlfn.SEQUENCE(1, 4, 2)),
    INDEX(
      Donnees!$A:$Z,
      _xlpm.ligpartie + 3,
      MATCH(Q$1, _xlpm.joueurs, 0) + 1
    )
  ), ""
)</f>
        <v/>
      </c>
      <c r="R55" cm="1">
        <f t="array" ref="R55">IFERROR(
  _xlfn.LET(
    _xlpm.ligpartie, MATCH($B54, Donnees!$F:$F, 0),
    _xlpm.joueurs, INDEX(Donnees!$A:$Z, _xlpm.ligpartie+1, _xlfn.SEQUENCE(1, 4, 2)),
    INDEX(
      Donnees!$A:$Z,
      _xlpm.ligpartie + 3,
      MATCH(R$1, _xlpm.joueurs, 0) + 1
    )
  ), ""
)</f>
        <v>3</v>
      </c>
      <c r="S55" t="str" cm="1">
        <f t="array" ref="S55">IFERROR(
  _xlfn.LET(
    _xlpm.ligpartie, MATCH($B54, Donnees!$F:$F, 0),
    _xlpm.joueurs, INDEX(Donnees!$A:$Z, _xlpm.ligpartie+1, _xlfn.SEQUENCE(1, 4, 2)),
    INDEX(
      Donnees!$A:$Z,
      _xlpm.ligpartie + 3,
      MATCH(S$1, _xlpm.joueurs, 0) + 1
    )
  ), ""
)</f>
        <v/>
      </c>
      <c r="T55" cm="1">
        <f t="array" ref="T55">IFERROR(
  _xlfn.LET(
    _xlpm.ligpartie, MATCH($B54, Donnees!$F:$F, 0),
    _xlpm.joueurs, INDEX(Donnees!$A:$Z, _xlpm.ligpartie+1, _xlfn.SEQUENCE(1, 4, 2)),
    INDEX(
      Donnees!$A:$Z,
      _xlpm.ligpartie + 3,
      MATCH(T$1, _xlpm.joueurs, 0) + 1
    )
  ), ""
)</f>
        <v>2</v>
      </c>
      <c r="U55" t="str" cm="1">
        <f t="array" ref="U55">IFERROR(
  _xlfn.LET(
    _xlpm.ligpartie, MATCH($B54, Donnees!$F:$F, 0),
    _xlpm.joueurs, INDEX(Donnees!$A:$Z, _xlpm.ligpartie+1, _xlfn.SEQUENCE(1, 4, 2)),
    INDEX(
      Donnees!$A:$Z,
      _xlpm.ligpartie + 3,
      MATCH(U$1, _xlpm.joueurs, 0) + 1
    )
  ), ""
)</f>
        <v/>
      </c>
      <c r="V55" t="str" cm="1">
        <f t="array" ref="V55">IFERROR(
  _xlfn.LET(
    _xlpm.ligpartie, MATCH($B54, Donnees!$F:$F, 0),
    _xlpm.joueurs, INDEX(Donnees!$A:$Z, _xlpm.ligpartie+1, _xlfn.SEQUENCE(1, 4, 2)),
    INDEX(
      Donnees!$A:$Z,
      _xlpm.ligpartie + 3,
      MATCH(V$1, _xlpm.joueurs, 0) + 1
    )
  ), ""
)</f>
        <v/>
      </c>
      <c r="W55" t="str" cm="1">
        <f t="array" ref="W55">IFERROR(
  _xlfn.LET(
    _xlpm.ligpartie, MATCH($B54, Donnees!$F:$F, 0),
    _xlpm.joueurs, INDEX(Donnees!$A:$Z, _xlpm.ligpartie+1, _xlfn.SEQUENCE(1, 4, 2)),
    INDEX(
      Donnees!$A:$Z,
      _xlpm.ligpartie + 3,
      MATCH(W$1, _xlpm.joueurs, 0) + 1
    )
  ), ""
)</f>
        <v/>
      </c>
      <c r="X55" cm="1">
        <f t="array" ref="X55">IFERROR(
  _xlfn.LET(
    _xlpm.ligpartie, MATCH($B54, Donnees!$F:$F, 0),
    _xlpm.joueurs, INDEX(Donnees!$A:$Z, _xlpm.ligpartie+1, _xlfn.SEQUENCE(1, 4, 2)),
    INDEX(
      Donnees!$A:$Z,
      _xlpm.ligpartie + 3,
      MATCH(X$1, _xlpm.joueurs, 0) + 1
    )
  ), ""
)</f>
        <v>0</v>
      </c>
      <c r="Y55" t="str" cm="1">
        <f t="array" ref="Y55">IFERROR(
  _xlfn.LET(
    _xlpm.ligpartie, MATCH($B54, Donnees!$F:$F, 0),
    _xlpm.joueurs, INDEX(Donnees!$A:$Z, _xlpm.ligpartie+1, _xlfn.SEQUENCE(1, 4, 2)),
    INDEX(
      Donnees!$A:$Z,
      _xlpm.ligpartie + 3,
      MATCH(Y$1, _xlpm.joueurs, 0) + 1
    )
  ), ""
)</f>
        <v/>
      </c>
      <c r="Z55" t="str" cm="1">
        <f t="array" ref="Z55">IFERROR(
  _xlfn.LET(
    _xlpm.ligpartie, MATCH($B54, Donnees!$F:$F, 0),
    _xlpm.joueurs, INDEX(Donnees!$A:$Z, _xlpm.ligpartie+1, _xlfn.SEQUENCE(1, 4, 2)),
    INDEX(
      Donnees!$A:$Z,
      _xlpm.ligpartie + 3,
      MATCH(Z$1, _xlpm.joueurs, 0) + 1
    )
  ), ""
)</f>
        <v/>
      </c>
      <c r="AA55" t="str" cm="1">
        <f t="array" ref="AA55">IFERROR(
  _xlfn.LET(
    _xlpm.ligpartie, MATCH($B54, Donnees!$F:$F, 0),
    _xlpm.joueurs, INDEX(Donnees!$A:$Z, _xlpm.ligpartie+1, _xlfn.SEQUENCE(1, 4, 2)),
    INDEX(
      Donnees!$A:$Z,
      _xlpm.ligpartie + 3,
      MATCH(AA$1, _xlpm.joueurs, 0) + 1
    )
  ), ""
)</f>
        <v/>
      </c>
      <c r="AB55" t="str" cm="1">
        <f t="array" ref="AB55">IFERROR(
  _xlfn.LET(
    _xlpm.ligpartie, MATCH($B54, Donnees!$F:$F, 0),
    _xlpm.joueurs, INDEX(Donnees!$A:$Z, _xlpm.ligpartie+1, _xlfn.SEQUENCE(1, 4, 2)),
    INDEX(
      Donnees!$A:$Z,
      _xlpm.ligpartie + 3,
      MATCH(AB$1, _xlpm.joueurs, 0) + 1
    )
  ), ""
)</f>
        <v/>
      </c>
      <c r="AC55" t="str" cm="1">
        <f t="array" ref="AC55">IFERROR(
  _xlfn.LET(
    _xlpm.ligpartie, MATCH($B54, Donnees!$F:$F, 0),
    _xlpm.joueurs, INDEX(Donnees!$A:$Z, _xlpm.ligpartie+1, _xlfn.SEQUENCE(1, 4, 2)),
    INDEX(
      Donnees!$A:$Z,
      _xlpm.ligpartie + 3,
      MATCH(AC$1, _xlpm.joueurs, 0) + 1
    )
  ), ""
)</f>
        <v/>
      </c>
      <c r="AD55" t="str" cm="1">
        <f t="array" ref="AD55">IFERROR(
  _xlfn.LET(
    _xlpm.ligpartie, MATCH($B54, Donnees!$F:$F, 0),
    _xlpm.joueurs, INDEX(Donnees!$A:$Z, _xlpm.ligpartie+1, _xlfn.SEQUENCE(1, 4, 2)),
    INDEX(
      Donnees!$A:$Z,
      _xlpm.ligpartie + 3,
      MATCH(AD$1, _xlpm.joueurs, 0) + 1
    )
  ), ""
)</f>
        <v/>
      </c>
      <c r="AE55" t="str" cm="1">
        <f t="array" ref="AE55">IFERROR(
  _xlfn.LET(
    _xlpm.ligpartie, MATCH($B54, Donnees!$F:$F, 0),
    _xlpm.joueurs, INDEX(Donnees!$A:$Z, _xlpm.ligpartie+1, _xlfn.SEQUENCE(1, 4, 2)),
    INDEX(
      Donnees!$A:$Z,
      _xlpm.ligpartie + 3,
      MATCH(AE$1, _xlpm.joueurs, 0) + 1
    )
  ), ""
)</f>
        <v/>
      </c>
      <c r="AF55" t="str" cm="1">
        <f t="array" ref="AF55">IFERROR(
  _xlfn.LET(
    _xlpm.ligpartie, MATCH($B54, Donnees!$F:$F, 0),
    _xlpm.joueurs, INDEX(Donnees!$A:$Z, _xlpm.ligpartie+1, _xlfn.SEQUENCE(1, 4, 2)),
    INDEX(
      Donnees!$A:$Z,
      _xlpm.ligpartie + 3,
      MATCH(AF$1, _xlpm.joueurs, 0) + 1
    )
  ), ""
)</f>
        <v/>
      </c>
      <c r="AG55" t="str" cm="1">
        <f t="array" ref="AG55">IFERROR(
  _xlfn.LET(
    _xlpm.ligpartie, MATCH($B54, Donnees!$F:$F, 0),
    _xlpm.joueurs, INDEX(Donnees!$A:$Z, _xlpm.ligpartie+1, _xlfn.SEQUENCE(1, 4, 2)),
    INDEX(
      Donnees!$A:$Z,
      _xlpm.ligpartie + 3,
      MATCH(AG$1, _xlpm.joueurs, 0) + 1
    )
  ), ""
)</f>
        <v/>
      </c>
      <c r="AH55" t="str" cm="1">
        <f t="array" ref="AH55">IFERROR(
  _xlfn.LET(
    _xlpm.ligpartie, MATCH($B54, Donnees!$F:$F, 0),
    _xlpm.joueurs, INDEX(Donnees!$A:$Z, _xlpm.ligpartie+1, _xlfn.SEQUENCE(1, 4, 2)),
    INDEX(
      Donnees!$A:$Z,
      _xlpm.ligpartie + 3,
      MATCH(AH$1, _xlpm.joueurs, 0) + 1
    )
  ), ""
)</f>
        <v/>
      </c>
      <c r="AI55" t="str" cm="1">
        <f t="array" ref="AI55">IFERROR(
  _xlfn.LET(
    _xlpm.ligpartie, MATCH($B54, Donnees!$F:$F, 0),
    _xlpm.joueurs, INDEX(Donnees!$A:$Z, _xlpm.ligpartie+1, _xlfn.SEQUENCE(1, 4, 2)),
    INDEX(
      Donnees!$A:$Z,
      _xlpm.ligpartie + 3,
      MATCH(AI$1, _xlpm.joueurs, 0) + 1
    )
  ), ""
)</f>
        <v/>
      </c>
      <c r="AJ55" t="str" cm="1">
        <f t="array" ref="AJ55">IFERROR(
  _xlfn.LET(
    _xlpm.ligpartie, MATCH($B54, Donnees!$F:$F, 0),
    _xlpm.joueurs, INDEX(Donnees!$A:$Z, _xlpm.ligpartie+1, _xlfn.SEQUENCE(1, 4, 2)),
    INDEX(
      Donnees!$A:$Z,
      _xlpm.ligpartie + 3,
      MATCH(AJ$1, _xlpm.joueurs, 0) + 1
    )
  ), ""
)</f>
        <v/>
      </c>
      <c r="AK55" t="str" cm="1">
        <f t="array" ref="AK55">IFERROR(
  _xlfn.LET(
    _xlpm.ligpartie, MATCH($B54, Donnees!$F:$F, 0),
    _xlpm.joueurs, INDEX(Donnees!$A:$Z, _xlpm.ligpartie+1, _xlfn.SEQUENCE(1, 4, 2)),
    INDEX(
      Donnees!$A:$Z,
      _xlpm.ligpartie + 3,
      MATCH(AK$1, _xlpm.joueurs, 0) + 1
    )
  ), ""
)</f>
        <v/>
      </c>
      <c r="AL55" t="str" cm="1">
        <f t="array" ref="AL55">IFERROR(
  _xlfn.LET(
    _xlpm.ligpartie, MATCH($B54, Donnees!$F:$F, 0),
    _xlpm.joueurs, INDEX(Donnees!$A:$Z, _xlpm.ligpartie+1, _xlfn.SEQUENCE(1, 4, 2)),
    INDEX(
      Donnees!$A:$Z,
      _xlpm.ligpartie + 3,
      MATCH(AL$1, _xlpm.joueurs, 0) + 1
    )
  ), ""
)</f>
        <v/>
      </c>
      <c r="AM55" t="str" cm="1">
        <f t="array" ref="AM55">IFERROR(
  _xlfn.LET(
    _xlpm.ligpartie, MATCH($B54, Donnees!$F:$F, 0),
    _xlpm.joueurs, INDEX(Donnees!$A:$Z, _xlpm.ligpartie+1, _xlfn.SEQUENCE(1, 4, 2)),
    INDEX(
      Donnees!$A:$Z,
      _xlpm.ligpartie + 3,
      MATCH(AM$1, _xlpm.joueurs, 0) + 1
    )
  ), ""
)</f>
        <v/>
      </c>
    </row>
    <row r="56" spans="1:39" x14ac:dyDescent="0.25">
      <c r="A56" t="s">
        <v>20</v>
      </c>
      <c r="D56" t="str" cm="1">
        <f t="array" ref="D56">_xlfn.LET(
  _xlpm.colj, _xlfn._xlws.FILTER(IF(ISNUMBER(55:55), COLUMN(55:55)), ISNUMBER(55:55)),
  _xlpm.elos, INDEX(54:54,1,_xlpm.colj),
  _xlpm.diffscale, Constantes!$B$2,
  IF(D55="",
    "",
    SUM(1/(1+POWER(10,-(D54-_xlpm.elos)/_xlpm.diffscale)))-0.5)
)</f>
        <v/>
      </c>
      <c r="E56" t="str" cm="1">
        <f t="array" ref="E56">_xlfn.LET(
  _xlpm.colj, _xlfn._xlws.FILTER(IF(ISNUMBER(55:55), COLUMN(55:55)), ISNUMBER(55:55)),
  _xlpm.elos, INDEX(54:54,1,_xlpm.colj),
  _xlpm.diffscale, Constantes!$B$2,
  IF(E55="",
    "",
    SUM(1/(1+POWER(10,-(E54-_xlpm.elos)/_xlpm.diffscale)))-0.5)
)</f>
        <v/>
      </c>
      <c r="F56" t="str" cm="1">
        <f t="array" ref="F56">_xlfn.LET(
  _xlpm.colj, _xlfn._xlws.FILTER(IF(ISNUMBER(55:55), COLUMN(55:55)), ISNUMBER(55:55)),
  _xlpm.elos, INDEX(54:54,1,_xlpm.colj),
  _xlpm.diffscale, Constantes!$B$2,
  IF(F55="",
    "",
    SUM(1/(1+POWER(10,-(F54-_xlpm.elos)/_xlpm.diffscale)))-0.5)
)</f>
        <v/>
      </c>
      <c r="G56" t="str" cm="1">
        <f t="array" ref="G56">_xlfn.LET(
  _xlpm.colj, _xlfn._xlws.FILTER(IF(ISNUMBER(55:55), COLUMN(55:55)), ISNUMBER(55:55)),
  _xlpm.elos, INDEX(54:54,1,_xlpm.colj),
  _xlpm.diffscale, Constantes!$B$2,
  IF(G55="",
    "",
    SUM(1/(1+POWER(10,-(G54-_xlpm.elos)/_xlpm.diffscale)))-0.5)
)</f>
        <v/>
      </c>
      <c r="H56" t="str" cm="1">
        <f t="array" ref="H56">_xlfn.LET(
  _xlpm.colj, _xlfn._xlws.FILTER(IF(ISNUMBER(55:55), COLUMN(55:55)), ISNUMBER(55:55)),
  _xlpm.elos, INDEX(54:54,1,_xlpm.colj),
  _xlpm.diffscale, Constantes!$B$2,
  IF(H55="",
    "",
    SUM(1/(1+POWER(10,-(H54-_xlpm.elos)/_xlpm.diffscale)))-0.5)
)</f>
        <v/>
      </c>
      <c r="I56" t="str" cm="1">
        <f t="array" ref="I56">_xlfn.LET(
  _xlpm.colj, _xlfn._xlws.FILTER(IF(ISNUMBER(55:55), COLUMN(55:55)), ISNUMBER(55:55)),
  _xlpm.elos, INDEX(54:54,1,_xlpm.colj),
  _xlpm.diffscale, Constantes!$B$2,
  IF(I55="",
    "",
    SUM(1/(1+POWER(10,-(I54-_xlpm.elos)/_xlpm.diffscale)))-0.5)
)</f>
        <v/>
      </c>
      <c r="J56" t="str" cm="1">
        <f t="array" ref="J56">_xlfn.LET(
  _xlpm.colj, _xlfn._xlws.FILTER(IF(ISNUMBER(55:55), COLUMN(55:55)), ISNUMBER(55:55)),
  _xlpm.elos, INDEX(54:54,1,_xlpm.colj),
  _xlpm.diffscale, Constantes!$B$2,
  IF(J55="",
    "",
    SUM(1/(1+POWER(10,-(J54-_xlpm.elos)/_xlpm.diffscale)))-0.5)
)</f>
        <v/>
      </c>
      <c r="K56" t="str" cm="1">
        <f t="array" ref="K56">_xlfn.LET(
  _xlpm.colj, _xlfn._xlws.FILTER(IF(ISNUMBER(55:55), COLUMN(55:55)), ISNUMBER(55:55)),
  _xlpm.elos, INDEX(54:54,1,_xlpm.colj),
  _xlpm.diffscale, Constantes!$B$2,
  IF(K55="",
    "",
    SUM(1/(1+POWER(10,-(K54-_xlpm.elos)/_xlpm.diffscale)))-0.5)
)</f>
        <v/>
      </c>
      <c r="L56" t="str" cm="1">
        <f t="array" ref="L56">_xlfn.LET(
  _xlpm.colj, _xlfn._xlws.FILTER(IF(ISNUMBER(55:55), COLUMN(55:55)), ISNUMBER(55:55)),
  _xlpm.elos, INDEX(54:54,1,_xlpm.colj),
  _xlpm.diffscale, Constantes!$B$2,
  IF(L55="",
    "",
    SUM(1/(1+POWER(10,-(L54-_xlpm.elos)/_xlpm.diffscale)))-0.5)
)</f>
        <v/>
      </c>
      <c r="M56" t="str" cm="1">
        <f t="array" ref="M56">_xlfn.LET(
  _xlpm.colj, _xlfn._xlws.FILTER(IF(ISNUMBER(55:55), COLUMN(55:55)), ISNUMBER(55:55)),
  _xlpm.elos, INDEX(54:54,1,_xlpm.colj),
  _xlpm.diffscale, Constantes!$B$2,
  IF(M55="",
    "",
    SUM(1/(1+POWER(10,-(M54-_xlpm.elos)/_xlpm.diffscale)))-0.5)
)</f>
        <v/>
      </c>
      <c r="N56" cm="1">
        <f t="array" ref="N56">_xlfn.LET(
  _xlpm.colj, _xlfn._xlws.FILTER(IF(ISNUMBER(55:55), COLUMN(55:55)), ISNUMBER(55:55)),
  _xlpm.elos, INDEX(54:54,1,_xlpm.colj),
  _xlpm.diffscale, Constantes!$B$2,
  IF(N55="",
    "",
    SUM(1/(1+POWER(10,-(N54-_xlpm.elos)/_xlpm.diffscale)))-0.5)
)</f>
        <v>1.3471261096459024</v>
      </c>
      <c r="O56" t="str" cm="1">
        <f t="array" ref="O56">_xlfn.LET(
  _xlpm.colj, _xlfn._xlws.FILTER(IF(ISNUMBER(55:55), COLUMN(55:55)), ISNUMBER(55:55)),
  _xlpm.elos, INDEX(54:54,1,_xlpm.colj),
  _xlpm.diffscale, Constantes!$B$2,
  IF(O55="",
    "",
    SUM(1/(1+POWER(10,-(O54-_xlpm.elos)/_xlpm.diffscale)))-0.5)
)</f>
        <v/>
      </c>
      <c r="P56" t="str" cm="1">
        <f t="array" ref="P56">_xlfn.LET(
  _xlpm.colj, _xlfn._xlws.FILTER(IF(ISNUMBER(55:55), COLUMN(55:55)), ISNUMBER(55:55)),
  _xlpm.elos, INDEX(54:54,1,_xlpm.colj),
  _xlpm.diffscale, Constantes!$B$2,
  IF(P55="",
    "",
    SUM(1/(1+POWER(10,-(P54-_xlpm.elos)/_xlpm.diffscale)))-0.5)
)</f>
        <v/>
      </c>
      <c r="Q56" t="str" cm="1">
        <f t="array" ref="Q56">_xlfn.LET(
  _xlpm.colj, _xlfn._xlws.FILTER(IF(ISNUMBER(55:55), COLUMN(55:55)), ISNUMBER(55:55)),
  _xlpm.elos, INDEX(54:54,1,_xlpm.colj),
  _xlpm.diffscale, Constantes!$B$2,
  IF(Q55="",
    "",
    SUM(1/(1+POWER(10,-(Q54-_xlpm.elos)/_xlpm.diffscale)))-0.5)
)</f>
        <v/>
      </c>
      <c r="R56" cm="1">
        <f t="array" ref="R56">_xlfn.LET(
  _xlpm.colj, _xlfn._xlws.FILTER(IF(ISNUMBER(55:55), COLUMN(55:55)), ISNUMBER(55:55)),
  _xlpm.elos, INDEX(54:54,1,_xlpm.colj),
  _xlpm.diffscale, Constantes!$B$2,
  IF(R55="",
    "",
    SUM(1/(1+POWER(10,-(R54-_xlpm.elos)/_xlpm.diffscale)))-0.5)
)</f>
        <v>1.5033443174289056</v>
      </c>
      <c r="S56" t="str" cm="1">
        <f t="array" ref="S56">_xlfn.LET(
  _xlpm.colj, _xlfn._xlws.FILTER(IF(ISNUMBER(55:55), COLUMN(55:55)), ISNUMBER(55:55)),
  _xlpm.elos, INDEX(54:54,1,_xlpm.colj),
  _xlpm.diffscale, Constantes!$B$2,
  IF(S55="",
    "",
    SUM(1/(1+POWER(10,-(S54-_xlpm.elos)/_xlpm.diffscale)))-0.5)
)</f>
        <v/>
      </c>
      <c r="T56" cm="1">
        <f t="array" ref="T56">_xlfn.LET(
  _xlpm.colj, _xlfn._xlws.FILTER(IF(ISNUMBER(55:55), COLUMN(55:55)), ISNUMBER(55:55)),
  _xlpm.elos, INDEX(54:54,1,_xlpm.colj),
  _xlpm.diffscale, Constantes!$B$2,
  IF(T55="",
    "",
    SUM(1/(1+POWER(10,-(T54-_xlpm.elos)/_xlpm.diffscale)))-0.5)
)</f>
        <v>2.111279239543336</v>
      </c>
      <c r="U56" t="str" cm="1">
        <f t="array" ref="U56">_xlfn.LET(
  _xlpm.colj, _xlfn._xlws.FILTER(IF(ISNUMBER(55:55), COLUMN(55:55)), ISNUMBER(55:55)),
  _xlpm.elos, INDEX(54:54,1,_xlpm.colj),
  _xlpm.diffscale, Constantes!$B$2,
  IF(U55="",
    "",
    SUM(1/(1+POWER(10,-(U54-_xlpm.elos)/_xlpm.diffscale)))-0.5)
)</f>
        <v/>
      </c>
      <c r="V56" t="str" cm="1">
        <f t="array" ref="V56">_xlfn.LET(
  _xlpm.colj, _xlfn._xlws.FILTER(IF(ISNUMBER(55:55), COLUMN(55:55)), ISNUMBER(55:55)),
  _xlpm.elos, INDEX(54:54,1,_xlpm.colj),
  _xlpm.diffscale, Constantes!$B$2,
  IF(V55="",
    "",
    SUM(1/(1+POWER(10,-(V54-_xlpm.elos)/_xlpm.diffscale)))-0.5)
)</f>
        <v/>
      </c>
      <c r="W56" t="str" cm="1">
        <f t="array" ref="W56">_xlfn.LET(
  _xlpm.colj, _xlfn._xlws.FILTER(IF(ISNUMBER(55:55), COLUMN(55:55)), ISNUMBER(55:55)),
  _xlpm.elos, INDEX(54:54,1,_xlpm.colj),
  _xlpm.diffscale, Constantes!$B$2,
  IF(W55="",
    "",
    SUM(1/(1+POWER(10,-(W54-_xlpm.elos)/_xlpm.diffscale)))-0.5)
)</f>
        <v/>
      </c>
      <c r="X56" cm="1">
        <f t="array" ref="X56">_xlfn.LET(
  _xlpm.colj, _xlfn._xlws.FILTER(IF(ISNUMBER(55:55), COLUMN(55:55)), ISNUMBER(55:55)),
  _xlpm.elos, INDEX(54:54,1,_xlpm.colj),
  _xlpm.diffscale, Constantes!$B$2,
  IF(X55="",
    "",
    SUM(1/(1+POWER(10,-(X54-_xlpm.elos)/_xlpm.diffscale)))-0.5)
)</f>
        <v>1.0382503333818562</v>
      </c>
      <c r="Y56" t="str" cm="1">
        <f t="array" ref="Y56">_xlfn.LET(
  _xlpm.colj, _xlfn._xlws.FILTER(IF(ISNUMBER(55:55), COLUMN(55:55)), ISNUMBER(55:55)),
  _xlpm.elos, INDEX(54:54,1,_xlpm.colj),
  _xlpm.diffscale, Constantes!$B$2,
  IF(Y55="",
    "",
    SUM(1/(1+POWER(10,-(Y54-_xlpm.elos)/_xlpm.diffscale)))-0.5)
)</f>
        <v/>
      </c>
      <c r="Z56" t="str" cm="1">
        <f t="array" ref="Z56">_xlfn.LET(
  _xlpm.colj, _xlfn._xlws.FILTER(IF(ISNUMBER(55:55), COLUMN(55:55)), ISNUMBER(55:55)),
  _xlpm.elos, INDEX(54:54,1,_xlpm.colj),
  _xlpm.diffscale, Constantes!$B$2,
  IF(Z55="",
    "",
    SUM(1/(1+POWER(10,-(Z54-_xlpm.elos)/_xlpm.diffscale)))-0.5)
)</f>
        <v/>
      </c>
      <c r="AA56" t="str" cm="1">
        <f t="array" ref="AA56">_xlfn.LET(
  _xlpm.colj, _xlfn._xlws.FILTER(IF(ISNUMBER(55:55), COLUMN(55:55)), ISNUMBER(55:55)),
  _xlpm.elos, INDEX(54:54,1,_xlpm.colj),
  _xlpm.diffscale, Constantes!$B$2,
  IF(AA55="",
    "",
    SUM(1/(1+POWER(10,-(AA54-_xlpm.elos)/_xlpm.diffscale)))-0.5)
)</f>
        <v/>
      </c>
      <c r="AB56" t="str" cm="1">
        <f t="array" ref="AB56">_xlfn.LET(
  _xlpm.colj, _xlfn._xlws.FILTER(IF(ISNUMBER(55:55), COLUMN(55:55)), ISNUMBER(55:55)),
  _xlpm.elos, INDEX(54:54,1,_xlpm.colj),
  _xlpm.diffscale, Constantes!$B$2,
  IF(AB55="",
    "",
    SUM(1/(1+POWER(10,-(AB54-_xlpm.elos)/_xlpm.diffscale)))-0.5)
)</f>
        <v/>
      </c>
      <c r="AC56" t="str" cm="1">
        <f t="array" ref="AC56">_xlfn.LET(
  _xlpm.colj, _xlfn._xlws.FILTER(IF(ISNUMBER(55:55), COLUMN(55:55)), ISNUMBER(55:55)),
  _xlpm.elos, INDEX(54:54,1,_xlpm.colj),
  _xlpm.diffscale, Constantes!$B$2,
  IF(AC55="",
    "",
    SUM(1/(1+POWER(10,-(AC54-_xlpm.elos)/_xlpm.diffscale)))-0.5)
)</f>
        <v/>
      </c>
      <c r="AD56" t="str" cm="1">
        <f t="array" ref="AD56">_xlfn.LET(
  _xlpm.colj, _xlfn._xlws.FILTER(IF(ISNUMBER(55:55), COLUMN(55:55)), ISNUMBER(55:55)),
  _xlpm.elos, INDEX(54:54,1,_xlpm.colj),
  _xlpm.diffscale, Constantes!$B$2,
  IF(AD55="",
    "",
    SUM(1/(1+POWER(10,-(AD54-_xlpm.elos)/_xlpm.diffscale)))-0.5)
)</f>
        <v/>
      </c>
      <c r="AE56" t="str" cm="1">
        <f t="array" ref="AE56">_xlfn.LET(
  _xlpm.colj, _xlfn._xlws.FILTER(IF(ISNUMBER(55:55), COLUMN(55:55)), ISNUMBER(55:55)),
  _xlpm.elos, INDEX(54:54,1,_xlpm.colj),
  _xlpm.diffscale, Constantes!$B$2,
  IF(AE55="",
    "",
    SUM(1/(1+POWER(10,-(AE54-_xlpm.elos)/_xlpm.diffscale)))-0.5)
)</f>
        <v/>
      </c>
      <c r="AF56" t="str" cm="1">
        <f t="array" ref="AF56">_xlfn.LET(
  _xlpm.colj, _xlfn._xlws.FILTER(IF(ISNUMBER(55:55), COLUMN(55:55)), ISNUMBER(55:55)),
  _xlpm.elos, INDEX(54:54,1,_xlpm.colj),
  _xlpm.diffscale, Constantes!$B$2,
  IF(AF55="",
    "",
    SUM(1/(1+POWER(10,-(AF54-_xlpm.elos)/_xlpm.diffscale)))-0.5)
)</f>
        <v/>
      </c>
      <c r="AG56" t="str" cm="1">
        <f t="array" ref="AG56">_xlfn.LET(
  _xlpm.colj, _xlfn._xlws.FILTER(IF(ISNUMBER(55:55), COLUMN(55:55)), ISNUMBER(55:55)),
  _xlpm.elos, INDEX(54:54,1,_xlpm.colj),
  _xlpm.diffscale, Constantes!$B$2,
  IF(AG55="",
    "",
    SUM(1/(1+POWER(10,-(AG54-_xlpm.elos)/_xlpm.diffscale)))-0.5)
)</f>
        <v/>
      </c>
      <c r="AH56" t="str" cm="1">
        <f t="array" ref="AH56">_xlfn.LET(
  _xlpm.colj, _xlfn._xlws.FILTER(IF(ISNUMBER(55:55), COLUMN(55:55)), ISNUMBER(55:55)),
  _xlpm.elos, INDEX(54:54,1,_xlpm.colj),
  _xlpm.diffscale, Constantes!$B$2,
  IF(AH55="",
    "",
    SUM(1/(1+POWER(10,-(AH54-_xlpm.elos)/_xlpm.diffscale)))-0.5)
)</f>
        <v/>
      </c>
      <c r="AI56" t="str" cm="1">
        <f t="array" ref="AI56">_xlfn.LET(
  _xlpm.colj, _xlfn._xlws.FILTER(IF(ISNUMBER(55:55), COLUMN(55:55)), ISNUMBER(55:55)),
  _xlpm.elos, INDEX(54:54,1,_xlpm.colj),
  _xlpm.diffscale, Constantes!$B$2,
  IF(AI55="",
    "",
    SUM(1/(1+POWER(10,-(AI54-_xlpm.elos)/_xlpm.diffscale)))-0.5)
)</f>
        <v/>
      </c>
      <c r="AJ56" t="str" cm="1">
        <f t="array" ref="AJ56">_xlfn.LET(
  _xlpm.colj, _xlfn._xlws.FILTER(IF(ISNUMBER(55:55), COLUMN(55:55)), ISNUMBER(55:55)),
  _xlpm.elos, INDEX(54:54,1,_xlpm.colj),
  _xlpm.diffscale, Constantes!$B$2,
  IF(AJ55="",
    "",
    SUM(1/(1+POWER(10,-(AJ54-_xlpm.elos)/_xlpm.diffscale)))-0.5)
)</f>
        <v/>
      </c>
      <c r="AK56" t="str" cm="1">
        <f t="array" ref="AK56">_xlfn.LET(
  _xlpm.colj, _xlfn._xlws.FILTER(IF(ISNUMBER(55:55), COLUMN(55:55)), ISNUMBER(55:55)),
  _xlpm.elos, INDEX(54:54,1,_xlpm.colj),
  _xlpm.diffscale, Constantes!$B$2,
  IF(AK55="",
    "",
    SUM(1/(1+POWER(10,-(AK54-_xlpm.elos)/_xlpm.diffscale)))-0.5)
)</f>
        <v/>
      </c>
      <c r="AL56" t="str" cm="1">
        <f t="array" ref="AL56">_xlfn.LET(
  _xlpm.colj, _xlfn._xlws.FILTER(IF(ISNUMBER(55:55), COLUMN(55:55)), ISNUMBER(55:55)),
  _xlpm.elos, INDEX(54:54,1,_xlpm.colj),
  _xlpm.diffscale, Constantes!$B$2,
  IF(AL55="",
    "",
    SUM(1/(1+POWER(10,-(AL54-_xlpm.elos)/_xlpm.diffscale)))-0.5)
)</f>
        <v/>
      </c>
      <c r="AM56" t="str" cm="1">
        <f t="array" ref="AM56">_xlfn.LET(
  _xlpm.colj, _xlfn._xlws.FILTER(IF(ISNUMBER(55:55), COLUMN(55:55)), ISNUMBER(55:55)),
  _xlpm.elos, INDEX(54:54,1,_xlpm.colj),
  _xlpm.diffscale, Constantes!$B$2,
  IF(AM55="",
    "",
    SUM(1/(1+POWER(10,-(AM54-_xlpm.elos)/_xlpm.diffscale)))-0.5)
)</f>
        <v/>
      </c>
    </row>
    <row r="57" spans="1:39" x14ac:dyDescent="0.25">
      <c r="A57" t="s">
        <v>22</v>
      </c>
      <c r="D57" t="str" cm="1">
        <f t="array" ref="D57">_xlfn.LET(
  _xlpm.K, Constantes!$B$3,
  _xlpm.Knewgain, Constantes!$B$4,
  _xlpm.Knewscale, Constantes!$B$5,
  _xlpm.ptstables, INDEX(D:D, _xlfn.SEQUENCE(COUNTA($C$2:$C57), 1, 3, 4)),
  _xlpm.nbparties, COUNTA(_xlfn._xlws.FILTER(_xlpm.ptstables, _xlpm.ptstables &lt;&gt; "")),
  _xlpm.coef, _xlpm.K + _xlpm.Knewgain / (_xlpm.Knewscale + _xlpm.nbparties),
  IF(D55="",
    "",
    _xlpm.coef * (D55-D56))
)</f>
        <v/>
      </c>
      <c r="E57" t="str" cm="1">
        <f t="array" ref="E57">_xlfn.LET(
  _xlpm.K, Constantes!$B$3,
  _xlpm.Knewgain, Constantes!$B$4,
  _xlpm.Knewscale, Constantes!$B$5,
  _xlpm.ptstables, INDEX(E:E, _xlfn.SEQUENCE(COUNTA($C$2:$C57), 1, 3, 4)),
  _xlpm.nbparties, COUNTA(_xlfn._xlws.FILTER(_xlpm.ptstables, _xlpm.ptstables &lt;&gt; "")),
  _xlpm.coef, _xlpm.K + _xlpm.Knewgain / (_xlpm.Knewscale + _xlpm.nbparties),
  IF(E55="",
    "",
    _xlpm.coef * (E55-E56))
)</f>
        <v/>
      </c>
      <c r="F57" t="str" cm="1">
        <f t="array" ref="F57">_xlfn.LET(
  _xlpm.K, Constantes!$B$3,
  _xlpm.Knewgain, Constantes!$B$4,
  _xlpm.Knewscale, Constantes!$B$5,
  _xlpm.ptstables, INDEX(F:F, _xlfn.SEQUENCE(COUNTA($C$2:$C57), 1, 3, 4)),
  _xlpm.nbparties, COUNTA(_xlfn._xlws.FILTER(_xlpm.ptstables, _xlpm.ptstables &lt;&gt; "")),
  _xlpm.coef, _xlpm.K + _xlpm.Knewgain / (_xlpm.Knewscale + _xlpm.nbparties),
  IF(F55="",
    "",
    _xlpm.coef * (F55-F56))
)</f>
        <v/>
      </c>
      <c r="G57" t="str" cm="1">
        <f t="array" ref="G57">_xlfn.LET(
  _xlpm.K, Constantes!$B$3,
  _xlpm.Knewgain, Constantes!$B$4,
  _xlpm.Knewscale, Constantes!$B$5,
  _xlpm.ptstables, INDEX(G:G, _xlfn.SEQUENCE(COUNTA($C$2:$C57), 1, 3, 4)),
  _xlpm.nbparties, COUNTA(_xlfn._xlws.FILTER(_xlpm.ptstables, _xlpm.ptstables &lt;&gt; "")),
  _xlpm.coef, _xlpm.K + _xlpm.Knewgain / (_xlpm.Knewscale + _xlpm.nbparties),
  IF(G55="",
    "",
    _xlpm.coef * (G55-G56))
)</f>
        <v/>
      </c>
      <c r="H57" t="str" cm="1">
        <f t="array" ref="H57">_xlfn.LET(
  _xlpm.K, Constantes!$B$3,
  _xlpm.Knewgain, Constantes!$B$4,
  _xlpm.Knewscale, Constantes!$B$5,
  _xlpm.ptstables, INDEX(H:H, _xlfn.SEQUENCE(COUNTA($C$2:$C57), 1, 3, 4)),
  _xlpm.nbparties, COUNTA(_xlfn._xlws.FILTER(_xlpm.ptstables, _xlpm.ptstables &lt;&gt; "")),
  _xlpm.coef, _xlpm.K + _xlpm.Knewgain / (_xlpm.Knewscale + _xlpm.nbparties),
  IF(H55="",
    "",
    _xlpm.coef * (H55-H56))
)</f>
        <v/>
      </c>
      <c r="I57" t="str" cm="1">
        <f t="array" ref="I57">_xlfn.LET(
  _xlpm.K, Constantes!$B$3,
  _xlpm.Knewgain, Constantes!$B$4,
  _xlpm.Knewscale, Constantes!$B$5,
  _xlpm.ptstables, INDEX(I:I, _xlfn.SEQUENCE(COUNTA($C$2:$C57), 1, 3, 4)),
  _xlpm.nbparties, COUNTA(_xlfn._xlws.FILTER(_xlpm.ptstables, _xlpm.ptstables &lt;&gt; "")),
  _xlpm.coef, _xlpm.K + _xlpm.Knewgain / (_xlpm.Knewscale + _xlpm.nbparties),
  IF(I55="",
    "",
    _xlpm.coef * (I55-I56))
)</f>
        <v/>
      </c>
      <c r="J57" t="str" cm="1">
        <f t="array" ref="J57">_xlfn.LET(
  _xlpm.K, Constantes!$B$3,
  _xlpm.Knewgain, Constantes!$B$4,
  _xlpm.Knewscale, Constantes!$B$5,
  _xlpm.ptstables, INDEX(J:J, _xlfn.SEQUENCE(COUNTA($C$2:$C57), 1, 3, 4)),
  _xlpm.nbparties, COUNTA(_xlfn._xlws.FILTER(_xlpm.ptstables, _xlpm.ptstables &lt;&gt; "")),
  _xlpm.coef, _xlpm.K + _xlpm.Knewgain / (_xlpm.Knewscale + _xlpm.nbparties),
  IF(J55="",
    "",
    _xlpm.coef * (J55-J56))
)</f>
        <v/>
      </c>
      <c r="K57" t="str" cm="1">
        <f t="array" ref="K57">_xlfn.LET(
  _xlpm.K, Constantes!$B$3,
  _xlpm.Knewgain, Constantes!$B$4,
  _xlpm.Knewscale, Constantes!$B$5,
  _xlpm.ptstables, INDEX(K:K, _xlfn.SEQUENCE(COUNTA($C$2:$C57), 1, 3, 4)),
  _xlpm.nbparties, COUNTA(_xlfn._xlws.FILTER(_xlpm.ptstables, _xlpm.ptstables &lt;&gt; "")),
  _xlpm.coef, _xlpm.K + _xlpm.Knewgain / (_xlpm.Knewscale + _xlpm.nbparties),
  IF(K55="",
    "",
    _xlpm.coef * (K55-K56))
)</f>
        <v/>
      </c>
      <c r="L57" t="str" cm="1">
        <f t="array" ref="L57">_xlfn.LET(
  _xlpm.K, Constantes!$B$3,
  _xlpm.Knewgain, Constantes!$B$4,
  _xlpm.Knewscale, Constantes!$B$5,
  _xlpm.ptstables, INDEX(L:L, _xlfn.SEQUENCE(COUNTA($C$2:$C57), 1, 3, 4)),
  _xlpm.nbparties, COUNTA(_xlfn._xlws.FILTER(_xlpm.ptstables, _xlpm.ptstables &lt;&gt; "")),
  _xlpm.coef, _xlpm.K + _xlpm.Knewgain / (_xlpm.Knewscale + _xlpm.nbparties),
  IF(L55="",
    "",
    _xlpm.coef * (L55-L56))
)</f>
        <v/>
      </c>
      <c r="M57" t="str" cm="1">
        <f t="array" ref="M57">_xlfn.LET(
  _xlpm.K, Constantes!$B$3,
  _xlpm.Knewgain, Constantes!$B$4,
  _xlpm.Knewscale, Constantes!$B$5,
  _xlpm.ptstables, INDEX(M:M, _xlfn.SEQUENCE(COUNTA($C$2:$C57), 1, 3, 4)),
  _xlpm.nbparties, COUNTA(_xlfn._xlws.FILTER(_xlpm.ptstables, _xlpm.ptstables &lt;&gt; "")),
  _xlpm.coef, _xlpm.K + _xlpm.Knewgain / (_xlpm.Knewscale + _xlpm.nbparties),
  IF(M55="",
    "",
    _xlpm.coef * (M55-M56))
)</f>
        <v/>
      </c>
      <c r="N57" cm="1">
        <f t="array" ref="N57">_xlfn.LET(
  _xlpm.K, Constantes!$B$3,
  _xlpm.Knewgain, Constantes!$B$4,
  _xlpm.Knewscale, Constantes!$B$5,
  _xlpm.ptstables, INDEX(N:N, _xlfn.SEQUENCE(COUNTA($C$2:$C57), 1, 3, 4)),
  _xlpm.nbparties, COUNTA(_xlfn._xlws.FILTER(_xlpm.ptstables, _xlpm.ptstables &lt;&gt; "")),
  _xlpm.coef, _xlpm.K + _xlpm.Knewgain / (_xlpm.Knewscale + _xlpm.nbparties),
  IF(N55="",
    "",
    _xlpm.coef * (N55-N56))
)</f>
        <v>-10.413783289377072</v>
      </c>
      <c r="O57" t="str" cm="1">
        <f t="array" ref="O57">_xlfn.LET(
  _xlpm.K, Constantes!$B$3,
  _xlpm.Knewgain, Constantes!$B$4,
  _xlpm.Knewscale, Constantes!$B$5,
  _xlpm.ptstables, INDEX(O:O, _xlfn.SEQUENCE(COUNTA($C$2:$C57), 1, 3, 4)),
  _xlpm.nbparties, COUNTA(_xlfn._xlws.FILTER(_xlpm.ptstables, _xlpm.ptstables &lt;&gt; "")),
  _xlpm.coef, _xlpm.K + _xlpm.Knewgain / (_xlpm.Knewscale + _xlpm.nbparties),
  IF(O55="",
    "",
    _xlpm.coef * (O55-O56))
)</f>
        <v/>
      </c>
      <c r="P57" t="str" cm="1">
        <f t="array" ref="P57">_xlfn.LET(
  _xlpm.K, Constantes!$B$3,
  _xlpm.Knewgain, Constantes!$B$4,
  _xlpm.Knewscale, Constantes!$B$5,
  _xlpm.ptstables, INDEX(P:P, _xlfn.SEQUENCE(COUNTA($C$2:$C57), 1, 3, 4)),
  _xlpm.nbparties, COUNTA(_xlfn._xlws.FILTER(_xlpm.ptstables, _xlpm.ptstables &lt;&gt; "")),
  _xlpm.coef, _xlpm.K + _xlpm.Knewgain / (_xlpm.Knewscale + _xlpm.nbparties),
  IF(P55="",
    "",
    _xlpm.coef * (P55-P56))
)</f>
        <v/>
      </c>
      <c r="Q57" t="str" cm="1">
        <f t="array" ref="Q57">_xlfn.LET(
  _xlpm.K, Constantes!$B$3,
  _xlpm.Knewgain, Constantes!$B$4,
  _xlpm.Knewscale, Constantes!$B$5,
  _xlpm.ptstables, INDEX(Q:Q, _xlfn.SEQUENCE(COUNTA($C$2:$C57), 1, 3, 4)),
  _xlpm.nbparties, COUNTA(_xlfn._xlws.FILTER(_xlpm.ptstables, _xlpm.ptstables &lt;&gt; "")),
  _xlpm.coef, _xlpm.K + _xlpm.Knewgain / (_xlpm.Knewscale + _xlpm.nbparties),
  IF(Q55="",
    "",
    _xlpm.coef * (Q55-Q56))
)</f>
        <v/>
      </c>
      <c r="R57" cm="1">
        <f t="array" ref="R57">_xlfn.LET(
  _xlpm.K, Constantes!$B$3,
  _xlpm.Knewgain, Constantes!$B$4,
  _xlpm.Knewscale, Constantes!$B$5,
  _xlpm.ptstables, INDEX(R:R, _xlfn.SEQUENCE(COUNTA($C$2:$C57), 1, 3, 4)),
  _xlpm.nbparties, COUNTA(_xlfn._xlws.FILTER(_xlpm.ptstables, _xlpm.ptstables &lt;&gt; "")),
  _xlpm.coef, _xlpm.K + _xlpm.Knewgain / (_xlpm.Knewscale + _xlpm.nbparties),
  IF(R55="",
    "",
    _xlpm.coef * (R55-R56))
)</f>
        <v>54.877375027606803</v>
      </c>
      <c r="S57" t="str" cm="1">
        <f t="array" ref="S57">_xlfn.LET(
  _xlpm.K, Constantes!$B$3,
  _xlpm.Knewgain, Constantes!$B$4,
  _xlpm.Knewscale, Constantes!$B$5,
  _xlpm.ptstables, INDEX(S:S, _xlfn.SEQUENCE(COUNTA($C$2:$C57), 1, 3, 4)),
  _xlpm.nbparties, COUNTA(_xlfn._xlws.FILTER(_xlpm.ptstables, _xlpm.ptstables &lt;&gt; "")),
  _xlpm.coef, _xlpm.K + _xlpm.Knewgain / (_xlpm.Knewscale + _xlpm.nbparties),
  IF(S55="",
    "",
    _xlpm.coef * (S55-S56))
)</f>
        <v/>
      </c>
      <c r="T57" cm="1">
        <f t="array" ref="T57">_xlfn.LET(
  _xlpm.K, Constantes!$B$3,
  _xlpm.Knewgain, Constantes!$B$4,
  _xlpm.Knewscale, Constantes!$B$5,
  _xlpm.ptstables, INDEX(T:T, _xlfn.SEQUENCE(COUNTA($C$2:$C57), 1, 3, 4)),
  _xlpm.nbparties, COUNTA(_xlfn._xlws.FILTER(_xlpm.ptstables, _xlpm.ptstables &lt;&gt; "")),
  _xlpm.coef, _xlpm.K + _xlpm.Knewgain / (_xlpm.Knewscale + _xlpm.nbparties),
  IF(T55="",
    "",
    _xlpm.coef * (T55-T56))
)</f>
        <v>-4.0802387832556528</v>
      </c>
      <c r="U57" t="str" cm="1">
        <f t="array" ref="U57">_xlfn.LET(
  _xlpm.K, Constantes!$B$3,
  _xlpm.Knewgain, Constantes!$B$4,
  _xlpm.Knewscale, Constantes!$B$5,
  _xlpm.ptstables, INDEX(U:U, _xlfn.SEQUENCE(COUNTA($C$2:$C57), 1, 3, 4)),
  _xlpm.nbparties, COUNTA(_xlfn._xlws.FILTER(_xlpm.ptstables, _xlpm.ptstables &lt;&gt; "")),
  _xlpm.coef, _xlpm.K + _xlpm.Knewgain / (_xlpm.Knewscale + _xlpm.nbparties),
  IF(U55="",
    "",
    _xlpm.coef * (U55-U56))
)</f>
        <v/>
      </c>
      <c r="V57" t="str" cm="1">
        <f t="array" ref="V57">_xlfn.LET(
  _xlpm.K, Constantes!$B$3,
  _xlpm.Knewgain, Constantes!$B$4,
  _xlpm.Knewscale, Constantes!$B$5,
  _xlpm.ptstables, INDEX(V:V, _xlfn.SEQUENCE(COUNTA($C$2:$C57), 1, 3, 4)),
  _xlpm.nbparties, COUNTA(_xlfn._xlws.FILTER(_xlpm.ptstables, _xlpm.ptstables &lt;&gt; "")),
  _xlpm.coef, _xlpm.K + _xlpm.Knewgain / (_xlpm.Knewscale + _xlpm.nbparties),
  IF(V55="",
    "",
    _xlpm.coef * (V55-V56))
)</f>
        <v/>
      </c>
      <c r="W57" t="str" cm="1">
        <f t="array" ref="W57">_xlfn.LET(
  _xlpm.K, Constantes!$B$3,
  _xlpm.Knewgain, Constantes!$B$4,
  _xlpm.Knewscale, Constantes!$B$5,
  _xlpm.ptstables, INDEX(W:W, _xlfn.SEQUENCE(COUNTA($C$2:$C57), 1, 3, 4)),
  _xlpm.nbparties, COUNTA(_xlfn._xlws.FILTER(_xlpm.ptstables, _xlpm.ptstables &lt;&gt; "")),
  _xlpm.coef, _xlpm.K + _xlpm.Knewgain / (_xlpm.Knewscale + _xlpm.nbparties),
  IF(W55="",
    "",
    _xlpm.coef * (W55-W56))
)</f>
        <v/>
      </c>
      <c r="X57" cm="1">
        <f t="array" ref="X57">_xlfn.LET(
  _xlpm.K, Constantes!$B$3,
  _xlpm.Knewgain, Constantes!$B$4,
  _xlpm.Knewscale, Constantes!$B$5,
  _xlpm.ptstables, INDEX(X:X, _xlfn.SEQUENCE(COUNTA($C$2:$C57), 1, 3, 4)),
  _xlpm.nbparties, COUNTA(_xlfn._xlws.FILTER(_xlpm.ptstables, _xlpm.ptstables &lt;&gt; "")),
  _xlpm.coef, _xlpm.K + _xlpm.Knewgain / (_xlpm.Knewscale + _xlpm.nbparties),
  IF(X55="",
    "",
    _xlpm.coef * (X55-X56))
)</f>
        <v>-38.06917889066807</v>
      </c>
      <c r="Y57" t="str" cm="1">
        <f t="array" ref="Y57">_xlfn.LET(
  _xlpm.K, Constantes!$B$3,
  _xlpm.Knewgain, Constantes!$B$4,
  _xlpm.Knewscale, Constantes!$B$5,
  _xlpm.ptstables, INDEX(Y:Y, _xlfn.SEQUENCE(COUNTA($C$2:$C57), 1, 3, 4)),
  _xlpm.nbparties, COUNTA(_xlfn._xlws.FILTER(_xlpm.ptstables, _xlpm.ptstables &lt;&gt; "")),
  _xlpm.coef, _xlpm.K + _xlpm.Knewgain / (_xlpm.Knewscale + _xlpm.nbparties),
  IF(Y55="",
    "",
    _xlpm.coef * (Y55-Y56))
)</f>
        <v/>
      </c>
      <c r="Z57" t="str" cm="1">
        <f t="array" ref="Z57">_xlfn.LET(
  _xlpm.K, Constantes!$B$3,
  _xlpm.Knewgain, Constantes!$B$4,
  _xlpm.Knewscale, Constantes!$B$5,
  _xlpm.ptstables, INDEX(Z:Z, _xlfn.SEQUENCE(COUNTA($C$2:$C57), 1, 3, 4)),
  _xlpm.nbparties, COUNTA(_xlfn._xlws.FILTER(_xlpm.ptstables, _xlpm.ptstables &lt;&gt; "")),
  _xlpm.coef, _xlpm.K + _xlpm.Knewgain / (_xlpm.Knewscale + _xlpm.nbparties),
  IF(Z55="",
    "",
    _xlpm.coef * (Z55-Z56))
)</f>
        <v/>
      </c>
      <c r="AA57" t="str" cm="1">
        <f t="array" ref="AA57">_xlfn.LET(
  _xlpm.K, Constantes!$B$3,
  _xlpm.Knewgain, Constantes!$B$4,
  _xlpm.Knewscale, Constantes!$B$5,
  _xlpm.ptstables, INDEX(AA:AA, _xlfn.SEQUENCE(COUNTA($C$2:$C57), 1, 3, 4)),
  _xlpm.nbparties, COUNTA(_xlfn._xlws.FILTER(_xlpm.ptstables, _xlpm.ptstables &lt;&gt; "")),
  _xlpm.coef, _xlpm.K + _xlpm.Knewgain / (_xlpm.Knewscale + _xlpm.nbparties),
  IF(AA55="",
    "",
    _xlpm.coef * (AA55-AA56))
)</f>
        <v/>
      </c>
      <c r="AB57" t="str" cm="1">
        <f t="array" ref="AB57">_xlfn.LET(
  _xlpm.K, Constantes!$B$3,
  _xlpm.Knewgain, Constantes!$B$4,
  _xlpm.Knewscale, Constantes!$B$5,
  _xlpm.ptstables, INDEX(AB:AB, _xlfn.SEQUENCE(COUNTA($C$2:$C57), 1, 3, 4)),
  _xlpm.nbparties, COUNTA(_xlfn._xlws.FILTER(_xlpm.ptstables, _xlpm.ptstables &lt;&gt; "")),
  _xlpm.coef, _xlpm.K + _xlpm.Knewgain / (_xlpm.Knewscale + _xlpm.nbparties),
  IF(AB55="",
    "",
    _xlpm.coef * (AB55-AB56))
)</f>
        <v/>
      </c>
      <c r="AC57" t="str" cm="1">
        <f t="array" ref="AC57">_xlfn.LET(
  _xlpm.K, Constantes!$B$3,
  _xlpm.Knewgain, Constantes!$B$4,
  _xlpm.Knewscale, Constantes!$B$5,
  _xlpm.ptstables, INDEX(AC:AC, _xlfn.SEQUENCE(COUNTA($C$2:$C57), 1, 3, 4)),
  _xlpm.nbparties, COUNTA(_xlfn._xlws.FILTER(_xlpm.ptstables, _xlpm.ptstables &lt;&gt; "")),
  _xlpm.coef, _xlpm.K + _xlpm.Knewgain / (_xlpm.Knewscale + _xlpm.nbparties),
  IF(AC55="",
    "",
    _xlpm.coef * (AC55-AC56))
)</f>
        <v/>
      </c>
      <c r="AD57" t="str" cm="1">
        <f t="array" ref="AD57">_xlfn.LET(
  _xlpm.K, Constantes!$B$3,
  _xlpm.Knewgain, Constantes!$B$4,
  _xlpm.Knewscale, Constantes!$B$5,
  _xlpm.ptstables, INDEX(AD:AD, _xlfn.SEQUENCE(COUNTA($C$2:$C57), 1, 3, 4)),
  _xlpm.nbparties, COUNTA(_xlfn._xlws.FILTER(_xlpm.ptstables, _xlpm.ptstables &lt;&gt; "")),
  _xlpm.coef, _xlpm.K + _xlpm.Knewgain / (_xlpm.Knewscale + _xlpm.nbparties),
  IF(AD55="",
    "",
    _xlpm.coef * (AD55-AD56))
)</f>
        <v/>
      </c>
      <c r="AE57" t="str" cm="1">
        <f t="array" ref="AE57">_xlfn.LET(
  _xlpm.K, Constantes!$B$3,
  _xlpm.Knewgain, Constantes!$B$4,
  _xlpm.Knewscale, Constantes!$B$5,
  _xlpm.ptstables, INDEX(AE:AE, _xlfn.SEQUENCE(COUNTA($C$2:$C57), 1, 3, 4)),
  _xlpm.nbparties, COUNTA(_xlfn._xlws.FILTER(_xlpm.ptstables, _xlpm.ptstables &lt;&gt; "")),
  _xlpm.coef, _xlpm.K + _xlpm.Knewgain / (_xlpm.Knewscale + _xlpm.nbparties),
  IF(AE55="",
    "",
    _xlpm.coef * (AE55-AE56))
)</f>
        <v/>
      </c>
      <c r="AF57" t="str" cm="1">
        <f t="array" ref="AF57">_xlfn.LET(
  _xlpm.K, Constantes!$B$3,
  _xlpm.Knewgain, Constantes!$B$4,
  _xlpm.Knewscale, Constantes!$B$5,
  _xlpm.ptstables, INDEX(AF:AF, _xlfn.SEQUENCE(COUNTA($C$2:$C57), 1, 3, 4)),
  _xlpm.nbparties, COUNTA(_xlfn._xlws.FILTER(_xlpm.ptstables, _xlpm.ptstables &lt;&gt; "")),
  _xlpm.coef, _xlpm.K + _xlpm.Knewgain / (_xlpm.Knewscale + _xlpm.nbparties),
  IF(AF55="",
    "",
    _xlpm.coef * (AF55-AF56))
)</f>
        <v/>
      </c>
      <c r="AG57" t="str" cm="1">
        <f t="array" ref="AG57">_xlfn.LET(
  _xlpm.K, Constantes!$B$3,
  _xlpm.Knewgain, Constantes!$B$4,
  _xlpm.Knewscale, Constantes!$B$5,
  _xlpm.ptstables, INDEX(AG:AG, _xlfn.SEQUENCE(COUNTA($C$2:$C57), 1, 3, 4)),
  _xlpm.nbparties, COUNTA(_xlfn._xlws.FILTER(_xlpm.ptstables, _xlpm.ptstables &lt;&gt; "")),
  _xlpm.coef, _xlpm.K + _xlpm.Knewgain / (_xlpm.Knewscale + _xlpm.nbparties),
  IF(AG55="",
    "",
    _xlpm.coef * (AG55-AG56))
)</f>
        <v/>
      </c>
      <c r="AH57" t="str" cm="1">
        <f t="array" ref="AH57">_xlfn.LET(
  _xlpm.K, Constantes!$B$3,
  _xlpm.Knewgain, Constantes!$B$4,
  _xlpm.Knewscale, Constantes!$B$5,
  _xlpm.ptstables, INDEX(AH:AH, _xlfn.SEQUENCE(COUNTA($C$2:$C57), 1, 3, 4)),
  _xlpm.nbparties, COUNTA(_xlfn._xlws.FILTER(_xlpm.ptstables, _xlpm.ptstables &lt;&gt; "")),
  _xlpm.coef, _xlpm.K + _xlpm.Knewgain / (_xlpm.Knewscale + _xlpm.nbparties),
  IF(AH55="",
    "",
    _xlpm.coef * (AH55-AH56))
)</f>
        <v/>
      </c>
      <c r="AI57" t="str" cm="1">
        <f t="array" ref="AI57">_xlfn.LET(
  _xlpm.K, Constantes!$B$3,
  _xlpm.Knewgain, Constantes!$B$4,
  _xlpm.Knewscale, Constantes!$B$5,
  _xlpm.ptstables, INDEX(AI:AI, _xlfn.SEQUENCE(COUNTA($C$2:$C57), 1, 3, 4)),
  _xlpm.nbparties, COUNTA(_xlfn._xlws.FILTER(_xlpm.ptstables, _xlpm.ptstables &lt;&gt; "")),
  _xlpm.coef, _xlpm.K + _xlpm.Knewgain / (_xlpm.Knewscale + _xlpm.nbparties),
  IF(AI55="",
    "",
    _xlpm.coef * (AI55-AI56))
)</f>
        <v/>
      </c>
      <c r="AJ57" t="str" cm="1">
        <f t="array" ref="AJ57">_xlfn.LET(
  _xlpm.K, Constantes!$B$3,
  _xlpm.Knewgain, Constantes!$B$4,
  _xlpm.Knewscale, Constantes!$B$5,
  _xlpm.ptstables, INDEX(AJ:AJ, _xlfn.SEQUENCE(COUNTA($C$2:$C57), 1, 3, 4)),
  _xlpm.nbparties, COUNTA(_xlfn._xlws.FILTER(_xlpm.ptstables, _xlpm.ptstables &lt;&gt; "")),
  _xlpm.coef, _xlpm.K + _xlpm.Knewgain / (_xlpm.Knewscale + _xlpm.nbparties),
  IF(AJ55="",
    "",
    _xlpm.coef * (AJ55-AJ56))
)</f>
        <v/>
      </c>
      <c r="AK57" t="str" cm="1">
        <f t="array" ref="AK57">_xlfn.LET(
  _xlpm.K, Constantes!$B$3,
  _xlpm.Knewgain, Constantes!$B$4,
  _xlpm.Knewscale, Constantes!$B$5,
  _xlpm.ptstables, INDEX(AK:AK, _xlfn.SEQUENCE(COUNTA($C$2:$C57), 1, 3, 4)),
  _xlpm.nbparties, COUNTA(_xlfn._xlws.FILTER(_xlpm.ptstables, _xlpm.ptstables &lt;&gt; "")),
  _xlpm.coef, _xlpm.K + _xlpm.Knewgain / (_xlpm.Knewscale + _xlpm.nbparties),
  IF(AK55="",
    "",
    _xlpm.coef * (AK55-AK56))
)</f>
        <v/>
      </c>
      <c r="AL57" t="str" cm="1">
        <f t="array" ref="AL57">_xlfn.LET(
  _xlpm.K, Constantes!$B$3,
  _xlpm.Knewgain, Constantes!$B$4,
  _xlpm.Knewscale, Constantes!$B$5,
  _xlpm.ptstables, INDEX(AL:AL, _xlfn.SEQUENCE(COUNTA($C$2:$C57), 1, 3, 4)),
  _xlpm.nbparties, COUNTA(_xlfn._xlws.FILTER(_xlpm.ptstables, _xlpm.ptstables &lt;&gt; "")),
  _xlpm.coef, _xlpm.K + _xlpm.Knewgain / (_xlpm.Knewscale + _xlpm.nbparties),
  IF(AL55="",
    "",
    _xlpm.coef * (AL55-AL56))
)</f>
        <v/>
      </c>
      <c r="AM57" t="str" cm="1">
        <f t="array" ref="AM57">_xlfn.LET(
  _xlpm.K, Constantes!$B$3,
  _xlpm.Knewgain, Constantes!$B$4,
  _xlpm.Knewscale, Constantes!$B$5,
  _xlpm.ptstables, INDEX(AM:AM, _xlfn.SEQUENCE(COUNTA($C$2:$C57), 1, 3, 4)),
  _xlpm.nbparties, COUNTA(_xlfn._xlws.FILTER(_xlpm.ptstables, _xlpm.ptstables &lt;&gt; "")),
  _xlpm.coef, _xlpm.K + _xlpm.Knewgain / (_xlpm.Knewscale + _xlpm.nbparties),
  IF(AM55="",
    "",
    _xlpm.coef * (AM55-AM56))
)</f>
        <v/>
      </c>
    </row>
    <row r="58" spans="1:39" x14ac:dyDescent="0.25">
      <c r="A58" t="s">
        <v>14</v>
      </c>
      <c r="B58" t="str" cm="1">
        <f t="array" ref="B5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15</v>
      </c>
      <c r="C58" s="2" cm="1">
        <f t="array" ref="C58">IF(B58="","",
  INDEX(Donnees!F:F, MATCH(B58, Donnees!F:F, 0)+1))</f>
        <v>45913.695752314816</v>
      </c>
      <c r="D58">
        <f t="shared" ref="D58:AM58" si="22">D54+IF(D57="",0,D57)</f>
        <v>1076.8302676196515</v>
      </c>
      <c r="E58">
        <f t="shared" si="22"/>
        <v>1195.5659811510693</v>
      </c>
      <c r="F58">
        <f t="shared" si="22"/>
        <v>909.87928229209808</v>
      </c>
      <c r="G58">
        <f t="shared" si="22"/>
        <v>1047.1181518097756</v>
      </c>
      <c r="H58">
        <f t="shared" si="22"/>
        <v>976.44998683474398</v>
      </c>
      <c r="I58">
        <f t="shared" si="22"/>
        <v>1079.4580211094492</v>
      </c>
      <c r="J58">
        <f t="shared" si="22"/>
        <v>938.49433816478961</v>
      </c>
      <c r="K58">
        <f t="shared" si="22"/>
        <v>957.67754592822814</v>
      </c>
      <c r="L58">
        <f t="shared" si="22"/>
        <v>878.7153998467162</v>
      </c>
      <c r="M58">
        <f t="shared" si="22"/>
        <v>965.238738457664</v>
      </c>
      <c r="N58">
        <f t="shared" si="22"/>
        <v>937.60806294499946</v>
      </c>
      <c r="O58">
        <f t="shared" si="22"/>
        <v>1068.3356299075012</v>
      </c>
      <c r="P58">
        <f t="shared" si="22"/>
        <v>951.87653483423549</v>
      </c>
      <c r="Q58">
        <f t="shared" si="22"/>
        <v>985.54250487050535</v>
      </c>
      <c r="R58">
        <f t="shared" si="22"/>
        <v>1031.2466936225237</v>
      </c>
      <c r="S58">
        <f t="shared" si="22"/>
        <v>965.3351737140199</v>
      </c>
      <c r="T58">
        <f t="shared" si="22"/>
        <v>1086.1127681588928</v>
      </c>
      <c r="U58">
        <f t="shared" si="22"/>
        <v>1059.3016239317653</v>
      </c>
      <c r="V58">
        <f t="shared" si="22"/>
        <v>943.32697525941398</v>
      </c>
      <c r="W58">
        <f t="shared" si="22"/>
        <v>1000</v>
      </c>
      <c r="X58">
        <f t="shared" si="22"/>
        <v>852.64794693163367</v>
      </c>
      <c r="Y58">
        <f t="shared" si="22"/>
        <v>877.20346587560073</v>
      </c>
      <c r="Z58">
        <f t="shared" si="22"/>
        <v>991.11904139672549</v>
      </c>
      <c r="AA58">
        <f t="shared" si="22"/>
        <v>1000</v>
      </c>
      <c r="AB58">
        <f t="shared" si="22"/>
        <v>979.56500000000005</v>
      </c>
      <c r="AC58">
        <f t="shared" si="22"/>
        <v>1032.51</v>
      </c>
      <c r="AD58">
        <f t="shared" si="22"/>
        <v>974.01499999999999</v>
      </c>
      <c r="AE58">
        <f t="shared" si="22"/>
        <v>1011.415</v>
      </c>
      <c r="AF58">
        <f t="shared" si="22"/>
        <v>1031.1199999999999</v>
      </c>
      <c r="AG58">
        <f t="shared" si="22"/>
        <v>1001.0350000000001</v>
      </c>
      <c r="AH58">
        <f t="shared" si="22"/>
        <v>994.44</v>
      </c>
      <c r="AI58">
        <f t="shared" si="22"/>
        <v>1000</v>
      </c>
      <c r="AJ58">
        <f t="shared" si="22"/>
        <v>957.2</v>
      </c>
      <c r="AK58">
        <f t="shared" si="22"/>
        <v>1000</v>
      </c>
      <c r="AL58">
        <f t="shared" si="22"/>
        <v>1055.9299999999998</v>
      </c>
      <c r="AM58">
        <f t="shared" si="22"/>
        <v>1000</v>
      </c>
    </row>
    <row r="59" spans="1:39" x14ac:dyDescent="0.25">
      <c r="A59" t="s">
        <v>21</v>
      </c>
      <c r="D59" t="str" cm="1">
        <f t="array" ref="D59">IFERROR(
  _xlfn.LET(
    _xlpm.ligpartie, MATCH($B58, Donnees!$F:$F, 0),
    _xlpm.joueurs, INDEX(Donnees!$A:$Z, _xlpm.ligpartie+1, _xlfn.SEQUENCE(1, 4, 2)),
    INDEX(
      Donnees!$A:$Z,
      _xlpm.ligpartie + 3,
      MATCH(D$1, _xlpm.joueurs, 0) + 1
    )
  ), ""
)</f>
        <v/>
      </c>
      <c r="E59" t="str" cm="1">
        <f t="array" ref="E59">IFERROR(
  _xlfn.LET(
    _xlpm.ligpartie, MATCH($B58, Donnees!$F:$F, 0),
    _xlpm.joueurs, INDEX(Donnees!$A:$Z, _xlpm.ligpartie+1, _xlfn.SEQUENCE(1, 4, 2)),
    INDEX(
      Donnees!$A:$Z,
      _xlpm.ligpartie + 3,
      MATCH(E$1, _xlpm.joueurs, 0) + 1
    )
  ), ""
)</f>
        <v/>
      </c>
      <c r="F59" t="str" cm="1">
        <f t="array" ref="F59">IFERROR(
  _xlfn.LET(
    _xlpm.ligpartie, MATCH($B58, Donnees!$F:$F, 0),
    _xlpm.joueurs, INDEX(Donnees!$A:$Z, _xlpm.ligpartie+1, _xlfn.SEQUENCE(1, 4, 2)),
    INDEX(
      Donnees!$A:$Z,
      _xlpm.ligpartie + 3,
      MATCH(F$1, _xlpm.joueurs, 0) + 1
    )
  ), ""
)</f>
        <v/>
      </c>
      <c r="G59" t="str" cm="1">
        <f t="array" ref="G59">IFERROR(
  _xlfn.LET(
    _xlpm.ligpartie, MATCH($B58, Donnees!$F:$F, 0),
    _xlpm.joueurs, INDEX(Donnees!$A:$Z, _xlpm.ligpartie+1, _xlfn.SEQUENCE(1, 4, 2)),
    INDEX(
      Donnees!$A:$Z,
      _xlpm.ligpartie + 3,
      MATCH(G$1, _xlpm.joueurs, 0) + 1
    )
  ), ""
)</f>
        <v/>
      </c>
      <c r="H59" cm="1">
        <f t="array" ref="H59">IFERROR(
  _xlfn.LET(
    _xlpm.ligpartie, MATCH($B58, Donnees!$F:$F, 0),
    _xlpm.joueurs, INDEX(Donnees!$A:$Z, _xlpm.ligpartie+1, _xlfn.SEQUENCE(1, 4, 2)),
    INDEX(
      Donnees!$A:$Z,
      _xlpm.ligpartie + 3,
      MATCH(H$1, _xlpm.joueurs, 0) + 1
    )
  ), ""
)</f>
        <v>3</v>
      </c>
      <c r="I59" t="str" cm="1">
        <f t="array" ref="I59">IFERROR(
  _xlfn.LET(
    _xlpm.ligpartie, MATCH($B58, Donnees!$F:$F, 0),
    _xlpm.joueurs, INDEX(Donnees!$A:$Z, _xlpm.ligpartie+1, _xlfn.SEQUENCE(1, 4, 2)),
    INDEX(
      Donnees!$A:$Z,
      _xlpm.ligpartie + 3,
      MATCH(I$1, _xlpm.joueurs, 0) + 1
    )
  ), ""
)</f>
        <v/>
      </c>
      <c r="J59" t="str" cm="1">
        <f t="array" ref="J59">IFERROR(
  _xlfn.LET(
    _xlpm.ligpartie, MATCH($B58, Donnees!$F:$F, 0),
    _xlpm.joueurs, INDEX(Donnees!$A:$Z, _xlpm.ligpartie+1, _xlfn.SEQUENCE(1, 4, 2)),
    INDEX(
      Donnees!$A:$Z,
      _xlpm.ligpartie + 3,
      MATCH(J$1, _xlpm.joueurs, 0) + 1
    )
  ), ""
)</f>
        <v/>
      </c>
      <c r="K59" cm="1">
        <f t="array" ref="K59">IFERROR(
  _xlfn.LET(
    _xlpm.ligpartie, MATCH($B58, Donnees!$F:$F, 0),
    _xlpm.joueurs, INDEX(Donnees!$A:$Z, _xlpm.ligpartie+1, _xlfn.SEQUENCE(1, 4, 2)),
    INDEX(
      Donnees!$A:$Z,
      _xlpm.ligpartie + 3,
      MATCH(K$1, _xlpm.joueurs, 0) + 1
    )
  ), ""
)</f>
        <v>0</v>
      </c>
      <c r="L59" t="str" cm="1">
        <f t="array" ref="L59">IFERROR(
  _xlfn.LET(
    _xlpm.ligpartie, MATCH($B58, Donnees!$F:$F, 0),
    _xlpm.joueurs, INDEX(Donnees!$A:$Z, _xlpm.ligpartie+1, _xlfn.SEQUENCE(1, 4, 2)),
    INDEX(
      Donnees!$A:$Z,
      _xlpm.ligpartie + 3,
      MATCH(L$1, _xlpm.joueurs, 0) + 1
    )
  ), ""
)</f>
        <v/>
      </c>
      <c r="M59" t="str" cm="1">
        <f t="array" ref="M59">IFERROR(
  _xlfn.LET(
    _xlpm.ligpartie, MATCH($B58, Donnees!$F:$F, 0),
    _xlpm.joueurs, INDEX(Donnees!$A:$Z, _xlpm.ligpartie+1, _xlfn.SEQUENCE(1, 4, 2)),
    INDEX(
      Donnees!$A:$Z,
      _xlpm.ligpartie + 3,
      MATCH(M$1, _xlpm.joueurs, 0) + 1
    )
  ), ""
)</f>
        <v/>
      </c>
      <c r="N59" t="str" cm="1">
        <f t="array" ref="N59">IFERROR(
  _xlfn.LET(
    _xlpm.ligpartie, MATCH($B58, Donnees!$F:$F, 0),
    _xlpm.joueurs, INDEX(Donnees!$A:$Z, _xlpm.ligpartie+1, _xlfn.SEQUENCE(1, 4, 2)),
    INDEX(
      Donnees!$A:$Z,
      _xlpm.ligpartie + 3,
      MATCH(N$1, _xlpm.joueurs, 0) + 1
    )
  ), ""
)</f>
        <v/>
      </c>
      <c r="O59" cm="1">
        <f t="array" ref="O59">IFERROR(
  _xlfn.LET(
    _xlpm.ligpartie, MATCH($B58, Donnees!$F:$F, 0),
    _xlpm.joueurs, INDEX(Donnees!$A:$Z, _xlpm.ligpartie+1, _xlfn.SEQUENCE(1, 4, 2)),
    INDEX(
      Donnees!$A:$Z,
      _xlpm.ligpartie + 3,
      MATCH(O$1, _xlpm.joueurs, 0) + 1
    )
  ), ""
)</f>
        <v>1</v>
      </c>
      <c r="P59" t="str" cm="1">
        <f t="array" ref="P59">IFERROR(
  _xlfn.LET(
    _xlpm.ligpartie, MATCH($B58, Donnees!$F:$F, 0),
    _xlpm.joueurs, INDEX(Donnees!$A:$Z, _xlpm.ligpartie+1, _xlfn.SEQUENCE(1, 4, 2)),
    INDEX(
      Donnees!$A:$Z,
      _xlpm.ligpartie + 3,
      MATCH(P$1, _xlpm.joueurs, 0) + 1
    )
  ), ""
)</f>
        <v/>
      </c>
      <c r="Q59" t="str" cm="1">
        <f t="array" ref="Q59">IFERROR(
  _xlfn.LET(
    _xlpm.ligpartie, MATCH($B58, Donnees!$F:$F, 0),
    _xlpm.joueurs, INDEX(Donnees!$A:$Z, _xlpm.ligpartie+1, _xlfn.SEQUENCE(1, 4, 2)),
    INDEX(
      Donnees!$A:$Z,
      _xlpm.ligpartie + 3,
      MATCH(Q$1, _xlpm.joueurs, 0) + 1
    )
  ), ""
)</f>
        <v/>
      </c>
      <c r="R59" t="str" cm="1">
        <f t="array" ref="R59">IFERROR(
  _xlfn.LET(
    _xlpm.ligpartie, MATCH($B58, Donnees!$F:$F, 0),
    _xlpm.joueurs, INDEX(Donnees!$A:$Z, _xlpm.ligpartie+1, _xlfn.SEQUENCE(1, 4, 2)),
    INDEX(
      Donnees!$A:$Z,
      _xlpm.ligpartie + 3,
      MATCH(R$1, _xlpm.joueurs, 0) + 1
    )
  ), ""
)</f>
        <v/>
      </c>
      <c r="S59" t="str" cm="1">
        <f t="array" ref="S59">IFERROR(
  _xlfn.LET(
    _xlpm.ligpartie, MATCH($B58, Donnees!$F:$F, 0),
    _xlpm.joueurs, INDEX(Donnees!$A:$Z, _xlpm.ligpartie+1, _xlfn.SEQUENCE(1, 4, 2)),
    INDEX(
      Donnees!$A:$Z,
      _xlpm.ligpartie + 3,
      MATCH(S$1, _xlpm.joueurs, 0) + 1
    )
  ), ""
)</f>
        <v/>
      </c>
      <c r="T59" t="str" cm="1">
        <f t="array" ref="T59">IFERROR(
  _xlfn.LET(
    _xlpm.ligpartie, MATCH($B58, Donnees!$F:$F, 0),
    _xlpm.joueurs, INDEX(Donnees!$A:$Z, _xlpm.ligpartie+1, _xlfn.SEQUENCE(1, 4, 2)),
    INDEX(
      Donnees!$A:$Z,
      _xlpm.ligpartie + 3,
      MATCH(T$1, _xlpm.joueurs, 0) + 1
    )
  ), ""
)</f>
        <v/>
      </c>
      <c r="U59" t="str" cm="1">
        <f t="array" ref="U59">IFERROR(
  _xlfn.LET(
    _xlpm.ligpartie, MATCH($B58, Donnees!$F:$F, 0),
    _xlpm.joueurs, INDEX(Donnees!$A:$Z, _xlpm.ligpartie+1, _xlfn.SEQUENCE(1, 4, 2)),
    INDEX(
      Donnees!$A:$Z,
      _xlpm.ligpartie + 3,
      MATCH(U$1, _xlpm.joueurs, 0) + 1
    )
  ), ""
)</f>
        <v/>
      </c>
      <c r="V59" t="str" cm="1">
        <f t="array" ref="V59">IFERROR(
  _xlfn.LET(
    _xlpm.ligpartie, MATCH($B58, Donnees!$F:$F, 0),
    _xlpm.joueurs, INDEX(Donnees!$A:$Z, _xlpm.ligpartie+1, _xlfn.SEQUENCE(1, 4, 2)),
    INDEX(
      Donnees!$A:$Z,
      _xlpm.ligpartie + 3,
      MATCH(V$1, _xlpm.joueurs, 0) + 1
    )
  ), ""
)</f>
        <v/>
      </c>
      <c r="W59" t="str" cm="1">
        <f t="array" ref="W59">IFERROR(
  _xlfn.LET(
    _xlpm.ligpartie, MATCH($B58, Donnees!$F:$F, 0),
    _xlpm.joueurs, INDEX(Donnees!$A:$Z, _xlpm.ligpartie+1, _xlfn.SEQUENCE(1, 4, 2)),
    INDEX(
      Donnees!$A:$Z,
      _xlpm.ligpartie + 3,
      MATCH(W$1, _xlpm.joueurs, 0) + 1
    )
  ), ""
)</f>
        <v/>
      </c>
      <c r="X59" t="str" cm="1">
        <f t="array" ref="X59">IFERROR(
  _xlfn.LET(
    _xlpm.ligpartie, MATCH($B58, Donnees!$F:$F, 0),
    _xlpm.joueurs, INDEX(Donnees!$A:$Z, _xlpm.ligpartie+1, _xlfn.SEQUENCE(1, 4, 2)),
    INDEX(
      Donnees!$A:$Z,
      _xlpm.ligpartie + 3,
      MATCH(X$1, _xlpm.joueurs, 0) + 1
    )
  ), ""
)</f>
        <v/>
      </c>
      <c r="Y59" cm="1">
        <f t="array" ref="Y59">IFERROR(
  _xlfn.LET(
    _xlpm.ligpartie, MATCH($B58, Donnees!$F:$F, 0),
    _xlpm.joueurs, INDEX(Donnees!$A:$Z, _xlpm.ligpartie+1, _xlfn.SEQUENCE(1, 4, 2)),
    INDEX(
      Donnees!$A:$Z,
      _xlpm.ligpartie + 3,
      MATCH(Y$1, _xlpm.joueurs, 0) + 1
    )
  ), ""
)</f>
        <v>2</v>
      </c>
      <c r="Z59" t="str" cm="1">
        <f t="array" ref="Z59">IFERROR(
  _xlfn.LET(
    _xlpm.ligpartie, MATCH($B58, Donnees!$F:$F, 0),
    _xlpm.joueurs, INDEX(Donnees!$A:$Z, _xlpm.ligpartie+1, _xlfn.SEQUENCE(1, 4, 2)),
    INDEX(
      Donnees!$A:$Z,
      _xlpm.ligpartie + 3,
      MATCH(Z$1, _xlpm.joueurs, 0) + 1
    )
  ), ""
)</f>
        <v/>
      </c>
      <c r="AA59" t="str" cm="1">
        <f t="array" ref="AA59">IFERROR(
  _xlfn.LET(
    _xlpm.ligpartie, MATCH($B58, Donnees!$F:$F, 0),
    _xlpm.joueurs, INDEX(Donnees!$A:$Z, _xlpm.ligpartie+1, _xlfn.SEQUENCE(1, 4, 2)),
    INDEX(
      Donnees!$A:$Z,
      _xlpm.ligpartie + 3,
      MATCH(AA$1, _xlpm.joueurs, 0) + 1
    )
  ), ""
)</f>
        <v/>
      </c>
      <c r="AB59" t="str" cm="1">
        <f t="array" ref="AB59">IFERROR(
  _xlfn.LET(
    _xlpm.ligpartie, MATCH($B58, Donnees!$F:$F, 0),
    _xlpm.joueurs, INDEX(Donnees!$A:$Z, _xlpm.ligpartie+1, _xlfn.SEQUENCE(1, 4, 2)),
    INDEX(
      Donnees!$A:$Z,
      _xlpm.ligpartie + 3,
      MATCH(AB$1, _xlpm.joueurs, 0) + 1
    )
  ), ""
)</f>
        <v/>
      </c>
      <c r="AC59" t="str" cm="1">
        <f t="array" ref="AC59">IFERROR(
  _xlfn.LET(
    _xlpm.ligpartie, MATCH($B58, Donnees!$F:$F, 0),
    _xlpm.joueurs, INDEX(Donnees!$A:$Z, _xlpm.ligpartie+1, _xlfn.SEQUENCE(1, 4, 2)),
    INDEX(
      Donnees!$A:$Z,
      _xlpm.ligpartie + 3,
      MATCH(AC$1, _xlpm.joueurs, 0) + 1
    )
  ), ""
)</f>
        <v/>
      </c>
      <c r="AD59" t="str" cm="1">
        <f t="array" ref="AD59">IFERROR(
  _xlfn.LET(
    _xlpm.ligpartie, MATCH($B58, Donnees!$F:$F, 0),
    _xlpm.joueurs, INDEX(Donnees!$A:$Z, _xlpm.ligpartie+1, _xlfn.SEQUENCE(1, 4, 2)),
    INDEX(
      Donnees!$A:$Z,
      _xlpm.ligpartie + 3,
      MATCH(AD$1, _xlpm.joueurs, 0) + 1
    )
  ), ""
)</f>
        <v/>
      </c>
      <c r="AE59" t="str" cm="1">
        <f t="array" ref="AE59">IFERROR(
  _xlfn.LET(
    _xlpm.ligpartie, MATCH($B58, Donnees!$F:$F, 0),
    _xlpm.joueurs, INDEX(Donnees!$A:$Z, _xlpm.ligpartie+1, _xlfn.SEQUENCE(1, 4, 2)),
    INDEX(
      Donnees!$A:$Z,
      _xlpm.ligpartie + 3,
      MATCH(AE$1, _xlpm.joueurs, 0) + 1
    )
  ), ""
)</f>
        <v/>
      </c>
      <c r="AF59" t="str" cm="1">
        <f t="array" ref="AF59">IFERROR(
  _xlfn.LET(
    _xlpm.ligpartie, MATCH($B58, Donnees!$F:$F, 0),
    _xlpm.joueurs, INDEX(Donnees!$A:$Z, _xlpm.ligpartie+1, _xlfn.SEQUENCE(1, 4, 2)),
    INDEX(
      Donnees!$A:$Z,
      _xlpm.ligpartie + 3,
      MATCH(AF$1, _xlpm.joueurs, 0) + 1
    )
  ), ""
)</f>
        <v/>
      </c>
      <c r="AG59" t="str" cm="1">
        <f t="array" ref="AG59">IFERROR(
  _xlfn.LET(
    _xlpm.ligpartie, MATCH($B58, Donnees!$F:$F, 0),
    _xlpm.joueurs, INDEX(Donnees!$A:$Z, _xlpm.ligpartie+1, _xlfn.SEQUENCE(1, 4, 2)),
    INDEX(
      Donnees!$A:$Z,
      _xlpm.ligpartie + 3,
      MATCH(AG$1, _xlpm.joueurs, 0) + 1
    )
  ), ""
)</f>
        <v/>
      </c>
      <c r="AH59" t="str" cm="1">
        <f t="array" ref="AH59">IFERROR(
  _xlfn.LET(
    _xlpm.ligpartie, MATCH($B58, Donnees!$F:$F, 0),
    _xlpm.joueurs, INDEX(Donnees!$A:$Z, _xlpm.ligpartie+1, _xlfn.SEQUENCE(1, 4, 2)),
    INDEX(
      Donnees!$A:$Z,
      _xlpm.ligpartie + 3,
      MATCH(AH$1, _xlpm.joueurs, 0) + 1
    )
  ), ""
)</f>
        <v/>
      </c>
      <c r="AI59" t="str" cm="1">
        <f t="array" ref="AI59">IFERROR(
  _xlfn.LET(
    _xlpm.ligpartie, MATCH($B58, Donnees!$F:$F, 0),
    _xlpm.joueurs, INDEX(Donnees!$A:$Z, _xlpm.ligpartie+1, _xlfn.SEQUENCE(1, 4, 2)),
    INDEX(
      Donnees!$A:$Z,
      _xlpm.ligpartie + 3,
      MATCH(AI$1, _xlpm.joueurs, 0) + 1
    )
  ), ""
)</f>
        <v/>
      </c>
      <c r="AJ59" t="str" cm="1">
        <f t="array" ref="AJ59">IFERROR(
  _xlfn.LET(
    _xlpm.ligpartie, MATCH($B58, Donnees!$F:$F, 0),
    _xlpm.joueurs, INDEX(Donnees!$A:$Z, _xlpm.ligpartie+1, _xlfn.SEQUENCE(1, 4, 2)),
    INDEX(
      Donnees!$A:$Z,
      _xlpm.ligpartie + 3,
      MATCH(AJ$1, _xlpm.joueurs, 0) + 1
    )
  ), ""
)</f>
        <v/>
      </c>
      <c r="AK59" t="str" cm="1">
        <f t="array" ref="AK59">IFERROR(
  _xlfn.LET(
    _xlpm.ligpartie, MATCH($B58, Donnees!$F:$F, 0),
    _xlpm.joueurs, INDEX(Donnees!$A:$Z, _xlpm.ligpartie+1, _xlfn.SEQUENCE(1, 4, 2)),
    INDEX(
      Donnees!$A:$Z,
      _xlpm.ligpartie + 3,
      MATCH(AK$1, _xlpm.joueurs, 0) + 1
    )
  ), ""
)</f>
        <v/>
      </c>
      <c r="AL59" t="str" cm="1">
        <f t="array" ref="AL59">IFERROR(
  _xlfn.LET(
    _xlpm.ligpartie, MATCH($B58, Donnees!$F:$F, 0),
    _xlpm.joueurs, INDEX(Donnees!$A:$Z, _xlpm.ligpartie+1, _xlfn.SEQUENCE(1, 4, 2)),
    INDEX(
      Donnees!$A:$Z,
      _xlpm.ligpartie + 3,
      MATCH(AL$1, _xlpm.joueurs, 0) + 1
    )
  ), ""
)</f>
        <v/>
      </c>
      <c r="AM59" t="str" cm="1">
        <f t="array" ref="AM59">IFERROR(
  _xlfn.LET(
    _xlpm.ligpartie, MATCH($B58, Donnees!$F:$F, 0),
    _xlpm.joueurs, INDEX(Donnees!$A:$Z, _xlpm.ligpartie+1, _xlfn.SEQUENCE(1, 4, 2)),
    INDEX(
      Donnees!$A:$Z,
      _xlpm.ligpartie + 3,
      MATCH(AM$1, _xlpm.joueurs, 0) + 1
    )
  ), ""
)</f>
        <v/>
      </c>
    </row>
    <row r="60" spans="1:39" x14ac:dyDescent="0.25">
      <c r="A60" t="s">
        <v>20</v>
      </c>
      <c r="D60" t="str" cm="1">
        <f t="array" ref="D60">_xlfn.LET(
  _xlpm.colj, _xlfn._xlws.FILTER(IF(ISNUMBER(59:59), COLUMN(59:59)), ISNUMBER(59:59)),
  _xlpm.elos, INDEX(58:58,1,_xlpm.colj),
  _xlpm.diffscale, Constantes!$B$2,
  IF(D59="",
    "",
    SUM(1/(1+POWER(10,-(D58-_xlpm.elos)/_xlpm.diffscale)))-0.5)
)</f>
        <v/>
      </c>
      <c r="E60" t="str" cm="1">
        <f t="array" ref="E60">_xlfn.LET(
  _xlpm.colj, _xlfn._xlws.FILTER(IF(ISNUMBER(59:59), COLUMN(59:59)), ISNUMBER(59:59)),
  _xlpm.elos, INDEX(58:58,1,_xlpm.colj),
  _xlpm.diffscale, Constantes!$B$2,
  IF(E59="",
    "",
    SUM(1/(1+POWER(10,-(E58-_xlpm.elos)/_xlpm.diffscale)))-0.5)
)</f>
        <v/>
      </c>
      <c r="F60" t="str" cm="1">
        <f t="array" ref="F60">_xlfn.LET(
  _xlpm.colj, _xlfn._xlws.FILTER(IF(ISNUMBER(59:59), COLUMN(59:59)), ISNUMBER(59:59)),
  _xlpm.elos, INDEX(58:58,1,_xlpm.colj),
  _xlpm.diffscale, Constantes!$B$2,
  IF(F59="",
    "",
    SUM(1/(1+POWER(10,-(F58-_xlpm.elos)/_xlpm.diffscale)))-0.5)
)</f>
        <v/>
      </c>
      <c r="G60" t="str" cm="1">
        <f t="array" ref="G60">_xlfn.LET(
  _xlpm.colj, _xlfn._xlws.FILTER(IF(ISNUMBER(59:59), COLUMN(59:59)), ISNUMBER(59:59)),
  _xlpm.elos, INDEX(58:58,1,_xlpm.colj),
  _xlpm.diffscale, Constantes!$B$2,
  IF(G59="",
    "",
    SUM(1/(1+POWER(10,-(G58-_xlpm.elos)/_xlpm.diffscale)))-0.5)
)</f>
        <v/>
      </c>
      <c r="H60" cm="1">
        <f t="array" ref="H60">_xlfn.LET(
  _xlpm.colj, _xlfn._xlws.FILTER(IF(ISNUMBER(59:59), COLUMN(59:59)), ISNUMBER(59:59)),
  _xlpm.elos, INDEX(58:58,1,_xlpm.colj),
  _xlpm.diffscale, Constantes!$B$2,
  IF(H59="",
    "",
    SUM(1/(1+POWER(10,-(H58-_xlpm.elos)/_xlpm.diffscale)))-0.5)
)</f>
        <v>1.5368196148482927</v>
      </c>
      <c r="I60" t="str" cm="1">
        <f t="array" ref="I60">_xlfn.LET(
  _xlpm.colj, _xlfn._xlws.FILTER(IF(ISNUMBER(59:59), COLUMN(59:59)), ISNUMBER(59:59)),
  _xlpm.elos, INDEX(58:58,1,_xlpm.colj),
  _xlpm.diffscale, Constantes!$B$2,
  IF(I59="",
    "",
    SUM(1/(1+POWER(10,-(I58-_xlpm.elos)/_xlpm.diffscale)))-0.5)
)</f>
        <v/>
      </c>
      <c r="J60" t="str" cm="1">
        <f t="array" ref="J60">_xlfn.LET(
  _xlpm.colj, _xlfn._xlws.FILTER(IF(ISNUMBER(59:59), COLUMN(59:59)), ISNUMBER(59:59)),
  _xlpm.elos, INDEX(58:58,1,_xlpm.colj),
  _xlpm.diffscale, Constantes!$B$2,
  IF(J59="",
    "",
    SUM(1/(1+POWER(10,-(J58-_xlpm.elos)/_xlpm.diffscale)))-0.5)
)</f>
        <v/>
      </c>
      <c r="K60" cm="1">
        <f t="array" ref="K60">_xlfn.LET(
  _xlpm.colj, _xlfn._xlws.FILTER(IF(ISNUMBER(59:59), COLUMN(59:59)), ISNUMBER(59:59)),
  _xlpm.elos, INDEX(58:58,1,_xlpm.colj),
  _xlpm.diffscale, Constantes!$B$2,
  IF(K59="",
    "",
    SUM(1/(1+POWER(10,-(K58-_xlpm.elos)/_xlpm.diffscale)))-0.5)
)</f>
        <v>1.4327196930612118</v>
      </c>
      <c r="L60" t="str" cm="1">
        <f t="array" ref="L60">_xlfn.LET(
  _xlpm.colj, _xlfn._xlws.FILTER(IF(ISNUMBER(59:59), COLUMN(59:59)), ISNUMBER(59:59)),
  _xlpm.elos, INDEX(58:58,1,_xlpm.colj),
  _xlpm.diffscale, Constantes!$B$2,
  IF(L59="",
    "",
    SUM(1/(1+POWER(10,-(L58-_xlpm.elos)/_xlpm.diffscale)))-0.5)
)</f>
        <v/>
      </c>
      <c r="M60" t="str" cm="1">
        <f t="array" ref="M60">_xlfn.LET(
  _xlpm.colj, _xlfn._xlws.FILTER(IF(ISNUMBER(59:59), COLUMN(59:59)), ISNUMBER(59:59)),
  _xlpm.elos, INDEX(58:58,1,_xlpm.colj),
  _xlpm.diffscale, Constantes!$B$2,
  IF(M59="",
    "",
    SUM(1/(1+POWER(10,-(M58-_xlpm.elos)/_xlpm.diffscale)))-0.5)
)</f>
        <v/>
      </c>
      <c r="N60" t="str" cm="1">
        <f t="array" ref="N60">_xlfn.LET(
  _xlpm.colj, _xlfn._xlws.FILTER(IF(ISNUMBER(59:59), COLUMN(59:59)), ISNUMBER(59:59)),
  _xlpm.elos, INDEX(58:58,1,_xlpm.colj),
  _xlpm.diffscale, Constantes!$B$2,
  IF(N59="",
    "",
    SUM(1/(1+POWER(10,-(N58-_xlpm.elos)/_xlpm.diffscale)))-0.5)
)</f>
        <v/>
      </c>
      <c r="O60" cm="1">
        <f t="array" ref="O60">_xlfn.LET(
  _xlpm.colj, _xlfn._xlws.FILTER(IF(ISNUMBER(59:59), COLUMN(59:59)), ISNUMBER(59:59)),
  _xlpm.elos, INDEX(58:58,1,_xlpm.colj),
  _xlpm.diffscale, Constantes!$B$2,
  IF(O59="",
    "",
    SUM(1/(1+POWER(10,-(O58-_xlpm.elos)/_xlpm.diffscale)))-0.5)
)</f>
        <v>2.0336158206392323</v>
      </c>
      <c r="P60" t="str" cm="1">
        <f t="array" ref="P60">_xlfn.LET(
  _xlpm.colj, _xlfn._xlws.FILTER(IF(ISNUMBER(59:59), COLUMN(59:59)), ISNUMBER(59:59)),
  _xlpm.elos, INDEX(58:58,1,_xlpm.colj),
  _xlpm.diffscale, Constantes!$B$2,
  IF(P59="",
    "",
    SUM(1/(1+POWER(10,-(P58-_xlpm.elos)/_xlpm.diffscale)))-0.5)
)</f>
        <v/>
      </c>
      <c r="Q60" t="str" cm="1">
        <f t="array" ref="Q60">_xlfn.LET(
  _xlpm.colj, _xlfn._xlws.FILTER(IF(ISNUMBER(59:59), COLUMN(59:59)), ISNUMBER(59:59)),
  _xlpm.elos, INDEX(58:58,1,_xlpm.colj),
  _xlpm.diffscale, Constantes!$B$2,
  IF(Q59="",
    "",
    SUM(1/(1+POWER(10,-(Q58-_xlpm.elos)/_xlpm.diffscale)))-0.5)
)</f>
        <v/>
      </c>
      <c r="R60" t="str" cm="1">
        <f t="array" ref="R60">_xlfn.LET(
  _xlpm.colj, _xlfn._xlws.FILTER(IF(ISNUMBER(59:59), COLUMN(59:59)), ISNUMBER(59:59)),
  _xlpm.elos, INDEX(58:58,1,_xlpm.colj),
  _xlpm.diffscale, Constantes!$B$2,
  IF(R59="",
    "",
    SUM(1/(1+POWER(10,-(R58-_xlpm.elos)/_xlpm.diffscale)))-0.5)
)</f>
        <v/>
      </c>
      <c r="S60" t="str" cm="1">
        <f t="array" ref="S60">_xlfn.LET(
  _xlpm.colj, _xlfn._xlws.FILTER(IF(ISNUMBER(59:59), COLUMN(59:59)), ISNUMBER(59:59)),
  _xlpm.elos, INDEX(58:58,1,_xlpm.colj),
  _xlpm.diffscale, Constantes!$B$2,
  IF(S59="",
    "",
    SUM(1/(1+POWER(10,-(S58-_xlpm.elos)/_xlpm.diffscale)))-0.5)
)</f>
        <v/>
      </c>
      <c r="T60" t="str" cm="1">
        <f t="array" ref="T60">_xlfn.LET(
  _xlpm.colj, _xlfn._xlws.FILTER(IF(ISNUMBER(59:59), COLUMN(59:59)), ISNUMBER(59:59)),
  _xlpm.elos, INDEX(58:58,1,_xlpm.colj),
  _xlpm.diffscale, Constantes!$B$2,
  IF(T59="",
    "",
    SUM(1/(1+POWER(10,-(T58-_xlpm.elos)/_xlpm.diffscale)))-0.5)
)</f>
        <v/>
      </c>
      <c r="U60" t="str" cm="1">
        <f t="array" ref="U60">_xlfn.LET(
  _xlpm.colj, _xlfn._xlws.FILTER(IF(ISNUMBER(59:59), COLUMN(59:59)), ISNUMBER(59:59)),
  _xlpm.elos, INDEX(58:58,1,_xlpm.colj),
  _xlpm.diffscale, Constantes!$B$2,
  IF(U59="",
    "",
    SUM(1/(1+POWER(10,-(U58-_xlpm.elos)/_xlpm.diffscale)))-0.5)
)</f>
        <v/>
      </c>
      <c r="V60" t="str" cm="1">
        <f t="array" ref="V60">_xlfn.LET(
  _xlpm.colj, _xlfn._xlws.FILTER(IF(ISNUMBER(59:59), COLUMN(59:59)), ISNUMBER(59:59)),
  _xlpm.elos, INDEX(58:58,1,_xlpm.colj),
  _xlpm.diffscale, Constantes!$B$2,
  IF(V59="",
    "",
    SUM(1/(1+POWER(10,-(V58-_xlpm.elos)/_xlpm.diffscale)))-0.5)
)</f>
        <v/>
      </c>
      <c r="W60" t="str" cm="1">
        <f t="array" ref="W60">_xlfn.LET(
  _xlpm.colj, _xlfn._xlws.FILTER(IF(ISNUMBER(59:59), COLUMN(59:59)), ISNUMBER(59:59)),
  _xlpm.elos, INDEX(58:58,1,_xlpm.colj),
  _xlpm.diffscale, Constantes!$B$2,
  IF(W59="",
    "",
    SUM(1/(1+POWER(10,-(W58-_xlpm.elos)/_xlpm.diffscale)))-0.5)
)</f>
        <v/>
      </c>
      <c r="X60" t="str" cm="1">
        <f t="array" ref="X60">_xlfn.LET(
  _xlpm.colj, _xlfn._xlws.FILTER(IF(ISNUMBER(59:59), COLUMN(59:59)), ISNUMBER(59:59)),
  _xlpm.elos, INDEX(58:58,1,_xlpm.colj),
  _xlpm.diffscale, Constantes!$B$2,
  IF(X59="",
    "",
    SUM(1/(1+POWER(10,-(X58-_xlpm.elos)/_xlpm.diffscale)))-0.5)
)</f>
        <v/>
      </c>
      <c r="Y60" cm="1">
        <f t="array" ref="Y60">_xlfn.LET(
  _xlpm.colj, _xlfn._xlws.FILTER(IF(ISNUMBER(59:59), COLUMN(59:59)), ISNUMBER(59:59)),
  _xlpm.elos, INDEX(58:58,1,_xlpm.colj),
  _xlpm.diffscale, Constantes!$B$2,
  IF(Y59="",
    "",
    SUM(1/(1+POWER(10,-(Y58-_xlpm.elos)/_xlpm.diffscale)))-0.5)
)</f>
        <v>0.99684487145126321</v>
      </c>
      <c r="Z60" t="str" cm="1">
        <f t="array" ref="Z60">_xlfn.LET(
  _xlpm.colj, _xlfn._xlws.FILTER(IF(ISNUMBER(59:59), COLUMN(59:59)), ISNUMBER(59:59)),
  _xlpm.elos, INDEX(58:58,1,_xlpm.colj),
  _xlpm.diffscale, Constantes!$B$2,
  IF(Z59="",
    "",
    SUM(1/(1+POWER(10,-(Z58-_xlpm.elos)/_xlpm.diffscale)))-0.5)
)</f>
        <v/>
      </c>
      <c r="AA60" t="str" cm="1">
        <f t="array" ref="AA60">_xlfn.LET(
  _xlpm.colj, _xlfn._xlws.FILTER(IF(ISNUMBER(59:59), COLUMN(59:59)), ISNUMBER(59:59)),
  _xlpm.elos, INDEX(58:58,1,_xlpm.colj),
  _xlpm.diffscale, Constantes!$B$2,
  IF(AA59="",
    "",
    SUM(1/(1+POWER(10,-(AA58-_xlpm.elos)/_xlpm.diffscale)))-0.5)
)</f>
        <v/>
      </c>
      <c r="AB60" t="str" cm="1">
        <f t="array" ref="AB60">_xlfn.LET(
  _xlpm.colj, _xlfn._xlws.FILTER(IF(ISNUMBER(59:59), COLUMN(59:59)), ISNUMBER(59:59)),
  _xlpm.elos, INDEX(58:58,1,_xlpm.colj),
  _xlpm.diffscale, Constantes!$B$2,
  IF(AB59="",
    "",
    SUM(1/(1+POWER(10,-(AB58-_xlpm.elos)/_xlpm.diffscale)))-0.5)
)</f>
        <v/>
      </c>
      <c r="AC60" t="str" cm="1">
        <f t="array" ref="AC60">_xlfn.LET(
  _xlpm.colj, _xlfn._xlws.FILTER(IF(ISNUMBER(59:59), COLUMN(59:59)), ISNUMBER(59:59)),
  _xlpm.elos, INDEX(58:58,1,_xlpm.colj),
  _xlpm.diffscale, Constantes!$B$2,
  IF(AC59="",
    "",
    SUM(1/(1+POWER(10,-(AC58-_xlpm.elos)/_xlpm.diffscale)))-0.5)
)</f>
        <v/>
      </c>
      <c r="AD60" t="str" cm="1">
        <f t="array" ref="AD60">_xlfn.LET(
  _xlpm.colj, _xlfn._xlws.FILTER(IF(ISNUMBER(59:59), COLUMN(59:59)), ISNUMBER(59:59)),
  _xlpm.elos, INDEX(58:58,1,_xlpm.colj),
  _xlpm.diffscale, Constantes!$B$2,
  IF(AD59="",
    "",
    SUM(1/(1+POWER(10,-(AD58-_xlpm.elos)/_xlpm.diffscale)))-0.5)
)</f>
        <v/>
      </c>
      <c r="AE60" t="str" cm="1">
        <f t="array" ref="AE60">_xlfn.LET(
  _xlpm.colj, _xlfn._xlws.FILTER(IF(ISNUMBER(59:59), COLUMN(59:59)), ISNUMBER(59:59)),
  _xlpm.elos, INDEX(58:58,1,_xlpm.colj),
  _xlpm.diffscale, Constantes!$B$2,
  IF(AE59="",
    "",
    SUM(1/(1+POWER(10,-(AE58-_xlpm.elos)/_xlpm.diffscale)))-0.5)
)</f>
        <v/>
      </c>
      <c r="AF60" t="str" cm="1">
        <f t="array" ref="AF60">_xlfn.LET(
  _xlpm.colj, _xlfn._xlws.FILTER(IF(ISNUMBER(59:59), COLUMN(59:59)), ISNUMBER(59:59)),
  _xlpm.elos, INDEX(58:58,1,_xlpm.colj),
  _xlpm.diffscale, Constantes!$B$2,
  IF(AF59="",
    "",
    SUM(1/(1+POWER(10,-(AF58-_xlpm.elos)/_xlpm.diffscale)))-0.5)
)</f>
        <v/>
      </c>
      <c r="AG60" t="str" cm="1">
        <f t="array" ref="AG60">_xlfn.LET(
  _xlpm.colj, _xlfn._xlws.FILTER(IF(ISNUMBER(59:59), COLUMN(59:59)), ISNUMBER(59:59)),
  _xlpm.elos, INDEX(58:58,1,_xlpm.colj),
  _xlpm.diffscale, Constantes!$B$2,
  IF(AG59="",
    "",
    SUM(1/(1+POWER(10,-(AG58-_xlpm.elos)/_xlpm.diffscale)))-0.5)
)</f>
        <v/>
      </c>
      <c r="AH60" t="str" cm="1">
        <f t="array" ref="AH60">_xlfn.LET(
  _xlpm.colj, _xlfn._xlws.FILTER(IF(ISNUMBER(59:59), COLUMN(59:59)), ISNUMBER(59:59)),
  _xlpm.elos, INDEX(58:58,1,_xlpm.colj),
  _xlpm.diffscale, Constantes!$B$2,
  IF(AH59="",
    "",
    SUM(1/(1+POWER(10,-(AH58-_xlpm.elos)/_xlpm.diffscale)))-0.5)
)</f>
        <v/>
      </c>
      <c r="AI60" t="str" cm="1">
        <f t="array" ref="AI60">_xlfn.LET(
  _xlpm.colj, _xlfn._xlws.FILTER(IF(ISNUMBER(59:59), COLUMN(59:59)), ISNUMBER(59:59)),
  _xlpm.elos, INDEX(58:58,1,_xlpm.colj),
  _xlpm.diffscale, Constantes!$B$2,
  IF(AI59="",
    "",
    SUM(1/(1+POWER(10,-(AI58-_xlpm.elos)/_xlpm.diffscale)))-0.5)
)</f>
        <v/>
      </c>
      <c r="AJ60" t="str" cm="1">
        <f t="array" ref="AJ60">_xlfn.LET(
  _xlpm.colj, _xlfn._xlws.FILTER(IF(ISNUMBER(59:59), COLUMN(59:59)), ISNUMBER(59:59)),
  _xlpm.elos, INDEX(58:58,1,_xlpm.colj),
  _xlpm.diffscale, Constantes!$B$2,
  IF(AJ59="",
    "",
    SUM(1/(1+POWER(10,-(AJ58-_xlpm.elos)/_xlpm.diffscale)))-0.5)
)</f>
        <v/>
      </c>
      <c r="AK60" t="str" cm="1">
        <f t="array" ref="AK60">_xlfn.LET(
  _xlpm.colj, _xlfn._xlws.FILTER(IF(ISNUMBER(59:59), COLUMN(59:59)), ISNUMBER(59:59)),
  _xlpm.elos, INDEX(58:58,1,_xlpm.colj),
  _xlpm.diffscale, Constantes!$B$2,
  IF(AK59="",
    "",
    SUM(1/(1+POWER(10,-(AK58-_xlpm.elos)/_xlpm.diffscale)))-0.5)
)</f>
        <v/>
      </c>
      <c r="AL60" t="str" cm="1">
        <f t="array" ref="AL60">_xlfn.LET(
  _xlpm.colj, _xlfn._xlws.FILTER(IF(ISNUMBER(59:59), COLUMN(59:59)), ISNUMBER(59:59)),
  _xlpm.elos, INDEX(58:58,1,_xlpm.colj),
  _xlpm.diffscale, Constantes!$B$2,
  IF(AL59="",
    "",
    SUM(1/(1+POWER(10,-(AL58-_xlpm.elos)/_xlpm.diffscale)))-0.5)
)</f>
        <v/>
      </c>
      <c r="AM60" t="str" cm="1">
        <f t="array" ref="AM60">_xlfn.LET(
  _xlpm.colj, _xlfn._xlws.FILTER(IF(ISNUMBER(59:59), COLUMN(59:59)), ISNUMBER(59:59)),
  _xlpm.elos, INDEX(58:58,1,_xlpm.colj),
  _xlpm.diffscale, Constantes!$B$2,
  IF(AM59="",
    "",
    SUM(1/(1+POWER(10,-(AM58-_xlpm.elos)/_xlpm.diffscale)))-0.5)
)</f>
        <v/>
      </c>
    </row>
    <row r="61" spans="1:39" x14ac:dyDescent="0.25">
      <c r="A61" t="s">
        <v>22</v>
      </c>
      <c r="D61" t="str" cm="1">
        <f t="array" ref="D61">_xlfn.LET(
  _xlpm.K, Constantes!$B$3,
  _xlpm.Knewgain, Constantes!$B$4,
  _xlpm.Knewscale, Constantes!$B$5,
  _xlpm.ptstables, INDEX(D:D, _xlfn.SEQUENCE(COUNTA($C$2:$C61), 1, 3, 4)),
  _xlpm.nbparties, COUNTA(_xlfn._xlws.FILTER(_xlpm.ptstables, _xlpm.ptstables &lt;&gt; "")),
  _xlpm.coef, _xlpm.K + _xlpm.Knewgain / (_xlpm.Knewscale + _xlpm.nbparties),
  IF(D59="",
    "",
    _xlpm.coef * (D59-D60))
)</f>
        <v/>
      </c>
      <c r="E61" t="str" cm="1">
        <f t="array" ref="E61">_xlfn.LET(
  _xlpm.K, Constantes!$B$3,
  _xlpm.Knewgain, Constantes!$B$4,
  _xlpm.Knewscale, Constantes!$B$5,
  _xlpm.ptstables, INDEX(E:E, _xlfn.SEQUENCE(COUNTA($C$2:$C61), 1, 3, 4)),
  _xlpm.nbparties, COUNTA(_xlfn._xlws.FILTER(_xlpm.ptstables, _xlpm.ptstables &lt;&gt; "")),
  _xlpm.coef, _xlpm.K + _xlpm.Knewgain / (_xlpm.Knewscale + _xlpm.nbparties),
  IF(E59="",
    "",
    _xlpm.coef * (E59-E60))
)</f>
        <v/>
      </c>
      <c r="F61" t="str" cm="1">
        <f t="array" ref="F61">_xlfn.LET(
  _xlpm.K, Constantes!$B$3,
  _xlpm.Knewgain, Constantes!$B$4,
  _xlpm.Knewscale, Constantes!$B$5,
  _xlpm.ptstables, INDEX(F:F, _xlfn.SEQUENCE(COUNTA($C$2:$C61), 1, 3, 4)),
  _xlpm.nbparties, COUNTA(_xlfn._xlws.FILTER(_xlpm.ptstables, _xlpm.ptstables &lt;&gt; "")),
  _xlpm.coef, _xlpm.K + _xlpm.Knewgain / (_xlpm.Knewscale + _xlpm.nbparties),
  IF(F59="",
    "",
    _xlpm.coef * (F59-F60))
)</f>
        <v/>
      </c>
      <c r="G61" t="str" cm="1">
        <f t="array" ref="G61">_xlfn.LET(
  _xlpm.K, Constantes!$B$3,
  _xlpm.Knewgain, Constantes!$B$4,
  _xlpm.Knewscale, Constantes!$B$5,
  _xlpm.ptstables, INDEX(G:G, _xlfn.SEQUENCE(COUNTA($C$2:$C61), 1, 3, 4)),
  _xlpm.nbparties, COUNTA(_xlfn._xlws.FILTER(_xlpm.ptstables, _xlpm.ptstables &lt;&gt; "")),
  _xlpm.coef, _xlpm.K + _xlpm.Knewgain / (_xlpm.Knewscale + _xlpm.nbparties),
  IF(G59="",
    "",
    _xlpm.coef * (G59-G60))
)</f>
        <v/>
      </c>
      <c r="H61" cm="1">
        <f t="array" ref="H61">_xlfn.LET(
  _xlpm.K, Constantes!$B$3,
  _xlpm.Knewgain, Constantes!$B$4,
  _xlpm.Knewscale, Constantes!$B$5,
  _xlpm.ptstables, INDEX(H:H, _xlfn.SEQUENCE(COUNTA($C$2:$C61), 1, 3, 4)),
  _xlpm.nbparties, COUNTA(_xlfn._xlws.FILTER(_xlpm.ptstables, _xlpm.ptstables &lt;&gt; "")),
  _xlpm.coef, _xlpm.K + _xlpm.Knewgain / (_xlpm.Knewscale + _xlpm.nbparties),
  IF(H59="",
    "",
    _xlpm.coef * (H59-H60))
)</f>
        <v>43.895411554551217</v>
      </c>
      <c r="I61" t="str" cm="1">
        <f t="array" ref="I61">_xlfn.LET(
  _xlpm.K, Constantes!$B$3,
  _xlpm.Knewgain, Constantes!$B$4,
  _xlpm.Knewscale, Constantes!$B$5,
  _xlpm.ptstables, INDEX(I:I, _xlfn.SEQUENCE(COUNTA($C$2:$C61), 1, 3, 4)),
  _xlpm.nbparties, COUNTA(_xlfn._xlws.FILTER(_xlpm.ptstables, _xlpm.ptstables &lt;&gt; "")),
  _xlpm.coef, _xlpm.K + _xlpm.Knewgain / (_xlpm.Knewscale + _xlpm.nbparties),
  IF(I59="",
    "",
    _xlpm.coef * (I59-I60))
)</f>
        <v/>
      </c>
      <c r="J61" t="str" cm="1">
        <f t="array" ref="J61">_xlfn.LET(
  _xlpm.K, Constantes!$B$3,
  _xlpm.Knewgain, Constantes!$B$4,
  _xlpm.Knewscale, Constantes!$B$5,
  _xlpm.ptstables, INDEX(J:J, _xlfn.SEQUENCE(COUNTA($C$2:$C61), 1, 3, 4)),
  _xlpm.nbparties, COUNTA(_xlfn._xlws.FILTER(_xlpm.ptstables, _xlpm.ptstables &lt;&gt; "")),
  _xlpm.coef, _xlpm.K + _xlpm.Knewgain / (_xlpm.Knewscale + _xlpm.nbparties),
  IF(J59="",
    "",
    _xlpm.coef * (J59-J60))
)</f>
        <v/>
      </c>
      <c r="K61" cm="1">
        <f t="array" ref="K61">_xlfn.LET(
  _xlpm.K, Constantes!$B$3,
  _xlpm.Knewgain, Constantes!$B$4,
  _xlpm.Knewscale, Constantes!$B$5,
  _xlpm.ptstables, INDEX(K:K, _xlfn.SEQUENCE(COUNTA($C$2:$C61), 1, 3, 4)),
  _xlpm.nbparties, COUNTA(_xlfn._xlws.FILTER(_xlpm.ptstables, _xlpm.ptstables &lt;&gt; "")),
  _xlpm.coef, _xlpm.K + _xlpm.Knewgain / (_xlpm.Knewscale + _xlpm.nbparties),
  IF(K59="",
    "",
    _xlpm.coef * (K59-K60))
)</f>
        <v>-46.563390024489387</v>
      </c>
      <c r="L61" t="str" cm="1">
        <f t="array" ref="L61">_xlfn.LET(
  _xlpm.K, Constantes!$B$3,
  _xlpm.Knewgain, Constantes!$B$4,
  _xlpm.Knewscale, Constantes!$B$5,
  _xlpm.ptstables, INDEX(L:L, _xlfn.SEQUENCE(COUNTA($C$2:$C61), 1, 3, 4)),
  _xlpm.nbparties, COUNTA(_xlfn._xlws.FILTER(_xlpm.ptstables, _xlpm.ptstables &lt;&gt; "")),
  _xlpm.coef, _xlpm.K + _xlpm.Knewgain / (_xlpm.Knewscale + _xlpm.nbparties),
  IF(L59="",
    "",
    _xlpm.coef * (L59-L60))
)</f>
        <v/>
      </c>
      <c r="M61" t="str" cm="1">
        <f t="array" ref="M61">_xlfn.LET(
  _xlpm.K, Constantes!$B$3,
  _xlpm.Knewgain, Constantes!$B$4,
  _xlpm.Knewscale, Constantes!$B$5,
  _xlpm.ptstables, INDEX(M:M, _xlfn.SEQUENCE(COUNTA($C$2:$C61), 1, 3, 4)),
  _xlpm.nbparties, COUNTA(_xlfn._xlws.FILTER(_xlpm.ptstables, _xlpm.ptstables &lt;&gt; "")),
  _xlpm.coef, _xlpm.K + _xlpm.Knewgain / (_xlpm.Knewscale + _xlpm.nbparties),
  IF(M59="",
    "",
    _xlpm.coef * (M59-M60))
)</f>
        <v/>
      </c>
      <c r="N61" t="str" cm="1">
        <f t="array" ref="N61">_xlfn.LET(
  _xlpm.K, Constantes!$B$3,
  _xlpm.Knewgain, Constantes!$B$4,
  _xlpm.Knewscale, Constantes!$B$5,
  _xlpm.ptstables, INDEX(N:N, _xlfn.SEQUENCE(COUNTA($C$2:$C61), 1, 3, 4)),
  _xlpm.nbparties, COUNTA(_xlfn._xlws.FILTER(_xlpm.ptstables, _xlpm.ptstables &lt;&gt; "")),
  _xlpm.coef, _xlpm.K + _xlpm.Knewgain / (_xlpm.Knewscale + _xlpm.nbparties),
  IF(N59="",
    "",
    _xlpm.coef * (N59-N60))
)</f>
        <v/>
      </c>
      <c r="O61" cm="1">
        <f t="array" ref="O61">_xlfn.LET(
  _xlpm.K, Constantes!$B$3,
  _xlpm.Knewgain, Constantes!$B$4,
  _xlpm.Knewscale, Constantes!$B$5,
  _xlpm.ptstables, INDEX(O:O, _xlfn.SEQUENCE(COUNTA($C$2:$C61), 1, 3, 4)),
  _xlpm.nbparties, COUNTA(_xlfn._xlws.FILTER(_xlpm.ptstables, _xlpm.ptstables &lt;&gt; "")),
  _xlpm.coef, _xlpm.K + _xlpm.Knewgain / (_xlpm.Knewscale + _xlpm.nbparties),
  IF(O59="",
    "",
    _xlpm.coef * (O59-O60))
)</f>
        <v>-37.899246756771859</v>
      </c>
      <c r="P61" t="str" cm="1">
        <f t="array" ref="P61">_xlfn.LET(
  _xlpm.K, Constantes!$B$3,
  _xlpm.Knewgain, Constantes!$B$4,
  _xlpm.Knewscale, Constantes!$B$5,
  _xlpm.ptstables, INDEX(P:P, _xlfn.SEQUENCE(COUNTA($C$2:$C61), 1, 3, 4)),
  _xlpm.nbparties, COUNTA(_xlfn._xlws.FILTER(_xlpm.ptstables, _xlpm.ptstables &lt;&gt; "")),
  _xlpm.coef, _xlpm.K + _xlpm.Knewgain / (_xlpm.Knewscale + _xlpm.nbparties),
  IF(P59="",
    "",
    _xlpm.coef * (P59-P60))
)</f>
        <v/>
      </c>
      <c r="Q61" t="str" cm="1">
        <f t="array" ref="Q61">_xlfn.LET(
  _xlpm.K, Constantes!$B$3,
  _xlpm.Knewgain, Constantes!$B$4,
  _xlpm.Knewscale, Constantes!$B$5,
  _xlpm.ptstables, INDEX(Q:Q, _xlfn.SEQUENCE(COUNTA($C$2:$C61), 1, 3, 4)),
  _xlpm.nbparties, COUNTA(_xlfn._xlws.FILTER(_xlpm.ptstables, _xlpm.ptstables &lt;&gt; "")),
  _xlpm.coef, _xlpm.K + _xlpm.Knewgain / (_xlpm.Knewscale + _xlpm.nbparties),
  IF(Q59="",
    "",
    _xlpm.coef * (Q59-Q60))
)</f>
        <v/>
      </c>
      <c r="R61" t="str" cm="1">
        <f t="array" ref="R61">_xlfn.LET(
  _xlpm.K, Constantes!$B$3,
  _xlpm.Knewgain, Constantes!$B$4,
  _xlpm.Knewscale, Constantes!$B$5,
  _xlpm.ptstables, INDEX(R:R, _xlfn.SEQUENCE(COUNTA($C$2:$C61), 1, 3, 4)),
  _xlpm.nbparties, COUNTA(_xlfn._xlws.FILTER(_xlpm.ptstables, _xlpm.ptstables &lt;&gt; "")),
  _xlpm.coef, _xlpm.K + _xlpm.Knewgain / (_xlpm.Knewscale + _xlpm.nbparties),
  IF(R59="",
    "",
    _xlpm.coef * (R59-R60))
)</f>
        <v/>
      </c>
      <c r="S61" t="str" cm="1">
        <f t="array" ref="S61">_xlfn.LET(
  _xlpm.K, Constantes!$B$3,
  _xlpm.Knewgain, Constantes!$B$4,
  _xlpm.Knewscale, Constantes!$B$5,
  _xlpm.ptstables, INDEX(S:S, _xlfn.SEQUENCE(COUNTA($C$2:$C61), 1, 3, 4)),
  _xlpm.nbparties, COUNTA(_xlfn._xlws.FILTER(_xlpm.ptstables, _xlpm.ptstables &lt;&gt; "")),
  _xlpm.coef, _xlpm.K + _xlpm.Knewgain / (_xlpm.Knewscale + _xlpm.nbparties),
  IF(S59="",
    "",
    _xlpm.coef * (S59-S60))
)</f>
        <v/>
      </c>
      <c r="T61" t="str" cm="1">
        <f t="array" ref="T61">_xlfn.LET(
  _xlpm.K, Constantes!$B$3,
  _xlpm.Knewgain, Constantes!$B$4,
  _xlpm.Knewscale, Constantes!$B$5,
  _xlpm.ptstables, INDEX(T:T, _xlfn.SEQUENCE(COUNTA($C$2:$C61), 1, 3, 4)),
  _xlpm.nbparties, COUNTA(_xlfn._xlws.FILTER(_xlpm.ptstables, _xlpm.ptstables &lt;&gt; "")),
  _xlpm.coef, _xlpm.K + _xlpm.Knewgain / (_xlpm.Knewscale + _xlpm.nbparties),
  IF(T59="",
    "",
    _xlpm.coef * (T59-T60))
)</f>
        <v/>
      </c>
      <c r="U61" t="str" cm="1">
        <f t="array" ref="U61">_xlfn.LET(
  _xlpm.K, Constantes!$B$3,
  _xlpm.Knewgain, Constantes!$B$4,
  _xlpm.Knewscale, Constantes!$B$5,
  _xlpm.ptstables, INDEX(U:U, _xlfn.SEQUENCE(COUNTA($C$2:$C61), 1, 3, 4)),
  _xlpm.nbparties, COUNTA(_xlfn._xlws.FILTER(_xlpm.ptstables, _xlpm.ptstables &lt;&gt; "")),
  _xlpm.coef, _xlpm.K + _xlpm.Knewgain / (_xlpm.Knewscale + _xlpm.nbparties),
  IF(U59="",
    "",
    _xlpm.coef * (U59-U60))
)</f>
        <v/>
      </c>
      <c r="V61" t="str" cm="1">
        <f t="array" ref="V61">_xlfn.LET(
  _xlpm.K, Constantes!$B$3,
  _xlpm.Knewgain, Constantes!$B$4,
  _xlpm.Knewscale, Constantes!$B$5,
  _xlpm.ptstables, INDEX(V:V, _xlfn.SEQUENCE(COUNTA($C$2:$C61), 1, 3, 4)),
  _xlpm.nbparties, COUNTA(_xlfn._xlws.FILTER(_xlpm.ptstables, _xlpm.ptstables &lt;&gt; "")),
  _xlpm.coef, _xlpm.K + _xlpm.Knewgain / (_xlpm.Knewscale + _xlpm.nbparties),
  IF(V59="",
    "",
    _xlpm.coef * (V59-V60))
)</f>
        <v/>
      </c>
      <c r="W61" t="str" cm="1">
        <f t="array" ref="W61">_xlfn.LET(
  _xlpm.K, Constantes!$B$3,
  _xlpm.Knewgain, Constantes!$B$4,
  _xlpm.Knewscale, Constantes!$B$5,
  _xlpm.ptstables, INDEX(W:W, _xlfn.SEQUENCE(COUNTA($C$2:$C61), 1, 3, 4)),
  _xlpm.nbparties, COUNTA(_xlfn._xlws.FILTER(_xlpm.ptstables, _xlpm.ptstables &lt;&gt; "")),
  _xlpm.coef, _xlpm.K + _xlpm.Knewgain / (_xlpm.Knewscale + _xlpm.nbparties),
  IF(W59="",
    "",
    _xlpm.coef * (W59-W60))
)</f>
        <v/>
      </c>
      <c r="X61" t="str" cm="1">
        <f t="array" ref="X61">_xlfn.LET(
  _xlpm.K, Constantes!$B$3,
  _xlpm.Knewgain, Constantes!$B$4,
  _xlpm.Knewscale, Constantes!$B$5,
  _xlpm.ptstables, INDEX(X:X, _xlfn.SEQUENCE(COUNTA($C$2:$C61), 1, 3, 4)),
  _xlpm.nbparties, COUNTA(_xlfn._xlws.FILTER(_xlpm.ptstables, _xlpm.ptstables &lt;&gt; "")),
  _xlpm.coef, _xlpm.K + _xlpm.Knewgain / (_xlpm.Knewscale + _xlpm.nbparties),
  IF(X59="",
    "",
    _xlpm.coef * (X59-X60))
)</f>
        <v/>
      </c>
      <c r="Y61" cm="1">
        <f t="array" ref="Y61">_xlfn.LET(
  _xlpm.K, Constantes!$B$3,
  _xlpm.Knewgain, Constantes!$B$4,
  _xlpm.Knewscale, Constantes!$B$5,
  _xlpm.ptstables, INDEX(Y:Y, _xlfn.SEQUENCE(COUNTA($C$2:$C61), 1, 3, 4)),
  _xlpm.nbparties, COUNTA(_xlfn._xlws.FILTER(_xlpm.ptstables, _xlpm.ptstables &lt;&gt; "")),
  _xlpm.coef, _xlpm.K + _xlpm.Knewgain / (_xlpm.Knewscale + _xlpm.nbparties),
  IF(Y59="",
    "",
    _xlpm.coef * (Y59-Y60))
)</f>
        <v>36.782354713453685</v>
      </c>
      <c r="Z61" t="str" cm="1">
        <f t="array" ref="Z61">_xlfn.LET(
  _xlpm.K, Constantes!$B$3,
  _xlpm.Knewgain, Constantes!$B$4,
  _xlpm.Knewscale, Constantes!$B$5,
  _xlpm.ptstables, INDEX(Z:Z, _xlfn.SEQUENCE(COUNTA($C$2:$C61), 1, 3, 4)),
  _xlpm.nbparties, COUNTA(_xlfn._xlws.FILTER(_xlpm.ptstables, _xlpm.ptstables &lt;&gt; "")),
  _xlpm.coef, _xlpm.K + _xlpm.Knewgain / (_xlpm.Knewscale + _xlpm.nbparties),
  IF(Z59="",
    "",
    _xlpm.coef * (Z59-Z60))
)</f>
        <v/>
      </c>
      <c r="AA61" t="str" cm="1">
        <f t="array" ref="AA61">_xlfn.LET(
  _xlpm.K, Constantes!$B$3,
  _xlpm.Knewgain, Constantes!$B$4,
  _xlpm.Knewscale, Constantes!$B$5,
  _xlpm.ptstables, INDEX(AA:AA, _xlfn.SEQUENCE(COUNTA($C$2:$C61), 1, 3, 4)),
  _xlpm.nbparties, COUNTA(_xlfn._xlws.FILTER(_xlpm.ptstables, _xlpm.ptstables &lt;&gt; "")),
  _xlpm.coef, _xlpm.K + _xlpm.Knewgain / (_xlpm.Knewscale + _xlpm.nbparties),
  IF(AA59="",
    "",
    _xlpm.coef * (AA59-AA60))
)</f>
        <v/>
      </c>
      <c r="AB61" t="str" cm="1">
        <f t="array" ref="AB61">_xlfn.LET(
  _xlpm.K, Constantes!$B$3,
  _xlpm.Knewgain, Constantes!$B$4,
  _xlpm.Knewscale, Constantes!$B$5,
  _xlpm.ptstables, INDEX(AB:AB, _xlfn.SEQUENCE(COUNTA($C$2:$C61), 1, 3, 4)),
  _xlpm.nbparties, COUNTA(_xlfn._xlws.FILTER(_xlpm.ptstables, _xlpm.ptstables &lt;&gt; "")),
  _xlpm.coef, _xlpm.K + _xlpm.Knewgain / (_xlpm.Knewscale + _xlpm.nbparties),
  IF(AB59="",
    "",
    _xlpm.coef * (AB59-AB60))
)</f>
        <v/>
      </c>
      <c r="AC61" t="str" cm="1">
        <f t="array" ref="AC61">_xlfn.LET(
  _xlpm.K, Constantes!$B$3,
  _xlpm.Knewgain, Constantes!$B$4,
  _xlpm.Knewscale, Constantes!$B$5,
  _xlpm.ptstables, INDEX(AC:AC, _xlfn.SEQUENCE(COUNTA($C$2:$C61), 1, 3, 4)),
  _xlpm.nbparties, COUNTA(_xlfn._xlws.FILTER(_xlpm.ptstables, _xlpm.ptstables &lt;&gt; "")),
  _xlpm.coef, _xlpm.K + _xlpm.Knewgain / (_xlpm.Knewscale + _xlpm.nbparties),
  IF(AC59="",
    "",
    _xlpm.coef * (AC59-AC60))
)</f>
        <v/>
      </c>
      <c r="AD61" t="str" cm="1">
        <f t="array" ref="AD61">_xlfn.LET(
  _xlpm.K, Constantes!$B$3,
  _xlpm.Knewgain, Constantes!$B$4,
  _xlpm.Knewscale, Constantes!$B$5,
  _xlpm.ptstables, INDEX(AD:AD, _xlfn.SEQUENCE(COUNTA($C$2:$C61), 1, 3, 4)),
  _xlpm.nbparties, COUNTA(_xlfn._xlws.FILTER(_xlpm.ptstables, _xlpm.ptstables &lt;&gt; "")),
  _xlpm.coef, _xlpm.K + _xlpm.Knewgain / (_xlpm.Knewscale + _xlpm.nbparties),
  IF(AD59="",
    "",
    _xlpm.coef * (AD59-AD60))
)</f>
        <v/>
      </c>
      <c r="AE61" t="str" cm="1">
        <f t="array" ref="AE61">_xlfn.LET(
  _xlpm.K, Constantes!$B$3,
  _xlpm.Knewgain, Constantes!$B$4,
  _xlpm.Knewscale, Constantes!$B$5,
  _xlpm.ptstables, INDEX(AE:AE, _xlfn.SEQUENCE(COUNTA($C$2:$C61), 1, 3, 4)),
  _xlpm.nbparties, COUNTA(_xlfn._xlws.FILTER(_xlpm.ptstables, _xlpm.ptstables &lt;&gt; "")),
  _xlpm.coef, _xlpm.K + _xlpm.Knewgain / (_xlpm.Knewscale + _xlpm.nbparties),
  IF(AE59="",
    "",
    _xlpm.coef * (AE59-AE60))
)</f>
        <v/>
      </c>
      <c r="AF61" t="str" cm="1">
        <f t="array" ref="AF61">_xlfn.LET(
  _xlpm.K, Constantes!$B$3,
  _xlpm.Knewgain, Constantes!$B$4,
  _xlpm.Knewscale, Constantes!$B$5,
  _xlpm.ptstables, INDEX(AF:AF, _xlfn.SEQUENCE(COUNTA($C$2:$C61), 1, 3, 4)),
  _xlpm.nbparties, COUNTA(_xlfn._xlws.FILTER(_xlpm.ptstables, _xlpm.ptstables &lt;&gt; "")),
  _xlpm.coef, _xlpm.K + _xlpm.Knewgain / (_xlpm.Knewscale + _xlpm.nbparties),
  IF(AF59="",
    "",
    _xlpm.coef * (AF59-AF60))
)</f>
        <v/>
      </c>
      <c r="AG61" t="str" cm="1">
        <f t="array" ref="AG61">_xlfn.LET(
  _xlpm.K, Constantes!$B$3,
  _xlpm.Knewgain, Constantes!$B$4,
  _xlpm.Knewscale, Constantes!$B$5,
  _xlpm.ptstables, INDEX(AG:AG, _xlfn.SEQUENCE(COUNTA($C$2:$C61), 1, 3, 4)),
  _xlpm.nbparties, COUNTA(_xlfn._xlws.FILTER(_xlpm.ptstables, _xlpm.ptstables &lt;&gt; "")),
  _xlpm.coef, _xlpm.K + _xlpm.Knewgain / (_xlpm.Knewscale + _xlpm.nbparties),
  IF(AG59="",
    "",
    _xlpm.coef * (AG59-AG60))
)</f>
        <v/>
      </c>
      <c r="AH61" t="str" cm="1">
        <f t="array" ref="AH61">_xlfn.LET(
  _xlpm.K, Constantes!$B$3,
  _xlpm.Knewgain, Constantes!$B$4,
  _xlpm.Knewscale, Constantes!$B$5,
  _xlpm.ptstables, INDEX(AH:AH, _xlfn.SEQUENCE(COUNTA($C$2:$C61), 1, 3, 4)),
  _xlpm.nbparties, COUNTA(_xlfn._xlws.FILTER(_xlpm.ptstables, _xlpm.ptstables &lt;&gt; "")),
  _xlpm.coef, _xlpm.K + _xlpm.Knewgain / (_xlpm.Knewscale + _xlpm.nbparties),
  IF(AH59="",
    "",
    _xlpm.coef * (AH59-AH60))
)</f>
        <v/>
      </c>
      <c r="AI61" t="str" cm="1">
        <f t="array" ref="AI61">_xlfn.LET(
  _xlpm.K, Constantes!$B$3,
  _xlpm.Knewgain, Constantes!$B$4,
  _xlpm.Knewscale, Constantes!$B$5,
  _xlpm.ptstables, INDEX(AI:AI, _xlfn.SEQUENCE(COUNTA($C$2:$C61), 1, 3, 4)),
  _xlpm.nbparties, COUNTA(_xlfn._xlws.FILTER(_xlpm.ptstables, _xlpm.ptstables &lt;&gt; "")),
  _xlpm.coef, _xlpm.K + _xlpm.Knewgain / (_xlpm.Knewscale + _xlpm.nbparties),
  IF(AI59="",
    "",
    _xlpm.coef * (AI59-AI60))
)</f>
        <v/>
      </c>
      <c r="AJ61" t="str" cm="1">
        <f t="array" ref="AJ61">_xlfn.LET(
  _xlpm.K, Constantes!$B$3,
  _xlpm.Knewgain, Constantes!$B$4,
  _xlpm.Knewscale, Constantes!$B$5,
  _xlpm.ptstables, INDEX(AJ:AJ, _xlfn.SEQUENCE(COUNTA($C$2:$C61), 1, 3, 4)),
  _xlpm.nbparties, COUNTA(_xlfn._xlws.FILTER(_xlpm.ptstables, _xlpm.ptstables &lt;&gt; "")),
  _xlpm.coef, _xlpm.K + _xlpm.Knewgain / (_xlpm.Knewscale + _xlpm.nbparties),
  IF(AJ59="",
    "",
    _xlpm.coef * (AJ59-AJ60))
)</f>
        <v/>
      </c>
      <c r="AK61" t="str" cm="1">
        <f t="array" ref="AK61">_xlfn.LET(
  _xlpm.K, Constantes!$B$3,
  _xlpm.Knewgain, Constantes!$B$4,
  _xlpm.Knewscale, Constantes!$B$5,
  _xlpm.ptstables, INDEX(AK:AK, _xlfn.SEQUENCE(COUNTA($C$2:$C61), 1, 3, 4)),
  _xlpm.nbparties, COUNTA(_xlfn._xlws.FILTER(_xlpm.ptstables, _xlpm.ptstables &lt;&gt; "")),
  _xlpm.coef, _xlpm.K + _xlpm.Knewgain / (_xlpm.Knewscale + _xlpm.nbparties),
  IF(AK59="",
    "",
    _xlpm.coef * (AK59-AK60))
)</f>
        <v/>
      </c>
      <c r="AL61" t="str" cm="1">
        <f t="array" ref="AL61">_xlfn.LET(
  _xlpm.K, Constantes!$B$3,
  _xlpm.Knewgain, Constantes!$B$4,
  _xlpm.Knewscale, Constantes!$B$5,
  _xlpm.ptstables, INDEX(AL:AL, _xlfn.SEQUENCE(COUNTA($C$2:$C61), 1, 3, 4)),
  _xlpm.nbparties, COUNTA(_xlfn._xlws.FILTER(_xlpm.ptstables, _xlpm.ptstables &lt;&gt; "")),
  _xlpm.coef, _xlpm.K + _xlpm.Knewgain / (_xlpm.Knewscale + _xlpm.nbparties),
  IF(AL59="",
    "",
    _xlpm.coef * (AL59-AL60))
)</f>
        <v/>
      </c>
      <c r="AM61" t="str" cm="1">
        <f t="array" ref="AM61">_xlfn.LET(
  _xlpm.K, Constantes!$B$3,
  _xlpm.Knewgain, Constantes!$B$4,
  _xlpm.Knewscale, Constantes!$B$5,
  _xlpm.ptstables, INDEX(AM:AM, _xlfn.SEQUENCE(COUNTA($C$2:$C61), 1, 3, 4)),
  _xlpm.nbparties, COUNTA(_xlfn._xlws.FILTER(_xlpm.ptstables, _xlpm.ptstables &lt;&gt; "")),
  _xlpm.coef, _xlpm.K + _xlpm.Knewgain / (_xlpm.Knewscale + _xlpm.nbparties),
  IF(AM59="",
    "",
    _xlpm.coef * (AM59-AM60))
)</f>
        <v/>
      </c>
    </row>
    <row r="62" spans="1:39" x14ac:dyDescent="0.25">
      <c r="A62" t="s">
        <v>14</v>
      </c>
      <c r="B62" t="str" cm="1">
        <f t="array" ref="B6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12</v>
      </c>
      <c r="C62" s="2" cm="1">
        <f t="array" ref="C62">IF(B62="","",
  INDEX(Donnees!F:F, MATCH(B62, Donnees!F:F, 0)+1))</f>
        <v>45913.695914351854</v>
      </c>
      <c r="D62">
        <f t="shared" ref="D62:AM62" si="23">D58+IF(D61="",0,D61)</f>
        <v>1076.8302676196515</v>
      </c>
      <c r="E62">
        <f t="shared" si="23"/>
        <v>1195.5659811510693</v>
      </c>
      <c r="F62">
        <f t="shared" si="23"/>
        <v>909.87928229209808</v>
      </c>
      <c r="G62">
        <f t="shared" si="23"/>
        <v>1047.1181518097756</v>
      </c>
      <c r="H62">
        <f t="shared" si="23"/>
        <v>1020.3453983892952</v>
      </c>
      <c r="I62">
        <f t="shared" si="23"/>
        <v>1079.4580211094492</v>
      </c>
      <c r="J62">
        <f t="shared" si="23"/>
        <v>938.49433816478961</v>
      </c>
      <c r="K62">
        <f t="shared" si="23"/>
        <v>911.11415590373872</v>
      </c>
      <c r="L62">
        <f t="shared" si="23"/>
        <v>878.7153998467162</v>
      </c>
      <c r="M62">
        <f t="shared" si="23"/>
        <v>965.238738457664</v>
      </c>
      <c r="N62">
        <f t="shared" si="23"/>
        <v>937.60806294499946</v>
      </c>
      <c r="O62">
        <f t="shared" si="23"/>
        <v>1030.4363831507294</v>
      </c>
      <c r="P62">
        <f t="shared" si="23"/>
        <v>951.87653483423549</v>
      </c>
      <c r="Q62">
        <f t="shared" si="23"/>
        <v>985.54250487050535</v>
      </c>
      <c r="R62">
        <f t="shared" si="23"/>
        <v>1031.2466936225237</v>
      </c>
      <c r="S62">
        <f t="shared" si="23"/>
        <v>965.3351737140199</v>
      </c>
      <c r="T62">
        <f t="shared" si="23"/>
        <v>1086.1127681588928</v>
      </c>
      <c r="U62">
        <f t="shared" si="23"/>
        <v>1059.3016239317653</v>
      </c>
      <c r="V62">
        <f t="shared" si="23"/>
        <v>943.32697525941398</v>
      </c>
      <c r="W62">
        <f t="shared" si="23"/>
        <v>1000</v>
      </c>
      <c r="X62">
        <f t="shared" si="23"/>
        <v>852.64794693163367</v>
      </c>
      <c r="Y62">
        <f t="shared" si="23"/>
        <v>913.98582058905436</v>
      </c>
      <c r="Z62">
        <f t="shared" si="23"/>
        <v>991.11904139672549</v>
      </c>
      <c r="AA62">
        <f t="shared" si="23"/>
        <v>1000</v>
      </c>
      <c r="AB62">
        <f t="shared" si="23"/>
        <v>979.56500000000005</v>
      </c>
      <c r="AC62">
        <f t="shared" si="23"/>
        <v>1032.51</v>
      </c>
      <c r="AD62">
        <f t="shared" si="23"/>
        <v>974.01499999999999</v>
      </c>
      <c r="AE62">
        <f t="shared" si="23"/>
        <v>1011.415</v>
      </c>
      <c r="AF62">
        <f t="shared" si="23"/>
        <v>1031.1199999999999</v>
      </c>
      <c r="AG62">
        <f t="shared" si="23"/>
        <v>1001.0350000000001</v>
      </c>
      <c r="AH62">
        <f t="shared" si="23"/>
        <v>994.44</v>
      </c>
      <c r="AI62">
        <f t="shared" si="23"/>
        <v>1000</v>
      </c>
      <c r="AJ62">
        <f t="shared" si="23"/>
        <v>957.2</v>
      </c>
      <c r="AK62">
        <f t="shared" si="23"/>
        <v>1000</v>
      </c>
      <c r="AL62">
        <f t="shared" si="23"/>
        <v>1055.9299999999998</v>
      </c>
      <c r="AM62">
        <f t="shared" si="23"/>
        <v>1000</v>
      </c>
    </row>
    <row r="63" spans="1:39" x14ac:dyDescent="0.25">
      <c r="A63" t="s">
        <v>21</v>
      </c>
      <c r="D63" cm="1">
        <f t="array" ref="D63">IFERROR(
  _xlfn.LET(
    _xlpm.ligpartie, MATCH($B62, Donnees!$F:$F, 0),
    _xlpm.joueurs, INDEX(Donnees!$A:$Z, _xlpm.ligpartie+1, _xlfn.SEQUENCE(1, 4, 2)),
    INDEX(
      Donnees!$A:$Z,
      _xlpm.ligpartie + 3,
      MATCH(D$1, _xlpm.joueurs, 0) + 1
    )
  ), ""
)</f>
        <v>3</v>
      </c>
      <c r="E63" t="str" cm="1">
        <f t="array" ref="E63">IFERROR(
  _xlfn.LET(
    _xlpm.ligpartie, MATCH($B62, Donnees!$F:$F, 0),
    _xlpm.joueurs, INDEX(Donnees!$A:$Z, _xlpm.ligpartie+1, _xlfn.SEQUENCE(1, 4, 2)),
    INDEX(
      Donnees!$A:$Z,
      _xlpm.ligpartie + 3,
      MATCH(E$1, _xlpm.joueurs, 0) + 1
    )
  ), ""
)</f>
        <v/>
      </c>
      <c r="F63" t="str" cm="1">
        <f t="array" ref="F63">IFERROR(
  _xlfn.LET(
    _xlpm.ligpartie, MATCH($B62, Donnees!$F:$F, 0),
    _xlpm.joueurs, INDEX(Donnees!$A:$Z, _xlpm.ligpartie+1, _xlfn.SEQUENCE(1, 4, 2)),
    INDEX(
      Donnees!$A:$Z,
      _xlpm.ligpartie + 3,
      MATCH(F$1, _xlpm.joueurs, 0) + 1
    )
  ), ""
)</f>
        <v/>
      </c>
      <c r="G63" cm="1">
        <f t="array" ref="G63">IFERROR(
  _xlfn.LET(
    _xlpm.ligpartie, MATCH($B62, Donnees!$F:$F, 0),
    _xlpm.joueurs, INDEX(Donnees!$A:$Z, _xlpm.ligpartie+1, _xlfn.SEQUENCE(1, 4, 2)),
    INDEX(
      Donnees!$A:$Z,
      _xlpm.ligpartie + 3,
      MATCH(G$1, _xlpm.joueurs, 0) + 1
    )
  ), ""
)</f>
        <v>1</v>
      </c>
      <c r="H63" t="str" cm="1">
        <f t="array" ref="H63">IFERROR(
  _xlfn.LET(
    _xlpm.ligpartie, MATCH($B62, Donnees!$F:$F, 0),
    _xlpm.joueurs, INDEX(Donnees!$A:$Z, _xlpm.ligpartie+1, _xlfn.SEQUENCE(1, 4, 2)),
    INDEX(
      Donnees!$A:$Z,
      _xlpm.ligpartie + 3,
      MATCH(H$1, _xlpm.joueurs, 0) + 1
    )
  ), ""
)</f>
        <v/>
      </c>
      <c r="I63" t="str" cm="1">
        <f t="array" ref="I63">IFERROR(
  _xlfn.LET(
    _xlpm.ligpartie, MATCH($B62, Donnees!$F:$F, 0),
    _xlpm.joueurs, INDEX(Donnees!$A:$Z, _xlpm.ligpartie+1, _xlfn.SEQUENCE(1, 4, 2)),
    INDEX(
      Donnees!$A:$Z,
      _xlpm.ligpartie + 3,
      MATCH(I$1, _xlpm.joueurs, 0) + 1
    )
  ), ""
)</f>
        <v/>
      </c>
      <c r="J63" t="str" cm="1">
        <f t="array" ref="J63">IFERROR(
  _xlfn.LET(
    _xlpm.ligpartie, MATCH($B62, Donnees!$F:$F, 0),
    _xlpm.joueurs, INDEX(Donnees!$A:$Z, _xlpm.ligpartie+1, _xlfn.SEQUENCE(1, 4, 2)),
    INDEX(
      Donnees!$A:$Z,
      _xlpm.ligpartie + 3,
      MATCH(J$1, _xlpm.joueurs, 0) + 1
    )
  ), ""
)</f>
        <v/>
      </c>
      <c r="K63" t="str" cm="1">
        <f t="array" ref="K63">IFERROR(
  _xlfn.LET(
    _xlpm.ligpartie, MATCH($B62, Donnees!$F:$F, 0),
    _xlpm.joueurs, INDEX(Donnees!$A:$Z, _xlpm.ligpartie+1, _xlfn.SEQUENCE(1, 4, 2)),
    INDEX(
      Donnees!$A:$Z,
      _xlpm.ligpartie + 3,
      MATCH(K$1, _xlpm.joueurs, 0) + 1
    )
  ), ""
)</f>
        <v/>
      </c>
      <c r="L63" t="str" cm="1">
        <f t="array" ref="L63">IFERROR(
  _xlfn.LET(
    _xlpm.ligpartie, MATCH($B62, Donnees!$F:$F, 0),
    _xlpm.joueurs, INDEX(Donnees!$A:$Z, _xlpm.ligpartie+1, _xlfn.SEQUENCE(1, 4, 2)),
    INDEX(
      Donnees!$A:$Z,
      _xlpm.ligpartie + 3,
      MATCH(L$1, _xlpm.joueurs, 0) + 1
    )
  ), ""
)</f>
        <v/>
      </c>
      <c r="M63" t="str" cm="1">
        <f t="array" ref="M63">IFERROR(
  _xlfn.LET(
    _xlpm.ligpartie, MATCH($B62, Donnees!$F:$F, 0),
    _xlpm.joueurs, INDEX(Donnees!$A:$Z, _xlpm.ligpartie+1, _xlfn.SEQUENCE(1, 4, 2)),
    INDEX(
      Donnees!$A:$Z,
      _xlpm.ligpartie + 3,
      MATCH(M$1, _xlpm.joueurs, 0) + 1
    )
  ), ""
)</f>
        <v/>
      </c>
      <c r="N63" t="str" cm="1">
        <f t="array" ref="N63">IFERROR(
  _xlfn.LET(
    _xlpm.ligpartie, MATCH($B62, Donnees!$F:$F, 0),
    _xlpm.joueurs, INDEX(Donnees!$A:$Z, _xlpm.ligpartie+1, _xlfn.SEQUENCE(1, 4, 2)),
    INDEX(
      Donnees!$A:$Z,
      _xlpm.ligpartie + 3,
      MATCH(N$1, _xlpm.joueurs, 0) + 1
    )
  ), ""
)</f>
        <v/>
      </c>
      <c r="O63" t="str" cm="1">
        <f t="array" ref="O63">IFERROR(
  _xlfn.LET(
    _xlpm.ligpartie, MATCH($B62, Donnees!$F:$F, 0),
    _xlpm.joueurs, INDEX(Donnees!$A:$Z, _xlpm.ligpartie+1, _xlfn.SEQUENCE(1, 4, 2)),
    INDEX(
      Donnees!$A:$Z,
      _xlpm.ligpartie + 3,
      MATCH(O$1, _xlpm.joueurs, 0) + 1
    )
  ), ""
)</f>
        <v/>
      </c>
      <c r="P63" t="str" cm="1">
        <f t="array" ref="P63">IFERROR(
  _xlfn.LET(
    _xlpm.ligpartie, MATCH($B62, Donnees!$F:$F, 0),
    _xlpm.joueurs, INDEX(Donnees!$A:$Z, _xlpm.ligpartie+1, _xlfn.SEQUENCE(1, 4, 2)),
    INDEX(
      Donnees!$A:$Z,
      _xlpm.ligpartie + 3,
      MATCH(P$1, _xlpm.joueurs, 0) + 1
    )
  ), ""
)</f>
        <v/>
      </c>
      <c r="Q63" t="str" cm="1">
        <f t="array" ref="Q63">IFERROR(
  _xlfn.LET(
    _xlpm.ligpartie, MATCH($B62, Donnees!$F:$F, 0),
    _xlpm.joueurs, INDEX(Donnees!$A:$Z, _xlpm.ligpartie+1, _xlfn.SEQUENCE(1, 4, 2)),
    INDEX(
      Donnees!$A:$Z,
      _xlpm.ligpartie + 3,
      MATCH(Q$1, _xlpm.joueurs, 0) + 1
    )
  ), ""
)</f>
        <v/>
      </c>
      <c r="R63" t="str" cm="1">
        <f t="array" ref="R63">IFERROR(
  _xlfn.LET(
    _xlpm.ligpartie, MATCH($B62, Donnees!$F:$F, 0),
    _xlpm.joueurs, INDEX(Donnees!$A:$Z, _xlpm.ligpartie+1, _xlfn.SEQUENCE(1, 4, 2)),
    INDEX(
      Donnees!$A:$Z,
      _xlpm.ligpartie + 3,
      MATCH(R$1, _xlpm.joueurs, 0) + 1
    )
  ), ""
)</f>
        <v/>
      </c>
      <c r="S63" t="str" cm="1">
        <f t="array" ref="S63">IFERROR(
  _xlfn.LET(
    _xlpm.ligpartie, MATCH($B62, Donnees!$F:$F, 0),
    _xlpm.joueurs, INDEX(Donnees!$A:$Z, _xlpm.ligpartie+1, _xlfn.SEQUENCE(1, 4, 2)),
    INDEX(
      Donnees!$A:$Z,
      _xlpm.ligpartie + 3,
      MATCH(S$1, _xlpm.joueurs, 0) + 1
    )
  ), ""
)</f>
        <v/>
      </c>
      <c r="T63" t="str" cm="1">
        <f t="array" ref="T63">IFERROR(
  _xlfn.LET(
    _xlpm.ligpartie, MATCH($B62, Donnees!$F:$F, 0),
    _xlpm.joueurs, INDEX(Donnees!$A:$Z, _xlpm.ligpartie+1, _xlfn.SEQUENCE(1, 4, 2)),
    INDEX(
      Donnees!$A:$Z,
      _xlpm.ligpartie + 3,
      MATCH(T$1, _xlpm.joueurs, 0) + 1
    )
  ), ""
)</f>
        <v/>
      </c>
      <c r="U63" t="str" cm="1">
        <f t="array" ref="U63">IFERROR(
  _xlfn.LET(
    _xlpm.ligpartie, MATCH($B62, Donnees!$F:$F, 0),
    _xlpm.joueurs, INDEX(Donnees!$A:$Z, _xlpm.ligpartie+1, _xlfn.SEQUENCE(1, 4, 2)),
    INDEX(
      Donnees!$A:$Z,
      _xlpm.ligpartie + 3,
      MATCH(U$1, _xlpm.joueurs, 0) + 1
    )
  ), ""
)</f>
        <v/>
      </c>
      <c r="V63" cm="1">
        <f t="array" ref="V63">IFERROR(
  _xlfn.LET(
    _xlpm.ligpartie, MATCH($B62, Donnees!$F:$F, 0),
    _xlpm.joueurs, INDEX(Donnees!$A:$Z, _xlpm.ligpartie+1, _xlfn.SEQUENCE(1, 4, 2)),
    INDEX(
      Donnees!$A:$Z,
      _xlpm.ligpartie + 3,
      MATCH(V$1, _xlpm.joueurs, 0) + 1
    )
  ), ""
)</f>
        <v>2</v>
      </c>
      <c r="W63" cm="1">
        <f t="array" ref="W63">IFERROR(
  _xlfn.LET(
    _xlpm.ligpartie, MATCH($B62, Donnees!$F:$F, 0),
    _xlpm.joueurs, INDEX(Donnees!$A:$Z, _xlpm.ligpartie+1, _xlfn.SEQUENCE(1, 4, 2)),
    INDEX(
      Donnees!$A:$Z,
      _xlpm.ligpartie + 3,
      MATCH(W$1, _xlpm.joueurs, 0) + 1
    )
  ), ""
)</f>
        <v>0</v>
      </c>
      <c r="X63" t="str" cm="1">
        <f t="array" ref="X63">IFERROR(
  _xlfn.LET(
    _xlpm.ligpartie, MATCH($B62, Donnees!$F:$F, 0),
    _xlpm.joueurs, INDEX(Donnees!$A:$Z, _xlpm.ligpartie+1, _xlfn.SEQUENCE(1, 4, 2)),
    INDEX(
      Donnees!$A:$Z,
      _xlpm.ligpartie + 3,
      MATCH(X$1, _xlpm.joueurs, 0) + 1
    )
  ), ""
)</f>
        <v/>
      </c>
      <c r="Y63" t="str" cm="1">
        <f t="array" ref="Y63">IFERROR(
  _xlfn.LET(
    _xlpm.ligpartie, MATCH($B62, Donnees!$F:$F, 0),
    _xlpm.joueurs, INDEX(Donnees!$A:$Z, _xlpm.ligpartie+1, _xlfn.SEQUENCE(1, 4, 2)),
    INDEX(
      Donnees!$A:$Z,
      _xlpm.ligpartie + 3,
      MATCH(Y$1, _xlpm.joueurs, 0) + 1
    )
  ), ""
)</f>
        <v/>
      </c>
      <c r="Z63" t="str" cm="1">
        <f t="array" ref="Z63">IFERROR(
  _xlfn.LET(
    _xlpm.ligpartie, MATCH($B62, Donnees!$F:$F, 0),
    _xlpm.joueurs, INDEX(Donnees!$A:$Z, _xlpm.ligpartie+1, _xlfn.SEQUENCE(1, 4, 2)),
    INDEX(
      Donnees!$A:$Z,
      _xlpm.ligpartie + 3,
      MATCH(Z$1, _xlpm.joueurs, 0) + 1
    )
  ), ""
)</f>
        <v/>
      </c>
      <c r="AA63" t="str" cm="1">
        <f t="array" ref="AA63">IFERROR(
  _xlfn.LET(
    _xlpm.ligpartie, MATCH($B62, Donnees!$F:$F, 0),
    _xlpm.joueurs, INDEX(Donnees!$A:$Z, _xlpm.ligpartie+1, _xlfn.SEQUENCE(1, 4, 2)),
    INDEX(
      Donnees!$A:$Z,
      _xlpm.ligpartie + 3,
      MATCH(AA$1, _xlpm.joueurs, 0) + 1
    )
  ), ""
)</f>
        <v/>
      </c>
      <c r="AB63" t="str" cm="1">
        <f t="array" ref="AB63">IFERROR(
  _xlfn.LET(
    _xlpm.ligpartie, MATCH($B62, Donnees!$F:$F, 0),
    _xlpm.joueurs, INDEX(Donnees!$A:$Z, _xlpm.ligpartie+1, _xlfn.SEQUENCE(1, 4, 2)),
    INDEX(
      Donnees!$A:$Z,
      _xlpm.ligpartie + 3,
      MATCH(AB$1, _xlpm.joueurs, 0) + 1
    )
  ), ""
)</f>
        <v/>
      </c>
      <c r="AC63" t="str" cm="1">
        <f t="array" ref="AC63">IFERROR(
  _xlfn.LET(
    _xlpm.ligpartie, MATCH($B62, Donnees!$F:$F, 0),
    _xlpm.joueurs, INDEX(Donnees!$A:$Z, _xlpm.ligpartie+1, _xlfn.SEQUENCE(1, 4, 2)),
    INDEX(
      Donnees!$A:$Z,
      _xlpm.ligpartie + 3,
      MATCH(AC$1, _xlpm.joueurs, 0) + 1
    )
  ), ""
)</f>
        <v/>
      </c>
      <c r="AD63" t="str" cm="1">
        <f t="array" ref="AD63">IFERROR(
  _xlfn.LET(
    _xlpm.ligpartie, MATCH($B62, Donnees!$F:$F, 0),
    _xlpm.joueurs, INDEX(Donnees!$A:$Z, _xlpm.ligpartie+1, _xlfn.SEQUENCE(1, 4, 2)),
    INDEX(
      Donnees!$A:$Z,
      _xlpm.ligpartie + 3,
      MATCH(AD$1, _xlpm.joueurs, 0) + 1
    )
  ), ""
)</f>
        <v/>
      </c>
      <c r="AE63" t="str" cm="1">
        <f t="array" ref="AE63">IFERROR(
  _xlfn.LET(
    _xlpm.ligpartie, MATCH($B62, Donnees!$F:$F, 0),
    _xlpm.joueurs, INDEX(Donnees!$A:$Z, _xlpm.ligpartie+1, _xlfn.SEQUENCE(1, 4, 2)),
    INDEX(
      Donnees!$A:$Z,
      _xlpm.ligpartie + 3,
      MATCH(AE$1, _xlpm.joueurs, 0) + 1
    )
  ), ""
)</f>
        <v/>
      </c>
      <c r="AF63" t="str" cm="1">
        <f t="array" ref="AF63">IFERROR(
  _xlfn.LET(
    _xlpm.ligpartie, MATCH($B62, Donnees!$F:$F, 0),
    _xlpm.joueurs, INDEX(Donnees!$A:$Z, _xlpm.ligpartie+1, _xlfn.SEQUENCE(1, 4, 2)),
    INDEX(
      Donnees!$A:$Z,
      _xlpm.ligpartie + 3,
      MATCH(AF$1, _xlpm.joueurs, 0) + 1
    )
  ), ""
)</f>
        <v/>
      </c>
      <c r="AG63" t="str" cm="1">
        <f t="array" ref="AG63">IFERROR(
  _xlfn.LET(
    _xlpm.ligpartie, MATCH($B62, Donnees!$F:$F, 0),
    _xlpm.joueurs, INDEX(Donnees!$A:$Z, _xlpm.ligpartie+1, _xlfn.SEQUENCE(1, 4, 2)),
    INDEX(
      Donnees!$A:$Z,
      _xlpm.ligpartie + 3,
      MATCH(AG$1, _xlpm.joueurs, 0) + 1
    )
  ), ""
)</f>
        <v/>
      </c>
      <c r="AH63" t="str" cm="1">
        <f t="array" ref="AH63">IFERROR(
  _xlfn.LET(
    _xlpm.ligpartie, MATCH($B62, Donnees!$F:$F, 0),
    _xlpm.joueurs, INDEX(Donnees!$A:$Z, _xlpm.ligpartie+1, _xlfn.SEQUENCE(1, 4, 2)),
    INDEX(
      Donnees!$A:$Z,
      _xlpm.ligpartie + 3,
      MATCH(AH$1, _xlpm.joueurs, 0) + 1
    )
  ), ""
)</f>
        <v/>
      </c>
      <c r="AI63" t="str" cm="1">
        <f t="array" ref="AI63">IFERROR(
  _xlfn.LET(
    _xlpm.ligpartie, MATCH($B62, Donnees!$F:$F, 0),
    _xlpm.joueurs, INDEX(Donnees!$A:$Z, _xlpm.ligpartie+1, _xlfn.SEQUENCE(1, 4, 2)),
    INDEX(
      Donnees!$A:$Z,
      _xlpm.ligpartie + 3,
      MATCH(AI$1, _xlpm.joueurs, 0) + 1
    )
  ), ""
)</f>
        <v/>
      </c>
      <c r="AJ63" t="str" cm="1">
        <f t="array" ref="AJ63">IFERROR(
  _xlfn.LET(
    _xlpm.ligpartie, MATCH($B62, Donnees!$F:$F, 0),
    _xlpm.joueurs, INDEX(Donnees!$A:$Z, _xlpm.ligpartie+1, _xlfn.SEQUENCE(1, 4, 2)),
    INDEX(
      Donnees!$A:$Z,
      _xlpm.ligpartie + 3,
      MATCH(AJ$1, _xlpm.joueurs, 0) + 1
    )
  ), ""
)</f>
        <v/>
      </c>
      <c r="AK63" t="str" cm="1">
        <f t="array" ref="AK63">IFERROR(
  _xlfn.LET(
    _xlpm.ligpartie, MATCH($B62, Donnees!$F:$F, 0),
    _xlpm.joueurs, INDEX(Donnees!$A:$Z, _xlpm.ligpartie+1, _xlfn.SEQUENCE(1, 4, 2)),
    INDEX(
      Donnees!$A:$Z,
      _xlpm.ligpartie + 3,
      MATCH(AK$1, _xlpm.joueurs, 0) + 1
    )
  ), ""
)</f>
        <v/>
      </c>
      <c r="AL63" t="str" cm="1">
        <f t="array" ref="AL63">IFERROR(
  _xlfn.LET(
    _xlpm.ligpartie, MATCH($B62, Donnees!$F:$F, 0),
    _xlpm.joueurs, INDEX(Donnees!$A:$Z, _xlpm.ligpartie+1, _xlfn.SEQUENCE(1, 4, 2)),
    INDEX(
      Donnees!$A:$Z,
      _xlpm.ligpartie + 3,
      MATCH(AL$1, _xlpm.joueurs, 0) + 1
    )
  ), ""
)</f>
        <v/>
      </c>
      <c r="AM63" t="str" cm="1">
        <f t="array" ref="AM63">IFERROR(
  _xlfn.LET(
    _xlpm.ligpartie, MATCH($B62, Donnees!$F:$F, 0),
    _xlpm.joueurs, INDEX(Donnees!$A:$Z, _xlpm.ligpartie+1, _xlfn.SEQUENCE(1, 4, 2)),
    INDEX(
      Donnees!$A:$Z,
      _xlpm.ligpartie + 3,
      MATCH(AM$1, _xlpm.joueurs, 0) + 1
    )
  ), ""
)</f>
        <v/>
      </c>
    </row>
    <row r="64" spans="1:39" x14ac:dyDescent="0.25">
      <c r="A64" t="s">
        <v>20</v>
      </c>
      <c r="D64" cm="1">
        <f t="array" ref="D64">_xlfn.LET(
  _xlpm.colj, _xlfn._xlws.FILTER(IF(ISNUMBER(63:63), COLUMN(63:63)), ISNUMBER(63:63)),
  _xlpm.elos, INDEX(62:62,1,_xlpm.colj),
  _xlpm.diffscale, Constantes!$B$2,
  IF(D63="",
    "",
    SUM(1/(1+POWER(10,-(D62-_xlpm.elos)/_xlpm.diffscale)))-0.5)
)</f>
        <v>1.8346529475675712</v>
      </c>
      <c r="E64" t="str" cm="1">
        <f t="array" ref="E64">_xlfn.LET(
  _xlpm.colj, _xlfn._xlws.FILTER(IF(ISNUMBER(63:63), COLUMN(63:63)), ISNUMBER(63:63)),
  _xlpm.elos, INDEX(62:62,1,_xlpm.colj),
  _xlpm.diffscale, Constantes!$B$2,
  IF(E63="",
    "",
    SUM(1/(1+POWER(10,-(E62-_xlpm.elos)/_xlpm.diffscale)))-0.5)
)</f>
        <v/>
      </c>
      <c r="F64" t="str" cm="1">
        <f t="array" ref="F64">_xlfn.LET(
  _xlpm.colj, _xlfn._xlws.FILTER(IF(ISNUMBER(63:63), COLUMN(63:63)), ISNUMBER(63:63)),
  _xlpm.elos, INDEX(62:62,1,_xlpm.colj),
  _xlpm.diffscale, Constantes!$B$2,
  IF(F63="",
    "",
    SUM(1/(1+POWER(10,-(F62-_xlpm.elos)/_xlpm.diffscale)))-0.5)
)</f>
        <v/>
      </c>
      <c r="G64" cm="1">
        <f t="array" ref="G64">_xlfn.LET(
  _xlpm.colj, _xlfn._xlws.FILTER(IF(ISNUMBER(63:63), COLUMN(63:63)), ISNUMBER(63:63)),
  _xlpm.elos, INDEX(62:62,1,_xlpm.colj),
  _xlpm.diffscale, Constantes!$B$2,
  IF(G63="",
    "",
    SUM(1/(1+POWER(10,-(G62-_xlpm.elos)/_xlpm.diffscale)))-0.5)
)</f>
        <v>1.6698178371825554</v>
      </c>
      <c r="H64" t="str" cm="1">
        <f t="array" ref="H64">_xlfn.LET(
  _xlpm.colj, _xlfn._xlws.FILTER(IF(ISNUMBER(63:63), COLUMN(63:63)), ISNUMBER(63:63)),
  _xlpm.elos, INDEX(62:62,1,_xlpm.colj),
  _xlpm.diffscale, Constantes!$B$2,
  IF(H63="",
    "",
    SUM(1/(1+POWER(10,-(H62-_xlpm.elos)/_xlpm.diffscale)))-0.5)
)</f>
        <v/>
      </c>
      <c r="I64" t="str" cm="1">
        <f t="array" ref="I64">_xlfn.LET(
  _xlpm.colj, _xlfn._xlws.FILTER(IF(ISNUMBER(63:63), COLUMN(63:63)), ISNUMBER(63:63)),
  _xlpm.elos, INDEX(62:62,1,_xlpm.colj),
  _xlpm.diffscale, Constantes!$B$2,
  IF(I63="",
    "",
    SUM(1/(1+POWER(10,-(I62-_xlpm.elos)/_xlpm.diffscale)))-0.5)
)</f>
        <v/>
      </c>
      <c r="J64" t="str" cm="1">
        <f t="array" ref="J64">_xlfn.LET(
  _xlpm.colj, _xlfn._xlws.FILTER(IF(ISNUMBER(63:63), COLUMN(63:63)), ISNUMBER(63:63)),
  _xlpm.elos, INDEX(62:62,1,_xlpm.colj),
  _xlpm.diffscale, Constantes!$B$2,
  IF(J63="",
    "",
    SUM(1/(1+POWER(10,-(J62-_xlpm.elos)/_xlpm.diffscale)))-0.5)
)</f>
        <v/>
      </c>
      <c r="K64" t="str" cm="1">
        <f t="array" ref="K64">_xlfn.LET(
  _xlpm.colj, _xlfn._xlws.FILTER(IF(ISNUMBER(63:63), COLUMN(63:63)), ISNUMBER(63:63)),
  _xlpm.elos, INDEX(62:62,1,_xlpm.colj),
  _xlpm.diffscale, Constantes!$B$2,
  IF(K63="",
    "",
    SUM(1/(1+POWER(10,-(K62-_xlpm.elos)/_xlpm.diffscale)))-0.5)
)</f>
        <v/>
      </c>
      <c r="L64" t="str" cm="1">
        <f t="array" ref="L64">_xlfn.LET(
  _xlpm.colj, _xlfn._xlws.FILTER(IF(ISNUMBER(63:63), COLUMN(63:63)), ISNUMBER(63:63)),
  _xlpm.elos, INDEX(62:62,1,_xlpm.colj),
  _xlpm.diffscale, Constantes!$B$2,
  IF(L63="",
    "",
    SUM(1/(1+POWER(10,-(L62-_xlpm.elos)/_xlpm.diffscale)))-0.5)
)</f>
        <v/>
      </c>
      <c r="M64" t="str" cm="1">
        <f t="array" ref="M64">_xlfn.LET(
  _xlpm.colj, _xlfn._xlws.FILTER(IF(ISNUMBER(63:63), COLUMN(63:63)), ISNUMBER(63:63)),
  _xlpm.elos, INDEX(62:62,1,_xlpm.colj),
  _xlpm.diffscale, Constantes!$B$2,
  IF(M63="",
    "",
    SUM(1/(1+POWER(10,-(M62-_xlpm.elos)/_xlpm.diffscale)))-0.5)
)</f>
        <v/>
      </c>
      <c r="N64" t="str" cm="1">
        <f t="array" ref="N64">_xlfn.LET(
  _xlpm.colj, _xlfn._xlws.FILTER(IF(ISNUMBER(63:63), COLUMN(63:63)), ISNUMBER(63:63)),
  _xlpm.elos, INDEX(62:62,1,_xlpm.colj),
  _xlpm.diffscale, Constantes!$B$2,
  IF(N63="",
    "",
    SUM(1/(1+POWER(10,-(N62-_xlpm.elos)/_xlpm.diffscale)))-0.5)
)</f>
        <v/>
      </c>
      <c r="O64" t="str" cm="1">
        <f t="array" ref="O64">_xlfn.LET(
  _xlpm.colj, _xlfn._xlws.FILTER(IF(ISNUMBER(63:63), COLUMN(63:63)), ISNUMBER(63:63)),
  _xlpm.elos, INDEX(62:62,1,_xlpm.colj),
  _xlpm.diffscale, Constantes!$B$2,
  IF(O63="",
    "",
    SUM(1/(1+POWER(10,-(O62-_xlpm.elos)/_xlpm.diffscale)))-0.5)
)</f>
        <v/>
      </c>
      <c r="P64" t="str" cm="1">
        <f t="array" ref="P64">_xlfn.LET(
  _xlpm.colj, _xlfn._xlws.FILTER(IF(ISNUMBER(63:63), COLUMN(63:63)), ISNUMBER(63:63)),
  _xlpm.elos, INDEX(62:62,1,_xlpm.colj),
  _xlpm.diffscale, Constantes!$B$2,
  IF(P63="",
    "",
    SUM(1/(1+POWER(10,-(P62-_xlpm.elos)/_xlpm.diffscale)))-0.5)
)</f>
        <v/>
      </c>
      <c r="Q64" t="str" cm="1">
        <f t="array" ref="Q64">_xlfn.LET(
  _xlpm.colj, _xlfn._xlws.FILTER(IF(ISNUMBER(63:63), COLUMN(63:63)), ISNUMBER(63:63)),
  _xlpm.elos, INDEX(62:62,1,_xlpm.colj),
  _xlpm.diffscale, Constantes!$B$2,
  IF(Q63="",
    "",
    SUM(1/(1+POWER(10,-(Q62-_xlpm.elos)/_xlpm.diffscale)))-0.5)
)</f>
        <v/>
      </c>
      <c r="R64" t="str" cm="1">
        <f t="array" ref="R64">_xlfn.LET(
  _xlpm.colj, _xlfn._xlws.FILTER(IF(ISNUMBER(63:63), COLUMN(63:63)), ISNUMBER(63:63)),
  _xlpm.elos, INDEX(62:62,1,_xlpm.colj),
  _xlpm.diffscale, Constantes!$B$2,
  IF(R63="",
    "",
    SUM(1/(1+POWER(10,-(R62-_xlpm.elos)/_xlpm.diffscale)))-0.5)
)</f>
        <v/>
      </c>
      <c r="S64" t="str" cm="1">
        <f t="array" ref="S64">_xlfn.LET(
  _xlpm.colj, _xlfn._xlws.FILTER(IF(ISNUMBER(63:63), COLUMN(63:63)), ISNUMBER(63:63)),
  _xlpm.elos, INDEX(62:62,1,_xlpm.colj),
  _xlpm.diffscale, Constantes!$B$2,
  IF(S63="",
    "",
    SUM(1/(1+POWER(10,-(S62-_xlpm.elos)/_xlpm.diffscale)))-0.5)
)</f>
        <v/>
      </c>
      <c r="T64" t="str" cm="1">
        <f t="array" ref="T64">_xlfn.LET(
  _xlpm.colj, _xlfn._xlws.FILTER(IF(ISNUMBER(63:63), COLUMN(63:63)), ISNUMBER(63:63)),
  _xlpm.elos, INDEX(62:62,1,_xlpm.colj),
  _xlpm.diffscale, Constantes!$B$2,
  IF(T63="",
    "",
    SUM(1/(1+POWER(10,-(T62-_xlpm.elos)/_xlpm.diffscale)))-0.5)
)</f>
        <v/>
      </c>
      <c r="U64" t="str" cm="1">
        <f t="array" ref="U64">_xlfn.LET(
  _xlpm.colj, _xlfn._xlws.FILTER(IF(ISNUMBER(63:63), COLUMN(63:63)), ISNUMBER(63:63)),
  _xlpm.elos, INDEX(62:62,1,_xlpm.colj),
  _xlpm.diffscale, Constantes!$B$2,
  IF(U63="",
    "",
    SUM(1/(1+POWER(10,-(U62-_xlpm.elos)/_xlpm.diffscale)))-0.5)
)</f>
        <v/>
      </c>
      <c r="V64" cm="1">
        <f t="array" ref="V64">_xlfn.LET(
  _xlpm.colj, _xlfn._xlws.FILTER(IF(ISNUMBER(63:63), COLUMN(63:63)), ISNUMBER(63:63)),
  _xlpm.elos, INDEX(62:62,1,_xlpm.colj),
  _xlpm.diffscale, Constantes!$B$2,
  IF(V63="",
    "",
    SUM(1/(1+POWER(10,-(V62-_xlpm.elos)/_xlpm.diffscale)))-0.5)
)</f>
        <v>1.0908816470136526</v>
      </c>
      <c r="W64" cm="1">
        <f t="array" ref="W64">_xlfn.LET(
  _xlpm.colj, _xlfn._xlws.FILTER(IF(ISNUMBER(63:63), COLUMN(63:63)), ISNUMBER(63:63)),
  _xlpm.elos, INDEX(62:62,1,_xlpm.colj),
  _xlpm.diffscale, Constantes!$B$2,
  IF(W63="",
    "",
    SUM(1/(1+POWER(10,-(W62-_xlpm.elos)/_xlpm.diffscale)))-0.5)
)</f>
        <v>1.4046475682362207</v>
      </c>
      <c r="X64" t="str" cm="1">
        <f t="array" ref="X64">_xlfn.LET(
  _xlpm.colj, _xlfn._xlws.FILTER(IF(ISNUMBER(63:63), COLUMN(63:63)), ISNUMBER(63:63)),
  _xlpm.elos, INDEX(62:62,1,_xlpm.colj),
  _xlpm.diffscale, Constantes!$B$2,
  IF(X63="",
    "",
    SUM(1/(1+POWER(10,-(X62-_xlpm.elos)/_xlpm.diffscale)))-0.5)
)</f>
        <v/>
      </c>
      <c r="Y64" t="str" cm="1">
        <f t="array" ref="Y64">_xlfn.LET(
  _xlpm.colj, _xlfn._xlws.FILTER(IF(ISNUMBER(63:63), COLUMN(63:63)), ISNUMBER(63:63)),
  _xlpm.elos, INDEX(62:62,1,_xlpm.colj),
  _xlpm.diffscale, Constantes!$B$2,
  IF(Y63="",
    "",
    SUM(1/(1+POWER(10,-(Y62-_xlpm.elos)/_xlpm.diffscale)))-0.5)
)</f>
        <v/>
      </c>
      <c r="Z64" t="str" cm="1">
        <f t="array" ref="Z64">_xlfn.LET(
  _xlpm.colj, _xlfn._xlws.FILTER(IF(ISNUMBER(63:63), COLUMN(63:63)), ISNUMBER(63:63)),
  _xlpm.elos, INDEX(62:62,1,_xlpm.colj),
  _xlpm.diffscale, Constantes!$B$2,
  IF(Z63="",
    "",
    SUM(1/(1+POWER(10,-(Z62-_xlpm.elos)/_xlpm.diffscale)))-0.5)
)</f>
        <v/>
      </c>
      <c r="AA64" t="str" cm="1">
        <f t="array" ref="AA64">_xlfn.LET(
  _xlpm.colj, _xlfn._xlws.FILTER(IF(ISNUMBER(63:63), COLUMN(63:63)), ISNUMBER(63:63)),
  _xlpm.elos, INDEX(62:62,1,_xlpm.colj),
  _xlpm.diffscale, Constantes!$B$2,
  IF(AA63="",
    "",
    SUM(1/(1+POWER(10,-(AA62-_xlpm.elos)/_xlpm.diffscale)))-0.5)
)</f>
        <v/>
      </c>
      <c r="AB64" t="str" cm="1">
        <f t="array" ref="AB64">_xlfn.LET(
  _xlpm.colj, _xlfn._xlws.FILTER(IF(ISNUMBER(63:63), COLUMN(63:63)), ISNUMBER(63:63)),
  _xlpm.elos, INDEX(62:62,1,_xlpm.colj),
  _xlpm.diffscale, Constantes!$B$2,
  IF(AB63="",
    "",
    SUM(1/(1+POWER(10,-(AB62-_xlpm.elos)/_xlpm.diffscale)))-0.5)
)</f>
        <v/>
      </c>
      <c r="AC64" t="str" cm="1">
        <f t="array" ref="AC64">_xlfn.LET(
  _xlpm.colj, _xlfn._xlws.FILTER(IF(ISNUMBER(63:63), COLUMN(63:63)), ISNUMBER(63:63)),
  _xlpm.elos, INDEX(62:62,1,_xlpm.colj),
  _xlpm.diffscale, Constantes!$B$2,
  IF(AC63="",
    "",
    SUM(1/(1+POWER(10,-(AC62-_xlpm.elos)/_xlpm.diffscale)))-0.5)
)</f>
        <v/>
      </c>
      <c r="AD64" t="str" cm="1">
        <f t="array" ref="AD64">_xlfn.LET(
  _xlpm.colj, _xlfn._xlws.FILTER(IF(ISNUMBER(63:63), COLUMN(63:63)), ISNUMBER(63:63)),
  _xlpm.elos, INDEX(62:62,1,_xlpm.colj),
  _xlpm.diffscale, Constantes!$B$2,
  IF(AD63="",
    "",
    SUM(1/(1+POWER(10,-(AD62-_xlpm.elos)/_xlpm.diffscale)))-0.5)
)</f>
        <v/>
      </c>
      <c r="AE64" t="str" cm="1">
        <f t="array" ref="AE64">_xlfn.LET(
  _xlpm.colj, _xlfn._xlws.FILTER(IF(ISNUMBER(63:63), COLUMN(63:63)), ISNUMBER(63:63)),
  _xlpm.elos, INDEX(62:62,1,_xlpm.colj),
  _xlpm.diffscale, Constantes!$B$2,
  IF(AE63="",
    "",
    SUM(1/(1+POWER(10,-(AE62-_xlpm.elos)/_xlpm.diffscale)))-0.5)
)</f>
        <v/>
      </c>
      <c r="AF64" t="str" cm="1">
        <f t="array" ref="AF64">_xlfn.LET(
  _xlpm.colj, _xlfn._xlws.FILTER(IF(ISNUMBER(63:63), COLUMN(63:63)), ISNUMBER(63:63)),
  _xlpm.elos, INDEX(62:62,1,_xlpm.colj),
  _xlpm.diffscale, Constantes!$B$2,
  IF(AF63="",
    "",
    SUM(1/(1+POWER(10,-(AF62-_xlpm.elos)/_xlpm.diffscale)))-0.5)
)</f>
        <v/>
      </c>
      <c r="AG64" t="str" cm="1">
        <f t="array" ref="AG64">_xlfn.LET(
  _xlpm.colj, _xlfn._xlws.FILTER(IF(ISNUMBER(63:63), COLUMN(63:63)), ISNUMBER(63:63)),
  _xlpm.elos, INDEX(62:62,1,_xlpm.colj),
  _xlpm.diffscale, Constantes!$B$2,
  IF(AG63="",
    "",
    SUM(1/(1+POWER(10,-(AG62-_xlpm.elos)/_xlpm.diffscale)))-0.5)
)</f>
        <v/>
      </c>
      <c r="AH64" t="str" cm="1">
        <f t="array" ref="AH64">_xlfn.LET(
  _xlpm.colj, _xlfn._xlws.FILTER(IF(ISNUMBER(63:63), COLUMN(63:63)), ISNUMBER(63:63)),
  _xlpm.elos, INDEX(62:62,1,_xlpm.colj),
  _xlpm.diffscale, Constantes!$B$2,
  IF(AH63="",
    "",
    SUM(1/(1+POWER(10,-(AH62-_xlpm.elos)/_xlpm.diffscale)))-0.5)
)</f>
        <v/>
      </c>
      <c r="AI64" t="str" cm="1">
        <f t="array" ref="AI64">_xlfn.LET(
  _xlpm.colj, _xlfn._xlws.FILTER(IF(ISNUMBER(63:63), COLUMN(63:63)), ISNUMBER(63:63)),
  _xlpm.elos, INDEX(62:62,1,_xlpm.colj),
  _xlpm.diffscale, Constantes!$B$2,
  IF(AI63="",
    "",
    SUM(1/(1+POWER(10,-(AI62-_xlpm.elos)/_xlpm.diffscale)))-0.5)
)</f>
        <v/>
      </c>
      <c r="AJ64" t="str" cm="1">
        <f t="array" ref="AJ64">_xlfn.LET(
  _xlpm.colj, _xlfn._xlws.FILTER(IF(ISNUMBER(63:63), COLUMN(63:63)), ISNUMBER(63:63)),
  _xlpm.elos, INDEX(62:62,1,_xlpm.colj),
  _xlpm.diffscale, Constantes!$B$2,
  IF(AJ63="",
    "",
    SUM(1/(1+POWER(10,-(AJ62-_xlpm.elos)/_xlpm.diffscale)))-0.5)
)</f>
        <v/>
      </c>
      <c r="AK64" t="str" cm="1">
        <f t="array" ref="AK64">_xlfn.LET(
  _xlpm.colj, _xlfn._xlws.FILTER(IF(ISNUMBER(63:63), COLUMN(63:63)), ISNUMBER(63:63)),
  _xlpm.elos, INDEX(62:62,1,_xlpm.colj),
  _xlpm.diffscale, Constantes!$B$2,
  IF(AK63="",
    "",
    SUM(1/(1+POWER(10,-(AK62-_xlpm.elos)/_xlpm.diffscale)))-0.5)
)</f>
        <v/>
      </c>
      <c r="AL64" t="str" cm="1">
        <f t="array" ref="AL64">_xlfn.LET(
  _xlpm.colj, _xlfn._xlws.FILTER(IF(ISNUMBER(63:63), COLUMN(63:63)), ISNUMBER(63:63)),
  _xlpm.elos, INDEX(62:62,1,_xlpm.colj),
  _xlpm.diffscale, Constantes!$B$2,
  IF(AL63="",
    "",
    SUM(1/(1+POWER(10,-(AL62-_xlpm.elos)/_xlpm.diffscale)))-0.5)
)</f>
        <v/>
      </c>
      <c r="AM64" t="str" cm="1">
        <f t="array" ref="AM64">_xlfn.LET(
  _xlpm.colj, _xlfn._xlws.FILTER(IF(ISNUMBER(63:63), COLUMN(63:63)), ISNUMBER(63:63)),
  _xlpm.elos, INDEX(62:62,1,_xlpm.colj),
  _xlpm.diffscale, Constantes!$B$2,
  IF(AM63="",
    "",
    SUM(1/(1+POWER(10,-(AM62-_xlpm.elos)/_xlpm.diffscale)))-0.5)
)</f>
        <v/>
      </c>
    </row>
    <row r="65" spans="1:39" x14ac:dyDescent="0.25">
      <c r="A65" t="s">
        <v>22</v>
      </c>
      <c r="D65" cm="1">
        <f t="array" ref="D65">_xlfn.LET(
  _xlpm.K, Constantes!$B$3,
  _xlpm.Knewgain, Constantes!$B$4,
  _xlpm.Knewscale, Constantes!$B$5,
  _xlpm.ptstables, INDEX(D:D, _xlfn.SEQUENCE(COUNTA($C$2:$C65), 1, 3, 4)),
  _xlpm.nbparties, COUNTA(_xlfn._xlws.FILTER(_xlpm.ptstables, _xlpm.ptstables &lt;&gt; "")),
  _xlpm.coef, _xlpm.K + _xlpm.Knewgain / (_xlpm.Knewscale + _xlpm.nbparties),
  IF(D63="",
    "",
    _xlpm.coef * (D63-D64))
)</f>
        <v>31.630848566023065</v>
      </c>
      <c r="E65" t="str" cm="1">
        <f t="array" ref="E65">_xlfn.LET(
  _xlpm.K, Constantes!$B$3,
  _xlpm.Knewgain, Constantes!$B$4,
  _xlpm.Knewscale, Constantes!$B$5,
  _xlpm.ptstables, INDEX(E:E, _xlfn.SEQUENCE(COUNTA($C$2:$C65), 1, 3, 4)),
  _xlpm.nbparties, COUNTA(_xlfn._xlws.FILTER(_xlpm.ptstables, _xlpm.ptstables &lt;&gt; "")),
  _xlpm.coef, _xlpm.K + _xlpm.Knewgain / (_xlpm.Knewscale + _xlpm.nbparties),
  IF(E63="",
    "",
    _xlpm.coef * (E63-E64))
)</f>
        <v/>
      </c>
      <c r="F65" t="str" cm="1">
        <f t="array" ref="F65">_xlfn.LET(
  _xlpm.K, Constantes!$B$3,
  _xlpm.Knewgain, Constantes!$B$4,
  _xlpm.Knewscale, Constantes!$B$5,
  _xlpm.ptstables, INDEX(F:F, _xlfn.SEQUENCE(COUNTA($C$2:$C65), 1, 3, 4)),
  _xlpm.nbparties, COUNTA(_xlfn._xlws.FILTER(_xlpm.ptstables, _xlpm.ptstables &lt;&gt; "")),
  _xlpm.coef, _xlpm.K + _xlpm.Knewgain / (_xlpm.Knewscale + _xlpm.nbparties),
  IF(F63="",
    "",
    _xlpm.coef * (F63-F64))
)</f>
        <v/>
      </c>
      <c r="G65" cm="1">
        <f t="array" ref="G65">_xlfn.LET(
  _xlpm.K, Constantes!$B$3,
  _xlpm.Knewgain, Constantes!$B$4,
  _xlpm.Knewscale, Constantes!$B$5,
  _xlpm.ptstables, INDEX(G:G, _xlfn.SEQUENCE(COUNTA($C$2:$C65), 1, 3, 4)),
  _xlpm.nbparties, COUNTA(_xlfn._xlws.FILTER(_xlpm.ptstables, _xlpm.ptstables &lt;&gt; "")),
  _xlpm.coef, _xlpm.K + _xlpm.Knewgain / (_xlpm.Knewscale + _xlpm.nbparties),
  IF(G63="",
    "",
    _xlpm.coef * (G63-G64))
)</f>
        <v>-17.582718226042079</v>
      </c>
      <c r="H65" t="str" cm="1">
        <f t="array" ref="H65">_xlfn.LET(
  _xlpm.K, Constantes!$B$3,
  _xlpm.Knewgain, Constantes!$B$4,
  _xlpm.Knewscale, Constantes!$B$5,
  _xlpm.ptstables, INDEX(H:H, _xlfn.SEQUENCE(COUNTA($C$2:$C65), 1, 3, 4)),
  _xlpm.nbparties, COUNTA(_xlfn._xlws.FILTER(_xlpm.ptstables, _xlpm.ptstables &lt;&gt; "")),
  _xlpm.coef, _xlpm.K + _xlpm.Knewgain / (_xlpm.Knewscale + _xlpm.nbparties),
  IF(H63="",
    "",
    _xlpm.coef * (H63-H64))
)</f>
        <v/>
      </c>
      <c r="I65" t="str" cm="1">
        <f t="array" ref="I65">_xlfn.LET(
  _xlpm.K, Constantes!$B$3,
  _xlpm.Knewgain, Constantes!$B$4,
  _xlpm.Knewscale, Constantes!$B$5,
  _xlpm.ptstables, INDEX(I:I, _xlfn.SEQUENCE(COUNTA($C$2:$C65), 1, 3, 4)),
  _xlpm.nbparties, COUNTA(_xlfn._xlws.FILTER(_xlpm.ptstables, _xlpm.ptstables &lt;&gt; "")),
  _xlpm.coef, _xlpm.K + _xlpm.Knewgain / (_xlpm.Knewscale + _xlpm.nbparties),
  IF(I63="",
    "",
    _xlpm.coef * (I63-I64))
)</f>
        <v/>
      </c>
      <c r="J65" t="str" cm="1">
        <f t="array" ref="J65">_xlfn.LET(
  _xlpm.K, Constantes!$B$3,
  _xlpm.Knewgain, Constantes!$B$4,
  _xlpm.Knewscale, Constantes!$B$5,
  _xlpm.ptstables, INDEX(J:J, _xlfn.SEQUENCE(COUNTA($C$2:$C65), 1, 3, 4)),
  _xlpm.nbparties, COUNTA(_xlfn._xlws.FILTER(_xlpm.ptstables, _xlpm.ptstables &lt;&gt; "")),
  _xlpm.coef, _xlpm.K + _xlpm.Knewgain / (_xlpm.Knewscale + _xlpm.nbparties),
  IF(J63="",
    "",
    _xlpm.coef * (J63-J64))
)</f>
        <v/>
      </c>
      <c r="K65" t="str" cm="1">
        <f t="array" ref="K65">_xlfn.LET(
  _xlpm.K, Constantes!$B$3,
  _xlpm.Knewgain, Constantes!$B$4,
  _xlpm.Knewscale, Constantes!$B$5,
  _xlpm.ptstables, INDEX(K:K, _xlfn.SEQUENCE(COUNTA($C$2:$C65), 1, 3, 4)),
  _xlpm.nbparties, COUNTA(_xlfn._xlws.FILTER(_xlpm.ptstables, _xlpm.ptstables &lt;&gt; "")),
  _xlpm.coef, _xlpm.K + _xlpm.Knewgain / (_xlpm.Knewscale + _xlpm.nbparties),
  IF(K63="",
    "",
    _xlpm.coef * (K63-K64))
)</f>
        <v/>
      </c>
      <c r="L65" t="str" cm="1">
        <f t="array" ref="L65">_xlfn.LET(
  _xlpm.K, Constantes!$B$3,
  _xlpm.Knewgain, Constantes!$B$4,
  _xlpm.Knewscale, Constantes!$B$5,
  _xlpm.ptstables, INDEX(L:L, _xlfn.SEQUENCE(COUNTA($C$2:$C65), 1, 3, 4)),
  _xlpm.nbparties, COUNTA(_xlfn._xlws.FILTER(_xlpm.ptstables, _xlpm.ptstables &lt;&gt; "")),
  _xlpm.coef, _xlpm.K + _xlpm.Knewgain / (_xlpm.Knewscale + _xlpm.nbparties),
  IF(L63="",
    "",
    _xlpm.coef * (L63-L64))
)</f>
        <v/>
      </c>
      <c r="M65" t="str" cm="1">
        <f t="array" ref="M65">_xlfn.LET(
  _xlpm.K, Constantes!$B$3,
  _xlpm.Knewgain, Constantes!$B$4,
  _xlpm.Knewscale, Constantes!$B$5,
  _xlpm.ptstables, INDEX(M:M, _xlfn.SEQUENCE(COUNTA($C$2:$C65), 1, 3, 4)),
  _xlpm.nbparties, COUNTA(_xlfn._xlws.FILTER(_xlpm.ptstables, _xlpm.ptstables &lt;&gt; "")),
  _xlpm.coef, _xlpm.K + _xlpm.Knewgain / (_xlpm.Knewscale + _xlpm.nbparties),
  IF(M63="",
    "",
    _xlpm.coef * (M63-M64))
)</f>
        <v/>
      </c>
      <c r="N65" t="str" cm="1">
        <f t="array" ref="N65">_xlfn.LET(
  _xlpm.K, Constantes!$B$3,
  _xlpm.Knewgain, Constantes!$B$4,
  _xlpm.Knewscale, Constantes!$B$5,
  _xlpm.ptstables, INDEX(N:N, _xlfn.SEQUENCE(COUNTA($C$2:$C65), 1, 3, 4)),
  _xlpm.nbparties, COUNTA(_xlfn._xlws.FILTER(_xlpm.ptstables, _xlpm.ptstables &lt;&gt; "")),
  _xlpm.coef, _xlpm.K + _xlpm.Knewgain / (_xlpm.Knewscale + _xlpm.nbparties),
  IF(N63="",
    "",
    _xlpm.coef * (N63-N64))
)</f>
        <v/>
      </c>
      <c r="O65" t="str" cm="1">
        <f t="array" ref="O65">_xlfn.LET(
  _xlpm.K, Constantes!$B$3,
  _xlpm.Knewgain, Constantes!$B$4,
  _xlpm.Knewscale, Constantes!$B$5,
  _xlpm.ptstables, INDEX(O:O, _xlfn.SEQUENCE(COUNTA($C$2:$C65), 1, 3, 4)),
  _xlpm.nbparties, COUNTA(_xlfn._xlws.FILTER(_xlpm.ptstables, _xlpm.ptstables &lt;&gt; "")),
  _xlpm.coef, _xlpm.K + _xlpm.Knewgain / (_xlpm.Knewscale + _xlpm.nbparties),
  IF(O63="",
    "",
    _xlpm.coef * (O63-O64))
)</f>
        <v/>
      </c>
      <c r="P65" t="str" cm="1">
        <f t="array" ref="P65">_xlfn.LET(
  _xlpm.K, Constantes!$B$3,
  _xlpm.Knewgain, Constantes!$B$4,
  _xlpm.Knewscale, Constantes!$B$5,
  _xlpm.ptstables, INDEX(P:P, _xlfn.SEQUENCE(COUNTA($C$2:$C65), 1, 3, 4)),
  _xlpm.nbparties, COUNTA(_xlfn._xlws.FILTER(_xlpm.ptstables, _xlpm.ptstables &lt;&gt; "")),
  _xlpm.coef, _xlpm.K + _xlpm.Knewgain / (_xlpm.Knewscale + _xlpm.nbparties),
  IF(P63="",
    "",
    _xlpm.coef * (P63-P64))
)</f>
        <v/>
      </c>
      <c r="Q65" t="str" cm="1">
        <f t="array" ref="Q65">_xlfn.LET(
  _xlpm.K, Constantes!$B$3,
  _xlpm.Knewgain, Constantes!$B$4,
  _xlpm.Knewscale, Constantes!$B$5,
  _xlpm.ptstables, INDEX(Q:Q, _xlfn.SEQUENCE(COUNTA($C$2:$C65), 1, 3, 4)),
  _xlpm.nbparties, COUNTA(_xlfn._xlws.FILTER(_xlpm.ptstables, _xlpm.ptstables &lt;&gt; "")),
  _xlpm.coef, _xlpm.K + _xlpm.Knewgain / (_xlpm.Knewscale + _xlpm.nbparties),
  IF(Q63="",
    "",
    _xlpm.coef * (Q63-Q64))
)</f>
        <v/>
      </c>
      <c r="R65" t="str" cm="1">
        <f t="array" ref="R65">_xlfn.LET(
  _xlpm.K, Constantes!$B$3,
  _xlpm.Knewgain, Constantes!$B$4,
  _xlpm.Knewscale, Constantes!$B$5,
  _xlpm.ptstables, INDEX(R:R, _xlfn.SEQUENCE(COUNTA($C$2:$C65), 1, 3, 4)),
  _xlpm.nbparties, COUNTA(_xlfn._xlws.FILTER(_xlpm.ptstables, _xlpm.ptstables &lt;&gt; "")),
  _xlpm.coef, _xlpm.K + _xlpm.Knewgain / (_xlpm.Knewscale + _xlpm.nbparties),
  IF(R63="",
    "",
    _xlpm.coef * (R63-R64))
)</f>
        <v/>
      </c>
      <c r="S65" t="str" cm="1">
        <f t="array" ref="S65">_xlfn.LET(
  _xlpm.K, Constantes!$B$3,
  _xlpm.Knewgain, Constantes!$B$4,
  _xlpm.Knewscale, Constantes!$B$5,
  _xlpm.ptstables, INDEX(S:S, _xlfn.SEQUENCE(COUNTA($C$2:$C65), 1, 3, 4)),
  _xlpm.nbparties, COUNTA(_xlfn._xlws.FILTER(_xlpm.ptstables, _xlpm.ptstables &lt;&gt; "")),
  _xlpm.coef, _xlpm.K + _xlpm.Knewgain / (_xlpm.Knewscale + _xlpm.nbparties),
  IF(S63="",
    "",
    _xlpm.coef * (S63-S64))
)</f>
        <v/>
      </c>
      <c r="T65" t="str" cm="1">
        <f t="array" ref="T65">_xlfn.LET(
  _xlpm.K, Constantes!$B$3,
  _xlpm.Knewgain, Constantes!$B$4,
  _xlpm.Knewscale, Constantes!$B$5,
  _xlpm.ptstables, INDEX(T:T, _xlfn.SEQUENCE(COUNTA($C$2:$C65), 1, 3, 4)),
  _xlpm.nbparties, COUNTA(_xlfn._xlws.FILTER(_xlpm.ptstables, _xlpm.ptstables &lt;&gt; "")),
  _xlpm.coef, _xlpm.K + _xlpm.Knewgain / (_xlpm.Knewscale + _xlpm.nbparties),
  IF(T63="",
    "",
    _xlpm.coef * (T63-T64))
)</f>
        <v/>
      </c>
      <c r="U65" t="str" cm="1">
        <f t="array" ref="U65">_xlfn.LET(
  _xlpm.K, Constantes!$B$3,
  _xlpm.Knewgain, Constantes!$B$4,
  _xlpm.Knewscale, Constantes!$B$5,
  _xlpm.ptstables, INDEX(U:U, _xlfn.SEQUENCE(COUNTA($C$2:$C65), 1, 3, 4)),
  _xlpm.nbparties, COUNTA(_xlfn._xlws.FILTER(_xlpm.ptstables, _xlpm.ptstables &lt;&gt; "")),
  _xlpm.coef, _xlpm.K + _xlpm.Knewgain / (_xlpm.Knewscale + _xlpm.nbparties),
  IF(U63="",
    "",
    _xlpm.coef * (U63-U64))
)</f>
        <v/>
      </c>
      <c r="V65" cm="1">
        <f t="array" ref="V65">_xlfn.LET(
  _xlpm.K, Constantes!$B$3,
  _xlpm.Knewgain, Constantes!$B$4,
  _xlpm.Knewscale, Constantes!$B$5,
  _xlpm.ptstables, INDEX(V:V, _xlfn.SEQUENCE(COUNTA($C$2:$C65), 1, 3, 4)),
  _xlpm.nbparties, COUNTA(_xlfn._xlws.FILTER(_xlpm.ptstables, _xlpm.ptstables &lt;&gt; "")),
  _xlpm.coef, _xlpm.K + _xlpm.Knewgain / (_xlpm.Knewscale + _xlpm.nbparties),
  IF(V63="",
    "",
    _xlpm.coef * (V63-V64))
)</f>
        <v>33.334339609499409</v>
      </c>
      <c r="W65" cm="1">
        <f t="array" ref="W65">_xlfn.LET(
  _xlpm.K, Constantes!$B$3,
  _xlpm.Knewgain, Constantes!$B$4,
  _xlpm.Knewscale, Constantes!$B$5,
  _xlpm.ptstables, INDEX(W:W, _xlfn.SEQUENCE(COUNTA($C$2:$C65), 1, 3, 4)),
  _xlpm.nbparties, COUNTA(_xlfn._xlws.FILTER(_xlpm.ptstables, _xlpm.ptstables &lt;&gt; "")),
  _xlpm.coef, _xlpm.K + _xlpm.Knewgain / (_xlpm.Knewscale + _xlpm.nbparties),
  IF(W63="",
    "",
    _xlpm.coef * (W63-W64))
)</f>
        <v>-63.209140570629934</v>
      </c>
      <c r="X65" t="str" cm="1">
        <f t="array" ref="X65">_xlfn.LET(
  _xlpm.K, Constantes!$B$3,
  _xlpm.Knewgain, Constantes!$B$4,
  _xlpm.Knewscale, Constantes!$B$5,
  _xlpm.ptstables, INDEX(X:X, _xlfn.SEQUENCE(COUNTA($C$2:$C65), 1, 3, 4)),
  _xlpm.nbparties, COUNTA(_xlfn._xlws.FILTER(_xlpm.ptstables, _xlpm.ptstables &lt;&gt; "")),
  _xlpm.coef, _xlpm.K + _xlpm.Knewgain / (_xlpm.Knewscale + _xlpm.nbparties),
  IF(X63="",
    "",
    _xlpm.coef * (X63-X64))
)</f>
        <v/>
      </c>
      <c r="Y65" t="str" cm="1">
        <f t="array" ref="Y65">_xlfn.LET(
  _xlpm.K, Constantes!$B$3,
  _xlpm.Knewgain, Constantes!$B$4,
  _xlpm.Knewscale, Constantes!$B$5,
  _xlpm.ptstables, INDEX(Y:Y, _xlfn.SEQUENCE(COUNTA($C$2:$C65), 1, 3, 4)),
  _xlpm.nbparties, COUNTA(_xlfn._xlws.FILTER(_xlpm.ptstables, _xlpm.ptstables &lt;&gt; "")),
  _xlpm.coef, _xlpm.K + _xlpm.Knewgain / (_xlpm.Knewscale + _xlpm.nbparties),
  IF(Y63="",
    "",
    _xlpm.coef * (Y63-Y64))
)</f>
        <v/>
      </c>
      <c r="Z65" t="str" cm="1">
        <f t="array" ref="Z65">_xlfn.LET(
  _xlpm.K, Constantes!$B$3,
  _xlpm.Knewgain, Constantes!$B$4,
  _xlpm.Knewscale, Constantes!$B$5,
  _xlpm.ptstables, INDEX(Z:Z, _xlfn.SEQUENCE(COUNTA($C$2:$C65), 1, 3, 4)),
  _xlpm.nbparties, COUNTA(_xlfn._xlws.FILTER(_xlpm.ptstables, _xlpm.ptstables &lt;&gt; "")),
  _xlpm.coef, _xlpm.K + _xlpm.Knewgain / (_xlpm.Knewscale + _xlpm.nbparties),
  IF(Z63="",
    "",
    _xlpm.coef * (Z63-Z64))
)</f>
        <v/>
      </c>
      <c r="AA65" t="str" cm="1">
        <f t="array" ref="AA65">_xlfn.LET(
  _xlpm.K, Constantes!$B$3,
  _xlpm.Knewgain, Constantes!$B$4,
  _xlpm.Knewscale, Constantes!$B$5,
  _xlpm.ptstables, INDEX(AA:AA, _xlfn.SEQUENCE(COUNTA($C$2:$C65), 1, 3, 4)),
  _xlpm.nbparties, COUNTA(_xlfn._xlws.FILTER(_xlpm.ptstables, _xlpm.ptstables &lt;&gt; "")),
  _xlpm.coef, _xlpm.K + _xlpm.Knewgain / (_xlpm.Knewscale + _xlpm.nbparties),
  IF(AA63="",
    "",
    _xlpm.coef * (AA63-AA64))
)</f>
        <v/>
      </c>
      <c r="AB65" t="str" cm="1">
        <f t="array" ref="AB65">_xlfn.LET(
  _xlpm.K, Constantes!$B$3,
  _xlpm.Knewgain, Constantes!$B$4,
  _xlpm.Knewscale, Constantes!$B$5,
  _xlpm.ptstables, INDEX(AB:AB, _xlfn.SEQUENCE(COUNTA($C$2:$C65), 1, 3, 4)),
  _xlpm.nbparties, COUNTA(_xlfn._xlws.FILTER(_xlpm.ptstables, _xlpm.ptstables &lt;&gt; "")),
  _xlpm.coef, _xlpm.K + _xlpm.Knewgain / (_xlpm.Knewscale + _xlpm.nbparties),
  IF(AB63="",
    "",
    _xlpm.coef * (AB63-AB64))
)</f>
        <v/>
      </c>
      <c r="AC65" t="str" cm="1">
        <f t="array" ref="AC65">_xlfn.LET(
  _xlpm.K, Constantes!$B$3,
  _xlpm.Knewgain, Constantes!$B$4,
  _xlpm.Knewscale, Constantes!$B$5,
  _xlpm.ptstables, INDEX(AC:AC, _xlfn.SEQUENCE(COUNTA($C$2:$C65), 1, 3, 4)),
  _xlpm.nbparties, COUNTA(_xlfn._xlws.FILTER(_xlpm.ptstables, _xlpm.ptstables &lt;&gt; "")),
  _xlpm.coef, _xlpm.K + _xlpm.Knewgain / (_xlpm.Knewscale + _xlpm.nbparties),
  IF(AC63="",
    "",
    _xlpm.coef * (AC63-AC64))
)</f>
        <v/>
      </c>
      <c r="AD65" t="str" cm="1">
        <f t="array" ref="AD65">_xlfn.LET(
  _xlpm.K, Constantes!$B$3,
  _xlpm.Knewgain, Constantes!$B$4,
  _xlpm.Knewscale, Constantes!$B$5,
  _xlpm.ptstables, INDEX(AD:AD, _xlfn.SEQUENCE(COUNTA($C$2:$C65), 1, 3, 4)),
  _xlpm.nbparties, COUNTA(_xlfn._xlws.FILTER(_xlpm.ptstables, _xlpm.ptstables &lt;&gt; "")),
  _xlpm.coef, _xlpm.K + _xlpm.Knewgain / (_xlpm.Knewscale + _xlpm.nbparties),
  IF(AD63="",
    "",
    _xlpm.coef * (AD63-AD64))
)</f>
        <v/>
      </c>
      <c r="AE65" t="str" cm="1">
        <f t="array" ref="AE65">_xlfn.LET(
  _xlpm.K, Constantes!$B$3,
  _xlpm.Knewgain, Constantes!$B$4,
  _xlpm.Knewscale, Constantes!$B$5,
  _xlpm.ptstables, INDEX(AE:AE, _xlfn.SEQUENCE(COUNTA($C$2:$C65), 1, 3, 4)),
  _xlpm.nbparties, COUNTA(_xlfn._xlws.FILTER(_xlpm.ptstables, _xlpm.ptstables &lt;&gt; "")),
  _xlpm.coef, _xlpm.K + _xlpm.Knewgain / (_xlpm.Knewscale + _xlpm.nbparties),
  IF(AE63="",
    "",
    _xlpm.coef * (AE63-AE64))
)</f>
        <v/>
      </c>
      <c r="AF65" t="str" cm="1">
        <f t="array" ref="AF65">_xlfn.LET(
  _xlpm.K, Constantes!$B$3,
  _xlpm.Knewgain, Constantes!$B$4,
  _xlpm.Knewscale, Constantes!$B$5,
  _xlpm.ptstables, INDEX(AF:AF, _xlfn.SEQUENCE(COUNTA($C$2:$C65), 1, 3, 4)),
  _xlpm.nbparties, COUNTA(_xlfn._xlws.FILTER(_xlpm.ptstables, _xlpm.ptstables &lt;&gt; "")),
  _xlpm.coef, _xlpm.K + _xlpm.Knewgain / (_xlpm.Knewscale + _xlpm.nbparties),
  IF(AF63="",
    "",
    _xlpm.coef * (AF63-AF64))
)</f>
        <v/>
      </c>
      <c r="AG65" t="str" cm="1">
        <f t="array" ref="AG65">_xlfn.LET(
  _xlpm.K, Constantes!$B$3,
  _xlpm.Knewgain, Constantes!$B$4,
  _xlpm.Knewscale, Constantes!$B$5,
  _xlpm.ptstables, INDEX(AG:AG, _xlfn.SEQUENCE(COUNTA($C$2:$C65), 1, 3, 4)),
  _xlpm.nbparties, COUNTA(_xlfn._xlws.FILTER(_xlpm.ptstables, _xlpm.ptstables &lt;&gt; "")),
  _xlpm.coef, _xlpm.K + _xlpm.Knewgain / (_xlpm.Knewscale + _xlpm.nbparties),
  IF(AG63="",
    "",
    _xlpm.coef * (AG63-AG64))
)</f>
        <v/>
      </c>
      <c r="AH65" t="str" cm="1">
        <f t="array" ref="AH65">_xlfn.LET(
  _xlpm.K, Constantes!$B$3,
  _xlpm.Knewgain, Constantes!$B$4,
  _xlpm.Knewscale, Constantes!$B$5,
  _xlpm.ptstables, INDEX(AH:AH, _xlfn.SEQUENCE(COUNTA($C$2:$C65), 1, 3, 4)),
  _xlpm.nbparties, COUNTA(_xlfn._xlws.FILTER(_xlpm.ptstables, _xlpm.ptstables &lt;&gt; "")),
  _xlpm.coef, _xlpm.K + _xlpm.Knewgain / (_xlpm.Knewscale + _xlpm.nbparties),
  IF(AH63="",
    "",
    _xlpm.coef * (AH63-AH64))
)</f>
        <v/>
      </c>
      <c r="AI65" t="str" cm="1">
        <f t="array" ref="AI65">_xlfn.LET(
  _xlpm.K, Constantes!$B$3,
  _xlpm.Knewgain, Constantes!$B$4,
  _xlpm.Knewscale, Constantes!$B$5,
  _xlpm.ptstables, INDEX(AI:AI, _xlfn.SEQUENCE(COUNTA($C$2:$C65), 1, 3, 4)),
  _xlpm.nbparties, COUNTA(_xlfn._xlws.FILTER(_xlpm.ptstables, _xlpm.ptstables &lt;&gt; "")),
  _xlpm.coef, _xlpm.K + _xlpm.Knewgain / (_xlpm.Knewscale + _xlpm.nbparties),
  IF(AI63="",
    "",
    _xlpm.coef * (AI63-AI64))
)</f>
        <v/>
      </c>
      <c r="AJ65" t="str" cm="1">
        <f t="array" ref="AJ65">_xlfn.LET(
  _xlpm.K, Constantes!$B$3,
  _xlpm.Knewgain, Constantes!$B$4,
  _xlpm.Knewscale, Constantes!$B$5,
  _xlpm.ptstables, INDEX(AJ:AJ, _xlfn.SEQUENCE(COUNTA($C$2:$C65), 1, 3, 4)),
  _xlpm.nbparties, COUNTA(_xlfn._xlws.FILTER(_xlpm.ptstables, _xlpm.ptstables &lt;&gt; "")),
  _xlpm.coef, _xlpm.K + _xlpm.Knewgain / (_xlpm.Knewscale + _xlpm.nbparties),
  IF(AJ63="",
    "",
    _xlpm.coef * (AJ63-AJ64))
)</f>
        <v/>
      </c>
      <c r="AK65" t="str" cm="1">
        <f t="array" ref="AK65">_xlfn.LET(
  _xlpm.K, Constantes!$B$3,
  _xlpm.Knewgain, Constantes!$B$4,
  _xlpm.Knewscale, Constantes!$B$5,
  _xlpm.ptstables, INDEX(AK:AK, _xlfn.SEQUENCE(COUNTA($C$2:$C65), 1, 3, 4)),
  _xlpm.nbparties, COUNTA(_xlfn._xlws.FILTER(_xlpm.ptstables, _xlpm.ptstables &lt;&gt; "")),
  _xlpm.coef, _xlpm.K + _xlpm.Knewgain / (_xlpm.Knewscale + _xlpm.nbparties),
  IF(AK63="",
    "",
    _xlpm.coef * (AK63-AK64))
)</f>
        <v/>
      </c>
      <c r="AL65" t="str" cm="1">
        <f t="array" ref="AL65">_xlfn.LET(
  _xlpm.K, Constantes!$B$3,
  _xlpm.Knewgain, Constantes!$B$4,
  _xlpm.Knewscale, Constantes!$B$5,
  _xlpm.ptstables, INDEX(AL:AL, _xlfn.SEQUENCE(COUNTA($C$2:$C65), 1, 3, 4)),
  _xlpm.nbparties, COUNTA(_xlfn._xlws.FILTER(_xlpm.ptstables, _xlpm.ptstables &lt;&gt; "")),
  _xlpm.coef, _xlpm.K + _xlpm.Knewgain / (_xlpm.Knewscale + _xlpm.nbparties),
  IF(AL63="",
    "",
    _xlpm.coef * (AL63-AL64))
)</f>
        <v/>
      </c>
      <c r="AM65" t="str" cm="1">
        <f t="array" ref="AM65">_xlfn.LET(
  _xlpm.K, Constantes!$B$3,
  _xlpm.Knewgain, Constantes!$B$4,
  _xlpm.Knewscale, Constantes!$B$5,
  _xlpm.ptstables, INDEX(AM:AM, _xlfn.SEQUENCE(COUNTA($C$2:$C65), 1, 3, 4)),
  _xlpm.nbparties, COUNTA(_xlfn._xlws.FILTER(_xlpm.ptstables, _xlpm.ptstables &lt;&gt; "")),
  _xlpm.coef, _xlpm.K + _xlpm.Knewgain / (_xlpm.Knewscale + _xlpm.nbparties),
  IF(AM63="",
    "",
    _xlpm.coef * (AM63-AM64))
)</f>
        <v/>
      </c>
    </row>
    <row r="66" spans="1:39" x14ac:dyDescent="0.25">
      <c r="A66" t="s">
        <v>14</v>
      </c>
      <c r="B66" t="str" cm="1">
        <f t="array" ref="B6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18</v>
      </c>
      <c r="C66" s="2" cm="1">
        <f t="array" ref="C66">IF(B66="","",
  INDEX(Donnees!F:F, MATCH(B66, Donnees!F:F, 0)+1))</f>
        <v>45913.835636574076</v>
      </c>
      <c r="D66">
        <f t="shared" ref="D66:AM66" si="24">D62+IF(D65="",0,D65)</f>
        <v>1108.4611161856747</v>
      </c>
      <c r="E66">
        <f t="shared" si="24"/>
        <v>1195.5659811510693</v>
      </c>
      <c r="F66">
        <f t="shared" si="24"/>
        <v>909.87928229209808</v>
      </c>
      <c r="G66">
        <f t="shared" si="24"/>
        <v>1029.5354335837335</v>
      </c>
      <c r="H66">
        <f t="shared" si="24"/>
        <v>1020.3453983892952</v>
      </c>
      <c r="I66">
        <f t="shared" si="24"/>
        <v>1079.4580211094492</v>
      </c>
      <c r="J66">
        <f t="shared" si="24"/>
        <v>938.49433816478961</v>
      </c>
      <c r="K66">
        <f t="shared" si="24"/>
        <v>911.11415590373872</v>
      </c>
      <c r="L66">
        <f t="shared" si="24"/>
        <v>878.7153998467162</v>
      </c>
      <c r="M66">
        <f t="shared" si="24"/>
        <v>965.238738457664</v>
      </c>
      <c r="N66">
        <f t="shared" si="24"/>
        <v>937.60806294499946</v>
      </c>
      <c r="O66">
        <f t="shared" si="24"/>
        <v>1030.4363831507294</v>
      </c>
      <c r="P66">
        <f t="shared" si="24"/>
        <v>951.87653483423549</v>
      </c>
      <c r="Q66">
        <f t="shared" si="24"/>
        <v>985.54250487050535</v>
      </c>
      <c r="R66">
        <f t="shared" si="24"/>
        <v>1031.2466936225237</v>
      </c>
      <c r="S66">
        <f t="shared" si="24"/>
        <v>965.3351737140199</v>
      </c>
      <c r="T66">
        <f t="shared" si="24"/>
        <v>1086.1127681588928</v>
      </c>
      <c r="U66">
        <f t="shared" si="24"/>
        <v>1059.3016239317653</v>
      </c>
      <c r="V66">
        <f t="shared" si="24"/>
        <v>976.66131486891345</v>
      </c>
      <c r="W66">
        <f t="shared" si="24"/>
        <v>936.79085942937002</v>
      </c>
      <c r="X66">
        <f t="shared" si="24"/>
        <v>852.64794693163367</v>
      </c>
      <c r="Y66">
        <f t="shared" si="24"/>
        <v>913.98582058905436</v>
      </c>
      <c r="Z66">
        <f t="shared" si="24"/>
        <v>991.11904139672549</v>
      </c>
      <c r="AA66">
        <f t="shared" si="24"/>
        <v>1000</v>
      </c>
      <c r="AB66">
        <f t="shared" si="24"/>
        <v>979.56500000000005</v>
      </c>
      <c r="AC66">
        <f t="shared" si="24"/>
        <v>1032.51</v>
      </c>
      <c r="AD66">
        <f t="shared" si="24"/>
        <v>974.01499999999999</v>
      </c>
      <c r="AE66">
        <f t="shared" si="24"/>
        <v>1011.415</v>
      </c>
      <c r="AF66">
        <f t="shared" si="24"/>
        <v>1031.1199999999999</v>
      </c>
      <c r="AG66">
        <f t="shared" si="24"/>
        <v>1001.0350000000001</v>
      </c>
      <c r="AH66">
        <f t="shared" si="24"/>
        <v>994.44</v>
      </c>
      <c r="AI66">
        <f t="shared" si="24"/>
        <v>1000</v>
      </c>
      <c r="AJ66">
        <f t="shared" si="24"/>
        <v>957.2</v>
      </c>
      <c r="AK66">
        <f t="shared" si="24"/>
        <v>1000</v>
      </c>
      <c r="AL66">
        <f t="shared" si="24"/>
        <v>1055.9299999999998</v>
      </c>
      <c r="AM66">
        <f t="shared" si="24"/>
        <v>1000</v>
      </c>
    </row>
    <row r="67" spans="1:39" x14ac:dyDescent="0.25">
      <c r="A67" t="s">
        <v>21</v>
      </c>
      <c r="D67" t="str" cm="1">
        <f t="array" ref="D67">IFERROR(
  _xlfn.LET(
    _xlpm.ligpartie, MATCH($B66, Donnees!$F:$F, 0),
    _xlpm.joueurs, INDEX(Donnees!$A:$Z, _xlpm.ligpartie+1, _xlfn.SEQUENCE(1, 4, 2)),
    INDEX(
      Donnees!$A:$Z,
      _xlpm.ligpartie + 3,
      MATCH(D$1, _xlpm.joueurs, 0) + 1
    )
  ), ""
)</f>
        <v/>
      </c>
      <c r="E67" t="str" cm="1">
        <f t="array" ref="E67">IFERROR(
  _xlfn.LET(
    _xlpm.ligpartie, MATCH($B66, Donnees!$F:$F, 0),
    _xlpm.joueurs, INDEX(Donnees!$A:$Z, _xlpm.ligpartie+1, _xlfn.SEQUENCE(1, 4, 2)),
    INDEX(
      Donnees!$A:$Z,
      _xlpm.ligpartie + 3,
      MATCH(E$1, _xlpm.joueurs, 0) + 1
    )
  ), ""
)</f>
        <v/>
      </c>
      <c r="F67" t="str" cm="1">
        <f t="array" ref="F67">IFERROR(
  _xlfn.LET(
    _xlpm.ligpartie, MATCH($B66, Donnees!$F:$F, 0),
    _xlpm.joueurs, INDEX(Donnees!$A:$Z, _xlpm.ligpartie+1, _xlfn.SEQUENCE(1, 4, 2)),
    INDEX(
      Donnees!$A:$Z,
      _xlpm.ligpartie + 3,
      MATCH(F$1, _xlpm.joueurs, 0) + 1
    )
  ), ""
)</f>
        <v/>
      </c>
      <c r="G67" t="str" cm="1">
        <f t="array" ref="G67">IFERROR(
  _xlfn.LET(
    _xlpm.ligpartie, MATCH($B66, Donnees!$F:$F, 0),
    _xlpm.joueurs, INDEX(Donnees!$A:$Z, _xlpm.ligpartie+1, _xlfn.SEQUENCE(1, 4, 2)),
    INDEX(
      Donnees!$A:$Z,
      _xlpm.ligpartie + 3,
      MATCH(G$1, _xlpm.joueurs, 0) + 1
    )
  ), ""
)</f>
        <v/>
      </c>
      <c r="H67" t="str" cm="1">
        <f t="array" ref="H67">IFERROR(
  _xlfn.LET(
    _xlpm.ligpartie, MATCH($B66, Donnees!$F:$F, 0),
    _xlpm.joueurs, INDEX(Donnees!$A:$Z, _xlpm.ligpartie+1, _xlfn.SEQUENCE(1, 4, 2)),
    INDEX(
      Donnees!$A:$Z,
      _xlpm.ligpartie + 3,
      MATCH(H$1, _xlpm.joueurs, 0) + 1
    )
  ), ""
)</f>
        <v/>
      </c>
      <c r="I67" t="str" cm="1">
        <f t="array" ref="I67">IFERROR(
  _xlfn.LET(
    _xlpm.ligpartie, MATCH($B66, Donnees!$F:$F, 0),
    _xlpm.joueurs, INDEX(Donnees!$A:$Z, _xlpm.ligpartie+1, _xlfn.SEQUENCE(1, 4, 2)),
    INDEX(
      Donnees!$A:$Z,
      _xlpm.ligpartie + 3,
      MATCH(I$1, _xlpm.joueurs, 0) + 1
    )
  ), ""
)</f>
        <v/>
      </c>
      <c r="J67" t="str" cm="1">
        <f t="array" ref="J67">IFERROR(
  _xlfn.LET(
    _xlpm.ligpartie, MATCH($B66, Donnees!$F:$F, 0),
    _xlpm.joueurs, INDEX(Donnees!$A:$Z, _xlpm.ligpartie+1, _xlfn.SEQUENCE(1, 4, 2)),
    INDEX(
      Donnees!$A:$Z,
      _xlpm.ligpartie + 3,
      MATCH(J$1, _xlpm.joueurs, 0) + 1
    )
  ), ""
)</f>
        <v/>
      </c>
      <c r="K67" t="str" cm="1">
        <f t="array" ref="K67">IFERROR(
  _xlfn.LET(
    _xlpm.ligpartie, MATCH($B66, Donnees!$F:$F, 0),
    _xlpm.joueurs, INDEX(Donnees!$A:$Z, _xlpm.ligpartie+1, _xlfn.SEQUENCE(1, 4, 2)),
    INDEX(
      Donnees!$A:$Z,
      _xlpm.ligpartie + 3,
      MATCH(K$1, _xlpm.joueurs, 0) + 1
    )
  ), ""
)</f>
        <v/>
      </c>
      <c r="L67" t="str" cm="1">
        <f t="array" ref="L67">IFERROR(
  _xlfn.LET(
    _xlpm.ligpartie, MATCH($B66, Donnees!$F:$F, 0),
    _xlpm.joueurs, INDEX(Donnees!$A:$Z, _xlpm.ligpartie+1, _xlfn.SEQUENCE(1, 4, 2)),
    INDEX(
      Donnees!$A:$Z,
      _xlpm.ligpartie + 3,
      MATCH(L$1, _xlpm.joueurs, 0) + 1
    )
  ), ""
)</f>
        <v/>
      </c>
      <c r="M67" t="str" cm="1">
        <f t="array" ref="M67">IFERROR(
  _xlfn.LET(
    _xlpm.ligpartie, MATCH($B66, Donnees!$F:$F, 0),
    _xlpm.joueurs, INDEX(Donnees!$A:$Z, _xlpm.ligpartie+1, _xlfn.SEQUENCE(1, 4, 2)),
    INDEX(
      Donnees!$A:$Z,
      _xlpm.ligpartie + 3,
      MATCH(M$1, _xlpm.joueurs, 0) + 1
    )
  ), ""
)</f>
        <v/>
      </c>
      <c r="N67" t="str" cm="1">
        <f t="array" ref="N67">IFERROR(
  _xlfn.LET(
    _xlpm.ligpartie, MATCH($B66, Donnees!$F:$F, 0),
    _xlpm.joueurs, INDEX(Donnees!$A:$Z, _xlpm.ligpartie+1, _xlfn.SEQUENCE(1, 4, 2)),
    INDEX(
      Donnees!$A:$Z,
      _xlpm.ligpartie + 3,
      MATCH(N$1, _xlpm.joueurs, 0) + 1
    )
  ), ""
)</f>
        <v/>
      </c>
      <c r="O67" t="str" cm="1">
        <f t="array" ref="O67">IFERROR(
  _xlfn.LET(
    _xlpm.ligpartie, MATCH($B66, Donnees!$F:$F, 0),
    _xlpm.joueurs, INDEX(Donnees!$A:$Z, _xlpm.ligpartie+1, _xlfn.SEQUENCE(1, 4, 2)),
    INDEX(
      Donnees!$A:$Z,
      _xlpm.ligpartie + 3,
      MATCH(O$1, _xlpm.joueurs, 0) + 1
    )
  ), ""
)</f>
        <v/>
      </c>
      <c r="P67" t="str" cm="1">
        <f t="array" ref="P67">IFERROR(
  _xlfn.LET(
    _xlpm.ligpartie, MATCH($B66, Donnees!$F:$F, 0),
    _xlpm.joueurs, INDEX(Donnees!$A:$Z, _xlpm.ligpartie+1, _xlfn.SEQUENCE(1, 4, 2)),
    INDEX(
      Donnees!$A:$Z,
      _xlpm.ligpartie + 3,
      MATCH(P$1, _xlpm.joueurs, 0) + 1
    )
  ), ""
)</f>
        <v/>
      </c>
      <c r="Q67" cm="1">
        <f t="array" ref="Q67">IFERROR(
  _xlfn.LET(
    _xlpm.ligpartie, MATCH($B66, Donnees!$F:$F, 0),
    _xlpm.joueurs, INDEX(Donnees!$A:$Z, _xlpm.ligpartie+1, _xlfn.SEQUENCE(1, 4, 2)),
    INDEX(
      Donnees!$A:$Z,
      _xlpm.ligpartie + 3,
      MATCH(Q$1, _xlpm.joueurs, 0) + 1
    )
  ), ""
)</f>
        <v>3</v>
      </c>
      <c r="R67" t="str" cm="1">
        <f t="array" ref="R67">IFERROR(
  _xlfn.LET(
    _xlpm.ligpartie, MATCH($B66, Donnees!$F:$F, 0),
    _xlpm.joueurs, INDEX(Donnees!$A:$Z, _xlpm.ligpartie+1, _xlfn.SEQUENCE(1, 4, 2)),
    INDEX(
      Donnees!$A:$Z,
      _xlpm.ligpartie + 3,
      MATCH(R$1, _xlpm.joueurs, 0) + 1
    )
  ), ""
)</f>
        <v/>
      </c>
      <c r="S67" cm="1">
        <f t="array" ref="S67">IFERROR(
  _xlfn.LET(
    _xlpm.ligpartie, MATCH($B66, Donnees!$F:$F, 0),
    _xlpm.joueurs, INDEX(Donnees!$A:$Z, _xlpm.ligpartie+1, _xlfn.SEQUENCE(1, 4, 2)),
    INDEX(
      Donnees!$A:$Z,
      _xlpm.ligpartie + 3,
      MATCH(S$1, _xlpm.joueurs, 0) + 1
    )
  ), ""
)</f>
        <v>1</v>
      </c>
      <c r="T67" cm="1">
        <f t="array" ref="T67">IFERROR(
  _xlfn.LET(
    _xlpm.ligpartie, MATCH($B66, Donnees!$F:$F, 0),
    _xlpm.joueurs, INDEX(Donnees!$A:$Z, _xlpm.ligpartie+1, _xlfn.SEQUENCE(1, 4, 2)),
    INDEX(
      Donnees!$A:$Z,
      _xlpm.ligpartie + 3,
      MATCH(T$1, _xlpm.joueurs, 0) + 1
    )
  ), ""
)</f>
        <v>2</v>
      </c>
      <c r="U67" cm="1">
        <f t="array" ref="U67">IFERROR(
  _xlfn.LET(
    _xlpm.ligpartie, MATCH($B66, Donnees!$F:$F, 0),
    _xlpm.joueurs, INDEX(Donnees!$A:$Z, _xlpm.ligpartie+1, _xlfn.SEQUENCE(1, 4, 2)),
    INDEX(
      Donnees!$A:$Z,
      _xlpm.ligpartie + 3,
      MATCH(U$1, _xlpm.joueurs, 0) + 1
    )
  ), ""
)</f>
        <v>0</v>
      </c>
      <c r="V67" t="str" cm="1">
        <f t="array" ref="V67">IFERROR(
  _xlfn.LET(
    _xlpm.ligpartie, MATCH($B66, Donnees!$F:$F, 0),
    _xlpm.joueurs, INDEX(Donnees!$A:$Z, _xlpm.ligpartie+1, _xlfn.SEQUENCE(1, 4, 2)),
    INDEX(
      Donnees!$A:$Z,
      _xlpm.ligpartie + 3,
      MATCH(V$1, _xlpm.joueurs, 0) + 1
    )
  ), ""
)</f>
        <v/>
      </c>
      <c r="W67" t="str" cm="1">
        <f t="array" ref="W67">IFERROR(
  _xlfn.LET(
    _xlpm.ligpartie, MATCH($B66, Donnees!$F:$F, 0),
    _xlpm.joueurs, INDEX(Donnees!$A:$Z, _xlpm.ligpartie+1, _xlfn.SEQUENCE(1, 4, 2)),
    INDEX(
      Donnees!$A:$Z,
      _xlpm.ligpartie + 3,
      MATCH(W$1, _xlpm.joueurs, 0) + 1
    )
  ), ""
)</f>
        <v/>
      </c>
      <c r="X67" t="str" cm="1">
        <f t="array" ref="X67">IFERROR(
  _xlfn.LET(
    _xlpm.ligpartie, MATCH($B66, Donnees!$F:$F, 0),
    _xlpm.joueurs, INDEX(Donnees!$A:$Z, _xlpm.ligpartie+1, _xlfn.SEQUENCE(1, 4, 2)),
    INDEX(
      Donnees!$A:$Z,
      _xlpm.ligpartie + 3,
      MATCH(X$1, _xlpm.joueurs, 0) + 1
    )
  ), ""
)</f>
        <v/>
      </c>
      <c r="Y67" t="str" cm="1">
        <f t="array" ref="Y67">IFERROR(
  _xlfn.LET(
    _xlpm.ligpartie, MATCH($B66, Donnees!$F:$F, 0),
    _xlpm.joueurs, INDEX(Donnees!$A:$Z, _xlpm.ligpartie+1, _xlfn.SEQUENCE(1, 4, 2)),
    INDEX(
      Donnees!$A:$Z,
      _xlpm.ligpartie + 3,
      MATCH(Y$1, _xlpm.joueurs, 0) + 1
    )
  ), ""
)</f>
        <v/>
      </c>
      <c r="Z67" t="str" cm="1">
        <f t="array" ref="Z67">IFERROR(
  _xlfn.LET(
    _xlpm.ligpartie, MATCH($B66, Donnees!$F:$F, 0),
    _xlpm.joueurs, INDEX(Donnees!$A:$Z, _xlpm.ligpartie+1, _xlfn.SEQUENCE(1, 4, 2)),
    INDEX(
      Donnees!$A:$Z,
      _xlpm.ligpartie + 3,
      MATCH(Z$1, _xlpm.joueurs, 0) + 1
    )
  ), ""
)</f>
        <v/>
      </c>
      <c r="AA67" t="str" cm="1">
        <f t="array" ref="AA67">IFERROR(
  _xlfn.LET(
    _xlpm.ligpartie, MATCH($B66, Donnees!$F:$F, 0),
    _xlpm.joueurs, INDEX(Donnees!$A:$Z, _xlpm.ligpartie+1, _xlfn.SEQUENCE(1, 4, 2)),
    INDEX(
      Donnees!$A:$Z,
      _xlpm.ligpartie + 3,
      MATCH(AA$1, _xlpm.joueurs, 0) + 1
    )
  ), ""
)</f>
        <v/>
      </c>
      <c r="AB67" t="str" cm="1">
        <f t="array" ref="AB67">IFERROR(
  _xlfn.LET(
    _xlpm.ligpartie, MATCH($B66, Donnees!$F:$F, 0),
    _xlpm.joueurs, INDEX(Donnees!$A:$Z, _xlpm.ligpartie+1, _xlfn.SEQUENCE(1, 4, 2)),
    INDEX(
      Donnees!$A:$Z,
      _xlpm.ligpartie + 3,
      MATCH(AB$1, _xlpm.joueurs, 0) + 1
    )
  ), ""
)</f>
        <v/>
      </c>
      <c r="AC67" t="str" cm="1">
        <f t="array" ref="AC67">IFERROR(
  _xlfn.LET(
    _xlpm.ligpartie, MATCH($B66, Donnees!$F:$F, 0),
    _xlpm.joueurs, INDEX(Donnees!$A:$Z, _xlpm.ligpartie+1, _xlfn.SEQUENCE(1, 4, 2)),
    INDEX(
      Donnees!$A:$Z,
      _xlpm.ligpartie + 3,
      MATCH(AC$1, _xlpm.joueurs, 0) + 1
    )
  ), ""
)</f>
        <v/>
      </c>
      <c r="AD67" t="str" cm="1">
        <f t="array" ref="AD67">IFERROR(
  _xlfn.LET(
    _xlpm.ligpartie, MATCH($B66, Donnees!$F:$F, 0),
    _xlpm.joueurs, INDEX(Donnees!$A:$Z, _xlpm.ligpartie+1, _xlfn.SEQUENCE(1, 4, 2)),
    INDEX(
      Donnees!$A:$Z,
      _xlpm.ligpartie + 3,
      MATCH(AD$1, _xlpm.joueurs, 0) + 1
    )
  ), ""
)</f>
        <v/>
      </c>
      <c r="AE67" t="str" cm="1">
        <f t="array" ref="AE67">IFERROR(
  _xlfn.LET(
    _xlpm.ligpartie, MATCH($B66, Donnees!$F:$F, 0),
    _xlpm.joueurs, INDEX(Donnees!$A:$Z, _xlpm.ligpartie+1, _xlfn.SEQUENCE(1, 4, 2)),
    INDEX(
      Donnees!$A:$Z,
      _xlpm.ligpartie + 3,
      MATCH(AE$1, _xlpm.joueurs, 0) + 1
    )
  ), ""
)</f>
        <v/>
      </c>
      <c r="AF67" t="str" cm="1">
        <f t="array" ref="AF67">IFERROR(
  _xlfn.LET(
    _xlpm.ligpartie, MATCH($B66, Donnees!$F:$F, 0),
    _xlpm.joueurs, INDEX(Donnees!$A:$Z, _xlpm.ligpartie+1, _xlfn.SEQUENCE(1, 4, 2)),
    INDEX(
      Donnees!$A:$Z,
      _xlpm.ligpartie + 3,
      MATCH(AF$1, _xlpm.joueurs, 0) + 1
    )
  ), ""
)</f>
        <v/>
      </c>
      <c r="AG67" t="str" cm="1">
        <f t="array" ref="AG67">IFERROR(
  _xlfn.LET(
    _xlpm.ligpartie, MATCH($B66, Donnees!$F:$F, 0),
    _xlpm.joueurs, INDEX(Donnees!$A:$Z, _xlpm.ligpartie+1, _xlfn.SEQUENCE(1, 4, 2)),
    INDEX(
      Donnees!$A:$Z,
      _xlpm.ligpartie + 3,
      MATCH(AG$1, _xlpm.joueurs, 0) + 1
    )
  ), ""
)</f>
        <v/>
      </c>
      <c r="AH67" t="str" cm="1">
        <f t="array" ref="AH67">IFERROR(
  _xlfn.LET(
    _xlpm.ligpartie, MATCH($B66, Donnees!$F:$F, 0),
    _xlpm.joueurs, INDEX(Donnees!$A:$Z, _xlpm.ligpartie+1, _xlfn.SEQUENCE(1, 4, 2)),
    INDEX(
      Donnees!$A:$Z,
      _xlpm.ligpartie + 3,
      MATCH(AH$1, _xlpm.joueurs, 0) + 1
    )
  ), ""
)</f>
        <v/>
      </c>
      <c r="AI67" t="str" cm="1">
        <f t="array" ref="AI67">IFERROR(
  _xlfn.LET(
    _xlpm.ligpartie, MATCH($B66, Donnees!$F:$F, 0),
    _xlpm.joueurs, INDEX(Donnees!$A:$Z, _xlpm.ligpartie+1, _xlfn.SEQUENCE(1, 4, 2)),
    INDEX(
      Donnees!$A:$Z,
      _xlpm.ligpartie + 3,
      MATCH(AI$1, _xlpm.joueurs, 0) + 1
    )
  ), ""
)</f>
        <v/>
      </c>
      <c r="AJ67" t="str" cm="1">
        <f t="array" ref="AJ67">IFERROR(
  _xlfn.LET(
    _xlpm.ligpartie, MATCH($B66, Donnees!$F:$F, 0),
    _xlpm.joueurs, INDEX(Donnees!$A:$Z, _xlpm.ligpartie+1, _xlfn.SEQUENCE(1, 4, 2)),
    INDEX(
      Donnees!$A:$Z,
      _xlpm.ligpartie + 3,
      MATCH(AJ$1, _xlpm.joueurs, 0) + 1
    )
  ), ""
)</f>
        <v/>
      </c>
      <c r="AK67" t="str" cm="1">
        <f t="array" ref="AK67">IFERROR(
  _xlfn.LET(
    _xlpm.ligpartie, MATCH($B66, Donnees!$F:$F, 0),
    _xlpm.joueurs, INDEX(Donnees!$A:$Z, _xlpm.ligpartie+1, _xlfn.SEQUENCE(1, 4, 2)),
    INDEX(
      Donnees!$A:$Z,
      _xlpm.ligpartie + 3,
      MATCH(AK$1, _xlpm.joueurs, 0) + 1
    )
  ), ""
)</f>
        <v/>
      </c>
      <c r="AL67" t="str" cm="1">
        <f t="array" ref="AL67">IFERROR(
  _xlfn.LET(
    _xlpm.ligpartie, MATCH($B66, Donnees!$F:$F, 0),
    _xlpm.joueurs, INDEX(Donnees!$A:$Z, _xlpm.ligpartie+1, _xlfn.SEQUENCE(1, 4, 2)),
    INDEX(
      Donnees!$A:$Z,
      _xlpm.ligpartie + 3,
      MATCH(AL$1, _xlpm.joueurs, 0) + 1
    )
  ), ""
)</f>
        <v/>
      </c>
      <c r="AM67" t="str" cm="1">
        <f t="array" ref="AM67">IFERROR(
  _xlfn.LET(
    _xlpm.ligpartie, MATCH($B66, Donnees!$F:$F, 0),
    _xlpm.joueurs, INDEX(Donnees!$A:$Z, _xlpm.ligpartie+1, _xlfn.SEQUENCE(1, 4, 2)),
    INDEX(
      Donnees!$A:$Z,
      _xlpm.ligpartie + 3,
      MATCH(AM$1, _xlpm.joueurs, 0) + 1
    )
  ), ""
)</f>
        <v/>
      </c>
    </row>
    <row r="68" spans="1:39" x14ac:dyDescent="0.25">
      <c r="A68" t="s">
        <v>20</v>
      </c>
      <c r="D68" t="str" cm="1">
        <f t="array" ref="D68">_xlfn.LET(
  _xlpm.colj, _xlfn._xlws.FILTER(IF(ISNUMBER(67:67), COLUMN(67:67)), ISNUMBER(67:67)),
  _xlpm.elos, INDEX(66:66,1,_xlpm.colj),
  _xlpm.diffscale, Constantes!$B$2,
  IF(D67="",
    "",
    SUM(1/(1+POWER(10,-(D66-_xlpm.elos)/_xlpm.diffscale)))-0.5)
)</f>
        <v/>
      </c>
      <c r="E68" t="str" cm="1">
        <f t="array" ref="E68">_xlfn.LET(
  _xlpm.colj, _xlfn._xlws.FILTER(IF(ISNUMBER(67:67), COLUMN(67:67)), ISNUMBER(67:67)),
  _xlpm.elos, INDEX(66:66,1,_xlpm.colj),
  _xlpm.diffscale, Constantes!$B$2,
  IF(E67="",
    "",
    SUM(1/(1+POWER(10,-(E66-_xlpm.elos)/_xlpm.diffscale)))-0.5)
)</f>
        <v/>
      </c>
      <c r="F68" t="str" cm="1">
        <f t="array" ref="F68">_xlfn.LET(
  _xlpm.colj, _xlfn._xlws.FILTER(IF(ISNUMBER(67:67), COLUMN(67:67)), ISNUMBER(67:67)),
  _xlpm.elos, INDEX(66:66,1,_xlpm.colj),
  _xlpm.diffscale, Constantes!$B$2,
  IF(F67="",
    "",
    SUM(1/(1+POWER(10,-(F66-_xlpm.elos)/_xlpm.diffscale)))-0.5)
)</f>
        <v/>
      </c>
      <c r="G68" t="str" cm="1">
        <f t="array" ref="G68">_xlfn.LET(
  _xlpm.colj, _xlfn._xlws.FILTER(IF(ISNUMBER(67:67), COLUMN(67:67)), ISNUMBER(67:67)),
  _xlpm.elos, INDEX(66:66,1,_xlpm.colj),
  _xlpm.diffscale, Constantes!$B$2,
  IF(G67="",
    "",
    SUM(1/(1+POWER(10,-(G66-_xlpm.elos)/_xlpm.diffscale)))-0.5)
)</f>
        <v/>
      </c>
      <c r="H68" t="str" cm="1">
        <f t="array" ref="H68">_xlfn.LET(
  _xlpm.colj, _xlfn._xlws.FILTER(IF(ISNUMBER(67:67), COLUMN(67:67)), ISNUMBER(67:67)),
  _xlpm.elos, INDEX(66:66,1,_xlpm.colj),
  _xlpm.diffscale, Constantes!$B$2,
  IF(H67="",
    "",
    SUM(1/(1+POWER(10,-(H66-_xlpm.elos)/_xlpm.diffscale)))-0.5)
)</f>
        <v/>
      </c>
      <c r="I68" t="str" cm="1">
        <f t="array" ref="I68">_xlfn.LET(
  _xlpm.colj, _xlfn._xlws.FILTER(IF(ISNUMBER(67:67), COLUMN(67:67)), ISNUMBER(67:67)),
  _xlpm.elos, INDEX(66:66,1,_xlpm.colj),
  _xlpm.diffscale, Constantes!$B$2,
  IF(I67="",
    "",
    SUM(1/(1+POWER(10,-(I66-_xlpm.elos)/_xlpm.diffscale)))-0.5)
)</f>
        <v/>
      </c>
      <c r="J68" t="str" cm="1">
        <f t="array" ref="J68">_xlfn.LET(
  _xlpm.colj, _xlfn._xlws.FILTER(IF(ISNUMBER(67:67), COLUMN(67:67)), ISNUMBER(67:67)),
  _xlpm.elos, INDEX(66:66,1,_xlpm.colj),
  _xlpm.diffscale, Constantes!$B$2,
  IF(J67="",
    "",
    SUM(1/(1+POWER(10,-(J66-_xlpm.elos)/_xlpm.diffscale)))-0.5)
)</f>
        <v/>
      </c>
      <c r="K68" t="str" cm="1">
        <f t="array" ref="K68">_xlfn.LET(
  _xlpm.colj, _xlfn._xlws.FILTER(IF(ISNUMBER(67:67), COLUMN(67:67)), ISNUMBER(67:67)),
  _xlpm.elos, INDEX(66:66,1,_xlpm.colj),
  _xlpm.diffscale, Constantes!$B$2,
  IF(K67="",
    "",
    SUM(1/(1+POWER(10,-(K66-_xlpm.elos)/_xlpm.diffscale)))-0.5)
)</f>
        <v/>
      </c>
      <c r="L68" t="str" cm="1">
        <f t="array" ref="L68">_xlfn.LET(
  _xlpm.colj, _xlfn._xlws.FILTER(IF(ISNUMBER(67:67), COLUMN(67:67)), ISNUMBER(67:67)),
  _xlpm.elos, INDEX(66:66,1,_xlpm.colj),
  _xlpm.diffscale, Constantes!$B$2,
  IF(L67="",
    "",
    SUM(1/(1+POWER(10,-(L66-_xlpm.elos)/_xlpm.diffscale)))-0.5)
)</f>
        <v/>
      </c>
      <c r="M68" t="str" cm="1">
        <f t="array" ref="M68">_xlfn.LET(
  _xlpm.colj, _xlfn._xlws.FILTER(IF(ISNUMBER(67:67), COLUMN(67:67)), ISNUMBER(67:67)),
  _xlpm.elos, INDEX(66:66,1,_xlpm.colj),
  _xlpm.diffscale, Constantes!$B$2,
  IF(M67="",
    "",
    SUM(1/(1+POWER(10,-(M66-_xlpm.elos)/_xlpm.diffscale)))-0.5)
)</f>
        <v/>
      </c>
      <c r="N68" t="str" cm="1">
        <f t="array" ref="N68">_xlfn.LET(
  _xlpm.colj, _xlfn._xlws.FILTER(IF(ISNUMBER(67:67), COLUMN(67:67)), ISNUMBER(67:67)),
  _xlpm.elos, INDEX(66:66,1,_xlpm.colj),
  _xlpm.diffscale, Constantes!$B$2,
  IF(N67="",
    "",
    SUM(1/(1+POWER(10,-(N66-_xlpm.elos)/_xlpm.diffscale)))-0.5)
)</f>
        <v/>
      </c>
      <c r="O68" t="str" cm="1">
        <f t="array" ref="O68">_xlfn.LET(
  _xlpm.colj, _xlfn._xlws.FILTER(IF(ISNUMBER(67:67), COLUMN(67:67)), ISNUMBER(67:67)),
  _xlpm.elos, INDEX(66:66,1,_xlpm.colj),
  _xlpm.diffscale, Constantes!$B$2,
  IF(O67="",
    "",
    SUM(1/(1+POWER(10,-(O66-_xlpm.elos)/_xlpm.diffscale)))-0.5)
)</f>
        <v/>
      </c>
      <c r="P68" t="str" cm="1">
        <f t="array" ref="P68">_xlfn.LET(
  _xlpm.colj, _xlfn._xlws.FILTER(IF(ISNUMBER(67:67), COLUMN(67:67)), ISNUMBER(67:67)),
  _xlpm.elos, INDEX(66:66,1,_xlpm.colj),
  _xlpm.diffscale, Constantes!$B$2,
  IF(P67="",
    "",
    SUM(1/(1+POWER(10,-(P66-_xlpm.elos)/_xlpm.diffscale)))-0.5)
)</f>
        <v/>
      </c>
      <c r="Q68" cm="1">
        <f t="array" ref="Q68">_xlfn.LET(
  _xlpm.colj, _xlfn._xlws.FILTER(IF(ISNUMBER(67:67), COLUMN(67:67)), ISNUMBER(67:67)),
  _xlpm.elos, INDEX(66:66,1,_xlpm.colj),
  _xlpm.diffscale, Constantes!$B$2,
  IF(Q67="",
    "",
    SUM(1/(1+POWER(10,-(Q66-_xlpm.elos)/_xlpm.diffscale)))-0.5)
)</f>
        <v>1.283645554438722</v>
      </c>
      <c r="R68" t="str" cm="1">
        <f t="array" ref="R68">_xlfn.LET(
  _xlpm.colj, _xlfn._xlws.FILTER(IF(ISNUMBER(67:67), COLUMN(67:67)), ISNUMBER(67:67)),
  _xlpm.elos, INDEX(66:66,1,_xlpm.colj),
  _xlpm.diffscale, Constantes!$B$2,
  IF(R67="",
    "",
    SUM(1/(1+POWER(10,-(R66-_xlpm.elos)/_xlpm.diffscale)))-0.5)
)</f>
        <v/>
      </c>
      <c r="S68" cm="1">
        <f t="array" ref="S68">_xlfn.LET(
  _xlpm.colj, _xlfn._xlws.FILTER(IF(ISNUMBER(67:67), COLUMN(67:67)), ISNUMBER(67:67)),
  _xlpm.elos, INDEX(66:66,1,_xlpm.colj),
  _xlpm.diffscale, Constantes!$B$2,
  IF(S67="",
    "",
    SUM(1/(1+POWER(10,-(S66-_xlpm.elos)/_xlpm.diffscale)))-0.5)
)</f>
        <v>1.1717927835530746</v>
      </c>
      <c r="T68" cm="1">
        <f t="array" ref="T68">_xlfn.LET(
  _xlpm.colj, _xlfn._xlws.FILTER(IF(ISNUMBER(67:67), COLUMN(67:67)), ISNUMBER(67:67)),
  _xlpm.elos, INDEX(66:66,1,_xlpm.colj),
  _xlpm.diffscale, Constantes!$B$2,
  IF(T67="",
    "",
    SUM(1/(1+POWER(10,-(T66-_xlpm.elos)/_xlpm.diffscale)))-0.5)
)</f>
        <v>1.8464630341398123</v>
      </c>
      <c r="U68" cm="1">
        <f t="array" ref="U68">_xlfn.LET(
  _xlpm.colj, _xlfn._xlws.FILTER(IF(ISNUMBER(67:67), COLUMN(67:67)), ISNUMBER(67:67)),
  _xlpm.elos, INDEX(66:66,1,_xlpm.colj),
  _xlpm.diffscale, Constantes!$B$2,
  IF(U67="",
    "",
    SUM(1/(1+POWER(10,-(U66-_xlpm.elos)/_xlpm.diffscale)))-0.5)
)</f>
        <v>1.6980986278683918</v>
      </c>
      <c r="V68" t="str" cm="1">
        <f t="array" ref="V68">_xlfn.LET(
  _xlpm.colj, _xlfn._xlws.FILTER(IF(ISNUMBER(67:67), COLUMN(67:67)), ISNUMBER(67:67)),
  _xlpm.elos, INDEX(66:66,1,_xlpm.colj),
  _xlpm.diffscale, Constantes!$B$2,
  IF(V67="",
    "",
    SUM(1/(1+POWER(10,-(V66-_xlpm.elos)/_xlpm.diffscale)))-0.5)
)</f>
        <v/>
      </c>
      <c r="W68" t="str" cm="1">
        <f t="array" ref="W68">_xlfn.LET(
  _xlpm.colj, _xlfn._xlws.FILTER(IF(ISNUMBER(67:67), COLUMN(67:67)), ISNUMBER(67:67)),
  _xlpm.elos, INDEX(66:66,1,_xlpm.colj),
  _xlpm.diffscale, Constantes!$B$2,
  IF(W67="",
    "",
    SUM(1/(1+POWER(10,-(W66-_xlpm.elos)/_xlpm.diffscale)))-0.5)
)</f>
        <v/>
      </c>
      <c r="X68" t="str" cm="1">
        <f t="array" ref="X68">_xlfn.LET(
  _xlpm.colj, _xlfn._xlws.FILTER(IF(ISNUMBER(67:67), COLUMN(67:67)), ISNUMBER(67:67)),
  _xlpm.elos, INDEX(66:66,1,_xlpm.colj),
  _xlpm.diffscale, Constantes!$B$2,
  IF(X67="",
    "",
    SUM(1/(1+POWER(10,-(X66-_xlpm.elos)/_xlpm.diffscale)))-0.5)
)</f>
        <v/>
      </c>
      <c r="Y68" t="str" cm="1">
        <f t="array" ref="Y68">_xlfn.LET(
  _xlpm.colj, _xlfn._xlws.FILTER(IF(ISNUMBER(67:67), COLUMN(67:67)), ISNUMBER(67:67)),
  _xlpm.elos, INDEX(66:66,1,_xlpm.colj),
  _xlpm.diffscale, Constantes!$B$2,
  IF(Y67="",
    "",
    SUM(1/(1+POWER(10,-(Y66-_xlpm.elos)/_xlpm.diffscale)))-0.5)
)</f>
        <v/>
      </c>
      <c r="Z68" t="str" cm="1">
        <f t="array" ref="Z68">_xlfn.LET(
  _xlpm.colj, _xlfn._xlws.FILTER(IF(ISNUMBER(67:67), COLUMN(67:67)), ISNUMBER(67:67)),
  _xlpm.elos, INDEX(66:66,1,_xlpm.colj),
  _xlpm.diffscale, Constantes!$B$2,
  IF(Z67="",
    "",
    SUM(1/(1+POWER(10,-(Z66-_xlpm.elos)/_xlpm.diffscale)))-0.5)
)</f>
        <v/>
      </c>
      <c r="AA68" t="str" cm="1">
        <f t="array" ref="AA68">_xlfn.LET(
  _xlpm.colj, _xlfn._xlws.FILTER(IF(ISNUMBER(67:67), COLUMN(67:67)), ISNUMBER(67:67)),
  _xlpm.elos, INDEX(66:66,1,_xlpm.colj),
  _xlpm.diffscale, Constantes!$B$2,
  IF(AA67="",
    "",
    SUM(1/(1+POWER(10,-(AA66-_xlpm.elos)/_xlpm.diffscale)))-0.5)
)</f>
        <v/>
      </c>
      <c r="AB68" t="str" cm="1">
        <f t="array" ref="AB68">_xlfn.LET(
  _xlpm.colj, _xlfn._xlws.FILTER(IF(ISNUMBER(67:67), COLUMN(67:67)), ISNUMBER(67:67)),
  _xlpm.elos, INDEX(66:66,1,_xlpm.colj),
  _xlpm.diffscale, Constantes!$B$2,
  IF(AB67="",
    "",
    SUM(1/(1+POWER(10,-(AB66-_xlpm.elos)/_xlpm.diffscale)))-0.5)
)</f>
        <v/>
      </c>
      <c r="AC68" t="str" cm="1">
        <f t="array" ref="AC68">_xlfn.LET(
  _xlpm.colj, _xlfn._xlws.FILTER(IF(ISNUMBER(67:67), COLUMN(67:67)), ISNUMBER(67:67)),
  _xlpm.elos, INDEX(66:66,1,_xlpm.colj),
  _xlpm.diffscale, Constantes!$B$2,
  IF(AC67="",
    "",
    SUM(1/(1+POWER(10,-(AC66-_xlpm.elos)/_xlpm.diffscale)))-0.5)
)</f>
        <v/>
      </c>
      <c r="AD68" t="str" cm="1">
        <f t="array" ref="AD68">_xlfn.LET(
  _xlpm.colj, _xlfn._xlws.FILTER(IF(ISNUMBER(67:67), COLUMN(67:67)), ISNUMBER(67:67)),
  _xlpm.elos, INDEX(66:66,1,_xlpm.colj),
  _xlpm.diffscale, Constantes!$B$2,
  IF(AD67="",
    "",
    SUM(1/(1+POWER(10,-(AD66-_xlpm.elos)/_xlpm.diffscale)))-0.5)
)</f>
        <v/>
      </c>
      <c r="AE68" t="str" cm="1">
        <f t="array" ref="AE68">_xlfn.LET(
  _xlpm.colj, _xlfn._xlws.FILTER(IF(ISNUMBER(67:67), COLUMN(67:67)), ISNUMBER(67:67)),
  _xlpm.elos, INDEX(66:66,1,_xlpm.colj),
  _xlpm.diffscale, Constantes!$B$2,
  IF(AE67="",
    "",
    SUM(1/(1+POWER(10,-(AE66-_xlpm.elos)/_xlpm.diffscale)))-0.5)
)</f>
        <v/>
      </c>
      <c r="AF68" t="str" cm="1">
        <f t="array" ref="AF68">_xlfn.LET(
  _xlpm.colj, _xlfn._xlws.FILTER(IF(ISNUMBER(67:67), COLUMN(67:67)), ISNUMBER(67:67)),
  _xlpm.elos, INDEX(66:66,1,_xlpm.colj),
  _xlpm.diffscale, Constantes!$B$2,
  IF(AF67="",
    "",
    SUM(1/(1+POWER(10,-(AF66-_xlpm.elos)/_xlpm.diffscale)))-0.5)
)</f>
        <v/>
      </c>
      <c r="AG68" t="str" cm="1">
        <f t="array" ref="AG68">_xlfn.LET(
  _xlpm.colj, _xlfn._xlws.FILTER(IF(ISNUMBER(67:67), COLUMN(67:67)), ISNUMBER(67:67)),
  _xlpm.elos, INDEX(66:66,1,_xlpm.colj),
  _xlpm.diffscale, Constantes!$B$2,
  IF(AG67="",
    "",
    SUM(1/(1+POWER(10,-(AG66-_xlpm.elos)/_xlpm.diffscale)))-0.5)
)</f>
        <v/>
      </c>
      <c r="AH68" t="str" cm="1">
        <f t="array" ref="AH68">_xlfn.LET(
  _xlpm.colj, _xlfn._xlws.FILTER(IF(ISNUMBER(67:67), COLUMN(67:67)), ISNUMBER(67:67)),
  _xlpm.elos, INDEX(66:66,1,_xlpm.colj),
  _xlpm.diffscale, Constantes!$B$2,
  IF(AH67="",
    "",
    SUM(1/(1+POWER(10,-(AH66-_xlpm.elos)/_xlpm.diffscale)))-0.5)
)</f>
        <v/>
      </c>
      <c r="AI68" t="str" cm="1">
        <f t="array" ref="AI68">_xlfn.LET(
  _xlpm.colj, _xlfn._xlws.FILTER(IF(ISNUMBER(67:67), COLUMN(67:67)), ISNUMBER(67:67)),
  _xlpm.elos, INDEX(66:66,1,_xlpm.colj),
  _xlpm.diffscale, Constantes!$B$2,
  IF(AI67="",
    "",
    SUM(1/(1+POWER(10,-(AI66-_xlpm.elos)/_xlpm.diffscale)))-0.5)
)</f>
        <v/>
      </c>
      <c r="AJ68" t="str" cm="1">
        <f t="array" ref="AJ68">_xlfn.LET(
  _xlpm.colj, _xlfn._xlws.FILTER(IF(ISNUMBER(67:67), COLUMN(67:67)), ISNUMBER(67:67)),
  _xlpm.elos, INDEX(66:66,1,_xlpm.colj),
  _xlpm.diffscale, Constantes!$B$2,
  IF(AJ67="",
    "",
    SUM(1/(1+POWER(10,-(AJ66-_xlpm.elos)/_xlpm.diffscale)))-0.5)
)</f>
        <v/>
      </c>
      <c r="AK68" t="str" cm="1">
        <f t="array" ref="AK68">_xlfn.LET(
  _xlpm.colj, _xlfn._xlws.FILTER(IF(ISNUMBER(67:67), COLUMN(67:67)), ISNUMBER(67:67)),
  _xlpm.elos, INDEX(66:66,1,_xlpm.colj),
  _xlpm.diffscale, Constantes!$B$2,
  IF(AK67="",
    "",
    SUM(1/(1+POWER(10,-(AK66-_xlpm.elos)/_xlpm.diffscale)))-0.5)
)</f>
        <v/>
      </c>
      <c r="AL68" t="str" cm="1">
        <f t="array" ref="AL68">_xlfn.LET(
  _xlpm.colj, _xlfn._xlws.FILTER(IF(ISNUMBER(67:67), COLUMN(67:67)), ISNUMBER(67:67)),
  _xlpm.elos, INDEX(66:66,1,_xlpm.colj),
  _xlpm.diffscale, Constantes!$B$2,
  IF(AL67="",
    "",
    SUM(1/(1+POWER(10,-(AL66-_xlpm.elos)/_xlpm.diffscale)))-0.5)
)</f>
        <v/>
      </c>
      <c r="AM68" t="str" cm="1">
        <f t="array" ref="AM68">_xlfn.LET(
  _xlpm.colj, _xlfn._xlws.FILTER(IF(ISNUMBER(67:67), COLUMN(67:67)), ISNUMBER(67:67)),
  _xlpm.elos, INDEX(66:66,1,_xlpm.colj),
  _xlpm.diffscale, Constantes!$B$2,
  IF(AM67="",
    "",
    SUM(1/(1+POWER(10,-(AM66-_xlpm.elos)/_xlpm.diffscale)))-0.5)
)</f>
        <v/>
      </c>
    </row>
    <row r="69" spans="1:39" x14ac:dyDescent="0.25">
      <c r="A69" t="s">
        <v>22</v>
      </c>
      <c r="D69" t="str" cm="1">
        <f t="array" ref="D69">_xlfn.LET(
  _xlpm.K, Constantes!$B$3,
  _xlpm.Knewgain, Constantes!$B$4,
  _xlpm.Knewscale, Constantes!$B$5,
  _xlpm.ptstables, INDEX(D:D, _xlfn.SEQUENCE(COUNTA($C$2:$C69), 1, 3, 4)),
  _xlpm.nbparties, COUNTA(_xlfn._xlws.FILTER(_xlpm.ptstables, _xlpm.ptstables &lt;&gt; "")),
  _xlpm.coef, _xlpm.K + _xlpm.Knewgain / (_xlpm.Knewscale + _xlpm.nbparties),
  IF(D67="",
    "",
    _xlpm.coef * (D67-D68))
)</f>
        <v/>
      </c>
      <c r="E69" t="str" cm="1">
        <f t="array" ref="E69">_xlfn.LET(
  _xlpm.K, Constantes!$B$3,
  _xlpm.Knewgain, Constantes!$B$4,
  _xlpm.Knewscale, Constantes!$B$5,
  _xlpm.ptstables, INDEX(E:E, _xlfn.SEQUENCE(COUNTA($C$2:$C69), 1, 3, 4)),
  _xlpm.nbparties, COUNTA(_xlfn._xlws.FILTER(_xlpm.ptstables, _xlpm.ptstables &lt;&gt; "")),
  _xlpm.coef, _xlpm.K + _xlpm.Knewgain / (_xlpm.Knewscale + _xlpm.nbparties),
  IF(E67="",
    "",
    _xlpm.coef * (E67-E68))
)</f>
        <v/>
      </c>
      <c r="F69" t="str" cm="1">
        <f t="array" ref="F69">_xlfn.LET(
  _xlpm.K, Constantes!$B$3,
  _xlpm.Knewgain, Constantes!$B$4,
  _xlpm.Knewscale, Constantes!$B$5,
  _xlpm.ptstables, INDEX(F:F, _xlfn.SEQUENCE(COUNTA($C$2:$C69), 1, 3, 4)),
  _xlpm.nbparties, COUNTA(_xlfn._xlws.FILTER(_xlpm.ptstables, _xlpm.ptstables &lt;&gt; "")),
  _xlpm.coef, _xlpm.K + _xlpm.Knewgain / (_xlpm.Knewscale + _xlpm.nbparties),
  IF(F67="",
    "",
    _xlpm.coef * (F67-F68))
)</f>
        <v/>
      </c>
      <c r="G69" t="str" cm="1">
        <f t="array" ref="G69">_xlfn.LET(
  _xlpm.K, Constantes!$B$3,
  _xlpm.Knewgain, Constantes!$B$4,
  _xlpm.Knewscale, Constantes!$B$5,
  _xlpm.ptstables, INDEX(G:G, _xlfn.SEQUENCE(COUNTA($C$2:$C69), 1, 3, 4)),
  _xlpm.nbparties, COUNTA(_xlfn._xlws.FILTER(_xlpm.ptstables, _xlpm.ptstables &lt;&gt; "")),
  _xlpm.coef, _xlpm.K + _xlpm.Knewgain / (_xlpm.Knewscale + _xlpm.nbparties),
  IF(G67="",
    "",
    _xlpm.coef * (G67-G68))
)</f>
        <v/>
      </c>
      <c r="H69" t="str" cm="1">
        <f t="array" ref="H69">_xlfn.LET(
  _xlpm.K, Constantes!$B$3,
  _xlpm.Knewgain, Constantes!$B$4,
  _xlpm.Knewscale, Constantes!$B$5,
  _xlpm.ptstables, INDEX(H:H, _xlfn.SEQUENCE(COUNTA($C$2:$C69), 1, 3, 4)),
  _xlpm.nbparties, COUNTA(_xlfn._xlws.FILTER(_xlpm.ptstables, _xlpm.ptstables &lt;&gt; "")),
  _xlpm.coef, _xlpm.K + _xlpm.Knewgain / (_xlpm.Knewscale + _xlpm.nbparties),
  IF(H67="",
    "",
    _xlpm.coef * (H67-H68))
)</f>
        <v/>
      </c>
      <c r="I69" t="str" cm="1">
        <f t="array" ref="I69">_xlfn.LET(
  _xlpm.K, Constantes!$B$3,
  _xlpm.Knewgain, Constantes!$B$4,
  _xlpm.Knewscale, Constantes!$B$5,
  _xlpm.ptstables, INDEX(I:I, _xlfn.SEQUENCE(COUNTA($C$2:$C69), 1, 3, 4)),
  _xlpm.nbparties, COUNTA(_xlfn._xlws.FILTER(_xlpm.ptstables, _xlpm.ptstables &lt;&gt; "")),
  _xlpm.coef, _xlpm.K + _xlpm.Knewgain / (_xlpm.Knewscale + _xlpm.nbparties),
  IF(I67="",
    "",
    _xlpm.coef * (I67-I68))
)</f>
        <v/>
      </c>
      <c r="J69" t="str" cm="1">
        <f t="array" ref="J69">_xlfn.LET(
  _xlpm.K, Constantes!$B$3,
  _xlpm.Knewgain, Constantes!$B$4,
  _xlpm.Knewscale, Constantes!$B$5,
  _xlpm.ptstables, INDEX(J:J, _xlfn.SEQUENCE(COUNTA($C$2:$C69), 1, 3, 4)),
  _xlpm.nbparties, COUNTA(_xlfn._xlws.FILTER(_xlpm.ptstables, _xlpm.ptstables &lt;&gt; "")),
  _xlpm.coef, _xlpm.K + _xlpm.Knewgain / (_xlpm.Knewscale + _xlpm.nbparties),
  IF(J67="",
    "",
    _xlpm.coef * (J67-J68))
)</f>
        <v/>
      </c>
      <c r="K69" t="str" cm="1">
        <f t="array" ref="K69">_xlfn.LET(
  _xlpm.K, Constantes!$B$3,
  _xlpm.Knewgain, Constantes!$B$4,
  _xlpm.Knewscale, Constantes!$B$5,
  _xlpm.ptstables, INDEX(K:K, _xlfn.SEQUENCE(COUNTA($C$2:$C69), 1, 3, 4)),
  _xlpm.nbparties, COUNTA(_xlfn._xlws.FILTER(_xlpm.ptstables, _xlpm.ptstables &lt;&gt; "")),
  _xlpm.coef, _xlpm.K + _xlpm.Knewgain / (_xlpm.Knewscale + _xlpm.nbparties),
  IF(K67="",
    "",
    _xlpm.coef * (K67-K68))
)</f>
        <v/>
      </c>
      <c r="L69" t="str" cm="1">
        <f t="array" ref="L69">_xlfn.LET(
  _xlpm.K, Constantes!$B$3,
  _xlpm.Knewgain, Constantes!$B$4,
  _xlpm.Knewscale, Constantes!$B$5,
  _xlpm.ptstables, INDEX(L:L, _xlfn.SEQUENCE(COUNTA($C$2:$C69), 1, 3, 4)),
  _xlpm.nbparties, COUNTA(_xlfn._xlws.FILTER(_xlpm.ptstables, _xlpm.ptstables &lt;&gt; "")),
  _xlpm.coef, _xlpm.K + _xlpm.Knewgain / (_xlpm.Knewscale + _xlpm.nbparties),
  IF(L67="",
    "",
    _xlpm.coef * (L67-L68))
)</f>
        <v/>
      </c>
      <c r="M69" t="str" cm="1">
        <f t="array" ref="M69">_xlfn.LET(
  _xlpm.K, Constantes!$B$3,
  _xlpm.Knewgain, Constantes!$B$4,
  _xlpm.Knewscale, Constantes!$B$5,
  _xlpm.ptstables, INDEX(M:M, _xlfn.SEQUENCE(COUNTA($C$2:$C69), 1, 3, 4)),
  _xlpm.nbparties, COUNTA(_xlfn._xlws.FILTER(_xlpm.ptstables, _xlpm.ptstables &lt;&gt; "")),
  _xlpm.coef, _xlpm.K + _xlpm.Knewgain / (_xlpm.Knewscale + _xlpm.nbparties),
  IF(M67="",
    "",
    _xlpm.coef * (M67-M68))
)</f>
        <v/>
      </c>
      <c r="N69" t="str" cm="1">
        <f t="array" ref="N69">_xlfn.LET(
  _xlpm.K, Constantes!$B$3,
  _xlpm.Knewgain, Constantes!$B$4,
  _xlpm.Knewscale, Constantes!$B$5,
  _xlpm.ptstables, INDEX(N:N, _xlfn.SEQUENCE(COUNTA($C$2:$C69), 1, 3, 4)),
  _xlpm.nbparties, COUNTA(_xlfn._xlws.FILTER(_xlpm.ptstables, _xlpm.ptstables &lt;&gt; "")),
  _xlpm.coef, _xlpm.K + _xlpm.Knewgain / (_xlpm.Knewscale + _xlpm.nbparties),
  IF(N67="",
    "",
    _xlpm.coef * (N67-N68))
)</f>
        <v/>
      </c>
      <c r="O69" t="str" cm="1">
        <f t="array" ref="O69">_xlfn.LET(
  _xlpm.K, Constantes!$B$3,
  _xlpm.Knewgain, Constantes!$B$4,
  _xlpm.Knewscale, Constantes!$B$5,
  _xlpm.ptstables, INDEX(O:O, _xlfn.SEQUENCE(COUNTA($C$2:$C69), 1, 3, 4)),
  _xlpm.nbparties, COUNTA(_xlfn._xlws.FILTER(_xlpm.ptstables, _xlpm.ptstables &lt;&gt; "")),
  _xlpm.coef, _xlpm.K + _xlpm.Knewgain / (_xlpm.Knewscale + _xlpm.nbparties),
  IF(O67="",
    "",
    _xlpm.coef * (O67-O68))
)</f>
        <v/>
      </c>
      <c r="P69" t="str" cm="1">
        <f t="array" ref="P69">_xlfn.LET(
  _xlpm.K, Constantes!$B$3,
  _xlpm.Knewgain, Constantes!$B$4,
  _xlpm.Knewscale, Constantes!$B$5,
  _xlpm.ptstables, INDEX(P:P, _xlfn.SEQUENCE(COUNTA($C$2:$C69), 1, 3, 4)),
  _xlpm.nbparties, COUNTA(_xlfn._xlws.FILTER(_xlpm.ptstables, _xlpm.ptstables &lt;&gt; "")),
  _xlpm.coef, _xlpm.K + _xlpm.Knewgain / (_xlpm.Knewscale + _xlpm.nbparties),
  IF(P67="",
    "",
    _xlpm.coef * (P67-P68))
)</f>
        <v/>
      </c>
      <c r="Q69" cm="1">
        <f t="array" ref="Q69">_xlfn.LET(
  _xlpm.K, Constantes!$B$3,
  _xlpm.Knewgain, Constantes!$B$4,
  _xlpm.Knewscale, Constantes!$B$5,
  _xlpm.ptstables, INDEX(Q:Q, _xlfn.SEQUENCE(COUNTA($C$2:$C69), 1, 3, 4)),
  _xlpm.nbparties, COUNTA(_xlfn._xlws.FILTER(_xlpm.ptstables, _xlpm.ptstables &lt;&gt; "")),
  _xlpm.coef, _xlpm.K + _xlpm.Knewgain / (_xlpm.Knewscale + _xlpm.nbparties),
  IF(Q67="",
    "",
    _xlpm.coef * (Q67-Q68))
)</f>
        <v>62.93299633724687</v>
      </c>
      <c r="R69" t="str" cm="1">
        <f t="array" ref="R69">_xlfn.LET(
  _xlpm.K, Constantes!$B$3,
  _xlpm.Knewgain, Constantes!$B$4,
  _xlpm.Knewscale, Constantes!$B$5,
  _xlpm.ptstables, INDEX(R:R, _xlfn.SEQUENCE(COUNTA($C$2:$C69), 1, 3, 4)),
  _xlpm.nbparties, COUNTA(_xlfn._xlws.FILTER(_xlpm.ptstables, _xlpm.ptstables &lt;&gt; "")),
  _xlpm.coef, _xlpm.K + _xlpm.Knewgain / (_xlpm.Knewscale + _xlpm.nbparties),
  IF(R67="",
    "",
    _xlpm.coef * (R67-R68))
)</f>
        <v/>
      </c>
      <c r="S69" cm="1">
        <f t="array" ref="S69">_xlfn.LET(
  _xlpm.K, Constantes!$B$3,
  _xlpm.Knewgain, Constantes!$B$4,
  _xlpm.Knewscale, Constantes!$B$5,
  _xlpm.ptstables, INDEX(S:S, _xlfn.SEQUENCE(COUNTA($C$2:$C69), 1, 3, 4)),
  _xlpm.nbparties, COUNTA(_xlfn._xlws.FILTER(_xlpm.ptstables, _xlpm.ptstables &lt;&gt; "")),
  _xlpm.coef, _xlpm.K + _xlpm.Knewgain / (_xlpm.Knewscale + _xlpm.nbparties),
  IF(S67="",
    "",
    _xlpm.coef * (S67-S68))
)</f>
        <v>-5.5832654654749243</v>
      </c>
      <c r="T69" cm="1">
        <f t="array" ref="T69">_xlfn.LET(
  _xlpm.K, Constantes!$B$3,
  _xlpm.Knewgain, Constantes!$B$4,
  _xlpm.Knewscale, Constantes!$B$5,
  _xlpm.ptstables, INDEX(T:T, _xlfn.SEQUENCE(COUNTA($C$2:$C69), 1, 3, 4)),
  _xlpm.nbparties, COUNTA(_xlfn._xlws.FILTER(_xlpm.ptstables, _xlpm.ptstables &lt;&gt; "")),
  _xlpm.coef, _xlpm.K + _xlpm.Knewgain / (_xlpm.Knewscale + _xlpm.nbparties),
  IF(T67="",
    "",
    _xlpm.coef * (T67-T68))
)</f>
        <v>4.9899513904561008</v>
      </c>
      <c r="U69" cm="1">
        <f t="array" ref="U69">_xlfn.LET(
  _xlpm.K, Constantes!$B$3,
  _xlpm.Knewgain, Constantes!$B$4,
  _xlpm.Knewscale, Constantes!$B$5,
  _xlpm.ptstables, INDEX(U:U, _xlfn.SEQUENCE(COUNTA($C$2:$C69), 1, 3, 4)),
  _xlpm.nbparties, COUNTA(_xlfn._xlws.FILTER(_xlpm.ptstables, _xlpm.ptstables &lt;&gt; "")),
  _xlpm.coef, _xlpm.K + _xlpm.Knewgain / (_xlpm.Knewscale + _xlpm.nbparties),
  IF(U67="",
    "",
    _xlpm.coef * (U67-U68))
)</f>
        <v>-62.263616355174378</v>
      </c>
      <c r="V69" t="str" cm="1">
        <f t="array" ref="V69">_xlfn.LET(
  _xlpm.K, Constantes!$B$3,
  _xlpm.Knewgain, Constantes!$B$4,
  _xlpm.Knewscale, Constantes!$B$5,
  _xlpm.ptstables, INDEX(V:V, _xlfn.SEQUENCE(COUNTA($C$2:$C69), 1, 3, 4)),
  _xlpm.nbparties, COUNTA(_xlfn._xlws.FILTER(_xlpm.ptstables, _xlpm.ptstables &lt;&gt; "")),
  _xlpm.coef, _xlpm.K + _xlpm.Knewgain / (_xlpm.Knewscale + _xlpm.nbparties),
  IF(V67="",
    "",
    _xlpm.coef * (V67-V68))
)</f>
        <v/>
      </c>
      <c r="W69" t="str" cm="1">
        <f t="array" ref="W69">_xlfn.LET(
  _xlpm.K, Constantes!$B$3,
  _xlpm.Knewgain, Constantes!$B$4,
  _xlpm.Knewscale, Constantes!$B$5,
  _xlpm.ptstables, INDEX(W:W, _xlfn.SEQUENCE(COUNTA($C$2:$C69), 1, 3, 4)),
  _xlpm.nbparties, COUNTA(_xlfn._xlws.FILTER(_xlpm.ptstables, _xlpm.ptstables &lt;&gt; "")),
  _xlpm.coef, _xlpm.K + _xlpm.Knewgain / (_xlpm.Knewscale + _xlpm.nbparties),
  IF(W67="",
    "",
    _xlpm.coef * (W67-W68))
)</f>
        <v/>
      </c>
      <c r="X69" t="str" cm="1">
        <f t="array" ref="X69">_xlfn.LET(
  _xlpm.K, Constantes!$B$3,
  _xlpm.Knewgain, Constantes!$B$4,
  _xlpm.Knewscale, Constantes!$B$5,
  _xlpm.ptstables, INDEX(X:X, _xlfn.SEQUENCE(COUNTA($C$2:$C69), 1, 3, 4)),
  _xlpm.nbparties, COUNTA(_xlfn._xlws.FILTER(_xlpm.ptstables, _xlpm.ptstables &lt;&gt; "")),
  _xlpm.coef, _xlpm.K + _xlpm.Knewgain / (_xlpm.Knewscale + _xlpm.nbparties),
  IF(X67="",
    "",
    _xlpm.coef * (X67-X68))
)</f>
        <v/>
      </c>
      <c r="Y69" t="str" cm="1">
        <f t="array" ref="Y69">_xlfn.LET(
  _xlpm.K, Constantes!$B$3,
  _xlpm.Knewgain, Constantes!$B$4,
  _xlpm.Knewscale, Constantes!$B$5,
  _xlpm.ptstables, INDEX(Y:Y, _xlfn.SEQUENCE(COUNTA($C$2:$C69), 1, 3, 4)),
  _xlpm.nbparties, COUNTA(_xlfn._xlws.FILTER(_xlpm.ptstables, _xlpm.ptstables &lt;&gt; "")),
  _xlpm.coef, _xlpm.K + _xlpm.Knewgain / (_xlpm.Knewscale + _xlpm.nbparties),
  IF(Y67="",
    "",
    _xlpm.coef * (Y67-Y68))
)</f>
        <v/>
      </c>
      <c r="Z69" t="str" cm="1">
        <f t="array" ref="Z69">_xlfn.LET(
  _xlpm.K, Constantes!$B$3,
  _xlpm.Knewgain, Constantes!$B$4,
  _xlpm.Knewscale, Constantes!$B$5,
  _xlpm.ptstables, INDEX(Z:Z, _xlfn.SEQUENCE(COUNTA($C$2:$C69), 1, 3, 4)),
  _xlpm.nbparties, COUNTA(_xlfn._xlws.FILTER(_xlpm.ptstables, _xlpm.ptstables &lt;&gt; "")),
  _xlpm.coef, _xlpm.K + _xlpm.Knewgain / (_xlpm.Knewscale + _xlpm.nbparties),
  IF(Z67="",
    "",
    _xlpm.coef * (Z67-Z68))
)</f>
        <v/>
      </c>
      <c r="AA69" t="str" cm="1">
        <f t="array" ref="AA69">_xlfn.LET(
  _xlpm.K, Constantes!$B$3,
  _xlpm.Knewgain, Constantes!$B$4,
  _xlpm.Knewscale, Constantes!$B$5,
  _xlpm.ptstables, INDEX(AA:AA, _xlfn.SEQUENCE(COUNTA($C$2:$C69), 1, 3, 4)),
  _xlpm.nbparties, COUNTA(_xlfn._xlws.FILTER(_xlpm.ptstables, _xlpm.ptstables &lt;&gt; "")),
  _xlpm.coef, _xlpm.K + _xlpm.Knewgain / (_xlpm.Knewscale + _xlpm.nbparties),
  IF(AA67="",
    "",
    _xlpm.coef * (AA67-AA68))
)</f>
        <v/>
      </c>
      <c r="AB69" t="str" cm="1">
        <f t="array" ref="AB69">_xlfn.LET(
  _xlpm.K, Constantes!$B$3,
  _xlpm.Knewgain, Constantes!$B$4,
  _xlpm.Knewscale, Constantes!$B$5,
  _xlpm.ptstables, INDEX(AB:AB, _xlfn.SEQUENCE(COUNTA($C$2:$C69), 1, 3, 4)),
  _xlpm.nbparties, COUNTA(_xlfn._xlws.FILTER(_xlpm.ptstables, _xlpm.ptstables &lt;&gt; "")),
  _xlpm.coef, _xlpm.K + _xlpm.Knewgain / (_xlpm.Knewscale + _xlpm.nbparties),
  IF(AB67="",
    "",
    _xlpm.coef * (AB67-AB68))
)</f>
        <v/>
      </c>
      <c r="AC69" t="str" cm="1">
        <f t="array" ref="AC69">_xlfn.LET(
  _xlpm.K, Constantes!$B$3,
  _xlpm.Knewgain, Constantes!$B$4,
  _xlpm.Knewscale, Constantes!$B$5,
  _xlpm.ptstables, INDEX(AC:AC, _xlfn.SEQUENCE(COUNTA($C$2:$C69), 1, 3, 4)),
  _xlpm.nbparties, COUNTA(_xlfn._xlws.FILTER(_xlpm.ptstables, _xlpm.ptstables &lt;&gt; "")),
  _xlpm.coef, _xlpm.K + _xlpm.Knewgain / (_xlpm.Knewscale + _xlpm.nbparties),
  IF(AC67="",
    "",
    _xlpm.coef * (AC67-AC68))
)</f>
        <v/>
      </c>
      <c r="AD69" t="str" cm="1">
        <f t="array" ref="AD69">_xlfn.LET(
  _xlpm.K, Constantes!$B$3,
  _xlpm.Knewgain, Constantes!$B$4,
  _xlpm.Knewscale, Constantes!$B$5,
  _xlpm.ptstables, INDEX(AD:AD, _xlfn.SEQUENCE(COUNTA($C$2:$C69), 1, 3, 4)),
  _xlpm.nbparties, COUNTA(_xlfn._xlws.FILTER(_xlpm.ptstables, _xlpm.ptstables &lt;&gt; "")),
  _xlpm.coef, _xlpm.K + _xlpm.Knewgain / (_xlpm.Knewscale + _xlpm.nbparties),
  IF(AD67="",
    "",
    _xlpm.coef * (AD67-AD68))
)</f>
        <v/>
      </c>
      <c r="AE69" t="str" cm="1">
        <f t="array" ref="AE69">_xlfn.LET(
  _xlpm.K, Constantes!$B$3,
  _xlpm.Knewgain, Constantes!$B$4,
  _xlpm.Knewscale, Constantes!$B$5,
  _xlpm.ptstables, INDEX(AE:AE, _xlfn.SEQUENCE(COUNTA($C$2:$C69), 1, 3, 4)),
  _xlpm.nbparties, COUNTA(_xlfn._xlws.FILTER(_xlpm.ptstables, _xlpm.ptstables &lt;&gt; "")),
  _xlpm.coef, _xlpm.K + _xlpm.Knewgain / (_xlpm.Knewscale + _xlpm.nbparties),
  IF(AE67="",
    "",
    _xlpm.coef * (AE67-AE68))
)</f>
        <v/>
      </c>
      <c r="AF69" t="str" cm="1">
        <f t="array" ref="AF69">_xlfn.LET(
  _xlpm.K, Constantes!$B$3,
  _xlpm.Knewgain, Constantes!$B$4,
  _xlpm.Knewscale, Constantes!$B$5,
  _xlpm.ptstables, INDEX(AF:AF, _xlfn.SEQUENCE(COUNTA($C$2:$C69), 1, 3, 4)),
  _xlpm.nbparties, COUNTA(_xlfn._xlws.FILTER(_xlpm.ptstables, _xlpm.ptstables &lt;&gt; "")),
  _xlpm.coef, _xlpm.K + _xlpm.Knewgain / (_xlpm.Knewscale + _xlpm.nbparties),
  IF(AF67="",
    "",
    _xlpm.coef * (AF67-AF68))
)</f>
        <v/>
      </c>
      <c r="AG69" t="str" cm="1">
        <f t="array" ref="AG69">_xlfn.LET(
  _xlpm.K, Constantes!$B$3,
  _xlpm.Knewgain, Constantes!$B$4,
  _xlpm.Knewscale, Constantes!$B$5,
  _xlpm.ptstables, INDEX(AG:AG, _xlfn.SEQUENCE(COUNTA($C$2:$C69), 1, 3, 4)),
  _xlpm.nbparties, COUNTA(_xlfn._xlws.FILTER(_xlpm.ptstables, _xlpm.ptstables &lt;&gt; "")),
  _xlpm.coef, _xlpm.K + _xlpm.Knewgain / (_xlpm.Knewscale + _xlpm.nbparties),
  IF(AG67="",
    "",
    _xlpm.coef * (AG67-AG68))
)</f>
        <v/>
      </c>
      <c r="AH69" t="str" cm="1">
        <f t="array" ref="AH69">_xlfn.LET(
  _xlpm.K, Constantes!$B$3,
  _xlpm.Knewgain, Constantes!$B$4,
  _xlpm.Knewscale, Constantes!$B$5,
  _xlpm.ptstables, INDEX(AH:AH, _xlfn.SEQUENCE(COUNTA($C$2:$C69), 1, 3, 4)),
  _xlpm.nbparties, COUNTA(_xlfn._xlws.FILTER(_xlpm.ptstables, _xlpm.ptstables &lt;&gt; "")),
  _xlpm.coef, _xlpm.K + _xlpm.Knewgain / (_xlpm.Knewscale + _xlpm.nbparties),
  IF(AH67="",
    "",
    _xlpm.coef * (AH67-AH68))
)</f>
        <v/>
      </c>
      <c r="AI69" t="str" cm="1">
        <f t="array" ref="AI69">_xlfn.LET(
  _xlpm.K, Constantes!$B$3,
  _xlpm.Knewgain, Constantes!$B$4,
  _xlpm.Knewscale, Constantes!$B$5,
  _xlpm.ptstables, INDEX(AI:AI, _xlfn.SEQUENCE(COUNTA($C$2:$C69), 1, 3, 4)),
  _xlpm.nbparties, COUNTA(_xlfn._xlws.FILTER(_xlpm.ptstables, _xlpm.ptstables &lt;&gt; "")),
  _xlpm.coef, _xlpm.K + _xlpm.Knewgain / (_xlpm.Knewscale + _xlpm.nbparties),
  IF(AI67="",
    "",
    _xlpm.coef * (AI67-AI68))
)</f>
        <v/>
      </c>
      <c r="AJ69" t="str" cm="1">
        <f t="array" ref="AJ69">_xlfn.LET(
  _xlpm.K, Constantes!$B$3,
  _xlpm.Knewgain, Constantes!$B$4,
  _xlpm.Knewscale, Constantes!$B$5,
  _xlpm.ptstables, INDEX(AJ:AJ, _xlfn.SEQUENCE(COUNTA($C$2:$C69), 1, 3, 4)),
  _xlpm.nbparties, COUNTA(_xlfn._xlws.FILTER(_xlpm.ptstables, _xlpm.ptstables &lt;&gt; "")),
  _xlpm.coef, _xlpm.K + _xlpm.Knewgain / (_xlpm.Knewscale + _xlpm.nbparties),
  IF(AJ67="",
    "",
    _xlpm.coef * (AJ67-AJ68))
)</f>
        <v/>
      </c>
      <c r="AK69" t="str" cm="1">
        <f t="array" ref="AK69">_xlfn.LET(
  _xlpm.K, Constantes!$B$3,
  _xlpm.Knewgain, Constantes!$B$4,
  _xlpm.Knewscale, Constantes!$B$5,
  _xlpm.ptstables, INDEX(AK:AK, _xlfn.SEQUENCE(COUNTA($C$2:$C69), 1, 3, 4)),
  _xlpm.nbparties, COUNTA(_xlfn._xlws.FILTER(_xlpm.ptstables, _xlpm.ptstables &lt;&gt; "")),
  _xlpm.coef, _xlpm.K + _xlpm.Knewgain / (_xlpm.Knewscale + _xlpm.nbparties),
  IF(AK67="",
    "",
    _xlpm.coef * (AK67-AK68))
)</f>
        <v/>
      </c>
      <c r="AL69" t="str" cm="1">
        <f t="array" ref="AL69">_xlfn.LET(
  _xlpm.K, Constantes!$B$3,
  _xlpm.Knewgain, Constantes!$B$4,
  _xlpm.Knewscale, Constantes!$B$5,
  _xlpm.ptstables, INDEX(AL:AL, _xlfn.SEQUENCE(COUNTA($C$2:$C69), 1, 3, 4)),
  _xlpm.nbparties, COUNTA(_xlfn._xlws.FILTER(_xlpm.ptstables, _xlpm.ptstables &lt;&gt; "")),
  _xlpm.coef, _xlpm.K + _xlpm.Knewgain / (_xlpm.Knewscale + _xlpm.nbparties),
  IF(AL67="",
    "",
    _xlpm.coef * (AL67-AL68))
)</f>
        <v/>
      </c>
      <c r="AM69" t="str" cm="1">
        <f t="array" ref="AM69">_xlfn.LET(
  _xlpm.K, Constantes!$B$3,
  _xlpm.Knewgain, Constantes!$B$4,
  _xlpm.Knewscale, Constantes!$B$5,
  _xlpm.ptstables, INDEX(AM:AM, _xlfn.SEQUENCE(COUNTA($C$2:$C69), 1, 3, 4)),
  _xlpm.nbparties, COUNTA(_xlfn._xlws.FILTER(_xlpm.ptstables, _xlpm.ptstables &lt;&gt; "")),
  _xlpm.coef, _xlpm.K + _xlpm.Knewgain / (_xlpm.Knewscale + _xlpm.nbparties),
  IF(AM67="",
    "",
    _xlpm.coef * (AM67-AM68))
)</f>
        <v/>
      </c>
    </row>
    <row r="70" spans="1:39" x14ac:dyDescent="0.25">
      <c r="A70" t="s">
        <v>14</v>
      </c>
      <c r="B70" t="str" cm="1">
        <f t="array" ref="B7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16</v>
      </c>
      <c r="C70" s="2" cm="1">
        <f t="array" ref="C70">IF(B70="","",
  INDEX(Donnees!F:F, MATCH(B70, Donnees!F:F, 0)+1))</f>
        <v>45913.836087962962</v>
      </c>
      <c r="D70">
        <f t="shared" ref="D70:AM70" si="25">D66+IF(D69="",0,D69)</f>
        <v>1108.4611161856747</v>
      </c>
      <c r="E70">
        <f t="shared" si="25"/>
        <v>1195.5659811510693</v>
      </c>
      <c r="F70">
        <f t="shared" si="25"/>
        <v>909.87928229209808</v>
      </c>
      <c r="G70">
        <f t="shared" si="25"/>
        <v>1029.5354335837335</v>
      </c>
      <c r="H70">
        <f t="shared" si="25"/>
        <v>1020.3453983892952</v>
      </c>
      <c r="I70">
        <f t="shared" si="25"/>
        <v>1079.4580211094492</v>
      </c>
      <c r="J70">
        <f t="shared" si="25"/>
        <v>938.49433816478961</v>
      </c>
      <c r="K70">
        <f t="shared" si="25"/>
        <v>911.11415590373872</v>
      </c>
      <c r="L70">
        <f t="shared" si="25"/>
        <v>878.7153998467162</v>
      </c>
      <c r="M70">
        <f t="shared" si="25"/>
        <v>965.238738457664</v>
      </c>
      <c r="N70">
        <f t="shared" si="25"/>
        <v>937.60806294499946</v>
      </c>
      <c r="O70">
        <f t="shared" si="25"/>
        <v>1030.4363831507294</v>
      </c>
      <c r="P70">
        <f t="shared" si="25"/>
        <v>951.87653483423549</v>
      </c>
      <c r="Q70">
        <f t="shared" si="25"/>
        <v>1048.4755012077521</v>
      </c>
      <c r="R70">
        <f t="shared" si="25"/>
        <v>1031.2466936225237</v>
      </c>
      <c r="S70">
        <f t="shared" si="25"/>
        <v>959.75190824854496</v>
      </c>
      <c r="T70">
        <f t="shared" si="25"/>
        <v>1091.1027195493489</v>
      </c>
      <c r="U70">
        <f t="shared" si="25"/>
        <v>997.03800757659099</v>
      </c>
      <c r="V70">
        <f t="shared" si="25"/>
        <v>976.66131486891345</v>
      </c>
      <c r="W70">
        <f t="shared" si="25"/>
        <v>936.79085942937002</v>
      </c>
      <c r="X70">
        <f t="shared" si="25"/>
        <v>852.64794693163367</v>
      </c>
      <c r="Y70">
        <f t="shared" si="25"/>
        <v>913.98582058905436</v>
      </c>
      <c r="Z70">
        <f t="shared" si="25"/>
        <v>991.11904139672549</v>
      </c>
      <c r="AA70">
        <f t="shared" si="25"/>
        <v>1000</v>
      </c>
      <c r="AB70">
        <f t="shared" si="25"/>
        <v>979.56500000000005</v>
      </c>
      <c r="AC70">
        <f t="shared" si="25"/>
        <v>1032.51</v>
      </c>
      <c r="AD70">
        <f t="shared" si="25"/>
        <v>974.01499999999999</v>
      </c>
      <c r="AE70">
        <f t="shared" si="25"/>
        <v>1011.415</v>
      </c>
      <c r="AF70">
        <f t="shared" si="25"/>
        <v>1031.1199999999999</v>
      </c>
      <c r="AG70">
        <f t="shared" si="25"/>
        <v>1001.0350000000001</v>
      </c>
      <c r="AH70">
        <f t="shared" si="25"/>
        <v>994.44</v>
      </c>
      <c r="AI70">
        <f t="shared" si="25"/>
        <v>1000</v>
      </c>
      <c r="AJ70">
        <f t="shared" si="25"/>
        <v>957.2</v>
      </c>
      <c r="AK70">
        <f t="shared" si="25"/>
        <v>1000</v>
      </c>
      <c r="AL70">
        <f t="shared" si="25"/>
        <v>1055.9299999999998</v>
      </c>
      <c r="AM70">
        <f t="shared" si="25"/>
        <v>1000</v>
      </c>
    </row>
    <row r="71" spans="1:39" x14ac:dyDescent="0.25">
      <c r="A71" t="s">
        <v>21</v>
      </c>
      <c r="D71" t="str" cm="1">
        <f t="array" ref="D71">IFERROR(
  _xlfn.LET(
    _xlpm.ligpartie, MATCH($B70, Donnees!$F:$F, 0),
    _xlpm.joueurs, INDEX(Donnees!$A:$Z, _xlpm.ligpartie+1, _xlfn.SEQUENCE(1, 4, 2)),
    INDEX(
      Donnees!$A:$Z,
      _xlpm.ligpartie + 3,
      MATCH(D$1, _xlpm.joueurs, 0) + 1
    )
  ), ""
)</f>
        <v/>
      </c>
      <c r="E71" cm="1">
        <f t="array" ref="E71">IFERROR(
  _xlfn.LET(
    _xlpm.ligpartie, MATCH($B70, Donnees!$F:$F, 0),
    _xlpm.joueurs, INDEX(Donnees!$A:$Z, _xlpm.ligpartie+1, _xlfn.SEQUENCE(1, 4, 2)),
    INDEX(
      Donnees!$A:$Z,
      _xlpm.ligpartie + 3,
      MATCH(E$1, _xlpm.joueurs, 0) + 1
    )
  ), ""
)</f>
        <v>2</v>
      </c>
      <c r="F71" t="str" cm="1">
        <f t="array" ref="F71">IFERROR(
  _xlfn.LET(
    _xlpm.ligpartie, MATCH($B70, Donnees!$F:$F, 0),
    _xlpm.joueurs, INDEX(Donnees!$A:$Z, _xlpm.ligpartie+1, _xlfn.SEQUENCE(1, 4, 2)),
    INDEX(
      Donnees!$A:$Z,
      _xlpm.ligpartie + 3,
      MATCH(F$1, _xlpm.joueurs, 0) + 1
    )
  ), ""
)</f>
        <v/>
      </c>
      <c r="G71" cm="1">
        <f t="array" ref="G71">IFERROR(
  _xlfn.LET(
    _xlpm.ligpartie, MATCH($B70, Donnees!$F:$F, 0),
    _xlpm.joueurs, INDEX(Donnees!$A:$Z, _xlpm.ligpartie+1, _xlfn.SEQUENCE(1, 4, 2)),
    INDEX(
      Donnees!$A:$Z,
      _xlpm.ligpartie + 3,
      MATCH(G$1, _xlpm.joueurs, 0) + 1
    )
  ), ""
)</f>
        <v>0</v>
      </c>
      <c r="H71" t="str" cm="1">
        <f t="array" ref="H71">IFERROR(
  _xlfn.LET(
    _xlpm.ligpartie, MATCH($B70, Donnees!$F:$F, 0),
    _xlpm.joueurs, INDEX(Donnees!$A:$Z, _xlpm.ligpartie+1, _xlfn.SEQUENCE(1, 4, 2)),
    INDEX(
      Donnees!$A:$Z,
      _xlpm.ligpartie + 3,
      MATCH(H$1, _xlpm.joueurs, 0) + 1
    )
  ), ""
)</f>
        <v/>
      </c>
      <c r="I71" t="str" cm="1">
        <f t="array" ref="I71">IFERROR(
  _xlfn.LET(
    _xlpm.ligpartie, MATCH($B70, Donnees!$F:$F, 0),
    _xlpm.joueurs, INDEX(Donnees!$A:$Z, _xlpm.ligpartie+1, _xlfn.SEQUENCE(1, 4, 2)),
    INDEX(
      Donnees!$A:$Z,
      _xlpm.ligpartie + 3,
      MATCH(I$1, _xlpm.joueurs, 0) + 1
    )
  ), ""
)</f>
        <v/>
      </c>
      <c r="J71" t="str" cm="1">
        <f t="array" ref="J71">IFERROR(
  _xlfn.LET(
    _xlpm.ligpartie, MATCH($B70, Donnees!$F:$F, 0),
    _xlpm.joueurs, INDEX(Donnees!$A:$Z, _xlpm.ligpartie+1, _xlfn.SEQUENCE(1, 4, 2)),
    INDEX(
      Donnees!$A:$Z,
      _xlpm.ligpartie + 3,
      MATCH(J$1, _xlpm.joueurs, 0) + 1
    )
  ), ""
)</f>
        <v/>
      </c>
      <c r="K71" t="str" cm="1">
        <f t="array" ref="K71">IFERROR(
  _xlfn.LET(
    _xlpm.ligpartie, MATCH($B70, Donnees!$F:$F, 0),
    _xlpm.joueurs, INDEX(Donnees!$A:$Z, _xlpm.ligpartie+1, _xlfn.SEQUENCE(1, 4, 2)),
    INDEX(
      Donnees!$A:$Z,
      _xlpm.ligpartie + 3,
      MATCH(K$1, _xlpm.joueurs, 0) + 1
    )
  ), ""
)</f>
        <v/>
      </c>
      <c r="L71" t="str" cm="1">
        <f t="array" ref="L71">IFERROR(
  _xlfn.LET(
    _xlpm.ligpartie, MATCH($B70, Donnees!$F:$F, 0),
    _xlpm.joueurs, INDEX(Donnees!$A:$Z, _xlpm.ligpartie+1, _xlfn.SEQUENCE(1, 4, 2)),
    INDEX(
      Donnees!$A:$Z,
      _xlpm.ligpartie + 3,
      MATCH(L$1, _xlpm.joueurs, 0) + 1
    )
  ), ""
)</f>
        <v/>
      </c>
      <c r="M71" t="str" cm="1">
        <f t="array" ref="M71">IFERROR(
  _xlfn.LET(
    _xlpm.ligpartie, MATCH($B70, Donnees!$F:$F, 0),
    _xlpm.joueurs, INDEX(Donnees!$A:$Z, _xlpm.ligpartie+1, _xlfn.SEQUENCE(1, 4, 2)),
    INDEX(
      Donnees!$A:$Z,
      _xlpm.ligpartie + 3,
      MATCH(M$1, _xlpm.joueurs, 0) + 1
    )
  ), ""
)</f>
        <v/>
      </c>
      <c r="N71" t="str" cm="1">
        <f t="array" ref="N71">IFERROR(
  _xlfn.LET(
    _xlpm.ligpartie, MATCH($B70, Donnees!$F:$F, 0),
    _xlpm.joueurs, INDEX(Donnees!$A:$Z, _xlpm.ligpartie+1, _xlfn.SEQUENCE(1, 4, 2)),
    INDEX(
      Donnees!$A:$Z,
      _xlpm.ligpartie + 3,
      MATCH(N$1, _xlpm.joueurs, 0) + 1
    )
  ), ""
)</f>
        <v/>
      </c>
      <c r="O71" t="str" cm="1">
        <f t="array" ref="O71">IFERROR(
  _xlfn.LET(
    _xlpm.ligpartie, MATCH($B70, Donnees!$F:$F, 0),
    _xlpm.joueurs, INDEX(Donnees!$A:$Z, _xlpm.ligpartie+1, _xlfn.SEQUENCE(1, 4, 2)),
    INDEX(
      Donnees!$A:$Z,
      _xlpm.ligpartie + 3,
      MATCH(O$1, _xlpm.joueurs, 0) + 1
    )
  ), ""
)</f>
        <v/>
      </c>
      <c r="P71" cm="1">
        <f t="array" ref="P71">IFERROR(
  _xlfn.LET(
    _xlpm.ligpartie, MATCH($B70, Donnees!$F:$F, 0),
    _xlpm.joueurs, INDEX(Donnees!$A:$Z, _xlpm.ligpartie+1, _xlfn.SEQUENCE(1, 4, 2)),
    INDEX(
      Donnees!$A:$Z,
      _xlpm.ligpartie + 3,
      MATCH(P$1, _xlpm.joueurs, 0) + 1
    )
  ), ""
)</f>
        <v>3</v>
      </c>
      <c r="Q71" t="str" cm="1">
        <f t="array" ref="Q71">IFERROR(
  _xlfn.LET(
    _xlpm.ligpartie, MATCH($B70, Donnees!$F:$F, 0),
    _xlpm.joueurs, INDEX(Donnees!$A:$Z, _xlpm.ligpartie+1, _xlfn.SEQUENCE(1, 4, 2)),
    INDEX(
      Donnees!$A:$Z,
      _xlpm.ligpartie + 3,
      MATCH(Q$1, _xlpm.joueurs, 0) + 1
    )
  ), ""
)</f>
        <v/>
      </c>
      <c r="R71" cm="1">
        <f t="array" ref="R71">IFERROR(
  _xlfn.LET(
    _xlpm.ligpartie, MATCH($B70, Donnees!$F:$F, 0),
    _xlpm.joueurs, INDEX(Donnees!$A:$Z, _xlpm.ligpartie+1, _xlfn.SEQUENCE(1, 4, 2)),
    INDEX(
      Donnees!$A:$Z,
      _xlpm.ligpartie + 3,
      MATCH(R$1, _xlpm.joueurs, 0) + 1
    )
  ), ""
)</f>
        <v>1</v>
      </c>
      <c r="S71" t="str" cm="1">
        <f t="array" ref="S71">IFERROR(
  _xlfn.LET(
    _xlpm.ligpartie, MATCH($B70, Donnees!$F:$F, 0),
    _xlpm.joueurs, INDEX(Donnees!$A:$Z, _xlpm.ligpartie+1, _xlfn.SEQUENCE(1, 4, 2)),
    INDEX(
      Donnees!$A:$Z,
      _xlpm.ligpartie + 3,
      MATCH(S$1, _xlpm.joueurs, 0) + 1
    )
  ), ""
)</f>
        <v/>
      </c>
      <c r="T71" t="str" cm="1">
        <f t="array" ref="T71">IFERROR(
  _xlfn.LET(
    _xlpm.ligpartie, MATCH($B70, Donnees!$F:$F, 0),
    _xlpm.joueurs, INDEX(Donnees!$A:$Z, _xlpm.ligpartie+1, _xlfn.SEQUENCE(1, 4, 2)),
    INDEX(
      Donnees!$A:$Z,
      _xlpm.ligpartie + 3,
      MATCH(T$1, _xlpm.joueurs, 0) + 1
    )
  ), ""
)</f>
        <v/>
      </c>
      <c r="U71" t="str" cm="1">
        <f t="array" ref="U71">IFERROR(
  _xlfn.LET(
    _xlpm.ligpartie, MATCH($B70, Donnees!$F:$F, 0),
    _xlpm.joueurs, INDEX(Donnees!$A:$Z, _xlpm.ligpartie+1, _xlfn.SEQUENCE(1, 4, 2)),
    INDEX(
      Donnees!$A:$Z,
      _xlpm.ligpartie + 3,
      MATCH(U$1, _xlpm.joueurs, 0) + 1
    )
  ), ""
)</f>
        <v/>
      </c>
      <c r="V71" t="str" cm="1">
        <f t="array" ref="V71">IFERROR(
  _xlfn.LET(
    _xlpm.ligpartie, MATCH($B70, Donnees!$F:$F, 0),
    _xlpm.joueurs, INDEX(Donnees!$A:$Z, _xlpm.ligpartie+1, _xlfn.SEQUENCE(1, 4, 2)),
    INDEX(
      Donnees!$A:$Z,
      _xlpm.ligpartie + 3,
      MATCH(V$1, _xlpm.joueurs, 0) + 1
    )
  ), ""
)</f>
        <v/>
      </c>
      <c r="W71" t="str" cm="1">
        <f t="array" ref="W71">IFERROR(
  _xlfn.LET(
    _xlpm.ligpartie, MATCH($B70, Donnees!$F:$F, 0),
    _xlpm.joueurs, INDEX(Donnees!$A:$Z, _xlpm.ligpartie+1, _xlfn.SEQUENCE(1, 4, 2)),
    INDEX(
      Donnees!$A:$Z,
      _xlpm.ligpartie + 3,
      MATCH(W$1, _xlpm.joueurs, 0) + 1
    )
  ), ""
)</f>
        <v/>
      </c>
      <c r="X71" t="str" cm="1">
        <f t="array" ref="X71">IFERROR(
  _xlfn.LET(
    _xlpm.ligpartie, MATCH($B70, Donnees!$F:$F, 0),
    _xlpm.joueurs, INDEX(Donnees!$A:$Z, _xlpm.ligpartie+1, _xlfn.SEQUENCE(1, 4, 2)),
    INDEX(
      Donnees!$A:$Z,
      _xlpm.ligpartie + 3,
      MATCH(X$1, _xlpm.joueurs, 0) + 1
    )
  ), ""
)</f>
        <v/>
      </c>
      <c r="Y71" t="str" cm="1">
        <f t="array" ref="Y71">IFERROR(
  _xlfn.LET(
    _xlpm.ligpartie, MATCH($B70, Donnees!$F:$F, 0),
    _xlpm.joueurs, INDEX(Donnees!$A:$Z, _xlpm.ligpartie+1, _xlfn.SEQUENCE(1, 4, 2)),
    INDEX(
      Donnees!$A:$Z,
      _xlpm.ligpartie + 3,
      MATCH(Y$1, _xlpm.joueurs, 0) + 1
    )
  ), ""
)</f>
        <v/>
      </c>
      <c r="Z71" t="str" cm="1">
        <f t="array" ref="Z71">IFERROR(
  _xlfn.LET(
    _xlpm.ligpartie, MATCH($B70, Donnees!$F:$F, 0),
    _xlpm.joueurs, INDEX(Donnees!$A:$Z, _xlpm.ligpartie+1, _xlfn.SEQUENCE(1, 4, 2)),
    INDEX(
      Donnees!$A:$Z,
      _xlpm.ligpartie + 3,
      MATCH(Z$1, _xlpm.joueurs, 0) + 1
    )
  ), ""
)</f>
        <v/>
      </c>
      <c r="AA71" t="str" cm="1">
        <f t="array" ref="AA71">IFERROR(
  _xlfn.LET(
    _xlpm.ligpartie, MATCH($B70, Donnees!$F:$F, 0),
    _xlpm.joueurs, INDEX(Donnees!$A:$Z, _xlpm.ligpartie+1, _xlfn.SEQUENCE(1, 4, 2)),
    INDEX(
      Donnees!$A:$Z,
      _xlpm.ligpartie + 3,
      MATCH(AA$1, _xlpm.joueurs, 0) + 1
    )
  ), ""
)</f>
        <v/>
      </c>
      <c r="AB71" t="str" cm="1">
        <f t="array" ref="AB71">IFERROR(
  _xlfn.LET(
    _xlpm.ligpartie, MATCH($B70, Donnees!$F:$F, 0),
    _xlpm.joueurs, INDEX(Donnees!$A:$Z, _xlpm.ligpartie+1, _xlfn.SEQUENCE(1, 4, 2)),
    INDEX(
      Donnees!$A:$Z,
      _xlpm.ligpartie + 3,
      MATCH(AB$1, _xlpm.joueurs, 0) + 1
    )
  ), ""
)</f>
        <v/>
      </c>
      <c r="AC71" t="str" cm="1">
        <f t="array" ref="AC71">IFERROR(
  _xlfn.LET(
    _xlpm.ligpartie, MATCH($B70, Donnees!$F:$F, 0),
    _xlpm.joueurs, INDEX(Donnees!$A:$Z, _xlpm.ligpartie+1, _xlfn.SEQUENCE(1, 4, 2)),
    INDEX(
      Donnees!$A:$Z,
      _xlpm.ligpartie + 3,
      MATCH(AC$1, _xlpm.joueurs, 0) + 1
    )
  ), ""
)</f>
        <v/>
      </c>
      <c r="AD71" t="str" cm="1">
        <f t="array" ref="AD71">IFERROR(
  _xlfn.LET(
    _xlpm.ligpartie, MATCH($B70, Donnees!$F:$F, 0),
    _xlpm.joueurs, INDEX(Donnees!$A:$Z, _xlpm.ligpartie+1, _xlfn.SEQUENCE(1, 4, 2)),
    INDEX(
      Donnees!$A:$Z,
      _xlpm.ligpartie + 3,
      MATCH(AD$1, _xlpm.joueurs, 0) + 1
    )
  ), ""
)</f>
        <v/>
      </c>
      <c r="AE71" t="str" cm="1">
        <f t="array" ref="AE71">IFERROR(
  _xlfn.LET(
    _xlpm.ligpartie, MATCH($B70, Donnees!$F:$F, 0),
    _xlpm.joueurs, INDEX(Donnees!$A:$Z, _xlpm.ligpartie+1, _xlfn.SEQUENCE(1, 4, 2)),
    INDEX(
      Donnees!$A:$Z,
      _xlpm.ligpartie + 3,
      MATCH(AE$1, _xlpm.joueurs, 0) + 1
    )
  ), ""
)</f>
        <v/>
      </c>
      <c r="AF71" t="str" cm="1">
        <f t="array" ref="AF71">IFERROR(
  _xlfn.LET(
    _xlpm.ligpartie, MATCH($B70, Donnees!$F:$F, 0),
    _xlpm.joueurs, INDEX(Donnees!$A:$Z, _xlpm.ligpartie+1, _xlfn.SEQUENCE(1, 4, 2)),
    INDEX(
      Donnees!$A:$Z,
      _xlpm.ligpartie + 3,
      MATCH(AF$1, _xlpm.joueurs, 0) + 1
    )
  ), ""
)</f>
        <v/>
      </c>
      <c r="AG71" t="str" cm="1">
        <f t="array" ref="AG71">IFERROR(
  _xlfn.LET(
    _xlpm.ligpartie, MATCH($B70, Donnees!$F:$F, 0),
    _xlpm.joueurs, INDEX(Donnees!$A:$Z, _xlpm.ligpartie+1, _xlfn.SEQUENCE(1, 4, 2)),
    INDEX(
      Donnees!$A:$Z,
      _xlpm.ligpartie + 3,
      MATCH(AG$1, _xlpm.joueurs, 0) + 1
    )
  ), ""
)</f>
        <v/>
      </c>
      <c r="AH71" t="str" cm="1">
        <f t="array" ref="AH71">IFERROR(
  _xlfn.LET(
    _xlpm.ligpartie, MATCH($B70, Donnees!$F:$F, 0),
    _xlpm.joueurs, INDEX(Donnees!$A:$Z, _xlpm.ligpartie+1, _xlfn.SEQUENCE(1, 4, 2)),
    INDEX(
      Donnees!$A:$Z,
      _xlpm.ligpartie + 3,
      MATCH(AH$1, _xlpm.joueurs, 0) + 1
    )
  ), ""
)</f>
        <v/>
      </c>
      <c r="AI71" t="str" cm="1">
        <f t="array" ref="AI71">IFERROR(
  _xlfn.LET(
    _xlpm.ligpartie, MATCH($B70, Donnees!$F:$F, 0),
    _xlpm.joueurs, INDEX(Donnees!$A:$Z, _xlpm.ligpartie+1, _xlfn.SEQUENCE(1, 4, 2)),
    INDEX(
      Donnees!$A:$Z,
      _xlpm.ligpartie + 3,
      MATCH(AI$1, _xlpm.joueurs, 0) + 1
    )
  ), ""
)</f>
        <v/>
      </c>
      <c r="AJ71" t="str" cm="1">
        <f t="array" ref="AJ71">IFERROR(
  _xlfn.LET(
    _xlpm.ligpartie, MATCH($B70, Donnees!$F:$F, 0),
    _xlpm.joueurs, INDEX(Donnees!$A:$Z, _xlpm.ligpartie+1, _xlfn.SEQUENCE(1, 4, 2)),
    INDEX(
      Donnees!$A:$Z,
      _xlpm.ligpartie + 3,
      MATCH(AJ$1, _xlpm.joueurs, 0) + 1
    )
  ), ""
)</f>
        <v/>
      </c>
      <c r="AK71" t="str" cm="1">
        <f t="array" ref="AK71">IFERROR(
  _xlfn.LET(
    _xlpm.ligpartie, MATCH($B70, Donnees!$F:$F, 0),
    _xlpm.joueurs, INDEX(Donnees!$A:$Z, _xlpm.ligpartie+1, _xlfn.SEQUENCE(1, 4, 2)),
    INDEX(
      Donnees!$A:$Z,
      _xlpm.ligpartie + 3,
      MATCH(AK$1, _xlpm.joueurs, 0) + 1
    )
  ), ""
)</f>
        <v/>
      </c>
      <c r="AL71" t="str" cm="1">
        <f t="array" ref="AL71">IFERROR(
  _xlfn.LET(
    _xlpm.ligpartie, MATCH($B70, Donnees!$F:$F, 0),
    _xlpm.joueurs, INDEX(Donnees!$A:$Z, _xlpm.ligpartie+1, _xlfn.SEQUENCE(1, 4, 2)),
    INDEX(
      Donnees!$A:$Z,
      _xlpm.ligpartie + 3,
      MATCH(AL$1, _xlpm.joueurs, 0) + 1
    )
  ), ""
)</f>
        <v/>
      </c>
      <c r="AM71" t="str" cm="1">
        <f t="array" ref="AM71">IFERROR(
  _xlfn.LET(
    _xlpm.ligpartie, MATCH($B70, Donnees!$F:$F, 0),
    _xlpm.joueurs, INDEX(Donnees!$A:$Z, _xlpm.ligpartie+1, _xlfn.SEQUENCE(1, 4, 2)),
    INDEX(
      Donnees!$A:$Z,
      _xlpm.ligpartie + 3,
      MATCH(AM$1, _xlpm.joueurs, 0) + 1
    )
  ), ""
)</f>
        <v/>
      </c>
    </row>
    <row r="72" spans="1:39" x14ac:dyDescent="0.25">
      <c r="A72" t="s">
        <v>20</v>
      </c>
      <c r="D72" t="str" cm="1">
        <f t="array" ref="D72">_xlfn.LET(
  _xlpm.colj, _xlfn._xlws.FILTER(IF(ISNUMBER(71:71), COLUMN(71:71)), ISNUMBER(71:71)),
  _xlpm.elos, INDEX(70:70,1,_xlpm.colj),
  _xlpm.diffscale, Constantes!$B$2,
  IF(D71="",
    "",
    SUM(1/(1+POWER(10,-(D70-_xlpm.elos)/_xlpm.diffscale)))-0.5)
)</f>
        <v/>
      </c>
      <c r="E72" cm="1">
        <f t="array" ref="E72">_xlfn.LET(
  _xlpm.colj, _xlfn._xlws.FILTER(IF(ISNUMBER(71:71), COLUMN(71:71)), ISNUMBER(71:71)),
  _xlpm.elos, INDEX(70:70,1,_xlpm.colj),
  _xlpm.diffscale, Constantes!$B$2,
  IF(E71="",
    "",
    SUM(1/(1+POWER(10,-(E70-_xlpm.elos)/_xlpm.diffscale)))-0.5)
)</f>
        <v>2.2451853867257308</v>
      </c>
      <c r="F72" t="str" cm="1">
        <f t="array" ref="F72">_xlfn.LET(
  _xlpm.colj, _xlfn._xlws.FILTER(IF(ISNUMBER(71:71), COLUMN(71:71)), ISNUMBER(71:71)),
  _xlpm.elos, INDEX(70:70,1,_xlpm.colj),
  _xlpm.diffscale, Constantes!$B$2,
  IF(F71="",
    "",
    SUM(1/(1+POWER(10,-(F70-_xlpm.elos)/_xlpm.diffscale)))-0.5)
)</f>
        <v/>
      </c>
      <c r="G72" cm="1">
        <f t="array" ref="G72">_xlfn.LET(
  _xlpm.colj, _xlfn._xlws.FILTER(IF(ISNUMBER(71:71), COLUMN(71:71)), ISNUMBER(71:71)),
  _xlpm.elos, INDEX(70:70,1,_xlpm.colj),
  _xlpm.diffscale, Constantes!$B$2,
  IF(G71="",
    "",
    SUM(1/(1+POWER(10,-(G70-_xlpm.elos)/_xlpm.diffscale)))-0.5)
)</f>
        <v>1.3852028795001823</v>
      </c>
      <c r="H72" t="str" cm="1">
        <f t="array" ref="H72">_xlfn.LET(
  _xlpm.colj, _xlfn._xlws.FILTER(IF(ISNUMBER(71:71), COLUMN(71:71)), ISNUMBER(71:71)),
  _xlpm.elos, INDEX(70:70,1,_xlpm.colj),
  _xlpm.diffscale, Constantes!$B$2,
  IF(H71="",
    "",
    SUM(1/(1+POWER(10,-(H70-_xlpm.elos)/_xlpm.diffscale)))-0.5)
)</f>
        <v/>
      </c>
      <c r="I72" t="str" cm="1">
        <f t="array" ref="I72">_xlfn.LET(
  _xlpm.colj, _xlfn._xlws.FILTER(IF(ISNUMBER(71:71), COLUMN(71:71)), ISNUMBER(71:71)),
  _xlpm.elos, INDEX(70:70,1,_xlpm.colj),
  _xlpm.diffscale, Constantes!$B$2,
  IF(I71="",
    "",
    SUM(1/(1+POWER(10,-(I70-_xlpm.elos)/_xlpm.diffscale)))-0.5)
)</f>
        <v/>
      </c>
      <c r="J72" t="str" cm="1">
        <f t="array" ref="J72">_xlfn.LET(
  _xlpm.colj, _xlfn._xlws.FILTER(IF(ISNUMBER(71:71), COLUMN(71:71)), ISNUMBER(71:71)),
  _xlpm.elos, INDEX(70:70,1,_xlpm.colj),
  _xlpm.diffscale, Constantes!$B$2,
  IF(J71="",
    "",
    SUM(1/(1+POWER(10,-(J70-_xlpm.elos)/_xlpm.diffscale)))-0.5)
)</f>
        <v/>
      </c>
      <c r="K72" t="str" cm="1">
        <f t="array" ref="K72">_xlfn.LET(
  _xlpm.colj, _xlfn._xlws.FILTER(IF(ISNUMBER(71:71), COLUMN(71:71)), ISNUMBER(71:71)),
  _xlpm.elos, INDEX(70:70,1,_xlpm.colj),
  _xlpm.diffscale, Constantes!$B$2,
  IF(K71="",
    "",
    SUM(1/(1+POWER(10,-(K70-_xlpm.elos)/_xlpm.diffscale)))-0.5)
)</f>
        <v/>
      </c>
      <c r="L72" t="str" cm="1">
        <f t="array" ref="L72">_xlfn.LET(
  _xlpm.colj, _xlfn._xlws.FILTER(IF(ISNUMBER(71:71), COLUMN(71:71)), ISNUMBER(71:71)),
  _xlpm.elos, INDEX(70:70,1,_xlpm.colj),
  _xlpm.diffscale, Constantes!$B$2,
  IF(L71="",
    "",
    SUM(1/(1+POWER(10,-(L70-_xlpm.elos)/_xlpm.diffscale)))-0.5)
)</f>
        <v/>
      </c>
      <c r="M72" t="str" cm="1">
        <f t="array" ref="M72">_xlfn.LET(
  _xlpm.colj, _xlfn._xlws.FILTER(IF(ISNUMBER(71:71), COLUMN(71:71)), ISNUMBER(71:71)),
  _xlpm.elos, INDEX(70:70,1,_xlpm.colj),
  _xlpm.diffscale, Constantes!$B$2,
  IF(M71="",
    "",
    SUM(1/(1+POWER(10,-(M70-_xlpm.elos)/_xlpm.diffscale)))-0.5)
)</f>
        <v/>
      </c>
      <c r="N72" t="str" cm="1">
        <f t="array" ref="N72">_xlfn.LET(
  _xlpm.colj, _xlfn._xlws.FILTER(IF(ISNUMBER(71:71), COLUMN(71:71)), ISNUMBER(71:71)),
  _xlpm.elos, INDEX(70:70,1,_xlpm.colj),
  _xlpm.diffscale, Constantes!$B$2,
  IF(N71="",
    "",
    SUM(1/(1+POWER(10,-(N70-_xlpm.elos)/_xlpm.diffscale)))-0.5)
)</f>
        <v/>
      </c>
      <c r="O72" t="str" cm="1">
        <f t="array" ref="O72">_xlfn.LET(
  _xlpm.colj, _xlfn._xlws.FILTER(IF(ISNUMBER(71:71), COLUMN(71:71)), ISNUMBER(71:71)),
  _xlpm.elos, INDEX(70:70,1,_xlpm.colj),
  _xlpm.diffscale, Constantes!$B$2,
  IF(O71="",
    "",
    SUM(1/(1+POWER(10,-(O70-_xlpm.elos)/_xlpm.diffscale)))-0.5)
)</f>
        <v/>
      </c>
      <c r="P72" cm="1">
        <f t="array" ref="P72">_xlfn.LET(
  _xlpm.colj, _xlfn._xlws.FILTER(IF(ISNUMBER(71:71), COLUMN(71:71)), ISNUMBER(71:71)),
  _xlpm.elos, INDEX(70:70,1,_xlpm.colj),
  _xlpm.diffscale, Constantes!$B$2,
  IF(P71="",
    "",
    SUM(1/(1+POWER(10,-(P70-_xlpm.elos)/_xlpm.diffscale)))-0.5)
)</f>
        <v>0.97516204620811875</v>
      </c>
      <c r="Q72" t="str" cm="1">
        <f t="array" ref="Q72">_xlfn.LET(
  _xlpm.colj, _xlfn._xlws.FILTER(IF(ISNUMBER(71:71), COLUMN(71:71)), ISNUMBER(71:71)),
  _xlpm.elos, INDEX(70:70,1,_xlpm.colj),
  _xlpm.diffscale, Constantes!$B$2,
  IF(Q71="",
    "",
    SUM(1/(1+POWER(10,-(Q70-_xlpm.elos)/_xlpm.diffscale)))-0.5)
)</f>
        <v/>
      </c>
      <c r="R72" cm="1">
        <f t="array" ref="R72">_xlfn.LET(
  _xlpm.colj, _xlfn._xlws.FILTER(IF(ISNUMBER(71:71), COLUMN(71:71)), ISNUMBER(71:71)),
  _xlpm.elos, INDEX(70:70,1,_xlpm.colj),
  _xlpm.diffscale, Constantes!$B$2,
  IF(R71="",
    "",
    SUM(1/(1+POWER(10,-(R70-_xlpm.elos)/_xlpm.diffscale)))-0.5)
)</f>
        <v>1.394449687565968</v>
      </c>
      <c r="S72" t="str" cm="1">
        <f t="array" ref="S72">_xlfn.LET(
  _xlpm.colj, _xlfn._xlws.FILTER(IF(ISNUMBER(71:71), COLUMN(71:71)), ISNUMBER(71:71)),
  _xlpm.elos, INDEX(70:70,1,_xlpm.colj),
  _xlpm.diffscale, Constantes!$B$2,
  IF(S71="",
    "",
    SUM(1/(1+POWER(10,-(S70-_xlpm.elos)/_xlpm.diffscale)))-0.5)
)</f>
        <v/>
      </c>
      <c r="T72" t="str" cm="1">
        <f t="array" ref="T72">_xlfn.LET(
  _xlpm.colj, _xlfn._xlws.FILTER(IF(ISNUMBER(71:71), COLUMN(71:71)), ISNUMBER(71:71)),
  _xlpm.elos, INDEX(70:70,1,_xlpm.colj),
  _xlpm.diffscale, Constantes!$B$2,
  IF(T71="",
    "",
    SUM(1/(1+POWER(10,-(T70-_xlpm.elos)/_xlpm.diffscale)))-0.5)
)</f>
        <v/>
      </c>
      <c r="U72" t="str" cm="1">
        <f t="array" ref="U72">_xlfn.LET(
  _xlpm.colj, _xlfn._xlws.FILTER(IF(ISNUMBER(71:71), COLUMN(71:71)), ISNUMBER(71:71)),
  _xlpm.elos, INDEX(70:70,1,_xlpm.colj),
  _xlpm.diffscale, Constantes!$B$2,
  IF(U71="",
    "",
    SUM(1/(1+POWER(10,-(U70-_xlpm.elos)/_xlpm.diffscale)))-0.5)
)</f>
        <v/>
      </c>
      <c r="V72" t="str" cm="1">
        <f t="array" ref="V72">_xlfn.LET(
  _xlpm.colj, _xlfn._xlws.FILTER(IF(ISNUMBER(71:71), COLUMN(71:71)), ISNUMBER(71:71)),
  _xlpm.elos, INDEX(70:70,1,_xlpm.colj),
  _xlpm.diffscale, Constantes!$B$2,
  IF(V71="",
    "",
    SUM(1/(1+POWER(10,-(V70-_xlpm.elos)/_xlpm.diffscale)))-0.5)
)</f>
        <v/>
      </c>
      <c r="W72" t="str" cm="1">
        <f t="array" ref="W72">_xlfn.LET(
  _xlpm.colj, _xlfn._xlws.FILTER(IF(ISNUMBER(71:71), COLUMN(71:71)), ISNUMBER(71:71)),
  _xlpm.elos, INDEX(70:70,1,_xlpm.colj),
  _xlpm.diffscale, Constantes!$B$2,
  IF(W71="",
    "",
    SUM(1/(1+POWER(10,-(W70-_xlpm.elos)/_xlpm.diffscale)))-0.5)
)</f>
        <v/>
      </c>
      <c r="X72" t="str" cm="1">
        <f t="array" ref="X72">_xlfn.LET(
  _xlpm.colj, _xlfn._xlws.FILTER(IF(ISNUMBER(71:71), COLUMN(71:71)), ISNUMBER(71:71)),
  _xlpm.elos, INDEX(70:70,1,_xlpm.colj),
  _xlpm.diffscale, Constantes!$B$2,
  IF(X71="",
    "",
    SUM(1/(1+POWER(10,-(X70-_xlpm.elos)/_xlpm.diffscale)))-0.5)
)</f>
        <v/>
      </c>
      <c r="Y72" t="str" cm="1">
        <f t="array" ref="Y72">_xlfn.LET(
  _xlpm.colj, _xlfn._xlws.FILTER(IF(ISNUMBER(71:71), COLUMN(71:71)), ISNUMBER(71:71)),
  _xlpm.elos, INDEX(70:70,1,_xlpm.colj),
  _xlpm.diffscale, Constantes!$B$2,
  IF(Y71="",
    "",
    SUM(1/(1+POWER(10,-(Y70-_xlpm.elos)/_xlpm.diffscale)))-0.5)
)</f>
        <v/>
      </c>
      <c r="Z72" t="str" cm="1">
        <f t="array" ref="Z72">_xlfn.LET(
  _xlpm.colj, _xlfn._xlws.FILTER(IF(ISNUMBER(71:71), COLUMN(71:71)), ISNUMBER(71:71)),
  _xlpm.elos, INDEX(70:70,1,_xlpm.colj),
  _xlpm.diffscale, Constantes!$B$2,
  IF(Z71="",
    "",
    SUM(1/(1+POWER(10,-(Z70-_xlpm.elos)/_xlpm.diffscale)))-0.5)
)</f>
        <v/>
      </c>
      <c r="AA72" t="str" cm="1">
        <f t="array" ref="AA72">_xlfn.LET(
  _xlpm.colj, _xlfn._xlws.FILTER(IF(ISNUMBER(71:71), COLUMN(71:71)), ISNUMBER(71:71)),
  _xlpm.elos, INDEX(70:70,1,_xlpm.colj),
  _xlpm.diffscale, Constantes!$B$2,
  IF(AA71="",
    "",
    SUM(1/(1+POWER(10,-(AA70-_xlpm.elos)/_xlpm.diffscale)))-0.5)
)</f>
        <v/>
      </c>
      <c r="AB72" t="str" cm="1">
        <f t="array" ref="AB72">_xlfn.LET(
  _xlpm.colj, _xlfn._xlws.FILTER(IF(ISNUMBER(71:71), COLUMN(71:71)), ISNUMBER(71:71)),
  _xlpm.elos, INDEX(70:70,1,_xlpm.colj),
  _xlpm.diffscale, Constantes!$B$2,
  IF(AB71="",
    "",
    SUM(1/(1+POWER(10,-(AB70-_xlpm.elos)/_xlpm.diffscale)))-0.5)
)</f>
        <v/>
      </c>
      <c r="AC72" t="str" cm="1">
        <f t="array" ref="AC72">_xlfn.LET(
  _xlpm.colj, _xlfn._xlws.FILTER(IF(ISNUMBER(71:71), COLUMN(71:71)), ISNUMBER(71:71)),
  _xlpm.elos, INDEX(70:70,1,_xlpm.colj),
  _xlpm.diffscale, Constantes!$B$2,
  IF(AC71="",
    "",
    SUM(1/(1+POWER(10,-(AC70-_xlpm.elos)/_xlpm.diffscale)))-0.5)
)</f>
        <v/>
      </c>
      <c r="AD72" t="str" cm="1">
        <f t="array" ref="AD72">_xlfn.LET(
  _xlpm.colj, _xlfn._xlws.FILTER(IF(ISNUMBER(71:71), COLUMN(71:71)), ISNUMBER(71:71)),
  _xlpm.elos, INDEX(70:70,1,_xlpm.colj),
  _xlpm.diffscale, Constantes!$B$2,
  IF(AD71="",
    "",
    SUM(1/(1+POWER(10,-(AD70-_xlpm.elos)/_xlpm.diffscale)))-0.5)
)</f>
        <v/>
      </c>
      <c r="AE72" t="str" cm="1">
        <f t="array" ref="AE72">_xlfn.LET(
  _xlpm.colj, _xlfn._xlws.FILTER(IF(ISNUMBER(71:71), COLUMN(71:71)), ISNUMBER(71:71)),
  _xlpm.elos, INDEX(70:70,1,_xlpm.colj),
  _xlpm.diffscale, Constantes!$B$2,
  IF(AE71="",
    "",
    SUM(1/(1+POWER(10,-(AE70-_xlpm.elos)/_xlpm.diffscale)))-0.5)
)</f>
        <v/>
      </c>
      <c r="AF72" t="str" cm="1">
        <f t="array" ref="AF72">_xlfn.LET(
  _xlpm.colj, _xlfn._xlws.FILTER(IF(ISNUMBER(71:71), COLUMN(71:71)), ISNUMBER(71:71)),
  _xlpm.elos, INDEX(70:70,1,_xlpm.colj),
  _xlpm.diffscale, Constantes!$B$2,
  IF(AF71="",
    "",
    SUM(1/(1+POWER(10,-(AF70-_xlpm.elos)/_xlpm.diffscale)))-0.5)
)</f>
        <v/>
      </c>
      <c r="AG72" t="str" cm="1">
        <f t="array" ref="AG72">_xlfn.LET(
  _xlpm.colj, _xlfn._xlws.FILTER(IF(ISNUMBER(71:71), COLUMN(71:71)), ISNUMBER(71:71)),
  _xlpm.elos, INDEX(70:70,1,_xlpm.colj),
  _xlpm.diffscale, Constantes!$B$2,
  IF(AG71="",
    "",
    SUM(1/(1+POWER(10,-(AG70-_xlpm.elos)/_xlpm.diffscale)))-0.5)
)</f>
        <v/>
      </c>
      <c r="AH72" t="str" cm="1">
        <f t="array" ref="AH72">_xlfn.LET(
  _xlpm.colj, _xlfn._xlws.FILTER(IF(ISNUMBER(71:71), COLUMN(71:71)), ISNUMBER(71:71)),
  _xlpm.elos, INDEX(70:70,1,_xlpm.colj),
  _xlpm.diffscale, Constantes!$B$2,
  IF(AH71="",
    "",
    SUM(1/(1+POWER(10,-(AH70-_xlpm.elos)/_xlpm.diffscale)))-0.5)
)</f>
        <v/>
      </c>
      <c r="AI72" t="str" cm="1">
        <f t="array" ref="AI72">_xlfn.LET(
  _xlpm.colj, _xlfn._xlws.FILTER(IF(ISNUMBER(71:71), COLUMN(71:71)), ISNUMBER(71:71)),
  _xlpm.elos, INDEX(70:70,1,_xlpm.colj),
  _xlpm.diffscale, Constantes!$B$2,
  IF(AI71="",
    "",
    SUM(1/(1+POWER(10,-(AI70-_xlpm.elos)/_xlpm.diffscale)))-0.5)
)</f>
        <v/>
      </c>
      <c r="AJ72" t="str" cm="1">
        <f t="array" ref="AJ72">_xlfn.LET(
  _xlpm.colj, _xlfn._xlws.FILTER(IF(ISNUMBER(71:71), COLUMN(71:71)), ISNUMBER(71:71)),
  _xlpm.elos, INDEX(70:70,1,_xlpm.colj),
  _xlpm.diffscale, Constantes!$B$2,
  IF(AJ71="",
    "",
    SUM(1/(1+POWER(10,-(AJ70-_xlpm.elos)/_xlpm.diffscale)))-0.5)
)</f>
        <v/>
      </c>
      <c r="AK72" t="str" cm="1">
        <f t="array" ref="AK72">_xlfn.LET(
  _xlpm.colj, _xlfn._xlws.FILTER(IF(ISNUMBER(71:71), COLUMN(71:71)), ISNUMBER(71:71)),
  _xlpm.elos, INDEX(70:70,1,_xlpm.colj),
  _xlpm.diffscale, Constantes!$B$2,
  IF(AK71="",
    "",
    SUM(1/(1+POWER(10,-(AK70-_xlpm.elos)/_xlpm.diffscale)))-0.5)
)</f>
        <v/>
      </c>
      <c r="AL72" t="str" cm="1">
        <f t="array" ref="AL72">_xlfn.LET(
  _xlpm.colj, _xlfn._xlws.FILTER(IF(ISNUMBER(71:71), COLUMN(71:71)), ISNUMBER(71:71)),
  _xlpm.elos, INDEX(70:70,1,_xlpm.colj),
  _xlpm.diffscale, Constantes!$B$2,
  IF(AL71="",
    "",
    SUM(1/(1+POWER(10,-(AL70-_xlpm.elos)/_xlpm.diffscale)))-0.5)
)</f>
        <v/>
      </c>
      <c r="AM72" t="str" cm="1">
        <f t="array" ref="AM72">_xlfn.LET(
  _xlpm.colj, _xlfn._xlws.FILTER(IF(ISNUMBER(71:71), COLUMN(71:71)), ISNUMBER(71:71)),
  _xlpm.elos, INDEX(70:70,1,_xlpm.colj),
  _xlpm.diffscale, Constantes!$B$2,
  IF(AM71="",
    "",
    SUM(1/(1+POWER(10,-(AM70-_xlpm.elos)/_xlpm.diffscale)))-0.5)
)</f>
        <v/>
      </c>
    </row>
    <row r="73" spans="1:39" x14ac:dyDescent="0.25">
      <c r="A73" t="s">
        <v>22</v>
      </c>
      <c r="D73" t="str" cm="1">
        <f t="array" ref="D73">_xlfn.LET(
  _xlpm.K, Constantes!$B$3,
  _xlpm.Knewgain, Constantes!$B$4,
  _xlpm.Knewscale, Constantes!$B$5,
  _xlpm.ptstables, INDEX(D:D, _xlfn.SEQUENCE(COUNTA($C$2:$C73), 1, 3, 4)),
  _xlpm.nbparties, COUNTA(_xlfn._xlws.FILTER(_xlpm.ptstables, _xlpm.ptstables &lt;&gt; "")),
  _xlpm.coef, _xlpm.K + _xlpm.Knewgain / (_xlpm.Knewscale + _xlpm.nbparties),
  IF(D71="",
    "",
    _xlpm.coef * (D71-D72))
)</f>
        <v/>
      </c>
      <c r="E73" cm="1">
        <f t="array" ref="E73">_xlfn.LET(
  _xlpm.K, Constantes!$B$3,
  _xlpm.Knewgain, Constantes!$B$4,
  _xlpm.Knewscale, Constantes!$B$5,
  _xlpm.ptstables, INDEX(E:E, _xlfn.SEQUENCE(COUNTA($C$2:$C73), 1, 3, 4)),
  _xlpm.nbparties, COUNTA(_xlfn._xlws.FILTER(_xlpm.ptstables, _xlpm.ptstables &lt;&gt; "")),
  _xlpm.coef, _xlpm.K + _xlpm.Knewgain / (_xlpm.Knewscale + _xlpm.nbparties),
  IF(E71="",
    "",
    _xlpm.coef * (E71-E72))
)</f>
        <v>-6.2658487718797868</v>
      </c>
      <c r="F73" t="str" cm="1">
        <f t="array" ref="F73">_xlfn.LET(
  _xlpm.K, Constantes!$B$3,
  _xlpm.Knewgain, Constantes!$B$4,
  _xlpm.Knewscale, Constantes!$B$5,
  _xlpm.ptstables, INDEX(F:F, _xlfn.SEQUENCE(COUNTA($C$2:$C73), 1, 3, 4)),
  _xlpm.nbparties, COUNTA(_xlfn._xlws.FILTER(_xlpm.ptstables, _xlpm.ptstables &lt;&gt; "")),
  _xlpm.coef, _xlpm.K + _xlpm.Knewgain / (_xlpm.Knewscale + _xlpm.nbparties),
  IF(F71="",
    "",
    _xlpm.coef * (F71-F72))
)</f>
        <v/>
      </c>
      <c r="G73" cm="1">
        <f t="array" ref="G73">_xlfn.LET(
  _xlpm.K, Constantes!$B$3,
  _xlpm.Knewgain, Constantes!$B$4,
  _xlpm.Knewscale, Constantes!$B$5,
  _xlpm.ptstables, INDEX(G:G, _xlfn.SEQUENCE(COUNTA($C$2:$C73), 1, 3, 4)),
  _xlpm.nbparties, COUNTA(_xlfn._xlws.FILTER(_xlpm.ptstables, _xlpm.ptstables &lt;&gt; "")),
  _xlpm.coef, _xlpm.K + _xlpm.Knewgain / (_xlpm.Knewscale + _xlpm.nbparties),
  IF(G71="",
    "",
    _xlpm.coef * (G71-G72))
)</f>
        <v>-35.399629142782437</v>
      </c>
      <c r="H73" t="str" cm="1">
        <f t="array" ref="H73">_xlfn.LET(
  _xlpm.K, Constantes!$B$3,
  _xlpm.Knewgain, Constantes!$B$4,
  _xlpm.Knewscale, Constantes!$B$5,
  _xlpm.ptstables, INDEX(H:H, _xlfn.SEQUENCE(COUNTA($C$2:$C73), 1, 3, 4)),
  _xlpm.nbparties, COUNTA(_xlfn._xlws.FILTER(_xlpm.ptstables, _xlpm.ptstables &lt;&gt; "")),
  _xlpm.coef, _xlpm.K + _xlpm.Knewgain / (_xlpm.Knewscale + _xlpm.nbparties),
  IF(H71="",
    "",
    _xlpm.coef * (H71-H72))
)</f>
        <v/>
      </c>
      <c r="I73" t="str" cm="1">
        <f t="array" ref="I73">_xlfn.LET(
  _xlpm.K, Constantes!$B$3,
  _xlpm.Knewgain, Constantes!$B$4,
  _xlpm.Knewscale, Constantes!$B$5,
  _xlpm.ptstables, INDEX(I:I, _xlfn.SEQUENCE(COUNTA($C$2:$C73), 1, 3, 4)),
  _xlpm.nbparties, COUNTA(_xlfn._xlws.FILTER(_xlpm.ptstables, _xlpm.ptstables &lt;&gt; "")),
  _xlpm.coef, _xlpm.K + _xlpm.Knewgain / (_xlpm.Knewscale + _xlpm.nbparties),
  IF(I71="",
    "",
    _xlpm.coef * (I71-I72))
)</f>
        <v/>
      </c>
      <c r="J73" t="str" cm="1">
        <f t="array" ref="J73">_xlfn.LET(
  _xlpm.K, Constantes!$B$3,
  _xlpm.Knewgain, Constantes!$B$4,
  _xlpm.Knewscale, Constantes!$B$5,
  _xlpm.ptstables, INDEX(J:J, _xlfn.SEQUENCE(COUNTA($C$2:$C73), 1, 3, 4)),
  _xlpm.nbparties, COUNTA(_xlfn._xlws.FILTER(_xlpm.ptstables, _xlpm.ptstables &lt;&gt; "")),
  _xlpm.coef, _xlpm.K + _xlpm.Knewgain / (_xlpm.Knewscale + _xlpm.nbparties),
  IF(J71="",
    "",
    _xlpm.coef * (J71-J72))
)</f>
        <v/>
      </c>
      <c r="K73" t="str" cm="1">
        <f t="array" ref="K73">_xlfn.LET(
  _xlpm.K, Constantes!$B$3,
  _xlpm.Knewgain, Constantes!$B$4,
  _xlpm.Knewscale, Constantes!$B$5,
  _xlpm.ptstables, INDEX(K:K, _xlfn.SEQUENCE(COUNTA($C$2:$C73), 1, 3, 4)),
  _xlpm.nbparties, COUNTA(_xlfn._xlws.FILTER(_xlpm.ptstables, _xlpm.ptstables &lt;&gt; "")),
  _xlpm.coef, _xlpm.K + _xlpm.Knewgain / (_xlpm.Knewscale + _xlpm.nbparties),
  IF(K71="",
    "",
    _xlpm.coef * (K71-K72))
)</f>
        <v/>
      </c>
      <c r="L73" t="str" cm="1">
        <f t="array" ref="L73">_xlfn.LET(
  _xlpm.K, Constantes!$B$3,
  _xlpm.Knewgain, Constantes!$B$4,
  _xlpm.Knewscale, Constantes!$B$5,
  _xlpm.ptstables, INDEX(L:L, _xlfn.SEQUENCE(COUNTA($C$2:$C73), 1, 3, 4)),
  _xlpm.nbparties, COUNTA(_xlfn._xlws.FILTER(_xlpm.ptstables, _xlpm.ptstables &lt;&gt; "")),
  _xlpm.coef, _xlpm.K + _xlpm.Knewgain / (_xlpm.Knewscale + _xlpm.nbparties),
  IF(L71="",
    "",
    _xlpm.coef * (L71-L72))
)</f>
        <v/>
      </c>
      <c r="M73" t="str" cm="1">
        <f t="array" ref="M73">_xlfn.LET(
  _xlpm.K, Constantes!$B$3,
  _xlpm.Knewgain, Constantes!$B$4,
  _xlpm.Knewscale, Constantes!$B$5,
  _xlpm.ptstables, INDEX(M:M, _xlfn.SEQUENCE(COUNTA($C$2:$C73), 1, 3, 4)),
  _xlpm.nbparties, COUNTA(_xlfn._xlws.FILTER(_xlpm.ptstables, _xlpm.ptstables &lt;&gt; "")),
  _xlpm.coef, _xlpm.K + _xlpm.Knewgain / (_xlpm.Knewscale + _xlpm.nbparties),
  IF(M71="",
    "",
    _xlpm.coef * (M71-M72))
)</f>
        <v/>
      </c>
      <c r="N73" t="str" cm="1">
        <f t="array" ref="N73">_xlfn.LET(
  _xlpm.K, Constantes!$B$3,
  _xlpm.Knewgain, Constantes!$B$4,
  _xlpm.Knewscale, Constantes!$B$5,
  _xlpm.ptstables, INDEX(N:N, _xlfn.SEQUENCE(COUNTA($C$2:$C73), 1, 3, 4)),
  _xlpm.nbparties, COUNTA(_xlfn._xlws.FILTER(_xlpm.ptstables, _xlpm.ptstables &lt;&gt; "")),
  _xlpm.coef, _xlpm.K + _xlpm.Knewgain / (_xlpm.Knewscale + _xlpm.nbparties),
  IF(N71="",
    "",
    _xlpm.coef * (N71-N72))
)</f>
        <v/>
      </c>
      <c r="O73" t="str" cm="1">
        <f t="array" ref="O73">_xlfn.LET(
  _xlpm.K, Constantes!$B$3,
  _xlpm.Knewgain, Constantes!$B$4,
  _xlpm.Knewscale, Constantes!$B$5,
  _xlpm.ptstables, INDEX(O:O, _xlfn.SEQUENCE(COUNTA($C$2:$C73), 1, 3, 4)),
  _xlpm.nbparties, COUNTA(_xlfn._xlws.FILTER(_xlpm.ptstables, _xlpm.ptstables &lt;&gt; "")),
  _xlpm.coef, _xlpm.K + _xlpm.Knewgain / (_xlpm.Knewscale + _xlpm.nbparties),
  IF(O71="",
    "",
    _xlpm.coef * (O71-O72))
)</f>
        <v/>
      </c>
      <c r="P73" cm="1">
        <f t="array" ref="P73">_xlfn.LET(
  _xlpm.K, Constantes!$B$3,
  _xlpm.Knewgain, Constantes!$B$4,
  _xlpm.Knewscale, Constantes!$B$5,
  _xlpm.ptstables, INDEX(P:P, _xlfn.SEQUENCE(COUNTA($C$2:$C73), 1, 3, 4)),
  _xlpm.nbparties, COUNTA(_xlfn._xlws.FILTER(_xlpm.ptstables, _xlpm.ptstables &lt;&gt; "")),
  _xlpm.coef, _xlpm.K + _xlpm.Knewgain / (_xlpm.Knewscale + _xlpm.nbparties),
  IF(P71="",
    "",
    _xlpm.coef * (P71-P72))
)</f>
        <v>65.807233498236144</v>
      </c>
      <c r="Q73" t="str" cm="1">
        <f t="array" ref="Q73">_xlfn.LET(
  _xlpm.K, Constantes!$B$3,
  _xlpm.Knewgain, Constantes!$B$4,
  _xlpm.Knewscale, Constantes!$B$5,
  _xlpm.ptstables, INDEX(Q:Q, _xlfn.SEQUENCE(COUNTA($C$2:$C73), 1, 3, 4)),
  _xlpm.nbparties, COUNTA(_xlfn._xlws.FILTER(_xlpm.ptstables, _xlpm.ptstables &lt;&gt; "")),
  _xlpm.coef, _xlpm.K + _xlpm.Knewgain / (_xlpm.Knewscale + _xlpm.nbparties),
  IF(Q71="",
    "",
    _xlpm.coef * (Q71-Q72))
)</f>
        <v/>
      </c>
      <c r="R73" cm="1">
        <f t="array" ref="R73">_xlfn.LET(
  _xlpm.K, Constantes!$B$3,
  _xlpm.Knewgain, Constantes!$B$4,
  _xlpm.Knewscale, Constantes!$B$5,
  _xlpm.ptstables, INDEX(R:R, _xlfn.SEQUENCE(COUNTA($C$2:$C73), 1, 3, 4)),
  _xlpm.nbparties, COUNTA(_xlfn._xlws.FILTER(_xlpm.ptstables, _xlpm.ptstables &lt;&gt; "")),
  _xlpm.coef, _xlpm.K + _xlpm.Knewgain / (_xlpm.Knewscale + _xlpm.nbparties),
  IF(R71="",
    "",
    _xlpm.coef * (R71-R72))
)</f>
        <v>-12.819614845893959</v>
      </c>
      <c r="S73" t="str" cm="1">
        <f t="array" ref="S73">_xlfn.LET(
  _xlpm.K, Constantes!$B$3,
  _xlpm.Knewgain, Constantes!$B$4,
  _xlpm.Knewscale, Constantes!$B$5,
  _xlpm.ptstables, INDEX(S:S, _xlfn.SEQUENCE(COUNTA($C$2:$C73), 1, 3, 4)),
  _xlpm.nbparties, COUNTA(_xlfn._xlws.FILTER(_xlpm.ptstables, _xlpm.ptstables &lt;&gt; "")),
  _xlpm.coef, _xlpm.K + _xlpm.Knewgain / (_xlpm.Knewscale + _xlpm.nbparties),
  IF(S71="",
    "",
    _xlpm.coef * (S71-S72))
)</f>
        <v/>
      </c>
      <c r="T73" t="str" cm="1">
        <f t="array" ref="T73">_xlfn.LET(
  _xlpm.K, Constantes!$B$3,
  _xlpm.Knewgain, Constantes!$B$4,
  _xlpm.Knewscale, Constantes!$B$5,
  _xlpm.ptstables, INDEX(T:T, _xlfn.SEQUENCE(COUNTA($C$2:$C73), 1, 3, 4)),
  _xlpm.nbparties, COUNTA(_xlfn._xlws.FILTER(_xlpm.ptstables, _xlpm.ptstables &lt;&gt; "")),
  _xlpm.coef, _xlpm.K + _xlpm.Knewgain / (_xlpm.Knewscale + _xlpm.nbparties),
  IF(T71="",
    "",
    _xlpm.coef * (T71-T72))
)</f>
        <v/>
      </c>
      <c r="U73" t="str" cm="1">
        <f t="array" ref="U73">_xlfn.LET(
  _xlpm.K, Constantes!$B$3,
  _xlpm.Knewgain, Constantes!$B$4,
  _xlpm.Knewscale, Constantes!$B$5,
  _xlpm.ptstables, INDEX(U:U, _xlfn.SEQUENCE(COUNTA($C$2:$C73), 1, 3, 4)),
  _xlpm.nbparties, COUNTA(_xlfn._xlws.FILTER(_xlpm.ptstables, _xlpm.ptstables &lt;&gt; "")),
  _xlpm.coef, _xlpm.K + _xlpm.Knewgain / (_xlpm.Knewscale + _xlpm.nbparties),
  IF(U71="",
    "",
    _xlpm.coef * (U71-U72))
)</f>
        <v/>
      </c>
      <c r="V73" t="str" cm="1">
        <f t="array" ref="V73">_xlfn.LET(
  _xlpm.K, Constantes!$B$3,
  _xlpm.Knewgain, Constantes!$B$4,
  _xlpm.Knewscale, Constantes!$B$5,
  _xlpm.ptstables, INDEX(V:V, _xlfn.SEQUENCE(COUNTA($C$2:$C73), 1, 3, 4)),
  _xlpm.nbparties, COUNTA(_xlfn._xlws.FILTER(_xlpm.ptstables, _xlpm.ptstables &lt;&gt; "")),
  _xlpm.coef, _xlpm.K + _xlpm.Knewgain / (_xlpm.Knewscale + _xlpm.nbparties),
  IF(V71="",
    "",
    _xlpm.coef * (V71-V72))
)</f>
        <v/>
      </c>
      <c r="W73" t="str" cm="1">
        <f t="array" ref="W73">_xlfn.LET(
  _xlpm.K, Constantes!$B$3,
  _xlpm.Knewgain, Constantes!$B$4,
  _xlpm.Knewscale, Constantes!$B$5,
  _xlpm.ptstables, INDEX(W:W, _xlfn.SEQUENCE(COUNTA($C$2:$C73), 1, 3, 4)),
  _xlpm.nbparties, COUNTA(_xlfn._xlws.FILTER(_xlpm.ptstables, _xlpm.ptstables &lt;&gt; "")),
  _xlpm.coef, _xlpm.K + _xlpm.Knewgain / (_xlpm.Knewscale + _xlpm.nbparties),
  IF(W71="",
    "",
    _xlpm.coef * (W71-W72))
)</f>
        <v/>
      </c>
      <c r="X73" t="str" cm="1">
        <f t="array" ref="X73">_xlfn.LET(
  _xlpm.K, Constantes!$B$3,
  _xlpm.Knewgain, Constantes!$B$4,
  _xlpm.Knewscale, Constantes!$B$5,
  _xlpm.ptstables, INDEX(X:X, _xlfn.SEQUENCE(COUNTA($C$2:$C73), 1, 3, 4)),
  _xlpm.nbparties, COUNTA(_xlfn._xlws.FILTER(_xlpm.ptstables, _xlpm.ptstables &lt;&gt; "")),
  _xlpm.coef, _xlpm.K + _xlpm.Knewgain / (_xlpm.Knewscale + _xlpm.nbparties),
  IF(X71="",
    "",
    _xlpm.coef * (X71-X72))
)</f>
        <v/>
      </c>
      <c r="Y73" t="str" cm="1">
        <f t="array" ref="Y73">_xlfn.LET(
  _xlpm.K, Constantes!$B$3,
  _xlpm.Knewgain, Constantes!$B$4,
  _xlpm.Knewscale, Constantes!$B$5,
  _xlpm.ptstables, INDEX(Y:Y, _xlfn.SEQUENCE(COUNTA($C$2:$C73), 1, 3, 4)),
  _xlpm.nbparties, COUNTA(_xlfn._xlws.FILTER(_xlpm.ptstables, _xlpm.ptstables &lt;&gt; "")),
  _xlpm.coef, _xlpm.K + _xlpm.Knewgain / (_xlpm.Knewscale + _xlpm.nbparties),
  IF(Y71="",
    "",
    _xlpm.coef * (Y71-Y72))
)</f>
        <v/>
      </c>
      <c r="Z73" t="str" cm="1">
        <f t="array" ref="Z73">_xlfn.LET(
  _xlpm.K, Constantes!$B$3,
  _xlpm.Knewgain, Constantes!$B$4,
  _xlpm.Knewscale, Constantes!$B$5,
  _xlpm.ptstables, INDEX(Z:Z, _xlfn.SEQUENCE(COUNTA($C$2:$C73), 1, 3, 4)),
  _xlpm.nbparties, COUNTA(_xlfn._xlws.FILTER(_xlpm.ptstables, _xlpm.ptstables &lt;&gt; "")),
  _xlpm.coef, _xlpm.K + _xlpm.Knewgain / (_xlpm.Knewscale + _xlpm.nbparties),
  IF(Z71="",
    "",
    _xlpm.coef * (Z71-Z72))
)</f>
        <v/>
      </c>
      <c r="AA73" t="str" cm="1">
        <f t="array" ref="AA73">_xlfn.LET(
  _xlpm.K, Constantes!$B$3,
  _xlpm.Knewgain, Constantes!$B$4,
  _xlpm.Knewscale, Constantes!$B$5,
  _xlpm.ptstables, INDEX(AA:AA, _xlfn.SEQUENCE(COUNTA($C$2:$C73), 1, 3, 4)),
  _xlpm.nbparties, COUNTA(_xlfn._xlws.FILTER(_xlpm.ptstables, _xlpm.ptstables &lt;&gt; "")),
  _xlpm.coef, _xlpm.K + _xlpm.Knewgain / (_xlpm.Knewscale + _xlpm.nbparties),
  IF(AA71="",
    "",
    _xlpm.coef * (AA71-AA72))
)</f>
        <v/>
      </c>
      <c r="AB73" t="str" cm="1">
        <f t="array" ref="AB73">_xlfn.LET(
  _xlpm.K, Constantes!$B$3,
  _xlpm.Knewgain, Constantes!$B$4,
  _xlpm.Knewscale, Constantes!$B$5,
  _xlpm.ptstables, INDEX(AB:AB, _xlfn.SEQUENCE(COUNTA($C$2:$C73), 1, 3, 4)),
  _xlpm.nbparties, COUNTA(_xlfn._xlws.FILTER(_xlpm.ptstables, _xlpm.ptstables &lt;&gt; "")),
  _xlpm.coef, _xlpm.K + _xlpm.Knewgain / (_xlpm.Knewscale + _xlpm.nbparties),
  IF(AB71="",
    "",
    _xlpm.coef * (AB71-AB72))
)</f>
        <v/>
      </c>
      <c r="AC73" t="str" cm="1">
        <f t="array" ref="AC73">_xlfn.LET(
  _xlpm.K, Constantes!$B$3,
  _xlpm.Knewgain, Constantes!$B$4,
  _xlpm.Knewscale, Constantes!$B$5,
  _xlpm.ptstables, INDEX(AC:AC, _xlfn.SEQUENCE(COUNTA($C$2:$C73), 1, 3, 4)),
  _xlpm.nbparties, COUNTA(_xlfn._xlws.FILTER(_xlpm.ptstables, _xlpm.ptstables &lt;&gt; "")),
  _xlpm.coef, _xlpm.K + _xlpm.Knewgain / (_xlpm.Knewscale + _xlpm.nbparties),
  IF(AC71="",
    "",
    _xlpm.coef * (AC71-AC72))
)</f>
        <v/>
      </c>
      <c r="AD73" t="str" cm="1">
        <f t="array" ref="AD73">_xlfn.LET(
  _xlpm.K, Constantes!$B$3,
  _xlpm.Knewgain, Constantes!$B$4,
  _xlpm.Knewscale, Constantes!$B$5,
  _xlpm.ptstables, INDEX(AD:AD, _xlfn.SEQUENCE(COUNTA($C$2:$C73), 1, 3, 4)),
  _xlpm.nbparties, COUNTA(_xlfn._xlws.FILTER(_xlpm.ptstables, _xlpm.ptstables &lt;&gt; "")),
  _xlpm.coef, _xlpm.K + _xlpm.Knewgain / (_xlpm.Knewscale + _xlpm.nbparties),
  IF(AD71="",
    "",
    _xlpm.coef * (AD71-AD72))
)</f>
        <v/>
      </c>
      <c r="AE73" t="str" cm="1">
        <f t="array" ref="AE73">_xlfn.LET(
  _xlpm.K, Constantes!$B$3,
  _xlpm.Knewgain, Constantes!$B$4,
  _xlpm.Knewscale, Constantes!$B$5,
  _xlpm.ptstables, INDEX(AE:AE, _xlfn.SEQUENCE(COUNTA($C$2:$C73), 1, 3, 4)),
  _xlpm.nbparties, COUNTA(_xlfn._xlws.FILTER(_xlpm.ptstables, _xlpm.ptstables &lt;&gt; "")),
  _xlpm.coef, _xlpm.K + _xlpm.Knewgain / (_xlpm.Knewscale + _xlpm.nbparties),
  IF(AE71="",
    "",
    _xlpm.coef * (AE71-AE72))
)</f>
        <v/>
      </c>
      <c r="AF73" t="str" cm="1">
        <f t="array" ref="AF73">_xlfn.LET(
  _xlpm.K, Constantes!$B$3,
  _xlpm.Knewgain, Constantes!$B$4,
  _xlpm.Knewscale, Constantes!$B$5,
  _xlpm.ptstables, INDEX(AF:AF, _xlfn.SEQUENCE(COUNTA($C$2:$C73), 1, 3, 4)),
  _xlpm.nbparties, COUNTA(_xlfn._xlws.FILTER(_xlpm.ptstables, _xlpm.ptstables &lt;&gt; "")),
  _xlpm.coef, _xlpm.K + _xlpm.Knewgain / (_xlpm.Knewscale + _xlpm.nbparties),
  IF(AF71="",
    "",
    _xlpm.coef * (AF71-AF72))
)</f>
        <v/>
      </c>
      <c r="AG73" t="str" cm="1">
        <f t="array" ref="AG73">_xlfn.LET(
  _xlpm.K, Constantes!$B$3,
  _xlpm.Knewgain, Constantes!$B$4,
  _xlpm.Knewscale, Constantes!$B$5,
  _xlpm.ptstables, INDEX(AG:AG, _xlfn.SEQUENCE(COUNTA($C$2:$C73), 1, 3, 4)),
  _xlpm.nbparties, COUNTA(_xlfn._xlws.FILTER(_xlpm.ptstables, _xlpm.ptstables &lt;&gt; "")),
  _xlpm.coef, _xlpm.K + _xlpm.Knewgain / (_xlpm.Knewscale + _xlpm.nbparties),
  IF(AG71="",
    "",
    _xlpm.coef * (AG71-AG72))
)</f>
        <v/>
      </c>
      <c r="AH73" t="str" cm="1">
        <f t="array" ref="AH73">_xlfn.LET(
  _xlpm.K, Constantes!$B$3,
  _xlpm.Knewgain, Constantes!$B$4,
  _xlpm.Knewscale, Constantes!$B$5,
  _xlpm.ptstables, INDEX(AH:AH, _xlfn.SEQUENCE(COUNTA($C$2:$C73), 1, 3, 4)),
  _xlpm.nbparties, COUNTA(_xlfn._xlws.FILTER(_xlpm.ptstables, _xlpm.ptstables &lt;&gt; "")),
  _xlpm.coef, _xlpm.K + _xlpm.Knewgain / (_xlpm.Knewscale + _xlpm.nbparties),
  IF(AH71="",
    "",
    _xlpm.coef * (AH71-AH72))
)</f>
        <v/>
      </c>
      <c r="AI73" t="str" cm="1">
        <f t="array" ref="AI73">_xlfn.LET(
  _xlpm.K, Constantes!$B$3,
  _xlpm.Knewgain, Constantes!$B$4,
  _xlpm.Knewscale, Constantes!$B$5,
  _xlpm.ptstables, INDEX(AI:AI, _xlfn.SEQUENCE(COUNTA($C$2:$C73), 1, 3, 4)),
  _xlpm.nbparties, COUNTA(_xlfn._xlws.FILTER(_xlpm.ptstables, _xlpm.ptstables &lt;&gt; "")),
  _xlpm.coef, _xlpm.K + _xlpm.Knewgain / (_xlpm.Knewscale + _xlpm.nbparties),
  IF(AI71="",
    "",
    _xlpm.coef * (AI71-AI72))
)</f>
        <v/>
      </c>
      <c r="AJ73" t="str" cm="1">
        <f t="array" ref="AJ73">_xlfn.LET(
  _xlpm.K, Constantes!$B$3,
  _xlpm.Knewgain, Constantes!$B$4,
  _xlpm.Knewscale, Constantes!$B$5,
  _xlpm.ptstables, INDEX(AJ:AJ, _xlfn.SEQUENCE(COUNTA($C$2:$C73), 1, 3, 4)),
  _xlpm.nbparties, COUNTA(_xlfn._xlws.FILTER(_xlpm.ptstables, _xlpm.ptstables &lt;&gt; "")),
  _xlpm.coef, _xlpm.K + _xlpm.Knewgain / (_xlpm.Knewscale + _xlpm.nbparties),
  IF(AJ71="",
    "",
    _xlpm.coef * (AJ71-AJ72))
)</f>
        <v/>
      </c>
      <c r="AK73" t="str" cm="1">
        <f t="array" ref="AK73">_xlfn.LET(
  _xlpm.K, Constantes!$B$3,
  _xlpm.Knewgain, Constantes!$B$4,
  _xlpm.Knewscale, Constantes!$B$5,
  _xlpm.ptstables, INDEX(AK:AK, _xlfn.SEQUENCE(COUNTA($C$2:$C73), 1, 3, 4)),
  _xlpm.nbparties, COUNTA(_xlfn._xlws.FILTER(_xlpm.ptstables, _xlpm.ptstables &lt;&gt; "")),
  _xlpm.coef, _xlpm.K + _xlpm.Knewgain / (_xlpm.Knewscale + _xlpm.nbparties),
  IF(AK71="",
    "",
    _xlpm.coef * (AK71-AK72))
)</f>
        <v/>
      </c>
      <c r="AL73" t="str" cm="1">
        <f t="array" ref="AL73">_xlfn.LET(
  _xlpm.K, Constantes!$B$3,
  _xlpm.Knewgain, Constantes!$B$4,
  _xlpm.Knewscale, Constantes!$B$5,
  _xlpm.ptstables, INDEX(AL:AL, _xlfn.SEQUENCE(COUNTA($C$2:$C73), 1, 3, 4)),
  _xlpm.nbparties, COUNTA(_xlfn._xlws.FILTER(_xlpm.ptstables, _xlpm.ptstables &lt;&gt; "")),
  _xlpm.coef, _xlpm.K + _xlpm.Knewgain / (_xlpm.Knewscale + _xlpm.nbparties),
  IF(AL71="",
    "",
    _xlpm.coef * (AL71-AL72))
)</f>
        <v/>
      </c>
      <c r="AM73" t="str" cm="1">
        <f t="array" ref="AM73">_xlfn.LET(
  _xlpm.K, Constantes!$B$3,
  _xlpm.Knewgain, Constantes!$B$4,
  _xlpm.Knewscale, Constantes!$B$5,
  _xlpm.ptstables, INDEX(AM:AM, _xlfn.SEQUENCE(COUNTA($C$2:$C73), 1, 3, 4)),
  _xlpm.nbparties, COUNTA(_xlfn._xlws.FILTER(_xlpm.ptstables, _xlpm.ptstables &lt;&gt; "")),
  _xlpm.coef, _xlpm.K + _xlpm.Knewgain / (_xlpm.Knewscale + _xlpm.nbparties),
  IF(AM71="",
    "",
    _xlpm.coef * (AM71-AM72))
)</f>
        <v/>
      </c>
    </row>
    <row r="74" spans="1:39" x14ac:dyDescent="0.25">
      <c r="A74" t="s">
        <v>14</v>
      </c>
      <c r="B74" t="str" cm="1">
        <f t="array" ref="B7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20</v>
      </c>
      <c r="C74" s="2" cm="1">
        <f t="array" ref="C74">IF(B74="","",
  INDEX(Donnees!F:F, MATCH(B74, Donnees!F:F, 0)+1))</f>
        <v>45913.923460648148</v>
      </c>
      <c r="D74">
        <f t="shared" ref="D74:AM74" si="26">D70+IF(D73="",0,D73)</f>
        <v>1108.4611161856747</v>
      </c>
      <c r="E74">
        <f t="shared" si="26"/>
        <v>1189.3001323791896</v>
      </c>
      <c r="F74">
        <f t="shared" si="26"/>
        <v>909.87928229209808</v>
      </c>
      <c r="G74">
        <f t="shared" si="26"/>
        <v>994.13580444095101</v>
      </c>
      <c r="H74">
        <f t="shared" si="26"/>
        <v>1020.3453983892952</v>
      </c>
      <c r="I74">
        <f t="shared" si="26"/>
        <v>1079.4580211094492</v>
      </c>
      <c r="J74">
        <f t="shared" si="26"/>
        <v>938.49433816478961</v>
      </c>
      <c r="K74">
        <f t="shared" si="26"/>
        <v>911.11415590373872</v>
      </c>
      <c r="L74">
        <f t="shared" si="26"/>
        <v>878.7153998467162</v>
      </c>
      <c r="M74">
        <f t="shared" si="26"/>
        <v>965.238738457664</v>
      </c>
      <c r="N74">
        <f t="shared" si="26"/>
        <v>937.60806294499946</v>
      </c>
      <c r="O74">
        <f t="shared" si="26"/>
        <v>1030.4363831507294</v>
      </c>
      <c r="P74">
        <f t="shared" si="26"/>
        <v>1017.6837683324716</v>
      </c>
      <c r="Q74">
        <f t="shared" si="26"/>
        <v>1048.4755012077521</v>
      </c>
      <c r="R74">
        <f t="shared" si="26"/>
        <v>1018.4270787766297</v>
      </c>
      <c r="S74">
        <f t="shared" si="26"/>
        <v>959.75190824854496</v>
      </c>
      <c r="T74">
        <f t="shared" si="26"/>
        <v>1091.1027195493489</v>
      </c>
      <c r="U74">
        <f t="shared" si="26"/>
        <v>997.03800757659099</v>
      </c>
      <c r="V74">
        <f t="shared" si="26"/>
        <v>976.66131486891345</v>
      </c>
      <c r="W74">
        <f t="shared" si="26"/>
        <v>936.79085942937002</v>
      </c>
      <c r="X74">
        <f t="shared" si="26"/>
        <v>852.64794693163367</v>
      </c>
      <c r="Y74">
        <f t="shared" si="26"/>
        <v>913.98582058905436</v>
      </c>
      <c r="Z74">
        <f t="shared" si="26"/>
        <v>991.11904139672549</v>
      </c>
      <c r="AA74">
        <f t="shared" si="26"/>
        <v>1000</v>
      </c>
      <c r="AB74">
        <f t="shared" si="26"/>
        <v>979.56500000000005</v>
      </c>
      <c r="AC74">
        <f t="shared" si="26"/>
        <v>1032.51</v>
      </c>
      <c r="AD74">
        <f t="shared" si="26"/>
        <v>974.01499999999999</v>
      </c>
      <c r="AE74">
        <f t="shared" si="26"/>
        <v>1011.415</v>
      </c>
      <c r="AF74">
        <f t="shared" si="26"/>
        <v>1031.1199999999999</v>
      </c>
      <c r="AG74">
        <f t="shared" si="26"/>
        <v>1001.0350000000001</v>
      </c>
      <c r="AH74">
        <f t="shared" si="26"/>
        <v>994.44</v>
      </c>
      <c r="AI74">
        <f t="shared" si="26"/>
        <v>1000</v>
      </c>
      <c r="AJ74">
        <f t="shared" si="26"/>
        <v>957.2</v>
      </c>
      <c r="AK74">
        <f t="shared" si="26"/>
        <v>1000</v>
      </c>
      <c r="AL74">
        <f t="shared" si="26"/>
        <v>1055.9299999999998</v>
      </c>
      <c r="AM74">
        <f t="shared" si="26"/>
        <v>1000</v>
      </c>
    </row>
    <row r="75" spans="1:39" x14ac:dyDescent="0.25">
      <c r="A75" t="s">
        <v>21</v>
      </c>
      <c r="D75" t="str" cm="1">
        <f t="array" ref="D75">IFERROR(
  _xlfn.LET(
    _xlpm.ligpartie, MATCH($B74, Donnees!$F:$F, 0),
    _xlpm.joueurs, INDEX(Donnees!$A:$Z, _xlpm.ligpartie+1, _xlfn.SEQUENCE(1, 4, 2)),
    INDEX(
      Donnees!$A:$Z,
      _xlpm.ligpartie + 3,
      MATCH(D$1, _xlpm.joueurs, 0) + 1
    )
  ), ""
)</f>
        <v/>
      </c>
      <c r="E75" t="str" cm="1">
        <f t="array" ref="E75">IFERROR(
  _xlfn.LET(
    _xlpm.ligpartie, MATCH($B74, Donnees!$F:$F, 0),
    _xlpm.joueurs, INDEX(Donnees!$A:$Z, _xlpm.ligpartie+1, _xlfn.SEQUENCE(1, 4, 2)),
    INDEX(
      Donnees!$A:$Z,
      _xlpm.ligpartie + 3,
      MATCH(E$1, _xlpm.joueurs, 0) + 1
    )
  ), ""
)</f>
        <v/>
      </c>
      <c r="F75" t="str" cm="1">
        <f t="array" ref="F75">IFERROR(
  _xlfn.LET(
    _xlpm.ligpartie, MATCH($B74, Donnees!$F:$F, 0),
    _xlpm.joueurs, INDEX(Donnees!$A:$Z, _xlpm.ligpartie+1, _xlfn.SEQUENCE(1, 4, 2)),
    INDEX(
      Donnees!$A:$Z,
      _xlpm.ligpartie + 3,
      MATCH(F$1, _xlpm.joueurs, 0) + 1
    )
  ), ""
)</f>
        <v/>
      </c>
      <c r="G75" cm="1">
        <f t="array" ref="G75">IFERROR(
  _xlfn.LET(
    _xlpm.ligpartie, MATCH($B74, Donnees!$F:$F, 0),
    _xlpm.joueurs, INDEX(Donnees!$A:$Z, _xlpm.ligpartie+1, _xlfn.SEQUENCE(1, 4, 2)),
    INDEX(
      Donnees!$A:$Z,
      _xlpm.ligpartie + 3,
      MATCH(G$1, _xlpm.joueurs, 0) + 1
    )
  ), ""
)</f>
        <v>0</v>
      </c>
      <c r="H75" t="str" cm="1">
        <f t="array" ref="H75">IFERROR(
  _xlfn.LET(
    _xlpm.ligpartie, MATCH($B74, Donnees!$F:$F, 0),
    _xlpm.joueurs, INDEX(Donnees!$A:$Z, _xlpm.ligpartie+1, _xlfn.SEQUENCE(1, 4, 2)),
    INDEX(
      Donnees!$A:$Z,
      _xlpm.ligpartie + 3,
      MATCH(H$1, _xlpm.joueurs, 0) + 1
    )
  ), ""
)</f>
        <v/>
      </c>
      <c r="I75" t="str" cm="1">
        <f t="array" ref="I75">IFERROR(
  _xlfn.LET(
    _xlpm.ligpartie, MATCH($B74, Donnees!$F:$F, 0),
    _xlpm.joueurs, INDEX(Donnees!$A:$Z, _xlpm.ligpartie+1, _xlfn.SEQUENCE(1, 4, 2)),
    INDEX(
      Donnees!$A:$Z,
      _xlpm.ligpartie + 3,
      MATCH(I$1, _xlpm.joueurs, 0) + 1
    )
  ), ""
)</f>
        <v/>
      </c>
      <c r="J75" t="str" cm="1">
        <f t="array" ref="J75">IFERROR(
  _xlfn.LET(
    _xlpm.ligpartie, MATCH($B74, Donnees!$F:$F, 0),
    _xlpm.joueurs, INDEX(Donnees!$A:$Z, _xlpm.ligpartie+1, _xlfn.SEQUENCE(1, 4, 2)),
    INDEX(
      Donnees!$A:$Z,
      _xlpm.ligpartie + 3,
      MATCH(J$1, _xlpm.joueurs, 0) + 1
    )
  ), ""
)</f>
        <v/>
      </c>
      <c r="K75" t="str" cm="1">
        <f t="array" ref="K75">IFERROR(
  _xlfn.LET(
    _xlpm.ligpartie, MATCH($B74, Donnees!$F:$F, 0),
    _xlpm.joueurs, INDEX(Donnees!$A:$Z, _xlpm.ligpartie+1, _xlfn.SEQUENCE(1, 4, 2)),
    INDEX(
      Donnees!$A:$Z,
      _xlpm.ligpartie + 3,
      MATCH(K$1, _xlpm.joueurs, 0) + 1
    )
  ), ""
)</f>
        <v/>
      </c>
      <c r="L75" t="str" cm="1">
        <f t="array" ref="L75">IFERROR(
  _xlfn.LET(
    _xlpm.ligpartie, MATCH($B74, Donnees!$F:$F, 0),
    _xlpm.joueurs, INDEX(Donnees!$A:$Z, _xlpm.ligpartie+1, _xlfn.SEQUENCE(1, 4, 2)),
    INDEX(
      Donnees!$A:$Z,
      _xlpm.ligpartie + 3,
      MATCH(L$1, _xlpm.joueurs, 0) + 1
    )
  ), ""
)</f>
        <v/>
      </c>
      <c r="M75" t="str" cm="1">
        <f t="array" ref="M75">IFERROR(
  _xlfn.LET(
    _xlpm.ligpartie, MATCH($B74, Donnees!$F:$F, 0),
    _xlpm.joueurs, INDEX(Donnees!$A:$Z, _xlpm.ligpartie+1, _xlfn.SEQUENCE(1, 4, 2)),
    INDEX(
      Donnees!$A:$Z,
      _xlpm.ligpartie + 3,
      MATCH(M$1, _xlpm.joueurs, 0) + 1
    )
  ), ""
)</f>
        <v/>
      </c>
      <c r="N75" t="str" cm="1">
        <f t="array" ref="N75">IFERROR(
  _xlfn.LET(
    _xlpm.ligpartie, MATCH($B74, Donnees!$F:$F, 0),
    _xlpm.joueurs, INDEX(Donnees!$A:$Z, _xlpm.ligpartie+1, _xlfn.SEQUENCE(1, 4, 2)),
    INDEX(
      Donnees!$A:$Z,
      _xlpm.ligpartie + 3,
      MATCH(N$1, _xlpm.joueurs, 0) + 1
    )
  ), ""
)</f>
        <v/>
      </c>
      <c r="O75" t="str" cm="1">
        <f t="array" ref="O75">IFERROR(
  _xlfn.LET(
    _xlpm.ligpartie, MATCH($B74, Donnees!$F:$F, 0),
    _xlpm.joueurs, INDEX(Donnees!$A:$Z, _xlpm.ligpartie+1, _xlfn.SEQUENCE(1, 4, 2)),
    INDEX(
      Donnees!$A:$Z,
      _xlpm.ligpartie + 3,
      MATCH(O$1, _xlpm.joueurs, 0) + 1
    )
  ), ""
)</f>
        <v/>
      </c>
      <c r="P75" t="str" cm="1">
        <f t="array" ref="P75">IFERROR(
  _xlfn.LET(
    _xlpm.ligpartie, MATCH($B74, Donnees!$F:$F, 0),
    _xlpm.joueurs, INDEX(Donnees!$A:$Z, _xlpm.ligpartie+1, _xlfn.SEQUENCE(1, 4, 2)),
    INDEX(
      Donnees!$A:$Z,
      _xlpm.ligpartie + 3,
      MATCH(P$1, _xlpm.joueurs, 0) + 1
    )
  ), ""
)</f>
        <v/>
      </c>
      <c r="Q75" t="str" cm="1">
        <f t="array" ref="Q75">IFERROR(
  _xlfn.LET(
    _xlpm.ligpartie, MATCH($B74, Donnees!$F:$F, 0),
    _xlpm.joueurs, INDEX(Donnees!$A:$Z, _xlpm.ligpartie+1, _xlfn.SEQUENCE(1, 4, 2)),
    INDEX(
      Donnees!$A:$Z,
      _xlpm.ligpartie + 3,
      MATCH(Q$1, _xlpm.joueurs, 0) + 1
    )
  ), ""
)</f>
        <v/>
      </c>
      <c r="R75" cm="1">
        <f t="array" ref="R75">IFERROR(
  _xlfn.LET(
    _xlpm.ligpartie, MATCH($B74, Donnees!$F:$F, 0),
    _xlpm.joueurs, INDEX(Donnees!$A:$Z, _xlpm.ligpartie+1, _xlfn.SEQUENCE(1, 4, 2)),
    INDEX(
      Donnees!$A:$Z,
      _xlpm.ligpartie + 3,
      MATCH(R$1, _xlpm.joueurs, 0) + 1
    )
  ), ""
)</f>
        <v>3</v>
      </c>
      <c r="S75" cm="1">
        <f t="array" ref="S75">IFERROR(
  _xlfn.LET(
    _xlpm.ligpartie, MATCH($B74, Donnees!$F:$F, 0),
    _xlpm.joueurs, INDEX(Donnees!$A:$Z, _xlpm.ligpartie+1, _xlfn.SEQUENCE(1, 4, 2)),
    INDEX(
      Donnees!$A:$Z,
      _xlpm.ligpartie + 3,
      MATCH(S$1, _xlpm.joueurs, 0) + 1
    )
  ), ""
)</f>
        <v>1</v>
      </c>
      <c r="T75" t="str" cm="1">
        <f t="array" ref="T75">IFERROR(
  _xlfn.LET(
    _xlpm.ligpartie, MATCH($B74, Donnees!$F:$F, 0),
    _xlpm.joueurs, INDEX(Donnees!$A:$Z, _xlpm.ligpartie+1, _xlfn.SEQUENCE(1, 4, 2)),
    INDEX(
      Donnees!$A:$Z,
      _xlpm.ligpartie + 3,
      MATCH(T$1, _xlpm.joueurs, 0) + 1
    )
  ), ""
)</f>
        <v/>
      </c>
      <c r="U75" cm="1">
        <f t="array" ref="U75">IFERROR(
  _xlfn.LET(
    _xlpm.ligpartie, MATCH($B74, Donnees!$F:$F, 0),
    _xlpm.joueurs, INDEX(Donnees!$A:$Z, _xlpm.ligpartie+1, _xlfn.SEQUENCE(1, 4, 2)),
    INDEX(
      Donnees!$A:$Z,
      _xlpm.ligpartie + 3,
      MATCH(U$1, _xlpm.joueurs, 0) + 1
    )
  ), ""
)</f>
        <v>2</v>
      </c>
      <c r="V75" t="str" cm="1">
        <f t="array" ref="V75">IFERROR(
  _xlfn.LET(
    _xlpm.ligpartie, MATCH($B74, Donnees!$F:$F, 0),
    _xlpm.joueurs, INDEX(Donnees!$A:$Z, _xlpm.ligpartie+1, _xlfn.SEQUENCE(1, 4, 2)),
    INDEX(
      Donnees!$A:$Z,
      _xlpm.ligpartie + 3,
      MATCH(V$1, _xlpm.joueurs, 0) + 1
    )
  ), ""
)</f>
        <v/>
      </c>
      <c r="W75" t="str" cm="1">
        <f t="array" ref="W75">IFERROR(
  _xlfn.LET(
    _xlpm.ligpartie, MATCH($B74, Donnees!$F:$F, 0),
    _xlpm.joueurs, INDEX(Donnees!$A:$Z, _xlpm.ligpartie+1, _xlfn.SEQUENCE(1, 4, 2)),
    INDEX(
      Donnees!$A:$Z,
      _xlpm.ligpartie + 3,
      MATCH(W$1, _xlpm.joueurs, 0) + 1
    )
  ), ""
)</f>
        <v/>
      </c>
      <c r="X75" t="str" cm="1">
        <f t="array" ref="X75">IFERROR(
  _xlfn.LET(
    _xlpm.ligpartie, MATCH($B74, Donnees!$F:$F, 0),
    _xlpm.joueurs, INDEX(Donnees!$A:$Z, _xlpm.ligpartie+1, _xlfn.SEQUENCE(1, 4, 2)),
    INDEX(
      Donnees!$A:$Z,
      _xlpm.ligpartie + 3,
      MATCH(X$1, _xlpm.joueurs, 0) + 1
    )
  ), ""
)</f>
        <v/>
      </c>
      <c r="Y75" t="str" cm="1">
        <f t="array" ref="Y75">IFERROR(
  _xlfn.LET(
    _xlpm.ligpartie, MATCH($B74, Donnees!$F:$F, 0),
    _xlpm.joueurs, INDEX(Donnees!$A:$Z, _xlpm.ligpartie+1, _xlfn.SEQUENCE(1, 4, 2)),
    INDEX(
      Donnees!$A:$Z,
      _xlpm.ligpartie + 3,
      MATCH(Y$1, _xlpm.joueurs, 0) + 1
    )
  ), ""
)</f>
        <v/>
      </c>
      <c r="Z75" t="str" cm="1">
        <f t="array" ref="Z75">IFERROR(
  _xlfn.LET(
    _xlpm.ligpartie, MATCH($B74, Donnees!$F:$F, 0),
    _xlpm.joueurs, INDEX(Donnees!$A:$Z, _xlpm.ligpartie+1, _xlfn.SEQUENCE(1, 4, 2)),
    INDEX(
      Donnees!$A:$Z,
      _xlpm.ligpartie + 3,
      MATCH(Z$1, _xlpm.joueurs, 0) + 1
    )
  ), ""
)</f>
        <v/>
      </c>
      <c r="AA75" t="str" cm="1">
        <f t="array" ref="AA75">IFERROR(
  _xlfn.LET(
    _xlpm.ligpartie, MATCH($B74, Donnees!$F:$F, 0),
    _xlpm.joueurs, INDEX(Donnees!$A:$Z, _xlpm.ligpartie+1, _xlfn.SEQUENCE(1, 4, 2)),
    INDEX(
      Donnees!$A:$Z,
      _xlpm.ligpartie + 3,
      MATCH(AA$1, _xlpm.joueurs, 0) + 1
    )
  ), ""
)</f>
        <v/>
      </c>
      <c r="AB75" t="str" cm="1">
        <f t="array" ref="AB75">IFERROR(
  _xlfn.LET(
    _xlpm.ligpartie, MATCH($B74, Donnees!$F:$F, 0),
    _xlpm.joueurs, INDEX(Donnees!$A:$Z, _xlpm.ligpartie+1, _xlfn.SEQUENCE(1, 4, 2)),
    INDEX(
      Donnees!$A:$Z,
      _xlpm.ligpartie + 3,
      MATCH(AB$1, _xlpm.joueurs, 0) + 1
    )
  ), ""
)</f>
        <v/>
      </c>
      <c r="AC75" t="str" cm="1">
        <f t="array" ref="AC75">IFERROR(
  _xlfn.LET(
    _xlpm.ligpartie, MATCH($B74, Donnees!$F:$F, 0),
    _xlpm.joueurs, INDEX(Donnees!$A:$Z, _xlpm.ligpartie+1, _xlfn.SEQUENCE(1, 4, 2)),
    INDEX(
      Donnees!$A:$Z,
      _xlpm.ligpartie + 3,
      MATCH(AC$1, _xlpm.joueurs, 0) + 1
    )
  ), ""
)</f>
        <v/>
      </c>
      <c r="AD75" t="str" cm="1">
        <f t="array" ref="AD75">IFERROR(
  _xlfn.LET(
    _xlpm.ligpartie, MATCH($B74, Donnees!$F:$F, 0),
    _xlpm.joueurs, INDEX(Donnees!$A:$Z, _xlpm.ligpartie+1, _xlfn.SEQUENCE(1, 4, 2)),
    INDEX(
      Donnees!$A:$Z,
      _xlpm.ligpartie + 3,
      MATCH(AD$1, _xlpm.joueurs, 0) + 1
    )
  ), ""
)</f>
        <v/>
      </c>
      <c r="AE75" t="str" cm="1">
        <f t="array" ref="AE75">IFERROR(
  _xlfn.LET(
    _xlpm.ligpartie, MATCH($B74, Donnees!$F:$F, 0),
    _xlpm.joueurs, INDEX(Donnees!$A:$Z, _xlpm.ligpartie+1, _xlfn.SEQUENCE(1, 4, 2)),
    INDEX(
      Donnees!$A:$Z,
      _xlpm.ligpartie + 3,
      MATCH(AE$1, _xlpm.joueurs, 0) + 1
    )
  ), ""
)</f>
        <v/>
      </c>
      <c r="AF75" t="str" cm="1">
        <f t="array" ref="AF75">IFERROR(
  _xlfn.LET(
    _xlpm.ligpartie, MATCH($B74, Donnees!$F:$F, 0),
    _xlpm.joueurs, INDEX(Donnees!$A:$Z, _xlpm.ligpartie+1, _xlfn.SEQUENCE(1, 4, 2)),
    INDEX(
      Donnees!$A:$Z,
      _xlpm.ligpartie + 3,
      MATCH(AF$1, _xlpm.joueurs, 0) + 1
    )
  ), ""
)</f>
        <v/>
      </c>
      <c r="AG75" t="str" cm="1">
        <f t="array" ref="AG75">IFERROR(
  _xlfn.LET(
    _xlpm.ligpartie, MATCH($B74, Donnees!$F:$F, 0),
    _xlpm.joueurs, INDEX(Donnees!$A:$Z, _xlpm.ligpartie+1, _xlfn.SEQUENCE(1, 4, 2)),
    INDEX(
      Donnees!$A:$Z,
      _xlpm.ligpartie + 3,
      MATCH(AG$1, _xlpm.joueurs, 0) + 1
    )
  ), ""
)</f>
        <v/>
      </c>
      <c r="AH75" t="str" cm="1">
        <f t="array" ref="AH75">IFERROR(
  _xlfn.LET(
    _xlpm.ligpartie, MATCH($B74, Donnees!$F:$F, 0),
    _xlpm.joueurs, INDEX(Donnees!$A:$Z, _xlpm.ligpartie+1, _xlfn.SEQUENCE(1, 4, 2)),
    INDEX(
      Donnees!$A:$Z,
      _xlpm.ligpartie + 3,
      MATCH(AH$1, _xlpm.joueurs, 0) + 1
    )
  ), ""
)</f>
        <v/>
      </c>
      <c r="AI75" t="str" cm="1">
        <f t="array" ref="AI75">IFERROR(
  _xlfn.LET(
    _xlpm.ligpartie, MATCH($B74, Donnees!$F:$F, 0),
    _xlpm.joueurs, INDEX(Donnees!$A:$Z, _xlpm.ligpartie+1, _xlfn.SEQUENCE(1, 4, 2)),
    INDEX(
      Donnees!$A:$Z,
      _xlpm.ligpartie + 3,
      MATCH(AI$1, _xlpm.joueurs, 0) + 1
    )
  ), ""
)</f>
        <v/>
      </c>
      <c r="AJ75" t="str" cm="1">
        <f t="array" ref="AJ75">IFERROR(
  _xlfn.LET(
    _xlpm.ligpartie, MATCH($B74, Donnees!$F:$F, 0),
    _xlpm.joueurs, INDEX(Donnees!$A:$Z, _xlpm.ligpartie+1, _xlfn.SEQUENCE(1, 4, 2)),
    INDEX(
      Donnees!$A:$Z,
      _xlpm.ligpartie + 3,
      MATCH(AJ$1, _xlpm.joueurs, 0) + 1
    )
  ), ""
)</f>
        <v/>
      </c>
      <c r="AK75" t="str" cm="1">
        <f t="array" ref="AK75">IFERROR(
  _xlfn.LET(
    _xlpm.ligpartie, MATCH($B74, Donnees!$F:$F, 0),
    _xlpm.joueurs, INDEX(Donnees!$A:$Z, _xlpm.ligpartie+1, _xlfn.SEQUENCE(1, 4, 2)),
    INDEX(
      Donnees!$A:$Z,
      _xlpm.ligpartie + 3,
      MATCH(AK$1, _xlpm.joueurs, 0) + 1
    )
  ), ""
)</f>
        <v/>
      </c>
      <c r="AL75" t="str" cm="1">
        <f t="array" ref="AL75">IFERROR(
  _xlfn.LET(
    _xlpm.ligpartie, MATCH($B74, Donnees!$F:$F, 0),
    _xlpm.joueurs, INDEX(Donnees!$A:$Z, _xlpm.ligpartie+1, _xlfn.SEQUENCE(1, 4, 2)),
    INDEX(
      Donnees!$A:$Z,
      _xlpm.ligpartie + 3,
      MATCH(AL$1, _xlpm.joueurs, 0) + 1
    )
  ), ""
)</f>
        <v/>
      </c>
      <c r="AM75" t="str" cm="1">
        <f t="array" ref="AM75">IFERROR(
  _xlfn.LET(
    _xlpm.ligpartie, MATCH($B74, Donnees!$F:$F, 0),
    _xlpm.joueurs, INDEX(Donnees!$A:$Z, _xlpm.ligpartie+1, _xlfn.SEQUENCE(1, 4, 2)),
    INDEX(
      Donnees!$A:$Z,
      _xlpm.ligpartie + 3,
      MATCH(AM$1, _xlpm.joueurs, 0) + 1
    )
  ), ""
)</f>
        <v/>
      </c>
    </row>
    <row r="76" spans="1:39" x14ac:dyDescent="0.25">
      <c r="A76" t="s">
        <v>20</v>
      </c>
      <c r="D76" t="str" cm="1">
        <f t="array" ref="D76">_xlfn.LET(
  _xlpm.colj, _xlfn._xlws.FILTER(IF(ISNUMBER(75:75), COLUMN(75:75)), ISNUMBER(75:75)),
  _xlpm.elos, INDEX(74:74,1,_xlpm.colj),
  _xlpm.diffscale, Constantes!$B$2,
  IF(D75="",
    "",
    SUM(1/(1+POWER(10,-(D74-_xlpm.elos)/_xlpm.diffscale)))-0.5)
)</f>
        <v/>
      </c>
      <c r="E76" t="str" cm="1">
        <f t="array" ref="E76">_xlfn.LET(
  _xlpm.colj, _xlfn._xlws.FILTER(IF(ISNUMBER(75:75), COLUMN(75:75)), ISNUMBER(75:75)),
  _xlpm.elos, INDEX(74:74,1,_xlpm.colj),
  _xlpm.diffscale, Constantes!$B$2,
  IF(E75="",
    "",
    SUM(1/(1+POWER(10,-(E74-_xlpm.elos)/_xlpm.diffscale)))-0.5)
)</f>
        <v/>
      </c>
      <c r="F76" t="str" cm="1">
        <f t="array" ref="F76">_xlfn.LET(
  _xlpm.colj, _xlfn._xlws.FILTER(IF(ISNUMBER(75:75), COLUMN(75:75)), ISNUMBER(75:75)),
  _xlpm.elos, INDEX(74:74,1,_xlpm.colj),
  _xlpm.diffscale, Constantes!$B$2,
  IF(F75="",
    "",
    SUM(1/(1+POWER(10,-(F74-_xlpm.elos)/_xlpm.diffscale)))-0.5)
)</f>
        <v/>
      </c>
      <c r="G76" cm="1">
        <f t="array" ref="G76">_xlfn.LET(
  _xlpm.colj, _xlfn._xlws.FILTER(IF(ISNUMBER(75:75), COLUMN(75:75)), ISNUMBER(75:75)),
  _xlpm.elos, INDEX(74:74,1,_xlpm.colj),
  _xlpm.diffscale, Constantes!$B$2,
  IF(G75="",
    "",
    SUM(1/(1+POWER(10,-(G74-_xlpm.elos)/_xlpm.diffscale)))-0.5)
)</f>
        <v>1.510243877485153</v>
      </c>
      <c r="H76" t="str" cm="1">
        <f t="array" ref="H76">_xlfn.LET(
  _xlpm.colj, _xlfn._xlws.FILTER(IF(ISNUMBER(75:75), COLUMN(75:75)), ISNUMBER(75:75)),
  _xlpm.elos, INDEX(74:74,1,_xlpm.colj),
  _xlpm.diffscale, Constantes!$B$2,
  IF(H75="",
    "",
    SUM(1/(1+POWER(10,-(H74-_xlpm.elos)/_xlpm.diffscale)))-0.5)
)</f>
        <v/>
      </c>
      <c r="I76" t="str" cm="1">
        <f t="array" ref="I76">_xlfn.LET(
  _xlpm.colj, _xlfn._xlws.FILTER(IF(ISNUMBER(75:75), COLUMN(75:75)), ISNUMBER(75:75)),
  _xlpm.elos, INDEX(74:74,1,_xlpm.colj),
  _xlpm.diffscale, Constantes!$B$2,
  IF(I75="",
    "",
    SUM(1/(1+POWER(10,-(I74-_xlpm.elos)/_xlpm.diffscale)))-0.5)
)</f>
        <v/>
      </c>
      <c r="J76" t="str" cm="1">
        <f t="array" ref="J76">_xlfn.LET(
  _xlpm.colj, _xlfn._xlws.FILTER(IF(ISNUMBER(75:75), COLUMN(75:75)), ISNUMBER(75:75)),
  _xlpm.elos, INDEX(74:74,1,_xlpm.colj),
  _xlpm.diffscale, Constantes!$B$2,
  IF(J75="",
    "",
    SUM(1/(1+POWER(10,-(J74-_xlpm.elos)/_xlpm.diffscale)))-0.5)
)</f>
        <v/>
      </c>
      <c r="K76" t="str" cm="1">
        <f t="array" ref="K76">_xlfn.LET(
  _xlpm.colj, _xlfn._xlws.FILTER(IF(ISNUMBER(75:75), COLUMN(75:75)), ISNUMBER(75:75)),
  _xlpm.elos, INDEX(74:74,1,_xlpm.colj),
  _xlpm.diffscale, Constantes!$B$2,
  IF(K75="",
    "",
    SUM(1/(1+POWER(10,-(K74-_xlpm.elos)/_xlpm.diffscale)))-0.5)
)</f>
        <v/>
      </c>
      <c r="L76" t="str" cm="1">
        <f t="array" ref="L76">_xlfn.LET(
  _xlpm.colj, _xlfn._xlws.FILTER(IF(ISNUMBER(75:75), COLUMN(75:75)), ISNUMBER(75:75)),
  _xlpm.elos, INDEX(74:74,1,_xlpm.colj),
  _xlpm.diffscale, Constantes!$B$2,
  IF(L75="",
    "",
    SUM(1/(1+POWER(10,-(L74-_xlpm.elos)/_xlpm.diffscale)))-0.5)
)</f>
        <v/>
      </c>
      <c r="M76" t="str" cm="1">
        <f t="array" ref="M76">_xlfn.LET(
  _xlpm.colj, _xlfn._xlws.FILTER(IF(ISNUMBER(75:75), COLUMN(75:75)), ISNUMBER(75:75)),
  _xlpm.elos, INDEX(74:74,1,_xlpm.colj),
  _xlpm.diffscale, Constantes!$B$2,
  IF(M75="",
    "",
    SUM(1/(1+POWER(10,-(M74-_xlpm.elos)/_xlpm.diffscale)))-0.5)
)</f>
        <v/>
      </c>
      <c r="N76" t="str" cm="1">
        <f t="array" ref="N76">_xlfn.LET(
  _xlpm.colj, _xlfn._xlws.FILTER(IF(ISNUMBER(75:75), COLUMN(75:75)), ISNUMBER(75:75)),
  _xlpm.elos, INDEX(74:74,1,_xlpm.colj),
  _xlpm.diffscale, Constantes!$B$2,
  IF(N75="",
    "",
    SUM(1/(1+POWER(10,-(N74-_xlpm.elos)/_xlpm.diffscale)))-0.5)
)</f>
        <v/>
      </c>
      <c r="O76" t="str" cm="1">
        <f t="array" ref="O76">_xlfn.LET(
  _xlpm.colj, _xlfn._xlws.FILTER(IF(ISNUMBER(75:75), COLUMN(75:75)), ISNUMBER(75:75)),
  _xlpm.elos, INDEX(74:74,1,_xlpm.colj),
  _xlpm.diffscale, Constantes!$B$2,
  IF(O75="",
    "",
    SUM(1/(1+POWER(10,-(O74-_xlpm.elos)/_xlpm.diffscale)))-0.5)
)</f>
        <v/>
      </c>
      <c r="P76" t="str" cm="1">
        <f t="array" ref="P76">_xlfn.LET(
  _xlpm.colj, _xlfn._xlws.FILTER(IF(ISNUMBER(75:75), COLUMN(75:75)), ISNUMBER(75:75)),
  _xlpm.elos, INDEX(74:74,1,_xlpm.colj),
  _xlpm.diffscale, Constantes!$B$2,
  IF(P75="",
    "",
    SUM(1/(1+POWER(10,-(P74-_xlpm.elos)/_xlpm.diffscale)))-0.5)
)</f>
        <v/>
      </c>
      <c r="Q76" t="str" cm="1">
        <f t="array" ref="Q76">_xlfn.LET(
  _xlpm.colj, _xlfn._xlws.FILTER(IF(ISNUMBER(75:75), COLUMN(75:75)), ISNUMBER(75:75)),
  _xlpm.elos, INDEX(74:74,1,_xlpm.colj),
  _xlpm.diffscale, Constantes!$B$2,
  IF(Q75="",
    "",
    SUM(1/(1+POWER(10,-(Q74-_xlpm.elos)/_xlpm.diffscale)))-0.5)
)</f>
        <v/>
      </c>
      <c r="R76" cm="1">
        <f t="array" ref="R76">_xlfn.LET(
  _xlpm.colj, _xlfn._xlws.FILTER(IF(ISNUMBER(75:75), COLUMN(75:75)), ISNUMBER(75:75)),
  _xlpm.elos, INDEX(74:74,1,_xlpm.colj),
  _xlpm.diffscale, Constantes!$B$2,
  IF(R75="",
    "",
    SUM(1/(1+POWER(10,-(R74-_xlpm.elos)/_xlpm.diffscale)))-0.5)
)</f>
        <v>1.6492902698934002</v>
      </c>
      <c r="S76" cm="1">
        <f t="array" ref="S76">_xlfn.LET(
  _xlpm.colj, _xlfn._xlws.FILTER(IF(ISNUMBER(75:75), COLUMN(75:75)), ISNUMBER(75:75)),
  _xlpm.elos, INDEX(74:74,1,_xlpm.colj),
  _xlpm.diffscale, Constantes!$B$2,
  IF(S75="",
    "",
    SUM(1/(1+POWER(10,-(S74-_xlpm.elos)/_xlpm.diffscale)))-0.5)
)</f>
        <v>1.3135779084812185</v>
      </c>
      <c r="T76" t="str" cm="1">
        <f t="array" ref="T76">_xlfn.LET(
  _xlpm.colj, _xlfn._xlws.FILTER(IF(ISNUMBER(75:75), COLUMN(75:75)), ISNUMBER(75:75)),
  _xlpm.elos, INDEX(74:74,1,_xlpm.colj),
  _xlpm.diffscale, Constantes!$B$2,
  IF(T75="",
    "",
    SUM(1/(1+POWER(10,-(T74-_xlpm.elos)/_xlpm.diffscale)))-0.5)
)</f>
        <v/>
      </c>
      <c r="U76" cm="1">
        <f t="array" ref="U76">_xlfn.LET(
  _xlpm.colj, _xlfn._xlws.FILTER(IF(ISNUMBER(75:75), COLUMN(75:75)), ISNUMBER(75:75)),
  _xlpm.elos, INDEX(74:74,1,_xlpm.colj),
  _xlpm.diffscale, Constantes!$B$2,
  IF(U75="",
    "",
    SUM(1/(1+POWER(10,-(U74-_xlpm.elos)/_xlpm.diffscale)))-0.5)
)</f>
        <v>1.5268879441402285</v>
      </c>
      <c r="V76" t="str" cm="1">
        <f t="array" ref="V76">_xlfn.LET(
  _xlpm.colj, _xlfn._xlws.FILTER(IF(ISNUMBER(75:75), COLUMN(75:75)), ISNUMBER(75:75)),
  _xlpm.elos, INDEX(74:74,1,_xlpm.colj),
  _xlpm.diffscale, Constantes!$B$2,
  IF(V75="",
    "",
    SUM(1/(1+POWER(10,-(V74-_xlpm.elos)/_xlpm.diffscale)))-0.5)
)</f>
        <v/>
      </c>
      <c r="W76" t="str" cm="1">
        <f t="array" ref="W76">_xlfn.LET(
  _xlpm.colj, _xlfn._xlws.FILTER(IF(ISNUMBER(75:75), COLUMN(75:75)), ISNUMBER(75:75)),
  _xlpm.elos, INDEX(74:74,1,_xlpm.colj),
  _xlpm.diffscale, Constantes!$B$2,
  IF(W75="",
    "",
    SUM(1/(1+POWER(10,-(W74-_xlpm.elos)/_xlpm.diffscale)))-0.5)
)</f>
        <v/>
      </c>
      <c r="X76" t="str" cm="1">
        <f t="array" ref="X76">_xlfn.LET(
  _xlpm.colj, _xlfn._xlws.FILTER(IF(ISNUMBER(75:75), COLUMN(75:75)), ISNUMBER(75:75)),
  _xlpm.elos, INDEX(74:74,1,_xlpm.colj),
  _xlpm.diffscale, Constantes!$B$2,
  IF(X75="",
    "",
    SUM(1/(1+POWER(10,-(X74-_xlpm.elos)/_xlpm.diffscale)))-0.5)
)</f>
        <v/>
      </c>
      <c r="Y76" t="str" cm="1">
        <f t="array" ref="Y76">_xlfn.LET(
  _xlpm.colj, _xlfn._xlws.FILTER(IF(ISNUMBER(75:75), COLUMN(75:75)), ISNUMBER(75:75)),
  _xlpm.elos, INDEX(74:74,1,_xlpm.colj),
  _xlpm.diffscale, Constantes!$B$2,
  IF(Y75="",
    "",
    SUM(1/(1+POWER(10,-(Y74-_xlpm.elos)/_xlpm.diffscale)))-0.5)
)</f>
        <v/>
      </c>
      <c r="Z76" t="str" cm="1">
        <f t="array" ref="Z76">_xlfn.LET(
  _xlpm.colj, _xlfn._xlws.FILTER(IF(ISNUMBER(75:75), COLUMN(75:75)), ISNUMBER(75:75)),
  _xlpm.elos, INDEX(74:74,1,_xlpm.colj),
  _xlpm.diffscale, Constantes!$B$2,
  IF(Z75="",
    "",
    SUM(1/(1+POWER(10,-(Z74-_xlpm.elos)/_xlpm.diffscale)))-0.5)
)</f>
        <v/>
      </c>
      <c r="AA76" t="str" cm="1">
        <f t="array" ref="AA76">_xlfn.LET(
  _xlpm.colj, _xlfn._xlws.FILTER(IF(ISNUMBER(75:75), COLUMN(75:75)), ISNUMBER(75:75)),
  _xlpm.elos, INDEX(74:74,1,_xlpm.colj),
  _xlpm.diffscale, Constantes!$B$2,
  IF(AA75="",
    "",
    SUM(1/(1+POWER(10,-(AA74-_xlpm.elos)/_xlpm.diffscale)))-0.5)
)</f>
        <v/>
      </c>
      <c r="AB76" t="str" cm="1">
        <f t="array" ref="AB76">_xlfn.LET(
  _xlpm.colj, _xlfn._xlws.FILTER(IF(ISNUMBER(75:75), COLUMN(75:75)), ISNUMBER(75:75)),
  _xlpm.elos, INDEX(74:74,1,_xlpm.colj),
  _xlpm.diffscale, Constantes!$B$2,
  IF(AB75="",
    "",
    SUM(1/(1+POWER(10,-(AB74-_xlpm.elos)/_xlpm.diffscale)))-0.5)
)</f>
        <v/>
      </c>
      <c r="AC76" t="str" cm="1">
        <f t="array" ref="AC76">_xlfn.LET(
  _xlpm.colj, _xlfn._xlws.FILTER(IF(ISNUMBER(75:75), COLUMN(75:75)), ISNUMBER(75:75)),
  _xlpm.elos, INDEX(74:74,1,_xlpm.colj),
  _xlpm.diffscale, Constantes!$B$2,
  IF(AC75="",
    "",
    SUM(1/(1+POWER(10,-(AC74-_xlpm.elos)/_xlpm.diffscale)))-0.5)
)</f>
        <v/>
      </c>
      <c r="AD76" t="str" cm="1">
        <f t="array" ref="AD76">_xlfn.LET(
  _xlpm.colj, _xlfn._xlws.FILTER(IF(ISNUMBER(75:75), COLUMN(75:75)), ISNUMBER(75:75)),
  _xlpm.elos, INDEX(74:74,1,_xlpm.colj),
  _xlpm.diffscale, Constantes!$B$2,
  IF(AD75="",
    "",
    SUM(1/(1+POWER(10,-(AD74-_xlpm.elos)/_xlpm.diffscale)))-0.5)
)</f>
        <v/>
      </c>
      <c r="AE76" t="str" cm="1">
        <f t="array" ref="AE76">_xlfn.LET(
  _xlpm.colj, _xlfn._xlws.FILTER(IF(ISNUMBER(75:75), COLUMN(75:75)), ISNUMBER(75:75)),
  _xlpm.elos, INDEX(74:74,1,_xlpm.colj),
  _xlpm.diffscale, Constantes!$B$2,
  IF(AE75="",
    "",
    SUM(1/(1+POWER(10,-(AE74-_xlpm.elos)/_xlpm.diffscale)))-0.5)
)</f>
        <v/>
      </c>
      <c r="AF76" t="str" cm="1">
        <f t="array" ref="AF76">_xlfn.LET(
  _xlpm.colj, _xlfn._xlws.FILTER(IF(ISNUMBER(75:75), COLUMN(75:75)), ISNUMBER(75:75)),
  _xlpm.elos, INDEX(74:74,1,_xlpm.colj),
  _xlpm.diffscale, Constantes!$B$2,
  IF(AF75="",
    "",
    SUM(1/(1+POWER(10,-(AF74-_xlpm.elos)/_xlpm.diffscale)))-0.5)
)</f>
        <v/>
      </c>
      <c r="AG76" t="str" cm="1">
        <f t="array" ref="AG76">_xlfn.LET(
  _xlpm.colj, _xlfn._xlws.FILTER(IF(ISNUMBER(75:75), COLUMN(75:75)), ISNUMBER(75:75)),
  _xlpm.elos, INDEX(74:74,1,_xlpm.colj),
  _xlpm.diffscale, Constantes!$B$2,
  IF(AG75="",
    "",
    SUM(1/(1+POWER(10,-(AG74-_xlpm.elos)/_xlpm.diffscale)))-0.5)
)</f>
        <v/>
      </c>
      <c r="AH76" t="str" cm="1">
        <f t="array" ref="AH76">_xlfn.LET(
  _xlpm.colj, _xlfn._xlws.FILTER(IF(ISNUMBER(75:75), COLUMN(75:75)), ISNUMBER(75:75)),
  _xlpm.elos, INDEX(74:74,1,_xlpm.colj),
  _xlpm.diffscale, Constantes!$B$2,
  IF(AH75="",
    "",
    SUM(1/(1+POWER(10,-(AH74-_xlpm.elos)/_xlpm.diffscale)))-0.5)
)</f>
        <v/>
      </c>
      <c r="AI76" t="str" cm="1">
        <f t="array" ref="AI76">_xlfn.LET(
  _xlpm.colj, _xlfn._xlws.FILTER(IF(ISNUMBER(75:75), COLUMN(75:75)), ISNUMBER(75:75)),
  _xlpm.elos, INDEX(74:74,1,_xlpm.colj),
  _xlpm.diffscale, Constantes!$B$2,
  IF(AI75="",
    "",
    SUM(1/(1+POWER(10,-(AI74-_xlpm.elos)/_xlpm.diffscale)))-0.5)
)</f>
        <v/>
      </c>
      <c r="AJ76" t="str" cm="1">
        <f t="array" ref="AJ76">_xlfn.LET(
  _xlpm.colj, _xlfn._xlws.FILTER(IF(ISNUMBER(75:75), COLUMN(75:75)), ISNUMBER(75:75)),
  _xlpm.elos, INDEX(74:74,1,_xlpm.colj),
  _xlpm.diffscale, Constantes!$B$2,
  IF(AJ75="",
    "",
    SUM(1/(1+POWER(10,-(AJ74-_xlpm.elos)/_xlpm.diffscale)))-0.5)
)</f>
        <v/>
      </c>
      <c r="AK76" t="str" cm="1">
        <f t="array" ref="AK76">_xlfn.LET(
  _xlpm.colj, _xlfn._xlws.FILTER(IF(ISNUMBER(75:75), COLUMN(75:75)), ISNUMBER(75:75)),
  _xlpm.elos, INDEX(74:74,1,_xlpm.colj),
  _xlpm.diffscale, Constantes!$B$2,
  IF(AK75="",
    "",
    SUM(1/(1+POWER(10,-(AK74-_xlpm.elos)/_xlpm.diffscale)))-0.5)
)</f>
        <v/>
      </c>
      <c r="AL76" t="str" cm="1">
        <f t="array" ref="AL76">_xlfn.LET(
  _xlpm.colj, _xlfn._xlws.FILTER(IF(ISNUMBER(75:75), COLUMN(75:75)), ISNUMBER(75:75)),
  _xlpm.elos, INDEX(74:74,1,_xlpm.colj),
  _xlpm.diffscale, Constantes!$B$2,
  IF(AL75="",
    "",
    SUM(1/(1+POWER(10,-(AL74-_xlpm.elos)/_xlpm.diffscale)))-0.5)
)</f>
        <v/>
      </c>
      <c r="AM76" t="str" cm="1">
        <f t="array" ref="AM76">_xlfn.LET(
  _xlpm.colj, _xlfn._xlws.FILTER(IF(ISNUMBER(75:75), COLUMN(75:75)), ISNUMBER(75:75)),
  _xlpm.elos, INDEX(74:74,1,_xlpm.colj),
  _xlpm.diffscale, Constantes!$B$2,
  IF(AM75="",
    "",
    SUM(1/(1+POWER(10,-(AM74-_xlpm.elos)/_xlpm.diffscale)))-0.5)
)</f>
        <v/>
      </c>
    </row>
    <row r="77" spans="1:39" x14ac:dyDescent="0.25">
      <c r="A77" t="s">
        <v>22</v>
      </c>
      <c r="D77" t="str" cm="1">
        <f t="array" ref="D77">_xlfn.LET(
  _xlpm.K, Constantes!$B$3,
  _xlpm.Knewgain, Constantes!$B$4,
  _xlpm.Knewscale, Constantes!$B$5,
  _xlpm.ptstables, INDEX(D:D, _xlfn.SEQUENCE(COUNTA($C$2:$C77), 1, 3, 4)),
  _xlpm.nbparties, COUNTA(_xlfn._xlws.FILTER(_xlpm.ptstables, _xlpm.ptstables &lt;&gt; "")),
  _xlpm.coef, _xlpm.K + _xlpm.Knewgain / (_xlpm.Knewscale + _xlpm.nbparties),
  IF(D75="",
    "",
    _xlpm.coef * (D75-D76))
)</f>
        <v/>
      </c>
      <c r="E77" t="str" cm="1">
        <f t="array" ref="E77">_xlfn.LET(
  _xlpm.K, Constantes!$B$3,
  _xlpm.Knewgain, Constantes!$B$4,
  _xlpm.Knewscale, Constantes!$B$5,
  _xlpm.ptstables, INDEX(E:E, _xlfn.SEQUENCE(COUNTA($C$2:$C77), 1, 3, 4)),
  _xlpm.nbparties, COUNTA(_xlfn._xlws.FILTER(_xlpm.ptstables, _xlpm.ptstables &lt;&gt; "")),
  _xlpm.coef, _xlpm.K + _xlpm.Knewgain / (_xlpm.Knewscale + _xlpm.nbparties),
  IF(E75="",
    "",
    _xlpm.coef * (E75-E76))
)</f>
        <v/>
      </c>
      <c r="F77" t="str" cm="1">
        <f t="array" ref="F77">_xlfn.LET(
  _xlpm.K, Constantes!$B$3,
  _xlpm.Knewgain, Constantes!$B$4,
  _xlpm.Knewscale, Constantes!$B$5,
  _xlpm.ptstables, INDEX(F:F, _xlfn.SEQUENCE(COUNTA($C$2:$C77), 1, 3, 4)),
  _xlpm.nbparties, COUNTA(_xlfn._xlws.FILTER(_xlpm.ptstables, _xlpm.ptstables &lt;&gt; "")),
  _xlpm.coef, _xlpm.K + _xlpm.Knewgain / (_xlpm.Knewscale + _xlpm.nbparties),
  IF(F75="",
    "",
    _xlpm.coef * (F75-F76))
)</f>
        <v/>
      </c>
      <c r="G77" cm="1">
        <f t="array" ref="G77">_xlfn.LET(
  _xlpm.K, Constantes!$B$3,
  _xlpm.Knewgain, Constantes!$B$4,
  _xlpm.Knewscale, Constantes!$B$5,
  _xlpm.ptstables, INDEX(G:G, _xlfn.SEQUENCE(COUNTA($C$2:$C77), 1, 3, 4)),
  _xlpm.nbparties, COUNTA(_xlfn._xlws.FILTER(_xlpm.ptstables, _xlpm.ptstables &lt;&gt; "")),
  _xlpm.coef, _xlpm.K + _xlpm.Knewgain / (_xlpm.Knewscale + _xlpm.nbparties),
  IF(G75="",
    "",
    _xlpm.coef * (G75-G76))
)</f>
        <v>-37.756096937128824</v>
      </c>
      <c r="H77" t="str" cm="1">
        <f t="array" ref="H77">_xlfn.LET(
  _xlpm.K, Constantes!$B$3,
  _xlpm.Knewgain, Constantes!$B$4,
  _xlpm.Knewscale, Constantes!$B$5,
  _xlpm.ptstables, INDEX(H:H, _xlfn.SEQUENCE(COUNTA($C$2:$C77), 1, 3, 4)),
  _xlpm.nbparties, COUNTA(_xlfn._xlws.FILTER(_xlpm.ptstables, _xlpm.ptstables &lt;&gt; "")),
  _xlpm.coef, _xlpm.K + _xlpm.Knewgain / (_xlpm.Knewscale + _xlpm.nbparties),
  IF(H75="",
    "",
    _xlpm.coef * (H75-H76))
)</f>
        <v/>
      </c>
      <c r="I77" t="str" cm="1">
        <f t="array" ref="I77">_xlfn.LET(
  _xlpm.K, Constantes!$B$3,
  _xlpm.Knewgain, Constantes!$B$4,
  _xlpm.Knewscale, Constantes!$B$5,
  _xlpm.ptstables, INDEX(I:I, _xlfn.SEQUENCE(COUNTA($C$2:$C77), 1, 3, 4)),
  _xlpm.nbparties, COUNTA(_xlfn._xlws.FILTER(_xlpm.ptstables, _xlpm.ptstables &lt;&gt; "")),
  _xlpm.coef, _xlpm.K + _xlpm.Knewgain / (_xlpm.Knewscale + _xlpm.nbparties),
  IF(I75="",
    "",
    _xlpm.coef * (I75-I76))
)</f>
        <v/>
      </c>
      <c r="J77" t="str" cm="1">
        <f t="array" ref="J77">_xlfn.LET(
  _xlpm.K, Constantes!$B$3,
  _xlpm.Knewgain, Constantes!$B$4,
  _xlpm.Knewscale, Constantes!$B$5,
  _xlpm.ptstables, INDEX(J:J, _xlfn.SEQUENCE(COUNTA($C$2:$C77), 1, 3, 4)),
  _xlpm.nbparties, COUNTA(_xlfn._xlws.FILTER(_xlpm.ptstables, _xlpm.ptstables &lt;&gt; "")),
  _xlpm.coef, _xlpm.K + _xlpm.Knewgain / (_xlpm.Knewscale + _xlpm.nbparties),
  IF(J75="",
    "",
    _xlpm.coef * (J75-J76))
)</f>
        <v/>
      </c>
      <c r="K77" t="str" cm="1">
        <f t="array" ref="K77">_xlfn.LET(
  _xlpm.K, Constantes!$B$3,
  _xlpm.Knewgain, Constantes!$B$4,
  _xlpm.Knewscale, Constantes!$B$5,
  _xlpm.ptstables, INDEX(K:K, _xlfn.SEQUENCE(COUNTA($C$2:$C77), 1, 3, 4)),
  _xlpm.nbparties, COUNTA(_xlfn._xlws.FILTER(_xlpm.ptstables, _xlpm.ptstables &lt;&gt; "")),
  _xlpm.coef, _xlpm.K + _xlpm.Knewgain / (_xlpm.Knewscale + _xlpm.nbparties),
  IF(K75="",
    "",
    _xlpm.coef * (K75-K76))
)</f>
        <v/>
      </c>
      <c r="L77" t="str" cm="1">
        <f t="array" ref="L77">_xlfn.LET(
  _xlpm.K, Constantes!$B$3,
  _xlpm.Knewgain, Constantes!$B$4,
  _xlpm.Knewscale, Constantes!$B$5,
  _xlpm.ptstables, INDEX(L:L, _xlfn.SEQUENCE(COUNTA($C$2:$C77), 1, 3, 4)),
  _xlpm.nbparties, COUNTA(_xlfn._xlws.FILTER(_xlpm.ptstables, _xlpm.ptstables &lt;&gt; "")),
  _xlpm.coef, _xlpm.K + _xlpm.Knewgain / (_xlpm.Knewscale + _xlpm.nbparties),
  IF(L75="",
    "",
    _xlpm.coef * (L75-L76))
)</f>
        <v/>
      </c>
      <c r="M77" t="str" cm="1">
        <f t="array" ref="M77">_xlfn.LET(
  _xlpm.K, Constantes!$B$3,
  _xlpm.Knewgain, Constantes!$B$4,
  _xlpm.Knewscale, Constantes!$B$5,
  _xlpm.ptstables, INDEX(M:M, _xlfn.SEQUENCE(COUNTA($C$2:$C77), 1, 3, 4)),
  _xlpm.nbparties, COUNTA(_xlfn._xlws.FILTER(_xlpm.ptstables, _xlpm.ptstables &lt;&gt; "")),
  _xlpm.coef, _xlpm.K + _xlpm.Knewgain / (_xlpm.Knewscale + _xlpm.nbparties),
  IF(M75="",
    "",
    _xlpm.coef * (M75-M76))
)</f>
        <v/>
      </c>
      <c r="N77" t="str" cm="1">
        <f t="array" ref="N77">_xlfn.LET(
  _xlpm.K, Constantes!$B$3,
  _xlpm.Knewgain, Constantes!$B$4,
  _xlpm.Knewscale, Constantes!$B$5,
  _xlpm.ptstables, INDEX(N:N, _xlfn.SEQUENCE(COUNTA($C$2:$C77), 1, 3, 4)),
  _xlpm.nbparties, COUNTA(_xlfn._xlws.FILTER(_xlpm.ptstables, _xlpm.ptstables &lt;&gt; "")),
  _xlpm.coef, _xlpm.K + _xlpm.Knewgain / (_xlpm.Knewscale + _xlpm.nbparties),
  IF(N75="",
    "",
    _xlpm.coef * (N75-N76))
)</f>
        <v/>
      </c>
      <c r="O77" t="str" cm="1">
        <f t="array" ref="O77">_xlfn.LET(
  _xlpm.K, Constantes!$B$3,
  _xlpm.Knewgain, Constantes!$B$4,
  _xlpm.Knewscale, Constantes!$B$5,
  _xlpm.ptstables, INDEX(O:O, _xlfn.SEQUENCE(COUNTA($C$2:$C77), 1, 3, 4)),
  _xlpm.nbparties, COUNTA(_xlfn._xlws.FILTER(_xlpm.ptstables, _xlpm.ptstables &lt;&gt; "")),
  _xlpm.coef, _xlpm.K + _xlpm.Knewgain / (_xlpm.Knewscale + _xlpm.nbparties),
  IF(O75="",
    "",
    _xlpm.coef * (O75-O76))
)</f>
        <v/>
      </c>
      <c r="P77" t="str" cm="1">
        <f t="array" ref="P77">_xlfn.LET(
  _xlpm.K, Constantes!$B$3,
  _xlpm.Knewgain, Constantes!$B$4,
  _xlpm.Knewscale, Constantes!$B$5,
  _xlpm.ptstables, INDEX(P:P, _xlfn.SEQUENCE(COUNTA($C$2:$C77), 1, 3, 4)),
  _xlpm.nbparties, COUNTA(_xlfn._xlws.FILTER(_xlpm.ptstables, _xlpm.ptstables &lt;&gt; "")),
  _xlpm.coef, _xlpm.K + _xlpm.Knewgain / (_xlpm.Knewscale + _xlpm.nbparties),
  IF(P75="",
    "",
    _xlpm.coef * (P75-P76))
)</f>
        <v/>
      </c>
      <c r="Q77" t="str" cm="1">
        <f t="array" ref="Q77">_xlfn.LET(
  _xlpm.K, Constantes!$B$3,
  _xlpm.Knewgain, Constantes!$B$4,
  _xlpm.Knewscale, Constantes!$B$5,
  _xlpm.ptstables, INDEX(Q:Q, _xlfn.SEQUENCE(COUNTA($C$2:$C77), 1, 3, 4)),
  _xlpm.nbparties, COUNTA(_xlfn._xlws.FILTER(_xlpm.ptstables, _xlpm.ptstables &lt;&gt; "")),
  _xlpm.coef, _xlpm.K + _xlpm.Knewgain / (_xlpm.Knewscale + _xlpm.nbparties),
  IF(Q75="",
    "",
    _xlpm.coef * (Q75-Q76))
)</f>
        <v/>
      </c>
      <c r="R77" cm="1">
        <f t="array" ref="R77">_xlfn.LET(
  _xlpm.K, Constantes!$B$3,
  _xlpm.Knewgain, Constantes!$B$4,
  _xlpm.Knewscale, Constantes!$B$5,
  _xlpm.ptstables, INDEX(R:R, _xlfn.SEQUENCE(COUNTA($C$2:$C77), 1, 3, 4)),
  _xlpm.nbparties, COUNTA(_xlfn._xlws.FILTER(_xlpm.ptstables, _xlpm.ptstables &lt;&gt; "")),
  _xlpm.coef, _xlpm.K + _xlpm.Knewgain / (_xlpm.Knewscale + _xlpm.nbparties),
  IF(R75="",
    "",
    _xlpm.coef * (R75-R76))
)</f>
        <v>40.521291903197991</v>
      </c>
      <c r="S77" cm="1">
        <f t="array" ref="S77">_xlfn.LET(
  _xlpm.K, Constantes!$B$3,
  _xlpm.Knewgain, Constantes!$B$4,
  _xlpm.Knewscale, Constantes!$B$5,
  _xlpm.ptstables, INDEX(S:S, _xlfn.SEQUENCE(COUNTA($C$2:$C77), 1, 3, 4)),
  _xlpm.nbparties, COUNTA(_xlfn._xlws.FILTER(_xlpm.ptstables, _xlpm.ptstables &lt;&gt; "")),
  _xlpm.coef, _xlpm.K + _xlpm.Knewgain / (_xlpm.Knewscale + _xlpm.nbparties),
  IF(S75="",
    "",
    _xlpm.coef * (S75-S76))
)</f>
        <v>-9.4073372544365537</v>
      </c>
      <c r="T77" t="str" cm="1">
        <f t="array" ref="T77">_xlfn.LET(
  _xlpm.K, Constantes!$B$3,
  _xlpm.Knewgain, Constantes!$B$4,
  _xlpm.Knewscale, Constantes!$B$5,
  _xlpm.ptstables, INDEX(T:T, _xlfn.SEQUENCE(COUNTA($C$2:$C77), 1, 3, 4)),
  _xlpm.nbparties, COUNTA(_xlfn._xlws.FILTER(_xlpm.ptstables, _xlpm.ptstables &lt;&gt; "")),
  _xlpm.coef, _xlpm.K + _xlpm.Knewgain / (_xlpm.Knewscale + _xlpm.nbparties),
  IF(T75="",
    "",
    _xlpm.coef * (T75-T76))
)</f>
        <v/>
      </c>
      <c r="U77" cm="1">
        <f t="array" ref="U77">_xlfn.LET(
  _xlpm.K, Constantes!$B$3,
  _xlpm.Knewgain, Constantes!$B$4,
  _xlpm.Knewscale, Constantes!$B$5,
  _xlpm.ptstables, INDEX(U:U, _xlfn.SEQUENCE(COUNTA($C$2:$C77), 1, 3, 4)),
  _xlpm.nbparties, COUNTA(_xlfn._xlws.FILTER(_xlpm.ptstables, _xlpm.ptstables &lt;&gt; "")),
  _xlpm.coef, _xlpm.K + _xlpm.Knewgain / (_xlpm.Knewscale + _xlpm.nbparties),
  IF(U75="",
    "",
    _xlpm.coef * (U75-U76))
)</f>
        <v>15.376141815442573</v>
      </c>
      <c r="V77" t="str" cm="1">
        <f t="array" ref="V77">_xlfn.LET(
  _xlpm.K, Constantes!$B$3,
  _xlpm.Knewgain, Constantes!$B$4,
  _xlpm.Knewscale, Constantes!$B$5,
  _xlpm.ptstables, INDEX(V:V, _xlfn.SEQUENCE(COUNTA($C$2:$C77), 1, 3, 4)),
  _xlpm.nbparties, COUNTA(_xlfn._xlws.FILTER(_xlpm.ptstables, _xlpm.ptstables &lt;&gt; "")),
  _xlpm.coef, _xlpm.K + _xlpm.Knewgain / (_xlpm.Knewscale + _xlpm.nbparties),
  IF(V75="",
    "",
    _xlpm.coef * (V75-V76))
)</f>
        <v/>
      </c>
      <c r="W77" t="str" cm="1">
        <f t="array" ref="W77">_xlfn.LET(
  _xlpm.K, Constantes!$B$3,
  _xlpm.Knewgain, Constantes!$B$4,
  _xlpm.Knewscale, Constantes!$B$5,
  _xlpm.ptstables, INDEX(W:W, _xlfn.SEQUENCE(COUNTA($C$2:$C77), 1, 3, 4)),
  _xlpm.nbparties, COUNTA(_xlfn._xlws.FILTER(_xlpm.ptstables, _xlpm.ptstables &lt;&gt; "")),
  _xlpm.coef, _xlpm.K + _xlpm.Knewgain / (_xlpm.Knewscale + _xlpm.nbparties),
  IF(W75="",
    "",
    _xlpm.coef * (W75-W76))
)</f>
        <v/>
      </c>
      <c r="X77" t="str" cm="1">
        <f t="array" ref="X77">_xlfn.LET(
  _xlpm.K, Constantes!$B$3,
  _xlpm.Knewgain, Constantes!$B$4,
  _xlpm.Knewscale, Constantes!$B$5,
  _xlpm.ptstables, INDEX(X:X, _xlfn.SEQUENCE(COUNTA($C$2:$C77), 1, 3, 4)),
  _xlpm.nbparties, COUNTA(_xlfn._xlws.FILTER(_xlpm.ptstables, _xlpm.ptstables &lt;&gt; "")),
  _xlpm.coef, _xlpm.K + _xlpm.Knewgain / (_xlpm.Knewscale + _xlpm.nbparties),
  IF(X75="",
    "",
    _xlpm.coef * (X75-X76))
)</f>
        <v/>
      </c>
      <c r="Y77" t="str" cm="1">
        <f t="array" ref="Y77">_xlfn.LET(
  _xlpm.K, Constantes!$B$3,
  _xlpm.Knewgain, Constantes!$B$4,
  _xlpm.Knewscale, Constantes!$B$5,
  _xlpm.ptstables, INDEX(Y:Y, _xlfn.SEQUENCE(COUNTA($C$2:$C77), 1, 3, 4)),
  _xlpm.nbparties, COUNTA(_xlfn._xlws.FILTER(_xlpm.ptstables, _xlpm.ptstables &lt;&gt; "")),
  _xlpm.coef, _xlpm.K + _xlpm.Knewgain / (_xlpm.Knewscale + _xlpm.nbparties),
  IF(Y75="",
    "",
    _xlpm.coef * (Y75-Y76))
)</f>
        <v/>
      </c>
      <c r="Z77" t="str" cm="1">
        <f t="array" ref="Z77">_xlfn.LET(
  _xlpm.K, Constantes!$B$3,
  _xlpm.Knewgain, Constantes!$B$4,
  _xlpm.Knewscale, Constantes!$B$5,
  _xlpm.ptstables, INDEX(Z:Z, _xlfn.SEQUENCE(COUNTA($C$2:$C77), 1, 3, 4)),
  _xlpm.nbparties, COUNTA(_xlfn._xlws.FILTER(_xlpm.ptstables, _xlpm.ptstables &lt;&gt; "")),
  _xlpm.coef, _xlpm.K + _xlpm.Knewgain / (_xlpm.Knewscale + _xlpm.nbparties),
  IF(Z75="",
    "",
    _xlpm.coef * (Z75-Z76))
)</f>
        <v/>
      </c>
      <c r="AA77" t="str" cm="1">
        <f t="array" ref="AA77">_xlfn.LET(
  _xlpm.K, Constantes!$B$3,
  _xlpm.Knewgain, Constantes!$B$4,
  _xlpm.Knewscale, Constantes!$B$5,
  _xlpm.ptstables, INDEX(AA:AA, _xlfn.SEQUENCE(COUNTA($C$2:$C77), 1, 3, 4)),
  _xlpm.nbparties, COUNTA(_xlfn._xlws.FILTER(_xlpm.ptstables, _xlpm.ptstables &lt;&gt; "")),
  _xlpm.coef, _xlpm.K + _xlpm.Knewgain / (_xlpm.Knewscale + _xlpm.nbparties),
  IF(AA75="",
    "",
    _xlpm.coef * (AA75-AA76))
)</f>
        <v/>
      </c>
      <c r="AB77" t="str" cm="1">
        <f t="array" ref="AB77">_xlfn.LET(
  _xlpm.K, Constantes!$B$3,
  _xlpm.Knewgain, Constantes!$B$4,
  _xlpm.Knewscale, Constantes!$B$5,
  _xlpm.ptstables, INDEX(AB:AB, _xlfn.SEQUENCE(COUNTA($C$2:$C77), 1, 3, 4)),
  _xlpm.nbparties, COUNTA(_xlfn._xlws.FILTER(_xlpm.ptstables, _xlpm.ptstables &lt;&gt; "")),
  _xlpm.coef, _xlpm.K + _xlpm.Knewgain / (_xlpm.Knewscale + _xlpm.nbparties),
  IF(AB75="",
    "",
    _xlpm.coef * (AB75-AB76))
)</f>
        <v/>
      </c>
      <c r="AC77" t="str" cm="1">
        <f t="array" ref="AC77">_xlfn.LET(
  _xlpm.K, Constantes!$B$3,
  _xlpm.Knewgain, Constantes!$B$4,
  _xlpm.Knewscale, Constantes!$B$5,
  _xlpm.ptstables, INDEX(AC:AC, _xlfn.SEQUENCE(COUNTA($C$2:$C77), 1, 3, 4)),
  _xlpm.nbparties, COUNTA(_xlfn._xlws.FILTER(_xlpm.ptstables, _xlpm.ptstables &lt;&gt; "")),
  _xlpm.coef, _xlpm.K + _xlpm.Knewgain / (_xlpm.Knewscale + _xlpm.nbparties),
  IF(AC75="",
    "",
    _xlpm.coef * (AC75-AC76))
)</f>
        <v/>
      </c>
      <c r="AD77" t="str" cm="1">
        <f t="array" ref="AD77">_xlfn.LET(
  _xlpm.K, Constantes!$B$3,
  _xlpm.Knewgain, Constantes!$B$4,
  _xlpm.Knewscale, Constantes!$B$5,
  _xlpm.ptstables, INDEX(AD:AD, _xlfn.SEQUENCE(COUNTA($C$2:$C77), 1, 3, 4)),
  _xlpm.nbparties, COUNTA(_xlfn._xlws.FILTER(_xlpm.ptstables, _xlpm.ptstables &lt;&gt; "")),
  _xlpm.coef, _xlpm.K + _xlpm.Knewgain / (_xlpm.Knewscale + _xlpm.nbparties),
  IF(AD75="",
    "",
    _xlpm.coef * (AD75-AD76))
)</f>
        <v/>
      </c>
      <c r="AE77" t="str" cm="1">
        <f t="array" ref="AE77">_xlfn.LET(
  _xlpm.K, Constantes!$B$3,
  _xlpm.Knewgain, Constantes!$B$4,
  _xlpm.Knewscale, Constantes!$B$5,
  _xlpm.ptstables, INDEX(AE:AE, _xlfn.SEQUENCE(COUNTA($C$2:$C77), 1, 3, 4)),
  _xlpm.nbparties, COUNTA(_xlfn._xlws.FILTER(_xlpm.ptstables, _xlpm.ptstables &lt;&gt; "")),
  _xlpm.coef, _xlpm.K + _xlpm.Knewgain / (_xlpm.Knewscale + _xlpm.nbparties),
  IF(AE75="",
    "",
    _xlpm.coef * (AE75-AE76))
)</f>
        <v/>
      </c>
      <c r="AF77" t="str" cm="1">
        <f t="array" ref="AF77">_xlfn.LET(
  _xlpm.K, Constantes!$B$3,
  _xlpm.Knewgain, Constantes!$B$4,
  _xlpm.Knewscale, Constantes!$B$5,
  _xlpm.ptstables, INDEX(AF:AF, _xlfn.SEQUENCE(COUNTA($C$2:$C77), 1, 3, 4)),
  _xlpm.nbparties, COUNTA(_xlfn._xlws.FILTER(_xlpm.ptstables, _xlpm.ptstables &lt;&gt; "")),
  _xlpm.coef, _xlpm.K + _xlpm.Knewgain / (_xlpm.Knewscale + _xlpm.nbparties),
  IF(AF75="",
    "",
    _xlpm.coef * (AF75-AF76))
)</f>
        <v/>
      </c>
      <c r="AG77" t="str" cm="1">
        <f t="array" ref="AG77">_xlfn.LET(
  _xlpm.K, Constantes!$B$3,
  _xlpm.Knewgain, Constantes!$B$4,
  _xlpm.Knewscale, Constantes!$B$5,
  _xlpm.ptstables, INDEX(AG:AG, _xlfn.SEQUENCE(COUNTA($C$2:$C77), 1, 3, 4)),
  _xlpm.nbparties, COUNTA(_xlfn._xlws.FILTER(_xlpm.ptstables, _xlpm.ptstables &lt;&gt; "")),
  _xlpm.coef, _xlpm.K + _xlpm.Knewgain / (_xlpm.Knewscale + _xlpm.nbparties),
  IF(AG75="",
    "",
    _xlpm.coef * (AG75-AG76))
)</f>
        <v/>
      </c>
      <c r="AH77" t="str" cm="1">
        <f t="array" ref="AH77">_xlfn.LET(
  _xlpm.K, Constantes!$B$3,
  _xlpm.Knewgain, Constantes!$B$4,
  _xlpm.Knewscale, Constantes!$B$5,
  _xlpm.ptstables, INDEX(AH:AH, _xlfn.SEQUENCE(COUNTA($C$2:$C77), 1, 3, 4)),
  _xlpm.nbparties, COUNTA(_xlfn._xlws.FILTER(_xlpm.ptstables, _xlpm.ptstables &lt;&gt; "")),
  _xlpm.coef, _xlpm.K + _xlpm.Knewgain / (_xlpm.Knewscale + _xlpm.nbparties),
  IF(AH75="",
    "",
    _xlpm.coef * (AH75-AH76))
)</f>
        <v/>
      </c>
      <c r="AI77" t="str" cm="1">
        <f t="array" ref="AI77">_xlfn.LET(
  _xlpm.K, Constantes!$B$3,
  _xlpm.Knewgain, Constantes!$B$4,
  _xlpm.Knewscale, Constantes!$B$5,
  _xlpm.ptstables, INDEX(AI:AI, _xlfn.SEQUENCE(COUNTA($C$2:$C77), 1, 3, 4)),
  _xlpm.nbparties, COUNTA(_xlfn._xlws.FILTER(_xlpm.ptstables, _xlpm.ptstables &lt;&gt; "")),
  _xlpm.coef, _xlpm.K + _xlpm.Knewgain / (_xlpm.Knewscale + _xlpm.nbparties),
  IF(AI75="",
    "",
    _xlpm.coef * (AI75-AI76))
)</f>
        <v/>
      </c>
      <c r="AJ77" t="str" cm="1">
        <f t="array" ref="AJ77">_xlfn.LET(
  _xlpm.K, Constantes!$B$3,
  _xlpm.Knewgain, Constantes!$B$4,
  _xlpm.Knewscale, Constantes!$B$5,
  _xlpm.ptstables, INDEX(AJ:AJ, _xlfn.SEQUENCE(COUNTA($C$2:$C77), 1, 3, 4)),
  _xlpm.nbparties, COUNTA(_xlfn._xlws.FILTER(_xlpm.ptstables, _xlpm.ptstables &lt;&gt; "")),
  _xlpm.coef, _xlpm.K + _xlpm.Knewgain / (_xlpm.Knewscale + _xlpm.nbparties),
  IF(AJ75="",
    "",
    _xlpm.coef * (AJ75-AJ76))
)</f>
        <v/>
      </c>
      <c r="AK77" t="str" cm="1">
        <f t="array" ref="AK77">_xlfn.LET(
  _xlpm.K, Constantes!$B$3,
  _xlpm.Knewgain, Constantes!$B$4,
  _xlpm.Knewscale, Constantes!$B$5,
  _xlpm.ptstables, INDEX(AK:AK, _xlfn.SEQUENCE(COUNTA($C$2:$C77), 1, 3, 4)),
  _xlpm.nbparties, COUNTA(_xlfn._xlws.FILTER(_xlpm.ptstables, _xlpm.ptstables &lt;&gt; "")),
  _xlpm.coef, _xlpm.K + _xlpm.Knewgain / (_xlpm.Knewscale + _xlpm.nbparties),
  IF(AK75="",
    "",
    _xlpm.coef * (AK75-AK76))
)</f>
        <v/>
      </c>
      <c r="AL77" t="str" cm="1">
        <f t="array" ref="AL77">_xlfn.LET(
  _xlpm.K, Constantes!$B$3,
  _xlpm.Knewgain, Constantes!$B$4,
  _xlpm.Knewscale, Constantes!$B$5,
  _xlpm.ptstables, INDEX(AL:AL, _xlfn.SEQUENCE(COUNTA($C$2:$C77), 1, 3, 4)),
  _xlpm.nbparties, COUNTA(_xlfn._xlws.FILTER(_xlpm.ptstables, _xlpm.ptstables &lt;&gt; "")),
  _xlpm.coef, _xlpm.K + _xlpm.Knewgain / (_xlpm.Knewscale + _xlpm.nbparties),
  IF(AL75="",
    "",
    _xlpm.coef * (AL75-AL76))
)</f>
        <v/>
      </c>
      <c r="AM77" t="str" cm="1">
        <f t="array" ref="AM77">_xlfn.LET(
  _xlpm.K, Constantes!$B$3,
  _xlpm.Knewgain, Constantes!$B$4,
  _xlpm.Knewscale, Constantes!$B$5,
  _xlpm.ptstables, INDEX(AM:AM, _xlfn.SEQUENCE(COUNTA($C$2:$C77), 1, 3, 4)),
  _xlpm.nbparties, COUNTA(_xlfn._xlws.FILTER(_xlpm.ptstables, _xlpm.ptstables &lt;&gt; "")),
  _xlpm.coef, _xlpm.K + _xlpm.Knewgain / (_xlpm.Knewscale + _xlpm.nbparties),
  IF(AM75="",
    "",
    _xlpm.coef * (AM75-AM76))
)</f>
        <v/>
      </c>
    </row>
    <row r="78" spans="1:39" x14ac:dyDescent="0.25">
      <c r="A78" t="s">
        <v>14</v>
      </c>
      <c r="B78" t="str" cm="1">
        <f t="array" ref="B7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19</v>
      </c>
      <c r="C78" s="2" cm="1">
        <f t="array" ref="C78">IF(B78="","",
  INDEX(Donnees!F:F, MATCH(B78, Donnees!F:F, 0)+1))</f>
        <v>45913.923703703702</v>
      </c>
      <c r="D78">
        <f t="shared" ref="D78:AM78" si="27">D74+IF(D77="",0,D77)</f>
        <v>1108.4611161856747</v>
      </c>
      <c r="E78">
        <f t="shared" si="27"/>
        <v>1189.3001323791896</v>
      </c>
      <c r="F78">
        <f t="shared" si="27"/>
        <v>909.87928229209808</v>
      </c>
      <c r="G78">
        <f t="shared" si="27"/>
        <v>956.37970750382215</v>
      </c>
      <c r="H78">
        <f t="shared" si="27"/>
        <v>1020.3453983892952</v>
      </c>
      <c r="I78">
        <f t="shared" si="27"/>
        <v>1079.4580211094492</v>
      </c>
      <c r="J78">
        <f t="shared" si="27"/>
        <v>938.49433816478961</v>
      </c>
      <c r="K78">
        <f t="shared" si="27"/>
        <v>911.11415590373872</v>
      </c>
      <c r="L78">
        <f t="shared" si="27"/>
        <v>878.7153998467162</v>
      </c>
      <c r="M78">
        <f t="shared" si="27"/>
        <v>965.238738457664</v>
      </c>
      <c r="N78">
        <f t="shared" si="27"/>
        <v>937.60806294499946</v>
      </c>
      <c r="O78">
        <f t="shared" si="27"/>
        <v>1030.4363831507294</v>
      </c>
      <c r="P78">
        <f t="shared" si="27"/>
        <v>1017.6837683324716</v>
      </c>
      <c r="Q78">
        <f t="shared" si="27"/>
        <v>1048.4755012077521</v>
      </c>
      <c r="R78">
        <f t="shared" si="27"/>
        <v>1058.9483706798278</v>
      </c>
      <c r="S78">
        <f t="shared" si="27"/>
        <v>950.34457099410838</v>
      </c>
      <c r="T78">
        <f t="shared" si="27"/>
        <v>1091.1027195493489</v>
      </c>
      <c r="U78">
        <f t="shared" si="27"/>
        <v>1012.4141493920336</v>
      </c>
      <c r="V78">
        <f t="shared" si="27"/>
        <v>976.66131486891345</v>
      </c>
      <c r="W78">
        <f t="shared" si="27"/>
        <v>936.79085942937002</v>
      </c>
      <c r="X78">
        <f t="shared" si="27"/>
        <v>852.64794693163367</v>
      </c>
      <c r="Y78">
        <f t="shared" si="27"/>
        <v>913.98582058905436</v>
      </c>
      <c r="Z78">
        <f t="shared" si="27"/>
        <v>991.11904139672549</v>
      </c>
      <c r="AA78">
        <f t="shared" si="27"/>
        <v>1000</v>
      </c>
      <c r="AB78">
        <f t="shared" si="27"/>
        <v>979.56500000000005</v>
      </c>
      <c r="AC78">
        <f t="shared" si="27"/>
        <v>1032.51</v>
      </c>
      <c r="AD78">
        <f t="shared" si="27"/>
        <v>974.01499999999999</v>
      </c>
      <c r="AE78">
        <f t="shared" si="27"/>
        <v>1011.415</v>
      </c>
      <c r="AF78">
        <f t="shared" si="27"/>
        <v>1031.1199999999999</v>
      </c>
      <c r="AG78">
        <f t="shared" si="27"/>
        <v>1001.0350000000001</v>
      </c>
      <c r="AH78">
        <f t="shared" si="27"/>
        <v>994.44</v>
      </c>
      <c r="AI78">
        <f t="shared" si="27"/>
        <v>1000</v>
      </c>
      <c r="AJ78">
        <f t="shared" si="27"/>
        <v>957.2</v>
      </c>
      <c r="AK78">
        <f t="shared" si="27"/>
        <v>1000</v>
      </c>
      <c r="AL78">
        <f t="shared" si="27"/>
        <v>1055.9299999999998</v>
      </c>
      <c r="AM78">
        <f t="shared" si="27"/>
        <v>1000</v>
      </c>
    </row>
    <row r="79" spans="1:39" x14ac:dyDescent="0.25">
      <c r="A79" t="s">
        <v>21</v>
      </c>
      <c r="D79" t="str" cm="1">
        <f t="array" ref="D79">IFERROR(
  _xlfn.LET(
    _xlpm.ligpartie, MATCH($B78, Donnees!$F:$F, 0),
    _xlpm.joueurs, INDEX(Donnees!$A:$Z, _xlpm.ligpartie+1, _xlfn.SEQUENCE(1, 4, 2)),
    INDEX(
      Donnees!$A:$Z,
      _xlpm.ligpartie + 3,
      MATCH(D$1, _xlpm.joueurs, 0) + 1
    )
  ), ""
)</f>
        <v/>
      </c>
      <c r="E79" cm="1">
        <f t="array" ref="E79">IFERROR(
  _xlfn.LET(
    _xlpm.ligpartie, MATCH($B78, Donnees!$F:$F, 0),
    _xlpm.joueurs, INDEX(Donnees!$A:$Z, _xlpm.ligpartie+1, _xlfn.SEQUENCE(1, 4, 2)),
    INDEX(
      Donnees!$A:$Z,
      _xlpm.ligpartie + 3,
      MATCH(E$1, _xlpm.joueurs, 0) + 1
    )
  ), ""
)</f>
        <v>0</v>
      </c>
      <c r="F79" t="str" cm="1">
        <f t="array" ref="F79">IFERROR(
  _xlfn.LET(
    _xlpm.ligpartie, MATCH($B78, Donnees!$F:$F, 0),
    _xlpm.joueurs, INDEX(Donnees!$A:$Z, _xlpm.ligpartie+1, _xlfn.SEQUENCE(1, 4, 2)),
    INDEX(
      Donnees!$A:$Z,
      _xlpm.ligpartie + 3,
      MATCH(F$1, _xlpm.joueurs, 0) + 1
    )
  ), ""
)</f>
        <v/>
      </c>
      <c r="G79" t="str" cm="1">
        <f t="array" ref="G79">IFERROR(
  _xlfn.LET(
    _xlpm.ligpartie, MATCH($B78, Donnees!$F:$F, 0),
    _xlpm.joueurs, INDEX(Donnees!$A:$Z, _xlpm.ligpartie+1, _xlfn.SEQUENCE(1, 4, 2)),
    INDEX(
      Donnees!$A:$Z,
      _xlpm.ligpartie + 3,
      MATCH(G$1, _xlpm.joueurs, 0) + 1
    )
  ), ""
)</f>
        <v/>
      </c>
      <c r="H79" t="str" cm="1">
        <f t="array" ref="H79">IFERROR(
  _xlfn.LET(
    _xlpm.ligpartie, MATCH($B78, Donnees!$F:$F, 0),
    _xlpm.joueurs, INDEX(Donnees!$A:$Z, _xlpm.ligpartie+1, _xlfn.SEQUENCE(1, 4, 2)),
    INDEX(
      Donnees!$A:$Z,
      _xlpm.ligpartie + 3,
      MATCH(H$1, _xlpm.joueurs, 0) + 1
    )
  ), ""
)</f>
        <v/>
      </c>
      <c r="I79" t="str" cm="1">
        <f t="array" ref="I79">IFERROR(
  _xlfn.LET(
    _xlpm.ligpartie, MATCH($B78, Donnees!$F:$F, 0),
    _xlpm.joueurs, INDEX(Donnees!$A:$Z, _xlpm.ligpartie+1, _xlfn.SEQUENCE(1, 4, 2)),
    INDEX(
      Donnees!$A:$Z,
      _xlpm.ligpartie + 3,
      MATCH(I$1, _xlpm.joueurs, 0) + 1
    )
  ), ""
)</f>
        <v/>
      </c>
      <c r="J79" t="str" cm="1">
        <f t="array" ref="J79">IFERROR(
  _xlfn.LET(
    _xlpm.ligpartie, MATCH($B78, Donnees!$F:$F, 0),
    _xlpm.joueurs, INDEX(Donnees!$A:$Z, _xlpm.ligpartie+1, _xlfn.SEQUENCE(1, 4, 2)),
    INDEX(
      Donnees!$A:$Z,
      _xlpm.ligpartie + 3,
      MATCH(J$1, _xlpm.joueurs, 0) + 1
    )
  ), ""
)</f>
        <v/>
      </c>
      <c r="K79" t="str" cm="1">
        <f t="array" ref="K79">IFERROR(
  _xlfn.LET(
    _xlpm.ligpartie, MATCH($B78, Donnees!$F:$F, 0),
    _xlpm.joueurs, INDEX(Donnees!$A:$Z, _xlpm.ligpartie+1, _xlfn.SEQUENCE(1, 4, 2)),
    INDEX(
      Donnees!$A:$Z,
      _xlpm.ligpartie + 3,
      MATCH(K$1, _xlpm.joueurs, 0) + 1
    )
  ), ""
)</f>
        <v/>
      </c>
      <c r="L79" t="str" cm="1">
        <f t="array" ref="L79">IFERROR(
  _xlfn.LET(
    _xlpm.ligpartie, MATCH($B78, Donnees!$F:$F, 0),
    _xlpm.joueurs, INDEX(Donnees!$A:$Z, _xlpm.ligpartie+1, _xlfn.SEQUENCE(1, 4, 2)),
    INDEX(
      Donnees!$A:$Z,
      _xlpm.ligpartie + 3,
      MATCH(L$1, _xlpm.joueurs, 0) + 1
    )
  ), ""
)</f>
        <v/>
      </c>
      <c r="M79" t="str" cm="1">
        <f t="array" ref="M79">IFERROR(
  _xlfn.LET(
    _xlpm.ligpartie, MATCH($B78, Donnees!$F:$F, 0),
    _xlpm.joueurs, INDEX(Donnees!$A:$Z, _xlpm.ligpartie+1, _xlfn.SEQUENCE(1, 4, 2)),
    INDEX(
      Donnees!$A:$Z,
      _xlpm.ligpartie + 3,
      MATCH(M$1, _xlpm.joueurs, 0) + 1
    )
  ), ""
)</f>
        <v/>
      </c>
      <c r="N79" t="str" cm="1">
        <f t="array" ref="N79">IFERROR(
  _xlfn.LET(
    _xlpm.ligpartie, MATCH($B78, Donnees!$F:$F, 0),
    _xlpm.joueurs, INDEX(Donnees!$A:$Z, _xlpm.ligpartie+1, _xlfn.SEQUENCE(1, 4, 2)),
    INDEX(
      Donnees!$A:$Z,
      _xlpm.ligpartie + 3,
      MATCH(N$1, _xlpm.joueurs, 0) + 1
    )
  ), ""
)</f>
        <v/>
      </c>
      <c r="O79" t="str" cm="1">
        <f t="array" ref="O79">IFERROR(
  _xlfn.LET(
    _xlpm.ligpartie, MATCH($B78, Donnees!$F:$F, 0),
    _xlpm.joueurs, INDEX(Donnees!$A:$Z, _xlpm.ligpartie+1, _xlfn.SEQUENCE(1, 4, 2)),
    INDEX(
      Donnees!$A:$Z,
      _xlpm.ligpartie + 3,
      MATCH(O$1, _xlpm.joueurs, 0) + 1
    )
  ), ""
)</f>
        <v/>
      </c>
      <c r="P79" cm="1">
        <f t="array" ref="P79">IFERROR(
  _xlfn.LET(
    _xlpm.ligpartie, MATCH($B78, Donnees!$F:$F, 0),
    _xlpm.joueurs, INDEX(Donnees!$A:$Z, _xlpm.ligpartie+1, _xlfn.SEQUENCE(1, 4, 2)),
    INDEX(
      Donnees!$A:$Z,
      _xlpm.ligpartie + 3,
      MATCH(P$1, _xlpm.joueurs, 0) + 1
    )
  ), ""
)</f>
        <v>2</v>
      </c>
      <c r="Q79" cm="1">
        <f t="array" ref="Q79">IFERROR(
  _xlfn.LET(
    _xlpm.ligpartie, MATCH($B78, Donnees!$F:$F, 0),
    _xlpm.joueurs, INDEX(Donnees!$A:$Z, _xlpm.ligpartie+1, _xlfn.SEQUENCE(1, 4, 2)),
    INDEX(
      Donnees!$A:$Z,
      _xlpm.ligpartie + 3,
      MATCH(Q$1, _xlpm.joueurs, 0) + 1
    )
  ), ""
)</f>
        <v>1</v>
      </c>
      <c r="R79" t="str" cm="1">
        <f t="array" ref="R79">IFERROR(
  _xlfn.LET(
    _xlpm.ligpartie, MATCH($B78, Donnees!$F:$F, 0),
    _xlpm.joueurs, INDEX(Donnees!$A:$Z, _xlpm.ligpartie+1, _xlfn.SEQUENCE(1, 4, 2)),
    INDEX(
      Donnees!$A:$Z,
      _xlpm.ligpartie + 3,
      MATCH(R$1, _xlpm.joueurs, 0) + 1
    )
  ), ""
)</f>
        <v/>
      </c>
      <c r="S79" t="str" cm="1">
        <f t="array" ref="S79">IFERROR(
  _xlfn.LET(
    _xlpm.ligpartie, MATCH($B78, Donnees!$F:$F, 0),
    _xlpm.joueurs, INDEX(Donnees!$A:$Z, _xlpm.ligpartie+1, _xlfn.SEQUENCE(1, 4, 2)),
    INDEX(
      Donnees!$A:$Z,
      _xlpm.ligpartie + 3,
      MATCH(S$1, _xlpm.joueurs, 0) + 1
    )
  ), ""
)</f>
        <v/>
      </c>
      <c r="T79" cm="1">
        <f t="array" ref="T79">IFERROR(
  _xlfn.LET(
    _xlpm.ligpartie, MATCH($B78, Donnees!$F:$F, 0),
    _xlpm.joueurs, INDEX(Donnees!$A:$Z, _xlpm.ligpartie+1, _xlfn.SEQUENCE(1, 4, 2)),
    INDEX(
      Donnees!$A:$Z,
      _xlpm.ligpartie + 3,
      MATCH(T$1, _xlpm.joueurs, 0) + 1
    )
  ), ""
)</f>
        <v>3</v>
      </c>
      <c r="U79" t="str" cm="1">
        <f t="array" ref="U79">IFERROR(
  _xlfn.LET(
    _xlpm.ligpartie, MATCH($B78, Donnees!$F:$F, 0),
    _xlpm.joueurs, INDEX(Donnees!$A:$Z, _xlpm.ligpartie+1, _xlfn.SEQUENCE(1, 4, 2)),
    INDEX(
      Donnees!$A:$Z,
      _xlpm.ligpartie + 3,
      MATCH(U$1, _xlpm.joueurs, 0) + 1
    )
  ), ""
)</f>
        <v/>
      </c>
      <c r="V79" t="str" cm="1">
        <f t="array" ref="V79">IFERROR(
  _xlfn.LET(
    _xlpm.ligpartie, MATCH($B78, Donnees!$F:$F, 0),
    _xlpm.joueurs, INDEX(Donnees!$A:$Z, _xlpm.ligpartie+1, _xlfn.SEQUENCE(1, 4, 2)),
    INDEX(
      Donnees!$A:$Z,
      _xlpm.ligpartie + 3,
      MATCH(V$1, _xlpm.joueurs, 0) + 1
    )
  ), ""
)</f>
        <v/>
      </c>
      <c r="W79" t="str" cm="1">
        <f t="array" ref="W79">IFERROR(
  _xlfn.LET(
    _xlpm.ligpartie, MATCH($B78, Donnees!$F:$F, 0),
    _xlpm.joueurs, INDEX(Donnees!$A:$Z, _xlpm.ligpartie+1, _xlfn.SEQUENCE(1, 4, 2)),
    INDEX(
      Donnees!$A:$Z,
      _xlpm.ligpartie + 3,
      MATCH(W$1, _xlpm.joueurs, 0) + 1
    )
  ), ""
)</f>
        <v/>
      </c>
      <c r="X79" t="str" cm="1">
        <f t="array" ref="X79">IFERROR(
  _xlfn.LET(
    _xlpm.ligpartie, MATCH($B78, Donnees!$F:$F, 0),
    _xlpm.joueurs, INDEX(Donnees!$A:$Z, _xlpm.ligpartie+1, _xlfn.SEQUENCE(1, 4, 2)),
    INDEX(
      Donnees!$A:$Z,
      _xlpm.ligpartie + 3,
      MATCH(X$1, _xlpm.joueurs, 0) + 1
    )
  ), ""
)</f>
        <v/>
      </c>
      <c r="Y79" t="str" cm="1">
        <f t="array" ref="Y79">IFERROR(
  _xlfn.LET(
    _xlpm.ligpartie, MATCH($B78, Donnees!$F:$F, 0),
    _xlpm.joueurs, INDEX(Donnees!$A:$Z, _xlpm.ligpartie+1, _xlfn.SEQUENCE(1, 4, 2)),
    INDEX(
      Donnees!$A:$Z,
      _xlpm.ligpartie + 3,
      MATCH(Y$1, _xlpm.joueurs, 0) + 1
    )
  ), ""
)</f>
        <v/>
      </c>
      <c r="Z79" t="str" cm="1">
        <f t="array" ref="Z79">IFERROR(
  _xlfn.LET(
    _xlpm.ligpartie, MATCH($B78, Donnees!$F:$F, 0),
    _xlpm.joueurs, INDEX(Donnees!$A:$Z, _xlpm.ligpartie+1, _xlfn.SEQUENCE(1, 4, 2)),
    INDEX(
      Donnees!$A:$Z,
      _xlpm.ligpartie + 3,
      MATCH(Z$1, _xlpm.joueurs, 0) + 1
    )
  ), ""
)</f>
        <v/>
      </c>
      <c r="AA79" t="str" cm="1">
        <f t="array" ref="AA79">IFERROR(
  _xlfn.LET(
    _xlpm.ligpartie, MATCH($B78, Donnees!$F:$F, 0),
    _xlpm.joueurs, INDEX(Donnees!$A:$Z, _xlpm.ligpartie+1, _xlfn.SEQUENCE(1, 4, 2)),
    INDEX(
      Donnees!$A:$Z,
      _xlpm.ligpartie + 3,
      MATCH(AA$1, _xlpm.joueurs, 0) + 1
    )
  ), ""
)</f>
        <v/>
      </c>
      <c r="AB79" t="str" cm="1">
        <f t="array" ref="AB79">IFERROR(
  _xlfn.LET(
    _xlpm.ligpartie, MATCH($B78, Donnees!$F:$F, 0),
    _xlpm.joueurs, INDEX(Donnees!$A:$Z, _xlpm.ligpartie+1, _xlfn.SEQUENCE(1, 4, 2)),
    INDEX(
      Donnees!$A:$Z,
      _xlpm.ligpartie + 3,
      MATCH(AB$1, _xlpm.joueurs, 0) + 1
    )
  ), ""
)</f>
        <v/>
      </c>
      <c r="AC79" t="str" cm="1">
        <f t="array" ref="AC79">IFERROR(
  _xlfn.LET(
    _xlpm.ligpartie, MATCH($B78, Donnees!$F:$F, 0),
    _xlpm.joueurs, INDEX(Donnees!$A:$Z, _xlpm.ligpartie+1, _xlfn.SEQUENCE(1, 4, 2)),
    INDEX(
      Donnees!$A:$Z,
      _xlpm.ligpartie + 3,
      MATCH(AC$1, _xlpm.joueurs, 0) + 1
    )
  ), ""
)</f>
        <v/>
      </c>
      <c r="AD79" t="str" cm="1">
        <f t="array" ref="AD79">IFERROR(
  _xlfn.LET(
    _xlpm.ligpartie, MATCH($B78, Donnees!$F:$F, 0),
    _xlpm.joueurs, INDEX(Donnees!$A:$Z, _xlpm.ligpartie+1, _xlfn.SEQUENCE(1, 4, 2)),
    INDEX(
      Donnees!$A:$Z,
      _xlpm.ligpartie + 3,
      MATCH(AD$1, _xlpm.joueurs, 0) + 1
    )
  ), ""
)</f>
        <v/>
      </c>
      <c r="AE79" t="str" cm="1">
        <f t="array" ref="AE79">IFERROR(
  _xlfn.LET(
    _xlpm.ligpartie, MATCH($B78, Donnees!$F:$F, 0),
    _xlpm.joueurs, INDEX(Donnees!$A:$Z, _xlpm.ligpartie+1, _xlfn.SEQUENCE(1, 4, 2)),
    INDEX(
      Donnees!$A:$Z,
      _xlpm.ligpartie + 3,
      MATCH(AE$1, _xlpm.joueurs, 0) + 1
    )
  ), ""
)</f>
        <v/>
      </c>
      <c r="AF79" t="str" cm="1">
        <f t="array" ref="AF79">IFERROR(
  _xlfn.LET(
    _xlpm.ligpartie, MATCH($B78, Donnees!$F:$F, 0),
    _xlpm.joueurs, INDEX(Donnees!$A:$Z, _xlpm.ligpartie+1, _xlfn.SEQUENCE(1, 4, 2)),
    INDEX(
      Donnees!$A:$Z,
      _xlpm.ligpartie + 3,
      MATCH(AF$1, _xlpm.joueurs, 0) + 1
    )
  ), ""
)</f>
        <v/>
      </c>
      <c r="AG79" t="str" cm="1">
        <f t="array" ref="AG79">IFERROR(
  _xlfn.LET(
    _xlpm.ligpartie, MATCH($B78, Donnees!$F:$F, 0),
    _xlpm.joueurs, INDEX(Donnees!$A:$Z, _xlpm.ligpartie+1, _xlfn.SEQUENCE(1, 4, 2)),
    INDEX(
      Donnees!$A:$Z,
      _xlpm.ligpartie + 3,
      MATCH(AG$1, _xlpm.joueurs, 0) + 1
    )
  ), ""
)</f>
        <v/>
      </c>
      <c r="AH79" t="str" cm="1">
        <f t="array" ref="AH79">IFERROR(
  _xlfn.LET(
    _xlpm.ligpartie, MATCH($B78, Donnees!$F:$F, 0),
    _xlpm.joueurs, INDEX(Donnees!$A:$Z, _xlpm.ligpartie+1, _xlfn.SEQUENCE(1, 4, 2)),
    INDEX(
      Donnees!$A:$Z,
      _xlpm.ligpartie + 3,
      MATCH(AH$1, _xlpm.joueurs, 0) + 1
    )
  ), ""
)</f>
        <v/>
      </c>
      <c r="AI79" t="str" cm="1">
        <f t="array" ref="AI79">IFERROR(
  _xlfn.LET(
    _xlpm.ligpartie, MATCH($B78, Donnees!$F:$F, 0),
    _xlpm.joueurs, INDEX(Donnees!$A:$Z, _xlpm.ligpartie+1, _xlfn.SEQUENCE(1, 4, 2)),
    INDEX(
      Donnees!$A:$Z,
      _xlpm.ligpartie + 3,
      MATCH(AI$1, _xlpm.joueurs, 0) + 1
    )
  ), ""
)</f>
        <v/>
      </c>
      <c r="AJ79" t="str" cm="1">
        <f t="array" ref="AJ79">IFERROR(
  _xlfn.LET(
    _xlpm.ligpartie, MATCH($B78, Donnees!$F:$F, 0),
    _xlpm.joueurs, INDEX(Donnees!$A:$Z, _xlpm.ligpartie+1, _xlfn.SEQUENCE(1, 4, 2)),
    INDEX(
      Donnees!$A:$Z,
      _xlpm.ligpartie + 3,
      MATCH(AJ$1, _xlpm.joueurs, 0) + 1
    )
  ), ""
)</f>
        <v/>
      </c>
      <c r="AK79" t="str" cm="1">
        <f t="array" ref="AK79">IFERROR(
  _xlfn.LET(
    _xlpm.ligpartie, MATCH($B78, Donnees!$F:$F, 0),
    _xlpm.joueurs, INDEX(Donnees!$A:$Z, _xlpm.ligpartie+1, _xlfn.SEQUENCE(1, 4, 2)),
    INDEX(
      Donnees!$A:$Z,
      _xlpm.ligpartie + 3,
      MATCH(AK$1, _xlpm.joueurs, 0) + 1
    )
  ), ""
)</f>
        <v/>
      </c>
      <c r="AL79" t="str" cm="1">
        <f t="array" ref="AL79">IFERROR(
  _xlfn.LET(
    _xlpm.ligpartie, MATCH($B78, Donnees!$F:$F, 0),
    _xlpm.joueurs, INDEX(Donnees!$A:$Z, _xlpm.ligpartie+1, _xlfn.SEQUENCE(1, 4, 2)),
    INDEX(
      Donnees!$A:$Z,
      _xlpm.ligpartie + 3,
      MATCH(AL$1, _xlpm.joueurs, 0) + 1
    )
  ), ""
)</f>
        <v/>
      </c>
      <c r="AM79" t="str" cm="1">
        <f t="array" ref="AM79">IFERROR(
  _xlfn.LET(
    _xlpm.ligpartie, MATCH($B78, Donnees!$F:$F, 0),
    _xlpm.joueurs, INDEX(Donnees!$A:$Z, _xlpm.ligpartie+1, _xlfn.SEQUENCE(1, 4, 2)),
    INDEX(
      Donnees!$A:$Z,
      _xlpm.ligpartie + 3,
      MATCH(AM$1, _xlpm.joueurs, 0) + 1
    )
  ), ""
)</f>
        <v/>
      </c>
    </row>
    <row r="80" spans="1:39" x14ac:dyDescent="0.25">
      <c r="A80" t="s">
        <v>20</v>
      </c>
      <c r="D80" t="str" cm="1">
        <f t="array" ref="D80">_xlfn.LET(
  _xlpm.colj, _xlfn._xlws.FILTER(IF(ISNUMBER(79:79), COLUMN(79:79)), ISNUMBER(79:79)),
  _xlpm.elos, INDEX(78:78,1,_xlpm.colj),
  _xlpm.diffscale, Constantes!$B$2,
  IF(D79="",
    "",
    SUM(1/(1+POWER(10,-(D78-_xlpm.elos)/_xlpm.diffscale)))-0.5)
)</f>
        <v/>
      </c>
      <c r="E80" cm="1">
        <f t="array" ref="E80">_xlfn.LET(
  _xlpm.colj, _xlfn._xlws.FILTER(IF(ISNUMBER(79:79), COLUMN(79:79)), ISNUMBER(79:79)),
  _xlpm.elos, INDEX(78:78,1,_xlpm.colj),
  _xlpm.diffscale, Constantes!$B$2,
  IF(E79="",
    "",
    SUM(1/(1+POWER(10,-(E78-_xlpm.elos)/_xlpm.diffscale)))-0.5)
)</f>
        <v>2.0585929151577291</v>
      </c>
      <c r="F80" t="str" cm="1">
        <f t="array" ref="F80">_xlfn.LET(
  _xlpm.colj, _xlfn._xlws.FILTER(IF(ISNUMBER(79:79), COLUMN(79:79)), ISNUMBER(79:79)),
  _xlpm.elos, INDEX(78:78,1,_xlpm.colj),
  _xlpm.diffscale, Constantes!$B$2,
  IF(F79="",
    "",
    SUM(1/(1+POWER(10,-(F78-_xlpm.elos)/_xlpm.diffscale)))-0.5)
)</f>
        <v/>
      </c>
      <c r="G80" t="str" cm="1">
        <f t="array" ref="G80">_xlfn.LET(
  _xlpm.colj, _xlfn._xlws.FILTER(IF(ISNUMBER(79:79), COLUMN(79:79)), ISNUMBER(79:79)),
  _xlpm.elos, INDEX(78:78,1,_xlpm.colj),
  _xlpm.diffscale, Constantes!$B$2,
  IF(G79="",
    "",
    SUM(1/(1+POWER(10,-(G78-_xlpm.elos)/_xlpm.diffscale)))-0.5)
)</f>
        <v/>
      </c>
      <c r="H80" t="str" cm="1">
        <f t="array" ref="H80">_xlfn.LET(
  _xlpm.colj, _xlfn._xlws.FILTER(IF(ISNUMBER(79:79), COLUMN(79:79)), ISNUMBER(79:79)),
  _xlpm.elos, INDEX(78:78,1,_xlpm.colj),
  _xlpm.diffscale, Constantes!$B$2,
  IF(H79="",
    "",
    SUM(1/(1+POWER(10,-(H78-_xlpm.elos)/_xlpm.diffscale)))-0.5)
)</f>
        <v/>
      </c>
      <c r="I80" t="str" cm="1">
        <f t="array" ref="I80">_xlfn.LET(
  _xlpm.colj, _xlfn._xlws.FILTER(IF(ISNUMBER(79:79), COLUMN(79:79)), ISNUMBER(79:79)),
  _xlpm.elos, INDEX(78:78,1,_xlpm.colj),
  _xlpm.diffscale, Constantes!$B$2,
  IF(I79="",
    "",
    SUM(1/(1+POWER(10,-(I78-_xlpm.elos)/_xlpm.diffscale)))-0.5)
)</f>
        <v/>
      </c>
      <c r="J80" t="str" cm="1">
        <f t="array" ref="J80">_xlfn.LET(
  _xlpm.colj, _xlfn._xlws.FILTER(IF(ISNUMBER(79:79), COLUMN(79:79)), ISNUMBER(79:79)),
  _xlpm.elos, INDEX(78:78,1,_xlpm.colj),
  _xlpm.diffscale, Constantes!$B$2,
  IF(J79="",
    "",
    SUM(1/(1+POWER(10,-(J78-_xlpm.elos)/_xlpm.diffscale)))-0.5)
)</f>
        <v/>
      </c>
      <c r="K80" t="str" cm="1">
        <f t="array" ref="K80">_xlfn.LET(
  _xlpm.colj, _xlfn._xlws.FILTER(IF(ISNUMBER(79:79), COLUMN(79:79)), ISNUMBER(79:79)),
  _xlpm.elos, INDEX(78:78,1,_xlpm.colj),
  _xlpm.diffscale, Constantes!$B$2,
  IF(K79="",
    "",
    SUM(1/(1+POWER(10,-(K78-_xlpm.elos)/_xlpm.diffscale)))-0.5)
)</f>
        <v/>
      </c>
      <c r="L80" t="str" cm="1">
        <f t="array" ref="L80">_xlfn.LET(
  _xlpm.colj, _xlfn._xlws.FILTER(IF(ISNUMBER(79:79), COLUMN(79:79)), ISNUMBER(79:79)),
  _xlpm.elos, INDEX(78:78,1,_xlpm.colj),
  _xlpm.diffscale, Constantes!$B$2,
  IF(L79="",
    "",
    SUM(1/(1+POWER(10,-(L78-_xlpm.elos)/_xlpm.diffscale)))-0.5)
)</f>
        <v/>
      </c>
      <c r="M80" t="str" cm="1">
        <f t="array" ref="M80">_xlfn.LET(
  _xlpm.colj, _xlfn._xlws.FILTER(IF(ISNUMBER(79:79), COLUMN(79:79)), ISNUMBER(79:79)),
  _xlpm.elos, INDEX(78:78,1,_xlpm.colj),
  _xlpm.diffscale, Constantes!$B$2,
  IF(M79="",
    "",
    SUM(1/(1+POWER(10,-(M78-_xlpm.elos)/_xlpm.diffscale)))-0.5)
)</f>
        <v/>
      </c>
      <c r="N80" t="str" cm="1">
        <f t="array" ref="N80">_xlfn.LET(
  _xlpm.colj, _xlfn._xlws.FILTER(IF(ISNUMBER(79:79), COLUMN(79:79)), ISNUMBER(79:79)),
  _xlpm.elos, INDEX(78:78,1,_xlpm.colj),
  _xlpm.diffscale, Constantes!$B$2,
  IF(N79="",
    "",
    SUM(1/(1+POWER(10,-(N78-_xlpm.elos)/_xlpm.diffscale)))-0.5)
)</f>
        <v/>
      </c>
      <c r="O80" t="str" cm="1">
        <f t="array" ref="O80">_xlfn.LET(
  _xlpm.colj, _xlfn._xlws.FILTER(IF(ISNUMBER(79:79), COLUMN(79:79)), ISNUMBER(79:79)),
  _xlpm.elos, INDEX(78:78,1,_xlpm.colj),
  _xlpm.diffscale, Constantes!$B$2,
  IF(O79="",
    "",
    SUM(1/(1+POWER(10,-(O78-_xlpm.elos)/_xlpm.diffscale)))-0.5)
)</f>
        <v/>
      </c>
      <c r="P80" cm="1">
        <f t="array" ref="P80">_xlfn.LET(
  _xlpm.colj, _xlfn._xlws.FILTER(IF(ISNUMBER(79:79), COLUMN(79:79)), ISNUMBER(79:79)),
  _xlpm.elos, INDEX(78:78,1,_xlpm.colj),
  _xlpm.diffscale, Constantes!$B$2,
  IF(P79="",
    "",
    SUM(1/(1+POWER(10,-(P78-_xlpm.elos)/_xlpm.diffscale)))-0.5)
)</f>
        <v>1.1230159819067793</v>
      </c>
      <c r="Q80" cm="1">
        <f t="array" ref="Q80">_xlfn.LET(
  _xlpm.colj, _xlfn._xlws.FILTER(IF(ISNUMBER(79:79), COLUMN(79:79)), ISNUMBER(79:79)),
  _xlpm.elos, INDEX(78:78,1,_xlpm.colj),
  _xlpm.diffscale, Constantes!$B$2,
  IF(Q79="",
    "",
    SUM(1/(1+POWER(10,-(Q78-_xlpm.elos)/_xlpm.diffscale)))-0.5)
)</f>
        <v>1.2909093135592418</v>
      </c>
      <c r="R80" t="str" cm="1">
        <f t="array" ref="R80">_xlfn.LET(
  _xlpm.colj, _xlfn._xlws.FILTER(IF(ISNUMBER(79:79), COLUMN(79:79)), ISNUMBER(79:79)),
  _xlpm.elos, INDEX(78:78,1,_xlpm.colj),
  _xlpm.diffscale, Constantes!$B$2,
  IF(R79="",
    "",
    SUM(1/(1+POWER(10,-(R78-_xlpm.elos)/_xlpm.diffscale)))-0.5)
)</f>
        <v/>
      </c>
      <c r="S80" t="str" cm="1">
        <f t="array" ref="S80">_xlfn.LET(
  _xlpm.colj, _xlfn._xlws.FILTER(IF(ISNUMBER(79:79), COLUMN(79:79)), ISNUMBER(79:79)),
  _xlpm.elos, INDEX(78:78,1,_xlpm.colj),
  _xlpm.diffscale, Constantes!$B$2,
  IF(S79="",
    "",
    SUM(1/(1+POWER(10,-(S78-_xlpm.elos)/_xlpm.diffscale)))-0.5)
)</f>
        <v/>
      </c>
      <c r="T80" cm="1">
        <f t="array" ref="T80">_xlfn.LET(
  _xlpm.colj, _xlfn._xlws.FILTER(IF(ISNUMBER(79:79), COLUMN(79:79)), ISNUMBER(79:79)),
  _xlpm.elos, INDEX(78:78,1,_xlpm.colj),
  _xlpm.diffscale, Constantes!$B$2,
  IF(T79="",
    "",
    SUM(1/(1+POWER(10,-(T78-_xlpm.elos)/_xlpm.diffscale)))-0.5)
)</f>
        <v>1.52748178937625</v>
      </c>
      <c r="U80" t="str" cm="1">
        <f t="array" ref="U80">_xlfn.LET(
  _xlpm.colj, _xlfn._xlws.FILTER(IF(ISNUMBER(79:79), COLUMN(79:79)), ISNUMBER(79:79)),
  _xlpm.elos, INDEX(78:78,1,_xlpm.colj),
  _xlpm.diffscale, Constantes!$B$2,
  IF(U79="",
    "",
    SUM(1/(1+POWER(10,-(U78-_xlpm.elos)/_xlpm.diffscale)))-0.5)
)</f>
        <v/>
      </c>
      <c r="V80" t="str" cm="1">
        <f t="array" ref="V80">_xlfn.LET(
  _xlpm.colj, _xlfn._xlws.FILTER(IF(ISNUMBER(79:79), COLUMN(79:79)), ISNUMBER(79:79)),
  _xlpm.elos, INDEX(78:78,1,_xlpm.colj),
  _xlpm.diffscale, Constantes!$B$2,
  IF(V79="",
    "",
    SUM(1/(1+POWER(10,-(V78-_xlpm.elos)/_xlpm.diffscale)))-0.5)
)</f>
        <v/>
      </c>
      <c r="W80" t="str" cm="1">
        <f t="array" ref="W80">_xlfn.LET(
  _xlpm.colj, _xlfn._xlws.FILTER(IF(ISNUMBER(79:79), COLUMN(79:79)), ISNUMBER(79:79)),
  _xlpm.elos, INDEX(78:78,1,_xlpm.colj),
  _xlpm.diffscale, Constantes!$B$2,
  IF(W79="",
    "",
    SUM(1/(1+POWER(10,-(W78-_xlpm.elos)/_xlpm.diffscale)))-0.5)
)</f>
        <v/>
      </c>
      <c r="X80" t="str" cm="1">
        <f t="array" ref="X80">_xlfn.LET(
  _xlpm.colj, _xlfn._xlws.FILTER(IF(ISNUMBER(79:79), COLUMN(79:79)), ISNUMBER(79:79)),
  _xlpm.elos, INDEX(78:78,1,_xlpm.colj),
  _xlpm.diffscale, Constantes!$B$2,
  IF(X79="",
    "",
    SUM(1/(1+POWER(10,-(X78-_xlpm.elos)/_xlpm.diffscale)))-0.5)
)</f>
        <v/>
      </c>
      <c r="Y80" t="str" cm="1">
        <f t="array" ref="Y80">_xlfn.LET(
  _xlpm.colj, _xlfn._xlws.FILTER(IF(ISNUMBER(79:79), COLUMN(79:79)), ISNUMBER(79:79)),
  _xlpm.elos, INDEX(78:78,1,_xlpm.colj),
  _xlpm.diffscale, Constantes!$B$2,
  IF(Y79="",
    "",
    SUM(1/(1+POWER(10,-(Y78-_xlpm.elos)/_xlpm.diffscale)))-0.5)
)</f>
        <v/>
      </c>
      <c r="Z80" t="str" cm="1">
        <f t="array" ref="Z80">_xlfn.LET(
  _xlpm.colj, _xlfn._xlws.FILTER(IF(ISNUMBER(79:79), COLUMN(79:79)), ISNUMBER(79:79)),
  _xlpm.elos, INDEX(78:78,1,_xlpm.colj),
  _xlpm.diffscale, Constantes!$B$2,
  IF(Z79="",
    "",
    SUM(1/(1+POWER(10,-(Z78-_xlpm.elos)/_xlpm.diffscale)))-0.5)
)</f>
        <v/>
      </c>
      <c r="AA80" t="str" cm="1">
        <f t="array" ref="AA80">_xlfn.LET(
  _xlpm.colj, _xlfn._xlws.FILTER(IF(ISNUMBER(79:79), COLUMN(79:79)), ISNUMBER(79:79)),
  _xlpm.elos, INDEX(78:78,1,_xlpm.colj),
  _xlpm.diffscale, Constantes!$B$2,
  IF(AA79="",
    "",
    SUM(1/(1+POWER(10,-(AA78-_xlpm.elos)/_xlpm.diffscale)))-0.5)
)</f>
        <v/>
      </c>
      <c r="AB80" t="str" cm="1">
        <f t="array" ref="AB80">_xlfn.LET(
  _xlpm.colj, _xlfn._xlws.FILTER(IF(ISNUMBER(79:79), COLUMN(79:79)), ISNUMBER(79:79)),
  _xlpm.elos, INDEX(78:78,1,_xlpm.colj),
  _xlpm.diffscale, Constantes!$B$2,
  IF(AB79="",
    "",
    SUM(1/(1+POWER(10,-(AB78-_xlpm.elos)/_xlpm.diffscale)))-0.5)
)</f>
        <v/>
      </c>
      <c r="AC80" t="str" cm="1">
        <f t="array" ref="AC80">_xlfn.LET(
  _xlpm.colj, _xlfn._xlws.FILTER(IF(ISNUMBER(79:79), COLUMN(79:79)), ISNUMBER(79:79)),
  _xlpm.elos, INDEX(78:78,1,_xlpm.colj),
  _xlpm.diffscale, Constantes!$B$2,
  IF(AC79="",
    "",
    SUM(1/(1+POWER(10,-(AC78-_xlpm.elos)/_xlpm.diffscale)))-0.5)
)</f>
        <v/>
      </c>
      <c r="AD80" t="str" cm="1">
        <f t="array" ref="AD80">_xlfn.LET(
  _xlpm.colj, _xlfn._xlws.FILTER(IF(ISNUMBER(79:79), COLUMN(79:79)), ISNUMBER(79:79)),
  _xlpm.elos, INDEX(78:78,1,_xlpm.colj),
  _xlpm.diffscale, Constantes!$B$2,
  IF(AD79="",
    "",
    SUM(1/(1+POWER(10,-(AD78-_xlpm.elos)/_xlpm.diffscale)))-0.5)
)</f>
        <v/>
      </c>
      <c r="AE80" t="str" cm="1">
        <f t="array" ref="AE80">_xlfn.LET(
  _xlpm.colj, _xlfn._xlws.FILTER(IF(ISNUMBER(79:79), COLUMN(79:79)), ISNUMBER(79:79)),
  _xlpm.elos, INDEX(78:78,1,_xlpm.colj),
  _xlpm.diffscale, Constantes!$B$2,
  IF(AE79="",
    "",
    SUM(1/(1+POWER(10,-(AE78-_xlpm.elos)/_xlpm.diffscale)))-0.5)
)</f>
        <v/>
      </c>
      <c r="AF80" t="str" cm="1">
        <f t="array" ref="AF80">_xlfn.LET(
  _xlpm.colj, _xlfn._xlws.FILTER(IF(ISNUMBER(79:79), COLUMN(79:79)), ISNUMBER(79:79)),
  _xlpm.elos, INDEX(78:78,1,_xlpm.colj),
  _xlpm.diffscale, Constantes!$B$2,
  IF(AF79="",
    "",
    SUM(1/(1+POWER(10,-(AF78-_xlpm.elos)/_xlpm.diffscale)))-0.5)
)</f>
        <v/>
      </c>
      <c r="AG80" t="str" cm="1">
        <f t="array" ref="AG80">_xlfn.LET(
  _xlpm.colj, _xlfn._xlws.FILTER(IF(ISNUMBER(79:79), COLUMN(79:79)), ISNUMBER(79:79)),
  _xlpm.elos, INDEX(78:78,1,_xlpm.colj),
  _xlpm.diffscale, Constantes!$B$2,
  IF(AG79="",
    "",
    SUM(1/(1+POWER(10,-(AG78-_xlpm.elos)/_xlpm.diffscale)))-0.5)
)</f>
        <v/>
      </c>
      <c r="AH80" t="str" cm="1">
        <f t="array" ref="AH80">_xlfn.LET(
  _xlpm.colj, _xlfn._xlws.FILTER(IF(ISNUMBER(79:79), COLUMN(79:79)), ISNUMBER(79:79)),
  _xlpm.elos, INDEX(78:78,1,_xlpm.colj),
  _xlpm.diffscale, Constantes!$B$2,
  IF(AH79="",
    "",
    SUM(1/(1+POWER(10,-(AH78-_xlpm.elos)/_xlpm.diffscale)))-0.5)
)</f>
        <v/>
      </c>
      <c r="AI80" t="str" cm="1">
        <f t="array" ref="AI80">_xlfn.LET(
  _xlpm.colj, _xlfn._xlws.FILTER(IF(ISNUMBER(79:79), COLUMN(79:79)), ISNUMBER(79:79)),
  _xlpm.elos, INDEX(78:78,1,_xlpm.colj),
  _xlpm.diffscale, Constantes!$B$2,
  IF(AI79="",
    "",
    SUM(1/(1+POWER(10,-(AI78-_xlpm.elos)/_xlpm.diffscale)))-0.5)
)</f>
        <v/>
      </c>
      <c r="AJ80" t="str" cm="1">
        <f t="array" ref="AJ80">_xlfn.LET(
  _xlpm.colj, _xlfn._xlws.FILTER(IF(ISNUMBER(79:79), COLUMN(79:79)), ISNUMBER(79:79)),
  _xlpm.elos, INDEX(78:78,1,_xlpm.colj),
  _xlpm.diffscale, Constantes!$B$2,
  IF(AJ79="",
    "",
    SUM(1/(1+POWER(10,-(AJ78-_xlpm.elos)/_xlpm.diffscale)))-0.5)
)</f>
        <v/>
      </c>
      <c r="AK80" t="str" cm="1">
        <f t="array" ref="AK80">_xlfn.LET(
  _xlpm.colj, _xlfn._xlws.FILTER(IF(ISNUMBER(79:79), COLUMN(79:79)), ISNUMBER(79:79)),
  _xlpm.elos, INDEX(78:78,1,_xlpm.colj),
  _xlpm.diffscale, Constantes!$B$2,
  IF(AK79="",
    "",
    SUM(1/(1+POWER(10,-(AK78-_xlpm.elos)/_xlpm.diffscale)))-0.5)
)</f>
        <v/>
      </c>
      <c r="AL80" t="str" cm="1">
        <f t="array" ref="AL80">_xlfn.LET(
  _xlpm.colj, _xlfn._xlws.FILTER(IF(ISNUMBER(79:79), COLUMN(79:79)), ISNUMBER(79:79)),
  _xlpm.elos, INDEX(78:78,1,_xlpm.colj),
  _xlpm.diffscale, Constantes!$B$2,
  IF(AL79="",
    "",
    SUM(1/(1+POWER(10,-(AL78-_xlpm.elos)/_xlpm.diffscale)))-0.5)
)</f>
        <v/>
      </c>
      <c r="AM80" t="str" cm="1">
        <f t="array" ref="AM80">_xlfn.LET(
  _xlpm.colj, _xlfn._xlws.FILTER(IF(ISNUMBER(79:79), COLUMN(79:79)), ISNUMBER(79:79)),
  _xlpm.elos, INDEX(78:78,1,_xlpm.colj),
  _xlpm.diffscale, Constantes!$B$2,
  IF(AM79="",
    "",
    SUM(1/(1+POWER(10,-(AM78-_xlpm.elos)/_xlpm.diffscale)))-0.5)
)</f>
        <v/>
      </c>
    </row>
    <row r="81" spans="1:39" x14ac:dyDescent="0.25">
      <c r="A81" t="s">
        <v>22</v>
      </c>
      <c r="D81" t="str" cm="1">
        <f t="array" ref="D81">_xlfn.LET(
  _xlpm.K, Constantes!$B$3,
  _xlpm.Knewgain, Constantes!$B$4,
  _xlpm.Knewscale, Constantes!$B$5,
  _xlpm.ptstables, INDEX(D:D, _xlfn.SEQUENCE(COUNTA($C$2:$C81), 1, 3, 4)),
  _xlpm.nbparties, COUNTA(_xlfn._xlws.FILTER(_xlpm.ptstables, _xlpm.ptstables &lt;&gt; "")),
  _xlpm.coef, _xlpm.K + _xlpm.Knewgain / (_xlpm.Knewscale + _xlpm.nbparties),
  IF(D79="",
    "",
    _xlpm.coef * (D79-D80))
)</f>
        <v/>
      </c>
      <c r="E81" cm="1">
        <f t="array" ref="E81">_xlfn.LET(
  _xlpm.K, Constantes!$B$3,
  _xlpm.Knewgain, Constantes!$B$4,
  _xlpm.Knewscale, Constantes!$B$5,
  _xlpm.ptstables, INDEX(E:E, _xlfn.SEQUENCE(COUNTA($C$2:$C81), 1, 3, 4)),
  _xlpm.nbparties, COUNTA(_xlfn._xlws.FILTER(_xlpm.ptstables, _xlpm.ptstables &lt;&gt; "")),
  _xlpm.coef, _xlpm.K + _xlpm.Knewgain / (_xlpm.Knewscale + _xlpm.nbparties),
  IF(E79="",
    "",
    _xlpm.coef * (E79-E80))
)</f>
        <v>-51.464822878943231</v>
      </c>
      <c r="F81" t="str" cm="1">
        <f t="array" ref="F81">_xlfn.LET(
  _xlpm.K, Constantes!$B$3,
  _xlpm.Knewgain, Constantes!$B$4,
  _xlpm.Knewscale, Constantes!$B$5,
  _xlpm.ptstables, INDEX(F:F, _xlfn.SEQUENCE(COUNTA($C$2:$C81), 1, 3, 4)),
  _xlpm.nbparties, COUNTA(_xlfn._xlws.FILTER(_xlpm.ptstables, _xlpm.ptstables &lt;&gt; "")),
  _xlpm.coef, _xlpm.K + _xlpm.Knewgain / (_xlpm.Knewscale + _xlpm.nbparties),
  IF(F79="",
    "",
    _xlpm.coef * (F79-F80))
)</f>
        <v/>
      </c>
      <c r="G81" t="str" cm="1">
        <f t="array" ref="G81">_xlfn.LET(
  _xlpm.K, Constantes!$B$3,
  _xlpm.Knewgain, Constantes!$B$4,
  _xlpm.Knewscale, Constantes!$B$5,
  _xlpm.ptstables, INDEX(G:G, _xlfn.SEQUENCE(COUNTA($C$2:$C81), 1, 3, 4)),
  _xlpm.nbparties, COUNTA(_xlfn._xlws.FILTER(_xlpm.ptstables, _xlpm.ptstables &lt;&gt; "")),
  _xlpm.coef, _xlpm.K + _xlpm.Knewgain / (_xlpm.Knewscale + _xlpm.nbparties),
  IF(G79="",
    "",
    _xlpm.coef * (G79-G80))
)</f>
        <v/>
      </c>
      <c r="H81" t="str" cm="1">
        <f t="array" ref="H81">_xlfn.LET(
  _xlpm.K, Constantes!$B$3,
  _xlpm.Knewgain, Constantes!$B$4,
  _xlpm.Knewscale, Constantes!$B$5,
  _xlpm.ptstables, INDEX(H:H, _xlfn.SEQUENCE(COUNTA($C$2:$C81), 1, 3, 4)),
  _xlpm.nbparties, COUNTA(_xlfn._xlws.FILTER(_xlpm.ptstables, _xlpm.ptstables &lt;&gt; "")),
  _xlpm.coef, _xlpm.K + _xlpm.Knewgain / (_xlpm.Knewscale + _xlpm.nbparties),
  IF(H79="",
    "",
    _xlpm.coef * (H79-H80))
)</f>
        <v/>
      </c>
      <c r="I81" t="str" cm="1">
        <f t="array" ref="I81">_xlfn.LET(
  _xlpm.K, Constantes!$B$3,
  _xlpm.Knewgain, Constantes!$B$4,
  _xlpm.Knewscale, Constantes!$B$5,
  _xlpm.ptstables, INDEX(I:I, _xlfn.SEQUENCE(COUNTA($C$2:$C81), 1, 3, 4)),
  _xlpm.nbparties, COUNTA(_xlfn._xlws.FILTER(_xlpm.ptstables, _xlpm.ptstables &lt;&gt; "")),
  _xlpm.coef, _xlpm.K + _xlpm.Knewgain / (_xlpm.Knewscale + _xlpm.nbparties),
  IF(I79="",
    "",
    _xlpm.coef * (I79-I80))
)</f>
        <v/>
      </c>
      <c r="J81" t="str" cm="1">
        <f t="array" ref="J81">_xlfn.LET(
  _xlpm.K, Constantes!$B$3,
  _xlpm.Knewgain, Constantes!$B$4,
  _xlpm.Knewscale, Constantes!$B$5,
  _xlpm.ptstables, INDEX(J:J, _xlfn.SEQUENCE(COUNTA($C$2:$C81), 1, 3, 4)),
  _xlpm.nbparties, COUNTA(_xlfn._xlws.FILTER(_xlpm.ptstables, _xlpm.ptstables &lt;&gt; "")),
  _xlpm.coef, _xlpm.K + _xlpm.Knewgain / (_xlpm.Knewscale + _xlpm.nbparties),
  IF(J79="",
    "",
    _xlpm.coef * (J79-J80))
)</f>
        <v/>
      </c>
      <c r="K81" t="str" cm="1">
        <f t="array" ref="K81">_xlfn.LET(
  _xlpm.K, Constantes!$B$3,
  _xlpm.Knewgain, Constantes!$B$4,
  _xlpm.Knewscale, Constantes!$B$5,
  _xlpm.ptstables, INDEX(K:K, _xlfn.SEQUENCE(COUNTA($C$2:$C81), 1, 3, 4)),
  _xlpm.nbparties, COUNTA(_xlfn._xlws.FILTER(_xlpm.ptstables, _xlpm.ptstables &lt;&gt; "")),
  _xlpm.coef, _xlpm.K + _xlpm.Knewgain / (_xlpm.Knewscale + _xlpm.nbparties),
  IF(K79="",
    "",
    _xlpm.coef * (K79-K80))
)</f>
        <v/>
      </c>
      <c r="L81" t="str" cm="1">
        <f t="array" ref="L81">_xlfn.LET(
  _xlpm.K, Constantes!$B$3,
  _xlpm.Knewgain, Constantes!$B$4,
  _xlpm.Knewscale, Constantes!$B$5,
  _xlpm.ptstables, INDEX(L:L, _xlfn.SEQUENCE(COUNTA($C$2:$C81), 1, 3, 4)),
  _xlpm.nbparties, COUNTA(_xlfn._xlws.FILTER(_xlpm.ptstables, _xlpm.ptstables &lt;&gt; "")),
  _xlpm.coef, _xlpm.K + _xlpm.Knewgain / (_xlpm.Knewscale + _xlpm.nbparties),
  IF(L79="",
    "",
    _xlpm.coef * (L79-L80))
)</f>
        <v/>
      </c>
      <c r="M81" t="str" cm="1">
        <f t="array" ref="M81">_xlfn.LET(
  _xlpm.K, Constantes!$B$3,
  _xlpm.Knewgain, Constantes!$B$4,
  _xlpm.Knewscale, Constantes!$B$5,
  _xlpm.ptstables, INDEX(M:M, _xlfn.SEQUENCE(COUNTA($C$2:$C81), 1, 3, 4)),
  _xlpm.nbparties, COUNTA(_xlfn._xlws.FILTER(_xlpm.ptstables, _xlpm.ptstables &lt;&gt; "")),
  _xlpm.coef, _xlpm.K + _xlpm.Knewgain / (_xlpm.Knewscale + _xlpm.nbparties),
  IF(M79="",
    "",
    _xlpm.coef * (M79-M80))
)</f>
        <v/>
      </c>
      <c r="N81" t="str" cm="1">
        <f t="array" ref="N81">_xlfn.LET(
  _xlpm.K, Constantes!$B$3,
  _xlpm.Knewgain, Constantes!$B$4,
  _xlpm.Knewscale, Constantes!$B$5,
  _xlpm.ptstables, INDEX(N:N, _xlfn.SEQUENCE(COUNTA($C$2:$C81), 1, 3, 4)),
  _xlpm.nbparties, COUNTA(_xlfn._xlws.FILTER(_xlpm.ptstables, _xlpm.ptstables &lt;&gt; "")),
  _xlpm.coef, _xlpm.K + _xlpm.Knewgain / (_xlpm.Knewscale + _xlpm.nbparties),
  IF(N79="",
    "",
    _xlpm.coef * (N79-N80))
)</f>
        <v/>
      </c>
      <c r="O81" t="str" cm="1">
        <f t="array" ref="O81">_xlfn.LET(
  _xlpm.K, Constantes!$B$3,
  _xlpm.Knewgain, Constantes!$B$4,
  _xlpm.Knewscale, Constantes!$B$5,
  _xlpm.ptstables, INDEX(O:O, _xlfn.SEQUENCE(COUNTA($C$2:$C81), 1, 3, 4)),
  _xlpm.nbparties, COUNTA(_xlfn._xlws.FILTER(_xlpm.ptstables, _xlpm.ptstables &lt;&gt; "")),
  _xlpm.coef, _xlpm.K + _xlpm.Knewgain / (_xlpm.Knewscale + _xlpm.nbparties),
  IF(O79="",
    "",
    _xlpm.coef * (O79-O80))
)</f>
        <v/>
      </c>
      <c r="P81" cm="1">
        <f t="array" ref="P81">_xlfn.LET(
  _xlpm.K, Constantes!$B$3,
  _xlpm.Knewgain, Constantes!$B$4,
  _xlpm.Knewscale, Constantes!$B$5,
  _xlpm.ptstables, INDEX(P:P, _xlfn.SEQUENCE(COUNTA($C$2:$C81), 1, 3, 4)),
  _xlpm.nbparties, COUNTA(_xlfn._xlws.FILTER(_xlpm.ptstables, _xlpm.ptstables &lt;&gt; "")),
  _xlpm.coef, _xlpm.K + _xlpm.Knewgain / (_xlpm.Knewscale + _xlpm.nbparties),
  IF(P79="",
    "",
    _xlpm.coef * (P79-P80))
)</f>
        <v>26.309520542796619</v>
      </c>
      <c r="Q81" cm="1">
        <f t="array" ref="Q81">_xlfn.LET(
  _xlpm.K, Constantes!$B$3,
  _xlpm.Knewgain, Constantes!$B$4,
  _xlpm.Knewscale, Constantes!$B$5,
  _xlpm.ptstables, INDEX(Q:Q, _xlfn.SEQUENCE(COUNTA($C$2:$C81), 1, 3, 4)),
  _xlpm.nbparties, COUNTA(_xlfn._xlws.FILTER(_xlpm.ptstables, _xlpm.ptstables &lt;&gt; "")),
  _xlpm.coef, _xlpm.K + _xlpm.Knewgain / (_xlpm.Knewscale + _xlpm.nbparties),
  IF(Q79="",
    "",
    _xlpm.coef * (Q79-Q80))
)</f>
        <v>-9.4545526906753565</v>
      </c>
      <c r="R81" t="str" cm="1">
        <f t="array" ref="R81">_xlfn.LET(
  _xlpm.K, Constantes!$B$3,
  _xlpm.Knewgain, Constantes!$B$4,
  _xlpm.Knewscale, Constantes!$B$5,
  _xlpm.ptstables, INDEX(R:R, _xlfn.SEQUENCE(COUNTA($C$2:$C81), 1, 3, 4)),
  _xlpm.nbparties, COUNTA(_xlfn._xlws.FILTER(_xlpm.ptstables, _xlpm.ptstables &lt;&gt; "")),
  _xlpm.coef, _xlpm.K + _xlpm.Knewgain / (_xlpm.Knewscale + _xlpm.nbparties),
  IF(R79="",
    "",
    _xlpm.coef * (R79-R80))
)</f>
        <v/>
      </c>
      <c r="S81" t="str" cm="1">
        <f t="array" ref="S81">_xlfn.LET(
  _xlpm.K, Constantes!$B$3,
  _xlpm.Knewgain, Constantes!$B$4,
  _xlpm.Knewscale, Constantes!$B$5,
  _xlpm.ptstables, INDEX(S:S, _xlfn.SEQUENCE(COUNTA($C$2:$C81), 1, 3, 4)),
  _xlpm.nbparties, COUNTA(_xlfn._xlws.FILTER(_xlpm.ptstables, _xlpm.ptstables &lt;&gt; "")),
  _xlpm.coef, _xlpm.K + _xlpm.Knewgain / (_xlpm.Knewscale + _xlpm.nbparties),
  IF(S79="",
    "",
    _xlpm.coef * (S79-S80))
)</f>
        <v/>
      </c>
      <c r="T81" cm="1">
        <f t="array" ref="T81">_xlfn.LET(
  _xlpm.K, Constantes!$B$3,
  _xlpm.Knewgain, Constantes!$B$4,
  _xlpm.Knewscale, Constantes!$B$5,
  _xlpm.ptstables, INDEX(T:T, _xlfn.SEQUENCE(COUNTA($C$2:$C81), 1, 3, 4)),
  _xlpm.nbparties, COUNTA(_xlfn._xlws.FILTER(_xlpm.ptstables, _xlpm.ptstables &lt;&gt; "")),
  _xlpm.coef, _xlpm.K + _xlpm.Knewgain / (_xlpm.Knewscale + _xlpm.nbparties),
  IF(T79="",
    "",
    _xlpm.coef * (T79-T80))
)</f>
        <v>44.175546318712499</v>
      </c>
      <c r="U81" t="str" cm="1">
        <f t="array" ref="U81">_xlfn.LET(
  _xlpm.K, Constantes!$B$3,
  _xlpm.Knewgain, Constantes!$B$4,
  _xlpm.Knewscale, Constantes!$B$5,
  _xlpm.ptstables, INDEX(U:U, _xlfn.SEQUENCE(COUNTA($C$2:$C81), 1, 3, 4)),
  _xlpm.nbparties, COUNTA(_xlfn._xlws.FILTER(_xlpm.ptstables, _xlpm.ptstables &lt;&gt; "")),
  _xlpm.coef, _xlpm.K + _xlpm.Knewgain / (_xlpm.Knewscale + _xlpm.nbparties),
  IF(U79="",
    "",
    _xlpm.coef * (U79-U80))
)</f>
        <v/>
      </c>
      <c r="V81" t="str" cm="1">
        <f t="array" ref="V81">_xlfn.LET(
  _xlpm.K, Constantes!$B$3,
  _xlpm.Knewgain, Constantes!$B$4,
  _xlpm.Knewscale, Constantes!$B$5,
  _xlpm.ptstables, INDEX(V:V, _xlfn.SEQUENCE(COUNTA($C$2:$C81), 1, 3, 4)),
  _xlpm.nbparties, COUNTA(_xlfn._xlws.FILTER(_xlpm.ptstables, _xlpm.ptstables &lt;&gt; "")),
  _xlpm.coef, _xlpm.K + _xlpm.Knewgain / (_xlpm.Knewscale + _xlpm.nbparties),
  IF(V79="",
    "",
    _xlpm.coef * (V79-V80))
)</f>
        <v/>
      </c>
      <c r="W81" t="str" cm="1">
        <f t="array" ref="W81">_xlfn.LET(
  _xlpm.K, Constantes!$B$3,
  _xlpm.Knewgain, Constantes!$B$4,
  _xlpm.Knewscale, Constantes!$B$5,
  _xlpm.ptstables, INDEX(W:W, _xlfn.SEQUENCE(COUNTA($C$2:$C81), 1, 3, 4)),
  _xlpm.nbparties, COUNTA(_xlfn._xlws.FILTER(_xlpm.ptstables, _xlpm.ptstables &lt;&gt; "")),
  _xlpm.coef, _xlpm.K + _xlpm.Knewgain / (_xlpm.Knewscale + _xlpm.nbparties),
  IF(W79="",
    "",
    _xlpm.coef * (W79-W80))
)</f>
        <v/>
      </c>
      <c r="X81" t="str" cm="1">
        <f t="array" ref="X81">_xlfn.LET(
  _xlpm.K, Constantes!$B$3,
  _xlpm.Knewgain, Constantes!$B$4,
  _xlpm.Knewscale, Constantes!$B$5,
  _xlpm.ptstables, INDEX(X:X, _xlfn.SEQUENCE(COUNTA($C$2:$C81), 1, 3, 4)),
  _xlpm.nbparties, COUNTA(_xlfn._xlws.FILTER(_xlpm.ptstables, _xlpm.ptstables &lt;&gt; "")),
  _xlpm.coef, _xlpm.K + _xlpm.Knewgain / (_xlpm.Knewscale + _xlpm.nbparties),
  IF(X79="",
    "",
    _xlpm.coef * (X79-X80))
)</f>
        <v/>
      </c>
      <c r="Y81" t="str" cm="1">
        <f t="array" ref="Y81">_xlfn.LET(
  _xlpm.K, Constantes!$B$3,
  _xlpm.Knewgain, Constantes!$B$4,
  _xlpm.Knewscale, Constantes!$B$5,
  _xlpm.ptstables, INDEX(Y:Y, _xlfn.SEQUENCE(COUNTA($C$2:$C81), 1, 3, 4)),
  _xlpm.nbparties, COUNTA(_xlfn._xlws.FILTER(_xlpm.ptstables, _xlpm.ptstables &lt;&gt; "")),
  _xlpm.coef, _xlpm.K + _xlpm.Knewgain / (_xlpm.Knewscale + _xlpm.nbparties),
  IF(Y79="",
    "",
    _xlpm.coef * (Y79-Y80))
)</f>
        <v/>
      </c>
      <c r="Z81" t="str" cm="1">
        <f t="array" ref="Z81">_xlfn.LET(
  _xlpm.K, Constantes!$B$3,
  _xlpm.Knewgain, Constantes!$B$4,
  _xlpm.Knewscale, Constantes!$B$5,
  _xlpm.ptstables, INDEX(Z:Z, _xlfn.SEQUENCE(COUNTA($C$2:$C81), 1, 3, 4)),
  _xlpm.nbparties, COUNTA(_xlfn._xlws.FILTER(_xlpm.ptstables, _xlpm.ptstables &lt;&gt; "")),
  _xlpm.coef, _xlpm.K + _xlpm.Knewgain / (_xlpm.Knewscale + _xlpm.nbparties),
  IF(Z79="",
    "",
    _xlpm.coef * (Z79-Z80))
)</f>
        <v/>
      </c>
      <c r="AA81" t="str" cm="1">
        <f t="array" ref="AA81">_xlfn.LET(
  _xlpm.K, Constantes!$B$3,
  _xlpm.Knewgain, Constantes!$B$4,
  _xlpm.Knewscale, Constantes!$B$5,
  _xlpm.ptstables, INDEX(AA:AA, _xlfn.SEQUENCE(COUNTA($C$2:$C81), 1, 3, 4)),
  _xlpm.nbparties, COUNTA(_xlfn._xlws.FILTER(_xlpm.ptstables, _xlpm.ptstables &lt;&gt; "")),
  _xlpm.coef, _xlpm.K + _xlpm.Knewgain / (_xlpm.Knewscale + _xlpm.nbparties),
  IF(AA79="",
    "",
    _xlpm.coef * (AA79-AA80))
)</f>
        <v/>
      </c>
      <c r="AB81" t="str" cm="1">
        <f t="array" ref="AB81">_xlfn.LET(
  _xlpm.K, Constantes!$B$3,
  _xlpm.Knewgain, Constantes!$B$4,
  _xlpm.Knewscale, Constantes!$B$5,
  _xlpm.ptstables, INDEX(AB:AB, _xlfn.SEQUENCE(COUNTA($C$2:$C81), 1, 3, 4)),
  _xlpm.nbparties, COUNTA(_xlfn._xlws.FILTER(_xlpm.ptstables, _xlpm.ptstables &lt;&gt; "")),
  _xlpm.coef, _xlpm.K + _xlpm.Knewgain / (_xlpm.Knewscale + _xlpm.nbparties),
  IF(AB79="",
    "",
    _xlpm.coef * (AB79-AB80))
)</f>
        <v/>
      </c>
      <c r="AC81" t="str" cm="1">
        <f t="array" ref="AC81">_xlfn.LET(
  _xlpm.K, Constantes!$B$3,
  _xlpm.Knewgain, Constantes!$B$4,
  _xlpm.Knewscale, Constantes!$B$5,
  _xlpm.ptstables, INDEX(AC:AC, _xlfn.SEQUENCE(COUNTA($C$2:$C81), 1, 3, 4)),
  _xlpm.nbparties, COUNTA(_xlfn._xlws.FILTER(_xlpm.ptstables, _xlpm.ptstables &lt;&gt; "")),
  _xlpm.coef, _xlpm.K + _xlpm.Knewgain / (_xlpm.Knewscale + _xlpm.nbparties),
  IF(AC79="",
    "",
    _xlpm.coef * (AC79-AC80))
)</f>
        <v/>
      </c>
      <c r="AD81" t="str" cm="1">
        <f t="array" ref="AD81">_xlfn.LET(
  _xlpm.K, Constantes!$B$3,
  _xlpm.Knewgain, Constantes!$B$4,
  _xlpm.Knewscale, Constantes!$B$5,
  _xlpm.ptstables, INDEX(AD:AD, _xlfn.SEQUENCE(COUNTA($C$2:$C81), 1, 3, 4)),
  _xlpm.nbparties, COUNTA(_xlfn._xlws.FILTER(_xlpm.ptstables, _xlpm.ptstables &lt;&gt; "")),
  _xlpm.coef, _xlpm.K + _xlpm.Knewgain / (_xlpm.Knewscale + _xlpm.nbparties),
  IF(AD79="",
    "",
    _xlpm.coef * (AD79-AD80))
)</f>
        <v/>
      </c>
      <c r="AE81" t="str" cm="1">
        <f t="array" ref="AE81">_xlfn.LET(
  _xlpm.K, Constantes!$B$3,
  _xlpm.Knewgain, Constantes!$B$4,
  _xlpm.Knewscale, Constantes!$B$5,
  _xlpm.ptstables, INDEX(AE:AE, _xlfn.SEQUENCE(COUNTA($C$2:$C81), 1, 3, 4)),
  _xlpm.nbparties, COUNTA(_xlfn._xlws.FILTER(_xlpm.ptstables, _xlpm.ptstables &lt;&gt; "")),
  _xlpm.coef, _xlpm.K + _xlpm.Knewgain / (_xlpm.Knewscale + _xlpm.nbparties),
  IF(AE79="",
    "",
    _xlpm.coef * (AE79-AE80))
)</f>
        <v/>
      </c>
      <c r="AF81" t="str" cm="1">
        <f t="array" ref="AF81">_xlfn.LET(
  _xlpm.K, Constantes!$B$3,
  _xlpm.Knewgain, Constantes!$B$4,
  _xlpm.Knewscale, Constantes!$B$5,
  _xlpm.ptstables, INDEX(AF:AF, _xlfn.SEQUENCE(COUNTA($C$2:$C81), 1, 3, 4)),
  _xlpm.nbparties, COUNTA(_xlfn._xlws.FILTER(_xlpm.ptstables, _xlpm.ptstables &lt;&gt; "")),
  _xlpm.coef, _xlpm.K + _xlpm.Knewgain / (_xlpm.Knewscale + _xlpm.nbparties),
  IF(AF79="",
    "",
    _xlpm.coef * (AF79-AF80))
)</f>
        <v/>
      </c>
      <c r="AG81" t="str" cm="1">
        <f t="array" ref="AG81">_xlfn.LET(
  _xlpm.K, Constantes!$B$3,
  _xlpm.Knewgain, Constantes!$B$4,
  _xlpm.Knewscale, Constantes!$B$5,
  _xlpm.ptstables, INDEX(AG:AG, _xlfn.SEQUENCE(COUNTA($C$2:$C81), 1, 3, 4)),
  _xlpm.nbparties, COUNTA(_xlfn._xlws.FILTER(_xlpm.ptstables, _xlpm.ptstables &lt;&gt; "")),
  _xlpm.coef, _xlpm.K + _xlpm.Knewgain / (_xlpm.Knewscale + _xlpm.nbparties),
  IF(AG79="",
    "",
    _xlpm.coef * (AG79-AG80))
)</f>
        <v/>
      </c>
      <c r="AH81" t="str" cm="1">
        <f t="array" ref="AH81">_xlfn.LET(
  _xlpm.K, Constantes!$B$3,
  _xlpm.Knewgain, Constantes!$B$4,
  _xlpm.Knewscale, Constantes!$B$5,
  _xlpm.ptstables, INDEX(AH:AH, _xlfn.SEQUENCE(COUNTA($C$2:$C81), 1, 3, 4)),
  _xlpm.nbparties, COUNTA(_xlfn._xlws.FILTER(_xlpm.ptstables, _xlpm.ptstables &lt;&gt; "")),
  _xlpm.coef, _xlpm.K + _xlpm.Knewgain / (_xlpm.Knewscale + _xlpm.nbparties),
  IF(AH79="",
    "",
    _xlpm.coef * (AH79-AH80))
)</f>
        <v/>
      </c>
      <c r="AI81" t="str" cm="1">
        <f t="array" ref="AI81">_xlfn.LET(
  _xlpm.K, Constantes!$B$3,
  _xlpm.Knewgain, Constantes!$B$4,
  _xlpm.Knewscale, Constantes!$B$5,
  _xlpm.ptstables, INDEX(AI:AI, _xlfn.SEQUENCE(COUNTA($C$2:$C81), 1, 3, 4)),
  _xlpm.nbparties, COUNTA(_xlfn._xlws.FILTER(_xlpm.ptstables, _xlpm.ptstables &lt;&gt; "")),
  _xlpm.coef, _xlpm.K + _xlpm.Knewgain / (_xlpm.Knewscale + _xlpm.nbparties),
  IF(AI79="",
    "",
    _xlpm.coef * (AI79-AI80))
)</f>
        <v/>
      </c>
      <c r="AJ81" t="str" cm="1">
        <f t="array" ref="AJ81">_xlfn.LET(
  _xlpm.K, Constantes!$B$3,
  _xlpm.Knewgain, Constantes!$B$4,
  _xlpm.Knewscale, Constantes!$B$5,
  _xlpm.ptstables, INDEX(AJ:AJ, _xlfn.SEQUENCE(COUNTA($C$2:$C81), 1, 3, 4)),
  _xlpm.nbparties, COUNTA(_xlfn._xlws.FILTER(_xlpm.ptstables, _xlpm.ptstables &lt;&gt; "")),
  _xlpm.coef, _xlpm.K + _xlpm.Knewgain / (_xlpm.Knewscale + _xlpm.nbparties),
  IF(AJ79="",
    "",
    _xlpm.coef * (AJ79-AJ80))
)</f>
        <v/>
      </c>
      <c r="AK81" t="str" cm="1">
        <f t="array" ref="AK81">_xlfn.LET(
  _xlpm.K, Constantes!$B$3,
  _xlpm.Knewgain, Constantes!$B$4,
  _xlpm.Knewscale, Constantes!$B$5,
  _xlpm.ptstables, INDEX(AK:AK, _xlfn.SEQUENCE(COUNTA($C$2:$C81), 1, 3, 4)),
  _xlpm.nbparties, COUNTA(_xlfn._xlws.FILTER(_xlpm.ptstables, _xlpm.ptstables &lt;&gt; "")),
  _xlpm.coef, _xlpm.K + _xlpm.Knewgain / (_xlpm.Knewscale + _xlpm.nbparties),
  IF(AK79="",
    "",
    _xlpm.coef * (AK79-AK80))
)</f>
        <v/>
      </c>
      <c r="AL81" t="str" cm="1">
        <f t="array" ref="AL81">_xlfn.LET(
  _xlpm.K, Constantes!$B$3,
  _xlpm.Knewgain, Constantes!$B$4,
  _xlpm.Knewscale, Constantes!$B$5,
  _xlpm.ptstables, INDEX(AL:AL, _xlfn.SEQUENCE(COUNTA($C$2:$C81), 1, 3, 4)),
  _xlpm.nbparties, COUNTA(_xlfn._xlws.FILTER(_xlpm.ptstables, _xlpm.ptstables &lt;&gt; "")),
  _xlpm.coef, _xlpm.K + _xlpm.Knewgain / (_xlpm.Knewscale + _xlpm.nbparties),
  IF(AL79="",
    "",
    _xlpm.coef * (AL79-AL80))
)</f>
        <v/>
      </c>
      <c r="AM81" t="str" cm="1">
        <f t="array" ref="AM81">_xlfn.LET(
  _xlpm.K, Constantes!$B$3,
  _xlpm.Knewgain, Constantes!$B$4,
  _xlpm.Knewscale, Constantes!$B$5,
  _xlpm.ptstables, INDEX(AM:AM, _xlfn.SEQUENCE(COUNTA($C$2:$C81), 1, 3, 4)),
  _xlpm.nbparties, COUNTA(_xlfn._xlws.FILTER(_xlpm.ptstables, _xlpm.ptstables &lt;&gt; "")),
  _xlpm.coef, _xlpm.K + _xlpm.Knewgain / (_xlpm.Knewscale + _xlpm.nbparties),
  IF(AM79="",
    "",
    _xlpm.coef * (AM79-AM80))
)</f>
        <v/>
      </c>
    </row>
    <row r="82" spans="1:39" x14ac:dyDescent="0.25">
      <c r="A82" t="s">
        <v>14</v>
      </c>
      <c r="B82" t="str" cm="1">
        <f t="array" ref="B8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22</v>
      </c>
      <c r="C82" s="2" cm="1">
        <f t="array" ref="C82">IF(B82="","",
  INDEX(Donnees!F:F, MATCH(B82, Donnees!F:F, 0)+1))</f>
        <v>45920.589942129627</v>
      </c>
      <c r="D82">
        <f t="shared" ref="D82:AM82" si="28">D78+IF(D81="",0,D81)</f>
        <v>1108.4611161856747</v>
      </c>
      <c r="E82">
        <f t="shared" si="28"/>
        <v>1137.8353095002462</v>
      </c>
      <c r="F82">
        <f t="shared" si="28"/>
        <v>909.87928229209808</v>
      </c>
      <c r="G82">
        <f t="shared" si="28"/>
        <v>956.37970750382215</v>
      </c>
      <c r="H82">
        <f t="shared" si="28"/>
        <v>1020.3453983892952</v>
      </c>
      <c r="I82">
        <f t="shared" si="28"/>
        <v>1079.4580211094492</v>
      </c>
      <c r="J82">
        <f t="shared" si="28"/>
        <v>938.49433816478961</v>
      </c>
      <c r="K82">
        <f t="shared" si="28"/>
        <v>911.11415590373872</v>
      </c>
      <c r="L82">
        <f t="shared" si="28"/>
        <v>878.7153998467162</v>
      </c>
      <c r="M82">
        <f t="shared" si="28"/>
        <v>965.238738457664</v>
      </c>
      <c r="N82">
        <f t="shared" si="28"/>
        <v>937.60806294499946</v>
      </c>
      <c r="O82">
        <f t="shared" si="28"/>
        <v>1030.4363831507294</v>
      </c>
      <c r="P82">
        <f t="shared" si="28"/>
        <v>1043.9932888752683</v>
      </c>
      <c r="Q82">
        <f t="shared" si="28"/>
        <v>1039.0209485170767</v>
      </c>
      <c r="R82">
        <f t="shared" si="28"/>
        <v>1058.9483706798278</v>
      </c>
      <c r="S82">
        <f t="shared" si="28"/>
        <v>950.34457099410838</v>
      </c>
      <c r="T82">
        <f t="shared" si="28"/>
        <v>1135.2782658680615</v>
      </c>
      <c r="U82">
        <f t="shared" si="28"/>
        <v>1012.4141493920336</v>
      </c>
      <c r="V82">
        <f t="shared" si="28"/>
        <v>976.66131486891345</v>
      </c>
      <c r="W82">
        <f t="shared" si="28"/>
        <v>936.79085942937002</v>
      </c>
      <c r="X82">
        <f t="shared" si="28"/>
        <v>852.64794693163367</v>
      </c>
      <c r="Y82">
        <f t="shared" si="28"/>
        <v>913.98582058905436</v>
      </c>
      <c r="Z82">
        <f t="shared" si="28"/>
        <v>991.11904139672549</v>
      </c>
      <c r="AA82">
        <f t="shared" si="28"/>
        <v>1000</v>
      </c>
      <c r="AB82">
        <f t="shared" si="28"/>
        <v>979.56500000000005</v>
      </c>
      <c r="AC82">
        <f t="shared" si="28"/>
        <v>1032.51</v>
      </c>
      <c r="AD82">
        <f t="shared" si="28"/>
        <v>974.01499999999999</v>
      </c>
      <c r="AE82">
        <f t="shared" si="28"/>
        <v>1011.415</v>
      </c>
      <c r="AF82">
        <f t="shared" si="28"/>
        <v>1031.1199999999999</v>
      </c>
      <c r="AG82">
        <f t="shared" si="28"/>
        <v>1001.0350000000001</v>
      </c>
      <c r="AH82">
        <f t="shared" si="28"/>
        <v>994.44</v>
      </c>
      <c r="AI82">
        <f t="shared" si="28"/>
        <v>1000</v>
      </c>
      <c r="AJ82">
        <f t="shared" si="28"/>
        <v>957.2</v>
      </c>
      <c r="AK82">
        <f t="shared" si="28"/>
        <v>1000</v>
      </c>
      <c r="AL82">
        <f t="shared" si="28"/>
        <v>1055.9299999999998</v>
      </c>
      <c r="AM82">
        <f t="shared" si="28"/>
        <v>1000</v>
      </c>
    </row>
    <row r="83" spans="1:39" x14ac:dyDescent="0.25">
      <c r="A83" t="s">
        <v>21</v>
      </c>
      <c r="D83" t="str" cm="1">
        <f t="array" ref="D83">IFERROR(
  _xlfn.LET(
    _xlpm.ligpartie, MATCH($B82, Donnees!$F:$F, 0),
    _xlpm.joueurs, INDEX(Donnees!$A:$Z, _xlpm.ligpartie+1, _xlfn.SEQUENCE(1, 4, 2)),
    INDEX(
      Donnees!$A:$Z,
      _xlpm.ligpartie + 3,
      MATCH(D$1, _xlpm.joueurs, 0) + 1
    )
  ), ""
)</f>
        <v/>
      </c>
      <c r="E83" cm="1">
        <f t="array" ref="E83">IFERROR(
  _xlfn.LET(
    _xlpm.ligpartie, MATCH($B82, Donnees!$F:$F, 0),
    _xlpm.joueurs, INDEX(Donnees!$A:$Z, _xlpm.ligpartie+1, _xlfn.SEQUENCE(1, 4, 2)),
    INDEX(
      Donnees!$A:$Z,
      _xlpm.ligpartie + 3,
      MATCH(E$1, _xlpm.joueurs, 0) + 1
    )
  ), ""
)</f>
        <v>1</v>
      </c>
      <c r="F83" t="str" cm="1">
        <f t="array" ref="F83">IFERROR(
  _xlfn.LET(
    _xlpm.ligpartie, MATCH($B82, Donnees!$F:$F, 0),
    _xlpm.joueurs, INDEX(Donnees!$A:$Z, _xlpm.ligpartie+1, _xlfn.SEQUENCE(1, 4, 2)),
    INDEX(
      Donnees!$A:$Z,
      _xlpm.ligpartie + 3,
      MATCH(F$1, _xlpm.joueurs, 0) + 1
    )
  ), ""
)</f>
        <v/>
      </c>
      <c r="G83" t="str" cm="1">
        <f t="array" ref="G83">IFERROR(
  _xlfn.LET(
    _xlpm.ligpartie, MATCH($B82, Donnees!$F:$F, 0),
    _xlpm.joueurs, INDEX(Donnees!$A:$Z, _xlpm.ligpartie+1, _xlfn.SEQUENCE(1, 4, 2)),
    INDEX(
      Donnees!$A:$Z,
      _xlpm.ligpartie + 3,
      MATCH(G$1, _xlpm.joueurs, 0) + 1
    )
  ), ""
)</f>
        <v/>
      </c>
      <c r="H83" t="str" cm="1">
        <f t="array" ref="H83">IFERROR(
  _xlfn.LET(
    _xlpm.ligpartie, MATCH($B82, Donnees!$F:$F, 0),
    _xlpm.joueurs, INDEX(Donnees!$A:$Z, _xlpm.ligpartie+1, _xlfn.SEQUENCE(1, 4, 2)),
    INDEX(
      Donnees!$A:$Z,
      _xlpm.ligpartie + 3,
      MATCH(H$1, _xlpm.joueurs, 0) + 1
    )
  ), ""
)</f>
        <v/>
      </c>
      <c r="I83" t="str" cm="1">
        <f t="array" ref="I83">IFERROR(
  _xlfn.LET(
    _xlpm.ligpartie, MATCH($B82, Donnees!$F:$F, 0),
    _xlpm.joueurs, INDEX(Donnees!$A:$Z, _xlpm.ligpartie+1, _xlfn.SEQUENCE(1, 4, 2)),
    INDEX(
      Donnees!$A:$Z,
      _xlpm.ligpartie + 3,
      MATCH(I$1, _xlpm.joueurs, 0) + 1
    )
  ), ""
)</f>
        <v/>
      </c>
      <c r="J83" t="str" cm="1">
        <f t="array" ref="J83">IFERROR(
  _xlfn.LET(
    _xlpm.ligpartie, MATCH($B82, Donnees!$F:$F, 0),
    _xlpm.joueurs, INDEX(Donnees!$A:$Z, _xlpm.ligpartie+1, _xlfn.SEQUENCE(1, 4, 2)),
    INDEX(
      Donnees!$A:$Z,
      _xlpm.ligpartie + 3,
      MATCH(J$1, _xlpm.joueurs, 0) + 1
    )
  ), ""
)</f>
        <v/>
      </c>
      <c r="K83" t="str" cm="1">
        <f t="array" ref="K83">IFERROR(
  _xlfn.LET(
    _xlpm.ligpartie, MATCH($B82, Donnees!$F:$F, 0),
    _xlpm.joueurs, INDEX(Donnees!$A:$Z, _xlpm.ligpartie+1, _xlfn.SEQUENCE(1, 4, 2)),
    INDEX(
      Donnees!$A:$Z,
      _xlpm.ligpartie + 3,
      MATCH(K$1, _xlpm.joueurs, 0) + 1
    )
  ), ""
)</f>
        <v/>
      </c>
      <c r="L83" t="str" cm="1">
        <f t="array" ref="L83">IFERROR(
  _xlfn.LET(
    _xlpm.ligpartie, MATCH($B82, Donnees!$F:$F, 0),
    _xlpm.joueurs, INDEX(Donnees!$A:$Z, _xlpm.ligpartie+1, _xlfn.SEQUENCE(1, 4, 2)),
    INDEX(
      Donnees!$A:$Z,
      _xlpm.ligpartie + 3,
      MATCH(L$1, _xlpm.joueurs, 0) + 1
    )
  ), ""
)</f>
        <v/>
      </c>
      <c r="M83" t="str" cm="1">
        <f t="array" ref="M83">IFERROR(
  _xlfn.LET(
    _xlpm.ligpartie, MATCH($B82, Donnees!$F:$F, 0),
    _xlpm.joueurs, INDEX(Donnees!$A:$Z, _xlpm.ligpartie+1, _xlfn.SEQUENCE(1, 4, 2)),
    INDEX(
      Donnees!$A:$Z,
      _xlpm.ligpartie + 3,
      MATCH(M$1, _xlpm.joueurs, 0) + 1
    )
  ), ""
)</f>
        <v/>
      </c>
      <c r="N83" t="str" cm="1">
        <f t="array" ref="N83">IFERROR(
  _xlfn.LET(
    _xlpm.ligpartie, MATCH($B82, Donnees!$F:$F, 0),
    _xlpm.joueurs, INDEX(Donnees!$A:$Z, _xlpm.ligpartie+1, _xlfn.SEQUENCE(1, 4, 2)),
    INDEX(
      Donnees!$A:$Z,
      _xlpm.ligpartie + 3,
      MATCH(N$1, _xlpm.joueurs, 0) + 1
    )
  ), ""
)</f>
        <v/>
      </c>
      <c r="O83" t="str" cm="1">
        <f t="array" ref="O83">IFERROR(
  _xlfn.LET(
    _xlpm.ligpartie, MATCH($B82, Donnees!$F:$F, 0),
    _xlpm.joueurs, INDEX(Donnees!$A:$Z, _xlpm.ligpartie+1, _xlfn.SEQUENCE(1, 4, 2)),
    INDEX(
      Donnees!$A:$Z,
      _xlpm.ligpartie + 3,
      MATCH(O$1, _xlpm.joueurs, 0) + 1
    )
  ), ""
)</f>
        <v/>
      </c>
      <c r="P83" t="str" cm="1">
        <f t="array" ref="P83">IFERROR(
  _xlfn.LET(
    _xlpm.ligpartie, MATCH($B82, Donnees!$F:$F, 0),
    _xlpm.joueurs, INDEX(Donnees!$A:$Z, _xlpm.ligpartie+1, _xlfn.SEQUENCE(1, 4, 2)),
    INDEX(
      Donnees!$A:$Z,
      _xlpm.ligpartie + 3,
      MATCH(P$1, _xlpm.joueurs, 0) + 1
    )
  ), ""
)</f>
        <v/>
      </c>
      <c r="Q83" t="str" cm="1">
        <f t="array" ref="Q83">IFERROR(
  _xlfn.LET(
    _xlpm.ligpartie, MATCH($B82, Donnees!$F:$F, 0),
    _xlpm.joueurs, INDEX(Donnees!$A:$Z, _xlpm.ligpartie+1, _xlfn.SEQUENCE(1, 4, 2)),
    INDEX(
      Donnees!$A:$Z,
      _xlpm.ligpartie + 3,
      MATCH(Q$1, _xlpm.joueurs, 0) + 1
    )
  ), ""
)</f>
        <v/>
      </c>
      <c r="R83" cm="1">
        <f t="array" ref="R83">IFERROR(
  _xlfn.LET(
    _xlpm.ligpartie, MATCH($B82, Donnees!$F:$F, 0),
    _xlpm.joueurs, INDEX(Donnees!$A:$Z, _xlpm.ligpartie+1, _xlfn.SEQUENCE(1, 4, 2)),
    INDEX(
      Donnees!$A:$Z,
      _xlpm.ligpartie + 3,
      MATCH(R$1, _xlpm.joueurs, 0) + 1
    )
  ), ""
)</f>
        <v>3</v>
      </c>
      <c r="S83" t="str" cm="1">
        <f t="array" ref="S83">IFERROR(
  _xlfn.LET(
    _xlpm.ligpartie, MATCH($B82, Donnees!$F:$F, 0),
    _xlpm.joueurs, INDEX(Donnees!$A:$Z, _xlpm.ligpartie+1, _xlfn.SEQUENCE(1, 4, 2)),
    INDEX(
      Donnees!$A:$Z,
      _xlpm.ligpartie + 3,
      MATCH(S$1, _xlpm.joueurs, 0) + 1
    )
  ), ""
)</f>
        <v/>
      </c>
      <c r="T83" t="str" cm="1">
        <f t="array" ref="T83">IFERROR(
  _xlfn.LET(
    _xlpm.ligpartie, MATCH($B82, Donnees!$F:$F, 0),
    _xlpm.joueurs, INDEX(Donnees!$A:$Z, _xlpm.ligpartie+1, _xlfn.SEQUENCE(1, 4, 2)),
    INDEX(
      Donnees!$A:$Z,
      _xlpm.ligpartie + 3,
      MATCH(T$1, _xlpm.joueurs, 0) + 1
    )
  ), ""
)</f>
        <v/>
      </c>
      <c r="U83" t="str" cm="1">
        <f t="array" ref="U83">IFERROR(
  _xlfn.LET(
    _xlpm.ligpartie, MATCH($B82, Donnees!$F:$F, 0),
    _xlpm.joueurs, INDEX(Donnees!$A:$Z, _xlpm.ligpartie+1, _xlfn.SEQUENCE(1, 4, 2)),
    INDEX(
      Donnees!$A:$Z,
      _xlpm.ligpartie + 3,
      MATCH(U$1, _xlpm.joueurs, 0) + 1
    )
  ), ""
)</f>
        <v/>
      </c>
      <c r="V83" cm="1">
        <f t="array" ref="V83">IFERROR(
  _xlfn.LET(
    _xlpm.ligpartie, MATCH($B82, Donnees!$F:$F, 0),
    _xlpm.joueurs, INDEX(Donnees!$A:$Z, _xlpm.ligpartie+1, _xlfn.SEQUENCE(1, 4, 2)),
    INDEX(
      Donnees!$A:$Z,
      _xlpm.ligpartie + 3,
      MATCH(V$1, _xlpm.joueurs, 0) + 1
    )
  ), ""
)</f>
        <v>0</v>
      </c>
      <c r="W83" t="str" cm="1">
        <f t="array" ref="W83">IFERROR(
  _xlfn.LET(
    _xlpm.ligpartie, MATCH($B82, Donnees!$F:$F, 0),
    _xlpm.joueurs, INDEX(Donnees!$A:$Z, _xlpm.ligpartie+1, _xlfn.SEQUENCE(1, 4, 2)),
    INDEX(
      Donnees!$A:$Z,
      _xlpm.ligpartie + 3,
      MATCH(W$1, _xlpm.joueurs, 0) + 1
    )
  ), ""
)</f>
        <v/>
      </c>
      <c r="X83" t="str" cm="1">
        <f t="array" ref="X83">IFERROR(
  _xlfn.LET(
    _xlpm.ligpartie, MATCH($B82, Donnees!$F:$F, 0),
    _xlpm.joueurs, INDEX(Donnees!$A:$Z, _xlpm.ligpartie+1, _xlfn.SEQUENCE(1, 4, 2)),
    INDEX(
      Donnees!$A:$Z,
      _xlpm.ligpartie + 3,
      MATCH(X$1, _xlpm.joueurs, 0) + 1
    )
  ), ""
)</f>
        <v/>
      </c>
      <c r="Y83" t="str" cm="1">
        <f t="array" ref="Y83">IFERROR(
  _xlfn.LET(
    _xlpm.ligpartie, MATCH($B82, Donnees!$F:$F, 0),
    _xlpm.joueurs, INDEX(Donnees!$A:$Z, _xlpm.ligpartie+1, _xlfn.SEQUENCE(1, 4, 2)),
    INDEX(
      Donnees!$A:$Z,
      _xlpm.ligpartie + 3,
      MATCH(Y$1, _xlpm.joueurs, 0) + 1
    )
  ), ""
)</f>
        <v/>
      </c>
      <c r="Z83" t="str" cm="1">
        <f t="array" ref="Z83">IFERROR(
  _xlfn.LET(
    _xlpm.ligpartie, MATCH($B82, Donnees!$F:$F, 0),
    _xlpm.joueurs, INDEX(Donnees!$A:$Z, _xlpm.ligpartie+1, _xlfn.SEQUENCE(1, 4, 2)),
    INDEX(
      Donnees!$A:$Z,
      _xlpm.ligpartie + 3,
      MATCH(Z$1, _xlpm.joueurs, 0) + 1
    )
  ), ""
)</f>
        <v/>
      </c>
      <c r="AA83" cm="1">
        <f t="array" ref="AA83">IFERROR(
  _xlfn.LET(
    _xlpm.ligpartie, MATCH($B82, Donnees!$F:$F, 0),
    _xlpm.joueurs, INDEX(Donnees!$A:$Z, _xlpm.ligpartie+1, _xlfn.SEQUENCE(1, 4, 2)),
    INDEX(
      Donnees!$A:$Z,
      _xlpm.ligpartie + 3,
      MATCH(AA$1, _xlpm.joueurs, 0) + 1
    )
  ), ""
)</f>
        <v>2</v>
      </c>
      <c r="AB83" t="str" cm="1">
        <f t="array" ref="AB83">IFERROR(
  _xlfn.LET(
    _xlpm.ligpartie, MATCH($B82, Donnees!$F:$F, 0),
    _xlpm.joueurs, INDEX(Donnees!$A:$Z, _xlpm.ligpartie+1, _xlfn.SEQUENCE(1, 4, 2)),
    INDEX(
      Donnees!$A:$Z,
      _xlpm.ligpartie + 3,
      MATCH(AB$1, _xlpm.joueurs, 0) + 1
    )
  ), ""
)</f>
        <v/>
      </c>
      <c r="AC83" t="str" cm="1">
        <f t="array" ref="AC83">IFERROR(
  _xlfn.LET(
    _xlpm.ligpartie, MATCH($B82, Donnees!$F:$F, 0),
    _xlpm.joueurs, INDEX(Donnees!$A:$Z, _xlpm.ligpartie+1, _xlfn.SEQUENCE(1, 4, 2)),
    INDEX(
      Donnees!$A:$Z,
      _xlpm.ligpartie + 3,
      MATCH(AC$1, _xlpm.joueurs, 0) + 1
    )
  ), ""
)</f>
        <v/>
      </c>
      <c r="AD83" t="str" cm="1">
        <f t="array" ref="AD83">IFERROR(
  _xlfn.LET(
    _xlpm.ligpartie, MATCH($B82, Donnees!$F:$F, 0),
    _xlpm.joueurs, INDEX(Donnees!$A:$Z, _xlpm.ligpartie+1, _xlfn.SEQUENCE(1, 4, 2)),
    INDEX(
      Donnees!$A:$Z,
      _xlpm.ligpartie + 3,
      MATCH(AD$1, _xlpm.joueurs, 0) + 1
    )
  ), ""
)</f>
        <v/>
      </c>
      <c r="AE83" t="str" cm="1">
        <f t="array" ref="AE83">IFERROR(
  _xlfn.LET(
    _xlpm.ligpartie, MATCH($B82, Donnees!$F:$F, 0),
    _xlpm.joueurs, INDEX(Donnees!$A:$Z, _xlpm.ligpartie+1, _xlfn.SEQUENCE(1, 4, 2)),
    INDEX(
      Donnees!$A:$Z,
      _xlpm.ligpartie + 3,
      MATCH(AE$1, _xlpm.joueurs, 0) + 1
    )
  ), ""
)</f>
        <v/>
      </c>
      <c r="AF83" t="str" cm="1">
        <f t="array" ref="AF83">IFERROR(
  _xlfn.LET(
    _xlpm.ligpartie, MATCH($B82, Donnees!$F:$F, 0),
    _xlpm.joueurs, INDEX(Donnees!$A:$Z, _xlpm.ligpartie+1, _xlfn.SEQUENCE(1, 4, 2)),
    INDEX(
      Donnees!$A:$Z,
      _xlpm.ligpartie + 3,
      MATCH(AF$1, _xlpm.joueurs, 0) + 1
    )
  ), ""
)</f>
        <v/>
      </c>
      <c r="AG83" t="str" cm="1">
        <f t="array" ref="AG83">IFERROR(
  _xlfn.LET(
    _xlpm.ligpartie, MATCH($B82, Donnees!$F:$F, 0),
    _xlpm.joueurs, INDEX(Donnees!$A:$Z, _xlpm.ligpartie+1, _xlfn.SEQUENCE(1, 4, 2)),
    INDEX(
      Donnees!$A:$Z,
      _xlpm.ligpartie + 3,
      MATCH(AG$1, _xlpm.joueurs, 0) + 1
    )
  ), ""
)</f>
        <v/>
      </c>
      <c r="AH83" t="str" cm="1">
        <f t="array" ref="AH83">IFERROR(
  _xlfn.LET(
    _xlpm.ligpartie, MATCH($B82, Donnees!$F:$F, 0),
    _xlpm.joueurs, INDEX(Donnees!$A:$Z, _xlpm.ligpartie+1, _xlfn.SEQUENCE(1, 4, 2)),
    INDEX(
      Donnees!$A:$Z,
      _xlpm.ligpartie + 3,
      MATCH(AH$1, _xlpm.joueurs, 0) + 1
    )
  ), ""
)</f>
        <v/>
      </c>
      <c r="AI83" t="str" cm="1">
        <f t="array" ref="AI83">IFERROR(
  _xlfn.LET(
    _xlpm.ligpartie, MATCH($B82, Donnees!$F:$F, 0),
    _xlpm.joueurs, INDEX(Donnees!$A:$Z, _xlpm.ligpartie+1, _xlfn.SEQUENCE(1, 4, 2)),
    INDEX(
      Donnees!$A:$Z,
      _xlpm.ligpartie + 3,
      MATCH(AI$1, _xlpm.joueurs, 0) + 1
    )
  ), ""
)</f>
        <v/>
      </c>
      <c r="AJ83" t="str" cm="1">
        <f t="array" ref="AJ83">IFERROR(
  _xlfn.LET(
    _xlpm.ligpartie, MATCH($B82, Donnees!$F:$F, 0),
    _xlpm.joueurs, INDEX(Donnees!$A:$Z, _xlpm.ligpartie+1, _xlfn.SEQUENCE(1, 4, 2)),
    INDEX(
      Donnees!$A:$Z,
      _xlpm.ligpartie + 3,
      MATCH(AJ$1, _xlpm.joueurs, 0) + 1
    )
  ), ""
)</f>
        <v/>
      </c>
      <c r="AK83" t="str" cm="1">
        <f t="array" ref="AK83">IFERROR(
  _xlfn.LET(
    _xlpm.ligpartie, MATCH($B82, Donnees!$F:$F, 0),
    _xlpm.joueurs, INDEX(Donnees!$A:$Z, _xlpm.ligpartie+1, _xlfn.SEQUENCE(1, 4, 2)),
    INDEX(
      Donnees!$A:$Z,
      _xlpm.ligpartie + 3,
      MATCH(AK$1, _xlpm.joueurs, 0) + 1
    )
  ), ""
)</f>
        <v/>
      </c>
      <c r="AL83" t="str" cm="1">
        <f t="array" ref="AL83">IFERROR(
  _xlfn.LET(
    _xlpm.ligpartie, MATCH($B82, Donnees!$F:$F, 0),
    _xlpm.joueurs, INDEX(Donnees!$A:$Z, _xlpm.ligpartie+1, _xlfn.SEQUENCE(1, 4, 2)),
    INDEX(
      Donnees!$A:$Z,
      _xlpm.ligpartie + 3,
      MATCH(AL$1, _xlpm.joueurs, 0) + 1
    )
  ), ""
)</f>
        <v/>
      </c>
      <c r="AM83" t="str" cm="1">
        <f t="array" ref="AM83">IFERROR(
  _xlfn.LET(
    _xlpm.ligpartie, MATCH($B82, Donnees!$F:$F, 0),
    _xlpm.joueurs, INDEX(Donnees!$A:$Z, _xlpm.ligpartie+1, _xlfn.SEQUENCE(1, 4, 2)),
    INDEX(
      Donnees!$A:$Z,
      _xlpm.ligpartie + 3,
      MATCH(AM$1, _xlpm.joueurs, 0) + 1
    )
  ), ""
)</f>
        <v/>
      </c>
    </row>
    <row r="84" spans="1:39" x14ac:dyDescent="0.25">
      <c r="A84" t="s">
        <v>20</v>
      </c>
      <c r="D84" t="str" cm="1">
        <f t="array" ref="D84">_xlfn.LET(
  _xlpm.colj, _xlfn._xlws.FILTER(IF(ISNUMBER(83:83), COLUMN(83:83)), ISNUMBER(83:83)),
  _xlpm.elos, INDEX(82:82,1,_xlpm.colj),
  _xlpm.diffscale, Constantes!$B$2,
  IF(D83="",
    "",
    SUM(1/(1+POWER(10,-(D82-_xlpm.elos)/_xlpm.diffscale)))-0.5)
)</f>
        <v/>
      </c>
      <c r="E84" cm="1">
        <f t="array" ref="E84">_xlfn.LET(
  _xlpm.colj, _xlfn._xlws.FILTER(IF(ISNUMBER(83:83), COLUMN(83:83)), ISNUMBER(83:83)),
  _xlpm.elos, INDEX(82:82,1,_xlpm.colj),
  _xlpm.diffscale, Constantes!$B$2,
  IF(E83="",
    "",
    SUM(1/(1+POWER(10,-(E82-_xlpm.elos)/_xlpm.diffscale)))-0.5)
)</f>
        <v>2.0168133538537631</v>
      </c>
      <c r="F84" t="str" cm="1">
        <f t="array" ref="F84">_xlfn.LET(
  _xlpm.colj, _xlfn._xlws.FILTER(IF(ISNUMBER(83:83), COLUMN(83:83)), ISNUMBER(83:83)),
  _xlpm.elos, INDEX(82:82,1,_xlpm.colj),
  _xlpm.diffscale, Constantes!$B$2,
  IF(F83="",
    "",
    SUM(1/(1+POWER(10,-(F82-_xlpm.elos)/_xlpm.diffscale)))-0.5)
)</f>
        <v/>
      </c>
      <c r="G84" t="str" cm="1">
        <f t="array" ref="G84">_xlfn.LET(
  _xlpm.colj, _xlfn._xlws.FILTER(IF(ISNUMBER(83:83), COLUMN(83:83)), ISNUMBER(83:83)),
  _xlpm.elos, INDEX(82:82,1,_xlpm.colj),
  _xlpm.diffscale, Constantes!$B$2,
  IF(G83="",
    "",
    SUM(1/(1+POWER(10,-(G82-_xlpm.elos)/_xlpm.diffscale)))-0.5)
)</f>
        <v/>
      </c>
      <c r="H84" t="str" cm="1">
        <f t="array" ref="H84">_xlfn.LET(
  _xlpm.colj, _xlfn._xlws.FILTER(IF(ISNUMBER(83:83), COLUMN(83:83)), ISNUMBER(83:83)),
  _xlpm.elos, INDEX(82:82,1,_xlpm.colj),
  _xlpm.diffscale, Constantes!$B$2,
  IF(H83="",
    "",
    SUM(1/(1+POWER(10,-(H82-_xlpm.elos)/_xlpm.diffscale)))-0.5)
)</f>
        <v/>
      </c>
      <c r="I84" t="str" cm="1">
        <f t="array" ref="I84">_xlfn.LET(
  _xlpm.colj, _xlfn._xlws.FILTER(IF(ISNUMBER(83:83), COLUMN(83:83)), ISNUMBER(83:83)),
  _xlpm.elos, INDEX(82:82,1,_xlpm.colj),
  _xlpm.diffscale, Constantes!$B$2,
  IF(I83="",
    "",
    SUM(1/(1+POWER(10,-(I82-_xlpm.elos)/_xlpm.diffscale)))-0.5)
)</f>
        <v/>
      </c>
      <c r="J84" t="str" cm="1">
        <f t="array" ref="J84">_xlfn.LET(
  _xlpm.colj, _xlfn._xlws.FILTER(IF(ISNUMBER(83:83), COLUMN(83:83)), ISNUMBER(83:83)),
  _xlpm.elos, INDEX(82:82,1,_xlpm.colj),
  _xlpm.diffscale, Constantes!$B$2,
  IF(J83="",
    "",
    SUM(1/(1+POWER(10,-(J82-_xlpm.elos)/_xlpm.diffscale)))-0.5)
)</f>
        <v/>
      </c>
      <c r="K84" t="str" cm="1">
        <f t="array" ref="K84">_xlfn.LET(
  _xlpm.colj, _xlfn._xlws.FILTER(IF(ISNUMBER(83:83), COLUMN(83:83)), ISNUMBER(83:83)),
  _xlpm.elos, INDEX(82:82,1,_xlpm.colj),
  _xlpm.diffscale, Constantes!$B$2,
  IF(K83="",
    "",
    SUM(1/(1+POWER(10,-(K82-_xlpm.elos)/_xlpm.diffscale)))-0.5)
)</f>
        <v/>
      </c>
      <c r="L84" t="str" cm="1">
        <f t="array" ref="L84">_xlfn.LET(
  _xlpm.colj, _xlfn._xlws.FILTER(IF(ISNUMBER(83:83), COLUMN(83:83)), ISNUMBER(83:83)),
  _xlpm.elos, INDEX(82:82,1,_xlpm.colj),
  _xlpm.diffscale, Constantes!$B$2,
  IF(L83="",
    "",
    SUM(1/(1+POWER(10,-(L82-_xlpm.elos)/_xlpm.diffscale)))-0.5)
)</f>
        <v/>
      </c>
      <c r="M84" t="str" cm="1">
        <f t="array" ref="M84">_xlfn.LET(
  _xlpm.colj, _xlfn._xlws.FILTER(IF(ISNUMBER(83:83), COLUMN(83:83)), ISNUMBER(83:83)),
  _xlpm.elos, INDEX(82:82,1,_xlpm.colj),
  _xlpm.diffscale, Constantes!$B$2,
  IF(M83="",
    "",
    SUM(1/(1+POWER(10,-(M82-_xlpm.elos)/_xlpm.diffscale)))-0.5)
)</f>
        <v/>
      </c>
      <c r="N84" t="str" cm="1">
        <f t="array" ref="N84">_xlfn.LET(
  _xlpm.colj, _xlfn._xlws.FILTER(IF(ISNUMBER(83:83), COLUMN(83:83)), ISNUMBER(83:83)),
  _xlpm.elos, INDEX(82:82,1,_xlpm.colj),
  _xlpm.diffscale, Constantes!$B$2,
  IF(N83="",
    "",
    SUM(1/(1+POWER(10,-(N82-_xlpm.elos)/_xlpm.diffscale)))-0.5)
)</f>
        <v/>
      </c>
      <c r="O84" t="str" cm="1">
        <f t="array" ref="O84">_xlfn.LET(
  _xlpm.colj, _xlfn._xlws.FILTER(IF(ISNUMBER(83:83), COLUMN(83:83)), ISNUMBER(83:83)),
  _xlpm.elos, INDEX(82:82,1,_xlpm.colj),
  _xlpm.diffscale, Constantes!$B$2,
  IF(O83="",
    "",
    SUM(1/(1+POWER(10,-(O82-_xlpm.elos)/_xlpm.diffscale)))-0.5)
)</f>
        <v/>
      </c>
      <c r="P84" t="str" cm="1">
        <f t="array" ref="P84">_xlfn.LET(
  _xlpm.colj, _xlfn._xlws.FILTER(IF(ISNUMBER(83:83), COLUMN(83:83)), ISNUMBER(83:83)),
  _xlpm.elos, INDEX(82:82,1,_xlpm.colj),
  _xlpm.diffscale, Constantes!$B$2,
  IF(P83="",
    "",
    SUM(1/(1+POWER(10,-(P82-_xlpm.elos)/_xlpm.diffscale)))-0.5)
)</f>
        <v/>
      </c>
      <c r="Q84" t="str" cm="1">
        <f t="array" ref="Q84">_xlfn.LET(
  _xlpm.colj, _xlfn._xlws.FILTER(IF(ISNUMBER(83:83), COLUMN(83:83)), ISNUMBER(83:83)),
  _xlpm.elos, INDEX(82:82,1,_xlpm.colj),
  _xlpm.diffscale, Constantes!$B$2,
  IF(Q83="",
    "",
    SUM(1/(1+POWER(10,-(Q82-_xlpm.elos)/_xlpm.diffscale)))-0.5)
)</f>
        <v/>
      </c>
      <c r="R84" cm="1">
        <f t="array" ref="R84">_xlfn.LET(
  _xlpm.colj, _xlfn._xlws.FILTER(IF(ISNUMBER(83:83), COLUMN(83:83)), ISNUMBER(83:83)),
  _xlpm.elos, INDEX(82:82,1,_xlpm.colj),
  _xlpm.diffscale, Constantes!$B$2,
  IF(R83="",
    "",
    SUM(1/(1+POWER(10,-(R82-_xlpm.elos)/_xlpm.diffscale)))-0.5)
)</f>
        <v>1.588667799380064</v>
      </c>
      <c r="S84" t="str" cm="1">
        <f t="array" ref="S84">_xlfn.LET(
  _xlpm.colj, _xlfn._xlws.FILTER(IF(ISNUMBER(83:83), COLUMN(83:83)), ISNUMBER(83:83)),
  _xlpm.elos, INDEX(82:82,1,_xlpm.colj),
  _xlpm.diffscale, Constantes!$B$2,
  IF(S83="",
    "",
    SUM(1/(1+POWER(10,-(S82-_xlpm.elos)/_xlpm.diffscale)))-0.5)
)</f>
        <v/>
      </c>
      <c r="T84" t="str" cm="1">
        <f t="array" ref="T84">_xlfn.LET(
  _xlpm.colj, _xlfn._xlws.FILTER(IF(ISNUMBER(83:83), COLUMN(83:83)), ISNUMBER(83:83)),
  _xlpm.elos, INDEX(82:82,1,_xlpm.colj),
  _xlpm.diffscale, Constantes!$B$2,
  IF(T83="",
    "",
    SUM(1/(1+POWER(10,-(T82-_xlpm.elos)/_xlpm.diffscale)))-0.5)
)</f>
        <v/>
      </c>
      <c r="U84" t="str" cm="1">
        <f t="array" ref="U84">_xlfn.LET(
  _xlpm.colj, _xlfn._xlws.FILTER(IF(ISNUMBER(83:83), COLUMN(83:83)), ISNUMBER(83:83)),
  _xlpm.elos, INDEX(82:82,1,_xlpm.colj),
  _xlpm.diffscale, Constantes!$B$2,
  IF(U83="",
    "",
    SUM(1/(1+POWER(10,-(U82-_xlpm.elos)/_xlpm.diffscale)))-0.5)
)</f>
        <v/>
      </c>
      <c r="V84" cm="1">
        <f t="array" ref="V84">_xlfn.LET(
  _xlpm.colj, _xlfn._xlws.FILTER(IF(ISNUMBER(83:83), COLUMN(83:83)), ISNUMBER(83:83)),
  _xlpm.elos, INDEX(82:82,1,_xlpm.colj),
  _xlpm.diffscale, Constantes!$B$2,
  IF(V83="",
    "",
    SUM(1/(1+POWER(10,-(V82-_xlpm.elos)/_xlpm.diffscale)))-0.5)
)</f>
        <v>1.1335812728117958</v>
      </c>
      <c r="W84" t="str" cm="1">
        <f t="array" ref="W84">_xlfn.LET(
  _xlpm.colj, _xlfn._xlws.FILTER(IF(ISNUMBER(83:83), COLUMN(83:83)), ISNUMBER(83:83)),
  _xlpm.elos, INDEX(82:82,1,_xlpm.colj),
  _xlpm.diffscale, Constantes!$B$2,
  IF(W83="",
    "",
    SUM(1/(1+POWER(10,-(W82-_xlpm.elos)/_xlpm.diffscale)))-0.5)
)</f>
        <v/>
      </c>
      <c r="X84" t="str" cm="1">
        <f t="array" ref="X84">_xlfn.LET(
  _xlpm.colj, _xlfn._xlws.FILTER(IF(ISNUMBER(83:83), COLUMN(83:83)), ISNUMBER(83:83)),
  _xlpm.elos, INDEX(82:82,1,_xlpm.colj),
  _xlpm.diffscale, Constantes!$B$2,
  IF(X83="",
    "",
    SUM(1/(1+POWER(10,-(X82-_xlpm.elos)/_xlpm.diffscale)))-0.5)
)</f>
        <v/>
      </c>
      <c r="Y84" t="str" cm="1">
        <f t="array" ref="Y84">_xlfn.LET(
  _xlpm.colj, _xlfn._xlws.FILTER(IF(ISNUMBER(83:83), COLUMN(83:83)), ISNUMBER(83:83)),
  _xlpm.elos, INDEX(82:82,1,_xlpm.colj),
  _xlpm.diffscale, Constantes!$B$2,
  IF(Y83="",
    "",
    SUM(1/(1+POWER(10,-(Y82-_xlpm.elos)/_xlpm.diffscale)))-0.5)
)</f>
        <v/>
      </c>
      <c r="Z84" t="str" cm="1">
        <f t="array" ref="Z84">_xlfn.LET(
  _xlpm.colj, _xlfn._xlws.FILTER(IF(ISNUMBER(83:83), COLUMN(83:83)), ISNUMBER(83:83)),
  _xlpm.elos, INDEX(82:82,1,_xlpm.colj),
  _xlpm.diffscale, Constantes!$B$2,
  IF(Z83="",
    "",
    SUM(1/(1+POWER(10,-(Z82-_xlpm.elos)/_xlpm.diffscale)))-0.5)
)</f>
        <v/>
      </c>
      <c r="AA84" cm="1">
        <f t="array" ref="AA84">_xlfn.LET(
  _xlpm.colj, _xlfn._xlws.FILTER(IF(ISNUMBER(83:83), COLUMN(83:83)), ISNUMBER(83:83)),
  _xlpm.elos, INDEX(82:82,1,_xlpm.colj),
  _xlpm.diffscale, Constantes!$B$2,
  IF(AA83="",
    "",
    SUM(1/(1+POWER(10,-(AA82-_xlpm.elos)/_xlpm.diffscale)))-0.5)
)</f>
        <v>1.2609375739543773</v>
      </c>
      <c r="AB84" t="str" cm="1">
        <f t="array" ref="AB84">_xlfn.LET(
  _xlpm.colj, _xlfn._xlws.FILTER(IF(ISNUMBER(83:83), COLUMN(83:83)), ISNUMBER(83:83)),
  _xlpm.elos, INDEX(82:82,1,_xlpm.colj),
  _xlpm.diffscale, Constantes!$B$2,
  IF(AB83="",
    "",
    SUM(1/(1+POWER(10,-(AB82-_xlpm.elos)/_xlpm.diffscale)))-0.5)
)</f>
        <v/>
      </c>
      <c r="AC84" t="str" cm="1">
        <f t="array" ref="AC84">_xlfn.LET(
  _xlpm.colj, _xlfn._xlws.FILTER(IF(ISNUMBER(83:83), COLUMN(83:83)), ISNUMBER(83:83)),
  _xlpm.elos, INDEX(82:82,1,_xlpm.colj),
  _xlpm.diffscale, Constantes!$B$2,
  IF(AC83="",
    "",
    SUM(1/(1+POWER(10,-(AC82-_xlpm.elos)/_xlpm.diffscale)))-0.5)
)</f>
        <v/>
      </c>
      <c r="AD84" t="str" cm="1">
        <f t="array" ref="AD84">_xlfn.LET(
  _xlpm.colj, _xlfn._xlws.FILTER(IF(ISNUMBER(83:83), COLUMN(83:83)), ISNUMBER(83:83)),
  _xlpm.elos, INDEX(82:82,1,_xlpm.colj),
  _xlpm.diffscale, Constantes!$B$2,
  IF(AD83="",
    "",
    SUM(1/(1+POWER(10,-(AD82-_xlpm.elos)/_xlpm.diffscale)))-0.5)
)</f>
        <v/>
      </c>
      <c r="AE84" t="str" cm="1">
        <f t="array" ref="AE84">_xlfn.LET(
  _xlpm.colj, _xlfn._xlws.FILTER(IF(ISNUMBER(83:83), COLUMN(83:83)), ISNUMBER(83:83)),
  _xlpm.elos, INDEX(82:82,1,_xlpm.colj),
  _xlpm.diffscale, Constantes!$B$2,
  IF(AE83="",
    "",
    SUM(1/(1+POWER(10,-(AE82-_xlpm.elos)/_xlpm.diffscale)))-0.5)
)</f>
        <v/>
      </c>
      <c r="AF84" t="str" cm="1">
        <f t="array" ref="AF84">_xlfn.LET(
  _xlpm.colj, _xlfn._xlws.FILTER(IF(ISNUMBER(83:83), COLUMN(83:83)), ISNUMBER(83:83)),
  _xlpm.elos, INDEX(82:82,1,_xlpm.colj),
  _xlpm.diffscale, Constantes!$B$2,
  IF(AF83="",
    "",
    SUM(1/(1+POWER(10,-(AF82-_xlpm.elos)/_xlpm.diffscale)))-0.5)
)</f>
        <v/>
      </c>
      <c r="AG84" t="str" cm="1">
        <f t="array" ref="AG84">_xlfn.LET(
  _xlpm.colj, _xlfn._xlws.FILTER(IF(ISNUMBER(83:83), COLUMN(83:83)), ISNUMBER(83:83)),
  _xlpm.elos, INDEX(82:82,1,_xlpm.colj),
  _xlpm.diffscale, Constantes!$B$2,
  IF(AG83="",
    "",
    SUM(1/(1+POWER(10,-(AG82-_xlpm.elos)/_xlpm.diffscale)))-0.5)
)</f>
        <v/>
      </c>
      <c r="AH84" t="str" cm="1">
        <f t="array" ref="AH84">_xlfn.LET(
  _xlpm.colj, _xlfn._xlws.FILTER(IF(ISNUMBER(83:83), COLUMN(83:83)), ISNUMBER(83:83)),
  _xlpm.elos, INDEX(82:82,1,_xlpm.colj),
  _xlpm.diffscale, Constantes!$B$2,
  IF(AH83="",
    "",
    SUM(1/(1+POWER(10,-(AH82-_xlpm.elos)/_xlpm.diffscale)))-0.5)
)</f>
        <v/>
      </c>
      <c r="AI84" t="str" cm="1">
        <f t="array" ref="AI84">_xlfn.LET(
  _xlpm.colj, _xlfn._xlws.FILTER(IF(ISNUMBER(83:83), COLUMN(83:83)), ISNUMBER(83:83)),
  _xlpm.elos, INDEX(82:82,1,_xlpm.colj),
  _xlpm.diffscale, Constantes!$B$2,
  IF(AI83="",
    "",
    SUM(1/(1+POWER(10,-(AI82-_xlpm.elos)/_xlpm.diffscale)))-0.5)
)</f>
        <v/>
      </c>
      <c r="AJ84" t="str" cm="1">
        <f t="array" ref="AJ84">_xlfn.LET(
  _xlpm.colj, _xlfn._xlws.FILTER(IF(ISNUMBER(83:83), COLUMN(83:83)), ISNUMBER(83:83)),
  _xlpm.elos, INDEX(82:82,1,_xlpm.colj),
  _xlpm.diffscale, Constantes!$B$2,
  IF(AJ83="",
    "",
    SUM(1/(1+POWER(10,-(AJ82-_xlpm.elos)/_xlpm.diffscale)))-0.5)
)</f>
        <v/>
      </c>
      <c r="AK84" t="str" cm="1">
        <f t="array" ref="AK84">_xlfn.LET(
  _xlpm.colj, _xlfn._xlws.FILTER(IF(ISNUMBER(83:83), COLUMN(83:83)), ISNUMBER(83:83)),
  _xlpm.elos, INDEX(82:82,1,_xlpm.colj),
  _xlpm.diffscale, Constantes!$B$2,
  IF(AK83="",
    "",
    SUM(1/(1+POWER(10,-(AK82-_xlpm.elos)/_xlpm.diffscale)))-0.5)
)</f>
        <v/>
      </c>
      <c r="AL84" t="str" cm="1">
        <f t="array" ref="AL84">_xlfn.LET(
  _xlpm.colj, _xlfn._xlws.FILTER(IF(ISNUMBER(83:83), COLUMN(83:83)), ISNUMBER(83:83)),
  _xlpm.elos, INDEX(82:82,1,_xlpm.colj),
  _xlpm.diffscale, Constantes!$B$2,
  IF(AL83="",
    "",
    SUM(1/(1+POWER(10,-(AL82-_xlpm.elos)/_xlpm.diffscale)))-0.5)
)</f>
        <v/>
      </c>
      <c r="AM84" t="str" cm="1">
        <f t="array" ref="AM84">_xlfn.LET(
  _xlpm.colj, _xlfn._xlws.FILTER(IF(ISNUMBER(83:83), COLUMN(83:83)), ISNUMBER(83:83)),
  _xlpm.elos, INDEX(82:82,1,_xlpm.colj),
  _xlpm.diffscale, Constantes!$B$2,
  IF(AM83="",
    "",
    SUM(1/(1+POWER(10,-(AM82-_xlpm.elos)/_xlpm.diffscale)))-0.5)
)</f>
        <v/>
      </c>
    </row>
    <row r="85" spans="1:39" x14ac:dyDescent="0.25">
      <c r="A85" t="s">
        <v>22</v>
      </c>
      <c r="D85" t="str" cm="1">
        <f t="array" ref="D85">_xlfn.LET(
  _xlpm.K, Constantes!$B$3,
  _xlpm.Knewgain, Constantes!$B$4,
  _xlpm.Knewscale, Constantes!$B$5,
  _xlpm.ptstables, INDEX(D:D, _xlfn.SEQUENCE(COUNTA($C$2:$C85), 1, 3, 4)),
  _xlpm.nbparties, COUNTA(_xlfn._xlws.FILTER(_xlpm.ptstables, _xlpm.ptstables &lt;&gt; "")),
  _xlpm.coef, _xlpm.K + _xlpm.Knewgain / (_xlpm.Knewscale + _xlpm.nbparties),
  IF(D83="",
    "",
    _xlpm.coef * (D83-D84))
)</f>
        <v/>
      </c>
      <c r="E85" cm="1">
        <f t="array" ref="E85">_xlfn.LET(
  _xlpm.K, Constantes!$B$3,
  _xlpm.Knewgain, Constantes!$B$4,
  _xlpm.Knewscale, Constantes!$B$5,
  _xlpm.ptstables, INDEX(E:E, _xlfn.SEQUENCE(COUNTA($C$2:$C85), 1, 3, 4)),
  _xlpm.nbparties, COUNTA(_xlfn._xlws.FILTER(_xlpm.ptstables, _xlpm.ptstables &lt;&gt; "")),
  _xlpm.coef, _xlpm.K + _xlpm.Knewgain / (_xlpm.Knewscale + _xlpm.nbparties),
  IF(E83="",
    "",
    _xlpm.coef * (E83-E84))
)</f>
        <v>-24.958145958228734</v>
      </c>
      <c r="F85" t="str" cm="1">
        <f t="array" ref="F85">_xlfn.LET(
  _xlpm.K, Constantes!$B$3,
  _xlpm.Knewgain, Constantes!$B$4,
  _xlpm.Knewscale, Constantes!$B$5,
  _xlpm.ptstables, INDEX(F:F, _xlfn.SEQUENCE(COUNTA($C$2:$C85), 1, 3, 4)),
  _xlpm.nbparties, COUNTA(_xlfn._xlws.FILTER(_xlpm.ptstables, _xlpm.ptstables &lt;&gt; "")),
  _xlpm.coef, _xlpm.K + _xlpm.Knewgain / (_xlpm.Knewscale + _xlpm.nbparties),
  IF(F83="",
    "",
    _xlpm.coef * (F83-F84))
)</f>
        <v/>
      </c>
      <c r="G85" t="str" cm="1">
        <f t="array" ref="G85">_xlfn.LET(
  _xlpm.K, Constantes!$B$3,
  _xlpm.Knewgain, Constantes!$B$4,
  _xlpm.Knewscale, Constantes!$B$5,
  _xlpm.ptstables, INDEX(G:G, _xlfn.SEQUENCE(COUNTA($C$2:$C85), 1, 3, 4)),
  _xlpm.nbparties, COUNTA(_xlfn._xlws.FILTER(_xlpm.ptstables, _xlpm.ptstables &lt;&gt; "")),
  _xlpm.coef, _xlpm.K + _xlpm.Knewgain / (_xlpm.Knewscale + _xlpm.nbparties),
  IF(G83="",
    "",
    _xlpm.coef * (G83-G84))
)</f>
        <v/>
      </c>
      <c r="H85" t="str" cm="1">
        <f t="array" ref="H85">_xlfn.LET(
  _xlpm.K, Constantes!$B$3,
  _xlpm.Knewgain, Constantes!$B$4,
  _xlpm.Knewscale, Constantes!$B$5,
  _xlpm.ptstables, INDEX(H:H, _xlfn.SEQUENCE(COUNTA($C$2:$C85), 1, 3, 4)),
  _xlpm.nbparties, COUNTA(_xlfn._xlws.FILTER(_xlpm.ptstables, _xlpm.ptstables &lt;&gt; "")),
  _xlpm.coef, _xlpm.K + _xlpm.Knewgain / (_xlpm.Knewscale + _xlpm.nbparties),
  IF(H83="",
    "",
    _xlpm.coef * (H83-H84))
)</f>
        <v/>
      </c>
      <c r="I85" t="str" cm="1">
        <f t="array" ref="I85">_xlfn.LET(
  _xlpm.K, Constantes!$B$3,
  _xlpm.Knewgain, Constantes!$B$4,
  _xlpm.Knewscale, Constantes!$B$5,
  _xlpm.ptstables, INDEX(I:I, _xlfn.SEQUENCE(COUNTA($C$2:$C85), 1, 3, 4)),
  _xlpm.nbparties, COUNTA(_xlfn._xlws.FILTER(_xlpm.ptstables, _xlpm.ptstables &lt;&gt; "")),
  _xlpm.coef, _xlpm.K + _xlpm.Knewgain / (_xlpm.Knewscale + _xlpm.nbparties),
  IF(I83="",
    "",
    _xlpm.coef * (I83-I84))
)</f>
        <v/>
      </c>
      <c r="J85" t="str" cm="1">
        <f t="array" ref="J85">_xlfn.LET(
  _xlpm.K, Constantes!$B$3,
  _xlpm.Knewgain, Constantes!$B$4,
  _xlpm.Knewscale, Constantes!$B$5,
  _xlpm.ptstables, INDEX(J:J, _xlfn.SEQUENCE(COUNTA($C$2:$C85), 1, 3, 4)),
  _xlpm.nbparties, COUNTA(_xlfn._xlws.FILTER(_xlpm.ptstables, _xlpm.ptstables &lt;&gt; "")),
  _xlpm.coef, _xlpm.K + _xlpm.Knewgain / (_xlpm.Knewscale + _xlpm.nbparties),
  IF(J83="",
    "",
    _xlpm.coef * (J83-J84))
)</f>
        <v/>
      </c>
      <c r="K85" t="str" cm="1">
        <f t="array" ref="K85">_xlfn.LET(
  _xlpm.K, Constantes!$B$3,
  _xlpm.Knewgain, Constantes!$B$4,
  _xlpm.Knewscale, Constantes!$B$5,
  _xlpm.ptstables, INDEX(K:K, _xlfn.SEQUENCE(COUNTA($C$2:$C85), 1, 3, 4)),
  _xlpm.nbparties, COUNTA(_xlfn._xlws.FILTER(_xlpm.ptstables, _xlpm.ptstables &lt;&gt; "")),
  _xlpm.coef, _xlpm.K + _xlpm.Knewgain / (_xlpm.Knewscale + _xlpm.nbparties),
  IF(K83="",
    "",
    _xlpm.coef * (K83-K84))
)</f>
        <v/>
      </c>
      <c r="L85" t="str" cm="1">
        <f t="array" ref="L85">_xlfn.LET(
  _xlpm.K, Constantes!$B$3,
  _xlpm.Knewgain, Constantes!$B$4,
  _xlpm.Knewscale, Constantes!$B$5,
  _xlpm.ptstables, INDEX(L:L, _xlfn.SEQUENCE(COUNTA($C$2:$C85), 1, 3, 4)),
  _xlpm.nbparties, COUNTA(_xlfn._xlws.FILTER(_xlpm.ptstables, _xlpm.ptstables &lt;&gt; "")),
  _xlpm.coef, _xlpm.K + _xlpm.Knewgain / (_xlpm.Knewscale + _xlpm.nbparties),
  IF(L83="",
    "",
    _xlpm.coef * (L83-L84))
)</f>
        <v/>
      </c>
      <c r="M85" t="str" cm="1">
        <f t="array" ref="M85">_xlfn.LET(
  _xlpm.K, Constantes!$B$3,
  _xlpm.Knewgain, Constantes!$B$4,
  _xlpm.Knewscale, Constantes!$B$5,
  _xlpm.ptstables, INDEX(M:M, _xlfn.SEQUENCE(COUNTA($C$2:$C85), 1, 3, 4)),
  _xlpm.nbparties, COUNTA(_xlfn._xlws.FILTER(_xlpm.ptstables, _xlpm.ptstables &lt;&gt; "")),
  _xlpm.coef, _xlpm.K + _xlpm.Knewgain / (_xlpm.Knewscale + _xlpm.nbparties),
  IF(M83="",
    "",
    _xlpm.coef * (M83-M84))
)</f>
        <v/>
      </c>
      <c r="N85" t="str" cm="1">
        <f t="array" ref="N85">_xlfn.LET(
  _xlpm.K, Constantes!$B$3,
  _xlpm.Knewgain, Constantes!$B$4,
  _xlpm.Knewscale, Constantes!$B$5,
  _xlpm.ptstables, INDEX(N:N, _xlfn.SEQUENCE(COUNTA($C$2:$C85), 1, 3, 4)),
  _xlpm.nbparties, COUNTA(_xlfn._xlws.FILTER(_xlpm.ptstables, _xlpm.ptstables &lt;&gt; "")),
  _xlpm.coef, _xlpm.K + _xlpm.Knewgain / (_xlpm.Knewscale + _xlpm.nbparties),
  IF(N83="",
    "",
    _xlpm.coef * (N83-N84))
)</f>
        <v/>
      </c>
      <c r="O85" t="str" cm="1">
        <f t="array" ref="O85">_xlfn.LET(
  _xlpm.K, Constantes!$B$3,
  _xlpm.Knewgain, Constantes!$B$4,
  _xlpm.Knewscale, Constantes!$B$5,
  _xlpm.ptstables, INDEX(O:O, _xlfn.SEQUENCE(COUNTA($C$2:$C85), 1, 3, 4)),
  _xlpm.nbparties, COUNTA(_xlfn._xlws.FILTER(_xlpm.ptstables, _xlpm.ptstables &lt;&gt; "")),
  _xlpm.coef, _xlpm.K + _xlpm.Knewgain / (_xlpm.Knewscale + _xlpm.nbparties),
  IF(O83="",
    "",
    _xlpm.coef * (O83-O84))
)</f>
        <v/>
      </c>
      <c r="P85" t="str" cm="1">
        <f t="array" ref="P85">_xlfn.LET(
  _xlpm.K, Constantes!$B$3,
  _xlpm.Knewgain, Constantes!$B$4,
  _xlpm.Knewscale, Constantes!$B$5,
  _xlpm.ptstables, INDEX(P:P, _xlfn.SEQUENCE(COUNTA($C$2:$C85), 1, 3, 4)),
  _xlpm.nbparties, COUNTA(_xlfn._xlws.FILTER(_xlpm.ptstables, _xlpm.ptstables &lt;&gt; "")),
  _xlpm.coef, _xlpm.K + _xlpm.Knewgain / (_xlpm.Knewscale + _xlpm.nbparties),
  IF(P83="",
    "",
    _xlpm.coef * (P83-P84))
)</f>
        <v/>
      </c>
      <c r="Q85" t="str" cm="1">
        <f t="array" ref="Q85">_xlfn.LET(
  _xlpm.K, Constantes!$B$3,
  _xlpm.Knewgain, Constantes!$B$4,
  _xlpm.Knewscale, Constantes!$B$5,
  _xlpm.ptstables, INDEX(Q:Q, _xlfn.SEQUENCE(COUNTA($C$2:$C85), 1, 3, 4)),
  _xlpm.nbparties, COUNTA(_xlfn._xlws.FILTER(_xlpm.ptstables, _xlpm.ptstables &lt;&gt; "")),
  _xlpm.coef, _xlpm.K + _xlpm.Knewgain / (_xlpm.Knewscale + _xlpm.nbparties),
  IF(Q83="",
    "",
    _xlpm.coef * (Q83-Q84))
)</f>
        <v/>
      </c>
      <c r="R85" cm="1">
        <f t="array" ref="R85">_xlfn.LET(
  _xlpm.K, Constantes!$B$3,
  _xlpm.Knewgain, Constantes!$B$4,
  _xlpm.Knewscale, Constantes!$B$5,
  _xlpm.ptstables, INDEX(R:R, _xlfn.SEQUENCE(COUNTA($C$2:$C85), 1, 3, 4)),
  _xlpm.nbparties, COUNTA(_xlfn._xlws.FILTER(_xlpm.ptstables, _xlpm.ptstables &lt;&gt; "")),
  _xlpm.coef, _xlpm.K + _xlpm.Knewgain / (_xlpm.Knewscale + _xlpm.nbparties),
  IF(R83="",
    "",
    _xlpm.coef * (R83-R84))
)</f>
        <v>39.987745684231527</v>
      </c>
      <c r="S85" t="str" cm="1">
        <f t="array" ref="S85">_xlfn.LET(
  _xlpm.K, Constantes!$B$3,
  _xlpm.Knewgain, Constantes!$B$4,
  _xlpm.Knewscale, Constantes!$B$5,
  _xlpm.ptstables, INDEX(S:S, _xlfn.SEQUENCE(COUNTA($C$2:$C85), 1, 3, 4)),
  _xlpm.nbparties, COUNTA(_xlfn._xlws.FILTER(_xlpm.ptstables, _xlpm.ptstables &lt;&gt; "")),
  _xlpm.coef, _xlpm.K + _xlpm.Knewgain / (_xlpm.Knewscale + _xlpm.nbparties),
  IF(S83="",
    "",
    _xlpm.coef * (S83-S84))
)</f>
        <v/>
      </c>
      <c r="T85" t="str" cm="1">
        <f t="array" ref="T85">_xlfn.LET(
  _xlpm.K, Constantes!$B$3,
  _xlpm.Knewgain, Constantes!$B$4,
  _xlpm.Knewscale, Constantes!$B$5,
  _xlpm.ptstables, INDEX(T:T, _xlfn.SEQUENCE(COUNTA($C$2:$C85), 1, 3, 4)),
  _xlpm.nbparties, COUNTA(_xlfn._xlws.FILTER(_xlpm.ptstables, _xlpm.ptstables &lt;&gt; "")),
  _xlpm.coef, _xlpm.K + _xlpm.Knewgain / (_xlpm.Knewscale + _xlpm.nbparties),
  IF(T83="",
    "",
    _xlpm.coef * (T83-T84))
)</f>
        <v/>
      </c>
      <c r="U85" t="str" cm="1">
        <f t="array" ref="U85">_xlfn.LET(
  _xlpm.K, Constantes!$B$3,
  _xlpm.Knewgain, Constantes!$B$4,
  _xlpm.Knewscale, Constantes!$B$5,
  _xlpm.ptstables, INDEX(U:U, _xlfn.SEQUENCE(COUNTA($C$2:$C85), 1, 3, 4)),
  _xlpm.nbparties, COUNTA(_xlfn._xlws.FILTER(_xlpm.ptstables, _xlpm.ptstables &lt;&gt; "")),
  _xlpm.coef, _xlpm.K + _xlpm.Knewgain / (_xlpm.Knewscale + _xlpm.nbparties),
  IF(U83="",
    "",
    _xlpm.coef * (U83-U84))
)</f>
        <v/>
      </c>
      <c r="V85" cm="1">
        <f t="array" ref="V85">_xlfn.LET(
  _xlpm.K, Constantes!$B$3,
  _xlpm.Knewgain, Constantes!$B$4,
  _xlpm.Knewscale, Constantes!$B$5,
  _xlpm.ptstables, INDEX(V:V, _xlfn.SEQUENCE(COUNTA($C$2:$C85), 1, 3, 4)),
  _xlpm.nbparties, COUNTA(_xlfn._xlws.FILTER(_xlpm.ptstables, _xlpm.ptstables &lt;&gt; "")),
  _xlpm.coef, _xlpm.K + _xlpm.Knewgain / (_xlpm.Knewscale + _xlpm.nbparties),
  IF(V83="",
    "",
    _xlpm.coef * (V83-V84))
)</f>
        <v>-36.841391366383363</v>
      </c>
      <c r="W85" t="str" cm="1">
        <f t="array" ref="W85">_xlfn.LET(
  _xlpm.K, Constantes!$B$3,
  _xlpm.Knewgain, Constantes!$B$4,
  _xlpm.Knewscale, Constantes!$B$5,
  _xlpm.ptstables, INDEX(W:W, _xlfn.SEQUENCE(COUNTA($C$2:$C85), 1, 3, 4)),
  _xlpm.nbparties, COUNTA(_xlfn._xlws.FILTER(_xlpm.ptstables, _xlpm.ptstables &lt;&gt; "")),
  _xlpm.coef, _xlpm.K + _xlpm.Knewgain / (_xlpm.Knewscale + _xlpm.nbparties),
  IF(W83="",
    "",
    _xlpm.coef * (W83-W84))
)</f>
        <v/>
      </c>
      <c r="X85" t="str" cm="1">
        <f t="array" ref="X85">_xlfn.LET(
  _xlpm.K, Constantes!$B$3,
  _xlpm.Knewgain, Constantes!$B$4,
  _xlpm.Knewscale, Constantes!$B$5,
  _xlpm.ptstables, INDEX(X:X, _xlfn.SEQUENCE(COUNTA($C$2:$C85), 1, 3, 4)),
  _xlpm.nbparties, COUNTA(_xlfn._xlws.FILTER(_xlpm.ptstables, _xlpm.ptstables &lt;&gt; "")),
  _xlpm.coef, _xlpm.K + _xlpm.Knewgain / (_xlpm.Knewscale + _xlpm.nbparties),
  IF(X83="",
    "",
    _xlpm.coef * (X83-X84))
)</f>
        <v/>
      </c>
      <c r="Y85" t="str" cm="1">
        <f t="array" ref="Y85">_xlfn.LET(
  _xlpm.K, Constantes!$B$3,
  _xlpm.Knewgain, Constantes!$B$4,
  _xlpm.Knewscale, Constantes!$B$5,
  _xlpm.ptstables, INDEX(Y:Y, _xlfn.SEQUENCE(COUNTA($C$2:$C85), 1, 3, 4)),
  _xlpm.nbparties, COUNTA(_xlfn._xlws.FILTER(_xlpm.ptstables, _xlpm.ptstables &lt;&gt; "")),
  _xlpm.coef, _xlpm.K + _xlpm.Knewgain / (_xlpm.Knewscale + _xlpm.nbparties),
  IF(Y83="",
    "",
    _xlpm.coef * (Y83-Y84))
)</f>
        <v/>
      </c>
      <c r="Z85" t="str" cm="1">
        <f t="array" ref="Z85">_xlfn.LET(
  _xlpm.K, Constantes!$B$3,
  _xlpm.Knewgain, Constantes!$B$4,
  _xlpm.Knewscale, Constantes!$B$5,
  _xlpm.ptstables, INDEX(Z:Z, _xlfn.SEQUENCE(COUNTA($C$2:$C85), 1, 3, 4)),
  _xlpm.nbparties, COUNTA(_xlfn._xlws.FILTER(_xlpm.ptstables, _xlpm.ptstables &lt;&gt; "")),
  _xlpm.coef, _xlpm.K + _xlpm.Knewgain / (_xlpm.Knewscale + _xlpm.nbparties),
  IF(Z83="",
    "",
    _xlpm.coef * (Z83-Z84))
)</f>
        <v/>
      </c>
      <c r="AA85" cm="1">
        <f t="array" ref="AA85">_xlfn.LET(
  _xlpm.K, Constantes!$B$3,
  _xlpm.Knewgain, Constantes!$B$4,
  _xlpm.Knewscale, Constantes!$B$5,
  _xlpm.ptstables, INDEX(AA:AA, _xlfn.SEQUENCE(COUNTA($C$2:$C85), 1, 3, 4)),
  _xlpm.nbparties, COUNTA(_xlfn._xlws.FILTER(_xlpm.ptstables, _xlpm.ptstables &lt;&gt; "")),
  _xlpm.coef, _xlpm.K + _xlpm.Knewgain / (_xlpm.Knewscale + _xlpm.nbparties),
  IF(AA83="",
    "",
    _xlpm.coef * (AA83-AA84))
)</f>
        <v>33.257809172053022</v>
      </c>
      <c r="AB85" t="str" cm="1">
        <f t="array" ref="AB85">_xlfn.LET(
  _xlpm.K, Constantes!$B$3,
  _xlpm.Knewgain, Constantes!$B$4,
  _xlpm.Knewscale, Constantes!$B$5,
  _xlpm.ptstables, INDEX(AB:AB, _xlfn.SEQUENCE(COUNTA($C$2:$C85), 1, 3, 4)),
  _xlpm.nbparties, COUNTA(_xlfn._xlws.FILTER(_xlpm.ptstables, _xlpm.ptstables &lt;&gt; "")),
  _xlpm.coef, _xlpm.K + _xlpm.Knewgain / (_xlpm.Knewscale + _xlpm.nbparties),
  IF(AB83="",
    "",
    _xlpm.coef * (AB83-AB84))
)</f>
        <v/>
      </c>
      <c r="AC85" t="str" cm="1">
        <f t="array" ref="AC85">_xlfn.LET(
  _xlpm.K, Constantes!$B$3,
  _xlpm.Knewgain, Constantes!$B$4,
  _xlpm.Knewscale, Constantes!$B$5,
  _xlpm.ptstables, INDEX(AC:AC, _xlfn.SEQUENCE(COUNTA($C$2:$C85), 1, 3, 4)),
  _xlpm.nbparties, COUNTA(_xlfn._xlws.FILTER(_xlpm.ptstables, _xlpm.ptstables &lt;&gt; "")),
  _xlpm.coef, _xlpm.K + _xlpm.Knewgain / (_xlpm.Knewscale + _xlpm.nbparties),
  IF(AC83="",
    "",
    _xlpm.coef * (AC83-AC84))
)</f>
        <v/>
      </c>
      <c r="AD85" t="str" cm="1">
        <f t="array" ref="AD85">_xlfn.LET(
  _xlpm.K, Constantes!$B$3,
  _xlpm.Knewgain, Constantes!$B$4,
  _xlpm.Knewscale, Constantes!$B$5,
  _xlpm.ptstables, INDEX(AD:AD, _xlfn.SEQUENCE(COUNTA($C$2:$C85), 1, 3, 4)),
  _xlpm.nbparties, COUNTA(_xlfn._xlws.FILTER(_xlpm.ptstables, _xlpm.ptstables &lt;&gt; "")),
  _xlpm.coef, _xlpm.K + _xlpm.Knewgain / (_xlpm.Knewscale + _xlpm.nbparties),
  IF(AD83="",
    "",
    _xlpm.coef * (AD83-AD84))
)</f>
        <v/>
      </c>
      <c r="AE85" t="str" cm="1">
        <f t="array" ref="AE85">_xlfn.LET(
  _xlpm.K, Constantes!$B$3,
  _xlpm.Knewgain, Constantes!$B$4,
  _xlpm.Knewscale, Constantes!$B$5,
  _xlpm.ptstables, INDEX(AE:AE, _xlfn.SEQUENCE(COUNTA($C$2:$C85), 1, 3, 4)),
  _xlpm.nbparties, COUNTA(_xlfn._xlws.FILTER(_xlpm.ptstables, _xlpm.ptstables &lt;&gt; "")),
  _xlpm.coef, _xlpm.K + _xlpm.Knewgain / (_xlpm.Knewscale + _xlpm.nbparties),
  IF(AE83="",
    "",
    _xlpm.coef * (AE83-AE84))
)</f>
        <v/>
      </c>
      <c r="AF85" t="str" cm="1">
        <f t="array" ref="AF85">_xlfn.LET(
  _xlpm.K, Constantes!$B$3,
  _xlpm.Knewgain, Constantes!$B$4,
  _xlpm.Knewscale, Constantes!$B$5,
  _xlpm.ptstables, INDEX(AF:AF, _xlfn.SEQUENCE(COUNTA($C$2:$C85), 1, 3, 4)),
  _xlpm.nbparties, COUNTA(_xlfn._xlws.FILTER(_xlpm.ptstables, _xlpm.ptstables &lt;&gt; "")),
  _xlpm.coef, _xlpm.K + _xlpm.Knewgain / (_xlpm.Knewscale + _xlpm.nbparties),
  IF(AF83="",
    "",
    _xlpm.coef * (AF83-AF84))
)</f>
        <v/>
      </c>
      <c r="AG85" t="str" cm="1">
        <f t="array" ref="AG85">_xlfn.LET(
  _xlpm.K, Constantes!$B$3,
  _xlpm.Knewgain, Constantes!$B$4,
  _xlpm.Knewscale, Constantes!$B$5,
  _xlpm.ptstables, INDEX(AG:AG, _xlfn.SEQUENCE(COUNTA($C$2:$C85), 1, 3, 4)),
  _xlpm.nbparties, COUNTA(_xlfn._xlws.FILTER(_xlpm.ptstables, _xlpm.ptstables &lt;&gt; "")),
  _xlpm.coef, _xlpm.K + _xlpm.Knewgain / (_xlpm.Knewscale + _xlpm.nbparties),
  IF(AG83="",
    "",
    _xlpm.coef * (AG83-AG84))
)</f>
        <v/>
      </c>
      <c r="AH85" t="str" cm="1">
        <f t="array" ref="AH85">_xlfn.LET(
  _xlpm.K, Constantes!$B$3,
  _xlpm.Knewgain, Constantes!$B$4,
  _xlpm.Knewscale, Constantes!$B$5,
  _xlpm.ptstables, INDEX(AH:AH, _xlfn.SEQUENCE(COUNTA($C$2:$C85), 1, 3, 4)),
  _xlpm.nbparties, COUNTA(_xlfn._xlws.FILTER(_xlpm.ptstables, _xlpm.ptstables &lt;&gt; "")),
  _xlpm.coef, _xlpm.K + _xlpm.Knewgain / (_xlpm.Knewscale + _xlpm.nbparties),
  IF(AH83="",
    "",
    _xlpm.coef * (AH83-AH84))
)</f>
        <v/>
      </c>
      <c r="AI85" t="str" cm="1">
        <f t="array" ref="AI85">_xlfn.LET(
  _xlpm.K, Constantes!$B$3,
  _xlpm.Knewgain, Constantes!$B$4,
  _xlpm.Knewscale, Constantes!$B$5,
  _xlpm.ptstables, INDEX(AI:AI, _xlfn.SEQUENCE(COUNTA($C$2:$C85), 1, 3, 4)),
  _xlpm.nbparties, COUNTA(_xlfn._xlws.FILTER(_xlpm.ptstables, _xlpm.ptstables &lt;&gt; "")),
  _xlpm.coef, _xlpm.K + _xlpm.Knewgain / (_xlpm.Knewscale + _xlpm.nbparties),
  IF(AI83="",
    "",
    _xlpm.coef * (AI83-AI84))
)</f>
        <v/>
      </c>
      <c r="AJ85" t="str" cm="1">
        <f t="array" ref="AJ85">_xlfn.LET(
  _xlpm.K, Constantes!$B$3,
  _xlpm.Knewgain, Constantes!$B$4,
  _xlpm.Knewscale, Constantes!$B$5,
  _xlpm.ptstables, INDEX(AJ:AJ, _xlfn.SEQUENCE(COUNTA($C$2:$C85), 1, 3, 4)),
  _xlpm.nbparties, COUNTA(_xlfn._xlws.FILTER(_xlpm.ptstables, _xlpm.ptstables &lt;&gt; "")),
  _xlpm.coef, _xlpm.K + _xlpm.Knewgain / (_xlpm.Knewscale + _xlpm.nbparties),
  IF(AJ83="",
    "",
    _xlpm.coef * (AJ83-AJ84))
)</f>
        <v/>
      </c>
      <c r="AK85" t="str" cm="1">
        <f t="array" ref="AK85">_xlfn.LET(
  _xlpm.K, Constantes!$B$3,
  _xlpm.Knewgain, Constantes!$B$4,
  _xlpm.Knewscale, Constantes!$B$5,
  _xlpm.ptstables, INDEX(AK:AK, _xlfn.SEQUENCE(COUNTA($C$2:$C85), 1, 3, 4)),
  _xlpm.nbparties, COUNTA(_xlfn._xlws.FILTER(_xlpm.ptstables, _xlpm.ptstables &lt;&gt; "")),
  _xlpm.coef, _xlpm.K + _xlpm.Knewgain / (_xlpm.Knewscale + _xlpm.nbparties),
  IF(AK83="",
    "",
    _xlpm.coef * (AK83-AK84))
)</f>
        <v/>
      </c>
      <c r="AL85" t="str" cm="1">
        <f t="array" ref="AL85">_xlfn.LET(
  _xlpm.K, Constantes!$B$3,
  _xlpm.Knewgain, Constantes!$B$4,
  _xlpm.Knewscale, Constantes!$B$5,
  _xlpm.ptstables, INDEX(AL:AL, _xlfn.SEQUENCE(COUNTA($C$2:$C85), 1, 3, 4)),
  _xlpm.nbparties, COUNTA(_xlfn._xlws.FILTER(_xlpm.ptstables, _xlpm.ptstables &lt;&gt; "")),
  _xlpm.coef, _xlpm.K + _xlpm.Knewgain / (_xlpm.Knewscale + _xlpm.nbparties),
  IF(AL83="",
    "",
    _xlpm.coef * (AL83-AL84))
)</f>
        <v/>
      </c>
      <c r="AM85" t="str" cm="1">
        <f t="array" ref="AM85">_xlfn.LET(
  _xlpm.K, Constantes!$B$3,
  _xlpm.Knewgain, Constantes!$B$4,
  _xlpm.Knewscale, Constantes!$B$5,
  _xlpm.ptstables, INDEX(AM:AM, _xlfn.SEQUENCE(COUNTA($C$2:$C85), 1, 3, 4)),
  _xlpm.nbparties, COUNTA(_xlfn._xlws.FILTER(_xlpm.ptstables, _xlpm.ptstables &lt;&gt; "")),
  _xlpm.coef, _xlpm.K + _xlpm.Knewgain / (_xlpm.Knewscale + _xlpm.nbparties),
  IF(AM83="",
    "",
    _xlpm.coef * (AM83-AM84))
)</f>
        <v/>
      </c>
    </row>
    <row r="86" spans="1:39" x14ac:dyDescent="0.25">
      <c r="A86" t="s">
        <v>14</v>
      </c>
      <c r="B86" t="str" cm="1">
        <f t="array" ref="B8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21</v>
      </c>
      <c r="C86" s="2" cm="1">
        <f t="array" ref="C86">IF(B86="","",
  INDEX(Donnees!F:F, MATCH(B86, Donnees!F:F, 0)+1))</f>
        <v>45920.590312499997</v>
      </c>
      <c r="D86">
        <f t="shared" ref="D86:AM86" si="29">D82+IF(D85="",0,D85)</f>
        <v>1108.4611161856747</v>
      </c>
      <c r="E86">
        <f t="shared" si="29"/>
        <v>1112.8771635420176</v>
      </c>
      <c r="F86">
        <f t="shared" si="29"/>
        <v>909.87928229209808</v>
      </c>
      <c r="G86">
        <f t="shared" si="29"/>
        <v>956.37970750382215</v>
      </c>
      <c r="H86">
        <f t="shared" si="29"/>
        <v>1020.3453983892952</v>
      </c>
      <c r="I86">
        <f t="shared" si="29"/>
        <v>1079.4580211094492</v>
      </c>
      <c r="J86">
        <f t="shared" si="29"/>
        <v>938.49433816478961</v>
      </c>
      <c r="K86">
        <f t="shared" si="29"/>
        <v>911.11415590373872</v>
      </c>
      <c r="L86">
        <f t="shared" si="29"/>
        <v>878.7153998467162</v>
      </c>
      <c r="M86">
        <f t="shared" si="29"/>
        <v>965.238738457664</v>
      </c>
      <c r="N86">
        <f t="shared" si="29"/>
        <v>937.60806294499946</v>
      </c>
      <c r="O86">
        <f t="shared" si="29"/>
        <v>1030.4363831507294</v>
      </c>
      <c r="P86">
        <f t="shared" si="29"/>
        <v>1043.9932888752683</v>
      </c>
      <c r="Q86">
        <f t="shared" si="29"/>
        <v>1039.0209485170767</v>
      </c>
      <c r="R86">
        <f t="shared" si="29"/>
        <v>1098.9361163640592</v>
      </c>
      <c r="S86">
        <f t="shared" si="29"/>
        <v>950.34457099410838</v>
      </c>
      <c r="T86">
        <f t="shared" si="29"/>
        <v>1135.2782658680615</v>
      </c>
      <c r="U86">
        <f t="shared" si="29"/>
        <v>1012.4141493920336</v>
      </c>
      <c r="V86">
        <f t="shared" si="29"/>
        <v>939.81992350253006</v>
      </c>
      <c r="W86">
        <f t="shared" si="29"/>
        <v>936.79085942937002</v>
      </c>
      <c r="X86">
        <f t="shared" si="29"/>
        <v>852.64794693163367</v>
      </c>
      <c r="Y86">
        <f t="shared" si="29"/>
        <v>913.98582058905436</v>
      </c>
      <c r="Z86">
        <f t="shared" si="29"/>
        <v>991.11904139672549</v>
      </c>
      <c r="AA86">
        <f t="shared" si="29"/>
        <v>1033.2578091720529</v>
      </c>
      <c r="AB86">
        <f t="shared" si="29"/>
        <v>979.56500000000005</v>
      </c>
      <c r="AC86">
        <f t="shared" si="29"/>
        <v>1032.51</v>
      </c>
      <c r="AD86">
        <f t="shared" si="29"/>
        <v>974.01499999999999</v>
      </c>
      <c r="AE86">
        <f t="shared" si="29"/>
        <v>1011.415</v>
      </c>
      <c r="AF86">
        <f t="shared" si="29"/>
        <v>1031.1199999999999</v>
      </c>
      <c r="AG86">
        <f t="shared" si="29"/>
        <v>1001.0350000000001</v>
      </c>
      <c r="AH86">
        <f t="shared" si="29"/>
        <v>994.44</v>
      </c>
      <c r="AI86">
        <f t="shared" si="29"/>
        <v>1000</v>
      </c>
      <c r="AJ86">
        <f t="shared" si="29"/>
        <v>957.2</v>
      </c>
      <c r="AK86">
        <f t="shared" si="29"/>
        <v>1000</v>
      </c>
      <c r="AL86">
        <f t="shared" si="29"/>
        <v>1055.9299999999998</v>
      </c>
      <c r="AM86">
        <f t="shared" si="29"/>
        <v>1000</v>
      </c>
    </row>
    <row r="87" spans="1:39" x14ac:dyDescent="0.25">
      <c r="A87" t="s">
        <v>21</v>
      </c>
      <c r="D87" t="str" cm="1">
        <f t="array" ref="D87">IFERROR(
  _xlfn.LET(
    _xlpm.ligpartie, MATCH($B86, Donnees!$F:$F, 0),
    _xlpm.joueurs, INDEX(Donnees!$A:$Z, _xlpm.ligpartie+1, _xlfn.SEQUENCE(1, 4, 2)),
    INDEX(
      Donnees!$A:$Z,
      _xlpm.ligpartie + 3,
      MATCH(D$1, _xlpm.joueurs, 0) + 1
    )
  ), ""
)</f>
        <v/>
      </c>
      <c r="E87" t="str" cm="1">
        <f t="array" ref="E87">IFERROR(
  _xlfn.LET(
    _xlpm.ligpartie, MATCH($B86, Donnees!$F:$F, 0),
    _xlpm.joueurs, INDEX(Donnees!$A:$Z, _xlpm.ligpartie+1, _xlfn.SEQUENCE(1, 4, 2)),
    INDEX(
      Donnees!$A:$Z,
      _xlpm.ligpartie + 3,
      MATCH(E$1, _xlpm.joueurs, 0) + 1
    )
  ), ""
)</f>
        <v/>
      </c>
      <c r="F87" cm="1">
        <f t="array" ref="F87">IFERROR(
  _xlfn.LET(
    _xlpm.ligpartie, MATCH($B86, Donnees!$F:$F, 0),
    _xlpm.joueurs, INDEX(Donnees!$A:$Z, _xlpm.ligpartie+1, _xlfn.SEQUENCE(1, 4, 2)),
    INDEX(
      Donnees!$A:$Z,
      _xlpm.ligpartie + 3,
      MATCH(F$1, _xlpm.joueurs, 0) + 1
    )
  ), ""
)</f>
        <v>2</v>
      </c>
      <c r="G87" t="str" cm="1">
        <f t="array" ref="G87">IFERROR(
  _xlfn.LET(
    _xlpm.ligpartie, MATCH($B86, Donnees!$F:$F, 0),
    _xlpm.joueurs, INDEX(Donnees!$A:$Z, _xlpm.ligpartie+1, _xlfn.SEQUENCE(1, 4, 2)),
    INDEX(
      Donnees!$A:$Z,
      _xlpm.ligpartie + 3,
      MATCH(G$1, _xlpm.joueurs, 0) + 1
    )
  ), ""
)</f>
        <v/>
      </c>
      <c r="H87" t="str" cm="1">
        <f t="array" ref="H87">IFERROR(
  _xlfn.LET(
    _xlpm.ligpartie, MATCH($B86, Donnees!$F:$F, 0),
    _xlpm.joueurs, INDEX(Donnees!$A:$Z, _xlpm.ligpartie+1, _xlfn.SEQUENCE(1, 4, 2)),
    INDEX(
      Donnees!$A:$Z,
      _xlpm.ligpartie + 3,
      MATCH(H$1, _xlpm.joueurs, 0) + 1
    )
  ), ""
)</f>
        <v/>
      </c>
      <c r="I87" t="str" cm="1">
        <f t="array" ref="I87">IFERROR(
  _xlfn.LET(
    _xlpm.ligpartie, MATCH($B86, Donnees!$F:$F, 0),
    _xlpm.joueurs, INDEX(Donnees!$A:$Z, _xlpm.ligpartie+1, _xlfn.SEQUENCE(1, 4, 2)),
    INDEX(
      Donnees!$A:$Z,
      _xlpm.ligpartie + 3,
      MATCH(I$1, _xlpm.joueurs, 0) + 1
    )
  ), ""
)</f>
        <v/>
      </c>
      <c r="J87" t="str" cm="1">
        <f t="array" ref="J87">IFERROR(
  _xlfn.LET(
    _xlpm.ligpartie, MATCH($B86, Donnees!$F:$F, 0),
    _xlpm.joueurs, INDEX(Donnees!$A:$Z, _xlpm.ligpartie+1, _xlfn.SEQUENCE(1, 4, 2)),
    INDEX(
      Donnees!$A:$Z,
      _xlpm.ligpartie + 3,
      MATCH(J$1, _xlpm.joueurs, 0) + 1
    )
  ), ""
)</f>
        <v/>
      </c>
      <c r="K87" t="str" cm="1">
        <f t="array" ref="K87">IFERROR(
  _xlfn.LET(
    _xlpm.ligpartie, MATCH($B86, Donnees!$F:$F, 0),
    _xlpm.joueurs, INDEX(Donnees!$A:$Z, _xlpm.ligpartie+1, _xlfn.SEQUENCE(1, 4, 2)),
    INDEX(
      Donnees!$A:$Z,
      _xlpm.ligpartie + 3,
      MATCH(K$1, _xlpm.joueurs, 0) + 1
    )
  ), ""
)</f>
        <v/>
      </c>
      <c r="L87" t="str" cm="1">
        <f t="array" ref="L87">IFERROR(
  _xlfn.LET(
    _xlpm.ligpartie, MATCH($B86, Donnees!$F:$F, 0),
    _xlpm.joueurs, INDEX(Donnees!$A:$Z, _xlpm.ligpartie+1, _xlfn.SEQUENCE(1, 4, 2)),
    INDEX(
      Donnees!$A:$Z,
      _xlpm.ligpartie + 3,
      MATCH(L$1, _xlpm.joueurs, 0) + 1
    )
  ), ""
)</f>
        <v/>
      </c>
      <c r="M87" t="str" cm="1">
        <f t="array" ref="M87">IFERROR(
  _xlfn.LET(
    _xlpm.ligpartie, MATCH($B86, Donnees!$F:$F, 0),
    _xlpm.joueurs, INDEX(Donnees!$A:$Z, _xlpm.ligpartie+1, _xlfn.SEQUENCE(1, 4, 2)),
    INDEX(
      Donnees!$A:$Z,
      _xlpm.ligpartie + 3,
      MATCH(M$1, _xlpm.joueurs, 0) + 1
    )
  ), ""
)</f>
        <v/>
      </c>
      <c r="N87" cm="1">
        <f t="array" ref="N87">IFERROR(
  _xlfn.LET(
    _xlpm.ligpartie, MATCH($B86, Donnees!$F:$F, 0),
    _xlpm.joueurs, INDEX(Donnees!$A:$Z, _xlpm.ligpartie+1, _xlfn.SEQUENCE(1, 4, 2)),
    INDEX(
      Donnees!$A:$Z,
      _xlpm.ligpartie + 3,
      MATCH(N$1, _xlpm.joueurs, 0) + 1
    )
  ), ""
)</f>
        <v>0</v>
      </c>
      <c r="O87" t="str" cm="1">
        <f t="array" ref="O87">IFERROR(
  _xlfn.LET(
    _xlpm.ligpartie, MATCH($B86, Donnees!$F:$F, 0),
    _xlpm.joueurs, INDEX(Donnees!$A:$Z, _xlpm.ligpartie+1, _xlfn.SEQUENCE(1, 4, 2)),
    INDEX(
      Donnees!$A:$Z,
      _xlpm.ligpartie + 3,
      MATCH(O$1, _xlpm.joueurs, 0) + 1
    )
  ), ""
)</f>
        <v/>
      </c>
      <c r="P87" t="str" cm="1">
        <f t="array" ref="P87">IFERROR(
  _xlfn.LET(
    _xlpm.ligpartie, MATCH($B86, Donnees!$F:$F, 0),
    _xlpm.joueurs, INDEX(Donnees!$A:$Z, _xlpm.ligpartie+1, _xlfn.SEQUENCE(1, 4, 2)),
    INDEX(
      Donnees!$A:$Z,
      _xlpm.ligpartie + 3,
      MATCH(P$1, _xlpm.joueurs, 0) + 1
    )
  ), ""
)</f>
        <v/>
      </c>
      <c r="Q87" t="str" cm="1">
        <f t="array" ref="Q87">IFERROR(
  _xlfn.LET(
    _xlpm.ligpartie, MATCH($B86, Donnees!$F:$F, 0),
    _xlpm.joueurs, INDEX(Donnees!$A:$Z, _xlpm.ligpartie+1, _xlfn.SEQUENCE(1, 4, 2)),
    INDEX(
      Donnees!$A:$Z,
      _xlpm.ligpartie + 3,
      MATCH(Q$1, _xlpm.joueurs, 0) + 1
    )
  ), ""
)</f>
        <v/>
      </c>
      <c r="R87" t="str" cm="1">
        <f t="array" ref="R87">IFERROR(
  _xlfn.LET(
    _xlpm.ligpartie, MATCH($B86, Donnees!$F:$F, 0),
    _xlpm.joueurs, INDEX(Donnees!$A:$Z, _xlpm.ligpartie+1, _xlfn.SEQUENCE(1, 4, 2)),
    INDEX(
      Donnees!$A:$Z,
      _xlpm.ligpartie + 3,
      MATCH(R$1, _xlpm.joueurs, 0) + 1
    )
  ), ""
)</f>
        <v/>
      </c>
      <c r="S87" cm="1">
        <f t="array" ref="S87">IFERROR(
  _xlfn.LET(
    _xlpm.ligpartie, MATCH($B86, Donnees!$F:$F, 0),
    _xlpm.joueurs, INDEX(Donnees!$A:$Z, _xlpm.ligpartie+1, _xlfn.SEQUENCE(1, 4, 2)),
    INDEX(
      Donnees!$A:$Z,
      _xlpm.ligpartie + 3,
      MATCH(S$1, _xlpm.joueurs, 0) + 1
    )
  ), ""
)</f>
        <v>1</v>
      </c>
      <c r="T87" t="str" cm="1">
        <f t="array" ref="T87">IFERROR(
  _xlfn.LET(
    _xlpm.ligpartie, MATCH($B86, Donnees!$F:$F, 0),
    _xlpm.joueurs, INDEX(Donnees!$A:$Z, _xlpm.ligpartie+1, _xlfn.SEQUENCE(1, 4, 2)),
    INDEX(
      Donnees!$A:$Z,
      _xlpm.ligpartie + 3,
      MATCH(T$1, _xlpm.joueurs, 0) + 1
    )
  ), ""
)</f>
        <v/>
      </c>
      <c r="U87" t="str" cm="1">
        <f t="array" ref="U87">IFERROR(
  _xlfn.LET(
    _xlpm.ligpartie, MATCH($B86, Donnees!$F:$F, 0),
    _xlpm.joueurs, INDEX(Donnees!$A:$Z, _xlpm.ligpartie+1, _xlfn.SEQUENCE(1, 4, 2)),
    INDEX(
      Donnees!$A:$Z,
      _xlpm.ligpartie + 3,
      MATCH(U$1, _xlpm.joueurs, 0) + 1
    )
  ), ""
)</f>
        <v/>
      </c>
      <c r="V87" t="str" cm="1">
        <f t="array" ref="V87">IFERROR(
  _xlfn.LET(
    _xlpm.ligpartie, MATCH($B86, Donnees!$F:$F, 0),
    _xlpm.joueurs, INDEX(Donnees!$A:$Z, _xlpm.ligpartie+1, _xlfn.SEQUENCE(1, 4, 2)),
    INDEX(
      Donnees!$A:$Z,
      _xlpm.ligpartie + 3,
      MATCH(V$1, _xlpm.joueurs, 0) + 1
    )
  ), ""
)</f>
        <v/>
      </c>
      <c r="W87" t="str" cm="1">
        <f t="array" ref="W87">IFERROR(
  _xlfn.LET(
    _xlpm.ligpartie, MATCH($B86, Donnees!$F:$F, 0),
    _xlpm.joueurs, INDEX(Donnees!$A:$Z, _xlpm.ligpartie+1, _xlfn.SEQUENCE(1, 4, 2)),
    INDEX(
      Donnees!$A:$Z,
      _xlpm.ligpartie + 3,
      MATCH(W$1, _xlpm.joueurs, 0) + 1
    )
  ), ""
)</f>
        <v/>
      </c>
      <c r="X87" t="str" cm="1">
        <f t="array" ref="X87">IFERROR(
  _xlfn.LET(
    _xlpm.ligpartie, MATCH($B86, Donnees!$F:$F, 0),
    _xlpm.joueurs, INDEX(Donnees!$A:$Z, _xlpm.ligpartie+1, _xlfn.SEQUENCE(1, 4, 2)),
    INDEX(
      Donnees!$A:$Z,
      _xlpm.ligpartie + 3,
      MATCH(X$1, _xlpm.joueurs, 0) + 1
    )
  ), ""
)</f>
        <v/>
      </c>
      <c r="Y87" cm="1">
        <f t="array" ref="Y87">IFERROR(
  _xlfn.LET(
    _xlpm.ligpartie, MATCH($B86, Donnees!$F:$F, 0),
    _xlpm.joueurs, INDEX(Donnees!$A:$Z, _xlpm.ligpartie+1, _xlfn.SEQUENCE(1, 4, 2)),
    INDEX(
      Donnees!$A:$Z,
      _xlpm.ligpartie + 3,
      MATCH(Y$1, _xlpm.joueurs, 0) + 1
    )
  ), ""
)</f>
        <v>3</v>
      </c>
      <c r="Z87" t="str" cm="1">
        <f t="array" ref="Z87">IFERROR(
  _xlfn.LET(
    _xlpm.ligpartie, MATCH($B86, Donnees!$F:$F, 0),
    _xlpm.joueurs, INDEX(Donnees!$A:$Z, _xlpm.ligpartie+1, _xlfn.SEQUENCE(1, 4, 2)),
    INDEX(
      Donnees!$A:$Z,
      _xlpm.ligpartie + 3,
      MATCH(Z$1, _xlpm.joueurs, 0) + 1
    )
  ), ""
)</f>
        <v/>
      </c>
      <c r="AA87" t="str" cm="1">
        <f t="array" ref="AA87">IFERROR(
  _xlfn.LET(
    _xlpm.ligpartie, MATCH($B86, Donnees!$F:$F, 0),
    _xlpm.joueurs, INDEX(Donnees!$A:$Z, _xlpm.ligpartie+1, _xlfn.SEQUENCE(1, 4, 2)),
    INDEX(
      Donnees!$A:$Z,
      _xlpm.ligpartie + 3,
      MATCH(AA$1, _xlpm.joueurs, 0) + 1
    )
  ), ""
)</f>
        <v/>
      </c>
      <c r="AB87" t="str" cm="1">
        <f t="array" ref="AB87">IFERROR(
  _xlfn.LET(
    _xlpm.ligpartie, MATCH($B86, Donnees!$F:$F, 0),
    _xlpm.joueurs, INDEX(Donnees!$A:$Z, _xlpm.ligpartie+1, _xlfn.SEQUENCE(1, 4, 2)),
    INDEX(
      Donnees!$A:$Z,
      _xlpm.ligpartie + 3,
      MATCH(AB$1, _xlpm.joueurs, 0) + 1
    )
  ), ""
)</f>
        <v/>
      </c>
      <c r="AC87" t="str" cm="1">
        <f t="array" ref="AC87">IFERROR(
  _xlfn.LET(
    _xlpm.ligpartie, MATCH($B86, Donnees!$F:$F, 0),
    _xlpm.joueurs, INDEX(Donnees!$A:$Z, _xlpm.ligpartie+1, _xlfn.SEQUENCE(1, 4, 2)),
    INDEX(
      Donnees!$A:$Z,
      _xlpm.ligpartie + 3,
      MATCH(AC$1, _xlpm.joueurs, 0) + 1
    )
  ), ""
)</f>
        <v/>
      </c>
      <c r="AD87" t="str" cm="1">
        <f t="array" ref="AD87">IFERROR(
  _xlfn.LET(
    _xlpm.ligpartie, MATCH($B86, Donnees!$F:$F, 0),
    _xlpm.joueurs, INDEX(Donnees!$A:$Z, _xlpm.ligpartie+1, _xlfn.SEQUENCE(1, 4, 2)),
    INDEX(
      Donnees!$A:$Z,
      _xlpm.ligpartie + 3,
      MATCH(AD$1, _xlpm.joueurs, 0) + 1
    )
  ), ""
)</f>
        <v/>
      </c>
      <c r="AE87" t="str" cm="1">
        <f t="array" ref="AE87">IFERROR(
  _xlfn.LET(
    _xlpm.ligpartie, MATCH($B86, Donnees!$F:$F, 0),
    _xlpm.joueurs, INDEX(Donnees!$A:$Z, _xlpm.ligpartie+1, _xlfn.SEQUENCE(1, 4, 2)),
    INDEX(
      Donnees!$A:$Z,
      _xlpm.ligpartie + 3,
      MATCH(AE$1, _xlpm.joueurs, 0) + 1
    )
  ), ""
)</f>
        <v/>
      </c>
      <c r="AF87" t="str" cm="1">
        <f t="array" ref="AF87">IFERROR(
  _xlfn.LET(
    _xlpm.ligpartie, MATCH($B86, Donnees!$F:$F, 0),
    _xlpm.joueurs, INDEX(Donnees!$A:$Z, _xlpm.ligpartie+1, _xlfn.SEQUENCE(1, 4, 2)),
    INDEX(
      Donnees!$A:$Z,
      _xlpm.ligpartie + 3,
      MATCH(AF$1, _xlpm.joueurs, 0) + 1
    )
  ), ""
)</f>
        <v/>
      </c>
      <c r="AG87" t="str" cm="1">
        <f t="array" ref="AG87">IFERROR(
  _xlfn.LET(
    _xlpm.ligpartie, MATCH($B86, Donnees!$F:$F, 0),
    _xlpm.joueurs, INDEX(Donnees!$A:$Z, _xlpm.ligpartie+1, _xlfn.SEQUENCE(1, 4, 2)),
    INDEX(
      Donnees!$A:$Z,
      _xlpm.ligpartie + 3,
      MATCH(AG$1, _xlpm.joueurs, 0) + 1
    )
  ), ""
)</f>
        <v/>
      </c>
      <c r="AH87" t="str" cm="1">
        <f t="array" ref="AH87">IFERROR(
  _xlfn.LET(
    _xlpm.ligpartie, MATCH($B86, Donnees!$F:$F, 0),
    _xlpm.joueurs, INDEX(Donnees!$A:$Z, _xlpm.ligpartie+1, _xlfn.SEQUENCE(1, 4, 2)),
    INDEX(
      Donnees!$A:$Z,
      _xlpm.ligpartie + 3,
      MATCH(AH$1, _xlpm.joueurs, 0) + 1
    )
  ), ""
)</f>
        <v/>
      </c>
      <c r="AI87" t="str" cm="1">
        <f t="array" ref="AI87">IFERROR(
  _xlfn.LET(
    _xlpm.ligpartie, MATCH($B86, Donnees!$F:$F, 0),
    _xlpm.joueurs, INDEX(Donnees!$A:$Z, _xlpm.ligpartie+1, _xlfn.SEQUENCE(1, 4, 2)),
    INDEX(
      Donnees!$A:$Z,
      _xlpm.ligpartie + 3,
      MATCH(AI$1, _xlpm.joueurs, 0) + 1
    )
  ), ""
)</f>
        <v/>
      </c>
      <c r="AJ87" t="str" cm="1">
        <f t="array" ref="AJ87">IFERROR(
  _xlfn.LET(
    _xlpm.ligpartie, MATCH($B86, Donnees!$F:$F, 0),
    _xlpm.joueurs, INDEX(Donnees!$A:$Z, _xlpm.ligpartie+1, _xlfn.SEQUENCE(1, 4, 2)),
    INDEX(
      Donnees!$A:$Z,
      _xlpm.ligpartie + 3,
      MATCH(AJ$1, _xlpm.joueurs, 0) + 1
    )
  ), ""
)</f>
        <v/>
      </c>
      <c r="AK87" t="str" cm="1">
        <f t="array" ref="AK87">IFERROR(
  _xlfn.LET(
    _xlpm.ligpartie, MATCH($B86, Donnees!$F:$F, 0),
    _xlpm.joueurs, INDEX(Donnees!$A:$Z, _xlpm.ligpartie+1, _xlfn.SEQUENCE(1, 4, 2)),
    INDEX(
      Donnees!$A:$Z,
      _xlpm.ligpartie + 3,
      MATCH(AK$1, _xlpm.joueurs, 0) + 1
    )
  ), ""
)</f>
        <v/>
      </c>
      <c r="AL87" t="str" cm="1">
        <f t="array" ref="AL87">IFERROR(
  _xlfn.LET(
    _xlpm.ligpartie, MATCH($B86, Donnees!$F:$F, 0),
    _xlpm.joueurs, INDEX(Donnees!$A:$Z, _xlpm.ligpartie+1, _xlfn.SEQUENCE(1, 4, 2)),
    INDEX(
      Donnees!$A:$Z,
      _xlpm.ligpartie + 3,
      MATCH(AL$1, _xlpm.joueurs, 0) + 1
    )
  ), ""
)</f>
        <v/>
      </c>
      <c r="AM87" t="str" cm="1">
        <f t="array" ref="AM87">IFERROR(
  _xlfn.LET(
    _xlpm.ligpartie, MATCH($B86, Donnees!$F:$F, 0),
    _xlpm.joueurs, INDEX(Donnees!$A:$Z, _xlpm.ligpartie+1, _xlfn.SEQUENCE(1, 4, 2)),
    INDEX(
      Donnees!$A:$Z,
      _xlpm.ligpartie + 3,
      MATCH(AM$1, _xlpm.joueurs, 0) + 1
    )
  ), ""
)</f>
        <v/>
      </c>
    </row>
    <row r="88" spans="1:39" x14ac:dyDescent="0.25">
      <c r="A88" t="s">
        <v>20</v>
      </c>
      <c r="D88" t="str" cm="1">
        <f t="array" ref="D88">_xlfn.LET(
  _xlpm.colj, _xlfn._xlws.FILTER(IF(ISNUMBER(87:87), COLUMN(87:87)), ISNUMBER(87:87)),
  _xlpm.elos, INDEX(86:86,1,_xlpm.colj),
  _xlpm.diffscale, Constantes!$B$2,
  IF(D87="",
    "",
    SUM(1/(1+POWER(10,-(D86-_xlpm.elos)/_xlpm.diffscale)))-0.5)
)</f>
        <v/>
      </c>
      <c r="E88" t="str" cm="1">
        <f t="array" ref="E88">_xlfn.LET(
  _xlpm.colj, _xlfn._xlws.FILTER(IF(ISNUMBER(87:87), COLUMN(87:87)), ISNUMBER(87:87)),
  _xlpm.elos, INDEX(86:86,1,_xlpm.colj),
  _xlpm.diffscale, Constantes!$B$2,
  IF(E87="",
    "",
    SUM(1/(1+POWER(10,-(E86-_xlpm.elos)/_xlpm.diffscale)))-0.5)
)</f>
        <v/>
      </c>
      <c r="F88" cm="1">
        <f t="array" ref="F88">_xlfn.LET(
  _xlpm.colj, _xlfn._xlws.FILTER(IF(ISNUMBER(87:87), COLUMN(87:87)), ISNUMBER(87:87)),
  _xlpm.elos, INDEX(86:86,1,_xlpm.colj),
  _xlpm.diffscale, Constantes!$B$2,
  IF(F87="",
    "",
    SUM(1/(1+POWER(10,-(F86-_xlpm.elos)/_xlpm.diffscale)))-0.5)
)</f>
        <v>1.3962977407589525</v>
      </c>
      <c r="G88" t="str" cm="1">
        <f t="array" ref="G88">_xlfn.LET(
  _xlpm.colj, _xlfn._xlws.FILTER(IF(ISNUMBER(87:87), COLUMN(87:87)), ISNUMBER(87:87)),
  _xlpm.elos, INDEX(86:86,1,_xlpm.colj),
  _xlpm.diffscale, Constantes!$B$2,
  IF(G87="",
    "",
    SUM(1/(1+POWER(10,-(G86-_xlpm.elos)/_xlpm.diffscale)))-0.5)
)</f>
        <v/>
      </c>
      <c r="H88" t="str" cm="1">
        <f t="array" ref="H88">_xlfn.LET(
  _xlpm.colj, _xlfn._xlws.FILTER(IF(ISNUMBER(87:87), COLUMN(87:87)), ISNUMBER(87:87)),
  _xlpm.elos, INDEX(86:86,1,_xlpm.colj),
  _xlpm.diffscale, Constantes!$B$2,
  IF(H87="",
    "",
    SUM(1/(1+POWER(10,-(H86-_xlpm.elos)/_xlpm.diffscale)))-0.5)
)</f>
        <v/>
      </c>
      <c r="I88" t="str" cm="1">
        <f t="array" ref="I88">_xlfn.LET(
  _xlpm.colj, _xlfn._xlws.FILTER(IF(ISNUMBER(87:87), COLUMN(87:87)), ISNUMBER(87:87)),
  _xlpm.elos, INDEX(86:86,1,_xlpm.colj),
  _xlpm.diffscale, Constantes!$B$2,
  IF(I87="",
    "",
    SUM(1/(1+POWER(10,-(I86-_xlpm.elos)/_xlpm.diffscale)))-0.5)
)</f>
        <v/>
      </c>
      <c r="J88" t="str" cm="1">
        <f t="array" ref="J88">_xlfn.LET(
  _xlpm.colj, _xlfn._xlws.FILTER(IF(ISNUMBER(87:87), COLUMN(87:87)), ISNUMBER(87:87)),
  _xlpm.elos, INDEX(86:86,1,_xlpm.colj),
  _xlpm.diffscale, Constantes!$B$2,
  IF(J87="",
    "",
    SUM(1/(1+POWER(10,-(J86-_xlpm.elos)/_xlpm.diffscale)))-0.5)
)</f>
        <v/>
      </c>
      <c r="K88" t="str" cm="1">
        <f t="array" ref="K88">_xlfn.LET(
  _xlpm.colj, _xlfn._xlws.FILTER(IF(ISNUMBER(87:87), COLUMN(87:87)), ISNUMBER(87:87)),
  _xlpm.elos, INDEX(86:86,1,_xlpm.colj),
  _xlpm.diffscale, Constantes!$B$2,
  IF(K87="",
    "",
    SUM(1/(1+POWER(10,-(K86-_xlpm.elos)/_xlpm.diffscale)))-0.5)
)</f>
        <v/>
      </c>
      <c r="L88" t="str" cm="1">
        <f t="array" ref="L88">_xlfn.LET(
  _xlpm.colj, _xlfn._xlws.FILTER(IF(ISNUMBER(87:87), COLUMN(87:87)), ISNUMBER(87:87)),
  _xlpm.elos, INDEX(86:86,1,_xlpm.colj),
  _xlpm.diffscale, Constantes!$B$2,
  IF(L87="",
    "",
    SUM(1/(1+POWER(10,-(L86-_xlpm.elos)/_xlpm.diffscale)))-0.5)
)</f>
        <v/>
      </c>
      <c r="M88" t="str" cm="1">
        <f t="array" ref="M88">_xlfn.LET(
  _xlpm.colj, _xlfn._xlws.FILTER(IF(ISNUMBER(87:87), COLUMN(87:87)), ISNUMBER(87:87)),
  _xlpm.elos, INDEX(86:86,1,_xlpm.colj),
  _xlpm.diffscale, Constantes!$B$2,
  IF(M87="",
    "",
    SUM(1/(1+POWER(10,-(M86-_xlpm.elos)/_xlpm.diffscale)))-0.5)
)</f>
        <v/>
      </c>
      <c r="N88" cm="1">
        <f t="array" ref="N88">_xlfn.LET(
  _xlpm.colj, _xlfn._xlws.FILTER(IF(ISNUMBER(87:87), COLUMN(87:87)), ISNUMBER(87:87)),
  _xlpm.elos, INDEX(86:86,1,_xlpm.colj),
  _xlpm.diffscale, Constantes!$B$2,
  IF(N87="",
    "",
    SUM(1/(1+POWER(10,-(N86-_xlpm.elos)/_xlpm.diffscale)))-0.5)
)</f>
        <v>1.5554421631481645</v>
      </c>
      <c r="O88" t="str" cm="1">
        <f t="array" ref="O88">_xlfn.LET(
  _xlpm.colj, _xlfn._xlws.FILTER(IF(ISNUMBER(87:87), COLUMN(87:87)), ISNUMBER(87:87)),
  _xlpm.elos, INDEX(86:86,1,_xlpm.colj),
  _xlpm.diffscale, Constantes!$B$2,
  IF(O87="",
    "",
    SUM(1/(1+POWER(10,-(O86-_xlpm.elos)/_xlpm.diffscale)))-0.5)
)</f>
        <v/>
      </c>
      <c r="P88" t="str" cm="1">
        <f t="array" ref="P88">_xlfn.LET(
  _xlpm.colj, _xlfn._xlws.FILTER(IF(ISNUMBER(87:87), COLUMN(87:87)), ISNUMBER(87:87)),
  _xlpm.elos, INDEX(86:86,1,_xlpm.colj),
  _xlpm.diffscale, Constantes!$B$2,
  IF(P87="",
    "",
    SUM(1/(1+POWER(10,-(P86-_xlpm.elos)/_xlpm.diffscale)))-0.5)
)</f>
        <v/>
      </c>
      <c r="Q88" t="str" cm="1">
        <f t="array" ref="Q88">_xlfn.LET(
  _xlpm.colj, _xlfn._xlws.FILTER(IF(ISNUMBER(87:87), COLUMN(87:87)), ISNUMBER(87:87)),
  _xlpm.elos, INDEX(86:86,1,_xlpm.colj),
  _xlpm.diffscale, Constantes!$B$2,
  IF(Q87="",
    "",
    SUM(1/(1+POWER(10,-(Q86-_xlpm.elos)/_xlpm.diffscale)))-0.5)
)</f>
        <v/>
      </c>
      <c r="R88" t="str" cm="1">
        <f t="array" ref="R88">_xlfn.LET(
  _xlpm.colj, _xlfn._xlws.FILTER(IF(ISNUMBER(87:87), COLUMN(87:87)), ISNUMBER(87:87)),
  _xlpm.elos, INDEX(86:86,1,_xlpm.colj),
  _xlpm.diffscale, Constantes!$B$2,
  IF(R87="",
    "",
    SUM(1/(1+POWER(10,-(R86-_xlpm.elos)/_xlpm.diffscale)))-0.5)
)</f>
        <v/>
      </c>
      <c r="S88" cm="1">
        <f t="array" ref="S88">_xlfn.LET(
  _xlpm.colj, _xlfn._xlws.FILTER(IF(ISNUMBER(87:87), COLUMN(87:87)), ISNUMBER(87:87)),
  _xlpm.elos, INDEX(86:86,1,_xlpm.colj),
  _xlpm.diffscale, Constantes!$B$2,
  IF(S87="",
    "",
    SUM(1/(1+POWER(10,-(S86-_xlpm.elos)/_xlpm.diffscale)))-0.5)
)</f>
        <v>1.6284277133310878</v>
      </c>
      <c r="T88" t="str" cm="1">
        <f t="array" ref="T88">_xlfn.LET(
  _xlpm.colj, _xlfn._xlws.FILTER(IF(ISNUMBER(87:87), COLUMN(87:87)), ISNUMBER(87:87)),
  _xlpm.elos, INDEX(86:86,1,_xlpm.colj),
  _xlpm.diffscale, Constantes!$B$2,
  IF(T87="",
    "",
    SUM(1/(1+POWER(10,-(T86-_xlpm.elos)/_xlpm.diffscale)))-0.5)
)</f>
        <v/>
      </c>
      <c r="U88" t="str" cm="1">
        <f t="array" ref="U88">_xlfn.LET(
  _xlpm.colj, _xlfn._xlws.FILTER(IF(ISNUMBER(87:87), COLUMN(87:87)), ISNUMBER(87:87)),
  _xlpm.elos, INDEX(86:86,1,_xlpm.colj),
  _xlpm.diffscale, Constantes!$B$2,
  IF(U87="",
    "",
    SUM(1/(1+POWER(10,-(U86-_xlpm.elos)/_xlpm.diffscale)))-0.5)
)</f>
        <v/>
      </c>
      <c r="V88" t="str" cm="1">
        <f t="array" ref="V88">_xlfn.LET(
  _xlpm.colj, _xlfn._xlws.FILTER(IF(ISNUMBER(87:87), COLUMN(87:87)), ISNUMBER(87:87)),
  _xlpm.elos, INDEX(86:86,1,_xlpm.colj),
  _xlpm.diffscale, Constantes!$B$2,
  IF(V87="",
    "",
    SUM(1/(1+POWER(10,-(V86-_xlpm.elos)/_xlpm.diffscale)))-0.5)
)</f>
        <v/>
      </c>
      <c r="W88" t="str" cm="1">
        <f t="array" ref="W88">_xlfn.LET(
  _xlpm.colj, _xlfn._xlws.FILTER(IF(ISNUMBER(87:87), COLUMN(87:87)), ISNUMBER(87:87)),
  _xlpm.elos, INDEX(86:86,1,_xlpm.colj),
  _xlpm.diffscale, Constantes!$B$2,
  IF(W87="",
    "",
    SUM(1/(1+POWER(10,-(W86-_xlpm.elos)/_xlpm.diffscale)))-0.5)
)</f>
        <v/>
      </c>
      <c r="X88" t="str" cm="1">
        <f t="array" ref="X88">_xlfn.LET(
  _xlpm.colj, _xlfn._xlws.FILTER(IF(ISNUMBER(87:87), COLUMN(87:87)), ISNUMBER(87:87)),
  _xlpm.elos, INDEX(86:86,1,_xlpm.colj),
  _xlpm.diffscale, Constantes!$B$2,
  IF(X87="",
    "",
    SUM(1/(1+POWER(10,-(X86-_xlpm.elos)/_xlpm.diffscale)))-0.5)
)</f>
        <v/>
      </c>
      <c r="Y88" cm="1">
        <f t="array" ref="Y88">_xlfn.LET(
  _xlpm.colj, _xlfn._xlws.FILTER(IF(ISNUMBER(87:87), COLUMN(87:87)), ISNUMBER(87:87)),
  _xlpm.elos, INDEX(86:86,1,_xlpm.colj),
  _xlpm.diffscale, Constantes!$B$2,
  IF(Y87="",
    "",
    SUM(1/(1+POWER(10,-(Y86-_xlpm.elos)/_xlpm.diffscale)))-0.5)
)</f>
        <v>1.4198323827617956</v>
      </c>
      <c r="Z88" t="str" cm="1">
        <f t="array" ref="Z88">_xlfn.LET(
  _xlpm.colj, _xlfn._xlws.FILTER(IF(ISNUMBER(87:87), COLUMN(87:87)), ISNUMBER(87:87)),
  _xlpm.elos, INDEX(86:86,1,_xlpm.colj),
  _xlpm.diffscale, Constantes!$B$2,
  IF(Z87="",
    "",
    SUM(1/(1+POWER(10,-(Z86-_xlpm.elos)/_xlpm.diffscale)))-0.5)
)</f>
        <v/>
      </c>
      <c r="AA88" t="str" cm="1">
        <f t="array" ref="AA88">_xlfn.LET(
  _xlpm.colj, _xlfn._xlws.FILTER(IF(ISNUMBER(87:87), COLUMN(87:87)), ISNUMBER(87:87)),
  _xlpm.elos, INDEX(86:86,1,_xlpm.colj),
  _xlpm.diffscale, Constantes!$B$2,
  IF(AA87="",
    "",
    SUM(1/(1+POWER(10,-(AA86-_xlpm.elos)/_xlpm.diffscale)))-0.5)
)</f>
        <v/>
      </c>
      <c r="AB88" t="str" cm="1">
        <f t="array" ref="AB88">_xlfn.LET(
  _xlpm.colj, _xlfn._xlws.FILTER(IF(ISNUMBER(87:87), COLUMN(87:87)), ISNUMBER(87:87)),
  _xlpm.elos, INDEX(86:86,1,_xlpm.colj),
  _xlpm.diffscale, Constantes!$B$2,
  IF(AB87="",
    "",
    SUM(1/(1+POWER(10,-(AB86-_xlpm.elos)/_xlpm.diffscale)))-0.5)
)</f>
        <v/>
      </c>
      <c r="AC88" t="str" cm="1">
        <f t="array" ref="AC88">_xlfn.LET(
  _xlpm.colj, _xlfn._xlws.FILTER(IF(ISNUMBER(87:87), COLUMN(87:87)), ISNUMBER(87:87)),
  _xlpm.elos, INDEX(86:86,1,_xlpm.colj),
  _xlpm.diffscale, Constantes!$B$2,
  IF(AC87="",
    "",
    SUM(1/(1+POWER(10,-(AC86-_xlpm.elos)/_xlpm.diffscale)))-0.5)
)</f>
        <v/>
      </c>
      <c r="AD88" t="str" cm="1">
        <f t="array" ref="AD88">_xlfn.LET(
  _xlpm.colj, _xlfn._xlws.FILTER(IF(ISNUMBER(87:87), COLUMN(87:87)), ISNUMBER(87:87)),
  _xlpm.elos, INDEX(86:86,1,_xlpm.colj),
  _xlpm.diffscale, Constantes!$B$2,
  IF(AD87="",
    "",
    SUM(1/(1+POWER(10,-(AD86-_xlpm.elos)/_xlpm.diffscale)))-0.5)
)</f>
        <v/>
      </c>
      <c r="AE88" t="str" cm="1">
        <f t="array" ref="AE88">_xlfn.LET(
  _xlpm.colj, _xlfn._xlws.FILTER(IF(ISNUMBER(87:87), COLUMN(87:87)), ISNUMBER(87:87)),
  _xlpm.elos, INDEX(86:86,1,_xlpm.colj),
  _xlpm.diffscale, Constantes!$B$2,
  IF(AE87="",
    "",
    SUM(1/(1+POWER(10,-(AE86-_xlpm.elos)/_xlpm.diffscale)))-0.5)
)</f>
        <v/>
      </c>
      <c r="AF88" t="str" cm="1">
        <f t="array" ref="AF88">_xlfn.LET(
  _xlpm.colj, _xlfn._xlws.FILTER(IF(ISNUMBER(87:87), COLUMN(87:87)), ISNUMBER(87:87)),
  _xlpm.elos, INDEX(86:86,1,_xlpm.colj),
  _xlpm.diffscale, Constantes!$B$2,
  IF(AF87="",
    "",
    SUM(1/(1+POWER(10,-(AF86-_xlpm.elos)/_xlpm.diffscale)))-0.5)
)</f>
        <v/>
      </c>
      <c r="AG88" t="str" cm="1">
        <f t="array" ref="AG88">_xlfn.LET(
  _xlpm.colj, _xlfn._xlws.FILTER(IF(ISNUMBER(87:87), COLUMN(87:87)), ISNUMBER(87:87)),
  _xlpm.elos, INDEX(86:86,1,_xlpm.colj),
  _xlpm.diffscale, Constantes!$B$2,
  IF(AG87="",
    "",
    SUM(1/(1+POWER(10,-(AG86-_xlpm.elos)/_xlpm.diffscale)))-0.5)
)</f>
        <v/>
      </c>
      <c r="AH88" t="str" cm="1">
        <f t="array" ref="AH88">_xlfn.LET(
  _xlpm.colj, _xlfn._xlws.FILTER(IF(ISNUMBER(87:87), COLUMN(87:87)), ISNUMBER(87:87)),
  _xlpm.elos, INDEX(86:86,1,_xlpm.colj),
  _xlpm.diffscale, Constantes!$B$2,
  IF(AH87="",
    "",
    SUM(1/(1+POWER(10,-(AH86-_xlpm.elos)/_xlpm.diffscale)))-0.5)
)</f>
        <v/>
      </c>
      <c r="AI88" t="str" cm="1">
        <f t="array" ref="AI88">_xlfn.LET(
  _xlpm.colj, _xlfn._xlws.FILTER(IF(ISNUMBER(87:87), COLUMN(87:87)), ISNUMBER(87:87)),
  _xlpm.elos, INDEX(86:86,1,_xlpm.colj),
  _xlpm.diffscale, Constantes!$B$2,
  IF(AI87="",
    "",
    SUM(1/(1+POWER(10,-(AI86-_xlpm.elos)/_xlpm.diffscale)))-0.5)
)</f>
        <v/>
      </c>
      <c r="AJ88" t="str" cm="1">
        <f t="array" ref="AJ88">_xlfn.LET(
  _xlpm.colj, _xlfn._xlws.FILTER(IF(ISNUMBER(87:87), COLUMN(87:87)), ISNUMBER(87:87)),
  _xlpm.elos, INDEX(86:86,1,_xlpm.colj),
  _xlpm.diffscale, Constantes!$B$2,
  IF(AJ87="",
    "",
    SUM(1/(1+POWER(10,-(AJ86-_xlpm.elos)/_xlpm.diffscale)))-0.5)
)</f>
        <v/>
      </c>
      <c r="AK88" t="str" cm="1">
        <f t="array" ref="AK88">_xlfn.LET(
  _xlpm.colj, _xlfn._xlws.FILTER(IF(ISNUMBER(87:87), COLUMN(87:87)), ISNUMBER(87:87)),
  _xlpm.elos, INDEX(86:86,1,_xlpm.colj),
  _xlpm.diffscale, Constantes!$B$2,
  IF(AK87="",
    "",
    SUM(1/(1+POWER(10,-(AK86-_xlpm.elos)/_xlpm.diffscale)))-0.5)
)</f>
        <v/>
      </c>
      <c r="AL88" t="str" cm="1">
        <f t="array" ref="AL88">_xlfn.LET(
  _xlpm.colj, _xlfn._xlws.FILTER(IF(ISNUMBER(87:87), COLUMN(87:87)), ISNUMBER(87:87)),
  _xlpm.elos, INDEX(86:86,1,_xlpm.colj),
  _xlpm.diffscale, Constantes!$B$2,
  IF(AL87="",
    "",
    SUM(1/(1+POWER(10,-(AL86-_xlpm.elos)/_xlpm.diffscale)))-0.5)
)</f>
        <v/>
      </c>
      <c r="AM88" t="str" cm="1">
        <f t="array" ref="AM88">_xlfn.LET(
  _xlpm.colj, _xlfn._xlws.FILTER(IF(ISNUMBER(87:87), COLUMN(87:87)), ISNUMBER(87:87)),
  _xlpm.elos, INDEX(86:86,1,_xlpm.colj),
  _xlpm.diffscale, Constantes!$B$2,
  IF(AM87="",
    "",
    SUM(1/(1+POWER(10,-(AM86-_xlpm.elos)/_xlpm.diffscale)))-0.5)
)</f>
        <v/>
      </c>
    </row>
    <row r="89" spans="1:39" x14ac:dyDescent="0.25">
      <c r="A89" t="s">
        <v>22</v>
      </c>
      <c r="D89" t="str" cm="1">
        <f t="array" ref="D89">_xlfn.LET(
  _xlpm.K, Constantes!$B$3,
  _xlpm.Knewgain, Constantes!$B$4,
  _xlpm.Knewscale, Constantes!$B$5,
  _xlpm.ptstables, INDEX(D:D, _xlfn.SEQUENCE(COUNTA($C$2:$C89), 1, 3, 4)),
  _xlpm.nbparties, COUNTA(_xlfn._xlws.FILTER(_xlpm.ptstables, _xlpm.ptstables &lt;&gt; "")),
  _xlpm.coef, _xlpm.K + _xlpm.Knewgain / (_xlpm.Knewscale + _xlpm.nbparties),
  IF(D87="",
    "",
    _xlpm.coef * (D87-D88))
)</f>
        <v/>
      </c>
      <c r="E89" t="str" cm="1">
        <f t="array" ref="E89">_xlfn.LET(
  _xlpm.K, Constantes!$B$3,
  _xlpm.Knewgain, Constantes!$B$4,
  _xlpm.Knewscale, Constantes!$B$5,
  _xlpm.ptstables, INDEX(E:E, _xlfn.SEQUENCE(COUNTA($C$2:$C89), 1, 3, 4)),
  _xlpm.nbparties, COUNTA(_xlfn._xlws.FILTER(_xlpm.ptstables, _xlpm.ptstables &lt;&gt; "")),
  _xlpm.coef, _xlpm.K + _xlpm.Knewgain / (_xlpm.Knewscale + _xlpm.nbparties),
  IF(E87="",
    "",
    _xlpm.coef * (E87-E88))
)</f>
        <v/>
      </c>
      <c r="F89" cm="1">
        <f t="array" ref="F89">_xlfn.LET(
  _xlpm.K, Constantes!$B$3,
  _xlpm.Knewgain, Constantes!$B$4,
  _xlpm.Knewscale, Constantes!$B$5,
  _xlpm.ptstables, INDEX(F:F, _xlfn.SEQUENCE(COUNTA($C$2:$C89), 1, 3, 4)),
  _xlpm.nbparties, COUNTA(_xlfn._xlws.FILTER(_xlpm.ptstables, _xlpm.ptstables &lt;&gt; "")),
  _xlpm.coef, _xlpm.K + _xlpm.Knewgain / (_xlpm.Knewscale + _xlpm.nbparties),
  IF(F87="",
    "",
    _xlpm.coef * (F87-F88))
)</f>
        <v>15.847184305077496</v>
      </c>
      <c r="G89" t="str" cm="1">
        <f t="array" ref="G89">_xlfn.LET(
  _xlpm.K, Constantes!$B$3,
  _xlpm.Knewgain, Constantes!$B$4,
  _xlpm.Knewscale, Constantes!$B$5,
  _xlpm.ptstables, INDEX(G:G, _xlfn.SEQUENCE(COUNTA($C$2:$C89), 1, 3, 4)),
  _xlpm.nbparties, COUNTA(_xlfn._xlws.FILTER(_xlpm.ptstables, _xlpm.ptstables &lt;&gt; "")),
  _xlpm.coef, _xlpm.K + _xlpm.Knewgain / (_xlpm.Knewscale + _xlpm.nbparties),
  IF(G87="",
    "",
    _xlpm.coef * (G87-G88))
)</f>
        <v/>
      </c>
      <c r="H89" t="str" cm="1">
        <f t="array" ref="H89">_xlfn.LET(
  _xlpm.K, Constantes!$B$3,
  _xlpm.Knewgain, Constantes!$B$4,
  _xlpm.Knewscale, Constantes!$B$5,
  _xlpm.ptstables, INDEX(H:H, _xlfn.SEQUENCE(COUNTA($C$2:$C89), 1, 3, 4)),
  _xlpm.nbparties, COUNTA(_xlfn._xlws.FILTER(_xlpm.ptstables, _xlpm.ptstables &lt;&gt; "")),
  _xlpm.coef, _xlpm.K + _xlpm.Knewgain / (_xlpm.Knewscale + _xlpm.nbparties),
  IF(H87="",
    "",
    _xlpm.coef * (H87-H88))
)</f>
        <v/>
      </c>
      <c r="I89" t="str" cm="1">
        <f t="array" ref="I89">_xlfn.LET(
  _xlpm.K, Constantes!$B$3,
  _xlpm.Knewgain, Constantes!$B$4,
  _xlpm.Knewscale, Constantes!$B$5,
  _xlpm.ptstables, INDEX(I:I, _xlfn.SEQUENCE(COUNTA($C$2:$C89), 1, 3, 4)),
  _xlpm.nbparties, COUNTA(_xlfn._xlws.FILTER(_xlpm.ptstables, _xlpm.ptstables &lt;&gt; "")),
  _xlpm.coef, _xlpm.K + _xlpm.Knewgain / (_xlpm.Knewscale + _xlpm.nbparties),
  IF(I87="",
    "",
    _xlpm.coef * (I87-I88))
)</f>
        <v/>
      </c>
      <c r="J89" t="str" cm="1">
        <f t="array" ref="J89">_xlfn.LET(
  _xlpm.K, Constantes!$B$3,
  _xlpm.Knewgain, Constantes!$B$4,
  _xlpm.Knewscale, Constantes!$B$5,
  _xlpm.ptstables, INDEX(J:J, _xlfn.SEQUENCE(COUNTA($C$2:$C89), 1, 3, 4)),
  _xlpm.nbparties, COUNTA(_xlfn._xlws.FILTER(_xlpm.ptstables, _xlpm.ptstables &lt;&gt; "")),
  _xlpm.coef, _xlpm.K + _xlpm.Knewgain / (_xlpm.Knewscale + _xlpm.nbparties),
  IF(J87="",
    "",
    _xlpm.coef * (J87-J88))
)</f>
        <v/>
      </c>
      <c r="K89" t="str" cm="1">
        <f t="array" ref="K89">_xlfn.LET(
  _xlpm.K, Constantes!$B$3,
  _xlpm.Knewgain, Constantes!$B$4,
  _xlpm.Knewscale, Constantes!$B$5,
  _xlpm.ptstables, INDEX(K:K, _xlfn.SEQUENCE(COUNTA($C$2:$C89), 1, 3, 4)),
  _xlpm.nbparties, COUNTA(_xlfn._xlws.FILTER(_xlpm.ptstables, _xlpm.ptstables &lt;&gt; "")),
  _xlpm.coef, _xlpm.K + _xlpm.Knewgain / (_xlpm.Knewscale + _xlpm.nbparties),
  IF(K87="",
    "",
    _xlpm.coef * (K87-K88))
)</f>
        <v/>
      </c>
      <c r="L89" t="str" cm="1">
        <f t="array" ref="L89">_xlfn.LET(
  _xlpm.K, Constantes!$B$3,
  _xlpm.Knewgain, Constantes!$B$4,
  _xlpm.Knewscale, Constantes!$B$5,
  _xlpm.ptstables, INDEX(L:L, _xlfn.SEQUENCE(COUNTA($C$2:$C89), 1, 3, 4)),
  _xlpm.nbparties, COUNTA(_xlfn._xlws.FILTER(_xlpm.ptstables, _xlpm.ptstables &lt;&gt; "")),
  _xlpm.coef, _xlpm.K + _xlpm.Knewgain / (_xlpm.Knewscale + _xlpm.nbparties),
  IF(L87="",
    "",
    _xlpm.coef * (L87-L88))
)</f>
        <v/>
      </c>
      <c r="M89" t="str" cm="1">
        <f t="array" ref="M89">_xlfn.LET(
  _xlpm.K, Constantes!$B$3,
  _xlpm.Knewgain, Constantes!$B$4,
  _xlpm.Knewscale, Constantes!$B$5,
  _xlpm.ptstables, INDEX(M:M, _xlfn.SEQUENCE(COUNTA($C$2:$C89), 1, 3, 4)),
  _xlpm.nbparties, COUNTA(_xlfn._xlws.FILTER(_xlpm.ptstables, _xlpm.ptstables &lt;&gt; "")),
  _xlpm.coef, _xlpm.K + _xlpm.Knewgain / (_xlpm.Knewscale + _xlpm.nbparties),
  IF(M87="",
    "",
    _xlpm.coef * (M87-M88))
)</f>
        <v/>
      </c>
      <c r="N89" cm="1">
        <f t="array" ref="N89">_xlfn.LET(
  _xlpm.K, Constantes!$B$3,
  _xlpm.Knewgain, Constantes!$B$4,
  _xlpm.Knewscale, Constantes!$B$5,
  _xlpm.ptstables, INDEX(N:N, _xlfn.SEQUENCE(COUNTA($C$2:$C89), 1, 3, 4)),
  _xlpm.nbparties, COUNTA(_xlfn._xlws.FILTER(_xlpm.ptstables, _xlpm.ptstables &lt;&gt; "")),
  _xlpm.coef, _xlpm.K + _xlpm.Knewgain / (_xlpm.Knewscale + _xlpm.nbparties),
  IF(N87="",
    "",
    _xlpm.coef * (N87-N88))
)</f>
        <v>-44.070861289198</v>
      </c>
      <c r="O89" t="str" cm="1">
        <f t="array" ref="O89">_xlfn.LET(
  _xlpm.K, Constantes!$B$3,
  _xlpm.Knewgain, Constantes!$B$4,
  _xlpm.Knewscale, Constantes!$B$5,
  _xlpm.ptstables, INDEX(O:O, _xlfn.SEQUENCE(COUNTA($C$2:$C89), 1, 3, 4)),
  _xlpm.nbparties, COUNTA(_xlfn._xlws.FILTER(_xlpm.ptstables, _xlpm.ptstables &lt;&gt; "")),
  _xlpm.coef, _xlpm.K + _xlpm.Knewgain / (_xlpm.Knewscale + _xlpm.nbparties),
  IF(O87="",
    "",
    _xlpm.coef * (O87-O88))
)</f>
        <v/>
      </c>
      <c r="P89" t="str" cm="1">
        <f t="array" ref="P89">_xlfn.LET(
  _xlpm.K, Constantes!$B$3,
  _xlpm.Knewgain, Constantes!$B$4,
  _xlpm.Knewscale, Constantes!$B$5,
  _xlpm.ptstables, INDEX(P:P, _xlfn.SEQUENCE(COUNTA($C$2:$C89), 1, 3, 4)),
  _xlpm.nbparties, COUNTA(_xlfn._xlws.FILTER(_xlpm.ptstables, _xlpm.ptstables &lt;&gt; "")),
  _xlpm.coef, _xlpm.K + _xlpm.Knewgain / (_xlpm.Knewscale + _xlpm.nbparties),
  IF(P87="",
    "",
    _xlpm.coef * (P87-P88))
)</f>
        <v/>
      </c>
      <c r="Q89" t="str" cm="1">
        <f t="array" ref="Q89">_xlfn.LET(
  _xlpm.K, Constantes!$B$3,
  _xlpm.Knewgain, Constantes!$B$4,
  _xlpm.Knewscale, Constantes!$B$5,
  _xlpm.ptstables, INDEX(Q:Q, _xlfn.SEQUENCE(COUNTA($C$2:$C89), 1, 3, 4)),
  _xlpm.nbparties, COUNTA(_xlfn._xlws.FILTER(_xlpm.ptstables, _xlpm.ptstables &lt;&gt; "")),
  _xlpm.coef, _xlpm.K + _xlpm.Knewgain / (_xlpm.Knewscale + _xlpm.nbparties),
  IF(Q87="",
    "",
    _xlpm.coef * (Q87-Q88))
)</f>
        <v/>
      </c>
      <c r="R89" t="str" cm="1">
        <f t="array" ref="R89">_xlfn.LET(
  _xlpm.K, Constantes!$B$3,
  _xlpm.Knewgain, Constantes!$B$4,
  _xlpm.Knewscale, Constantes!$B$5,
  _xlpm.ptstables, INDEX(R:R, _xlfn.SEQUENCE(COUNTA($C$2:$C89), 1, 3, 4)),
  _xlpm.nbparties, COUNTA(_xlfn._xlws.FILTER(_xlpm.ptstables, _xlpm.ptstables &lt;&gt; "")),
  _xlpm.coef, _xlpm.K + _xlpm.Knewgain / (_xlpm.Knewscale + _xlpm.nbparties),
  IF(R87="",
    "",
    _xlpm.coef * (R87-R88))
)</f>
        <v/>
      </c>
      <c r="S89" cm="1">
        <f t="array" ref="S89">_xlfn.LET(
  _xlpm.K, Constantes!$B$3,
  _xlpm.Knewgain, Constantes!$B$4,
  _xlpm.Knewscale, Constantes!$B$5,
  _xlpm.ptstables, INDEX(S:S, _xlfn.SEQUENCE(COUNTA($C$2:$C89), 1, 3, 4)),
  _xlpm.nbparties, COUNTA(_xlfn._xlws.FILTER(_xlpm.ptstables, _xlpm.ptstables &lt;&gt; "")),
  _xlpm.coef, _xlpm.K + _xlpm.Knewgain / (_xlpm.Knewscale + _xlpm.nbparties),
  IF(S87="",
    "",
    _xlpm.coef * (S87-S88))
)</f>
        <v>-17.805451877714155</v>
      </c>
      <c r="T89" t="str" cm="1">
        <f t="array" ref="T89">_xlfn.LET(
  _xlpm.K, Constantes!$B$3,
  _xlpm.Knewgain, Constantes!$B$4,
  _xlpm.Knewscale, Constantes!$B$5,
  _xlpm.ptstables, INDEX(T:T, _xlfn.SEQUENCE(COUNTA($C$2:$C89), 1, 3, 4)),
  _xlpm.nbparties, COUNTA(_xlfn._xlws.FILTER(_xlpm.ptstables, _xlpm.ptstables &lt;&gt; "")),
  _xlpm.coef, _xlpm.K + _xlpm.Knewgain / (_xlpm.Knewscale + _xlpm.nbparties),
  IF(T87="",
    "",
    _xlpm.coef * (T87-T88))
)</f>
        <v/>
      </c>
      <c r="U89" t="str" cm="1">
        <f t="array" ref="U89">_xlfn.LET(
  _xlpm.K, Constantes!$B$3,
  _xlpm.Knewgain, Constantes!$B$4,
  _xlpm.Knewscale, Constantes!$B$5,
  _xlpm.ptstables, INDEX(U:U, _xlfn.SEQUENCE(COUNTA($C$2:$C89), 1, 3, 4)),
  _xlpm.nbparties, COUNTA(_xlfn._xlws.FILTER(_xlpm.ptstables, _xlpm.ptstables &lt;&gt; "")),
  _xlpm.coef, _xlpm.K + _xlpm.Knewgain / (_xlpm.Knewscale + _xlpm.nbparties),
  IF(U87="",
    "",
    _xlpm.coef * (U87-U88))
)</f>
        <v/>
      </c>
      <c r="V89" t="str" cm="1">
        <f t="array" ref="V89">_xlfn.LET(
  _xlpm.K, Constantes!$B$3,
  _xlpm.Knewgain, Constantes!$B$4,
  _xlpm.Knewscale, Constantes!$B$5,
  _xlpm.ptstables, INDEX(V:V, _xlfn.SEQUENCE(COUNTA($C$2:$C89), 1, 3, 4)),
  _xlpm.nbparties, COUNTA(_xlfn._xlws.FILTER(_xlpm.ptstables, _xlpm.ptstables &lt;&gt; "")),
  _xlpm.coef, _xlpm.K + _xlpm.Knewgain / (_xlpm.Knewscale + _xlpm.nbparties),
  IF(V87="",
    "",
    _xlpm.coef * (V87-V88))
)</f>
        <v/>
      </c>
      <c r="W89" t="str" cm="1">
        <f t="array" ref="W89">_xlfn.LET(
  _xlpm.K, Constantes!$B$3,
  _xlpm.Knewgain, Constantes!$B$4,
  _xlpm.Knewscale, Constantes!$B$5,
  _xlpm.ptstables, INDEX(W:W, _xlfn.SEQUENCE(COUNTA($C$2:$C89), 1, 3, 4)),
  _xlpm.nbparties, COUNTA(_xlfn._xlws.FILTER(_xlpm.ptstables, _xlpm.ptstables &lt;&gt; "")),
  _xlpm.coef, _xlpm.K + _xlpm.Knewgain / (_xlpm.Knewscale + _xlpm.nbparties),
  IF(W87="",
    "",
    _xlpm.coef * (W87-W88))
)</f>
        <v/>
      </c>
      <c r="X89" t="str" cm="1">
        <f t="array" ref="X89">_xlfn.LET(
  _xlpm.K, Constantes!$B$3,
  _xlpm.Knewgain, Constantes!$B$4,
  _xlpm.Knewscale, Constantes!$B$5,
  _xlpm.ptstables, INDEX(X:X, _xlfn.SEQUENCE(COUNTA($C$2:$C89), 1, 3, 4)),
  _xlpm.nbparties, COUNTA(_xlfn._xlws.FILTER(_xlpm.ptstables, _xlpm.ptstables &lt;&gt; "")),
  _xlpm.coef, _xlpm.K + _xlpm.Knewgain / (_xlpm.Knewscale + _xlpm.nbparties),
  IF(X87="",
    "",
    _xlpm.coef * (X87-X88))
)</f>
        <v/>
      </c>
      <c r="Y89" cm="1">
        <f t="array" ref="Y89">_xlfn.LET(
  _xlpm.K, Constantes!$B$3,
  _xlpm.Knewgain, Constantes!$B$4,
  _xlpm.Knewscale, Constantes!$B$5,
  _xlpm.ptstables, INDEX(Y:Y, _xlfn.SEQUENCE(COUNTA($C$2:$C89), 1, 3, 4)),
  _xlpm.nbparties, COUNTA(_xlfn._xlws.FILTER(_xlpm.ptstables, _xlpm.ptstables &lt;&gt; "")),
  _xlpm.coef, _xlpm.K + _xlpm.Knewgain / (_xlpm.Knewscale + _xlpm.nbparties),
  IF(Y87="",
    "",
    _xlpm.coef * (Y87-Y88))
)</f>
        <v>51.355447560241643</v>
      </c>
      <c r="Z89" t="str" cm="1">
        <f t="array" ref="Z89">_xlfn.LET(
  _xlpm.K, Constantes!$B$3,
  _xlpm.Knewgain, Constantes!$B$4,
  _xlpm.Knewscale, Constantes!$B$5,
  _xlpm.ptstables, INDEX(Z:Z, _xlfn.SEQUENCE(COUNTA($C$2:$C89), 1, 3, 4)),
  _xlpm.nbparties, COUNTA(_xlfn._xlws.FILTER(_xlpm.ptstables, _xlpm.ptstables &lt;&gt; "")),
  _xlpm.coef, _xlpm.K + _xlpm.Knewgain / (_xlpm.Knewscale + _xlpm.nbparties),
  IF(Z87="",
    "",
    _xlpm.coef * (Z87-Z88))
)</f>
        <v/>
      </c>
      <c r="AA89" t="str" cm="1">
        <f t="array" ref="AA89">_xlfn.LET(
  _xlpm.K, Constantes!$B$3,
  _xlpm.Knewgain, Constantes!$B$4,
  _xlpm.Knewscale, Constantes!$B$5,
  _xlpm.ptstables, INDEX(AA:AA, _xlfn.SEQUENCE(COUNTA($C$2:$C89), 1, 3, 4)),
  _xlpm.nbparties, COUNTA(_xlfn._xlws.FILTER(_xlpm.ptstables, _xlpm.ptstables &lt;&gt; "")),
  _xlpm.coef, _xlpm.K + _xlpm.Knewgain / (_xlpm.Knewscale + _xlpm.nbparties),
  IF(AA87="",
    "",
    _xlpm.coef * (AA87-AA88))
)</f>
        <v/>
      </c>
      <c r="AB89" t="str" cm="1">
        <f t="array" ref="AB89">_xlfn.LET(
  _xlpm.K, Constantes!$B$3,
  _xlpm.Knewgain, Constantes!$B$4,
  _xlpm.Knewscale, Constantes!$B$5,
  _xlpm.ptstables, INDEX(AB:AB, _xlfn.SEQUENCE(COUNTA($C$2:$C89), 1, 3, 4)),
  _xlpm.nbparties, COUNTA(_xlfn._xlws.FILTER(_xlpm.ptstables, _xlpm.ptstables &lt;&gt; "")),
  _xlpm.coef, _xlpm.K + _xlpm.Knewgain / (_xlpm.Knewscale + _xlpm.nbparties),
  IF(AB87="",
    "",
    _xlpm.coef * (AB87-AB88))
)</f>
        <v/>
      </c>
      <c r="AC89" t="str" cm="1">
        <f t="array" ref="AC89">_xlfn.LET(
  _xlpm.K, Constantes!$B$3,
  _xlpm.Knewgain, Constantes!$B$4,
  _xlpm.Knewscale, Constantes!$B$5,
  _xlpm.ptstables, INDEX(AC:AC, _xlfn.SEQUENCE(COUNTA($C$2:$C89), 1, 3, 4)),
  _xlpm.nbparties, COUNTA(_xlfn._xlws.FILTER(_xlpm.ptstables, _xlpm.ptstables &lt;&gt; "")),
  _xlpm.coef, _xlpm.K + _xlpm.Knewgain / (_xlpm.Knewscale + _xlpm.nbparties),
  IF(AC87="",
    "",
    _xlpm.coef * (AC87-AC88))
)</f>
        <v/>
      </c>
      <c r="AD89" t="str" cm="1">
        <f t="array" ref="AD89">_xlfn.LET(
  _xlpm.K, Constantes!$B$3,
  _xlpm.Knewgain, Constantes!$B$4,
  _xlpm.Knewscale, Constantes!$B$5,
  _xlpm.ptstables, INDEX(AD:AD, _xlfn.SEQUENCE(COUNTA($C$2:$C89), 1, 3, 4)),
  _xlpm.nbparties, COUNTA(_xlfn._xlws.FILTER(_xlpm.ptstables, _xlpm.ptstables &lt;&gt; "")),
  _xlpm.coef, _xlpm.K + _xlpm.Knewgain / (_xlpm.Knewscale + _xlpm.nbparties),
  IF(AD87="",
    "",
    _xlpm.coef * (AD87-AD88))
)</f>
        <v/>
      </c>
      <c r="AE89" t="str" cm="1">
        <f t="array" ref="AE89">_xlfn.LET(
  _xlpm.K, Constantes!$B$3,
  _xlpm.Knewgain, Constantes!$B$4,
  _xlpm.Knewscale, Constantes!$B$5,
  _xlpm.ptstables, INDEX(AE:AE, _xlfn.SEQUENCE(COUNTA($C$2:$C89), 1, 3, 4)),
  _xlpm.nbparties, COUNTA(_xlfn._xlws.FILTER(_xlpm.ptstables, _xlpm.ptstables &lt;&gt; "")),
  _xlpm.coef, _xlpm.K + _xlpm.Knewgain / (_xlpm.Knewscale + _xlpm.nbparties),
  IF(AE87="",
    "",
    _xlpm.coef * (AE87-AE88))
)</f>
        <v/>
      </c>
      <c r="AF89" t="str" cm="1">
        <f t="array" ref="AF89">_xlfn.LET(
  _xlpm.K, Constantes!$B$3,
  _xlpm.Knewgain, Constantes!$B$4,
  _xlpm.Knewscale, Constantes!$B$5,
  _xlpm.ptstables, INDEX(AF:AF, _xlfn.SEQUENCE(COUNTA($C$2:$C89), 1, 3, 4)),
  _xlpm.nbparties, COUNTA(_xlfn._xlws.FILTER(_xlpm.ptstables, _xlpm.ptstables &lt;&gt; "")),
  _xlpm.coef, _xlpm.K + _xlpm.Knewgain / (_xlpm.Knewscale + _xlpm.nbparties),
  IF(AF87="",
    "",
    _xlpm.coef * (AF87-AF88))
)</f>
        <v/>
      </c>
      <c r="AG89" t="str" cm="1">
        <f t="array" ref="AG89">_xlfn.LET(
  _xlpm.K, Constantes!$B$3,
  _xlpm.Knewgain, Constantes!$B$4,
  _xlpm.Knewscale, Constantes!$B$5,
  _xlpm.ptstables, INDEX(AG:AG, _xlfn.SEQUENCE(COUNTA($C$2:$C89), 1, 3, 4)),
  _xlpm.nbparties, COUNTA(_xlfn._xlws.FILTER(_xlpm.ptstables, _xlpm.ptstables &lt;&gt; "")),
  _xlpm.coef, _xlpm.K + _xlpm.Knewgain / (_xlpm.Knewscale + _xlpm.nbparties),
  IF(AG87="",
    "",
    _xlpm.coef * (AG87-AG88))
)</f>
        <v/>
      </c>
      <c r="AH89" t="str" cm="1">
        <f t="array" ref="AH89">_xlfn.LET(
  _xlpm.K, Constantes!$B$3,
  _xlpm.Knewgain, Constantes!$B$4,
  _xlpm.Knewscale, Constantes!$B$5,
  _xlpm.ptstables, INDEX(AH:AH, _xlfn.SEQUENCE(COUNTA($C$2:$C89), 1, 3, 4)),
  _xlpm.nbparties, COUNTA(_xlfn._xlws.FILTER(_xlpm.ptstables, _xlpm.ptstables &lt;&gt; "")),
  _xlpm.coef, _xlpm.K + _xlpm.Knewgain / (_xlpm.Knewscale + _xlpm.nbparties),
  IF(AH87="",
    "",
    _xlpm.coef * (AH87-AH88))
)</f>
        <v/>
      </c>
      <c r="AI89" t="str" cm="1">
        <f t="array" ref="AI89">_xlfn.LET(
  _xlpm.K, Constantes!$B$3,
  _xlpm.Knewgain, Constantes!$B$4,
  _xlpm.Knewscale, Constantes!$B$5,
  _xlpm.ptstables, INDEX(AI:AI, _xlfn.SEQUENCE(COUNTA($C$2:$C89), 1, 3, 4)),
  _xlpm.nbparties, COUNTA(_xlfn._xlws.FILTER(_xlpm.ptstables, _xlpm.ptstables &lt;&gt; "")),
  _xlpm.coef, _xlpm.K + _xlpm.Knewgain / (_xlpm.Knewscale + _xlpm.nbparties),
  IF(AI87="",
    "",
    _xlpm.coef * (AI87-AI88))
)</f>
        <v/>
      </c>
      <c r="AJ89" t="str" cm="1">
        <f t="array" ref="AJ89">_xlfn.LET(
  _xlpm.K, Constantes!$B$3,
  _xlpm.Knewgain, Constantes!$B$4,
  _xlpm.Knewscale, Constantes!$B$5,
  _xlpm.ptstables, INDEX(AJ:AJ, _xlfn.SEQUENCE(COUNTA($C$2:$C89), 1, 3, 4)),
  _xlpm.nbparties, COUNTA(_xlfn._xlws.FILTER(_xlpm.ptstables, _xlpm.ptstables &lt;&gt; "")),
  _xlpm.coef, _xlpm.K + _xlpm.Knewgain / (_xlpm.Knewscale + _xlpm.nbparties),
  IF(AJ87="",
    "",
    _xlpm.coef * (AJ87-AJ88))
)</f>
        <v/>
      </c>
      <c r="AK89" t="str" cm="1">
        <f t="array" ref="AK89">_xlfn.LET(
  _xlpm.K, Constantes!$B$3,
  _xlpm.Knewgain, Constantes!$B$4,
  _xlpm.Knewscale, Constantes!$B$5,
  _xlpm.ptstables, INDEX(AK:AK, _xlfn.SEQUENCE(COUNTA($C$2:$C89), 1, 3, 4)),
  _xlpm.nbparties, COUNTA(_xlfn._xlws.FILTER(_xlpm.ptstables, _xlpm.ptstables &lt;&gt; "")),
  _xlpm.coef, _xlpm.K + _xlpm.Knewgain / (_xlpm.Knewscale + _xlpm.nbparties),
  IF(AK87="",
    "",
    _xlpm.coef * (AK87-AK88))
)</f>
        <v/>
      </c>
      <c r="AL89" t="str" cm="1">
        <f t="array" ref="AL89">_xlfn.LET(
  _xlpm.K, Constantes!$B$3,
  _xlpm.Knewgain, Constantes!$B$4,
  _xlpm.Knewscale, Constantes!$B$5,
  _xlpm.ptstables, INDEX(AL:AL, _xlfn.SEQUENCE(COUNTA($C$2:$C89), 1, 3, 4)),
  _xlpm.nbparties, COUNTA(_xlfn._xlws.FILTER(_xlpm.ptstables, _xlpm.ptstables &lt;&gt; "")),
  _xlpm.coef, _xlpm.K + _xlpm.Knewgain / (_xlpm.Knewscale + _xlpm.nbparties),
  IF(AL87="",
    "",
    _xlpm.coef * (AL87-AL88))
)</f>
        <v/>
      </c>
      <c r="AM89" t="str" cm="1">
        <f t="array" ref="AM89">_xlfn.LET(
  _xlpm.K, Constantes!$B$3,
  _xlpm.Knewgain, Constantes!$B$4,
  _xlpm.Knewscale, Constantes!$B$5,
  _xlpm.ptstables, INDEX(AM:AM, _xlfn.SEQUENCE(COUNTA($C$2:$C89), 1, 3, 4)),
  _xlpm.nbparties, COUNTA(_xlfn._xlws.FILTER(_xlpm.ptstables, _xlpm.ptstables &lt;&gt; "")),
  _xlpm.coef, _xlpm.K + _xlpm.Knewgain / (_xlpm.Knewscale + _xlpm.nbparties),
  IF(AM87="",
    "",
    _xlpm.coef * (AM87-AM88))
)</f>
        <v/>
      </c>
    </row>
    <row r="90" spans="1:39" x14ac:dyDescent="0.25">
      <c r="A90" t="s">
        <v>14</v>
      </c>
      <c r="B90" t="str" cm="1">
        <f t="array" ref="B9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25</v>
      </c>
      <c r="C90" s="2" cm="1">
        <f t="array" ref="C90">IF(B90="","",
  INDEX(Donnees!F:F, MATCH(B90, Donnees!F:F, 0)+1))</f>
        <v>45920.693310185183</v>
      </c>
      <c r="D90">
        <f t="shared" ref="D90:AM90" si="30">D86+IF(D89="",0,D89)</f>
        <v>1108.4611161856747</v>
      </c>
      <c r="E90">
        <f t="shared" si="30"/>
        <v>1112.8771635420176</v>
      </c>
      <c r="F90">
        <f t="shared" si="30"/>
        <v>925.72646659717554</v>
      </c>
      <c r="G90">
        <f t="shared" si="30"/>
        <v>956.37970750382215</v>
      </c>
      <c r="H90">
        <f t="shared" si="30"/>
        <v>1020.3453983892952</v>
      </c>
      <c r="I90">
        <f t="shared" si="30"/>
        <v>1079.4580211094492</v>
      </c>
      <c r="J90">
        <f t="shared" si="30"/>
        <v>938.49433816478961</v>
      </c>
      <c r="K90">
        <f t="shared" si="30"/>
        <v>911.11415590373872</v>
      </c>
      <c r="L90">
        <f t="shared" si="30"/>
        <v>878.7153998467162</v>
      </c>
      <c r="M90">
        <f t="shared" si="30"/>
        <v>965.238738457664</v>
      </c>
      <c r="N90">
        <f t="shared" si="30"/>
        <v>893.53720165580148</v>
      </c>
      <c r="O90">
        <f t="shared" si="30"/>
        <v>1030.4363831507294</v>
      </c>
      <c r="P90">
        <f t="shared" si="30"/>
        <v>1043.9932888752683</v>
      </c>
      <c r="Q90">
        <f t="shared" si="30"/>
        <v>1039.0209485170767</v>
      </c>
      <c r="R90">
        <f t="shared" si="30"/>
        <v>1098.9361163640592</v>
      </c>
      <c r="S90">
        <f t="shared" si="30"/>
        <v>932.5391191163942</v>
      </c>
      <c r="T90">
        <f t="shared" si="30"/>
        <v>1135.2782658680615</v>
      </c>
      <c r="U90">
        <f t="shared" si="30"/>
        <v>1012.4141493920336</v>
      </c>
      <c r="V90">
        <f t="shared" si="30"/>
        <v>939.81992350253006</v>
      </c>
      <c r="W90">
        <f t="shared" si="30"/>
        <v>936.79085942937002</v>
      </c>
      <c r="X90">
        <f t="shared" si="30"/>
        <v>852.64794693163367</v>
      </c>
      <c r="Y90">
        <f t="shared" si="30"/>
        <v>965.34126814929596</v>
      </c>
      <c r="Z90">
        <f t="shared" si="30"/>
        <v>991.11904139672549</v>
      </c>
      <c r="AA90">
        <f t="shared" si="30"/>
        <v>1033.2578091720529</v>
      </c>
      <c r="AB90">
        <f t="shared" si="30"/>
        <v>979.56500000000005</v>
      </c>
      <c r="AC90">
        <f t="shared" si="30"/>
        <v>1032.51</v>
      </c>
      <c r="AD90">
        <f t="shared" si="30"/>
        <v>974.01499999999999</v>
      </c>
      <c r="AE90">
        <f t="shared" si="30"/>
        <v>1011.415</v>
      </c>
      <c r="AF90">
        <f t="shared" si="30"/>
        <v>1031.1199999999999</v>
      </c>
      <c r="AG90">
        <f t="shared" si="30"/>
        <v>1001.0350000000001</v>
      </c>
      <c r="AH90">
        <f t="shared" si="30"/>
        <v>994.44</v>
      </c>
      <c r="AI90">
        <f t="shared" si="30"/>
        <v>1000</v>
      </c>
      <c r="AJ90">
        <f t="shared" si="30"/>
        <v>957.2</v>
      </c>
      <c r="AK90">
        <f t="shared" si="30"/>
        <v>1000</v>
      </c>
      <c r="AL90">
        <f t="shared" si="30"/>
        <v>1055.9299999999998</v>
      </c>
      <c r="AM90">
        <f t="shared" si="30"/>
        <v>1000</v>
      </c>
    </row>
    <row r="91" spans="1:39" x14ac:dyDescent="0.25">
      <c r="A91" t="s">
        <v>21</v>
      </c>
      <c r="D91" t="str" cm="1">
        <f t="array" ref="D91">IFERROR(
  _xlfn.LET(
    _xlpm.ligpartie, MATCH($B90, Donnees!$F:$F, 0),
    _xlpm.joueurs, INDEX(Donnees!$A:$Z, _xlpm.ligpartie+1, _xlfn.SEQUENCE(1, 4, 2)),
    INDEX(
      Donnees!$A:$Z,
      _xlpm.ligpartie + 3,
      MATCH(D$1, _xlpm.joueurs, 0) + 1
    )
  ), ""
)</f>
        <v/>
      </c>
      <c r="E91" t="str" cm="1">
        <f t="array" ref="E91">IFERROR(
  _xlfn.LET(
    _xlpm.ligpartie, MATCH($B90, Donnees!$F:$F, 0),
    _xlpm.joueurs, INDEX(Donnees!$A:$Z, _xlpm.ligpartie+1, _xlfn.SEQUENCE(1, 4, 2)),
    INDEX(
      Donnees!$A:$Z,
      _xlpm.ligpartie + 3,
      MATCH(E$1, _xlpm.joueurs, 0) + 1
    )
  ), ""
)</f>
        <v/>
      </c>
      <c r="F91" t="str" cm="1">
        <f t="array" ref="F91">IFERROR(
  _xlfn.LET(
    _xlpm.ligpartie, MATCH($B90, Donnees!$F:$F, 0),
    _xlpm.joueurs, INDEX(Donnees!$A:$Z, _xlpm.ligpartie+1, _xlfn.SEQUENCE(1, 4, 2)),
    INDEX(
      Donnees!$A:$Z,
      _xlpm.ligpartie + 3,
      MATCH(F$1, _xlpm.joueurs, 0) + 1
    )
  ), ""
)</f>
        <v/>
      </c>
      <c r="G91" t="str" cm="1">
        <f t="array" ref="G91">IFERROR(
  _xlfn.LET(
    _xlpm.ligpartie, MATCH($B90, Donnees!$F:$F, 0),
    _xlpm.joueurs, INDEX(Donnees!$A:$Z, _xlpm.ligpartie+1, _xlfn.SEQUENCE(1, 4, 2)),
    INDEX(
      Donnees!$A:$Z,
      _xlpm.ligpartie + 3,
      MATCH(G$1, _xlpm.joueurs, 0) + 1
    )
  ), ""
)</f>
        <v/>
      </c>
      <c r="H91" t="str" cm="1">
        <f t="array" ref="H91">IFERROR(
  _xlfn.LET(
    _xlpm.ligpartie, MATCH($B90, Donnees!$F:$F, 0),
    _xlpm.joueurs, INDEX(Donnees!$A:$Z, _xlpm.ligpartie+1, _xlfn.SEQUENCE(1, 4, 2)),
    INDEX(
      Donnees!$A:$Z,
      _xlpm.ligpartie + 3,
      MATCH(H$1, _xlpm.joueurs, 0) + 1
    )
  ), ""
)</f>
        <v/>
      </c>
      <c r="I91" cm="1">
        <f t="array" ref="I91">IFERROR(
  _xlfn.LET(
    _xlpm.ligpartie, MATCH($B90, Donnees!$F:$F, 0),
    _xlpm.joueurs, INDEX(Donnees!$A:$Z, _xlpm.ligpartie+1, _xlfn.SEQUENCE(1, 4, 2)),
    INDEX(
      Donnees!$A:$Z,
      _xlpm.ligpartie + 3,
      MATCH(I$1, _xlpm.joueurs, 0) + 1
    )
  ), ""
)</f>
        <v>1</v>
      </c>
      <c r="J91" t="str" cm="1">
        <f t="array" ref="J91">IFERROR(
  _xlfn.LET(
    _xlpm.ligpartie, MATCH($B90, Donnees!$F:$F, 0),
    _xlpm.joueurs, INDEX(Donnees!$A:$Z, _xlpm.ligpartie+1, _xlfn.SEQUENCE(1, 4, 2)),
    INDEX(
      Donnees!$A:$Z,
      _xlpm.ligpartie + 3,
      MATCH(J$1, _xlpm.joueurs, 0) + 1
    )
  ), ""
)</f>
        <v/>
      </c>
      <c r="K91" t="str" cm="1">
        <f t="array" ref="K91">IFERROR(
  _xlfn.LET(
    _xlpm.ligpartie, MATCH($B90, Donnees!$F:$F, 0),
    _xlpm.joueurs, INDEX(Donnees!$A:$Z, _xlpm.ligpartie+1, _xlfn.SEQUENCE(1, 4, 2)),
    INDEX(
      Donnees!$A:$Z,
      _xlpm.ligpartie + 3,
      MATCH(K$1, _xlpm.joueurs, 0) + 1
    )
  ), ""
)</f>
        <v/>
      </c>
      <c r="L91" t="str" cm="1">
        <f t="array" ref="L91">IFERROR(
  _xlfn.LET(
    _xlpm.ligpartie, MATCH($B90, Donnees!$F:$F, 0),
    _xlpm.joueurs, INDEX(Donnees!$A:$Z, _xlpm.ligpartie+1, _xlfn.SEQUENCE(1, 4, 2)),
    INDEX(
      Donnees!$A:$Z,
      _xlpm.ligpartie + 3,
      MATCH(L$1, _xlpm.joueurs, 0) + 1
    )
  ), ""
)</f>
        <v/>
      </c>
      <c r="M91" t="str" cm="1">
        <f t="array" ref="M91">IFERROR(
  _xlfn.LET(
    _xlpm.ligpartie, MATCH($B90, Donnees!$F:$F, 0),
    _xlpm.joueurs, INDEX(Donnees!$A:$Z, _xlpm.ligpartie+1, _xlfn.SEQUENCE(1, 4, 2)),
    INDEX(
      Donnees!$A:$Z,
      _xlpm.ligpartie + 3,
      MATCH(M$1, _xlpm.joueurs, 0) + 1
    )
  ), ""
)</f>
        <v/>
      </c>
      <c r="N91" t="str" cm="1">
        <f t="array" ref="N91">IFERROR(
  _xlfn.LET(
    _xlpm.ligpartie, MATCH($B90, Donnees!$F:$F, 0),
    _xlpm.joueurs, INDEX(Donnees!$A:$Z, _xlpm.ligpartie+1, _xlfn.SEQUENCE(1, 4, 2)),
    INDEX(
      Donnees!$A:$Z,
      _xlpm.ligpartie + 3,
      MATCH(N$1, _xlpm.joueurs, 0) + 1
    )
  ), ""
)</f>
        <v/>
      </c>
      <c r="O91" t="str" cm="1">
        <f t="array" ref="O91">IFERROR(
  _xlfn.LET(
    _xlpm.ligpartie, MATCH($B90, Donnees!$F:$F, 0),
    _xlpm.joueurs, INDEX(Donnees!$A:$Z, _xlpm.ligpartie+1, _xlfn.SEQUENCE(1, 4, 2)),
    INDEX(
      Donnees!$A:$Z,
      _xlpm.ligpartie + 3,
      MATCH(O$1, _xlpm.joueurs, 0) + 1
    )
  ), ""
)</f>
        <v/>
      </c>
      <c r="P91" t="str" cm="1">
        <f t="array" ref="P91">IFERROR(
  _xlfn.LET(
    _xlpm.ligpartie, MATCH($B90, Donnees!$F:$F, 0),
    _xlpm.joueurs, INDEX(Donnees!$A:$Z, _xlpm.ligpartie+1, _xlfn.SEQUENCE(1, 4, 2)),
    INDEX(
      Donnees!$A:$Z,
      _xlpm.ligpartie + 3,
      MATCH(P$1, _xlpm.joueurs, 0) + 1
    )
  ), ""
)</f>
        <v/>
      </c>
      <c r="Q91" t="str" cm="1">
        <f t="array" ref="Q91">IFERROR(
  _xlfn.LET(
    _xlpm.ligpartie, MATCH($B90, Donnees!$F:$F, 0),
    _xlpm.joueurs, INDEX(Donnees!$A:$Z, _xlpm.ligpartie+1, _xlfn.SEQUENCE(1, 4, 2)),
    INDEX(
      Donnees!$A:$Z,
      _xlpm.ligpartie + 3,
      MATCH(Q$1, _xlpm.joueurs, 0) + 1
    )
  ), ""
)</f>
        <v/>
      </c>
      <c r="R91" cm="1">
        <f t="array" ref="R91">IFERROR(
  _xlfn.LET(
    _xlpm.ligpartie, MATCH($B90, Donnees!$F:$F, 0),
    _xlpm.joueurs, INDEX(Donnees!$A:$Z, _xlpm.ligpartie+1, _xlfn.SEQUENCE(1, 4, 2)),
    INDEX(
      Donnees!$A:$Z,
      _xlpm.ligpartie + 3,
      MATCH(R$1, _xlpm.joueurs, 0) + 1
    )
  ), ""
)</f>
        <v>3</v>
      </c>
      <c r="S91" t="str" cm="1">
        <f t="array" ref="S91">IFERROR(
  _xlfn.LET(
    _xlpm.ligpartie, MATCH($B90, Donnees!$F:$F, 0),
    _xlpm.joueurs, INDEX(Donnees!$A:$Z, _xlpm.ligpartie+1, _xlfn.SEQUENCE(1, 4, 2)),
    INDEX(
      Donnees!$A:$Z,
      _xlpm.ligpartie + 3,
      MATCH(S$1, _xlpm.joueurs, 0) + 1
    )
  ), ""
)</f>
        <v/>
      </c>
      <c r="T91" t="str" cm="1">
        <f t="array" ref="T91">IFERROR(
  _xlfn.LET(
    _xlpm.ligpartie, MATCH($B90, Donnees!$F:$F, 0),
    _xlpm.joueurs, INDEX(Donnees!$A:$Z, _xlpm.ligpartie+1, _xlfn.SEQUENCE(1, 4, 2)),
    INDEX(
      Donnees!$A:$Z,
      _xlpm.ligpartie + 3,
      MATCH(T$1, _xlpm.joueurs, 0) + 1
    )
  ), ""
)</f>
        <v/>
      </c>
      <c r="U91" t="str" cm="1">
        <f t="array" ref="U91">IFERROR(
  _xlfn.LET(
    _xlpm.ligpartie, MATCH($B90, Donnees!$F:$F, 0),
    _xlpm.joueurs, INDEX(Donnees!$A:$Z, _xlpm.ligpartie+1, _xlfn.SEQUENCE(1, 4, 2)),
    INDEX(
      Donnees!$A:$Z,
      _xlpm.ligpartie + 3,
      MATCH(U$1, _xlpm.joueurs, 0) + 1
    )
  ), ""
)</f>
        <v/>
      </c>
      <c r="V91" t="str" cm="1">
        <f t="array" ref="V91">IFERROR(
  _xlfn.LET(
    _xlpm.ligpartie, MATCH($B90, Donnees!$F:$F, 0),
    _xlpm.joueurs, INDEX(Donnees!$A:$Z, _xlpm.ligpartie+1, _xlfn.SEQUENCE(1, 4, 2)),
    INDEX(
      Donnees!$A:$Z,
      _xlpm.ligpartie + 3,
      MATCH(V$1, _xlpm.joueurs, 0) + 1
    )
  ), ""
)</f>
        <v/>
      </c>
      <c r="W91" t="str" cm="1">
        <f t="array" ref="W91">IFERROR(
  _xlfn.LET(
    _xlpm.ligpartie, MATCH($B90, Donnees!$F:$F, 0),
    _xlpm.joueurs, INDEX(Donnees!$A:$Z, _xlpm.ligpartie+1, _xlfn.SEQUENCE(1, 4, 2)),
    INDEX(
      Donnees!$A:$Z,
      _xlpm.ligpartie + 3,
      MATCH(W$1, _xlpm.joueurs, 0) + 1
    )
  ), ""
)</f>
        <v/>
      </c>
      <c r="X91" t="str" cm="1">
        <f t="array" ref="X91">IFERROR(
  _xlfn.LET(
    _xlpm.ligpartie, MATCH($B90, Donnees!$F:$F, 0),
    _xlpm.joueurs, INDEX(Donnees!$A:$Z, _xlpm.ligpartie+1, _xlfn.SEQUENCE(1, 4, 2)),
    INDEX(
      Donnees!$A:$Z,
      _xlpm.ligpartie + 3,
      MATCH(X$1, _xlpm.joueurs, 0) + 1
    )
  ), ""
)</f>
        <v/>
      </c>
      <c r="Y91" cm="1">
        <f t="array" ref="Y91">IFERROR(
  _xlfn.LET(
    _xlpm.ligpartie, MATCH($B90, Donnees!$F:$F, 0),
    _xlpm.joueurs, INDEX(Donnees!$A:$Z, _xlpm.ligpartie+1, _xlfn.SEQUENCE(1, 4, 2)),
    INDEX(
      Donnees!$A:$Z,
      _xlpm.ligpartie + 3,
      MATCH(Y$1, _xlpm.joueurs, 0) + 1
    )
  ), ""
)</f>
        <v>2</v>
      </c>
      <c r="Z91" t="str" cm="1">
        <f t="array" ref="Z91">IFERROR(
  _xlfn.LET(
    _xlpm.ligpartie, MATCH($B90, Donnees!$F:$F, 0),
    _xlpm.joueurs, INDEX(Donnees!$A:$Z, _xlpm.ligpartie+1, _xlfn.SEQUENCE(1, 4, 2)),
    INDEX(
      Donnees!$A:$Z,
      _xlpm.ligpartie + 3,
      MATCH(Z$1, _xlpm.joueurs, 0) + 1
    )
  ), ""
)</f>
        <v/>
      </c>
      <c r="AA91" cm="1">
        <f t="array" ref="AA91">IFERROR(
  _xlfn.LET(
    _xlpm.ligpartie, MATCH($B90, Donnees!$F:$F, 0),
    _xlpm.joueurs, INDEX(Donnees!$A:$Z, _xlpm.ligpartie+1, _xlfn.SEQUENCE(1, 4, 2)),
    INDEX(
      Donnees!$A:$Z,
      _xlpm.ligpartie + 3,
      MATCH(AA$1, _xlpm.joueurs, 0) + 1
    )
  ), ""
)</f>
        <v>0</v>
      </c>
      <c r="AB91" t="str" cm="1">
        <f t="array" ref="AB91">IFERROR(
  _xlfn.LET(
    _xlpm.ligpartie, MATCH($B90, Donnees!$F:$F, 0),
    _xlpm.joueurs, INDEX(Donnees!$A:$Z, _xlpm.ligpartie+1, _xlfn.SEQUENCE(1, 4, 2)),
    INDEX(
      Donnees!$A:$Z,
      _xlpm.ligpartie + 3,
      MATCH(AB$1, _xlpm.joueurs, 0) + 1
    )
  ), ""
)</f>
        <v/>
      </c>
      <c r="AC91" t="str" cm="1">
        <f t="array" ref="AC91">IFERROR(
  _xlfn.LET(
    _xlpm.ligpartie, MATCH($B90, Donnees!$F:$F, 0),
    _xlpm.joueurs, INDEX(Donnees!$A:$Z, _xlpm.ligpartie+1, _xlfn.SEQUENCE(1, 4, 2)),
    INDEX(
      Donnees!$A:$Z,
      _xlpm.ligpartie + 3,
      MATCH(AC$1, _xlpm.joueurs, 0) + 1
    )
  ), ""
)</f>
        <v/>
      </c>
      <c r="AD91" t="str" cm="1">
        <f t="array" ref="AD91">IFERROR(
  _xlfn.LET(
    _xlpm.ligpartie, MATCH($B90, Donnees!$F:$F, 0),
    _xlpm.joueurs, INDEX(Donnees!$A:$Z, _xlpm.ligpartie+1, _xlfn.SEQUENCE(1, 4, 2)),
    INDEX(
      Donnees!$A:$Z,
      _xlpm.ligpartie + 3,
      MATCH(AD$1, _xlpm.joueurs, 0) + 1
    )
  ), ""
)</f>
        <v/>
      </c>
      <c r="AE91" t="str" cm="1">
        <f t="array" ref="AE91">IFERROR(
  _xlfn.LET(
    _xlpm.ligpartie, MATCH($B90, Donnees!$F:$F, 0),
    _xlpm.joueurs, INDEX(Donnees!$A:$Z, _xlpm.ligpartie+1, _xlfn.SEQUENCE(1, 4, 2)),
    INDEX(
      Donnees!$A:$Z,
      _xlpm.ligpartie + 3,
      MATCH(AE$1, _xlpm.joueurs, 0) + 1
    )
  ), ""
)</f>
        <v/>
      </c>
      <c r="AF91" t="str" cm="1">
        <f t="array" ref="AF91">IFERROR(
  _xlfn.LET(
    _xlpm.ligpartie, MATCH($B90, Donnees!$F:$F, 0),
    _xlpm.joueurs, INDEX(Donnees!$A:$Z, _xlpm.ligpartie+1, _xlfn.SEQUENCE(1, 4, 2)),
    INDEX(
      Donnees!$A:$Z,
      _xlpm.ligpartie + 3,
      MATCH(AF$1, _xlpm.joueurs, 0) + 1
    )
  ), ""
)</f>
        <v/>
      </c>
      <c r="AG91" t="str" cm="1">
        <f t="array" ref="AG91">IFERROR(
  _xlfn.LET(
    _xlpm.ligpartie, MATCH($B90, Donnees!$F:$F, 0),
    _xlpm.joueurs, INDEX(Donnees!$A:$Z, _xlpm.ligpartie+1, _xlfn.SEQUENCE(1, 4, 2)),
    INDEX(
      Donnees!$A:$Z,
      _xlpm.ligpartie + 3,
      MATCH(AG$1, _xlpm.joueurs, 0) + 1
    )
  ), ""
)</f>
        <v/>
      </c>
      <c r="AH91" t="str" cm="1">
        <f t="array" ref="AH91">IFERROR(
  _xlfn.LET(
    _xlpm.ligpartie, MATCH($B90, Donnees!$F:$F, 0),
    _xlpm.joueurs, INDEX(Donnees!$A:$Z, _xlpm.ligpartie+1, _xlfn.SEQUENCE(1, 4, 2)),
    INDEX(
      Donnees!$A:$Z,
      _xlpm.ligpartie + 3,
      MATCH(AH$1, _xlpm.joueurs, 0) + 1
    )
  ), ""
)</f>
        <v/>
      </c>
      <c r="AI91" t="str" cm="1">
        <f t="array" ref="AI91">IFERROR(
  _xlfn.LET(
    _xlpm.ligpartie, MATCH($B90, Donnees!$F:$F, 0),
    _xlpm.joueurs, INDEX(Donnees!$A:$Z, _xlpm.ligpartie+1, _xlfn.SEQUENCE(1, 4, 2)),
    INDEX(
      Donnees!$A:$Z,
      _xlpm.ligpartie + 3,
      MATCH(AI$1, _xlpm.joueurs, 0) + 1
    )
  ), ""
)</f>
        <v/>
      </c>
      <c r="AJ91" t="str" cm="1">
        <f t="array" ref="AJ91">IFERROR(
  _xlfn.LET(
    _xlpm.ligpartie, MATCH($B90, Donnees!$F:$F, 0),
    _xlpm.joueurs, INDEX(Donnees!$A:$Z, _xlpm.ligpartie+1, _xlfn.SEQUENCE(1, 4, 2)),
    INDEX(
      Donnees!$A:$Z,
      _xlpm.ligpartie + 3,
      MATCH(AJ$1, _xlpm.joueurs, 0) + 1
    )
  ), ""
)</f>
        <v/>
      </c>
      <c r="AK91" t="str" cm="1">
        <f t="array" ref="AK91">IFERROR(
  _xlfn.LET(
    _xlpm.ligpartie, MATCH($B90, Donnees!$F:$F, 0),
    _xlpm.joueurs, INDEX(Donnees!$A:$Z, _xlpm.ligpartie+1, _xlfn.SEQUENCE(1, 4, 2)),
    INDEX(
      Donnees!$A:$Z,
      _xlpm.ligpartie + 3,
      MATCH(AK$1, _xlpm.joueurs, 0) + 1
    )
  ), ""
)</f>
        <v/>
      </c>
      <c r="AL91" t="str" cm="1">
        <f t="array" ref="AL91">IFERROR(
  _xlfn.LET(
    _xlpm.ligpartie, MATCH($B90, Donnees!$F:$F, 0),
    _xlpm.joueurs, INDEX(Donnees!$A:$Z, _xlpm.ligpartie+1, _xlfn.SEQUENCE(1, 4, 2)),
    INDEX(
      Donnees!$A:$Z,
      _xlpm.ligpartie + 3,
      MATCH(AL$1, _xlpm.joueurs, 0) + 1
    )
  ), ""
)</f>
        <v/>
      </c>
      <c r="AM91" t="str" cm="1">
        <f t="array" ref="AM91">IFERROR(
  _xlfn.LET(
    _xlpm.ligpartie, MATCH($B90, Donnees!$F:$F, 0),
    _xlpm.joueurs, INDEX(Donnees!$A:$Z, _xlpm.ligpartie+1, _xlfn.SEQUENCE(1, 4, 2)),
    INDEX(
      Donnees!$A:$Z,
      _xlpm.ligpartie + 3,
      MATCH(AM$1, _xlpm.joueurs, 0) + 1
    )
  ), ""
)</f>
        <v/>
      </c>
    </row>
    <row r="92" spans="1:39" x14ac:dyDescent="0.25">
      <c r="A92" t="s">
        <v>20</v>
      </c>
      <c r="D92" t="str" cm="1">
        <f t="array" ref="D92">_xlfn.LET(
  _xlpm.colj, _xlfn._xlws.FILTER(IF(ISNUMBER(91:91), COLUMN(91:91)), ISNUMBER(91:91)),
  _xlpm.elos, INDEX(90:90,1,_xlpm.colj),
  _xlpm.diffscale, Constantes!$B$2,
  IF(D91="",
    "",
    SUM(1/(1+POWER(10,-(D90-_xlpm.elos)/_xlpm.diffscale)))-0.5)
)</f>
        <v/>
      </c>
      <c r="E92" t="str" cm="1">
        <f t="array" ref="E92">_xlfn.LET(
  _xlpm.colj, _xlfn._xlws.FILTER(IF(ISNUMBER(91:91), COLUMN(91:91)), ISNUMBER(91:91)),
  _xlpm.elos, INDEX(90:90,1,_xlpm.colj),
  _xlpm.diffscale, Constantes!$B$2,
  IF(E91="",
    "",
    SUM(1/(1+POWER(10,-(E90-_xlpm.elos)/_xlpm.diffscale)))-0.5)
)</f>
        <v/>
      </c>
      <c r="F92" t="str" cm="1">
        <f t="array" ref="F92">_xlfn.LET(
  _xlpm.colj, _xlfn._xlws.FILTER(IF(ISNUMBER(91:91), COLUMN(91:91)), ISNUMBER(91:91)),
  _xlpm.elos, INDEX(90:90,1,_xlpm.colj),
  _xlpm.diffscale, Constantes!$B$2,
  IF(F91="",
    "",
    SUM(1/(1+POWER(10,-(F90-_xlpm.elos)/_xlpm.diffscale)))-0.5)
)</f>
        <v/>
      </c>
      <c r="G92" t="str" cm="1">
        <f t="array" ref="G92">_xlfn.LET(
  _xlpm.colj, _xlfn._xlws.FILTER(IF(ISNUMBER(91:91), COLUMN(91:91)), ISNUMBER(91:91)),
  _xlpm.elos, INDEX(90:90,1,_xlpm.colj),
  _xlpm.diffscale, Constantes!$B$2,
  IF(G91="",
    "",
    SUM(1/(1+POWER(10,-(G90-_xlpm.elos)/_xlpm.diffscale)))-0.5)
)</f>
        <v/>
      </c>
      <c r="H92" t="str" cm="1">
        <f t="array" ref="H92">_xlfn.LET(
  _xlpm.colj, _xlfn._xlws.FILTER(IF(ISNUMBER(91:91), COLUMN(91:91)), ISNUMBER(91:91)),
  _xlpm.elos, INDEX(90:90,1,_xlpm.colj),
  _xlpm.diffscale, Constantes!$B$2,
  IF(H91="",
    "",
    SUM(1/(1+POWER(10,-(H90-_xlpm.elos)/_xlpm.diffscale)))-0.5)
)</f>
        <v/>
      </c>
      <c r="I92" cm="1">
        <f t="array" ref="I92">_xlfn.LET(
  _xlpm.colj, _xlfn._xlws.FILTER(IF(ISNUMBER(91:91), COLUMN(91:91)), ISNUMBER(91:91)),
  _xlpm.elos, INDEX(90:90,1,_xlpm.colj),
  _xlpm.diffscale, Constantes!$B$2,
  IF(I91="",
    "",
    SUM(1/(1+POWER(10,-(I90-_xlpm.elos)/_xlpm.diffscale)))-0.5)
)</f>
        <v>1.6966620753650052</v>
      </c>
      <c r="J92" t="str" cm="1">
        <f t="array" ref="J92">_xlfn.LET(
  _xlpm.colj, _xlfn._xlws.FILTER(IF(ISNUMBER(91:91), COLUMN(91:91)), ISNUMBER(91:91)),
  _xlpm.elos, INDEX(90:90,1,_xlpm.colj),
  _xlpm.diffscale, Constantes!$B$2,
  IF(J91="",
    "",
    SUM(1/(1+POWER(10,-(J90-_xlpm.elos)/_xlpm.diffscale)))-0.5)
)</f>
        <v/>
      </c>
      <c r="K92" t="str" cm="1">
        <f t="array" ref="K92">_xlfn.LET(
  _xlpm.colj, _xlfn._xlws.FILTER(IF(ISNUMBER(91:91), COLUMN(91:91)), ISNUMBER(91:91)),
  _xlpm.elos, INDEX(90:90,1,_xlpm.colj),
  _xlpm.diffscale, Constantes!$B$2,
  IF(K91="",
    "",
    SUM(1/(1+POWER(10,-(K90-_xlpm.elos)/_xlpm.diffscale)))-0.5)
)</f>
        <v/>
      </c>
      <c r="L92" t="str" cm="1">
        <f t="array" ref="L92">_xlfn.LET(
  _xlpm.colj, _xlfn._xlws.FILTER(IF(ISNUMBER(91:91), COLUMN(91:91)), ISNUMBER(91:91)),
  _xlpm.elos, INDEX(90:90,1,_xlpm.colj),
  _xlpm.diffscale, Constantes!$B$2,
  IF(L91="",
    "",
    SUM(1/(1+POWER(10,-(L90-_xlpm.elos)/_xlpm.diffscale)))-0.5)
)</f>
        <v/>
      </c>
      <c r="M92" t="str" cm="1">
        <f t="array" ref="M92">_xlfn.LET(
  _xlpm.colj, _xlfn._xlws.FILTER(IF(ISNUMBER(91:91), COLUMN(91:91)), ISNUMBER(91:91)),
  _xlpm.elos, INDEX(90:90,1,_xlpm.colj),
  _xlpm.diffscale, Constantes!$B$2,
  IF(M91="",
    "",
    SUM(1/(1+POWER(10,-(M90-_xlpm.elos)/_xlpm.diffscale)))-0.5)
)</f>
        <v/>
      </c>
      <c r="N92" t="str" cm="1">
        <f t="array" ref="N92">_xlfn.LET(
  _xlpm.colj, _xlfn._xlws.FILTER(IF(ISNUMBER(91:91), COLUMN(91:91)), ISNUMBER(91:91)),
  _xlpm.elos, INDEX(90:90,1,_xlpm.colj),
  _xlpm.diffscale, Constantes!$B$2,
  IF(N91="",
    "",
    SUM(1/(1+POWER(10,-(N90-_xlpm.elos)/_xlpm.diffscale)))-0.5)
)</f>
        <v/>
      </c>
      <c r="O92" t="str" cm="1">
        <f t="array" ref="O92">_xlfn.LET(
  _xlpm.colj, _xlfn._xlws.FILTER(IF(ISNUMBER(91:91), COLUMN(91:91)), ISNUMBER(91:91)),
  _xlpm.elos, INDEX(90:90,1,_xlpm.colj),
  _xlpm.diffscale, Constantes!$B$2,
  IF(O91="",
    "",
    SUM(1/(1+POWER(10,-(O90-_xlpm.elos)/_xlpm.diffscale)))-0.5)
)</f>
        <v/>
      </c>
      <c r="P92" t="str" cm="1">
        <f t="array" ref="P92">_xlfn.LET(
  _xlpm.colj, _xlfn._xlws.FILTER(IF(ISNUMBER(91:91), COLUMN(91:91)), ISNUMBER(91:91)),
  _xlpm.elos, INDEX(90:90,1,_xlpm.colj),
  _xlpm.diffscale, Constantes!$B$2,
  IF(P91="",
    "",
    SUM(1/(1+POWER(10,-(P90-_xlpm.elos)/_xlpm.diffscale)))-0.5)
)</f>
        <v/>
      </c>
      <c r="Q92" t="str" cm="1">
        <f t="array" ref="Q92">_xlfn.LET(
  _xlpm.colj, _xlfn._xlws.FILTER(IF(ISNUMBER(91:91), COLUMN(91:91)), ISNUMBER(91:91)),
  _xlpm.elos, INDEX(90:90,1,_xlpm.colj),
  _xlpm.diffscale, Constantes!$B$2,
  IF(Q91="",
    "",
    SUM(1/(1+POWER(10,-(Q90-_xlpm.elos)/_xlpm.diffscale)))-0.5)
)</f>
        <v/>
      </c>
      <c r="R92" cm="1">
        <f t="array" ref="R92">_xlfn.LET(
  _xlpm.colj, _xlfn._xlws.FILTER(IF(ISNUMBER(91:91), COLUMN(91:91)), ISNUMBER(91:91)),
  _xlpm.elos, INDEX(90:90,1,_xlpm.colj),
  _xlpm.diffscale, Constantes!$B$2,
  IF(R91="",
    "",
    SUM(1/(1+POWER(10,-(R90-_xlpm.elos)/_xlpm.diffscale)))-0.5)
)</f>
        <v>1.8047224093601417</v>
      </c>
      <c r="S92" t="str" cm="1">
        <f t="array" ref="S92">_xlfn.LET(
  _xlpm.colj, _xlfn._xlws.FILTER(IF(ISNUMBER(91:91), COLUMN(91:91)), ISNUMBER(91:91)),
  _xlpm.elos, INDEX(90:90,1,_xlpm.colj),
  _xlpm.diffscale, Constantes!$B$2,
  IF(S91="",
    "",
    SUM(1/(1+POWER(10,-(S90-_xlpm.elos)/_xlpm.diffscale)))-0.5)
)</f>
        <v/>
      </c>
      <c r="T92" t="str" cm="1">
        <f t="array" ref="T92">_xlfn.LET(
  _xlpm.colj, _xlfn._xlws.FILTER(IF(ISNUMBER(91:91), COLUMN(91:91)), ISNUMBER(91:91)),
  _xlpm.elos, INDEX(90:90,1,_xlpm.colj),
  _xlpm.diffscale, Constantes!$B$2,
  IF(T91="",
    "",
    SUM(1/(1+POWER(10,-(T90-_xlpm.elos)/_xlpm.diffscale)))-0.5)
)</f>
        <v/>
      </c>
      <c r="U92" t="str" cm="1">
        <f t="array" ref="U92">_xlfn.LET(
  _xlpm.colj, _xlfn._xlws.FILTER(IF(ISNUMBER(91:91), COLUMN(91:91)), ISNUMBER(91:91)),
  _xlpm.elos, INDEX(90:90,1,_xlpm.colj),
  _xlpm.diffscale, Constantes!$B$2,
  IF(U91="",
    "",
    SUM(1/(1+POWER(10,-(U90-_xlpm.elos)/_xlpm.diffscale)))-0.5)
)</f>
        <v/>
      </c>
      <c r="V92" t="str" cm="1">
        <f t="array" ref="V92">_xlfn.LET(
  _xlpm.colj, _xlfn._xlws.FILTER(IF(ISNUMBER(91:91), COLUMN(91:91)), ISNUMBER(91:91)),
  _xlpm.elos, INDEX(90:90,1,_xlpm.colj),
  _xlpm.diffscale, Constantes!$B$2,
  IF(V91="",
    "",
    SUM(1/(1+POWER(10,-(V90-_xlpm.elos)/_xlpm.diffscale)))-0.5)
)</f>
        <v/>
      </c>
      <c r="W92" t="str" cm="1">
        <f t="array" ref="W92">_xlfn.LET(
  _xlpm.colj, _xlfn._xlws.FILTER(IF(ISNUMBER(91:91), COLUMN(91:91)), ISNUMBER(91:91)),
  _xlpm.elos, INDEX(90:90,1,_xlpm.colj),
  _xlpm.diffscale, Constantes!$B$2,
  IF(W91="",
    "",
    SUM(1/(1+POWER(10,-(W90-_xlpm.elos)/_xlpm.diffscale)))-0.5)
)</f>
        <v/>
      </c>
      <c r="X92" t="str" cm="1">
        <f t="array" ref="X92">_xlfn.LET(
  _xlpm.colj, _xlfn._xlws.FILTER(IF(ISNUMBER(91:91), COLUMN(91:91)), ISNUMBER(91:91)),
  _xlpm.elos, INDEX(90:90,1,_xlpm.colj),
  _xlpm.diffscale, Constantes!$B$2,
  IF(X91="",
    "",
    SUM(1/(1+POWER(10,-(X90-_xlpm.elos)/_xlpm.diffscale)))-0.5)
)</f>
        <v/>
      </c>
      <c r="Y92" cm="1">
        <f t="array" ref="Y92">_xlfn.LET(
  _xlpm.colj, _xlfn._xlws.FILTER(IF(ISNUMBER(91:91), COLUMN(91:91)), ISNUMBER(91:91)),
  _xlpm.elos, INDEX(90:90,1,_xlpm.colj),
  _xlpm.diffscale, Constantes!$B$2,
  IF(Y91="",
    "",
    SUM(1/(1+POWER(10,-(Y90-_xlpm.elos)/_xlpm.diffscale)))-0.5)
)</f>
        <v>1.0616089529004689</v>
      </c>
      <c r="Z92" t="str" cm="1">
        <f t="array" ref="Z92">_xlfn.LET(
  _xlpm.colj, _xlfn._xlws.FILTER(IF(ISNUMBER(91:91), COLUMN(91:91)), ISNUMBER(91:91)),
  _xlpm.elos, INDEX(90:90,1,_xlpm.colj),
  _xlpm.diffscale, Constantes!$B$2,
  IF(Z91="",
    "",
    SUM(1/(1+POWER(10,-(Z90-_xlpm.elos)/_xlpm.diffscale)))-0.5)
)</f>
        <v/>
      </c>
      <c r="AA92" cm="1">
        <f t="array" ref="AA92">_xlfn.LET(
  _xlpm.colj, _xlfn._xlws.FILTER(IF(ISNUMBER(91:91), COLUMN(91:91)), ISNUMBER(91:91)),
  _xlpm.elos, INDEX(90:90,1,_xlpm.colj),
  _xlpm.diffscale, Constantes!$B$2,
  IF(AA91="",
    "",
    SUM(1/(1+POWER(10,-(AA90-_xlpm.elos)/_xlpm.diffscale)))-0.5)
)</f>
        <v>1.4370065623743844</v>
      </c>
      <c r="AB92" t="str" cm="1">
        <f t="array" ref="AB92">_xlfn.LET(
  _xlpm.colj, _xlfn._xlws.FILTER(IF(ISNUMBER(91:91), COLUMN(91:91)), ISNUMBER(91:91)),
  _xlpm.elos, INDEX(90:90,1,_xlpm.colj),
  _xlpm.diffscale, Constantes!$B$2,
  IF(AB91="",
    "",
    SUM(1/(1+POWER(10,-(AB90-_xlpm.elos)/_xlpm.diffscale)))-0.5)
)</f>
        <v/>
      </c>
      <c r="AC92" t="str" cm="1">
        <f t="array" ref="AC92">_xlfn.LET(
  _xlpm.colj, _xlfn._xlws.FILTER(IF(ISNUMBER(91:91), COLUMN(91:91)), ISNUMBER(91:91)),
  _xlpm.elos, INDEX(90:90,1,_xlpm.colj),
  _xlpm.diffscale, Constantes!$B$2,
  IF(AC91="",
    "",
    SUM(1/(1+POWER(10,-(AC90-_xlpm.elos)/_xlpm.diffscale)))-0.5)
)</f>
        <v/>
      </c>
      <c r="AD92" t="str" cm="1">
        <f t="array" ref="AD92">_xlfn.LET(
  _xlpm.colj, _xlfn._xlws.FILTER(IF(ISNUMBER(91:91), COLUMN(91:91)), ISNUMBER(91:91)),
  _xlpm.elos, INDEX(90:90,1,_xlpm.colj),
  _xlpm.diffscale, Constantes!$B$2,
  IF(AD91="",
    "",
    SUM(1/(1+POWER(10,-(AD90-_xlpm.elos)/_xlpm.diffscale)))-0.5)
)</f>
        <v/>
      </c>
      <c r="AE92" t="str" cm="1">
        <f t="array" ref="AE92">_xlfn.LET(
  _xlpm.colj, _xlfn._xlws.FILTER(IF(ISNUMBER(91:91), COLUMN(91:91)), ISNUMBER(91:91)),
  _xlpm.elos, INDEX(90:90,1,_xlpm.colj),
  _xlpm.diffscale, Constantes!$B$2,
  IF(AE91="",
    "",
    SUM(1/(1+POWER(10,-(AE90-_xlpm.elos)/_xlpm.diffscale)))-0.5)
)</f>
        <v/>
      </c>
      <c r="AF92" t="str" cm="1">
        <f t="array" ref="AF92">_xlfn.LET(
  _xlpm.colj, _xlfn._xlws.FILTER(IF(ISNUMBER(91:91), COLUMN(91:91)), ISNUMBER(91:91)),
  _xlpm.elos, INDEX(90:90,1,_xlpm.colj),
  _xlpm.diffscale, Constantes!$B$2,
  IF(AF91="",
    "",
    SUM(1/(1+POWER(10,-(AF90-_xlpm.elos)/_xlpm.diffscale)))-0.5)
)</f>
        <v/>
      </c>
      <c r="AG92" t="str" cm="1">
        <f t="array" ref="AG92">_xlfn.LET(
  _xlpm.colj, _xlfn._xlws.FILTER(IF(ISNUMBER(91:91), COLUMN(91:91)), ISNUMBER(91:91)),
  _xlpm.elos, INDEX(90:90,1,_xlpm.colj),
  _xlpm.diffscale, Constantes!$B$2,
  IF(AG91="",
    "",
    SUM(1/(1+POWER(10,-(AG90-_xlpm.elos)/_xlpm.diffscale)))-0.5)
)</f>
        <v/>
      </c>
      <c r="AH92" t="str" cm="1">
        <f t="array" ref="AH92">_xlfn.LET(
  _xlpm.colj, _xlfn._xlws.FILTER(IF(ISNUMBER(91:91), COLUMN(91:91)), ISNUMBER(91:91)),
  _xlpm.elos, INDEX(90:90,1,_xlpm.colj),
  _xlpm.diffscale, Constantes!$B$2,
  IF(AH91="",
    "",
    SUM(1/(1+POWER(10,-(AH90-_xlpm.elos)/_xlpm.diffscale)))-0.5)
)</f>
        <v/>
      </c>
      <c r="AI92" t="str" cm="1">
        <f t="array" ref="AI92">_xlfn.LET(
  _xlpm.colj, _xlfn._xlws.FILTER(IF(ISNUMBER(91:91), COLUMN(91:91)), ISNUMBER(91:91)),
  _xlpm.elos, INDEX(90:90,1,_xlpm.colj),
  _xlpm.diffscale, Constantes!$B$2,
  IF(AI91="",
    "",
    SUM(1/(1+POWER(10,-(AI90-_xlpm.elos)/_xlpm.diffscale)))-0.5)
)</f>
        <v/>
      </c>
      <c r="AJ92" t="str" cm="1">
        <f t="array" ref="AJ92">_xlfn.LET(
  _xlpm.colj, _xlfn._xlws.FILTER(IF(ISNUMBER(91:91), COLUMN(91:91)), ISNUMBER(91:91)),
  _xlpm.elos, INDEX(90:90,1,_xlpm.colj),
  _xlpm.diffscale, Constantes!$B$2,
  IF(AJ91="",
    "",
    SUM(1/(1+POWER(10,-(AJ90-_xlpm.elos)/_xlpm.diffscale)))-0.5)
)</f>
        <v/>
      </c>
      <c r="AK92" t="str" cm="1">
        <f t="array" ref="AK92">_xlfn.LET(
  _xlpm.colj, _xlfn._xlws.FILTER(IF(ISNUMBER(91:91), COLUMN(91:91)), ISNUMBER(91:91)),
  _xlpm.elos, INDEX(90:90,1,_xlpm.colj),
  _xlpm.diffscale, Constantes!$B$2,
  IF(AK91="",
    "",
    SUM(1/(1+POWER(10,-(AK90-_xlpm.elos)/_xlpm.diffscale)))-0.5)
)</f>
        <v/>
      </c>
      <c r="AL92" t="str" cm="1">
        <f t="array" ref="AL92">_xlfn.LET(
  _xlpm.colj, _xlfn._xlws.FILTER(IF(ISNUMBER(91:91), COLUMN(91:91)), ISNUMBER(91:91)),
  _xlpm.elos, INDEX(90:90,1,_xlpm.colj),
  _xlpm.diffscale, Constantes!$B$2,
  IF(AL91="",
    "",
    SUM(1/(1+POWER(10,-(AL90-_xlpm.elos)/_xlpm.diffscale)))-0.5)
)</f>
        <v/>
      </c>
      <c r="AM92" t="str" cm="1">
        <f t="array" ref="AM92">_xlfn.LET(
  _xlpm.colj, _xlfn._xlws.FILTER(IF(ISNUMBER(91:91), COLUMN(91:91)), ISNUMBER(91:91)),
  _xlpm.elos, INDEX(90:90,1,_xlpm.colj),
  _xlpm.diffscale, Constantes!$B$2,
  IF(AM91="",
    "",
    SUM(1/(1+POWER(10,-(AM90-_xlpm.elos)/_xlpm.diffscale)))-0.5)
)</f>
        <v/>
      </c>
    </row>
    <row r="93" spans="1:39" x14ac:dyDescent="0.25">
      <c r="A93" t="s">
        <v>22</v>
      </c>
      <c r="D93" t="str" cm="1">
        <f t="array" ref="D93">_xlfn.LET(
  _xlpm.K, Constantes!$B$3,
  _xlpm.Knewgain, Constantes!$B$4,
  _xlpm.Knewscale, Constantes!$B$5,
  _xlpm.ptstables, INDEX(D:D, _xlfn.SEQUENCE(COUNTA($C$2:$C93), 1, 3, 4)),
  _xlpm.nbparties, COUNTA(_xlfn._xlws.FILTER(_xlpm.ptstables, _xlpm.ptstables &lt;&gt; "")),
  _xlpm.coef, _xlpm.K + _xlpm.Knewgain / (_xlpm.Knewscale + _xlpm.nbparties),
  IF(D91="",
    "",
    _xlpm.coef * (D91-D92))
)</f>
        <v/>
      </c>
      <c r="E93" t="str" cm="1">
        <f t="array" ref="E93">_xlfn.LET(
  _xlpm.K, Constantes!$B$3,
  _xlpm.Knewgain, Constantes!$B$4,
  _xlpm.Knewscale, Constantes!$B$5,
  _xlpm.ptstables, INDEX(E:E, _xlfn.SEQUENCE(COUNTA($C$2:$C93), 1, 3, 4)),
  _xlpm.nbparties, COUNTA(_xlfn._xlws.FILTER(_xlpm.ptstables, _xlpm.ptstables &lt;&gt; "")),
  _xlpm.coef, _xlpm.K + _xlpm.Knewgain / (_xlpm.Knewscale + _xlpm.nbparties),
  IF(E91="",
    "",
    _xlpm.coef * (E91-E92))
)</f>
        <v/>
      </c>
      <c r="F93" t="str" cm="1">
        <f t="array" ref="F93">_xlfn.LET(
  _xlpm.K, Constantes!$B$3,
  _xlpm.Knewgain, Constantes!$B$4,
  _xlpm.Knewscale, Constantes!$B$5,
  _xlpm.ptstables, INDEX(F:F, _xlfn.SEQUENCE(COUNTA($C$2:$C93), 1, 3, 4)),
  _xlpm.nbparties, COUNTA(_xlfn._xlws.FILTER(_xlpm.ptstables, _xlpm.ptstables &lt;&gt; "")),
  _xlpm.coef, _xlpm.K + _xlpm.Knewgain / (_xlpm.Knewscale + _xlpm.nbparties),
  IF(F91="",
    "",
    _xlpm.coef * (F91-F92))
)</f>
        <v/>
      </c>
      <c r="G93" t="str" cm="1">
        <f t="array" ref="G93">_xlfn.LET(
  _xlpm.K, Constantes!$B$3,
  _xlpm.Knewgain, Constantes!$B$4,
  _xlpm.Knewscale, Constantes!$B$5,
  _xlpm.ptstables, INDEX(G:G, _xlfn.SEQUENCE(COUNTA($C$2:$C93), 1, 3, 4)),
  _xlpm.nbparties, COUNTA(_xlfn._xlws.FILTER(_xlpm.ptstables, _xlpm.ptstables &lt;&gt; "")),
  _xlpm.coef, _xlpm.K + _xlpm.Knewgain / (_xlpm.Knewscale + _xlpm.nbparties),
  IF(G91="",
    "",
    _xlpm.coef * (G91-G92))
)</f>
        <v/>
      </c>
      <c r="H93" t="str" cm="1">
        <f t="array" ref="H93">_xlfn.LET(
  _xlpm.K, Constantes!$B$3,
  _xlpm.Knewgain, Constantes!$B$4,
  _xlpm.Knewscale, Constantes!$B$5,
  _xlpm.ptstables, INDEX(H:H, _xlfn.SEQUENCE(COUNTA($C$2:$C93), 1, 3, 4)),
  _xlpm.nbparties, COUNTA(_xlfn._xlws.FILTER(_xlpm.ptstables, _xlpm.ptstables &lt;&gt; "")),
  _xlpm.coef, _xlpm.K + _xlpm.Knewgain / (_xlpm.Knewscale + _xlpm.nbparties),
  IF(H91="",
    "",
    _xlpm.coef * (H91-H92))
)</f>
        <v/>
      </c>
      <c r="I93" cm="1">
        <f t="array" ref="I93">_xlfn.LET(
  _xlpm.K, Constantes!$B$3,
  _xlpm.Knewgain, Constantes!$B$4,
  _xlpm.Knewscale, Constantes!$B$5,
  _xlpm.ptstables, INDEX(I:I, _xlfn.SEQUENCE(COUNTA($C$2:$C93), 1, 3, 4)),
  _xlpm.nbparties, COUNTA(_xlfn._xlws.FILTER(_xlpm.ptstables, _xlpm.ptstables &lt;&gt; "")),
  _xlpm.coef, _xlpm.K + _xlpm.Knewgain / (_xlpm.Knewscale + _xlpm.nbparties),
  IF(I91="",
    "",
    _xlpm.coef * (I91-I92))
)</f>
        <v>-22.64151744936267</v>
      </c>
      <c r="J93" t="str" cm="1">
        <f t="array" ref="J93">_xlfn.LET(
  _xlpm.K, Constantes!$B$3,
  _xlpm.Knewgain, Constantes!$B$4,
  _xlpm.Knewscale, Constantes!$B$5,
  _xlpm.ptstables, INDEX(J:J, _xlfn.SEQUENCE(COUNTA($C$2:$C93), 1, 3, 4)),
  _xlpm.nbparties, COUNTA(_xlfn._xlws.FILTER(_xlpm.ptstables, _xlpm.ptstables &lt;&gt; "")),
  _xlpm.coef, _xlpm.K + _xlpm.Knewgain / (_xlpm.Knewscale + _xlpm.nbparties),
  IF(J91="",
    "",
    _xlpm.coef * (J91-J92))
)</f>
        <v/>
      </c>
      <c r="K93" t="str" cm="1">
        <f t="array" ref="K93">_xlfn.LET(
  _xlpm.K, Constantes!$B$3,
  _xlpm.Knewgain, Constantes!$B$4,
  _xlpm.Knewscale, Constantes!$B$5,
  _xlpm.ptstables, INDEX(K:K, _xlfn.SEQUENCE(COUNTA($C$2:$C93), 1, 3, 4)),
  _xlpm.nbparties, COUNTA(_xlfn._xlws.FILTER(_xlpm.ptstables, _xlpm.ptstables &lt;&gt; "")),
  _xlpm.coef, _xlpm.K + _xlpm.Knewgain / (_xlpm.Knewscale + _xlpm.nbparties),
  IF(K91="",
    "",
    _xlpm.coef * (K91-K92))
)</f>
        <v/>
      </c>
      <c r="L93" t="str" cm="1">
        <f t="array" ref="L93">_xlfn.LET(
  _xlpm.K, Constantes!$B$3,
  _xlpm.Knewgain, Constantes!$B$4,
  _xlpm.Knewscale, Constantes!$B$5,
  _xlpm.ptstables, INDEX(L:L, _xlfn.SEQUENCE(COUNTA($C$2:$C93), 1, 3, 4)),
  _xlpm.nbparties, COUNTA(_xlfn._xlws.FILTER(_xlpm.ptstables, _xlpm.ptstables &lt;&gt; "")),
  _xlpm.coef, _xlpm.K + _xlpm.Knewgain / (_xlpm.Knewscale + _xlpm.nbparties),
  IF(L91="",
    "",
    _xlpm.coef * (L91-L92))
)</f>
        <v/>
      </c>
      <c r="M93" t="str" cm="1">
        <f t="array" ref="M93">_xlfn.LET(
  _xlpm.K, Constantes!$B$3,
  _xlpm.Knewgain, Constantes!$B$4,
  _xlpm.Knewscale, Constantes!$B$5,
  _xlpm.ptstables, INDEX(M:M, _xlfn.SEQUENCE(COUNTA($C$2:$C93), 1, 3, 4)),
  _xlpm.nbparties, COUNTA(_xlfn._xlws.FILTER(_xlpm.ptstables, _xlpm.ptstables &lt;&gt; "")),
  _xlpm.coef, _xlpm.K + _xlpm.Knewgain / (_xlpm.Knewscale + _xlpm.nbparties),
  IF(M91="",
    "",
    _xlpm.coef * (M91-M92))
)</f>
        <v/>
      </c>
      <c r="N93" t="str" cm="1">
        <f t="array" ref="N93">_xlfn.LET(
  _xlpm.K, Constantes!$B$3,
  _xlpm.Knewgain, Constantes!$B$4,
  _xlpm.Knewscale, Constantes!$B$5,
  _xlpm.ptstables, INDEX(N:N, _xlfn.SEQUENCE(COUNTA($C$2:$C93), 1, 3, 4)),
  _xlpm.nbparties, COUNTA(_xlfn._xlws.FILTER(_xlpm.ptstables, _xlpm.ptstables &lt;&gt; "")),
  _xlpm.coef, _xlpm.K + _xlpm.Knewgain / (_xlpm.Knewscale + _xlpm.nbparties),
  IF(N91="",
    "",
    _xlpm.coef * (N91-N92))
)</f>
        <v/>
      </c>
      <c r="O93" t="str" cm="1">
        <f t="array" ref="O93">_xlfn.LET(
  _xlpm.K, Constantes!$B$3,
  _xlpm.Knewgain, Constantes!$B$4,
  _xlpm.Knewscale, Constantes!$B$5,
  _xlpm.ptstables, INDEX(O:O, _xlfn.SEQUENCE(COUNTA($C$2:$C93), 1, 3, 4)),
  _xlpm.nbparties, COUNTA(_xlfn._xlws.FILTER(_xlpm.ptstables, _xlpm.ptstables &lt;&gt; "")),
  _xlpm.coef, _xlpm.K + _xlpm.Knewgain / (_xlpm.Knewscale + _xlpm.nbparties),
  IF(O91="",
    "",
    _xlpm.coef * (O91-O92))
)</f>
        <v/>
      </c>
      <c r="P93" t="str" cm="1">
        <f t="array" ref="P93">_xlfn.LET(
  _xlpm.K, Constantes!$B$3,
  _xlpm.Knewgain, Constantes!$B$4,
  _xlpm.Knewscale, Constantes!$B$5,
  _xlpm.ptstables, INDEX(P:P, _xlfn.SEQUENCE(COUNTA($C$2:$C93), 1, 3, 4)),
  _xlpm.nbparties, COUNTA(_xlfn._xlws.FILTER(_xlpm.ptstables, _xlpm.ptstables &lt;&gt; "")),
  _xlpm.coef, _xlpm.K + _xlpm.Knewgain / (_xlpm.Knewscale + _xlpm.nbparties),
  IF(P91="",
    "",
    _xlpm.coef * (P91-P92))
)</f>
        <v/>
      </c>
      <c r="Q93" t="str" cm="1">
        <f t="array" ref="Q93">_xlfn.LET(
  _xlpm.K, Constantes!$B$3,
  _xlpm.Knewgain, Constantes!$B$4,
  _xlpm.Knewscale, Constantes!$B$5,
  _xlpm.ptstables, INDEX(Q:Q, _xlfn.SEQUENCE(COUNTA($C$2:$C93), 1, 3, 4)),
  _xlpm.nbparties, COUNTA(_xlfn._xlws.FILTER(_xlpm.ptstables, _xlpm.ptstables &lt;&gt; "")),
  _xlpm.coef, _xlpm.K + _xlpm.Knewgain / (_xlpm.Knewscale + _xlpm.nbparties),
  IF(Q91="",
    "",
    _xlpm.coef * (Q91-Q92))
)</f>
        <v/>
      </c>
      <c r="R93" cm="1">
        <f t="array" ref="R93">_xlfn.LET(
  _xlpm.K, Constantes!$B$3,
  _xlpm.Knewgain, Constantes!$B$4,
  _xlpm.Knewscale, Constantes!$B$5,
  _xlpm.ptstables, INDEX(R:R, _xlfn.SEQUENCE(COUNTA($C$2:$C93), 1, 3, 4)),
  _xlpm.nbparties, COUNTA(_xlfn._xlws.FILTER(_xlpm.ptstables, _xlpm.ptstables &lt;&gt; "")),
  _xlpm.coef, _xlpm.K + _xlpm.Knewgain / (_xlpm.Knewscale + _xlpm.nbparties),
  IF(R91="",
    "",
    _xlpm.coef * (R91-R92))
)</f>
        <v>32.443248888796155</v>
      </c>
      <c r="S93" t="str" cm="1">
        <f t="array" ref="S93">_xlfn.LET(
  _xlpm.K, Constantes!$B$3,
  _xlpm.Knewgain, Constantes!$B$4,
  _xlpm.Knewscale, Constantes!$B$5,
  _xlpm.ptstables, INDEX(S:S, _xlfn.SEQUENCE(COUNTA($C$2:$C93), 1, 3, 4)),
  _xlpm.nbparties, COUNTA(_xlfn._xlws.FILTER(_xlpm.ptstables, _xlpm.ptstables &lt;&gt; "")),
  _xlpm.coef, _xlpm.K + _xlpm.Knewgain / (_xlpm.Knewscale + _xlpm.nbparties),
  IF(S91="",
    "",
    _xlpm.coef * (S91-S92))
)</f>
        <v/>
      </c>
      <c r="T93" t="str" cm="1">
        <f t="array" ref="T93">_xlfn.LET(
  _xlpm.K, Constantes!$B$3,
  _xlpm.Knewgain, Constantes!$B$4,
  _xlpm.Knewscale, Constantes!$B$5,
  _xlpm.ptstables, INDEX(T:T, _xlfn.SEQUENCE(COUNTA($C$2:$C93), 1, 3, 4)),
  _xlpm.nbparties, COUNTA(_xlfn._xlws.FILTER(_xlpm.ptstables, _xlpm.ptstables &lt;&gt; "")),
  _xlpm.coef, _xlpm.K + _xlpm.Knewgain / (_xlpm.Knewscale + _xlpm.nbparties),
  IF(T91="",
    "",
    _xlpm.coef * (T91-T92))
)</f>
        <v/>
      </c>
      <c r="U93" t="str" cm="1">
        <f t="array" ref="U93">_xlfn.LET(
  _xlpm.K, Constantes!$B$3,
  _xlpm.Knewgain, Constantes!$B$4,
  _xlpm.Knewscale, Constantes!$B$5,
  _xlpm.ptstables, INDEX(U:U, _xlfn.SEQUENCE(COUNTA($C$2:$C93), 1, 3, 4)),
  _xlpm.nbparties, COUNTA(_xlfn._xlws.FILTER(_xlpm.ptstables, _xlpm.ptstables &lt;&gt; "")),
  _xlpm.coef, _xlpm.K + _xlpm.Knewgain / (_xlpm.Knewscale + _xlpm.nbparties),
  IF(U91="",
    "",
    _xlpm.coef * (U91-U92))
)</f>
        <v/>
      </c>
      <c r="V93" t="str" cm="1">
        <f t="array" ref="V93">_xlfn.LET(
  _xlpm.K, Constantes!$B$3,
  _xlpm.Knewgain, Constantes!$B$4,
  _xlpm.Knewscale, Constantes!$B$5,
  _xlpm.ptstables, INDEX(V:V, _xlfn.SEQUENCE(COUNTA($C$2:$C93), 1, 3, 4)),
  _xlpm.nbparties, COUNTA(_xlfn._xlws.FILTER(_xlpm.ptstables, _xlpm.ptstables &lt;&gt; "")),
  _xlpm.coef, _xlpm.K + _xlpm.Knewgain / (_xlpm.Knewscale + _xlpm.nbparties),
  IF(V91="",
    "",
    _xlpm.coef * (V91-V92))
)</f>
        <v/>
      </c>
      <c r="W93" t="str" cm="1">
        <f t="array" ref="W93">_xlfn.LET(
  _xlpm.K, Constantes!$B$3,
  _xlpm.Knewgain, Constantes!$B$4,
  _xlpm.Knewscale, Constantes!$B$5,
  _xlpm.ptstables, INDEX(W:W, _xlfn.SEQUENCE(COUNTA($C$2:$C93), 1, 3, 4)),
  _xlpm.nbparties, COUNTA(_xlfn._xlws.FILTER(_xlpm.ptstables, _xlpm.ptstables &lt;&gt; "")),
  _xlpm.coef, _xlpm.K + _xlpm.Knewgain / (_xlpm.Knewscale + _xlpm.nbparties),
  IF(W91="",
    "",
    _xlpm.coef * (W91-W92))
)</f>
        <v/>
      </c>
      <c r="X93" t="str" cm="1">
        <f t="array" ref="X93">_xlfn.LET(
  _xlpm.K, Constantes!$B$3,
  _xlpm.Knewgain, Constantes!$B$4,
  _xlpm.Knewscale, Constantes!$B$5,
  _xlpm.ptstables, INDEX(X:X, _xlfn.SEQUENCE(COUNTA($C$2:$C93), 1, 3, 4)),
  _xlpm.nbparties, COUNTA(_xlfn._xlws.FILTER(_xlpm.ptstables, _xlpm.ptstables &lt;&gt; "")),
  _xlpm.coef, _xlpm.K + _xlpm.Knewgain / (_xlpm.Knewscale + _xlpm.nbparties),
  IF(X91="",
    "",
    _xlpm.coef * (X91-X92))
)</f>
        <v/>
      </c>
      <c r="Y93" cm="1">
        <f t="array" ref="Y93">_xlfn.LET(
  _xlpm.K, Constantes!$B$3,
  _xlpm.Knewgain, Constantes!$B$4,
  _xlpm.Knewscale, Constantes!$B$5,
  _xlpm.ptstables, INDEX(Y:Y, _xlfn.SEQUENCE(COUNTA($C$2:$C93), 1, 3, 4)),
  _xlpm.nbparties, COUNTA(_xlfn._xlws.FILTER(_xlpm.ptstables, _xlpm.ptstables &lt;&gt; "")),
  _xlpm.coef, _xlpm.K + _xlpm.Knewgain / (_xlpm.Knewscale + _xlpm.nbparties),
  IF(Y91="",
    "",
    _xlpm.coef * (Y91-Y92))
)</f>
        <v>28.151731412985935</v>
      </c>
      <c r="Z93" t="str" cm="1">
        <f t="array" ref="Z93">_xlfn.LET(
  _xlpm.K, Constantes!$B$3,
  _xlpm.Knewgain, Constantes!$B$4,
  _xlpm.Knewscale, Constantes!$B$5,
  _xlpm.ptstables, INDEX(Z:Z, _xlfn.SEQUENCE(COUNTA($C$2:$C93), 1, 3, 4)),
  _xlpm.nbparties, COUNTA(_xlfn._xlws.FILTER(_xlpm.ptstables, _xlpm.ptstables &lt;&gt; "")),
  _xlpm.coef, _xlpm.K + _xlpm.Knewgain / (_xlpm.Knewscale + _xlpm.nbparties),
  IF(Z91="",
    "",
    _xlpm.coef * (Z91-Z92))
)</f>
        <v/>
      </c>
      <c r="AA93" cm="1">
        <f t="array" ref="AA93">_xlfn.LET(
  _xlpm.K, Constantes!$B$3,
  _xlpm.Knewgain, Constantes!$B$4,
  _xlpm.Knewscale, Constantes!$B$5,
  _xlpm.ptstables, INDEX(AA:AA, _xlfn.SEQUENCE(COUNTA($C$2:$C93), 1, 3, 4)),
  _xlpm.nbparties, COUNTA(_xlfn._xlws.FILTER(_xlpm.ptstables, _xlpm.ptstables &lt;&gt; "")),
  _xlpm.coef, _xlpm.K + _xlpm.Knewgain / (_xlpm.Knewscale + _xlpm.nbparties),
  IF(AA91="",
    "",
    _xlpm.coef * (AA91-AA92))
)</f>
        <v>-52.6902406203941</v>
      </c>
      <c r="AB93" t="str" cm="1">
        <f t="array" ref="AB93">_xlfn.LET(
  _xlpm.K, Constantes!$B$3,
  _xlpm.Knewgain, Constantes!$B$4,
  _xlpm.Knewscale, Constantes!$B$5,
  _xlpm.ptstables, INDEX(AB:AB, _xlfn.SEQUENCE(COUNTA($C$2:$C93), 1, 3, 4)),
  _xlpm.nbparties, COUNTA(_xlfn._xlws.FILTER(_xlpm.ptstables, _xlpm.ptstables &lt;&gt; "")),
  _xlpm.coef, _xlpm.K + _xlpm.Knewgain / (_xlpm.Knewscale + _xlpm.nbparties),
  IF(AB91="",
    "",
    _xlpm.coef * (AB91-AB92))
)</f>
        <v/>
      </c>
      <c r="AC93" t="str" cm="1">
        <f t="array" ref="AC93">_xlfn.LET(
  _xlpm.K, Constantes!$B$3,
  _xlpm.Knewgain, Constantes!$B$4,
  _xlpm.Knewscale, Constantes!$B$5,
  _xlpm.ptstables, INDEX(AC:AC, _xlfn.SEQUENCE(COUNTA($C$2:$C93), 1, 3, 4)),
  _xlpm.nbparties, COUNTA(_xlfn._xlws.FILTER(_xlpm.ptstables, _xlpm.ptstables &lt;&gt; "")),
  _xlpm.coef, _xlpm.K + _xlpm.Knewgain / (_xlpm.Knewscale + _xlpm.nbparties),
  IF(AC91="",
    "",
    _xlpm.coef * (AC91-AC92))
)</f>
        <v/>
      </c>
      <c r="AD93" t="str" cm="1">
        <f t="array" ref="AD93">_xlfn.LET(
  _xlpm.K, Constantes!$B$3,
  _xlpm.Knewgain, Constantes!$B$4,
  _xlpm.Knewscale, Constantes!$B$5,
  _xlpm.ptstables, INDEX(AD:AD, _xlfn.SEQUENCE(COUNTA($C$2:$C93), 1, 3, 4)),
  _xlpm.nbparties, COUNTA(_xlfn._xlws.FILTER(_xlpm.ptstables, _xlpm.ptstables &lt;&gt; "")),
  _xlpm.coef, _xlpm.K + _xlpm.Knewgain / (_xlpm.Knewscale + _xlpm.nbparties),
  IF(AD91="",
    "",
    _xlpm.coef * (AD91-AD92))
)</f>
        <v/>
      </c>
      <c r="AE93" t="str" cm="1">
        <f t="array" ref="AE93">_xlfn.LET(
  _xlpm.K, Constantes!$B$3,
  _xlpm.Knewgain, Constantes!$B$4,
  _xlpm.Knewscale, Constantes!$B$5,
  _xlpm.ptstables, INDEX(AE:AE, _xlfn.SEQUENCE(COUNTA($C$2:$C93), 1, 3, 4)),
  _xlpm.nbparties, COUNTA(_xlfn._xlws.FILTER(_xlpm.ptstables, _xlpm.ptstables &lt;&gt; "")),
  _xlpm.coef, _xlpm.K + _xlpm.Knewgain / (_xlpm.Knewscale + _xlpm.nbparties),
  IF(AE91="",
    "",
    _xlpm.coef * (AE91-AE92))
)</f>
        <v/>
      </c>
      <c r="AF93" t="str" cm="1">
        <f t="array" ref="AF93">_xlfn.LET(
  _xlpm.K, Constantes!$B$3,
  _xlpm.Knewgain, Constantes!$B$4,
  _xlpm.Knewscale, Constantes!$B$5,
  _xlpm.ptstables, INDEX(AF:AF, _xlfn.SEQUENCE(COUNTA($C$2:$C93), 1, 3, 4)),
  _xlpm.nbparties, COUNTA(_xlfn._xlws.FILTER(_xlpm.ptstables, _xlpm.ptstables &lt;&gt; "")),
  _xlpm.coef, _xlpm.K + _xlpm.Knewgain / (_xlpm.Knewscale + _xlpm.nbparties),
  IF(AF91="",
    "",
    _xlpm.coef * (AF91-AF92))
)</f>
        <v/>
      </c>
      <c r="AG93" t="str" cm="1">
        <f t="array" ref="AG93">_xlfn.LET(
  _xlpm.K, Constantes!$B$3,
  _xlpm.Knewgain, Constantes!$B$4,
  _xlpm.Knewscale, Constantes!$B$5,
  _xlpm.ptstables, INDEX(AG:AG, _xlfn.SEQUENCE(COUNTA($C$2:$C93), 1, 3, 4)),
  _xlpm.nbparties, COUNTA(_xlfn._xlws.FILTER(_xlpm.ptstables, _xlpm.ptstables &lt;&gt; "")),
  _xlpm.coef, _xlpm.K + _xlpm.Knewgain / (_xlpm.Knewscale + _xlpm.nbparties),
  IF(AG91="",
    "",
    _xlpm.coef * (AG91-AG92))
)</f>
        <v/>
      </c>
      <c r="AH93" t="str" cm="1">
        <f t="array" ref="AH93">_xlfn.LET(
  _xlpm.K, Constantes!$B$3,
  _xlpm.Knewgain, Constantes!$B$4,
  _xlpm.Knewscale, Constantes!$B$5,
  _xlpm.ptstables, INDEX(AH:AH, _xlfn.SEQUENCE(COUNTA($C$2:$C93), 1, 3, 4)),
  _xlpm.nbparties, COUNTA(_xlfn._xlws.FILTER(_xlpm.ptstables, _xlpm.ptstables &lt;&gt; "")),
  _xlpm.coef, _xlpm.K + _xlpm.Knewgain / (_xlpm.Knewscale + _xlpm.nbparties),
  IF(AH91="",
    "",
    _xlpm.coef * (AH91-AH92))
)</f>
        <v/>
      </c>
      <c r="AI93" t="str" cm="1">
        <f t="array" ref="AI93">_xlfn.LET(
  _xlpm.K, Constantes!$B$3,
  _xlpm.Knewgain, Constantes!$B$4,
  _xlpm.Knewscale, Constantes!$B$5,
  _xlpm.ptstables, INDEX(AI:AI, _xlfn.SEQUENCE(COUNTA($C$2:$C93), 1, 3, 4)),
  _xlpm.nbparties, COUNTA(_xlfn._xlws.FILTER(_xlpm.ptstables, _xlpm.ptstables &lt;&gt; "")),
  _xlpm.coef, _xlpm.K + _xlpm.Knewgain / (_xlpm.Knewscale + _xlpm.nbparties),
  IF(AI91="",
    "",
    _xlpm.coef * (AI91-AI92))
)</f>
        <v/>
      </c>
      <c r="AJ93" t="str" cm="1">
        <f t="array" ref="AJ93">_xlfn.LET(
  _xlpm.K, Constantes!$B$3,
  _xlpm.Knewgain, Constantes!$B$4,
  _xlpm.Knewscale, Constantes!$B$5,
  _xlpm.ptstables, INDEX(AJ:AJ, _xlfn.SEQUENCE(COUNTA($C$2:$C93), 1, 3, 4)),
  _xlpm.nbparties, COUNTA(_xlfn._xlws.FILTER(_xlpm.ptstables, _xlpm.ptstables &lt;&gt; "")),
  _xlpm.coef, _xlpm.K + _xlpm.Knewgain / (_xlpm.Knewscale + _xlpm.nbparties),
  IF(AJ91="",
    "",
    _xlpm.coef * (AJ91-AJ92))
)</f>
        <v/>
      </c>
      <c r="AK93" t="str" cm="1">
        <f t="array" ref="AK93">_xlfn.LET(
  _xlpm.K, Constantes!$B$3,
  _xlpm.Knewgain, Constantes!$B$4,
  _xlpm.Knewscale, Constantes!$B$5,
  _xlpm.ptstables, INDEX(AK:AK, _xlfn.SEQUENCE(COUNTA($C$2:$C93), 1, 3, 4)),
  _xlpm.nbparties, COUNTA(_xlfn._xlws.FILTER(_xlpm.ptstables, _xlpm.ptstables &lt;&gt; "")),
  _xlpm.coef, _xlpm.K + _xlpm.Knewgain / (_xlpm.Knewscale + _xlpm.nbparties),
  IF(AK91="",
    "",
    _xlpm.coef * (AK91-AK92))
)</f>
        <v/>
      </c>
      <c r="AL93" t="str" cm="1">
        <f t="array" ref="AL93">_xlfn.LET(
  _xlpm.K, Constantes!$B$3,
  _xlpm.Knewgain, Constantes!$B$4,
  _xlpm.Knewscale, Constantes!$B$5,
  _xlpm.ptstables, INDEX(AL:AL, _xlfn.SEQUENCE(COUNTA($C$2:$C93), 1, 3, 4)),
  _xlpm.nbparties, COUNTA(_xlfn._xlws.FILTER(_xlpm.ptstables, _xlpm.ptstables &lt;&gt; "")),
  _xlpm.coef, _xlpm.K + _xlpm.Knewgain / (_xlpm.Knewscale + _xlpm.nbparties),
  IF(AL91="",
    "",
    _xlpm.coef * (AL91-AL92))
)</f>
        <v/>
      </c>
      <c r="AM93" t="str" cm="1">
        <f t="array" ref="AM93">_xlfn.LET(
  _xlpm.K, Constantes!$B$3,
  _xlpm.Knewgain, Constantes!$B$4,
  _xlpm.Knewscale, Constantes!$B$5,
  _xlpm.ptstables, INDEX(AM:AM, _xlfn.SEQUENCE(COUNTA($C$2:$C93), 1, 3, 4)),
  _xlpm.nbparties, COUNTA(_xlfn._xlws.FILTER(_xlpm.ptstables, _xlpm.ptstables &lt;&gt; "")),
  _xlpm.coef, _xlpm.K + _xlpm.Knewgain / (_xlpm.Knewscale + _xlpm.nbparties),
  IF(AM91="",
    "",
    _xlpm.coef * (AM91-AM92))
)</f>
        <v/>
      </c>
    </row>
    <row r="94" spans="1:39" x14ac:dyDescent="0.25">
      <c r="A94" t="s">
        <v>14</v>
      </c>
      <c r="B94" t="str" cm="1">
        <f t="array" ref="B9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23</v>
      </c>
      <c r="C94" s="2" cm="1">
        <f t="array" ref="C94">IF(B94="","",
  INDEX(Donnees!F:F, MATCH(B94, Donnees!F:F, 0)+1))</f>
        <v>45920.694016203706</v>
      </c>
      <c r="D94">
        <f t="shared" ref="D94:AM94" si="31">D90+IF(D93="",0,D93)</f>
        <v>1108.4611161856747</v>
      </c>
      <c r="E94">
        <f t="shared" si="31"/>
        <v>1112.8771635420176</v>
      </c>
      <c r="F94">
        <f t="shared" si="31"/>
        <v>925.72646659717554</v>
      </c>
      <c r="G94">
        <f t="shared" si="31"/>
        <v>956.37970750382215</v>
      </c>
      <c r="H94">
        <f t="shared" si="31"/>
        <v>1020.3453983892952</v>
      </c>
      <c r="I94">
        <f t="shared" si="31"/>
        <v>1056.8165036600865</v>
      </c>
      <c r="J94">
        <f t="shared" si="31"/>
        <v>938.49433816478961</v>
      </c>
      <c r="K94">
        <f t="shared" si="31"/>
        <v>911.11415590373872</v>
      </c>
      <c r="L94">
        <f t="shared" si="31"/>
        <v>878.7153998467162</v>
      </c>
      <c r="M94">
        <f t="shared" si="31"/>
        <v>965.238738457664</v>
      </c>
      <c r="N94">
        <f t="shared" si="31"/>
        <v>893.53720165580148</v>
      </c>
      <c r="O94">
        <f t="shared" si="31"/>
        <v>1030.4363831507294</v>
      </c>
      <c r="P94">
        <f t="shared" si="31"/>
        <v>1043.9932888752683</v>
      </c>
      <c r="Q94">
        <f t="shared" si="31"/>
        <v>1039.0209485170767</v>
      </c>
      <c r="R94">
        <f t="shared" si="31"/>
        <v>1131.3793652528555</v>
      </c>
      <c r="S94">
        <f t="shared" si="31"/>
        <v>932.5391191163942</v>
      </c>
      <c r="T94">
        <f t="shared" si="31"/>
        <v>1135.2782658680615</v>
      </c>
      <c r="U94">
        <f t="shared" si="31"/>
        <v>1012.4141493920336</v>
      </c>
      <c r="V94">
        <f t="shared" si="31"/>
        <v>939.81992350253006</v>
      </c>
      <c r="W94">
        <f t="shared" si="31"/>
        <v>936.79085942937002</v>
      </c>
      <c r="X94">
        <f t="shared" si="31"/>
        <v>852.64794693163367</v>
      </c>
      <c r="Y94">
        <f t="shared" si="31"/>
        <v>993.49299956228185</v>
      </c>
      <c r="Z94">
        <f t="shared" si="31"/>
        <v>991.11904139672549</v>
      </c>
      <c r="AA94">
        <f t="shared" si="31"/>
        <v>980.56756855165884</v>
      </c>
      <c r="AB94">
        <f t="shared" si="31"/>
        <v>979.56500000000005</v>
      </c>
      <c r="AC94">
        <f t="shared" si="31"/>
        <v>1032.51</v>
      </c>
      <c r="AD94">
        <f t="shared" si="31"/>
        <v>974.01499999999999</v>
      </c>
      <c r="AE94">
        <f t="shared" si="31"/>
        <v>1011.415</v>
      </c>
      <c r="AF94">
        <f t="shared" si="31"/>
        <v>1031.1199999999999</v>
      </c>
      <c r="AG94">
        <f t="shared" si="31"/>
        <v>1001.0350000000001</v>
      </c>
      <c r="AH94">
        <f t="shared" si="31"/>
        <v>994.44</v>
      </c>
      <c r="AI94">
        <f t="shared" si="31"/>
        <v>1000</v>
      </c>
      <c r="AJ94">
        <f t="shared" si="31"/>
        <v>957.2</v>
      </c>
      <c r="AK94">
        <f t="shared" si="31"/>
        <v>1000</v>
      </c>
      <c r="AL94">
        <f t="shared" si="31"/>
        <v>1055.9299999999998</v>
      </c>
      <c r="AM94">
        <f t="shared" si="31"/>
        <v>1000</v>
      </c>
    </row>
    <row r="95" spans="1:39" x14ac:dyDescent="0.25">
      <c r="A95" t="s">
        <v>21</v>
      </c>
      <c r="D95" t="str" cm="1">
        <f t="array" ref="D95">IFERROR(
  _xlfn.LET(
    _xlpm.ligpartie, MATCH($B94, Donnees!$F:$F, 0),
    _xlpm.joueurs, INDEX(Donnees!$A:$Z, _xlpm.ligpartie+1, _xlfn.SEQUENCE(1, 4, 2)),
    INDEX(
      Donnees!$A:$Z,
      _xlpm.ligpartie + 3,
      MATCH(D$1, _xlpm.joueurs, 0) + 1
    )
  ), ""
)</f>
        <v/>
      </c>
      <c r="E95" cm="1">
        <f t="array" ref="E95">IFERROR(
  _xlfn.LET(
    _xlpm.ligpartie, MATCH($B94, Donnees!$F:$F, 0),
    _xlpm.joueurs, INDEX(Donnees!$A:$Z, _xlpm.ligpartie+1, _xlfn.SEQUENCE(1, 4, 2)),
    INDEX(
      Donnees!$A:$Z,
      _xlpm.ligpartie + 3,
      MATCH(E$1, _xlpm.joueurs, 0) + 1
    )
  ), ""
)</f>
        <v>3</v>
      </c>
      <c r="F95" t="str" cm="1">
        <f t="array" ref="F95">IFERROR(
  _xlfn.LET(
    _xlpm.ligpartie, MATCH($B94, Donnees!$F:$F, 0),
    _xlpm.joueurs, INDEX(Donnees!$A:$Z, _xlpm.ligpartie+1, _xlfn.SEQUENCE(1, 4, 2)),
    INDEX(
      Donnees!$A:$Z,
      _xlpm.ligpartie + 3,
      MATCH(F$1, _xlpm.joueurs, 0) + 1
    )
  ), ""
)</f>
        <v/>
      </c>
      <c r="G95" t="str" cm="1">
        <f t="array" ref="G95">IFERROR(
  _xlfn.LET(
    _xlpm.ligpartie, MATCH($B94, Donnees!$F:$F, 0),
    _xlpm.joueurs, INDEX(Donnees!$A:$Z, _xlpm.ligpartie+1, _xlfn.SEQUENCE(1, 4, 2)),
    INDEX(
      Donnees!$A:$Z,
      _xlpm.ligpartie + 3,
      MATCH(G$1, _xlpm.joueurs, 0) + 1
    )
  ), ""
)</f>
        <v/>
      </c>
      <c r="H95" t="str" cm="1">
        <f t="array" ref="H95">IFERROR(
  _xlfn.LET(
    _xlpm.ligpartie, MATCH($B94, Donnees!$F:$F, 0),
    _xlpm.joueurs, INDEX(Donnees!$A:$Z, _xlpm.ligpartie+1, _xlfn.SEQUENCE(1, 4, 2)),
    INDEX(
      Donnees!$A:$Z,
      _xlpm.ligpartie + 3,
      MATCH(H$1, _xlpm.joueurs, 0) + 1
    )
  ), ""
)</f>
        <v/>
      </c>
      <c r="I95" t="str" cm="1">
        <f t="array" ref="I95">IFERROR(
  _xlfn.LET(
    _xlpm.ligpartie, MATCH($B94, Donnees!$F:$F, 0),
    _xlpm.joueurs, INDEX(Donnees!$A:$Z, _xlpm.ligpartie+1, _xlfn.SEQUENCE(1, 4, 2)),
    INDEX(
      Donnees!$A:$Z,
      _xlpm.ligpartie + 3,
      MATCH(I$1, _xlpm.joueurs, 0) + 1
    )
  ), ""
)</f>
        <v/>
      </c>
      <c r="J95" t="str" cm="1">
        <f t="array" ref="J95">IFERROR(
  _xlfn.LET(
    _xlpm.ligpartie, MATCH($B94, Donnees!$F:$F, 0),
    _xlpm.joueurs, INDEX(Donnees!$A:$Z, _xlpm.ligpartie+1, _xlfn.SEQUENCE(1, 4, 2)),
    INDEX(
      Donnees!$A:$Z,
      _xlpm.ligpartie + 3,
      MATCH(J$1, _xlpm.joueurs, 0) + 1
    )
  ), ""
)</f>
        <v/>
      </c>
      <c r="K95" cm="1">
        <f t="array" ref="K95">IFERROR(
  _xlfn.LET(
    _xlpm.ligpartie, MATCH($B94, Donnees!$F:$F, 0),
    _xlpm.joueurs, INDEX(Donnees!$A:$Z, _xlpm.ligpartie+1, _xlfn.SEQUENCE(1, 4, 2)),
    INDEX(
      Donnees!$A:$Z,
      _xlpm.ligpartie + 3,
      MATCH(K$1, _xlpm.joueurs, 0) + 1
    )
  ), ""
)</f>
        <v>1</v>
      </c>
      <c r="L95" t="str" cm="1">
        <f t="array" ref="L95">IFERROR(
  _xlfn.LET(
    _xlpm.ligpartie, MATCH($B94, Donnees!$F:$F, 0),
    _xlpm.joueurs, INDEX(Donnees!$A:$Z, _xlpm.ligpartie+1, _xlfn.SEQUENCE(1, 4, 2)),
    INDEX(
      Donnees!$A:$Z,
      _xlpm.ligpartie + 3,
      MATCH(L$1, _xlpm.joueurs, 0) + 1
    )
  ), ""
)</f>
        <v/>
      </c>
      <c r="M95" cm="1">
        <f t="array" ref="M95">IFERROR(
  _xlfn.LET(
    _xlpm.ligpartie, MATCH($B94, Donnees!$F:$F, 0),
    _xlpm.joueurs, INDEX(Donnees!$A:$Z, _xlpm.ligpartie+1, _xlfn.SEQUENCE(1, 4, 2)),
    INDEX(
      Donnees!$A:$Z,
      _xlpm.ligpartie + 3,
      MATCH(M$1, _xlpm.joueurs, 0) + 1
    )
  ), ""
)</f>
        <v>0</v>
      </c>
      <c r="N95" t="str" cm="1">
        <f t="array" ref="N95">IFERROR(
  _xlfn.LET(
    _xlpm.ligpartie, MATCH($B94, Donnees!$F:$F, 0),
    _xlpm.joueurs, INDEX(Donnees!$A:$Z, _xlpm.ligpartie+1, _xlfn.SEQUENCE(1, 4, 2)),
    INDEX(
      Donnees!$A:$Z,
      _xlpm.ligpartie + 3,
      MATCH(N$1, _xlpm.joueurs, 0) + 1
    )
  ), ""
)</f>
        <v/>
      </c>
      <c r="O95" t="str" cm="1">
        <f t="array" ref="O95">IFERROR(
  _xlfn.LET(
    _xlpm.ligpartie, MATCH($B94, Donnees!$F:$F, 0),
    _xlpm.joueurs, INDEX(Donnees!$A:$Z, _xlpm.ligpartie+1, _xlfn.SEQUENCE(1, 4, 2)),
    INDEX(
      Donnees!$A:$Z,
      _xlpm.ligpartie + 3,
      MATCH(O$1, _xlpm.joueurs, 0) + 1
    )
  ), ""
)</f>
        <v/>
      </c>
      <c r="P95" t="str" cm="1">
        <f t="array" ref="P95">IFERROR(
  _xlfn.LET(
    _xlpm.ligpartie, MATCH($B94, Donnees!$F:$F, 0),
    _xlpm.joueurs, INDEX(Donnees!$A:$Z, _xlpm.ligpartie+1, _xlfn.SEQUENCE(1, 4, 2)),
    INDEX(
      Donnees!$A:$Z,
      _xlpm.ligpartie + 3,
      MATCH(P$1, _xlpm.joueurs, 0) + 1
    )
  ), ""
)</f>
        <v/>
      </c>
      <c r="Q95" t="str" cm="1">
        <f t="array" ref="Q95">IFERROR(
  _xlfn.LET(
    _xlpm.ligpartie, MATCH($B94, Donnees!$F:$F, 0),
    _xlpm.joueurs, INDEX(Donnees!$A:$Z, _xlpm.ligpartie+1, _xlfn.SEQUENCE(1, 4, 2)),
    INDEX(
      Donnees!$A:$Z,
      _xlpm.ligpartie + 3,
      MATCH(Q$1, _xlpm.joueurs, 0) + 1
    )
  ), ""
)</f>
        <v/>
      </c>
      <c r="R95" t="str" cm="1">
        <f t="array" ref="R95">IFERROR(
  _xlfn.LET(
    _xlpm.ligpartie, MATCH($B94, Donnees!$F:$F, 0),
    _xlpm.joueurs, INDEX(Donnees!$A:$Z, _xlpm.ligpartie+1, _xlfn.SEQUENCE(1, 4, 2)),
    INDEX(
      Donnees!$A:$Z,
      _xlpm.ligpartie + 3,
      MATCH(R$1, _xlpm.joueurs, 0) + 1
    )
  ), ""
)</f>
        <v/>
      </c>
      <c r="S95" t="str" cm="1">
        <f t="array" ref="S95">IFERROR(
  _xlfn.LET(
    _xlpm.ligpartie, MATCH($B94, Donnees!$F:$F, 0),
    _xlpm.joueurs, INDEX(Donnees!$A:$Z, _xlpm.ligpartie+1, _xlfn.SEQUENCE(1, 4, 2)),
    INDEX(
      Donnees!$A:$Z,
      _xlpm.ligpartie + 3,
      MATCH(S$1, _xlpm.joueurs, 0) + 1
    )
  ), ""
)</f>
        <v/>
      </c>
      <c r="T95" t="str" cm="1">
        <f t="array" ref="T95">IFERROR(
  _xlfn.LET(
    _xlpm.ligpartie, MATCH($B94, Donnees!$F:$F, 0),
    _xlpm.joueurs, INDEX(Donnees!$A:$Z, _xlpm.ligpartie+1, _xlfn.SEQUENCE(1, 4, 2)),
    INDEX(
      Donnees!$A:$Z,
      _xlpm.ligpartie + 3,
      MATCH(T$1, _xlpm.joueurs, 0) + 1
    )
  ), ""
)</f>
        <v/>
      </c>
      <c r="U95" t="str" cm="1">
        <f t="array" ref="U95">IFERROR(
  _xlfn.LET(
    _xlpm.ligpartie, MATCH($B94, Donnees!$F:$F, 0),
    _xlpm.joueurs, INDEX(Donnees!$A:$Z, _xlpm.ligpartie+1, _xlfn.SEQUENCE(1, 4, 2)),
    INDEX(
      Donnees!$A:$Z,
      _xlpm.ligpartie + 3,
      MATCH(U$1, _xlpm.joueurs, 0) + 1
    )
  ), ""
)</f>
        <v/>
      </c>
      <c r="V95" cm="1">
        <f t="array" ref="V95">IFERROR(
  _xlfn.LET(
    _xlpm.ligpartie, MATCH($B94, Donnees!$F:$F, 0),
    _xlpm.joueurs, INDEX(Donnees!$A:$Z, _xlpm.ligpartie+1, _xlfn.SEQUENCE(1, 4, 2)),
    INDEX(
      Donnees!$A:$Z,
      _xlpm.ligpartie + 3,
      MATCH(V$1, _xlpm.joueurs, 0) + 1
    )
  ), ""
)</f>
        <v>2</v>
      </c>
      <c r="W95" t="str" cm="1">
        <f t="array" ref="W95">IFERROR(
  _xlfn.LET(
    _xlpm.ligpartie, MATCH($B94, Donnees!$F:$F, 0),
    _xlpm.joueurs, INDEX(Donnees!$A:$Z, _xlpm.ligpartie+1, _xlfn.SEQUENCE(1, 4, 2)),
    INDEX(
      Donnees!$A:$Z,
      _xlpm.ligpartie + 3,
      MATCH(W$1, _xlpm.joueurs, 0) + 1
    )
  ), ""
)</f>
        <v/>
      </c>
      <c r="X95" t="str" cm="1">
        <f t="array" ref="X95">IFERROR(
  _xlfn.LET(
    _xlpm.ligpartie, MATCH($B94, Donnees!$F:$F, 0),
    _xlpm.joueurs, INDEX(Donnees!$A:$Z, _xlpm.ligpartie+1, _xlfn.SEQUENCE(1, 4, 2)),
    INDEX(
      Donnees!$A:$Z,
      _xlpm.ligpartie + 3,
      MATCH(X$1, _xlpm.joueurs, 0) + 1
    )
  ), ""
)</f>
        <v/>
      </c>
      <c r="Y95" t="str" cm="1">
        <f t="array" ref="Y95">IFERROR(
  _xlfn.LET(
    _xlpm.ligpartie, MATCH($B94, Donnees!$F:$F, 0),
    _xlpm.joueurs, INDEX(Donnees!$A:$Z, _xlpm.ligpartie+1, _xlfn.SEQUENCE(1, 4, 2)),
    INDEX(
      Donnees!$A:$Z,
      _xlpm.ligpartie + 3,
      MATCH(Y$1, _xlpm.joueurs, 0) + 1
    )
  ), ""
)</f>
        <v/>
      </c>
      <c r="Z95" t="str" cm="1">
        <f t="array" ref="Z95">IFERROR(
  _xlfn.LET(
    _xlpm.ligpartie, MATCH($B94, Donnees!$F:$F, 0),
    _xlpm.joueurs, INDEX(Donnees!$A:$Z, _xlpm.ligpartie+1, _xlfn.SEQUENCE(1, 4, 2)),
    INDEX(
      Donnees!$A:$Z,
      _xlpm.ligpartie + 3,
      MATCH(Z$1, _xlpm.joueurs, 0) + 1
    )
  ), ""
)</f>
        <v/>
      </c>
      <c r="AA95" t="str" cm="1">
        <f t="array" ref="AA95">IFERROR(
  _xlfn.LET(
    _xlpm.ligpartie, MATCH($B94, Donnees!$F:$F, 0),
    _xlpm.joueurs, INDEX(Donnees!$A:$Z, _xlpm.ligpartie+1, _xlfn.SEQUENCE(1, 4, 2)),
    INDEX(
      Donnees!$A:$Z,
      _xlpm.ligpartie + 3,
      MATCH(AA$1, _xlpm.joueurs, 0) + 1
    )
  ), ""
)</f>
        <v/>
      </c>
      <c r="AB95" t="str" cm="1">
        <f t="array" ref="AB95">IFERROR(
  _xlfn.LET(
    _xlpm.ligpartie, MATCH($B94, Donnees!$F:$F, 0),
    _xlpm.joueurs, INDEX(Donnees!$A:$Z, _xlpm.ligpartie+1, _xlfn.SEQUENCE(1, 4, 2)),
    INDEX(
      Donnees!$A:$Z,
      _xlpm.ligpartie + 3,
      MATCH(AB$1, _xlpm.joueurs, 0) + 1
    )
  ), ""
)</f>
        <v/>
      </c>
      <c r="AC95" t="str" cm="1">
        <f t="array" ref="AC95">IFERROR(
  _xlfn.LET(
    _xlpm.ligpartie, MATCH($B94, Donnees!$F:$F, 0),
    _xlpm.joueurs, INDEX(Donnees!$A:$Z, _xlpm.ligpartie+1, _xlfn.SEQUENCE(1, 4, 2)),
    INDEX(
      Donnees!$A:$Z,
      _xlpm.ligpartie + 3,
      MATCH(AC$1, _xlpm.joueurs, 0) + 1
    )
  ), ""
)</f>
        <v/>
      </c>
      <c r="AD95" t="str" cm="1">
        <f t="array" ref="AD95">IFERROR(
  _xlfn.LET(
    _xlpm.ligpartie, MATCH($B94, Donnees!$F:$F, 0),
    _xlpm.joueurs, INDEX(Donnees!$A:$Z, _xlpm.ligpartie+1, _xlfn.SEQUENCE(1, 4, 2)),
    INDEX(
      Donnees!$A:$Z,
      _xlpm.ligpartie + 3,
      MATCH(AD$1, _xlpm.joueurs, 0) + 1
    )
  ), ""
)</f>
        <v/>
      </c>
      <c r="AE95" t="str" cm="1">
        <f t="array" ref="AE95">IFERROR(
  _xlfn.LET(
    _xlpm.ligpartie, MATCH($B94, Donnees!$F:$F, 0),
    _xlpm.joueurs, INDEX(Donnees!$A:$Z, _xlpm.ligpartie+1, _xlfn.SEQUENCE(1, 4, 2)),
    INDEX(
      Donnees!$A:$Z,
      _xlpm.ligpartie + 3,
      MATCH(AE$1, _xlpm.joueurs, 0) + 1
    )
  ), ""
)</f>
        <v/>
      </c>
      <c r="AF95" t="str" cm="1">
        <f t="array" ref="AF95">IFERROR(
  _xlfn.LET(
    _xlpm.ligpartie, MATCH($B94, Donnees!$F:$F, 0),
    _xlpm.joueurs, INDEX(Donnees!$A:$Z, _xlpm.ligpartie+1, _xlfn.SEQUENCE(1, 4, 2)),
    INDEX(
      Donnees!$A:$Z,
      _xlpm.ligpartie + 3,
      MATCH(AF$1, _xlpm.joueurs, 0) + 1
    )
  ), ""
)</f>
        <v/>
      </c>
      <c r="AG95" t="str" cm="1">
        <f t="array" ref="AG95">IFERROR(
  _xlfn.LET(
    _xlpm.ligpartie, MATCH($B94, Donnees!$F:$F, 0),
    _xlpm.joueurs, INDEX(Donnees!$A:$Z, _xlpm.ligpartie+1, _xlfn.SEQUENCE(1, 4, 2)),
    INDEX(
      Donnees!$A:$Z,
      _xlpm.ligpartie + 3,
      MATCH(AG$1, _xlpm.joueurs, 0) + 1
    )
  ), ""
)</f>
        <v/>
      </c>
      <c r="AH95" t="str" cm="1">
        <f t="array" ref="AH95">IFERROR(
  _xlfn.LET(
    _xlpm.ligpartie, MATCH($B94, Donnees!$F:$F, 0),
    _xlpm.joueurs, INDEX(Donnees!$A:$Z, _xlpm.ligpartie+1, _xlfn.SEQUENCE(1, 4, 2)),
    INDEX(
      Donnees!$A:$Z,
      _xlpm.ligpartie + 3,
      MATCH(AH$1, _xlpm.joueurs, 0) + 1
    )
  ), ""
)</f>
        <v/>
      </c>
      <c r="AI95" t="str" cm="1">
        <f t="array" ref="AI95">IFERROR(
  _xlfn.LET(
    _xlpm.ligpartie, MATCH($B94, Donnees!$F:$F, 0),
    _xlpm.joueurs, INDEX(Donnees!$A:$Z, _xlpm.ligpartie+1, _xlfn.SEQUENCE(1, 4, 2)),
    INDEX(
      Donnees!$A:$Z,
      _xlpm.ligpartie + 3,
      MATCH(AI$1, _xlpm.joueurs, 0) + 1
    )
  ), ""
)</f>
        <v/>
      </c>
      <c r="AJ95" t="str" cm="1">
        <f t="array" ref="AJ95">IFERROR(
  _xlfn.LET(
    _xlpm.ligpartie, MATCH($B94, Donnees!$F:$F, 0),
    _xlpm.joueurs, INDEX(Donnees!$A:$Z, _xlpm.ligpartie+1, _xlfn.SEQUENCE(1, 4, 2)),
    INDEX(
      Donnees!$A:$Z,
      _xlpm.ligpartie + 3,
      MATCH(AJ$1, _xlpm.joueurs, 0) + 1
    )
  ), ""
)</f>
        <v/>
      </c>
      <c r="AK95" t="str" cm="1">
        <f t="array" ref="AK95">IFERROR(
  _xlfn.LET(
    _xlpm.ligpartie, MATCH($B94, Donnees!$F:$F, 0),
    _xlpm.joueurs, INDEX(Donnees!$A:$Z, _xlpm.ligpartie+1, _xlfn.SEQUENCE(1, 4, 2)),
    INDEX(
      Donnees!$A:$Z,
      _xlpm.ligpartie + 3,
      MATCH(AK$1, _xlpm.joueurs, 0) + 1
    )
  ), ""
)</f>
        <v/>
      </c>
      <c r="AL95" t="str" cm="1">
        <f t="array" ref="AL95">IFERROR(
  _xlfn.LET(
    _xlpm.ligpartie, MATCH($B94, Donnees!$F:$F, 0),
    _xlpm.joueurs, INDEX(Donnees!$A:$Z, _xlpm.ligpartie+1, _xlfn.SEQUENCE(1, 4, 2)),
    INDEX(
      Donnees!$A:$Z,
      _xlpm.ligpartie + 3,
      MATCH(AL$1, _xlpm.joueurs, 0) + 1
    )
  ), ""
)</f>
        <v/>
      </c>
      <c r="AM95" t="str" cm="1">
        <f t="array" ref="AM95">IFERROR(
  _xlfn.LET(
    _xlpm.ligpartie, MATCH($B94, Donnees!$F:$F, 0),
    _xlpm.joueurs, INDEX(Donnees!$A:$Z, _xlpm.ligpartie+1, _xlfn.SEQUENCE(1, 4, 2)),
    INDEX(
      Donnees!$A:$Z,
      _xlpm.ligpartie + 3,
      MATCH(AM$1, _xlpm.joueurs, 0) + 1
    )
  ), ""
)</f>
        <v/>
      </c>
    </row>
    <row r="96" spans="1:39" x14ac:dyDescent="0.25">
      <c r="A96" t="s">
        <v>20</v>
      </c>
      <c r="D96" t="str" cm="1">
        <f t="array" ref="D96">_xlfn.LET(
  _xlpm.colj, _xlfn._xlws.FILTER(IF(ISNUMBER(95:95), COLUMN(95:95)), ISNUMBER(95:95)),
  _xlpm.elos, INDEX(94:94,1,_xlpm.colj),
  _xlpm.diffscale, Constantes!$B$2,
  IF(D95="",
    "",
    SUM(1/(1+POWER(10,-(D94-_xlpm.elos)/_xlpm.diffscale)))-0.5)
)</f>
        <v/>
      </c>
      <c r="E96" cm="1">
        <f t="array" ref="E96">_xlfn.LET(
  _xlpm.colj, _xlfn._xlws.FILTER(IF(ISNUMBER(95:95), COLUMN(95:95)), ISNUMBER(95:95)),
  _xlpm.elos, INDEX(94:94,1,_xlpm.colj),
  _xlpm.diffscale, Constantes!$B$2,
  IF(E95="",
    "",
    SUM(1/(1+POWER(10,-(E94-_xlpm.elos)/_xlpm.diffscale)))-0.5)
)</f>
        <v>2.1924457511027735</v>
      </c>
      <c r="F96" t="str" cm="1">
        <f t="array" ref="F96">_xlfn.LET(
  _xlpm.colj, _xlfn._xlws.FILTER(IF(ISNUMBER(95:95), COLUMN(95:95)), ISNUMBER(95:95)),
  _xlpm.elos, INDEX(94:94,1,_xlpm.colj),
  _xlpm.diffscale, Constantes!$B$2,
  IF(F95="",
    "",
    SUM(1/(1+POWER(10,-(F94-_xlpm.elos)/_xlpm.diffscale)))-0.5)
)</f>
        <v/>
      </c>
      <c r="G96" t="str" cm="1">
        <f t="array" ref="G96">_xlfn.LET(
  _xlpm.colj, _xlfn._xlws.FILTER(IF(ISNUMBER(95:95), COLUMN(95:95)), ISNUMBER(95:95)),
  _xlpm.elos, INDEX(94:94,1,_xlpm.colj),
  _xlpm.diffscale, Constantes!$B$2,
  IF(G95="",
    "",
    SUM(1/(1+POWER(10,-(G94-_xlpm.elos)/_xlpm.diffscale)))-0.5)
)</f>
        <v/>
      </c>
      <c r="H96" t="str" cm="1">
        <f t="array" ref="H96">_xlfn.LET(
  _xlpm.colj, _xlfn._xlws.FILTER(IF(ISNUMBER(95:95), COLUMN(95:95)), ISNUMBER(95:95)),
  _xlpm.elos, INDEX(94:94,1,_xlpm.colj),
  _xlpm.diffscale, Constantes!$B$2,
  IF(H95="",
    "",
    SUM(1/(1+POWER(10,-(H94-_xlpm.elos)/_xlpm.diffscale)))-0.5)
)</f>
        <v/>
      </c>
      <c r="I96" t="str" cm="1">
        <f t="array" ref="I96">_xlfn.LET(
  _xlpm.colj, _xlfn._xlws.FILTER(IF(ISNUMBER(95:95), COLUMN(95:95)), ISNUMBER(95:95)),
  _xlpm.elos, INDEX(94:94,1,_xlpm.colj),
  _xlpm.diffscale, Constantes!$B$2,
  IF(I95="",
    "",
    SUM(1/(1+POWER(10,-(I94-_xlpm.elos)/_xlpm.diffscale)))-0.5)
)</f>
        <v/>
      </c>
      <c r="J96" t="str" cm="1">
        <f t="array" ref="J96">_xlfn.LET(
  _xlpm.colj, _xlfn._xlws.FILTER(IF(ISNUMBER(95:95), COLUMN(95:95)), ISNUMBER(95:95)),
  _xlpm.elos, INDEX(94:94,1,_xlpm.colj),
  _xlpm.diffscale, Constantes!$B$2,
  IF(J95="",
    "",
    SUM(1/(1+POWER(10,-(J94-_xlpm.elos)/_xlpm.diffscale)))-0.5)
)</f>
        <v/>
      </c>
      <c r="K96" cm="1">
        <f t="array" ref="K96">_xlfn.LET(
  _xlpm.colj, _xlfn._xlws.FILTER(IF(ISNUMBER(95:95), COLUMN(95:95)), ISNUMBER(95:95)),
  _xlpm.elos, INDEX(94:94,1,_xlpm.colj),
  _xlpm.diffscale, Constantes!$B$2,
  IF(K95="",
    "",
    SUM(1/(1+POWER(10,-(K94-_xlpm.elos)/_xlpm.diffscale)))-0.5)
)</f>
        <v>1.11992083627826</v>
      </c>
      <c r="L96" t="str" cm="1">
        <f t="array" ref="L96">_xlfn.LET(
  _xlpm.colj, _xlfn._xlws.FILTER(IF(ISNUMBER(95:95), COLUMN(95:95)), ISNUMBER(95:95)),
  _xlpm.elos, INDEX(94:94,1,_xlpm.colj),
  _xlpm.diffscale, Constantes!$B$2,
  IF(L95="",
    "",
    SUM(1/(1+POWER(10,-(L94-_xlpm.elos)/_xlpm.diffscale)))-0.5)
)</f>
        <v/>
      </c>
      <c r="M96" cm="1">
        <f t="array" ref="M96">_xlfn.LET(
  _xlpm.colj, _xlfn._xlws.FILTER(IF(ISNUMBER(95:95), COLUMN(95:95)), ISNUMBER(95:95)),
  _xlpm.elos, INDEX(94:94,1,_xlpm.colj),
  _xlpm.diffscale, Constantes!$B$2,
  IF(M95="",
    "",
    SUM(1/(1+POWER(10,-(M94-_xlpm.elos)/_xlpm.diffscale)))-0.5)
)</f>
        <v>1.4132420410986193</v>
      </c>
      <c r="N96" t="str" cm="1">
        <f t="array" ref="N96">_xlfn.LET(
  _xlpm.colj, _xlfn._xlws.FILTER(IF(ISNUMBER(95:95), COLUMN(95:95)), ISNUMBER(95:95)),
  _xlpm.elos, INDEX(94:94,1,_xlpm.colj),
  _xlpm.diffscale, Constantes!$B$2,
  IF(N95="",
    "",
    SUM(1/(1+POWER(10,-(N94-_xlpm.elos)/_xlpm.diffscale)))-0.5)
)</f>
        <v/>
      </c>
      <c r="O96" t="str" cm="1">
        <f t="array" ref="O96">_xlfn.LET(
  _xlpm.colj, _xlfn._xlws.FILTER(IF(ISNUMBER(95:95), COLUMN(95:95)), ISNUMBER(95:95)),
  _xlpm.elos, INDEX(94:94,1,_xlpm.colj),
  _xlpm.diffscale, Constantes!$B$2,
  IF(O95="",
    "",
    SUM(1/(1+POWER(10,-(O94-_xlpm.elos)/_xlpm.diffscale)))-0.5)
)</f>
        <v/>
      </c>
      <c r="P96" t="str" cm="1">
        <f t="array" ref="P96">_xlfn.LET(
  _xlpm.colj, _xlfn._xlws.FILTER(IF(ISNUMBER(95:95), COLUMN(95:95)), ISNUMBER(95:95)),
  _xlpm.elos, INDEX(94:94,1,_xlpm.colj),
  _xlpm.diffscale, Constantes!$B$2,
  IF(P95="",
    "",
    SUM(1/(1+POWER(10,-(P94-_xlpm.elos)/_xlpm.diffscale)))-0.5)
)</f>
        <v/>
      </c>
      <c r="Q96" t="str" cm="1">
        <f t="array" ref="Q96">_xlfn.LET(
  _xlpm.colj, _xlfn._xlws.FILTER(IF(ISNUMBER(95:95), COLUMN(95:95)), ISNUMBER(95:95)),
  _xlpm.elos, INDEX(94:94,1,_xlpm.colj),
  _xlpm.diffscale, Constantes!$B$2,
  IF(Q95="",
    "",
    SUM(1/(1+POWER(10,-(Q94-_xlpm.elos)/_xlpm.diffscale)))-0.5)
)</f>
        <v/>
      </c>
      <c r="R96" t="str" cm="1">
        <f t="array" ref="R96">_xlfn.LET(
  _xlpm.colj, _xlfn._xlws.FILTER(IF(ISNUMBER(95:95), COLUMN(95:95)), ISNUMBER(95:95)),
  _xlpm.elos, INDEX(94:94,1,_xlpm.colj),
  _xlpm.diffscale, Constantes!$B$2,
  IF(R95="",
    "",
    SUM(1/(1+POWER(10,-(R94-_xlpm.elos)/_xlpm.diffscale)))-0.5)
)</f>
        <v/>
      </c>
      <c r="S96" t="str" cm="1">
        <f t="array" ref="S96">_xlfn.LET(
  _xlpm.colj, _xlfn._xlws.FILTER(IF(ISNUMBER(95:95), COLUMN(95:95)), ISNUMBER(95:95)),
  _xlpm.elos, INDEX(94:94,1,_xlpm.colj),
  _xlpm.diffscale, Constantes!$B$2,
  IF(S95="",
    "",
    SUM(1/(1+POWER(10,-(S94-_xlpm.elos)/_xlpm.diffscale)))-0.5)
)</f>
        <v/>
      </c>
      <c r="T96" t="str" cm="1">
        <f t="array" ref="T96">_xlfn.LET(
  _xlpm.colj, _xlfn._xlws.FILTER(IF(ISNUMBER(95:95), COLUMN(95:95)), ISNUMBER(95:95)),
  _xlpm.elos, INDEX(94:94,1,_xlpm.colj),
  _xlpm.diffscale, Constantes!$B$2,
  IF(T95="",
    "",
    SUM(1/(1+POWER(10,-(T94-_xlpm.elos)/_xlpm.diffscale)))-0.5)
)</f>
        <v/>
      </c>
      <c r="U96" t="str" cm="1">
        <f t="array" ref="U96">_xlfn.LET(
  _xlpm.colj, _xlfn._xlws.FILTER(IF(ISNUMBER(95:95), COLUMN(95:95)), ISNUMBER(95:95)),
  _xlpm.elos, INDEX(94:94,1,_xlpm.colj),
  _xlpm.diffscale, Constantes!$B$2,
  IF(U95="",
    "",
    SUM(1/(1+POWER(10,-(U94-_xlpm.elos)/_xlpm.diffscale)))-0.5)
)</f>
        <v/>
      </c>
      <c r="V96" cm="1">
        <f t="array" ref="V96">_xlfn.LET(
  _xlpm.colj, _xlfn._xlws.FILTER(IF(ISNUMBER(95:95), COLUMN(95:95)), ISNUMBER(95:95)),
  _xlpm.elos, INDEX(94:94,1,_xlpm.colj),
  _xlpm.diffscale, Constantes!$B$2,
  IF(V95="",
    "",
    SUM(1/(1+POWER(10,-(V94-_xlpm.elos)/_xlpm.diffscale)))-0.5)
)</f>
        <v>1.2743913715203474</v>
      </c>
      <c r="W96" t="str" cm="1">
        <f t="array" ref="W96">_xlfn.LET(
  _xlpm.colj, _xlfn._xlws.FILTER(IF(ISNUMBER(95:95), COLUMN(95:95)), ISNUMBER(95:95)),
  _xlpm.elos, INDEX(94:94,1,_xlpm.colj),
  _xlpm.diffscale, Constantes!$B$2,
  IF(W95="",
    "",
    SUM(1/(1+POWER(10,-(W94-_xlpm.elos)/_xlpm.diffscale)))-0.5)
)</f>
        <v/>
      </c>
      <c r="X96" t="str" cm="1">
        <f t="array" ref="X96">_xlfn.LET(
  _xlpm.colj, _xlfn._xlws.FILTER(IF(ISNUMBER(95:95), COLUMN(95:95)), ISNUMBER(95:95)),
  _xlpm.elos, INDEX(94:94,1,_xlpm.colj),
  _xlpm.diffscale, Constantes!$B$2,
  IF(X95="",
    "",
    SUM(1/(1+POWER(10,-(X94-_xlpm.elos)/_xlpm.diffscale)))-0.5)
)</f>
        <v/>
      </c>
      <c r="Y96" t="str" cm="1">
        <f t="array" ref="Y96">_xlfn.LET(
  _xlpm.colj, _xlfn._xlws.FILTER(IF(ISNUMBER(95:95), COLUMN(95:95)), ISNUMBER(95:95)),
  _xlpm.elos, INDEX(94:94,1,_xlpm.colj),
  _xlpm.diffscale, Constantes!$B$2,
  IF(Y95="",
    "",
    SUM(1/(1+POWER(10,-(Y94-_xlpm.elos)/_xlpm.diffscale)))-0.5)
)</f>
        <v/>
      </c>
      <c r="Z96" t="str" cm="1">
        <f t="array" ref="Z96">_xlfn.LET(
  _xlpm.colj, _xlfn._xlws.FILTER(IF(ISNUMBER(95:95), COLUMN(95:95)), ISNUMBER(95:95)),
  _xlpm.elos, INDEX(94:94,1,_xlpm.colj),
  _xlpm.diffscale, Constantes!$B$2,
  IF(Z95="",
    "",
    SUM(1/(1+POWER(10,-(Z94-_xlpm.elos)/_xlpm.diffscale)))-0.5)
)</f>
        <v/>
      </c>
      <c r="AA96" t="str" cm="1">
        <f t="array" ref="AA96">_xlfn.LET(
  _xlpm.colj, _xlfn._xlws.FILTER(IF(ISNUMBER(95:95), COLUMN(95:95)), ISNUMBER(95:95)),
  _xlpm.elos, INDEX(94:94,1,_xlpm.colj),
  _xlpm.diffscale, Constantes!$B$2,
  IF(AA95="",
    "",
    SUM(1/(1+POWER(10,-(AA94-_xlpm.elos)/_xlpm.diffscale)))-0.5)
)</f>
        <v/>
      </c>
      <c r="AB96" t="str" cm="1">
        <f t="array" ref="AB96">_xlfn.LET(
  _xlpm.colj, _xlfn._xlws.FILTER(IF(ISNUMBER(95:95), COLUMN(95:95)), ISNUMBER(95:95)),
  _xlpm.elos, INDEX(94:94,1,_xlpm.colj),
  _xlpm.diffscale, Constantes!$B$2,
  IF(AB95="",
    "",
    SUM(1/(1+POWER(10,-(AB94-_xlpm.elos)/_xlpm.diffscale)))-0.5)
)</f>
        <v/>
      </c>
      <c r="AC96" t="str" cm="1">
        <f t="array" ref="AC96">_xlfn.LET(
  _xlpm.colj, _xlfn._xlws.FILTER(IF(ISNUMBER(95:95), COLUMN(95:95)), ISNUMBER(95:95)),
  _xlpm.elos, INDEX(94:94,1,_xlpm.colj),
  _xlpm.diffscale, Constantes!$B$2,
  IF(AC95="",
    "",
    SUM(1/(1+POWER(10,-(AC94-_xlpm.elos)/_xlpm.diffscale)))-0.5)
)</f>
        <v/>
      </c>
      <c r="AD96" t="str" cm="1">
        <f t="array" ref="AD96">_xlfn.LET(
  _xlpm.colj, _xlfn._xlws.FILTER(IF(ISNUMBER(95:95), COLUMN(95:95)), ISNUMBER(95:95)),
  _xlpm.elos, INDEX(94:94,1,_xlpm.colj),
  _xlpm.diffscale, Constantes!$B$2,
  IF(AD95="",
    "",
    SUM(1/(1+POWER(10,-(AD94-_xlpm.elos)/_xlpm.diffscale)))-0.5)
)</f>
        <v/>
      </c>
      <c r="AE96" t="str" cm="1">
        <f t="array" ref="AE96">_xlfn.LET(
  _xlpm.colj, _xlfn._xlws.FILTER(IF(ISNUMBER(95:95), COLUMN(95:95)), ISNUMBER(95:95)),
  _xlpm.elos, INDEX(94:94,1,_xlpm.colj),
  _xlpm.diffscale, Constantes!$B$2,
  IF(AE95="",
    "",
    SUM(1/(1+POWER(10,-(AE94-_xlpm.elos)/_xlpm.diffscale)))-0.5)
)</f>
        <v/>
      </c>
      <c r="AF96" t="str" cm="1">
        <f t="array" ref="AF96">_xlfn.LET(
  _xlpm.colj, _xlfn._xlws.FILTER(IF(ISNUMBER(95:95), COLUMN(95:95)), ISNUMBER(95:95)),
  _xlpm.elos, INDEX(94:94,1,_xlpm.colj),
  _xlpm.diffscale, Constantes!$B$2,
  IF(AF95="",
    "",
    SUM(1/(1+POWER(10,-(AF94-_xlpm.elos)/_xlpm.diffscale)))-0.5)
)</f>
        <v/>
      </c>
      <c r="AG96" t="str" cm="1">
        <f t="array" ref="AG96">_xlfn.LET(
  _xlpm.colj, _xlfn._xlws.FILTER(IF(ISNUMBER(95:95), COLUMN(95:95)), ISNUMBER(95:95)),
  _xlpm.elos, INDEX(94:94,1,_xlpm.colj),
  _xlpm.diffscale, Constantes!$B$2,
  IF(AG95="",
    "",
    SUM(1/(1+POWER(10,-(AG94-_xlpm.elos)/_xlpm.diffscale)))-0.5)
)</f>
        <v/>
      </c>
      <c r="AH96" t="str" cm="1">
        <f t="array" ref="AH96">_xlfn.LET(
  _xlpm.colj, _xlfn._xlws.FILTER(IF(ISNUMBER(95:95), COLUMN(95:95)), ISNUMBER(95:95)),
  _xlpm.elos, INDEX(94:94,1,_xlpm.colj),
  _xlpm.diffscale, Constantes!$B$2,
  IF(AH95="",
    "",
    SUM(1/(1+POWER(10,-(AH94-_xlpm.elos)/_xlpm.diffscale)))-0.5)
)</f>
        <v/>
      </c>
      <c r="AI96" t="str" cm="1">
        <f t="array" ref="AI96">_xlfn.LET(
  _xlpm.colj, _xlfn._xlws.FILTER(IF(ISNUMBER(95:95), COLUMN(95:95)), ISNUMBER(95:95)),
  _xlpm.elos, INDEX(94:94,1,_xlpm.colj),
  _xlpm.diffscale, Constantes!$B$2,
  IF(AI95="",
    "",
    SUM(1/(1+POWER(10,-(AI94-_xlpm.elos)/_xlpm.diffscale)))-0.5)
)</f>
        <v/>
      </c>
      <c r="AJ96" t="str" cm="1">
        <f t="array" ref="AJ96">_xlfn.LET(
  _xlpm.colj, _xlfn._xlws.FILTER(IF(ISNUMBER(95:95), COLUMN(95:95)), ISNUMBER(95:95)),
  _xlpm.elos, INDEX(94:94,1,_xlpm.colj),
  _xlpm.diffscale, Constantes!$B$2,
  IF(AJ95="",
    "",
    SUM(1/(1+POWER(10,-(AJ94-_xlpm.elos)/_xlpm.diffscale)))-0.5)
)</f>
        <v/>
      </c>
      <c r="AK96" t="str" cm="1">
        <f t="array" ref="AK96">_xlfn.LET(
  _xlpm.colj, _xlfn._xlws.FILTER(IF(ISNUMBER(95:95), COLUMN(95:95)), ISNUMBER(95:95)),
  _xlpm.elos, INDEX(94:94,1,_xlpm.colj),
  _xlpm.diffscale, Constantes!$B$2,
  IF(AK95="",
    "",
    SUM(1/(1+POWER(10,-(AK94-_xlpm.elos)/_xlpm.diffscale)))-0.5)
)</f>
        <v/>
      </c>
      <c r="AL96" t="str" cm="1">
        <f t="array" ref="AL96">_xlfn.LET(
  _xlpm.colj, _xlfn._xlws.FILTER(IF(ISNUMBER(95:95), COLUMN(95:95)), ISNUMBER(95:95)),
  _xlpm.elos, INDEX(94:94,1,_xlpm.colj),
  _xlpm.diffscale, Constantes!$B$2,
  IF(AL95="",
    "",
    SUM(1/(1+POWER(10,-(AL94-_xlpm.elos)/_xlpm.diffscale)))-0.5)
)</f>
        <v/>
      </c>
      <c r="AM96" t="str" cm="1">
        <f t="array" ref="AM96">_xlfn.LET(
  _xlpm.colj, _xlfn._xlws.FILTER(IF(ISNUMBER(95:95), COLUMN(95:95)), ISNUMBER(95:95)),
  _xlpm.elos, INDEX(94:94,1,_xlpm.colj),
  _xlpm.diffscale, Constantes!$B$2,
  IF(AM95="",
    "",
    SUM(1/(1+POWER(10,-(AM94-_xlpm.elos)/_xlpm.diffscale)))-0.5)
)</f>
        <v/>
      </c>
    </row>
    <row r="97" spans="1:39" x14ac:dyDescent="0.25">
      <c r="A97" t="s">
        <v>22</v>
      </c>
      <c r="D97" t="str" cm="1">
        <f t="array" ref="D97">_xlfn.LET(
  _xlpm.K, Constantes!$B$3,
  _xlpm.Knewgain, Constantes!$B$4,
  _xlpm.Knewscale, Constantes!$B$5,
  _xlpm.ptstables, INDEX(D:D, _xlfn.SEQUENCE(COUNTA($C$2:$C97), 1, 3, 4)),
  _xlpm.nbparties, COUNTA(_xlfn._xlws.FILTER(_xlpm.ptstables, _xlpm.ptstables &lt;&gt; "")),
  _xlpm.coef, _xlpm.K + _xlpm.Knewgain / (_xlpm.Knewscale + _xlpm.nbparties),
  IF(D95="",
    "",
    _xlpm.coef * (D95-D96))
)</f>
        <v/>
      </c>
      <c r="E97" cm="1">
        <f t="array" ref="E97">_xlfn.LET(
  _xlpm.K, Constantes!$B$3,
  _xlpm.Knewgain, Constantes!$B$4,
  _xlpm.Knewscale, Constantes!$B$5,
  _xlpm.ptstables, INDEX(E:E, _xlfn.SEQUENCE(COUNTA($C$2:$C97), 1, 3, 4)),
  _xlpm.nbparties, COUNTA(_xlfn._xlws.FILTER(_xlpm.ptstables, _xlpm.ptstables &lt;&gt; "")),
  _xlpm.coef, _xlpm.K + _xlpm.Knewgain / (_xlpm.Knewscale + _xlpm.nbparties),
  IF(E95="",
    "",
    _xlpm.coef * (E95-E96))
)</f>
        <v>19.51589434834964</v>
      </c>
      <c r="F97" t="str" cm="1">
        <f t="array" ref="F97">_xlfn.LET(
  _xlpm.K, Constantes!$B$3,
  _xlpm.Knewgain, Constantes!$B$4,
  _xlpm.Knewscale, Constantes!$B$5,
  _xlpm.ptstables, INDEX(F:F, _xlfn.SEQUENCE(COUNTA($C$2:$C97), 1, 3, 4)),
  _xlpm.nbparties, COUNTA(_xlfn._xlws.FILTER(_xlpm.ptstables, _xlpm.ptstables &lt;&gt; "")),
  _xlpm.coef, _xlpm.K + _xlpm.Knewgain / (_xlpm.Knewscale + _xlpm.nbparties),
  IF(F95="",
    "",
    _xlpm.coef * (F95-F96))
)</f>
        <v/>
      </c>
      <c r="G97" t="str" cm="1">
        <f t="array" ref="G97">_xlfn.LET(
  _xlpm.K, Constantes!$B$3,
  _xlpm.Knewgain, Constantes!$B$4,
  _xlpm.Knewscale, Constantes!$B$5,
  _xlpm.ptstables, INDEX(G:G, _xlfn.SEQUENCE(COUNTA($C$2:$C97), 1, 3, 4)),
  _xlpm.nbparties, COUNTA(_xlfn._xlws.FILTER(_xlpm.ptstables, _xlpm.ptstables &lt;&gt; "")),
  _xlpm.coef, _xlpm.K + _xlpm.Knewgain / (_xlpm.Knewscale + _xlpm.nbparties),
  IF(G95="",
    "",
    _xlpm.coef * (G95-G96))
)</f>
        <v/>
      </c>
      <c r="H97" t="str" cm="1">
        <f t="array" ref="H97">_xlfn.LET(
  _xlpm.K, Constantes!$B$3,
  _xlpm.Knewgain, Constantes!$B$4,
  _xlpm.Knewscale, Constantes!$B$5,
  _xlpm.ptstables, INDEX(H:H, _xlfn.SEQUENCE(COUNTA($C$2:$C97), 1, 3, 4)),
  _xlpm.nbparties, COUNTA(_xlfn._xlws.FILTER(_xlpm.ptstables, _xlpm.ptstables &lt;&gt; "")),
  _xlpm.coef, _xlpm.K + _xlpm.Knewgain / (_xlpm.Knewscale + _xlpm.nbparties),
  IF(H95="",
    "",
    _xlpm.coef * (H95-H96))
)</f>
        <v/>
      </c>
      <c r="I97" t="str" cm="1">
        <f t="array" ref="I97">_xlfn.LET(
  _xlpm.K, Constantes!$B$3,
  _xlpm.Knewgain, Constantes!$B$4,
  _xlpm.Knewscale, Constantes!$B$5,
  _xlpm.ptstables, INDEX(I:I, _xlfn.SEQUENCE(COUNTA($C$2:$C97), 1, 3, 4)),
  _xlpm.nbparties, COUNTA(_xlfn._xlws.FILTER(_xlpm.ptstables, _xlpm.ptstables &lt;&gt; "")),
  _xlpm.coef, _xlpm.K + _xlpm.Knewgain / (_xlpm.Knewscale + _xlpm.nbparties),
  IF(I95="",
    "",
    _xlpm.coef * (I95-I96))
)</f>
        <v/>
      </c>
      <c r="J97" t="str" cm="1">
        <f t="array" ref="J97">_xlfn.LET(
  _xlpm.K, Constantes!$B$3,
  _xlpm.Knewgain, Constantes!$B$4,
  _xlpm.Knewscale, Constantes!$B$5,
  _xlpm.ptstables, INDEX(J:J, _xlfn.SEQUENCE(COUNTA($C$2:$C97), 1, 3, 4)),
  _xlpm.nbparties, COUNTA(_xlfn._xlws.FILTER(_xlpm.ptstables, _xlpm.ptstables &lt;&gt; "")),
  _xlpm.coef, _xlpm.K + _xlpm.Knewgain / (_xlpm.Knewscale + _xlpm.nbparties),
  IF(J95="",
    "",
    _xlpm.coef * (J95-J96))
)</f>
        <v/>
      </c>
      <c r="K97" cm="1">
        <f t="array" ref="K97">_xlfn.LET(
  _xlpm.K, Constantes!$B$3,
  _xlpm.Knewgain, Constantes!$B$4,
  _xlpm.Knewscale, Constantes!$B$5,
  _xlpm.ptstables, INDEX(K:K, _xlfn.SEQUENCE(COUNTA($C$2:$C97), 1, 3, 4)),
  _xlpm.nbparties, COUNTA(_xlfn._xlws.FILTER(_xlpm.ptstables, _xlpm.ptstables &lt;&gt; "")),
  _xlpm.coef, _xlpm.K + _xlpm.Knewgain / (_xlpm.Knewscale + _xlpm.nbparties),
  IF(K95="",
    "",
    _xlpm.coef * (K95-K96))
)</f>
        <v>-3.5976250883478</v>
      </c>
      <c r="L97" t="str" cm="1">
        <f t="array" ref="L97">_xlfn.LET(
  _xlpm.K, Constantes!$B$3,
  _xlpm.Knewgain, Constantes!$B$4,
  _xlpm.Knewscale, Constantes!$B$5,
  _xlpm.ptstables, INDEX(L:L, _xlfn.SEQUENCE(COUNTA($C$2:$C97), 1, 3, 4)),
  _xlpm.nbparties, COUNTA(_xlfn._xlws.FILTER(_xlpm.ptstables, _xlpm.ptstables &lt;&gt; "")),
  _xlpm.coef, _xlpm.K + _xlpm.Knewgain / (_xlpm.Knewscale + _xlpm.nbparties),
  IF(L95="",
    "",
    _xlpm.coef * (L95-L96))
)</f>
        <v/>
      </c>
      <c r="M97" cm="1">
        <f t="array" ref="M97">_xlfn.LET(
  _xlpm.K, Constantes!$B$3,
  _xlpm.Knewgain, Constantes!$B$4,
  _xlpm.Knewscale, Constantes!$B$5,
  _xlpm.ptstables, INDEX(M:M, _xlfn.SEQUENCE(COUNTA($C$2:$C97), 1, 3, 4)),
  _xlpm.nbparties, COUNTA(_xlfn._xlws.FILTER(_xlpm.ptstables, _xlpm.ptstables &lt;&gt; "")),
  _xlpm.coef, _xlpm.K + _xlpm.Knewgain / (_xlpm.Knewscale + _xlpm.nbparties),
  IF(M95="",
    "",
    _xlpm.coef * (M95-M96))
)</f>
        <v>-51.818874840282717</v>
      </c>
      <c r="N97" t="str" cm="1">
        <f t="array" ref="N97">_xlfn.LET(
  _xlpm.K, Constantes!$B$3,
  _xlpm.Knewgain, Constantes!$B$4,
  _xlpm.Knewscale, Constantes!$B$5,
  _xlpm.ptstables, INDEX(N:N, _xlfn.SEQUENCE(COUNTA($C$2:$C97), 1, 3, 4)),
  _xlpm.nbparties, COUNTA(_xlfn._xlws.FILTER(_xlpm.ptstables, _xlpm.ptstables &lt;&gt; "")),
  _xlpm.coef, _xlpm.K + _xlpm.Knewgain / (_xlpm.Knewscale + _xlpm.nbparties),
  IF(N95="",
    "",
    _xlpm.coef * (N95-N96))
)</f>
        <v/>
      </c>
      <c r="O97" t="str" cm="1">
        <f t="array" ref="O97">_xlfn.LET(
  _xlpm.K, Constantes!$B$3,
  _xlpm.Knewgain, Constantes!$B$4,
  _xlpm.Knewscale, Constantes!$B$5,
  _xlpm.ptstables, INDEX(O:O, _xlfn.SEQUENCE(COUNTA($C$2:$C97), 1, 3, 4)),
  _xlpm.nbparties, COUNTA(_xlfn._xlws.FILTER(_xlpm.ptstables, _xlpm.ptstables &lt;&gt; "")),
  _xlpm.coef, _xlpm.K + _xlpm.Knewgain / (_xlpm.Knewscale + _xlpm.nbparties),
  IF(O95="",
    "",
    _xlpm.coef * (O95-O96))
)</f>
        <v/>
      </c>
      <c r="P97" t="str" cm="1">
        <f t="array" ref="P97">_xlfn.LET(
  _xlpm.K, Constantes!$B$3,
  _xlpm.Knewgain, Constantes!$B$4,
  _xlpm.Knewscale, Constantes!$B$5,
  _xlpm.ptstables, INDEX(P:P, _xlfn.SEQUENCE(COUNTA($C$2:$C97), 1, 3, 4)),
  _xlpm.nbparties, COUNTA(_xlfn._xlws.FILTER(_xlpm.ptstables, _xlpm.ptstables &lt;&gt; "")),
  _xlpm.coef, _xlpm.K + _xlpm.Knewgain / (_xlpm.Knewscale + _xlpm.nbparties),
  IF(P95="",
    "",
    _xlpm.coef * (P95-P96))
)</f>
        <v/>
      </c>
      <c r="Q97" t="str" cm="1">
        <f t="array" ref="Q97">_xlfn.LET(
  _xlpm.K, Constantes!$B$3,
  _xlpm.Knewgain, Constantes!$B$4,
  _xlpm.Knewscale, Constantes!$B$5,
  _xlpm.ptstables, INDEX(Q:Q, _xlfn.SEQUENCE(COUNTA($C$2:$C97), 1, 3, 4)),
  _xlpm.nbparties, COUNTA(_xlfn._xlws.FILTER(_xlpm.ptstables, _xlpm.ptstables &lt;&gt; "")),
  _xlpm.coef, _xlpm.K + _xlpm.Knewgain / (_xlpm.Knewscale + _xlpm.nbparties),
  IF(Q95="",
    "",
    _xlpm.coef * (Q95-Q96))
)</f>
        <v/>
      </c>
      <c r="R97" t="str" cm="1">
        <f t="array" ref="R97">_xlfn.LET(
  _xlpm.K, Constantes!$B$3,
  _xlpm.Knewgain, Constantes!$B$4,
  _xlpm.Knewscale, Constantes!$B$5,
  _xlpm.ptstables, INDEX(R:R, _xlfn.SEQUENCE(COUNTA($C$2:$C97), 1, 3, 4)),
  _xlpm.nbparties, COUNTA(_xlfn._xlws.FILTER(_xlpm.ptstables, _xlpm.ptstables &lt;&gt; "")),
  _xlpm.coef, _xlpm.K + _xlpm.Knewgain / (_xlpm.Knewscale + _xlpm.nbparties),
  IF(R95="",
    "",
    _xlpm.coef * (R95-R96))
)</f>
        <v/>
      </c>
      <c r="S97" t="str" cm="1">
        <f t="array" ref="S97">_xlfn.LET(
  _xlpm.K, Constantes!$B$3,
  _xlpm.Knewgain, Constantes!$B$4,
  _xlpm.Knewscale, Constantes!$B$5,
  _xlpm.ptstables, INDEX(S:S, _xlfn.SEQUENCE(COUNTA($C$2:$C97), 1, 3, 4)),
  _xlpm.nbparties, COUNTA(_xlfn._xlws.FILTER(_xlpm.ptstables, _xlpm.ptstables &lt;&gt; "")),
  _xlpm.coef, _xlpm.K + _xlpm.Knewgain / (_xlpm.Knewscale + _xlpm.nbparties),
  IF(S95="",
    "",
    _xlpm.coef * (S95-S96))
)</f>
        <v/>
      </c>
      <c r="T97" t="str" cm="1">
        <f t="array" ref="T97">_xlfn.LET(
  _xlpm.K, Constantes!$B$3,
  _xlpm.Knewgain, Constantes!$B$4,
  _xlpm.Knewscale, Constantes!$B$5,
  _xlpm.ptstables, INDEX(T:T, _xlfn.SEQUENCE(COUNTA($C$2:$C97), 1, 3, 4)),
  _xlpm.nbparties, COUNTA(_xlfn._xlws.FILTER(_xlpm.ptstables, _xlpm.ptstables &lt;&gt; "")),
  _xlpm.coef, _xlpm.K + _xlpm.Knewgain / (_xlpm.Knewscale + _xlpm.nbparties),
  IF(T95="",
    "",
    _xlpm.coef * (T95-T96))
)</f>
        <v/>
      </c>
      <c r="U97" t="str" cm="1">
        <f t="array" ref="U97">_xlfn.LET(
  _xlpm.K, Constantes!$B$3,
  _xlpm.Knewgain, Constantes!$B$4,
  _xlpm.Knewscale, Constantes!$B$5,
  _xlpm.ptstables, INDEX(U:U, _xlfn.SEQUENCE(COUNTA($C$2:$C97), 1, 3, 4)),
  _xlpm.nbparties, COUNTA(_xlfn._xlws.FILTER(_xlpm.ptstables, _xlpm.ptstables &lt;&gt; "")),
  _xlpm.coef, _xlpm.K + _xlpm.Knewgain / (_xlpm.Knewscale + _xlpm.nbparties),
  IF(U95="",
    "",
    _xlpm.coef * (U95-U96))
)</f>
        <v/>
      </c>
      <c r="V97" cm="1">
        <f t="array" ref="V97">_xlfn.LET(
  _xlpm.K, Constantes!$B$3,
  _xlpm.Knewgain, Constantes!$B$4,
  _xlpm.Knewscale, Constantes!$B$5,
  _xlpm.ptstables, INDEX(V:V, _xlfn.SEQUENCE(COUNTA($C$2:$C97), 1, 3, 4)),
  _xlpm.nbparties, COUNTA(_xlfn._xlws.FILTER(_xlpm.ptstables, _xlpm.ptstables &lt;&gt; "")),
  _xlpm.coef, _xlpm.K + _xlpm.Knewgain / (_xlpm.Knewscale + _xlpm.nbparties),
  IF(V95="",
    "",
    _xlpm.coef * (V95-V96))
)</f>
        <v>21.768258854389579</v>
      </c>
      <c r="W97" t="str" cm="1">
        <f t="array" ref="W97">_xlfn.LET(
  _xlpm.K, Constantes!$B$3,
  _xlpm.Knewgain, Constantes!$B$4,
  _xlpm.Knewscale, Constantes!$B$5,
  _xlpm.ptstables, INDEX(W:W, _xlfn.SEQUENCE(COUNTA($C$2:$C97), 1, 3, 4)),
  _xlpm.nbparties, COUNTA(_xlfn._xlws.FILTER(_xlpm.ptstables, _xlpm.ptstables &lt;&gt; "")),
  _xlpm.coef, _xlpm.K + _xlpm.Knewgain / (_xlpm.Knewscale + _xlpm.nbparties),
  IF(W95="",
    "",
    _xlpm.coef * (W95-W96))
)</f>
        <v/>
      </c>
      <c r="X97" t="str" cm="1">
        <f t="array" ref="X97">_xlfn.LET(
  _xlpm.K, Constantes!$B$3,
  _xlpm.Knewgain, Constantes!$B$4,
  _xlpm.Knewscale, Constantes!$B$5,
  _xlpm.ptstables, INDEX(X:X, _xlfn.SEQUENCE(COUNTA($C$2:$C97), 1, 3, 4)),
  _xlpm.nbparties, COUNTA(_xlfn._xlws.FILTER(_xlpm.ptstables, _xlpm.ptstables &lt;&gt; "")),
  _xlpm.coef, _xlpm.K + _xlpm.Knewgain / (_xlpm.Knewscale + _xlpm.nbparties),
  IF(X95="",
    "",
    _xlpm.coef * (X95-X96))
)</f>
        <v/>
      </c>
      <c r="Y97" t="str" cm="1">
        <f t="array" ref="Y97">_xlfn.LET(
  _xlpm.K, Constantes!$B$3,
  _xlpm.Knewgain, Constantes!$B$4,
  _xlpm.Knewscale, Constantes!$B$5,
  _xlpm.ptstables, INDEX(Y:Y, _xlfn.SEQUENCE(COUNTA($C$2:$C97), 1, 3, 4)),
  _xlpm.nbparties, COUNTA(_xlfn._xlws.FILTER(_xlpm.ptstables, _xlpm.ptstables &lt;&gt; "")),
  _xlpm.coef, _xlpm.K + _xlpm.Knewgain / (_xlpm.Knewscale + _xlpm.nbparties),
  IF(Y95="",
    "",
    _xlpm.coef * (Y95-Y96))
)</f>
        <v/>
      </c>
      <c r="Z97" t="str" cm="1">
        <f t="array" ref="Z97">_xlfn.LET(
  _xlpm.K, Constantes!$B$3,
  _xlpm.Knewgain, Constantes!$B$4,
  _xlpm.Knewscale, Constantes!$B$5,
  _xlpm.ptstables, INDEX(Z:Z, _xlfn.SEQUENCE(COUNTA($C$2:$C97), 1, 3, 4)),
  _xlpm.nbparties, COUNTA(_xlfn._xlws.FILTER(_xlpm.ptstables, _xlpm.ptstables &lt;&gt; "")),
  _xlpm.coef, _xlpm.K + _xlpm.Knewgain / (_xlpm.Knewscale + _xlpm.nbparties),
  IF(Z95="",
    "",
    _xlpm.coef * (Z95-Z96))
)</f>
        <v/>
      </c>
      <c r="AA97" t="str" cm="1">
        <f t="array" ref="AA97">_xlfn.LET(
  _xlpm.K, Constantes!$B$3,
  _xlpm.Knewgain, Constantes!$B$4,
  _xlpm.Knewscale, Constantes!$B$5,
  _xlpm.ptstables, INDEX(AA:AA, _xlfn.SEQUENCE(COUNTA($C$2:$C97), 1, 3, 4)),
  _xlpm.nbparties, COUNTA(_xlfn._xlws.FILTER(_xlpm.ptstables, _xlpm.ptstables &lt;&gt; "")),
  _xlpm.coef, _xlpm.K + _xlpm.Knewgain / (_xlpm.Knewscale + _xlpm.nbparties),
  IF(AA95="",
    "",
    _xlpm.coef * (AA95-AA96))
)</f>
        <v/>
      </c>
      <c r="AB97" t="str" cm="1">
        <f t="array" ref="AB97">_xlfn.LET(
  _xlpm.K, Constantes!$B$3,
  _xlpm.Knewgain, Constantes!$B$4,
  _xlpm.Knewscale, Constantes!$B$5,
  _xlpm.ptstables, INDEX(AB:AB, _xlfn.SEQUENCE(COUNTA($C$2:$C97), 1, 3, 4)),
  _xlpm.nbparties, COUNTA(_xlfn._xlws.FILTER(_xlpm.ptstables, _xlpm.ptstables &lt;&gt; "")),
  _xlpm.coef, _xlpm.K + _xlpm.Knewgain / (_xlpm.Knewscale + _xlpm.nbparties),
  IF(AB95="",
    "",
    _xlpm.coef * (AB95-AB96))
)</f>
        <v/>
      </c>
      <c r="AC97" t="str" cm="1">
        <f t="array" ref="AC97">_xlfn.LET(
  _xlpm.K, Constantes!$B$3,
  _xlpm.Knewgain, Constantes!$B$4,
  _xlpm.Knewscale, Constantes!$B$5,
  _xlpm.ptstables, INDEX(AC:AC, _xlfn.SEQUENCE(COUNTA($C$2:$C97), 1, 3, 4)),
  _xlpm.nbparties, COUNTA(_xlfn._xlws.FILTER(_xlpm.ptstables, _xlpm.ptstables &lt;&gt; "")),
  _xlpm.coef, _xlpm.K + _xlpm.Knewgain / (_xlpm.Knewscale + _xlpm.nbparties),
  IF(AC95="",
    "",
    _xlpm.coef * (AC95-AC96))
)</f>
        <v/>
      </c>
      <c r="AD97" t="str" cm="1">
        <f t="array" ref="AD97">_xlfn.LET(
  _xlpm.K, Constantes!$B$3,
  _xlpm.Knewgain, Constantes!$B$4,
  _xlpm.Knewscale, Constantes!$B$5,
  _xlpm.ptstables, INDEX(AD:AD, _xlfn.SEQUENCE(COUNTA($C$2:$C97), 1, 3, 4)),
  _xlpm.nbparties, COUNTA(_xlfn._xlws.FILTER(_xlpm.ptstables, _xlpm.ptstables &lt;&gt; "")),
  _xlpm.coef, _xlpm.K + _xlpm.Knewgain / (_xlpm.Knewscale + _xlpm.nbparties),
  IF(AD95="",
    "",
    _xlpm.coef * (AD95-AD96))
)</f>
        <v/>
      </c>
      <c r="AE97" t="str" cm="1">
        <f t="array" ref="AE97">_xlfn.LET(
  _xlpm.K, Constantes!$B$3,
  _xlpm.Knewgain, Constantes!$B$4,
  _xlpm.Knewscale, Constantes!$B$5,
  _xlpm.ptstables, INDEX(AE:AE, _xlfn.SEQUENCE(COUNTA($C$2:$C97), 1, 3, 4)),
  _xlpm.nbparties, COUNTA(_xlfn._xlws.FILTER(_xlpm.ptstables, _xlpm.ptstables &lt;&gt; "")),
  _xlpm.coef, _xlpm.K + _xlpm.Knewgain / (_xlpm.Knewscale + _xlpm.nbparties),
  IF(AE95="",
    "",
    _xlpm.coef * (AE95-AE96))
)</f>
        <v/>
      </c>
      <c r="AF97" t="str" cm="1">
        <f t="array" ref="AF97">_xlfn.LET(
  _xlpm.K, Constantes!$B$3,
  _xlpm.Knewgain, Constantes!$B$4,
  _xlpm.Knewscale, Constantes!$B$5,
  _xlpm.ptstables, INDEX(AF:AF, _xlfn.SEQUENCE(COUNTA($C$2:$C97), 1, 3, 4)),
  _xlpm.nbparties, COUNTA(_xlfn._xlws.FILTER(_xlpm.ptstables, _xlpm.ptstables &lt;&gt; "")),
  _xlpm.coef, _xlpm.K + _xlpm.Knewgain / (_xlpm.Knewscale + _xlpm.nbparties),
  IF(AF95="",
    "",
    _xlpm.coef * (AF95-AF96))
)</f>
        <v/>
      </c>
      <c r="AG97" t="str" cm="1">
        <f t="array" ref="AG97">_xlfn.LET(
  _xlpm.K, Constantes!$B$3,
  _xlpm.Knewgain, Constantes!$B$4,
  _xlpm.Knewscale, Constantes!$B$5,
  _xlpm.ptstables, INDEX(AG:AG, _xlfn.SEQUENCE(COUNTA($C$2:$C97), 1, 3, 4)),
  _xlpm.nbparties, COUNTA(_xlfn._xlws.FILTER(_xlpm.ptstables, _xlpm.ptstables &lt;&gt; "")),
  _xlpm.coef, _xlpm.K + _xlpm.Knewgain / (_xlpm.Knewscale + _xlpm.nbparties),
  IF(AG95="",
    "",
    _xlpm.coef * (AG95-AG96))
)</f>
        <v/>
      </c>
      <c r="AH97" t="str" cm="1">
        <f t="array" ref="AH97">_xlfn.LET(
  _xlpm.K, Constantes!$B$3,
  _xlpm.Knewgain, Constantes!$B$4,
  _xlpm.Knewscale, Constantes!$B$5,
  _xlpm.ptstables, INDEX(AH:AH, _xlfn.SEQUENCE(COUNTA($C$2:$C97), 1, 3, 4)),
  _xlpm.nbparties, COUNTA(_xlfn._xlws.FILTER(_xlpm.ptstables, _xlpm.ptstables &lt;&gt; "")),
  _xlpm.coef, _xlpm.K + _xlpm.Knewgain / (_xlpm.Knewscale + _xlpm.nbparties),
  IF(AH95="",
    "",
    _xlpm.coef * (AH95-AH96))
)</f>
        <v/>
      </c>
      <c r="AI97" t="str" cm="1">
        <f t="array" ref="AI97">_xlfn.LET(
  _xlpm.K, Constantes!$B$3,
  _xlpm.Knewgain, Constantes!$B$4,
  _xlpm.Knewscale, Constantes!$B$5,
  _xlpm.ptstables, INDEX(AI:AI, _xlfn.SEQUENCE(COUNTA($C$2:$C97), 1, 3, 4)),
  _xlpm.nbparties, COUNTA(_xlfn._xlws.FILTER(_xlpm.ptstables, _xlpm.ptstables &lt;&gt; "")),
  _xlpm.coef, _xlpm.K + _xlpm.Knewgain / (_xlpm.Knewscale + _xlpm.nbparties),
  IF(AI95="",
    "",
    _xlpm.coef * (AI95-AI96))
)</f>
        <v/>
      </c>
      <c r="AJ97" t="str" cm="1">
        <f t="array" ref="AJ97">_xlfn.LET(
  _xlpm.K, Constantes!$B$3,
  _xlpm.Knewgain, Constantes!$B$4,
  _xlpm.Knewscale, Constantes!$B$5,
  _xlpm.ptstables, INDEX(AJ:AJ, _xlfn.SEQUENCE(COUNTA($C$2:$C97), 1, 3, 4)),
  _xlpm.nbparties, COUNTA(_xlfn._xlws.FILTER(_xlpm.ptstables, _xlpm.ptstables &lt;&gt; "")),
  _xlpm.coef, _xlpm.K + _xlpm.Knewgain / (_xlpm.Knewscale + _xlpm.nbparties),
  IF(AJ95="",
    "",
    _xlpm.coef * (AJ95-AJ96))
)</f>
        <v/>
      </c>
      <c r="AK97" t="str" cm="1">
        <f t="array" ref="AK97">_xlfn.LET(
  _xlpm.K, Constantes!$B$3,
  _xlpm.Knewgain, Constantes!$B$4,
  _xlpm.Knewscale, Constantes!$B$5,
  _xlpm.ptstables, INDEX(AK:AK, _xlfn.SEQUENCE(COUNTA($C$2:$C97), 1, 3, 4)),
  _xlpm.nbparties, COUNTA(_xlfn._xlws.FILTER(_xlpm.ptstables, _xlpm.ptstables &lt;&gt; "")),
  _xlpm.coef, _xlpm.K + _xlpm.Knewgain / (_xlpm.Knewscale + _xlpm.nbparties),
  IF(AK95="",
    "",
    _xlpm.coef * (AK95-AK96))
)</f>
        <v/>
      </c>
      <c r="AL97" t="str" cm="1">
        <f t="array" ref="AL97">_xlfn.LET(
  _xlpm.K, Constantes!$B$3,
  _xlpm.Knewgain, Constantes!$B$4,
  _xlpm.Knewscale, Constantes!$B$5,
  _xlpm.ptstables, INDEX(AL:AL, _xlfn.SEQUENCE(COUNTA($C$2:$C97), 1, 3, 4)),
  _xlpm.nbparties, COUNTA(_xlfn._xlws.FILTER(_xlpm.ptstables, _xlpm.ptstables &lt;&gt; "")),
  _xlpm.coef, _xlpm.K + _xlpm.Knewgain / (_xlpm.Knewscale + _xlpm.nbparties),
  IF(AL95="",
    "",
    _xlpm.coef * (AL95-AL96))
)</f>
        <v/>
      </c>
      <c r="AM97" t="str" cm="1">
        <f t="array" ref="AM97">_xlfn.LET(
  _xlpm.K, Constantes!$B$3,
  _xlpm.Knewgain, Constantes!$B$4,
  _xlpm.Knewscale, Constantes!$B$5,
  _xlpm.ptstables, INDEX(AM:AM, _xlfn.SEQUENCE(COUNTA($C$2:$C97), 1, 3, 4)),
  _xlpm.nbparties, COUNTA(_xlfn._xlws.FILTER(_xlpm.ptstables, _xlpm.ptstables &lt;&gt; "")),
  _xlpm.coef, _xlpm.K + _xlpm.Knewgain / (_xlpm.Knewscale + _xlpm.nbparties),
  IF(AM95="",
    "",
    _xlpm.coef * (AM95-AM96))
)</f>
        <v/>
      </c>
    </row>
    <row r="98" spans="1:39" x14ac:dyDescent="0.25">
      <c r="A98" t="s">
        <v>14</v>
      </c>
      <c r="B98" t="str" cm="1">
        <f t="array" ref="B9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32</v>
      </c>
      <c r="C98" s="2" cm="1">
        <f t="array" ref="C98">IF(B98="","",
  INDEX(Donnees!F:F, MATCH(B98, Donnees!F:F, 0)+1))</f>
        <v>45920.694606481484</v>
      </c>
      <c r="D98">
        <f t="shared" ref="D98:AM98" si="32">D94+IF(D97="",0,D97)</f>
        <v>1108.4611161856747</v>
      </c>
      <c r="E98">
        <f t="shared" si="32"/>
        <v>1132.3930578903671</v>
      </c>
      <c r="F98">
        <f t="shared" si="32"/>
        <v>925.72646659717554</v>
      </c>
      <c r="G98">
        <f t="shared" si="32"/>
        <v>956.37970750382215</v>
      </c>
      <c r="H98">
        <f t="shared" si="32"/>
        <v>1020.3453983892952</v>
      </c>
      <c r="I98">
        <f t="shared" si="32"/>
        <v>1056.8165036600865</v>
      </c>
      <c r="J98">
        <f t="shared" si="32"/>
        <v>938.49433816478961</v>
      </c>
      <c r="K98">
        <f t="shared" si="32"/>
        <v>907.51653081539087</v>
      </c>
      <c r="L98">
        <f t="shared" si="32"/>
        <v>878.7153998467162</v>
      </c>
      <c r="M98">
        <f t="shared" si="32"/>
        <v>913.41986361738122</v>
      </c>
      <c r="N98">
        <f t="shared" si="32"/>
        <v>893.53720165580148</v>
      </c>
      <c r="O98">
        <f t="shared" si="32"/>
        <v>1030.4363831507294</v>
      </c>
      <c r="P98">
        <f t="shared" si="32"/>
        <v>1043.9932888752683</v>
      </c>
      <c r="Q98">
        <f t="shared" si="32"/>
        <v>1039.0209485170767</v>
      </c>
      <c r="R98">
        <f t="shared" si="32"/>
        <v>1131.3793652528555</v>
      </c>
      <c r="S98">
        <f t="shared" si="32"/>
        <v>932.5391191163942</v>
      </c>
      <c r="T98">
        <f t="shared" si="32"/>
        <v>1135.2782658680615</v>
      </c>
      <c r="U98">
        <f t="shared" si="32"/>
        <v>1012.4141493920336</v>
      </c>
      <c r="V98">
        <f t="shared" si="32"/>
        <v>961.58818235691967</v>
      </c>
      <c r="W98">
        <f t="shared" si="32"/>
        <v>936.79085942937002</v>
      </c>
      <c r="X98">
        <f t="shared" si="32"/>
        <v>852.64794693163367</v>
      </c>
      <c r="Y98">
        <f t="shared" si="32"/>
        <v>993.49299956228185</v>
      </c>
      <c r="Z98">
        <f t="shared" si="32"/>
        <v>991.11904139672549</v>
      </c>
      <c r="AA98">
        <f t="shared" si="32"/>
        <v>980.56756855165884</v>
      </c>
      <c r="AB98">
        <f t="shared" si="32"/>
        <v>979.56500000000005</v>
      </c>
      <c r="AC98">
        <f t="shared" si="32"/>
        <v>1032.51</v>
      </c>
      <c r="AD98">
        <f t="shared" si="32"/>
        <v>974.01499999999999</v>
      </c>
      <c r="AE98">
        <f t="shared" si="32"/>
        <v>1011.415</v>
      </c>
      <c r="AF98">
        <f t="shared" si="32"/>
        <v>1031.1199999999999</v>
      </c>
      <c r="AG98">
        <f t="shared" si="32"/>
        <v>1001.0350000000001</v>
      </c>
      <c r="AH98">
        <f t="shared" si="32"/>
        <v>994.44</v>
      </c>
      <c r="AI98">
        <f t="shared" si="32"/>
        <v>1000</v>
      </c>
      <c r="AJ98">
        <f t="shared" si="32"/>
        <v>957.2</v>
      </c>
      <c r="AK98">
        <f t="shared" si="32"/>
        <v>1000</v>
      </c>
      <c r="AL98">
        <f t="shared" si="32"/>
        <v>1055.9299999999998</v>
      </c>
      <c r="AM98">
        <f t="shared" si="32"/>
        <v>1000</v>
      </c>
    </row>
    <row r="99" spans="1:39" x14ac:dyDescent="0.25">
      <c r="A99" t="s">
        <v>21</v>
      </c>
      <c r="D99" t="str" cm="1">
        <f t="array" ref="D99">IFERROR(
  _xlfn.LET(
    _xlpm.ligpartie, MATCH($B98, Donnees!$F:$F, 0),
    _xlpm.joueurs, INDEX(Donnees!$A:$Z, _xlpm.ligpartie+1, _xlfn.SEQUENCE(1, 4, 2)),
    INDEX(
      Donnees!$A:$Z,
      _xlpm.ligpartie + 3,
      MATCH(D$1, _xlpm.joueurs, 0) + 1
    )
  ), ""
)</f>
        <v/>
      </c>
      <c r="E99" t="str" cm="1">
        <f t="array" ref="E99">IFERROR(
  _xlfn.LET(
    _xlpm.ligpartie, MATCH($B98, Donnees!$F:$F, 0),
    _xlpm.joueurs, INDEX(Donnees!$A:$Z, _xlpm.ligpartie+1, _xlfn.SEQUENCE(1, 4, 2)),
    INDEX(
      Donnees!$A:$Z,
      _xlpm.ligpartie + 3,
      MATCH(E$1, _xlpm.joueurs, 0) + 1
    )
  ), ""
)</f>
        <v/>
      </c>
      <c r="F99" cm="1">
        <f t="array" ref="F99">IFERROR(
  _xlfn.LET(
    _xlpm.ligpartie, MATCH($B98, Donnees!$F:$F, 0),
    _xlpm.joueurs, INDEX(Donnees!$A:$Z, _xlpm.ligpartie+1, _xlfn.SEQUENCE(1, 4, 2)),
    INDEX(
      Donnees!$A:$Z,
      _xlpm.ligpartie + 3,
      MATCH(F$1, _xlpm.joueurs, 0) + 1
    )
  ), ""
)</f>
        <v>1</v>
      </c>
      <c r="G99" t="str" cm="1">
        <f t="array" ref="G99">IFERROR(
  _xlfn.LET(
    _xlpm.ligpartie, MATCH($B98, Donnees!$F:$F, 0),
    _xlpm.joueurs, INDEX(Donnees!$A:$Z, _xlpm.ligpartie+1, _xlfn.SEQUENCE(1, 4, 2)),
    INDEX(
      Donnees!$A:$Z,
      _xlpm.ligpartie + 3,
      MATCH(G$1, _xlpm.joueurs, 0) + 1
    )
  ), ""
)</f>
        <v/>
      </c>
      <c r="H99" t="str" cm="1">
        <f t="array" ref="H99">IFERROR(
  _xlfn.LET(
    _xlpm.ligpartie, MATCH($B98, Donnees!$F:$F, 0),
    _xlpm.joueurs, INDEX(Donnees!$A:$Z, _xlpm.ligpartie+1, _xlfn.SEQUENCE(1, 4, 2)),
    INDEX(
      Donnees!$A:$Z,
      _xlpm.ligpartie + 3,
      MATCH(H$1, _xlpm.joueurs, 0) + 1
    )
  ), ""
)</f>
        <v/>
      </c>
      <c r="I99" t="str" cm="1">
        <f t="array" ref="I99">IFERROR(
  _xlfn.LET(
    _xlpm.ligpartie, MATCH($B98, Donnees!$F:$F, 0),
    _xlpm.joueurs, INDEX(Donnees!$A:$Z, _xlpm.ligpartie+1, _xlfn.SEQUENCE(1, 4, 2)),
    INDEX(
      Donnees!$A:$Z,
      _xlpm.ligpartie + 3,
      MATCH(I$1, _xlpm.joueurs, 0) + 1
    )
  ), ""
)</f>
        <v/>
      </c>
      <c r="J99" t="str" cm="1">
        <f t="array" ref="J99">IFERROR(
  _xlfn.LET(
    _xlpm.ligpartie, MATCH($B98, Donnees!$F:$F, 0),
    _xlpm.joueurs, INDEX(Donnees!$A:$Z, _xlpm.ligpartie+1, _xlfn.SEQUENCE(1, 4, 2)),
    INDEX(
      Donnees!$A:$Z,
      _xlpm.ligpartie + 3,
      MATCH(J$1, _xlpm.joueurs, 0) + 1
    )
  ), ""
)</f>
        <v/>
      </c>
      <c r="K99" t="str" cm="1">
        <f t="array" ref="K99">IFERROR(
  _xlfn.LET(
    _xlpm.ligpartie, MATCH($B98, Donnees!$F:$F, 0),
    _xlpm.joueurs, INDEX(Donnees!$A:$Z, _xlpm.ligpartie+1, _xlfn.SEQUENCE(1, 4, 2)),
    INDEX(
      Donnees!$A:$Z,
      _xlpm.ligpartie + 3,
      MATCH(K$1, _xlpm.joueurs, 0) + 1
    )
  ), ""
)</f>
        <v/>
      </c>
      <c r="L99" cm="1">
        <f t="array" ref="L99">IFERROR(
  _xlfn.LET(
    _xlpm.ligpartie, MATCH($B98, Donnees!$F:$F, 0),
    _xlpm.joueurs, INDEX(Donnees!$A:$Z, _xlpm.ligpartie+1, _xlfn.SEQUENCE(1, 4, 2)),
    INDEX(
      Donnees!$A:$Z,
      _xlpm.ligpartie + 3,
      MATCH(L$1, _xlpm.joueurs, 0) + 1
    )
  ), ""
)</f>
        <v>0</v>
      </c>
      <c r="M99" t="str" cm="1">
        <f t="array" ref="M99">IFERROR(
  _xlfn.LET(
    _xlpm.ligpartie, MATCH($B98, Donnees!$F:$F, 0),
    _xlpm.joueurs, INDEX(Donnees!$A:$Z, _xlpm.ligpartie+1, _xlfn.SEQUENCE(1, 4, 2)),
    INDEX(
      Donnees!$A:$Z,
      _xlpm.ligpartie + 3,
      MATCH(M$1, _xlpm.joueurs, 0) + 1
    )
  ), ""
)</f>
        <v/>
      </c>
      <c r="N99" t="str" cm="1">
        <f t="array" ref="N99">IFERROR(
  _xlfn.LET(
    _xlpm.ligpartie, MATCH($B98, Donnees!$F:$F, 0),
    _xlpm.joueurs, INDEX(Donnees!$A:$Z, _xlpm.ligpartie+1, _xlfn.SEQUENCE(1, 4, 2)),
    INDEX(
      Donnees!$A:$Z,
      _xlpm.ligpartie + 3,
      MATCH(N$1, _xlpm.joueurs, 0) + 1
    )
  ), ""
)</f>
        <v/>
      </c>
      <c r="O99" t="str" cm="1">
        <f t="array" ref="O99">IFERROR(
  _xlfn.LET(
    _xlpm.ligpartie, MATCH($B98, Donnees!$F:$F, 0),
    _xlpm.joueurs, INDEX(Donnees!$A:$Z, _xlpm.ligpartie+1, _xlfn.SEQUENCE(1, 4, 2)),
    INDEX(
      Donnees!$A:$Z,
      _xlpm.ligpartie + 3,
      MATCH(O$1, _xlpm.joueurs, 0) + 1
    )
  ), ""
)</f>
        <v/>
      </c>
      <c r="P99" t="str" cm="1">
        <f t="array" ref="P99">IFERROR(
  _xlfn.LET(
    _xlpm.ligpartie, MATCH($B98, Donnees!$F:$F, 0),
    _xlpm.joueurs, INDEX(Donnees!$A:$Z, _xlpm.ligpartie+1, _xlfn.SEQUENCE(1, 4, 2)),
    INDEX(
      Donnees!$A:$Z,
      _xlpm.ligpartie + 3,
      MATCH(P$1, _xlpm.joueurs, 0) + 1
    )
  ), ""
)</f>
        <v/>
      </c>
      <c r="Q99" t="str" cm="1">
        <f t="array" ref="Q99">IFERROR(
  _xlfn.LET(
    _xlpm.ligpartie, MATCH($B98, Donnees!$F:$F, 0),
    _xlpm.joueurs, INDEX(Donnees!$A:$Z, _xlpm.ligpartie+1, _xlfn.SEQUENCE(1, 4, 2)),
    INDEX(
      Donnees!$A:$Z,
      _xlpm.ligpartie + 3,
      MATCH(Q$1, _xlpm.joueurs, 0) + 1
    )
  ), ""
)</f>
        <v/>
      </c>
      <c r="R99" t="str" cm="1">
        <f t="array" ref="R99">IFERROR(
  _xlfn.LET(
    _xlpm.ligpartie, MATCH($B98, Donnees!$F:$F, 0),
    _xlpm.joueurs, INDEX(Donnees!$A:$Z, _xlpm.ligpartie+1, _xlfn.SEQUENCE(1, 4, 2)),
    INDEX(
      Donnees!$A:$Z,
      _xlpm.ligpartie + 3,
      MATCH(R$1, _xlpm.joueurs, 0) + 1
    )
  ), ""
)</f>
        <v/>
      </c>
      <c r="S99" cm="1">
        <f t="array" ref="S99">IFERROR(
  _xlfn.LET(
    _xlpm.ligpartie, MATCH($B98, Donnees!$F:$F, 0),
    _xlpm.joueurs, INDEX(Donnees!$A:$Z, _xlpm.ligpartie+1, _xlfn.SEQUENCE(1, 4, 2)),
    INDEX(
      Donnees!$A:$Z,
      _xlpm.ligpartie + 3,
      MATCH(S$1, _xlpm.joueurs, 0) + 1
    )
  ), ""
)</f>
        <v>3</v>
      </c>
      <c r="T99" t="str" cm="1">
        <f t="array" ref="T99">IFERROR(
  _xlfn.LET(
    _xlpm.ligpartie, MATCH($B98, Donnees!$F:$F, 0),
    _xlpm.joueurs, INDEX(Donnees!$A:$Z, _xlpm.ligpartie+1, _xlfn.SEQUENCE(1, 4, 2)),
    INDEX(
      Donnees!$A:$Z,
      _xlpm.ligpartie + 3,
      MATCH(T$1, _xlpm.joueurs, 0) + 1
    )
  ), ""
)</f>
        <v/>
      </c>
      <c r="U99" t="str" cm="1">
        <f t="array" ref="U99">IFERROR(
  _xlfn.LET(
    _xlpm.ligpartie, MATCH($B98, Donnees!$F:$F, 0),
    _xlpm.joueurs, INDEX(Donnees!$A:$Z, _xlpm.ligpartie+1, _xlfn.SEQUENCE(1, 4, 2)),
    INDEX(
      Donnees!$A:$Z,
      _xlpm.ligpartie + 3,
      MATCH(U$1, _xlpm.joueurs, 0) + 1
    )
  ), ""
)</f>
        <v/>
      </c>
      <c r="V99" t="str" cm="1">
        <f t="array" ref="V99">IFERROR(
  _xlfn.LET(
    _xlpm.ligpartie, MATCH($B98, Donnees!$F:$F, 0),
    _xlpm.joueurs, INDEX(Donnees!$A:$Z, _xlpm.ligpartie+1, _xlfn.SEQUENCE(1, 4, 2)),
    INDEX(
      Donnees!$A:$Z,
      _xlpm.ligpartie + 3,
      MATCH(V$1, _xlpm.joueurs, 0) + 1
    )
  ), ""
)</f>
        <v/>
      </c>
      <c r="W99" t="str" cm="1">
        <f t="array" ref="W99">IFERROR(
  _xlfn.LET(
    _xlpm.ligpartie, MATCH($B98, Donnees!$F:$F, 0),
    _xlpm.joueurs, INDEX(Donnees!$A:$Z, _xlpm.ligpartie+1, _xlfn.SEQUENCE(1, 4, 2)),
    INDEX(
      Donnees!$A:$Z,
      _xlpm.ligpartie + 3,
      MATCH(W$1, _xlpm.joueurs, 0) + 1
    )
  ), ""
)</f>
        <v/>
      </c>
      <c r="X99" cm="1">
        <f t="array" ref="X99">IFERROR(
  _xlfn.LET(
    _xlpm.ligpartie, MATCH($B98, Donnees!$F:$F, 0),
    _xlpm.joueurs, INDEX(Donnees!$A:$Z, _xlpm.ligpartie+1, _xlfn.SEQUENCE(1, 4, 2)),
    INDEX(
      Donnees!$A:$Z,
      _xlpm.ligpartie + 3,
      MATCH(X$1, _xlpm.joueurs, 0) + 1
    )
  ), ""
)</f>
        <v>2</v>
      </c>
      <c r="Y99" t="str" cm="1">
        <f t="array" ref="Y99">IFERROR(
  _xlfn.LET(
    _xlpm.ligpartie, MATCH($B98, Donnees!$F:$F, 0),
    _xlpm.joueurs, INDEX(Donnees!$A:$Z, _xlpm.ligpartie+1, _xlfn.SEQUENCE(1, 4, 2)),
    INDEX(
      Donnees!$A:$Z,
      _xlpm.ligpartie + 3,
      MATCH(Y$1, _xlpm.joueurs, 0) + 1
    )
  ), ""
)</f>
        <v/>
      </c>
      <c r="Z99" t="str" cm="1">
        <f t="array" ref="Z99">IFERROR(
  _xlfn.LET(
    _xlpm.ligpartie, MATCH($B98, Donnees!$F:$F, 0),
    _xlpm.joueurs, INDEX(Donnees!$A:$Z, _xlpm.ligpartie+1, _xlfn.SEQUENCE(1, 4, 2)),
    INDEX(
      Donnees!$A:$Z,
      _xlpm.ligpartie + 3,
      MATCH(Z$1, _xlpm.joueurs, 0) + 1
    )
  ), ""
)</f>
        <v/>
      </c>
      <c r="AA99" t="str" cm="1">
        <f t="array" ref="AA99">IFERROR(
  _xlfn.LET(
    _xlpm.ligpartie, MATCH($B98, Donnees!$F:$F, 0),
    _xlpm.joueurs, INDEX(Donnees!$A:$Z, _xlpm.ligpartie+1, _xlfn.SEQUENCE(1, 4, 2)),
    INDEX(
      Donnees!$A:$Z,
      _xlpm.ligpartie + 3,
      MATCH(AA$1, _xlpm.joueurs, 0) + 1
    )
  ), ""
)</f>
        <v/>
      </c>
      <c r="AB99" t="str" cm="1">
        <f t="array" ref="AB99">IFERROR(
  _xlfn.LET(
    _xlpm.ligpartie, MATCH($B98, Donnees!$F:$F, 0),
    _xlpm.joueurs, INDEX(Donnees!$A:$Z, _xlpm.ligpartie+1, _xlfn.SEQUENCE(1, 4, 2)),
    INDEX(
      Donnees!$A:$Z,
      _xlpm.ligpartie + 3,
      MATCH(AB$1, _xlpm.joueurs, 0) + 1
    )
  ), ""
)</f>
        <v/>
      </c>
      <c r="AC99" t="str" cm="1">
        <f t="array" ref="AC99">IFERROR(
  _xlfn.LET(
    _xlpm.ligpartie, MATCH($B98, Donnees!$F:$F, 0),
    _xlpm.joueurs, INDEX(Donnees!$A:$Z, _xlpm.ligpartie+1, _xlfn.SEQUENCE(1, 4, 2)),
    INDEX(
      Donnees!$A:$Z,
      _xlpm.ligpartie + 3,
      MATCH(AC$1, _xlpm.joueurs, 0) + 1
    )
  ), ""
)</f>
        <v/>
      </c>
      <c r="AD99" t="str" cm="1">
        <f t="array" ref="AD99">IFERROR(
  _xlfn.LET(
    _xlpm.ligpartie, MATCH($B98, Donnees!$F:$F, 0),
    _xlpm.joueurs, INDEX(Donnees!$A:$Z, _xlpm.ligpartie+1, _xlfn.SEQUENCE(1, 4, 2)),
    INDEX(
      Donnees!$A:$Z,
      _xlpm.ligpartie + 3,
      MATCH(AD$1, _xlpm.joueurs, 0) + 1
    )
  ), ""
)</f>
        <v/>
      </c>
      <c r="AE99" t="str" cm="1">
        <f t="array" ref="AE99">IFERROR(
  _xlfn.LET(
    _xlpm.ligpartie, MATCH($B98, Donnees!$F:$F, 0),
    _xlpm.joueurs, INDEX(Donnees!$A:$Z, _xlpm.ligpartie+1, _xlfn.SEQUENCE(1, 4, 2)),
    INDEX(
      Donnees!$A:$Z,
      _xlpm.ligpartie + 3,
      MATCH(AE$1, _xlpm.joueurs, 0) + 1
    )
  ), ""
)</f>
        <v/>
      </c>
      <c r="AF99" t="str" cm="1">
        <f t="array" ref="AF99">IFERROR(
  _xlfn.LET(
    _xlpm.ligpartie, MATCH($B98, Donnees!$F:$F, 0),
    _xlpm.joueurs, INDEX(Donnees!$A:$Z, _xlpm.ligpartie+1, _xlfn.SEQUENCE(1, 4, 2)),
    INDEX(
      Donnees!$A:$Z,
      _xlpm.ligpartie + 3,
      MATCH(AF$1, _xlpm.joueurs, 0) + 1
    )
  ), ""
)</f>
        <v/>
      </c>
      <c r="AG99" t="str" cm="1">
        <f t="array" ref="AG99">IFERROR(
  _xlfn.LET(
    _xlpm.ligpartie, MATCH($B98, Donnees!$F:$F, 0),
    _xlpm.joueurs, INDEX(Donnees!$A:$Z, _xlpm.ligpartie+1, _xlfn.SEQUENCE(1, 4, 2)),
    INDEX(
      Donnees!$A:$Z,
      _xlpm.ligpartie + 3,
      MATCH(AG$1, _xlpm.joueurs, 0) + 1
    )
  ), ""
)</f>
        <v/>
      </c>
      <c r="AH99" t="str" cm="1">
        <f t="array" ref="AH99">IFERROR(
  _xlfn.LET(
    _xlpm.ligpartie, MATCH($B98, Donnees!$F:$F, 0),
    _xlpm.joueurs, INDEX(Donnees!$A:$Z, _xlpm.ligpartie+1, _xlfn.SEQUENCE(1, 4, 2)),
    INDEX(
      Donnees!$A:$Z,
      _xlpm.ligpartie + 3,
      MATCH(AH$1, _xlpm.joueurs, 0) + 1
    )
  ), ""
)</f>
        <v/>
      </c>
      <c r="AI99" t="str" cm="1">
        <f t="array" ref="AI99">IFERROR(
  _xlfn.LET(
    _xlpm.ligpartie, MATCH($B98, Donnees!$F:$F, 0),
    _xlpm.joueurs, INDEX(Donnees!$A:$Z, _xlpm.ligpartie+1, _xlfn.SEQUENCE(1, 4, 2)),
    INDEX(
      Donnees!$A:$Z,
      _xlpm.ligpartie + 3,
      MATCH(AI$1, _xlpm.joueurs, 0) + 1
    )
  ), ""
)</f>
        <v/>
      </c>
      <c r="AJ99" t="str" cm="1">
        <f t="array" ref="AJ99">IFERROR(
  _xlfn.LET(
    _xlpm.ligpartie, MATCH($B98, Donnees!$F:$F, 0),
    _xlpm.joueurs, INDEX(Donnees!$A:$Z, _xlpm.ligpartie+1, _xlfn.SEQUENCE(1, 4, 2)),
    INDEX(
      Donnees!$A:$Z,
      _xlpm.ligpartie + 3,
      MATCH(AJ$1, _xlpm.joueurs, 0) + 1
    )
  ), ""
)</f>
        <v/>
      </c>
      <c r="AK99" t="str" cm="1">
        <f t="array" ref="AK99">IFERROR(
  _xlfn.LET(
    _xlpm.ligpartie, MATCH($B98, Donnees!$F:$F, 0),
    _xlpm.joueurs, INDEX(Donnees!$A:$Z, _xlpm.ligpartie+1, _xlfn.SEQUENCE(1, 4, 2)),
    INDEX(
      Donnees!$A:$Z,
      _xlpm.ligpartie + 3,
      MATCH(AK$1, _xlpm.joueurs, 0) + 1
    )
  ), ""
)</f>
        <v/>
      </c>
      <c r="AL99" t="str" cm="1">
        <f t="array" ref="AL99">IFERROR(
  _xlfn.LET(
    _xlpm.ligpartie, MATCH($B98, Donnees!$F:$F, 0),
    _xlpm.joueurs, INDEX(Donnees!$A:$Z, _xlpm.ligpartie+1, _xlfn.SEQUENCE(1, 4, 2)),
    INDEX(
      Donnees!$A:$Z,
      _xlpm.ligpartie + 3,
      MATCH(AL$1, _xlpm.joueurs, 0) + 1
    )
  ), ""
)</f>
        <v/>
      </c>
      <c r="AM99" t="str" cm="1">
        <f t="array" ref="AM99">IFERROR(
  _xlfn.LET(
    _xlpm.ligpartie, MATCH($B98, Donnees!$F:$F, 0),
    _xlpm.joueurs, INDEX(Donnees!$A:$Z, _xlpm.ligpartie+1, _xlfn.SEQUENCE(1, 4, 2)),
    INDEX(
      Donnees!$A:$Z,
      _xlpm.ligpartie + 3,
      MATCH(AM$1, _xlpm.joueurs, 0) + 1
    )
  ), ""
)</f>
        <v/>
      </c>
    </row>
    <row r="100" spans="1:39" x14ac:dyDescent="0.25">
      <c r="A100" t="s">
        <v>20</v>
      </c>
      <c r="D100" t="str" cm="1">
        <f t="array" ref="D100">_xlfn.LET(
  _xlpm.colj, _xlfn._xlws.FILTER(IF(ISNUMBER(99:99), COLUMN(99:99)), ISNUMBER(99:99)),
  _xlpm.elos, INDEX(98:98,1,_xlpm.colj),
  _xlpm.diffscale, Constantes!$B$2,
  IF(D99="",
    "",
    SUM(1/(1+POWER(10,-(D98-_xlpm.elos)/_xlpm.diffscale)))-0.5)
)</f>
        <v/>
      </c>
      <c r="E100" t="str" cm="1">
        <f t="array" ref="E100">_xlfn.LET(
  _xlpm.colj, _xlfn._xlws.FILTER(IF(ISNUMBER(99:99), COLUMN(99:99)), ISNUMBER(99:99)),
  _xlpm.elos, INDEX(98:98,1,_xlpm.colj),
  _xlpm.diffscale, Constantes!$B$2,
  IF(E99="",
    "",
    SUM(1/(1+POWER(10,-(E98-_xlpm.elos)/_xlpm.diffscale)))-0.5)
)</f>
        <v/>
      </c>
      <c r="F100" cm="1">
        <f t="array" ref="F100">_xlfn.LET(
  _xlpm.colj, _xlfn._xlws.FILTER(IF(ISNUMBER(99:99), COLUMN(99:99)), ISNUMBER(99:99)),
  _xlpm.elos, INDEX(98:98,1,_xlpm.colj),
  _xlpm.diffscale, Constantes!$B$2,
  IF(F99="",
    "",
    SUM(1/(1+POWER(10,-(F98-_xlpm.elos)/_xlpm.diffscale)))-0.5)
)</f>
        <v>1.6610860109952026</v>
      </c>
      <c r="G100" t="str" cm="1">
        <f t="array" ref="G100">_xlfn.LET(
  _xlpm.colj, _xlfn._xlws.FILTER(IF(ISNUMBER(99:99), COLUMN(99:99)), ISNUMBER(99:99)),
  _xlpm.elos, INDEX(98:98,1,_xlpm.colj),
  _xlpm.diffscale, Constantes!$B$2,
  IF(G99="",
    "",
    SUM(1/(1+POWER(10,-(G98-_xlpm.elos)/_xlpm.diffscale)))-0.5)
)</f>
        <v/>
      </c>
      <c r="H100" t="str" cm="1">
        <f t="array" ref="H100">_xlfn.LET(
  _xlpm.colj, _xlfn._xlws.FILTER(IF(ISNUMBER(99:99), COLUMN(99:99)), ISNUMBER(99:99)),
  _xlpm.elos, INDEX(98:98,1,_xlpm.colj),
  _xlpm.diffscale, Constantes!$B$2,
  IF(H99="",
    "",
    SUM(1/(1+POWER(10,-(H98-_xlpm.elos)/_xlpm.diffscale)))-0.5)
)</f>
        <v/>
      </c>
      <c r="I100" t="str" cm="1">
        <f t="array" ref="I100">_xlfn.LET(
  _xlpm.colj, _xlfn._xlws.FILTER(IF(ISNUMBER(99:99), COLUMN(99:99)), ISNUMBER(99:99)),
  _xlpm.elos, INDEX(98:98,1,_xlpm.colj),
  _xlpm.diffscale, Constantes!$B$2,
  IF(I99="",
    "",
    SUM(1/(1+POWER(10,-(I98-_xlpm.elos)/_xlpm.diffscale)))-0.5)
)</f>
        <v/>
      </c>
      <c r="J100" t="str" cm="1">
        <f t="array" ref="J100">_xlfn.LET(
  _xlpm.colj, _xlfn._xlws.FILTER(IF(ISNUMBER(99:99), COLUMN(99:99)), ISNUMBER(99:99)),
  _xlpm.elos, INDEX(98:98,1,_xlpm.colj),
  _xlpm.diffscale, Constantes!$B$2,
  IF(J99="",
    "",
    SUM(1/(1+POWER(10,-(J98-_xlpm.elos)/_xlpm.diffscale)))-0.5)
)</f>
        <v/>
      </c>
      <c r="K100" t="str" cm="1">
        <f t="array" ref="K100">_xlfn.LET(
  _xlpm.colj, _xlfn._xlws.FILTER(IF(ISNUMBER(99:99), COLUMN(99:99)), ISNUMBER(99:99)),
  _xlpm.elos, INDEX(98:98,1,_xlpm.colj),
  _xlpm.diffscale, Constantes!$B$2,
  IF(K99="",
    "",
    SUM(1/(1+POWER(10,-(K98-_xlpm.elos)/_xlpm.diffscale)))-0.5)
)</f>
        <v/>
      </c>
      <c r="L100" cm="1">
        <f t="array" ref="L100">_xlfn.LET(
  _xlpm.colj, _xlfn._xlws.FILTER(IF(ISNUMBER(99:99), COLUMN(99:99)), ISNUMBER(99:99)),
  _xlpm.elos, INDEX(98:98,1,_xlpm.colj),
  _xlpm.diffscale, Constantes!$B$2,
  IF(L99="",
    "",
    SUM(1/(1+POWER(10,-(L98-_xlpm.elos)/_xlpm.diffscale)))-0.5)
)</f>
        <v>1.3933545649971624</v>
      </c>
      <c r="M100" t="str" cm="1">
        <f t="array" ref="M100">_xlfn.LET(
  _xlpm.colj, _xlfn._xlws.FILTER(IF(ISNUMBER(99:99), COLUMN(99:99)), ISNUMBER(99:99)),
  _xlpm.elos, INDEX(98:98,1,_xlpm.colj),
  _xlpm.diffscale, Constantes!$B$2,
  IF(M99="",
    "",
    SUM(1/(1+POWER(10,-(M98-_xlpm.elos)/_xlpm.diffscale)))-0.5)
)</f>
        <v/>
      </c>
      <c r="N100" t="str" cm="1">
        <f t="array" ref="N100">_xlfn.LET(
  _xlpm.colj, _xlfn._xlws.FILTER(IF(ISNUMBER(99:99), COLUMN(99:99)), ISNUMBER(99:99)),
  _xlpm.elos, INDEX(98:98,1,_xlpm.colj),
  _xlpm.diffscale, Constantes!$B$2,
  IF(N99="",
    "",
    SUM(1/(1+POWER(10,-(N98-_xlpm.elos)/_xlpm.diffscale)))-0.5)
)</f>
        <v/>
      </c>
      <c r="O100" t="str" cm="1">
        <f t="array" ref="O100">_xlfn.LET(
  _xlpm.colj, _xlfn._xlws.FILTER(IF(ISNUMBER(99:99), COLUMN(99:99)), ISNUMBER(99:99)),
  _xlpm.elos, INDEX(98:98,1,_xlpm.colj),
  _xlpm.diffscale, Constantes!$B$2,
  IF(O99="",
    "",
    SUM(1/(1+POWER(10,-(O98-_xlpm.elos)/_xlpm.diffscale)))-0.5)
)</f>
        <v/>
      </c>
      <c r="P100" t="str" cm="1">
        <f t="array" ref="P100">_xlfn.LET(
  _xlpm.colj, _xlfn._xlws.FILTER(IF(ISNUMBER(99:99), COLUMN(99:99)), ISNUMBER(99:99)),
  _xlpm.elos, INDEX(98:98,1,_xlpm.colj),
  _xlpm.diffscale, Constantes!$B$2,
  IF(P99="",
    "",
    SUM(1/(1+POWER(10,-(P98-_xlpm.elos)/_xlpm.diffscale)))-0.5)
)</f>
        <v/>
      </c>
      <c r="Q100" t="str" cm="1">
        <f t="array" ref="Q100">_xlfn.LET(
  _xlpm.colj, _xlfn._xlws.FILTER(IF(ISNUMBER(99:99), COLUMN(99:99)), ISNUMBER(99:99)),
  _xlpm.elos, INDEX(98:98,1,_xlpm.colj),
  _xlpm.diffscale, Constantes!$B$2,
  IF(Q99="",
    "",
    SUM(1/(1+POWER(10,-(Q98-_xlpm.elos)/_xlpm.diffscale)))-0.5)
)</f>
        <v/>
      </c>
      <c r="R100" t="str" cm="1">
        <f t="array" ref="R100">_xlfn.LET(
  _xlpm.colj, _xlfn._xlws.FILTER(IF(ISNUMBER(99:99), COLUMN(99:99)), ISNUMBER(99:99)),
  _xlpm.elos, INDEX(98:98,1,_xlpm.colj),
  _xlpm.diffscale, Constantes!$B$2,
  IF(R99="",
    "",
    SUM(1/(1+POWER(10,-(R98-_xlpm.elos)/_xlpm.diffscale)))-0.5)
)</f>
        <v/>
      </c>
      <c r="S100" cm="1">
        <f t="array" ref="S100">_xlfn.LET(
  _xlpm.colj, _xlfn._xlws.FILTER(IF(ISNUMBER(99:99), COLUMN(99:99)), ISNUMBER(99:99)),
  _xlpm.elos, INDEX(98:98,1,_xlpm.colj),
  _xlpm.diffscale, Constantes!$B$2,
  IF(S99="",
    "",
    SUM(1/(1+POWER(10,-(S98-_xlpm.elos)/_xlpm.diffscale)))-0.5)
)</f>
        <v>1.6996359502846907</v>
      </c>
      <c r="T100" t="str" cm="1">
        <f t="array" ref="T100">_xlfn.LET(
  _xlpm.colj, _xlfn._xlws.FILTER(IF(ISNUMBER(99:99), COLUMN(99:99)), ISNUMBER(99:99)),
  _xlpm.elos, INDEX(98:98,1,_xlpm.colj),
  _xlpm.diffscale, Constantes!$B$2,
  IF(T99="",
    "",
    SUM(1/(1+POWER(10,-(T98-_xlpm.elos)/_xlpm.diffscale)))-0.5)
)</f>
        <v/>
      </c>
      <c r="U100" t="str" cm="1">
        <f t="array" ref="U100">_xlfn.LET(
  _xlpm.colj, _xlfn._xlws.FILTER(IF(ISNUMBER(99:99), COLUMN(99:99)), ISNUMBER(99:99)),
  _xlpm.elos, INDEX(98:98,1,_xlpm.colj),
  _xlpm.diffscale, Constantes!$B$2,
  IF(U99="",
    "",
    SUM(1/(1+POWER(10,-(U98-_xlpm.elos)/_xlpm.diffscale)))-0.5)
)</f>
        <v/>
      </c>
      <c r="V100" t="str" cm="1">
        <f t="array" ref="V100">_xlfn.LET(
  _xlpm.colj, _xlfn._xlws.FILTER(IF(ISNUMBER(99:99), COLUMN(99:99)), ISNUMBER(99:99)),
  _xlpm.elos, INDEX(98:98,1,_xlpm.colj),
  _xlpm.diffscale, Constantes!$B$2,
  IF(V99="",
    "",
    SUM(1/(1+POWER(10,-(V98-_xlpm.elos)/_xlpm.diffscale)))-0.5)
)</f>
        <v/>
      </c>
      <c r="W100" t="str" cm="1">
        <f t="array" ref="W100">_xlfn.LET(
  _xlpm.colj, _xlfn._xlws.FILTER(IF(ISNUMBER(99:99), COLUMN(99:99)), ISNUMBER(99:99)),
  _xlpm.elos, INDEX(98:98,1,_xlpm.colj),
  _xlpm.diffscale, Constantes!$B$2,
  IF(W99="",
    "",
    SUM(1/(1+POWER(10,-(W98-_xlpm.elos)/_xlpm.diffscale)))-0.5)
)</f>
        <v/>
      </c>
      <c r="X100" cm="1">
        <f t="array" ref="X100">_xlfn.LET(
  _xlpm.colj, _xlfn._xlws.FILTER(IF(ISNUMBER(99:99), COLUMN(99:99)), ISNUMBER(99:99)),
  _xlpm.elos, INDEX(98:98,1,_xlpm.colj),
  _xlpm.diffscale, Constantes!$B$2,
  IF(X99="",
    "",
    SUM(1/(1+POWER(10,-(X98-_xlpm.elos)/_xlpm.diffscale)))-0.5)
)</f>
        <v>1.2459234737229448</v>
      </c>
      <c r="Y100" t="str" cm="1">
        <f t="array" ref="Y100">_xlfn.LET(
  _xlpm.colj, _xlfn._xlws.FILTER(IF(ISNUMBER(99:99), COLUMN(99:99)), ISNUMBER(99:99)),
  _xlpm.elos, INDEX(98:98,1,_xlpm.colj),
  _xlpm.diffscale, Constantes!$B$2,
  IF(Y99="",
    "",
    SUM(1/(1+POWER(10,-(Y98-_xlpm.elos)/_xlpm.diffscale)))-0.5)
)</f>
        <v/>
      </c>
      <c r="Z100" t="str" cm="1">
        <f t="array" ref="Z100">_xlfn.LET(
  _xlpm.colj, _xlfn._xlws.FILTER(IF(ISNUMBER(99:99), COLUMN(99:99)), ISNUMBER(99:99)),
  _xlpm.elos, INDEX(98:98,1,_xlpm.colj),
  _xlpm.diffscale, Constantes!$B$2,
  IF(Z99="",
    "",
    SUM(1/(1+POWER(10,-(Z98-_xlpm.elos)/_xlpm.diffscale)))-0.5)
)</f>
        <v/>
      </c>
      <c r="AA100" t="str" cm="1">
        <f t="array" ref="AA100">_xlfn.LET(
  _xlpm.colj, _xlfn._xlws.FILTER(IF(ISNUMBER(99:99), COLUMN(99:99)), ISNUMBER(99:99)),
  _xlpm.elos, INDEX(98:98,1,_xlpm.colj),
  _xlpm.diffscale, Constantes!$B$2,
  IF(AA99="",
    "",
    SUM(1/(1+POWER(10,-(AA98-_xlpm.elos)/_xlpm.diffscale)))-0.5)
)</f>
        <v/>
      </c>
      <c r="AB100" t="str" cm="1">
        <f t="array" ref="AB100">_xlfn.LET(
  _xlpm.colj, _xlfn._xlws.FILTER(IF(ISNUMBER(99:99), COLUMN(99:99)), ISNUMBER(99:99)),
  _xlpm.elos, INDEX(98:98,1,_xlpm.colj),
  _xlpm.diffscale, Constantes!$B$2,
  IF(AB99="",
    "",
    SUM(1/(1+POWER(10,-(AB98-_xlpm.elos)/_xlpm.diffscale)))-0.5)
)</f>
        <v/>
      </c>
      <c r="AC100" t="str" cm="1">
        <f t="array" ref="AC100">_xlfn.LET(
  _xlpm.colj, _xlfn._xlws.FILTER(IF(ISNUMBER(99:99), COLUMN(99:99)), ISNUMBER(99:99)),
  _xlpm.elos, INDEX(98:98,1,_xlpm.colj),
  _xlpm.diffscale, Constantes!$B$2,
  IF(AC99="",
    "",
    SUM(1/(1+POWER(10,-(AC98-_xlpm.elos)/_xlpm.diffscale)))-0.5)
)</f>
        <v/>
      </c>
      <c r="AD100" t="str" cm="1">
        <f t="array" ref="AD100">_xlfn.LET(
  _xlpm.colj, _xlfn._xlws.FILTER(IF(ISNUMBER(99:99), COLUMN(99:99)), ISNUMBER(99:99)),
  _xlpm.elos, INDEX(98:98,1,_xlpm.colj),
  _xlpm.diffscale, Constantes!$B$2,
  IF(AD99="",
    "",
    SUM(1/(1+POWER(10,-(AD98-_xlpm.elos)/_xlpm.diffscale)))-0.5)
)</f>
        <v/>
      </c>
      <c r="AE100" t="str" cm="1">
        <f t="array" ref="AE100">_xlfn.LET(
  _xlpm.colj, _xlfn._xlws.FILTER(IF(ISNUMBER(99:99), COLUMN(99:99)), ISNUMBER(99:99)),
  _xlpm.elos, INDEX(98:98,1,_xlpm.colj),
  _xlpm.diffscale, Constantes!$B$2,
  IF(AE99="",
    "",
    SUM(1/(1+POWER(10,-(AE98-_xlpm.elos)/_xlpm.diffscale)))-0.5)
)</f>
        <v/>
      </c>
      <c r="AF100" t="str" cm="1">
        <f t="array" ref="AF100">_xlfn.LET(
  _xlpm.colj, _xlfn._xlws.FILTER(IF(ISNUMBER(99:99), COLUMN(99:99)), ISNUMBER(99:99)),
  _xlpm.elos, INDEX(98:98,1,_xlpm.colj),
  _xlpm.diffscale, Constantes!$B$2,
  IF(AF99="",
    "",
    SUM(1/(1+POWER(10,-(AF98-_xlpm.elos)/_xlpm.diffscale)))-0.5)
)</f>
        <v/>
      </c>
      <c r="AG100" t="str" cm="1">
        <f t="array" ref="AG100">_xlfn.LET(
  _xlpm.colj, _xlfn._xlws.FILTER(IF(ISNUMBER(99:99), COLUMN(99:99)), ISNUMBER(99:99)),
  _xlpm.elos, INDEX(98:98,1,_xlpm.colj),
  _xlpm.diffscale, Constantes!$B$2,
  IF(AG99="",
    "",
    SUM(1/(1+POWER(10,-(AG98-_xlpm.elos)/_xlpm.diffscale)))-0.5)
)</f>
        <v/>
      </c>
      <c r="AH100" t="str" cm="1">
        <f t="array" ref="AH100">_xlfn.LET(
  _xlpm.colj, _xlfn._xlws.FILTER(IF(ISNUMBER(99:99), COLUMN(99:99)), ISNUMBER(99:99)),
  _xlpm.elos, INDEX(98:98,1,_xlpm.colj),
  _xlpm.diffscale, Constantes!$B$2,
  IF(AH99="",
    "",
    SUM(1/(1+POWER(10,-(AH98-_xlpm.elos)/_xlpm.diffscale)))-0.5)
)</f>
        <v/>
      </c>
      <c r="AI100" t="str" cm="1">
        <f t="array" ref="AI100">_xlfn.LET(
  _xlpm.colj, _xlfn._xlws.FILTER(IF(ISNUMBER(99:99), COLUMN(99:99)), ISNUMBER(99:99)),
  _xlpm.elos, INDEX(98:98,1,_xlpm.colj),
  _xlpm.diffscale, Constantes!$B$2,
  IF(AI99="",
    "",
    SUM(1/(1+POWER(10,-(AI98-_xlpm.elos)/_xlpm.diffscale)))-0.5)
)</f>
        <v/>
      </c>
      <c r="AJ100" t="str" cm="1">
        <f t="array" ref="AJ100">_xlfn.LET(
  _xlpm.colj, _xlfn._xlws.FILTER(IF(ISNUMBER(99:99), COLUMN(99:99)), ISNUMBER(99:99)),
  _xlpm.elos, INDEX(98:98,1,_xlpm.colj),
  _xlpm.diffscale, Constantes!$B$2,
  IF(AJ99="",
    "",
    SUM(1/(1+POWER(10,-(AJ98-_xlpm.elos)/_xlpm.diffscale)))-0.5)
)</f>
        <v/>
      </c>
      <c r="AK100" t="str" cm="1">
        <f t="array" ref="AK100">_xlfn.LET(
  _xlpm.colj, _xlfn._xlws.FILTER(IF(ISNUMBER(99:99), COLUMN(99:99)), ISNUMBER(99:99)),
  _xlpm.elos, INDEX(98:98,1,_xlpm.colj),
  _xlpm.diffscale, Constantes!$B$2,
  IF(AK99="",
    "",
    SUM(1/(1+POWER(10,-(AK98-_xlpm.elos)/_xlpm.diffscale)))-0.5)
)</f>
        <v/>
      </c>
      <c r="AL100" t="str" cm="1">
        <f t="array" ref="AL100">_xlfn.LET(
  _xlpm.colj, _xlfn._xlws.FILTER(IF(ISNUMBER(99:99), COLUMN(99:99)), ISNUMBER(99:99)),
  _xlpm.elos, INDEX(98:98,1,_xlpm.colj),
  _xlpm.diffscale, Constantes!$B$2,
  IF(AL99="",
    "",
    SUM(1/(1+POWER(10,-(AL98-_xlpm.elos)/_xlpm.diffscale)))-0.5)
)</f>
        <v/>
      </c>
      <c r="AM100" t="str" cm="1">
        <f t="array" ref="AM100">_xlfn.LET(
  _xlpm.colj, _xlfn._xlws.FILTER(IF(ISNUMBER(99:99), COLUMN(99:99)), ISNUMBER(99:99)),
  _xlpm.elos, INDEX(98:98,1,_xlpm.colj),
  _xlpm.diffscale, Constantes!$B$2,
  IF(AM99="",
    "",
    SUM(1/(1+POWER(10,-(AM98-_xlpm.elos)/_xlpm.diffscale)))-0.5)
)</f>
        <v/>
      </c>
    </row>
    <row r="101" spans="1:39" x14ac:dyDescent="0.25">
      <c r="A101" t="s">
        <v>22</v>
      </c>
      <c r="D101" t="str" cm="1">
        <f t="array" ref="D101">_xlfn.LET(
  _xlpm.K, Constantes!$B$3,
  _xlpm.Knewgain, Constantes!$B$4,
  _xlpm.Knewscale, Constantes!$B$5,
  _xlpm.ptstables, INDEX(D:D, _xlfn.SEQUENCE(COUNTA($C$2:$C101), 1, 3, 4)),
  _xlpm.nbparties, COUNTA(_xlfn._xlws.FILTER(_xlpm.ptstables, _xlpm.ptstables &lt;&gt; "")),
  _xlpm.coef, _xlpm.K + _xlpm.Knewgain / (_xlpm.Knewscale + _xlpm.nbparties),
  IF(D99="",
    "",
    _xlpm.coef * (D99-D100))
)</f>
        <v/>
      </c>
      <c r="E101" t="str" cm="1">
        <f t="array" ref="E101">_xlfn.LET(
  _xlpm.K, Constantes!$B$3,
  _xlpm.Knewgain, Constantes!$B$4,
  _xlpm.Knewscale, Constantes!$B$5,
  _xlpm.ptstables, INDEX(E:E, _xlfn.SEQUENCE(COUNTA($C$2:$C101), 1, 3, 4)),
  _xlpm.nbparties, COUNTA(_xlfn._xlws.FILTER(_xlpm.ptstables, _xlpm.ptstables &lt;&gt; "")),
  _xlpm.coef, _xlpm.K + _xlpm.Knewgain / (_xlpm.Knewscale + _xlpm.nbparties),
  IF(E99="",
    "",
    _xlpm.coef * (E99-E100))
)</f>
        <v/>
      </c>
      <c r="F101" cm="1">
        <f t="array" ref="F101">_xlfn.LET(
  _xlpm.K, Constantes!$B$3,
  _xlpm.Knewgain, Constantes!$B$4,
  _xlpm.Knewscale, Constantes!$B$5,
  _xlpm.ptstables, INDEX(F:F, _xlfn.SEQUENCE(COUNTA($C$2:$C101), 1, 3, 4)),
  _xlpm.nbparties, COUNTA(_xlfn._xlws.FILTER(_xlpm.ptstables, _xlpm.ptstables &lt;&gt; "")),
  _xlpm.coef, _xlpm.K + _xlpm.Knewgain / (_xlpm.Knewscale + _xlpm.nbparties),
  IF(F99="",
    "",
    _xlpm.coef * (F99-F100))
)</f>
        <v>-16.894420280988513</v>
      </c>
      <c r="G101" t="str" cm="1">
        <f t="array" ref="G101">_xlfn.LET(
  _xlpm.K, Constantes!$B$3,
  _xlpm.Knewgain, Constantes!$B$4,
  _xlpm.Knewscale, Constantes!$B$5,
  _xlpm.ptstables, INDEX(G:G, _xlfn.SEQUENCE(COUNTA($C$2:$C101), 1, 3, 4)),
  _xlpm.nbparties, COUNTA(_xlfn._xlws.FILTER(_xlpm.ptstables, _xlpm.ptstables &lt;&gt; "")),
  _xlpm.coef, _xlpm.K + _xlpm.Knewgain / (_xlpm.Knewscale + _xlpm.nbparties),
  IF(G99="",
    "",
    _xlpm.coef * (G99-G100))
)</f>
        <v/>
      </c>
      <c r="H101" t="str" cm="1">
        <f t="array" ref="H101">_xlfn.LET(
  _xlpm.K, Constantes!$B$3,
  _xlpm.Knewgain, Constantes!$B$4,
  _xlpm.Knewscale, Constantes!$B$5,
  _xlpm.ptstables, INDEX(H:H, _xlfn.SEQUENCE(COUNTA($C$2:$C101), 1, 3, 4)),
  _xlpm.nbparties, COUNTA(_xlfn._xlws.FILTER(_xlpm.ptstables, _xlpm.ptstables &lt;&gt; "")),
  _xlpm.coef, _xlpm.K + _xlpm.Knewgain / (_xlpm.Knewscale + _xlpm.nbparties),
  IF(H99="",
    "",
    _xlpm.coef * (H99-H100))
)</f>
        <v/>
      </c>
      <c r="I101" t="str" cm="1">
        <f t="array" ref="I101">_xlfn.LET(
  _xlpm.K, Constantes!$B$3,
  _xlpm.Knewgain, Constantes!$B$4,
  _xlpm.Knewscale, Constantes!$B$5,
  _xlpm.ptstables, INDEX(I:I, _xlfn.SEQUENCE(COUNTA($C$2:$C101), 1, 3, 4)),
  _xlpm.nbparties, COUNTA(_xlfn._xlws.FILTER(_xlpm.ptstables, _xlpm.ptstables &lt;&gt; "")),
  _xlpm.coef, _xlpm.K + _xlpm.Knewgain / (_xlpm.Knewscale + _xlpm.nbparties),
  IF(I99="",
    "",
    _xlpm.coef * (I99-I100))
)</f>
        <v/>
      </c>
      <c r="J101" t="str" cm="1">
        <f t="array" ref="J101">_xlfn.LET(
  _xlpm.K, Constantes!$B$3,
  _xlpm.Knewgain, Constantes!$B$4,
  _xlpm.Knewscale, Constantes!$B$5,
  _xlpm.ptstables, INDEX(J:J, _xlfn.SEQUENCE(COUNTA($C$2:$C101), 1, 3, 4)),
  _xlpm.nbparties, COUNTA(_xlfn._xlws.FILTER(_xlpm.ptstables, _xlpm.ptstables &lt;&gt; "")),
  _xlpm.coef, _xlpm.K + _xlpm.Knewgain / (_xlpm.Knewscale + _xlpm.nbparties),
  IF(J99="",
    "",
    _xlpm.coef * (J99-J100))
)</f>
        <v/>
      </c>
      <c r="K101" t="str" cm="1">
        <f t="array" ref="K101">_xlfn.LET(
  _xlpm.K, Constantes!$B$3,
  _xlpm.Knewgain, Constantes!$B$4,
  _xlpm.Knewscale, Constantes!$B$5,
  _xlpm.ptstables, INDEX(K:K, _xlfn.SEQUENCE(COUNTA($C$2:$C101), 1, 3, 4)),
  _xlpm.nbparties, COUNTA(_xlfn._xlws.FILTER(_xlpm.ptstables, _xlpm.ptstables &lt;&gt; "")),
  _xlpm.coef, _xlpm.K + _xlpm.Knewgain / (_xlpm.Knewscale + _xlpm.nbparties),
  IF(K99="",
    "",
    _xlpm.coef * (K99-K100))
)</f>
        <v/>
      </c>
      <c r="L101" cm="1">
        <f t="array" ref="L101">_xlfn.LET(
  _xlpm.K, Constantes!$B$3,
  _xlpm.Knewgain, Constantes!$B$4,
  _xlpm.Knewscale, Constantes!$B$5,
  _xlpm.ptstables, INDEX(L:L, _xlfn.SEQUENCE(COUNTA($C$2:$C101), 1, 3, 4)),
  _xlpm.nbparties, COUNTA(_xlfn._xlws.FILTER(_xlpm.ptstables, _xlpm.ptstables &lt;&gt; "")),
  _xlpm.coef, _xlpm.K + _xlpm.Knewgain / (_xlpm.Knewscale + _xlpm.nbparties),
  IF(L99="",
    "",
    _xlpm.coef * (L99-L100))
)</f>
        <v>-45.28402336240778</v>
      </c>
      <c r="M101" t="str" cm="1">
        <f t="array" ref="M101">_xlfn.LET(
  _xlpm.K, Constantes!$B$3,
  _xlpm.Knewgain, Constantes!$B$4,
  _xlpm.Knewscale, Constantes!$B$5,
  _xlpm.ptstables, INDEX(M:M, _xlfn.SEQUENCE(COUNTA($C$2:$C101), 1, 3, 4)),
  _xlpm.nbparties, COUNTA(_xlfn._xlws.FILTER(_xlpm.ptstables, _xlpm.ptstables &lt;&gt; "")),
  _xlpm.coef, _xlpm.K + _xlpm.Knewgain / (_xlpm.Knewscale + _xlpm.nbparties),
  IF(M99="",
    "",
    _xlpm.coef * (M99-M100))
)</f>
        <v/>
      </c>
      <c r="N101" t="str" cm="1">
        <f t="array" ref="N101">_xlfn.LET(
  _xlpm.K, Constantes!$B$3,
  _xlpm.Knewgain, Constantes!$B$4,
  _xlpm.Knewscale, Constantes!$B$5,
  _xlpm.ptstables, INDEX(N:N, _xlfn.SEQUENCE(COUNTA($C$2:$C101), 1, 3, 4)),
  _xlpm.nbparties, COUNTA(_xlfn._xlws.FILTER(_xlpm.ptstables, _xlpm.ptstables &lt;&gt; "")),
  _xlpm.coef, _xlpm.K + _xlpm.Knewgain / (_xlpm.Knewscale + _xlpm.nbparties),
  IF(N99="",
    "",
    _xlpm.coef * (N99-N100))
)</f>
        <v/>
      </c>
      <c r="O101" t="str" cm="1">
        <f t="array" ref="O101">_xlfn.LET(
  _xlpm.K, Constantes!$B$3,
  _xlpm.Knewgain, Constantes!$B$4,
  _xlpm.Knewscale, Constantes!$B$5,
  _xlpm.ptstables, INDEX(O:O, _xlfn.SEQUENCE(COUNTA($C$2:$C101), 1, 3, 4)),
  _xlpm.nbparties, COUNTA(_xlfn._xlws.FILTER(_xlpm.ptstables, _xlpm.ptstables &lt;&gt; "")),
  _xlpm.coef, _xlpm.K + _xlpm.Knewgain / (_xlpm.Knewscale + _xlpm.nbparties),
  IF(O99="",
    "",
    _xlpm.coef * (O99-O100))
)</f>
        <v/>
      </c>
      <c r="P101" t="str" cm="1">
        <f t="array" ref="P101">_xlfn.LET(
  _xlpm.K, Constantes!$B$3,
  _xlpm.Knewgain, Constantes!$B$4,
  _xlpm.Knewscale, Constantes!$B$5,
  _xlpm.ptstables, INDEX(P:P, _xlfn.SEQUENCE(COUNTA($C$2:$C101), 1, 3, 4)),
  _xlpm.nbparties, COUNTA(_xlfn._xlws.FILTER(_xlpm.ptstables, _xlpm.ptstables &lt;&gt; "")),
  _xlpm.coef, _xlpm.K + _xlpm.Knewgain / (_xlpm.Knewscale + _xlpm.nbparties),
  IF(P99="",
    "",
    _xlpm.coef * (P99-P100))
)</f>
        <v/>
      </c>
      <c r="Q101" t="str" cm="1">
        <f t="array" ref="Q101">_xlfn.LET(
  _xlpm.K, Constantes!$B$3,
  _xlpm.Knewgain, Constantes!$B$4,
  _xlpm.Knewscale, Constantes!$B$5,
  _xlpm.ptstables, INDEX(Q:Q, _xlfn.SEQUENCE(COUNTA($C$2:$C101), 1, 3, 4)),
  _xlpm.nbparties, COUNTA(_xlfn._xlws.FILTER(_xlpm.ptstables, _xlpm.ptstables &lt;&gt; "")),
  _xlpm.coef, _xlpm.K + _xlpm.Knewgain / (_xlpm.Knewscale + _xlpm.nbparties),
  IF(Q99="",
    "",
    _xlpm.coef * (Q99-Q100))
)</f>
        <v/>
      </c>
      <c r="R101" t="str" cm="1">
        <f t="array" ref="R101">_xlfn.LET(
  _xlpm.K, Constantes!$B$3,
  _xlpm.Knewgain, Constantes!$B$4,
  _xlpm.Knewscale, Constantes!$B$5,
  _xlpm.ptstables, INDEX(R:R, _xlfn.SEQUENCE(COUNTA($C$2:$C101), 1, 3, 4)),
  _xlpm.nbparties, COUNTA(_xlfn._xlws.FILTER(_xlpm.ptstables, _xlpm.ptstables &lt;&gt; "")),
  _xlpm.coef, _xlpm.K + _xlpm.Knewgain / (_xlpm.Knewscale + _xlpm.nbparties),
  IF(R99="",
    "",
    _xlpm.coef * (R99-R100))
)</f>
        <v/>
      </c>
      <c r="S101" cm="1">
        <f t="array" ref="S101">_xlfn.LET(
  _xlpm.K, Constantes!$B$3,
  _xlpm.Knewgain, Constantes!$B$4,
  _xlpm.Knewscale, Constantes!$B$5,
  _xlpm.ptstables, INDEX(S:S, _xlfn.SEQUENCE(COUNTA($C$2:$C101), 1, 3, 4)),
  _xlpm.nbparties, COUNTA(_xlfn._xlws.FILTER(_xlpm.ptstables, _xlpm.ptstables &lt;&gt; "")),
  _xlpm.coef, _xlpm.K + _xlpm.Knewgain / (_xlpm.Knewscale + _xlpm.nbparties),
  IF(S99="",
    "",
    _xlpm.coef * (S99-S100))
)</f>
        <v>35.295595635129821</v>
      </c>
      <c r="T101" t="str" cm="1">
        <f t="array" ref="T101">_xlfn.LET(
  _xlpm.K, Constantes!$B$3,
  _xlpm.Knewgain, Constantes!$B$4,
  _xlpm.Knewscale, Constantes!$B$5,
  _xlpm.ptstables, INDEX(T:T, _xlfn.SEQUENCE(COUNTA($C$2:$C101), 1, 3, 4)),
  _xlpm.nbparties, COUNTA(_xlfn._xlws.FILTER(_xlpm.ptstables, _xlpm.ptstables &lt;&gt; "")),
  _xlpm.coef, _xlpm.K + _xlpm.Knewgain / (_xlpm.Knewscale + _xlpm.nbparties),
  IF(T99="",
    "",
    _xlpm.coef * (T99-T100))
)</f>
        <v/>
      </c>
      <c r="U101" t="str" cm="1">
        <f t="array" ref="U101">_xlfn.LET(
  _xlpm.K, Constantes!$B$3,
  _xlpm.Knewgain, Constantes!$B$4,
  _xlpm.Knewscale, Constantes!$B$5,
  _xlpm.ptstables, INDEX(U:U, _xlfn.SEQUENCE(COUNTA($C$2:$C101), 1, 3, 4)),
  _xlpm.nbparties, COUNTA(_xlfn._xlws.FILTER(_xlpm.ptstables, _xlpm.ptstables &lt;&gt; "")),
  _xlpm.coef, _xlpm.K + _xlpm.Knewgain / (_xlpm.Knewscale + _xlpm.nbparties),
  IF(U99="",
    "",
    _xlpm.coef * (U99-U100))
)</f>
        <v/>
      </c>
      <c r="V101" t="str" cm="1">
        <f t="array" ref="V101">_xlfn.LET(
  _xlpm.K, Constantes!$B$3,
  _xlpm.Knewgain, Constantes!$B$4,
  _xlpm.Knewscale, Constantes!$B$5,
  _xlpm.ptstables, INDEX(V:V, _xlfn.SEQUENCE(COUNTA($C$2:$C101), 1, 3, 4)),
  _xlpm.nbparties, COUNTA(_xlfn._xlws.FILTER(_xlpm.ptstables, _xlpm.ptstables &lt;&gt; "")),
  _xlpm.coef, _xlpm.K + _xlpm.Knewgain / (_xlpm.Knewscale + _xlpm.nbparties),
  IF(V99="",
    "",
    _xlpm.coef * (V99-V100))
)</f>
        <v/>
      </c>
      <c r="W101" t="str" cm="1">
        <f t="array" ref="W101">_xlfn.LET(
  _xlpm.K, Constantes!$B$3,
  _xlpm.Knewgain, Constantes!$B$4,
  _xlpm.Knewscale, Constantes!$B$5,
  _xlpm.ptstables, INDEX(W:W, _xlfn.SEQUENCE(COUNTA($C$2:$C101), 1, 3, 4)),
  _xlpm.nbparties, COUNTA(_xlfn._xlws.FILTER(_xlpm.ptstables, _xlpm.ptstables &lt;&gt; "")),
  _xlpm.coef, _xlpm.K + _xlpm.Knewgain / (_xlpm.Knewscale + _xlpm.nbparties),
  IF(W99="",
    "",
    _xlpm.coef * (W99-W100))
)</f>
        <v/>
      </c>
      <c r="X101" cm="1">
        <f t="array" ref="X101">_xlfn.LET(
  _xlpm.K, Constantes!$B$3,
  _xlpm.Knewgain, Constantes!$B$4,
  _xlpm.Knewscale, Constantes!$B$5,
  _xlpm.ptstables, INDEX(X:X, _xlfn.SEQUENCE(COUNTA($C$2:$C101), 1, 3, 4)),
  _xlpm.nbparties, COUNTA(_xlfn._xlws.FILTER(_xlpm.ptstables, _xlpm.ptstables &lt;&gt; "")),
  _xlpm.coef, _xlpm.K + _xlpm.Knewgain / (_xlpm.Knewscale + _xlpm.nbparties),
  IF(X99="",
    "",
    _xlpm.coef * (X99-X100))
)</f>
        <v>24.507487104004294</v>
      </c>
      <c r="Y101" t="str" cm="1">
        <f t="array" ref="Y101">_xlfn.LET(
  _xlpm.K, Constantes!$B$3,
  _xlpm.Knewgain, Constantes!$B$4,
  _xlpm.Knewscale, Constantes!$B$5,
  _xlpm.ptstables, INDEX(Y:Y, _xlfn.SEQUENCE(COUNTA($C$2:$C101), 1, 3, 4)),
  _xlpm.nbparties, COUNTA(_xlfn._xlws.FILTER(_xlpm.ptstables, _xlpm.ptstables &lt;&gt; "")),
  _xlpm.coef, _xlpm.K + _xlpm.Knewgain / (_xlpm.Knewscale + _xlpm.nbparties),
  IF(Y99="",
    "",
    _xlpm.coef * (Y99-Y100))
)</f>
        <v/>
      </c>
      <c r="Z101" t="str" cm="1">
        <f t="array" ref="Z101">_xlfn.LET(
  _xlpm.K, Constantes!$B$3,
  _xlpm.Knewgain, Constantes!$B$4,
  _xlpm.Knewscale, Constantes!$B$5,
  _xlpm.ptstables, INDEX(Z:Z, _xlfn.SEQUENCE(COUNTA($C$2:$C101), 1, 3, 4)),
  _xlpm.nbparties, COUNTA(_xlfn._xlws.FILTER(_xlpm.ptstables, _xlpm.ptstables &lt;&gt; "")),
  _xlpm.coef, _xlpm.K + _xlpm.Knewgain / (_xlpm.Knewscale + _xlpm.nbparties),
  IF(Z99="",
    "",
    _xlpm.coef * (Z99-Z100))
)</f>
        <v/>
      </c>
      <c r="AA101" t="str" cm="1">
        <f t="array" ref="AA101">_xlfn.LET(
  _xlpm.K, Constantes!$B$3,
  _xlpm.Knewgain, Constantes!$B$4,
  _xlpm.Knewscale, Constantes!$B$5,
  _xlpm.ptstables, INDEX(AA:AA, _xlfn.SEQUENCE(COUNTA($C$2:$C101), 1, 3, 4)),
  _xlpm.nbparties, COUNTA(_xlfn._xlws.FILTER(_xlpm.ptstables, _xlpm.ptstables &lt;&gt; "")),
  _xlpm.coef, _xlpm.K + _xlpm.Knewgain / (_xlpm.Knewscale + _xlpm.nbparties),
  IF(AA99="",
    "",
    _xlpm.coef * (AA99-AA100))
)</f>
        <v/>
      </c>
      <c r="AB101" t="str" cm="1">
        <f t="array" ref="AB101">_xlfn.LET(
  _xlpm.K, Constantes!$B$3,
  _xlpm.Knewgain, Constantes!$B$4,
  _xlpm.Knewscale, Constantes!$B$5,
  _xlpm.ptstables, INDEX(AB:AB, _xlfn.SEQUENCE(COUNTA($C$2:$C101), 1, 3, 4)),
  _xlpm.nbparties, COUNTA(_xlfn._xlws.FILTER(_xlpm.ptstables, _xlpm.ptstables &lt;&gt; "")),
  _xlpm.coef, _xlpm.K + _xlpm.Knewgain / (_xlpm.Knewscale + _xlpm.nbparties),
  IF(AB99="",
    "",
    _xlpm.coef * (AB99-AB100))
)</f>
        <v/>
      </c>
      <c r="AC101" t="str" cm="1">
        <f t="array" ref="AC101">_xlfn.LET(
  _xlpm.K, Constantes!$B$3,
  _xlpm.Knewgain, Constantes!$B$4,
  _xlpm.Knewscale, Constantes!$B$5,
  _xlpm.ptstables, INDEX(AC:AC, _xlfn.SEQUENCE(COUNTA($C$2:$C101), 1, 3, 4)),
  _xlpm.nbparties, COUNTA(_xlfn._xlws.FILTER(_xlpm.ptstables, _xlpm.ptstables &lt;&gt; "")),
  _xlpm.coef, _xlpm.K + _xlpm.Knewgain / (_xlpm.Knewscale + _xlpm.nbparties),
  IF(AC99="",
    "",
    _xlpm.coef * (AC99-AC100))
)</f>
        <v/>
      </c>
      <c r="AD101" t="str" cm="1">
        <f t="array" ref="AD101">_xlfn.LET(
  _xlpm.K, Constantes!$B$3,
  _xlpm.Knewgain, Constantes!$B$4,
  _xlpm.Knewscale, Constantes!$B$5,
  _xlpm.ptstables, INDEX(AD:AD, _xlfn.SEQUENCE(COUNTA($C$2:$C101), 1, 3, 4)),
  _xlpm.nbparties, COUNTA(_xlfn._xlws.FILTER(_xlpm.ptstables, _xlpm.ptstables &lt;&gt; "")),
  _xlpm.coef, _xlpm.K + _xlpm.Knewgain / (_xlpm.Knewscale + _xlpm.nbparties),
  IF(AD99="",
    "",
    _xlpm.coef * (AD99-AD100))
)</f>
        <v/>
      </c>
      <c r="AE101" t="str" cm="1">
        <f t="array" ref="AE101">_xlfn.LET(
  _xlpm.K, Constantes!$B$3,
  _xlpm.Knewgain, Constantes!$B$4,
  _xlpm.Knewscale, Constantes!$B$5,
  _xlpm.ptstables, INDEX(AE:AE, _xlfn.SEQUENCE(COUNTA($C$2:$C101), 1, 3, 4)),
  _xlpm.nbparties, COUNTA(_xlfn._xlws.FILTER(_xlpm.ptstables, _xlpm.ptstables &lt;&gt; "")),
  _xlpm.coef, _xlpm.K + _xlpm.Knewgain / (_xlpm.Knewscale + _xlpm.nbparties),
  IF(AE99="",
    "",
    _xlpm.coef * (AE99-AE100))
)</f>
        <v/>
      </c>
      <c r="AF101" t="str" cm="1">
        <f t="array" ref="AF101">_xlfn.LET(
  _xlpm.K, Constantes!$B$3,
  _xlpm.Knewgain, Constantes!$B$4,
  _xlpm.Knewscale, Constantes!$B$5,
  _xlpm.ptstables, INDEX(AF:AF, _xlfn.SEQUENCE(COUNTA($C$2:$C101), 1, 3, 4)),
  _xlpm.nbparties, COUNTA(_xlfn._xlws.FILTER(_xlpm.ptstables, _xlpm.ptstables &lt;&gt; "")),
  _xlpm.coef, _xlpm.K + _xlpm.Knewgain / (_xlpm.Knewscale + _xlpm.nbparties),
  IF(AF99="",
    "",
    _xlpm.coef * (AF99-AF100))
)</f>
        <v/>
      </c>
      <c r="AG101" t="str" cm="1">
        <f t="array" ref="AG101">_xlfn.LET(
  _xlpm.K, Constantes!$B$3,
  _xlpm.Knewgain, Constantes!$B$4,
  _xlpm.Knewscale, Constantes!$B$5,
  _xlpm.ptstables, INDEX(AG:AG, _xlfn.SEQUENCE(COUNTA($C$2:$C101), 1, 3, 4)),
  _xlpm.nbparties, COUNTA(_xlfn._xlws.FILTER(_xlpm.ptstables, _xlpm.ptstables &lt;&gt; "")),
  _xlpm.coef, _xlpm.K + _xlpm.Knewgain / (_xlpm.Knewscale + _xlpm.nbparties),
  IF(AG99="",
    "",
    _xlpm.coef * (AG99-AG100))
)</f>
        <v/>
      </c>
      <c r="AH101" t="str" cm="1">
        <f t="array" ref="AH101">_xlfn.LET(
  _xlpm.K, Constantes!$B$3,
  _xlpm.Knewgain, Constantes!$B$4,
  _xlpm.Knewscale, Constantes!$B$5,
  _xlpm.ptstables, INDEX(AH:AH, _xlfn.SEQUENCE(COUNTA($C$2:$C101), 1, 3, 4)),
  _xlpm.nbparties, COUNTA(_xlfn._xlws.FILTER(_xlpm.ptstables, _xlpm.ptstables &lt;&gt; "")),
  _xlpm.coef, _xlpm.K + _xlpm.Knewgain / (_xlpm.Knewscale + _xlpm.nbparties),
  IF(AH99="",
    "",
    _xlpm.coef * (AH99-AH100))
)</f>
        <v/>
      </c>
      <c r="AI101" t="str" cm="1">
        <f t="array" ref="AI101">_xlfn.LET(
  _xlpm.K, Constantes!$B$3,
  _xlpm.Knewgain, Constantes!$B$4,
  _xlpm.Knewscale, Constantes!$B$5,
  _xlpm.ptstables, INDEX(AI:AI, _xlfn.SEQUENCE(COUNTA($C$2:$C101), 1, 3, 4)),
  _xlpm.nbparties, COUNTA(_xlfn._xlws.FILTER(_xlpm.ptstables, _xlpm.ptstables &lt;&gt; "")),
  _xlpm.coef, _xlpm.K + _xlpm.Knewgain / (_xlpm.Knewscale + _xlpm.nbparties),
  IF(AI99="",
    "",
    _xlpm.coef * (AI99-AI100))
)</f>
        <v/>
      </c>
      <c r="AJ101" t="str" cm="1">
        <f t="array" ref="AJ101">_xlfn.LET(
  _xlpm.K, Constantes!$B$3,
  _xlpm.Knewgain, Constantes!$B$4,
  _xlpm.Knewscale, Constantes!$B$5,
  _xlpm.ptstables, INDEX(AJ:AJ, _xlfn.SEQUENCE(COUNTA($C$2:$C101), 1, 3, 4)),
  _xlpm.nbparties, COUNTA(_xlfn._xlws.FILTER(_xlpm.ptstables, _xlpm.ptstables &lt;&gt; "")),
  _xlpm.coef, _xlpm.K + _xlpm.Knewgain / (_xlpm.Knewscale + _xlpm.nbparties),
  IF(AJ99="",
    "",
    _xlpm.coef * (AJ99-AJ100))
)</f>
        <v/>
      </c>
      <c r="AK101" t="str" cm="1">
        <f t="array" ref="AK101">_xlfn.LET(
  _xlpm.K, Constantes!$B$3,
  _xlpm.Knewgain, Constantes!$B$4,
  _xlpm.Knewscale, Constantes!$B$5,
  _xlpm.ptstables, INDEX(AK:AK, _xlfn.SEQUENCE(COUNTA($C$2:$C101), 1, 3, 4)),
  _xlpm.nbparties, COUNTA(_xlfn._xlws.FILTER(_xlpm.ptstables, _xlpm.ptstables &lt;&gt; "")),
  _xlpm.coef, _xlpm.K + _xlpm.Knewgain / (_xlpm.Knewscale + _xlpm.nbparties),
  IF(AK99="",
    "",
    _xlpm.coef * (AK99-AK100))
)</f>
        <v/>
      </c>
      <c r="AL101" t="str" cm="1">
        <f t="array" ref="AL101">_xlfn.LET(
  _xlpm.K, Constantes!$B$3,
  _xlpm.Knewgain, Constantes!$B$4,
  _xlpm.Knewscale, Constantes!$B$5,
  _xlpm.ptstables, INDEX(AL:AL, _xlfn.SEQUENCE(COUNTA($C$2:$C101), 1, 3, 4)),
  _xlpm.nbparties, COUNTA(_xlfn._xlws.FILTER(_xlpm.ptstables, _xlpm.ptstables &lt;&gt; "")),
  _xlpm.coef, _xlpm.K + _xlpm.Knewgain / (_xlpm.Knewscale + _xlpm.nbparties),
  IF(AL99="",
    "",
    _xlpm.coef * (AL99-AL100))
)</f>
        <v/>
      </c>
      <c r="AM101" t="str" cm="1">
        <f t="array" ref="AM101">_xlfn.LET(
  _xlpm.K, Constantes!$B$3,
  _xlpm.Knewgain, Constantes!$B$4,
  _xlpm.Knewscale, Constantes!$B$5,
  _xlpm.ptstables, INDEX(AM:AM, _xlfn.SEQUENCE(COUNTA($C$2:$C101), 1, 3, 4)),
  _xlpm.nbparties, COUNTA(_xlfn._xlws.FILTER(_xlpm.ptstables, _xlpm.ptstables &lt;&gt; "")),
  _xlpm.coef, _xlpm.K + _xlpm.Knewgain / (_xlpm.Knewscale + _xlpm.nbparties),
  IF(AM99="",
    "",
    _xlpm.coef * (AM99-AM100))
)</f>
        <v/>
      </c>
    </row>
    <row r="102" spans="1:39" x14ac:dyDescent="0.25">
      <c r="A102" t="s">
        <v>14</v>
      </c>
      <c r="B102" t="str" cm="1">
        <f t="array" ref="B10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28</v>
      </c>
      <c r="C102" s="2" cm="1">
        <f t="array" ref="C102">IF(B102="","",
  INDEX(Donnees!F:F, MATCH(B102, Donnees!F:F, 0)+1))</f>
        <v>45920.6953125</v>
      </c>
      <c r="D102">
        <f t="shared" ref="D102:AM102" si="33">D98+IF(D101="",0,D101)</f>
        <v>1108.4611161856747</v>
      </c>
      <c r="E102">
        <f t="shared" si="33"/>
        <v>1132.3930578903671</v>
      </c>
      <c r="F102">
        <f t="shared" si="33"/>
        <v>908.83204631618707</v>
      </c>
      <c r="G102">
        <f t="shared" si="33"/>
        <v>956.37970750382215</v>
      </c>
      <c r="H102">
        <f t="shared" si="33"/>
        <v>1020.3453983892952</v>
      </c>
      <c r="I102">
        <f t="shared" si="33"/>
        <v>1056.8165036600865</v>
      </c>
      <c r="J102">
        <f t="shared" si="33"/>
        <v>938.49433816478961</v>
      </c>
      <c r="K102">
        <f t="shared" si="33"/>
        <v>907.51653081539087</v>
      </c>
      <c r="L102">
        <f t="shared" si="33"/>
        <v>833.43137648430843</v>
      </c>
      <c r="M102">
        <f t="shared" si="33"/>
        <v>913.41986361738122</v>
      </c>
      <c r="N102">
        <f t="shared" si="33"/>
        <v>893.53720165580148</v>
      </c>
      <c r="O102">
        <f t="shared" si="33"/>
        <v>1030.4363831507294</v>
      </c>
      <c r="P102">
        <f t="shared" si="33"/>
        <v>1043.9932888752683</v>
      </c>
      <c r="Q102">
        <f t="shared" si="33"/>
        <v>1039.0209485170767</v>
      </c>
      <c r="R102">
        <f t="shared" si="33"/>
        <v>1131.3793652528555</v>
      </c>
      <c r="S102">
        <f t="shared" si="33"/>
        <v>967.83471475152407</v>
      </c>
      <c r="T102">
        <f t="shared" si="33"/>
        <v>1135.2782658680615</v>
      </c>
      <c r="U102">
        <f t="shared" si="33"/>
        <v>1012.4141493920336</v>
      </c>
      <c r="V102">
        <f t="shared" si="33"/>
        <v>961.58818235691967</v>
      </c>
      <c r="W102">
        <f t="shared" si="33"/>
        <v>936.79085942937002</v>
      </c>
      <c r="X102">
        <f t="shared" si="33"/>
        <v>877.155434035638</v>
      </c>
      <c r="Y102">
        <f t="shared" si="33"/>
        <v>993.49299956228185</v>
      </c>
      <c r="Z102">
        <f t="shared" si="33"/>
        <v>991.11904139672549</v>
      </c>
      <c r="AA102">
        <f t="shared" si="33"/>
        <v>980.56756855165884</v>
      </c>
      <c r="AB102">
        <f t="shared" si="33"/>
        <v>979.56500000000005</v>
      </c>
      <c r="AC102">
        <f t="shared" si="33"/>
        <v>1032.51</v>
      </c>
      <c r="AD102">
        <f t="shared" si="33"/>
        <v>974.01499999999999</v>
      </c>
      <c r="AE102">
        <f t="shared" si="33"/>
        <v>1011.415</v>
      </c>
      <c r="AF102">
        <f t="shared" si="33"/>
        <v>1031.1199999999999</v>
      </c>
      <c r="AG102">
        <f t="shared" si="33"/>
        <v>1001.0350000000001</v>
      </c>
      <c r="AH102">
        <f t="shared" si="33"/>
        <v>994.44</v>
      </c>
      <c r="AI102">
        <f t="shared" si="33"/>
        <v>1000</v>
      </c>
      <c r="AJ102">
        <f t="shared" si="33"/>
        <v>957.2</v>
      </c>
      <c r="AK102">
        <f t="shared" si="33"/>
        <v>1000</v>
      </c>
      <c r="AL102">
        <f t="shared" si="33"/>
        <v>1055.9299999999998</v>
      </c>
      <c r="AM102">
        <f t="shared" si="33"/>
        <v>1000</v>
      </c>
    </row>
    <row r="103" spans="1:39" x14ac:dyDescent="0.25">
      <c r="A103" t="s">
        <v>21</v>
      </c>
      <c r="D103" cm="1">
        <f t="array" ref="D103">IFERROR(
  _xlfn.LET(
    _xlpm.ligpartie, MATCH($B102, Donnees!$F:$F, 0),
    _xlpm.joueurs, INDEX(Donnees!$A:$Z, _xlpm.ligpartie+1, _xlfn.SEQUENCE(1, 4, 2)),
    INDEX(
      Donnees!$A:$Z,
      _xlpm.ligpartie + 3,
      MATCH(D$1, _xlpm.joueurs, 0) + 1
    )
  ), ""
)</f>
        <v>0</v>
      </c>
      <c r="E103" t="str" cm="1">
        <f t="array" ref="E103">IFERROR(
  _xlfn.LET(
    _xlpm.ligpartie, MATCH($B102, Donnees!$F:$F, 0),
    _xlpm.joueurs, INDEX(Donnees!$A:$Z, _xlpm.ligpartie+1, _xlfn.SEQUENCE(1, 4, 2)),
    INDEX(
      Donnees!$A:$Z,
      _xlpm.ligpartie + 3,
      MATCH(E$1, _xlpm.joueurs, 0) + 1
    )
  ), ""
)</f>
        <v/>
      </c>
      <c r="F103" t="str" cm="1">
        <f t="array" ref="F103">IFERROR(
  _xlfn.LET(
    _xlpm.ligpartie, MATCH($B102, Donnees!$F:$F, 0),
    _xlpm.joueurs, INDEX(Donnees!$A:$Z, _xlpm.ligpartie+1, _xlfn.SEQUENCE(1, 4, 2)),
    INDEX(
      Donnees!$A:$Z,
      _xlpm.ligpartie + 3,
      MATCH(F$1, _xlpm.joueurs, 0) + 1
    )
  ), ""
)</f>
        <v/>
      </c>
      <c r="G103" t="str" cm="1">
        <f t="array" ref="G103">IFERROR(
  _xlfn.LET(
    _xlpm.ligpartie, MATCH($B102, Donnees!$F:$F, 0),
    _xlpm.joueurs, INDEX(Donnees!$A:$Z, _xlpm.ligpartie+1, _xlfn.SEQUENCE(1, 4, 2)),
    INDEX(
      Donnees!$A:$Z,
      _xlpm.ligpartie + 3,
      MATCH(G$1, _xlpm.joueurs, 0) + 1
    )
  ), ""
)</f>
        <v/>
      </c>
      <c r="H103" t="str" cm="1">
        <f t="array" ref="H103">IFERROR(
  _xlfn.LET(
    _xlpm.ligpartie, MATCH($B102, Donnees!$F:$F, 0),
    _xlpm.joueurs, INDEX(Donnees!$A:$Z, _xlpm.ligpartie+1, _xlfn.SEQUENCE(1, 4, 2)),
    INDEX(
      Donnees!$A:$Z,
      _xlpm.ligpartie + 3,
      MATCH(H$1, _xlpm.joueurs, 0) + 1
    )
  ), ""
)</f>
        <v/>
      </c>
      <c r="I103" t="str" cm="1">
        <f t="array" ref="I103">IFERROR(
  _xlfn.LET(
    _xlpm.ligpartie, MATCH($B102, Donnees!$F:$F, 0),
    _xlpm.joueurs, INDEX(Donnees!$A:$Z, _xlpm.ligpartie+1, _xlfn.SEQUENCE(1, 4, 2)),
    INDEX(
      Donnees!$A:$Z,
      _xlpm.ligpartie + 3,
      MATCH(I$1, _xlpm.joueurs, 0) + 1
    )
  ), ""
)</f>
        <v/>
      </c>
      <c r="J103" t="str" cm="1">
        <f t="array" ref="J103">IFERROR(
  _xlfn.LET(
    _xlpm.ligpartie, MATCH($B102, Donnees!$F:$F, 0),
    _xlpm.joueurs, INDEX(Donnees!$A:$Z, _xlpm.ligpartie+1, _xlfn.SEQUENCE(1, 4, 2)),
    INDEX(
      Donnees!$A:$Z,
      _xlpm.ligpartie + 3,
      MATCH(J$1, _xlpm.joueurs, 0) + 1
    )
  ), ""
)</f>
        <v/>
      </c>
      <c r="K103" t="str" cm="1">
        <f t="array" ref="K103">IFERROR(
  _xlfn.LET(
    _xlpm.ligpartie, MATCH($B102, Donnees!$F:$F, 0),
    _xlpm.joueurs, INDEX(Donnees!$A:$Z, _xlpm.ligpartie+1, _xlfn.SEQUENCE(1, 4, 2)),
    INDEX(
      Donnees!$A:$Z,
      _xlpm.ligpartie + 3,
      MATCH(K$1, _xlpm.joueurs, 0) + 1
    )
  ), ""
)</f>
        <v/>
      </c>
      <c r="L103" t="str" cm="1">
        <f t="array" ref="L103">IFERROR(
  _xlfn.LET(
    _xlpm.ligpartie, MATCH($B102, Donnees!$F:$F, 0),
    _xlpm.joueurs, INDEX(Donnees!$A:$Z, _xlpm.ligpartie+1, _xlfn.SEQUENCE(1, 4, 2)),
    INDEX(
      Donnees!$A:$Z,
      _xlpm.ligpartie + 3,
      MATCH(L$1, _xlpm.joueurs, 0) + 1
    )
  ), ""
)</f>
        <v/>
      </c>
      <c r="M103" t="str" cm="1">
        <f t="array" ref="M103">IFERROR(
  _xlfn.LET(
    _xlpm.ligpartie, MATCH($B102, Donnees!$F:$F, 0),
    _xlpm.joueurs, INDEX(Donnees!$A:$Z, _xlpm.ligpartie+1, _xlfn.SEQUENCE(1, 4, 2)),
    INDEX(
      Donnees!$A:$Z,
      _xlpm.ligpartie + 3,
      MATCH(M$1, _xlpm.joueurs, 0) + 1
    )
  ), ""
)</f>
        <v/>
      </c>
      <c r="N103" cm="1">
        <f t="array" ref="N103">IFERROR(
  _xlfn.LET(
    _xlpm.ligpartie, MATCH($B102, Donnees!$F:$F, 0),
    _xlpm.joueurs, INDEX(Donnees!$A:$Z, _xlpm.ligpartie+1, _xlfn.SEQUENCE(1, 4, 2)),
    INDEX(
      Donnees!$A:$Z,
      _xlpm.ligpartie + 3,
      MATCH(N$1, _xlpm.joueurs, 0) + 1
    )
  ), ""
)</f>
        <v>2</v>
      </c>
      <c r="O103" t="str" cm="1">
        <f t="array" ref="O103">IFERROR(
  _xlfn.LET(
    _xlpm.ligpartie, MATCH($B102, Donnees!$F:$F, 0),
    _xlpm.joueurs, INDEX(Donnees!$A:$Z, _xlpm.ligpartie+1, _xlfn.SEQUENCE(1, 4, 2)),
    INDEX(
      Donnees!$A:$Z,
      _xlpm.ligpartie + 3,
      MATCH(O$1, _xlpm.joueurs, 0) + 1
    )
  ), ""
)</f>
        <v/>
      </c>
      <c r="P103" t="str" cm="1">
        <f t="array" ref="P103">IFERROR(
  _xlfn.LET(
    _xlpm.ligpartie, MATCH($B102, Donnees!$F:$F, 0),
    _xlpm.joueurs, INDEX(Donnees!$A:$Z, _xlpm.ligpartie+1, _xlfn.SEQUENCE(1, 4, 2)),
    INDEX(
      Donnees!$A:$Z,
      _xlpm.ligpartie + 3,
      MATCH(P$1, _xlpm.joueurs, 0) + 1
    )
  ), ""
)</f>
        <v/>
      </c>
      <c r="Q103" cm="1">
        <f t="array" ref="Q103">IFERROR(
  _xlfn.LET(
    _xlpm.ligpartie, MATCH($B102, Donnees!$F:$F, 0),
    _xlpm.joueurs, INDEX(Donnees!$A:$Z, _xlpm.ligpartie+1, _xlfn.SEQUENCE(1, 4, 2)),
    INDEX(
      Donnees!$A:$Z,
      _xlpm.ligpartie + 3,
      MATCH(Q$1, _xlpm.joueurs, 0) + 1
    )
  ), ""
)</f>
        <v>3</v>
      </c>
      <c r="R103" t="str" cm="1">
        <f t="array" ref="R103">IFERROR(
  _xlfn.LET(
    _xlpm.ligpartie, MATCH($B102, Donnees!$F:$F, 0),
    _xlpm.joueurs, INDEX(Donnees!$A:$Z, _xlpm.ligpartie+1, _xlfn.SEQUENCE(1, 4, 2)),
    INDEX(
      Donnees!$A:$Z,
      _xlpm.ligpartie + 3,
      MATCH(R$1, _xlpm.joueurs, 0) + 1
    )
  ), ""
)</f>
        <v/>
      </c>
      <c r="S103" t="str" cm="1">
        <f t="array" ref="S103">IFERROR(
  _xlfn.LET(
    _xlpm.ligpartie, MATCH($B102, Donnees!$F:$F, 0),
    _xlpm.joueurs, INDEX(Donnees!$A:$Z, _xlpm.ligpartie+1, _xlfn.SEQUENCE(1, 4, 2)),
    INDEX(
      Donnees!$A:$Z,
      _xlpm.ligpartie + 3,
      MATCH(S$1, _xlpm.joueurs, 0) + 1
    )
  ), ""
)</f>
        <v/>
      </c>
      <c r="T103" t="str" cm="1">
        <f t="array" ref="T103">IFERROR(
  _xlfn.LET(
    _xlpm.ligpartie, MATCH($B102, Donnees!$F:$F, 0),
    _xlpm.joueurs, INDEX(Donnees!$A:$Z, _xlpm.ligpartie+1, _xlfn.SEQUENCE(1, 4, 2)),
    INDEX(
      Donnees!$A:$Z,
      _xlpm.ligpartie + 3,
      MATCH(T$1, _xlpm.joueurs, 0) + 1
    )
  ), ""
)</f>
        <v/>
      </c>
      <c r="U103" cm="1">
        <f t="array" ref="U103">IFERROR(
  _xlfn.LET(
    _xlpm.ligpartie, MATCH($B102, Donnees!$F:$F, 0),
    _xlpm.joueurs, INDEX(Donnees!$A:$Z, _xlpm.ligpartie+1, _xlfn.SEQUENCE(1, 4, 2)),
    INDEX(
      Donnees!$A:$Z,
      _xlpm.ligpartie + 3,
      MATCH(U$1, _xlpm.joueurs, 0) + 1
    )
  ), ""
)</f>
        <v>1</v>
      </c>
      <c r="V103" t="str" cm="1">
        <f t="array" ref="V103">IFERROR(
  _xlfn.LET(
    _xlpm.ligpartie, MATCH($B102, Donnees!$F:$F, 0),
    _xlpm.joueurs, INDEX(Donnees!$A:$Z, _xlpm.ligpartie+1, _xlfn.SEQUENCE(1, 4, 2)),
    INDEX(
      Donnees!$A:$Z,
      _xlpm.ligpartie + 3,
      MATCH(V$1, _xlpm.joueurs, 0) + 1
    )
  ), ""
)</f>
        <v/>
      </c>
      <c r="W103" t="str" cm="1">
        <f t="array" ref="W103">IFERROR(
  _xlfn.LET(
    _xlpm.ligpartie, MATCH($B102, Donnees!$F:$F, 0),
    _xlpm.joueurs, INDEX(Donnees!$A:$Z, _xlpm.ligpartie+1, _xlfn.SEQUENCE(1, 4, 2)),
    INDEX(
      Donnees!$A:$Z,
      _xlpm.ligpartie + 3,
      MATCH(W$1, _xlpm.joueurs, 0) + 1
    )
  ), ""
)</f>
        <v/>
      </c>
      <c r="X103" t="str" cm="1">
        <f t="array" ref="X103">IFERROR(
  _xlfn.LET(
    _xlpm.ligpartie, MATCH($B102, Donnees!$F:$F, 0),
    _xlpm.joueurs, INDEX(Donnees!$A:$Z, _xlpm.ligpartie+1, _xlfn.SEQUENCE(1, 4, 2)),
    INDEX(
      Donnees!$A:$Z,
      _xlpm.ligpartie + 3,
      MATCH(X$1, _xlpm.joueurs, 0) + 1
    )
  ), ""
)</f>
        <v/>
      </c>
      <c r="Y103" t="str" cm="1">
        <f t="array" ref="Y103">IFERROR(
  _xlfn.LET(
    _xlpm.ligpartie, MATCH($B102, Donnees!$F:$F, 0),
    _xlpm.joueurs, INDEX(Donnees!$A:$Z, _xlpm.ligpartie+1, _xlfn.SEQUENCE(1, 4, 2)),
    INDEX(
      Donnees!$A:$Z,
      _xlpm.ligpartie + 3,
      MATCH(Y$1, _xlpm.joueurs, 0) + 1
    )
  ), ""
)</f>
        <v/>
      </c>
      <c r="Z103" t="str" cm="1">
        <f t="array" ref="Z103">IFERROR(
  _xlfn.LET(
    _xlpm.ligpartie, MATCH($B102, Donnees!$F:$F, 0),
    _xlpm.joueurs, INDEX(Donnees!$A:$Z, _xlpm.ligpartie+1, _xlfn.SEQUENCE(1, 4, 2)),
    INDEX(
      Donnees!$A:$Z,
      _xlpm.ligpartie + 3,
      MATCH(Z$1, _xlpm.joueurs, 0) + 1
    )
  ), ""
)</f>
        <v/>
      </c>
      <c r="AA103" t="str" cm="1">
        <f t="array" ref="AA103">IFERROR(
  _xlfn.LET(
    _xlpm.ligpartie, MATCH($B102, Donnees!$F:$F, 0),
    _xlpm.joueurs, INDEX(Donnees!$A:$Z, _xlpm.ligpartie+1, _xlfn.SEQUENCE(1, 4, 2)),
    INDEX(
      Donnees!$A:$Z,
      _xlpm.ligpartie + 3,
      MATCH(AA$1, _xlpm.joueurs, 0) + 1
    )
  ), ""
)</f>
        <v/>
      </c>
      <c r="AB103" t="str" cm="1">
        <f t="array" ref="AB103">IFERROR(
  _xlfn.LET(
    _xlpm.ligpartie, MATCH($B102, Donnees!$F:$F, 0),
    _xlpm.joueurs, INDEX(Donnees!$A:$Z, _xlpm.ligpartie+1, _xlfn.SEQUENCE(1, 4, 2)),
    INDEX(
      Donnees!$A:$Z,
      _xlpm.ligpartie + 3,
      MATCH(AB$1, _xlpm.joueurs, 0) + 1
    )
  ), ""
)</f>
        <v/>
      </c>
      <c r="AC103" t="str" cm="1">
        <f t="array" ref="AC103">IFERROR(
  _xlfn.LET(
    _xlpm.ligpartie, MATCH($B102, Donnees!$F:$F, 0),
    _xlpm.joueurs, INDEX(Donnees!$A:$Z, _xlpm.ligpartie+1, _xlfn.SEQUENCE(1, 4, 2)),
    INDEX(
      Donnees!$A:$Z,
      _xlpm.ligpartie + 3,
      MATCH(AC$1, _xlpm.joueurs, 0) + 1
    )
  ), ""
)</f>
        <v/>
      </c>
      <c r="AD103" t="str" cm="1">
        <f t="array" ref="AD103">IFERROR(
  _xlfn.LET(
    _xlpm.ligpartie, MATCH($B102, Donnees!$F:$F, 0),
    _xlpm.joueurs, INDEX(Donnees!$A:$Z, _xlpm.ligpartie+1, _xlfn.SEQUENCE(1, 4, 2)),
    INDEX(
      Donnees!$A:$Z,
      _xlpm.ligpartie + 3,
      MATCH(AD$1, _xlpm.joueurs, 0) + 1
    )
  ), ""
)</f>
        <v/>
      </c>
      <c r="AE103" t="str" cm="1">
        <f t="array" ref="AE103">IFERROR(
  _xlfn.LET(
    _xlpm.ligpartie, MATCH($B102, Donnees!$F:$F, 0),
    _xlpm.joueurs, INDEX(Donnees!$A:$Z, _xlpm.ligpartie+1, _xlfn.SEQUENCE(1, 4, 2)),
    INDEX(
      Donnees!$A:$Z,
      _xlpm.ligpartie + 3,
      MATCH(AE$1, _xlpm.joueurs, 0) + 1
    )
  ), ""
)</f>
        <v/>
      </c>
      <c r="AF103" t="str" cm="1">
        <f t="array" ref="AF103">IFERROR(
  _xlfn.LET(
    _xlpm.ligpartie, MATCH($B102, Donnees!$F:$F, 0),
    _xlpm.joueurs, INDEX(Donnees!$A:$Z, _xlpm.ligpartie+1, _xlfn.SEQUENCE(1, 4, 2)),
    INDEX(
      Donnees!$A:$Z,
      _xlpm.ligpartie + 3,
      MATCH(AF$1, _xlpm.joueurs, 0) + 1
    )
  ), ""
)</f>
        <v/>
      </c>
      <c r="AG103" t="str" cm="1">
        <f t="array" ref="AG103">IFERROR(
  _xlfn.LET(
    _xlpm.ligpartie, MATCH($B102, Donnees!$F:$F, 0),
    _xlpm.joueurs, INDEX(Donnees!$A:$Z, _xlpm.ligpartie+1, _xlfn.SEQUENCE(1, 4, 2)),
    INDEX(
      Donnees!$A:$Z,
      _xlpm.ligpartie + 3,
      MATCH(AG$1, _xlpm.joueurs, 0) + 1
    )
  ), ""
)</f>
        <v/>
      </c>
      <c r="AH103" t="str" cm="1">
        <f t="array" ref="AH103">IFERROR(
  _xlfn.LET(
    _xlpm.ligpartie, MATCH($B102, Donnees!$F:$F, 0),
    _xlpm.joueurs, INDEX(Donnees!$A:$Z, _xlpm.ligpartie+1, _xlfn.SEQUENCE(1, 4, 2)),
    INDEX(
      Donnees!$A:$Z,
      _xlpm.ligpartie + 3,
      MATCH(AH$1, _xlpm.joueurs, 0) + 1
    )
  ), ""
)</f>
        <v/>
      </c>
      <c r="AI103" t="str" cm="1">
        <f t="array" ref="AI103">IFERROR(
  _xlfn.LET(
    _xlpm.ligpartie, MATCH($B102, Donnees!$F:$F, 0),
    _xlpm.joueurs, INDEX(Donnees!$A:$Z, _xlpm.ligpartie+1, _xlfn.SEQUENCE(1, 4, 2)),
    INDEX(
      Donnees!$A:$Z,
      _xlpm.ligpartie + 3,
      MATCH(AI$1, _xlpm.joueurs, 0) + 1
    )
  ), ""
)</f>
        <v/>
      </c>
      <c r="AJ103" t="str" cm="1">
        <f t="array" ref="AJ103">IFERROR(
  _xlfn.LET(
    _xlpm.ligpartie, MATCH($B102, Donnees!$F:$F, 0),
    _xlpm.joueurs, INDEX(Donnees!$A:$Z, _xlpm.ligpartie+1, _xlfn.SEQUENCE(1, 4, 2)),
    INDEX(
      Donnees!$A:$Z,
      _xlpm.ligpartie + 3,
      MATCH(AJ$1, _xlpm.joueurs, 0) + 1
    )
  ), ""
)</f>
        <v/>
      </c>
      <c r="AK103" t="str" cm="1">
        <f t="array" ref="AK103">IFERROR(
  _xlfn.LET(
    _xlpm.ligpartie, MATCH($B102, Donnees!$F:$F, 0),
    _xlpm.joueurs, INDEX(Donnees!$A:$Z, _xlpm.ligpartie+1, _xlfn.SEQUENCE(1, 4, 2)),
    INDEX(
      Donnees!$A:$Z,
      _xlpm.ligpartie + 3,
      MATCH(AK$1, _xlpm.joueurs, 0) + 1
    )
  ), ""
)</f>
        <v/>
      </c>
      <c r="AL103" t="str" cm="1">
        <f t="array" ref="AL103">IFERROR(
  _xlfn.LET(
    _xlpm.ligpartie, MATCH($B102, Donnees!$F:$F, 0),
    _xlpm.joueurs, INDEX(Donnees!$A:$Z, _xlpm.ligpartie+1, _xlfn.SEQUENCE(1, 4, 2)),
    INDEX(
      Donnees!$A:$Z,
      _xlpm.ligpartie + 3,
      MATCH(AL$1, _xlpm.joueurs, 0) + 1
    )
  ), ""
)</f>
        <v/>
      </c>
      <c r="AM103" t="str" cm="1">
        <f t="array" ref="AM103">IFERROR(
  _xlfn.LET(
    _xlpm.ligpartie, MATCH($B102, Donnees!$F:$F, 0),
    _xlpm.joueurs, INDEX(Donnees!$A:$Z, _xlpm.ligpartie+1, _xlfn.SEQUENCE(1, 4, 2)),
    INDEX(
      Donnees!$A:$Z,
      _xlpm.ligpartie + 3,
      MATCH(AM$1, _xlpm.joueurs, 0) + 1
    )
  ), ""
)</f>
        <v/>
      </c>
    </row>
    <row r="104" spans="1:39" x14ac:dyDescent="0.25">
      <c r="A104" t="s">
        <v>20</v>
      </c>
      <c r="D104" cm="1">
        <f t="array" ref="D104">_xlfn.LET(
  _xlpm.colj, _xlfn._xlws.FILTER(IF(ISNUMBER(103:103), COLUMN(103:103)), ISNUMBER(103:103)),
  _xlpm.elos, INDEX(102:102,1,_xlpm.colj),
  _xlpm.diffscale, Constantes!$B$2,
  IF(D103="",
    "",
    SUM(1/(1+POWER(10,-(D102-_xlpm.elos)/_xlpm.diffscale)))-0.5)
)</f>
        <v>2.0085052596146484</v>
      </c>
      <c r="E104" t="str" cm="1">
        <f t="array" ref="E104">_xlfn.LET(
  _xlpm.colj, _xlfn._xlws.FILTER(IF(ISNUMBER(103:103), COLUMN(103:103)), ISNUMBER(103:103)),
  _xlpm.elos, INDEX(102:102,1,_xlpm.colj),
  _xlpm.diffscale, Constantes!$B$2,
  IF(E103="",
    "",
    SUM(1/(1+POWER(10,-(E102-_xlpm.elos)/_xlpm.diffscale)))-0.5)
)</f>
        <v/>
      </c>
      <c r="F104" t="str" cm="1">
        <f t="array" ref="F104">_xlfn.LET(
  _xlpm.colj, _xlfn._xlws.FILTER(IF(ISNUMBER(103:103), COLUMN(103:103)), ISNUMBER(103:103)),
  _xlpm.elos, INDEX(102:102,1,_xlpm.colj),
  _xlpm.diffscale, Constantes!$B$2,
  IF(F103="",
    "",
    SUM(1/(1+POWER(10,-(F102-_xlpm.elos)/_xlpm.diffscale)))-0.5)
)</f>
        <v/>
      </c>
      <c r="G104" t="str" cm="1">
        <f t="array" ref="G104">_xlfn.LET(
  _xlpm.colj, _xlfn._xlws.FILTER(IF(ISNUMBER(103:103), COLUMN(103:103)), ISNUMBER(103:103)),
  _xlpm.elos, INDEX(102:102,1,_xlpm.colj),
  _xlpm.diffscale, Constantes!$B$2,
  IF(G103="",
    "",
    SUM(1/(1+POWER(10,-(G102-_xlpm.elos)/_xlpm.diffscale)))-0.5)
)</f>
        <v/>
      </c>
      <c r="H104" t="str" cm="1">
        <f t="array" ref="H104">_xlfn.LET(
  _xlpm.colj, _xlfn._xlws.FILTER(IF(ISNUMBER(103:103), COLUMN(103:103)), ISNUMBER(103:103)),
  _xlpm.elos, INDEX(102:102,1,_xlpm.colj),
  _xlpm.diffscale, Constantes!$B$2,
  IF(H103="",
    "",
    SUM(1/(1+POWER(10,-(H102-_xlpm.elos)/_xlpm.diffscale)))-0.5)
)</f>
        <v/>
      </c>
      <c r="I104" t="str" cm="1">
        <f t="array" ref="I104">_xlfn.LET(
  _xlpm.colj, _xlfn._xlws.FILTER(IF(ISNUMBER(103:103), COLUMN(103:103)), ISNUMBER(103:103)),
  _xlpm.elos, INDEX(102:102,1,_xlpm.colj),
  _xlpm.diffscale, Constantes!$B$2,
  IF(I103="",
    "",
    SUM(1/(1+POWER(10,-(I102-_xlpm.elos)/_xlpm.diffscale)))-0.5)
)</f>
        <v/>
      </c>
      <c r="J104" t="str" cm="1">
        <f t="array" ref="J104">_xlfn.LET(
  _xlpm.colj, _xlfn._xlws.FILTER(IF(ISNUMBER(103:103), COLUMN(103:103)), ISNUMBER(103:103)),
  _xlpm.elos, INDEX(102:102,1,_xlpm.colj),
  _xlpm.diffscale, Constantes!$B$2,
  IF(J103="",
    "",
    SUM(1/(1+POWER(10,-(J102-_xlpm.elos)/_xlpm.diffscale)))-0.5)
)</f>
        <v/>
      </c>
      <c r="K104" t="str" cm="1">
        <f t="array" ref="K104">_xlfn.LET(
  _xlpm.colj, _xlfn._xlws.FILTER(IF(ISNUMBER(103:103), COLUMN(103:103)), ISNUMBER(103:103)),
  _xlpm.elos, INDEX(102:102,1,_xlpm.colj),
  _xlpm.diffscale, Constantes!$B$2,
  IF(K103="",
    "",
    SUM(1/(1+POWER(10,-(K102-_xlpm.elos)/_xlpm.diffscale)))-0.5)
)</f>
        <v/>
      </c>
      <c r="L104" t="str" cm="1">
        <f t="array" ref="L104">_xlfn.LET(
  _xlpm.colj, _xlfn._xlws.FILTER(IF(ISNUMBER(103:103), COLUMN(103:103)), ISNUMBER(103:103)),
  _xlpm.elos, INDEX(102:102,1,_xlpm.colj),
  _xlpm.diffscale, Constantes!$B$2,
  IF(L103="",
    "",
    SUM(1/(1+POWER(10,-(L102-_xlpm.elos)/_xlpm.diffscale)))-0.5)
)</f>
        <v/>
      </c>
      <c r="M104" t="str" cm="1">
        <f t="array" ref="M104">_xlfn.LET(
  _xlpm.colj, _xlfn._xlws.FILTER(IF(ISNUMBER(103:103), COLUMN(103:103)), ISNUMBER(103:103)),
  _xlpm.elos, INDEX(102:102,1,_xlpm.colj),
  _xlpm.diffscale, Constantes!$B$2,
  IF(M103="",
    "",
    SUM(1/(1+POWER(10,-(M102-_xlpm.elos)/_xlpm.diffscale)))-0.5)
)</f>
        <v/>
      </c>
      <c r="N104" cm="1">
        <f t="array" ref="N104">_xlfn.LET(
  _xlpm.colj, _xlfn._xlws.FILTER(IF(ISNUMBER(103:103), COLUMN(103:103)), ISNUMBER(103:103)),
  _xlpm.elos, INDEX(102:102,1,_xlpm.colj),
  _xlpm.diffscale, Constantes!$B$2,
  IF(N103="",
    "",
    SUM(1/(1+POWER(10,-(N102-_xlpm.elos)/_xlpm.diffscale)))-0.5)
)</f>
        <v>0.86229088093561734</v>
      </c>
      <c r="O104" t="str" cm="1">
        <f t="array" ref="O104">_xlfn.LET(
  _xlpm.colj, _xlfn._xlws.FILTER(IF(ISNUMBER(103:103), COLUMN(103:103)), ISNUMBER(103:103)),
  _xlpm.elos, INDEX(102:102,1,_xlpm.colj),
  _xlpm.diffscale, Constantes!$B$2,
  IF(O103="",
    "",
    SUM(1/(1+POWER(10,-(O102-_xlpm.elos)/_xlpm.diffscale)))-0.5)
)</f>
        <v/>
      </c>
      <c r="P104" t="str" cm="1">
        <f t="array" ref="P104">_xlfn.LET(
  _xlpm.colj, _xlfn._xlws.FILTER(IF(ISNUMBER(103:103), COLUMN(103:103)), ISNUMBER(103:103)),
  _xlpm.elos, INDEX(102:102,1,_xlpm.colj),
  _xlpm.diffscale, Constantes!$B$2,
  IF(P103="",
    "",
    SUM(1/(1+POWER(10,-(P102-_xlpm.elos)/_xlpm.diffscale)))-0.5)
)</f>
        <v/>
      </c>
      <c r="Q104" cm="1">
        <f t="array" ref="Q104">_xlfn.LET(
  _xlpm.colj, _xlfn._xlws.FILTER(IF(ISNUMBER(103:103), COLUMN(103:103)), ISNUMBER(103:103)),
  _xlpm.elos, INDEX(102:102,1,_xlpm.colj),
  _xlpm.diffscale, Constantes!$B$2,
  IF(Q103="",
    "",
    SUM(1/(1+POWER(10,-(Q102-_xlpm.elos)/_xlpm.diffscale)))-0.5)
)</f>
        <v>1.6375253340271128</v>
      </c>
      <c r="R104" t="str" cm="1">
        <f t="array" ref="R104">_xlfn.LET(
  _xlpm.colj, _xlfn._xlws.FILTER(IF(ISNUMBER(103:103), COLUMN(103:103)), ISNUMBER(103:103)),
  _xlpm.elos, INDEX(102:102,1,_xlpm.colj),
  _xlpm.diffscale, Constantes!$B$2,
  IF(R103="",
    "",
    SUM(1/(1+POWER(10,-(R102-_xlpm.elos)/_xlpm.diffscale)))-0.5)
)</f>
        <v/>
      </c>
      <c r="S104" t="str" cm="1">
        <f t="array" ref="S104">_xlfn.LET(
  _xlpm.colj, _xlfn._xlws.FILTER(IF(ISNUMBER(103:103), COLUMN(103:103)), ISNUMBER(103:103)),
  _xlpm.elos, INDEX(102:102,1,_xlpm.colj),
  _xlpm.diffscale, Constantes!$B$2,
  IF(S103="",
    "",
    SUM(1/(1+POWER(10,-(S102-_xlpm.elos)/_xlpm.diffscale)))-0.5)
)</f>
        <v/>
      </c>
      <c r="T104" t="str" cm="1">
        <f t="array" ref="T104">_xlfn.LET(
  _xlpm.colj, _xlfn._xlws.FILTER(IF(ISNUMBER(103:103), COLUMN(103:103)), ISNUMBER(103:103)),
  _xlpm.elos, INDEX(102:102,1,_xlpm.colj),
  _xlpm.diffscale, Constantes!$B$2,
  IF(T103="",
    "",
    SUM(1/(1+POWER(10,-(T102-_xlpm.elos)/_xlpm.diffscale)))-0.5)
)</f>
        <v/>
      </c>
      <c r="U104" cm="1">
        <f t="array" ref="U104">_xlfn.LET(
  _xlpm.colj, _xlfn._xlws.FILTER(IF(ISNUMBER(103:103), COLUMN(103:103)), ISNUMBER(103:103)),
  _xlpm.elos, INDEX(102:102,1,_xlpm.colj),
  _xlpm.diffscale, Constantes!$B$2,
  IF(U103="",
    "",
    SUM(1/(1+POWER(10,-(U102-_xlpm.elos)/_xlpm.diffscale)))-0.5)
)</f>
        <v>1.4916785254226219</v>
      </c>
      <c r="V104" t="str" cm="1">
        <f t="array" ref="V104">_xlfn.LET(
  _xlpm.colj, _xlfn._xlws.FILTER(IF(ISNUMBER(103:103), COLUMN(103:103)), ISNUMBER(103:103)),
  _xlpm.elos, INDEX(102:102,1,_xlpm.colj),
  _xlpm.diffscale, Constantes!$B$2,
  IF(V103="",
    "",
    SUM(1/(1+POWER(10,-(V102-_xlpm.elos)/_xlpm.diffscale)))-0.5)
)</f>
        <v/>
      </c>
      <c r="W104" t="str" cm="1">
        <f t="array" ref="W104">_xlfn.LET(
  _xlpm.colj, _xlfn._xlws.FILTER(IF(ISNUMBER(103:103), COLUMN(103:103)), ISNUMBER(103:103)),
  _xlpm.elos, INDEX(102:102,1,_xlpm.colj),
  _xlpm.diffscale, Constantes!$B$2,
  IF(W103="",
    "",
    SUM(1/(1+POWER(10,-(W102-_xlpm.elos)/_xlpm.diffscale)))-0.5)
)</f>
        <v/>
      </c>
      <c r="X104" t="str" cm="1">
        <f t="array" ref="X104">_xlfn.LET(
  _xlpm.colj, _xlfn._xlws.FILTER(IF(ISNUMBER(103:103), COLUMN(103:103)), ISNUMBER(103:103)),
  _xlpm.elos, INDEX(102:102,1,_xlpm.colj),
  _xlpm.diffscale, Constantes!$B$2,
  IF(X103="",
    "",
    SUM(1/(1+POWER(10,-(X102-_xlpm.elos)/_xlpm.diffscale)))-0.5)
)</f>
        <v/>
      </c>
      <c r="Y104" t="str" cm="1">
        <f t="array" ref="Y104">_xlfn.LET(
  _xlpm.colj, _xlfn._xlws.FILTER(IF(ISNUMBER(103:103), COLUMN(103:103)), ISNUMBER(103:103)),
  _xlpm.elos, INDEX(102:102,1,_xlpm.colj),
  _xlpm.diffscale, Constantes!$B$2,
  IF(Y103="",
    "",
    SUM(1/(1+POWER(10,-(Y102-_xlpm.elos)/_xlpm.diffscale)))-0.5)
)</f>
        <v/>
      </c>
      <c r="Z104" t="str" cm="1">
        <f t="array" ref="Z104">_xlfn.LET(
  _xlpm.colj, _xlfn._xlws.FILTER(IF(ISNUMBER(103:103), COLUMN(103:103)), ISNUMBER(103:103)),
  _xlpm.elos, INDEX(102:102,1,_xlpm.colj),
  _xlpm.diffscale, Constantes!$B$2,
  IF(Z103="",
    "",
    SUM(1/(1+POWER(10,-(Z102-_xlpm.elos)/_xlpm.diffscale)))-0.5)
)</f>
        <v/>
      </c>
      <c r="AA104" t="str" cm="1">
        <f t="array" ref="AA104">_xlfn.LET(
  _xlpm.colj, _xlfn._xlws.FILTER(IF(ISNUMBER(103:103), COLUMN(103:103)), ISNUMBER(103:103)),
  _xlpm.elos, INDEX(102:102,1,_xlpm.colj),
  _xlpm.diffscale, Constantes!$B$2,
  IF(AA103="",
    "",
    SUM(1/(1+POWER(10,-(AA102-_xlpm.elos)/_xlpm.diffscale)))-0.5)
)</f>
        <v/>
      </c>
      <c r="AB104" t="str" cm="1">
        <f t="array" ref="AB104">_xlfn.LET(
  _xlpm.colj, _xlfn._xlws.FILTER(IF(ISNUMBER(103:103), COLUMN(103:103)), ISNUMBER(103:103)),
  _xlpm.elos, INDEX(102:102,1,_xlpm.colj),
  _xlpm.diffscale, Constantes!$B$2,
  IF(AB103="",
    "",
    SUM(1/(1+POWER(10,-(AB102-_xlpm.elos)/_xlpm.diffscale)))-0.5)
)</f>
        <v/>
      </c>
      <c r="AC104" t="str" cm="1">
        <f t="array" ref="AC104">_xlfn.LET(
  _xlpm.colj, _xlfn._xlws.FILTER(IF(ISNUMBER(103:103), COLUMN(103:103)), ISNUMBER(103:103)),
  _xlpm.elos, INDEX(102:102,1,_xlpm.colj),
  _xlpm.diffscale, Constantes!$B$2,
  IF(AC103="",
    "",
    SUM(1/(1+POWER(10,-(AC102-_xlpm.elos)/_xlpm.diffscale)))-0.5)
)</f>
        <v/>
      </c>
      <c r="AD104" t="str" cm="1">
        <f t="array" ref="AD104">_xlfn.LET(
  _xlpm.colj, _xlfn._xlws.FILTER(IF(ISNUMBER(103:103), COLUMN(103:103)), ISNUMBER(103:103)),
  _xlpm.elos, INDEX(102:102,1,_xlpm.colj),
  _xlpm.diffscale, Constantes!$B$2,
  IF(AD103="",
    "",
    SUM(1/(1+POWER(10,-(AD102-_xlpm.elos)/_xlpm.diffscale)))-0.5)
)</f>
        <v/>
      </c>
      <c r="AE104" t="str" cm="1">
        <f t="array" ref="AE104">_xlfn.LET(
  _xlpm.colj, _xlfn._xlws.FILTER(IF(ISNUMBER(103:103), COLUMN(103:103)), ISNUMBER(103:103)),
  _xlpm.elos, INDEX(102:102,1,_xlpm.colj),
  _xlpm.diffscale, Constantes!$B$2,
  IF(AE103="",
    "",
    SUM(1/(1+POWER(10,-(AE102-_xlpm.elos)/_xlpm.diffscale)))-0.5)
)</f>
        <v/>
      </c>
      <c r="AF104" t="str" cm="1">
        <f t="array" ref="AF104">_xlfn.LET(
  _xlpm.colj, _xlfn._xlws.FILTER(IF(ISNUMBER(103:103), COLUMN(103:103)), ISNUMBER(103:103)),
  _xlpm.elos, INDEX(102:102,1,_xlpm.colj),
  _xlpm.diffscale, Constantes!$B$2,
  IF(AF103="",
    "",
    SUM(1/(1+POWER(10,-(AF102-_xlpm.elos)/_xlpm.diffscale)))-0.5)
)</f>
        <v/>
      </c>
      <c r="AG104" t="str" cm="1">
        <f t="array" ref="AG104">_xlfn.LET(
  _xlpm.colj, _xlfn._xlws.FILTER(IF(ISNUMBER(103:103), COLUMN(103:103)), ISNUMBER(103:103)),
  _xlpm.elos, INDEX(102:102,1,_xlpm.colj),
  _xlpm.diffscale, Constantes!$B$2,
  IF(AG103="",
    "",
    SUM(1/(1+POWER(10,-(AG102-_xlpm.elos)/_xlpm.diffscale)))-0.5)
)</f>
        <v/>
      </c>
      <c r="AH104" t="str" cm="1">
        <f t="array" ref="AH104">_xlfn.LET(
  _xlpm.colj, _xlfn._xlws.FILTER(IF(ISNUMBER(103:103), COLUMN(103:103)), ISNUMBER(103:103)),
  _xlpm.elos, INDEX(102:102,1,_xlpm.colj),
  _xlpm.diffscale, Constantes!$B$2,
  IF(AH103="",
    "",
    SUM(1/(1+POWER(10,-(AH102-_xlpm.elos)/_xlpm.diffscale)))-0.5)
)</f>
        <v/>
      </c>
      <c r="AI104" t="str" cm="1">
        <f t="array" ref="AI104">_xlfn.LET(
  _xlpm.colj, _xlfn._xlws.FILTER(IF(ISNUMBER(103:103), COLUMN(103:103)), ISNUMBER(103:103)),
  _xlpm.elos, INDEX(102:102,1,_xlpm.colj),
  _xlpm.diffscale, Constantes!$B$2,
  IF(AI103="",
    "",
    SUM(1/(1+POWER(10,-(AI102-_xlpm.elos)/_xlpm.diffscale)))-0.5)
)</f>
        <v/>
      </c>
      <c r="AJ104" t="str" cm="1">
        <f t="array" ref="AJ104">_xlfn.LET(
  _xlpm.colj, _xlfn._xlws.FILTER(IF(ISNUMBER(103:103), COLUMN(103:103)), ISNUMBER(103:103)),
  _xlpm.elos, INDEX(102:102,1,_xlpm.colj),
  _xlpm.diffscale, Constantes!$B$2,
  IF(AJ103="",
    "",
    SUM(1/(1+POWER(10,-(AJ102-_xlpm.elos)/_xlpm.diffscale)))-0.5)
)</f>
        <v/>
      </c>
      <c r="AK104" t="str" cm="1">
        <f t="array" ref="AK104">_xlfn.LET(
  _xlpm.colj, _xlfn._xlws.FILTER(IF(ISNUMBER(103:103), COLUMN(103:103)), ISNUMBER(103:103)),
  _xlpm.elos, INDEX(102:102,1,_xlpm.colj),
  _xlpm.diffscale, Constantes!$B$2,
  IF(AK103="",
    "",
    SUM(1/(1+POWER(10,-(AK102-_xlpm.elos)/_xlpm.diffscale)))-0.5)
)</f>
        <v/>
      </c>
      <c r="AL104" t="str" cm="1">
        <f t="array" ref="AL104">_xlfn.LET(
  _xlpm.colj, _xlfn._xlws.FILTER(IF(ISNUMBER(103:103), COLUMN(103:103)), ISNUMBER(103:103)),
  _xlpm.elos, INDEX(102:102,1,_xlpm.colj),
  _xlpm.diffscale, Constantes!$B$2,
  IF(AL103="",
    "",
    SUM(1/(1+POWER(10,-(AL102-_xlpm.elos)/_xlpm.diffscale)))-0.5)
)</f>
        <v/>
      </c>
      <c r="AM104" t="str" cm="1">
        <f t="array" ref="AM104">_xlfn.LET(
  _xlpm.colj, _xlfn._xlws.FILTER(IF(ISNUMBER(103:103), COLUMN(103:103)), ISNUMBER(103:103)),
  _xlpm.elos, INDEX(102:102,1,_xlpm.colj),
  _xlpm.diffscale, Constantes!$B$2,
  IF(AM103="",
    "",
    SUM(1/(1+POWER(10,-(AM102-_xlpm.elos)/_xlpm.diffscale)))-0.5)
)</f>
        <v/>
      </c>
    </row>
    <row r="105" spans="1:39" x14ac:dyDescent="0.25">
      <c r="A105" t="s">
        <v>22</v>
      </c>
      <c r="D105" cm="1">
        <f t="array" ref="D105">_xlfn.LET(
  _xlpm.K, Constantes!$B$3,
  _xlpm.Knewgain, Constantes!$B$4,
  _xlpm.Knewscale, Constantes!$B$5,
  _xlpm.ptstables, INDEX(D:D, _xlfn.SEQUENCE(COUNTA($C$2:$C105), 1, 3, 4)),
  _xlpm.nbparties, COUNTA(_xlfn._xlws.FILTER(_xlpm.ptstables, _xlpm.ptstables &lt;&gt; "")),
  _xlpm.coef, _xlpm.K + _xlpm.Knewgain / (_xlpm.Knewscale + _xlpm.nbparties),
  IF(D103="",
    "",
    _xlpm.coef * (D103-D104))
)</f>
        <v>-52.72326306488452</v>
      </c>
      <c r="E105" t="str" cm="1">
        <f t="array" ref="E105">_xlfn.LET(
  _xlpm.K, Constantes!$B$3,
  _xlpm.Knewgain, Constantes!$B$4,
  _xlpm.Knewscale, Constantes!$B$5,
  _xlpm.ptstables, INDEX(E:E, _xlfn.SEQUENCE(COUNTA($C$2:$C105), 1, 3, 4)),
  _xlpm.nbparties, COUNTA(_xlfn._xlws.FILTER(_xlpm.ptstables, _xlpm.ptstables &lt;&gt; "")),
  _xlpm.coef, _xlpm.K + _xlpm.Knewgain / (_xlpm.Knewscale + _xlpm.nbparties),
  IF(E103="",
    "",
    _xlpm.coef * (E103-E104))
)</f>
        <v/>
      </c>
      <c r="F105" t="str" cm="1">
        <f t="array" ref="F105">_xlfn.LET(
  _xlpm.K, Constantes!$B$3,
  _xlpm.Knewgain, Constantes!$B$4,
  _xlpm.Knewscale, Constantes!$B$5,
  _xlpm.ptstables, INDEX(F:F, _xlfn.SEQUENCE(COUNTA($C$2:$C105), 1, 3, 4)),
  _xlpm.nbparties, COUNTA(_xlfn._xlws.FILTER(_xlpm.ptstables, _xlpm.ptstables &lt;&gt; "")),
  _xlpm.coef, _xlpm.K + _xlpm.Knewgain / (_xlpm.Knewscale + _xlpm.nbparties),
  IF(F103="",
    "",
    _xlpm.coef * (F103-F104))
)</f>
        <v/>
      </c>
      <c r="G105" t="str" cm="1">
        <f t="array" ref="G105">_xlfn.LET(
  _xlpm.K, Constantes!$B$3,
  _xlpm.Knewgain, Constantes!$B$4,
  _xlpm.Knewscale, Constantes!$B$5,
  _xlpm.ptstables, INDEX(G:G, _xlfn.SEQUENCE(COUNTA($C$2:$C105), 1, 3, 4)),
  _xlpm.nbparties, COUNTA(_xlfn._xlws.FILTER(_xlpm.ptstables, _xlpm.ptstables &lt;&gt; "")),
  _xlpm.coef, _xlpm.K + _xlpm.Knewgain / (_xlpm.Knewscale + _xlpm.nbparties),
  IF(G103="",
    "",
    _xlpm.coef * (G103-G104))
)</f>
        <v/>
      </c>
      <c r="H105" t="str" cm="1">
        <f t="array" ref="H105">_xlfn.LET(
  _xlpm.K, Constantes!$B$3,
  _xlpm.Knewgain, Constantes!$B$4,
  _xlpm.Knewscale, Constantes!$B$5,
  _xlpm.ptstables, INDEX(H:H, _xlfn.SEQUENCE(COUNTA($C$2:$C105), 1, 3, 4)),
  _xlpm.nbparties, COUNTA(_xlfn._xlws.FILTER(_xlpm.ptstables, _xlpm.ptstables &lt;&gt; "")),
  _xlpm.coef, _xlpm.K + _xlpm.Knewgain / (_xlpm.Knewscale + _xlpm.nbparties),
  IF(H103="",
    "",
    _xlpm.coef * (H103-H104))
)</f>
        <v/>
      </c>
      <c r="I105" t="str" cm="1">
        <f t="array" ref="I105">_xlfn.LET(
  _xlpm.K, Constantes!$B$3,
  _xlpm.Knewgain, Constantes!$B$4,
  _xlpm.Knewscale, Constantes!$B$5,
  _xlpm.ptstables, INDEX(I:I, _xlfn.SEQUENCE(COUNTA($C$2:$C105), 1, 3, 4)),
  _xlpm.nbparties, COUNTA(_xlfn._xlws.FILTER(_xlpm.ptstables, _xlpm.ptstables &lt;&gt; "")),
  _xlpm.coef, _xlpm.K + _xlpm.Knewgain / (_xlpm.Knewscale + _xlpm.nbparties),
  IF(I103="",
    "",
    _xlpm.coef * (I103-I104))
)</f>
        <v/>
      </c>
      <c r="J105" t="str" cm="1">
        <f t="array" ref="J105">_xlfn.LET(
  _xlpm.K, Constantes!$B$3,
  _xlpm.Knewgain, Constantes!$B$4,
  _xlpm.Knewscale, Constantes!$B$5,
  _xlpm.ptstables, INDEX(J:J, _xlfn.SEQUENCE(COUNTA($C$2:$C105), 1, 3, 4)),
  _xlpm.nbparties, COUNTA(_xlfn._xlws.FILTER(_xlpm.ptstables, _xlpm.ptstables &lt;&gt; "")),
  _xlpm.coef, _xlpm.K + _xlpm.Knewgain / (_xlpm.Knewscale + _xlpm.nbparties),
  IF(J103="",
    "",
    _xlpm.coef * (J103-J104))
)</f>
        <v/>
      </c>
      <c r="K105" t="str" cm="1">
        <f t="array" ref="K105">_xlfn.LET(
  _xlpm.K, Constantes!$B$3,
  _xlpm.Knewgain, Constantes!$B$4,
  _xlpm.Knewscale, Constantes!$B$5,
  _xlpm.ptstables, INDEX(K:K, _xlfn.SEQUENCE(COUNTA($C$2:$C105), 1, 3, 4)),
  _xlpm.nbparties, COUNTA(_xlfn._xlws.FILTER(_xlpm.ptstables, _xlpm.ptstables &lt;&gt; "")),
  _xlpm.coef, _xlpm.K + _xlpm.Knewgain / (_xlpm.Knewscale + _xlpm.nbparties),
  IF(K103="",
    "",
    _xlpm.coef * (K103-K104))
)</f>
        <v/>
      </c>
      <c r="L105" t="str" cm="1">
        <f t="array" ref="L105">_xlfn.LET(
  _xlpm.K, Constantes!$B$3,
  _xlpm.Knewgain, Constantes!$B$4,
  _xlpm.Knewscale, Constantes!$B$5,
  _xlpm.ptstables, INDEX(L:L, _xlfn.SEQUENCE(COUNTA($C$2:$C105), 1, 3, 4)),
  _xlpm.nbparties, COUNTA(_xlfn._xlws.FILTER(_xlpm.ptstables, _xlpm.ptstables &lt;&gt; "")),
  _xlpm.coef, _xlpm.K + _xlpm.Knewgain / (_xlpm.Knewscale + _xlpm.nbparties),
  IF(L103="",
    "",
    _xlpm.coef * (L103-L104))
)</f>
        <v/>
      </c>
      <c r="M105" t="str" cm="1">
        <f t="array" ref="M105">_xlfn.LET(
  _xlpm.K, Constantes!$B$3,
  _xlpm.Knewgain, Constantes!$B$4,
  _xlpm.Knewscale, Constantes!$B$5,
  _xlpm.ptstables, INDEX(M:M, _xlfn.SEQUENCE(COUNTA($C$2:$C105), 1, 3, 4)),
  _xlpm.nbparties, COUNTA(_xlfn._xlws.FILTER(_xlpm.ptstables, _xlpm.ptstables &lt;&gt; "")),
  _xlpm.coef, _xlpm.K + _xlpm.Knewgain / (_xlpm.Knewscale + _xlpm.nbparties),
  IF(M103="",
    "",
    _xlpm.coef * (M103-M104))
)</f>
        <v/>
      </c>
      <c r="N105" cm="1">
        <f t="array" ref="N105">_xlfn.LET(
  _xlpm.K, Constantes!$B$3,
  _xlpm.Knewgain, Constantes!$B$4,
  _xlpm.Knewscale, Constantes!$B$5,
  _xlpm.ptstables, INDEX(N:N, _xlfn.SEQUENCE(COUNTA($C$2:$C105), 1, 3, 4)),
  _xlpm.nbparties, COUNTA(_xlfn._xlws.FILTER(_xlpm.ptstables, _xlpm.ptstables &lt;&gt; "")),
  _xlpm.coef, _xlpm.K + _xlpm.Knewgain / (_xlpm.Knewscale + _xlpm.nbparties),
  IF(N103="",
    "",
    _xlpm.coef * (N103-N104))
)</f>
        <v>30.880676088890386</v>
      </c>
      <c r="O105" t="str" cm="1">
        <f t="array" ref="O105">_xlfn.LET(
  _xlpm.K, Constantes!$B$3,
  _xlpm.Knewgain, Constantes!$B$4,
  _xlpm.Knewscale, Constantes!$B$5,
  _xlpm.ptstables, INDEX(O:O, _xlfn.SEQUENCE(COUNTA($C$2:$C105), 1, 3, 4)),
  _xlpm.nbparties, COUNTA(_xlfn._xlws.FILTER(_xlpm.ptstables, _xlpm.ptstables &lt;&gt; "")),
  _xlpm.coef, _xlpm.K + _xlpm.Knewgain / (_xlpm.Knewscale + _xlpm.nbparties),
  IF(O103="",
    "",
    _xlpm.coef * (O103-O104))
)</f>
        <v/>
      </c>
      <c r="P105" t="str" cm="1">
        <f t="array" ref="P105">_xlfn.LET(
  _xlpm.K, Constantes!$B$3,
  _xlpm.Knewgain, Constantes!$B$4,
  _xlpm.Knewscale, Constantes!$B$5,
  _xlpm.ptstables, INDEX(P:P, _xlfn.SEQUENCE(COUNTA($C$2:$C105), 1, 3, 4)),
  _xlpm.nbparties, COUNTA(_xlfn._xlws.FILTER(_xlpm.ptstables, _xlpm.ptstables &lt;&gt; "")),
  _xlpm.coef, _xlpm.K + _xlpm.Knewgain / (_xlpm.Knewscale + _xlpm.nbparties),
  IF(P103="",
    "",
    _xlpm.coef * (P103-P104))
)</f>
        <v/>
      </c>
      <c r="Q105" cm="1">
        <f t="array" ref="Q105">_xlfn.LET(
  _xlpm.K, Constantes!$B$3,
  _xlpm.Knewgain, Constantes!$B$4,
  _xlpm.Knewscale, Constantes!$B$5,
  _xlpm.ptstables, INDEX(Q:Q, _xlfn.SEQUENCE(COUNTA($C$2:$C105), 1, 3, 4)),
  _xlpm.nbparties, COUNTA(_xlfn._xlws.FILTER(_xlpm.ptstables, _xlpm.ptstables &lt;&gt; "")),
  _xlpm.coef, _xlpm.K + _xlpm.Knewgain / (_xlpm.Knewscale + _xlpm.nbparties),
  IF(Q103="",
    "",
    _xlpm.coef * (Q103-Q104))
)</f>
        <v>40.874239979186619</v>
      </c>
      <c r="R105" t="str" cm="1">
        <f t="array" ref="R105">_xlfn.LET(
  _xlpm.K, Constantes!$B$3,
  _xlpm.Knewgain, Constantes!$B$4,
  _xlpm.Knewscale, Constantes!$B$5,
  _xlpm.ptstables, INDEX(R:R, _xlfn.SEQUENCE(COUNTA($C$2:$C105), 1, 3, 4)),
  _xlpm.nbparties, COUNTA(_xlfn._xlws.FILTER(_xlpm.ptstables, _xlpm.ptstables &lt;&gt; "")),
  _xlpm.coef, _xlpm.K + _xlpm.Knewgain / (_xlpm.Knewscale + _xlpm.nbparties),
  IF(R103="",
    "",
    _xlpm.coef * (R103-R104))
)</f>
        <v/>
      </c>
      <c r="S105" t="str" cm="1">
        <f t="array" ref="S105">_xlfn.LET(
  _xlpm.K, Constantes!$B$3,
  _xlpm.Knewgain, Constantes!$B$4,
  _xlpm.Knewscale, Constantes!$B$5,
  _xlpm.ptstables, INDEX(S:S, _xlfn.SEQUENCE(COUNTA($C$2:$C105), 1, 3, 4)),
  _xlpm.nbparties, COUNTA(_xlfn._xlws.FILTER(_xlpm.ptstables, _xlpm.ptstables &lt;&gt; "")),
  _xlpm.coef, _xlpm.K + _xlpm.Knewgain / (_xlpm.Knewscale + _xlpm.nbparties),
  IF(S103="",
    "",
    _xlpm.coef * (S103-S104))
)</f>
        <v/>
      </c>
      <c r="T105" t="str" cm="1">
        <f t="array" ref="T105">_xlfn.LET(
  _xlpm.K, Constantes!$B$3,
  _xlpm.Knewgain, Constantes!$B$4,
  _xlpm.Knewscale, Constantes!$B$5,
  _xlpm.ptstables, INDEX(T:T, _xlfn.SEQUENCE(COUNTA($C$2:$C105), 1, 3, 4)),
  _xlpm.nbparties, COUNTA(_xlfn._xlws.FILTER(_xlpm.ptstables, _xlpm.ptstables &lt;&gt; "")),
  _xlpm.coef, _xlpm.K + _xlpm.Knewgain / (_xlpm.Knewscale + _xlpm.nbparties),
  IF(T103="",
    "",
    _xlpm.coef * (T103-T104))
)</f>
        <v/>
      </c>
      <c r="U105" cm="1">
        <f t="array" ref="U105">_xlfn.LET(
  _xlpm.K, Constantes!$B$3,
  _xlpm.Knewgain, Constantes!$B$4,
  _xlpm.Knewscale, Constantes!$B$5,
  _xlpm.ptstables, INDEX(U:U, _xlfn.SEQUENCE(COUNTA($C$2:$C105), 1, 3, 4)),
  _xlpm.nbparties, COUNTA(_xlfn._xlws.FILTER(_xlpm.ptstables, _xlpm.ptstables &lt;&gt; "")),
  _xlpm.coef, _xlpm.K + _xlpm.Knewgain / (_xlpm.Knewscale + _xlpm.nbparties),
  IF(U103="",
    "",
    _xlpm.coef * (U103-U104))
)</f>
        <v>-14.750355762678657</v>
      </c>
      <c r="V105" t="str" cm="1">
        <f t="array" ref="V105">_xlfn.LET(
  _xlpm.K, Constantes!$B$3,
  _xlpm.Knewgain, Constantes!$B$4,
  _xlpm.Knewscale, Constantes!$B$5,
  _xlpm.ptstables, INDEX(V:V, _xlfn.SEQUENCE(COUNTA($C$2:$C105), 1, 3, 4)),
  _xlpm.nbparties, COUNTA(_xlfn._xlws.FILTER(_xlpm.ptstables, _xlpm.ptstables &lt;&gt; "")),
  _xlpm.coef, _xlpm.K + _xlpm.Knewgain / (_xlpm.Knewscale + _xlpm.nbparties),
  IF(V103="",
    "",
    _xlpm.coef * (V103-V104))
)</f>
        <v/>
      </c>
      <c r="W105" t="str" cm="1">
        <f t="array" ref="W105">_xlfn.LET(
  _xlpm.K, Constantes!$B$3,
  _xlpm.Knewgain, Constantes!$B$4,
  _xlpm.Knewscale, Constantes!$B$5,
  _xlpm.ptstables, INDEX(W:W, _xlfn.SEQUENCE(COUNTA($C$2:$C105), 1, 3, 4)),
  _xlpm.nbparties, COUNTA(_xlfn._xlws.FILTER(_xlpm.ptstables, _xlpm.ptstables &lt;&gt; "")),
  _xlpm.coef, _xlpm.K + _xlpm.Knewgain / (_xlpm.Knewscale + _xlpm.nbparties),
  IF(W103="",
    "",
    _xlpm.coef * (W103-W104))
)</f>
        <v/>
      </c>
      <c r="X105" t="str" cm="1">
        <f t="array" ref="X105">_xlfn.LET(
  _xlpm.K, Constantes!$B$3,
  _xlpm.Knewgain, Constantes!$B$4,
  _xlpm.Knewscale, Constantes!$B$5,
  _xlpm.ptstables, INDEX(X:X, _xlfn.SEQUENCE(COUNTA($C$2:$C105), 1, 3, 4)),
  _xlpm.nbparties, COUNTA(_xlfn._xlws.FILTER(_xlpm.ptstables, _xlpm.ptstables &lt;&gt; "")),
  _xlpm.coef, _xlpm.K + _xlpm.Knewgain / (_xlpm.Knewscale + _xlpm.nbparties),
  IF(X103="",
    "",
    _xlpm.coef * (X103-X104))
)</f>
        <v/>
      </c>
      <c r="Y105" t="str" cm="1">
        <f t="array" ref="Y105">_xlfn.LET(
  _xlpm.K, Constantes!$B$3,
  _xlpm.Knewgain, Constantes!$B$4,
  _xlpm.Knewscale, Constantes!$B$5,
  _xlpm.ptstables, INDEX(Y:Y, _xlfn.SEQUENCE(COUNTA($C$2:$C105), 1, 3, 4)),
  _xlpm.nbparties, COUNTA(_xlfn._xlws.FILTER(_xlpm.ptstables, _xlpm.ptstables &lt;&gt; "")),
  _xlpm.coef, _xlpm.K + _xlpm.Knewgain / (_xlpm.Knewscale + _xlpm.nbparties),
  IF(Y103="",
    "",
    _xlpm.coef * (Y103-Y104))
)</f>
        <v/>
      </c>
      <c r="Z105" t="str" cm="1">
        <f t="array" ref="Z105">_xlfn.LET(
  _xlpm.K, Constantes!$B$3,
  _xlpm.Knewgain, Constantes!$B$4,
  _xlpm.Knewscale, Constantes!$B$5,
  _xlpm.ptstables, INDEX(Z:Z, _xlfn.SEQUENCE(COUNTA($C$2:$C105), 1, 3, 4)),
  _xlpm.nbparties, COUNTA(_xlfn._xlws.FILTER(_xlpm.ptstables, _xlpm.ptstables &lt;&gt; "")),
  _xlpm.coef, _xlpm.K + _xlpm.Knewgain / (_xlpm.Knewscale + _xlpm.nbparties),
  IF(Z103="",
    "",
    _xlpm.coef * (Z103-Z104))
)</f>
        <v/>
      </c>
      <c r="AA105" t="str" cm="1">
        <f t="array" ref="AA105">_xlfn.LET(
  _xlpm.K, Constantes!$B$3,
  _xlpm.Knewgain, Constantes!$B$4,
  _xlpm.Knewscale, Constantes!$B$5,
  _xlpm.ptstables, INDEX(AA:AA, _xlfn.SEQUENCE(COUNTA($C$2:$C105), 1, 3, 4)),
  _xlpm.nbparties, COUNTA(_xlfn._xlws.FILTER(_xlpm.ptstables, _xlpm.ptstables &lt;&gt; "")),
  _xlpm.coef, _xlpm.K + _xlpm.Knewgain / (_xlpm.Knewscale + _xlpm.nbparties),
  IF(AA103="",
    "",
    _xlpm.coef * (AA103-AA104))
)</f>
        <v/>
      </c>
      <c r="AB105" t="str" cm="1">
        <f t="array" ref="AB105">_xlfn.LET(
  _xlpm.K, Constantes!$B$3,
  _xlpm.Knewgain, Constantes!$B$4,
  _xlpm.Knewscale, Constantes!$B$5,
  _xlpm.ptstables, INDEX(AB:AB, _xlfn.SEQUENCE(COUNTA($C$2:$C105), 1, 3, 4)),
  _xlpm.nbparties, COUNTA(_xlfn._xlws.FILTER(_xlpm.ptstables, _xlpm.ptstables &lt;&gt; "")),
  _xlpm.coef, _xlpm.K + _xlpm.Knewgain / (_xlpm.Knewscale + _xlpm.nbparties),
  IF(AB103="",
    "",
    _xlpm.coef * (AB103-AB104))
)</f>
        <v/>
      </c>
      <c r="AC105" t="str" cm="1">
        <f t="array" ref="AC105">_xlfn.LET(
  _xlpm.K, Constantes!$B$3,
  _xlpm.Knewgain, Constantes!$B$4,
  _xlpm.Knewscale, Constantes!$B$5,
  _xlpm.ptstables, INDEX(AC:AC, _xlfn.SEQUENCE(COUNTA($C$2:$C105), 1, 3, 4)),
  _xlpm.nbparties, COUNTA(_xlfn._xlws.FILTER(_xlpm.ptstables, _xlpm.ptstables &lt;&gt; "")),
  _xlpm.coef, _xlpm.K + _xlpm.Knewgain / (_xlpm.Knewscale + _xlpm.nbparties),
  IF(AC103="",
    "",
    _xlpm.coef * (AC103-AC104))
)</f>
        <v/>
      </c>
      <c r="AD105" t="str" cm="1">
        <f t="array" ref="AD105">_xlfn.LET(
  _xlpm.K, Constantes!$B$3,
  _xlpm.Knewgain, Constantes!$B$4,
  _xlpm.Knewscale, Constantes!$B$5,
  _xlpm.ptstables, INDEX(AD:AD, _xlfn.SEQUENCE(COUNTA($C$2:$C105), 1, 3, 4)),
  _xlpm.nbparties, COUNTA(_xlfn._xlws.FILTER(_xlpm.ptstables, _xlpm.ptstables &lt;&gt; "")),
  _xlpm.coef, _xlpm.K + _xlpm.Knewgain / (_xlpm.Knewscale + _xlpm.nbparties),
  IF(AD103="",
    "",
    _xlpm.coef * (AD103-AD104))
)</f>
        <v/>
      </c>
      <c r="AE105" t="str" cm="1">
        <f t="array" ref="AE105">_xlfn.LET(
  _xlpm.K, Constantes!$B$3,
  _xlpm.Knewgain, Constantes!$B$4,
  _xlpm.Knewscale, Constantes!$B$5,
  _xlpm.ptstables, INDEX(AE:AE, _xlfn.SEQUENCE(COUNTA($C$2:$C105), 1, 3, 4)),
  _xlpm.nbparties, COUNTA(_xlfn._xlws.FILTER(_xlpm.ptstables, _xlpm.ptstables &lt;&gt; "")),
  _xlpm.coef, _xlpm.K + _xlpm.Knewgain / (_xlpm.Knewscale + _xlpm.nbparties),
  IF(AE103="",
    "",
    _xlpm.coef * (AE103-AE104))
)</f>
        <v/>
      </c>
      <c r="AF105" t="str" cm="1">
        <f t="array" ref="AF105">_xlfn.LET(
  _xlpm.K, Constantes!$B$3,
  _xlpm.Knewgain, Constantes!$B$4,
  _xlpm.Knewscale, Constantes!$B$5,
  _xlpm.ptstables, INDEX(AF:AF, _xlfn.SEQUENCE(COUNTA($C$2:$C105), 1, 3, 4)),
  _xlpm.nbparties, COUNTA(_xlfn._xlws.FILTER(_xlpm.ptstables, _xlpm.ptstables &lt;&gt; "")),
  _xlpm.coef, _xlpm.K + _xlpm.Knewgain / (_xlpm.Knewscale + _xlpm.nbparties),
  IF(AF103="",
    "",
    _xlpm.coef * (AF103-AF104))
)</f>
        <v/>
      </c>
      <c r="AG105" t="str" cm="1">
        <f t="array" ref="AG105">_xlfn.LET(
  _xlpm.K, Constantes!$B$3,
  _xlpm.Knewgain, Constantes!$B$4,
  _xlpm.Knewscale, Constantes!$B$5,
  _xlpm.ptstables, INDEX(AG:AG, _xlfn.SEQUENCE(COUNTA($C$2:$C105), 1, 3, 4)),
  _xlpm.nbparties, COUNTA(_xlfn._xlws.FILTER(_xlpm.ptstables, _xlpm.ptstables &lt;&gt; "")),
  _xlpm.coef, _xlpm.K + _xlpm.Knewgain / (_xlpm.Knewscale + _xlpm.nbparties),
  IF(AG103="",
    "",
    _xlpm.coef * (AG103-AG104))
)</f>
        <v/>
      </c>
      <c r="AH105" t="str" cm="1">
        <f t="array" ref="AH105">_xlfn.LET(
  _xlpm.K, Constantes!$B$3,
  _xlpm.Knewgain, Constantes!$B$4,
  _xlpm.Knewscale, Constantes!$B$5,
  _xlpm.ptstables, INDEX(AH:AH, _xlfn.SEQUENCE(COUNTA($C$2:$C105), 1, 3, 4)),
  _xlpm.nbparties, COUNTA(_xlfn._xlws.FILTER(_xlpm.ptstables, _xlpm.ptstables &lt;&gt; "")),
  _xlpm.coef, _xlpm.K + _xlpm.Knewgain / (_xlpm.Knewscale + _xlpm.nbparties),
  IF(AH103="",
    "",
    _xlpm.coef * (AH103-AH104))
)</f>
        <v/>
      </c>
      <c r="AI105" t="str" cm="1">
        <f t="array" ref="AI105">_xlfn.LET(
  _xlpm.K, Constantes!$B$3,
  _xlpm.Knewgain, Constantes!$B$4,
  _xlpm.Knewscale, Constantes!$B$5,
  _xlpm.ptstables, INDEX(AI:AI, _xlfn.SEQUENCE(COUNTA($C$2:$C105), 1, 3, 4)),
  _xlpm.nbparties, COUNTA(_xlfn._xlws.FILTER(_xlpm.ptstables, _xlpm.ptstables &lt;&gt; "")),
  _xlpm.coef, _xlpm.K + _xlpm.Knewgain / (_xlpm.Knewscale + _xlpm.nbparties),
  IF(AI103="",
    "",
    _xlpm.coef * (AI103-AI104))
)</f>
        <v/>
      </c>
      <c r="AJ105" t="str" cm="1">
        <f t="array" ref="AJ105">_xlfn.LET(
  _xlpm.K, Constantes!$B$3,
  _xlpm.Knewgain, Constantes!$B$4,
  _xlpm.Knewscale, Constantes!$B$5,
  _xlpm.ptstables, INDEX(AJ:AJ, _xlfn.SEQUENCE(COUNTA($C$2:$C105), 1, 3, 4)),
  _xlpm.nbparties, COUNTA(_xlfn._xlws.FILTER(_xlpm.ptstables, _xlpm.ptstables &lt;&gt; "")),
  _xlpm.coef, _xlpm.K + _xlpm.Knewgain / (_xlpm.Knewscale + _xlpm.nbparties),
  IF(AJ103="",
    "",
    _xlpm.coef * (AJ103-AJ104))
)</f>
        <v/>
      </c>
      <c r="AK105" t="str" cm="1">
        <f t="array" ref="AK105">_xlfn.LET(
  _xlpm.K, Constantes!$B$3,
  _xlpm.Knewgain, Constantes!$B$4,
  _xlpm.Knewscale, Constantes!$B$5,
  _xlpm.ptstables, INDEX(AK:AK, _xlfn.SEQUENCE(COUNTA($C$2:$C105), 1, 3, 4)),
  _xlpm.nbparties, COUNTA(_xlfn._xlws.FILTER(_xlpm.ptstables, _xlpm.ptstables &lt;&gt; "")),
  _xlpm.coef, _xlpm.K + _xlpm.Knewgain / (_xlpm.Knewscale + _xlpm.nbparties),
  IF(AK103="",
    "",
    _xlpm.coef * (AK103-AK104))
)</f>
        <v/>
      </c>
      <c r="AL105" t="str" cm="1">
        <f t="array" ref="AL105">_xlfn.LET(
  _xlpm.K, Constantes!$B$3,
  _xlpm.Knewgain, Constantes!$B$4,
  _xlpm.Knewscale, Constantes!$B$5,
  _xlpm.ptstables, INDEX(AL:AL, _xlfn.SEQUENCE(COUNTA($C$2:$C105), 1, 3, 4)),
  _xlpm.nbparties, COUNTA(_xlfn._xlws.FILTER(_xlpm.ptstables, _xlpm.ptstables &lt;&gt; "")),
  _xlpm.coef, _xlpm.K + _xlpm.Knewgain / (_xlpm.Knewscale + _xlpm.nbparties),
  IF(AL103="",
    "",
    _xlpm.coef * (AL103-AL104))
)</f>
        <v/>
      </c>
      <c r="AM105" t="str" cm="1">
        <f t="array" ref="AM105">_xlfn.LET(
  _xlpm.K, Constantes!$B$3,
  _xlpm.Knewgain, Constantes!$B$4,
  _xlpm.Knewscale, Constantes!$B$5,
  _xlpm.ptstables, INDEX(AM:AM, _xlfn.SEQUENCE(COUNTA($C$2:$C105), 1, 3, 4)),
  _xlpm.nbparties, COUNTA(_xlfn._xlws.FILTER(_xlpm.ptstables, _xlpm.ptstables &lt;&gt; "")),
  _xlpm.coef, _xlpm.K + _xlpm.Knewgain / (_xlpm.Knewscale + _xlpm.nbparties),
  IF(AM103="",
    "",
    _xlpm.coef * (AM103-AM104))
)</f>
        <v/>
      </c>
    </row>
    <row r="106" spans="1:39" x14ac:dyDescent="0.25">
      <c r="A106" t="s">
        <v>14</v>
      </c>
      <c r="B106" t="str" cm="1">
        <f t="array" ref="B10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24</v>
      </c>
      <c r="C106" s="2" cm="1">
        <f t="array" ref="C106">IF(B106="","",
  INDEX(Donnees!F:F, MATCH(B106, Donnees!F:F, 0)+1))</f>
        <v>45920.834236111114</v>
      </c>
      <c r="D106">
        <f t="shared" ref="D106:AM106" si="34">D102+IF(D105="",0,D105)</f>
        <v>1055.7378531207901</v>
      </c>
      <c r="E106">
        <f t="shared" si="34"/>
        <v>1132.3930578903671</v>
      </c>
      <c r="F106">
        <f t="shared" si="34"/>
        <v>908.83204631618707</v>
      </c>
      <c r="G106">
        <f t="shared" si="34"/>
        <v>956.37970750382215</v>
      </c>
      <c r="H106">
        <f t="shared" si="34"/>
        <v>1020.3453983892952</v>
      </c>
      <c r="I106">
        <f t="shared" si="34"/>
        <v>1056.8165036600865</v>
      </c>
      <c r="J106">
        <f t="shared" si="34"/>
        <v>938.49433816478961</v>
      </c>
      <c r="K106">
        <f t="shared" si="34"/>
        <v>907.51653081539087</v>
      </c>
      <c r="L106">
        <f t="shared" si="34"/>
        <v>833.43137648430843</v>
      </c>
      <c r="M106">
        <f t="shared" si="34"/>
        <v>913.41986361738122</v>
      </c>
      <c r="N106">
        <f t="shared" si="34"/>
        <v>924.41787774469185</v>
      </c>
      <c r="O106">
        <f t="shared" si="34"/>
        <v>1030.4363831507294</v>
      </c>
      <c r="P106">
        <f t="shared" si="34"/>
        <v>1043.9932888752683</v>
      </c>
      <c r="Q106">
        <f t="shared" si="34"/>
        <v>1079.8951884962632</v>
      </c>
      <c r="R106">
        <f t="shared" si="34"/>
        <v>1131.3793652528555</v>
      </c>
      <c r="S106">
        <f t="shared" si="34"/>
        <v>967.83471475152407</v>
      </c>
      <c r="T106">
        <f t="shared" si="34"/>
        <v>1135.2782658680615</v>
      </c>
      <c r="U106">
        <f t="shared" si="34"/>
        <v>997.66379362935493</v>
      </c>
      <c r="V106">
        <f t="shared" si="34"/>
        <v>961.58818235691967</v>
      </c>
      <c r="W106">
        <f t="shared" si="34"/>
        <v>936.79085942937002</v>
      </c>
      <c r="X106">
        <f t="shared" si="34"/>
        <v>877.155434035638</v>
      </c>
      <c r="Y106">
        <f t="shared" si="34"/>
        <v>993.49299956228185</v>
      </c>
      <c r="Z106">
        <f t="shared" si="34"/>
        <v>991.11904139672549</v>
      </c>
      <c r="AA106">
        <f t="shared" si="34"/>
        <v>980.56756855165884</v>
      </c>
      <c r="AB106">
        <f t="shared" si="34"/>
        <v>979.56500000000005</v>
      </c>
      <c r="AC106">
        <f t="shared" si="34"/>
        <v>1032.51</v>
      </c>
      <c r="AD106">
        <f t="shared" si="34"/>
        <v>974.01499999999999</v>
      </c>
      <c r="AE106">
        <f t="shared" si="34"/>
        <v>1011.415</v>
      </c>
      <c r="AF106">
        <f t="shared" si="34"/>
        <v>1031.1199999999999</v>
      </c>
      <c r="AG106">
        <f t="shared" si="34"/>
        <v>1001.0350000000001</v>
      </c>
      <c r="AH106">
        <f t="shared" si="34"/>
        <v>994.44</v>
      </c>
      <c r="AI106">
        <f t="shared" si="34"/>
        <v>1000</v>
      </c>
      <c r="AJ106">
        <f t="shared" si="34"/>
        <v>957.2</v>
      </c>
      <c r="AK106">
        <f t="shared" si="34"/>
        <v>1000</v>
      </c>
      <c r="AL106">
        <f t="shared" si="34"/>
        <v>1055.9299999999998</v>
      </c>
      <c r="AM106">
        <f t="shared" si="34"/>
        <v>1000</v>
      </c>
    </row>
    <row r="107" spans="1:39" x14ac:dyDescent="0.25">
      <c r="A107" t="s">
        <v>21</v>
      </c>
      <c r="D107" t="str" cm="1">
        <f t="array" ref="D107">IFERROR(
  _xlfn.LET(
    _xlpm.ligpartie, MATCH($B106, Donnees!$F:$F, 0),
    _xlpm.joueurs, INDEX(Donnees!$A:$Z, _xlpm.ligpartie+1, _xlfn.SEQUENCE(1, 4, 2)),
    INDEX(
      Donnees!$A:$Z,
      _xlpm.ligpartie + 3,
      MATCH(D$1, _xlpm.joueurs, 0) + 1
    )
  ), ""
)</f>
        <v/>
      </c>
      <c r="E107" t="str" cm="1">
        <f t="array" ref="E107">IFERROR(
  _xlfn.LET(
    _xlpm.ligpartie, MATCH($B106, Donnees!$F:$F, 0),
    _xlpm.joueurs, INDEX(Donnees!$A:$Z, _xlpm.ligpartie+1, _xlfn.SEQUENCE(1, 4, 2)),
    INDEX(
      Donnees!$A:$Z,
      _xlpm.ligpartie + 3,
      MATCH(E$1, _xlpm.joueurs, 0) + 1
    )
  ), ""
)</f>
        <v/>
      </c>
      <c r="F107" t="str" cm="1">
        <f t="array" ref="F107">IFERROR(
  _xlfn.LET(
    _xlpm.ligpartie, MATCH($B106, Donnees!$F:$F, 0),
    _xlpm.joueurs, INDEX(Donnees!$A:$Z, _xlpm.ligpartie+1, _xlfn.SEQUENCE(1, 4, 2)),
    INDEX(
      Donnees!$A:$Z,
      _xlpm.ligpartie + 3,
      MATCH(F$1, _xlpm.joueurs, 0) + 1
    )
  ), ""
)</f>
        <v/>
      </c>
      <c r="G107" t="str" cm="1">
        <f t="array" ref="G107">IFERROR(
  _xlfn.LET(
    _xlpm.ligpartie, MATCH($B106, Donnees!$F:$F, 0),
    _xlpm.joueurs, INDEX(Donnees!$A:$Z, _xlpm.ligpartie+1, _xlfn.SEQUENCE(1, 4, 2)),
    INDEX(
      Donnees!$A:$Z,
      _xlpm.ligpartie + 3,
      MATCH(G$1, _xlpm.joueurs, 0) + 1
    )
  ), ""
)</f>
        <v/>
      </c>
      <c r="H107" cm="1">
        <f t="array" ref="H107">IFERROR(
  _xlfn.LET(
    _xlpm.ligpartie, MATCH($B106, Donnees!$F:$F, 0),
    _xlpm.joueurs, INDEX(Donnees!$A:$Z, _xlpm.ligpartie+1, _xlfn.SEQUENCE(1, 4, 2)),
    INDEX(
      Donnees!$A:$Z,
      _xlpm.ligpartie + 3,
      MATCH(H$1, _xlpm.joueurs, 0) + 1
    )
  ), ""
)</f>
        <v>1</v>
      </c>
      <c r="I107" t="str" cm="1">
        <f t="array" ref="I107">IFERROR(
  _xlfn.LET(
    _xlpm.ligpartie, MATCH($B106, Donnees!$F:$F, 0),
    _xlpm.joueurs, INDEX(Donnees!$A:$Z, _xlpm.ligpartie+1, _xlfn.SEQUENCE(1, 4, 2)),
    INDEX(
      Donnees!$A:$Z,
      _xlpm.ligpartie + 3,
      MATCH(I$1, _xlpm.joueurs, 0) + 1
    )
  ), ""
)</f>
        <v/>
      </c>
      <c r="J107" t="str" cm="1">
        <f t="array" ref="J107">IFERROR(
  _xlfn.LET(
    _xlpm.ligpartie, MATCH($B106, Donnees!$F:$F, 0),
    _xlpm.joueurs, INDEX(Donnees!$A:$Z, _xlpm.ligpartie+1, _xlfn.SEQUENCE(1, 4, 2)),
    INDEX(
      Donnees!$A:$Z,
      _xlpm.ligpartie + 3,
      MATCH(J$1, _xlpm.joueurs, 0) + 1
    )
  ), ""
)</f>
        <v/>
      </c>
      <c r="K107" t="str" cm="1">
        <f t="array" ref="K107">IFERROR(
  _xlfn.LET(
    _xlpm.ligpartie, MATCH($B106, Donnees!$F:$F, 0),
    _xlpm.joueurs, INDEX(Donnees!$A:$Z, _xlpm.ligpartie+1, _xlfn.SEQUENCE(1, 4, 2)),
    INDEX(
      Donnees!$A:$Z,
      _xlpm.ligpartie + 3,
      MATCH(K$1, _xlpm.joueurs, 0) + 1
    )
  ), ""
)</f>
        <v/>
      </c>
      <c r="L107" t="str" cm="1">
        <f t="array" ref="L107">IFERROR(
  _xlfn.LET(
    _xlpm.ligpartie, MATCH($B106, Donnees!$F:$F, 0),
    _xlpm.joueurs, INDEX(Donnees!$A:$Z, _xlpm.ligpartie+1, _xlfn.SEQUENCE(1, 4, 2)),
    INDEX(
      Donnees!$A:$Z,
      _xlpm.ligpartie + 3,
      MATCH(L$1, _xlpm.joueurs, 0) + 1
    )
  ), ""
)</f>
        <v/>
      </c>
      <c r="M107" t="str" cm="1">
        <f t="array" ref="M107">IFERROR(
  _xlfn.LET(
    _xlpm.ligpartie, MATCH($B106, Donnees!$F:$F, 0),
    _xlpm.joueurs, INDEX(Donnees!$A:$Z, _xlpm.ligpartie+1, _xlfn.SEQUENCE(1, 4, 2)),
    INDEX(
      Donnees!$A:$Z,
      _xlpm.ligpartie + 3,
      MATCH(M$1, _xlpm.joueurs, 0) + 1
    )
  ), ""
)</f>
        <v/>
      </c>
      <c r="N107" t="str" cm="1">
        <f t="array" ref="N107">IFERROR(
  _xlfn.LET(
    _xlpm.ligpartie, MATCH($B106, Donnees!$F:$F, 0),
    _xlpm.joueurs, INDEX(Donnees!$A:$Z, _xlpm.ligpartie+1, _xlfn.SEQUENCE(1, 4, 2)),
    INDEX(
      Donnees!$A:$Z,
      _xlpm.ligpartie + 3,
      MATCH(N$1, _xlpm.joueurs, 0) + 1
    )
  ), ""
)</f>
        <v/>
      </c>
      <c r="O107" t="str" cm="1">
        <f t="array" ref="O107">IFERROR(
  _xlfn.LET(
    _xlpm.ligpartie, MATCH($B106, Donnees!$F:$F, 0),
    _xlpm.joueurs, INDEX(Donnees!$A:$Z, _xlpm.ligpartie+1, _xlfn.SEQUENCE(1, 4, 2)),
    INDEX(
      Donnees!$A:$Z,
      _xlpm.ligpartie + 3,
      MATCH(O$1, _xlpm.joueurs, 0) + 1
    )
  ), ""
)</f>
        <v/>
      </c>
      <c r="P107" t="str" cm="1">
        <f t="array" ref="P107">IFERROR(
  _xlfn.LET(
    _xlpm.ligpartie, MATCH($B106, Donnees!$F:$F, 0),
    _xlpm.joueurs, INDEX(Donnees!$A:$Z, _xlpm.ligpartie+1, _xlfn.SEQUENCE(1, 4, 2)),
    INDEX(
      Donnees!$A:$Z,
      _xlpm.ligpartie + 3,
      MATCH(P$1, _xlpm.joueurs, 0) + 1
    )
  ), ""
)</f>
        <v/>
      </c>
      <c r="Q107" t="str" cm="1">
        <f t="array" ref="Q107">IFERROR(
  _xlfn.LET(
    _xlpm.ligpartie, MATCH($B106, Donnees!$F:$F, 0),
    _xlpm.joueurs, INDEX(Donnees!$A:$Z, _xlpm.ligpartie+1, _xlfn.SEQUENCE(1, 4, 2)),
    INDEX(
      Donnees!$A:$Z,
      _xlpm.ligpartie + 3,
      MATCH(Q$1, _xlpm.joueurs, 0) + 1
    )
  ), ""
)</f>
        <v/>
      </c>
      <c r="R107" cm="1">
        <f t="array" ref="R107">IFERROR(
  _xlfn.LET(
    _xlpm.ligpartie, MATCH($B106, Donnees!$F:$F, 0),
    _xlpm.joueurs, INDEX(Donnees!$A:$Z, _xlpm.ligpartie+1, _xlfn.SEQUENCE(1, 4, 2)),
    INDEX(
      Donnees!$A:$Z,
      _xlpm.ligpartie + 3,
      MATCH(R$1, _xlpm.joueurs, 0) + 1
    )
  ), ""
)</f>
        <v>2</v>
      </c>
      <c r="S107" t="str" cm="1">
        <f t="array" ref="S107">IFERROR(
  _xlfn.LET(
    _xlpm.ligpartie, MATCH($B106, Donnees!$F:$F, 0),
    _xlpm.joueurs, INDEX(Donnees!$A:$Z, _xlpm.ligpartie+1, _xlfn.SEQUENCE(1, 4, 2)),
    INDEX(
      Donnees!$A:$Z,
      _xlpm.ligpartie + 3,
      MATCH(S$1, _xlpm.joueurs, 0) + 1
    )
  ), ""
)</f>
        <v/>
      </c>
      <c r="T107" t="str" cm="1">
        <f t="array" ref="T107">IFERROR(
  _xlfn.LET(
    _xlpm.ligpartie, MATCH($B106, Donnees!$F:$F, 0),
    _xlpm.joueurs, INDEX(Donnees!$A:$Z, _xlpm.ligpartie+1, _xlfn.SEQUENCE(1, 4, 2)),
    INDEX(
      Donnees!$A:$Z,
      _xlpm.ligpartie + 3,
      MATCH(T$1, _xlpm.joueurs, 0) + 1
    )
  ), ""
)</f>
        <v/>
      </c>
      <c r="U107" t="str" cm="1">
        <f t="array" ref="U107">IFERROR(
  _xlfn.LET(
    _xlpm.ligpartie, MATCH($B106, Donnees!$F:$F, 0),
    _xlpm.joueurs, INDEX(Donnees!$A:$Z, _xlpm.ligpartie+1, _xlfn.SEQUENCE(1, 4, 2)),
    INDEX(
      Donnees!$A:$Z,
      _xlpm.ligpartie + 3,
      MATCH(U$1, _xlpm.joueurs, 0) + 1
    )
  ), ""
)</f>
        <v/>
      </c>
      <c r="V107" t="str" cm="1">
        <f t="array" ref="V107">IFERROR(
  _xlfn.LET(
    _xlpm.ligpartie, MATCH($B106, Donnees!$F:$F, 0),
    _xlpm.joueurs, INDEX(Donnees!$A:$Z, _xlpm.ligpartie+1, _xlfn.SEQUENCE(1, 4, 2)),
    INDEX(
      Donnees!$A:$Z,
      _xlpm.ligpartie + 3,
      MATCH(V$1, _xlpm.joueurs, 0) + 1
    )
  ), ""
)</f>
        <v/>
      </c>
      <c r="W107" t="str" cm="1">
        <f t="array" ref="W107">IFERROR(
  _xlfn.LET(
    _xlpm.ligpartie, MATCH($B106, Donnees!$F:$F, 0),
    _xlpm.joueurs, INDEX(Donnees!$A:$Z, _xlpm.ligpartie+1, _xlfn.SEQUENCE(1, 4, 2)),
    INDEX(
      Donnees!$A:$Z,
      _xlpm.ligpartie + 3,
      MATCH(W$1, _xlpm.joueurs, 0) + 1
    )
  ), ""
)</f>
        <v/>
      </c>
      <c r="X107" cm="1">
        <f t="array" ref="X107">IFERROR(
  _xlfn.LET(
    _xlpm.ligpartie, MATCH($B106, Donnees!$F:$F, 0),
    _xlpm.joueurs, INDEX(Donnees!$A:$Z, _xlpm.ligpartie+1, _xlfn.SEQUENCE(1, 4, 2)),
    INDEX(
      Donnees!$A:$Z,
      _xlpm.ligpartie + 3,
      MATCH(X$1, _xlpm.joueurs, 0) + 1
    )
  ), ""
)</f>
        <v>0</v>
      </c>
      <c r="Y107" cm="1">
        <f t="array" ref="Y107">IFERROR(
  _xlfn.LET(
    _xlpm.ligpartie, MATCH($B106, Donnees!$F:$F, 0),
    _xlpm.joueurs, INDEX(Donnees!$A:$Z, _xlpm.ligpartie+1, _xlfn.SEQUENCE(1, 4, 2)),
    INDEX(
      Donnees!$A:$Z,
      _xlpm.ligpartie + 3,
      MATCH(Y$1, _xlpm.joueurs, 0) + 1
    )
  ), ""
)</f>
        <v>3</v>
      </c>
      <c r="Z107" t="str" cm="1">
        <f t="array" ref="Z107">IFERROR(
  _xlfn.LET(
    _xlpm.ligpartie, MATCH($B106, Donnees!$F:$F, 0),
    _xlpm.joueurs, INDEX(Donnees!$A:$Z, _xlpm.ligpartie+1, _xlfn.SEQUENCE(1, 4, 2)),
    INDEX(
      Donnees!$A:$Z,
      _xlpm.ligpartie + 3,
      MATCH(Z$1, _xlpm.joueurs, 0) + 1
    )
  ), ""
)</f>
        <v/>
      </c>
      <c r="AA107" t="str" cm="1">
        <f t="array" ref="AA107">IFERROR(
  _xlfn.LET(
    _xlpm.ligpartie, MATCH($B106, Donnees!$F:$F, 0),
    _xlpm.joueurs, INDEX(Donnees!$A:$Z, _xlpm.ligpartie+1, _xlfn.SEQUENCE(1, 4, 2)),
    INDEX(
      Donnees!$A:$Z,
      _xlpm.ligpartie + 3,
      MATCH(AA$1, _xlpm.joueurs, 0) + 1
    )
  ), ""
)</f>
        <v/>
      </c>
      <c r="AB107" t="str" cm="1">
        <f t="array" ref="AB107">IFERROR(
  _xlfn.LET(
    _xlpm.ligpartie, MATCH($B106, Donnees!$F:$F, 0),
    _xlpm.joueurs, INDEX(Donnees!$A:$Z, _xlpm.ligpartie+1, _xlfn.SEQUENCE(1, 4, 2)),
    INDEX(
      Donnees!$A:$Z,
      _xlpm.ligpartie + 3,
      MATCH(AB$1, _xlpm.joueurs, 0) + 1
    )
  ), ""
)</f>
        <v/>
      </c>
      <c r="AC107" t="str" cm="1">
        <f t="array" ref="AC107">IFERROR(
  _xlfn.LET(
    _xlpm.ligpartie, MATCH($B106, Donnees!$F:$F, 0),
    _xlpm.joueurs, INDEX(Donnees!$A:$Z, _xlpm.ligpartie+1, _xlfn.SEQUENCE(1, 4, 2)),
    INDEX(
      Donnees!$A:$Z,
      _xlpm.ligpartie + 3,
      MATCH(AC$1, _xlpm.joueurs, 0) + 1
    )
  ), ""
)</f>
        <v/>
      </c>
      <c r="AD107" t="str" cm="1">
        <f t="array" ref="AD107">IFERROR(
  _xlfn.LET(
    _xlpm.ligpartie, MATCH($B106, Donnees!$F:$F, 0),
    _xlpm.joueurs, INDEX(Donnees!$A:$Z, _xlpm.ligpartie+1, _xlfn.SEQUENCE(1, 4, 2)),
    INDEX(
      Donnees!$A:$Z,
      _xlpm.ligpartie + 3,
      MATCH(AD$1, _xlpm.joueurs, 0) + 1
    )
  ), ""
)</f>
        <v/>
      </c>
      <c r="AE107" t="str" cm="1">
        <f t="array" ref="AE107">IFERROR(
  _xlfn.LET(
    _xlpm.ligpartie, MATCH($B106, Donnees!$F:$F, 0),
    _xlpm.joueurs, INDEX(Donnees!$A:$Z, _xlpm.ligpartie+1, _xlfn.SEQUENCE(1, 4, 2)),
    INDEX(
      Donnees!$A:$Z,
      _xlpm.ligpartie + 3,
      MATCH(AE$1, _xlpm.joueurs, 0) + 1
    )
  ), ""
)</f>
        <v/>
      </c>
      <c r="AF107" t="str" cm="1">
        <f t="array" ref="AF107">IFERROR(
  _xlfn.LET(
    _xlpm.ligpartie, MATCH($B106, Donnees!$F:$F, 0),
    _xlpm.joueurs, INDEX(Donnees!$A:$Z, _xlpm.ligpartie+1, _xlfn.SEQUENCE(1, 4, 2)),
    INDEX(
      Donnees!$A:$Z,
      _xlpm.ligpartie + 3,
      MATCH(AF$1, _xlpm.joueurs, 0) + 1
    )
  ), ""
)</f>
        <v/>
      </c>
      <c r="AG107" t="str" cm="1">
        <f t="array" ref="AG107">IFERROR(
  _xlfn.LET(
    _xlpm.ligpartie, MATCH($B106, Donnees!$F:$F, 0),
    _xlpm.joueurs, INDEX(Donnees!$A:$Z, _xlpm.ligpartie+1, _xlfn.SEQUENCE(1, 4, 2)),
    INDEX(
      Donnees!$A:$Z,
      _xlpm.ligpartie + 3,
      MATCH(AG$1, _xlpm.joueurs, 0) + 1
    )
  ), ""
)</f>
        <v/>
      </c>
      <c r="AH107" t="str" cm="1">
        <f t="array" ref="AH107">IFERROR(
  _xlfn.LET(
    _xlpm.ligpartie, MATCH($B106, Donnees!$F:$F, 0),
    _xlpm.joueurs, INDEX(Donnees!$A:$Z, _xlpm.ligpartie+1, _xlfn.SEQUENCE(1, 4, 2)),
    INDEX(
      Donnees!$A:$Z,
      _xlpm.ligpartie + 3,
      MATCH(AH$1, _xlpm.joueurs, 0) + 1
    )
  ), ""
)</f>
        <v/>
      </c>
      <c r="AI107" t="str" cm="1">
        <f t="array" ref="AI107">IFERROR(
  _xlfn.LET(
    _xlpm.ligpartie, MATCH($B106, Donnees!$F:$F, 0),
    _xlpm.joueurs, INDEX(Donnees!$A:$Z, _xlpm.ligpartie+1, _xlfn.SEQUENCE(1, 4, 2)),
    INDEX(
      Donnees!$A:$Z,
      _xlpm.ligpartie + 3,
      MATCH(AI$1, _xlpm.joueurs, 0) + 1
    )
  ), ""
)</f>
        <v/>
      </c>
      <c r="AJ107" t="str" cm="1">
        <f t="array" ref="AJ107">IFERROR(
  _xlfn.LET(
    _xlpm.ligpartie, MATCH($B106, Donnees!$F:$F, 0),
    _xlpm.joueurs, INDEX(Donnees!$A:$Z, _xlpm.ligpartie+1, _xlfn.SEQUENCE(1, 4, 2)),
    INDEX(
      Donnees!$A:$Z,
      _xlpm.ligpartie + 3,
      MATCH(AJ$1, _xlpm.joueurs, 0) + 1
    )
  ), ""
)</f>
        <v/>
      </c>
      <c r="AK107" t="str" cm="1">
        <f t="array" ref="AK107">IFERROR(
  _xlfn.LET(
    _xlpm.ligpartie, MATCH($B106, Donnees!$F:$F, 0),
    _xlpm.joueurs, INDEX(Donnees!$A:$Z, _xlpm.ligpartie+1, _xlfn.SEQUENCE(1, 4, 2)),
    INDEX(
      Donnees!$A:$Z,
      _xlpm.ligpartie + 3,
      MATCH(AK$1, _xlpm.joueurs, 0) + 1
    )
  ), ""
)</f>
        <v/>
      </c>
      <c r="AL107" t="str" cm="1">
        <f t="array" ref="AL107">IFERROR(
  _xlfn.LET(
    _xlpm.ligpartie, MATCH($B106, Donnees!$F:$F, 0),
    _xlpm.joueurs, INDEX(Donnees!$A:$Z, _xlpm.ligpartie+1, _xlfn.SEQUENCE(1, 4, 2)),
    INDEX(
      Donnees!$A:$Z,
      _xlpm.ligpartie + 3,
      MATCH(AL$1, _xlpm.joueurs, 0) + 1
    )
  ), ""
)</f>
        <v/>
      </c>
      <c r="AM107" t="str" cm="1">
        <f t="array" ref="AM107">IFERROR(
  _xlfn.LET(
    _xlpm.ligpartie, MATCH($B106, Donnees!$F:$F, 0),
    _xlpm.joueurs, INDEX(Donnees!$A:$Z, _xlpm.ligpartie+1, _xlfn.SEQUENCE(1, 4, 2)),
    INDEX(
      Donnees!$A:$Z,
      _xlpm.ligpartie + 3,
      MATCH(AM$1, _xlpm.joueurs, 0) + 1
    )
  ), ""
)</f>
        <v/>
      </c>
    </row>
    <row r="108" spans="1:39" x14ac:dyDescent="0.25">
      <c r="A108" t="s">
        <v>20</v>
      </c>
      <c r="D108" t="str" cm="1">
        <f t="array" ref="D108">_xlfn.LET(
  _xlpm.colj, _xlfn._xlws.FILTER(IF(ISNUMBER(107:107), COLUMN(107:107)), ISNUMBER(107:107)),
  _xlpm.elos, INDEX(106:106,1,_xlpm.colj),
  _xlpm.diffscale, Constantes!$B$2,
  IF(D107="",
    "",
    SUM(1/(1+POWER(10,-(D106-_xlpm.elos)/_xlpm.diffscale)))-0.5)
)</f>
        <v/>
      </c>
      <c r="E108" t="str" cm="1">
        <f t="array" ref="E108">_xlfn.LET(
  _xlpm.colj, _xlfn._xlws.FILTER(IF(ISNUMBER(107:107), COLUMN(107:107)), ISNUMBER(107:107)),
  _xlpm.elos, INDEX(106:106,1,_xlpm.colj),
  _xlpm.diffscale, Constantes!$B$2,
  IF(E107="",
    "",
    SUM(1/(1+POWER(10,-(E106-_xlpm.elos)/_xlpm.diffscale)))-0.5)
)</f>
        <v/>
      </c>
      <c r="F108" t="str" cm="1">
        <f t="array" ref="F108">_xlfn.LET(
  _xlpm.colj, _xlfn._xlws.FILTER(IF(ISNUMBER(107:107), COLUMN(107:107)), ISNUMBER(107:107)),
  _xlpm.elos, INDEX(106:106,1,_xlpm.colj),
  _xlpm.diffscale, Constantes!$B$2,
  IF(F107="",
    "",
    SUM(1/(1+POWER(10,-(F106-_xlpm.elos)/_xlpm.diffscale)))-0.5)
)</f>
        <v/>
      </c>
      <c r="G108" t="str" cm="1">
        <f t="array" ref="G108">_xlfn.LET(
  _xlpm.colj, _xlfn._xlws.FILTER(IF(ISNUMBER(107:107), COLUMN(107:107)), ISNUMBER(107:107)),
  _xlpm.elos, INDEX(106:106,1,_xlpm.colj),
  _xlpm.diffscale, Constantes!$B$2,
  IF(G107="",
    "",
    SUM(1/(1+POWER(10,-(G106-_xlpm.elos)/_xlpm.diffscale)))-0.5)
)</f>
        <v/>
      </c>
      <c r="H108" cm="1">
        <f t="array" ref="H108">_xlfn.LET(
  _xlpm.colj, _xlfn._xlws.FILTER(IF(ISNUMBER(107:107), COLUMN(107:107)), ISNUMBER(107:107)),
  _xlpm.elos, INDEX(106:106,1,_xlpm.colj),
  _xlpm.diffscale, Constantes!$B$2,
  IF(H107="",
    "",
    SUM(1/(1+POWER(10,-(H106-_xlpm.elos)/_xlpm.diffscale)))-0.5)
)</f>
        <v>1.579144242139197</v>
      </c>
      <c r="I108" t="str" cm="1">
        <f t="array" ref="I108">_xlfn.LET(
  _xlpm.colj, _xlfn._xlws.FILTER(IF(ISNUMBER(107:107), COLUMN(107:107)), ISNUMBER(107:107)),
  _xlpm.elos, INDEX(106:106,1,_xlpm.colj),
  _xlpm.diffscale, Constantes!$B$2,
  IF(I107="",
    "",
    SUM(1/(1+POWER(10,-(I106-_xlpm.elos)/_xlpm.diffscale)))-0.5)
)</f>
        <v/>
      </c>
      <c r="J108" t="str" cm="1">
        <f t="array" ref="J108">_xlfn.LET(
  _xlpm.colj, _xlfn._xlws.FILTER(IF(ISNUMBER(107:107), COLUMN(107:107)), ISNUMBER(107:107)),
  _xlpm.elos, INDEX(106:106,1,_xlpm.colj),
  _xlpm.diffscale, Constantes!$B$2,
  IF(J107="",
    "",
    SUM(1/(1+POWER(10,-(J106-_xlpm.elos)/_xlpm.diffscale)))-0.5)
)</f>
        <v/>
      </c>
      <c r="K108" t="str" cm="1">
        <f t="array" ref="K108">_xlfn.LET(
  _xlpm.colj, _xlfn._xlws.FILTER(IF(ISNUMBER(107:107), COLUMN(107:107)), ISNUMBER(107:107)),
  _xlpm.elos, INDEX(106:106,1,_xlpm.colj),
  _xlpm.diffscale, Constantes!$B$2,
  IF(K107="",
    "",
    SUM(1/(1+POWER(10,-(K106-_xlpm.elos)/_xlpm.diffscale)))-0.5)
)</f>
        <v/>
      </c>
      <c r="L108" t="str" cm="1">
        <f t="array" ref="L108">_xlfn.LET(
  _xlpm.colj, _xlfn._xlws.FILTER(IF(ISNUMBER(107:107), COLUMN(107:107)), ISNUMBER(107:107)),
  _xlpm.elos, INDEX(106:106,1,_xlpm.colj),
  _xlpm.diffscale, Constantes!$B$2,
  IF(L107="",
    "",
    SUM(1/(1+POWER(10,-(L106-_xlpm.elos)/_xlpm.diffscale)))-0.5)
)</f>
        <v/>
      </c>
      <c r="M108" t="str" cm="1">
        <f t="array" ref="M108">_xlfn.LET(
  _xlpm.colj, _xlfn._xlws.FILTER(IF(ISNUMBER(107:107), COLUMN(107:107)), ISNUMBER(107:107)),
  _xlpm.elos, INDEX(106:106,1,_xlpm.colj),
  _xlpm.diffscale, Constantes!$B$2,
  IF(M107="",
    "",
    SUM(1/(1+POWER(10,-(M106-_xlpm.elos)/_xlpm.diffscale)))-0.5)
)</f>
        <v/>
      </c>
      <c r="N108" t="str" cm="1">
        <f t="array" ref="N108">_xlfn.LET(
  _xlpm.colj, _xlfn._xlws.FILTER(IF(ISNUMBER(107:107), COLUMN(107:107)), ISNUMBER(107:107)),
  _xlpm.elos, INDEX(106:106,1,_xlpm.colj),
  _xlpm.diffscale, Constantes!$B$2,
  IF(N107="",
    "",
    SUM(1/(1+POWER(10,-(N106-_xlpm.elos)/_xlpm.diffscale)))-0.5)
)</f>
        <v/>
      </c>
      <c r="O108" t="str" cm="1">
        <f t="array" ref="O108">_xlfn.LET(
  _xlpm.colj, _xlfn._xlws.FILTER(IF(ISNUMBER(107:107), COLUMN(107:107)), ISNUMBER(107:107)),
  _xlpm.elos, INDEX(106:106,1,_xlpm.colj),
  _xlpm.diffscale, Constantes!$B$2,
  IF(O107="",
    "",
    SUM(1/(1+POWER(10,-(O106-_xlpm.elos)/_xlpm.diffscale)))-0.5)
)</f>
        <v/>
      </c>
      <c r="P108" t="str" cm="1">
        <f t="array" ref="P108">_xlfn.LET(
  _xlpm.colj, _xlfn._xlws.FILTER(IF(ISNUMBER(107:107), COLUMN(107:107)), ISNUMBER(107:107)),
  _xlpm.elos, INDEX(106:106,1,_xlpm.colj),
  _xlpm.diffscale, Constantes!$B$2,
  IF(P107="",
    "",
    SUM(1/(1+POWER(10,-(P106-_xlpm.elos)/_xlpm.diffscale)))-0.5)
)</f>
        <v/>
      </c>
      <c r="Q108" t="str" cm="1">
        <f t="array" ref="Q108">_xlfn.LET(
  _xlpm.colj, _xlfn._xlws.FILTER(IF(ISNUMBER(107:107), COLUMN(107:107)), ISNUMBER(107:107)),
  _xlpm.elos, INDEX(106:106,1,_xlpm.colj),
  _xlpm.diffscale, Constantes!$B$2,
  IF(Q107="",
    "",
    SUM(1/(1+POWER(10,-(Q106-_xlpm.elos)/_xlpm.diffscale)))-0.5)
)</f>
        <v/>
      </c>
      <c r="R108" cm="1">
        <f t="array" ref="R108">_xlfn.LET(
  _xlpm.colj, _xlfn._xlws.FILTER(IF(ISNUMBER(107:107), COLUMN(107:107)), ISNUMBER(107:107)),
  _xlpm.elos, INDEX(106:106,1,_xlpm.colj),
  _xlpm.diffscale, Constantes!$B$2,
  IF(R107="",
    "",
    SUM(1/(1+POWER(10,-(R106-_xlpm.elos)/_xlpm.diffscale)))-0.5)
)</f>
        <v>2.1552543487325813</v>
      </c>
      <c r="S108" t="str" cm="1">
        <f t="array" ref="S108">_xlfn.LET(
  _xlpm.colj, _xlfn._xlws.FILTER(IF(ISNUMBER(107:107), COLUMN(107:107)), ISNUMBER(107:107)),
  _xlpm.elos, INDEX(106:106,1,_xlpm.colj),
  _xlpm.diffscale, Constantes!$B$2,
  IF(S107="",
    "",
    SUM(1/(1+POWER(10,-(S106-_xlpm.elos)/_xlpm.diffscale)))-0.5)
)</f>
        <v/>
      </c>
      <c r="T108" t="str" cm="1">
        <f t="array" ref="T108">_xlfn.LET(
  _xlpm.colj, _xlfn._xlws.FILTER(IF(ISNUMBER(107:107), COLUMN(107:107)), ISNUMBER(107:107)),
  _xlpm.elos, INDEX(106:106,1,_xlpm.colj),
  _xlpm.diffscale, Constantes!$B$2,
  IF(T107="",
    "",
    SUM(1/(1+POWER(10,-(T106-_xlpm.elos)/_xlpm.diffscale)))-0.5)
)</f>
        <v/>
      </c>
      <c r="U108" t="str" cm="1">
        <f t="array" ref="U108">_xlfn.LET(
  _xlpm.colj, _xlfn._xlws.FILTER(IF(ISNUMBER(107:107), COLUMN(107:107)), ISNUMBER(107:107)),
  _xlpm.elos, INDEX(106:106,1,_xlpm.colj),
  _xlpm.diffscale, Constantes!$B$2,
  IF(U107="",
    "",
    SUM(1/(1+POWER(10,-(U106-_xlpm.elos)/_xlpm.diffscale)))-0.5)
)</f>
        <v/>
      </c>
      <c r="V108" t="str" cm="1">
        <f t="array" ref="V108">_xlfn.LET(
  _xlpm.colj, _xlfn._xlws.FILTER(IF(ISNUMBER(107:107), COLUMN(107:107)), ISNUMBER(107:107)),
  _xlpm.elos, INDEX(106:106,1,_xlpm.colj),
  _xlpm.diffscale, Constantes!$B$2,
  IF(V107="",
    "",
    SUM(1/(1+POWER(10,-(V106-_xlpm.elos)/_xlpm.diffscale)))-0.5)
)</f>
        <v/>
      </c>
      <c r="W108" t="str" cm="1">
        <f t="array" ref="W108">_xlfn.LET(
  _xlpm.colj, _xlfn._xlws.FILTER(IF(ISNUMBER(107:107), COLUMN(107:107)), ISNUMBER(107:107)),
  _xlpm.elos, INDEX(106:106,1,_xlpm.colj),
  _xlpm.diffscale, Constantes!$B$2,
  IF(W107="",
    "",
    SUM(1/(1+POWER(10,-(W106-_xlpm.elos)/_xlpm.diffscale)))-0.5)
)</f>
        <v/>
      </c>
      <c r="X108" cm="1">
        <f t="array" ref="X108">_xlfn.LET(
  _xlpm.colj, _xlfn._xlws.FILTER(IF(ISNUMBER(107:107), COLUMN(107:107)), ISNUMBER(107:107)),
  _xlpm.elos, INDEX(106:106,1,_xlpm.colj),
  _xlpm.diffscale, Constantes!$B$2,
  IF(X107="",
    "",
    SUM(1/(1+POWER(10,-(X106-_xlpm.elos)/_xlpm.diffscale)))-0.5)
)</f>
        <v>0.831367303385945</v>
      </c>
      <c r="Y108" cm="1">
        <f t="array" ref="Y108">_xlfn.LET(
  _xlpm.colj, _xlfn._xlws.FILTER(IF(ISNUMBER(107:107), COLUMN(107:107)), ISNUMBER(107:107)),
  _xlpm.elos, INDEX(106:106,1,_xlpm.colj),
  _xlpm.diffscale, Constantes!$B$2,
  IF(Y107="",
    "",
    SUM(1/(1+POWER(10,-(Y106-_xlpm.elos)/_xlpm.diffscale)))-0.5)
)</f>
        <v>1.4342341057422765</v>
      </c>
      <c r="Z108" t="str" cm="1">
        <f t="array" ref="Z108">_xlfn.LET(
  _xlpm.colj, _xlfn._xlws.FILTER(IF(ISNUMBER(107:107), COLUMN(107:107)), ISNUMBER(107:107)),
  _xlpm.elos, INDEX(106:106,1,_xlpm.colj),
  _xlpm.diffscale, Constantes!$B$2,
  IF(Z107="",
    "",
    SUM(1/(1+POWER(10,-(Z106-_xlpm.elos)/_xlpm.diffscale)))-0.5)
)</f>
        <v/>
      </c>
      <c r="AA108" t="str" cm="1">
        <f t="array" ref="AA108">_xlfn.LET(
  _xlpm.colj, _xlfn._xlws.FILTER(IF(ISNUMBER(107:107), COLUMN(107:107)), ISNUMBER(107:107)),
  _xlpm.elos, INDEX(106:106,1,_xlpm.colj),
  _xlpm.diffscale, Constantes!$B$2,
  IF(AA107="",
    "",
    SUM(1/(1+POWER(10,-(AA106-_xlpm.elos)/_xlpm.diffscale)))-0.5)
)</f>
        <v/>
      </c>
      <c r="AB108" t="str" cm="1">
        <f t="array" ref="AB108">_xlfn.LET(
  _xlpm.colj, _xlfn._xlws.FILTER(IF(ISNUMBER(107:107), COLUMN(107:107)), ISNUMBER(107:107)),
  _xlpm.elos, INDEX(106:106,1,_xlpm.colj),
  _xlpm.diffscale, Constantes!$B$2,
  IF(AB107="",
    "",
    SUM(1/(1+POWER(10,-(AB106-_xlpm.elos)/_xlpm.diffscale)))-0.5)
)</f>
        <v/>
      </c>
      <c r="AC108" t="str" cm="1">
        <f t="array" ref="AC108">_xlfn.LET(
  _xlpm.colj, _xlfn._xlws.FILTER(IF(ISNUMBER(107:107), COLUMN(107:107)), ISNUMBER(107:107)),
  _xlpm.elos, INDEX(106:106,1,_xlpm.colj),
  _xlpm.diffscale, Constantes!$B$2,
  IF(AC107="",
    "",
    SUM(1/(1+POWER(10,-(AC106-_xlpm.elos)/_xlpm.diffscale)))-0.5)
)</f>
        <v/>
      </c>
      <c r="AD108" t="str" cm="1">
        <f t="array" ref="AD108">_xlfn.LET(
  _xlpm.colj, _xlfn._xlws.FILTER(IF(ISNUMBER(107:107), COLUMN(107:107)), ISNUMBER(107:107)),
  _xlpm.elos, INDEX(106:106,1,_xlpm.colj),
  _xlpm.diffscale, Constantes!$B$2,
  IF(AD107="",
    "",
    SUM(1/(1+POWER(10,-(AD106-_xlpm.elos)/_xlpm.diffscale)))-0.5)
)</f>
        <v/>
      </c>
      <c r="AE108" t="str" cm="1">
        <f t="array" ref="AE108">_xlfn.LET(
  _xlpm.colj, _xlfn._xlws.FILTER(IF(ISNUMBER(107:107), COLUMN(107:107)), ISNUMBER(107:107)),
  _xlpm.elos, INDEX(106:106,1,_xlpm.colj),
  _xlpm.diffscale, Constantes!$B$2,
  IF(AE107="",
    "",
    SUM(1/(1+POWER(10,-(AE106-_xlpm.elos)/_xlpm.diffscale)))-0.5)
)</f>
        <v/>
      </c>
      <c r="AF108" t="str" cm="1">
        <f t="array" ref="AF108">_xlfn.LET(
  _xlpm.colj, _xlfn._xlws.FILTER(IF(ISNUMBER(107:107), COLUMN(107:107)), ISNUMBER(107:107)),
  _xlpm.elos, INDEX(106:106,1,_xlpm.colj),
  _xlpm.diffscale, Constantes!$B$2,
  IF(AF107="",
    "",
    SUM(1/(1+POWER(10,-(AF106-_xlpm.elos)/_xlpm.diffscale)))-0.5)
)</f>
        <v/>
      </c>
      <c r="AG108" t="str" cm="1">
        <f t="array" ref="AG108">_xlfn.LET(
  _xlpm.colj, _xlfn._xlws.FILTER(IF(ISNUMBER(107:107), COLUMN(107:107)), ISNUMBER(107:107)),
  _xlpm.elos, INDEX(106:106,1,_xlpm.colj),
  _xlpm.diffscale, Constantes!$B$2,
  IF(AG107="",
    "",
    SUM(1/(1+POWER(10,-(AG106-_xlpm.elos)/_xlpm.diffscale)))-0.5)
)</f>
        <v/>
      </c>
      <c r="AH108" t="str" cm="1">
        <f t="array" ref="AH108">_xlfn.LET(
  _xlpm.colj, _xlfn._xlws.FILTER(IF(ISNUMBER(107:107), COLUMN(107:107)), ISNUMBER(107:107)),
  _xlpm.elos, INDEX(106:106,1,_xlpm.colj),
  _xlpm.diffscale, Constantes!$B$2,
  IF(AH107="",
    "",
    SUM(1/(1+POWER(10,-(AH106-_xlpm.elos)/_xlpm.diffscale)))-0.5)
)</f>
        <v/>
      </c>
      <c r="AI108" t="str" cm="1">
        <f t="array" ref="AI108">_xlfn.LET(
  _xlpm.colj, _xlfn._xlws.FILTER(IF(ISNUMBER(107:107), COLUMN(107:107)), ISNUMBER(107:107)),
  _xlpm.elos, INDEX(106:106,1,_xlpm.colj),
  _xlpm.diffscale, Constantes!$B$2,
  IF(AI107="",
    "",
    SUM(1/(1+POWER(10,-(AI106-_xlpm.elos)/_xlpm.diffscale)))-0.5)
)</f>
        <v/>
      </c>
      <c r="AJ108" t="str" cm="1">
        <f t="array" ref="AJ108">_xlfn.LET(
  _xlpm.colj, _xlfn._xlws.FILTER(IF(ISNUMBER(107:107), COLUMN(107:107)), ISNUMBER(107:107)),
  _xlpm.elos, INDEX(106:106,1,_xlpm.colj),
  _xlpm.diffscale, Constantes!$B$2,
  IF(AJ107="",
    "",
    SUM(1/(1+POWER(10,-(AJ106-_xlpm.elos)/_xlpm.diffscale)))-0.5)
)</f>
        <v/>
      </c>
      <c r="AK108" t="str" cm="1">
        <f t="array" ref="AK108">_xlfn.LET(
  _xlpm.colj, _xlfn._xlws.FILTER(IF(ISNUMBER(107:107), COLUMN(107:107)), ISNUMBER(107:107)),
  _xlpm.elos, INDEX(106:106,1,_xlpm.colj),
  _xlpm.diffscale, Constantes!$B$2,
  IF(AK107="",
    "",
    SUM(1/(1+POWER(10,-(AK106-_xlpm.elos)/_xlpm.diffscale)))-0.5)
)</f>
        <v/>
      </c>
      <c r="AL108" t="str" cm="1">
        <f t="array" ref="AL108">_xlfn.LET(
  _xlpm.colj, _xlfn._xlws.FILTER(IF(ISNUMBER(107:107), COLUMN(107:107)), ISNUMBER(107:107)),
  _xlpm.elos, INDEX(106:106,1,_xlpm.colj),
  _xlpm.diffscale, Constantes!$B$2,
  IF(AL107="",
    "",
    SUM(1/(1+POWER(10,-(AL106-_xlpm.elos)/_xlpm.diffscale)))-0.5)
)</f>
        <v/>
      </c>
      <c r="AM108" t="str" cm="1">
        <f t="array" ref="AM108">_xlfn.LET(
  _xlpm.colj, _xlfn._xlws.FILTER(IF(ISNUMBER(107:107), COLUMN(107:107)), ISNUMBER(107:107)),
  _xlpm.elos, INDEX(106:106,1,_xlpm.colj),
  _xlpm.diffscale, Constantes!$B$2,
  IF(AM107="",
    "",
    SUM(1/(1+POWER(10,-(AM106-_xlpm.elos)/_xlpm.diffscale)))-0.5)
)</f>
        <v/>
      </c>
    </row>
    <row r="109" spans="1:39" x14ac:dyDescent="0.25">
      <c r="A109" t="s">
        <v>22</v>
      </c>
      <c r="D109" t="str" cm="1">
        <f t="array" ref="D109">_xlfn.LET(
  _xlpm.K, Constantes!$B$3,
  _xlpm.Knewgain, Constantes!$B$4,
  _xlpm.Knewscale, Constantes!$B$5,
  _xlpm.ptstables, INDEX(D:D, _xlfn.SEQUENCE(COUNTA($C$2:$C109), 1, 3, 4)),
  _xlpm.nbparties, COUNTA(_xlfn._xlws.FILTER(_xlpm.ptstables, _xlpm.ptstables &lt;&gt; "")),
  _xlpm.coef, _xlpm.K + _xlpm.Knewgain / (_xlpm.Knewscale + _xlpm.nbparties),
  IF(D107="",
    "",
    _xlpm.coef * (D107-D108))
)</f>
        <v/>
      </c>
      <c r="E109" t="str" cm="1">
        <f t="array" ref="E109">_xlfn.LET(
  _xlpm.K, Constantes!$B$3,
  _xlpm.Knewgain, Constantes!$B$4,
  _xlpm.Knewscale, Constantes!$B$5,
  _xlpm.ptstables, INDEX(E:E, _xlfn.SEQUENCE(COUNTA($C$2:$C109), 1, 3, 4)),
  _xlpm.nbparties, COUNTA(_xlfn._xlws.FILTER(_xlpm.ptstables, _xlpm.ptstables &lt;&gt; "")),
  _xlpm.coef, _xlpm.K + _xlpm.Knewgain / (_xlpm.Knewscale + _xlpm.nbparties),
  IF(E107="",
    "",
    _xlpm.coef * (E107-E108))
)</f>
        <v/>
      </c>
      <c r="F109" t="str" cm="1">
        <f t="array" ref="F109">_xlfn.LET(
  _xlpm.K, Constantes!$B$3,
  _xlpm.Knewgain, Constantes!$B$4,
  _xlpm.Knewscale, Constantes!$B$5,
  _xlpm.ptstables, INDEX(F:F, _xlfn.SEQUENCE(COUNTA($C$2:$C109), 1, 3, 4)),
  _xlpm.nbparties, COUNTA(_xlfn._xlws.FILTER(_xlpm.ptstables, _xlpm.ptstables &lt;&gt; "")),
  _xlpm.coef, _xlpm.K + _xlpm.Knewgain / (_xlpm.Knewscale + _xlpm.nbparties),
  IF(F107="",
    "",
    _xlpm.coef * (F107-F108))
)</f>
        <v/>
      </c>
      <c r="G109" t="str" cm="1">
        <f t="array" ref="G109">_xlfn.LET(
  _xlpm.K, Constantes!$B$3,
  _xlpm.Knewgain, Constantes!$B$4,
  _xlpm.Knewscale, Constantes!$B$5,
  _xlpm.ptstables, INDEX(G:G, _xlfn.SEQUENCE(COUNTA($C$2:$C109), 1, 3, 4)),
  _xlpm.nbparties, COUNTA(_xlfn._xlws.FILTER(_xlpm.ptstables, _xlpm.ptstables &lt;&gt; "")),
  _xlpm.coef, _xlpm.K + _xlpm.Knewgain / (_xlpm.Knewscale + _xlpm.nbparties),
  IF(G107="",
    "",
    _xlpm.coef * (G107-G108))
)</f>
        <v/>
      </c>
      <c r="H109" cm="1">
        <f t="array" ref="H109">_xlfn.LET(
  _xlpm.K, Constantes!$B$3,
  _xlpm.Knewgain, Constantes!$B$4,
  _xlpm.Knewscale, Constantes!$B$5,
  _xlpm.ptstables, INDEX(H:H, _xlfn.SEQUENCE(COUNTA($C$2:$C109), 1, 3, 4)),
  _xlpm.nbparties, COUNTA(_xlfn._xlws.FILTER(_xlpm.ptstables, _xlpm.ptstables &lt;&gt; "")),
  _xlpm.coef, _xlpm.K + _xlpm.Knewgain / (_xlpm.Knewscale + _xlpm.nbparties),
  IF(H107="",
    "",
    _xlpm.coef * (H107-H108))
)</f>
        <v>-16.409086860610582</v>
      </c>
      <c r="I109" t="str" cm="1">
        <f t="array" ref="I109">_xlfn.LET(
  _xlpm.K, Constantes!$B$3,
  _xlpm.Knewgain, Constantes!$B$4,
  _xlpm.Knewscale, Constantes!$B$5,
  _xlpm.ptstables, INDEX(I:I, _xlfn.SEQUENCE(COUNTA($C$2:$C109), 1, 3, 4)),
  _xlpm.nbparties, COUNTA(_xlfn._xlws.FILTER(_xlpm.ptstables, _xlpm.ptstables &lt;&gt; "")),
  _xlpm.coef, _xlpm.K + _xlpm.Knewgain / (_xlpm.Knewscale + _xlpm.nbparties),
  IF(I107="",
    "",
    _xlpm.coef * (I107-I108))
)</f>
        <v/>
      </c>
      <c r="J109" t="str" cm="1">
        <f t="array" ref="J109">_xlfn.LET(
  _xlpm.K, Constantes!$B$3,
  _xlpm.Knewgain, Constantes!$B$4,
  _xlpm.Knewscale, Constantes!$B$5,
  _xlpm.ptstables, INDEX(J:J, _xlfn.SEQUENCE(COUNTA($C$2:$C109), 1, 3, 4)),
  _xlpm.nbparties, COUNTA(_xlfn._xlws.FILTER(_xlpm.ptstables, _xlpm.ptstables &lt;&gt; "")),
  _xlpm.coef, _xlpm.K + _xlpm.Knewgain / (_xlpm.Knewscale + _xlpm.nbparties),
  IF(J107="",
    "",
    _xlpm.coef * (J107-J108))
)</f>
        <v/>
      </c>
      <c r="K109" t="str" cm="1">
        <f t="array" ref="K109">_xlfn.LET(
  _xlpm.K, Constantes!$B$3,
  _xlpm.Knewgain, Constantes!$B$4,
  _xlpm.Knewscale, Constantes!$B$5,
  _xlpm.ptstables, INDEX(K:K, _xlfn.SEQUENCE(COUNTA($C$2:$C109), 1, 3, 4)),
  _xlpm.nbparties, COUNTA(_xlfn._xlws.FILTER(_xlpm.ptstables, _xlpm.ptstables &lt;&gt; "")),
  _xlpm.coef, _xlpm.K + _xlpm.Knewgain / (_xlpm.Knewscale + _xlpm.nbparties),
  IF(K107="",
    "",
    _xlpm.coef * (K107-K108))
)</f>
        <v/>
      </c>
      <c r="L109" t="str" cm="1">
        <f t="array" ref="L109">_xlfn.LET(
  _xlpm.K, Constantes!$B$3,
  _xlpm.Knewgain, Constantes!$B$4,
  _xlpm.Knewscale, Constantes!$B$5,
  _xlpm.ptstables, INDEX(L:L, _xlfn.SEQUENCE(COUNTA($C$2:$C109), 1, 3, 4)),
  _xlpm.nbparties, COUNTA(_xlfn._xlws.FILTER(_xlpm.ptstables, _xlpm.ptstables &lt;&gt; "")),
  _xlpm.coef, _xlpm.K + _xlpm.Knewgain / (_xlpm.Knewscale + _xlpm.nbparties),
  IF(L107="",
    "",
    _xlpm.coef * (L107-L108))
)</f>
        <v/>
      </c>
      <c r="M109" t="str" cm="1">
        <f t="array" ref="M109">_xlfn.LET(
  _xlpm.K, Constantes!$B$3,
  _xlpm.Knewgain, Constantes!$B$4,
  _xlpm.Knewscale, Constantes!$B$5,
  _xlpm.ptstables, INDEX(M:M, _xlfn.SEQUENCE(COUNTA($C$2:$C109), 1, 3, 4)),
  _xlpm.nbparties, COUNTA(_xlfn._xlws.FILTER(_xlpm.ptstables, _xlpm.ptstables &lt;&gt; "")),
  _xlpm.coef, _xlpm.K + _xlpm.Knewgain / (_xlpm.Knewscale + _xlpm.nbparties),
  IF(M107="",
    "",
    _xlpm.coef * (M107-M108))
)</f>
        <v/>
      </c>
      <c r="N109" t="str" cm="1">
        <f t="array" ref="N109">_xlfn.LET(
  _xlpm.K, Constantes!$B$3,
  _xlpm.Knewgain, Constantes!$B$4,
  _xlpm.Knewscale, Constantes!$B$5,
  _xlpm.ptstables, INDEX(N:N, _xlfn.SEQUENCE(COUNTA($C$2:$C109), 1, 3, 4)),
  _xlpm.nbparties, COUNTA(_xlfn._xlws.FILTER(_xlpm.ptstables, _xlpm.ptstables &lt;&gt; "")),
  _xlpm.coef, _xlpm.K + _xlpm.Knewgain / (_xlpm.Knewscale + _xlpm.nbparties),
  IF(N107="",
    "",
    _xlpm.coef * (N107-N108))
)</f>
        <v/>
      </c>
      <c r="O109" t="str" cm="1">
        <f t="array" ref="O109">_xlfn.LET(
  _xlpm.K, Constantes!$B$3,
  _xlpm.Knewgain, Constantes!$B$4,
  _xlpm.Knewscale, Constantes!$B$5,
  _xlpm.ptstables, INDEX(O:O, _xlfn.SEQUENCE(COUNTA($C$2:$C109), 1, 3, 4)),
  _xlpm.nbparties, COUNTA(_xlfn._xlws.FILTER(_xlpm.ptstables, _xlpm.ptstables &lt;&gt; "")),
  _xlpm.coef, _xlpm.K + _xlpm.Knewgain / (_xlpm.Knewscale + _xlpm.nbparties),
  IF(O107="",
    "",
    _xlpm.coef * (O107-O108))
)</f>
        <v/>
      </c>
      <c r="P109" t="str" cm="1">
        <f t="array" ref="P109">_xlfn.LET(
  _xlpm.K, Constantes!$B$3,
  _xlpm.Knewgain, Constantes!$B$4,
  _xlpm.Knewscale, Constantes!$B$5,
  _xlpm.ptstables, INDEX(P:P, _xlfn.SEQUENCE(COUNTA($C$2:$C109), 1, 3, 4)),
  _xlpm.nbparties, COUNTA(_xlfn._xlws.FILTER(_xlpm.ptstables, _xlpm.ptstables &lt;&gt; "")),
  _xlpm.coef, _xlpm.K + _xlpm.Knewgain / (_xlpm.Knewscale + _xlpm.nbparties),
  IF(P107="",
    "",
    _xlpm.coef * (P107-P108))
)</f>
        <v/>
      </c>
      <c r="Q109" t="str" cm="1">
        <f t="array" ref="Q109">_xlfn.LET(
  _xlpm.K, Constantes!$B$3,
  _xlpm.Knewgain, Constantes!$B$4,
  _xlpm.Knewscale, Constantes!$B$5,
  _xlpm.ptstables, INDEX(Q:Q, _xlfn.SEQUENCE(COUNTA($C$2:$C109), 1, 3, 4)),
  _xlpm.nbparties, COUNTA(_xlfn._xlws.FILTER(_xlpm.ptstables, _xlpm.ptstables &lt;&gt; "")),
  _xlpm.coef, _xlpm.K + _xlpm.Knewgain / (_xlpm.Knewscale + _xlpm.nbparties),
  IF(Q107="",
    "",
    _xlpm.coef * (Q107-Q108))
)</f>
        <v/>
      </c>
      <c r="R109" cm="1">
        <f t="array" ref="R109">_xlfn.LET(
  _xlpm.K, Constantes!$B$3,
  _xlpm.Knewgain, Constantes!$B$4,
  _xlpm.Knewscale, Constantes!$B$5,
  _xlpm.ptstables, INDEX(R:R, _xlfn.SEQUENCE(COUNTA($C$2:$C109), 1, 3, 4)),
  _xlpm.nbparties, COUNTA(_xlfn._xlws.FILTER(_xlpm.ptstables, _xlpm.ptstables &lt;&gt; "")),
  _xlpm.coef, _xlpm.K + _xlpm.Knewgain / (_xlpm.Knewscale + _xlpm.nbparties),
  IF(R107="",
    "",
    _xlpm.coef * (R107-R108))
)</f>
        <v>-4.0754266542302577</v>
      </c>
      <c r="S109" t="str" cm="1">
        <f t="array" ref="S109">_xlfn.LET(
  _xlpm.K, Constantes!$B$3,
  _xlpm.Knewgain, Constantes!$B$4,
  _xlpm.Knewscale, Constantes!$B$5,
  _xlpm.ptstables, INDEX(S:S, _xlfn.SEQUENCE(COUNTA($C$2:$C109), 1, 3, 4)),
  _xlpm.nbparties, COUNTA(_xlfn._xlws.FILTER(_xlpm.ptstables, _xlpm.ptstables &lt;&gt; "")),
  _xlpm.coef, _xlpm.K + _xlpm.Knewgain / (_xlpm.Knewscale + _xlpm.nbparties),
  IF(S107="",
    "",
    _xlpm.coef * (S107-S108))
)</f>
        <v/>
      </c>
      <c r="T109" t="str" cm="1">
        <f t="array" ref="T109">_xlfn.LET(
  _xlpm.K, Constantes!$B$3,
  _xlpm.Knewgain, Constantes!$B$4,
  _xlpm.Knewscale, Constantes!$B$5,
  _xlpm.ptstables, INDEX(T:T, _xlfn.SEQUENCE(COUNTA($C$2:$C109), 1, 3, 4)),
  _xlpm.nbparties, COUNTA(_xlfn._xlws.FILTER(_xlpm.ptstables, _xlpm.ptstables &lt;&gt; "")),
  _xlpm.coef, _xlpm.K + _xlpm.Knewgain / (_xlpm.Knewscale + _xlpm.nbparties),
  IF(T107="",
    "",
    _xlpm.coef * (T107-T108))
)</f>
        <v/>
      </c>
      <c r="U109" t="str" cm="1">
        <f t="array" ref="U109">_xlfn.LET(
  _xlpm.K, Constantes!$B$3,
  _xlpm.Knewgain, Constantes!$B$4,
  _xlpm.Knewscale, Constantes!$B$5,
  _xlpm.ptstables, INDEX(U:U, _xlfn.SEQUENCE(COUNTA($C$2:$C109), 1, 3, 4)),
  _xlpm.nbparties, COUNTA(_xlfn._xlws.FILTER(_xlpm.ptstables, _xlpm.ptstables &lt;&gt; "")),
  _xlpm.coef, _xlpm.K + _xlpm.Knewgain / (_xlpm.Knewscale + _xlpm.nbparties),
  IF(U107="",
    "",
    _xlpm.coef * (U107-U108))
)</f>
        <v/>
      </c>
      <c r="V109" t="str" cm="1">
        <f t="array" ref="V109">_xlfn.LET(
  _xlpm.K, Constantes!$B$3,
  _xlpm.Knewgain, Constantes!$B$4,
  _xlpm.Knewscale, Constantes!$B$5,
  _xlpm.ptstables, INDEX(V:V, _xlfn.SEQUENCE(COUNTA($C$2:$C109), 1, 3, 4)),
  _xlpm.nbparties, COUNTA(_xlfn._xlws.FILTER(_xlpm.ptstables, _xlpm.ptstables &lt;&gt; "")),
  _xlpm.coef, _xlpm.K + _xlpm.Knewgain / (_xlpm.Knewscale + _xlpm.nbparties),
  IF(V107="",
    "",
    _xlpm.coef * (V107-V108))
)</f>
        <v/>
      </c>
      <c r="W109" t="str" cm="1">
        <f t="array" ref="W109">_xlfn.LET(
  _xlpm.K, Constantes!$B$3,
  _xlpm.Knewgain, Constantes!$B$4,
  _xlpm.Knewscale, Constantes!$B$5,
  _xlpm.ptstables, INDEX(W:W, _xlfn.SEQUENCE(COUNTA($C$2:$C109), 1, 3, 4)),
  _xlpm.nbparties, COUNTA(_xlfn._xlws.FILTER(_xlpm.ptstables, _xlpm.ptstables &lt;&gt; "")),
  _xlpm.coef, _xlpm.K + _xlpm.Knewgain / (_xlpm.Knewscale + _xlpm.nbparties),
  IF(W107="",
    "",
    _xlpm.coef * (W107-W108))
)</f>
        <v/>
      </c>
      <c r="X109" cm="1">
        <f t="array" ref="X109">_xlfn.LET(
  _xlpm.K, Constantes!$B$3,
  _xlpm.Knewgain, Constantes!$B$4,
  _xlpm.Knewscale, Constantes!$B$5,
  _xlpm.ptstables, INDEX(X:X, _xlfn.SEQUENCE(COUNTA($C$2:$C109), 1, 3, 4)),
  _xlpm.nbparties, COUNTA(_xlfn._xlws.FILTER(_xlpm.ptstables, _xlpm.ptstables &lt;&gt; "")),
  _xlpm.coef, _xlpm.K + _xlpm.Knewgain / (_xlpm.Knewscale + _xlpm.nbparties),
  IF(X107="",
    "",
    _xlpm.coef * (X107-X108))
)</f>
        <v>-24.941019101578348</v>
      </c>
      <c r="Y109" cm="1">
        <f t="array" ref="Y109">_xlfn.LET(
  _xlpm.K, Constantes!$B$3,
  _xlpm.Knewgain, Constantes!$B$4,
  _xlpm.Knewscale, Constantes!$B$5,
  _xlpm.ptstables, INDEX(Y:Y, _xlfn.SEQUENCE(COUNTA($C$2:$C109), 1, 3, 4)),
  _xlpm.nbparties, COUNTA(_xlfn._xlws.FILTER(_xlpm.ptstables, _xlpm.ptstables &lt;&gt; "")),
  _xlpm.coef, _xlpm.K + _xlpm.Knewgain / (_xlpm.Knewscale + _xlpm.nbparties),
  IF(Y107="",
    "",
    _xlpm.coef * (Y107-Y108))
)</f>
        <v>44.36336700396884</v>
      </c>
      <c r="Z109" t="str" cm="1">
        <f t="array" ref="Z109">_xlfn.LET(
  _xlpm.K, Constantes!$B$3,
  _xlpm.Knewgain, Constantes!$B$4,
  _xlpm.Knewscale, Constantes!$B$5,
  _xlpm.ptstables, INDEX(Z:Z, _xlfn.SEQUENCE(COUNTA($C$2:$C109), 1, 3, 4)),
  _xlpm.nbparties, COUNTA(_xlfn._xlws.FILTER(_xlpm.ptstables, _xlpm.ptstables &lt;&gt; "")),
  _xlpm.coef, _xlpm.K + _xlpm.Knewgain / (_xlpm.Knewscale + _xlpm.nbparties),
  IF(Z107="",
    "",
    _xlpm.coef * (Z107-Z108))
)</f>
        <v/>
      </c>
      <c r="AA109" t="str" cm="1">
        <f t="array" ref="AA109">_xlfn.LET(
  _xlpm.K, Constantes!$B$3,
  _xlpm.Knewgain, Constantes!$B$4,
  _xlpm.Knewscale, Constantes!$B$5,
  _xlpm.ptstables, INDEX(AA:AA, _xlfn.SEQUENCE(COUNTA($C$2:$C109), 1, 3, 4)),
  _xlpm.nbparties, COUNTA(_xlfn._xlws.FILTER(_xlpm.ptstables, _xlpm.ptstables &lt;&gt; "")),
  _xlpm.coef, _xlpm.K + _xlpm.Knewgain / (_xlpm.Knewscale + _xlpm.nbparties),
  IF(AA107="",
    "",
    _xlpm.coef * (AA107-AA108))
)</f>
        <v/>
      </c>
      <c r="AB109" t="str" cm="1">
        <f t="array" ref="AB109">_xlfn.LET(
  _xlpm.K, Constantes!$B$3,
  _xlpm.Knewgain, Constantes!$B$4,
  _xlpm.Knewscale, Constantes!$B$5,
  _xlpm.ptstables, INDEX(AB:AB, _xlfn.SEQUENCE(COUNTA($C$2:$C109), 1, 3, 4)),
  _xlpm.nbparties, COUNTA(_xlfn._xlws.FILTER(_xlpm.ptstables, _xlpm.ptstables &lt;&gt; "")),
  _xlpm.coef, _xlpm.K + _xlpm.Knewgain / (_xlpm.Knewscale + _xlpm.nbparties),
  IF(AB107="",
    "",
    _xlpm.coef * (AB107-AB108))
)</f>
        <v/>
      </c>
      <c r="AC109" t="str" cm="1">
        <f t="array" ref="AC109">_xlfn.LET(
  _xlpm.K, Constantes!$B$3,
  _xlpm.Knewgain, Constantes!$B$4,
  _xlpm.Knewscale, Constantes!$B$5,
  _xlpm.ptstables, INDEX(AC:AC, _xlfn.SEQUENCE(COUNTA($C$2:$C109), 1, 3, 4)),
  _xlpm.nbparties, COUNTA(_xlfn._xlws.FILTER(_xlpm.ptstables, _xlpm.ptstables &lt;&gt; "")),
  _xlpm.coef, _xlpm.K + _xlpm.Knewgain / (_xlpm.Knewscale + _xlpm.nbparties),
  IF(AC107="",
    "",
    _xlpm.coef * (AC107-AC108))
)</f>
        <v/>
      </c>
      <c r="AD109" t="str" cm="1">
        <f t="array" ref="AD109">_xlfn.LET(
  _xlpm.K, Constantes!$B$3,
  _xlpm.Knewgain, Constantes!$B$4,
  _xlpm.Knewscale, Constantes!$B$5,
  _xlpm.ptstables, INDEX(AD:AD, _xlfn.SEQUENCE(COUNTA($C$2:$C109), 1, 3, 4)),
  _xlpm.nbparties, COUNTA(_xlfn._xlws.FILTER(_xlpm.ptstables, _xlpm.ptstables &lt;&gt; "")),
  _xlpm.coef, _xlpm.K + _xlpm.Knewgain / (_xlpm.Knewscale + _xlpm.nbparties),
  IF(AD107="",
    "",
    _xlpm.coef * (AD107-AD108))
)</f>
        <v/>
      </c>
      <c r="AE109" t="str" cm="1">
        <f t="array" ref="AE109">_xlfn.LET(
  _xlpm.K, Constantes!$B$3,
  _xlpm.Knewgain, Constantes!$B$4,
  _xlpm.Knewscale, Constantes!$B$5,
  _xlpm.ptstables, INDEX(AE:AE, _xlfn.SEQUENCE(COUNTA($C$2:$C109), 1, 3, 4)),
  _xlpm.nbparties, COUNTA(_xlfn._xlws.FILTER(_xlpm.ptstables, _xlpm.ptstables &lt;&gt; "")),
  _xlpm.coef, _xlpm.K + _xlpm.Knewgain / (_xlpm.Knewscale + _xlpm.nbparties),
  IF(AE107="",
    "",
    _xlpm.coef * (AE107-AE108))
)</f>
        <v/>
      </c>
      <c r="AF109" t="str" cm="1">
        <f t="array" ref="AF109">_xlfn.LET(
  _xlpm.K, Constantes!$B$3,
  _xlpm.Knewgain, Constantes!$B$4,
  _xlpm.Knewscale, Constantes!$B$5,
  _xlpm.ptstables, INDEX(AF:AF, _xlfn.SEQUENCE(COUNTA($C$2:$C109), 1, 3, 4)),
  _xlpm.nbparties, COUNTA(_xlfn._xlws.FILTER(_xlpm.ptstables, _xlpm.ptstables &lt;&gt; "")),
  _xlpm.coef, _xlpm.K + _xlpm.Knewgain / (_xlpm.Knewscale + _xlpm.nbparties),
  IF(AF107="",
    "",
    _xlpm.coef * (AF107-AF108))
)</f>
        <v/>
      </c>
      <c r="AG109" t="str" cm="1">
        <f t="array" ref="AG109">_xlfn.LET(
  _xlpm.K, Constantes!$B$3,
  _xlpm.Knewgain, Constantes!$B$4,
  _xlpm.Knewscale, Constantes!$B$5,
  _xlpm.ptstables, INDEX(AG:AG, _xlfn.SEQUENCE(COUNTA($C$2:$C109), 1, 3, 4)),
  _xlpm.nbparties, COUNTA(_xlfn._xlws.FILTER(_xlpm.ptstables, _xlpm.ptstables &lt;&gt; "")),
  _xlpm.coef, _xlpm.K + _xlpm.Knewgain / (_xlpm.Knewscale + _xlpm.nbparties),
  IF(AG107="",
    "",
    _xlpm.coef * (AG107-AG108))
)</f>
        <v/>
      </c>
      <c r="AH109" t="str" cm="1">
        <f t="array" ref="AH109">_xlfn.LET(
  _xlpm.K, Constantes!$B$3,
  _xlpm.Knewgain, Constantes!$B$4,
  _xlpm.Knewscale, Constantes!$B$5,
  _xlpm.ptstables, INDEX(AH:AH, _xlfn.SEQUENCE(COUNTA($C$2:$C109), 1, 3, 4)),
  _xlpm.nbparties, COUNTA(_xlfn._xlws.FILTER(_xlpm.ptstables, _xlpm.ptstables &lt;&gt; "")),
  _xlpm.coef, _xlpm.K + _xlpm.Knewgain / (_xlpm.Knewscale + _xlpm.nbparties),
  IF(AH107="",
    "",
    _xlpm.coef * (AH107-AH108))
)</f>
        <v/>
      </c>
      <c r="AI109" t="str" cm="1">
        <f t="array" ref="AI109">_xlfn.LET(
  _xlpm.K, Constantes!$B$3,
  _xlpm.Knewgain, Constantes!$B$4,
  _xlpm.Knewscale, Constantes!$B$5,
  _xlpm.ptstables, INDEX(AI:AI, _xlfn.SEQUENCE(COUNTA($C$2:$C109), 1, 3, 4)),
  _xlpm.nbparties, COUNTA(_xlfn._xlws.FILTER(_xlpm.ptstables, _xlpm.ptstables &lt;&gt; "")),
  _xlpm.coef, _xlpm.K + _xlpm.Knewgain / (_xlpm.Knewscale + _xlpm.nbparties),
  IF(AI107="",
    "",
    _xlpm.coef * (AI107-AI108))
)</f>
        <v/>
      </c>
      <c r="AJ109" t="str" cm="1">
        <f t="array" ref="AJ109">_xlfn.LET(
  _xlpm.K, Constantes!$B$3,
  _xlpm.Knewgain, Constantes!$B$4,
  _xlpm.Knewscale, Constantes!$B$5,
  _xlpm.ptstables, INDEX(AJ:AJ, _xlfn.SEQUENCE(COUNTA($C$2:$C109), 1, 3, 4)),
  _xlpm.nbparties, COUNTA(_xlfn._xlws.FILTER(_xlpm.ptstables, _xlpm.ptstables &lt;&gt; "")),
  _xlpm.coef, _xlpm.K + _xlpm.Knewgain / (_xlpm.Knewscale + _xlpm.nbparties),
  IF(AJ107="",
    "",
    _xlpm.coef * (AJ107-AJ108))
)</f>
        <v/>
      </c>
      <c r="AK109" t="str" cm="1">
        <f t="array" ref="AK109">_xlfn.LET(
  _xlpm.K, Constantes!$B$3,
  _xlpm.Knewgain, Constantes!$B$4,
  _xlpm.Knewscale, Constantes!$B$5,
  _xlpm.ptstables, INDEX(AK:AK, _xlfn.SEQUENCE(COUNTA($C$2:$C109), 1, 3, 4)),
  _xlpm.nbparties, COUNTA(_xlfn._xlws.FILTER(_xlpm.ptstables, _xlpm.ptstables &lt;&gt; "")),
  _xlpm.coef, _xlpm.K + _xlpm.Knewgain / (_xlpm.Knewscale + _xlpm.nbparties),
  IF(AK107="",
    "",
    _xlpm.coef * (AK107-AK108))
)</f>
        <v/>
      </c>
      <c r="AL109" t="str" cm="1">
        <f t="array" ref="AL109">_xlfn.LET(
  _xlpm.K, Constantes!$B$3,
  _xlpm.Knewgain, Constantes!$B$4,
  _xlpm.Knewscale, Constantes!$B$5,
  _xlpm.ptstables, INDEX(AL:AL, _xlfn.SEQUENCE(COUNTA($C$2:$C109), 1, 3, 4)),
  _xlpm.nbparties, COUNTA(_xlfn._xlws.FILTER(_xlpm.ptstables, _xlpm.ptstables &lt;&gt; "")),
  _xlpm.coef, _xlpm.K + _xlpm.Knewgain / (_xlpm.Knewscale + _xlpm.nbparties),
  IF(AL107="",
    "",
    _xlpm.coef * (AL107-AL108))
)</f>
        <v/>
      </c>
      <c r="AM109" t="str" cm="1">
        <f t="array" ref="AM109">_xlfn.LET(
  _xlpm.K, Constantes!$B$3,
  _xlpm.Knewgain, Constantes!$B$4,
  _xlpm.Knewscale, Constantes!$B$5,
  _xlpm.ptstables, INDEX(AM:AM, _xlfn.SEQUENCE(COUNTA($C$2:$C109), 1, 3, 4)),
  _xlpm.nbparties, COUNTA(_xlfn._xlws.FILTER(_xlpm.ptstables, _xlpm.ptstables &lt;&gt; "")),
  _xlpm.coef, _xlpm.K + _xlpm.Knewgain / (_xlpm.Knewscale + _xlpm.nbparties),
  IF(AM107="",
    "",
    _xlpm.coef * (AM107-AM108))
)</f>
        <v/>
      </c>
    </row>
    <row r="110" spans="1:39" x14ac:dyDescent="0.25">
      <c r="A110" t="s">
        <v>14</v>
      </c>
      <c r="B110" t="str" cm="1">
        <f t="array" ref="B11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26</v>
      </c>
      <c r="C110" s="2" cm="1">
        <f t="array" ref="C110">IF(B110="","",
  INDEX(Donnees!F:F, MATCH(B110, Donnees!F:F, 0)+1))</f>
        <v>45920.834756944445</v>
      </c>
      <c r="D110">
        <f t="shared" ref="D110:AM110" si="35">D106+IF(D109="",0,D109)</f>
        <v>1055.7378531207901</v>
      </c>
      <c r="E110">
        <f t="shared" si="35"/>
        <v>1132.3930578903671</v>
      </c>
      <c r="F110">
        <f t="shared" si="35"/>
        <v>908.83204631618707</v>
      </c>
      <c r="G110">
        <f t="shared" si="35"/>
        <v>956.37970750382215</v>
      </c>
      <c r="H110">
        <f t="shared" si="35"/>
        <v>1003.9363115286845</v>
      </c>
      <c r="I110">
        <f t="shared" si="35"/>
        <v>1056.8165036600865</v>
      </c>
      <c r="J110">
        <f t="shared" si="35"/>
        <v>938.49433816478961</v>
      </c>
      <c r="K110">
        <f t="shared" si="35"/>
        <v>907.51653081539087</v>
      </c>
      <c r="L110">
        <f t="shared" si="35"/>
        <v>833.43137648430843</v>
      </c>
      <c r="M110">
        <f t="shared" si="35"/>
        <v>913.41986361738122</v>
      </c>
      <c r="N110">
        <f t="shared" si="35"/>
        <v>924.41787774469185</v>
      </c>
      <c r="O110">
        <f t="shared" si="35"/>
        <v>1030.4363831507294</v>
      </c>
      <c r="P110">
        <f t="shared" si="35"/>
        <v>1043.9932888752683</v>
      </c>
      <c r="Q110">
        <f t="shared" si="35"/>
        <v>1079.8951884962632</v>
      </c>
      <c r="R110">
        <f t="shared" si="35"/>
        <v>1127.3039385986251</v>
      </c>
      <c r="S110">
        <f t="shared" si="35"/>
        <v>967.83471475152407</v>
      </c>
      <c r="T110">
        <f t="shared" si="35"/>
        <v>1135.2782658680615</v>
      </c>
      <c r="U110">
        <f t="shared" si="35"/>
        <v>997.66379362935493</v>
      </c>
      <c r="V110">
        <f t="shared" si="35"/>
        <v>961.58818235691967</v>
      </c>
      <c r="W110">
        <f t="shared" si="35"/>
        <v>936.79085942937002</v>
      </c>
      <c r="X110">
        <f t="shared" si="35"/>
        <v>852.21441493405962</v>
      </c>
      <c r="Y110">
        <f t="shared" si="35"/>
        <v>1037.8563665662507</v>
      </c>
      <c r="Z110">
        <f t="shared" si="35"/>
        <v>991.11904139672549</v>
      </c>
      <c r="AA110">
        <f t="shared" si="35"/>
        <v>980.56756855165884</v>
      </c>
      <c r="AB110">
        <f t="shared" si="35"/>
        <v>979.56500000000005</v>
      </c>
      <c r="AC110">
        <f t="shared" si="35"/>
        <v>1032.51</v>
      </c>
      <c r="AD110">
        <f t="shared" si="35"/>
        <v>974.01499999999999</v>
      </c>
      <c r="AE110">
        <f t="shared" si="35"/>
        <v>1011.415</v>
      </c>
      <c r="AF110">
        <f t="shared" si="35"/>
        <v>1031.1199999999999</v>
      </c>
      <c r="AG110">
        <f t="shared" si="35"/>
        <v>1001.0350000000001</v>
      </c>
      <c r="AH110">
        <f t="shared" si="35"/>
        <v>994.44</v>
      </c>
      <c r="AI110">
        <f t="shared" si="35"/>
        <v>1000</v>
      </c>
      <c r="AJ110">
        <f t="shared" si="35"/>
        <v>957.2</v>
      </c>
      <c r="AK110">
        <f t="shared" si="35"/>
        <v>1000</v>
      </c>
      <c r="AL110">
        <f t="shared" si="35"/>
        <v>1055.9299999999998</v>
      </c>
      <c r="AM110">
        <f t="shared" si="35"/>
        <v>1000</v>
      </c>
    </row>
    <row r="111" spans="1:39" x14ac:dyDescent="0.25">
      <c r="A111" t="s">
        <v>21</v>
      </c>
      <c r="D111" t="str" cm="1">
        <f t="array" ref="D111">IFERROR(
  _xlfn.LET(
    _xlpm.ligpartie, MATCH($B110, Donnees!$F:$F, 0),
    _xlpm.joueurs, INDEX(Donnees!$A:$Z, _xlpm.ligpartie+1, _xlfn.SEQUENCE(1, 4, 2)),
    INDEX(
      Donnees!$A:$Z,
      _xlpm.ligpartie + 3,
      MATCH(D$1, _xlpm.joueurs, 0) + 1
    )
  ), ""
)</f>
        <v/>
      </c>
      <c r="E111" t="str" cm="1">
        <f t="array" ref="E111">IFERROR(
  _xlfn.LET(
    _xlpm.ligpartie, MATCH($B110, Donnees!$F:$F, 0),
    _xlpm.joueurs, INDEX(Donnees!$A:$Z, _xlpm.ligpartie+1, _xlfn.SEQUENCE(1, 4, 2)),
    INDEX(
      Donnees!$A:$Z,
      _xlpm.ligpartie + 3,
      MATCH(E$1, _xlpm.joueurs, 0) + 1
    )
  ), ""
)</f>
        <v/>
      </c>
      <c r="F111" t="str" cm="1">
        <f t="array" ref="F111">IFERROR(
  _xlfn.LET(
    _xlpm.ligpartie, MATCH($B110, Donnees!$F:$F, 0),
    _xlpm.joueurs, INDEX(Donnees!$A:$Z, _xlpm.ligpartie+1, _xlfn.SEQUENCE(1, 4, 2)),
    INDEX(
      Donnees!$A:$Z,
      _xlpm.ligpartie + 3,
      MATCH(F$1, _xlpm.joueurs, 0) + 1
    )
  ), ""
)</f>
        <v/>
      </c>
      <c r="G111" cm="1">
        <f t="array" ref="G111">IFERROR(
  _xlfn.LET(
    _xlpm.ligpartie, MATCH($B110, Donnees!$F:$F, 0),
    _xlpm.joueurs, INDEX(Donnees!$A:$Z, _xlpm.ligpartie+1, _xlfn.SEQUENCE(1, 4, 2)),
    INDEX(
      Donnees!$A:$Z,
      _xlpm.ligpartie + 3,
      MATCH(G$1, _xlpm.joueurs, 0) + 1
    )
  ), ""
)</f>
        <v>2</v>
      </c>
      <c r="H111" t="str" cm="1">
        <f t="array" ref="H111">IFERROR(
  _xlfn.LET(
    _xlpm.ligpartie, MATCH($B110, Donnees!$F:$F, 0),
    _xlpm.joueurs, INDEX(Donnees!$A:$Z, _xlpm.ligpartie+1, _xlfn.SEQUENCE(1, 4, 2)),
    INDEX(
      Donnees!$A:$Z,
      _xlpm.ligpartie + 3,
      MATCH(H$1, _xlpm.joueurs, 0) + 1
    )
  ), ""
)</f>
        <v/>
      </c>
      <c r="I111" t="str" cm="1">
        <f t="array" ref="I111">IFERROR(
  _xlfn.LET(
    _xlpm.ligpartie, MATCH($B110, Donnees!$F:$F, 0),
    _xlpm.joueurs, INDEX(Donnees!$A:$Z, _xlpm.ligpartie+1, _xlfn.SEQUENCE(1, 4, 2)),
    INDEX(
      Donnees!$A:$Z,
      _xlpm.ligpartie + 3,
      MATCH(I$1, _xlpm.joueurs, 0) + 1
    )
  ), ""
)</f>
        <v/>
      </c>
      <c r="J111" t="str" cm="1">
        <f t="array" ref="J111">IFERROR(
  _xlfn.LET(
    _xlpm.ligpartie, MATCH($B110, Donnees!$F:$F, 0),
    _xlpm.joueurs, INDEX(Donnees!$A:$Z, _xlpm.ligpartie+1, _xlfn.SEQUENCE(1, 4, 2)),
    INDEX(
      Donnees!$A:$Z,
      _xlpm.ligpartie + 3,
      MATCH(J$1, _xlpm.joueurs, 0) + 1
    )
  ), ""
)</f>
        <v/>
      </c>
      <c r="K111" t="str" cm="1">
        <f t="array" ref="K111">IFERROR(
  _xlfn.LET(
    _xlpm.ligpartie, MATCH($B110, Donnees!$F:$F, 0),
    _xlpm.joueurs, INDEX(Donnees!$A:$Z, _xlpm.ligpartie+1, _xlfn.SEQUENCE(1, 4, 2)),
    INDEX(
      Donnees!$A:$Z,
      _xlpm.ligpartie + 3,
      MATCH(K$1, _xlpm.joueurs, 0) + 1
    )
  ), ""
)</f>
        <v/>
      </c>
      <c r="L111" t="str" cm="1">
        <f t="array" ref="L111">IFERROR(
  _xlfn.LET(
    _xlpm.ligpartie, MATCH($B110, Donnees!$F:$F, 0),
    _xlpm.joueurs, INDEX(Donnees!$A:$Z, _xlpm.ligpartie+1, _xlfn.SEQUENCE(1, 4, 2)),
    INDEX(
      Donnees!$A:$Z,
      _xlpm.ligpartie + 3,
      MATCH(L$1, _xlpm.joueurs, 0) + 1
    )
  ), ""
)</f>
        <v/>
      </c>
      <c r="M111" t="str" cm="1">
        <f t="array" ref="M111">IFERROR(
  _xlfn.LET(
    _xlpm.ligpartie, MATCH($B110, Donnees!$F:$F, 0),
    _xlpm.joueurs, INDEX(Donnees!$A:$Z, _xlpm.ligpartie+1, _xlfn.SEQUENCE(1, 4, 2)),
    INDEX(
      Donnees!$A:$Z,
      _xlpm.ligpartie + 3,
      MATCH(M$1, _xlpm.joueurs, 0) + 1
    )
  ), ""
)</f>
        <v/>
      </c>
      <c r="N111" t="str" cm="1">
        <f t="array" ref="N111">IFERROR(
  _xlfn.LET(
    _xlpm.ligpartie, MATCH($B110, Donnees!$F:$F, 0),
    _xlpm.joueurs, INDEX(Donnees!$A:$Z, _xlpm.ligpartie+1, _xlfn.SEQUENCE(1, 4, 2)),
    INDEX(
      Donnees!$A:$Z,
      _xlpm.ligpartie + 3,
      MATCH(N$1, _xlpm.joueurs, 0) + 1
    )
  ), ""
)</f>
        <v/>
      </c>
      <c r="O111" t="str" cm="1">
        <f t="array" ref="O111">IFERROR(
  _xlfn.LET(
    _xlpm.ligpartie, MATCH($B110, Donnees!$F:$F, 0),
    _xlpm.joueurs, INDEX(Donnees!$A:$Z, _xlpm.ligpartie+1, _xlfn.SEQUENCE(1, 4, 2)),
    INDEX(
      Donnees!$A:$Z,
      _xlpm.ligpartie + 3,
      MATCH(O$1, _xlpm.joueurs, 0) + 1
    )
  ), ""
)</f>
        <v/>
      </c>
      <c r="P111" t="str" cm="1">
        <f t="array" ref="P111">IFERROR(
  _xlfn.LET(
    _xlpm.ligpartie, MATCH($B110, Donnees!$F:$F, 0),
    _xlpm.joueurs, INDEX(Donnees!$A:$Z, _xlpm.ligpartie+1, _xlfn.SEQUENCE(1, 4, 2)),
    INDEX(
      Donnees!$A:$Z,
      _xlpm.ligpartie + 3,
      MATCH(P$1, _xlpm.joueurs, 0) + 1
    )
  ), ""
)</f>
        <v/>
      </c>
      <c r="Q111" cm="1">
        <f t="array" ref="Q111">IFERROR(
  _xlfn.LET(
    _xlpm.ligpartie, MATCH($B110, Donnees!$F:$F, 0),
    _xlpm.joueurs, INDEX(Donnees!$A:$Z, _xlpm.ligpartie+1, _xlfn.SEQUENCE(1, 4, 2)),
    INDEX(
      Donnees!$A:$Z,
      _xlpm.ligpartie + 3,
      MATCH(Q$1, _xlpm.joueurs, 0) + 1
    )
  ), ""
)</f>
        <v>1</v>
      </c>
      <c r="R111" t="str" cm="1">
        <f t="array" ref="R111">IFERROR(
  _xlfn.LET(
    _xlpm.ligpartie, MATCH($B110, Donnees!$F:$F, 0),
    _xlpm.joueurs, INDEX(Donnees!$A:$Z, _xlpm.ligpartie+1, _xlfn.SEQUENCE(1, 4, 2)),
    INDEX(
      Donnees!$A:$Z,
      _xlpm.ligpartie + 3,
      MATCH(R$1, _xlpm.joueurs, 0) + 1
    )
  ), ""
)</f>
        <v/>
      </c>
      <c r="S111" t="str" cm="1">
        <f t="array" ref="S111">IFERROR(
  _xlfn.LET(
    _xlpm.ligpartie, MATCH($B110, Donnees!$F:$F, 0),
    _xlpm.joueurs, INDEX(Donnees!$A:$Z, _xlpm.ligpartie+1, _xlfn.SEQUENCE(1, 4, 2)),
    INDEX(
      Donnees!$A:$Z,
      _xlpm.ligpartie + 3,
      MATCH(S$1, _xlpm.joueurs, 0) + 1
    )
  ), ""
)</f>
        <v/>
      </c>
      <c r="T111" t="str" cm="1">
        <f t="array" ref="T111">IFERROR(
  _xlfn.LET(
    _xlpm.ligpartie, MATCH($B110, Donnees!$F:$F, 0),
    _xlpm.joueurs, INDEX(Donnees!$A:$Z, _xlpm.ligpartie+1, _xlfn.SEQUENCE(1, 4, 2)),
    INDEX(
      Donnees!$A:$Z,
      _xlpm.ligpartie + 3,
      MATCH(T$1, _xlpm.joueurs, 0) + 1
    )
  ), ""
)</f>
        <v/>
      </c>
      <c r="U111" cm="1">
        <f t="array" ref="U111">IFERROR(
  _xlfn.LET(
    _xlpm.ligpartie, MATCH($B110, Donnees!$F:$F, 0),
    _xlpm.joueurs, INDEX(Donnees!$A:$Z, _xlpm.ligpartie+1, _xlfn.SEQUENCE(1, 4, 2)),
    INDEX(
      Donnees!$A:$Z,
      _xlpm.ligpartie + 3,
      MATCH(U$1, _xlpm.joueurs, 0) + 1
    )
  ), ""
)</f>
        <v>3</v>
      </c>
      <c r="V111" t="str" cm="1">
        <f t="array" ref="V111">IFERROR(
  _xlfn.LET(
    _xlpm.ligpartie, MATCH($B110, Donnees!$F:$F, 0),
    _xlpm.joueurs, INDEX(Donnees!$A:$Z, _xlpm.ligpartie+1, _xlfn.SEQUENCE(1, 4, 2)),
    INDEX(
      Donnees!$A:$Z,
      _xlpm.ligpartie + 3,
      MATCH(V$1, _xlpm.joueurs, 0) + 1
    )
  ), ""
)</f>
        <v/>
      </c>
      <c r="W111" t="str" cm="1">
        <f t="array" ref="W111">IFERROR(
  _xlfn.LET(
    _xlpm.ligpartie, MATCH($B110, Donnees!$F:$F, 0),
    _xlpm.joueurs, INDEX(Donnees!$A:$Z, _xlpm.ligpartie+1, _xlfn.SEQUENCE(1, 4, 2)),
    INDEX(
      Donnees!$A:$Z,
      _xlpm.ligpartie + 3,
      MATCH(W$1, _xlpm.joueurs, 0) + 1
    )
  ), ""
)</f>
        <v/>
      </c>
      <c r="X111" t="str" cm="1">
        <f t="array" ref="X111">IFERROR(
  _xlfn.LET(
    _xlpm.ligpartie, MATCH($B110, Donnees!$F:$F, 0),
    _xlpm.joueurs, INDEX(Donnees!$A:$Z, _xlpm.ligpartie+1, _xlfn.SEQUENCE(1, 4, 2)),
    INDEX(
      Donnees!$A:$Z,
      _xlpm.ligpartie + 3,
      MATCH(X$1, _xlpm.joueurs, 0) + 1
    )
  ), ""
)</f>
        <v/>
      </c>
      <c r="Y111" t="str" cm="1">
        <f t="array" ref="Y111">IFERROR(
  _xlfn.LET(
    _xlpm.ligpartie, MATCH($B110, Donnees!$F:$F, 0),
    _xlpm.joueurs, INDEX(Donnees!$A:$Z, _xlpm.ligpartie+1, _xlfn.SEQUENCE(1, 4, 2)),
    INDEX(
      Donnees!$A:$Z,
      _xlpm.ligpartie + 3,
      MATCH(Y$1, _xlpm.joueurs, 0) + 1
    )
  ), ""
)</f>
        <v/>
      </c>
      <c r="Z111" t="str" cm="1">
        <f t="array" ref="Z111">IFERROR(
  _xlfn.LET(
    _xlpm.ligpartie, MATCH($B110, Donnees!$F:$F, 0),
    _xlpm.joueurs, INDEX(Donnees!$A:$Z, _xlpm.ligpartie+1, _xlfn.SEQUENCE(1, 4, 2)),
    INDEX(
      Donnees!$A:$Z,
      _xlpm.ligpartie + 3,
      MATCH(Z$1, _xlpm.joueurs, 0) + 1
    )
  ), ""
)</f>
        <v/>
      </c>
      <c r="AA111" t="str" cm="1">
        <f t="array" ref="AA111">IFERROR(
  _xlfn.LET(
    _xlpm.ligpartie, MATCH($B110, Donnees!$F:$F, 0),
    _xlpm.joueurs, INDEX(Donnees!$A:$Z, _xlpm.ligpartie+1, _xlfn.SEQUENCE(1, 4, 2)),
    INDEX(
      Donnees!$A:$Z,
      _xlpm.ligpartie + 3,
      MATCH(AA$1, _xlpm.joueurs, 0) + 1
    )
  ), ""
)</f>
        <v/>
      </c>
      <c r="AB111" cm="1">
        <f t="array" ref="AB111">IFERROR(
  _xlfn.LET(
    _xlpm.ligpartie, MATCH($B110, Donnees!$F:$F, 0),
    _xlpm.joueurs, INDEX(Donnees!$A:$Z, _xlpm.ligpartie+1, _xlfn.SEQUENCE(1, 4, 2)),
    INDEX(
      Donnees!$A:$Z,
      _xlpm.ligpartie + 3,
      MATCH(AB$1, _xlpm.joueurs, 0) + 1
    )
  ), ""
)</f>
        <v>0</v>
      </c>
      <c r="AC111" t="str" cm="1">
        <f t="array" ref="AC111">IFERROR(
  _xlfn.LET(
    _xlpm.ligpartie, MATCH($B110, Donnees!$F:$F, 0),
    _xlpm.joueurs, INDEX(Donnees!$A:$Z, _xlpm.ligpartie+1, _xlfn.SEQUENCE(1, 4, 2)),
    INDEX(
      Donnees!$A:$Z,
      _xlpm.ligpartie + 3,
      MATCH(AC$1, _xlpm.joueurs, 0) + 1
    )
  ), ""
)</f>
        <v/>
      </c>
      <c r="AD111" t="str" cm="1">
        <f t="array" ref="AD111">IFERROR(
  _xlfn.LET(
    _xlpm.ligpartie, MATCH($B110, Donnees!$F:$F, 0),
    _xlpm.joueurs, INDEX(Donnees!$A:$Z, _xlpm.ligpartie+1, _xlfn.SEQUENCE(1, 4, 2)),
    INDEX(
      Donnees!$A:$Z,
      _xlpm.ligpartie + 3,
      MATCH(AD$1, _xlpm.joueurs, 0) + 1
    )
  ), ""
)</f>
        <v/>
      </c>
      <c r="AE111" t="str" cm="1">
        <f t="array" ref="AE111">IFERROR(
  _xlfn.LET(
    _xlpm.ligpartie, MATCH($B110, Donnees!$F:$F, 0),
    _xlpm.joueurs, INDEX(Donnees!$A:$Z, _xlpm.ligpartie+1, _xlfn.SEQUENCE(1, 4, 2)),
    INDEX(
      Donnees!$A:$Z,
      _xlpm.ligpartie + 3,
      MATCH(AE$1, _xlpm.joueurs, 0) + 1
    )
  ), ""
)</f>
        <v/>
      </c>
      <c r="AF111" t="str" cm="1">
        <f t="array" ref="AF111">IFERROR(
  _xlfn.LET(
    _xlpm.ligpartie, MATCH($B110, Donnees!$F:$F, 0),
    _xlpm.joueurs, INDEX(Donnees!$A:$Z, _xlpm.ligpartie+1, _xlfn.SEQUENCE(1, 4, 2)),
    INDEX(
      Donnees!$A:$Z,
      _xlpm.ligpartie + 3,
      MATCH(AF$1, _xlpm.joueurs, 0) + 1
    )
  ), ""
)</f>
        <v/>
      </c>
      <c r="AG111" t="str" cm="1">
        <f t="array" ref="AG111">IFERROR(
  _xlfn.LET(
    _xlpm.ligpartie, MATCH($B110, Donnees!$F:$F, 0),
    _xlpm.joueurs, INDEX(Donnees!$A:$Z, _xlpm.ligpartie+1, _xlfn.SEQUENCE(1, 4, 2)),
    INDEX(
      Donnees!$A:$Z,
      _xlpm.ligpartie + 3,
      MATCH(AG$1, _xlpm.joueurs, 0) + 1
    )
  ), ""
)</f>
        <v/>
      </c>
      <c r="AH111" t="str" cm="1">
        <f t="array" ref="AH111">IFERROR(
  _xlfn.LET(
    _xlpm.ligpartie, MATCH($B110, Donnees!$F:$F, 0),
    _xlpm.joueurs, INDEX(Donnees!$A:$Z, _xlpm.ligpartie+1, _xlfn.SEQUENCE(1, 4, 2)),
    INDEX(
      Donnees!$A:$Z,
      _xlpm.ligpartie + 3,
      MATCH(AH$1, _xlpm.joueurs, 0) + 1
    )
  ), ""
)</f>
        <v/>
      </c>
      <c r="AI111" t="str" cm="1">
        <f t="array" ref="AI111">IFERROR(
  _xlfn.LET(
    _xlpm.ligpartie, MATCH($B110, Donnees!$F:$F, 0),
    _xlpm.joueurs, INDEX(Donnees!$A:$Z, _xlpm.ligpartie+1, _xlfn.SEQUENCE(1, 4, 2)),
    INDEX(
      Donnees!$A:$Z,
      _xlpm.ligpartie + 3,
      MATCH(AI$1, _xlpm.joueurs, 0) + 1
    )
  ), ""
)</f>
        <v/>
      </c>
      <c r="AJ111" t="str" cm="1">
        <f t="array" ref="AJ111">IFERROR(
  _xlfn.LET(
    _xlpm.ligpartie, MATCH($B110, Donnees!$F:$F, 0),
    _xlpm.joueurs, INDEX(Donnees!$A:$Z, _xlpm.ligpartie+1, _xlfn.SEQUENCE(1, 4, 2)),
    INDEX(
      Donnees!$A:$Z,
      _xlpm.ligpartie + 3,
      MATCH(AJ$1, _xlpm.joueurs, 0) + 1
    )
  ), ""
)</f>
        <v/>
      </c>
      <c r="AK111" t="str" cm="1">
        <f t="array" ref="AK111">IFERROR(
  _xlfn.LET(
    _xlpm.ligpartie, MATCH($B110, Donnees!$F:$F, 0),
    _xlpm.joueurs, INDEX(Donnees!$A:$Z, _xlpm.ligpartie+1, _xlfn.SEQUENCE(1, 4, 2)),
    INDEX(
      Donnees!$A:$Z,
      _xlpm.ligpartie + 3,
      MATCH(AK$1, _xlpm.joueurs, 0) + 1
    )
  ), ""
)</f>
        <v/>
      </c>
      <c r="AL111" t="str" cm="1">
        <f t="array" ref="AL111">IFERROR(
  _xlfn.LET(
    _xlpm.ligpartie, MATCH($B110, Donnees!$F:$F, 0),
    _xlpm.joueurs, INDEX(Donnees!$A:$Z, _xlpm.ligpartie+1, _xlfn.SEQUENCE(1, 4, 2)),
    INDEX(
      Donnees!$A:$Z,
      _xlpm.ligpartie + 3,
      MATCH(AL$1, _xlpm.joueurs, 0) + 1
    )
  ), ""
)</f>
        <v/>
      </c>
      <c r="AM111" t="str" cm="1">
        <f t="array" ref="AM111">IFERROR(
  _xlfn.LET(
    _xlpm.ligpartie, MATCH($B110, Donnees!$F:$F, 0),
    _xlpm.joueurs, INDEX(Donnees!$A:$Z, _xlpm.ligpartie+1, _xlfn.SEQUENCE(1, 4, 2)),
    INDEX(
      Donnees!$A:$Z,
      _xlpm.ligpartie + 3,
      MATCH(AM$1, _xlpm.joueurs, 0) + 1
    )
  ), ""
)</f>
        <v/>
      </c>
    </row>
    <row r="112" spans="1:39" x14ac:dyDescent="0.25">
      <c r="A112" t="s">
        <v>20</v>
      </c>
      <c r="D112" t="str" cm="1">
        <f t="array" ref="D112">_xlfn.LET(
  _xlpm.colj, _xlfn._xlws.FILTER(IF(ISNUMBER(111:111), COLUMN(111:111)), ISNUMBER(111:111)),
  _xlpm.elos, INDEX(110:110,1,_xlpm.colj),
  _xlpm.diffscale, Constantes!$B$2,
  IF(D111="",
    "",
    SUM(1/(1+POWER(10,-(D110-_xlpm.elos)/_xlpm.diffscale)))-0.5)
)</f>
        <v/>
      </c>
      <c r="E112" t="str" cm="1">
        <f t="array" ref="E112">_xlfn.LET(
  _xlpm.colj, _xlfn._xlws.FILTER(IF(ISNUMBER(111:111), COLUMN(111:111)), ISNUMBER(111:111)),
  _xlpm.elos, INDEX(110:110,1,_xlpm.colj),
  _xlpm.diffscale, Constantes!$B$2,
  IF(E111="",
    "",
    SUM(1/(1+POWER(10,-(E110-_xlpm.elos)/_xlpm.diffscale)))-0.5)
)</f>
        <v/>
      </c>
      <c r="F112" t="str" cm="1">
        <f t="array" ref="F112">_xlfn.LET(
  _xlpm.colj, _xlfn._xlws.FILTER(IF(ISNUMBER(111:111), COLUMN(111:111)), ISNUMBER(111:111)),
  _xlpm.elos, INDEX(110:110,1,_xlpm.colj),
  _xlpm.diffscale, Constantes!$B$2,
  IF(F111="",
    "",
    SUM(1/(1+POWER(10,-(F110-_xlpm.elos)/_xlpm.diffscale)))-0.5)
)</f>
        <v/>
      </c>
      <c r="G112" cm="1">
        <f t="array" ref="G112">_xlfn.LET(
  _xlpm.colj, _xlfn._xlws.FILTER(IF(ISNUMBER(111:111), COLUMN(111:111)), ISNUMBER(111:111)),
  _xlpm.elos, INDEX(110:110,1,_xlpm.colj),
  _xlpm.diffscale, Constantes!$B$2,
  IF(G111="",
    "",
    SUM(1/(1+POWER(10,-(G110-_xlpm.elos)/_xlpm.diffscale)))-0.5)
)</f>
        <v>1.2369238065163306</v>
      </c>
      <c r="H112" t="str" cm="1">
        <f t="array" ref="H112">_xlfn.LET(
  _xlpm.colj, _xlfn._xlws.FILTER(IF(ISNUMBER(111:111), COLUMN(111:111)), ISNUMBER(111:111)),
  _xlpm.elos, INDEX(110:110,1,_xlpm.colj),
  _xlpm.diffscale, Constantes!$B$2,
  IF(H111="",
    "",
    SUM(1/(1+POWER(10,-(H110-_xlpm.elos)/_xlpm.diffscale)))-0.5)
)</f>
        <v/>
      </c>
      <c r="I112" t="str" cm="1">
        <f t="array" ref="I112">_xlfn.LET(
  _xlpm.colj, _xlfn._xlws.FILTER(IF(ISNUMBER(111:111), COLUMN(111:111)), ISNUMBER(111:111)),
  _xlpm.elos, INDEX(110:110,1,_xlpm.colj),
  _xlpm.diffscale, Constantes!$B$2,
  IF(I111="",
    "",
    SUM(1/(1+POWER(10,-(I110-_xlpm.elos)/_xlpm.diffscale)))-0.5)
)</f>
        <v/>
      </c>
      <c r="J112" t="str" cm="1">
        <f t="array" ref="J112">_xlfn.LET(
  _xlpm.colj, _xlfn._xlws.FILTER(IF(ISNUMBER(111:111), COLUMN(111:111)), ISNUMBER(111:111)),
  _xlpm.elos, INDEX(110:110,1,_xlpm.colj),
  _xlpm.diffscale, Constantes!$B$2,
  IF(J111="",
    "",
    SUM(1/(1+POWER(10,-(J110-_xlpm.elos)/_xlpm.diffscale)))-0.5)
)</f>
        <v/>
      </c>
      <c r="K112" t="str" cm="1">
        <f t="array" ref="K112">_xlfn.LET(
  _xlpm.colj, _xlfn._xlws.FILTER(IF(ISNUMBER(111:111), COLUMN(111:111)), ISNUMBER(111:111)),
  _xlpm.elos, INDEX(110:110,1,_xlpm.colj),
  _xlpm.diffscale, Constantes!$B$2,
  IF(K111="",
    "",
    SUM(1/(1+POWER(10,-(K110-_xlpm.elos)/_xlpm.diffscale)))-0.5)
)</f>
        <v/>
      </c>
      <c r="L112" t="str" cm="1">
        <f t="array" ref="L112">_xlfn.LET(
  _xlpm.colj, _xlfn._xlws.FILTER(IF(ISNUMBER(111:111), COLUMN(111:111)), ISNUMBER(111:111)),
  _xlpm.elos, INDEX(110:110,1,_xlpm.colj),
  _xlpm.diffscale, Constantes!$B$2,
  IF(L111="",
    "",
    SUM(1/(1+POWER(10,-(L110-_xlpm.elos)/_xlpm.diffscale)))-0.5)
)</f>
        <v/>
      </c>
      <c r="M112" t="str" cm="1">
        <f t="array" ref="M112">_xlfn.LET(
  _xlpm.colj, _xlfn._xlws.FILTER(IF(ISNUMBER(111:111), COLUMN(111:111)), ISNUMBER(111:111)),
  _xlpm.elos, INDEX(110:110,1,_xlpm.colj),
  _xlpm.diffscale, Constantes!$B$2,
  IF(M111="",
    "",
    SUM(1/(1+POWER(10,-(M110-_xlpm.elos)/_xlpm.diffscale)))-0.5)
)</f>
        <v/>
      </c>
      <c r="N112" t="str" cm="1">
        <f t="array" ref="N112">_xlfn.LET(
  _xlpm.colj, _xlfn._xlws.FILTER(IF(ISNUMBER(111:111), COLUMN(111:111)), ISNUMBER(111:111)),
  _xlpm.elos, INDEX(110:110,1,_xlpm.colj),
  _xlpm.diffscale, Constantes!$B$2,
  IF(N111="",
    "",
    SUM(1/(1+POWER(10,-(N110-_xlpm.elos)/_xlpm.diffscale)))-0.5)
)</f>
        <v/>
      </c>
      <c r="O112" t="str" cm="1">
        <f t="array" ref="O112">_xlfn.LET(
  _xlpm.colj, _xlfn._xlws.FILTER(IF(ISNUMBER(111:111), COLUMN(111:111)), ISNUMBER(111:111)),
  _xlpm.elos, INDEX(110:110,1,_xlpm.colj),
  _xlpm.diffscale, Constantes!$B$2,
  IF(O111="",
    "",
    SUM(1/(1+POWER(10,-(O110-_xlpm.elos)/_xlpm.diffscale)))-0.5)
)</f>
        <v/>
      </c>
      <c r="P112" t="str" cm="1">
        <f t="array" ref="P112">_xlfn.LET(
  _xlpm.colj, _xlfn._xlws.FILTER(IF(ISNUMBER(111:111), COLUMN(111:111)), ISNUMBER(111:111)),
  _xlpm.elos, INDEX(110:110,1,_xlpm.colj),
  _xlpm.diffscale, Constantes!$B$2,
  IF(P111="",
    "",
    SUM(1/(1+POWER(10,-(P110-_xlpm.elos)/_xlpm.diffscale)))-0.5)
)</f>
        <v/>
      </c>
      <c r="Q112" cm="1">
        <f t="array" ref="Q112">_xlfn.LET(
  _xlpm.colj, _xlfn._xlws.FILTER(IF(ISNUMBER(111:111), COLUMN(111:111)), ISNUMBER(111:111)),
  _xlpm.elos, INDEX(110:110,1,_xlpm.colj),
  _xlpm.diffscale, Constantes!$B$2,
  IF(Q111="",
    "",
    SUM(1/(1+POWER(10,-(Q110-_xlpm.elos)/_xlpm.diffscale)))-0.5)
)</f>
        <v>1.9273067462091373</v>
      </c>
      <c r="R112" t="str" cm="1">
        <f t="array" ref="R112">_xlfn.LET(
  _xlpm.colj, _xlfn._xlws.FILTER(IF(ISNUMBER(111:111), COLUMN(111:111)), ISNUMBER(111:111)),
  _xlpm.elos, INDEX(110:110,1,_xlpm.colj),
  _xlpm.diffscale, Constantes!$B$2,
  IF(R111="",
    "",
    SUM(1/(1+POWER(10,-(R110-_xlpm.elos)/_xlpm.diffscale)))-0.5)
)</f>
        <v/>
      </c>
      <c r="S112" t="str" cm="1">
        <f t="array" ref="S112">_xlfn.LET(
  _xlpm.colj, _xlfn._xlws.FILTER(IF(ISNUMBER(111:111), COLUMN(111:111)), ISNUMBER(111:111)),
  _xlpm.elos, INDEX(110:110,1,_xlpm.colj),
  _xlpm.diffscale, Constantes!$B$2,
  IF(S111="",
    "",
    SUM(1/(1+POWER(10,-(S110-_xlpm.elos)/_xlpm.diffscale)))-0.5)
)</f>
        <v/>
      </c>
      <c r="T112" t="str" cm="1">
        <f t="array" ref="T112">_xlfn.LET(
  _xlpm.colj, _xlfn._xlws.FILTER(IF(ISNUMBER(111:111), COLUMN(111:111)), ISNUMBER(111:111)),
  _xlpm.elos, INDEX(110:110,1,_xlpm.colj),
  _xlpm.diffscale, Constantes!$B$2,
  IF(T111="",
    "",
    SUM(1/(1+POWER(10,-(T110-_xlpm.elos)/_xlpm.diffscale)))-0.5)
)</f>
        <v/>
      </c>
      <c r="U112" cm="1">
        <f t="array" ref="U112">_xlfn.LET(
  _xlpm.colj, _xlfn._xlws.FILTER(IF(ISNUMBER(111:111), COLUMN(111:111)), ISNUMBER(111:111)),
  _xlpm.elos, INDEX(110:110,1,_xlpm.colj),
  _xlpm.diffscale, Constantes!$B$2,
  IF(U111="",
    "",
    SUM(1/(1+POWER(10,-(U110-_xlpm.elos)/_xlpm.diffscale)))-0.5)
)</f>
        <v>1.4689780678489885</v>
      </c>
      <c r="V112" t="str" cm="1">
        <f t="array" ref="V112">_xlfn.LET(
  _xlpm.colj, _xlfn._xlws.FILTER(IF(ISNUMBER(111:111), COLUMN(111:111)), ISNUMBER(111:111)),
  _xlpm.elos, INDEX(110:110,1,_xlpm.colj),
  _xlpm.diffscale, Constantes!$B$2,
  IF(V111="",
    "",
    SUM(1/(1+POWER(10,-(V110-_xlpm.elos)/_xlpm.diffscale)))-0.5)
)</f>
        <v/>
      </c>
      <c r="W112" t="str" cm="1">
        <f t="array" ref="W112">_xlfn.LET(
  _xlpm.colj, _xlfn._xlws.FILTER(IF(ISNUMBER(111:111), COLUMN(111:111)), ISNUMBER(111:111)),
  _xlpm.elos, INDEX(110:110,1,_xlpm.colj),
  _xlpm.diffscale, Constantes!$B$2,
  IF(W111="",
    "",
    SUM(1/(1+POWER(10,-(W110-_xlpm.elos)/_xlpm.diffscale)))-0.5)
)</f>
        <v/>
      </c>
      <c r="X112" t="str" cm="1">
        <f t="array" ref="X112">_xlfn.LET(
  _xlpm.colj, _xlfn._xlws.FILTER(IF(ISNUMBER(111:111), COLUMN(111:111)), ISNUMBER(111:111)),
  _xlpm.elos, INDEX(110:110,1,_xlpm.colj),
  _xlpm.diffscale, Constantes!$B$2,
  IF(X111="",
    "",
    SUM(1/(1+POWER(10,-(X110-_xlpm.elos)/_xlpm.diffscale)))-0.5)
)</f>
        <v/>
      </c>
      <c r="Y112" t="str" cm="1">
        <f t="array" ref="Y112">_xlfn.LET(
  _xlpm.colj, _xlfn._xlws.FILTER(IF(ISNUMBER(111:111), COLUMN(111:111)), ISNUMBER(111:111)),
  _xlpm.elos, INDEX(110:110,1,_xlpm.colj),
  _xlpm.diffscale, Constantes!$B$2,
  IF(Y111="",
    "",
    SUM(1/(1+POWER(10,-(Y110-_xlpm.elos)/_xlpm.diffscale)))-0.5)
)</f>
        <v/>
      </c>
      <c r="Z112" t="str" cm="1">
        <f t="array" ref="Z112">_xlfn.LET(
  _xlpm.colj, _xlfn._xlws.FILTER(IF(ISNUMBER(111:111), COLUMN(111:111)), ISNUMBER(111:111)),
  _xlpm.elos, INDEX(110:110,1,_xlpm.colj),
  _xlpm.diffscale, Constantes!$B$2,
  IF(Z111="",
    "",
    SUM(1/(1+POWER(10,-(Z110-_xlpm.elos)/_xlpm.diffscale)))-0.5)
)</f>
        <v/>
      </c>
      <c r="AA112" t="str" cm="1">
        <f t="array" ref="AA112">_xlfn.LET(
  _xlpm.colj, _xlfn._xlws.FILTER(IF(ISNUMBER(111:111), COLUMN(111:111)), ISNUMBER(111:111)),
  _xlpm.elos, INDEX(110:110,1,_xlpm.colj),
  _xlpm.diffscale, Constantes!$B$2,
  IF(AA111="",
    "",
    SUM(1/(1+POWER(10,-(AA110-_xlpm.elos)/_xlpm.diffscale)))-0.5)
)</f>
        <v/>
      </c>
      <c r="AB112" cm="1">
        <f t="array" ref="AB112">_xlfn.LET(
  _xlpm.colj, _xlfn._xlws.FILTER(IF(ISNUMBER(111:111), COLUMN(111:111)), ISNUMBER(111:111)),
  _xlpm.elos, INDEX(110:110,1,_xlpm.colj),
  _xlpm.diffscale, Constantes!$B$2,
  IF(AB111="",
    "",
    SUM(1/(1+POWER(10,-(AB110-_xlpm.elos)/_xlpm.diffscale)))-0.5)
)</f>
        <v>1.3667913794255435</v>
      </c>
      <c r="AC112" t="str" cm="1">
        <f t="array" ref="AC112">_xlfn.LET(
  _xlpm.colj, _xlfn._xlws.FILTER(IF(ISNUMBER(111:111), COLUMN(111:111)), ISNUMBER(111:111)),
  _xlpm.elos, INDEX(110:110,1,_xlpm.colj),
  _xlpm.diffscale, Constantes!$B$2,
  IF(AC111="",
    "",
    SUM(1/(1+POWER(10,-(AC110-_xlpm.elos)/_xlpm.diffscale)))-0.5)
)</f>
        <v/>
      </c>
      <c r="AD112" t="str" cm="1">
        <f t="array" ref="AD112">_xlfn.LET(
  _xlpm.colj, _xlfn._xlws.FILTER(IF(ISNUMBER(111:111), COLUMN(111:111)), ISNUMBER(111:111)),
  _xlpm.elos, INDEX(110:110,1,_xlpm.colj),
  _xlpm.diffscale, Constantes!$B$2,
  IF(AD111="",
    "",
    SUM(1/(1+POWER(10,-(AD110-_xlpm.elos)/_xlpm.diffscale)))-0.5)
)</f>
        <v/>
      </c>
      <c r="AE112" t="str" cm="1">
        <f t="array" ref="AE112">_xlfn.LET(
  _xlpm.colj, _xlfn._xlws.FILTER(IF(ISNUMBER(111:111), COLUMN(111:111)), ISNUMBER(111:111)),
  _xlpm.elos, INDEX(110:110,1,_xlpm.colj),
  _xlpm.diffscale, Constantes!$B$2,
  IF(AE111="",
    "",
    SUM(1/(1+POWER(10,-(AE110-_xlpm.elos)/_xlpm.diffscale)))-0.5)
)</f>
        <v/>
      </c>
      <c r="AF112" t="str" cm="1">
        <f t="array" ref="AF112">_xlfn.LET(
  _xlpm.colj, _xlfn._xlws.FILTER(IF(ISNUMBER(111:111), COLUMN(111:111)), ISNUMBER(111:111)),
  _xlpm.elos, INDEX(110:110,1,_xlpm.colj),
  _xlpm.diffscale, Constantes!$B$2,
  IF(AF111="",
    "",
    SUM(1/(1+POWER(10,-(AF110-_xlpm.elos)/_xlpm.diffscale)))-0.5)
)</f>
        <v/>
      </c>
      <c r="AG112" t="str" cm="1">
        <f t="array" ref="AG112">_xlfn.LET(
  _xlpm.colj, _xlfn._xlws.FILTER(IF(ISNUMBER(111:111), COLUMN(111:111)), ISNUMBER(111:111)),
  _xlpm.elos, INDEX(110:110,1,_xlpm.colj),
  _xlpm.diffscale, Constantes!$B$2,
  IF(AG111="",
    "",
    SUM(1/(1+POWER(10,-(AG110-_xlpm.elos)/_xlpm.diffscale)))-0.5)
)</f>
        <v/>
      </c>
      <c r="AH112" t="str" cm="1">
        <f t="array" ref="AH112">_xlfn.LET(
  _xlpm.colj, _xlfn._xlws.FILTER(IF(ISNUMBER(111:111), COLUMN(111:111)), ISNUMBER(111:111)),
  _xlpm.elos, INDEX(110:110,1,_xlpm.colj),
  _xlpm.diffscale, Constantes!$B$2,
  IF(AH111="",
    "",
    SUM(1/(1+POWER(10,-(AH110-_xlpm.elos)/_xlpm.diffscale)))-0.5)
)</f>
        <v/>
      </c>
      <c r="AI112" t="str" cm="1">
        <f t="array" ref="AI112">_xlfn.LET(
  _xlpm.colj, _xlfn._xlws.FILTER(IF(ISNUMBER(111:111), COLUMN(111:111)), ISNUMBER(111:111)),
  _xlpm.elos, INDEX(110:110,1,_xlpm.colj),
  _xlpm.diffscale, Constantes!$B$2,
  IF(AI111="",
    "",
    SUM(1/(1+POWER(10,-(AI110-_xlpm.elos)/_xlpm.diffscale)))-0.5)
)</f>
        <v/>
      </c>
      <c r="AJ112" t="str" cm="1">
        <f t="array" ref="AJ112">_xlfn.LET(
  _xlpm.colj, _xlfn._xlws.FILTER(IF(ISNUMBER(111:111), COLUMN(111:111)), ISNUMBER(111:111)),
  _xlpm.elos, INDEX(110:110,1,_xlpm.colj),
  _xlpm.diffscale, Constantes!$B$2,
  IF(AJ111="",
    "",
    SUM(1/(1+POWER(10,-(AJ110-_xlpm.elos)/_xlpm.diffscale)))-0.5)
)</f>
        <v/>
      </c>
      <c r="AK112" t="str" cm="1">
        <f t="array" ref="AK112">_xlfn.LET(
  _xlpm.colj, _xlfn._xlws.FILTER(IF(ISNUMBER(111:111), COLUMN(111:111)), ISNUMBER(111:111)),
  _xlpm.elos, INDEX(110:110,1,_xlpm.colj),
  _xlpm.diffscale, Constantes!$B$2,
  IF(AK111="",
    "",
    SUM(1/(1+POWER(10,-(AK110-_xlpm.elos)/_xlpm.diffscale)))-0.5)
)</f>
        <v/>
      </c>
      <c r="AL112" t="str" cm="1">
        <f t="array" ref="AL112">_xlfn.LET(
  _xlpm.colj, _xlfn._xlws.FILTER(IF(ISNUMBER(111:111), COLUMN(111:111)), ISNUMBER(111:111)),
  _xlpm.elos, INDEX(110:110,1,_xlpm.colj),
  _xlpm.diffscale, Constantes!$B$2,
  IF(AL111="",
    "",
    SUM(1/(1+POWER(10,-(AL110-_xlpm.elos)/_xlpm.diffscale)))-0.5)
)</f>
        <v/>
      </c>
      <c r="AM112" t="str" cm="1">
        <f t="array" ref="AM112">_xlfn.LET(
  _xlpm.colj, _xlfn._xlws.FILTER(IF(ISNUMBER(111:111), COLUMN(111:111)), ISNUMBER(111:111)),
  _xlpm.elos, INDEX(110:110,1,_xlpm.colj),
  _xlpm.diffscale, Constantes!$B$2,
  IF(AM111="",
    "",
    SUM(1/(1+POWER(10,-(AM110-_xlpm.elos)/_xlpm.diffscale)))-0.5)
)</f>
        <v/>
      </c>
    </row>
    <row r="113" spans="1:39" x14ac:dyDescent="0.25">
      <c r="A113" t="s">
        <v>22</v>
      </c>
      <c r="D113" t="str" cm="1">
        <f t="array" ref="D113">_xlfn.LET(
  _xlpm.K, Constantes!$B$3,
  _xlpm.Knewgain, Constantes!$B$4,
  _xlpm.Knewscale, Constantes!$B$5,
  _xlpm.ptstables, INDEX(D:D, _xlfn.SEQUENCE(COUNTA($C$2:$C113), 1, 3, 4)),
  _xlpm.nbparties, COUNTA(_xlfn._xlws.FILTER(_xlpm.ptstables, _xlpm.ptstables &lt;&gt; "")),
  _xlpm.coef, _xlpm.K + _xlpm.Knewgain / (_xlpm.Knewscale + _xlpm.nbparties),
  IF(D111="",
    "",
    _xlpm.coef * (D111-D112))
)</f>
        <v/>
      </c>
      <c r="E113" t="str" cm="1">
        <f t="array" ref="E113">_xlfn.LET(
  _xlpm.K, Constantes!$B$3,
  _xlpm.Knewgain, Constantes!$B$4,
  _xlpm.Knewscale, Constantes!$B$5,
  _xlpm.ptstables, INDEX(E:E, _xlfn.SEQUENCE(COUNTA($C$2:$C113), 1, 3, 4)),
  _xlpm.nbparties, COUNTA(_xlfn._xlws.FILTER(_xlpm.ptstables, _xlpm.ptstables &lt;&gt; "")),
  _xlpm.coef, _xlpm.K + _xlpm.Knewgain / (_xlpm.Knewscale + _xlpm.nbparties),
  IF(E111="",
    "",
    _xlpm.coef * (E111-E112))
)</f>
        <v/>
      </c>
      <c r="F113" t="str" cm="1">
        <f t="array" ref="F113">_xlfn.LET(
  _xlpm.K, Constantes!$B$3,
  _xlpm.Knewgain, Constantes!$B$4,
  _xlpm.Knewscale, Constantes!$B$5,
  _xlpm.ptstables, INDEX(F:F, _xlfn.SEQUENCE(COUNTA($C$2:$C113), 1, 3, 4)),
  _xlpm.nbparties, COUNTA(_xlfn._xlws.FILTER(_xlpm.ptstables, _xlpm.ptstables &lt;&gt; "")),
  _xlpm.coef, _xlpm.K + _xlpm.Knewgain / (_xlpm.Knewscale + _xlpm.nbparties),
  IF(F111="",
    "",
    _xlpm.coef * (F111-F112))
)</f>
        <v/>
      </c>
      <c r="G113" cm="1">
        <f t="array" ref="G113">_xlfn.LET(
  _xlpm.K, Constantes!$B$3,
  _xlpm.Knewgain, Constantes!$B$4,
  _xlpm.Knewscale, Constantes!$B$5,
  _xlpm.ptstables, INDEX(G:G, _xlfn.SEQUENCE(COUNTA($C$2:$C113), 1, 3, 4)),
  _xlpm.nbparties, COUNTA(_xlfn._xlws.FILTER(_xlpm.ptstables, _xlpm.ptstables &lt;&gt; "")),
  _xlpm.coef, _xlpm.K + _xlpm.Knewgain / (_xlpm.Knewscale + _xlpm.nbparties),
  IF(G111="",
    "",
    _xlpm.coef * (G111-G112))
)</f>
        <v>18.730052021871884</v>
      </c>
      <c r="H113" t="str" cm="1">
        <f t="array" ref="H113">_xlfn.LET(
  _xlpm.K, Constantes!$B$3,
  _xlpm.Knewgain, Constantes!$B$4,
  _xlpm.Knewscale, Constantes!$B$5,
  _xlpm.ptstables, INDEX(H:H, _xlfn.SEQUENCE(COUNTA($C$2:$C113), 1, 3, 4)),
  _xlpm.nbparties, COUNTA(_xlfn._xlws.FILTER(_xlpm.ptstables, _xlpm.ptstables &lt;&gt; "")),
  _xlpm.coef, _xlpm.K + _xlpm.Knewgain / (_xlpm.Knewscale + _xlpm.nbparties),
  IF(H111="",
    "",
    _xlpm.coef * (H111-H112))
)</f>
        <v/>
      </c>
      <c r="I113" t="str" cm="1">
        <f t="array" ref="I113">_xlfn.LET(
  _xlpm.K, Constantes!$B$3,
  _xlpm.Knewgain, Constantes!$B$4,
  _xlpm.Knewscale, Constantes!$B$5,
  _xlpm.ptstables, INDEX(I:I, _xlfn.SEQUENCE(COUNTA($C$2:$C113), 1, 3, 4)),
  _xlpm.nbparties, COUNTA(_xlfn._xlws.FILTER(_xlpm.ptstables, _xlpm.ptstables &lt;&gt; "")),
  _xlpm.coef, _xlpm.K + _xlpm.Knewgain / (_xlpm.Knewscale + _xlpm.nbparties),
  IF(I111="",
    "",
    _xlpm.coef * (I111-I112))
)</f>
        <v/>
      </c>
      <c r="J113" t="str" cm="1">
        <f t="array" ref="J113">_xlfn.LET(
  _xlpm.K, Constantes!$B$3,
  _xlpm.Knewgain, Constantes!$B$4,
  _xlpm.Knewscale, Constantes!$B$5,
  _xlpm.ptstables, INDEX(J:J, _xlfn.SEQUENCE(COUNTA($C$2:$C113), 1, 3, 4)),
  _xlpm.nbparties, COUNTA(_xlfn._xlws.FILTER(_xlpm.ptstables, _xlpm.ptstables &lt;&gt; "")),
  _xlpm.coef, _xlpm.K + _xlpm.Knewgain / (_xlpm.Knewscale + _xlpm.nbparties),
  IF(J111="",
    "",
    _xlpm.coef * (J111-J112))
)</f>
        <v/>
      </c>
      <c r="K113" t="str" cm="1">
        <f t="array" ref="K113">_xlfn.LET(
  _xlpm.K, Constantes!$B$3,
  _xlpm.Knewgain, Constantes!$B$4,
  _xlpm.Knewscale, Constantes!$B$5,
  _xlpm.ptstables, INDEX(K:K, _xlfn.SEQUENCE(COUNTA($C$2:$C113), 1, 3, 4)),
  _xlpm.nbparties, COUNTA(_xlfn._xlws.FILTER(_xlpm.ptstables, _xlpm.ptstables &lt;&gt; "")),
  _xlpm.coef, _xlpm.K + _xlpm.Knewgain / (_xlpm.Knewscale + _xlpm.nbparties),
  IF(K111="",
    "",
    _xlpm.coef * (K111-K112))
)</f>
        <v/>
      </c>
      <c r="L113" t="str" cm="1">
        <f t="array" ref="L113">_xlfn.LET(
  _xlpm.K, Constantes!$B$3,
  _xlpm.Knewgain, Constantes!$B$4,
  _xlpm.Knewscale, Constantes!$B$5,
  _xlpm.ptstables, INDEX(L:L, _xlfn.SEQUENCE(COUNTA($C$2:$C113), 1, 3, 4)),
  _xlpm.nbparties, COUNTA(_xlfn._xlws.FILTER(_xlpm.ptstables, _xlpm.ptstables &lt;&gt; "")),
  _xlpm.coef, _xlpm.K + _xlpm.Knewgain / (_xlpm.Knewscale + _xlpm.nbparties),
  IF(L111="",
    "",
    _xlpm.coef * (L111-L112))
)</f>
        <v/>
      </c>
      <c r="M113" t="str" cm="1">
        <f t="array" ref="M113">_xlfn.LET(
  _xlpm.K, Constantes!$B$3,
  _xlpm.Knewgain, Constantes!$B$4,
  _xlpm.Knewscale, Constantes!$B$5,
  _xlpm.ptstables, INDEX(M:M, _xlfn.SEQUENCE(COUNTA($C$2:$C113), 1, 3, 4)),
  _xlpm.nbparties, COUNTA(_xlfn._xlws.FILTER(_xlpm.ptstables, _xlpm.ptstables &lt;&gt; "")),
  _xlpm.coef, _xlpm.K + _xlpm.Knewgain / (_xlpm.Knewscale + _xlpm.nbparties),
  IF(M111="",
    "",
    _xlpm.coef * (M111-M112))
)</f>
        <v/>
      </c>
      <c r="N113" t="str" cm="1">
        <f t="array" ref="N113">_xlfn.LET(
  _xlpm.K, Constantes!$B$3,
  _xlpm.Knewgain, Constantes!$B$4,
  _xlpm.Knewscale, Constantes!$B$5,
  _xlpm.ptstables, INDEX(N:N, _xlfn.SEQUENCE(COUNTA($C$2:$C113), 1, 3, 4)),
  _xlpm.nbparties, COUNTA(_xlfn._xlws.FILTER(_xlpm.ptstables, _xlpm.ptstables &lt;&gt; "")),
  _xlpm.coef, _xlpm.K + _xlpm.Knewgain / (_xlpm.Knewscale + _xlpm.nbparties),
  IF(N111="",
    "",
    _xlpm.coef * (N111-N112))
)</f>
        <v/>
      </c>
      <c r="O113" t="str" cm="1">
        <f t="array" ref="O113">_xlfn.LET(
  _xlpm.K, Constantes!$B$3,
  _xlpm.Knewgain, Constantes!$B$4,
  _xlpm.Knewscale, Constantes!$B$5,
  _xlpm.ptstables, INDEX(O:O, _xlfn.SEQUENCE(COUNTA($C$2:$C113), 1, 3, 4)),
  _xlpm.nbparties, COUNTA(_xlfn._xlws.FILTER(_xlpm.ptstables, _xlpm.ptstables &lt;&gt; "")),
  _xlpm.coef, _xlpm.K + _xlpm.Knewgain / (_xlpm.Knewscale + _xlpm.nbparties),
  IF(O111="",
    "",
    _xlpm.coef * (O111-O112))
)</f>
        <v/>
      </c>
      <c r="P113" t="str" cm="1">
        <f t="array" ref="P113">_xlfn.LET(
  _xlpm.K, Constantes!$B$3,
  _xlpm.Knewgain, Constantes!$B$4,
  _xlpm.Knewscale, Constantes!$B$5,
  _xlpm.ptstables, INDEX(P:P, _xlfn.SEQUENCE(COUNTA($C$2:$C113), 1, 3, 4)),
  _xlpm.nbparties, COUNTA(_xlfn._xlws.FILTER(_xlpm.ptstables, _xlpm.ptstables &lt;&gt; "")),
  _xlpm.coef, _xlpm.K + _xlpm.Knewgain / (_xlpm.Knewscale + _xlpm.nbparties),
  IF(P111="",
    "",
    _xlpm.coef * (P111-P112))
)</f>
        <v/>
      </c>
      <c r="Q113" cm="1">
        <f t="array" ref="Q113">_xlfn.LET(
  _xlpm.K, Constantes!$B$3,
  _xlpm.Knewgain, Constantes!$B$4,
  _xlpm.Knewscale, Constantes!$B$5,
  _xlpm.ptstables, INDEX(Q:Q, _xlfn.SEQUENCE(COUNTA($C$2:$C113), 1, 3, 4)),
  _xlpm.nbparties, COUNTA(_xlfn._xlws.FILTER(_xlpm.ptstables, _xlpm.ptstables &lt;&gt; "")),
  _xlpm.coef, _xlpm.K + _xlpm.Knewgain / (_xlpm.Knewscale + _xlpm.nbparties),
  IF(Q111="",
    "",
    _xlpm.coef * (Q111-Q112))
)</f>
        <v>-26.273691142592227</v>
      </c>
      <c r="R113" t="str" cm="1">
        <f t="array" ref="R113">_xlfn.LET(
  _xlpm.K, Constantes!$B$3,
  _xlpm.Knewgain, Constantes!$B$4,
  _xlpm.Knewscale, Constantes!$B$5,
  _xlpm.ptstables, INDEX(R:R, _xlfn.SEQUENCE(COUNTA($C$2:$C113), 1, 3, 4)),
  _xlpm.nbparties, COUNTA(_xlfn._xlws.FILTER(_xlpm.ptstables, _xlpm.ptstables &lt;&gt; "")),
  _xlpm.coef, _xlpm.K + _xlpm.Knewgain / (_xlpm.Knewscale + _xlpm.nbparties),
  IF(R111="",
    "",
    _xlpm.coef * (R111-R112))
)</f>
        <v/>
      </c>
      <c r="S113" t="str" cm="1">
        <f t="array" ref="S113">_xlfn.LET(
  _xlpm.K, Constantes!$B$3,
  _xlpm.Knewgain, Constantes!$B$4,
  _xlpm.Knewscale, Constantes!$B$5,
  _xlpm.ptstables, INDEX(S:S, _xlfn.SEQUENCE(COUNTA($C$2:$C113), 1, 3, 4)),
  _xlpm.nbparties, COUNTA(_xlfn._xlws.FILTER(_xlpm.ptstables, _xlpm.ptstables &lt;&gt; "")),
  _xlpm.coef, _xlpm.K + _xlpm.Knewgain / (_xlpm.Knewscale + _xlpm.nbparties),
  IF(S111="",
    "",
    _xlpm.coef * (S111-S112))
)</f>
        <v/>
      </c>
      <c r="T113" t="str" cm="1">
        <f t="array" ref="T113">_xlfn.LET(
  _xlpm.K, Constantes!$B$3,
  _xlpm.Knewgain, Constantes!$B$4,
  _xlpm.Knewscale, Constantes!$B$5,
  _xlpm.ptstables, INDEX(T:T, _xlfn.SEQUENCE(COUNTA($C$2:$C113), 1, 3, 4)),
  _xlpm.nbparties, COUNTA(_xlfn._xlws.FILTER(_xlpm.ptstables, _xlpm.ptstables &lt;&gt; "")),
  _xlpm.coef, _xlpm.K + _xlpm.Knewgain / (_xlpm.Knewscale + _xlpm.nbparties),
  IF(T111="",
    "",
    _xlpm.coef * (T111-T112))
)</f>
        <v/>
      </c>
      <c r="U113" cm="1">
        <f t="array" ref="U113">_xlfn.LET(
  _xlpm.K, Constantes!$B$3,
  _xlpm.Knewgain, Constantes!$B$4,
  _xlpm.Knewscale, Constantes!$B$5,
  _xlpm.ptstables, INDEX(U:U, _xlfn.SEQUENCE(COUNTA($C$2:$C113), 1, 3, 4)),
  _xlpm.nbparties, COUNTA(_xlfn._xlws.FILTER(_xlpm.ptstables, _xlpm.ptstables &lt;&gt; "")),
  _xlpm.coef, _xlpm.K + _xlpm.Knewgain / (_xlpm.Knewscale + _xlpm.nbparties),
  IF(U111="",
    "",
    _xlpm.coef * (U111-U112))
)</f>
        <v>43.378954744278658</v>
      </c>
      <c r="V113" t="str" cm="1">
        <f t="array" ref="V113">_xlfn.LET(
  _xlpm.K, Constantes!$B$3,
  _xlpm.Knewgain, Constantes!$B$4,
  _xlpm.Knewscale, Constantes!$B$5,
  _xlpm.ptstables, INDEX(V:V, _xlfn.SEQUENCE(COUNTA($C$2:$C113), 1, 3, 4)),
  _xlpm.nbparties, COUNTA(_xlfn._xlws.FILTER(_xlpm.ptstables, _xlpm.ptstables &lt;&gt; "")),
  _xlpm.coef, _xlpm.K + _xlpm.Knewgain / (_xlpm.Knewscale + _xlpm.nbparties),
  IF(V111="",
    "",
    _xlpm.coef * (V111-V112))
)</f>
        <v/>
      </c>
      <c r="W113" t="str" cm="1">
        <f t="array" ref="W113">_xlfn.LET(
  _xlpm.K, Constantes!$B$3,
  _xlpm.Knewgain, Constantes!$B$4,
  _xlpm.Knewscale, Constantes!$B$5,
  _xlpm.ptstables, INDEX(W:W, _xlfn.SEQUENCE(COUNTA($C$2:$C113), 1, 3, 4)),
  _xlpm.nbparties, COUNTA(_xlfn._xlws.FILTER(_xlpm.ptstables, _xlpm.ptstables &lt;&gt; "")),
  _xlpm.coef, _xlpm.K + _xlpm.Knewgain / (_xlpm.Knewscale + _xlpm.nbparties),
  IF(W111="",
    "",
    _xlpm.coef * (W111-W112))
)</f>
        <v/>
      </c>
      <c r="X113" t="str" cm="1">
        <f t="array" ref="X113">_xlfn.LET(
  _xlpm.K, Constantes!$B$3,
  _xlpm.Knewgain, Constantes!$B$4,
  _xlpm.Knewscale, Constantes!$B$5,
  _xlpm.ptstables, INDEX(X:X, _xlfn.SEQUENCE(COUNTA($C$2:$C113), 1, 3, 4)),
  _xlpm.nbparties, COUNTA(_xlfn._xlws.FILTER(_xlpm.ptstables, _xlpm.ptstables &lt;&gt; "")),
  _xlpm.coef, _xlpm.K + _xlpm.Knewgain / (_xlpm.Knewscale + _xlpm.nbparties),
  IF(X111="",
    "",
    _xlpm.coef * (X111-X112))
)</f>
        <v/>
      </c>
      <c r="Y113" t="str" cm="1">
        <f t="array" ref="Y113">_xlfn.LET(
  _xlpm.K, Constantes!$B$3,
  _xlpm.Knewgain, Constantes!$B$4,
  _xlpm.Knewscale, Constantes!$B$5,
  _xlpm.ptstables, INDEX(Y:Y, _xlfn.SEQUENCE(COUNTA($C$2:$C113), 1, 3, 4)),
  _xlpm.nbparties, COUNTA(_xlfn._xlws.FILTER(_xlpm.ptstables, _xlpm.ptstables &lt;&gt; "")),
  _xlpm.coef, _xlpm.K + _xlpm.Knewgain / (_xlpm.Knewscale + _xlpm.nbparties),
  IF(Y111="",
    "",
    _xlpm.coef * (Y111-Y112))
)</f>
        <v/>
      </c>
      <c r="Z113" t="str" cm="1">
        <f t="array" ref="Z113">_xlfn.LET(
  _xlpm.K, Constantes!$B$3,
  _xlpm.Knewgain, Constantes!$B$4,
  _xlpm.Knewscale, Constantes!$B$5,
  _xlpm.ptstables, INDEX(Z:Z, _xlfn.SEQUENCE(COUNTA($C$2:$C113), 1, 3, 4)),
  _xlpm.nbparties, COUNTA(_xlfn._xlws.FILTER(_xlpm.ptstables, _xlpm.ptstables &lt;&gt; "")),
  _xlpm.coef, _xlpm.K + _xlpm.Knewgain / (_xlpm.Knewscale + _xlpm.nbparties),
  IF(Z111="",
    "",
    _xlpm.coef * (Z111-Z112))
)</f>
        <v/>
      </c>
      <c r="AA113" t="str" cm="1">
        <f t="array" ref="AA113">_xlfn.LET(
  _xlpm.K, Constantes!$B$3,
  _xlpm.Knewgain, Constantes!$B$4,
  _xlpm.Knewscale, Constantes!$B$5,
  _xlpm.ptstables, INDEX(AA:AA, _xlfn.SEQUENCE(COUNTA($C$2:$C113), 1, 3, 4)),
  _xlpm.nbparties, COUNTA(_xlfn._xlws.FILTER(_xlpm.ptstables, _xlpm.ptstables &lt;&gt; "")),
  _xlpm.coef, _xlpm.K + _xlpm.Knewgain / (_xlpm.Knewscale + _xlpm.nbparties),
  IF(AA111="",
    "",
    _xlpm.coef * (AA111-AA112))
)</f>
        <v/>
      </c>
      <c r="AB113" cm="1">
        <f t="array" ref="AB113">_xlfn.LET(
  _xlpm.K, Constantes!$B$3,
  _xlpm.Knewgain, Constantes!$B$4,
  _xlpm.Knewscale, Constantes!$B$5,
  _xlpm.ptstables, INDEX(AB:AB, _xlfn.SEQUENCE(COUNTA($C$2:$C113), 1, 3, 4)),
  _xlpm.nbparties, COUNTA(_xlfn._xlws.FILTER(_xlpm.ptstables, _xlpm.ptstables &lt;&gt; "")),
  _xlpm.coef, _xlpm.K + _xlpm.Knewgain / (_xlpm.Knewscale + _xlpm.nbparties),
  IF(AB111="",
    "",
    _xlpm.coef * (AB111-AB112))
)</f>
        <v>-61.505612074149461</v>
      </c>
      <c r="AC113" t="str" cm="1">
        <f t="array" ref="AC113">_xlfn.LET(
  _xlpm.K, Constantes!$B$3,
  _xlpm.Knewgain, Constantes!$B$4,
  _xlpm.Knewscale, Constantes!$B$5,
  _xlpm.ptstables, INDEX(AC:AC, _xlfn.SEQUENCE(COUNTA($C$2:$C113), 1, 3, 4)),
  _xlpm.nbparties, COUNTA(_xlfn._xlws.FILTER(_xlpm.ptstables, _xlpm.ptstables &lt;&gt; "")),
  _xlpm.coef, _xlpm.K + _xlpm.Knewgain / (_xlpm.Knewscale + _xlpm.nbparties),
  IF(AC111="",
    "",
    _xlpm.coef * (AC111-AC112))
)</f>
        <v/>
      </c>
      <c r="AD113" t="str" cm="1">
        <f t="array" ref="AD113">_xlfn.LET(
  _xlpm.K, Constantes!$B$3,
  _xlpm.Knewgain, Constantes!$B$4,
  _xlpm.Knewscale, Constantes!$B$5,
  _xlpm.ptstables, INDEX(AD:AD, _xlfn.SEQUENCE(COUNTA($C$2:$C113), 1, 3, 4)),
  _xlpm.nbparties, COUNTA(_xlfn._xlws.FILTER(_xlpm.ptstables, _xlpm.ptstables &lt;&gt; "")),
  _xlpm.coef, _xlpm.K + _xlpm.Knewgain / (_xlpm.Knewscale + _xlpm.nbparties),
  IF(AD111="",
    "",
    _xlpm.coef * (AD111-AD112))
)</f>
        <v/>
      </c>
      <c r="AE113" t="str" cm="1">
        <f t="array" ref="AE113">_xlfn.LET(
  _xlpm.K, Constantes!$B$3,
  _xlpm.Knewgain, Constantes!$B$4,
  _xlpm.Knewscale, Constantes!$B$5,
  _xlpm.ptstables, INDEX(AE:AE, _xlfn.SEQUENCE(COUNTA($C$2:$C113), 1, 3, 4)),
  _xlpm.nbparties, COUNTA(_xlfn._xlws.FILTER(_xlpm.ptstables, _xlpm.ptstables &lt;&gt; "")),
  _xlpm.coef, _xlpm.K + _xlpm.Knewgain / (_xlpm.Knewscale + _xlpm.nbparties),
  IF(AE111="",
    "",
    _xlpm.coef * (AE111-AE112))
)</f>
        <v/>
      </c>
      <c r="AF113" t="str" cm="1">
        <f t="array" ref="AF113">_xlfn.LET(
  _xlpm.K, Constantes!$B$3,
  _xlpm.Knewgain, Constantes!$B$4,
  _xlpm.Knewscale, Constantes!$B$5,
  _xlpm.ptstables, INDEX(AF:AF, _xlfn.SEQUENCE(COUNTA($C$2:$C113), 1, 3, 4)),
  _xlpm.nbparties, COUNTA(_xlfn._xlws.FILTER(_xlpm.ptstables, _xlpm.ptstables &lt;&gt; "")),
  _xlpm.coef, _xlpm.K + _xlpm.Knewgain / (_xlpm.Knewscale + _xlpm.nbparties),
  IF(AF111="",
    "",
    _xlpm.coef * (AF111-AF112))
)</f>
        <v/>
      </c>
      <c r="AG113" t="str" cm="1">
        <f t="array" ref="AG113">_xlfn.LET(
  _xlpm.K, Constantes!$B$3,
  _xlpm.Knewgain, Constantes!$B$4,
  _xlpm.Knewscale, Constantes!$B$5,
  _xlpm.ptstables, INDEX(AG:AG, _xlfn.SEQUENCE(COUNTA($C$2:$C113), 1, 3, 4)),
  _xlpm.nbparties, COUNTA(_xlfn._xlws.FILTER(_xlpm.ptstables, _xlpm.ptstables &lt;&gt; "")),
  _xlpm.coef, _xlpm.K + _xlpm.Knewgain / (_xlpm.Knewscale + _xlpm.nbparties),
  IF(AG111="",
    "",
    _xlpm.coef * (AG111-AG112))
)</f>
        <v/>
      </c>
      <c r="AH113" t="str" cm="1">
        <f t="array" ref="AH113">_xlfn.LET(
  _xlpm.K, Constantes!$B$3,
  _xlpm.Knewgain, Constantes!$B$4,
  _xlpm.Knewscale, Constantes!$B$5,
  _xlpm.ptstables, INDEX(AH:AH, _xlfn.SEQUENCE(COUNTA($C$2:$C113), 1, 3, 4)),
  _xlpm.nbparties, COUNTA(_xlfn._xlws.FILTER(_xlpm.ptstables, _xlpm.ptstables &lt;&gt; "")),
  _xlpm.coef, _xlpm.K + _xlpm.Knewgain / (_xlpm.Knewscale + _xlpm.nbparties),
  IF(AH111="",
    "",
    _xlpm.coef * (AH111-AH112))
)</f>
        <v/>
      </c>
      <c r="AI113" t="str" cm="1">
        <f t="array" ref="AI113">_xlfn.LET(
  _xlpm.K, Constantes!$B$3,
  _xlpm.Knewgain, Constantes!$B$4,
  _xlpm.Knewscale, Constantes!$B$5,
  _xlpm.ptstables, INDEX(AI:AI, _xlfn.SEQUENCE(COUNTA($C$2:$C113), 1, 3, 4)),
  _xlpm.nbparties, COUNTA(_xlfn._xlws.FILTER(_xlpm.ptstables, _xlpm.ptstables &lt;&gt; "")),
  _xlpm.coef, _xlpm.K + _xlpm.Knewgain / (_xlpm.Knewscale + _xlpm.nbparties),
  IF(AI111="",
    "",
    _xlpm.coef * (AI111-AI112))
)</f>
        <v/>
      </c>
      <c r="AJ113" t="str" cm="1">
        <f t="array" ref="AJ113">_xlfn.LET(
  _xlpm.K, Constantes!$B$3,
  _xlpm.Knewgain, Constantes!$B$4,
  _xlpm.Knewscale, Constantes!$B$5,
  _xlpm.ptstables, INDEX(AJ:AJ, _xlfn.SEQUENCE(COUNTA($C$2:$C113), 1, 3, 4)),
  _xlpm.nbparties, COUNTA(_xlfn._xlws.FILTER(_xlpm.ptstables, _xlpm.ptstables &lt;&gt; "")),
  _xlpm.coef, _xlpm.K + _xlpm.Knewgain / (_xlpm.Knewscale + _xlpm.nbparties),
  IF(AJ111="",
    "",
    _xlpm.coef * (AJ111-AJ112))
)</f>
        <v/>
      </c>
      <c r="AK113" t="str" cm="1">
        <f t="array" ref="AK113">_xlfn.LET(
  _xlpm.K, Constantes!$B$3,
  _xlpm.Knewgain, Constantes!$B$4,
  _xlpm.Knewscale, Constantes!$B$5,
  _xlpm.ptstables, INDEX(AK:AK, _xlfn.SEQUENCE(COUNTA($C$2:$C113), 1, 3, 4)),
  _xlpm.nbparties, COUNTA(_xlfn._xlws.FILTER(_xlpm.ptstables, _xlpm.ptstables &lt;&gt; "")),
  _xlpm.coef, _xlpm.K + _xlpm.Knewgain / (_xlpm.Knewscale + _xlpm.nbparties),
  IF(AK111="",
    "",
    _xlpm.coef * (AK111-AK112))
)</f>
        <v/>
      </c>
      <c r="AL113" t="str" cm="1">
        <f t="array" ref="AL113">_xlfn.LET(
  _xlpm.K, Constantes!$B$3,
  _xlpm.Knewgain, Constantes!$B$4,
  _xlpm.Knewscale, Constantes!$B$5,
  _xlpm.ptstables, INDEX(AL:AL, _xlfn.SEQUENCE(COUNTA($C$2:$C113), 1, 3, 4)),
  _xlpm.nbparties, COUNTA(_xlfn._xlws.FILTER(_xlpm.ptstables, _xlpm.ptstables &lt;&gt; "")),
  _xlpm.coef, _xlpm.K + _xlpm.Knewgain / (_xlpm.Knewscale + _xlpm.nbparties),
  IF(AL111="",
    "",
    _xlpm.coef * (AL111-AL112))
)</f>
        <v/>
      </c>
      <c r="AM113" t="str" cm="1">
        <f t="array" ref="AM113">_xlfn.LET(
  _xlpm.K, Constantes!$B$3,
  _xlpm.Knewgain, Constantes!$B$4,
  _xlpm.Knewscale, Constantes!$B$5,
  _xlpm.ptstables, INDEX(AM:AM, _xlfn.SEQUENCE(COUNTA($C$2:$C113), 1, 3, 4)),
  _xlpm.nbparties, COUNTA(_xlfn._xlws.FILTER(_xlpm.ptstables, _xlpm.ptstables &lt;&gt; "")),
  _xlpm.coef, _xlpm.K + _xlpm.Knewgain / (_xlpm.Knewscale + _xlpm.nbparties),
  IF(AM111="",
    "",
    _xlpm.coef * (AM111-AM112))
)</f>
        <v/>
      </c>
    </row>
    <row r="114" spans="1:39" x14ac:dyDescent="0.25">
      <c r="A114" t="s">
        <v>14</v>
      </c>
      <c r="B114" t="str" cm="1">
        <f t="array" ref="B11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27</v>
      </c>
      <c r="C114" s="2" cm="1">
        <f t="array" ref="C114">IF(B114="","",
  INDEX(Donnees!F:F, MATCH(B114, Donnees!F:F, 0)+1))</f>
        <v>45920.836689814816</v>
      </c>
      <c r="D114">
        <f t="shared" ref="D114:AM114" si="36">D110+IF(D113="",0,D113)</f>
        <v>1055.7378531207901</v>
      </c>
      <c r="E114">
        <f t="shared" si="36"/>
        <v>1132.3930578903671</v>
      </c>
      <c r="F114">
        <f t="shared" si="36"/>
        <v>908.83204631618707</v>
      </c>
      <c r="G114">
        <f t="shared" si="36"/>
        <v>975.10975952569402</v>
      </c>
      <c r="H114">
        <f t="shared" si="36"/>
        <v>1003.9363115286845</v>
      </c>
      <c r="I114">
        <f t="shared" si="36"/>
        <v>1056.8165036600865</v>
      </c>
      <c r="J114">
        <f t="shared" si="36"/>
        <v>938.49433816478961</v>
      </c>
      <c r="K114">
        <f t="shared" si="36"/>
        <v>907.51653081539087</v>
      </c>
      <c r="L114">
        <f t="shared" si="36"/>
        <v>833.43137648430843</v>
      </c>
      <c r="M114">
        <f t="shared" si="36"/>
        <v>913.41986361738122</v>
      </c>
      <c r="N114">
        <f t="shared" si="36"/>
        <v>924.41787774469185</v>
      </c>
      <c r="O114">
        <f t="shared" si="36"/>
        <v>1030.4363831507294</v>
      </c>
      <c r="P114">
        <f t="shared" si="36"/>
        <v>1043.9932888752683</v>
      </c>
      <c r="Q114">
        <f t="shared" si="36"/>
        <v>1053.621497353671</v>
      </c>
      <c r="R114">
        <f t="shared" si="36"/>
        <v>1127.3039385986251</v>
      </c>
      <c r="S114">
        <f t="shared" si="36"/>
        <v>967.83471475152407</v>
      </c>
      <c r="T114">
        <f t="shared" si="36"/>
        <v>1135.2782658680615</v>
      </c>
      <c r="U114">
        <f t="shared" si="36"/>
        <v>1041.0427483736337</v>
      </c>
      <c r="V114">
        <f t="shared" si="36"/>
        <v>961.58818235691967</v>
      </c>
      <c r="W114">
        <f t="shared" si="36"/>
        <v>936.79085942937002</v>
      </c>
      <c r="X114">
        <f t="shared" si="36"/>
        <v>852.21441493405962</v>
      </c>
      <c r="Y114">
        <f t="shared" si="36"/>
        <v>1037.8563665662507</v>
      </c>
      <c r="Z114">
        <f t="shared" si="36"/>
        <v>991.11904139672549</v>
      </c>
      <c r="AA114">
        <f t="shared" si="36"/>
        <v>980.56756855165884</v>
      </c>
      <c r="AB114">
        <f t="shared" si="36"/>
        <v>918.05938792585061</v>
      </c>
      <c r="AC114">
        <f t="shared" si="36"/>
        <v>1032.51</v>
      </c>
      <c r="AD114">
        <f t="shared" si="36"/>
        <v>974.01499999999999</v>
      </c>
      <c r="AE114">
        <f t="shared" si="36"/>
        <v>1011.415</v>
      </c>
      <c r="AF114">
        <f t="shared" si="36"/>
        <v>1031.1199999999999</v>
      </c>
      <c r="AG114">
        <f t="shared" si="36"/>
        <v>1001.0350000000001</v>
      </c>
      <c r="AH114">
        <f t="shared" si="36"/>
        <v>994.44</v>
      </c>
      <c r="AI114">
        <f t="shared" si="36"/>
        <v>1000</v>
      </c>
      <c r="AJ114">
        <f t="shared" si="36"/>
        <v>957.2</v>
      </c>
      <c r="AK114">
        <f t="shared" si="36"/>
        <v>1000</v>
      </c>
      <c r="AL114">
        <f t="shared" si="36"/>
        <v>1055.9299999999998</v>
      </c>
      <c r="AM114">
        <f t="shared" si="36"/>
        <v>1000</v>
      </c>
    </row>
    <row r="115" spans="1:39" x14ac:dyDescent="0.25">
      <c r="A115" t="s">
        <v>21</v>
      </c>
      <c r="D115" cm="1">
        <f t="array" ref="D115">IFERROR(
  _xlfn.LET(
    _xlpm.ligpartie, MATCH($B114, Donnees!$F:$F, 0),
    _xlpm.joueurs, INDEX(Donnees!$A:$Z, _xlpm.ligpartie+1, _xlfn.SEQUENCE(1, 4, 2)),
    INDEX(
      Donnees!$A:$Z,
      _xlpm.ligpartie + 3,
      MATCH(D$1, _xlpm.joueurs, 0) + 1
    )
  ), ""
)</f>
        <v>3</v>
      </c>
      <c r="E115" cm="1">
        <f t="array" ref="E115">IFERROR(
  _xlfn.LET(
    _xlpm.ligpartie, MATCH($B114, Donnees!$F:$F, 0),
    _xlpm.joueurs, INDEX(Donnees!$A:$Z, _xlpm.ligpartie+1, _xlfn.SEQUENCE(1, 4, 2)),
    INDEX(
      Donnees!$A:$Z,
      _xlpm.ligpartie + 3,
      MATCH(E$1, _xlpm.joueurs, 0) + 1
    )
  ), ""
)</f>
        <v>2</v>
      </c>
      <c r="F115" t="str" cm="1">
        <f t="array" ref="F115">IFERROR(
  _xlfn.LET(
    _xlpm.ligpartie, MATCH($B114, Donnees!$F:$F, 0),
    _xlpm.joueurs, INDEX(Donnees!$A:$Z, _xlpm.ligpartie+1, _xlfn.SEQUENCE(1, 4, 2)),
    INDEX(
      Donnees!$A:$Z,
      _xlpm.ligpartie + 3,
      MATCH(F$1, _xlpm.joueurs, 0) + 1
    )
  ), ""
)</f>
        <v/>
      </c>
      <c r="G115" t="str" cm="1">
        <f t="array" ref="G115">IFERROR(
  _xlfn.LET(
    _xlpm.ligpartie, MATCH($B114, Donnees!$F:$F, 0),
    _xlpm.joueurs, INDEX(Donnees!$A:$Z, _xlpm.ligpartie+1, _xlfn.SEQUENCE(1, 4, 2)),
    INDEX(
      Donnees!$A:$Z,
      _xlpm.ligpartie + 3,
      MATCH(G$1, _xlpm.joueurs, 0) + 1
    )
  ), ""
)</f>
        <v/>
      </c>
      <c r="H115" t="str" cm="1">
        <f t="array" ref="H115">IFERROR(
  _xlfn.LET(
    _xlpm.ligpartie, MATCH($B114, Donnees!$F:$F, 0),
    _xlpm.joueurs, INDEX(Donnees!$A:$Z, _xlpm.ligpartie+1, _xlfn.SEQUENCE(1, 4, 2)),
    INDEX(
      Donnees!$A:$Z,
      _xlpm.ligpartie + 3,
      MATCH(H$1, _xlpm.joueurs, 0) + 1
    )
  ), ""
)</f>
        <v/>
      </c>
      <c r="I115" t="str" cm="1">
        <f t="array" ref="I115">IFERROR(
  _xlfn.LET(
    _xlpm.ligpartie, MATCH($B114, Donnees!$F:$F, 0),
    _xlpm.joueurs, INDEX(Donnees!$A:$Z, _xlpm.ligpartie+1, _xlfn.SEQUENCE(1, 4, 2)),
    INDEX(
      Donnees!$A:$Z,
      _xlpm.ligpartie + 3,
      MATCH(I$1, _xlpm.joueurs, 0) + 1
    )
  ), ""
)</f>
        <v/>
      </c>
      <c r="J115" t="str" cm="1">
        <f t="array" ref="J115">IFERROR(
  _xlfn.LET(
    _xlpm.ligpartie, MATCH($B114, Donnees!$F:$F, 0),
    _xlpm.joueurs, INDEX(Donnees!$A:$Z, _xlpm.ligpartie+1, _xlfn.SEQUENCE(1, 4, 2)),
    INDEX(
      Donnees!$A:$Z,
      _xlpm.ligpartie + 3,
      MATCH(J$1, _xlpm.joueurs, 0) + 1
    )
  ), ""
)</f>
        <v/>
      </c>
      <c r="K115" t="str" cm="1">
        <f t="array" ref="K115">IFERROR(
  _xlfn.LET(
    _xlpm.ligpartie, MATCH($B114, Donnees!$F:$F, 0),
    _xlpm.joueurs, INDEX(Donnees!$A:$Z, _xlpm.ligpartie+1, _xlfn.SEQUENCE(1, 4, 2)),
    INDEX(
      Donnees!$A:$Z,
      _xlpm.ligpartie + 3,
      MATCH(K$1, _xlpm.joueurs, 0) + 1
    )
  ), ""
)</f>
        <v/>
      </c>
      <c r="L115" t="str" cm="1">
        <f t="array" ref="L115">IFERROR(
  _xlfn.LET(
    _xlpm.ligpartie, MATCH($B114, Donnees!$F:$F, 0),
    _xlpm.joueurs, INDEX(Donnees!$A:$Z, _xlpm.ligpartie+1, _xlfn.SEQUENCE(1, 4, 2)),
    INDEX(
      Donnees!$A:$Z,
      _xlpm.ligpartie + 3,
      MATCH(L$1, _xlpm.joueurs, 0) + 1
    )
  ), ""
)</f>
        <v/>
      </c>
      <c r="M115" t="str" cm="1">
        <f t="array" ref="M115">IFERROR(
  _xlfn.LET(
    _xlpm.ligpartie, MATCH($B114, Donnees!$F:$F, 0),
    _xlpm.joueurs, INDEX(Donnees!$A:$Z, _xlpm.ligpartie+1, _xlfn.SEQUENCE(1, 4, 2)),
    INDEX(
      Donnees!$A:$Z,
      _xlpm.ligpartie + 3,
      MATCH(M$1, _xlpm.joueurs, 0) + 1
    )
  ), ""
)</f>
        <v/>
      </c>
      <c r="N115" t="str" cm="1">
        <f t="array" ref="N115">IFERROR(
  _xlfn.LET(
    _xlpm.ligpartie, MATCH($B114, Donnees!$F:$F, 0),
    _xlpm.joueurs, INDEX(Donnees!$A:$Z, _xlpm.ligpartie+1, _xlfn.SEQUENCE(1, 4, 2)),
    INDEX(
      Donnees!$A:$Z,
      _xlpm.ligpartie + 3,
      MATCH(N$1, _xlpm.joueurs, 0) + 1
    )
  ), ""
)</f>
        <v/>
      </c>
      <c r="O115" t="str" cm="1">
        <f t="array" ref="O115">IFERROR(
  _xlfn.LET(
    _xlpm.ligpartie, MATCH($B114, Donnees!$F:$F, 0),
    _xlpm.joueurs, INDEX(Donnees!$A:$Z, _xlpm.ligpartie+1, _xlfn.SEQUENCE(1, 4, 2)),
    INDEX(
      Donnees!$A:$Z,
      _xlpm.ligpartie + 3,
      MATCH(O$1, _xlpm.joueurs, 0) + 1
    )
  ), ""
)</f>
        <v/>
      </c>
      <c r="P115" cm="1">
        <f t="array" ref="P115">IFERROR(
  _xlfn.LET(
    _xlpm.ligpartie, MATCH($B114, Donnees!$F:$F, 0),
    _xlpm.joueurs, INDEX(Donnees!$A:$Z, _xlpm.ligpartie+1, _xlfn.SEQUENCE(1, 4, 2)),
    INDEX(
      Donnees!$A:$Z,
      _xlpm.ligpartie + 3,
      MATCH(P$1, _xlpm.joueurs, 0) + 1
    )
  ), ""
)</f>
        <v>0</v>
      </c>
      <c r="Q115" t="str" cm="1">
        <f t="array" ref="Q115">IFERROR(
  _xlfn.LET(
    _xlpm.ligpartie, MATCH($B114, Donnees!$F:$F, 0),
    _xlpm.joueurs, INDEX(Donnees!$A:$Z, _xlpm.ligpartie+1, _xlfn.SEQUENCE(1, 4, 2)),
    INDEX(
      Donnees!$A:$Z,
      _xlpm.ligpartie + 3,
      MATCH(Q$1, _xlpm.joueurs, 0) + 1
    )
  ), ""
)</f>
        <v/>
      </c>
      <c r="R115" t="str" cm="1">
        <f t="array" ref="R115">IFERROR(
  _xlfn.LET(
    _xlpm.ligpartie, MATCH($B114, Donnees!$F:$F, 0),
    _xlpm.joueurs, INDEX(Donnees!$A:$Z, _xlpm.ligpartie+1, _xlfn.SEQUENCE(1, 4, 2)),
    INDEX(
      Donnees!$A:$Z,
      _xlpm.ligpartie + 3,
      MATCH(R$1, _xlpm.joueurs, 0) + 1
    )
  ), ""
)</f>
        <v/>
      </c>
      <c r="S115" cm="1">
        <f t="array" ref="S115">IFERROR(
  _xlfn.LET(
    _xlpm.ligpartie, MATCH($B114, Donnees!$F:$F, 0),
    _xlpm.joueurs, INDEX(Donnees!$A:$Z, _xlpm.ligpartie+1, _xlfn.SEQUENCE(1, 4, 2)),
    INDEX(
      Donnees!$A:$Z,
      _xlpm.ligpartie + 3,
      MATCH(S$1, _xlpm.joueurs, 0) + 1
    )
  ), ""
)</f>
        <v>1</v>
      </c>
      <c r="T115" t="str" cm="1">
        <f t="array" ref="T115">IFERROR(
  _xlfn.LET(
    _xlpm.ligpartie, MATCH($B114, Donnees!$F:$F, 0),
    _xlpm.joueurs, INDEX(Donnees!$A:$Z, _xlpm.ligpartie+1, _xlfn.SEQUENCE(1, 4, 2)),
    INDEX(
      Donnees!$A:$Z,
      _xlpm.ligpartie + 3,
      MATCH(T$1, _xlpm.joueurs, 0) + 1
    )
  ), ""
)</f>
        <v/>
      </c>
      <c r="U115" t="str" cm="1">
        <f t="array" ref="U115">IFERROR(
  _xlfn.LET(
    _xlpm.ligpartie, MATCH($B114, Donnees!$F:$F, 0),
    _xlpm.joueurs, INDEX(Donnees!$A:$Z, _xlpm.ligpartie+1, _xlfn.SEQUENCE(1, 4, 2)),
    INDEX(
      Donnees!$A:$Z,
      _xlpm.ligpartie + 3,
      MATCH(U$1, _xlpm.joueurs, 0) + 1
    )
  ), ""
)</f>
        <v/>
      </c>
      <c r="V115" t="str" cm="1">
        <f t="array" ref="V115">IFERROR(
  _xlfn.LET(
    _xlpm.ligpartie, MATCH($B114, Donnees!$F:$F, 0),
    _xlpm.joueurs, INDEX(Donnees!$A:$Z, _xlpm.ligpartie+1, _xlfn.SEQUENCE(1, 4, 2)),
    INDEX(
      Donnees!$A:$Z,
      _xlpm.ligpartie + 3,
      MATCH(V$1, _xlpm.joueurs, 0) + 1
    )
  ), ""
)</f>
        <v/>
      </c>
      <c r="W115" t="str" cm="1">
        <f t="array" ref="W115">IFERROR(
  _xlfn.LET(
    _xlpm.ligpartie, MATCH($B114, Donnees!$F:$F, 0),
    _xlpm.joueurs, INDEX(Donnees!$A:$Z, _xlpm.ligpartie+1, _xlfn.SEQUENCE(1, 4, 2)),
    INDEX(
      Donnees!$A:$Z,
      _xlpm.ligpartie + 3,
      MATCH(W$1, _xlpm.joueurs, 0) + 1
    )
  ), ""
)</f>
        <v/>
      </c>
      <c r="X115" t="str" cm="1">
        <f t="array" ref="X115">IFERROR(
  _xlfn.LET(
    _xlpm.ligpartie, MATCH($B114, Donnees!$F:$F, 0),
    _xlpm.joueurs, INDEX(Donnees!$A:$Z, _xlpm.ligpartie+1, _xlfn.SEQUENCE(1, 4, 2)),
    INDEX(
      Donnees!$A:$Z,
      _xlpm.ligpartie + 3,
      MATCH(X$1, _xlpm.joueurs, 0) + 1
    )
  ), ""
)</f>
        <v/>
      </c>
      <c r="Y115" t="str" cm="1">
        <f t="array" ref="Y115">IFERROR(
  _xlfn.LET(
    _xlpm.ligpartie, MATCH($B114, Donnees!$F:$F, 0),
    _xlpm.joueurs, INDEX(Donnees!$A:$Z, _xlpm.ligpartie+1, _xlfn.SEQUENCE(1, 4, 2)),
    INDEX(
      Donnees!$A:$Z,
      _xlpm.ligpartie + 3,
      MATCH(Y$1, _xlpm.joueurs, 0) + 1
    )
  ), ""
)</f>
        <v/>
      </c>
      <c r="Z115" t="str" cm="1">
        <f t="array" ref="Z115">IFERROR(
  _xlfn.LET(
    _xlpm.ligpartie, MATCH($B114, Donnees!$F:$F, 0),
    _xlpm.joueurs, INDEX(Donnees!$A:$Z, _xlpm.ligpartie+1, _xlfn.SEQUENCE(1, 4, 2)),
    INDEX(
      Donnees!$A:$Z,
      _xlpm.ligpartie + 3,
      MATCH(Z$1, _xlpm.joueurs, 0) + 1
    )
  ), ""
)</f>
        <v/>
      </c>
      <c r="AA115" t="str" cm="1">
        <f t="array" ref="AA115">IFERROR(
  _xlfn.LET(
    _xlpm.ligpartie, MATCH($B114, Donnees!$F:$F, 0),
    _xlpm.joueurs, INDEX(Donnees!$A:$Z, _xlpm.ligpartie+1, _xlfn.SEQUENCE(1, 4, 2)),
    INDEX(
      Donnees!$A:$Z,
      _xlpm.ligpartie + 3,
      MATCH(AA$1, _xlpm.joueurs, 0) + 1
    )
  ), ""
)</f>
        <v/>
      </c>
      <c r="AB115" t="str" cm="1">
        <f t="array" ref="AB115">IFERROR(
  _xlfn.LET(
    _xlpm.ligpartie, MATCH($B114, Donnees!$F:$F, 0),
    _xlpm.joueurs, INDEX(Donnees!$A:$Z, _xlpm.ligpartie+1, _xlfn.SEQUENCE(1, 4, 2)),
    INDEX(
      Donnees!$A:$Z,
      _xlpm.ligpartie + 3,
      MATCH(AB$1, _xlpm.joueurs, 0) + 1
    )
  ), ""
)</f>
        <v/>
      </c>
      <c r="AC115" t="str" cm="1">
        <f t="array" ref="AC115">IFERROR(
  _xlfn.LET(
    _xlpm.ligpartie, MATCH($B114, Donnees!$F:$F, 0),
    _xlpm.joueurs, INDEX(Donnees!$A:$Z, _xlpm.ligpartie+1, _xlfn.SEQUENCE(1, 4, 2)),
    INDEX(
      Donnees!$A:$Z,
      _xlpm.ligpartie + 3,
      MATCH(AC$1, _xlpm.joueurs, 0) + 1
    )
  ), ""
)</f>
        <v/>
      </c>
      <c r="AD115" t="str" cm="1">
        <f t="array" ref="AD115">IFERROR(
  _xlfn.LET(
    _xlpm.ligpartie, MATCH($B114, Donnees!$F:$F, 0),
    _xlpm.joueurs, INDEX(Donnees!$A:$Z, _xlpm.ligpartie+1, _xlfn.SEQUENCE(1, 4, 2)),
    INDEX(
      Donnees!$A:$Z,
      _xlpm.ligpartie + 3,
      MATCH(AD$1, _xlpm.joueurs, 0) + 1
    )
  ), ""
)</f>
        <v/>
      </c>
      <c r="AE115" t="str" cm="1">
        <f t="array" ref="AE115">IFERROR(
  _xlfn.LET(
    _xlpm.ligpartie, MATCH($B114, Donnees!$F:$F, 0),
    _xlpm.joueurs, INDEX(Donnees!$A:$Z, _xlpm.ligpartie+1, _xlfn.SEQUENCE(1, 4, 2)),
    INDEX(
      Donnees!$A:$Z,
      _xlpm.ligpartie + 3,
      MATCH(AE$1, _xlpm.joueurs, 0) + 1
    )
  ), ""
)</f>
        <v/>
      </c>
      <c r="AF115" t="str" cm="1">
        <f t="array" ref="AF115">IFERROR(
  _xlfn.LET(
    _xlpm.ligpartie, MATCH($B114, Donnees!$F:$F, 0),
    _xlpm.joueurs, INDEX(Donnees!$A:$Z, _xlpm.ligpartie+1, _xlfn.SEQUENCE(1, 4, 2)),
    INDEX(
      Donnees!$A:$Z,
      _xlpm.ligpartie + 3,
      MATCH(AF$1, _xlpm.joueurs, 0) + 1
    )
  ), ""
)</f>
        <v/>
      </c>
      <c r="AG115" t="str" cm="1">
        <f t="array" ref="AG115">IFERROR(
  _xlfn.LET(
    _xlpm.ligpartie, MATCH($B114, Donnees!$F:$F, 0),
    _xlpm.joueurs, INDEX(Donnees!$A:$Z, _xlpm.ligpartie+1, _xlfn.SEQUENCE(1, 4, 2)),
    INDEX(
      Donnees!$A:$Z,
      _xlpm.ligpartie + 3,
      MATCH(AG$1, _xlpm.joueurs, 0) + 1
    )
  ), ""
)</f>
        <v/>
      </c>
      <c r="AH115" t="str" cm="1">
        <f t="array" ref="AH115">IFERROR(
  _xlfn.LET(
    _xlpm.ligpartie, MATCH($B114, Donnees!$F:$F, 0),
    _xlpm.joueurs, INDEX(Donnees!$A:$Z, _xlpm.ligpartie+1, _xlfn.SEQUENCE(1, 4, 2)),
    INDEX(
      Donnees!$A:$Z,
      _xlpm.ligpartie + 3,
      MATCH(AH$1, _xlpm.joueurs, 0) + 1
    )
  ), ""
)</f>
        <v/>
      </c>
      <c r="AI115" t="str" cm="1">
        <f t="array" ref="AI115">IFERROR(
  _xlfn.LET(
    _xlpm.ligpartie, MATCH($B114, Donnees!$F:$F, 0),
    _xlpm.joueurs, INDEX(Donnees!$A:$Z, _xlpm.ligpartie+1, _xlfn.SEQUENCE(1, 4, 2)),
    INDEX(
      Donnees!$A:$Z,
      _xlpm.ligpartie + 3,
      MATCH(AI$1, _xlpm.joueurs, 0) + 1
    )
  ), ""
)</f>
        <v/>
      </c>
      <c r="AJ115" t="str" cm="1">
        <f t="array" ref="AJ115">IFERROR(
  _xlfn.LET(
    _xlpm.ligpartie, MATCH($B114, Donnees!$F:$F, 0),
    _xlpm.joueurs, INDEX(Donnees!$A:$Z, _xlpm.ligpartie+1, _xlfn.SEQUENCE(1, 4, 2)),
    INDEX(
      Donnees!$A:$Z,
      _xlpm.ligpartie + 3,
      MATCH(AJ$1, _xlpm.joueurs, 0) + 1
    )
  ), ""
)</f>
        <v/>
      </c>
      <c r="AK115" t="str" cm="1">
        <f t="array" ref="AK115">IFERROR(
  _xlfn.LET(
    _xlpm.ligpartie, MATCH($B114, Donnees!$F:$F, 0),
    _xlpm.joueurs, INDEX(Donnees!$A:$Z, _xlpm.ligpartie+1, _xlfn.SEQUENCE(1, 4, 2)),
    INDEX(
      Donnees!$A:$Z,
      _xlpm.ligpartie + 3,
      MATCH(AK$1, _xlpm.joueurs, 0) + 1
    )
  ), ""
)</f>
        <v/>
      </c>
      <c r="AL115" t="str" cm="1">
        <f t="array" ref="AL115">IFERROR(
  _xlfn.LET(
    _xlpm.ligpartie, MATCH($B114, Donnees!$F:$F, 0),
    _xlpm.joueurs, INDEX(Donnees!$A:$Z, _xlpm.ligpartie+1, _xlfn.SEQUENCE(1, 4, 2)),
    INDEX(
      Donnees!$A:$Z,
      _xlpm.ligpartie + 3,
      MATCH(AL$1, _xlpm.joueurs, 0) + 1
    )
  ), ""
)</f>
        <v/>
      </c>
      <c r="AM115" t="str" cm="1">
        <f t="array" ref="AM115">IFERROR(
  _xlfn.LET(
    _xlpm.ligpartie, MATCH($B114, Donnees!$F:$F, 0),
    _xlpm.joueurs, INDEX(Donnees!$A:$Z, _xlpm.ligpartie+1, _xlfn.SEQUENCE(1, 4, 2)),
    INDEX(
      Donnees!$A:$Z,
      _xlpm.ligpartie + 3,
      MATCH(AM$1, _xlpm.joueurs, 0) + 1
    )
  ), ""
)</f>
        <v/>
      </c>
    </row>
    <row r="116" spans="1:39" x14ac:dyDescent="0.25">
      <c r="A116" t="s">
        <v>20</v>
      </c>
      <c r="D116" cm="1">
        <f t="array" ref="D116">_xlfn.LET(
  _xlpm.colj, _xlfn._xlws.FILTER(IF(ISNUMBER(115:115), COLUMN(115:115)), ISNUMBER(115:115)),
  _xlpm.elos, INDEX(114:114,1,_xlpm.colj),
  _xlpm.diffscale, Constantes!$B$2,
  IF(D115="",
    "",
    SUM(1/(1+POWER(10,-(D114-_xlpm.elos)/_xlpm.diffscale)))-0.5)
)</f>
        <v>1.5322063832671438</v>
      </c>
      <c r="E116" cm="1">
        <f t="array" ref="E116">_xlfn.LET(
  _xlpm.colj, _xlfn._xlws.FILTER(IF(ISNUMBER(115:115), COLUMN(115:115)), ISNUMBER(115:115)),
  _xlpm.elos, INDEX(114:114,1,_xlpm.colj),
  _xlpm.diffscale, Constantes!$B$2,
  IF(E115="",
    "",
    SUM(1/(1+POWER(10,-(E114-_xlpm.elos)/_xlpm.diffscale)))-0.5)
)</f>
        <v>1.953668050644298</v>
      </c>
      <c r="F116" t="str" cm="1">
        <f t="array" ref="F116">_xlfn.LET(
  _xlpm.colj, _xlfn._xlws.FILTER(IF(ISNUMBER(115:115), COLUMN(115:115)), ISNUMBER(115:115)),
  _xlpm.elos, INDEX(114:114,1,_xlpm.colj),
  _xlpm.diffscale, Constantes!$B$2,
  IF(F115="",
    "",
    SUM(1/(1+POWER(10,-(F114-_xlpm.elos)/_xlpm.diffscale)))-0.5)
)</f>
        <v/>
      </c>
      <c r="G116" t="str" cm="1">
        <f t="array" ref="G116">_xlfn.LET(
  _xlpm.colj, _xlfn._xlws.FILTER(IF(ISNUMBER(115:115), COLUMN(115:115)), ISNUMBER(115:115)),
  _xlpm.elos, INDEX(114:114,1,_xlpm.colj),
  _xlpm.diffscale, Constantes!$B$2,
  IF(G115="",
    "",
    SUM(1/(1+POWER(10,-(G114-_xlpm.elos)/_xlpm.diffscale)))-0.5)
)</f>
        <v/>
      </c>
      <c r="H116" t="str" cm="1">
        <f t="array" ref="H116">_xlfn.LET(
  _xlpm.colj, _xlfn._xlws.FILTER(IF(ISNUMBER(115:115), COLUMN(115:115)), ISNUMBER(115:115)),
  _xlpm.elos, INDEX(114:114,1,_xlpm.colj),
  _xlpm.diffscale, Constantes!$B$2,
  IF(H115="",
    "",
    SUM(1/(1+POWER(10,-(H114-_xlpm.elos)/_xlpm.diffscale)))-0.5)
)</f>
        <v/>
      </c>
      <c r="I116" t="str" cm="1">
        <f t="array" ref="I116">_xlfn.LET(
  _xlpm.colj, _xlfn._xlws.FILTER(IF(ISNUMBER(115:115), COLUMN(115:115)), ISNUMBER(115:115)),
  _xlpm.elos, INDEX(114:114,1,_xlpm.colj),
  _xlpm.diffscale, Constantes!$B$2,
  IF(I115="",
    "",
    SUM(1/(1+POWER(10,-(I114-_xlpm.elos)/_xlpm.diffscale)))-0.5)
)</f>
        <v/>
      </c>
      <c r="J116" t="str" cm="1">
        <f t="array" ref="J116">_xlfn.LET(
  _xlpm.colj, _xlfn._xlws.FILTER(IF(ISNUMBER(115:115), COLUMN(115:115)), ISNUMBER(115:115)),
  _xlpm.elos, INDEX(114:114,1,_xlpm.colj),
  _xlpm.diffscale, Constantes!$B$2,
  IF(J115="",
    "",
    SUM(1/(1+POWER(10,-(J114-_xlpm.elos)/_xlpm.diffscale)))-0.5)
)</f>
        <v/>
      </c>
      <c r="K116" t="str" cm="1">
        <f t="array" ref="K116">_xlfn.LET(
  _xlpm.colj, _xlfn._xlws.FILTER(IF(ISNUMBER(115:115), COLUMN(115:115)), ISNUMBER(115:115)),
  _xlpm.elos, INDEX(114:114,1,_xlpm.colj),
  _xlpm.diffscale, Constantes!$B$2,
  IF(K115="",
    "",
    SUM(1/(1+POWER(10,-(K114-_xlpm.elos)/_xlpm.diffscale)))-0.5)
)</f>
        <v/>
      </c>
      <c r="L116" t="str" cm="1">
        <f t="array" ref="L116">_xlfn.LET(
  _xlpm.colj, _xlfn._xlws.FILTER(IF(ISNUMBER(115:115), COLUMN(115:115)), ISNUMBER(115:115)),
  _xlpm.elos, INDEX(114:114,1,_xlpm.colj),
  _xlpm.diffscale, Constantes!$B$2,
  IF(L115="",
    "",
    SUM(1/(1+POWER(10,-(L114-_xlpm.elos)/_xlpm.diffscale)))-0.5)
)</f>
        <v/>
      </c>
      <c r="M116" t="str" cm="1">
        <f t="array" ref="M116">_xlfn.LET(
  _xlpm.colj, _xlfn._xlws.FILTER(IF(ISNUMBER(115:115), COLUMN(115:115)), ISNUMBER(115:115)),
  _xlpm.elos, INDEX(114:114,1,_xlpm.colj),
  _xlpm.diffscale, Constantes!$B$2,
  IF(M115="",
    "",
    SUM(1/(1+POWER(10,-(M114-_xlpm.elos)/_xlpm.diffscale)))-0.5)
)</f>
        <v/>
      </c>
      <c r="N116" t="str" cm="1">
        <f t="array" ref="N116">_xlfn.LET(
  _xlpm.colj, _xlfn._xlws.FILTER(IF(ISNUMBER(115:115), COLUMN(115:115)), ISNUMBER(115:115)),
  _xlpm.elos, INDEX(114:114,1,_xlpm.colj),
  _xlpm.diffscale, Constantes!$B$2,
  IF(N115="",
    "",
    SUM(1/(1+POWER(10,-(N114-_xlpm.elos)/_xlpm.diffscale)))-0.5)
)</f>
        <v/>
      </c>
      <c r="O116" t="str" cm="1">
        <f t="array" ref="O116">_xlfn.LET(
  _xlpm.colj, _xlfn._xlws.FILTER(IF(ISNUMBER(115:115), COLUMN(115:115)), ISNUMBER(115:115)),
  _xlpm.elos, INDEX(114:114,1,_xlpm.colj),
  _xlpm.diffscale, Constantes!$B$2,
  IF(O115="",
    "",
    SUM(1/(1+POWER(10,-(O114-_xlpm.elos)/_xlpm.diffscale)))-0.5)
)</f>
        <v/>
      </c>
      <c r="P116" cm="1">
        <f t="array" ref="P116">_xlfn.LET(
  _xlpm.colj, _xlfn._xlws.FILTER(IF(ISNUMBER(115:115), COLUMN(115:115)), ISNUMBER(115:115)),
  _xlpm.elos, INDEX(114:114,1,_xlpm.colj),
  _xlpm.diffscale, Constantes!$B$2,
  IF(P115="",
    "",
    SUM(1/(1+POWER(10,-(P114-_xlpm.elos)/_xlpm.diffscale)))-0.5)
)</f>
        <v>1.4664417839020154</v>
      </c>
      <c r="Q116" t="str" cm="1">
        <f t="array" ref="Q116">_xlfn.LET(
  _xlpm.colj, _xlfn._xlws.FILTER(IF(ISNUMBER(115:115), COLUMN(115:115)), ISNUMBER(115:115)),
  _xlpm.elos, INDEX(114:114,1,_xlpm.colj),
  _xlpm.diffscale, Constantes!$B$2,
  IF(Q115="",
    "",
    SUM(1/(1+POWER(10,-(Q114-_xlpm.elos)/_xlpm.diffscale)))-0.5)
)</f>
        <v/>
      </c>
      <c r="R116" t="str" cm="1">
        <f t="array" ref="R116">_xlfn.LET(
  _xlpm.colj, _xlfn._xlws.FILTER(IF(ISNUMBER(115:115), COLUMN(115:115)), ISNUMBER(115:115)),
  _xlpm.elos, INDEX(114:114,1,_xlpm.colj),
  _xlpm.diffscale, Constantes!$B$2,
  IF(R115="",
    "",
    SUM(1/(1+POWER(10,-(R114-_xlpm.elos)/_xlpm.diffscale)))-0.5)
)</f>
        <v/>
      </c>
      <c r="S116" cm="1">
        <f t="array" ref="S116">_xlfn.LET(
  _xlpm.colj, _xlfn._xlws.FILTER(IF(ISNUMBER(115:115), COLUMN(115:115)), ISNUMBER(115:115)),
  _xlpm.elos, INDEX(114:114,1,_xlpm.colj),
  _xlpm.diffscale, Constantes!$B$2,
  IF(S115="",
    "",
    SUM(1/(1+POWER(10,-(S114-_xlpm.elos)/_xlpm.diffscale)))-0.5)
)</f>
        <v>1.0476837821865428</v>
      </c>
      <c r="T116" t="str" cm="1">
        <f t="array" ref="T116">_xlfn.LET(
  _xlpm.colj, _xlfn._xlws.FILTER(IF(ISNUMBER(115:115), COLUMN(115:115)), ISNUMBER(115:115)),
  _xlpm.elos, INDEX(114:114,1,_xlpm.colj),
  _xlpm.diffscale, Constantes!$B$2,
  IF(T115="",
    "",
    SUM(1/(1+POWER(10,-(T114-_xlpm.elos)/_xlpm.diffscale)))-0.5)
)</f>
        <v/>
      </c>
      <c r="U116" t="str" cm="1">
        <f t="array" ref="U116">_xlfn.LET(
  _xlpm.colj, _xlfn._xlws.FILTER(IF(ISNUMBER(115:115), COLUMN(115:115)), ISNUMBER(115:115)),
  _xlpm.elos, INDEX(114:114,1,_xlpm.colj),
  _xlpm.diffscale, Constantes!$B$2,
  IF(U115="",
    "",
    SUM(1/(1+POWER(10,-(U114-_xlpm.elos)/_xlpm.diffscale)))-0.5)
)</f>
        <v/>
      </c>
      <c r="V116" t="str" cm="1">
        <f t="array" ref="V116">_xlfn.LET(
  _xlpm.colj, _xlfn._xlws.FILTER(IF(ISNUMBER(115:115), COLUMN(115:115)), ISNUMBER(115:115)),
  _xlpm.elos, INDEX(114:114,1,_xlpm.colj),
  _xlpm.diffscale, Constantes!$B$2,
  IF(V115="",
    "",
    SUM(1/(1+POWER(10,-(V114-_xlpm.elos)/_xlpm.diffscale)))-0.5)
)</f>
        <v/>
      </c>
      <c r="W116" t="str" cm="1">
        <f t="array" ref="W116">_xlfn.LET(
  _xlpm.colj, _xlfn._xlws.FILTER(IF(ISNUMBER(115:115), COLUMN(115:115)), ISNUMBER(115:115)),
  _xlpm.elos, INDEX(114:114,1,_xlpm.colj),
  _xlpm.diffscale, Constantes!$B$2,
  IF(W115="",
    "",
    SUM(1/(1+POWER(10,-(W114-_xlpm.elos)/_xlpm.diffscale)))-0.5)
)</f>
        <v/>
      </c>
      <c r="X116" t="str" cm="1">
        <f t="array" ref="X116">_xlfn.LET(
  _xlpm.colj, _xlfn._xlws.FILTER(IF(ISNUMBER(115:115), COLUMN(115:115)), ISNUMBER(115:115)),
  _xlpm.elos, INDEX(114:114,1,_xlpm.colj),
  _xlpm.diffscale, Constantes!$B$2,
  IF(X115="",
    "",
    SUM(1/(1+POWER(10,-(X114-_xlpm.elos)/_xlpm.diffscale)))-0.5)
)</f>
        <v/>
      </c>
      <c r="Y116" t="str" cm="1">
        <f t="array" ref="Y116">_xlfn.LET(
  _xlpm.colj, _xlfn._xlws.FILTER(IF(ISNUMBER(115:115), COLUMN(115:115)), ISNUMBER(115:115)),
  _xlpm.elos, INDEX(114:114,1,_xlpm.colj),
  _xlpm.diffscale, Constantes!$B$2,
  IF(Y115="",
    "",
    SUM(1/(1+POWER(10,-(Y114-_xlpm.elos)/_xlpm.diffscale)))-0.5)
)</f>
        <v/>
      </c>
      <c r="Z116" t="str" cm="1">
        <f t="array" ref="Z116">_xlfn.LET(
  _xlpm.colj, _xlfn._xlws.FILTER(IF(ISNUMBER(115:115), COLUMN(115:115)), ISNUMBER(115:115)),
  _xlpm.elos, INDEX(114:114,1,_xlpm.colj),
  _xlpm.diffscale, Constantes!$B$2,
  IF(Z115="",
    "",
    SUM(1/(1+POWER(10,-(Z114-_xlpm.elos)/_xlpm.diffscale)))-0.5)
)</f>
        <v/>
      </c>
      <c r="AA116" t="str" cm="1">
        <f t="array" ref="AA116">_xlfn.LET(
  _xlpm.colj, _xlfn._xlws.FILTER(IF(ISNUMBER(115:115), COLUMN(115:115)), ISNUMBER(115:115)),
  _xlpm.elos, INDEX(114:114,1,_xlpm.colj),
  _xlpm.diffscale, Constantes!$B$2,
  IF(AA115="",
    "",
    SUM(1/(1+POWER(10,-(AA114-_xlpm.elos)/_xlpm.diffscale)))-0.5)
)</f>
        <v/>
      </c>
      <c r="AB116" t="str" cm="1">
        <f t="array" ref="AB116">_xlfn.LET(
  _xlpm.colj, _xlfn._xlws.FILTER(IF(ISNUMBER(115:115), COLUMN(115:115)), ISNUMBER(115:115)),
  _xlpm.elos, INDEX(114:114,1,_xlpm.colj),
  _xlpm.diffscale, Constantes!$B$2,
  IF(AB115="",
    "",
    SUM(1/(1+POWER(10,-(AB114-_xlpm.elos)/_xlpm.diffscale)))-0.5)
)</f>
        <v/>
      </c>
      <c r="AC116" t="str" cm="1">
        <f t="array" ref="AC116">_xlfn.LET(
  _xlpm.colj, _xlfn._xlws.FILTER(IF(ISNUMBER(115:115), COLUMN(115:115)), ISNUMBER(115:115)),
  _xlpm.elos, INDEX(114:114,1,_xlpm.colj),
  _xlpm.diffscale, Constantes!$B$2,
  IF(AC115="",
    "",
    SUM(1/(1+POWER(10,-(AC114-_xlpm.elos)/_xlpm.diffscale)))-0.5)
)</f>
        <v/>
      </c>
      <c r="AD116" t="str" cm="1">
        <f t="array" ref="AD116">_xlfn.LET(
  _xlpm.colj, _xlfn._xlws.FILTER(IF(ISNUMBER(115:115), COLUMN(115:115)), ISNUMBER(115:115)),
  _xlpm.elos, INDEX(114:114,1,_xlpm.colj),
  _xlpm.diffscale, Constantes!$B$2,
  IF(AD115="",
    "",
    SUM(1/(1+POWER(10,-(AD114-_xlpm.elos)/_xlpm.diffscale)))-0.5)
)</f>
        <v/>
      </c>
      <c r="AE116" t="str" cm="1">
        <f t="array" ref="AE116">_xlfn.LET(
  _xlpm.colj, _xlfn._xlws.FILTER(IF(ISNUMBER(115:115), COLUMN(115:115)), ISNUMBER(115:115)),
  _xlpm.elos, INDEX(114:114,1,_xlpm.colj),
  _xlpm.diffscale, Constantes!$B$2,
  IF(AE115="",
    "",
    SUM(1/(1+POWER(10,-(AE114-_xlpm.elos)/_xlpm.diffscale)))-0.5)
)</f>
        <v/>
      </c>
      <c r="AF116" t="str" cm="1">
        <f t="array" ref="AF116">_xlfn.LET(
  _xlpm.colj, _xlfn._xlws.FILTER(IF(ISNUMBER(115:115), COLUMN(115:115)), ISNUMBER(115:115)),
  _xlpm.elos, INDEX(114:114,1,_xlpm.colj),
  _xlpm.diffscale, Constantes!$B$2,
  IF(AF115="",
    "",
    SUM(1/(1+POWER(10,-(AF114-_xlpm.elos)/_xlpm.diffscale)))-0.5)
)</f>
        <v/>
      </c>
      <c r="AG116" t="str" cm="1">
        <f t="array" ref="AG116">_xlfn.LET(
  _xlpm.colj, _xlfn._xlws.FILTER(IF(ISNUMBER(115:115), COLUMN(115:115)), ISNUMBER(115:115)),
  _xlpm.elos, INDEX(114:114,1,_xlpm.colj),
  _xlpm.diffscale, Constantes!$B$2,
  IF(AG115="",
    "",
    SUM(1/(1+POWER(10,-(AG114-_xlpm.elos)/_xlpm.diffscale)))-0.5)
)</f>
        <v/>
      </c>
      <c r="AH116" t="str" cm="1">
        <f t="array" ref="AH116">_xlfn.LET(
  _xlpm.colj, _xlfn._xlws.FILTER(IF(ISNUMBER(115:115), COLUMN(115:115)), ISNUMBER(115:115)),
  _xlpm.elos, INDEX(114:114,1,_xlpm.colj),
  _xlpm.diffscale, Constantes!$B$2,
  IF(AH115="",
    "",
    SUM(1/(1+POWER(10,-(AH114-_xlpm.elos)/_xlpm.diffscale)))-0.5)
)</f>
        <v/>
      </c>
      <c r="AI116" t="str" cm="1">
        <f t="array" ref="AI116">_xlfn.LET(
  _xlpm.colj, _xlfn._xlws.FILTER(IF(ISNUMBER(115:115), COLUMN(115:115)), ISNUMBER(115:115)),
  _xlpm.elos, INDEX(114:114,1,_xlpm.colj),
  _xlpm.diffscale, Constantes!$B$2,
  IF(AI115="",
    "",
    SUM(1/(1+POWER(10,-(AI114-_xlpm.elos)/_xlpm.diffscale)))-0.5)
)</f>
        <v/>
      </c>
      <c r="AJ116" t="str" cm="1">
        <f t="array" ref="AJ116">_xlfn.LET(
  _xlpm.colj, _xlfn._xlws.FILTER(IF(ISNUMBER(115:115), COLUMN(115:115)), ISNUMBER(115:115)),
  _xlpm.elos, INDEX(114:114,1,_xlpm.colj),
  _xlpm.diffscale, Constantes!$B$2,
  IF(AJ115="",
    "",
    SUM(1/(1+POWER(10,-(AJ114-_xlpm.elos)/_xlpm.diffscale)))-0.5)
)</f>
        <v/>
      </c>
      <c r="AK116" t="str" cm="1">
        <f t="array" ref="AK116">_xlfn.LET(
  _xlpm.colj, _xlfn._xlws.FILTER(IF(ISNUMBER(115:115), COLUMN(115:115)), ISNUMBER(115:115)),
  _xlpm.elos, INDEX(114:114,1,_xlpm.colj),
  _xlpm.diffscale, Constantes!$B$2,
  IF(AK115="",
    "",
    SUM(1/(1+POWER(10,-(AK114-_xlpm.elos)/_xlpm.diffscale)))-0.5)
)</f>
        <v/>
      </c>
      <c r="AL116" t="str" cm="1">
        <f t="array" ref="AL116">_xlfn.LET(
  _xlpm.colj, _xlfn._xlws.FILTER(IF(ISNUMBER(115:115), COLUMN(115:115)), ISNUMBER(115:115)),
  _xlpm.elos, INDEX(114:114,1,_xlpm.colj),
  _xlpm.diffscale, Constantes!$B$2,
  IF(AL115="",
    "",
    SUM(1/(1+POWER(10,-(AL114-_xlpm.elos)/_xlpm.diffscale)))-0.5)
)</f>
        <v/>
      </c>
      <c r="AM116" t="str" cm="1">
        <f t="array" ref="AM116">_xlfn.LET(
  _xlpm.colj, _xlfn._xlws.FILTER(IF(ISNUMBER(115:115), COLUMN(115:115)), ISNUMBER(115:115)),
  _xlpm.elos, INDEX(114:114,1,_xlpm.colj),
  _xlpm.diffscale, Constantes!$B$2,
  IF(AM115="",
    "",
    SUM(1/(1+POWER(10,-(AM114-_xlpm.elos)/_xlpm.diffscale)))-0.5)
)</f>
        <v/>
      </c>
    </row>
    <row r="117" spans="1:39" x14ac:dyDescent="0.25">
      <c r="A117" t="s">
        <v>22</v>
      </c>
      <c r="D117" cm="1">
        <f t="array" ref="D117">_xlfn.LET(
  _xlpm.K, Constantes!$B$3,
  _xlpm.Knewgain, Constantes!$B$4,
  _xlpm.Knewscale, Constantes!$B$5,
  _xlpm.ptstables, INDEX(D:D, _xlfn.SEQUENCE(COUNTA($C$2:$C117), 1, 3, 4)),
  _xlpm.nbparties, COUNTA(_xlfn._xlws.FILTER(_xlpm.ptstables, _xlpm.ptstables &lt;&gt; "")),
  _xlpm.coef, _xlpm.K + _xlpm.Knewgain / (_xlpm.Knewscale + _xlpm.nbparties),
  IF(D115="",
    "",
    _xlpm.coef * (D115-D116))
)</f>
        <v>37.51028131650633</v>
      </c>
      <c r="E117" cm="1">
        <f t="array" ref="E117">_xlfn.LET(
  _xlpm.K, Constantes!$B$3,
  _xlpm.Knewgain, Constantes!$B$4,
  _xlpm.Knewscale, Constantes!$B$5,
  _xlpm.ptstables, INDEX(E:E, _xlfn.SEQUENCE(COUNTA($C$2:$C117), 1, 3, 4)),
  _xlpm.nbparties, COUNTA(_xlfn._xlws.FILTER(_xlpm.ptstables, _xlpm.ptstables &lt;&gt; "")),
  _xlpm.coef, _xlpm.K + _xlpm.Knewgain / (_xlpm.Knewscale + _xlpm.nbparties),
  IF(E115="",
    "",
    _xlpm.coef * (E115-E116))
)</f>
        <v>1.1048387923282774</v>
      </c>
      <c r="F117" t="str" cm="1">
        <f t="array" ref="F117">_xlfn.LET(
  _xlpm.K, Constantes!$B$3,
  _xlpm.Knewgain, Constantes!$B$4,
  _xlpm.Knewscale, Constantes!$B$5,
  _xlpm.ptstables, INDEX(F:F, _xlfn.SEQUENCE(COUNTA($C$2:$C117), 1, 3, 4)),
  _xlpm.nbparties, COUNTA(_xlfn._xlws.FILTER(_xlpm.ptstables, _xlpm.ptstables &lt;&gt; "")),
  _xlpm.coef, _xlpm.K + _xlpm.Knewgain / (_xlpm.Knewscale + _xlpm.nbparties),
  IF(F115="",
    "",
    _xlpm.coef * (F115-F116))
)</f>
        <v/>
      </c>
      <c r="G117" t="str" cm="1">
        <f t="array" ref="G117">_xlfn.LET(
  _xlpm.K, Constantes!$B$3,
  _xlpm.Knewgain, Constantes!$B$4,
  _xlpm.Knewscale, Constantes!$B$5,
  _xlpm.ptstables, INDEX(G:G, _xlfn.SEQUENCE(COUNTA($C$2:$C117), 1, 3, 4)),
  _xlpm.nbparties, COUNTA(_xlfn._xlws.FILTER(_xlpm.ptstables, _xlpm.ptstables &lt;&gt; "")),
  _xlpm.coef, _xlpm.K + _xlpm.Knewgain / (_xlpm.Knewscale + _xlpm.nbparties),
  IF(G115="",
    "",
    _xlpm.coef * (G115-G116))
)</f>
        <v/>
      </c>
      <c r="H117" t="str" cm="1">
        <f t="array" ref="H117">_xlfn.LET(
  _xlpm.K, Constantes!$B$3,
  _xlpm.Knewgain, Constantes!$B$4,
  _xlpm.Knewscale, Constantes!$B$5,
  _xlpm.ptstables, INDEX(H:H, _xlfn.SEQUENCE(COUNTA($C$2:$C117), 1, 3, 4)),
  _xlpm.nbparties, COUNTA(_xlfn._xlws.FILTER(_xlpm.ptstables, _xlpm.ptstables &lt;&gt; "")),
  _xlpm.coef, _xlpm.K + _xlpm.Knewgain / (_xlpm.Knewscale + _xlpm.nbparties),
  IF(H115="",
    "",
    _xlpm.coef * (H115-H116))
)</f>
        <v/>
      </c>
      <c r="I117" t="str" cm="1">
        <f t="array" ref="I117">_xlfn.LET(
  _xlpm.K, Constantes!$B$3,
  _xlpm.Knewgain, Constantes!$B$4,
  _xlpm.Knewscale, Constantes!$B$5,
  _xlpm.ptstables, INDEX(I:I, _xlfn.SEQUENCE(COUNTA($C$2:$C117), 1, 3, 4)),
  _xlpm.nbparties, COUNTA(_xlfn._xlws.FILTER(_xlpm.ptstables, _xlpm.ptstables &lt;&gt; "")),
  _xlpm.coef, _xlpm.K + _xlpm.Knewgain / (_xlpm.Knewscale + _xlpm.nbparties),
  IF(I115="",
    "",
    _xlpm.coef * (I115-I116))
)</f>
        <v/>
      </c>
      <c r="J117" t="str" cm="1">
        <f t="array" ref="J117">_xlfn.LET(
  _xlpm.K, Constantes!$B$3,
  _xlpm.Knewgain, Constantes!$B$4,
  _xlpm.Knewscale, Constantes!$B$5,
  _xlpm.ptstables, INDEX(J:J, _xlfn.SEQUENCE(COUNTA($C$2:$C117), 1, 3, 4)),
  _xlpm.nbparties, COUNTA(_xlfn._xlws.FILTER(_xlpm.ptstables, _xlpm.ptstables &lt;&gt; "")),
  _xlpm.coef, _xlpm.K + _xlpm.Knewgain / (_xlpm.Knewscale + _xlpm.nbparties),
  IF(J115="",
    "",
    _xlpm.coef * (J115-J116))
)</f>
        <v/>
      </c>
      <c r="K117" t="str" cm="1">
        <f t="array" ref="K117">_xlfn.LET(
  _xlpm.K, Constantes!$B$3,
  _xlpm.Knewgain, Constantes!$B$4,
  _xlpm.Knewscale, Constantes!$B$5,
  _xlpm.ptstables, INDEX(K:K, _xlfn.SEQUENCE(COUNTA($C$2:$C117), 1, 3, 4)),
  _xlpm.nbparties, COUNTA(_xlfn._xlws.FILTER(_xlpm.ptstables, _xlpm.ptstables &lt;&gt; "")),
  _xlpm.coef, _xlpm.K + _xlpm.Knewgain / (_xlpm.Knewscale + _xlpm.nbparties),
  IF(K115="",
    "",
    _xlpm.coef * (K115-K116))
)</f>
        <v/>
      </c>
      <c r="L117" t="str" cm="1">
        <f t="array" ref="L117">_xlfn.LET(
  _xlpm.K, Constantes!$B$3,
  _xlpm.Knewgain, Constantes!$B$4,
  _xlpm.Knewscale, Constantes!$B$5,
  _xlpm.ptstables, INDEX(L:L, _xlfn.SEQUENCE(COUNTA($C$2:$C117), 1, 3, 4)),
  _xlpm.nbparties, COUNTA(_xlfn._xlws.FILTER(_xlpm.ptstables, _xlpm.ptstables &lt;&gt; "")),
  _xlpm.coef, _xlpm.K + _xlpm.Knewgain / (_xlpm.Knewscale + _xlpm.nbparties),
  IF(L115="",
    "",
    _xlpm.coef * (L115-L116))
)</f>
        <v/>
      </c>
      <c r="M117" t="str" cm="1">
        <f t="array" ref="M117">_xlfn.LET(
  _xlpm.K, Constantes!$B$3,
  _xlpm.Knewgain, Constantes!$B$4,
  _xlpm.Knewscale, Constantes!$B$5,
  _xlpm.ptstables, INDEX(M:M, _xlfn.SEQUENCE(COUNTA($C$2:$C117), 1, 3, 4)),
  _xlpm.nbparties, COUNTA(_xlfn._xlws.FILTER(_xlpm.ptstables, _xlpm.ptstables &lt;&gt; "")),
  _xlpm.coef, _xlpm.K + _xlpm.Knewgain / (_xlpm.Knewscale + _xlpm.nbparties),
  IF(M115="",
    "",
    _xlpm.coef * (M115-M116))
)</f>
        <v/>
      </c>
      <c r="N117" t="str" cm="1">
        <f t="array" ref="N117">_xlfn.LET(
  _xlpm.K, Constantes!$B$3,
  _xlpm.Knewgain, Constantes!$B$4,
  _xlpm.Knewscale, Constantes!$B$5,
  _xlpm.ptstables, INDEX(N:N, _xlfn.SEQUENCE(COUNTA($C$2:$C117), 1, 3, 4)),
  _xlpm.nbparties, COUNTA(_xlfn._xlws.FILTER(_xlpm.ptstables, _xlpm.ptstables &lt;&gt; "")),
  _xlpm.coef, _xlpm.K + _xlpm.Knewgain / (_xlpm.Knewscale + _xlpm.nbparties),
  IF(N115="",
    "",
    _xlpm.coef * (N115-N116))
)</f>
        <v/>
      </c>
      <c r="O117" t="str" cm="1">
        <f t="array" ref="O117">_xlfn.LET(
  _xlpm.K, Constantes!$B$3,
  _xlpm.Knewgain, Constantes!$B$4,
  _xlpm.Knewscale, Constantes!$B$5,
  _xlpm.ptstables, INDEX(O:O, _xlfn.SEQUENCE(COUNTA($C$2:$C117), 1, 3, 4)),
  _xlpm.nbparties, COUNTA(_xlfn._xlws.FILTER(_xlpm.ptstables, _xlpm.ptstables &lt;&gt; "")),
  _xlpm.coef, _xlpm.K + _xlpm.Knewgain / (_xlpm.Knewscale + _xlpm.nbparties),
  IF(O115="",
    "",
    _xlpm.coef * (O115-O116))
)</f>
        <v/>
      </c>
      <c r="P117" cm="1">
        <f t="array" ref="P117">_xlfn.LET(
  _xlpm.K, Constantes!$B$3,
  _xlpm.Knewgain, Constantes!$B$4,
  _xlpm.Knewscale, Constantes!$B$5,
  _xlpm.ptstables, INDEX(P:P, _xlfn.SEQUENCE(COUNTA($C$2:$C117), 1, 3, 4)),
  _xlpm.nbparties, COUNTA(_xlfn._xlws.FILTER(_xlpm.ptstables, _xlpm.ptstables &lt;&gt; "")),
  _xlpm.coef, _xlpm.K + _xlpm.Knewgain / (_xlpm.Knewscale + _xlpm.nbparties),
  IF(P115="",
    "",
    _xlpm.coef * (P115-P116))
)</f>
        <v>-41.549183877223776</v>
      </c>
      <c r="Q117" t="str" cm="1">
        <f t="array" ref="Q117">_xlfn.LET(
  _xlpm.K, Constantes!$B$3,
  _xlpm.Knewgain, Constantes!$B$4,
  _xlpm.Knewscale, Constantes!$B$5,
  _xlpm.ptstables, INDEX(Q:Q, _xlfn.SEQUENCE(COUNTA($C$2:$C117), 1, 3, 4)),
  _xlpm.nbparties, COUNTA(_xlfn._xlws.FILTER(_xlpm.ptstables, _xlpm.ptstables &lt;&gt; "")),
  _xlpm.coef, _xlpm.K + _xlpm.Knewgain / (_xlpm.Knewscale + _xlpm.nbparties),
  IF(Q115="",
    "",
    _xlpm.coef * (Q115-Q116))
)</f>
        <v/>
      </c>
      <c r="R117" t="str" cm="1">
        <f t="array" ref="R117">_xlfn.LET(
  _xlpm.K, Constantes!$B$3,
  _xlpm.Knewgain, Constantes!$B$4,
  _xlpm.Knewscale, Constantes!$B$5,
  _xlpm.ptstables, INDEX(R:R, _xlfn.SEQUENCE(COUNTA($C$2:$C117), 1, 3, 4)),
  _xlpm.nbparties, COUNTA(_xlfn._xlws.FILTER(_xlpm.ptstables, _xlpm.ptstables &lt;&gt; "")),
  _xlpm.coef, _xlpm.K + _xlpm.Knewgain / (_xlpm.Knewscale + _xlpm.nbparties),
  IF(R115="",
    "",
    _xlpm.coef * (R115-R116))
)</f>
        <v/>
      </c>
      <c r="S117" cm="1">
        <f t="array" ref="S117">_xlfn.LET(
  _xlpm.K, Constantes!$B$3,
  _xlpm.Knewgain, Constantes!$B$4,
  _xlpm.Knewscale, Constantes!$B$5,
  _xlpm.ptstables, INDEX(S:S, _xlfn.SEQUENCE(COUNTA($C$2:$C117), 1, 3, 4)),
  _xlpm.nbparties, COUNTA(_xlfn._xlws.FILTER(_xlpm.ptstables, _xlpm.ptstables &lt;&gt; "")),
  _xlpm.coef, _xlpm.K + _xlpm.Knewgain / (_xlpm.Knewscale + _xlpm.nbparties),
  IF(S115="",
    "",
    _xlpm.coef * (S115-S116))
)</f>
        <v>-1.2516992823967481</v>
      </c>
      <c r="T117" t="str" cm="1">
        <f t="array" ref="T117">_xlfn.LET(
  _xlpm.K, Constantes!$B$3,
  _xlpm.Knewgain, Constantes!$B$4,
  _xlpm.Knewscale, Constantes!$B$5,
  _xlpm.ptstables, INDEX(T:T, _xlfn.SEQUENCE(COUNTA($C$2:$C117), 1, 3, 4)),
  _xlpm.nbparties, COUNTA(_xlfn._xlws.FILTER(_xlpm.ptstables, _xlpm.ptstables &lt;&gt; "")),
  _xlpm.coef, _xlpm.K + _xlpm.Knewgain / (_xlpm.Knewscale + _xlpm.nbparties),
  IF(T115="",
    "",
    _xlpm.coef * (T115-T116))
)</f>
        <v/>
      </c>
      <c r="U117" t="str" cm="1">
        <f t="array" ref="U117">_xlfn.LET(
  _xlpm.K, Constantes!$B$3,
  _xlpm.Knewgain, Constantes!$B$4,
  _xlpm.Knewscale, Constantes!$B$5,
  _xlpm.ptstables, INDEX(U:U, _xlfn.SEQUENCE(COUNTA($C$2:$C117), 1, 3, 4)),
  _xlpm.nbparties, COUNTA(_xlfn._xlws.FILTER(_xlpm.ptstables, _xlpm.ptstables &lt;&gt; "")),
  _xlpm.coef, _xlpm.K + _xlpm.Knewgain / (_xlpm.Knewscale + _xlpm.nbparties),
  IF(U115="",
    "",
    _xlpm.coef * (U115-U116))
)</f>
        <v/>
      </c>
      <c r="V117" t="str" cm="1">
        <f t="array" ref="V117">_xlfn.LET(
  _xlpm.K, Constantes!$B$3,
  _xlpm.Knewgain, Constantes!$B$4,
  _xlpm.Knewscale, Constantes!$B$5,
  _xlpm.ptstables, INDEX(V:V, _xlfn.SEQUENCE(COUNTA($C$2:$C117), 1, 3, 4)),
  _xlpm.nbparties, COUNTA(_xlfn._xlws.FILTER(_xlpm.ptstables, _xlpm.ptstables &lt;&gt; "")),
  _xlpm.coef, _xlpm.K + _xlpm.Knewgain / (_xlpm.Knewscale + _xlpm.nbparties),
  IF(V115="",
    "",
    _xlpm.coef * (V115-V116))
)</f>
        <v/>
      </c>
      <c r="W117" t="str" cm="1">
        <f t="array" ref="W117">_xlfn.LET(
  _xlpm.K, Constantes!$B$3,
  _xlpm.Knewgain, Constantes!$B$4,
  _xlpm.Knewscale, Constantes!$B$5,
  _xlpm.ptstables, INDEX(W:W, _xlfn.SEQUENCE(COUNTA($C$2:$C117), 1, 3, 4)),
  _xlpm.nbparties, COUNTA(_xlfn._xlws.FILTER(_xlpm.ptstables, _xlpm.ptstables &lt;&gt; "")),
  _xlpm.coef, _xlpm.K + _xlpm.Knewgain / (_xlpm.Knewscale + _xlpm.nbparties),
  IF(W115="",
    "",
    _xlpm.coef * (W115-W116))
)</f>
        <v/>
      </c>
      <c r="X117" t="str" cm="1">
        <f t="array" ref="X117">_xlfn.LET(
  _xlpm.K, Constantes!$B$3,
  _xlpm.Knewgain, Constantes!$B$4,
  _xlpm.Knewscale, Constantes!$B$5,
  _xlpm.ptstables, INDEX(X:X, _xlfn.SEQUENCE(COUNTA($C$2:$C117), 1, 3, 4)),
  _xlpm.nbparties, COUNTA(_xlfn._xlws.FILTER(_xlpm.ptstables, _xlpm.ptstables &lt;&gt; "")),
  _xlpm.coef, _xlpm.K + _xlpm.Knewgain / (_xlpm.Knewscale + _xlpm.nbparties),
  IF(X115="",
    "",
    _xlpm.coef * (X115-X116))
)</f>
        <v/>
      </c>
      <c r="Y117" t="str" cm="1">
        <f t="array" ref="Y117">_xlfn.LET(
  _xlpm.K, Constantes!$B$3,
  _xlpm.Knewgain, Constantes!$B$4,
  _xlpm.Knewscale, Constantes!$B$5,
  _xlpm.ptstables, INDEX(Y:Y, _xlfn.SEQUENCE(COUNTA($C$2:$C117), 1, 3, 4)),
  _xlpm.nbparties, COUNTA(_xlfn._xlws.FILTER(_xlpm.ptstables, _xlpm.ptstables &lt;&gt; "")),
  _xlpm.coef, _xlpm.K + _xlpm.Knewgain / (_xlpm.Knewscale + _xlpm.nbparties),
  IF(Y115="",
    "",
    _xlpm.coef * (Y115-Y116))
)</f>
        <v/>
      </c>
      <c r="Z117" t="str" cm="1">
        <f t="array" ref="Z117">_xlfn.LET(
  _xlpm.K, Constantes!$B$3,
  _xlpm.Knewgain, Constantes!$B$4,
  _xlpm.Knewscale, Constantes!$B$5,
  _xlpm.ptstables, INDEX(Z:Z, _xlfn.SEQUENCE(COUNTA($C$2:$C117), 1, 3, 4)),
  _xlpm.nbparties, COUNTA(_xlfn._xlws.FILTER(_xlpm.ptstables, _xlpm.ptstables &lt;&gt; "")),
  _xlpm.coef, _xlpm.K + _xlpm.Knewgain / (_xlpm.Knewscale + _xlpm.nbparties),
  IF(Z115="",
    "",
    _xlpm.coef * (Z115-Z116))
)</f>
        <v/>
      </c>
      <c r="AA117" t="str" cm="1">
        <f t="array" ref="AA117">_xlfn.LET(
  _xlpm.K, Constantes!$B$3,
  _xlpm.Knewgain, Constantes!$B$4,
  _xlpm.Knewscale, Constantes!$B$5,
  _xlpm.ptstables, INDEX(AA:AA, _xlfn.SEQUENCE(COUNTA($C$2:$C117), 1, 3, 4)),
  _xlpm.nbparties, COUNTA(_xlfn._xlws.FILTER(_xlpm.ptstables, _xlpm.ptstables &lt;&gt; "")),
  _xlpm.coef, _xlpm.K + _xlpm.Knewgain / (_xlpm.Knewscale + _xlpm.nbparties),
  IF(AA115="",
    "",
    _xlpm.coef * (AA115-AA116))
)</f>
        <v/>
      </c>
      <c r="AB117" t="str" cm="1">
        <f t="array" ref="AB117">_xlfn.LET(
  _xlpm.K, Constantes!$B$3,
  _xlpm.Knewgain, Constantes!$B$4,
  _xlpm.Knewscale, Constantes!$B$5,
  _xlpm.ptstables, INDEX(AB:AB, _xlfn.SEQUENCE(COUNTA($C$2:$C117), 1, 3, 4)),
  _xlpm.nbparties, COUNTA(_xlfn._xlws.FILTER(_xlpm.ptstables, _xlpm.ptstables &lt;&gt; "")),
  _xlpm.coef, _xlpm.K + _xlpm.Knewgain / (_xlpm.Knewscale + _xlpm.nbparties),
  IF(AB115="",
    "",
    _xlpm.coef * (AB115-AB116))
)</f>
        <v/>
      </c>
      <c r="AC117" t="str" cm="1">
        <f t="array" ref="AC117">_xlfn.LET(
  _xlpm.K, Constantes!$B$3,
  _xlpm.Knewgain, Constantes!$B$4,
  _xlpm.Knewscale, Constantes!$B$5,
  _xlpm.ptstables, INDEX(AC:AC, _xlfn.SEQUENCE(COUNTA($C$2:$C117), 1, 3, 4)),
  _xlpm.nbparties, COUNTA(_xlfn._xlws.FILTER(_xlpm.ptstables, _xlpm.ptstables &lt;&gt; "")),
  _xlpm.coef, _xlpm.K + _xlpm.Knewgain / (_xlpm.Knewscale + _xlpm.nbparties),
  IF(AC115="",
    "",
    _xlpm.coef * (AC115-AC116))
)</f>
        <v/>
      </c>
      <c r="AD117" t="str" cm="1">
        <f t="array" ref="AD117">_xlfn.LET(
  _xlpm.K, Constantes!$B$3,
  _xlpm.Knewgain, Constantes!$B$4,
  _xlpm.Knewscale, Constantes!$B$5,
  _xlpm.ptstables, INDEX(AD:AD, _xlfn.SEQUENCE(COUNTA($C$2:$C117), 1, 3, 4)),
  _xlpm.nbparties, COUNTA(_xlfn._xlws.FILTER(_xlpm.ptstables, _xlpm.ptstables &lt;&gt; "")),
  _xlpm.coef, _xlpm.K + _xlpm.Knewgain / (_xlpm.Knewscale + _xlpm.nbparties),
  IF(AD115="",
    "",
    _xlpm.coef * (AD115-AD116))
)</f>
        <v/>
      </c>
      <c r="AE117" t="str" cm="1">
        <f t="array" ref="AE117">_xlfn.LET(
  _xlpm.K, Constantes!$B$3,
  _xlpm.Knewgain, Constantes!$B$4,
  _xlpm.Knewscale, Constantes!$B$5,
  _xlpm.ptstables, INDEX(AE:AE, _xlfn.SEQUENCE(COUNTA($C$2:$C117), 1, 3, 4)),
  _xlpm.nbparties, COUNTA(_xlfn._xlws.FILTER(_xlpm.ptstables, _xlpm.ptstables &lt;&gt; "")),
  _xlpm.coef, _xlpm.K + _xlpm.Knewgain / (_xlpm.Knewscale + _xlpm.nbparties),
  IF(AE115="",
    "",
    _xlpm.coef * (AE115-AE116))
)</f>
        <v/>
      </c>
      <c r="AF117" t="str" cm="1">
        <f t="array" ref="AF117">_xlfn.LET(
  _xlpm.K, Constantes!$B$3,
  _xlpm.Knewgain, Constantes!$B$4,
  _xlpm.Knewscale, Constantes!$B$5,
  _xlpm.ptstables, INDEX(AF:AF, _xlfn.SEQUENCE(COUNTA($C$2:$C117), 1, 3, 4)),
  _xlpm.nbparties, COUNTA(_xlfn._xlws.FILTER(_xlpm.ptstables, _xlpm.ptstables &lt;&gt; "")),
  _xlpm.coef, _xlpm.K + _xlpm.Knewgain / (_xlpm.Knewscale + _xlpm.nbparties),
  IF(AF115="",
    "",
    _xlpm.coef * (AF115-AF116))
)</f>
        <v/>
      </c>
      <c r="AG117" t="str" cm="1">
        <f t="array" ref="AG117">_xlfn.LET(
  _xlpm.K, Constantes!$B$3,
  _xlpm.Knewgain, Constantes!$B$4,
  _xlpm.Knewscale, Constantes!$B$5,
  _xlpm.ptstables, INDEX(AG:AG, _xlfn.SEQUENCE(COUNTA($C$2:$C117), 1, 3, 4)),
  _xlpm.nbparties, COUNTA(_xlfn._xlws.FILTER(_xlpm.ptstables, _xlpm.ptstables &lt;&gt; "")),
  _xlpm.coef, _xlpm.K + _xlpm.Knewgain / (_xlpm.Knewscale + _xlpm.nbparties),
  IF(AG115="",
    "",
    _xlpm.coef * (AG115-AG116))
)</f>
        <v/>
      </c>
      <c r="AH117" t="str" cm="1">
        <f t="array" ref="AH117">_xlfn.LET(
  _xlpm.K, Constantes!$B$3,
  _xlpm.Knewgain, Constantes!$B$4,
  _xlpm.Knewscale, Constantes!$B$5,
  _xlpm.ptstables, INDEX(AH:AH, _xlfn.SEQUENCE(COUNTA($C$2:$C117), 1, 3, 4)),
  _xlpm.nbparties, COUNTA(_xlfn._xlws.FILTER(_xlpm.ptstables, _xlpm.ptstables &lt;&gt; "")),
  _xlpm.coef, _xlpm.K + _xlpm.Knewgain / (_xlpm.Knewscale + _xlpm.nbparties),
  IF(AH115="",
    "",
    _xlpm.coef * (AH115-AH116))
)</f>
        <v/>
      </c>
      <c r="AI117" t="str" cm="1">
        <f t="array" ref="AI117">_xlfn.LET(
  _xlpm.K, Constantes!$B$3,
  _xlpm.Knewgain, Constantes!$B$4,
  _xlpm.Knewscale, Constantes!$B$5,
  _xlpm.ptstables, INDEX(AI:AI, _xlfn.SEQUENCE(COUNTA($C$2:$C117), 1, 3, 4)),
  _xlpm.nbparties, COUNTA(_xlfn._xlws.FILTER(_xlpm.ptstables, _xlpm.ptstables &lt;&gt; "")),
  _xlpm.coef, _xlpm.K + _xlpm.Knewgain / (_xlpm.Knewscale + _xlpm.nbparties),
  IF(AI115="",
    "",
    _xlpm.coef * (AI115-AI116))
)</f>
        <v/>
      </c>
      <c r="AJ117" t="str" cm="1">
        <f t="array" ref="AJ117">_xlfn.LET(
  _xlpm.K, Constantes!$B$3,
  _xlpm.Knewgain, Constantes!$B$4,
  _xlpm.Knewscale, Constantes!$B$5,
  _xlpm.ptstables, INDEX(AJ:AJ, _xlfn.SEQUENCE(COUNTA($C$2:$C117), 1, 3, 4)),
  _xlpm.nbparties, COUNTA(_xlfn._xlws.FILTER(_xlpm.ptstables, _xlpm.ptstables &lt;&gt; "")),
  _xlpm.coef, _xlpm.K + _xlpm.Knewgain / (_xlpm.Knewscale + _xlpm.nbparties),
  IF(AJ115="",
    "",
    _xlpm.coef * (AJ115-AJ116))
)</f>
        <v/>
      </c>
      <c r="AK117" t="str" cm="1">
        <f t="array" ref="AK117">_xlfn.LET(
  _xlpm.K, Constantes!$B$3,
  _xlpm.Knewgain, Constantes!$B$4,
  _xlpm.Knewscale, Constantes!$B$5,
  _xlpm.ptstables, INDEX(AK:AK, _xlfn.SEQUENCE(COUNTA($C$2:$C117), 1, 3, 4)),
  _xlpm.nbparties, COUNTA(_xlfn._xlws.FILTER(_xlpm.ptstables, _xlpm.ptstables &lt;&gt; "")),
  _xlpm.coef, _xlpm.K + _xlpm.Knewgain / (_xlpm.Knewscale + _xlpm.nbparties),
  IF(AK115="",
    "",
    _xlpm.coef * (AK115-AK116))
)</f>
        <v/>
      </c>
      <c r="AL117" t="str" cm="1">
        <f t="array" ref="AL117">_xlfn.LET(
  _xlpm.K, Constantes!$B$3,
  _xlpm.Knewgain, Constantes!$B$4,
  _xlpm.Knewscale, Constantes!$B$5,
  _xlpm.ptstables, INDEX(AL:AL, _xlfn.SEQUENCE(COUNTA($C$2:$C117), 1, 3, 4)),
  _xlpm.nbparties, COUNTA(_xlfn._xlws.FILTER(_xlpm.ptstables, _xlpm.ptstables &lt;&gt; "")),
  _xlpm.coef, _xlpm.K + _xlpm.Knewgain / (_xlpm.Knewscale + _xlpm.nbparties),
  IF(AL115="",
    "",
    _xlpm.coef * (AL115-AL116))
)</f>
        <v/>
      </c>
      <c r="AM117" t="str" cm="1">
        <f t="array" ref="AM117">_xlfn.LET(
  _xlpm.K, Constantes!$B$3,
  _xlpm.Knewgain, Constantes!$B$4,
  _xlpm.Knewscale, Constantes!$B$5,
  _xlpm.ptstables, INDEX(AM:AM, _xlfn.SEQUENCE(COUNTA($C$2:$C117), 1, 3, 4)),
  _xlpm.nbparties, COUNTA(_xlfn._xlws.FILTER(_xlpm.ptstables, _xlpm.ptstables &lt;&gt; "")),
  _xlpm.coef, _xlpm.K + _xlpm.Knewgain / (_xlpm.Knewscale + _xlpm.nbparties),
  IF(AM115="",
    "",
    _xlpm.coef * (AM115-AM116))
)</f>
        <v/>
      </c>
    </row>
    <row r="118" spans="1:39" x14ac:dyDescent="0.25">
      <c r="A118" t="s">
        <v>14</v>
      </c>
      <c r="B118" t="str" cm="1">
        <f t="array" ref="B11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31</v>
      </c>
      <c r="C118" s="2" cm="1">
        <f t="array" ref="C118">IF(B118="","",
  INDEX(Donnees!F:F, MATCH(B118, Donnees!F:F, 0)+1))</f>
        <v>45920.93105324074</v>
      </c>
      <c r="D118">
        <f t="shared" ref="D118:AM118" si="37">D114+IF(D117="",0,D117)</f>
        <v>1093.2481344372964</v>
      </c>
      <c r="E118">
        <f t="shared" si="37"/>
        <v>1133.4978966826955</v>
      </c>
      <c r="F118">
        <f t="shared" si="37"/>
        <v>908.83204631618707</v>
      </c>
      <c r="G118">
        <f t="shared" si="37"/>
        <v>975.10975952569402</v>
      </c>
      <c r="H118">
        <f t="shared" si="37"/>
        <v>1003.9363115286845</v>
      </c>
      <c r="I118">
        <f t="shared" si="37"/>
        <v>1056.8165036600865</v>
      </c>
      <c r="J118">
        <f t="shared" si="37"/>
        <v>938.49433816478961</v>
      </c>
      <c r="K118">
        <f t="shared" si="37"/>
        <v>907.51653081539087</v>
      </c>
      <c r="L118">
        <f t="shared" si="37"/>
        <v>833.43137648430843</v>
      </c>
      <c r="M118">
        <f t="shared" si="37"/>
        <v>913.41986361738122</v>
      </c>
      <c r="N118">
        <f t="shared" si="37"/>
        <v>924.41787774469185</v>
      </c>
      <c r="O118">
        <f t="shared" si="37"/>
        <v>1030.4363831507294</v>
      </c>
      <c r="P118">
        <f t="shared" si="37"/>
        <v>1002.4441049980445</v>
      </c>
      <c r="Q118">
        <f t="shared" si="37"/>
        <v>1053.621497353671</v>
      </c>
      <c r="R118">
        <f t="shared" si="37"/>
        <v>1127.3039385986251</v>
      </c>
      <c r="S118">
        <f t="shared" si="37"/>
        <v>966.5830154691273</v>
      </c>
      <c r="T118">
        <f t="shared" si="37"/>
        <v>1135.2782658680615</v>
      </c>
      <c r="U118">
        <f t="shared" si="37"/>
        <v>1041.0427483736337</v>
      </c>
      <c r="V118">
        <f t="shared" si="37"/>
        <v>961.58818235691967</v>
      </c>
      <c r="W118">
        <f t="shared" si="37"/>
        <v>936.79085942937002</v>
      </c>
      <c r="X118">
        <f t="shared" si="37"/>
        <v>852.21441493405962</v>
      </c>
      <c r="Y118">
        <f t="shared" si="37"/>
        <v>1037.8563665662507</v>
      </c>
      <c r="Z118">
        <f t="shared" si="37"/>
        <v>991.11904139672549</v>
      </c>
      <c r="AA118">
        <f t="shared" si="37"/>
        <v>980.56756855165884</v>
      </c>
      <c r="AB118">
        <f t="shared" si="37"/>
        <v>918.05938792585061</v>
      </c>
      <c r="AC118">
        <f t="shared" si="37"/>
        <v>1032.51</v>
      </c>
      <c r="AD118">
        <f t="shared" si="37"/>
        <v>974.01499999999999</v>
      </c>
      <c r="AE118">
        <f t="shared" si="37"/>
        <v>1011.415</v>
      </c>
      <c r="AF118">
        <f t="shared" si="37"/>
        <v>1031.1199999999999</v>
      </c>
      <c r="AG118">
        <f t="shared" si="37"/>
        <v>1001.0350000000001</v>
      </c>
      <c r="AH118">
        <f t="shared" si="37"/>
        <v>994.44</v>
      </c>
      <c r="AI118">
        <f t="shared" si="37"/>
        <v>1000</v>
      </c>
      <c r="AJ118">
        <f t="shared" si="37"/>
        <v>957.2</v>
      </c>
      <c r="AK118">
        <f t="shared" si="37"/>
        <v>1000</v>
      </c>
      <c r="AL118">
        <f t="shared" si="37"/>
        <v>1055.9299999999998</v>
      </c>
      <c r="AM118">
        <f t="shared" si="37"/>
        <v>1000</v>
      </c>
    </row>
    <row r="119" spans="1:39" x14ac:dyDescent="0.25">
      <c r="A119" t="s">
        <v>21</v>
      </c>
      <c r="D119" t="str" cm="1">
        <f t="array" ref="D119">IFERROR(
  _xlfn.LET(
    _xlpm.ligpartie, MATCH($B118, Donnees!$F:$F, 0),
    _xlpm.joueurs, INDEX(Donnees!$A:$Z, _xlpm.ligpartie+1, _xlfn.SEQUENCE(1, 4, 2)),
    INDEX(
      Donnees!$A:$Z,
      _xlpm.ligpartie + 3,
      MATCH(D$1, _xlpm.joueurs, 0) + 1
    )
  ), ""
)</f>
        <v/>
      </c>
      <c r="E119" cm="1">
        <f t="array" ref="E119">IFERROR(
  _xlfn.LET(
    _xlpm.ligpartie, MATCH($B118, Donnees!$F:$F, 0),
    _xlpm.joueurs, INDEX(Donnees!$A:$Z, _xlpm.ligpartie+1, _xlfn.SEQUENCE(1, 4, 2)),
    INDEX(
      Donnees!$A:$Z,
      _xlpm.ligpartie + 3,
      MATCH(E$1, _xlpm.joueurs, 0) + 1
    )
  ), ""
)</f>
        <v>1</v>
      </c>
      <c r="F119" t="str" cm="1">
        <f t="array" ref="F119">IFERROR(
  _xlfn.LET(
    _xlpm.ligpartie, MATCH($B118, Donnees!$F:$F, 0),
    _xlpm.joueurs, INDEX(Donnees!$A:$Z, _xlpm.ligpartie+1, _xlfn.SEQUENCE(1, 4, 2)),
    INDEX(
      Donnees!$A:$Z,
      _xlpm.ligpartie + 3,
      MATCH(F$1, _xlpm.joueurs, 0) + 1
    )
  ), ""
)</f>
        <v/>
      </c>
      <c r="G119" t="str" cm="1">
        <f t="array" ref="G119">IFERROR(
  _xlfn.LET(
    _xlpm.ligpartie, MATCH($B118, Donnees!$F:$F, 0),
    _xlpm.joueurs, INDEX(Donnees!$A:$Z, _xlpm.ligpartie+1, _xlfn.SEQUENCE(1, 4, 2)),
    INDEX(
      Donnees!$A:$Z,
      _xlpm.ligpartie + 3,
      MATCH(G$1, _xlpm.joueurs, 0) + 1
    )
  ), ""
)</f>
        <v/>
      </c>
      <c r="H119" cm="1">
        <f t="array" ref="H119">IFERROR(
  _xlfn.LET(
    _xlpm.ligpartie, MATCH($B118, Donnees!$F:$F, 0),
    _xlpm.joueurs, INDEX(Donnees!$A:$Z, _xlpm.ligpartie+1, _xlfn.SEQUENCE(1, 4, 2)),
    INDEX(
      Donnees!$A:$Z,
      _xlpm.ligpartie + 3,
      MATCH(H$1, _xlpm.joueurs, 0) + 1
    )
  ), ""
)</f>
        <v>3</v>
      </c>
      <c r="I119" t="str" cm="1">
        <f t="array" ref="I119">IFERROR(
  _xlfn.LET(
    _xlpm.ligpartie, MATCH($B118, Donnees!$F:$F, 0),
    _xlpm.joueurs, INDEX(Donnees!$A:$Z, _xlpm.ligpartie+1, _xlfn.SEQUENCE(1, 4, 2)),
    INDEX(
      Donnees!$A:$Z,
      _xlpm.ligpartie + 3,
      MATCH(I$1, _xlpm.joueurs, 0) + 1
    )
  ), ""
)</f>
        <v/>
      </c>
      <c r="J119" t="str" cm="1">
        <f t="array" ref="J119">IFERROR(
  _xlfn.LET(
    _xlpm.ligpartie, MATCH($B118, Donnees!$F:$F, 0),
    _xlpm.joueurs, INDEX(Donnees!$A:$Z, _xlpm.ligpartie+1, _xlfn.SEQUENCE(1, 4, 2)),
    INDEX(
      Donnees!$A:$Z,
      _xlpm.ligpartie + 3,
      MATCH(J$1, _xlpm.joueurs, 0) + 1
    )
  ), ""
)</f>
        <v/>
      </c>
      <c r="K119" t="str" cm="1">
        <f t="array" ref="K119">IFERROR(
  _xlfn.LET(
    _xlpm.ligpartie, MATCH($B118, Donnees!$F:$F, 0),
    _xlpm.joueurs, INDEX(Donnees!$A:$Z, _xlpm.ligpartie+1, _xlfn.SEQUENCE(1, 4, 2)),
    INDEX(
      Donnees!$A:$Z,
      _xlpm.ligpartie + 3,
      MATCH(K$1, _xlpm.joueurs, 0) + 1
    )
  ), ""
)</f>
        <v/>
      </c>
      <c r="L119" t="str" cm="1">
        <f t="array" ref="L119">IFERROR(
  _xlfn.LET(
    _xlpm.ligpartie, MATCH($B118, Donnees!$F:$F, 0),
    _xlpm.joueurs, INDEX(Donnees!$A:$Z, _xlpm.ligpartie+1, _xlfn.SEQUENCE(1, 4, 2)),
    INDEX(
      Donnees!$A:$Z,
      _xlpm.ligpartie + 3,
      MATCH(L$1, _xlpm.joueurs, 0) + 1
    )
  ), ""
)</f>
        <v/>
      </c>
      <c r="M119" t="str" cm="1">
        <f t="array" ref="M119">IFERROR(
  _xlfn.LET(
    _xlpm.ligpartie, MATCH($B118, Donnees!$F:$F, 0),
    _xlpm.joueurs, INDEX(Donnees!$A:$Z, _xlpm.ligpartie+1, _xlfn.SEQUENCE(1, 4, 2)),
    INDEX(
      Donnees!$A:$Z,
      _xlpm.ligpartie + 3,
      MATCH(M$1, _xlpm.joueurs, 0) + 1
    )
  ), ""
)</f>
        <v/>
      </c>
      <c r="N119" t="str" cm="1">
        <f t="array" ref="N119">IFERROR(
  _xlfn.LET(
    _xlpm.ligpartie, MATCH($B118, Donnees!$F:$F, 0),
    _xlpm.joueurs, INDEX(Donnees!$A:$Z, _xlpm.ligpartie+1, _xlfn.SEQUENCE(1, 4, 2)),
    INDEX(
      Donnees!$A:$Z,
      _xlpm.ligpartie + 3,
      MATCH(N$1, _xlpm.joueurs, 0) + 1
    )
  ), ""
)</f>
        <v/>
      </c>
      <c r="O119" t="str" cm="1">
        <f t="array" ref="O119">IFERROR(
  _xlfn.LET(
    _xlpm.ligpartie, MATCH($B118, Donnees!$F:$F, 0),
    _xlpm.joueurs, INDEX(Donnees!$A:$Z, _xlpm.ligpartie+1, _xlfn.SEQUENCE(1, 4, 2)),
    INDEX(
      Donnees!$A:$Z,
      _xlpm.ligpartie + 3,
      MATCH(O$1, _xlpm.joueurs, 0) + 1
    )
  ), ""
)</f>
        <v/>
      </c>
      <c r="P119" cm="1">
        <f t="array" ref="P119">IFERROR(
  _xlfn.LET(
    _xlpm.ligpartie, MATCH($B118, Donnees!$F:$F, 0),
    _xlpm.joueurs, INDEX(Donnees!$A:$Z, _xlpm.ligpartie+1, _xlfn.SEQUENCE(1, 4, 2)),
    INDEX(
      Donnees!$A:$Z,
      _xlpm.ligpartie + 3,
      MATCH(P$1, _xlpm.joueurs, 0) + 1
    )
  ), ""
)</f>
        <v>2</v>
      </c>
      <c r="Q119" t="str" cm="1">
        <f t="array" ref="Q119">IFERROR(
  _xlfn.LET(
    _xlpm.ligpartie, MATCH($B118, Donnees!$F:$F, 0),
    _xlpm.joueurs, INDEX(Donnees!$A:$Z, _xlpm.ligpartie+1, _xlfn.SEQUENCE(1, 4, 2)),
    INDEX(
      Donnees!$A:$Z,
      _xlpm.ligpartie + 3,
      MATCH(Q$1, _xlpm.joueurs, 0) + 1
    )
  ), ""
)</f>
        <v/>
      </c>
      <c r="R119" t="str" cm="1">
        <f t="array" ref="R119">IFERROR(
  _xlfn.LET(
    _xlpm.ligpartie, MATCH($B118, Donnees!$F:$F, 0),
    _xlpm.joueurs, INDEX(Donnees!$A:$Z, _xlpm.ligpartie+1, _xlfn.SEQUENCE(1, 4, 2)),
    INDEX(
      Donnees!$A:$Z,
      _xlpm.ligpartie + 3,
      MATCH(R$1, _xlpm.joueurs, 0) + 1
    )
  ), ""
)</f>
        <v/>
      </c>
      <c r="S119" t="str" cm="1">
        <f t="array" ref="S119">IFERROR(
  _xlfn.LET(
    _xlpm.ligpartie, MATCH($B118, Donnees!$F:$F, 0),
    _xlpm.joueurs, INDEX(Donnees!$A:$Z, _xlpm.ligpartie+1, _xlfn.SEQUENCE(1, 4, 2)),
    INDEX(
      Donnees!$A:$Z,
      _xlpm.ligpartie + 3,
      MATCH(S$1, _xlpm.joueurs, 0) + 1
    )
  ), ""
)</f>
        <v/>
      </c>
      <c r="T119" t="str" cm="1">
        <f t="array" ref="T119">IFERROR(
  _xlfn.LET(
    _xlpm.ligpartie, MATCH($B118, Donnees!$F:$F, 0),
    _xlpm.joueurs, INDEX(Donnees!$A:$Z, _xlpm.ligpartie+1, _xlfn.SEQUENCE(1, 4, 2)),
    INDEX(
      Donnees!$A:$Z,
      _xlpm.ligpartie + 3,
      MATCH(T$1, _xlpm.joueurs, 0) + 1
    )
  ), ""
)</f>
        <v/>
      </c>
      <c r="U119" t="str" cm="1">
        <f t="array" ref="U119">IFERROR(
  _xlfn.LET(
    _xlpm.ligpartie, MATCH($B118, Donnees!$F:$F, 0),
    _xlpm.joueurs, INDEX(Donnees!$A:$Z, _xlpm.ligpartie+1, _xlfn.SEQUENCE(1, 4, 2)),
    INDEX(
      Donnees!$A:$Z,
      _xlpm.ligpartie + 3,
      MATCH(U$1, _xlpm.joueurs, 0) + 1
    )
  ), ""
)</f>
        <v/>
      </c>
      <c r="V119" t="str" cm="1">
        <f t="array" ref="V119">IFERROR(
  _xlfn.LET(
    _xlpm.ligpartie, MATCH($B118, Donnees!$F:$F, 0),
    _xlpm.joueurs, INDEX(Donnees!$A:$Z, _xlpm.ligpartie+1, _xlfn.SEQUENCE(1, 4, 2)),
    INDEX(
      Donnees!$A:$Z,
      _xlpm.ligpartie + 3,
      MATCH(V$1, _xlpm.joueurs, 0) + 1
    )
  ), ""
)</f>
        <v/>
      </c>
      <c r="W119" t="str" cm="1">
        <f t="array" ref="W119">IFERROR(
  _xlfn.LET(
    _xlpm.ligpartie, MATCH($B118, Donnees!$F:$F, 0),
    _xlpm.joueurs, INDEX(Donnees!$A:$Z, _xlpm.ligpartie+1, _xlfn.SEQUENCE(1, 4, 2)),
    INDEX(
      Donnees!$A:$Z,
      _xlpm.ligpartie + 3,
      MATCH(W$1, _xlpm.joueurs, 0) + 1
    )
  ), ""
)</f>
        <v/>
      </c>
      <c r="X119" cm="1">
        <f t="array" ref="X119">IFERROR(
  _xlfn.LET(
    _xlpm.ligpartie, MATCH($B118, Donnees!$F:$F, 0),
    _xlpm.joueurs, INDEX(Donnees!$A:$Z, _xlpm.ligpartie+1, _xlfn.SEQUENCE(1, 4, 2)),
    INDEX(
      Donnees!$A:$Z,
      _xlpm.ligpartie + 3,
      MATCH(X$1, _xlpm.joueurs, 0) + 1
    )
  ), ""
)</f>
        <v>0</v>
      </c>
      <c r="Y119" t="str" cm="1">
        <f t="array" ref="Y119">IFERROR(
  _xlfn.LET(
    _xlpm.ligpartie, MATCH($B118, Donnees!$F:$F, 0),
    _xlpm.joueurs, INDEX(Donnees!$A:$Z, _xlpm.ligpartie+1, _xlfn.SEQUENCE(1, 4, 2)),
    INDEX(
      Donnees!$A:$Z,
      _xlpm.ligpartie + 3,
      MATCH(Y$1, _xlpm.joueurs, 0) + 1
    )
  ), ""
)</f>
        <v/>
      </c>
      <c r="Z119" t="str" cm="1">
        <f t="array" ref="Z119">IFERROR(
  _xlfn.LET(
    _xlpm.ligpartie, MATCH($B118, Donnees!$F:$F, 0),
    _xlpm.joueurs, INDEX(Donnees!$A:$Z, _xlpm.ligpartie+1, _xlfn.SEQUENCE(1, 4, 2)),
    INDEX(
      Donnees!$A:$Z,
      _xlpm.ligpartie + 3,
      MATCH(Z$1, _xlpm.joueurs, 0) + 1
    )
  ), ""
)</f>
        <v/>
      </c>
      <c r="AA119" t="str" cm="1">
        <f t="array" ref="AA119">IFERROR(
  _xlfn.LET(
    _xlpm.ligpartie, MATCH($B118, Donnees!$F:$F, 0),
    _xlpm.joueurs, INDEX(Donnees!$A:$Z, _xlpm.ligpartie+1, _xlfn.SEQUENCE(1, 4, 2)),
    INDEX(
      Donnees!$A:$Z,
      _xlpm.ligpartie + 3,
      MATCH(AA$1, _xlpm.joueurs, 0) + 1
    )
  ), ""
)</f>
        <v/>
      </c>
      <c r="AB119" t="str" cm="1">
        <f t="array" ref="AB119">IFERROR(
  _xlfn.LET(
    _xlpm.ligpartie, MATCH($B118, Donnees!$F:$F, 0),
    _xlpm.joueurs, INDEX(Donnees!$A:$Z, _xlpm.ligpartie+1, _xlfn.SEQUENCE(1, 4, 2)),
    INDEX(
      Donnees!$A:$Z,
      _xlpm.ligpartie + 3,
      MATCH(AB$1, _xlpm.joueurs, 0) + 1
    )
  ), ""
)</f>
        <v/>
      </c>
      <c r="AC119" t="str" cm="1">
        <f t="array" ref="AC119">IFERROR(
  _xlfn.LET(
    _xlpm.ligpartie, MATCH($B118, Donnees!$F:$F, 0),
    _xlpm.joueurs, INDEX(Donnees!$A:$Z, _xlpm.ligpartie+1, _xlfn.SEQUENCE(1, 4, 2)),
    INDEX(
      Donnees!$A:$Z,
      _xlpm.ligpartie + 3,
      MATCH(AC$1, _xlpm.joueurs, 0) + 1
    )
  ), ""
)</f>
        <v/>
      </c>
      <c r="AD119" t="str" cm="1">
        <f t="array" ref="AD119">IFERROR(
  _xlfn.LET(
    _xlpm.ligpartie, MATCH($B118, Donnees!$F:$F, 0),
    _xlpm.joueurs, INDEX(Donnees!$A:$Z, _xlpm.ligpartie+1, _xlfn.SEQUENCE(1, 4, 2)),
    INDEX(
      Donnees!$A:$Z,
      _xlpm.ligpartie + 3,
      MATCH(AD$1, _xlpm.joueurs, 0) + 1
    )
  ), ""
)</f>
        <v/>
      </c>
      <c r="AE119" t="str" cm="1">
        <f t="array" ref="AE119">IFERROR(
  _xlfn.LET(
    _xlpm.ligpartie, MATCH($B118, Donnees!$F:$F, 0),
    _xlpm.joueurs, INDEX(Donnees!$A:$Z, _xlpm.ligpartie+1, _xlfn.SEQUENCE(1, 4, 2)),
    INDEX(
      Donnees!$A:$Z,
      _xlpm.ligpartie + 3,
      MATCH(AE$1, _xlpm.joueurs, 0) + 1
    )
  ), ""
)</f>
        <v/>
      </c>
      <c r="AF119" t="str" cm="1">
        <f t="array" ref="AF119">IFERROR(
  _xlfn.LET(
    _xlpm.ligpartie, MATCH($B118, Donnees!$F:$F, 0),
    _xlpm.joueurs, INDEX(Donnees!$A:$Z, _xlpm.ligpartie+1, _xlfn.SEQUENCE(1, 4, 2)),
    INDEX(
      Donnees!$A:$Z,
      _xlpm.ligpartie + 3,
      MATCH(AF$1, _xlpm.joueurs, 0) + 1
    )
  ), ""
)</f>
        <v/>
      </c>
      <c r="AG119" t="str" cm="1">
        <f t="array" ref="AG119">IFERROR(
  _xlfn.LET(
    _xlpm.ligpartie, MATCH($B118, Donnees!$F:$F, 0),
    _xlpm.joueurs, INDEX(Donnees!$A:$Z, _xlpm.ligpartie+1, _xlfn.SEQUENCE(1, 4, 2)),
    INDEX(
      Donnees!$A:$Z,
      _xlpm.ligpartie + 3,
      MATCH(AG$1, _xlpm.joueurs, 0) + 1
    )
  ), ""
)</f>
        <v/>
      </c>
      <c r="AH119" t="str" cm="1">
        <f t="array" ref="AH119">IFERROR(
  _xlfn.LET(
    _xlpm.ligpartie, MATCH($B118, Donnees!$F:$F, 0),
    _xlpm.joueurs, INDEX(Donnees!$A:$Z, _xlpm.ligpartie+1, _xlfn.SEQUENCE(1, 4, 2)),
    INDEX(
      Donnees!$A:$Z,
      _xlpm.ligpartie + 3,
      MATCH(AH$1, _xlpm.joueurs, 0) + 1
    )
  ), ""
)</f>
        <v/>
      </c>
      <c r="AI119" t="str" cm="1">
        <f t="array" ref="AI119">IFERROR(
  _xlfn.LET(
    _xlpm.ligpartie, MATCH($B118, Donnees!$F:$F, 0),
    _xlpm.joueurs, INDEX(Donnees!$A:$Z, _xlpm.ligpartie+1, _xlfn.SEQUENCE(1, 4, 2)),
    INDEX(
      Donnees!$A:$Z,
      _xlpm.ligpartie + 3,
      MATCH(AI$1, _xlpm.joueurs, 0) + 1
    )
  ), ""
)</f>
        <v/>
      </c>
      <c r="AJ119" t="str" cm="1">
        <f t="array" ref="AJ119">IFERROR(
  _xlfn.LET(
    _xlpm.ligpartie, MATCH($B118, Donnees!$F:$F, 0),
    _xlpm.joueurs, INDEX(Donnees!$A:$Z, _xlpm.ligpartie+1, _xlfn.SEQUENCE(1, 4, 2)),
    INDEX(
      Donnees!$A:$Z,
      _xlpm.ligpartie + 3,
      MATCH(AJ$1, _xlpm.joueurs, 0) + 1
    )
  ), ""
)</f>
        <v/>
      </c>
      <c r="AK119" t="str" cm="1">
        <f t="array" ref="AK119">IFERROR(
  _xlfn.LET(
    _xlpm.ligpartie, MATCH($B118, Donnees!$F:$F, 0),
    _xlpm.joueurs, INDEX(Donnees!$A:$Z, _xlpm.ligpartie+1, _xlfn.SEQUENCE(1, 4, 2)),
    INDEX(
      Donnees!$A:$Z,
      _xlpm.ligpartie + 3,
      MATCH(AK$1, _xlpm.joueurs, 0) + 1
    )
  ), ""
)</f>
        <v/>
      </c>
      <c r="AL119" t="str" cm="1">
        <f t="array" ref="AL119">IFERROR(
  _xlfn.LET(
    _xlpm.ligpartie, MATCH($B118, Donnees!$F:$F, 0),
    _xlpm.joueurs, INDEX(Donnees!$A:$Z, _xlpm.ligpartie+1, _xlfn.SEQUENCE(1, 4, 2)),
    INDEX(
      Donnees!$A:$Z,
      _xlpm.ligpartie + 3,
      MATCH(AL$1, _xlpm.joueurs, 0) + 1
    )
  ), ""
)</f>
        <v/>
      </c>
      <c r="AM119" t="str" cm="1">
        <f t="array" ref="AM119">IFERROR(
  _xlfn.LET(
    _xlpm.ligpartie, MATCH($B118, Donnees!$F:$F, 0),
    _xlpm.joueurs, INDEX(Donnees!$A:$Z, _xlpm.ligpartie+1, _xlfn.SEQUENCE(1, 4, 2)),
    INDEX(
      Donnees!$A:$Z,
      _xlpm.ligpartie + 3,
      MATCH(AM$1, _xlpm.joueurs, 0) + 1
    )
  ), ""
)</f>
        <v/>
      </c>
    </row>
    <row r="120" spans="1:39" x14ac:dyDescent="0.25">
      <c r="A120" t="s">
        <v>20</v>
      </c>
      <c r="D120" t="str" cm="1">
        <f t="array" ref="D120">_xlfn.LET(
  _xlpm.colj, _xlfn._xlws.FILTER(IF(ISNUMBER(119:119), COLUMN(119:119)), ISNUMBER(119:119)),
  _xlpm.elos, INDEX(118:118,1,_xlpm.colj),
  _xlpm.diffscale, Constantes!$B$2,
  IF(D119="",
    "",
    SUM(1/(1+POWER(10,-(D118-_xlpm.elos)/_xlpm.diffscale)))-0.5)
)</f>
        <v/>
      </c>
      <c r="E120" cm="1">
        <f t="array" ref="E120">_xlfn.LET(
  _xlpm.colj, _xlfn._xlws.FILTER(IF(ISNUMBER(119:119), COLUMN(119:119)), ISNUMBER(119:119)),
  _xlpm.elos, INDEX(118:118,1,_xlpm.colj),
  _xlpm.diffscale, Constantes!$B$2,
  IF(E119="",
    "",
    SUM(1/(1+POWER(10,-(E118-_xlpm.elos)/_xlpm.diffscale)))-0.5)
)</f>
        <v>2.1930889609736113</v>
      </c>
      <c r="F120" t="str" cm="1">
        <f t="array" ref="F120">_xlfn.LET(
  _xlpm.colj, _xlfn._xlws.FILTER(IF(ISNUMBER(119:119), COLUMN(119:119)), ISNUMBER(119:119)),
  _xlpm.elos, INDEX(118:118,1,_xlpm.colj),
  _xlpm.diffscale, Constantes!$B$2,
  IF(F119="",
    "",
    SUM(1/(1+POWER(10,-(F118-_xlpm.elos)/_xlpm.diffscale)))-0.5)
)</f>
        <v/>
      </c>
      <c r="G120" t="str" cm="1">
        <f t="array" ref="G120">_xlfn.LET(
  _xlpm.colj, _xlfn._xlws.FILTER(IF(ISNUMBER(119:119), COLUMN(119:119)), ISNUMBER(119:119)),
  _xlpm.elos, INDEX(118:118,1,_xlpm.colj),
  _xlpm.diffscale, Constantes!$B$2,
  IF(G119="",
    "",
    SUM(1/(1+POWER(10,-(G118-_xlpm.elos)/_xlpm.diffscale)))-0.5)
)</f>
        <v/>
      </c>
      <c r="H120" cm="1">
        <f t="array" ref="H120">_xlfn.LET(
  _xlpm.colj, _xlfn._xlws.FILTER(IF(ISNUMBER(119:119), COLUMN(119:119)), ISNUMBER(119:119)),
  _xlpm.elos, INDEX(118:118,1,_xlpm.colj),
  _xlpm.diffscale, Constantes!$B$2,
  IF(H119="",
    "",
    SUM(1/(1+POWER(10,-(H118-_xlpm.elos)/_xlpm.diffscale)))-0.5)
)</f>
        <v>1.5293298240655897</v>
      </c>
      <c r="I120" t="str" cm="1">
        <f t="array" ref="I120">_xlfn.LET(
  _xlpm.colj, _xlfn._xlws.FILTER(IF(ISNUMBER(119:119), COLUMN(119:119)), ISNUMBER(119:119)),
  _xlpm.elos, INDEX(118:118,1,_xlpm.colj),
  _xlpm.diffscale, Constantes!$B$2,
  IF(I119="",
    "",
    SUM(1/(1+POWER(10,-(I118-_xlpm.elos)/_xlpm.diffscale)))-0.5)
)</f>
        <v/>
      </c>
      <c r="J120" t="str" cm="1">
        <f t="array" ref="J120">_xlfn.LET(
  _xlpm.colj, _xlfn._xlws.FILTER(IF(ISNUMBER(119:119), COLUMN(119:119)), ISNUMBER(119:119)),
  _xlpm.elos, INDEX(118:118,1,_xlpm.colj),
  _xlpm.diffscale, Constantes!$B$2,
  IF(J119="",
    "",
    SUM(1/(1+POWER(10,-(J118-_xlpm.elos)/_xlpm.diffscale)))-0.5)
)</f>
        <v/>
      </c>
      <c r="K120" t="str" cm="1">
        <f t="array" ref="K120">_xlfn.LET(
  _xlpm.colj, _xlfn._xlws.FILTER(IF(ISNUMBER(119:119), COLUMN(119:119)), ISNUMBER(119:119)),
  _xlpm.elos, INDEX(118:118,1,_xlpm.colj),
  _xlpm.diffscale, Constantes!$B$2,
  IF(K119="",
    "",
    SUM(1/(1+POWER(10,-(K118-_xlpm.elos)/_xlpm.diffscale)))-0.5)
)</f>
        <v/>
      </c>
      <c r="L120" t="str" cm="1">
        <f t="array" ref="L120">_xlfn.LET(
  _xlpm.colj, _xlfn._xlws.FILTER(IF(ISNUMBER(119:119), COLUMN(119:119)), ISNUMBER(119:119)),
  _xlpm.elos, INDEX(118:118,1,_xlpm.colj),
  _xlpm.diffscale, Constantes!$B$2,
  IF(L119="",
    "",
    SUM(1/(1+POWER(10,-(L118-_xlpm.elos)/_xlpm.diffscale)))-0.5)
)</f>
        <v/>
      </c>
      <c r="M120" t="str" cm="1">
        <f t="array" ref="M120">_xlfn.LET(
  _xlpm.colj, _xlfn._xlws.FILTER(IF(ISNUMBER(119:119), COLUMN(119:119)), ISNUMBER(119:119)),
  _xlpm.elos, INDEX(118:118,1,_xlpm.colj),
  _xlpm.diffscale, Constantes!$B$2,
  IF(M119="",
    "",
    SUM(1/(1+POWER(10,-(M118-_xlpm.elos)/_xlpm.diffscale)))-0.5)
)</f>
        <v/>
      </c>
      <c r="N120" t="str" cm="1">
        <f t="array" ref="N120">_xlfn.LET(
  _xlpm.colj, _xlfn._xlws.FILTER(IF(ISNUMBER(119:119), COLUMN(119:119)), ISNUMBER(119:119)),
  _xlpm.elos, INDEX(118:118,1,_xlpm.colj),
  _xlpm.diffscale, Constantes!$B$2,
  IF(N119="",
    "",
    SUM(1/(1+POWER(10,-(N118-_xlpm.elos)/_xlpm.diffscale)))-0.5)
)</f>
        <v/>
      </c>
      <c r="O120" t="str" cm="1">
        <f t="array" ref="O120">_xlfn.LET(
  _xlpm.colj, _xlfn._xlws.FILTER(IF(ISNUMBER(119:119), COLUMN(119:119)), ISNUMBER(119:119)),
  _xlpm.elos, INDEX(118:118,1,_xlpm.colj),
  _xlpm.diffscale, Constantes!$B$2,
  IF(O119="",
    "",
    SUM(1/(1+POWER(10,-(O118-_xlpm.elos)/_xlpm.diffscale)))-0.5)
)</f>
        <v/>
      </c>
      <c r="P120" cm="1">
        <f t="array" ref="P120">_xlfn.LET(
  _xlpm.colj, _xlfn._xlws.FILTER(IF(ISNUMBER(119:119), COLUMN(119:119)), ISNUMBER(119:119)),
  _xlpm.elos, INDEX(118:118,1,_xlpm.colj),
  _xlpm.diffscale, Constantes!$B$2,
  IF(P119="",
    "",
    SUM(1/(1+POWER(10,-(P118-_xlpm.elos)/_xlpm.diffscale)))-0.5)
)</f>
        <v>1.5213752978175163</v>
      </c>
      <c r="Q120" t="str" cm="1">
        <f t="array" ref="Q120">_xlfn.LET(
  _xlpm.colj, _xlfn._xlws.FILTER(IF(ISNUMBER(119:119), COLUMN(119:119)), ISNUMBER(119:119)),
  _xlpm.elos, INDEX(118:118,1,_xlpm.colj),
  _xlpm.diffscale, Constantes!$B$2,
  IF(Q119="",
    "",
    SUM(1/(1+POWER(10,-(Q118-_xlpm.elos)/_xlpm.diffscale)))-0.5)
)</f>
        <v/>
      </c>
      <c r="R120" t="str" cm="1">
        <f t="array" ref="R120">_xlfn.LET(
  _xlpm.colj, _xlfn._xlws.FILTER(IF(ISNUMBER(119:119), COLUMN(119:119)), ISNUMBER(119:119)),
  _xlpm.elos, INDEX(118:118,1,_xlpm.colj),
  _xlpm.diffscale, Constantes!$B$2,
  IF(R119="",
    "",
    SUM(1/(1+POWER(10,-(R118-_xlpm.elos)/_xlpm.diffscale)))-0.5)
)</f>
        <v/>
      </c>
      <c r="S120" t="str" cm="1">
        <f t="array" ref="S120">_xlfn.LET(
  _xlpm.colj, _xlfn._xlws.FILTER(IF(ISNUMBER(119:119), COLUMN(119:119)), ISNUMBER(119:119)),
  _xlpm.elos, INDEX(118:118,1,_xlpm.colj),
  _xlpm.diffscale, Constantes!$B$2,
  IF(S119="",
    "",
    SUM(1/(1+POWER(10,-(S118-_xlpm.elos)/_xlpm.diffscale)))-0.5)
)</f>
        <v/>
      </c>
      <c r="T120" t="str" cm="1">
        <f t="array" ref="T120">_xlfn.LET(
  _xlpm.colj, _xlfn._xlws.FILTER(IF(ISNUMBER(119:119), COLUMN(119:119)), ISNUMBER(119:119)),
  _xlpm.elos, INDEX(118:118,1,_xlpm.colj),
  _xlpm.diffscale, Constantes!$B$2,
  IF(T119="",
    "",
    SUM(1/(1+POWER(10,-(T118-_xlpm.elos)/_xlpm.diffscale)))-0.5)
)</f>
        <v/>
      </c>
      <c r="U120" t="str" cm="1">
        <f t="array" ref="U120">_xlfn.LET(
  _xlpm.colj, _xlfn._xlws.FILTER(IF(ISNUMBER(119:119), COLUMN(119:119)), ISNUMBER(119:119)),
  _xlpm.elos, INDEX(118:118,1,_xlpm.colj),
  _xlpm.diffscale, Constantes!$B$2,
  IF(U119="",
    "",
    SUM(1/(1+POWER(10,-(U118-_xlpm.elos)/_xlpm.diffscale)))-0.5)
)</f>
        <v/>
      </c>
      <c r="V120" t="str" cm="1">
        <f t="array" ref="V120">_xlfn.LET(
  _xlpm.colj, _xlfn._xlws.FILTER(IF(ISNUMBER(119:119), COLUMN(119:119)), ISNUMBER(119:119)),
  _xlpm.elos, INDEX(118:118,1,_xlpm.colj),
  _xlpm.diffscale, Constantes!$B$2,
  IF(V119="",
    "",
    SUM(1/(1+POWER(10,-(V118-_xlpm.elos)/_xlpm.diffscale)))-0.5)
)</f>
        <v/>
      </c>
      <c r="W120" t="str" cm="1">
        <f t="array" ref="W120">_xlfn.LET(
  _xlpm.colj, _xlfn._xlws.FILTER(IF(ISNUMBER(119:119), COLUMN(119:119)), ISNUMBER(119:119)),
  _xlpm.elos, INDEX(118:118,1,_xlpm.colj),
  _xlpm.diffscale, Constantes!$B$2,
  IF(W119="",
    "",
    SUM(1/(1+POWER(10,-(W118-_xlpm.elos)/_xlpm.diffscale)))-0.5)
)</f>
        <v/>
      </c>
      <c r="X120" cm="1">
        <f t="array" ref="X120">_xlfn.LET(
  _xlpm.colj, _xlfn._xlws.FILTER(IF(ISNUMBER(119:119), COLUMN(119:119)), ISNUMBER(119:119)),
  _xlpm.elos, INDEX(118:118,1,_xlpm.colj),
  _xlpm.diffscale, Constantes!$B$2,
  IF(X119="",
    "",
    SUM(1/(1+POWER(10,-(X118-_xlpm.elos)/_xlpm.diffscale)))-0.5)
)</f>
        <v>0.75620591714328245</v>
      </c>
      <c r="Y120" t="str" cm="1">
        <f t="array" ref="Y120">_xlfn.LET(
  _xlpm.colj, _xlfn._xlws.FILTER(IF(ISNUMBER(119:119), COLUMN(119:119)), ISNUMBER(119:119)),
  _xlpm.elos, INDEX(118:118,1,_xlpm.colj),
  _xlpm.diffscale, Constantes!$B$2,
  IF(Y119="",
    "",
    SUM(1/(1+POWER(10,-(Y118-_xlpm.elos)/_xlpm.diffscale)))-0.5)
)</f>
        <v/>
      </c>
      <c r="Z120" t="str" cm="1">
        <f t="array" ref="Z120">_xlfn.LET(
  _xlpm.colj, _xlfn._xlws.FILTER(IF(ISNUMBER(119:119), COLUMN(119:119)), ISNUMBER(119:119)),
  _xlpm.elos, INDEX(118:118,1,_xlpm.colj),
  _xlpm.diffscale, Constantes!$B$2,
  IF(Z119="",
    "",
    SUM(1/(1+POWER(10,-(Z118-_xlpm.elos)/_xlpm.diffscale)))-0.5)
)</f>
        <v/>
      </c>
      <c r="AA120" t="str" cm="1">
        <f t="array" ref="AA120">_xlfn.LET(
  _xlpm.colj, _xlfn._xlws.FILTER(IF(ISNUMBER(119:119), COLUMN(119:119)), ISNUMBER(119:119)),
  _xlpm.elos, INDEX(118:118,1,_xlpm.colj),
  _xlpm.diffscale, Constantes!$B$2,
  IF(AA119="",
    "",
    SUM(1/(1+POWER(10,-(AA118-_xlpm.elos)/_xlpm.diffscale)))-0.5)
)</f>
        <v/>
      </c>
      <c r="AB120" t="str" cm="1">
        <f t="array" ref="AB120">_xlfn.LET(
  _xlpm.colj, _xlfn._xlws.FILTER(IF(ISNUMBER(119:119), COLUMN(119:119)), ISNUMBER(119:119)),
  _xlpm.elos, INDEX(118:118,1,_xlpm.colj),
  _xlpm.diffscale, Constantes!$B$2,
  IF(AB119="",
    "",
    SUM(1/(1+POWER(10,-(AB118-_xlpm.elos)/_xlpm.diffscale)))-0.5)
)</f>
        <v/>
      </c>
      <c r="AC120" t="str" cm="1">
        <f t="array" ref="AC120">_xlfn.LET(
  _xlpm.colj, _xlfn._xlws.FILTER(IF(ISNUMBER(119:119), COLUMN(119:119)), ISNUMBER(119:119)),
  _xlpm.elos, INDEX(118:118,1,_xlpm.colj),
  _xlpm.diffscale, Constantes!$B$2,
  IF(AC119="",
    "",
    SUM(1/(1+POWER(10,-(AC118-_xlpm.elos)/_xlpm.diffscale)))-0.5)
)</f>
        <v/>
      </c>
      <c r="AD120" t="str" cm="1">
        <f t="array" ref="AD120">_xlfn.LET(
  _xlpm.colj, _xlfn._xlws.FILTER(IF(ISNUMBER(119:119), COLUMN(119:119)), ISNUMBER(119:119)),
  _xlpm.elos, INDEX(118:118,1,_xlpm.colj),
  _xlpm.diffscale, Constantes!$B$2,
  IF(AD119="",
    "",
    SUM(1/(1+POWER(10,-(AD118-_xlpm.elos)/_xlpm.diffscale)))-0.5)
)</f>
        <v/>
      </c>
      <c r="AE120" t="str" cm="1">
        <f t="array" ref="AE120">_xlfn.LET(
  _xlpm.colj, _xlfn._xlws.FILTER(IF(ISNUMBER(119:119), COLUMN(119:119)), ISNUMBER(119:119)),
  _xlpm.elos, INDEX(118:118,1,_xlpm.colj),
  _xlpm.diffscale, Constantes!$B$2,
  IF(AE119="",
    "",
    SUM(1/(1+POWER(10,-(AE118-_xlpm.elos)/_xlpm.diffscale)))-0.5)
)</f>
        <v/>
      </c>
      <c r="AF120" t="str" cm="1">
        <f t="array" ref="AF120">_xlfn.LET(
  _xlpm.colj, _xlfn._xlws.FILTER(IF(ISNUMBER(119:119), COLUMN(119:119)), ISNUMBER(119:119)),
  _xlpm.elos, INDEX(118:118,1,_xlpm.colj),
  _xlpm.diffscale, Constantes!$B$2,
  IF(AF119="",
    "",
    SUM(1/(1+POWER(10,-(AF118-_xlpm.elos)/_xlpm.diffscale)))-0.5)
)</f>
        <v/>
      </c>
      <c r="AG120" t="str" cm="1">
        <f t="array" ref="AG120">_xlfn.LET(
  _xlpm.colj, _xlfn._xlws.FILTER(IF(ISNUMBER(119:119), COLUMN(119:119)), ISNUMBER(119:119)),
  _xlpm.elos, INDEX(118:118,1,_xlpm.colj),
  _xlpm.diffscale, Constantes!$B$2,
  IF(AG119="",
    "",
    SUM(1/(1+POWER(10,-(AG118-_xlpm.elos)/_xlpm.diffscale)))-0.5)
)</f>
        <v/>
      </c>
      <c r="AH120" t="str" cm="1">
        <f t="array" ref="AH120">_xlfn.LET(
  _xlpm.colj, _xlfn._xlws.FILTER(IF(ISNUMBER(119:119), COLUMN(119:119)), ISNUMBER(119:119)),
  _xlpm.elos, INDEX(118:118,1,_xlpm.colj),
  _xlpm.diffscale, Constantes!$B$2,
  IF(AH119="",
    "",
    SUM(1/(1+POWER(10,-(AH118-_xlpm.elos)/_xlpm.diffscale)))-0.5)
)</f>
        <v/>
      </c>
      <c r="AI120" t="str" cm="1">
        <f t="array" ref="AI120">_xlfn.LET(
  _xlpm.colj, _xlfn._xlws.FILTER(IF(ISNUMBER(119:119), COLUMN(119:119)), ISNUMBER(119:119)),
  _xlpm.elos, INDEX(118:118,1,_xlpm.colj),
  _xlpm.diffscale, Constantes!$B$2,
  IF(AI119="",
    "",
    SUM(1/(1+POWER(10,-(AI118-_xlpm.elos)/_xlpm.diffscale)))-0.5)
)</f>
        <v/>
      </c>
      <c r="AJ120" t="str" cm="1">
        <f t="array" ref="AJ120">_xlfn.LET(
  _xlpm.colj, _xlfn._xlws.FILTER(IF(ISNUMBER(119:119), COLUMN(119:119)), ISNUMBER(119:119)),
  _xlpm.elos, INDEX(118:118,1,_xlpm.colj),
  _xlpm.diffscale, Constantes!$B$2,
  IF(AJ119="",
    "",
    SUM(1/(1+POWER(10,-(AJ118-_xlpm.elos)/_xlpm.diffscale)))-0.5)
)</f>
        <v/>
      </c>
      <c r="AK120" t="str" cm="1">
        <f t="array" ref="AK120">_xlfn.LET(
  _xlpm.colj, _xlfn._xlws.FILTER(IF(ISNUMBER(119:119), COLUMN(119:119)), ISNUMBER(119:119)),
  _xlpm.elos, INDEX(118:118,1,_xlpm.colj),
  _xlpm.diffscale, Constantes!$B$2,
  IF(AK119="",
    "",
    SUM(1/(1+POWER(10,-(AK118-_xlpm.elos)/_xlpm.diffscale)))-0.5)
)</f>
        <v/>
      </c>
      <c r="AL120" t="str" cm="1">
        <f t="array" ref="AL120">_xlfn.LET(
  _xlpm.colj, _xlfn._xlws.FILTER(IF(ISNUMBER(119:119), COLUMN(119:119)), ISNUMBER(119:119)),
  _xlpm.elos, INDEX(118:118,1,_xlpm.colj),
  _xlpm.diffscale, Constantes!$B$2,
  IF(AL119="",
    "",
    SUM(1/(1+POWER(10,-(AL118-_xlpm.elos)/_xlpm.diffscale)))-0.5)
)</f>
        <v/>
      </c>
      <c r="AM120" t="str" cm="1">
        <f t="array" ref="AM120">_xlfn.LET(
  _xlpm.colj, _xlfn._xlws.FILTER(IF(ISNUMBER(119:119), COLUMN(119:119)), ISNUMBER(119:119)),
  _xlpm.elos, INDEX(118:118,1,_xlpm.colj),
  _xlpm.diffscale, Constantes!$B$2,
  IF(AM119="",
    "",
    SUM(1/(1+POWER(10,-(AM118-_xlpm.elos)/_xlpm.diffscale)))-0.5)
)</f>
        <v/>
      </c>
    </row>
    <row r="121" spans="1:39" x14ac:dyDescent="0.25">
      <c r="A121" t="s">
        <v>22</v>
      </c>
      <c r="D121" t="str" cm="1">
        <f t="array" ref="D121">_xlfn.LET(
  _xlpm.K, Constantes!$B$3,
  _xlpm.Knewgain, Constantes!$B$4,
  _xlpm.Knewscale, Constantes!$B$5,
  _xlpm.ptstables, INDEX(D:D, _xlfn.SEQUENCE(COUNTA($C$2:$C121), 1, 3, 4)),
  _xlpm.nbparties, COUNTA(_xlfn._xlws.FILTER(_xlpm.ptstables, _xlpm.ptstables &lt;&gt; "")),
  _xlpm.coef, _xlpm.K + _xlpm.Knewgain / (_xlpm.Knewscale + _xlpm.nbparties),
  IF(D119="",
    "",
    _xlpm.coef * (D119-D120))
)</f>
        <v/>
      </c>
      <c r="E121" cm="1">
        <f t="array" ref="E121">_xlfn.LET(
  _xlpm.K, Constantes!$B$3,
  _xlpm.Knewgain, Constantes!$B$4,
  _xlpm.Knewscale, Constantes!$B$5,
  _xlpm.ptstables, INDEX(E:E, _xlfn.SEQUENCE(COUNTA($C$2:$C121), 1, 3, 4)),
  _xlpm.nbparties, COUNTA(_xlfn._xlws.FILTER(_xlpm.ptstables, _xlpm.ptstables &lt;&gt; "")),
  _xlpm.coef, _xlpm.K + _xlpm.Knewgain / (_xlpm.Knewscale + _xlpm.nbparties),
  IF(E119="",
    "",
    _xlpm.coef * (E119-E120))
)</f>
        <v>-28.122811222949412</v>
      </c>
      <c r="F121" t="str" cm="1">
        <f t="array" ref="F121">_xlfn.LET(
  _xlpm.K, Constantes!$B$3,
  _xlpm.Knewgain, Constantes!$B$4,
  _xlpm.Knewscale, Constantes!$B$5,
  _xlpm.ptstables, INDEX(F:F, _xlfn.SEQUENCE(COUNTA($C$2:$C121), 1, 3, 4)),
  _xlpm.nbparties, COUNTA(_xlfn._xlws.FILTER(_xlpm.ptstables, _xlpm.ptstables &lt;&gt; "")),
  _xlpm.coef, _xlpm.K + _xlpm.Knewgain / (_xlpm.Knewscale + _xlpm.nbparties),
  IF(F119="",
    "",
    _xlpm.coef * (F119-F120))
)</f>
        <v/>
      </c>
      <c r="G121" t="str" cm="1">
        <f t="array" ref="G121">_xlfn.LET(
  _xlpm.K, Constantes!$B$3,
  _xlpm.Knewgain, Constantes!$B$4,
  _xlpm.Knewscale, Constantes!$B$5,
  _xlpm.ptstables, INDEX(G:G, _xlfn.SEQUENCE(COUNTA($C$2:$C121), 1, 3, 4)),
  _xlpm.nbparties, COUNTA(_xlfn._xlws.FILTER(_xlpm.ptstables, _xlpm.ptstables &lt;&gt; "")),
  _xlpm.coef, _xlpm.K + _xlpm.Knewgain / (_xlpm.Knewscale + _xlpm.nbparties),
  IF(G119="",
    "",
    _xlpm.coef * (G119-G120))
)</f>
        <v/>
      </c>
      <c r="H121" cm="1">
        <f t="array" ref="H121">_xlfn.LET(
  _xlpm.K, Constantes!$B$3,
  _xlpm.Knewgain, Constantes!$B$4,
  _xlpm.Knewscale, Constantes!$B$5,
  _xlpm.ptstables, INDEX(H:H, _xlfn.SEQUENCE(COUNTA($C$2:$C121), 1, 3, 4)),
  _xlpm.nbparties, COUNTA(_xlfn._xlws.FILTER(_xlpm.ptstables, _xlpm.ptstables &lt;&gt; "")),
  _xlpm.coef, _xlpm.K + _xlpm.Knewgain / (_xlpm.Knewscale + _xlpm.nbparties),
  IF(H119="",
    "",
    _xlpm.coef * (H119-H120))
)</f>
        <v>39.918190489648282</v>
      </c>
      <c r="I121" t="str" cm="1">
        <f t="array" ref="I121">_xlfn.LET(
  _xlpm.K, Constantes!$B$3,
  _xlpm.Knewgain, Constantes!$B$4,
  _xlpm.Knewscale, Constantes!$B$5,
  _xlpm.ptstables, INDEX(I:I, _xlfn.SEQUENCE(COUNTA($C$2:$C121), 1, 3, 4)),
  _xlpm.nbparties, COUNTA(_xlfn._xlws.FILTER(_xlpm.ptstables, _xlpm.ptstables &lt;&gt; "")),
  _xlpm.coef, _xlpm.K + _xlpm.Knewgain / (_xlpm.Knewscale + _xlpm.nbparties),
  IF(I119="",
    "",
    _xlpm.coef * (I119-I120))
)</f>
        <v/>
      </c>
      <c r="J121" t="str" cm="1">
        <f t="array" ref="J121">_xlfn.LET(
  _xlpm.K, Constantes!$B$3,
  _xlpm.Knewgain, Constantes!$B$4,
  _xlpm.Knewscale, Constantes!$B$5,
  _xlpm.ptstables, INDEX(J:J, _xlfn.SEQUENCE(COUNTA($C$2:$C121), 1, 3, 4)),
  _xlpm.nbparties, COUNTA(_xlfn._xlws.FILTER(_xlpm.ptstables, _xlpm.ptstables &lt;&gt; "")),
  _xlpm.coef, _xlpm.K + _xlpm.Knewgain / (_xlpm.Knewscale + _xlpm.nbparties),
  IF(J119="",
    "",
    _xlpm.coef * (J119-J120))
)</f>
        <v/>
      </c>
      <c r="K121" t="str" cm="1">
        <f t="array" ref="K121">_xlfn.LET(
  _xlpm.K, Constantes!$B$3,
  _xlpm.Knewgain, Constantes!$B$4,
  _xlpm.Knewscale, Constantes!$B$5,
  _xlpm.ptstables, INDEX(K:K, _xlfn.SEQUENCE(COUNTA($C$2:$C121), 1, 3, 4)),
  _xlpm.nbparties, COUNTA(_xlfn._xlws.FILTER(_xlpm.ptstables, _xlpm.ptstables &lt;&gt; "")),
  _xlpm.coef, _xlpm.K + _xlpm.Knewgain / (_xlpm.Knewscale + _xlpm.nbparties),
  IF(K119="",
    "",
    _xlpm.coef * (K119-K120))
)</f>
        <v/>
      </c>
      <c r="L121" t="str" cm="1">
        <f t="array" ref="L121">_xlfn.LET(
  _xlpm.K, Constantes!$B$3,
  _xlpm.Knewgain, Constantes!$B$4,
  _xlpm.Knewscale, Constantes!$B$5,
  _xlpm.ptstables, INDEX(L:L, _xlfn.SEQUENCE(COUNTA($C$2:$C121), 1, 3, 4)),
  _xlpm.nbparties, COUNTA(_xlfn._xlws.FILTER(_xlpm.ptstables, _xlpm.ptstables &lt;&gt; "")),
  _xlpm.coef, _xlpm.K + _xlpm.Knewgain / (_xlpm.Knewscale + _xlpm.nbparties),
  IF(L119="",
    "",
    _xlpm.coef * (L119-L120))
)</f>
        <v/>
      </c>
      <c r="M121" t="str" cm="1">
        <f t="array" ref="M121">_xlfn.LET(
  _xlpm.K, Constantes!$B$3,
  _xlpm.Knewgain, Constantes!$B$4,
  _xlpm.Knewscale, Constantes!$B$5,
  _xlpm.ptstables, INDEX(M:M, _xlfn.SEQUENCE(COUNTA($C$2:$C121), 1, 3, 4)),
  _xlpm.nbparties, COUNTA(_xlfn._xlws.FILTER(_xlpm.ptstables, _xlpm.ptstables &lt;&gt; "")),
  _xlpm.coef, _xlpm.K + _xlpm.Knewgain / (_xlpm.Knewscale + _xlpm.nbparties),
  IF(M119="",
    "",
    _xlpm.coef * (M119-M120))
)</f>
        <v/>
      </c>
      <c r="N121" t="str" cm="1">
        <f t="array" ref="N121">_xlfn.LET(
  _xlpm.K, Constantes!$B$3,
  _xlpm.Knewgain, Constantes!$B$4,
  _xlpm.Knewscale, Constantes!$B$5,
  _xlpm.ptstables, INDEX(N:N, _xlfn.SEQUENCE(COUNTA($C$2:$C121), 1, 3, 4)),
  _xlpm.nbparties, COUNTA(_xlfn._xlws.FILTER(_xlpm.ptstables, _xlpm.ptstables &lt;&gt; "")),
  _xlpm.coef, _xlpm.K + _xlpm.Knewgain / (_xlpm.Knewscale + _xlpm.nbparties),
  IF(N119="",
    "",
    _xlpm.coef * (N119-N120))
)</f>
        <v/>
      </c>
      <c r="O121" t="str" cm="1">
        <f t="array" ref="O121">_xlfn.LET(
  _xlpm.K, Constantes!$B$3,
  _xlpm.Knewgain, Constantes!$B$4,
  _xlpm.Knewscale, Constantes!$B$5,
  _xlpm.ptstables, INDEX(O:O, _xlfn.SEQUENCE(COUNTA($C$2:$C121), 1, 3, 4)),
  _xlpm.nbparties, COUNTA(_xlfn._xlws.FILTER(_xlpm.ptstables, _xlpm.ptstables &lt;&gt; "")),
  _xlpm.coef, _xlpm.K + _xlpm.Knewgain / (_xlpm.Knewscale + _xlpm.nbparties),
  IF(O119="",
    "",
    _xlpm.coef * (O119-O120))
)</f>
        <v/>
      </c>
      <c r="P121" cm="1">
        <f t="array" ref="P121">_xlfn.LET(
  _xlpm.K, Constantes!$B$3,
  _xlpm.Knewgain, Constantes!$B$4,
  _xlpm.Knewscale, Constantes!$B$5,
  _xlpm.ptstables, INDEX(P:P, _xlfn.SEQUENCE(COUNTA($C$2:$C121), 1, 3, 4)),
  _xlpm.nbparties, COUNTA(_xlfn._xlws.FILTER(_xlpm.ptstables, _xlpm.ptstables &lt;&gt; "")),
  _xlpm.coef, _xlpm.K + _xlpm.Knewgain / (_xlpm.Knewscale + _xlpm.nbparties),
  IF(P119="",
    "",
    _xlpm.coef * (P119-P120))
)</f>
        <v>12.991241916381698</v>
      </c>
      <c r="Q121" t="str" cm="1">
        <f t="array" ref="Q121">_xlfn.LET(
  _xlpm.K, Constantes!$B$3,
  _xlpm.Knewgain, Constantes!$B$4,
  _xlpm.Knewscale, Constantes!$B$5,
  _xlpm.ptstables, INDEX(Q:Q, _xlfn.SEQUENCE(COUNTA($C$2:$C121), 1, 3, 4)),
  _xlpm.nbparties, COUNTA(_xlfn._xlws.FILTER(_xlpm.ptstables, _xlpm.ptstables &lt;&gt; "")),
  _xlpm.coef, _xlpm.K + _xlpm.Knewgain / (_xlpm.Knewscale + _xlpm.nbparties),
  IF(Q119="",
    "",
    _xlpm.coef * (Q119-Q120))
)</f>
        <v/>
      </c>
      <c r="R121" t="str" cm="1">
        <f t="array" ref="R121">_xlfn.LET(
  _xlpm.K, Constantes!$B$3,
  _xlpm.Knewgain, Constantes!$B$4,
  _xlpm.Knewscale, Constantes!$B$5,
  _xlpm.ptstables, INDEX(R:R, _xlfn.SEQUENCE(COUNTA($C$2:$C121), 1, 3, 4)),
  _xlpm.nbparties, COUNTA(_xlfn._xlws.FILTER(_xlpm.ptstables, _xlpm.ptstables &lt;&gt; "")),
  _xlpm.coef, _xlpm.K + _xlpm.Knewgain / (_xlpm.Knewscale + _xlpm.nbparties),
  IF(R119="",
    "",
    _xlpm.coef * (R119-R120))
)</f>
        <v/>
      </c>
      <c r="S121" t="str" cm="1">
        <f t="array" ref="S121">_xlfn.LET(
  _xlpm.K, Constantes!$B$3,
  _xlpm.Knewgain, Constantes!$B$4,
  _xlpm.Knewscale, Constantes!$B$5,
  _xlpm.ptstables, INDEX(S:S, _xlfn.SEQUENCE(COUNTA($C$2:$C121), 1, 3, 4)),
  _xlpm.nbparties, COUNTA(_xlfn._xlws.FILTER(_xlpm.ptstables, _xlpm.ptstables &lt;&gt; "")),
  _xlpm.coef, _xlpm.K + _xlpm.Knewgain / (_xlpm.Knewscale + _xlpm.nbparties),
  IF(S119="",
    "",
    _xlpm.coef * (S119-S120))
)</f>
        <v/>
      </c>
      <c r="T121" t="str" cm="1">
        <f t="array" ref="T121">_xlfn.LET(
  _xlpm.K, Constantes!$B$3,
  _xlpm.Knewgain, Constantes!$B$4,
  _xlpm.Knewscale, Constantes!$B$5,
  _xlpm.ptstables, INDEX(T:T, _xlfn.SEQUENCE(COUNTA($C$2:$C121), 1, 3, 4)),
  _xlpm.nbparties, COUNTA(_xlfn._xlws.FILTER(_xlpm.ptstables, _xlpm.ptstables &lt;&gt; "")),
  _xlpm.coef, _xlpm.K + _xlpm.Knewgain / (_xlpm.Knewscale + _xlpm.nbparties),
  IF(T119="",
    "",
    _xlpm.coef * (T119-T120))
)</f>
        <v/>
      </c>
      <c r="U121" t="str" cm="1">
        <f t="array" ref="U121">_xlfn.LET(
  _xlpm.K, Constantes!$B$3,
  _xlpm.Knewgain, Constantes!$B$4,
  _xlpm.Knewscale, Constantes!$B$5,
  _xlpm.ptstables, INDEX(U:U, _xlfn.SEQUENCE(COUNTA($C$2:$C121), 1, 3, 4)),
  _xlpm.nbparties, COUNTA(_xlfn._xlws.FILTER(_xlpm.ptstables, _xlpm.ptstables &lt;&gt; "")),
  _xlpm.coef, _xlpm.K + _xlpm.Knewgain / (_xlpm.Knewscale + _xlpm.nbparties),
  IF(U119="",
    "",
    _xlpm.coef * (U119-U120))
)</f>
        <v/>
      </c>
      <c r="V121" t="str" cm="1">
        <f t="array" ref="V121">_xlfn.LET(
  _xlpm.K, Constantes!$B$3,
  _xlpm.Knewgain, Constantes!$B$4,
  _xlpm.Knewscale, Constantes!$B$5,
  _xlpm.ptstables, INDEX(V:V, _xlfn.SEQUENCE(COUNTA($C$2:$C121), 1, 3, 4)),
  _xlpm.nbparties, COUNTA(_xlfn._xlws.FILTER(_xlpm.ptstables, _xlpm.ptstables &lt;&gt; "")),
  _xlpm.coef, _xlpm.K + _xlpm.Knewgain / (_xlpm.Knewscale + _xlpm.nbparties),
  IF(V119="",
    "",
    _xlpm.coef * (V119-V120))
)</f>
        <v/>
      </c>
      <c r="W121" t="str" cm="1">
        <f t="array" ref="W121">_xlfn.LET(
  _xlpm.K, Constantes!$B$3,
  _xlpm.Knewgain, Constantes!$B$4,
  _xlpm.Knewscale, Constantes!$B$5,
  _xlpm.ptstables, INDEX(W:W, _xlfn.SEQUENCE(COUNTA($C$2:$C121), 1, 3, 4)),
  _xlpm.nbparties, COUNTA(_xlfn._xlws.FILTER(_xlpm.ptstables, _xlpm.ptstables &lt;&gt; "")),
  _xlpm.coef, _xlpm.K + _xlpm.Knewgain / (_xlpm.Knewscale + _xlpm.nbparties),
  IF(W119="",
    "",
    _xlpm.coef * (W119-W120))
)</f>
        <v/>
      </c>
      <c r="X121" cm="1">
        <f t="array" ref="X121">_xlfn.LET(
  _xlpm.K, Constantes!$B$3,
  _xlpm.Knewgain, Constantes!$B$4,
  _xlpm.Knewscale, Constantes!$B$5,
  _xlpm.ptstables, INDEX(X:X, _xlfn.SEQUENCE(COUNTA($C$2:$C121), 1, 3, 4)),
  _xlpm.nbparties, COUNTA(_xlfn._xlws.FILTER(_xlpm.ptstables, _xlpm.ptstables &lt;&gt; "")),
  _xlpm.coef, _xlpm.K + _xlpm.Knewgain / (_xlpm.Knewscale + _xlpm.nbparties),
  IF(X119="",
    "",
    _xlpm.coef * (X119-X120))
)</f>
        <v>-21.425834319059671</v>
      </c>
      <c r="Y121" t="str" cm="1">
        <f t="array" ref="Y121">_xlfn.LET(
  _xlpm.K, Constantes!$B$3,
  _xlpm.Knewgain, Constantes!$B$4,
  _xlpm.Knewscale, Constantes!$B$5,
  _xlpm.ptstables, INDEX(Y:Y, _xlfn.SEQUENCE(COUNTA($C$2:$C121), 1, 3, 4)),
  _xlpm.nbparties, COUNTA(_xlfn._xlws.FILTER(_xlpm.ptstables, _xlpm.ptstables &lt;&gt; "")),
  _xlpm.coef, _xlpm.K + _xlpm.Knewgain / (_xlpm.Knewscale + _xlpm.nbparties),
  IF(Y119="",
    "",
    _xlpm.coef * (Y119-Y120))
)</f>
        <v/>
      </c>
      <c r="Z121" t="str" cm="1">
        <f t="array" ref="Z121">_xlfn.LET(
  _xlpm.K, Constantes!$B$3,
  _xlpm.Knewgain, Constantes!$B$4,
  _xlpm.Knewscale, Constantes!$B$5,
  _xlpm.ptstables, INDEX(Z:Z, _xlfn.SEQUENCE(COUNTA($C$2:$C121), 1, 3, 4)),
  _xlpm.nbparties, COUNTA(_xlfn._xlws.FILTER(_xlpm.ptstables, _xlpm.ptstables &lt;&gt; "")),
  _xlpm.coef, _xlpm.K + _xlpm.Knewgain / (_xlpm.Knewscale + _xlpm.nbparties),
  IF(Z119="",
    "",
    _xlpm.coef * (Z119-Z120))
)</f>
        <v/>
      </c>
      <c r="AA121" t="str" cm="1">
        <f t="array" ref="AA121">_xlfn.LET(
  _xlpm.K, Constantes!$B$3,
  _xlpm.Knewgain, Constantes!$B$4,
  _xlpm.Knewscale, Constantes!$B$5,
  _xlpm.ptstables, INDEX(AA:AA, _xlfn.SEQUENCE(COUNTA($C$2:$C121), 1, 3, 4)),
  _xlpm.nbparties, COUNTA(_xlfn._xlws.FILTER(_xlpm.ptstables, _xlpm.ptstables &lt;&gt; "")),
  _xlpm.coef, _xlpm.K + _xlpm.Knewgain / (_xlpm.Knewscale + _xlpm.nbparties),
  IF(AA119="",
    "",
    _xlpm.coef * (AA119-AA120))
)</f>
        <v/>
      </c>
      <c r="AB121" t="str" cm="1">
        <f t="array" ref="AB121">_xlfn.LET(
  _xlpm.K, Constantes!$B$3,
  _xlpm.Knewgain, Constantes!$B$4,
  _xlpm.Knewscale, Constantes!$B$5,
  _xlpm.ptstables, INDEX(AB:AB, _xlfn.SEQUENCE(COUNTA($C$2:$C121), 1, 3, 4)),
  _xlpm.nbparties, COUNTA(_xlfn._xlws.FILTER(_xlpm.ptstables, _xlpm.ptstables &lt;&gt; "")),
  _xlpm.coef, _xlpm.K + _xlpm.Knewgain / (_xlpm.Knewscale + _xlpm.nbparties),
  IF(AB119="",
    "",
    _xlpm.coef * (AB119-AB120))
)</f>
        <v/>
      </c>
      <c r="AC121" t="str" cm="1">
        <f t="array" ref="AC121">_xlfn.LET(
  _xlpm.K, Constantes!$B$3,
  _xlpm.Knewgain, Constantes!$B$4,
  _xlpm.Knewscale, Constantes!$B$5,
  _xlpm.ptstables, INDEX(AC:AC, _xlfn.SEQUENCE(COUNTA($C$2:$C121), 1, 3, 4)),
  _xlpm.nbparties, COUNTA(_xlfn._xlws.FILTER(_xlpm.ptstables, _xlpm.ptstables &lt;&gt; "")),
  _xlpm.coef, _xlpm.K + _xlpm.Knewgain / (_xlpm.Knewscale + _xlpm.nbparties),
  IF(AC119="",
    "",
    _xlpm.coef * (AC119-AC120))
)</f>
        <v/>
      </c>
      <c r="AD121" t="str" cm="1">
        <f t="array" ref="AD121">_xlfn.LET(
  _xlpm.K, Constantes!$B$3,
  _xlpm.Knewgain, Constantes!$B$4,
  _xlpm.Knewscale, Constantes!$B$5,
  _xlpm.ptstables, INDEX(AD:AD, _xlfn.SEQUENCE(COUNTA($C$2:$C121), 1, 3, 4)),
  _xlpm.nbparties, COUNTA(_xlfn._xlws.FILTER(_xlpm.ptstables, _xlpm.ptstables &lt;&gt; "")),
  _xlpm.coef, _xlpm.K + _xlpm.Knewgain / (_xlpm.Knewscale + _xlpm.nbparties),
  IF(AD119="",
    "",
    _xlpm.coef * (AD119-AD120))
)</f>
        <v/>
      </c>
      <c r="AE121" t="str" cm="1">
        <f t="array" ref="AE121">_xlfn.LET(
  _xlpm.K, Constantes!$B$3,
  _xlpm.Knewgain, Constantes!$B$4,
  _xlpm.Knewscale, Constantes!$B$5,
  _xlpm.ptstables, INDEX(AE:AE, _xlfn.SEQUENCE(COUNTA($C$2:$C121), 1, 3, 4)),
  _xlpm.nbparties, COUNTA(_xlfn._xlws.FILTER(_xlpm.ptstables, _xlpm.ptstables &lt;&gt; "")),
  _xlpm.coef, _xlpm.K + _xlpm.Knewgain / (_xlpm.Knewscale + _xlpm.nbparties),
  IF(AE119="",
    "",
    _xlpm.coef * (AE119-AE120))
)</f>
        <v/>
      </c>
      <c r="AF121" t="str" cm="1">
        <f t="array" ref="AF121">_xlfn.LET(
  _xlpm.K, Constantes!$B$3,
  _xlpm.Knewgain, Constantes!$B$4,
  _xlpm.Knewscale, Constantes!$B$5,
  _xlpm.ptstables, INDEX(AF:AF, _xlfn.SEQUENCE(COUNTA($C$2:$C121), 1, 3, 4)),
  _xlpm.nbparties, COUNTA(_xlfn._xlws.FILTER(_xlpm.ptstables, _xlpm.ptstables &lt;&gt; "")),
  _xlpm.coef, _xlpm.K + _xlpm.Knewgain / (_xlpm.Knewscale + _xlpm.nbparties),
  IF(AF119="",
    "",
    _xlpm.coef * (AF119-AF120))
)</f>
        <v/>
      </c>
      <c r="AG121" t="str" cm="1">
        <f t="array" ref="AG121">_xlfn.LET(
  _xlpm.K, Constantes!$B$3,
  _xlpm.Knewgain, Constantes!$B$4,
  _xlpm.Knewscale, Constantes!$B$5,
  _xlpm.ptstables, INDEX(AG:AG, _xlfn.SEQUENCE(COUNTA($C$2:$C121), 1, 3, 4)),
  _xlpm.nbparties, COUNTA(_xlfn._xlws.FILTER(_xlpm.ptstables, _xlpm.ptstables &lt;&gt; "")),
  _xlpm.coef, _xlpm.K + _xlpm.Knewgain / (_xlpm.Knewscale + _xlpm.nbparties),
  IF(AG119="",
    "",
    _xlpm.coef * (AG119-AG120))
)</f>
        <v/>
      </c>
      <c r="AH121" t="str" cm="1">
        <f t="array" ref="AH121">_xlfn.LET(
  _xlpm.K, Constantes!$B$3,
  _xlpm.Knewgain, Constantes!$B$4,
  _xlpm.Knewscale, Constantes!$B$5,
  _xlpm.ptstables, INDEX(AH:AH, _xlfn.SEQUENCE(COUNTA($C$2:$C121), 1, 3, 4)),
  _xlpm.nbparties, COUNTA(_xlfn._xlws.FILTER(_xlpm.ptstables, _xlpm.ptstables &lt;&gt; "")),
  _xlpm.coef, _xlpm.K + _xlpm.Knewgain / (_xlpm.Knewscale + _xlpm.nbparties),
  IF(AH119="",
    "",
    _xlpm.coef * (AH119-AH120))
)</f>
        <v/>
      </c>
      <c r="AI121" t="str" cm="1">
        <f t="array" ref="AI121">_xlfn.LET(
  _xlpm.K, Constantes!$B$3,
  _xlpm.Knewgain, Constantes!$B$4,
  _xlpm.Knewscale, Constantes!$B$5,
  _xlpm.ptstables, INDEX(AI:AI, _xlfn.SEQUENCE(COUNTA($C$2:$C121), 1, 3, 4)),
  _xlpm.nbparties, COUNTA(_xlfn._xlws.FILTER(_xlpm.ptstables, _xlpm.ptstables &lt;&gt; "")),
  _xlpm.coef, _xlpm.K + _xlpm.Knewgain / (_xlpm.Knewscale + _xlpm.nbparties),
  IF(AI119="",
    "",
    _xlpm.coef * (AI119-AI120))
)</f>
        <v/>
      </c>
      <c r="AJ121" t="str" cm="1">
        <f t="array" ref="AJ121">_xlfn.LET(
  _xlpm.K, Constantes!$B$3,
  _xlpm.Knewgain, Constantes!$B$4,
  _xlpm.Knewscale, Constantes!$B$5,
  _xlpm.ptstables, INDEX(AJ:AJ, _xlfn.SEQUENCE(COUNTA($C$2:$C121), 1, 3, 4)),
  _xlpm.nbparties, COUNTA(_xlfn._xlws.FILTER(_xlpm.ptstables, _xlpm.ptstables &lt;&gt; "")),
  _xlpm.coef, _xlpm.K + _xlpm.Knewgain / (_xlpm.Knewscale + _xlpm.nbparties),
  IF(AJ119="",
    "",
    _xlpm.coef * (AJ119-AJ120))
)</f>
        <v/>
      </c>
      <c r="AK121" t="str" cm="1">
        <f t="array" ref="AK121">_xlfn.LET(
  _xlpm.K, Constantes!$B$3,
  _xlpm.Knewgain, Constantes!$B$4,
  _xlpm.Knewscale, Constantes!$B$5,
  _xlpm.ptstables, INDEX(AK:AK, _xlfn.SEQUENCE(COUNTA($C$2:$C121), 1, 3, 4)),
  _xlpm.nbparties, COUNTA(_xlfn._xlws.FILTER(_xlpm.ptstables, _xlpm.ptstables &lt;&gt; "")),
  _xlpm.coef, _xlpm.K + _xlpm.Knewgain / (_xlpm.Knewscale + _xlpm.nbparties),
  IF(AK119="",
    "",
    _xlpm.coef * (AK119-AK120))
)</f>
        <v/>
      </c>
      <c r="AL121" t="str" cm="1">
        <f t="array" ref="AL121">_xlfn.LET(
  _xlpm.K, Constantes!$B$3,
  _xlpm.Knewgain, Constantes!$B$4,
  _xlpm.Knewscale, Constantes!$B$5,
  _xlpm.ptstables, INDEX(AL:AL, _xlfn.SEQUENCE(COUNTA($C$2:$C121), 1, 3, 4)),
  _xlpm.nbparties, COUNTA(_xlfn._xlws.FILTER(_xlpm.ptstables, _xlpm.ptstables &lt;&gt; "")),
  _xlpm.coef, _xlpm.K + _xlpm.Knewgain / (_xlpm.Knewscale + _xlpm.nbparties),
  IF(AL119="",
    "",
    _xlpm.coef * (AL119-AL120))
)</f>
        <v/>
      </c>
      <c r="AM121" t="str" cm="1">
        <f t="array" ref="AM121">_xlfn.LET(
  _xlpm.K, Constantes!$B$3,
  _xlpm.Knewgain, Constantes!$B$4,
  _xlpm.Knewscale, Constantes!$B$5,
  _xlpm.ptstables, INDEX(AM:AM, _xlfn.SEQUENCE(COUNTA($C$2:$C121), 1, 3, 4)),
  _xlpm.nbparties, COUNTA(_xlfn._xlws.FILTER(_xlpm.ptstables, _xlpm.ptstables &lt;&gt; "")),
  _xlpm.coef, _xlpm.K + _xlpm.Knewgain / (_xlpm.Knewscale + _xlpm.nbparties),
  IF(AM119="",
    "",
    _xlpm.coef * (AM119-AM120))
)</f>
        <v/>
      </c>
    </row>
    <row r="122" spans="1:39" x14ac:dyDescent="0.25">
      <c r="A122" t="s">
        <v>14</v>
      </c>
      <c r="B122" t="str" cm="1">
        <f t="array" ref="B12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29</v>
      </c>
      <c r="C122" s="2" cm="1">
        <f t="array" ref="C122">IF(B122="","",
  INDEX(Donnees!F:F, MATCH(B122, Donnees!F:F, 0)+1))</f>
        <v>45920.931354166663</v>
      </c>
      <c r="D122">
        <f t="shared" ref="D122:AM122" si="38">D118+IF(D121="",0,D121)</f>
        <v>1093.2481344372964</v>
      </c>
      <c r="E122">
        <f t="shared" si="38"/>
        <v>1105.3750854597461</v>
      </c>
      <c r="F122">
        <f t="shared" si="38"/>
        <v>908.83204631618707</v>
      </c>
      <c r="G122">
        <f t="shared" si="38"/>
        <v>975.10975952569402</v>
      </c>
      <c r="H122">
        <f t="shared" si="38"/>
        <v>1043.8545020183328</v>
      </c>
      <c r="I122">
        <f t="shared" si="38"/>
        <v>1056.8165036600865</v>
      </c>
      <c r="J122">
        <f t="shared" si="38"/>
        <v>938.49433816478961</v>
      </c>
      <c r="K122">
        <f t="shared" si="38"/>
        <v>907.51653081539087</v>
      </c>
      <c r="L122">
        <f t="shared" si="38"/>
        <v>833.43137648430843</v>
      </c>
      <c r="M122">
        <f t="shared" si="38"/>
        <v>913.41986361738122</v>
      </c>
      <c r="N122">
        <f t="shared" si="38"/>
        <v>924.41787774469185</v>
      </c>
      <c r="O122">
        <f t="shared" si="38"/>
        <v>1030.4363831507294</v>
      </c>
      <c r="P122">
        <f t="shared" si="38"/>
        <v>1015.4353469144262</v>
      </c>
      <c r="Q122">
        <f t="shared" si="38"/>
        <v>1053.621497353671</v>
      </c>
      <c r="R122">
        <f t="shared" si="38"/>
        <v>1127.3039385986251</v>
      </c>
      <c r="S122">
        <f t="shared" si="38"/>
        <v>966.5830154691273</v>
      </c>
      <c r="T122">
        <f t="shared" si="38"/>
        <v>1135.2782658680615</v>
      </c>
      <c r="U122">
        <f t="shared" si="38"/>
        <v>1041.0427483736337</v>
      </c>
      <c r="V122">
        <f t="shared" si="38"/>
        <v>961.58818235691967</v>
      </c>
      <c r="W122">
        <f t="shared" si="38"/>
        <v>936.79085942937002</v>
      </c>
      <c r="X122">
        <f t="shared" si="38"/>
        <v>830.788580615</v>
      </c>
      <c r="Y122">
        <f t="shared" si="38"/>
        <v>1037.8563665662507</v>
      </c>
      <c r="Z122">
        <f t="shared" si="38"/>
        <v>991.11904139672549</v>
      </c>
      <c r="AA122">
        <f t="shared" si="38"/>
        <v>980.56756855165884</v>
      </c>
      <c r="AB122">
        <f t="shared" si="38"/>
        <v>918.05938792585061</v>
      </c>
      <c r="AC122">
        <f t="shared" si="38"/>
        <v>1032.51</v>
      </c>
      <c r="AD122">
        <f t="shared" si="38"/>
        <v>974.01499999999999</v>
      </c>
      <c r="AE122">
        <f t="shared" si="38"/>
        <v>1011.415</v>
      </c>
      <c r="AF122">
        <f t="shared" si="38"/>
        <v>1031.1199999999999</v>
      </c>
      <c r="AG122">
        <f t="shared" si="38"/>
        <v>1001.0350000000001</v>
      </c>
      <c r="AH122">
        <f t="shared" si="38"/>
        <v>994.44</v>
      </c>
      <c r="AI122">
        <f t="shared" si="38"/>
        <v>1000</v>
      </c>
      <c r="AJ122">
        <f t="shared" si="38"/>
        <v>957.2</v>
      </c>
      <c r="AK122">
        <f t="shared" si="38"/>
        <v>1000</v>
      </c>
      <c r="AL122">
        <f t="shared" si="38"/>
        <v>1055.9299999999998</v>
      </c>
      <c r="AM122">
        <f t="shared" si="38"/>
        <v>1000</v>
      </c>
    </row>
    <row r="123" spans="1:39" x14ac:dyDescent="0.25">
      <c r="A123" t="s">
        <v>21</v>
      </c>
      <c r="D123" t="str" cm="1">
        <f t="array" ref="D123">IFERROR(
  _xlfn.LET(
    _xlpm.ligpartie, MATCH($B122, Donnees!$F:$F, 0),
    _xlpm.joueurs, INDEX(Donnees!$A:$Z, _xlpm.ligpartie+1, _xlfn.SEQUENCE(1, 4, 2)),
    INDEX(
      Donnees!$A:$Z,
      _xlpm.ligpartie + 3,
      MATCH(D$1, _xlpm.joueurs, 0) + 1
    )
  ), ""
)</f>
        <v/>
      </c>
      <c r="E123" t="str" cm="1">
        <f t="array" ref="E123">IFERROR(
  _xlfn.LET(
    _xlpm.ligpartie, MATCH($B122, Donnees!$F:$F, 0),
    _xlpm.joueurs, INDEX(Donnees!$A:$Z, _xlpm.ligpartie+1, _xlfn.SEQUENCE(1, 4, 2)),
    INDEX(
      Donnees!$A:$Z,
      _xlpm.ligpartie + 3,
      MATCH(E$1, _xlpm.joueurs, 0) + 1
    )
  ), ""
)</f>
        <v/>
      </c>
      <c r="F123" t="str" cm="1">
        <f t="array" ref="F123">IFERROR(
  _xlfn.LET(
    _xlpm.ligpartie, MATCH($B122, Donnees!$F:$F, 0),
    _xlpm.joueurs, INDEX(Donnees!$A:$Z, _xlpm.ligpartie+1, _xlfn.SEQUENCE(1, 4, 2)),
    INDEX(
      Donnees!$A:$Z,
      _xlpm.ligpartie + 3,
      MATCH(F$1, _xlpm.joueurs, 0) + 1
    )
  ), ""
)</f>
        <v/>
      </c>
      <c r="G123" cm="1">
        <f t="array" ref="G123">IFERROR(
  _xlfn.LET(
    _xlpm.ligpartie, MATCH($B122, Donnees!$F:$F, 0),
    _xlpm.joueurs, INDEX(Donnees!$A:$Z, _xlpm.ligpartie+1, _xlfn.SEQUENCE(1, 4, 2)),
    INDEX(
      Donnees!$A:$Z,
      _xlpm.ligpartie + 3,
      MATCH(G$1, _xlpm.joueurs, 0) + 1
    )
  ), ""
)</f>
        <v>0</v>
      </c>
      <c r="H123" t="str" cm="1">
        <f t="array" ref="H123">IFERROR(
  _xlfn.LET(
    _xlpm.ligpartie, MATCH($B122, Donnees!$F:$F, 0),
    _xlpm.joueurs, INDEX(Donnees!$A:$Z, _xlpm.ligpartie+1, _xlfn.SEQUENCE(1, 4, 2)),
    INDEX(
      Donnees!$A:$Z,
      _xlpm.ligpartie + 3,
      MATCH(H$1, _xlpm.joueurs, 0) + 1
    )
  ), ""
)</f>
        <v/>
      </c>
      <c r="I123" t="str" cm="1">
        <f t="array" ref="I123">IFERROR(
  _xlfn.LET(
    _xlpm.ligpartie, MATCH($B122, Donnees!$F:$F, 0),
    _xlpm.joueurs, INDEX(Donnees!$A:$Z, _xlpm.ligpartie+1, _xlfn.SEQUENCE(1, 4, 2)),
    INDEX(
      Donnees!$A:$Z,
      _xlpm.ligpartie + 3,
      MATCH(I$1, _xlpm.joueurs, 0) + 1
    )
  ), ""
)</f>
        <v/>
      </c>
      <c r="J123" t="str" cm="1">
        <f t="array" ref="J123">IFERROR(
  _xlfn.LET(
    _xlpm.ligpartie, MATCH($B122, Donnees!$F:$F, 0),
    _xlpm.joueurs, INDEX(Donnees!$A:$Z, _xlpm.ligpartie+1, _xlfn.SEQUENCE(1, 4, 2)),
    INDEX(
      Donnees!$A:$Z,
      _xlpm.ligpartie + 3,
      MATCH(J$1, _xlpm.joueurs, 0) + 1
    )
  ), ""
)</f>
        <v/>
      </c>
      <c r="K123" t="str" cm="1">
        <f t="array" ref="K123">IFERROR(
  _xlfn.LET(
    _xlpm.ligpartie, MATCH($B122, Donnees!$F:$F, 0),
    _xlpm.joueurs, INDEX(Donnees!$A:$Z, _xlpm.ligpartie+1, _xlfn.SEQUENCE(1, 4, 2)),
    INDEX(
      Donnees!$A:$Z,
      _xlpm.ligpartie + 3,
      MATCH(K$1, _xlpm.joueurs, 0) + 1
    )
  ), ""
)</f>
        <v/>
      </c>
      <c r="L123" t="str" cm="1">
        <f t="array" ref="L123">IFERROR(
  _xlfn.LET(
    _xlpm.ligpartie, MATCH($B122, Donnees!$F:$F, 0),
    _xlpm.joueurs, INDEX(Donnees!$A:$Z, _xlpm.ligpartie+1, _xlfn.SEQUENCE(1, 4, 2)),
    INDEX(
      Donnees!$A:$Z,
      _xlpm.ligpartie + 3,
      MATCH(L$1, _xlpm.joueurs, 0) + 1
    )
  ), ""
)</f>
        <v/>
      </c>
      <c r="M123" t="str" cm="1">
        <f t="array" ref="M123">IFERROR(
  _xlfn.LET(
    _xlpm.ligpartie, MATCH($B122, Donnees!$F:$F, 0),
    _xlpm.joueurs, INDEX(Donnees!$A:$Z, _xlpm.ligpartie+1, _xlfn.SEQUENCE(1, 4, 2)),
    INDEX(
      Donnees!$A:$Z,
      _xlpm.ligpartie + 3,
      MATCH(M$1, _xlpm.joueurs, 0) + 1
    )
  ), ""
)</f>
        <v/>
      </c>
      <c r="N123" t="str" cm="1">
        <f t="array" ref="N123">IFERROR(
  _xlfn.LET(
    _xlpm.ligpartie, MATCH($B122, Donnees!$F:$F, 0),
    _xlpm.joueurs, INDEX(Donnees!$A:$Z, _xlpm.ligpartie+1, _xlfn.SEQUENCE(1, 4, 2)),
    INDEX(
      Donnees!$A:$Z,
      _xlpm.ligpartie + 3,
      MATCH(N$1, _xlpm.joueurs, 0) + 1
    )
  ), ""
)</f>
        <v/>
      </c>
      <c r="O123" t="str" cm="1">
        <f t="array" ref="O123">IFERROR(
  _xlfn.LET(
    _xlpm.ligpartie, MATCH($B122, Donnees!$F:$F, 0),
    _xlpm.joueurs, INDEX(Donnees!$A:$Z, _xlpm.ligpartie+1, _xlfn.SEQUENCE(1, 4, 2)),
    INDEX(
      Donnees!$A:$Z,
      _xlpm.ligpartie + 3,
      MATCH(O$1, _xlpm.joueurs, 0) + 1
    )
  ), ""
)</f>
        <v/>
      </c>
      <c r="P123" t="str" cm="1">
        <f t="array" ref="P123">IFERROR(
  _xlfn.LET(
    _xlpm.ligpartie, MATCH($B122, Donnees!$F:$F, 0),
    _xlpm.joueurs, INDEX(Donnees!$A:$Z, _xlpm.ligpartie+1, _xlfn.SEQUENCE(1, 4, 2)),
    INDEX(
      Donnees!$A:$Z,
      _xlpm.ligpartie + 3,
      MATCH(P$1, _xlpm.joueurs, 0) + 1
    )
  ), ""
)</f>
        <v/>
      </c>
      <c r="Q123" t="str" cm="1">
        <f t="array" ref="Q123">IFERROR(
  _xlfn.LET(
    _xlpm.ligpartie, MATCH($B122, Donnees!$F:$F, 0),
    _xlpm.joueurs, INDEX(Donnees!$A:$Z, _xlpm.ligpartie+1, _xlfn.SEQUENCE(1, 4, 2)),
    INDEX(
      Donnees!$A:$Z,
      _xlpm.ligpartie + 3,
      MATCH(Q$1, _xlpm.joueurs, 0) + 1
    )
  ), ""
)</f>
        <v/>
      </c>
      <c r="R123" t="str" cm="1">
        <f t="array" ref="R123">IFERROR(
  _xlfn.LET(
    _xlpm.ligpartie, MATCH($B122, Donnees!$F:$F, 0),
    _xlpm.joueurs, INDEX(Donnees!$A:$Z, _xlpm.ligpartie+1, _xlfn.SEQUENCE(1, 4, 2)),
    INDEX(
      Donnees!$A:$Z,
      _xlpm.ligpartie + 3,
      MATCH(R$1, _xlpm.joueurs, 0) + 1
    )
  ), ""
)</f>
        <v/>
      </c>
      <c r="S123" t="str" cm="1">
        <f t="array" ref="S123">IFERROR(
  _xlfn.LET(
    _xlpm.ligpartie, MATCH($B122, Donnees!$F:$F, 0),
    _xlpm.joueurs, INDEX(Donnees!$A:$Z, _xlpm.ligpartie+1, _xlfn.SEQUENCE(1, 4, 2)),
    INDEX(
      Donnees!$A:$Z,
      _xlpm.ligpartie + 3,
      MATCH(S$1, _xlpm.joueurs, 0) + 1
    )
  ), ""
)</f>
        <v/>
      </c>
      <c r="T123" t="str" cm="1">
        <f t="array" ref="T123">IFERROR(
  _xlfn.LET(
    _xlpm.ligpartie, MATCH($B122, Donnees!$F:$F, 0),
    _xlpm.joueurs, INDEX(Donnees!$A:$Z, _xlpm.ligpartie+1, _xlfn.SEQUENCE(1, 4, 2)),
    INDEX(
      Donnees!$A:$Z,
      _xlpm.ligpartie + 3,
      MATCH(T$1, _xlpm.joueurs, 0) + 1
    )
  ), ""
)</f>
        <v/>
      </c>
      <c r="U123" cm="1">
        <f t="array" ref="U123">IFERROR(
  _xlfn.LET(
    _xlpm.ligpartie, MATCH($B122, Donnees!$F:$F, 0),
    _xlpm.joueurs, INDEX(Donnees!$A:$Z, _xlpm.ligpartie+1, _xlfn.SEQUENCE(1, 4, 2)),
    INDEX(
      Donnees!$A:$Z,
      _xlpm.ligpartie + 3,
      MATCH(U$1, _xlpm.joueurs, 0) + 1
    )
  ), ""
)</f>
        <v>2</v>
      </c>
      <c r="V123" t="str" cm="1">
        <f t="array" ref="V123">IFERROR(
  _xlfn.LET(
    _xlpm.ligpartie, MATCH($B122, Donnees!$F:$F, 0),
    _xlpm.joueurs, INDEX(Donnees!$A:$Z, _xlpm.ligpartie+1, _xlfn.SEQUENCE(1, 4, 2)),
    INDEX(
      Donnees!$A:$Z,
      _xlpm.ligpartie + 3,
      MATCH(V$1, _xlpm.joueurs, 0) + 1
    )
  ), ""
)</f>
        <v/>
      </c>
      <c r="W123" t="str" cm="1">
        <f t="array" ref="W123">IFERROR(
  _xlfn.LET(
    _xlpm.ligpartie, MATCH($B122, Donnees!$F:$F, 0),
    _xlpm.joueurs, INDEX(Donnees!$A:$Z, _xlpm.ligpartie+1, _xlfn.SEQUENCE(1, 4, 2)),
    INDEX(
      Donnees!$A:$Z,
      _xlpm.ligpartie + 3,
      MATCH(W$1, _xlpm.joueurs, 0) + 1
    )
  ), ""
)</f>
        <v/>
      </c>
      <c r="X123" t="str" cm="1">
        <f t="array" ref="X123">IFERROR(
  _xlfn.LET(
    _xlpm.ligpartie, MATCH($B122, Donnees!$F:$F, 0),
    _xlpm.joueurs, INDEX(Donnees!$A:$Z, _xlpm.ligpartie+1, _xlfn.SEQUENCE(1, 4, 2)),
    INDEX(
      Donnees!$A:$Z,
      _xlpm.ligpartie + 3,
      MATCH(X$1, _xlpm.joueurs, 0) + 1
    )
  ), ""
)</f>
        <v/>
      </c>
      <c r="Y123" cm="1">
        <f t="array" ref="Y123">IFERROR(
  _xlfn.LET(
    _xlpm.ligpartie, MATCH($B122, Donnees!$F:$F, 0),
    _xlpm.joueurs, INDEX(Donnees!$A:$Z, _xlpm.ligpartie+1, _xlfn.SEQUENCE(1, 4, 2)),
    INDEX(
      Donnees!$A:$Z,
      _xlpm.ligpartie + 3,
      MATCH(Y$1, _xlpm.joueurs, 0) + 1
    )
  ), ""
)</f>
        <v>1</v>
      </c>
      <c r="Z123" t="str" cm="1">
        <f t="array" ref="Z123">IFERROR(
  _xlfn.LET(
    _xlpm.ligpartie, MATCH($B122, Donnees!$F:$F, 0),
    _xlpm.joueurs, INDEX(Donnees!$A:$Z, _xlpm.ligpartie+1, _xlfn.SEQUENCE(1, 4, 2)),
    INDEX(
      Donnees!$A:$Z,
      _xlpm.ligpartie + 3,
      MATCH(Z$1, _xlpm.joueurs, 0) + 1
    )
  ), ""
)</f>
        <v/>
      </c>
      <c r="AA123" t="str" cm="1">
        <f t="array" ref="AA123">IFERROR(
  _xlfn.LET(
    _xlpm.ligpartie, MATCH($B122, Donnees!$F:$F, 0),
    _xlpm.joueurs, INDEX(Donnees!$A:$Z, _xlpm.ligpartie+1, _xlfn.SEQUENCE(1, 4, 2)),
    INDEX(
      Donnees!$A:$Z,
      _xlpm.ligpartie + 3,
      MATCH(AA$1, _xlpm.joueurs, 0) + 1
    )
  ), ""
)</f>
        <v/>
      </c>
      <c r="AB123" cm="1">
        <f t="array" ref="AB123">IFERROR(
  _xlfn.LET(
    _xlpm.ligpartie, MATCH($B122, Donnees!$F:$F, 0),
    _xlpm.joueurs, INDEX(Donnees!$A:$Z, _xlpm.ligpartie+1, _xlfn.SEQUENCE(1, 4, 2)),
    INDEX(
      Donnees!$A:$Z,
      _xlpm.ligpartie + 3,
      MATCH(AB$1, _xlpm.joueurs, 0) + 1
    )
  ), ""
)</f>
        <v>3</v>
      </c>
      <c r="AC123" t="str" cm="1">
        <f t="array" ref="AC123">IFERROR(
  _xlfn.LET(
    _xlpm.ligpartie, MATCH($B122, Donnees!$F:$F, 0),
    _xlpm.joueurs, INDEX(Donnees!$A:$Z, _xlpm.ligpartie+1, _xlfn.SEQUENCE(1, 4, 2)),
    INDEX(
      Donnees!$A:$Z,
      _xlpm.ligpartie + 3,
      MATCH(AC$1, _xlpm.joueurs, 0) + 1
    )
  ), ""
)</f>
        <v/>
      </c>
      <c r="AD123" t="str" cm="1">
        <f t="array" ref="AD123">IFERROR(
  _xlfn.LET(
    _xlpm.ligpartie, MATCH($B122, Donnees!$F:$F, 0),
    _xlpm.joueurs, INDEX(Donnees!$A:$Z, _xlpm.ligpartie+1, _xlfn.SEQUENCE(1, 4, 2)),
    INDEX(
      Donnees!$A:$Z,
      _xlpm.ligpartie + 3,
      MATCH(AD$1, _xlpm.joueurs, 0) + 1
    )
  ), ""
)</f>
        <v/>
      </c>
      <c r="AE123" t="str" cm="1">
        <f t="array" ref="AE123">IFERROR(
  _xlfn.LET(
    _xlpm.ligpartie, MATCH($B122, Donnees!$F:$F, 0),
    _xlpm.joueurs, INDEX(Donnees!$A:$Z, _xlpm.ligpartie+1, _xlfn.SEQUENCE(1, 4, 2)),
    INDEX(
      Donnees!$A:$Z,
      _xlpm.ligpartie + 3,
      MATCH(AE$1, _xlpm.joueurs, 0) + 1
    )
  ), ""
)</f>
        <v/>
      </c>
      <c r="AF123" t="str" cm="1">
        <f t="array" ref="AF123">IFERROR(
  _xlfn.LET(
    _xlpm.ligpartie, MATCH($B122, Donnees!$F:$F, 0),
    _xlpm.joueurs, INDEX(Donnees!$A:$Z, _xlpm.ligpartie+1, _xlfn.SEQUENCE(1, 4, 2)),
    INDEX(
      Donnees!$A:$Z,
      _xlpm.ligpartie + 3,
      MATCH(AF$1, _xlpm.joueurs, 0) + 1
    )
  ), ""
)</f>
        <v/>
      </c>
      <c r="AG123" t="str" cm="1">
        <f t="array" ref="AG123">IFERROR(
  _xlfn.LET(
    _xlpm.ligpartie, MATCH($B122, Donnees!$F:$F, 0),
    _xlpm.joueurs, INDEX(Donnees!$A:$Z, _xlpm.ligpartie+1, _xlfn.SEQUENCE(1, 4, 2)),
    INDEX(
      Donnees!$A:$Z,
      _xlpm.ligpartie + 3,
      MATCH(AG$1, _xlpm.joueurs, 0) + 1
    )
  ), ""
)</f>
        <v/>
      </c>
      <c r="AH123" t="str" cm="1">
        <f t="array" ref="AH123">IFERROR(
  _xlfn.LET(
    _xlpm.ligpartie, MATCH($B122, Donnees!$F:$F, 0),
    _xlpm.joueurs, INDEX(Donnees!$A:$Z, _xlpm.ligpartie+1, _xlfn.SEQUENCE(1, 4, 2)),
    INDEX(
      Donnees!$A:$Z,
      _xlpm.ligpartie + 3,
      MATCH(AH$1, _xlpm.joueurs, 0) + 1
    )
  ), ""
)</f>
        <v/>
      </c>
      <c r="AI123" t="str" cm="1">
        <f t="array" ref="AI123">IFERROR(
  _xlfn.LET(
    _xlpm.ligpartie, MATCH($B122, Donnees!$F:$F, 0),
    _xlpm.joueurs, INDEX(Donnees!$A:$Z, _xlpm.ligpartie+1, _xlfn.SEQUENCE(1, 4, 2)),
    INDEX(
      Donnees!$A:$Z,
      _xlpm.ligpartie + 3,
      MATCH(AI$1, _xlpm.joueurs, 0) + 1
    )
  ), ""
)</f>
        <v/>
      </c>
      <c r="AJ123" t="str" cm="1">
        <f t="array" ref="AJ123">IFERROR(
  _xlfn.LET(
    _xlpm.ligpartie, MATCH($B122, Donnees!$F:$F, 0),
    _xlpm.joueurs, INDEX(Donnees!$A:$Z, _xlpm.ligpartie+1, _xlfn.SEQUENCE(1, 4, 2)),
    INDEX(
      Donnees!$A:$Z,
      _xlpm.ligpartie + 3,
      MATCH(AJ$1, _xlpm.joueurs, 0) + 1
    )
  ), ""
)</f>
        <v/>
      </c>
      <c r="AK123" t="str" cm="1">
        <f t="array" ref="AK123">IFERROR(
  _xlfn.LET(
    _xlpm.ligpartie, MATCH($B122, Donnees!$F:$F, 0),
    _xlpm.joueurs, INDEX(Donnees!$A:$Z, _xlpm.ligpartie+1, _xlfn.SEQUENCE(1, 4, 2)),
    INDEX(
      Donnees!$A:$Z,
      _xlpm.ligpartie + 3,
      MATCH(AK$1, _xlpm.joueurs, 0) + 1
    )
  ), ""
)</f>
        <v/>
      </c>
      <c r="AL123" t="str" cm="1">
        <f t="array" ref="AL123">IFERROR(
  _xlfn.LET(
    _xlpm.ligpartie, MATCH($B122, Donnees!$F:$F, 0),
    _xlpm.joueurs, INDEX(Donnees!$A:$Z, _xlpm.ligpartie+1, _xlfn.SEQUENCE(1, 4, 2)),
    INDEX(
      Donnees!$A:$Z,
      _xlpm.ligpartie + 3,
      MATCH(AL$1, _xlpm.joueurs, 0) + 1
    )
  ), ""
)</f>
        <v/>
      </c>
      <c r="AM123" t="str" cm="1">
        <f t="array" ref="AM123">IFERROR(
  _xlfn.LET(
    _xlpm.ligpartie, MATCH($B122, Donnees!$F:$F, 0),
    _xlpm.joueurs, INDEX(Donnees!$A:$Z, _xlpm.ligpartie+1, _xlfn.SEQUENCE(1, 4, 2)),
    INDEX(
      Donnees!$A:$Z,
      _xlpm.ligpartie + 3,
      MATCH(AM$1, _xlpm.joueurs, 0) + 1
    )
  ), ""
)</f>
        <v/>
      </c>
    </row>
    <row r="124" spans="1:39" x14ac:dyDescent="0.25">
      <c r="A124" t="s">
        <v>20</v>
      </c>
      <c r="D124" t="str" cm="1">
        <f t="array" ref="D124">_xlfn.LET(
  _xlpm.colj, _xlfn._xlws.FILTER(IF(ISNUMBER(123:123), COLUMN(123:123)), ISNUMBER(123:123)),
  _xlpm.elos, INDEX(122:122,1,_xlpm.colj),
  _xlpm.diffscale, Constantes!$B$2,
  IF(D123="",
    "",
    SUM(1/(1+POWER(10,-(D122-_xlpm.elos)/_xlpm.diffscale)))-0.5)
)</f>
        <v/>
      </c>
      <c r="E124" t="str" cm="1">
        <f t="array" ref="E124">_xlfn.LET(
  _xlpm.colj, _xlfn._xlws.FILTER(IF(ISNUMBER(123:123), COLUMN(123:123)), ISNUMBER(123:123)),
  _xlpm.elos, INDEX(122:122,1,_xlpm.colj),
  _xlpm.diffscale, Constantes!$B$2,
  IF(E123="",
    "",
    SUM(1/(1+POWER(10,-(E122-_xlpm.elos)/_xlpm.diffscale)))-0.5)
)</f>
        <v/>
      </c>
      <c r="F124" t="str" cm="1">
        <f t="array" ref="F124">_xlfn.LET(
  _xlpm.colj, _xlfn._xlws.FILTER(IF(ISNUMBER(123:123), COLUMN(123:123)), ISNUMBER(123:123)),
  _xlpm.elos, INDEX(122:122,1,_xlpm.colj),
  _xlpm.diffscale, Constantes!$B$2,
  IF(F123="",
    "",
    SUM(1/(1+POWER(10,-(F122-_xlpm.elos)/_xlpm.diffscale)))-0.5)
)</f>
        <v/>
      </c>
      <c r="G124" cm="1">
        <f t="array" ref="G124">_xlfn.LET(
  _xlpm.colj, _xlfn._xlws.FILTER(IF(ISNUMBER(123:123), COLUMN(123:123)), ISNUMBER(123:123)),
  _xlpm.elos, INDEX(122:122,1,_xlpm.colj),
  _xlpm.diffscale, Constantes!$B$2,
  IF(G123="",
    "",
    SUM(1/(1+POWER(10,-(G122-_xlpm.elos)/_xlpm.diffscale)))-0.5)
)</f>
        <v>1.3982791802470704</v>
      </c>
      <c r="H124" t="str" cm="1">
        <f t="array" ref="H124">_xlfn.LET(
  _xlpm.colj, _xlfn._xlws.FILTER(IF(ISNUMBER(123:123), COLUMN(123:123)), ISNUMBER(123:123)),
  _xlpm.elos, INDEX(122:122,1,_xlpm.colj),
  _xlpm.diffscale, Constantes!$B$2,
  IF(H123="",
    "",
    SUM(1/(1+POWER(10,-(H122-_xlpm.elos)/_xlpm.diffscale)))-0.5)
)</f>
        <v/>
      </c>
      <c r="I124" t="str" cm="1">
        <f t="array" ref="I124">_xlfn.LET(
  _xlpm.colj, _xlfn._xlws.FILTER(IF(ISNUMBER(123:123), COLUMN(123:123)), ISNUMBER(123:123)),
  _xlpm.elos, INDEX(122:122,1,_xlpm.colj),
  _xlpm.diffscale, Constantes!$B$2,
  IF(I123="",
    "",
    SUM(1/(1+POWER(10,-(I122-_xlpm.elos)/_xlpm.diffscale)))-0.5)
)</f>
        <v/>
      </c>
      <c r="J124" t="str" cm="1">
        <f t="array" ref="J124">_xlfn.LET(
  _xlpm.colj, _xlfn._xlws.FILTER(IF(ISNUMBER(123:123), COLUMN(123:123)), ISNUMBER(123:123)),
  _xlpm.elos, INDEX(122:122,1,_xlpm.colj),
  _xlpm.diffscale, Constantes!$B$2,
  IF(J123="",
    "",
    SUM(1/(1+POWER(10,-(J122-_xlpm.elos)/_xlpm.diffscale)))-0.5)
)</f>
        <v/>
      </c>
      <c r="K124" t="str" cm="1">
        <f t="array" ref="K124">_xlfn.LET(
  _xlpm.colj, _xlfn._xlws.FILTER(IF(ISNUMBER(123:123), COLUMN(123:123)), ISNUMBER(123:123)),
  _xlpm.elos, INDEX(122:122,1,_xlpm.colj),
  _xlpm.diffscale, Constantes!$B$2,
  IF(K123="",
    "",
    SUM(1/(1+POWER(10,-(K122-_xlpm.elos)/_xlpm.diffscale)))-0.5)
)</f>
        <v/>
      </c>
      <c r="L124" t="str" cm="1">
        <f t="array" ref="L124">_xlfn.LET(
  _xlpm.colj, _xlfn._xlws.FILTER(IF(ISNUMBER(123:123), COLUMN(123:123)), ISNUMBER(123:123)),
  _xlpm.elos, INDEX(122:122,1,_xlpm.colj),
  _xlpm.diffscale, Constantes!$B$2,
  IF(L123="",
    "",
    SUM(1/(1+POWER(10,-(L122-_xlpm.elos)/_xlpm.diffscale)))-0.5)
)</f>
        <v/>
      </c>
      <c r="M124" t="str" cm="1">
        <f t="array" ref="M124">_xlfn.LET(
  _xlpm.colj, _xlfn._xlws.FILTER(IF(ISNUMBER(123:123), COLUMN(123:123)), ISNUMBER(123:123)),
  _xlpm.elos, INDEX(122:122,1,_xlpm.colj),
  _xlpm.diffscale, Constantes!$B$2,
  IF(M123="",
    "",
    SUM(1/(1+POWER(10,-(M122-_xlpm.elos)/_xlpm.diffscale)))-0.5)
)</f>
        <v/>
      </c>
      <c r="N124" t="str" cm="1">
        <f t="array" ref="N124">_xlfn.LET(
  _xlpm.colj, _xlfn._xlws.FILTER(IF(ISNUMBER(123:123), COLUMN(123:123)), ISNUMBER(123:123)),
  _xlpm.elos, INDEX(122:122,1,_xlpm.colj),
  _xlpm.diffscale, Constantes!$B$2,
  IF(N123="",
    "",
    SUM(1/(1+POWER(10,-(N122-_xlpm.elos)/_xlpm.diffscale)))-0.5)
)</f>
        <v/>
      </c>
      <c r="O124" t="str" cm="1">
        <f t="array" ref="O124">_xlfn.LET(
  _xlpm.colj, _xlfn._xlws.FILTER(IF(ISNUMBER(123:123), COLUMN(123:123)), ISNUMBER(123:123)),
  _xlpm.elos, INDEX(122:122,1,_xlpm.colj),
  _xlpm.diffscale, Constantes!$B$2,
  IF(O123="",
    "",
    SUM(1/(1+POWER(10,-(O122-_xlpm.elos)/_xlpm.diffscale)))-0.5)
)</f>
        <v/>
      </c>
      <c r="P124" t="str" cm="1">
        <f t="array" ref="P124">_xlfn.LET(
  _xlpm.colj, _xlfn._xlws.FILTER(IF(ISNUMBER(123:123), COLUMN(123:123)), ISNUMBER(123:123)),
  _xlpm.elos, INDEX(122:122,1,_xlpm.colj),
  _xlpm.diffscale, Constantes!$B$2,
  IF(P123="",
    "",
    SUM(1/(1+POWER(10,-(P122-_xlpm.elos)/_xlpm.diffscale)))-0.5)
)</f>
        <v/>
      </c>
      <c r="Q124" t="str" cm="1">
        <f t="array" ref="Q124">_xlfn.LET(
  _xlpm.colj, _xlfn._xlws.FILTER(IF(ISNUMBER(123:123), COLUMN(123:123)), ISNUMBER(123:123)),
  _xlpm.elos, INDEX(122:122,1,_xlpm.colj),
  _xlpm.diffscale, Constantes!$B$2,
  IF(Q123="",
    "",
    SUM(1/(1+POWER(10,-(Q122-_xlpm.elos)/_xlpm.diffscale)))-0.5)
)</f>
        <v/>
      </c>
      <c r="R124" t="str" cm="1">
        <f t="array" ref="R124">_xlfn.LET(
  _xlpm.colj, _xlfn._xlws.FILTER(IF(ISNUMBER(123:123), COLUMN(123:123)), ISNUMBER(123:123)),
  _xlpm.elos, INDEX(122:122,1,_xlpm.colj),
  _xlpm.diffscale, Constantes!$B$2,
  IF(R123="",
    "",
    SUM(1/(1+POWER(10,-(R122-_xlpm.elos)/_xlpm.diffscale)))-0.5)
)</f>
        <v/>
      </c>
      <c r="S124" t="str" cm="1">
        <f t="array" ref="S124">_xlfn.LET(
  _xlpm.colj, _xlfn._xlws.FILTER(IF(ISNUMBER(123:123), COLUMN(123:123)), ISNUMBER(123:123)),
  _xlpm.elos, INDEX(122:122,1,_xlpm.colj),
  _xlpm.diffscale, Constantes!$B$2,
  IF(S123="",
    "",
    SUM(1/(1+POWER(10,-(S122-_xlpm.elos)/_xlpm.diffscale)))-0.5)
)</f>
        <v/>
      </c>
      <c r="T124" t="str" cm="1">
        <f t="array" ref="T124">_xlfn.LET(
  _xlpm.colj, _xlfn._xlws.FILTER(IF(ISNUMBER(123:123), COLUMN(123:123)), ISNUMBER(123:123)),
  _xlpm.elos, INDEX(122:122,1,_xlpm.colj),
  _xlpm.diffscale, Constantes!$B$2,
  IF(T123="",
    "",
    SUM(1/(1+POWER(10,-(T122-_xlpm.elos)/_xlpm.diffscale)))-0.5)
)</f>
        <v/>
      </c>
      <c r="U124" cm="1">
        <f t="array" ref="U124">_xlfn.LET(
  _xlpm.colj, _xlfn._xlws.FILTER(IF(ISNUMBER(123:123), COLUMN(123:123)), ISNUMBER(123:123)),
  _xlpm.elos, INDEX(122:122,1,_xlpm.colj),
  _xlpm.diffscale, Constantes!$B$2,
  IF(U123="",
    "",
    SUM(1/(1+POWER(10,-(U122-_xlpm.elos)/_xlpm.diffscale)))-0.5)
)</f>
        <v>1.7682956210179857</v>
      </c>
      <c r="V124" t="str" cm="1">
        <f t="array" ref="V124">_xlfn.LET(
  _xlpm.colj, _xlfn._xlws.FILTER(IF(ISNUMBER(123:123), COLUMN(123:123)), ISNUMBER(123:123)),
  _xlpm.elos, INDEX(122:122,1,_xlpm.colj),
  _xlpm.diffscale, Constantes!$B$2,
  IF(V123="",
    "",
    SUM(1/(1+POWER(10,-(V122-_xlpm.elos)/_xlpm.diffscale)))-0.5)
)</f>
        <v/>
      </c>
      <c r="W124" t="str" cm="1">
        <f t="array" ref="W124">_xlfn.LET(
  _xlpm.colj, _xlfn._xlws.FILTER(IF(ISNUMBER(123:123), COLUMN(123:123)), ISNUMBER(123:123)),
  _xlpm.elos, INDEX(122:122,1,_xlpm.colj),
  _xlpm.diffscale, Constantes!$B$2,
  IF(W123="",
    "",
    SUM(1/(1+POWER(10,-(W122-_xlpm.elos)/_xlpm.diffscale)))-0.5)
)</f>
        <v/>
      </c>
      <c r="X124" t="str" cm="1">
        <f t="array" ref="X124">_xlfn.LET(
  _xlpm.colj, _xlfn._xlws.FILTER(IF(ISNUMBER(123:123), COLUMN(123:123)), ISNUMBER(123:123)),
  _xlpm.elos, INDEX(122:122,1,_xlpm.colj),
  _xlpm.diffscale, Constantes!$B$2,
  IF(X123="",
    "",
    SUM(1/(1+POWER(10,-(X122-_xlpm.elos)/_xlpm.diffscale)))-0.5)
)</f>
        <v/>
      </c>
      <c r="Y124" cm="1">
        <f t="array" ref="Y124">_xlfn.LET(
  _xlpm.colj, _xlfn._xlws.FILTER(IF(ISNUMBER(123:123), COLUMN(123:123)), ISNUMBER(123:123)),
  _xlpm.elos, INDEX(122:122,1,_xlpm.colj),
  _xlpm.diffscale, Constantes!$B$2,
  IF(Y123="",
    "",
    SUM(1/(1+POWER(10,-(Y122-_xlpm.elos)/_xlpm.diffscale)))-0.5)
)</f>
        <v>1.7506245451784945</v>
      </c>
      <c r="Z124" t="str" cm="1">
        <f t="array" ref="Z124">_xlfn.LET(
  _xlpm.colj, _xlfn._xlws.FILTER(IF(ISNUMBER(123:123), COLUMN(123:123)), ISNUMBER(123:123)),
  _xlpm.elos, INDEX(122:122,1,_xlpm.colj),
  _xlpm.diffscale, Constantes!$B$2,
  IF(Z123="",
    "",
    SUM(1/(1+POWER(10,-(Z122-_xlpm.elos)/_xlpm.diffscale)))-0.5)
)</f>
        <v/>
      </c>
      <c r="AA124" t="str" cm="1">
        <f t="array" ref="AA124">_xlfn.LET(
  _xlpm.colj, _xlfn._xlws.FILTER(IF(ISNUMBER(123:123), COLUMN(123:123)), ISNUMBER(123:123)),
  _xlpm.elos, INDEX(122:122,1,_xlpm.colj),
  _xlpm.diffscale, Constantes!$B$2,
  IF(AA123="",
    "",
    SUM(1/(1+POWER(10,-(AA122-_xlpm.elos)/_xlpm.diffscale)))-0.5)
)</f>
        <v/>
      </c>
      <c r="AB124" cm="1">
        <f t="array" ref="AB124">_xlfn.LET(
  _xlpm.colj, _xlfn._xlws.FILTER(IF(ISNUMBER(123:123), COLUMN(123:123)), ISNUMBER(123:123)),
  _xlpm.elos, INDEX(122:122,1,_xlpm.colj),
  _xlpm.diffscale, Constantes!$B$2,
  IF(AB123="",
    "",
    SUM(1/(1+POWER(10,-(AB122-_xlpm.elos)/_xlpm.diffscale)))-0.5)
)</f>
        <v>1.0828006535564492</v>
      </c>
      <c r="AC124" t="str" cm="1">
        <f t="array" ref="AC124">_xlfn.LET(
  _xlpm.colj, _xlfn._xlws.FILTER(IF(ISNUMBER(123:123), COLUMN(123:123)), ISNUMBER(123:123)),
  _xlpm.elos, INDEX(122:122,1,_xlpm.colj),
  _xlpm.diffscale, Constantes!$B$2,
  IF(AC123="",
    "",
    SUM(1/(1+POWER(10,-(AC122-_xlpm.elos)/_xlpm.diffscale)))-0.5)
)</f>
        <v/>
      </c>
      <c r="AD124" t="str" cm="1">
        <f t="array" ref="AD124">_xlfn.LET(
  _xlpm.colj, _xlfn._xlws.FILTER(IF(ISNUMBER(123:123), COLUMN(123:123)), ISNUMBER(123:123)),
  _xlpm.elos, INDEX(122:122,1,_xlpm.colj),
  _xlpm.diffscale, Constantes!$B$2,
  IF(AD123="",
    "",
    SUM(1/(1+POWER(10,-(AD122-_xlpm.elos)/_xlpm.diffscale)))-0.5)
)</f>
        <v/>
      </c>
      <c r="AE124" t="str" cm="1">
        <f t="array" ref="AE124">_xlfn.LET(
  _xlpm.colj, _xlfn._xlws.FILTER(IF(ISNUMBER(123:123), COLUMN(123:123)), ISNUMBER(123:123)),
  _xlpm.elos, INDEX(122:122,1,_xlpm.colj),
  _xlpm.diffscale, Constantes!$B$2,
  IF(AE123="",
    "",
    SUM(1/(1+POWER(10,-(AE122-_xlpm.elos)/_xlpm.diffscale)))-0.5)
)</f>
        <v/>
      </c>
      <c r="AF124" t="str" cm="1">
        <f t="array" ref="AF124">_xlfn.LET(
  _xlpm.colj, _xlfn._xlws.FILTER(IF(ISNUMBER(123:123), COLUMN(123:123)), ISNUMBER(123:123)),
  _xlpm.elos, INDEX(122:122,1,_xlpm.colj),
  _xlpm.diffscale, Constantes!$B$2,
  IF(AF123="",
    "",
    SUM(1/(1+POWER(10,-(AF122-_xlpm.elos)/_xlpm.diffscale)))-0.5)
)</f>
        <v/>
      </c>
      <c r="AG124" t="str" cm="1">
        <f t="array" ref="AG124">_xlfn.LET(
  _xlpm.colj, _xlfn._xlws.FILTER(IF(ISNUMBER(123:123), COLUMN(123:123)), ISNUMBER(123:123)),
  _xlpm.elos, INDEX(122:122,1,_xlpm.colj),
  _xlpm.diffscale, Constantes!$B$2,
  IF(AG123="",
    "",
    SUM(1/(1+POWER(10,-(AG122-_xlpm.elos)/_xlpm.diffscale)))-0.5)
)</f>
        <v/>
      </c>
      <c r="AH124" t="str" cm="1">
        <f t="array" ref="AH124">_xlfn.LET(
  _xlpm.colj, _xlfn._xlws.FILTER(IF(ISNUMBER(123:123), COLUMN(123:123)), ISNUMBER(123:123)),
  _xlpm.elos, INDEX(122:122,1,_xlpm.colj),
  _xlpm.diffscale, Constantes!$B$2,
  IF(AH123="",
    "",
    SUM(1/(1+POWER(10,-(AH122-_xlpm.elos)/_xlpm.diffscale)))-0.5)
)</f>
        <v/>
      </c>
      <c r="AI124" t="str" cm="1">
        <f t="array" ref="AI124">_xlfn.LET(
  _xlpm.colj, _xlfn._xlws.FILTER(IF(ISNUMBER(123:123), COLUMN(123:123)), ISNUMBER(123:123)),
  _xlpm.elos, INDEX(122:122,1,_xlpm.colj),
  _xlpm.diffscale, Constantes!$B$2,
  IF(AI123="",
    "",
    SUM(1/(1+POWER(10,-(AI122-_xlpm.elos)/_xlpm.diffscale)))-0.5)
)</f>
        <v/>
      </c>
      <c r="AJ124" t="str" cm="1">
        <f t="array" ref="AJ124">_xlfn.LET(
  _xlpm.colj, _xlfn._xlws.FILTER(IF(ISNUMBER(123:123), COLUMN(123:123)), ISNUMBER(123:123)),
  _xlpm.elos, INDEX(122:122,1,_xlpm.colj),
  _xlpm.diffscale, Constantes!$B$2,
  IF(AJ123="",
    "",
    SUM(1/(1+POWER(10,-(AJ122-_xlpm.elos)/_xlpm.diffscale)))-0.5)
)</f>
        <v/>
      </c>
      <c r="AK124" t="str" cm="1">
        <f t="array" ref="AK124">_xlfn.LET(
  _xlpm.colj, _xlfn._xlws.FILTER(IF(ISNUMBER(123:123), COLUMN(123:123)), ISNUMBER(123:123)),
  _xlpm.elos, INDEX(122:122,1,_xlpm.colj),
  _xlpm.diffscale, Constantes!$B$2,
  IF(AK123="",
    "",
    SUM(1/(1+POWER(10,-(AK122-_xlpm.elos)/_xlpm.diffscale)))-0.5)
)</f>
        <v/>
      </c>
      <c r="AL124" t="str" cm="1">
        <f t="array" ref="AL124">_xlfn.LET(
  _xlpm.colj, _xlfn._xlws.FILTER(IF(ISNUMBER(123:123), COLUMN(123:123)), ISNUMBER(123:123)),
  _xlpm.elos, INDEX(122:122,1,_xlpm.colj),
  _xlpm.diffscale, Constantes!$B$2,
  IF(AL123="",
    "",
    SUM(1/(1+POWER(10,-(AL122-_xlpm.elos)/_xlpm.diffscale)))-0.5)
)</f>
        <v/>
      </c>
      <c r="AM124" t="str" cm="1">
        <f t="array" ref="AM124">_xlfn.LET(
  _xlpm.colj, _xlfn._xlws.FILTER(IF(ISNUMBER(123:123), COLUMN(123:123)), ISNUMBER(123:123)),
  _xlpm.elos, INDEX(122:122,1,_xlpm.colj),
  _xlpm.diffscale, Constantes!$B$2,
  IF(AM123="",
    "",
    SUM(1/(1+POWER(10,-(AM122-_xlpm.elos)/_xlpm.diffscale)))-0.5)
)</f>
        <v/>
      </c>
    </row>
    <row r="125" spans="1:39" x14ac:dyDescent="0.25">
      <c r="A125" t="s">
        <v>22</v>
      </c>
      <c r="D125" t="str" cm="1">
        <f t="array" ref="D125">_xlfn.LET(
  _xlpm.K, Constantes!$B$3,
  _xlpm.Knewgain, Constantes!$B$4,
  _xlpm.Knewscale, Constantes!$B$5,
  _xlpm.ptstables, INDEX(D:D, _xlfn.SEQUENCE(COUNTA($C$2:$C125), 1, 3, 4)),
  _xlpm.nbparties, COUNTA(_xlfn._xlws.FILTER(_xlpm.ptstables, _xlpm.ptstables &lt;&gt; "")),
  _xlpm.coef, _xlpm.K + _xlpm.Knewgain / (_xlpm.Knewscale + _xlpm.nbparties),
  IF(D123="",
    "",
    _xlpm.coef * (D123-D124))
)</f>
        <v/>
      </c>
      <c r="E125" t="str" cm="1">
        <f t="array" ref="E125">_xlfn.LET(
  _xlpm.K, Constantes!$B$3,
  _xlpm.Knewgain, Constantes!$B$4,
  _xlpm.Knewscale, Constantes!$B$5,
  _xlpm.ptstables, INDEX(E:E, _xlfn.SEQUENCE(COUNTA($C$2:$C125), 1, 3, 4)),
  _xlpm.nbparties, COUNTA(_xlfn._xlws.FILTER(_xlpm.ptstables, _xlpm.ptstables &lt;&gt; "")),
  _xlpm.coef, _xlpm.K + _xlpm.Knewgain / (_xlpm.Knewscale + _xlpm.nbparties),
  IF(E123="",
    "",
    _xlpm.coef * (E123-E124))
)</f>
        <v/>
      </c>
      <c r="F125" t="str" cm="1">
        <f t="array" ref="F125">_xlfn.LET(
  _xlpm.K, Constantes!$B$3,
  _xlpm.Knewgain, Constantes!$B$4,
  _xlpm.Knewscale, Constantes!$B$5,
  _xlpm.ptstables, INDEX(F:F, _xlfn.SEQUENCE(COUNTA($C$2:$C125), 1, 3, 4)),
  _xlpm.nbparties, COUNTA(_xlfn._xlws.FILTER(_xlpm.ptstables, _xlpm.ptstables &lt;&gt; "")),
  _xlpm.coef, _xlpm.K + _xlpm.Knewgain / (_xlpm.Knewscale + _xlpm.nbparties),
  IF(F123="",
    "",
    _xlpm.coef * (F123-F124))
)</f>
        <v/>
      </c>
      <c r="G125" cm="1">
        <f t="array" ref="G125">_xlfn.LET(
  _xlpm.K, Constantes!$B$3,
  _xlpm.Knewgain, Constantes!$B$4,
  _xlpm.Knewscale, Constantes!$B$5,
  _xlpm.ptstables, INDEX(G:G, _xlfn.SEQUENCE(COUNTA($C$2:$C125), 1, 3, 4)),
  _xlpm.nbparties, COUNTA(_xlfn._xlws.FILTER(_xlpm.ptstables, _xlpm.ptstables &lt;&gt; "")),
  _xlpm.coef, _xlpm.K + _xlpm.Knewgain / (_xlpm.Knewscale + _xlpm.nbparties),
  IF(G123="",
    "",
    _xlpm.coef * (G123-G124))
)</f>
        <v>-33.791746855970871</v>
      </c>
      <c r="H125" t="str" cm="1">
        <f t="array" ref="H125">_xlfn.LET(
  _xlpm.K, Constantes!$B$3,
  _xlpm.Knewgain, Constantes!$B$4,
  _xlpm.Knewscale, Constantes!$B$5,
  _xlpm.ptstables, INDEX(H:H, _xlfn.SEQUENCE(COUNTA($C$2:$C125), 1, 3, 4)),
  _xlpm.nbparties, COUNTA(_xlfn._xlws.FILTER(_xlpm.ptstables, _xlpm.ptstables &lt;&gt; "")),
  _xlpm.coef, _xlpm.K + _xlpm.Knewgain / (_xlpm.Knewscale + _xlpm.nbparties),
  IF(H123="",
    "",
    _xlpm.coef * (H123-H124))
)</f>
        <v/>
      </c>
      <c r="I125" t="str" cm="1">
        <f t="array" ref="I125">_xlfn.LET(
  _xlpm.K, Constantes!$B$3,
  _xlpm.Knewgain, Constantes!$B$4,
  _xlpm.Knewscale, Constantes!$B$5,
  _xlpm.ptstables, INDEX(I:I, _xlfn.SEQUENCE(COUNTA($C$2:$C125), 1, 3, 4)),
  _xlpm.nbparties, COUNTA(_xlfn._xlws.FILTER(_xlpm.ptstables, _xlpm.ptstables &lt;&gt; "")),
  _xlpm.coef, _xlpm.K + _xlpm.Knewgain / (_xlpm.Knewscale + _xlpm.nbparties),
  IF(I123="",
    "",
    _xlpm.coef * (I123-I124))
)</f>
        <v/>
      </c>
      <c r="J125" t="str" cm="1">
        <f t="array" ref="J125">_xlfn.LET(
  _xlpm.K, Constantes!$B$3,
  _xlpm.Knewgain, Constantes!$B$4,
  _xlpm.Knewscale, Constantes!$B$5,
  _xlpm.ptstables, INDEX(J:J, _xlfn.SEQUENCE(COUNTA($C$2:$C125), 1, 3, 4)),
  _xlpm.nbparties, COUNTA(_xlfn._xlws.FILTER(_xlpm.ptstables, _xlpm.ptstables &lt;&gt; "")),
  _xlpm.coef, _xlpm.K + _xlpm.Knewgain / (_xlpm.Knewscale + _xlpm.nbparties),
  IF(J123="",
    "",
    _xlpm.coef * (J123-J124))
)</f>
        <v/>
      </c>
      <c r="K125" t="str" cm="1">
        <f t="array" ref="K125">_xlfn.LET(
  _xlpm.K, Constantes!$B$3,
  _xlpm.Knewgain, Constantes!$B$4,
  _xlpm.Knewscale, Constantes!$B$5,
  _xlpm.ptstables, INDEX(K:K, _xlfn.SEQUENCE(COUNTA($C$2:$C125), 1, 3, 4)),
  _xlpm.nbparties, COUNTA(_xlfn._xlws.FILTER(_xlpm.ptstables, _xlpm.ptstables &lt;&gt; "")),
  _xlpm.coef, _xlpm.K + _xlpm.Knewgain / (_xlpm.Knewscale + _xlpm.nbparties),
  IF(K123="",
    "",
    _xlpm.coef * (K123-K124))
)</f>
        <v/>
      </c>
      <c r="L125" t="str" cm="1">
        <f t="array" ref="L125">_xlfn.LET(
  _xlpm.K, Constantes!$B$3,
  _xlpm.Knewgain, Constantes!$B$4,
  _xlpm.Knewscale, Constantes!$B$5,
  _xlpm.ptstables, INDEX(L:L, _xlfn.SEQUENCE(COUNTA($C$2:$C125), 1, 3, 4)),
  _xlpm.nbparties, COUNTA(_xlfn._xlws.FILTER(_xlpm.ptstables, _xlpm.ptstables &lt;&gt; "")),
  _xlpm.coef, _xlpm.K + _xlpm.Knewgain / (_xlpm.Knewscale + _xlpm.nbparties),
  IF(L123="",
    "",
    _xlpm.coef * (L123-L124))
)</f>
        <v/>
      </c>
      <c r="M125" t="str" cm="1">
        <f t="array" ref="M125">_xlfn.LET(
  _xlpm.K, Constantes!$B$3,
  _xlpm.Knewgain, Constantes!$B$4,
  _xlpm.Knewscale, Constantes!$B$5,
  _xlpm.ptstables, INDEX(M:M, _xlfn.SEQUENCE(COUNTA($C$2:$C125), 1, 3, 4)),
  _xlpm.nbparties, COUNTA(_xlfn._xlws.FILTER(_xlpm.ptstables, _xlpm.ptstables &lt;&gt; "")),
  _xlpm.coef, _xlpm.K + _xlpm.Knewgain / (_xlpm.Knewscale + _xlpm.nbparties),
  IF(M123="",
    "",
    _xlpm.coef * (M123-M124))
)</f>
        <v/>
      </c>
      <c r="N125" t="str" cm="1">
        <f t="array" ref="N125">_xlfn.LET(
  _xlpm.K, Constantes!$B$3,
  _xlpm.Knewgain, Constantes!$B$4,
  _xlpm.Knewscale, Constantes!$B$5,
  _xlpm.ptstables, INDEX(N:N, _xlfn.SEQUENCE(COUNTA($C$2:$C125), 1, 3, 4)),
  _xlpm.nbparties, COUNTA(_xlfn._xlws.FILTER(_xlpm.ptstables, _xlpm.ptstables &lt;&gt; "")),
  _xlpm.coef, _xlpm.K + _xlpm.Knewgain / (_xlpm.Knewscale + _xlpm.nbparties),
  IF(N123="",
    "",
    _xlpm.coef * (N123-N124))
)</f>
        <v/>
      </c>
      <c r="O125" t="str" cm="1">
        <f t="array" ref="O125">_xlfn.LET(
  _xlpm.K, Constantes!$B$3,
  _xlpm.Knewgain, Constantes!$B$4,
  _xlpm.Knewscale, Constantes!$B$5,
  _xlpm.ptstables, INDEX(O:O, _xlfn.SEQUENCE(COUNTA($C$2:$C125), 1, 3, 4)),
  _xlpm.nbparties, COUNTA(_xlfn._xlws.FILTER(_xlpm.ptstables, _xlpm.ptstables &lt;&gt; "")),
  _xlpm.coef, _xlpm.K + _xlpm.Knewgain / (_xlpm.Knewscale + _xlpm.nbparties),
  IF(O123="",
    "",
    _xlpm.coef * (O123-O124))
)</f>
        <v/>
      </c>
      <c r="P125" t="str" cm="1">
        <f t="array" ref="P125">_xlfn.LET(
  _xlpm.K, Constantes!$B$3,
  _xlpm.Knewgain, Constantes!$B$4,
  _xlpm.Knewscale, Constantes!$B$5,
  _xlpm.ptstables, INDEX(P:P, _xlfn.SEQUENCE(COUNTA($C$2:$C125), 1, 3, 4)),
  _xlpm.nbparties, COUNTA(_xlfn._xlws.FILTER(_xlpm.ptstables, _xlpm.ptstables &lt;&gt; "")),
  _xlpm.coef, _xlpm.K + _xlpm.Knewgain / (_xlpm.Knewscale + _xlpm.nbparties),
  IF(P123="",
    "",
    _xlpm.coef * (P123-P124))
)</f>
        <v/>
      </c>
      <c r="Q125" t="str" cm="1">
        <f t="array" ref="Q125">_xlfn.LET(
  _xlpm.K, Constantes!$B$3,
  _xlpm.Knewgain, Constantes!$B$4,
  _xlpm.Knewscale, Constantes!$B$5,
  _xlpm.ptstables, INDEX(Q:Q, _xlfn.SEQUENCE(COUNTA($C$2:$C125), 1, 3, 4)),
  _xlpm.nbparties, COUNTA(_xlfn._xlws.FILTER(_xlpm.ptstables, _xlpm.ptstables &lt;&gt; "")),
  _xlpm.coef, _xlpm.K + _xlpm.Knewgain / (_xlpm.Knewscale + _xlpm.nbparties),
  IF(Q123="",
    "",
    _xlpm.coef * (Q123-Q124))
)</f>
        <v/>
      </c>
      <c r="R125" t="str" cm="1">
        <f t="array" ref="R125">_xlfn.LET(
  _xlpm.K, Constantes!$B$3,
  _xlpm.Knewgain, Constantes!$B$4,
  _xlpm.Knewscale, Constantes!$B$5,
  _xlpm.ptstables, INDEX(R:R, _xlfn.SEQUENCE(COUNTA($C$2:$C125), 1, 3, 4)),
  _xlpm.nbparties, COUNTA(_xlfn._xlws.FILTER(_xlpm.ptstables, _xlpm.ptstables &lt;&gt; "")),
  _xlpm.coef, _xlpm.K + _xlpm.Knewgain / (_xlpm.Knewscale + _xlpm.nbparties),
  IF(R123="",
    "",
    _xlpm.coef * (R123-R124))
)</f>
        <v/>
      </c>
      <c r="S125" t="str" cm="1">
        <f t="array" ref="S125">_xlfn.LET(
  _xlpm.K, Constantes!$B$3,
  _xlpm.Knewgain, Constantes!$B$4,
  _xlpm.Knewscale, Constantes!$B$5,
  _xlpm.ptstables, INDEX(S:S, _xlfn.SEQUENCE(COUNTA($C$2:$C125), 1, 3, 4)),
  _xlpm.nbparties, COUNTA(_xlfn._xlws.FILTER(_xlpm.ptstables, _xlpm.ptstables &lt;&gt; "")),
  _xlpm.coef, _xlpm.K + _xlpm.Knewgain / (_xlpm.Knewscale + _xlpm.nbparties),
  IF(S123="",
    "",
    _xlpm.coef * (S123-S124))
)</f>
        <v/>
      </c>
      <c r="T125" t="str" cm="1">
        <f t="array" ref="T125">_xlfn.LET(
  _xlpm.K, Constantes!$B$3,
  _xlpm.Knewgain, Constantes!$B$4,
  _xlpm.Knewscale, Constantes!$B$5,
  _xlpm.ptstables, INDEX(T:T, _xlfn.SEQUENCE(COUNTA($C$2:$C125), 1, 3, 4)),
  _xlpm.nbparties, COUNTA(_xlfn._xlws.FILTER(_xlpm.ptstables, _xlpm.ptstables &lt;&gt; "")),
  _xlpm.coef, _xlpm.K + _xlpm.Knewgain / (_xlpm.Knewscale + _xlpm.nbparties),
  IF(T123="",
    "",
    _xlpm.coef * (T123-T124))
)</f>
        <v/>
      </c>
      <c r="U125" cm="1">
        <f t="array" ref="U125">_xlfn.LET(
  _xlpm.K, Constantes!$B$3,
  _xlpm.Knewgain, Constantes!$B$4,
  _xlpm.Knewscale, Constantes!$B$5,
  _xlpm.ptstables, INDEX(U:U, _xlfn.SEQUENCE(COUNTA($C$2:$C125), 1, 3, 4)),
  _xlpm.nbparties, COUNTA(_xlfn._xlws.FILTER(_xlpm.ptstables, _xlpm.ptstables &lt;&gt; "")),
  _xlpm.coef, _xlpm.K + _xlpm.Knewgain / (_xlpm.Knewscale + _xlpm.nbparties),
  IF(U123="",
    "",
    _xlpm.coef * (U123-U124))
)</f>
        <v>6.2891188580832464</v>
      </c>
      <c r="V125" t="str" cm="1">
        <f t="array" ref="V125">_xlfn.LET(
  _xlpm.K, Constantes!$B$3,
  _xlpm.Knewgain, Constantes!$B$4,
  _xlpm.Knewscale, Constantes!$B$5,
  _xlpm.ptstables, INDEX(V:V, _xlfn.SEQUENCE(COUNTA($C$2:$C125), 1, 3, 4)),
  _xlpm.nbparties, COUNTA(_xlfn._xlws.FILTER(_xlpm.ptstables, _xlpm.ptstables &lt;&gt; "")),
  _xlpm.coef, _xlpm.K + _xlpm.Knewgain / (_xlpm.Knewscale + _xlpm.nbparties),
  IF(V123="",
    "",
    _xlpm.coef * (V123-V124))
)</f>
        <v/>
      </c>
      <c r="W125" t="str" cm="1">
        <f t="array" ref="W125">_xlfn.LET(
  _xlpm.K, Constantes!$B$3,
  _xlpm.Knewgain, Constantes!$B$4,
  _xlpm.Knewscale, Constantes!$B$5,
  _xlpm.ptstables, INDEX(W:W, _xlfn.SEQUENCE(COUNTA($C$2:$C125), 1, 3, 4)),
  _xlpm.nbparties, COUNTA(_xlfn._xlws.FILTER(_xlpm.ptstables, _xlpm.ptstables &lt;&gt; "")),
  _xlpm.coef, _xlpm.K + _xlpm.Knewgain / (_xlpm.Knewscale + _xlpm.nbparties),
  IF(W123="",
    "",
    _xlpm.coef * (W123-W124))
)</f>
        <v/>
      </c>
      <c r="X125" t="str" cm="1">
        <f t="array" ref="X125">_xlfn.LET(
  _xlpm.K, Constantes!$B$3,
  _xlpm.Knewgain, Constantes!$B$4,
  _xlpm.Knewscale, Constantes!$B$5,
  _xlpm.ptstables, INDEX(X:X, _xlfn.SEQUENCE(COUNTA($C$2:$C125), 1, 3, 4)),
  _xlpm.nbparties, COUNTA(_xlfn._xlws.FILTER(_xlpm.ptstables, _xlpm.ptstables &lt;&gt; "")),
  _xlpm.coef, _xlpm.K + _xlpm.Knewgain / (_xlpm.Knewscale + _xlpm.nbparties),
  IF(X123="",
    "",
    _xlpm.coef * (X123-X124))
)</f>
        <v/>
      </c>
      <c r="Y125" cm="1">
        <f t="array" ref="Y125">_xlfn.LET(
  _xlpm.K, Constantes!$B$3,
  _xlpm.Knewgain, Constantes!$B$4,
  _xlpm.Knewscale, Constantes!$B$5,
  _xlpm.ptstables, INDEX(Y:Y, _xlfn.SEQUENCE(COUNTA($C$2:$C125), 1, 3, 4)),
  _xlpm.nbparties, COUNTA(_xlfn._xlws.FILTER(_xlpm.ptstables, _xlpm.ptstables &lt;&gt; "")),
  _xlpm.coef, _xlpm.K + _xlpm.Knewgain / (_xlpm.Knewscale + _xlpm.nbparties),
  IF(Y123="",
    "",
    _xlpm.coef * (Y123-Y124))
)</f>
        <v>-20.374094797701993</v>
      </c>
      <c r="Z125" t="str" cm="1">
        <f t="array" ref="Z125">_xlfn.LET(
  _xlpm.K, Constantes!$B$3,
  _xlpm.Knewgain, Constantes!$B$4,
  _xlpm.Knewscale, Constantes!$B$5,
  _xlpm.ptstables, INDEX(Z:Z, _xlfn.SEQUENCE(COUNTA($C$2:$C125), 1, 3, 4)),
  _xlpm.nbparties, COUNTA(_xlfn._xlws.FILTER(_xlpm.ptstables, _xlpm.ptstables &lt;&gt; "")),
  _xlpm.coef, _xlpm.K + _xlpm.Knewgain / (_xlpm.Knewscale + _xlpm.nbparties),
  IF(Z123="",
    "",
    _xlpm.coef * (Z123-Z124))
)</f>
        <v/>
      </c>
      <c r="AA125" t="str" cm="1">
        <f t="array" ref="AA125">_xlfn.LET(
  _xlpm.K, Constantes!$B$3,
  _xlpm.Knewgain, Constantes!$B$4,
  _xlpm.Knewscale, Constantes!$B$5,
  _xlpm.ptstables, INDEX(AA:AA, _xlfn.SEQUENCE(COUNTA($C$2:$C125), 1, 3, 4)),
  _xlpm.nbparties, COUNTA(_xlfn._xlws.FILTER(_xlpm.ptstables, _xlpm.ptstables &lt;&gt; "")),
  _xlpm.coef, _xlpm.K + _xlpm.Knewgain / (_xlpm.Knewscale + _xlpm.nbparties),
  IF(AA123="",
    "",
    _xlpm.coef * (AA123-AA124))
)</f>
        <v/>
      </c>
      <c r="AB125" cm="1">
        <f t="array" ref="AB125">_xlfn.LET(
  _xlpm.K, Constantes!$B$3,
  _xlpm.Knewgain, Constantes!$B$4,
  _xlpm.Knewscale, Constantes!$B$5,
  _xlpm.ptstables, INDEX(AB:AB, _xlfn.SEQUENCE(COUNTA($C$2:$C125), 1, 3, 4)),
  _xlpm.nbparties, COUNTA(_xlfn._xlws.FILTER(_xlpm.ptstables, _xlpm.ptstables &lt;&gt; "")),
  _xlpm.coef, _xlpm.K + _xlpm.Knewgain / (_xlpm.Knewscale + _xlpm.nbparties),
  IF(AB123="",
    "",
    _xlpm.coef * (AB123-AB124))
)</f>
        <v>70.297309369596874</v>
      </c>
      <c r="AC125" t="str" cm="1">
        <f t="array" ref="AC125">_xlfn.LET(
  _xlpm.K, Constantes!$B$3,
  _xlpm.Knewgain, Constantes!$B$4,
  _xlpm.Knewscale, Constantes!$B$5,
  _xlpm.ptstables, INDEX(AC:AC, _xlfn.SEQUENCE(COUNTA($C$2:$C125), 1, 3, 4)),
  _xlpm.nbparties, COUNTA(_xlfn._xlws.FILTER(_xlpm.ptstables, _xlpm.ptstables &lt;&gt; "")),
  _xlpm.coef, _xlpm.K + _xlpm.Knewgain / (_xlpm.Knewscale + _xlpm.nbparties),
  IF(AC123="",
    "",
    _xlpm.coef * (AC123-AC124))
)</f>
        <v/>
      </c>
      <c r="AD125" t="str" cm="1">
        <f t="array" ref="AD125">_xlfn.LET(
  _xlpm.K, Constantes!$B$3,
  _xlpm.Knewgain, Constantes!$B$4,
  _xlpm.Knewscale, Constantes!$B$5,
  _xlpm.ptstables, INDEX(AD:AD, _xlfn.SEQUENCE(COUNTA($C$2:$C125), 1, 3, 4)),
  _xlpm.nbparties, COUNTA(_xlfn._xlws.FILTER(_xlpm.ptstables, _xlpm.ptstables &lt;&gt; "")),
  _xlpm.coef, _xlpm.K + _xlpm.Knewgain / (_xlpm.Knewscale + _xlpm.nbparties),
  IF(AD123="",
    "",
    _xlpm.coef * (AD123-AD124))
)</f>
        <v/>
      </c>
      <c r="AE125" t="str" cm="1">
        <f t="array" ref="AE125">_xlfn.LET(
  _xlpm.K, Constantes!$B$3,
  _xlpm.Knewgain, Constantes!$B$4,
  _xlpm.Knewscale, Constantes!$B$5,
  _xlpm.ptstables, INDEX(AE:AE, _xlfn.SEQUENCE(COUNTA($C$2:$C125), 1, 3, 4)),
  _xlpm.nbparties, COUNTA(_xlfn._xlws.FILTER(_xlpm.ptstables, _xlpm.ptstables &lt;&gt; "")),
  _xlpm.coef, _xlpm.K + _xlpm.Knewgain / (_xlpm.Knewscale + _xlpm.nbparties),
  IF(AE123="",
    "",
    _xlpm.coef * (AE123-AE124))
)</f>
        <v/>
      </c>
      <c r="AF125" t="str" cm="1">
        <f t="array" ref="AF125">_xlfn.LET(
  _xlpm.K, Constantes!$B$3,
  _xlpm.Knewgain, Constantes!$B$4,
  _xlpm.Knewscale, Constantes!$B$5,
  _xlpm.ptstables, INDEX(AF:AF, _xlfn.SEQUENCE(COUNTA($C$2:$C125), 1, 3, 4)),
  _xlpm.nbparties, COUNTA(_xlfn._xlws.FILTER(_xlpm.ptstables, _xlpm.ptstables &lt;&gt; "")),
  _xlpm.coef, _xlpm.K + _xlpm.Knewgain / (_xlpm.Knewscale + _xlpm.nbparties),
  IF(AF123="",
    "",
    _xlpm.coef * (AF123-AF124))
)</f>
        <v/>
      </c>
      <c r="AG125" t="str" cm="1">
        <f t="array" ref="AG125">_xlfn.LET(
  _xlpm.K, Constantes!$B$3,
  _xlpm.Knewgain, Constantes!$B$4,
  _xlpm.Knewscale, Constantes!$B$5,
  _xlpm.ptstables, INDEX(AG:AG, _xlfn.SEQUENCE(COUNTA($C$2:$C125), 1, 3, 4)),
  _xlpm.nbparties, COUNTA(_xlfn._xlws.FILTER(_xlpm.ptstables, _xlpm.ptstables &lt;&gt; "")),
  _xlpm.coef, _xlpm.K + _xlpm.Knewgain / (_xlpm.Knewscale + _xlpm.nbparties),
  IF(AG123="",
    "",
    _xlpm.coef * (AG123-AG124))
)</f>
        <v/>
      </c>
      <c r="AH125" t="str" cm="1">
        <f t="array" ref="AH125">_xlfn.LET(
  _xlpm.K, Constantes!$B$3,
  _xlpm.Knewgain, Constantes!$B$4,
  _xlpm.Knewscale, Constantes!$B$5,
  _xlpm.ptstables, INDEX(AH:AH, _xlfn.SEQUENCE(COUNTA($C$2:$C125), 1, 3, 4)),
  _xlpm.nbparties, COUNTA(_xlfn._xlws.FILTER(_xlpm.ptstables, _xlpm.ptstables &lt;&gt; "")),
  _xlpm.coef, _xlpm.K + _xlpm.Knewgain / (_xlpm.Knewscale + _xlpm.nbparties),
  IF(AH123="",
    "",
    _xlpm.coef * (AH123-AH124))
)</f>
        <v/>
      </c>
      <c r="AI125" t="str" cm="1">
        <f t="array" ref="AI125">_xlfn.LET(
  _xlpm.K, Constantes!$B$3,
  _xlpm.Knewgain, Constantes!$B$4,
  _xlpm.Knewscale, Constantes!$B$5,
  _xlpm.ptstables, INDEX(AI:AI, _xlfn.SEQUENCE(COUNTA($C$2:$C125), 1, 3, 4)),
  _xlpm.nbparties, COUNTA(_xlfn._xlws.FILTER(_xlpm.ptstables, _xlpm.ptstables &lt;&gt; "")),
  _xlpm.coef, _xlpm.K + _xlpm.Knewgain / (_xlpm.Knewscale + _xlpm.nbparties),
  IF(AI123="",
    "",
    _xlpm.coef * (AI123-AI124))
)</f>
        <v/>
      </c>
      <c r="AJ125" t="str" cm="1">
        <f t="array" ref="AJ125">_xlfn.LET(
  _xlpm.K, Constantes!$B$3,
  _xlpm.Knewgain, Constantes!$B$4,
  _xlpm.Knewscale, Constantes!$B$5,
  _xlpm.ptstables, INDEX(AJ:AJ, _xlfn.SEQUENCE(COUNTA($C$2:$C125), 1, 3, 4)),
  _xlpm.nbparties, COUNTA(_xlfn._xlws.FILTER(_xlpm.ptstables, _xlpm.ptstables &lt;&gt; "")),
  _xlpm.coef, _xlpm.K + _xlpm.Knewgain / (_xlpm.Knewscale + _xlpm.nbparties),
  IF(AJ123="",
    "",
    _xlpm.coef * (AJ123-AJ124))
)</f>
        <v/>
      </c>
      <c r="AK125" t="str" cm="1">
        <f t="array" ref="AK125">_xlfn.LET(
  _xlpm.K, Constantes!$B$3,
  _xlpm.Knewgain, Constantes!$B$4,
  _xlpm.Knewscale, Constantes!$B$5,
  _xlpm.ptstables, INDEX(AK:AK, _xlfn.SEQUENCE(COUNTA($C$2:$C125), 1, 3, 4)),
  _xlpm.nbparties, COUNTA(_xlfn._xlws.FILTER(_xlpm.ptstables, _xlpm.ptstables &lt;&gt; "")),
  _xlpm.coef, _xlpm.K + _xlpm.Knewgain / (_xlpm.Knewscale + _xlpm.nbparties),
  IF(AK123="",
    "",
    _xlpm.coef * (AK123-AK124))
)</f>
        <v/>
      </c>
      <c r="AL125" t="str" cm="1">
        <f t="array" ref="AL125">_xlfn.LET(
  _xlpm.K, Constantes!$B$3,
  _xlpm.Knewgain, Constantes!$B$4,
  _xlpm.Knewscale, Constantes!$B$5,
  _xlpm.ptstables, INDEX(AL:AL, _xlfn.SEQUENCE(COUNTA($C$2:$C125), 1, 3, 4)),
  _xlpm.nbparties, COUNTA(_xlfn._xlws.FILTER(_xlpm.ptstables, _xlpm.ptstables &lt;&gt; "")),
  _xlpm.coef, _xlpm.K + _xlpm.Knewgain / (_xlpm.Knewscale + _xlpm.nbparties),
  IF(AL123="",
    "",
    _xlpm.coef * (AL123-AL124))
)</f>
        <v/>
      </c>
      <c r="AM125" t="str" cm="1">
        <f t="array" ref="AM125">_xlfn.LET(
  _xlpm.K, Constantes!$B$3,
  _xlpm.Knewgain, Constantes!$B$4,
  _xlpm.Knewscale, Constantes!$B$5,
  _xlpm.ptstables, INDEX(AM:AM, _xlfn.SEQUENCE(COUNTA($C$2:$C125), 1, 3, 4)),
  _xlpm.nbparties, COUNTA(_xlfn._xlws.FILTER(_xlpm.ptstables, _xlpm.ptstables &lt;&gt; "")),
  _xlpm.coef, _xlpm.K + _xlpm.Knewgain / (_xlpm.Knewscale + _xlpm.nbparties),
  IF(AM123="",
    "",
    _xlpm.coef * (AM123-AM124))
)</f>
        <v/>
      </c>
    </row>
    <row r="126" spans="1:39" x14ac:dyDescent="0.25">
      <c r="A126" t="s">
        <v>14</v>
      </c>
      <c r="B126" t="str" cm="1">
        <f t="array" ref="B12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30</v>
      </c>
      <c r="C126" s="2" cm="1">
        <f t="array" ref="C126">IF(B126="","",
  INDEX(Donnees!F:F, MATCH(B126, Donnees!F:F, 0)+1))</f>
        <v>45920.931527777779</v>
      </c>
      <c r="D126">
        <f t="shared" ref="D126:AM126" si="39">D122+IF(D125="",0,D125)</f>
        <v>1093.2481344372964</v>
      </c>
      <c r="E126">
        <f t="shared" si="39"/>
        <v>1105.3750854597461</v>
      </c>
      <c r="F126">
        <f t="shared" si="39"/>
        <v>908.83204631618707</v>
      </c>
      <c r="G126">
        <f t="shared" si="39"/>
        <v>941.3180126697232</v>
      </c>
      <c r="H126">
        <f t="shared" si="39"/>
        <v>1043.8545020183328</v>
      </c>
      <c r="I126">
        <f t="shared" si="39"/>
        <v>1056.8165036600865</v>
      </c>
      <c r="J126">
        <f t="shared" si="39"/>
        <v>938.49433816478961</v>
      </c>
      <c r="K126">
        <f t="shared" si="39"/>
        <v>907.51653081539087</v>
      </c>
      <c r="L126">
        <f t="shared" si="39"/>
        <v>833.43137648430843</v>
      </c>
      <c r="M126">
        <f t="shared" si="39"/>
        <v>913.41986361738122</v>
      </c>
      <c r="N126">
        <f t="shared" si="39"/>
        <v>924.41787774469185</v>
      </c>
      <c r="O126">
        <f t="shared" si="39"/>
        <v>1030.4363831507294</v>
      </c>
      <c r="P126">
        <f t="shared" si="39"/>
        <v>1015.4353469144262</v>
      </c>
      <c r="Q126">
        <f t="shared" si="39"/>
        <v>1053.621497353671</v>
      </c>
      <c r="R126">
        <f t="shared" si="39"/>
        <v>1127.3039385986251</v>
      </c>
      <c r="S126">
        <f t="shared" si="39"/>
        <v>966.5830154691273</v>
      </c>
      <c r="T126">
        <f t="shared" si="39"/>
        <v>1135.2782658680615</v>
      </c>
      <c r="U126">
        <f t="shared" si="39"/>
        <v>1047.3318672317168</v>
      </c>
      <c r="V126">
        <f t="shared" si="39"/>
        <v>961.58818235691967</v>
      </c>
      <c r="W126">
        <f t="shared" si="39"/>
        <v>936.79085942937002</v>
      </c>
      <c r="X126">
        <f t="shared" si="39"/>
        <v>830.788580615</v>
      </c>
      <c r="Y126">
        <f t="shared" si="39"/>
        <v>1017.4822717685487</v>
      </c>
      <c r="Z126">
        <f t="shared" si="39"/>
        <v>991.11904139672549</v>
      </c>
      <c r="AA126">
        <f t="shared" si="39"/>
        <v>980.56756855165884</v>
      </c>
      <c r="AB126">
        <f t="shared" si="39"/>
        <v>988.35669729544747</v>
      </c>
      <c r="AC126">
        <f t="shared" si="39"/>
        <v>1032.51</v>
      </c>
      <c r="AD126">
        <f t="shared" si="39"/>
        <v>974.01499999999999</v>
      </c>
      <c r="AE126">
        <f t="shared" si="39"/>
        <v>1011.415</v>
      </c>
      <c r="AF126">
        <f t="shared" si="39"/>
        <v>1031.1199999999999</v>
      </c>
      <c r="AG126">
        <f t="shared" si="39"/>
        <v>1001.0350000000001</v>
      </c>
      <c r="AH126">
        <f t="shared" si="39"/>
        <v>994.44</v>
      </c>
      <c r="AI126">
        <f t="shared" si="39"/>
        <v>1000</v>
      </c>
      <c r="AJ126">
        <f t="shared" si="39"/>
        <v>957.2</v>
      </c>
      <c r="AK126">
        <f t="shared" si="39"/>
        <v>1000</v>
      </c>
      <c r="AL126">
        <f t="shared" si="39"/>
        <v>1055.9299999999998</v>
      </c>
      <c r="AM126">
        <f t="shared" si="39"/>
        <v>1000</v>
      </c>
    </row>
    <row r="127" spans="1:39" x14ac:dyDescent="0.25">
      <c r="A127" t="s">
        <v>21</v>
      </c>
      <c r="D127" cm="1">
        <f t="array" ref="D127">IFERROR(
  _xlfn.LET(
    _xlpm.ligpartie, MATCH($B126, Donnees!$F:$F, 0),
    _xlpm.joueurs, INDEX(Donnees!$A:$Z, _xlpm.ligpartie+1, _xlfn.SEQUENCE(1, 4, 2)),
    INDEX(
      Donnees!$A:$Z,
      _xlpm.ligpartie + 3,
      MATCH(D$1, _xlpm.joueurs, 0) + 1
    )
  ), ""
)</f>
        <v>2</v>
      </c>
      <c r="E127" t="str" cm="1">
        <f t="array" ref="E127">IFERROR(
  _xlfn.LET(
    _xlpm.ligpartie, MATCH($B126, Donnees!$F:$F, 0),
    _xlpm.joueurs, INDEX(Donnees!$A:$Z, _xlpm.ligpartie+1, _xlfn.SEQUENCE(1, 4, 2)),
    INDEX(
      Donnees!$A:$Z,
      _xlpm.ligpartie + 3,
      MATCH(E$1, _xlpm.joueurs, 0) + 1
    )
  ), ""
)</f>
        <v/>
      </c>
      <c r="F127" t="str" cm="1">
        <f t="array" ref="F127">IFERROR(
  _xlfn.LET(
    _xlpm.ligpartie, MATCH($B126, Donnees!$F:$F, 0),
    _xlpm.joueurs, INDEX(Donnees!$A:$Z, _xlpm.ligpartie+1, _xlfn.SEQUENCE(1, 4, 2)),
    INDEX(
      Donnees!$A:$Z,
      _xlpm.ligpartie + 3,
      MATCH(F$1, _xlpm.joueurs, 0) + 1
    )
  ), ""
)</f>
        <v/>
      </c>
      <c r="G127" t="str" cm="1">
        <f t="array" ref="G127">IFERROR(
  _xlfn.LET(
    _xlpm.ligpartie, MATCH($B126, Donnees!$F:$F, 0),
    _xlpm.joueurs, INDEX(Donnees!$A:$Z, _xlpm.ligpartie+1, _xlfn.SEQUENCE(1, 4, 2)),
    INDEX(
      Donnees!$A:$Z,
      _xlpm.ligpartie + 3,
      MATCH(G$1, _xlpm.joueurs, 0) + 1
    )
  ), ""
)</f>
        <v/>
      </c>
      <c r="H127" t="str" cm="1">
        <f t="array" ref="H127">IFERROR(
  _xlfn.LET(
    _xlpm.ligpartie, MATCH($B126, Donnees!$F:$F, 0),
    _xlpm.joueurs, INDEX(Donnees!$A:$Z, _xlpm.ligpartie+1, _xlfn.SEQUENCE(1, 4, 2)),
    INDEX(
      Donnees!$A:$Z,
      _xlpm.ligpartie + 3,
      MATCH(H$1, _xlpm.joueurs, 0) + 1
    )
  ), ""
)</f>
        <v/>
      </c>
      <c r="I127" t="str" cm="1">
        <f t="array" ref="I127">IFERROR(
  _xlfn.LET(
    _xlpm.ligpartie, MATCH($B126, Donnees!$F:$F, 0),
    _xlpm.joueurs, INDEX(Donnees!$A:$Z, _xlpm.ligpartie+1, _xlfn.SEQUENCE(1, 4, 2)),
    INDEX(
      Donnees!$A:$Z,
      _xlpm.ligpartie + 3,
      MATCH(I$1, _xlpm.joueurs, 0) + 1
    )
  ), ""
)</f>
        <v/>
      </c>
      <c r="J127" t="str" cm="1">
        <f t="array" ref="J127">IFERROR(
  _xlfn.LET(
    _xlpm.ligpartie, MATCH($B126, Donnees!$F:$F, 0),
    _xlpm.joueurs, INDEX(Donnees!$A:$Z, _xlpm.ligpartie+1, _xlfn.SEQUENCE(1, 4, 2)),
    INDEX(
      Donnees!$A:$Z,
      _xlpm.ligpartie + 3,
      MATCH(J$1, _xlpm.joueurs, 0) + 1
    )
  ), ""
)</f>
        <v/>
      </c>
      <c r="K127" t="str" cm="1">
        <f t="array" ref="K127">IFERROR(
  _xlfn.LET(
    _xlpm.ligpartie, MATCH($B126, Donnees!$F:$F, 0),
    _xlpm.joueurs, INDEX(Donnees!$A:$Z, _xlpm.ligpartie+1, _xlfn.SEQUENCE(1, 4, 2)),
    INDEX(
      Donnees!$A:$Z,
      _xlpm.ligpartie + 3,
      MATCH(K$1, _xlpm.joueurs, 0) + 1
    )
  ), ""
)</f>
        <v/>
      </c>
      <c r="L127" t="str" cm="1">
        <f t="array" ref="L127">IFERROR(
  _xlfn.LET(
    _xlpm.ligpartie, MATCH($B126, Donnees!$F:$F, 0),
    _xlpm.joueurs, INDEX(Donnees!$A:$Z, _xlpm.ligpartie+1, _xlfn.SEQUENCE(1, 4, 2)),
    INDEX(
      Donnees!$A:$Z,
      _xlpm.ligpartie + 3,
      MATCH(L$1, _xlpm.joueurs, 0) + 1
    )
  ), ""
)</f>
        <v/>
      </c>
      <c r="M127" t="str" cm="1">
        <f t="array" ref="M127">IFERROR(
  _xlfn.LET(
    _xlpm.ligpartie, MATCH($B126, Donnees!$F:$F, 0),
    _xlpm.joueurs, INDEX(Donnees!$A:$Z, _xlpm.ligpartie+1, _xlfn.SEQUENCE(1, 4, 2)),
    INDEX(
      Donnees!$A:$Z,
      _xlpm.ligpartie + 3,
      MATCH(M$1, _xlpm.joueurs, 0) + 1
    )
  ), ""
)</f>
        <v/>
      </c>
      <c r="N127" t="str" cm="1">
        <f t="array" ref="N127">IFERROR(
  _xlfn.LET(
    _xlpm.ligpartie, MATCH($B126, Donnees!$F:$F, 0),
    _xlpm.joueurs, INDEX(Donnees!$A:$Z, _xlpm.ligpartie+1, _xlfn.SEQUENCE(1, 4, 2)),
    INDEX(
      Donnees!$A:$Z,
      _xlpm.ligpartie + 3,
      MATCH(N$1, _xlpm.joueurs, 0) + 1
    )
  ), ""
)</f>
        <v/>
      </c>
      <c r="O127" t="str" cm="1">
        <f t="array" ref="O127">IFERROR(
  _xlfn.LET(
    _xlpm.ligpartie, MATCH($B126, Donnees!$F:$F, 0),
    _xlpm.joueurs, INDEX(Donnees!$A:$Z, _xlpm.ligpartie+1, _xlfn.SEQUENCE(1, 4, 2)),
    INDEX(
      Donnees!$A:$Z,
      _xlpm.ligpartie + 3,
      MATCH(O$1, _xlpm.joueurs, 0) + 1
    )
  ), ""
)</f>
        <v/>
      </c>
      <c r="P127" t="str" cm="1">
        <f t="array" ref="P127">IFERROR(
  _xlfn.LET(
    _xlpm.ligpartie, MATCH($B126, Donnees!$F:$F, 0),
    _xlpm.joueurs, INDEX(Donnees!$A:$Z, _xlpm.ligpartie+1, _xlfn.SEQUENCE(1, 4, 2)),
    INDEX(
      Donnees!$A:$Z,
      _xlpm.ligpartie + 3,
      MATCH(P$1, _xlpm.joueurs, 0) + 1
    )
  ), ""
)</f>
        <v/>
      </c>
      <c r="Q127" cm="1">
        <f t="array" ref="Q127">IFERROR(
  _xlfn.LET(
    _xlpm.ligpartie, MATCH($B126, Donnees!$F:$F, 0),
    _xlpm.joueurs, INDEX(Donnees!$A:$Z, _xlpm.ligpartie+1, _xlfn.SEQUENCE(1, 4, 2)),
    INDEX(
      Donnees!$A:$Z,
      _xlpm.ligpartie + 3,
      MATCH(Q$1, _xlpm.joueurs, 0) + 1
    )
  ), ""
)</f>
        <v>3</v>
      </c>
      <c r="R127" cm="1">
        <f t="array" ref="R127">IFERROR(
  _xlfn.LET(
    _xlpm.ligpartie, MATCH($B126, Donnees!$F:$F, 0),
    _xlpm.joueurs, INDEX(Donnees!$A:$Z, _xlpm.ligpartie+1, _xlfn.SEQUENCE(1, 4, 2)),
    INDEX(
      Donnees!$A:$Z,
      _xlpm.ligpartie + 3,
      MATCH(R$1, _xlpm.joueurs, 0) + 1
    )
  ), ""
)</f>
        <v>1</v>
      </c>
      <c r="S127" cm="1">
        <f t="array" ref="S127">IFERROR(
  _xlfn.LET(
    _xlpm.ligpartie, MATCH($B126, Donnees!$F:$F, 0),
    _xlpm.joueurs, INDEX(Donnees!$A:$Z, _xlpm.ligpartie+1, _xlfn.SEQUENCE(1, 4, 2)),
    INDEX(
      Donnees!$A:$Z,
      _xlpm.ligpartie + 3,
      MATCH(S$1, _xlpm.joueurs, 0) + 1
    )
  ), ""
)</f>
        <v>0</v>
      </c>
      <c r="T127" t="str" cm="1">
        <f t="array" ref="T127">IFERROR(
  _xlfn.LET(
    _xlpm.ligpartie, MATCH($B126, Donnees!$F:$F, 0),
    _xlpm.joueurs, INDEX(Donnees!$A:$Z, _xlpm.ligpartie+1, _xlfn.SEQUENCE(1, 4, 2)),
    INDEX(
      Donnees!$A:$Z,
      _xlpm.ligpartie + 3,
      MATCH(T$1, _xlpm.joueurs, 0) + 1
    )
  ), ""
)</f>
        <v/>
      </c>
      <c r="U127" t="str" cm="1">
        <f t="array" ref="U127">IFERROR(
  _xlfn.LET(
    _xlpm.ligpartie, MATCH($B126, Donnees!$F:$F, 0),
    _xlpm.joueurs, INDEX(Donnees!$A:$Z, _xlpm.ligpartie+1, _xlfn.SEQUENCE(1, 4, 2)),
    INDEX(
      Donnees!$A:$Z,
      _xlpm.ligpartie + 3,
      MATCH(U$1, _xlpm.joueurs, 0) + 1
    )
  ), ""
)</f>
        <v/>
      </c>
      <c r="V127" t="str" cm="1">
        <f t="array" ref="V127">IFERROR(
  _xlfn.LET(
    _xlpm.ligpartie, MATCH($B126, Donnees!$F:$F, 0),
    _xlpm.joueurs, INDEX(Donnees!$A:$Z, _xlpm.ligpartie+1, _xlfn.SEQUENCE(1, 4, 2)),
    INDEX(
      Donnees!$A:$Z,
      _xlpm.ligpartie + 3,
      MATCH(V$1, _xlpm.joueurs, 0) + 1
    )
  ), ""
)</f>
        <v/>
      </c>
      <c r="W127" t="str" cm="1">
        <f t="array" ref="W127">IFERROR(
  _xlfn.LET(
    _xlpm.ligpartie, MATCH($B126, Donnees!$F:$F, 0),
    _xlpm.joueurs, INDEX(Donnees!$A:$Z, _xlpm.ligpartie+1, _xlfn.SEQUENCE(1, 4, 2)),
    INDEX(
      Donnees!$A:$Z,
      _xlpm.ligpartie + 3,
      MATCH(W$1, _xlpm.joueurs, 0) + 1
    )
  ), ""
)</f>
        <v/>
      </c>
      <c r="X127" t="str" cm="1">
        <f t="array" ref="X127">IFERROR(
  _xlfn.LET(
    _xlpm.ligpartie, MATCH($B126, Donnees!$F:$F, 0),
    _xlpm.joueurs, INDEX(Donnees!$A:$Z, _xlpm.ligpartie+1, _xlfn.SEQUENCE(1, 4, 2)),
    INDEX(
      Donnees!$A:$Z,
      _xlpm.ligpartie + 3,
      MATCH(X$1, _xlpm.joueurs, 0) + 1
    )
  ), ""
)</f>
        <v/>
      </c>
      <c r="Y127" t="str" cm="1">
        <f t="array" ref="Y127">IFERROR(
  _xlfn.LET(
    _xlpm.ligpartie, MATCH($B126, Donnees!$F:$F, 0),
    _xlpm.joueurs, INDEX(Donnees!$A:$Z, _xlpm.ligpartie+1, _xlfn.SEQUENCE(1, 4, 2)),
    INDEX(
      Donnees!$A:$Z,
      _xlpm.ligpartie + 3,
      MATCH(Y$1, _xlpm.joueurs, 0) + 1
    )
  ), ""
)</f>
        <v/>
      </c>
      <c r="Z127" t="str" cm="1">
        <f t="array" ref="Z127">IFERROR(
  _xlfn.LET(
    _xlpm.ligpartie, MATCH($B126, Donnees!$F:$F, 0),
    _xlpm.joueurs, INDEX(Donnees!$A:$Z, _xlpm.ligpartie+1, _xlfn.SEQUENCE(1, 4, 2)),
    INDEX(
      Donnees!$A:$Z,
      _xlpm.ligpartie + 3,
      MATCH(Z$1, _xlpm.joueurs, 0) + 1
    )
  ), ""
)</f>
        <v/>
      </c>
      <c r="AA127" t="str" cm="1">
        <f t="array" ref="AA127">IFERROR(
  _xlfn.LET(
    _xlpm.ligpartie, MATCH($B126, Donnees!$F:$F, 0),
    _xlpm.joueurs, INDEX(Donnees!$A:$Z, _xlpm.ligpartie+1, _xlfn.SEQUENCE(1, 4, 2)),
    INDEX(
      Donnees!$A:$Z,
      _xlpm.ligpartie + 3,
      MATCH(AA$1, _xlpm.joueurs, 0) + 1
    )
  ), ""
)</f>
        <v/>
      </c>
      <c r="AB127" t="str" cm="1">
        <f t="array" ref="AB127">IFERROR(
  _xlfn.LET(
    _xlpm.ligpartie, MATCH($B126, Donnees!$F:$F, 0),
    _xlpm.joueurs, INDEX(Donnees!$A:$Z, _xlpm.ligpartie+1, _xlfn.SEQUENCE(1, 4, 2)),
    INDEX(
      Donnees!$A:$Z,
      _xlpm.ligpartie + 3,
      MATCH(AB$1, _xlpm.joueurs, 0) + 1
    )
  ), ""
)</f>
        <v/>
      </c>
      <c r="AC127" t="str" cm="1">
        <f t="array" ref="AC127">IFERROR(
  _xlfn.LET(
    _xlpm.ligpartie, MATCH($B126, Donnees!$F:$F, 0),
    _xlpm.joueurs, INDEX(Donnees!$A:$Z, _xlpm.ligpartie+1, _xlfn.SEQUENCE(1, 4, 2)),
    INDEX(
      Donnees!$A:$Z,
      _xlpm.ligpartie + 3,
      MATCH(AC$1, _xlpm.joueurs, 0) + 1
    )
  ), ""
)</f>
        <v/>
      </c>
      <c r="AD127" t="str" cm="1">
        <f t="array" ref="AD127">IFERROR(
  _xlfn.LET(
    _xlpm.ligpartie, MATCH($B126, Donnees!$F:$F, 0),
    _xlpm.joueurs, INDEX(Donnees!$A:$Z, _xlpm.ligpartie+1, _xlfn.SEQUENCE(1, 4, 2)),
    INDEX(
      Donnees!$A:$Z,
      _xlpm.ligpartie + 3,
      MATCH(AD$1, _xlpm.joueurs, 0) + 1
    )
  ), ""
)</f>
        <v/>
      </c>
      <c r="AE127" t="str" cm="1">
        <f t="array" ref="AE127">IFERROR(
  _xlfn.LET(
    _xlpm.ligpartie, MATCH($B126, Donnees!$F:$F, 0),
    _xlpm.joueurs, INDEX(Donnees!$A:$Z, _xlpm.ligpartie+1, _xlfn.SEQUENCE(1, 4, 2)),
    INDEX(
      Donnees!$A:$Z,
      _xlpm.ligpartie + 3,
      MATCH(AE$1, _xlpm.joueurs, 0) + 1
    )
  ), ""
)</f>
        <v/>
      </c>
      <c r="AF127" t="str" cm="1">
        <f t="array" ref="AF127">IFERROR(
  _xlfn.LET(
    _xlpm.ligpartie, MATCH($B126, Donnees!$F:$F, 0),
    _xlpm.joueurs, INDEX(Donnees!$A:$Z, _xlpm.ligpartie+1, _xlfn.SEQUENCE(1, 4, 2)),
    INDEX(
      Donnees!$A:$Z,
      _xlpm.ligpartie + 3,
      MATCH(AF$1, _xlpm.joueurs, 0) + 1
    )
  ), ""
)</f>
        <v/>
      </c>
      <c r="AG127" t="str" cm="1">
        <f t="array" ref="AG127">IFERROR(
  _xlfn.LET(
    _xlpm.ligpartie, MATCH($B126, Donnees!$F:$F, 0),
    _xlpm.joueurs, INDEX(Donnees!$A:$Z, _xlpm.ligpartie+1, _xlfn.SEQUENCE(1, 4, 2)),
    INDEX(
      Donnees!$A:$Z,
      _xlpm.ligpartie + 3,
      MATCH(AG$1, _xlpm.joueurs, 0) + 1
    )
  ), ""
)</f>
        <v/>
      </c>
      <c r="AH127" t="str" cm="1">
        <f t="array" ref="AH127">IFERROR(
  _xlfn.LET(
    _xlpm.ligpartie, MATCH($B126, Donnees!$F:$F, 0),
    _xlpm.joueurs, INDEX(Donnees!$A:$Z, _xlpm.ligpartie+1, _xlfn.SEQUENCE(1, 4, 2)),
    INDEX(
      Donnees!$A:$Z,
      _xlpm.ligpartie + 3,
      MATCH(AH$1, _xlpm.joueurs, 0) + 1
    )
  ), ""
)</f>
        <v/>
      </c>
      <c r="AI127" t="str" cm="1">
        <f t="array" ref="AI127">IFERROR(
  _xlfn.LET(
    _xlpm.ligpartie, MATCH($B126, Donnees!$F:$F, 0),
    _xlpm.joueurs, INDEX(Donnees!$A:$Z, _xlpm.ligpartie+1, _xlfn.SEQUENCE(1, 4, 2)),
    INDEX(
      Donnees!$A:$Z,
      _xlpm.ligpartie + 3,
      MATCH(AI$1, _xlpm.joueurs, 0) + 1
    )
  ), ""
)</f>
        <v/>
      </c>
      <c r="AJ127" t="str" cm="1">
        <f t="array" ref="AJ127">IFERROR(
  _xlfn.LET(
    _xlpm.ligpartie, MATCH($B126, Donnees!$F:$F, 0),
    _xlpm.joueurs, INDEX(Donnees!$A:$Z, _xlpm.ligpartie+1, _xlfn.SEQUENCE(1, 4, 2)),
    INDEX(
      Donnees!$A:$Z,
      _xlpm.ligpartie + 3,
      MATCH(AJ$1, _xlpm.joueurs, 0) + 1
    )
  ), ""
)</f>
        <v/>
      </c>
      <c r="AK127" t="str" cm="1">
        <f t="array" ref="AK127">IFERROR(
  _xlfn.LET(
    _xlpm.ligpartie, MATCH($B126, Donnees!$F:$F, 0),
    _xlpm.joueurs, INDEX(Donnees!$A:$Z, _xlpm.ligpartie+1, _xlfn.SEQUENCE(1, 4, 2)),
    INDEX(
      Donnees!$A:$Z,
      _xlpm.ligpartie + 3,
      MATCH(AK$1, _xlpm.joueurs, 0) + 1
    )
  ), ""
)</f>
        <v/>
      </c>
      <c r="AL127" t="str" cm="1">
        <f t="array" ref="AL127">IFERROR(
  _xlfn.LET(
    _xlpm.ligpartie, MATCH($B126, Donnees!$F:$F, 0),
    _xlpm.joueurs, INDEX(Donnees!$A:$Z, _xlpm.ligpartie+1, _xlfn.SEQUENCE(1, 4, 2)),
    INDEX(
      Donnees!$A:$Z,
      _xlpm.ligpartie + 3,
      MATCH(AL$1, _xlpm.joueurs, 0) + 1
    )
  ), ""
)</f>
        <v/>
      </c>
      <c r="AM127" t="str" cm="1">
        <f t="array" ref="AM127">IFERROR(
  _xlfn.LET(
    _xlpm.ligpartie, MATCH($B126, Donnees!$F:$F, 0),
    _xlpm.joueurs, INDEX(Donnees!$A:$Z, _xlpm.ligpartie+1, _xlfn.SEQUENCE(1, 4, 2)),
    INDEX(
      Donnees!$A:$Z,
      _xlpm.ligpartie + 3,
      MATCH(AM$1, _xlpm.joueurs, 0) + 1
    )
  ), ""
)</f>
        <v/>
      </c>
    </row>
    <row r="128" spans="1:39" x14ac:dyDescent="0.25">
      <c r="A128" t="s">
        <v>20</v>
      </c>
      <c r="D128" cm="1">
        <f t="array" ref="D128">_xlfn.LET(
  _xlpm.colj, _xlfn._xlws.FILTER(IF(ISNUMBER(127:127), COLUMN(127:127)), ISNUMBER(127:127)),
  _xlpm.elos, INDEX(126:126,1,_xlpm.colj),
  _xlpm.diffscale, Constantes!$B$2,
  IF(D127="",
    "",
    SUM(1/(1+POWER(10,-(D126-_xlpm.elos)/_xlpm.diffscale)))-0.5)
)</f>
        <v>1.6825446263840518</v>
      </c>
      <c r="E128" t="str" cm="1">
        <f t="array" ref="E128">_xlfn.LET(
  _xlpm.colj, _xlfn._xlws.FILTER(IF(ISNUMBER(127:127), COLUMN(127:127)), ISNUMBER(127:127)),
  _xlpm.elos, INDEX(126:126,1,_xlpm.colj),
  _xlpm.diffscale, Constantes!$B$2,
  IF(E127="",
    "",
    SUM(1/(1+POWER(10,-(E126-_xlpm.elos)/_xlpm.diffscale)))-0.5)
)</f>
        <v/>
      </c>
      <c r="F128" t="str" cm="1">
        <f t="array" ref="F128">_xlfn.LET(
  _xlpm.colj, _xlfn._xlws.FILTER(IF(ISNUMBER(127:127), COLUMN(127:127)), ISNUMBER(127:127)),
  _xlpm.elos, INDEX(126:126,1,_xlpm.colj),
  _xlpm.diffscale, Constantes!$B$2,
  IF(F127="",
    "",
    SUM(1/(1+POWER(10,-(F126-_xlpm.elos)/_xlpm.diffscale)))-0.5)
)</f>
        <v/>
      </c>
      <c r="G128" t="str" cm="1">
        <f t="array" ref="G128">_xlfn.LET(
  _xlpm.colj, _xlfn._xlws.FILTER(IF(ISNUMBER(127:127), COLUMN(127:127)), ISNUMBER(127:127)),
  _xlpm.elos, INDEX(126:126,1,_xlpm.colj),
  _xlpm.diffscale, Constantes!$B$2,
  IF(G127="",
    "",
    SUM(1/(1+POWER(10,-(G126-_xlpm.elos)/_xlpm.diffscale)))-0.5)
)</f>
        <v/>
      </c>
      <c r="H128" t="str" cm="1">
        <f t="array" ref="H128">_xlfn.LET(
  _xlpm.colj, _xlfn._xlws.FILTER(IF(ISNUMBER(127:127), COLUMN(127:127)), ISNUMBER(127:127)),
  _xlpm.elos, INDEX(126:126,1,_xlpm.colj),
  _xlpm.diffscale, Constantes!$B$2,
  IF(H127="",
    "",
    SUM(1/(1+POWER(10,-(H126-_xlpm.elos)/_xlpm.diffscale)))-0.5)
)</f>
        <v/>
      </c>
      <c r="I128" t="str" cm="1">
        <f t="array" ref="I128">_xlfn.LET(
  _xlpm.colj, _xlfn._xlws.FILTER(IF(ISNUMBER(127:127), COLUMN(127:127)), ISNUMBER(127:127)),
  _xlpm.elos, INDEX(126:126,1,_xlpm.colj),
  _xlpm.diffscale, Constantes!$B$2,
  IF(I127="",
    "",
    SUM(1/(1+POWER(10,-(I126-_xlpm.elos)/_xlpm.diffscale)))-0.5)
)</f>
        <v/>
      </c>
      <c r="J128" t="str" cm="1">
        <f t="array" ref="J128">_xlfn.LET(
  _xlpm.colj, _xlfn._xlws.FILTER(IF(ISNUMBER(127:127), COLUMN(127:127)), ISNUMBER(127:127)),
  _xlpm.elos, INDEX(126:126,1,_xlpm.colj),
  _xlpm.diffscale, Constantes!$B$2,
  IF(J127="",
    "",
    SUM(1/(1+POWER(10,-(J126-_xlpm.elos)/_xlpm.diffscale)))-0.5)
)</f>
        <v/>
      </c>
      <c r="K128" t="str" cm="1">
        <f t="array" ref="K128">_xlfn.LET(
  _xlpm.colj, _xlfn._xlws.FILTER(IF(ISNUMBER(127:127), COLUMN(127:127)), ISNUMBER(127:127)),
  _xlpm.elos, INDEX(126:126,1,_xlpm.colj),
  _xlpm.diffscale, Constantes!$B$2,
  IF(K127="",
    "",
    SUM(1/(1+POWER(10,-(K126-_xlpm.elos)/_xlpm.diffscale)))-0.5)
)</f>
        <v/>
      </c>
      <c r="L128" t="str" cm="1">
        <f t="array" ref="L128">_xlfn.LET(
  _xlpm.colj, _xlfn._xlws.FILTER(IF(ISNUMBER(127:127), COLUMN(127:127)), ISNUMBER(127:127)),
  _xlpm.elos, INDEX(126:126,1,_xlpm.colj),
  _xlpm.diffscale, Constantes!$B$2,
  IF(L127="",
    "",
    SUM(1/(1+POWER(10,-(L126-_xlpm.elos)/_xlpm.diffscale)))-0.5)
)</f>
        <v/>
      </c>
      <c r="M128" t="str" cm="1">
        <f t="array" ref="M128">_xlfn.LET(
  _xlpm.colj, _xlfn._xlws.FILTER(IF(ISNUMBER(127:127), COLUMN(127:127)), ISNUMBER(127:127)),
  _xlpm.elos, INDEX(126:126,1,_xlpm.colj),
  _xlpm.diffscale, Constantes!$B$2,
  IF(M127="",
    "",
    SUM(1/(1+POWER(10,-(M126-_xlpm.elos)/_xlpm.diffscale)))-0.5)
)</f>
        <v/>
      </c>
      <c r="N128" t="str" cm="1">
        <f t="array" ref="N128">_xlfn.LET(
  _xlpm.colj, _xlfn._xlws.FILTER(IF(ISNUMBER(127:127), COLUMN(127:127)), ISNUMBER(127:127)),
  _xlpm.elos, INDEX(126:126,1,_xlpm.colj),
  _xlpm.diffscale, Constantes!$B$2,
  IF(N127="",
    "",
    SUM(1/(1+POWER(10,-(N126-_xlpm.elos)/_xlpm.diffscale)))-0.5)
)</f>
        <v/>
      </c>
      <c r="O128" t="str" cm="1">
        <f t="array" ref="O128">_xlfn.LET(
  _xlpm.colj, _xlfn._xlws.FILTER(IF(ISNUMBER(127:127), COLUMN(127:127)), ISNUMBER(127:127)),
  _xlpm.elos, INDEX(126:126,1,_xlpm.colj),
  _xlpm.diffscale, Constantes!$B$2,
  IF(O127="",
    "",
    SUM(1/(1+POWER(10,-(O126-_xlpm.elos)/_xlpm.diffscale)))-0.5)
)</f>
        <v/>
      </c>
      <c r="P128" t="str" cm="1">
        <f t="array" ref="P128">_xlfn.LET(
  _xlpm.colj, _xlfn._xlws.FILTER(IF(ISNUMBER(127:127), COLUMN(127:127)), ISNUMBER(127:127)),
  _xlpm.elos, INDEX(126:126,1,_xlpm.colj),
  _xlpm.diffscale, Constantes!$B$2,
  IF(P127="",
    "",
    SUM(1/(1+POWER(10,-(P126-_xlpm.elos)/_xlpm.diffscale)))-0.5)
)</f>
        <v/>
      </c>
      <c r="Q128" cm="1">
        <f t="array" ref="Q128">_xlfn.LET(
  _xlpm.colj, _xlfn._xlws.FILTER(IF(ISNUMBER(127:127), COLUMN(127:127)), ISNUMBER(127:127)),
  _xlpm.elos, INDEX(126:126,1,_xlpm.colj),
  _xlpm.diffscale, Constantes!$B$2,
  IF(Q127="",
    "",
    SUM(1/(1+POWER(10,-(Q126-_xlpm.elos)/_xlpm.diffscale)))-0.5)
)</f>
        <v>1.461444991244073</v>
      </c>
      <c r="R128" cm="1">
        <f t="array" ref="R128">_xlfn.LET(
  _xlpm.colj, _xlfn._xlws.FILTER(IF(ISNUMBER(127:127), COLUMN(127:127)), ISNUMBER(127:127)),
  _xlpm.elos, INDEX(126:126,1,_xlpm.colj),
  _xlpm.diffscale, Constantes!$B$2,
  IF(R127="",
    "",
    SUM(1/(1+POWER(10,-(R126-_xlpm.elos)/_xlpm.diffscale)))-0.5)
)</f>
        <v>1.8694270177980234</v>
      </c>
      <c r="S128" cm="1">
        <f t="array" ref="S128">_xlfn.LET(
  _xlpm.colj, _xlfn._xlws.FILTER(IF(ISNUMBER(127:127), COLUMN(127:127)), ISNUMBER(127:127)),
  _xlpm.elos, INDEX(126:126,1,_xlpm.colj),
  _xlpm.diffscale, Constantes!$B$2,
  IF(S127="",
    "",
    SUM(1/(1+POWER(10,-(S126-_xlpm.elos)/_xlpm.diffscale)))-0.5)
)</f>
        <v>0.98658336457385243</v>
      </c>
      <c r="T128" t="str" cm="1">
        <f t="array" ref="T128">_xlfn.LET(
  _xlpm.colj, _xlfn._xlws.FILTER(IF(ISNUMBER(127:127), COLUMN(127:127)), ISNUMBER(127:127)),
  _xlpm.elos, INDEX(126:126,1,_xlpm.colj),
  _xlpm.diffscale, Constantes!$B$2,
  IF(T127="",
    "",
    SUM(1/(1+POWER(10,-(T126-_xlpm.elos)/_xlpm.diffscale)))-0.5)
)</f>
        <v/>
      </c>
      <c r="U128" t="str" cm="1">
        <f t="array" ref="U128">_xlfn.LET(
  _xlpm.colj, _xlfn._xlws.FILTER(IF(ISNUMBER(127:127), COLUMN(127:127)), ISNUMBER(127:127)),
  _xlpm.elos, INDEX(126:126,1,_xlpm.colj),
  _xlpm.diffscale, Constantes!$B$2,
  IF(U127="",
    "",
    SUM(1/(1+POWER(10,-(U126-_xlpm.elos)/_xlpm.diffscale)))-0.5)
)</f>
        <v/>
      </c>
      <c r="V128" t="str" cm="1">
        <f t="array" ref="V128">_xlfn.LET(
  _xlpm.colj, _xlfn._xlws.FILTER(IF(ISNUMBER(127:127), COLUMN(127:127)), ISNUMBER(127:127)),
  _xlpm.elos, INDEX(126:126,1,_xlpm.colj),
  _xlpm.diffscale, Constantes!$B$2,
  IF(V127="",
    "",
    SUM(1/(1+POWER(10,-(V126-_xlpm.elos)/_xlpm.diffscale)))-0.5)
)</f>
        <v/>
      </c>
      <c r="W128" t="str" cm="1">
        <f t="array" ref="W128">_xlfn.LET(
  _xlpm.colj, _xlfn._xlws.FILTER(IF(ISNUMBER(127:127), COLUMN(127:127)), ISNUMBER(127:127)),
  _xlpm.elos, INDEX(126:126,1,_xlpm.colj),
  _xlpm.diffscale, Constantes!$B$2,
  IF(W127="",
    "",
    SUM(1/(1+POWER(10,-(W126-_xlpm.elos)/_xlpm.diffscale)))-0.5)
)</f>
        <v/>
      </c>
      <c r="X128" t="str" cm="1">
        <f t="array" ref="X128">_xlfn.LET(
  _xlpm.colj, _xlfn._xlws.FILTER(IF(ISNUMBER(127:127), COLUMN(127:127)), ISNUMBER(127:127)),
  _xlpm.elos, INDEX(126:126,1,_xlpm.colj),
  _xlpm.diffscale, Constantes!$B$2,
  IF(X127="",
    "",
    SUM(1/(1+POWER(10,-(X126-_xlpm.elos)/_xlpm.diffscale)))-0.5)
)</f>
        <v/>
      </c>
      <c r="Y128" t="str" cm="1">
        <f t="array" ref="Y128">_xlfn.LET(
  _xlpm.colj, _xlfn._xlws.FILTER(IF(ISNUMBER(127:127), COLUMN(127:127)), ISNUMBER(127:127)),
  _xlpm.elos, INDEX(126:126,1,_xlpm.colj),
  _xlpm.diffscale, Constantes!$B$2,
  IF(Y127="",
    "",
    SUM(1/(1+POWER(10,-(Y126-_xlpm.elos)/_xlpm.diffscale)))-0.5)
)</f>
        <v/>
      </c>
      <c r="Z128" t="str" cm="1">
        <f t="array" ref="Z128">_xlfn.LET(
  _xlpm.colj, _xlfn._xlws.FILTER(IF(ISNUMBER(127:127), COLUMN(127:127)), ISNUMBER(127:127)),
  _xlpm.elos, INDEX(126:126,1,_xlpm.colj),
  _xlpm.diffscale, Constantes!$B$2,
  IF(Z127="",
    "",
    SUM(1/(1+POWER(10,-(Z126-_xlpm.elos)/_xlpm.diffscale)))-0.5)
)</f>
        <v/>
      </c>
      <c r="AA128" t="str" cm="1">
        <f t="array" ref="AA128">_xlfn.LET(
  _xlpm.colj, _xlfn._xlws.FILTER(IF(ISNUMBER(127:127), COLUMN(127:127)), ISNUMBER(127:127)),
  _xlpm.elos, INDEX(126:126,1,_xlpm.colj),
  _xlpm.diffscale, Constantes!$B$2,
  IF(AA127="",
    "",
    SUM(1/(1+POWER(10,-(AA126-_xlpm.elos)/_xlpm.diffscale)))-0.5)
)</f>
        <v/>
      </c>
      <c r="AB128" t="str" cm="1">
        <f t="array" ref="AB128">_xlfn.LET(
  _xlpm.colj, _xlfn._xlws.FILTER(IF(ISNUMBER(127:127), COLUMN(127:127)), ISNUMBER(127:127)),
  _xlpm.elos, INDEX(126:126,1,_xlpm.colj),
  _xlpm.diffscale, Constantes!$B$2,
  IF(AB127="",
    "",
    SUM(1/(1+POWER(10,-(AB126-_xlpm.elos)/_xlpm.diffscale)))-0.5)
)</f>
        <v/>
      </c>
      <c r="AC128" t="str" cm="1">
        <f t="array" ref="AC128">_xlfn.LET(
  _xlpm.colj, _xlfn._xlws.FILTER(IF(ISNUMBER(127:127), COLUMN(127:127)), ISNUMBER(127:127)),
  _xlpm.elos, INDEX(126:126,1,_xlpm.colj),
  _xlpm.diffscale, Constantes!$B$2,
  IF(AC127="",
    "",
    SUM(1/(1+POWER(10,-(AC126-_xlpm.elos)/_xlpm.diffscale)))-0.5)
)</f>
        <v/>
      </c>
      <c r="AD128" t="str" cm="1">
        <f t="array" ref="AD128">_xlfn.LET(
  _xlpm.colj, _xlfn._xlws.FILTER(IF(ISNUMBER(127:127), COLUMN(127:127)), ISNUMBER(127:127)),
  _xlpm.elos, INDEX(126:126,1,_xlpm.colj),
  _xlpm.diffscale, Constantes!$B$2,
  IF(AD127="",
    "",
    SUM(1/(1+POWER(10,-(AD126-_xlpm.elos)/_xlpm.diffscale)))-0.5)
)</f>
        <v/>
      </c>
      <c r="AE128" t="str" cm="1">
        <f t="array" ref="AE128">_xlfn.LET(
  _xlpm.colj, _xlfn._xlws.FILTER(IF(ISNUMBER(127:127), COLUMN(127:127)), ISNUMBER(127:127)),
  _xlpm.elos, INDEX(126:126,1,_xlpm.colj),
  _xlpm.diffscale, Constantes!$B$2,
  IF(AE127="",
    "",
    SUM(1/(1+POWER(10,-(AE126-_xlpm.elos)/_xlpm.diffscale)))-0.5)
)</f>
        <v/>
      </c>
      <c r="AF128" t="str" cm="1">
        <f t="array" ref="AF128">_xlfn.LET(
  _xlpm.colj, _xlfn._xlws.FILTER(IF(ISNUMBER(127:127), COLUMN(127:127)), ISNUMBER(127:127)),
  _xlpm.elos, INDEX(126:126,1,_xlpm.colj),
  _xlpm.diffscale, Constantes!$B$2,
  IF(AF127="",
    "",
    SUM(1/(1+POWER(10,-(AF126-_xlpm.elos)/_xlpm.diffscale)))-0.5)
)</f>
        <v/>
      </c>
      <c r="AG128" t="str" cm="1">
        <f t="array" ref="AG128">_xlfn.LET(
  _xlpm.colj, _xlfn._xlws.FILTER(IF(ISNUMBER(127:127), COLUMN(127:127)), ISNUMBER(127:127)),
  _xlpm.elos, INDEX(126:126,1,_xlpm.colj),
  _xlpm.diffscale, Constantes!$B$2,
  IF(AG127="",
    "",
    SUM(1/(1+POWER(10,-(AG126-_xlpm.elos)/_xlpm.diffscale)))-0.5)
)</f>
        <v/>
      </c>
      <c r="AH128" t="str" cm="1">
        <f t="array" ref="AH128">_xlfn.LET(
  _xlpm.colj, _xlfn._xlws.FILTER(IF(ISNUMBER(127:127), COLUMN(127:127)), ISNUMBER(127:127)),
  _xlpm.elos, INDEX(126:126,1,_xlpm.colj),
  _xlpm.diffscale, Constantes!$B$2,
  IF(AH127="",
    "",
    SUM(1/(1+POWER(10,-(AH126-_xlpm.elos)/_xlpm.diffscale)))-0.5)
)</f>
        <v/>
      </c>
      <c r="AI128" t="str" cm="1">
        <f t="array" ref="AI128">_xlfn.LET(
  _xlpm.colj, _xlfn._xlws.FILTER(IF(ISNUMBER(127:127), COLUMN(127:127)), ISNUMBER(127:127)),
  _xlpm.elos, INDEX(126:126,1,_xlpm.colj),
  _xlpm.diffscale, Constantes!$B$2,
  IF(AI127="",
    "",
    SUM(1/(1+POWER(10,-(AI126-_xlpm.elos)/_xlpm.diffscale)))-0.5)
)</f>
        <v/>
      </c>
      <c r="AJ128" t="str" cm="1">
        <f t="array" ref="AJ128">_xlfn.LET(
  _xlpm.colj, _xlfn._xlws.FILTER(IF(ISNUMBER(127:127), COLUMN(127:127)), ISNUMBER(127:127)),
  _xlpm.elos, INDEX(126:126,1,_xlpm.colj),
  _xlpm.diffscale, Constantes!$B$2,
  IF(AJ127="",
    "",
    SUM(1/(1+POWER(10,-(AJ126-_xlpm.elos)/_xlpm.diffscale)))-0.5)
)</f>
        <v/>
      </c>
      <c r="AK128" t="str" cm="1">
        <f t="array" ref="AK128">_xlfn.LET(
  _xlpm.colj, _xlfn._xlws.FILTER(IF(ISNUMBER(127:127), COLUMN(127:127)), ISNUMBER(127:127)),
  _xlpm.elos, INDEX(126:126,1,_xlpm.colj),
  _xlpm.diffscale, Constantes!$B$2,
  IF(AK127="",
    "",
    SUM(1/(1+POWER(10,-(AK126-_xlpm.elos)/_xlpm.diffscale)))-0.5)
)</f>
        <v/>
      </c>
      <c r="AL128" t="str" cm="1">
        <f t="array" ref="AL128">_xlfn.LET(
  _xlpm.colj, _xlfn._xlws.FILTER(IF(ISNUMBER(127:127), COLUMN(127:127)), ISNUMBER(127:127)),
  _xlpm.elos, INDEX(126:126,1,_xlpm.colj),
  _xlpm.diffscale, Constantes!$B$2,
  IF(AL127="",
    "",
    SUM(1/(1+POWER(10,-(AL126-_xlpm.elos)/_xlpm.diffscale)))-0.5)
)</f>
        <v/>
      </c>
      <c r="AM128" t="str" cm="1">
        <f t="array" ref="AM128">_xlfn.LET(
  _xlpm.colj, _xlfn._xlws.FILTER(IF(ISNUMBER(127:127), COLUMN(127:127)), ISNUMBER(127:127)),
  _xlpm.elos, INDEX(126:126,1,_xlpm.colj),
  _xlpm.diffscale, Constantes!$B$2,
  IF(AM127="",
    "",
    SUM(1/(1+POWER(10,-(AM126-_xlpm.elos)/_xlpm.diffscale)))-0.5)
)</f>
        <v/>
      </c>
    </row>
    <row r="129" spans="1:39" x14ac:dyDescent="0.25">
      <c r="A129" t="s">
        <v>22</v>
      </c>
      <c r="D129" cm="1">
        <f t="array" ref="D129">_xlfn.LET(
  _xlpm.K, Constantes!$B$3,
  _xlpm.Knewgain, Constantes!$B$4,
  _xlpm.Knewscale, Constantes!$B$5,
  _xlpm.ptstables, INDEX(D:D, _xlfn.SEQUENCE(COUNTA($C$2:$C129), 1, 3, 4)),
  _xlpm.nbparties, COUNTA(_xlfn._xlws.FILTER(_xlpm.ptstables, _xlpm.ptstables &lt;&gt; "")),
  _xlpm.coef, _xlpm.K + _xlpm.Knewgain / (_xlpm.Knewscale + _xlpm.nbparties),
  IF(D127="",
    "",
    _xlpm.coef * (D127-D128))
)</f>
        <v>7.9363843403987051</v>
      </c>
      <c r="E129" t="str" cm="1">
        <f t="array" ref="E129">_xlfn.LET(
  _xlpm.K, Constantes!$B$3,
  _xlpm.Knewgain, Constantes!$B$4,
  _xlpm.Knewscale, Constantes!$B$5,
  _xlpm.ptstables, INDEX(E:E, _xlfn.SEQUENCE(COUNTA($C$2:$C129), 1, 3, 4)),
  _xlpm.nbparties, COUNTA(_xlfn._xlws.FILTER(_xlpm.ptstables, _xlpm.ptstables &lt;&gt; "")),
  _xlpm.coef, _xlpm.K + _xlpm.Knewgain / (_xlpm.Knewscale + _xlpm.nbparties),
  IF(E127="",
    "",
    _xlpm.coef * (E127-E128))
)</f>
        <v/>
      </c>
      <c r="F129" t="str" cm="1">
        <f t="array" ref="F129">_xlfn.LET(
  _xlpm.K, Constantes!$B$3,
  _xlpm.Knewgain, Constantes!$B$4,
  _xlpm.Knewscale, Constantes!$B$5,
  _xlpm.ptstables, INDEX(F:F, _xlfn.SEQUENCE(COUNTA($C$2:$C129), 1, 3, 4)),
  _xlpm.nbparties, COUNTA(_xlfn._xlws.FILTER(_xlpm.ptstables, _xlpm.ptstables &lt;&gt; "")),
  _xlpm.coef, _xlpm.K + _xlpm.Knewgain / (_xlpm.Knewscale + _xlpm.nbparties),
  IF(F127="",
    "",
    _xlpm.coef * (F127-F128))
)</f>
        <v/>
      </c>
      <c r="G129" t="str" cm="1">
        <f t="array" ref="G129">_xlfn.LET(
  _xlpm.K, Constantes!$B$3,
  _xlpm.Knewgain, Constantes!$B$4,
  _xlpm.Knewscale, Constantes!$B$5,
  _xlpm.ptstables, INDEX(G:G, _xlfn.SEQUENCE(COUNTA($C$2:$C129), 1, 3, 4)),
  _xlpm.nbparties, COUNTA(_xlfn._xlws.FILTER(_xlpm.ptstables, _xlpm.ptstables &lt;&gt; "")),
  _xlpm.coef, _xlpm.K + _xlpm.Knewgain / (_xlpm.Knewscale + _xlpm.nbparties),
  IF(G127="",
    "",
    _xlpm.coef * (G127-G128))
)</f>
        <v/>
      </c>
      <c r="H129" t="str" cm="1">
        <f t="array" ref="H129">_xlfn.LET(
  _xlpm.K, Constantes!$B$3,
  _xlpm.Knewgain, Constantes!$B$4,
  _xlpm.Knewscale, Constantes!$B$5,
  _xlpm.ptstables, INDEX(H:H, _xlfn.SEQUENCE(COUNTA($C$2:$C129), 1, 3, 4)),
  _xlpm.nbparties, COUNTA(_xlfn._xlws.FILTER(_xlpm.ptstables, _xlpm.ptstables &lt;&gt; "")),
  _xlpm.coef, _xlpm.K + _xlpm.Knewgain / (_xlpm.Knewscale + _xlpm.nbparties),
  IF(H127="",
    "",
    _xlpm.coef * (H127-H128))
)</f>
        <v/>
      </c>
      <c r="I129" t="str" cm="1">
        <f t="array" ref="I129">_xlfn.LET(
  _xlpm.K, Constantes!$B$3,
  _xlpm.Knewgain, Constantes!$B$4,
  _xlpm.Knewscale, Constantes!$B$5,
  _xlpm.ptstables, INDEX(I:I, _xlfn.SEQUENCE(COUNTA($C$2:$C129), 1, 3, 4)),
  _xlpm.nbparties, COUNTA(_xlfn._xlws.FILTER(_xlpm.ptstables, _xlpm.ptstables &lt;&gt; "")),
  _xlpm.coef, _xlpm.K + _xlpm.Knewgain / (_xlpm.Knewscale + _xlpm.nbparties),
  IF(I127="",
    "",
    _xlpm.coef * (I127-I128))
)</f>
        <v/>
      </c>
      <c r="J129" t="str" cm="1">
        <f t="array" ref="J129">_xlfn.LET(
  _xlpm.K, Constantes!$B$3,
  _xlpm.Knewgain, Constantes!$B$4,
  _xlpm.Knewscale, Constantes!$B$5,
  _xlpm.ptstables, INDEX(J:J, _xlfn.SEQUENCE(COUNTA($C$2:$C129), 1, 3, 4)),
  _xlpm.nbparties, COUNTA(_xlfn._xlws.FILTER(_xlpm.ptstables, _xlpm.ptstables &lt;&gt; "")),
  _xlpm.coef, _xlpm.K + _xlpm.Knewgain / (_xlpm.Knewscale + _xlpm.nbparties),
  IF(J127="",
    "",
    _xlpm.coef * (J127-J128))
)</f>
        <v/>
      </c>
      <c r="K129" t="str" cm="1">
        <f t="array" ref="K129">_xlfn.LET(
  _xlpm.K, Constantes!$B$3,
  _xlpm.Knewgain, Constantes!$B$4,
  _xlpm.Knewscale, Constantes!$B$5,
  _xlpm.ptstables, INDEX(K:K, _xlfn.SEQUENCE(COUNTA($C$2:$C129), 1, 3, 4)),
  _xlpm.nbparties, COUNTA(_xlfn._xlws.FILTER(_xlpm.ptstables, _xlpm.ptstables &lt;&gt; "")),
  _xlpm.coef, _xlpm.K + _xlpm.Knewgain / (_xlpm.Knewscale + _xlpm.nbparties),
  IF(K127="",
    "",
    _xlpm.coef * (K127-K128))
)</f>
        <v/>
      </c>
      <c r="L129" t="str" cm="1">
        <f t="array" ref="L129">_xlfn.LET(
  _xlpm.K, Constantes!$B$3,
  _xlpm.Knewgain, Constantes!$B$4,
  _xlpm.Knewscale, Constantes!$B$5,
  _xlpm.ptstables, INDEX(L:L, _xlfn.SEQUENCE(COUNTA($C$2:$C129), 1, 3, 4)),
  _xlpm.nbparties, COUNTA(_xlfn._xlws.FILTER(_xlpm.ptstables, _xlpm.ptstables &lt;&gt; "")),
  _xlpm.coef, _xlpm.K + _xlpm.Knewgain / (_xlpm.Knewscale + _xlpm.nbparties),
  IF(L127="",
    "",
    _xlpm.coef * (L127-L128))
)</f>
        <v/>
      </c>
      <c r="M129" t="str" cm="1">
        <f t="array" ref="M129">_xlfn.LET(
  _xlpm.K, Constantes!$B$3,
  _xlpm.Knewgain, Constantes!$B$4,
  _xlpm.Knewscale, Constantes!$B$5,
  _xlpm.ptstables, INDEX(M:M, _xlfn.SEQUENCE(COUNTA($C$2:$C129), 1, 3, 4)),
  _xlpm.nbparties, COUNTA(_xlfn._xlws.FILTER(_xlpm.ptstables, _xlpm.ptstables &lt;&gt; "")),
  _xlpm.coef, _xlpm.K + _xlpm.Knewgain / (_xlpm.Knewscale + _xlpm.nbparties),
  IF(M127="",
    "",
    _xlpm.coef * (M127-M128))
)</f>
        <v/>
      </c>
      <c r="N129" t="str" cm="1">
        <f t="array" ref="N129">_xlfn.LET(
  _xlpm.K, Constantes!$B$3,
  _xlpm.Knewgain, Constantes!$B$4,
  _xlpm.Knewscale, Constantes!$B$5,
  _xlpm.ptstables, INDEX(N:N, _xlfn.SEQUENCE(COUNTA($C$2:$C129), 1, 3, 4)),
  _xlpm.nbparties, COUNTA(_xlfn._xlws.FILTER(_xlpm.ptstables, _xlpm.ptstables &lt;&gt; "")),
  _xlpm.coef, _xlpm.K + _xlpm.Knewgain / (_xlpm.Knewscale + _xlpm.nbparties),
  IF(N127="",
    "",
    _xlpm.coef * (N127-N128))
)</f>
        <v/>
      </c>
      <c r="O129" t="str" cm="1">
        <f t="array" ref="O129">_xlfn.LET(
  _xlpm.K, Constantes!$B$3,
  _xlpm.Knewgain, Constantes!$B$4,
  _xlpm.Knewscale, Constantes!$B$5,
  _xlpm.ptstables, INDEX(O:O, _xlfn.SEQUENCE(COUNTA($C$2:$C129), 1, 3, 4)),
  _xlpm.nbparties, COUNTA(_xlfn._xlws.FILTER(_xlpm.ptstables, _xlpm.ptstables &lt;&gt; "")),
  _xlpm.coef, _xlpm.K + _xlpm.Knewgain / (_xlpm.Knewscale + _xlpm.nbparties),
  IF(O127="",
    "",
    _xlpm.coef * (O127-O128))
)</f>
        <v/>
      </c>
      <c r="P129" t="str" cm="1">
        <f t="array" ref="P129">_xlfn.LET(
  _xlpm.K, Constantes!$B$3,
  _xlpm.Knewgain, Constantes!$B$4,
  _xlpm.Knewscale, Constantes!$B$5,
  _xlpm.ptstables, INDEX(P:P, _xlfn.SEQUENCE(COUNTA($C$2:$C129), 1, 3, 4)),
  _xlpm.nbparties, COUNTA(_xlfn._xlws.FILTER(_xlpm.ptstables, _xlpm.ptstables &lt;&gt; "")),
  _xlpm.coef, _xlpm.K + _xlpm.Knewgain / (_xlpm.Knewscale + _xlpm.nbparties),
  IF(P127="",
    "",
    _xlpm.coef * (P127-P128))
)</f>
        <v/>
      </c>
      <c r="Q129" cm="1">
        <f t="array" ref="Q129">_xlfn.LET(
  _xlpm.K, Constantes!$B$3,
  _xlpm.Knewgain, Constantes!$B$4,
  _xlpm.Knewscale, Constantes!$B$5,
  _xlpm.ptstables, INDEX(Q:Q, _xlfn.SEQUENCE(COUNTA($C$2:$C129), 1, 3, 4)),
  _xlpm.nbparties, COUNTA(_xlfn._xlws.FILTER(_xlpm.ptstables, _xlpm.ptstables &lt;&gt; "")),
  _xlpm.coef, _xlpm.K + _xlpm.Knewgain / (_xlpm.Knewscale + _xlpm.nbparties),
  IF(Q127="",
    "",
    _xlpm.coef * (Q127-Q128))
)</f>
        <v>41.760778809089445</v>
      </c>
      <c r="R129" cm="1">
        <f t="array" ref="R129">_xlfn.LET(
  _xlpm.K, Constantes!$B$3,
  _xlpm.Knewgain, Constantes!$B$4,
  _xlpm.Knewscale, Constantes!$B$5,
  _xlpm.ptstables, INDEX(R:R, _xlfn.SEQUENCE(COUNTA($C$2:$C129), 1, 3, 4)),
  _xlpm.nbparties, COUNTA(_xlfn._xlws.FILTER(_xlpm.ptstables, _xlpm.ptstables &lt;&gt; "")),
  _xlpm.coef, _xlpm.K + _xlpm.Knewgain / (_xlpm.Knewscale + _xlpm.nbparties),
  IF(R127="",
    "",
    _xlpm.coef * (R127-R128))
)</f>
        <v>-22.218690454838377</v>
      </c>
      <c r="S129" cm="1">
        <f t="array" ref="S129">_xlfn.LET(
  _xlpm.K, Constantes!$B$3,
  _xlpm.Knewgain, Constantes!$B$4,
  _xlpm.Knewscale, Constantes!$B$5,
  _xlpm.ptstables, INDEX(S:S, _xlfn.SEQUENCE(COUNTA($C$2:$C129), 1, 3, 4)),
  _xlpm.nbparties, COUNTA(_xlfn._xlws.FILTER(_xlpm.ptstables, _xlpm.ptstables &lt;&gt; "")),
  _xlpm.coef, _xlpm.K + _xlpm.Knewgain / (_xlpm.Knewscale + _xlpm.nbparties),
  IF(S127="",
    "",
    _xlpm.coef * (S127-S128))
)</f>
        <v>-25.212685983554007</v>
      </c>
      <c r="T129" t="str" cm="1">
        <f t="array" ref="T129">_xlfn.LET(
  _xlpm.K, Constantes!$B$3,
  _xlpm.Knewgain, Constantes!$B$4,
  _xlpm.Knewscale, Constantes!$B$5,
  _xlpm.ptstables, INDEX(T:T, _xlfn.SEQUENCE(COUNTA($C$2:$C129), 1, 3, 4)),
  _xlpm.nbparties, COUNTA(_xlfn._xlws.FILTER(_xlpm.ptstables, _xlpm.ptstables &lt;&gt; "")),
  _xlpm.coef, _xlpm.K + _xlpm.Knewgain / (_xlpm.Knewscale + _xlpm.nbparties),
  IF(T127="",
    "",
    _xlpm.coef * (T127-T128))
)</f>
        <v/>
      </c>
      <c r="U129" t="str" cm="1">
        <f t="array" ref="U129">_xlfn.LET(
  _xlpm.K, Constantes!$B$3,
  _xlpm.Knewgain, Constantes!$B$4,
  _xlpm.Knewscale, Constantes!$B$5,
  _xlpm.ptstables, INDEX(U:U, _xlfn.SEQUENCE(COUNTA($C$2:$C129), 1, 3, 4)),
  _xlpm.nbparties, COUNTA(_xlfn._xlws.FILTER(_xlpm.ptstables, _xlpm.ptstables &lt;&gt; "")),
  _xlpm.coef, _xlpm.K + _xlpm.Knewgain / (_xlpm.Knewscale + _xlpm.nbparties),
  IF(U127="",
    "",
    _xlpm.coef * (U127-U128))
)</f>
        <v/>
      </c>
      <c r="V129" t="str" cm="1">
        <f t="array" ref="V129">_xlfn.LET(
  _xlpm.K, Constantes!$B$3,
  _xlpm.Knewgain, Constantes!$B$4,
  _xlpm.Knewscale, Constantes!$B$5,
  _xlpm.ptstables, INDEX(V:V, _xlfn.SEQUENCE(COUNTA($C$2:$C129), 1, 3, 4)),
  _xlpm.nbparties, COUNTA(_xlfn._xlws.FILTER(_xlpm.ptstables, _xlpm.ptstables &lt;&gt; "")),
  _xlpm.coef, _xlpm.K + _xlpm.Knewgain / (_xlpm.Knewscale + _xlpm.nbparties),
  IF(V127="",
    "",
    _xlpm.coef * (V127-V128))
)</f>
        <v/>
      </c>
      <c r="W129" t="str" cm="1">
        <f t="array" ref="W129">_xlfn.LET(
  _xlpm.K, Constantes!$B$3,
  _xlpm.Knewgain, Constantes!$B$4,
  _xlpm.Knewscale, Constantes!$B$5,
  _xlpm.ptstables, INDEX(W:W, _xlfn.SEQUENCE(COUNTA($C$2:$C129), 1, 3, 4)),
  _xlpm.nbparties, COUNTA(_xlfn._xlws.FILTER(_xlpm.ptstables, _xlpm.ptstables &lt;&gt; "")),
  _xlpm.coef, _xlpm.K + _xlpm.Knewgain / (_xlpm.Knewscale + _xlpm.nbparties),
  IF(W127="",
    "",
    _xlpm.coef * (W127-W128))
)</f>
        <v/>
      </c>
      <c r="X129" t="str" cm="1">
        <f t="array" ref="X129">_xlfn.LET(
  _xlpm.K, Constantes!$B$3,
  _xlpm.Knewgain, Constantes!$B$4,
  _xlpm.Knewscale, Constantes!$B$5,
  _xlpm.ptstables, INDEX(X:X, _xlfn.SEQUENCE(COUNTA($C$2:$C129), 1, 3, 4)),
  _xlpm.nbparties, COUNTA(_xlfn._xlws.FILTER(_xlpm.ptstables, _xlpm.ptstables &lt;&gt; "")),
  _xlpm.coef, _xlpm.K + _xlpm.Knewgain / (_xlpm.Knewscale + _xlpm.nbparties),
  IF(X127="",
    "",
    _xlpm.coef * (X127-X128))
)</f>
        <v/>
      </c>
      <c r="Y129" t="str" cm="1">
        <f t="array" ref="Y129">_xlfn.LET(
  _xlpm.K, Constantes!$B$3,
  _xlpm.Knewgain, Constantes!$B$4,
  _xlpm.Knewscale, Constantes!$B$5,
  _xlpm.ptstables, INDEX(Y:Y, _xlfn.SEQUENCE(COUNTA($C$2:$C129), 1, 3, 4)),
  _xlpm.nbparties, COUNTA(_xlfn._xlws.FILTER(_xlpm.ptstables, _xlpm.ptstables &lt;&gt; "")),
  _xlpm.coef, _xlpm.K + _xlpm.Knewgain / (_xlpm.Knewscale + _xlpm.nbparties),
  IF(Y127="",
    "",
    _xlpm.coef * (Y127-Y128))
)</f>
        <v/>
      </c>
      <c r="Z129" t="str" cm="1">
        <f t="array" ref="Z129">_xlfn.LET(
  _xlpm.K, Constantes!$B$3,
  _xlpm.Knewgain, Constantes!$B$4,
  _xlpm.Knewscale, Constantes!$B$5,
  _xlpm.ptstables, INDEX(Z:Z, _xlfn.SEQUENCE(COUNTA($C$2:$C129), 1, 3, 4)),
  _xlpm.nbparties, COUNTA(_xlfn._xlws.FILTER(_xlpm.ptstables, _xlpm.ptstables &lt;&gt; "")),
  _xlpm.coef, _xlpm.K + _xlpm.Knewgain / (_xlpm.Knewscale + _xlpm.nbparties),
  IF(Z127="",
    "",
    _xlpm.coef * (Z127-Z128))
)</f>
        <v/>
      </c>
      <c r="AA129" t="str" cm="1">
        <f t="array" ref="AA129">_xlfn.LET(
  _xlpm.K, Constantes!$B$3,
  _xlpm.Knewgain, Constantes!$B$4,
  _xlpm.Knewscale, Constantes!$B$5,
  _xlpm.ptstables, INDEX(AA:AA, _xlfn.SEQUENCE(COUNTA($C$2:$C129), 1, 3, 4)),
  _xlpm.nbparties, COUNTA(_xlfn._xlws.FILTER(_xlpm.ptstables, _xlpm.ptstables &lt;&gt; "")),
  _xlpm.coef, _xlpm.K + _xlpm.Knewgain / (_xlpm.Knewscale + _xlpm.nbparties),
  IF(AA127="",
    "",
    _xlpm.coef * (AA127-AA128))
)</f>
        <v/>
      </c>
      <c r="AB129" t="str" cm="1">
        <f t="array" ref="AB129">_xlfn.LET(
  _xlpm.K, Constantes!$B$3,
  _xlpm.Knewgain, Constantes!$B$4,
  _xlpm.Knewscale, Constantes!$B$5,
  _xlpm.ptstables, INDEX(AB:AB, _xlfn.SEQUENCE(COUNTA($C$2:$C129), 1, 3, 4)),
  _xlpm.nbparties, COUNTA(_xlfn._xlws.FILTER(_xlpm.ptstables, _xlpm.ptstables &lt;&gt; "")),
  _xlpm.coef, _xlpm.K + _xlpm.Knewgain / (_xlpm.Knewscale + _xlpm.nbparties),
  IF(AB127="",
    "",
    _xlpm.coef * (AB127-AB128))
)</f>
        <v/>
      </c>
      <c r="AC129" t="str" cm="1">
        <f t="array" ref="AC129">_xlfn.LET(
  _xlpm.K, Constantes!$B$3,
  _xlpm.Knewgain, Constantes!$B$4,
  _xlpm.Knewscale, Constantes!$B$5,
  _xlpm.ptstables, INDEX(AC:AC, _xlfn.SEQUENCE(COUNTA($C$2:$C129), 1, 3, 4)),
  _xlpm.nbparties, COUNTA(_xlfn._xlws.FILTER(_xlpm.ptstables, _xlpm.ptstables &lt;&gt; "")),
  _xlpm.coef, _xlpm.K + _xlpm.Knewgain / (_xlpm.Knewscale + _xlpm.nbparties),
  IF(AC127="",
    "",
    _xlpm.coef * (AC127-AC128))
)</f>
        <v/>
      </c>
      <c r="AD129" t="str" cm="1">
        <f t="array" ref="AD129">_xlfn.LET(
  _xlpm.K, Constantes!$B$3,
  _xlpm.Knewgain, Constantes!$B$4,
  _xlpm.Knewscale, Constantes!$B$5,
  _xlpm.ptstables, INDEX(AD:AD, _xlfn.SEQUENCE(COUNTA($C$2:$C129), 1, 3, 4)),
  _xlpm.nbparties, COUNTA(_xlfn._xlws.FILTER(_xlpm.ptstables, _xlpm.ptstables &lt;&gt; "")),
  _xlpm.coef, _xlpm.K + _xlpm.Knewgain / (_xlpm.Knewscale + _xlpm.nbparties),
  IF(AD127="",
    "",
    _xlpm.coef * (AD127-AD128))
)</f>
        <v/>
      </c>
      <c r="AE129" t="str" cm="1">
        <f t="array" ref="AE129">_xlfn.LET(
  _xlpm.K, Constantes!$B$3,
  _xlpm.Knewgain, Constantes!$B$4,
  _xlpm.Knewscale, Constantes!$B$5,
  _xlpm.ptstables, INDEX(AE:AE, _xlfn.SEQUENCE(COUNTA($C$2:$C129), 1, 3, 4)),
  _xlpm.nbparties, COUNTA(_xlfn._xlws.FILTER(_xlpm.ptstables, _xlpm.ptstables &lt;&gt; "")),
  _xlpm.coef, _xlpm.K + _xlpm.Knewgain / (_xlpm.Knewscale + _xlpm.nbparties),
  IF(AE127="",
    "",
    _xlpm.coef * (AE127-AE128))
)</f>
        <v/>
      </c>
      <c r="AF129" t="str" cm="1">
        <f t="array" ref="AF129">_xlfn.LET(
  _xlpm.K, Constantes!$B$3,
  _xlpm.Knewgain, Constantes!$B$4,
  _xlpm.Knewscale, Constantes!$B$5,
  _xlpm.ptstables, INDEX(AF:AF, _xlfn.SEQUENCE(COUNTA($C$2:$C129), 1, 3, 4)),
  _xlpm.nbparties, COUNTA(_xlfn._xlws.FILTER(_xlpm.ptstables, _xlpm.ptstables &lt;&gt; "")),
  _xlpm.coef, _xlpm.K + _xlpm.Knewgain / (_xlpm.Knewscale + _xlpm.nbparties),
  IF(AF127="",
    "",
    _xlpm.coef * (AF127-AF128))
)</f>
        <v/>
      </c>
      <c r="AG129" t="str" cm="1">
        <f t="array" ref="AG129">_xlfn.LET(
  _xlpm.K, Constantes!$B$3,
  _xlpm.Knewgain, Constantes!$B$4,
  _xlpm.Knewscale, Constantes!$B$5,
  _xlpm.ptstables, INDEX(AG:AG, _xlfn.SEQUENCE(COUNTA($C$2:$C129), 1, 3, 4)),
  _xlpm.nbparties, COUNTA(_xlfn._xlws.FILTER(_xlpm.ptstables, _xlpm.ptstables &lt;&gt; "")),
  _xlpm.coef, _xlpm.K + _xlpm.Knewgain / (_xlpm.Knewscale + _xlpm.nbparties),
  IF(AG127="",
    "",
    _xlpm.coef * (AG127-AG128))
)</f>
        <v/>
      </c>
      <c r="AH129" t="str" cm="1">
        <f t="array" ref="AH129">_xlfn.LET(
  _xlpm.K, Constantes!$B$3,
  _xlpm.Knewgain, Constantes!$B$4,
  _xlpm.Knewscale, Constantes!$B$5,
  _xlpm.ptstables, INDEX(AH:AH, _xlfn.SEQUENCE(COUNTA($C$2:$C129), 1, 3, 4)),
  _xlpm.nbparties, COUNTA(_xlfn._xlws.FILTER(_xlpm.ptstables, _xlpm.ptstables &lt;&gt; "")),
  _xlpm.coef, _xlpm.K + _xlpm.Knewgain / (_xlpm.Knewscale + _xlpm.nbparties),
  IF(AH127="",
    "",
    _xlpm.coef * (AH127-AH128))
)</f>
        <v/>
      </c>
      <c r="AI129" t="str" cm="1">
        <f t="array" ref="AI129">_xlfn.LET(
  _xlpm.K, Constantes!$B$3,
  _xlpm.Knewgain, Constantes!$B$4,
  _xlpm.Knewscale, Constantes!$B$5,
  _xlpm.ptstables, INDEX(AI:AI, _xlfn.SEQUENCE(COUNTA($C$2:$C129), 1, 3, 4)),
  _xlpm.nbparties, COUNTA(_xlfn._xlws.FILTER(_xlpm.ptstables, _xlpm.ptstables &lt;&gt; "")),
  _xlpm.coef, _xlpm.K + _xlpm.Knewgain / (_xlpm.Knewscale + _xlpm.nbparties),
  IF(AI127="",
    "",
    _xlpm.coef * (AI127-AI128))
)</f>
        <v/>
      </c>
      <c r="AJ129" t="str" cm="1">
        <f t="array" ref="AJ129">_xlfn.LET(
  _xlpm.K, Constantes!$B$3,
  _xlpm.Knewgain, Constantes!$B$4,
  _xlpm.Knewscale, Constantes!$B$5,
  _xlpm.ptstables, INDEX(AJ:AJ, _xlfn.SEQUENCE(COUNTA($C$2:$C129), 1, 3, 4)),
  _xlpm.nbparties, COUNTA(_xlfn._xlws.FILTER(_xlpm.ptstables, _xlpm.ptstables &lt;&gt; "")),
  _xlpm.coef, _xlpm.K + _xlpm.Knewgain / (_xlpm.Knewscale + _xlpm.nbparties),
  IF(AJ127="",
    "",
    _xlpm.coef * (AJ127-AJ128))
)</f>
        <v/>
      </c>
      <c r="AK129" t="str" cm="1">
        <f t="array" ref="AK129">_xlfn.LET(
  _xlpm.K, Constantes!$B$3,
  _xlpm.Knewgain, Constantes!$B$4,
  _xlpm.Knewscale, Constantes!$B$5,
  _xlpm.ptstables, INDEX(AK:AK, _xlfn.SEQUENCE(COUNTA($C$2:$C129), 1, 3, 4)),
  _xlpm.nbparties, COUNTA(_xlfn._xlws.FILTER(_xlpm.ptstables, _xlpm.ptstables &lt;&gt; "")),
  _xlpm.coef, _xlpm.K + _xlpm.Knewgain / (_xlpm.Knewscale + _xlpm.nbparties),
  IF(AK127="",
    "",
    _xlpm.coef * (AK127-AK128))
)</f>
        <v/>
      </c>
      <c r="AL129" t="str" cm="1">
        <f t="array" ref="AL129">_xlfn.LET(
  _xlpm.K, Constantes!$B$3,
  _xlpm.Knewgain, Constantes!$B$4,
  _xlpm.Knewscale, Constantes!$B$5,
  _xlpm.ptstables, INDEX(AL:AL, _xlfn.SEQUENCE(COUNTA($C$2:$C129), 1, 3, 4)),
  _xlpm.nbparties, COUNTA(_xlfn._xlws.FILTER(_xlpm.ptstables, _xlpm.ptstables &lt;&gt; "")),
  _xlpm.coef, _xlpm.K + _xlpm.Knewgain / (_xlpm.Knewscale + _xlpm.nbparties),
  IF(AL127="",
    "",
    _xlpm.coef * (AL127-AL128))
)</f>
        <v/>
      </c>
      <c r="AM129" t="str" cm="1">
        <f t="array" ref="AM129">_xlfn.LET(
  _xlpm.K, Constantes!$B$3,
  _xlpm.Knewgain, Constantes!$B$4,
  _xlpm.Knewscale, Constantes!$B$5,
  _xlpm.ptstables, INDEX(AM:AM, _xlfn.SEQUENCE(COUNTA($C$2:$C129), 1, 3, 4)),
  _xlpm.nbparties, COUNTA(_xlfn._xlws.FILTER(_xlpm.ptstables, _xlpm.ptstables &lt;&gt; "")),
  _xlpm.coef, _xlpm.K + _xlpm.Knewgain / (_xlpm.Knewscale + _xlpm.nbparties),
  IF(AM127="",
    "",
    _xlpm.coef * (AM127-AM128))
)</f>
        <v/>
      </c>
    </row>
    <row r="130" spans="1:39" x14ac:dyDescent="0.25">
      <c r="A130" t="s">
        <v>14</v>
      </c>
      <c r="B130" t="str" cm="1">
        <f t="array" ref="B13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33</v>
      </c>
      <c r="C130" s="2" cm="1">
        <f t="array" ref="C130">IF(B130="","",
  INDEX(Donnees!F:F, MATCH(B130, Donnees!F:F, 0)+1))</f>
        <v>45924.693298611113</v>
      </c>
      <c r="D130">
        <f t="shared" ref="D130:AM130" si="40">D126+IF(D129="",0,D129)</f>
        <v>1101.1845187776951</v>
      </c>
      <c r="E130">
        <f t="shared" si="40"/>
        <v>1105.3750854597461</v>
      </c>
      <c r="F130">
        <f t="shared" si="40"/>
        <v>908.83204631618707</v>
      </c>
      <c r="G130">
        <f t="shared" si="40"/>
        <v>941.3180126697232</v>
      </c>
      <c r="H130">
        <f t="shared" si="40"/>
        <v>1043.8545020183328</v>
      </c>
      <c r="I130">
        <f t="shared" si="40"/>
        <v>1056.8165036600865</v>
      </c>
      <c r="J130">
        <f t="shared" si="40"/>
        <v>938.49433816478961</v>
      </c>
      <c r="K130">
        <f t="shared" si="40"/>
        <v>907.51653081539087</v>
      </c>
      <c r="L130">
        <f t="shared" si="40"/>
        <v>833.43137648430843</v>
      </c>
      <c r="M130">
        <f t="shared" si="40"/>
        <v>913.41986361738122</v>
      </c>
      <c r="N130">
        <f t="shared" si="40"/>
        <v>924.41787774469185</v>
      </c>
      <c r="O130">
        <f t="shared" si="40"/>
        <v>1030.4363831507294</v>
      </c>
      <c r="P130">
        <f t="shared" si="40"/>
        <v>1015.4353469144262</v>
      </c>
      <c r="Q130">
        <f t="shared" si="40"/>
        <v>1095.3822761627605</v>
      </c>
      <c r="R130">
        <f t="shared" si="40"/>
        <v>1105.0852481437867</v>
      </c>
      <c r="S130">
        <f t="shared" si="40"/>
        <v>941.37032948557328</v>
      </c>
      <c r="T130">
        <f t="shared" si="40"/>
        <v>1135.2782658680615</v>
      </c>
      <c r="U130">
        <f t="shared" si="40"/>
        <v>1047.3318672317168</v>
      </c>
      <c r="V130">
        <f t="shared" si="40"/>
        <v>961.58818235691967</v>
      </c>
      <c r="W130">
        <f t="shared" si="40"/>
        <v>936.79085942937002</v>
      </c>
      <c r="X130">
        <f t="shared" si="40"/>
        <v>830.788580615</v>
      </c>
      <c r="Y130">
        <f t="shared" si="40"/>
        <v>1017.4822717685487</v>
      </c>
      <c r="Z130">
        <f t="shared" si="40"/>
        <v>991.11904139672549</v>
      </c>
      <c r="AA130">
        <f t="shared" si="40"/>
        <v>980.56756855165884</v>
      </c>
      <c r="AB130">
        <f t="shared" si="40"/>
        <v>988.35669729544747</v>
      </c>
      <c r="AC130">
        <f t="shared" si="40"/>
        <v>1032.51</v>
      </c>
      <c r="AD130">
        <f t="shared" si="40"/>
        <v>974.01499999999999</v>
      </c>
      <c r="AE130">
        <f t="shared" si="40"/>
        <v>1011.415</v>
      </c>
      <c r="AF130">
        <f t="shared" si="40"/>
        <v>1031.1199999999999</v>
      </c>
      <c r="AG130">
        <f t="shared" si="40"/>
        <v>1001.0350000000001</v>
      </c>
      <c r="AH130">
        <f t="shared" si="40"/>
        <v>994.44</v>
      </c>
      <c r="AI130">
        <f t="shared" si="40"/>
        <v>1000</v>
      </c>
      <c r="AJ130">
        <f t="shared" si="40"/>
        <v>957.2</v>
      </c>
      <c r="AK130">
        <f t="shared" si="40"/>
        <v>1000</v>
      </c>
      <c r="AL130">
        <f t="shared" si="40"/>
        <v>1055.9299999999998</v>
      </c>
      <c r="AM130">
        <f t="shared" si="40"/>
        <v>1000</v>
      </c>
    </row>
    <row r="131" spans="1:39" x14ac:dyDescent="0.25">
      <c r="A131" t="s">
        <v>21</v>
      </c>
      <c r="D131" t="str" cm="1">
        <f t="array" ref="D131">IFERROR(
  _xlfn.LET(
    _xlpm.ligpartie, MATCH($B130, Donnees!$F:$F, 0),
    _xlpm.joueurs, INDEX(Donnees!$A:$Z, _xlpm.ligpartie+1, _xlfn.SEQUENCE(1, 4, 2)),
    INDEX(
      Donnees!$A:$Z,
      _xlpm.ligpartie + 3,
      MATCH(D$1, _xlpm.joueurs, 0) + 1
    )
  ), ""
)</f>
        <v/>
      </c>
      <c r="E131" t="str" cm="1">
        <f t="array" ref="E131">IFERROR(
  _xlfn.LET(
    _xlpm.ligpartie, MATCH($B130, Donnees!$F:$F, 0),
    _xlpm.joueurs, INDEX(Donnees!$A:$Z, _xlpm.ligpartie+1, _xlfn.SEQUENCE(1, 4, 2)),
    INDEX(
      Donnees!$A:$Z,
      _xlpm.ligpartie + 3,
      MATCH(E$1, _xlpm.joueurs, 0) + 1
    )
  ), ""
)</f>
        <v/>
      </c>
      <c r="F131" cm="1">
        <f t="array" ref="F131">IFERROR(
  _xlfn.LET(
    _xlpm.ligpartie, MATCH($B130, Donnees!$F:$F, 0),
    _xlpm.joueurs, INDEX(Donnees!$A:$Z, _xlpm.ligpartie+1, _xlfn.SEQUENCE(1, 4, 2)),
    INDEX(
      Donnees!$A:$Z,
      _xlpm.ligpartie + 3,
      MATCH(F$1, _xlpm.joueurs, 0) + 1
    )
  ), ""
)</f>
        <v>0</v>
      </c>
      <c r="G131" cm="1">
        <f t="array" ref="G131">IFERROR(
  _xlfn.LET(
    _xlpm.ligpartie, MATCH($B130, Donnees!$F:$F, 0),
    _xlpm.joueurs, INDEX(Donnees!$A:$Z, _xlpm.ligpartie+1, _xlfn.SEQUENCE(1, 4, 2)),
    INDEX(
      Donnees!$A:$Z,
      _xlpm.ligpartie + 3,
      MATCH(G$1, _xlpm.joueurs, 0) + 1
    )
  ), ""
)</f>
        <v>2</v>
      </c>
      <c r="H131" t="str" cm="1">
        <f t="array" ref="H131">IFERROR(
  _xlfn.LET(
    _xlpm.ligpartie, MATCH($B130, Donnees!$F:$F, 0),
    _xlpm.joueurs, INDEX(Donnees!$A:$Z, _xlpm.ligpartie+1, _xlfn.SEQUENCE(1, 4, 2)),
    INDEX(
      Donnees!$A:$Z,
      _xlpm.ligpartie + 3,
      MATCH(H$1, _xlpm.joueurs, 0) + 1
    )
  ), ""
)</f>
        <v/>
      </c>
      <c r="I131" t="str" cm="1">
        <f t="array" ref="I131">IFERROR(
  _xlfn.LET(
    _xlpm.ligpartie, MATCH($B130, Donnees!$F:$F, 0),
    _xlpm.joueurs, INDEX(Donnees!$A:$Z, _xlpm.ligpartie+1, _xlfn.SEQUENCE(1, 4, 2)),
    INDEX(
      Donnees!$A:$Z,
      _xlpm.ligpartie + 3,
      MATCH(I$1, _xlpm.joueurs, 0) + 1
    )
  ), ""
)</f>
        <v/>
      </c>
      <c r="J131" t="str" cm="1">
        <f t="array" ref="J131">IFERROR(
  _xlfn.LET(
    _xlpm.ligpartie, MATCH($B130, Donnees!$F:$F, 0),
    _xlpm.joueurs, INDEX(Donnees!$A:$Z, _xlpm.ligpartie+1, _xlfn.SEQUENCE(1, 4, 2)),
    INDEX(
      Donnees!$A:$Z,
      _xlpm.ligpartie + 3,
      MATCH(J$1, _xlpm.joueurs, 0) + 1
    )
  ), ""
)</f>
        <v/>
      </c>
      <c r="K131" t="str" cm="1">
        <f t="array" ref="K131">IFERROR(
  _xlfn.LET(
    _xlpm.ligpartie, MATCH($B130, Donnees!$F:$F, 0),
    _xlpm.joueurs, INDEX(Donnees!$A:$Z, _xlpm.ligpartie+1, _xlfn.SEQUENCE(1, 4, 2)),
    INDEX(
      Donnees!$A:$Z,
      _xlpm.ligpartie + 3,
      MATCH(K$1, _xlpm.joueurs, 0) + 1
    )
  ), ""
)</f>
        <v/>
      </c>
      <c r="L131" t="str" cm="1">
        <f t="array" ref="L131">IFERROR(
  _xlfn.LET(
    _xlpm.ligpartie, MATCH($B130, Donnees!$F:$F, 0),
    _xlpm.joueurs, INDEX(Donnees!$A:$Z, _xlpm.ligpartie+1, _xlfn.SEQUENCE(1, 4, 2)),
    INDEX(
      Donnees!$A:$Z,
      _xlpm.ligpartie + 3,
      MATCH(L$1, _xlpm.joueurs, 0) + 1
    )
  ), ""
)</f>
        <v/>
      </c>
      <c r="M131" t="str" cm="1">
        <f t="array" ref="M131">IFERROR(
  _xlfn.LET(
    _xlpm.ligpartie, MATCH($B130, Donnees!$F:$F, 0),
    _xlpm.joueurs, INDEX(Donnees!$A:$Z, _xlpm.ligpartie+1, _xlfn.SEQUENCE(1, 4, 2)),
    INDEX(
      Donnees!$A:$Z,
      _xlpm.ligpartie + 3,
      MATCH(M$1, _xlpm.joueurs, 0) + 1
    )
  ), ""
)</f>
        <v/>
      </c>
      <c r="N131" t="str" cm="1">
        <f t="array" ref="N131">IFERROR(
  _xlfn.LET(
    _xlpm.ligpartie, MATCH($B130, Donnees!$F:$F, 0),
    _xlpm.joueurs, INDEX(Donnees!$A:$Z, _xlpm.ligpartie+1, _xlfn.SEQUENCE(1, 4, 2)),
    INDEX(
      Donnees!$A:$Z,
      _xlpm.ligpartie + 3,
      MATCH(N$1, _xlpm.joueurs, 0) + 1
    )
  ), ""
)</f>
        <v/>
      </c>
      <c r="O131" cm="1">
        <f t="array" ref="O131">IFERROR(
  _xlfn.LET(
    _xlpm.ligpartie, MATCH($B130, Donnees!$F:$F, 0),
    _xlpm.joueurs, INDEX(Donnees!$A:$Z, _xlpm.ligpartie+1, _xlfn.SEQUENCE(1, 4, 2)),
    INDEX(
      Donnees!$A:$Z,
      _xlpm.ligpartie + 3,
      MATCH(O$1, _xlpm.joueurs, 0) + 1
    )
  ), ""
)</f>
        <v>1</v>
      </c>
      <c r="P131" t="str" cm="1">
        <f t="array" ref="P131">IFERROR(
  _xlfn.LET(
    _xlpm.ligpartie, MATCH($B130, Donnees!$F:$F, 0),
    _xlpm.joueurs, INDEX(Donnees!$A:$Z, _xlpm.ligpartie+1, _xlfn.SEQUENCE(1, 4, 2)),
    INDEX(
      Donnees!$A:$Z,
      _xlpm.ligpartie + 3,
      MATCH(P$1, _xlpm.joueurs, 0) + 1
    )
  ), ""
)</f>
        <v/>
      </c>
      <c r="Q131" t="str" cm="1">
        <f t="array" ref="Q131">IFERROR(
  _xlfn.LET(
    _xlpm.ligpartie, MATCH($B130, Donnees!$F:$F, 0),
    _xlpm.joueurs, INDEX(Donnees!$A:$Z, _xlpm.ligpartie+1, _xlfn.SEQUENCE(1, 4, 2)),
    INDEX(
      Donnees!$A:$Z,
      _xlpm.ligpartie + 3,
      MATCH(Q$1, _xlpm.joueurs, 0) + 1
    )
  ), ""
)</f>
        <v/>
      </c>
      <c r="R131" t="str" cm="1">
        <f t="array" ref="R131">IFERROR(
  _xlfn.LET(
    _xlpm.ligpartie, MATCH($B130, Donnees!$F:$F, 0),
    _xlpm.joueurs, INDEX(Donnees!$A:$Z, _xlpm.ligpartie+1, _xlfn.SEQUENCE(1, 4, 2)),
    INDEX(
      Donnees!$A:$Z,
      _xlpm.ligpartie + 3,
      MATCH(R$1, _xlpm.joueurs, 0) + 1
    )
  ), ""
)</f>
        <v/>
      </c>
      <c r="S131" t="str" cm="1">
        <f t="array" ref="S131">IFERROR(
  _xlfn.LET(
    _xlpm.ligpartie, MATCH($B130, Donnees!$F:$F, 0),
    _xlpm.joueurs, INDEX(Donnees!$A:$Z, _xlpm.ligpartie+1, _xlfn.SEQUENCE(1, 4, 2)),
    INDEX(
      Donnees!$A:$Z,
      _xlpm.ligpartie + 3,
      MATCH(S$1, _xlpm.joueurs, 0) + 1
    )
  ), ""
)</f>
        <v/>
      </c>
      <c r="T131" t="str" cm="1">
        <f t="array" ref="T131">IFERROR(
  _xlfn.LET(
    _xlpm.ligpartie, MATCH($B130, Donnees!$F:$F, 0),
    _xlpm.joueurs, INDEX(Donnees!$A:$Z, _xlpm.ligpartie+1, _xlfn.SEQUENCE(1, 4, 2)),
    INDEX(
      Donnees!$A:$Z,
      _xlpm.ligpartie + 3,
      MATCH(T$1, _xlpm.joueurs, 0) + 1
    )
  ), ""
)</f>
        <v/>
      </c>
      <c r="U131" cm="1">
        <f t="array" ref="U131">IFERROR(
  _xlfn.LET(
    _xlpm.ligpartie, MATCH($B130, Donnees!$F:$F, 0),
    _xlpm.joueurs, INDEX(Donnees!$A:$Z, _xlpm.ligpartie+1, _xlfn.SEQUENCE(1, 4, 2)),
    INDEX(
      Donnees!$A:$Z,
      _xlpm.ligpartie + 3,
      MATCH(U$1, _xlpm.joueurs, 0) + 1
    )
  ), ""
)</f>
        <v>3</v>
      </c>
      <c r="V131" t="str" cm="1">
        <f t="array" ref="V131">IFERROR(
  _xlfn.LET(
    _xlpm.ligpartie, MATCH($B130, Donnees!$F:$F, 0),
    _xlpm.joueurs, INDEX(Donnees!$A:$Z, _xlpm.ligpartie+1, _xlfn.SEQUENCE(1, 4, 2)),
    INDEX(
      Donnees!$A:$Z,
      _xlpm.ligpartie + 3,
      MATCH(V$1, _xlpm.joueurs, 0) + 1
    )
  ), ""
)</f>
        <v/>
      </c>
      <c r="W131" t="str" cm="1">
        <f t="array" ref="W131">IFERROR(
  _xlfn.LET(
    _xlpm.ligpartie, MATCH($B130, Donnees!$F:$F, 0),
    _xlpm.joueurs, INDEX(Donnees!$A:$Z, _xlpm.ligpartie+1, _xlfn.SEQUENCE(1, 4, 2)),
    INDEX(
      Donnees!$A:$Z,
      _xlpm.ligpartie + 3,
      MATCH(W$1, _xlpm.joueurs, 0) + 1
    )
  ), ""
)</f>
        <v/>
      </c>
      <c r="X131" t="str" cm="1">
        <f t="array" ref="X131">IFERROR(
  _xlfn.LET(
    _xlpm.ligpartie, MATCH($B130, Donnees!$F:$F, 0),
    _xlpm.joueurs, INDEX(Donnees!$A:$Z, _xlpm.ligpartie+1, _xlfn.SEQUENCE(1, 4, 2)),
    INDEX(
      Donnees!$A:$Z,
      _xlpm.ligpartie + 3,
      MATCH(X$1, _xlpm.joueurs, 0) + 1
    )
  ), ""
)</f>
        <v/>
      </c>
      <c r="Y131" t="str" cm="1">
        <f t="array" ref="Y131">IFERROR(
  _xlfn.LET(
    _xlpm.ligpartie, MATCH($B130, Donnees!$F:$F, 0),
    _xlpm.joueurs, INDEX(Donnees!$A:$Z, _xlpm.ligpartie+1, _xlfn.SEQUENCE(1, 4, 2)),
    INDEX(
      Donnees!$A:$Z,
      _xlpm.ligpartie + 3,
      MATCH(Y$1, _xlpm.joueurs, 0) + 1
    )
  ), ""
)</f>
        <v/>
      </c>
      <c r="Z131" t="str" cm="1">
        <f t="array" ref="Z131">IFERROR(
  _xlfn.LET(
    _xlpm.ligpartie, MATCH($B130, Donnees!$F:$F, 0),
    _xlpm.joueurs, INDEX(Donnees!$A:$Z, _xlpm.ligpartie+1, _xlfn.SEQUENCE(1, 4, 2)),
    INDEX(
      Donnees!$A:$Z,
      _xlpm.ligpartie + 3,
      MATCH(Z$1, _xlpm.joueurs, 0) + 1
    )
  ), ""
)</f>
        <v/>
      </c>
      <c r="AA131" t="str" cm="1">
        <f t="array" ref="AA131">IFERROR(
  _xlfn.LET(
    _xlpm.ligpartie, MATCH($B130, Donnees!$F:$F, 0),
    _xlpm.joueurs, INDEX(Donnees!$A:$Z, _xlpm.ligpartie+1, _xlfn.SEQUENCE(1, 4, 2)),
    INDEX(
      Donnees!$A:$Z,
      _xlpm.ligpartie + 3,
      MATCH(AA$1, _xlpm.joueurs, 0) + 1
    )
  ), ""
)</f>
        <v/>
      </c>
      <c r="AB131" t="str" cm="1">
        <f t="array" ref="AB131">IFERROR(
  _xlfn.LET(
    _xlpm.ligpartie, MATCH($B130, Donnees!$F:$F, 0),
    _xlpm.joueurs, INDEX(Donnees!$A:$Z, _xlpm.ligpartie+1, _xlfn.SEQUENCE(1, 4, 2)),
    INDEX(
      Donnees!$A:$Z,
      _xlpm.ligpartie + 3,
      MATCH(AB$1, _xlpm.joueurs, 0) + 1
    )
  ), ""
)</f>
        <v/>
      </c>
      <c r="AC131" t="str" cm="1">
        <f t="array" ref="AC131">IFERROR(
  _xlfn.LET(
    _xlpm.ligpartie, MATCH($B130, Donnees!$F:$F, 0),
    _xlpm.joueurs, INDEX(Donnees!$A:$Z, _xlpm.ligpartie+1, _xlfn.SEQUENCE(1, 4, 2)),
    INDEX(
      Donnees!$A:$Z,
      _xlpm.ligpartie + 3,
      MATCH(AC$1, _xlpm.joueurs, 0) + 1
    )
  ), ""
)</f>
        <v/>
      </c>
      <c r="AD131" t="str" cm="1">
        <f t="array" ref="AD131">IFERROR(
  _xlfn.LET(
    _xlpm.ligpartie, MATCH($B130, Donnees!$F:$F, 0),
    _xlpm.joueurs, INDEX(Donnees!$A:$Z, _xlpm.ligpartie+1, _xlfn.SEQUENCE(1, 4, 2)),
    INDEX(
      Donnees!$A:$Z,
      _xlpm.ligpartie + 3,
      MATCH(AD$1, _xlpm.joueurs, 0) + 1
    )
  ), ""
)</f>
        <v/>
      </c>
      <c r="AE131" t="str" cm="1">
        <f t="array" ref="AE131">IFERROR(
  _xlfn.LET(
    _xlpm.ligpartie, MATCH($B130, Donnees!$F:$F, 0),
    _xlpm.joueurs, INDEX(Donnees!$A:$Z, _xlpm.ligpartie+1, _xlfn.SEQUENCE(1, 4, 2)),
    INDEX(
      Donnees!$A:$Z,
      _xlpm.ligpartie + 3,
      MATCH(AE$1, _xlpm.joueurs, 0) + 1
    )
  ), ""
)</f>
        <v/>
      </c>
      <c r="AF131" t="str" cm="1">
        <f t="array" ref="AF131">IFERROR(
  _xlfn.LET(
    _xlpm.ligpartie, MATCH($B130, Donnees!$F:$F, 0),
    _xlpm.joueurs, INDEX(Donnees!$A:$Z, _xlpm.ligpartie+1, _xlfn.SEQUENCE(1, 4, 2)),
    INDEX(
      Donnees!$A:$Z,
      _xlpm.ligpartie + 3,
      MATCH(AF$1, _xlpm.joueurs, 0) + 1
    )
  ), ""
)</f>
        <v/>
      </c>
      <c r="AG131" t="str" cm="1">
        <f t="array" ref="AG131">IFERROR(
  _xlfn.LET(
    _xlpm.ligpartie, MATCH($B130, Donnees!$F:$F, 0),
    _xlpm.joueurs, INDEX(Donnees!$A:$Z, _xlpm.ligpartie+1, _xlfn.SEQUENCE(1, 4, 2)),
    INDEX(
      Donnees!$A:$Z,
      _xlpm.ligpartie + 3,
      MATCH(AG$1, _xlpm.joueurs, 0) + 1
    )
  ), ""
)</f>
        <v/>
      </c>
      <c r="AH131" t="str" cm="1">
        <f t="array" ref="AH131">IFERROR(
  _xlfn.LET(
    _xlpm.ligpartie, MATCH($B130, Donnees!$F:$F, 0),
    _xlpm.joueurs, INDEX(Donnees!$A:$Z, _xlpm.ligpartie+1, _xlfn.SEQUENCE(1, 4, 2)),
    INDEX(
      Donnees!$A:$Z,
      _xlpm.ligpartie + 3,
      MATCH(AH$1, _xlpm.joueurs, 0) + 1
    )
  ), ""
)</f>
        <v/>
      </c>
      <c r="AI131" t="str" cm="1">
        <f t="array" ref="AI131">IFERROR(
  _xlfn.LET(
    _xlpm.ligpartie, MATCH($B130, Donnees!$F:$F, 0),
    _xlpm.joueurs, INDEX(Donnees!$A:$Z, _xlpm.ligpartie+1, _xlfn.SEQUENCE(1, 4, 2)),
    INDEX(
      Donnees!$A:$Z,
      _xlpm.ligpartie + 3,
      MATCH(AI$1, _xlpm.joueurs, 0) + 1
    )
  ), ""
)</f>
        <v/>
      </c>
      <c r="AJ131" t="str" cm="1">
        <f t="array" ref="AJ131">IFERROR(
  _xlfn.LET(
    _xlpm.ligpartie, MATCH($B130, Donnees!$F:$F, 0),
    _xlpm.joueurs, INDEX(Donnees!$A:$Z, _xlpm.ligpartie+1, _xlfn.SEQUENCE(1, 4, 2)),
    INDEX(
      Donnees!$A:$Z,
      _xlpm.ligpartie + 3,
      MATCH(AJ$1, _xlpm.joueurs, 0) + 1
    )
  ), ""
)</f>
        <v/>
      </c>
      <c r="AK131" t="str" cm="1">
        <f t="array" ref="AK131">IFERROR(
  _xlfn.LET(
    _xlpm.ligpartie, MATCH($B130, Donnees!$F:$F, 0),
    _xlpm.joueurs, INDEX(Donnees!$A:$Z, _xlpm.ligpartie+1, _xlfn.SEQUENCE(1, 4, 2)),
    INDEX(
      Donnees!$A:$Z,
      _xlpm.ligpartie + 3,
      MATCH(AK$1, _xlpm.joueurs, 0) + 1
    )
  ), ""
)</f>
        <v/>
      </c>
      <c r="AL131" t="str" cm="1">
        <f t="array" ref="AL131">IFERROR(
  _xlfn.LET(
    _xlpm.ligpartie, MATCH($B130, Donnees!$F:$F, 0),
    _xlpm.joueurs, INDEX(Donnees!$A:$Z, _xlpm.ligpartie+1, _xlfn.SEQUENCE(1, 4, 2)),
    INDEX(
      Donnees!$A:$Z,
      _xlpm.ligpartie + 3,
      MATCH(AL$1, _xlpm.joueurs, 0) + 1
    )
  ), ""
)</f>
        <v/>
      </c>
      <c r="AM131" t="str" cm="1">
        <f t="array" ref="AM131">IFERROR(
  _xlfn.LET(
    _xlpm.ligpartie, MATCH($B130, Donnees!$F:$F, 0),
    _xlpm.joueurs, INDEX(Donnees!$A:$Z, _xlpm.ligpartie+1, _xlfn.SEQUENCE(1, 4, 2)),
    INDEX(
      Donnees!$A:$Z,
      _xlpm.ligpartie + 3,
      MATCH(AM$1, _xlpm.joueurs, 0) + 1
    )
  ), ""
)</f>
        <v/>
      </c>
    </row>
    <row r="132" spans="1:39" x14ac:dyDescent="0.25">
      <c r="A132" t="s">
        <v>20</v>
      </c>
      <c r="D132" t="str" cm="1">
        <f t="array" ref="D132">_xlfn.LET(
  _xlpm.colj, _xlfn._xlws.FILTER(IF(ISNUMBER(131:131), COLUMN(131:131)), ISNUMBER(131:131)),
  _xlpm.elos, INDEX(130:130,1,_xlpm.colj),
  _xlpm.diffscale, Constantes!$B$2,
  IF(D131="",
    "",
    SUM(1/(1+POWER(10,-(D130-_xlpm.elos)/_xlpm.diffscale)))-0.5)
)</f>
        <v/>
      </c>
      <c r="E132" t="str" cm="1">
        <f t="array" ref="E132">_xlfn.LET(
  _xlpm.colj, _xlfn._xlws.FILTER(IF(ISNUMBER(131:131), COLUMN(131:131)), ISNUMBER(131:131)),
  _xlpm.elos, INDEX(130:130,1,_xlpm.colj),
  _xlpm.diffscale, Constantes!$B$2,
  IF(E131="",
    "",
    SUM(1/(1+POWER(10,-(E130-_xlpm.elos)/_xlpm.diffscale)))-0.5)
)</f>
        <v/>
      </c>
      <c r="F132" cm="1">
        <f t="array" ref="F132">_xlfn.LET(
  _xlpm.colj, _xlfn._xlws.FILTER(IF(ISNUMBER(131:131), COLUMN(131:131)), ISNUMBER(131:131)),
  _xlpm.elos, INDEX(130:130,1,_xlpm.colj),
  _xlpm.diffscale, Constantes!$B$2,
  IF(F131="",
    "",
    SUM(1/(1+POWER(10,-(F130-_xlpm.elos)/_xlpm.diffscale)))-0.5)
)</f>
        <v>1.095804527075789</v>
      </c>
      <c r="G132" cm="1">
        <f t="array" ref="G132">_xlfn.LET(
  _xlpm.colj, _xlfn._xlws.FILTER(IF(ISNUMBER(131:131), COLUMN(131:131)), ISNUMBER(131:131)),
  _xlpm.elos, INDEX(130:130,1,_xlpm.colj),
  _xlpm.diffscale, Constantes!$B$2,
  IF(G131="",
    "",
    SUM(1/(1+POWER(10,-(G130-_xlpm.elos)/_xlpm.diffscale)))-0.5)
)</f>
        <v>1.2731030691582226</v>
      </c>
      <c r="H132" t="str" cm="1">
        <f t="array" ref="H132">_xlfn.LET(
  _xlpm.colj, _xlfn._xlws.FILTER(IF(ISNUMBER(131:131), COLUMN(131:131)), ISNUMBER(131:131)),
  _xlpm.elos, INDEX(130:130,1,_xlpm.colj),
  _xlpm.diffscale, Constantes!$B$2,
  IF(H131="",
    "",
    SUM(1/(1+POWER(10,-(H130-_xlpm.elos)/_xlpm.diffscale)))-0.5)
)</f>
        <v/>
      </c>
      <c r="I132" t="str" cm="1">
        <f t="array" ref="I132">_xlfn.LET(
  _xlpm.colj, _xlfn._xlws.FILTER(IF(ISNUMBER(131:131), COLUMN(131:131)), ISNUMBER(131:131)),
  _xlpm.elos, INDEX(130:130,1,_xlpm.colj),
  _xlpm.diffscale, Constantes!$B$2,
  IF(I131="",
    "",
    SUM(1/(1+POWER(10,-(I130-_xlpm.elos)/_xlpm.diffscale)))-0.5)
)</f>
        <v/>
      </c>
      <c r="J132" t="str" cm="1">
        <f t="array" ref="J132">_xlfn.LET(
  _xlpm.colj, _xlfn._xlws.FILTER(IF(ISNUMBER(131:131), COLUMN(131:131)), ISNUMBER(131:131)),
  _xlpm.elos, INDEX(130:130,1,_xlpm.colj),
  _xlpm.diffscale, Constantes!$B$2,
  IF(J131="",
    "",
    SUM(1/(1+POWER(10,-(J130-_xlpm.elos)/_xlpm.diffscale)))-0.5)
)</f>
        <v/>
      </c>
      <c r="K132" t="str" cm="1">
        <f t="array" ref="K132">_xlfn.LET(
  _xlpm.colj, _xlfn._xlws.FILTER(IF(ISNUMBER(131:131), COLUMN(131:131)), ISNUMBER(131:131)),
  _xlpm.elos, INDEX(130:130,1,_xlpm.colj),
  _xlpm.diffscale, Constantes!$B$2,
  IF(K131="",
    "",
    SUM(1/(1+POWER(10,-(K130-_xlpm.elos)/_xlpm.diffscale)))-0.5)
)</f>
        <v/>
      </c>
      <c r="L132" t="str" cm="1">
        <f t="array" ref="L132">_xlfn.LET(
  _xlpm.colj, _xlfn._xlws.FILTER(IF(ISNUMBER(131:131), COLUMN(131:131)), ISNUMBER(131:131)),
  _xlpm.elos, INDEX(130:130,1,_xlpm.colj),
  _xlpm.diffscale, Constantes!$B$2,
  IF(L131="",
    "",
    SUM(1/(1+POWER(10,-(L130-_xlpm.elos)/_xlpm.diffscale)))-0.5)
)</f>
        <v/>
      </c>
      <c r="M132" t="str" cm="1">
        <f t="array" ref="M132">_xlfn.LET(
  _xlpm.colj, _xlfn._xlws.FILTER(IF(ISNUMBER(131:131), COLUMN(131:131)), ISNUMBER(131:131)),
  _xlpm.elos, INDEX(130:130,1,_xlpm.colj),
  _xlpm.diffscale, Constantes!$B$2,
  IF(M131="",
    "",
    SUM(1/(1+POWER(10,-(M130-_xlpm.elos)/_xlpm.diffscale)))-0.5)
)</f>
        <v/>
      </c>
      <c r="N132" t="str" cm="1">
        <f t="array" ref="N132">_xlfn.LET(
  _xlpm.colj, _xlfn._xlws.FILTER(IF(ISNUMBER(131:131), COLUMN(131:131)), ISNUMBER(131:131)),
  _xlpm.elos, INDEX(130:130,1,_xlpm.colj),
  _xlpm.diffscale, Constantes!$B$2,
  IF(N131="",
    "",
    SUM(1/(1+POWER(10,-(N130-_xlpm.elos)/_xlpm.diffscale)))-0.5)
)</f>
        <v/>
      </c>
      <c r="O132" cm="1">
        <f t="array" ref="O132">_xlfn.LET(
  _xlpm.colj, _xlfn._xlws.FILTER(IF(ISNUMBER(131:131), COLUMN(131:131)), ISNUMBER(131:131)),
  _xlpm.elos, INDEX(130:130,1,_xlpm.colj),
  _xlpm.diffscale, Constantes!$B$2,
  IF(O131="",
    "",
    SUM(1/(1+POWER(10,-(O130-_xlpm.elos)/_xlpm.diffscale)))-0.5)
)</f>
        <v>1.7694057877890641</v>
      </c>
      <c r="P132" t="str" cm="1">
        <f t="array" ref="P132">_xlfn.LET(
  _xlpm.colj, _xlfn._xlws.FILTER(IF(ISNUMBER(131:131), COLUMN(131:131)), ISNUMBER(131:131)),
  _xlpm.elos, INDEX(130:130,1,_xlpm.colj),
  _xlpm.diffscale, Constantes!$B$2,
  IF(P131="",
    "",
    SUM(1/(1+POWER(10,-(P130-_xlpm.elos)/_xlpm.diffscale)))-0.5)
)</f>
        <v/>
      </c>
      <c r="Q132" t="str" cm="1">
        <f t="array" ref="Q132">_xlfn.LET(
  _xlpm.colj, _xlfn._xlws.FILTER(IF(ISNUMBER(131:131), COLUMN(131:131)), ISNUMBER(131:131)),
  _xlpm.elos, INDEX(130:130,1,_xlpm.colj),
  _xlpm.diffscale, Constantes!$B$2,
  IF(Q131="",
    "",
    SUM(1/(1+POWER(10,-(Q130-_xlpm.elos)/_xlpm.diffscale)))-0.5)
)</f>
        <v/>
      </c>
      <c r="R132" t="str" cm="1">
        <f t="array" ref="R132">_xlfn.LET(
  _xlpm.colj, _xlfn._xlws.FILTER(IF(ISNUMBER(131:131), COLUMN(131:131)), ISNUMBER(131:131)),
  _xlpm.elos, INDEX(130:130,1,_xlpm.colj),
  _xlpm.diffscale, Constantes!$B$2,
  IF(R131="",
    "",
    SUM(1/(1+POWER(10,-(R130-_xlpm.elos)/_xlpm.diffscale)))-0.5)
)</f>
        <v/>
      </c>
      <c r="S132" t="str" cm="1">
        <f t="array" ref="S132">_xlfn.LET(
  _xlpm.colj, _xlfn._xlws.FILTER(IF(ISNUMBER(131:131), COLUMN(131:131)), ISNUMBER(131:131)),
  _xlpm.elos, INDEX(130:130,1,_xlpm.colj),
  _xlpm.diffscale, Constantes!$B$2,
  IF(S131="",
    "",
    SUM(1/(1+POWER(10,-(S130-_xlpm.elos)/_xlpm.diffscale)))-0.5)
)</f>
        <v/>
      </c>
      <c r="T132" t="str" cm="1">
        <f t="array" ref="T132">_xlfn.LET(
  _xlpm.colj, _xlfn._xlws.FILTER(IF(ISNUMBER(131:131), COLUMN(131:131)), ISNUMBER(131:131)),
  _xlpm.elos, INDEX(130:130,1,_xlpm.colj),
  _xlpm.diffscale, Constantes!$B$2,
  IF(T131="",
    "",
    SUM(1/(1+POWER(10,-(T130-_xlpm.elos)/_xlpm.diffscale)))-0.5)
)</f>
        <v/>
      </c>
      <c r="U132" cm="1">
        <f t="array" ref="U132">_xlfn.LET(
  _xlpm.colj, _xlfn._xlws.FILTER(IF(ISNUMBER(131:131), COLUMN(131:131)), ISNUMBER(131:131)),
  _xlpm.elos, INDEX(130:130,1,_xlpm.colj),
  _xlpm.diffscale, Constantes!$B$2,
  IF(U131="",
    "",
    SUM(1/(1+POWER(10,-(U130-_xlpm.elos)/_xlpm.diffscale)))-0.5)
)</f>
        <v>1.8616866159769243</v>
      </c>
      <c r="V132" t="str" cm="1">
        <f t="array" ref="V132">_xlfn.LET(
  _xlpm.colj, _xlfn._xlws.FILTER(IF(ISNUMBER(131:131), COLUMN(131:131)), ISNUMBER(131:131)),
  _xlpm.elos, INDEX(130:130,1,_xlpm.colj),
  _xlpm.diffscale, Constantes!$B$2,
  IF(V131="",
    "",
    SUM(1/(1+POWER(10,-(V130-_xlpm.elos)/_xlpm.diffscale)))-0.5)
)</f>
        <v/>
      </c>
      <c r="W132" t="str" cm="1">
        <f t="array" ref="W132">_xlfn.LET(
  _xlpm.colj, _xlfn._xlws.FILTER(IF(ISNUMBER(131:131), COLUMN(131:131)), ISNUMBER(131:131)),
  _xlpm.elos, INDEX(130:130,1,_xlpm.colj),
  _xlpm.diffscale, Constantes!$B$2,
  IF(W131="",
    "",
    SUM(1/(1+POWER(10,-(W130-_xlpm.elos)/_xlpm.diffscale)))-0.5)
)</f>
        <v/>
      </c>
      <c r="X132" t="str" cm="1">
        <f t="array" ref="X132">_xlfn.LET(
  _xlpm.colj, _xlfn._xlws.FILTER(IF(ISNUMBER(131:131), COLUMN(131:131)), ISNUMBER(131:131)),
  _xlpm.elos, INDEX(130:130,1,_xlpm.colj),
  _xlpm.diffscale, Constantes!$B$2,
  IF(X131="",
    "",
    SUM(1/(1+POWER(10,-(X130-_xlpm.elos)/_xlpm.diffscale)))-0.5)
)</f>
        <v/>
      </c>
      <c r="Y132" t="str" cm="1">
        <f t="array" ref="Y132">_xlfn.LET(
  _xlpm.colj, _xlfn._xlws.FILTER(IF(ISNUMBER(131:131), COLUMN(131:131)), ISNUMBER(131:131)),
  _xlpm.elos, INDEX(130:130,1,_xlpm.colj),
  _xlpm.diffscale, Constantes!$B$2,
  IF(Y131="",
    "",
    SUM(1/(1+POWER(10,-(Y130-_xlpm.elos)/_xlpm.diffscale)))-0.5)
)</f>
        <v/>
      </c>
      <c r="Z132" t="str" cm="1">
        <f t="array" ref="Z132">_xlfn.LET(
  _xlpm.colj, _xlfn._xlws.FILTER(IF(ISNUMBER(131:131), COLUMN(131:131)), ISNUMBER(131:131)),
  _xlpm.elos, INDEX(130:130,1,_xlpm.colj),
  _xlpm.diffscale, Constantes!$B$2,
  IF(Z131="",
    "",
    SUM(1/(1+POWER(10,-(Z130-_xlpm.elos)/_xlpm.diffscale)))-0.5)
)</f>
        <v/>
      </c>
      <c r="AA132" t="str" cm="1">
        <f t="array" ref="AA132">_xlfn.LET(
  _xlpm.colj, _xlfn._xlws.FILTER(IF(ISNUMBER(131:131), COLUMN(131:131)), ISNUMBER(131:131)),
  _xlpm.elos, INDEX(130:130,1,_xlpm.colj),
  _xlpm.diffscale, Constantes!$B$2,
  IF(AA131="",
    "",
    SUM(1/(1+POWER(10,-(AA130-_xlpm.elos)/_xlpm.diffscale)))-0.5)
)</f>
        <v/>
      </c>
      <c r="AB132" t="str" cm="1">
        <f t="array" ref="AB132">_xlfn.LET(
  _xlpm.colj, _xlfn._xlws.FILTER(IF(ISNUMBER(131:131), COLUMN(131:131)), ISNUMBER(131:131)),
  _xlpm.elos, INDEX(130:130,1,_xlpm.colj),
  _xlpm.diffscale, Constantes!$B$2,
  IF(AB131="",
    "",
    SUM(1/(1+POWER(10,-(AB130-_xlpm.elos)/_xlpm.diffscale)))-0.5)
)</f>
        <v/>
      </c>
      <c r="AC132" t="str" cm="1">
        <f t="array" ref="AC132">_xlfn.LET(
  _xlpm.colj, _xlfn._xlws.FILTER(IF(ISNUMBER(131:131), COLUMN(131:131)), ISNUMBER(131:131)),
  _xlpm.elos, INDEX(130:130,1,_xlpm.colj),
  _xlpm.diffscale, Constantes!$B$2,
  IF(AC131="",
    "",
    SUM(1/(1+POWER(10,-(AC130-_xlpm.elos)/_xlpm.diffscale)))-0.5)
)</f>
        <v/>
      </c>
      <c r="AD132" t="str" cm="1">
        <f t="array" ref="AD132">_xlfn.LET(
  _xlpm.colj, _xlfn._xlws.FILTER(IF(ISNUMBER(131:131), COLUMN(131:131)), ISNUMBER(131:131)),
  _xlpm.elos, INDEX(130:130,1,_xlpm.colj),
  _xlpm.diffscale, Constantes!$B$2,
  IF(AD131="",
    "",
    SUM(1/(1+POWER(10,-(AD130-_xlpm.elos)/_xlpm.diffscale)))-0.5)
)</f>
        <v/>
      </c>
      <c r="AE132" t="str" cm="1">
        <f t="array" ref="AE132">_xlfn.LET(
  _xlpm.colj, _xlfn._xlws.FILTER(IF(ISNUMBER(131:131), COLUMN(131:131)), ISNUMBER(131:131)),
  _xlpm.elos, INDEX(130:130,1,_xlpm.colj),
  _xlpm.diffscale, Constantes!$B$2,
  IF(AE131="",
    "",
    SUM(1/(1+POWER(10,-(AE130-_xlpm.elos)/_xlpm.diffscale)))-0.5)
)</f>
        <v/>
      </c>
      <c r="AF132" t="str" cm="1">
        <f t="array" ref="AF132">_xlfn.LET(
  _xlpm.colj, _xlfn._xlws.FILTER(IF(ISNUMBER(131:131), COLUMN(131:131)), ISNUMBER(131:131)),
  _xlpm.elos, INDEX(130:130,1,_xlpm.colj),
  _xlpm.diffscale, Constantes!$B$2,
  IF(AF131="",
    "",
    SUM(1/(1+POWER(10,-(AF130-_xlpm.elos)/_xlpm.diffscale)))-0.5)
)</f>
        <v/>
      </c>
      <c r="AG132" t="str" cm="1">
        <f t="array" ref="AG132">_xlfn.LET(
  _xlpm.colj, _xlfn._xlws.FILTER(IF(ISNUMBER(131:131), COLUMN(131:131)), ISNUMBER(131:131)),
  _xlpm.elos, INDEX(130:130,1,_xlpm.colj),
  _xlpm.diffscale, Constantes!$B$2,
  IF(AG131="",
    "",
    SUM(1/(1+POWER(10,-(AG130-_xlpm.elos)/_xlpm.diffscale)))-0.5)
)</f>
        <v/>
      </c>
      <c r="AH132" t="str" cm="1">
        <f t="array" ref="AH132">_xlfn.LET(
  _xlpm.colj, _xlfn._xlws.FILTER(IF(ISNUMBER(131:131), COLUMN(131:131)), ISNUMBER(131:131)),
  _xlpm.elos, INDEX(130:130,1,_xlpm.colj),
  _xlpm.diffscale, Constantes!$B$2,
  IF(AH131="",
    "",
    SUM(1/(1+POWER(10,-(AH130-_xlpm.elos)/_xlpm.diffscale)))-0.5)
)</f>
        <v/>
      </c>
      <c r="AI132" t="str" cm="1">
        <f t="array" ref="AI132">_xlfn.LET(
  _xlpm.colj, _xlfn._xlws.FILTER(IF(ISNUMBER(131:131), COLUMN(131:131)), ISNUMBER(131:131)),
  _xlpm.elos, INDEX(130:130,1,_xlpm.colj),
  _xlpm.diffscale, Constantes!$B$2,
  IF(AI131="",
    "",
    SUM(1/(1+POWER(10,-(AI130-_xlpm.elos)/_xlpm.diffscale)))-0.5)
)</f>
        <v/>
      </c>
      <c r="AJ132" t="str" cm="1">
        <f t="array" ref="AJ132">_xlfn.LET(
  _xlpm.colj, _xlfn._xlws.FILTER(IF(ISNUMBER(131:131), COLUMN(131:131)), ISNUMBER(131:131)),
  _xlpm.elos, INDEX(130:130,1,_xlpm.colj),
  _xlpm.diffscale, Constantes!$B$2,
  IF(AJ131="",
    "",
    SUM(1/(1+POWER(10,-(AJ130-_xlpm.elos)/_xlpm.diffscale)))-0.5)
)</f>
        <v/>
      </c>
      <c r="AK132" t="str" cm="1">
        <f t="array" ref="AK132">_xlfn.LET(
  _xlpm.colj, _xlfn._xlws.FILTER(IF(ISNUMBER(131:131), COLUMN(131:131)), ISNUMBER(131:131)),
  _xlpm.elos, INDEX(130:130,1,_xlpm.colj),
  _xlpm.diffscale, Constantes!$B$2,
  IF(AK131="",
    "",
    SUM(1/(1+POWER(10,-(AK130-_xlpm.elos)/_xlpm.diffscale)))-0.5)
)</f>
        <v/>
      </c>
      <c r="AL132" t="str" cm="1">
        <f t="array" ref="AL132">_xlfn.LET(
  _xlpm.colj, _xlfn._xlws.FILTER(IF(ISNUMBER(131:131), COLUMN(131:131)), ISNUMBER(131:131)),
  _xlpm.elos, INDEX(130:130,1,_xlpm.colj),
  _xlpm.diffscale, Constantes!$B$2,
  IF(AL131="",
    "",
    SUM(1/(1+POWER(10,-(AL130-_xlpm.elos)/_xlpm.diffscale)))-0.5)
)</f>
        <v/>
      </c>
      <c r="AM132" t="str" cm="1">
        <f t="array" ref="AM132">_xlfn.LET(
  _xlpm.colj, _xlfn._xlws.FILTER(IF(ISNUMBER(131:131), COLUMN(131:131)), ISNUMBER(131:131)),
  _xlpm.elos, INDEX(130:130,1,_xlpm.colj),
  _xlpm.diffscale, Constantes!$B$2,
  IF(AM131="",
    "",
    SUM(1/(1+POWER(10,-(AM130-_xlpm.elos)/_xlpm.diffscale)))-0.5)
)</f>
        <v/>
      </c>
    </row>
    <row r="133" spans="1:39" x14ac:dyDescent="0.25">
      <c r="A133" t="s">
        <v>22</v>
      </c>
      <c r="D133" t="str" cm="1">
        <f t="array" ref="D133">_xlfn.LET(
  _xlpm.K, Constantes!$B$3,
  _xlpm.Knewgain, Constantes!$B$4,
  _xlpm.Knewscale, Constantes!$B$5,
  _xlpm.ptstables, INDEX(D:D, _xlfn.SEQUENCE(COUNTA($C$2:$C133), 1, 3, 4)),
  _xlpm.nbparties, COUNTA(_xlfn._xlws.FILTER(_xlpm.ptstables, _xlpm.ptstables &lt;&gt; "")),
  _xlpm.coef, _xlpm.K + _xlpm.Knewgain / (_xlpm.Knewscale + _xlpm.nbparties),
  IF(D131="",
    "",
    _xlpm.coef * (D131-D132))
)</f>
        <v/>
      </c>
      <c r="E133" t="str" cm="1">
        <f t="array" ref="E133">_xlfn.LET(
  _xlpm.K, Constantes!$B$3,
  _xlpm.Knewgain, Constantes!$B$4,
  _xlpm.Knewscale, Constantes!$B$5,
  _xlpm.ptstables, INDEX(E:E, _xlfn.SEQUENCE(COUNTA($C$2:$C133), 1, 3, 4)),
  _xlpm.nbparties, COUNTA(_xlfn._xlws.FILTER(_xlpm.ptstables, _xlpm.ptstables &lt;&gt; "")),
  _xlpm.coef, _xlpm.K + _xlpm.Knewgain / (_xlpm.Knewscale + _xlpm.nbparties),
  IF(E131="",
    "",
    _xlpm.coef * (E131-E132))
)</f>
        <v/>
      </c>
      <c r="F133" cm="1">
        <f t="array" ref="F133">_xlfn.LET(
  _xlpm.K, Constantes!$B$3,
  _xlpm.Knewgain, Constantes!$B$4,
  _xlpm.Knewscale, Constantes!$B$5,
  _xlpm.ptstables, INDEX(F:F, _xlfn.SEQUENCE(COUNTA($C$2:$C133), 1, 3, 4)),
  _xlpm.nbparties, COUNTA(_xlfn._xlws.FILTER(_xlpm.ptstables, _xlpm.ptstables &lt;&gt; "")),
  _xlpm.coef, _xlpm.K + _xlpm.Knewgain / (_xlpm.Knewscale + _xlpm.nbparties),
  IF(F131="",
    "",
    _xlpm.coef * (F131-F132))
)</f>
        <v>-27.395113176894725</v>
      </c>
      <c r="G133" cm="1">
        <f t="array" ref="G133">_xlfn.LET(
  _xlpm.K, Constantes!$B$3,
  _xlpm.Knewgain, Constantes!$B$4,
  _xlpm.Knewscale, Constantes!$B$5,
  _xlpm.ptstables, INDEX(G:G, _xlfn.SEQUENCE(COUNTA($C$2:$C133), 1, 3, 4)),
  _xlpm.nbparties, COUNTA(_xlfn._xlws.FILTER(_xlpm.ptstables, _xlpm.ptstables &lt;&gt; "")),
  _xlpm.coef, _xlpm.K + _xlpm.Knewgain / (_xlpm.Knewscale + _xlpm.nbparties),
  IF(G131="",
    "",
    _xlpm.coef * (G131-G132))
)</f>
        <v>17.333696043150077</v>
      </c>
      <c r="H133" t="str" cm="1">
        <f t="array" ref="H133">_xlfn.LET(
  _xlpm.K, Constantes!$B$3,
  _xlpm.Knewgain, Constantes!$B$4,
  _xlpm.Knewscale, Constantes!$B$5,
  _xlpm.ptstables, INDEX(H:H, _xlfn.SEQUENCE(COUNTA($C$2:$C133), 1, 3, 4)),
  _xlpm.nbparties, COUNTA(_xlfn._xlws.FILTER(_xlpm.ptstables, _xlpm.ptstables &lt;&gt; "")),
  _xlpm.coef, _xlpm.K + _xlpm.Knewgain / (_xlpm.Knewscale + _xlpm.nbparties),
  IF(H131="",
    "",
    _xlpm.coef * (H131-H132))
)</f>
        <v/>
      </c>
      <c r="I133" t="str" cm="1">
        <f t="array" ref="I133">_xlfn.LET(
  _xlpm.K, Constantes!$B$3,
  _xlpm.Knewgain, Constantes!$B$4,
  _xlpm.Knewscale, Constantes!$B$5,
  _xlpm.ptstables, INDEX(I:I, _xlfn.SEQUENCE(COUNTA($C$2:$C133), 1, 3, 4)),
  _xlpm.nbparties, COUNTA(_xlfn._xlws.FILTER(_xlpm.ptstables, _xlpm.ptstables &lt;&gt; "")),
  _xlpm.coef, _xlpm.K + _xlpm.Knewgain / (_xlpm.Knewscale + _xlpm.nbparties),
  IF(I131="",
    "",
    _xlpm.coef * (I131-I132))
)</f>
        <v/>
      </c>
      <c r="J133" t="str" cm="1">
        <f t="array" ref="J133">_xlfn.LET(
  _xlpm.K, Constantes!$B$3,
  _xlpm.Knewgain, Constantes!$B$4,
  _xlpm.Knewscale, Constantes!$B$5,
  _xlpm.ptstables, INDEX(J:J, _xlfn.SEQUENCE(COUNTA($C$2:$C133), 1, 3, 4)),
  _xlpm.nbparties, COUNTA(_xlfn._xlws.FILTER(_xlpm.ptstables, _xlpm.ptstables &lt;&gt; "")),
  _xlpm.coef, _xlpm.K + _xlpm.Knewgain / (_xlpm.Knewscale + _xlpm.nbparties),
  IF(J131="",
    "",
    _xlpm.coef * (J131-J132))
)</f>
        <v/>
      </c>
      <c r="K133" t="str" cm="1">
        <f t="array" ref="K133">_xlfn.LET(
  _xlpm.K, Constantes!$B$3,
  _xlpm.Knewgain, Constantes!$B$4,
  _xlpm.Knewscale, Constantes!$B$5,
  _xlpm.ptstables, INDEX(K:K, _xlfn.SEQUENCE(COUNTA($C$2:$C133), 1, 3, 4)),
  _xlpm.nbparties, COUNTA(_xlfn._xlws.FILTER(_xlpm.ptstables, _xlpm.ptstables &lt;&gt; "")),
  _xlpm.coef, _xlpm.K + _xlpm.Knewgain / (_xlpm.Knewscale + _xlpm.nbparties),
  IF(K131="",
    "",
    _xlpm.coef * (K131-K132))
)</f>
        <v/>
      </c>
      <c r="L133" t="str" cm="1">
        <f t="array" ref="L133">_xlfn.LET(
  _xlpm.K, Constantes!$B$3,
  _xlpm.Knewgain, Constantes!$B$4,
  _xlpm.Knewscale, Constantes!$B$5,
  _xlpm.ptstables, INDEX(L:L, _xlfn.SEQUENCE(COUNTA($C$2:$C133), 1, 3, 4)),
  _xlpm.nbparties, COUNTA(_xlfn._xlws.FILTER(_xlpm.ptstables, _xlpm.ptstables &lt;&gt; "")),
  _xlpm.coef, _xlpm.K + _xlpm.Knewgain / (_xlpm.Knewscale + _xlpm.nbparties),
  IF(L131="",
    "",
    _xlpm.coef * (L131-L132))
)</f>
        <v/>
      </c>
      <c r="M133" t="str" cm="1">
        <f t="array" ref="M133">_xlfn.LET(
  _xlpm.K, Constantes!$B$3,
  _xlpm.Knewgain, Constantes!$B$4,
  _xlpm.Knewscale, Constantes!$B$5,
  _xlpm.ptstables, INDEX(M:M, _xlfn.SEQUENCE(COUNTA($C$2:$C133), 1, 3, 4)),
  _xlpm.nbparties, COUNTA(_xlfn._xlws.FILTER(_xlpm.ptstables, _xlpm.ptstables &lt;&gt; "")),
  _xlpm.coef, _xlpm.K + _xlpm.Knewgain / (_xlpm.Knewscale + _xlpm.nbparties),
  IF(M131="",
    "",
    _xlpm.coef * (M131-M132))
)</f>
        <v/>
      </c>
      <c r="N133" t="str" cm="1">
        <f t="array" ref="N133">_xlfn.LET(
  _xlpm.K, Constantes!$B$3,
  _xlpm.Knewgain, Constantes!$B$4,
  _xlpm.Knewscale, Constantes!$B$5,
  _xlpm.ptstables, INDEX(N:N, _xlfn.SEQUENCE(COUNTA($C$2:$C133), 1, 3, 4)),
  _xlpm.nbparties, COUNTA(_xlfn._xlws.FILTER(_xlpm.ptstables, _xlpm.ptstables &lt;&gt; "")),
  _xlpm.coef, _xlpm.K + _xlpm.Knewgain / (_xlpm.Knewscale + _xlpm.nbparties),
  IF(N131="",
    "",
    _xlpm.coef * (N131-N132))
)</f>
        <v/>
      </c>
      <c r="O133" cm="1">
        <f t="array" ref="O133">_xlfn.LET(
  _xlpm.K, Constantes!$B$3,
  _xlpm.Knewgain, Constantes!$B$4,
  _xlpm.Knewscale, Constantes!$B$5,
  _xlpm.ptstables, INDEX(O:O, _xlfn.SEQUENCE(COUNTA($C$2:$C133), 1, 3, 4)),
  _xlpm.nbparties, COUNTA(_xlfn._xlws.FILTER(_xlpm.ptstables, _xlpm.ptstables &lt;&gt; "")),
  _xlpm.coef, _xlpm.K + _xlpm.Knewgain / (_xlpm.Knewscale + _xlpm.nbparties),
  IF(O131="",
    "",
    _xlpm.coef * (O131-O132))
)</f>
        <v>-25.005688103144582</v>
      </c>
      <c r="P133" t="str" cm="1">
        <f t="array" ref="P133">_xlfn.LET(
  _xlpm.K, Constantes!$B$3,
  _xlpm.Knewgain, Constantes!$B$4,
  _xlpm.Knewscale, Constantes!$B$5,
  _xlpm.ptstables, INDEX(P:P, _xlfn.SEQUENCE(COUNTA($C$2:$C133), 1, 3, 4)),
  _xlpm.nbparties, COUNTA(_xlfn._xlws.FILTER(_xlpm.ptstables, _xlpm.ptstables &lt;&gt; "")),
  _xlpm.coef, _xlpm.K + _xlpm.Knewgain / (_xlpm.Knewscale + _xlpm.nbparties),
  IF(P131="",
    "",
    _xlpm.coef * (P131-P132))
)</f>
        <v/>
      </c>
      <c r="Q133" t="str" cm="1">
        <f t="array" ref="Q133">_xlfn.LET(
  _xlpm.K, Constantes!$B$3,
  _xlpm.Knewgain, Constantes!$B$4,
  _xlpm.Knewscale, Constantes!$B$5,
  _xlpm.ptstables, INDEX(Q:Q, _xlfn.SEQUENCE(COUNTA($C$2:$C133), 1, 3, 4)),
  _xlpm.nbparties, COUNTA(_xlfn._xlws.FILTER(_xlpm.ptstables, _xlpm.ptstables &lt;&gt; "")),
  _xlpm.coef, _xlpm.K + _xlpm.Knewgain / (_xlpm.Knewscale + _xlpm.nbparties),
  IF(Q131="",
    "",
    _xlpm.coef * (Q131-Q132))
)</f>
        <v/>
      </c>
      <c r="R133" t="str" cm="1">
        <f t="array" ref="R133">_xlfn.LET(
  _xlpm.K, Constantes!$B$3,
  _xlpm.Knewgain, Constantes!$B$4,
  _xlpm.Knewscale, Constantes!$B$5,
  _xlpm.ptstables, INDEX(R:R, _xlfn.SEQUENCE(COUNTA($C$2:$C133), 1, 3, 4)),
  _xlpm.nbparties, COUNTA(_xlfn._xlws.FILTER(_xlpm.ptstables, _xlpm.ptstables &lt;&gt; "")),
  _xlpm.coef, _xlpm.K + _xlpm.Knewgain / (_xlpm.Knewscale + _xlpm.nbparties),
  IF(R131="",
    "",
    _xlpm.coef * (R131-R132))
)</f>
        <v/>
      </c>
      <c r="S133" t="str" cm="1">
        <f t="array" ref="S133">_xlfn.LET(
  _xlpm.K, Constantes!$B$3,
  _xlpm.Knewgain, Constantes!$B$4,
  _xlpm.Knewscale, Constantes!$B$5,
  _xlpm.ptstables, INDEX(S:S, _xlfn.SEQUENCE(COUNTA($C$2:$C133), 1, 3, 4)),
  _xlpm.nbparties, COUNTA(_xlfn._xlws.FILTER(_xlpm.ptstables, _xlpm.ptstables &lt;&gt; "")),
  _xlpm.coef, _xlpm.K + _xlpm.Knewgain / (_xlpm.Knewscale + _xlpm.nbparties),
  IF(S131="",
    "",
    _xlpm.coef * (S131-S132))
)</f>
        <v/>
      </c>
      <c r="T133" t="str" cm="1">
        <f t="array" ref="T133">_xlfn.LET(
  _xlpm.K, Constantes!$B$3,
  _xlpm.Knewgain, Constantes!$B$4,
  _xlpm.Knewscale, Constantes!$B$5,
  _xlpm.ptstables, INDEX(T:T, _xlfn.SEQUENCE(COUNTA($C$2:$C133), 1, 3, 4)),
  _xlpm.nbparties, COUNTA(_xlfn._xlws.FILTER(_xlpm.ptstables, _xlpm.ptstables &lt;&gt; "")),
  _xlpm.coef, _xlpm.K + _xlpm.Knewgain / (_xlpm.Knewscale + _xlpm.nbparties),
  IF(T131="",
    "",
    _xlpm.coef * (T131-T132))
)</f>
        <v/>
      </c>
      <c r="U133" cm="1">
        <f t="array" ref="U133">_xlfn.LET(
  _xlpm.K, Constantes!$B$3,
  _xlpm.Knewgain, Constantes!$B$4,
  _xlpm.Knewscale, Constantes!$B$5,
  _xlpm.ptstables, INDEX(U:U, _xlfn.SEQUENCE(COUNTA($C$2:$C133), 1, 3, 4)),
  _xlpm.nbparties, COUNTA(_xlfn._xlws.FILTER(_xlpm.ptstables, _xlpm.ptstables &lt;&gt; "")),
  _xlpm.coef, _xlpm.K + _xlpm.Knewgain / (_xlpm.Knewscale + _xlpm.nbparties),
  IF(U131="",
    "",
    _xlpm.coef * (U131-U132))
)</f>
        <v>29.880726330605736</v>
      </c>
      <c r="V133" t="str" cm="1">
        <f t="array" ref="V133">_xlfn.LET(
  _xlpm.K, Constantes!$B$3,
  _xlpm.Knewgain, Constantes!$B$4,
  _xlpm.Knewscale, Constantes!$B$5,
  _xlpm.ptstables, INDEX(V:V, _xlfn.SEQUENCE(COUNTA($C$2:$C133), 1, 3, 4)),
  _xlpm.nbparties, COUNTA(_xlfn._xlws.FILTER(_xlpm.ptstables, _xlpm.ptstables &lt;&gt; "")),
  _xlpm.coef, _xlpm.K + _xlpm.Knewgain / (_xlpm.Knewscale + _xlpm.nbparties),
  IF(V131="",
    "",
    _xlpm.coef * (V131-V132))
)</f>
        <v/>
      </c>
      <c r="W133" t="str" cm="1">
        <f t="array" ref="W133">_xlfn.LET(
  _xlpm.K, Constantes!$B$3,
  _xlpm.Knewgain, Constantes!$B$4,
  _xlpm.Knewscale, Constantes!$B$5,
  _xlpm.ptstables, INDEX(W:W, _xlfn.SEQUENCE(COUNTA($C$2:$C133), 1, 3, 4)),
  _xlpm.nbparties, COUNTA(_xlfn._xlws.FILTER(_xlpm.ptstables, _xlpm.ptstables &lt;&gt; "")),
  _xlpm.coef, _xlpm.K + _xlpm.Knewgain / (_xlpm.Knewscale + _xlpm.nbparties),
  IF(W131="",
    "",
    _xlpm.coef * (W131-W132))
)</f>
        <v/>
      </c>
      <c r="X133" t="str" cm="1">
        <f t="array" ref="X133">_xlfn.LET(
  _xlpm.K, Constantes!$B$3,
  _xlpm.Knewgain, Constantes!$B$4,
  _xlpm.Knewscale, Constantes!$B$5,
  _xlpm.ptstables, INDEX(X:X, _xlfn.SEQUENCE(COUNTA($C$2:$C133), 1, 3, 4)),
  _xlpm.nbparties, COUNTA(_xlfn._xlws.FILTER(_xlpm.ptstables, _xlpm.ptstables &lt;&gt; "")),
  _xlpm.coef, _xlpm.K + _xlpm.Knewgain / (_xlpm.Knewscale + _xlpm.nbparties),
  IF(X131="",
    "",
    _xlpm.coef * (X131-X132))
)</f>
        <v/>
      </c>
      <c r="Y133" t="str" cm="1">
        <f t="array" ref="Y133">_xlfn.LET(
  _xlpm.K, Constantes!$B$3,
  _xlpm.Knewgain, Constantes!$B$4,
  _xlpm.Knewscale, Constantes!$B$5,
  _xlpm.ptstables, INDEX(Y:Y, _xlfn.SEQUENCE(COUNTA($C$2:$C133), 1, 3, 4)),
  _xlpm.nbparties, COUNTA(_xlfn._xlws.FILTER(_xlpm.ptstables, _xlpm.ptstables &lt;&gt; "")),
  _xlpm.coef, _xlpm.K + _xlpm.Knewgain / (_xlpm.Knewscale + _xlpm.nbparties),
  IF(Y131="",
    "",
    _xlpm.coef * (Y131-Y132))
)</f>
        <v/>
      </c>
      <c r="Z133" t="str" cm="1">
        <f t="array" ref="Z133">_xlfn.LET(
  _xlpm.K, Constantes!$B$3,
  _xlpm.Knewgain, Constantes!$B$4,
  _xlpm.Knewscale, Constantes!$B$5,
  _xlpm.ptstables, INDEX(Z:Z, _xlfn.SEQUENCE(COUNTA($C$2:$C133), 1, 3, 4)),
  _xlpm.nbparties, COUNTA(_xlfn._xlws.FILTER(_xlpm.ptstables, _xlpm.ptstables &lt;&gt; "")),
  _xlpm.coef, _xlpm.K + _xlpm.Knewgain / (_xlpm.Knewscale + _xlpm.nbparties),
  IF(Z131="",
    "",
    _xlpm.coef * (Z131-Z132))
)</f>
        <v/>
      </c>
      <c r="AA133" t="str" cm="1">
        <f t="array" ref="AA133">_xlfn.LET(
  _xlpm.K, Constantes!$B$3,
  _xlpm.Knewgain, Constantes!$B$4,
  _xlpm.Knewscale, Constantes!$B$5,
  _xlpm.ptstables, INDEX(AA:AA, _xlfn.SEQUENCE(COUNTA($C$2:$C133), 1, 3, 4)),
  _xlpm.nbparties, COUNTA(_xlfn._xlws.FILTER(_xlpm.ptstables, _xlpm.ptstables &lt;&gt; "")),
  _xlpm.coef, _xlpm.K + _xlpm.Knewgain / (_xlpm.Knewscale + _xlpm.nbparties),
  IF(AA131="",
    "",
    _xlpm.coef * (AA131-AA132))
)</f>
        <v/>
      </c>
      <c r="AB133" t="str" cm="1">
        <f t="array" ref="AB133">_xlfn.LET(
  _xlpm.K, Constantes!$B$3,
  _xlpm.Knewgain, Constantes!$B$4,
  _xlpm.Knewscale, Constantes!$B$5,
  _xlpm.ptstables, INDEX(AB:AB, _xlfn.SEQUENCE(COUNTA($C$2:$C133), 1, 3, 4)),
  _xlpm.nbparties, COUNTA(_xlfn._xlws.FILTER(_xlpm.ptstables, _xlpm.ptstables &lt;&gt; "")),
  _xlpm.coef, _xlpm.K + _xlpm.Knewgain / (_xlpm.Knewscale + _xlpm.nbparties),
  IF(AB131="",
    "",
    _xlpm.coef * (AB131-AB132))
)</f>
        <v/>
      </c>
      <c r="AC133" t="str" cm="1">
        <f t="array" ref="AC133">_xlfn.LET(
  _xlpm.K, Constantes!$B$3,
  _xlpm.Knewgain, Constantes!$B$4,
  _xlpm.Knewscale, Constantes!$B$5,
  _xlpm.ptstables, INDEX(AC:AC, _xlfn.SEQUENCE(COUNTA($C$2:$C133), 1, 3, 4)),
  _xlpm.nbparties, COUNTA(_xlfn._xlws.FILTER(_xlpm.ptstables, _xlpm.ptstables &lt;&gt; "")),
  _xlpm.coef, _xlpm.K + _xlpm.Knewgain / (_xlpm.Knewscale + _xlpm.nbparties),
  IF(AC131="",
    "",
    _xlpm.coef * (AC131-AC132))
)</f>
        <v/>
      </c>
      <c r="AD133" t="str" cm="1">
        <f t="array" ref="AD133">_xlfn.LET(
  _xlpm.K, Constantes!$B$3,
  _xlpm.Knewgain, Constantes!$B$4,
  _xlpm.Knewscale, Constantes!$B$5,
  _xlpm.ptstables, INDEX(AD:AD, _xlfn.SEQUENCE(COUNTA($C$2:$C133), 1, 3, 4)),
  _xlpm.nbparties, COUNTA(_xlfn._xlws.FILTER(_xlpm.ptstables, _xlpm.ptstables &lt;&gt; "")),
  _xlpm.coef, _xlpm.K + _xlpm.Knewgain / (_xlpm.Knewscale + _xlpm.nbparties),
  IF(AD131="",
    "",
    _xlpm.coef * (AD131-AD132))
)</f>
        <v/>
      </c>
      <c r="AE133" t="str" cm="1">
        <f t="array" ref="AE133">_xlfn.LET(
  _xlpm.K, Constantes!$B$3,
  _xlpm.Knewgain, Constantes!$B$4,
  _xlpm.Knewscale, Constantes!$B$5,
  _xlpm.ptstables, INDEX(AE:AE, _xlfn.SEQUENCE(COUNTA($C$2:$C133), 1, 3, 4)),
  _xlpm.nbparties, COUNTA(_xlfn._xlws.FILTER(_xlpm.ptstables, _xlpm.ptstables &lt;&gt; "")),
  _xlpm.coef, _xlpm.K + _xlpm.Knewgain / (_xlpm.Knewscale + _xlpm.nbparties),
  IF(AE131="",
    "",
    _xlpm.coef * (AE131-AE132))
)</f>
        <v/>
      </c>
      <c r="AF133" t="str" cm="1">
        <f t="array" ref="AF133">_xlfn.LET(
  _xlpm.K, Constantes!$B$3,
  _xlpm.Knewgain, Constantes!$B$4,
  _xlpm.Knewscale, Constantes!$B$5,
  _xlpm.ptstables, INDEX(AF:AF, _xlfn.SEQUENCE(COUNTA($C$2:$C133), 1, 3, 4)),
  _xlpm.nbparties, COUNTA(_xlfn._xlws.FILTER(_xlpm.ptstables, _xlpm.ptstables &lt;&gt; "")),
  _xlpm.coef, _xlpm.K + _xlpm.Knewgain / (_xlpm.Knewscale + _xlpm.nbparties),
  IF(AF131="",
    "",
    _xlpm.coef * (AF131-AF132))
)</f>
        <v/>
      </c>
      <c r="AG133" t="str" cm="1">
        <f t="array" ref="AG133">_xlfn.LET(
  _xlpm.K, Constantes!$B$3,
  _xlpm.Knewgain, Constantes!$B$4,
  _xlpm.Knewscale, Constantes!$B$5,
  _xlpm.ptstables, INDEX(AG:AG, _xlfn.SEQUENCE(COUNTA($C$2:$C133), 1, 3, 4)),
  _xlpm.nbparties, COUNTA(_xlfn._xlws.FILTER(_xlpm.ptstables, _xlpm.ptstables &lt;&gt; "")),
  _xlpm.coef, _xlpm.K + _xlpm.Knewgain / (_xlpm.Knewscale + _xlpm.nbparties),
  IF(AG131="",
    "",
    _xlpm.coef * (AG131-AG132))
)</f>
        <v/>
      </c>
      <c r="AH133" t="str" cm="1">
        <f t="array" ref="AH133">_xlfn.LET(
  _xlpm.K, Constantes!$B$3,
  _xlpm.Knewgain, Constantes!$B$4,
  _xlpm.Knewscale, Constantes!$B$5,
  _xlpm.ptstables, INDEX(AH:AH, _xlfn.SEQUENCE(COUNTA($C$2:$C133), 1, 3, 4)),
  _xlpm.nbparties, COUNTA(_xlfn._xlws.FILTER(_xlpm.ptstables, _xlpm.ptstables &lt;&gt; "")),
  _xlpm.coef, _xlpm.K + _xlpm.Knewgain / (_xlpm.Knewscale + _xlpm.nbparties),
  IF(AH131="",
    "",
    _xlpm.coef * (AH131-AH132))
)</f>
        <v/>
      </c>
      <c r="AI133" t="str" cm="1">
        <f t="array" ref="AI133">_xlfn.LET(
  _xlpm.K, Constantes!$B$3,
  _xlpm.Knewgain, Constantes!$B$4,
  _xlpm.Knewscale, Constantes!$B$5,
  _xlpm.ptstables, INDEX(AI:AI, _xlfn.SEQUENCE(COUNTA($C$2:$C133), 1, 3, 4)),
  _xlpm.nbparties, COUNTA(_xlfn._xlws.FILTER(_xlpm.ptstables, _xlpm.ptstables &lt;&gt; "")),
  _xlpm.coef, _xlpm.K + _xlpm.Knewgain / (_xlpm.Knewscale + _xlpm.nbparties),
  IF(AI131="",
    "",
    _xlpm.coef * (AI131-AI132))
)</f>
        <v/>
      </c>
      <c r="AJ133" t="str" cm="1">
        <f t="array" ref="AJ133">_xlfn.LET(
  _xlpm.K, Constantes!$B$3,
  _xlpm.Knewgain, Constantes!$B$4,
  _xlpm.Knewscale, Constantes!$B$5,
  _xlpm.ptstables, INDEX(AJ:AJ, _xlfn.SEQUENCE(COUNTA($C$2:$C133), 1, 3, 4)),
  _xlpm.nbparties, COUNTA(_xlfn._xlws.FILTER(_xlpm.ptstables, _xlpm.ptstables &lt;&gt; "")),
  _xlpm.coef, _xlpm.K + _xlpm.Knewgain / (_xlpm.Knewscale + _xlpm.nbparties),
  IF(AJ131="",
    "",
    _xlpm.coef * (AJ131-AJ132))
)</f>
        <v/>
      </c>
      <c r="AK133" t="str" cm="1">
        <f t="array" ref="AK133">_xlfn.LET(
  _xlpm.K, Constantes!$B$3,
  _xlpm.Knewgain, Constantes!$B$4,
  _xlpm.Knewscale, Constantes!$B$5,
  _xlpm.ptstables, INDEX(AK:AK, _xlfn.SEQUENCE(COUNTA($C$2:$C133), 1, 3, 4)),
  _xlpm.nbparties, COUNTA(_xlfn._xlws.FILTER(_xlpm.ptstables, _xlpm.ptstables &lt;&gt; "")),
  _xlpm.coef, _xlpm.K + _xlpm.Knewgain / (_xlpm.Knewscale + _xlpm.nbparties),
  IF(AK131="",
    "",
    _xlpm.coef * (AK131-AK132))
)</f>
        <v/>
      </c>
      <c r="AL133" t="str" cm="1">
        <f t="array" ref="AL133">_xlfn.LET(
  _xlpm.K, Constantes!$B$3,
  _xlpm.Knewgain, Constantes!$B$4,
  _xlpm.Knewscale, Constantes!$B$5,
  _xlpm.ptstables, INDEX(AL:AL, _xlfn.SEQUENCE(COUNTA($C$2:$C133), 1, 3, 4)),
  _xlpm.nbparties, COUNTA(_xlfn._xlws.FILTER(_xlpm.ptstables, _xlpm.ptstables &lt;&gt; "")),
  _xlpm.coef, _xlpm.K + _xlpm.Knewgain / (_xlpm.Knewscale + _xlpm.nbparties),
  IF(AL131="",
    "",
    _xlpm.coef * (AL131-AL132))
)</f>
        <v/>
      </c>
      <c r="AM133" t="str" cm="1">
        <f t="array" ref="AM133">_xlfn.LET(
  _xlpm.K, Constantes!$B$3,
  _xlpm.Knewgain, Constantes!$B$4,
  _xlpm.Knewscale, Constantes!$B$5,
  _xlpm.ptstables, INDEX(AM:AM, _xlfn.SEQUENCE(COUNTA($C$2:$C133), 1, 3, 4)),
  _xlpm.nbparties, COUNTA(_xlfn._xlws.FILTER(_xlpm.ptstables, _xlpm.ptstables &lt;&gt; "")),
  _xlpm.coef, _xlpm.K + _xlpm.Knewgain / (_xlpm.Knewscale + _xlpm.nbparties),
  IF(AM131="",
    "",
    _xlpm.coef * (AM131-AM132))
)</f>
        <v/>
      </c>
    </row>
    <row r="134" spans="1:39" x14ac:dyDescent="0.25">
      <c r="A134" t="s">
        <v>14</v>
      </c>
      <c r="B134" t="str" cm="1">
        <f t="array" ref="B13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34</v>
      </c>
      <c r="C134" s="2" cm="1">
        <f t="array" ref="C134">IF(B134="","",
  INDEX(Donnees!F:F, MATCH(B134, Donnees!F:F, 0)+1))</f>
        <v>45924.778819444444</v>
      </c>
      <c r="D134">
        <f t="shared" ref="D134:AM134" si="41">D130+IF(D133="",0,D133)</f>
        <v>1101.1845187776951</v>
      </c>
      <c r="E134">
        <f t="shared" si="41"/>
        <v>1105.3750854597461</v>
      </c>
      <c r="F134">
        <f t="shared" si="41"/>
        <v>881.43693313929236</v>
      </c>
      <c r="G134">
        <f t="shared" si="41"/>
        <v>958.6517087128733</v>
      </c>
      <c r="H134">
        <f t="shared" si="41"/>
        <v>1043.8545020183328</v>
      </c>
      <c r="I134">
        <f t="shared" si="41"/>
        <v>1056.8165036600865</v>
      </c>
      <c r="J134">
        <f t="shared" si="41"/>
        <v>938.49433816478961</v>
      </c>
      <c r="K134">
        <f t="shared" si="41"/>
        <v>907.51653081539087</v>
      </c>
      <c r="L134">
        <f t="shared" si="41"/>
        <v>833.43137648430843</v>
      </c>
      <c r="M134">
        <f t="shared" si="41"/>
        <v>913.41986361738122</v>
      </c>
      <c r="N134">
        <f t="shared" si="41"/>
        <v>924.41787774469185</v>
      </c>
      <c r="O134">
        <f t="shared" si="41"/>
        <v>1005.4306950475848</v>
      </c>
      <c r="P134">
        <f t="shared" si="41"/>
        <v>1015.4353469144262</v>
      </c>
      <c r="Q134">
        <f t="shared" si="41"/>
        <v>1095.3822761627605</v>
      </c>
      <c r="R134">
        <f t="shared" si="41"/>
        <v>1105.0852481437867</v>
      </c>
      <c r="S134">
        <f t="shared" si="41"/>
        <v>941.37032948557328</v>
      </c>
      <c r="T134">
        <f t="shared" si="41"/>
        <v>1135.2782658680615</v>
      </c>
      <c r="U134">
        <f t="shared" si="41"/>
        <v>1077.2125935623226</v>
      </c>
      <c r="V134">
        <f t="shared" si="41"/>
        <v>961.58818235691967</v>
      </c>
      <c r="W134">
        <f t="shared" si="41"/>
        <v>936.79085942937002</v>
      </c>
      <c r="X134">
        <f t="shared" si="41"/>
        <v>830.788580615</v>
      </c>
      <c r="Y134">
        <f t="shared" si="41"/>
        <v>1017.4822717685487</v>
      </c>
      <c r="Z134">
        <f t="shared" si="41"/>
        <v>991.11904139672549</v>
      </c>
      <c r="AA134">
        <f t="shared" si="41"/>
        <v>980.56756855165884</v>
      </c>
      <c r="AB134">
        <f t="shared" si="41"/>
        <v>988.35669729544747</v>
      </c>
      <c r="AC134">
        <f t="shared" si="41"/>
        <v>1032.51</v>
      </c>
      <c r="AD134">
        <f t="shared" si="41"/>
        <v>974.01499999999999</v>
      </c>
      <c r="AE134">
        <f t="shared" si="41"/>
        <v>1011.415</v>
      </c>
      <c r="AF134">
        <f t="shared" si="41"/>
        <v>1031.1199999999999</v>
      </c>
      <c r="AG134">
        <f t="shared" si="41"/>
        <v>1001.0350000000001</v>
      </c>
      <c r="AH134">
        <f t="shared" si="41"/>
        <v>994.44</v>
      </c>
      <c r="AI134">
        <f t="shared" si="41"/>
        <v>1000</v>
      </c>
      <c r="AJ134">
        <f t="shared" si="41"/>
        <v>957.2</v>
      </c>
      <c r="AK134">
        <f t="shared" si="41"/>
        <v>1000</v>
      </c>
      <c r="AL134">
        <f t="shared" si="41"/>
        <v>1055.9299999999998</v>
      </c>
      <c r="AM134">
        <f t="shared" si="41"/>
        <v>1000</v>
      </c>
    </row>
    <row r="135" spans="1:39" x14ac:dyDescent="0.25">
      <c r="A135" t="s">
        <v>21</v>
      </c>
      <c r="D135" t="str" cm="1">
        <f t="array" ref="D135">IFERROR(
  _xlfn.LET(
    _xlpm.ligpartie, MATCH($B134, Donnees!$F:$F, 0),
    _xlpm.joueurs, INDEX(Donnees!$A:$Z, _xlpm.ligpartie+1, _xlfn.SEQUENCE(1, 4, 2)),
    INDEX(
      Donnees!$A:$Z,
      _xlpm.ligpartie + 3,
      MATCH(D$1, _xlpm.joueurs, 0) + 1
    )
  ), ""
)</f>
        <v/>
      </c>
      <c r="E135" t="str" cm="1">
        <f t="array" ref="E135">IFERROR(
  _xlfn.LET(
    _xlpm.ligpartie, MATCH($B134, Donnees!$F:$F, 0),
    _xlpm.joueurs, INDEX(Donnees!$A:$Z, _xlpm.ligpartie+1, _xlfn.SEQUENCE(1, 4, 2)),
    INDEX(
      Donnees!$A:$Z,
      _xlpm.ligpartie + 3,
      MATCH(E$1, _xlpm.joueurs, 0) + 1
    )
  ), ""
)</f>
        <v/>
      </c>
      <c r="F135" cm="1">
        <f t="array" ref="F135">IFERROR(
  _xlfn.LET(
    _xlpm.ligpartie, MATCH($B134, Donnees!$F:$F, 0),
    _xlpm.joueurs, INDEX(Donnees!$A:$Z, _xlpm.ligpartie+1, _xlfn.SEQUENCE(1, 4, 2)),
    INDEX(
      Donnees!$A:$Z,
      _xlpm.ligpartie + 3,
      MATCH(F$1, _xlpm.joueurs, 0) + 1
    )
  ), ""
)</f>
        <v>0</v>
      </c>
      <c r="G135" cm="1">
        <f t="array" ref="G135">IFERROR(
  _xlfn.LET(
    _xlpm.ligpartie, MATCH($B134, Donnees!$F:$F, 0),
    _xlpm.joueurs, INDEX(Donnees!$A:$Z, _xlpm.ligpartie+1, _xlfn.SEQUENCE(1, 4, 2)),
    INDEX(
      Donnees!$A:$Z,
      _xlpm.ligpartie + 3,
      MATCH(G$1, _xlpm.joueurs, 0) + 1
    )
  ), ""
)</f>
        <v>2</v>
      </c>
      <c r="H135" t="str" cm="1">
        <f t="array" ref="H135">IFERROR(
  _xlfn.LET(
    _xlpm.ligpartie, MATCH($B134, Donnees!$F:$F, 0),
    _xlpm.joueurs, INDEX(Donnees!$A:$Z, _xlpm.ligpartie+1, _xlfn.SEQUENCE(1, 4, 2)),
    INDEX(
      Donnees!$A:$Z,
      _xlpm.ligpartie + 3,
      MATCH(H$1, _xlpm.joueurs, 0) + 1
    )
  ), ""
)</f>
        <v/>
      </c>
      <c r="I135" t="str" cm="1">
        <f t="array" ref="I135">IFERROR(
  _xlfn.LET(
    _xlpm.ligpartie, MATCH($B134, Donnees!$F:$F, 0),
    _xlpm.joueurs, INDEX(Donnees!$A:$Z, _xlpm.ligpartie+1, _xlfn.SEQUENCE(1, 4, 2)),
    INDEX(
      Donnees!$A:$Z,
      _xlpm.ligpartie + 3,
      MATCH(I$1, _xlpm.joueurs, 0) + 1
    )
  ), ""
)</f>
        <v/>
      </c>
      <c r="J135" t="str" cm="1">
        <f t="array" ref="J135">IFERROR(
  _xlfn.LET(
    _xlpm.ligpartie, MATCH($B134, Donnees!$F:$F, 0),
    _xlpm.joueurs, INDEX(Donnees!$A:$Z, _xlpm.ligpartie+1, _xlfn.SEQUENCE(1, 4, 2)),
    INDEX(
      Donnees!$A:$Z,
      _xlpm.ligpartie + 3,
      MATCH(J$1, _xlpm.joueurs, 0) + 1
    )
  ), ""
)</f>
        <v/>
      </c>
      <c r="K135" t="str" cm="1">
        <f t="array" ref="K135">IFERROR(
  _xlfn.LET(
    _xlpm.ligpartie, MATCH($B134, Donnees!$F:$F, 0),
    _xlpm.joueurs, INDEX(Donnees!$A:$Z, _xlpm.ligpartie+1, _xlfn.SEQUENCE(1, 4, 2)),
    INDEX(
      Donnees!$A:$Z,
      _xlpm.ligpartie + 3,
      MATCH(K$1, _xlpm.joueurs, 0) + 1
    )
  ), ""
)</f>
        <v/>
      </c>
      <c r="L135" t="str" cm="1">
        <f t="array" ref="L135">IFERROR(
  _xlfn.LET(
    _xlpm.ligpartie, MATCH($B134, Donnees!$F:$F, 0),
    _xlpm.joueurs, INDEX(Donnees!$A:$Z, _xlpm.ligpartie+1, _xlfn.SEQUENCE(1, 4, 2)),
    INDEX(
      Donnees!$A:$Z,
      _xlpm.ligpartie + 3,
      MATCH(L$1, _xlpm.joueurs, 0) + 1
    )
  ), ""
)</f>
        <v/>
      </c>
      <c r="M135" t="str" cm="1">
        <f t="array" ref="M135">IFERROR(
  _xlfn.LET(
    _xlpm.ligpartie, MATCH($B134, Donnees!$F:$F, 0),
    _xlpm.joueurs, INDEX(Donnees!$A:$Z, _xlpm.ligpartie+1, _xlfn.SEQUENCE(1, 4, 2)),
    INDEX(
      Donnees!$A:$Z,
      _xlpm.ligpartie + 3,
      MATCH(M$1, _xlpm.joueurs, 0) + 1
    )
  ), ""
)</f>
        <v/>
      </c>
      <c r="N135" t="str" cm="1">
        <f t="array" ref="N135">IFERROR(
  _xlfn.LET(
    _xlpm.ligpartie, MATCH($B134, Donnees!$F:$F, 0),
    _xlpm.joueurs, INDEX(Donnees!$A:$Z, _xlpm.ligpartie+1, _xlfn.SEQUENCE(1, 4, 2)),
    INDEX(
      Donnees!$A:$Z,
      _xlpm.ligpartie + 3,
      MATCH(N$1, _xlpm.joueurs, 0) + 1
    )
  ), ""
)</f>
        <v/>
      </c>
      <c r="O135" t="str" cm="1">
        <f t="array" ref="O135">IFERROR(
  _xlfn.LET(
    _xlpm.ligpartie, MATCH($B134, Donnees!$F:$F, 0),
    _xlpm.joueurs, INDEX(Donnees!$A:$Z, _xlpm.ligpartie+1, _xlfn.SEQUENCE(1, 4, 2)),
    INDEX(
      Donnees!$A:$Z,
      _xlpm.ligpartie + 3,
      MATCH(O$1, _xlpm.joueurs, 0) + 1
    )
  ), ""
)</f>
        <v/>
      </c>
      <c r="P135" t="str" cm="1">
        <f t="array" ref="P135">IFERROR(
  _xlfn.LET(
    _xlpm.ligpartie, MATCH($B134, Donnees!$F:$F, 0),
    _xlpm.joueurs, INDEX(Donnees!$A:$Z, _xlpm.ligpartie+1, _xlfn.SEQUENCE(1, 4, 2)),
    INDEX(
      Donnees!$A:$Z,
      _xlpm.ligpartie + 3,
      MATCH(P$1, _xlpm.joueurs, 0) + 1
    )
  ), ""
)</f>
        <v/>
      </c>
      <c r="Q135" t="str" cm="1">
        <f t="array" ref="Q135">IFERROR(
  _xlfn.LET(
    _xlpm.ligpartie, MATCH($B134, Donnees!$F:$F, 0),
    _xlpm.joueurs, INDEX(Donnees!$A:$Z, _xlpm.ligpartie+1, _xlfn.SEQUENCE(1, 4, 2)),
    INDEX(
      Donnees!$A:$Z,
      _xlpm.ligpartie + 3,
      MATCH(Q$1, _xlpm.joueurs, 0) + 1
    )
  ), ""
)</f>
        <v/>
      </c>
      <c r="R135" t="str" cm="1">
        <f t="array" ref="R135">IFERROR(
  _xlfn.LET(
    _xlpm.ligpartie, MATCH($B134, Donnees!$F:$F, 0),
    _xlpm.joueurs, INDEX(Donnees!$A:$Z, _xlpm.ligpartie+1, _xlfn.SEQUENCE(1, 4, 2)),
    INDEX(
      Donnees!$A:$Z,
      _xlpm.ligpartie + 3,
      MATCH(R$1, _xlpm.joueurs, 0) + 1
    )
  ), ""
)</f>
        <v/>
      </c>
      <c r="S135" t="str" cm="1">
        <f t="array" ref="S135">IFERROR(
  _xlfn.LET(
    _xlpm.ligpartie, MATCH($B134, Donnees!$F:$F, 0),
    _xlpm.joueurs, INDEX(Donnees!$A:$Z, _xlpm.ligpartie+1, _xlfn.SEQUENCE(1, 4, 2)),
    INDEX(
      Donnees!$A:$Z,
      _xlpm.ligpartie + 3,
      MATCH(S$1, _xlpm.joueurs, 0) + 1
    )
  ), ""
)</f>
        <v/>
      </c>
      <c r="T135" t="str" cm="1">
        <f t="array" ref="T135">IFERROR(
  _xlfn.LET(
    _xlpm.ligpartie, MATCH($B134, Donnees!$F:$F, 0),
    _xlpm.joueurs, INDEX(Donnees!$A:$Z, _xlpm.ligpartie+1, _xlfn.SEQUENCE(1, 4, 2)),
    INDEX(
      Donnees!$A:$Z,
      _xlpm.ligpartie + 3,
      MATCH(T$1, _xlpm.joueurs, 0) + 1
    )
  ), ""
)</f>
        <v/>
      </c>
      <c r="U135" cm="1">
        <f t="array" ref="U135">IFERROR(
  _xlfn.LET(
    _xlpm.ligpartie, MATCH($B134, Donnees!$F:$F, 0),
    _xlpm.joueurs, INDEX(Donnees!$A:$Z, _xlpm.ligpartie+1, _xlfn.SEQUENCE(1, 4, 2)),
    INDEX(
      Donnees!$A:$Z,
      _xlpm.ligpartie + 3,
      MATCH(U$1, _xlpm.joueurs, 0) + 1
    )
  ), ""
)</f>
        <v>3</v>
      </c>
      <c r="V135" t="str" cm="1">
        <f t="array" ref="V135">IFERROR(
  _xlfn.LET(
    _xlpm.ligpartie, MATCH($B134, Donnees!$F:$F, 0),
    _xlpm.joueurs, INDEX(Donnees!$A:$Z, _xlpm.ligpartie+1, _xlfn.SEQUENCE(1, 4, 2)),
    INDEX(
      Donnees!$A:$Z,
      _xlpm.ligpartie + 3,
      MATCH(V$1, _xlpm.joueurs, 0) + 1
    )
  ), ""
)</f>
        <v/>
      </c>
      <c r="W135" t="str" cm="1">
        <f t="array" ref="W135">IFERROR(
  _xlfn.LET(
    _xlpm.ligpartie, MATCH($B134, Donnees!$F:$F, 0),
    _xlpm.joueurs, INDEX(Donnees!$A:$Z, _xlpm.ligpartie+1, _xlfn.SEQUENCE(1, 4, 2)),
    INDEX(
      Donnees!$A:$Z,
      _xlpm.ligpartie + 3,
      MATCH(W$1, _xlpm.joueurs, 0) + 1
    )
  ), ""
)</f>
        <v/>
      </c>
      <c r="X135" t="str" cm="1">
        <f t="array" ref="X135">IFERROR(
  _xlfn.LET(
    _xlpm.ligpartie, MATCH($B134, Donnees!$F:$F, 0),
    _xlpm.joueurs, INDEX(Donnees!$A:$Z, _xlpm.ligpartie+1, _xlfn.SEQUENCE(1, 4, 2)),
    INDEX(
      Donnees!$A:$Z,
      _xlpm.ligpartie + 3,
      MATCH(X$1, _xlpm.joueurs, 0) + 1
    )
  ), ""
)</f>
        <v/>
      </c>
      <c r="Y135" t="str" cm="1">
        <f t="array" ref="Y135">IFERROR(
  _xlfn.LET(
    _xlpm.ligpartie, MATCH($B134, Donnees!$F:$F, 0),
    _xlpm.joueurs, INDEX(Donnees!$A:$Z, _xlpm.ligpartie+1, _xlfn.SEQUENCE(1, 4, 2)),
    INDEX(
      Donnees!$A:$Z,
      _xlpm.ligpartie + 3,
      MATCH(Y$1, _xlpm.joueurs, 0) + 1
    )
  ), ""
)</f>
        <v/>
      </c>
      <c r="Z135" t="str" cm="1">
        <f t="array" ref="Z135">IFERROR(
  _xlfn.LET(
    _xlpm.ligpartie, MATCH($B134, Donnees!$F:$F, 0),
    _xlpm.joueurs, INDEX(Donnees!$A:$Z, _xlpm.ligpartie+1, _xlfn.SEQUENCE(1, 4, 2)),
    INDEX(
      Donnees!$A:$Z,
      _xlpm.ligpartie + 3,
      MATCH(Z$1, _xlpm.joueurs, 0) + 1
    )
  ), ""
)</f>
        <v/>
      </c>
      <c r="AA135" t="str" cm="1">
        <f t="array" ref="AA135">IFERROR(
  _xlfn.LET(
    _xlpm.ligpartie, MATCH($B134, Donnees!$F:$F, 0),
    _xlpm.joueurs, INDEX(Donnees!$A:$Z, _xlpm.ligpartie+1, _xlfn.SEQUENCE(1, 4, 2)),
    INDEX(
      Donnees!$A:$Z,
      _xlpm.ligpartie + 3,
      MATCH(AA$1, _xlpm.joueurs, 0) + 1
    )
  ), ""
)</f>
        <v/>
      </c>
      <c r="AB135" t="str" cm="1">
        <f t="array" ref="AB135">IFERROR(
  _xlfn.LET(
    _xlpm.ligpartie, MATCH($B134, Donnees!$F:$F, 0),
    _xlpm.joueurs, INDEX(Donnees!$A:$Z, _xlpm.ligpartie+1, _xlfn.SEQUENCE(1, 4, 2)),
    INDEX(
      Donnees!$A:$Z,
      _xlpm.ligpartie + 3,
      MATCH(AB$1, _xlpm.joueurs, 0) + 1
    )
  ), ""
)</f>
        <v/>
      </c>
      <c r="AC135" cm="1">
        <f t="array" ref="AC135">IFERROR(
  _xlfn.LET(
    _xlpm.ligpartie, MATCH($B134, Donnees!$F:$F, 0),
    _xlpm.joueurs, INDEX(Donnees!$A:$Z, _xlpm.ligpartie+1, _xlfn.SEQUENCE(1, 4, 2)),
    INDEX(
      Donnees!$A:$Z,
      _xlpm.ligpartie + 3,
      MATCH(AC$1, _xlpm.joueurs, 0) + 1
    )
  ), ""
)</f>
        <v>1</v>
      </c>
      <c r="AD135" t="str" cm="1">
        <f t="array" ref="AD135">IFERROR(
  _xlfn.LET(
    _xlpm.ligpartie, MATCH($B134, Donnees!$F:$F, 0),
    _xlpm.joueurs, INDEX(Donnees!$A:$Z, _xlpm.ligpartie+1, _xlfn.SEQUENCE(1, 4, 2)),
    INDEX(
      Donnees!$A:$Z,
      _xlpm.ligpartie + 3,
      MATCH(AD$1, _xlpm.joueurs, 0) + 1
    )
  ), ""
)</f>
        <v/>
      </c>
      <c r="AE135" t="str" cm="1">
        <f t="array" ref="AE135">IFERROR(
  _xlfn.LET(
    _xlpm.ligpartie, MATCH($B134, Donnees!$F:$F, 0),
    _xlpm.joueurs, INDEX(Donnees!$A:$Z, _xlpm.ligpartie+1, _xlfn.SEQUENCE(1, 4, 2)),
    INDEX(
      Donnees!$A:$Z,
      _xlpm.ligpartie + 3,
      MATCH(AE$1, _xlpm.joueurs, 0) + 1
    )
  ), ""
)</f>
        <v/>
      </c>
      <c r="AF135" t="str" cm="1">
        <f t="array" ref="AF135">IFERROR(
  _xlfn.LET(
    _xlpm.ligpartie, MATCH($B134, Donnees!$F:$F, 0),
    _xlpm.joueurs, INDEX(Donnees!$A:$Z, _xlpm.ligpartie+1, _xlfn.SEQUENCE(1, 4, 2)),
    INDEX(
      Donnees!$A:$Z,
      _xlpm.ligpartie + 3,
      MATCH(AF$1, _xlpm.joueurs, 0) + 1
    )
  ), ""
)</f>
        <v/>
      </c>
      <c r="AG135" t="str" cm="1">
        <f t="array" ref="AG135">IFERROR(
  _xlfn.LET(
    _xlpm.ligpartie, MATCH($B134, Donnees!$F:$F, 0),
    _xlpm.joueurs, INDEX(Donnees!$A:$Z, _xlpm.ligpartie+1, _xlfn.SEQUENCE(1, 4, 2)),
    INDEX(
      Donnees!$A:$Z,
      _xlpm.ligpartie + 3,
      MATCH(AG$1, _xlpm.joueurs, 0) + 1
    )
  ), ""
)</f>
        <v/>
      </c>
      <c r="AH135" t="str" cm="1">
        <f t="array" ref="AH135">IFERROR(
  _xlfn.LET(
    _xlpm.ligpartie, MATCH($B134, Donnees!$F:$F, 0),
    _xlpm.joueurs, INDEX(Donnees!$A:$Z, _xlpm.ligpartie+1, _xlfn.SEQUENCE(1, 4, 2)),
    INDEX(
      Donnees!$A:$Z,
      _xlpm.ligpartie + 3,
      MATCH(AH$1, _xlpm.joueurs, 0) + 1
    )
  ), ""
)</f>
        <v/>
      </c>
      <c r="AI135" t="str" cm="1">
        <f t="array" ref="AI135">IFERROR(
  _xlfn.LET(
    _xlpm.ligpartie, MATCH($B134, Donnees!$F:$F, 0),
    _xlpm.joueurs, INDEX(Donnees!$A:$Z, _xlpm.ligpartie+1, _xlfn.SEQUENCE(1, 4, 2)),
    INDEX(
      Donnees!$A:$Z,
      _xlpm.ligpartie + 3,
      MATCH(AI$1, _xlpm.joueurs, 0) + 1
    )
  ), ""
)</f>
        <v/>
      </c>
      <c r="AJ135" t="str" cm="1">
        <f t="array" ref="AJ135">IFERROR(
  _xlfn.LET(
    _xlpm.ligpartie, MATCH($B134, Donnees!$F:$F, 0),
    _xlpm.joueurs, INDEX(Donnees!$A:$Z, _xlpm.ligpartie+1, _xlfn.SEQUENCE(1, 4, 2)),
    INDEX(
      Donnees!$A:$Z,
      _xlpm.ligpartie + 3,
      MATCH(AJ$1, _xlpm.joueurs, 0) + 1
    )
  ), ""
)</f>
        <v/>
      </c>
      <c r="AK135" t="str" cm="1">
        <f t="array" ref="AK135">IFERROR(
  _xlfn.LET(
    _xlpm.ligpartie, MATCH($B134, Donnees!$F:$F, 0),
    _xlpm.joueurs, INDEX(Donnees!$A:$Z, _xlpm.ligpartie+1, _xlfn.SEQUENCE(1, 4, 2)),
    INDEX(
      Donnees!$A:$Z,
      _xlpm.ligpartie + 3,
      MATCH(AK$1, _xlpm.joueurs, 0) + 1
    )
  ), ""
)</f>
        <v/>
      </c>
      <c r="AL135" t="str" cm="1">
        <f t="array" ref="AL135">IFERROR(
  _xlfn.LET(
    _xlpm.ligpartie, MATCH($B134, Donnees!$F:$F, 0),
    _xlpm.joueurs, INDEX(Donnees!$A:$Z, _xlpm.ligpartie+1, _xlfn.SEQUENCE(1, 4, 2)),
    INDEX(
      Donnees!$A:$Z,
      _xlpm.ligpartie + 3,
      MATCH(AL$1, _xlpm.joueurs, 0) + 1
    )
  ), ""
)</f>
        <v/>
      </c>
      <c r="AM135" t="str" cm="1">
        <f t="array" ref="AM135">IFERROR(
  _xlfn.LET(
    _xlpm.ligpartie, MATCH($B134, Donnees!$F:$F, 0),
    _xlpm.joueurs, INDEX(Donnees!$A:$Z, _xlpm.ligpartie+1, _xlfn.SEQUENCE(1, 4, 2)),
    INDEX(
      Donnees!$A:$Z,
      _xlpm.ligpartie + 3,
      MATCH(AM$1, _xlpm.joueurs, 0) + 1
    )
  ), ""
)</f>
        <v/>
      </c>
    </row>
    <row r="136" spans="1:39" x14ac:dyDescent="0.25">
      <c r="A136" t="s">
        <v>20</v>
      </c>
      <c r="D136" t="str" cm="1">
        <f t="array" ref="D136">_xlfn.LET(
  _xlpm.colj, _xlfn._xlws.FILTER(IF(ISNUMBER(135:135), COLUMN(135:135)), ISNUMBER(135:135)),
  _xlpm.elos, INDEX(134:134,1,_xlpm.colj),
  _xlpm.diffscale, Constantes!$B$2,
  IF(D135="",
    "",
    SUM(1/(1+POWER(10,-(D134-_xlpm.elos)/_xlpm.diffscale)))-0.5)
)</f>
        <v/>
      </c>
      <c r="E136" t="str" cm="1">
        <f t="array" ref="E136">_xlfn.LET(
  _xlpm.colj, _xlfn._xlws.FILTER(IF(ISNUMBER(135:135), COLUMN(135:135)), ISNUMBER(135:135)),
  _xlpm.elos, INDEX(134:134,1,_xlpm.colj),
  _xlpm.diffscale, Constantes!$B$2,
  IF(E135="",
    "",
    SUM(1/(1+POWER(10,-(E134-_xlpm.elos)/_xlpm.diffscale)))-0.5)
)</f>
        <v/>
      </c>
      <c r="F136" cm="1">
        <f t="array" ref="F136">_xlfn.LET(
  _xlpm.colj, _xlfn._xlws.FILTER(IF(ISNUMBER(135:135), COLUMN(135:135)), ISNUMBER(135:135)),
  _xlpm.elos, INDEX(134:134,1,_xlpm.colj),
  _xlpm.diffscale, Constantes!$B$2,
  IF(F135="",
    "",
    SUM(1/(1+POWER(10,-(F134-_xlpm.elos)/_xlpm.diffscale)))-0.5)
)</f>
        <v>0.9307206465905733</v>
      </c>
      <c r="G136" cm="1">
        <f t="array" ref="G136">_xlfn.LET(
  _xlpm.colj, _xlfn._xlws.FILTER(IF(ISNUMBER(135:135), COLUMN(135:135)), ISNUMBER(135:135)),
  _xlpm.elos, INDEX(134:134,1,_xlpm.colj),
  _xlpm.diffscale, Constantes!$B$2,
  IF(G135="",
    "",
    SUM(1/(1+POWER(10,-(G134-_xlpm.elos)/_xlpm.diffscale)))-0.5)
)</f>
        <v>1.3403145178974325</v>
      </c>
      <c r="H136" t="str" cm="1">
        <f t="array" ref="H136">_xlfn.LET(
  _xlpm.colj, _xlfn._xlws.FILTER(IF(ISNUMBER(135:135), COLUMN(135:135)), ISNUMBER(135:135)),
  _xlpm.elos, INDEX(134:134,1,_xlpm.colj),
  _xlpm.diffscale, Constantes!$B$2,
  IF(H135="",
    "",
    SUM(1/(1+POWER(10,-(H134-_xlpm.elos)/_xlpm.diffscale)))-0.5)
)</f>
        <v/>
      </c>
      <c r="I136" t="str" cm="1">
        <f t="array" ref="I136">_xlfn.LET(
  _xlpm.colj, _xlfn._xlws.FILTER(IF(ISNUMBER(135:135), COLUMN(135:135)), ISNUMBER(135:135)),
  _xlpm.elos, INDEX(134:134,1,_xlpm.colj),
  _xlpm.diffscale, Constantes!$B$2,
  IF(I135="",
    "",
    SUM(1/(1+POWER(10,-(I134-_xlpm.elos)/_xlpm.diffscale)))-0.5)
)</f>
        <v/>
      </c>
      <c r="J136" t="str" cm="1">
        <f t="array" ref="J136">_xlfn.LET(
  _xlpm.colj, _xlfn._xlws.FILTER(IF(ISNUMBER(135:135), COLUMN(135:135)), ISNUMBER(135:135)),
  _xlpm.elos, INDEX(134:134,1,_xlpm.colj),
  _xlpm.diffscale, Constantes!$B$2,
  IF(J135="",
    "",
    SUM(1/(1+POWER(10,-(J134-_xlpm.elos)/_xlpm.diffscale)))-0.5)
)</f>
        <v/>
      </c>
      <c r="K136" t="str" cm="1">
        <f t="array" ref="K136">_xlfn.LET(
  _xlpm.colj, _xlfn._xlws.FILTER(IF(ISNUMBER(135:135), COLUMN(135:135)), ISNUMBER(135:135)),
  _xlpm.elos, INDEX(134:134,1,_xlpm.colj),
  _xlpm.diffscale, Constantes!$B$2,
  IF(K135="",
    "",
    SUM(1/(1+POWER(10,-(K134-_xlpm.elos)/_xlpm.diffscale)))-0.5)
)</f>
        <v/>
      </c>
      <c r="L136" t="str" cm="1">
        <f t="array" ref="L136">_xlfn.LET(
  _xlpm.colj, _xlfn._xlws.FILTER(IF(ISNUMBER(135:135), COLUMN(135:135)), ISNUMBER(135:135)),
  _xlpm.elos, INDEX(134:134,1,_xlpm.colj),
  _xlpm.diffscale, Constantes!$B$2,
  IF(L135="",
    "",
    SUM(1/(1+POWER(10,-(L134-_xlpm.elos)/_xlpm.diffscale)))-0.5)
)</f>
        <v/>
      </c>
      <c r="M136" t="str" cm="1">
        <f t="array" ref="M136">_xlfn.LET(
  _xlpm.colj, _xlfn._xlws.FILTER(IF(ISNUMBER(135:135), COLUMN(135:135)), ISNUMBER(135:135)),
  _xlpm.elos, INDEX(134:134,1,_xlpm.colj),
  _xlpm.diffscale, Constantes!$B$2,
  IF(M135="",
    "",
    SUM(1/(1+POWER(10,-(M134-_xlpm.elos)/_xlpm.diffscale)))-0.5)
)</f>
        <v/>
      </c>
      <c r="N136" t="str" cm="1">
        <f t="array" ref="N136">_xlfn.LET(
  _xlpm.colj, _xlfn._xlws.FILTER(IF(ISNUMBER(135:135), COLUMN(135:135)), ISNUMBER(135:135)),
  _xlpm.elos, INDEX(134:134,1,_xlpm.colj),
  _xlpm.diffscale, Constantes!$B$2,
  IF(N135="",
    "",
    SUM(1/(1+POWER(10,-(N134-_xlpm.elos)/_xlpm.diffscale)))-0.5)
)</f>
        <v/>
      </c>
      <c r="O136" t="str" cm="1">
        <f t="array" ref="O136">_xlfn.LET(
  _xlpm.colj, _xlfn._xlws.FILTER(IF(ISNUMBER(135:135), COLUMN(135:135)), ISNUMBER(135:135)),
  _xlpm.elos, INDEX(134:134,1,_xlpm.colj),
  _xlpm.diffscale, Constantes!$B$2,
  IF(O135="",
    "",
    SUM(1/(1+POWER(10,-(O134-_xlpm.elos)/_xlpm.diffscale)))-0.5)
)</f>
        <v/>
      </c>
      <c r="P136" t="str" cm="1">
        <f t="array" ref="P136">_xlfn.LET(
  _xlpm.colj, _xlfn._xlws.FILTER(IF(ISNUMBER(135:135), COLUMN(135:135)), ISNUMBER(135:135)),
  _xlpm.elos, INDEX(134:134,1,_xlpm.colj),
  _xlpm.diffscale, Constantes!$B$2,
  IF(P135="",
    "",
    SUM(1/(1+POWER(10,-(P134-_xlpm.elos)/_xlpm.diffscale)))-0.5)
)</f>
        <v/>
      </c>
      <c r="Q136" t="str" cm="1">
        <f t="array" ref="Q136">_xlfn.LET(
  _xlpm.colj, _xlfn._xlws.FILTER(IF(ISNUMBER(135:135), COLUMN(135:135)), ISNUMBER(135:135)),
  _xlpm.elos, INDEX(134:134,1,_xlpm.colj),
  _xlpm.diffscale, Constantes!$B$2,
  IF(Q135="",
    "",
    SUM(1/(1+POWER(10,-(Q134-_xlpm.elos)/_xlpm.diffscale)))-0.5)
)</f>
        <v/>
      </c>
      <c r="R136" t="str" cm="1">
        <f t="array" ref="R136">_xlfn.LET(
  _xlpm.colj, _xlfn._xlws.FILTER(IF(ISNUMBER(135:135), COLUMN(135:135)), ISNUMBER(135:135)),
  _xlpm.elos, INDEX(134:134,1,_xlpm.colj),
  _xlpm.diffscale, Constantes!$B$2,
  IF(R135="",
    "",
    SUM(1/(1+POWER(10,-(R134-_xlpm.elos)/_xlpm.diffscale)))-0.5)
)</f>
        <v/>
      </c>
      <c r="S136" t="str" cm="1">
        <f t="array" ref="S136">_xlfn.LET(
  _xlpm.colj, _xlfn._xlws.FILTER(IF(ISNUMBER(135:135), COLUMN(135:135)), ISNUMBER(135:135)),
  _xlpm.elos, INDEX(134:134,1,_xlpm.colj),
  _xlpm.diffscale, Constantes!$B$2,
  IF(S135="",
    "",
    SUM(1/(1+POWER(10,-(S134-_xlpm.elos)/_xlpm.diffscale)))-0.5)
)</f>
        <v/>
      </c>
      <c r="T136" t="str" cm="1">
        <f t="array" ref="T136">_xlfn.LET(
  _xlpm.colj, _xlfn._xlws.FILTER(IF(ISNUMBER(135:135), COLUMN(135:135)), ISNUMBER(135:135)),
  _xlpm.elos, INDEX(134:134,1,_xlpm.colj),
  _xlpm.diffscale, Constantes!$B$2,
  IF(T135="",
    "",
    SUM(1/(1+POWER(10,-(T134-_xlpm.elos)/_xlpm.diffscale)))-0.5)
)</f>
        <v/>
      </c>
      <c r="U136" cm="1">
        <f t="array" ref="U136">_xlfn.LET(
  _xlpm.colj, _xlfn._xlws.FILTER(IF(ISNUMBER(135:135), COLUMN(135:135)), ISNUMBER(135:135)),
  _xlpm.elos, INDEX(134:134,1,_xlpm.colj),
  _xlpm.diffscale, Constantes!$B$2,
  IF(U135="",
    "",
    SUM(1/(1+POWER(10,-(U134-_xlpm.elos)/_xlpm.diffscale)))-0.5)
)</f>
        <v>1.9835543165074587</v>
      </c>
      <c r="V136" t="str" cm="1">
        <f t="array" ref="V136">_xlfn.LET(
  _xlpm.colj, _xlfn._xlws.FILTER(IF(ISNUMBER(135:135), COLUMN(135:135)), ISNUMBER(135:135)),
  _xlpm.elos, INDEX(134:134,1,_xlpm.colj),
  _xlpm.diffscale, Constantes!$B$2,
  IF(V135="",
    "",
    SUM(1/(1+POWER(10,-(V134-_xlpm.elos)/_xlpm.diffscale)))-0.5)
)</f>
        <v/>
      </c>
      <c r="W136" t="str" cm="1">
        <f t="array" ref="W136">_xlfn.LET(
  _xlpm.colj, _xlfn._xlws.FILTER(IF(ISNUMBER(135:135), COLUMN(135:135)), ISNUMBER(135:135)),
  _xlpm.elos, INDEX(134:134,1,_xlpm.colj),
  _xlpm.diffscale, Constantes!$B$2,
  IF(W135="",
    "",
    SUM(1/(1+POWER(10,-(W134-_xlpm.elos)/_xlpm.diffscale)))-0.5)
)</f>
        <v/>
      </c>
      <c r="X136" t="str" cm="1">
        <f t="array" ref="X136">_xlfn.LET(
  _xlpm.colj, _xlfn._xlws.FILTER(IF(ISNUMBER(135:135), COLUMN(135:135)), ISNUMBER(135:135)),
  _xlpm.elos, INDEX(134:134,1,_xlpm.colj),
  _xlpm.diffscale, Constantes!$B$2,
  IF(X135="",
    "",
    SUM(1/(1+POWER(10,-(X134-_xlpm.elos)/_xlpm.diffscale)))-0.5)
)</f>
        <v/>
      </c>
      <c r="Y136" t="str" cm="1">
        <f t="array" ref="Y136">_xlfn.LET(
  _xlpm.colj, _xlfn._xlws.FILTER(IF(ISNUMBER(135:135), COLUMN(135:135)), ISNUMBER(135:135)),
  _xlpm.elos, INDEX(134:134,1,_xlpm.colj),
  _xlpm.diffscale, Constantes!$B$2,
  IF(Y135="",
    "",
    SUM(1/(1+POWER(10,-(Y134-_xlpm.elos)/_xlpm.diffscale)))-0.5)
)</f>
        <v/>
      </c>
      <c r="Z136" t="str" cm="1">
        <f t="array" ref="Z136">_xlfn.LET(
  _xlpm.colj, _xlfn._xlws.FILTER(IF(ISNUMBER(135:135), COLUMN(135:135)), ISNUMBER(135:135)),
  _xlpm.elos, INDEX(134:134,1,_xlpm.colj),
  _xlpm.diffscale, Constantes!$B$2,
  IF(Z135="",
    "",
    SUM(1/(1+POWER(10,-(Z134-_xlpm.elos)/_xlpm.diffscale)))-0.5)
)</f>
        <v/>
      </c>
      <c r="AA136" t="str" cm="1">
        <f t="array" ref="AA136">_xlfn.LET(
  _xlpm.colj, _xlfn._xlws.FILTER(IF(ISNUMBER(135:135), COLUMN(135:135)), ISNUMBER(135:135)),
  _xlpm.elos, INDEX(134:134,1,_xlpm.colj),
  _xlpm.diffscale, Constantes!$B$2,
  IF(AA135="",
    "",
    SUM(1/(1+POWER(10,-(AA134-_xlpm.elos)/_xlpm.diffscale)))-0.5)
)</f>
        <v/>
      </c>
      <c r="AB136" t="str" cm="1">
        <f t="array" ref="AB136">_xlfn.LET(
  _xlpm.colj, _xlfn._xlws.FILTER(IF(ISNUMBER(135:135), COLUMN(135:135)), ISNUMBER(135:135)),
  _xlpm.elos, INDEX(134:134,1,_xlpm.colj),
  _xlpm.diffscale, Constantes!$B$2,
  IF(AB135="",
    "",
    SUM(1/(1+POWER(10,-(AB134-_xlpm.elos)/_xlpm.diffscale)))-0.5)
)</f>
        <v/>
      </c>
      <c r="AC136" cm="1">
        <f t="array" ref="AC136">_xlfn.LET(
  _xlpm.colj, _xlfn._xlws.FILTER(IF(ISNUMBER(135:135), COLUMN(135:135)), ISNUMBER(135:135)),
  _xlpm.elos, INDEX(134:134,1,_xlpm.colj),
  _xlpm.diffscale, Constantes!$B$2,
  IF(AC135="",
    "",
    SUM(1/(1+POWER(10,-(AC134-_xlpm.elos)/_xlpm.diffscale)))-0.5)
)</f>
        <v>1.745410519004535</v>
      </c>
      <c r="AD136" t="str" cm="1">
        <f t="array" ref="AD136">_xlfn.LET(
  _xlpm.colj, _xlfn._xlws.FILTER(IF(ISNUMBER(135:135), COLUMN(135:135)), ISNUMBER(135:135)),
  _xlpm.elos, INDEX(134:134,1,_xlpm.colj),
  _xlpm.diffscale, Constantes!$B$2,
  IF(AD135="",
    "",
    SUM(1/(1+POWER(10,-(AD134-_xlpm.elos)/_xlpm.diffscale)))-0.5)
)</f>
        <v/>
      </c>
      <c r="AE136" t="str" cm="1">
        <f t="array" ref="AE136">_xlfn.LET(
  _xlpm.colj, _xlfn._xlws.FILTER(IF(ISNUMBER(135:135), COLUMN(135:135)), ISNUMBER(135:135)),
  _xlpm.elos, INDEX(134:134,1,_xlpm.colj),
  _xlpm.diffscale, Constantes!$B$2,
  IF(AE135="",
    "",
    SUM(1/(1+POWER(10,-(AE134-_xlpm.elos)/_xlpm.diffscale)))-0.5)
)</f>
        <v/>
      </c>
      <c r="AF136" t="str" cm="1">
        <f t="array" ref="AF136">_xlfn.LET(
  _xlpm.colj, _xlfn._xlws.FILTER(IF(ISNUMBER(135:135), COLUMN(135:135)), ISNUMBER(135:135)),
  _xlpm.elos, INDEX(134:134,1,_xlpm.colj),
  _xlpm.diffscale, Constantes!$B$2,
  IF(AF135="",
    "",
    SUM(1/(1+POWER(10,-(AF134-_xlpm.elos)/_xlpm.diffscale)))-0.5)
)</f>
        <v/>
      </c>
      <c r="AG136" t="str" cm="1">
        <f t="array" ref="AG136">_xlfn.LET(
  _xlpm.colj, _xlfn._xlws.FILTER(IF(ISNUMBER(135:135), COLUMN(135:135)), ISNUMBER(135:135)),
  _xlpm.elos, INDEX(134:134,1,_xlpm.colj),
  _xlpm.diffscale, Constantes!$B$2,
  IF(AG135="",
    "",
    SUM(1/(1+POWER(10,-(AG134-_xlpm.elos)/_xlpm.diffscale)))-0.5)
)</f>
        <v/>
      </c>
      <c r="AH136" t="str" cm="1">
        <f t="array" ref="AH136">_xlfn.LET(
  _xlpm.colj, _xlfn._xlws.FILTER(IF(ISNUMBER(135:135), COLUMN(135:135)), ISNUMBER(135:135)),
  _xlpm.elos, INDEX(134:134,1,_xlpm.colj),
  _xlpm.diffscale, Constantes!$B$2,
  IF(AH135="",
    "",
    SUM(1/(1+POWER(10,-(AH134-_xlpm.elos)/_xlpm.diffscale)))-0.5)
)</f>
        <v/>
      </c>
      <c r="AI136" t="str" cm="1">
        <f t="array" ref="AI136">_xlfn.LET(
  _xlpm.colj, _xlfn._xlws.FILTER(IF(ISNUMBER(135:135), COLUMN(135:135)), ISNUMBER(135:135)),
  _xlpm.elos, INDEX(134:134,1,_xlpm.colj),
  _xlpm.diffscale, Constantes!$B$2,
  IF(AI135="",
    "",
    SUM(1/(1+POWER(10,-(AI134-_xlpm.elos)/_xlpm.diffscale)))-0.5)
)</f>
        <v/>
      </c>
      <c r="AJ136" t="str" cm="1">
        <f t="array" ref="AJ136">_xlfn.LET(
  _xlpm.colj, _xlfn._xlws.FILTER(IF(ISNUMBER(135:135), COLUMN(135:135)), ISNUMBER(135:135)),
  _xlpm.elos, INDEX(134:134,1,_xlpm.colj),
  _xlpm.diffscale, Constantes!$B$2,
  IF(AJ135="",
    "",
    SUM(1/(1+POWER(10,-(AJ134-_xlpm.elos)/_xlpm.diffscale)))-0.5)
)</f>
        <v/>
      </c>
      <c r="AK136" t="str" cm="1">
        <f t="array" ref="AK136">_xlfn.LET(
  _xlpm.colj, _xlfn._xlws.FILTER(IF(ISNUMBER(135:135), COLUMN(135:135)), ISNUMBER(135:135)),
  _xlpm.elos, INDEX(134:134,1,_xlpm.colj),
  _xlpm.diffscale, Constantes!$B$2,
  IF(AK135="",
    "",
    SUM(1/(1+POWER(10,-(AK134-_xlpm.elos)/_xlpm.diffscale)))-0.5)
)</f>
        <v/>
      </c>
      <c r="AL136" t="str" cm="1">
        <f t="array" ref="AL136">_xlfn.LET(
  _xlpm.colj, _xlfn._xlws.FILTER(IF(ISNUMBER(135:135), COLUMN(135:135)), ISNUMBER(135:135)),
  _xlpm.elos, INDEX(134:134,1,_xlpm.colj),
  _xlpm.diffscale, Constantes!$B$2,
  IF(AL135="",
    "",
    SUM(1/(1+POWER(10,-(AL134-_xlpm.elos)/_xlpm.diffscale)))-0.5)
)</f>
        <v/>
      </c>
      <c r="AM136" t="str" cm="1">
        <f t="array" ref="AM136">_xlfn.LET(
  _xlpm.colj, _xlfn._xlws.FILTER(IF(ISNUMBER(135:135), COLUMN(135:135)), ISNUMBER(135:135)),
  _xlpm.elos, INDEX(134:134,1,_xlpm.colj),
  _xlpm.diffscale, Constantes!$B$2,
  IF(AM135="",
    "",
    SUM(1/(1+POWER(10,-(AM134-_xlpm.elos)/_xlpm.diffscale)))-0.5)
)</f>
        <v/>
      </c>
    </row>
    <row r="137" spans="1:39" x14ac:dyDescent="0.25">
      <c r="A137" t="s">
        <v>22</v>
      </c>
      <c r="D137" t="str" cm="1">
        <f t="array" ref="D137">_xlfn.LET(
  _xlpm.K, Constantes!$B$3,
  _xlpm.Knewgain, Constantes!$B$4,
  _xlpm.Knewscale, Constantes!$B$5,
  _xlpm.ptstables, INDEX(D:D, _xlfn.SEQUENCE(COUNTA($C$2:$C137), 1, 3, 4)),
  _xlpm.nbparties, COUNTA(_xlfn._xlws.FILTER(_xlpm.ptstables, _xlpm.ptstables &lt;&gt; "")),
  _xlpm.coef, _xlpm.K + _xlpm.Knewgain / (_xlpm.Knewscale + _xlpm.nbparties),
  IF(D135="",
    "",
    _xlpm.coef * (D135-D136))
)</f>
        <v/>
      </c>
      <c r="E137" t="str" cm="1">
        <f t="array" ref="E137">_xlfn.LET(
  _xlpm.K, Constantes!$B$3,
  _xlpm.Knewgain, Constantes!$B$4,
  _xlpm.Knewscale, Constantes!$B$5,
  _xlpm.ptstables, INDEX(E:E, _xlfn.SEQUENCE(COUNTA($C$2:$C137), 1, 3, 4)),
  _xlpm.nbparties, COUNTA(_xlfn._xlws.FILTER(_xlpm.ptstables, _xlpm.ptstables &lt;&gt; "")),
  _xlpm.coef, _xlpm.K + _xlpm.Knewgain / (_xlpm.Knewscale + _xlpm.nbparties),
  IF(E135="",
    "",
    _xlpm.coef * (E135-E136))
)</f>
        <v/>
      </c>
      <c r="F137" cm="1">
        <f t="array" ref="F137">_xlfn.LET(
  _xlpm.K, Constantes!$B$3,
  _xlpm.Knewgain, Constantes!$B$4,
  _xlpm.Knewscale, Constantes!$B$5,
  _xlpm.ptstables, INDEX(F:F, _xlfn.SEQUENCE(COUNTA($C$2:$C137), 1, 3, 4)),
  _xlpm.nbparties, COUNTA(_xlfn._xlws.FILTER(_xlpm.ptstables, _xlpm.ptstables &lt;&gt; "")),
  _xlpm.coef, _xlpm.K + _xlpm.Knewgain / (_xlpm.Knewscale + _xlpm.nbparties),
  IF(F135="",
    "",
    _xlpm.coef * (F135-F136))
)</f>
        <v>-22.844961325404981</v>
      </c>
      <c r="G137" cm="1">
        <f t="array" ref="G137">_xlfn.LET(
  _xlpm.K, Constantes!$B$3,
  _xlpm.Knewgain, Constantes!$B$4,
  _xlpm.Knewscale, Constantes!$B$5,
  _xlpm.ptstables, INDEX(G:G, _xlfn.SEQUENCE(COUNTA($C$2:$C137), 1, 3, 4)),
  _xlpm.nbparties, COUNTA(_xlfn._xlws.FILTER(_xlpm.ptstables, _xlpm.ptstables &lt;&gt; "")),
  _xlpm.coef, _xlpm.K + _xlpm.Knewgain / (_xlpm.Knewscale + _xlpm.nbparties),
  IF(G135="",
    "",
    _xlpm.coef * (G135-G136))
)</f>
        <v>15.549729220989093</v>
      </c>
      <c r="H137" t="str" cm="1">
        <f t="array" ref="H137">_xlfn.LET(
  _xlpm.K, Constantes!$B$3,
  _xlpm.Knewgain, Constantes!$B$4,
  _xlpm.Knewscale, Constantes!$B$5,
  _xlpm.ptstables, INDEX(H:H, _xlfn.SEQUENCE(COUNTA($C$2:$C137), 1, 3, 4)),
  _xlpm.nbparties, COUNTA(_xlfn._xlws.FILTER(_xlpm.ptstables, _xlpm.ptstables &lt;&gt; "")),
  _xlpm.coef, _xlpm.K + _xlpm.Knewgain / (_xlpm.Knewscale + _xlpm.nbparties),
  IF(H135="",
    "",
    _xlpm.coef * (H135-H136))
)</f>
        <v/>
      </c>
      <c r="I137" t="str" cm="1">
        <f t="array" ref="I137">_xlfn.LET(
  _xlpm.K, Constantes!$B$3,
  _xlpm.Knewgain, Constantes!$B$4,
  _xlpm.Knewscale, Constantes!$B$5,
  _xlpm.ptstables, INDEX(I:I, _xlfn.SEQUENCE(COUNTA($C$2:$C137), 1, 3, 4)),
  _xlpm.nbparties, COUNTA(_xlfn._xlws.FILTER(_xlpm.ptstables, _xlpm.ptstables &lt;&gt; "")),
  _xlpm.coef, _xlpm.K + _xlpm.Knewgain / (_xlpm.Knewscale + _xlpm.nbparties),
  IF(I135="",
    "",
    _xlpm.coef * (I135-I136))
)</f>
        <v/>
      </c>
      <c r="J137" t="str" cm="1">
        <f t="array" ref="J137">_xlfn.LET(
  _xlpm.K, Constantes!$B$3,
  _xlpm.Knewgain, Constantes!$B$4,
  _xlpm.Knewscale, Constantes!$B$5,
  _xlpm.ptstables, INDEX(J:J, _xlfn.SEQUENCE(COUNTA($C$2:$C137), 1, 3, 4)),
  _xlpm.nbparties, COUNTA(_xlfn._xlws.FILTER(_xlpm.ptstables, _xlpm.ptstables &lt;&gt; "")),
  _xlpm.coef, _xlpm.K + _xlpm.Knewgain / (_xlpm.Knewscale + _xlpm.nbparties),
  IF(J135="",
    "",
    _xlpm.coef * (J135-J136))
)</f>
        <v/>
      </c>
      <c r="K137" t="str" cm="1">
        <f t="array" ref="K137">_xlfn.LET(
  _xlpm.K, Constantes!$B$3,
  _xlpm.Knewgain, Constantes!$B$4,
  _xlpm.Knewscale, Constantes!$B$5,
  _xlpm.ptstables, INDEX(K:K, _xlfn.SEQUENCE(COUNTA($C$2:$C137), 1, 3, 4)),
  _xlpm.nbparties, COUNTA(_xlfn._xlws.FILTER(_xlpm.ptstables, _xlpm.ptstables &lt;&gt; "")),
  _xlpm.coef, _xlpm.K + _xlpm.Knewgain / (_xlpm.Knewscale + _xlpm.nbparties),
  IF(K135="",
    "",
    _xlpm.coef * (K135-K136))
)</f>
        <v/>
      </c>
      <c r="L137" t="str" cm="1">
        <f t="array" ref="L137">_xlfn.LET(
  _xlpm.K, Constantes!$B$3,
  _xlpm.Knewgain, Constantes!$B$4,
  _xlpm.Knewscale, Constantes!$B$5,
  _xlpm.ptstables, INDEX(L:L, _xlfn.SEQUENCE(COUNTA($C$2:$C137), 1, 3, 4)),
  _xlpm.nbparties, COUNTA(_xlfn._xlws.FILTER(_xlpm.ptstables, _xlpm.ptstables &lt;&gt; "")),
  _xlpm.coef, _xlpm.K + _xlpm.Knewgain / (_xlpm.Knewscale + _xlpm.nbparties),
  IF(L135="",
    "",
    _xlpm.coef * (L135-L136))
)</f>
        <v/>
      </c>
      <c r="M137" t="str" cm="1">
        <f t="array" ref="M137">_xlfn.LET(
  _xlpm.K, Constantes!$B$3,
  _xlpm.Knewgain, Constantes!$B$4,
  _xlpm.Knewscale, Constantes!$B$5,
  _xlpm.ptstables, INDEX(M:M, _xlfn.SEQUENCE(COUNTA($C$2:$C137), 1, 3, 4)),
  _xlpm.nbparties, COUNTA(_xlfn._xlws.FILTER(_xlpm.ptstables, _xlpm.ptstables &lt;&gt; "")),
  _xlpm.coef, _xlpm.K + _xlpm.Knewgain / (_xlpm.Knewscale + _xlpm.nbparties),
  IF(M135="",
    "",
    _xlpm.coef * (M135-M136))
)</f>
        <v/>
      </c>
      <c r="N137" t="str" cm="1">
        <f t="array" ref="N137">_xlfn.LET(
  _xlpm.K, Constantes!$B$3,
  _xlpm.Knewgain, Constantes!$B$4,
  _xlpm.Knewscale, Constantes!$B$5,
  _xlpm.ptstables, INDEX(N:N, _xlfn.SEQUENCE(COUNTA($C$2:$C137), 1, 3, 4)),
  _xlpm.nbparties, COUNTA(_xlfn._xlws.FILTER(_xlpm.ptstables, _xlpm.ptstables &lt;&gt; "")),
  _xlpm.coef, _xlpm.K + _xlpm.Knewgain / (_xlpm.Knewscale + _xlpm.nbparties),
  IF(N135="",
    "",
    _xlpm.coef * (N135-N136))
)</f>
        <v/>
      </c>
      <c r="O137" t="str" cm="1">
        <f t="array" ref="O137">_xlfn.LET(
  _xlpm.K, Constantes!$B$3,
  _xlpm.Knewgain, Constantes!$B$4,
  _xlpm.Knewscale, Constantes!$B$5,
  _xlpm.ptstables, INDEX(O:O, _xlfn.SEQUENCE(COUNTA($C$2:$C137), 1, 3, 4)),
  _xlpm.nbparties, COUNTA(_xlfn._xlws.FILTER(_xlpm.ptstables, _xlpm.ptstables &lt;&gt; "")),
  _xlpm.coef, _xlpm.K + _xlpm.Knewgain / (_xlpm.Knewscale + _xlpm.nbparties),
  IF(O135="",
    "",
    _xlpm.coef * (O135-O136))
)</f>
        <v/>
      </c>
      <c r="P137" t="str" cm="1">
        <f t="array" ref="P137">_xlfn.LET(
  _xlpm.K, Constantes!$B$3,
  _xlpm.Knewgain, Constantes!$B$4,
  _xlpm.Knewscale, Constantes!$B$5,
  _xlpm.ptstables, INDEX(P:P, _xlfn.SEQUENCE(COUNTA($C$2:$C137), 1, 3, 4)),
  _xlpm.nbparties, COUNTA(_xlfn._xlws.FILTER(_xlpm.ptstables, _xlpm.ptstables &lt;&gt; "")),
  _xlpm.coef, _xlpm.K + _xlpm.Knewgain / (_xlpm.Knewscale + _xlpm.nbparties),
  IF(P135="",
    "",
    _xlpm.coef * (P135-P136))
)</f>
        <v/>
      </c>
      <c r="Q137" t="str" cm="1">
        <f t="array" ref="Q137">_xlfn.LET(
  _xlpm.K, Constantes!$B$3,
  _xlpm.Knewgain, Constantes!$B$4,
  _xlpm.Knewscale, Constantes!$B$5,
  _xlpm.ptstables, INDEX(Q:Q, _xlfn.SEQUENCE(COUNTA($C$2:$C137), 1, 3, 4)),
  _xlpm.nbparties, COUNTA(_xlfn._xlws.FILTER(_xlpm.ptstables, _xlpm.ptstables &lt;&gt; "")),
  _xlpm.coef, _xlpm.K + _xlpm.Knewgain / (_xlpm.Knewscale + _xlpm.nbparties),
  IF(Q135="",
    "",
    _xlpm.coef * (Q135-Q136))
)</f>
        <v/>
      </c>
      <c r="R137" t="str" cm="1">
        <f t="array" ref="R137">_xlfn.LET(
  _xlpm.K, Constantes!$B$3,
  _xlpm.Knewgain, Constantes!$B$4,
  _xlpm.Knewscale, Constantes!$B$5,
  _xlpm.ptstables, INDEX(R:R, _xlfn.SEQUENCE(COUNTA($C$2:$C137), 1, 3, 4)),
  _xlpm.nbparties, COUNTA(_xlfn._xlws.FILTER(_xlpm.ptstables, _xlpm.ptstables &lt;&gt; "")),
  _xlpm.coef, _xlpm.K + _xlpm.Knewgain / (_xlpm.Knewscale + _xlpm.nbparties),
  IF(R135="",
    "",
    _xlpm.coef * (R135-R136))
)</f>
        <v/>
      </c>
      <c r="S137" t="str" cm="1">
        <f t="array" ref="S137">_xlfn.LET(
  _xlpm.K, Constantes!$B$3,
  _xlpm.Knewgain, Constantes!$B$4,
  _xlpm.Knewscale, Constantes!$B$5,
  _xlpm.ptstables, INDEX(S:S, _xlfn.SEQUENCE(COUNTA($C$2:$C137), 1, 3, 4)),
  _xlpm.nbparties, COUNTA(_xlfn._xlws.FILTER(_xlpm.ptstables, _xlpm.ptstables &lt;&gt; "")),
  _xlpm.coef, _xlpm.K + _xlpm.Knewgain / (_xlpm.Knewscale + _xlpm.nbparties),
  IF(S135="",
    "",
    _xlpm.coef * (S135-S136))
)</f>
        <v/>
      </c>
      <c r="T137" t="str" cm="1">
        <f t="array" ref="T137">_xlfn.LET(
  _xlpm.K, Constantes!$B$3,
  _xlpm.Knewgain, Constantes!$B$4,
  _xlpm.Knewscale, Constantes!$B$5,
  _xlpm.ptstables, INDEX(T:T, _xlfn.SEQUENCE(COUNTA($C$2:$C137), 1, 3, 4)),
  _xlpm.nbparties, COUNTA(_xlfn._xlws.FILTER(_xlpm.ptstables, _xlpm.ptstables &lt;&gt; "")),
  _xlpm.coef, _xlpm.K + _xlpm.Knewgain / (_xlpm.Knewscale + _xlpm.nbparties),
  IF(T135="",
    "",
    _xlpm.coef * (T135-T136))
)</f>
        <v/>
      </c>
      <c r="U137" cm="1">
        <f t="array" ref="U137">_xlfn.LET(
  _xlpm.K, Constantes!$B$3,
  _xlpm.Knewgain, Constantes!$B$4,
  _xlpm.Knewscale, Constantes!$B$5,
  _xlpm.ptstables, INDEX(U:U, _xlfn.SEQUENCE(COUNTA($C$2:$C137), 1, 3, 4)),
  _xlpm.nbparties, COUNTA(_xlfn._xlws.FILTER(_xlpm.ptstables, _xlpm.ptstables &lt;&gt; "")),
  _xlpm.coef, _xlpm.K + _xlpm.Knewgain / (_xlpm.Knewscale + _xlpm.nbparties),
  IF(U135="",
    "",
    _xlpm.coef * (U135-U136))
)</f>
        <v>25.975834133698278</v>
      </c>
      <c r="V137" t="str" cm="1">
        <f t="array" ref="V137">_xlfn.LET(
  _xlpm.K, Constantes!$B$3,
  _xlpm.Knewgain, Constantes!$B$4,
  _xlpm.Knewscale, Constantes!$B$5,
  _xlpm.ptstables, INDEX(V:V, _xlfn.SEQUENCE(COUNTA($C$2:$C137), 1, 3, 4)),
  _xlpm.nbparties, COUNTA(_xlfn._xlws.FILTER(_xlpm.ptstables, _xlpm.ptstables &lt;&gt; "")),
  _xlpm.coef, _xlpm.K + _xlpm.Knewgain / (_xlpm.Knewscale + _xlpm.nbparties),
  IF(V135="",
    "",
    _xlpm.coef * (V135-V136))
)</f>
        <v/>
      </c>
      <c r="W137" t="str" cm="1">
        <f t="array" ref="W137">_xlfn.LET(
  _xlpm.K, Constantes!$B$3,
  _xlpm.Knewgain, Constantes!$B$4,
  _xlpm.Knewscale, Constantes!$B$5,
  _xlpm.ptstables, INDEX(W:W, _xlfn.SEQUENCE(COUNTA($C$2:$C137), 1, 3, 4)),
  _xlpm.nbparties, COUNTA(_xlfn._xlws.FILTER(_xlpm.ptstables, _xlpm.ptstables &lt;&gt; "")),
  _xlpm.coef, _xlpm.K + _xlpm.Knewgain / (_xlpm.Knewscale + _xlpm.nbparties),
  IF(W135="",
    "",
    _xlpm.coef * (W135-W136))
)</f>
        <v/>
      </c>
      <c r="X137" t="str" cm="1">
        <f t="array" ref="X137">_xlfn.LET(
  _xlpm.K, Constantes!$B$3,
  _xlpm.Knewgain, Constantes!$B$4,
  _xlpm.Knewscale, Constantes!$B$5,
  _xlpm.ptstables, INDEX(X:X, _xlfn.SEQUENCE(COUNTA($C$2:$C137), 1, 3, 4)),
  _xlpm.nbparties, COUNTA(_xlfn._xlws.FILTER(_xlpm.ptstables, _xlpm.ptstables &lt;&gt; "")),
  _xlpm.coef, _xlpm.K + _xlpm.Knewgain / (_xlpm.Knewscale + _xlpm.nbparties),
  IF(X135="",
    "",
    _xlpm.coef * (X135-X136))
)</f>
        <v/>
      </c>
      <c r="Y137" t="str" cm="1">
        <f t="array" ref="Y137">_xlfn.LET(
  _xlpm.K, Constantes!$B$3,
  _xlpm.Knewgain, Constantes!$B$4,
  _xlpm.Knewscale, Constantes!$B$5,
  _xlpm.ptstables, INDEX(Y:Y, _xlfn.SEQUENCE(COUNTA($C$2:$C137), 1, 3, 4)),
  _xlpm.nbparties, COUNTA(_xlfn._xlws.FILTER(_xlpm.ptstables, _xlpm.ptstables &lt;&gt; "")),
  _xlpm.coef, _xlpm.K + _xlpm.Knewgain / (_xlpm.Knewscale + _xlpm.nbparties),
  IF(Y135="",
    "",
    _xlpm.coef * (Y135-Y136))
)</f>
        <v/>
      </c>
      <c r="Z137" t="str" cm="1">
        <f t="array" ref="Z137">_xlfn.LET(
  _xlpm.K, Constantes!$B$3,
  _xlpm.Knewgain, Constantes!$B$4,
  _xlpm.Knewscale, Constantes!$B$5,
  _xlpm.ptstables, INDEX(Z:Z, _xlfn.SEQUENCE(COUNTA($C$2:$C137), 1, 3, 4)),
  _xlpm.nbparties, COUNTA(_xlfn._xlws.FILTER(_xlpm.ptstables, _xlpm.ptstables &lt;&gt; "")),
  _xlpm.coef, _xlpm.K + _xlpm.Knewgain / (_xlpm.Knewscale + _xlpm.nbparties),
  IF(Z135="",
    "",
    _xlpm.coef * (Z135-Z136))
)</f>
        <v/>
      </c>
      <c r="AA137" t="str" cm="1">
        <f t="array" ref="AA137">_xlfn.LET(
  _xlpm.K, Constantes!$B$3,
  _xlpm.Knewgain, Constantes!$B$4,
  _xlpm.Knewscale, Constantes!$B$5,
  _xlpm.ptstables, INDEX(AA:AA, _xlfn.SEQUENCE(COUNTA($C$2:$C137), 1, 3, 4)),
  _xlpm.nbparties, COUNTA(_xlfn._xlws.FILTER(_xlpm.ptstables, _xlpm.ptstables &lt;&gt; "")),
  _xlpm.coef, _xlpm.K + _xlpm.Knewgain / (_xlpm.Knewscale + _xlpm.nbparties),
  IF(AA135="",
    "",
    _xlpm.coef * (AA135-AA136))
)</f>
        <v/>
      </c>
      <c r="AB137" t="str" cm="1">
        <f t="array" ref="AB137">_xlfn.LET(
  _xlpm.K, Constantes!$B$3,
  _xlpm.Knewgain, Constantes!$B$4,
  _xlpm.Knewscale, Constantes!$B$5,
  _xlpm.ptstables, INDEX(AB:AB, _xlfn.SEQUENCE(COUNTA($C$2:$C137), 1, 3, 4)),
  _xlpm.nbparties, COUNTA(_xlfn._xlws.FILTER(_xlpm.ptstables, _xlpm.ptstables &lt;&gt; "")),
  _xlpm.coef, _xlpm.K + _xlpm.Knewgain / (_xlpm.Knewscale + _xlpm.nbparties),
  IF(AB135="",
    "",
    _xlpm.coef * (AB135-AB136))
)</f>
        <v/>
      </c>
      <c r="AC137" cm="1">
        <f t="array" ref="AC137">_xlfn.LET(
  _xlpm.K, Constantes!$B$3,
  _xlpm.Knewgain, Constantes!$B$4,
  _xlpm.Knewscale, Constantes!$B$5,
  _xlpm.ptstables, INDEX(AC:AC, _xlfn.SEQUENCE(COUNTA($C$2:$C137), 1, 3, 4)),
  _xlpm.nbparties, COUNTA(_xlfn._xlws.FILTER(_xlpm.ptstables, _xlpm.ptstables &lt;&gt; "")),
  _xlpm.coef, _xlpm.K + _xlpm.Knewgain / (_xlpm.Knewscale + _xlpm.nbparties),
  IF(AC135="",
    "",
    _xlpm.coef * (AC135-AC136))
)</f>
        <v>-33.543473355204078</v>
      </c>
      <c r="AD137" t="str" cm="1">
        <f t="array" ref="AD137">_xlfn.LET(
  _xlpm.K, Constantes!$B$3,
  _xlpm.Knewgain, Constantes!$B$4,
  _xlpm.Knewscale, Constantes!$B$5,
  _xlpm.ptstables, INDEX(AD:AD, _xlfn.SEQUENCE(COUNTA($C$2:$C137), 1, 3, 4)),
  _xlpm.nbparties, COUNTA(_xlfn._xlws.FILTER(_xlpm.ptstables, _xlpm.ptstables &lt;&gt; "")),
  _xlpm.coef, _xlpm.K + _xlpm.Knewgain / (_xlpm.Knewscale + _xlpm.nbparties),
  IF(AD135="",
    "",
    _xlpm.coef * (AD135-AD136))
)</f>
        <v/>
      </c>
      <c r="AE137" t="str" cm="1">
        <f t="array" ref="AE137">_xlfn.LET(
  _xlpm.K, Constantes!$B$3,
  _xlpm.Knewgain, Constantes!$B$4,
  _xlpm.Knewscale, Constantes!$B$5,
  _xlpm.ptstables, INDEX(AE:AE, _xlfn.SEQUENCE(COUNTA($C$2:$C137), 1, 3, 4)),
  _xlpm.nbparties, COUNTA(_xlfn._xlws.FILTER(_xlpm.ptstables, _xlpm.ptstables &lt;&gt; "")),
  _xlpm.coef, _xlpm.K + _xlpm.Knewgain / (_xlpm.Knewscale + _xlpm.nbparties),
  IF(AE135="",
    "",
    _xlpm.coef * (AE135-AE136))
)</f>
        <v/>
      </c>
      <c r="AF137" t="str" cm="1">
        <f t="array" ref="AF137">_xlfn.LET(
  _xlpm.K, Constantes!$B$3,
  _xlpm.Knewgain, Constantes!$B$4,
  _xlpm.Knewscale, Constantes!$B$5,
  _xlpm.ptstables, INDEX(AF:AF, _xlfn.SEQUENCE(COUNTA($C$2:$C137), 1, 3, 4)),
  _xlpm.nbparties, COUNTA(_xlfn._xlws.FILTER(_xlpm.ptstables, _xlpm.ptstables &lt;&gt; "")),
  _xlpm.coef, _xlpm.K + _xlpm.Knewgain / (_xlpm.Knewscale + _xlpm.nbparties),
  IF(AF135="",
    "",
    _xlpm.coef * (AF135-AF136))
)</f>
        <v/>
      </c>
      <c r="AG137" t="str" cm="1">
        <f t="array" ref="AG137">_xlfn.LET(
  _xlpm.K, Constantes!$B$3,
  _xlpm.Knewgain, Constantes!$B$4,
  _xlpm.Knewscale, Constantes!$B$5,
  _xlpm.ptstables, INDEX(AG:AG, _xlfn.SEQUENCE(COUNTA($C$2:$C137), 1, 3, 4)),
  _xlpm.nbparties, COUNTA(_xlfn._xlws.FILTER(_xlpm.ptstables, _xlpm.ptstables &lt;&gt; "")),
  _xlpm.coef, _xlpm.K + _xlpm.Knewgain / (_xlpm.Knewscale + _xlpm.nbparties),
  IF(AG135="",
    "",
    _xlpm.coef * (AG135-AG136))
)</f>
        <v/>
      </c>
      <c r="AH137" t="str" cm="1">
        <f t="array" ref="AH137">_xlfn.LET(
  _xlpm.K, Constantes!$B$3,
  _xlpm.Knewgain, Constantes!$B$4,
  _xlpm.Knewscale, Constantes!$B$5,
  _xlpm.ptstables, INDEX(AH:AH, _xlfn.SEQUENCE(COUNTA($C$2:$C137), 1, 3, 4)),
  _xlpm.nbparties, COUNTA(_xlfn._xlws.FILTER(_xlpm.ptstables, _xlpm.ptstables &lt;&gt; "")),
  _xlpm.coef, _xlpm.K + _xlpm.Knewgain / (_xlpm.Knewscale + _xlpm.nbparties),
  IF(AH135="",
    "",
    _xlpm.coef * (AH135-AH136))
)</f>
        <v/>
      </c>
      <c r="AI137" t="str" cm="1">
        <f t="array" ref="AI137">_xlfn.LET(
  _xlpm.K, Constantes!$B$3,
  _xlpm.Knewgain, Constantes!$B$4,
  _xlpm.Knewscale, Constantes!$B$5,
  _xlpm.ptstables, INDEX(AI:AI, _xlfn.SEQUENCE(COUNTA($C$2:$C137), 1, 3, 4)),
  _xlpm.nbparties, COUNTA(_xlfn._xlws.FILTER(_xlpm.ptstables, _xlpm.ptstables &lt;&gt; "")),
  _xlpm.coef, _xlpm.K + _xlpm.Knewgain / (_xlpm.Knewscale + _xlpm.nbparties),
  IF(AI135="",
    "",
    _xlpm.coef * (AI135-AI136))
)</f>
        <v/>
      </c>
      <c r="AJ137" t="str" cm="1">
        <f t="array" ref="AJ137">_xlfn.LET(
  _xlpm.K, Constantes!$B$3,
  _xlpm.Knewgain, Constantes!$B$4,
  _xlpm.Knewscale, Constantes!$B$5,
  _xlpm.ptstables, INDEX(AJ:AJ, _xlfn.SEQUENCE(COUNTA($C$2:$C137), 1, 3, 4)),
  _xlpm.nbparties, COUNTA(_xlfn._xlws.FILTER(_xlpm.ptstables, _xlpm.ptstables &lt;&gt; "")),
  _xlpm.coef, _xlpm.K + _xlpm.Knewgain / (_xlpm.Knewscale + _xlpm.nbparties),
  IF(AJ135="",
    "",
    _xlpm.coef * (AJ135-AJ136))
)</f>
        <v/>
      </c>
      <c r="AK137" t="str" cm="1">
        <f t="array" ref="AK137">_xlfn.LET(
  _xlpm.K, Constantes!$B$3,
  _xlpm.Knewgain, Constantes!$B$4,
  _xlpm.Knewscale, Constantes!$B$5,
  _xlpm.ptstables, INDEX(AK:AK, _xlfn.SEQUENCE(COUNTA($C$2:$C137), 1, 3, 4)),
  _xlpm.nbparties, COUNTA(_xlfn._xlws.FILTER(_xlpm.ptstables, _xlpm.ptstables &lt;&gt; "")),
  _xlpm.coef, _xlpm.K + _xlpm.Knewgain / (_xlpm.Knewscale + _xlpm.nbparties),
  IF(AK135="",
    "",
    _xlpm.coef * (AK135-AK136))
)</f>
        <v/>
      </c>
      <c r="AL137" t="str" cm="1">
        <f t="array" ref="AL137">_xlfn.LET(
  _xlpm.K, Constantes!$B$3,
  _xlpm.Knewgain, Constantes!$B$4,
  _xlpm.Knewscale, Constantes!$B$5,
  _xlpm.ptstables, INDEX(AL:AL, _xlfn.SEQUENCE(COUNTA($C$2:$C137), 1, 3, 4)),
  _xlpm.nbparties, COUNTA(_xlfn._xlws.FILTER(_xlpm.ptstables, _xlpm.ptstables &lt;&gt; "")),
  _xlpm.coef, _xlpm.K + _xlpm.Knewgain / (_xlpm.Knewscale + _xlpm.nbparties),
  IF(AL135="",
    "",
    _xlpm.coef * (AL135-AL136))
)</f>
        <v/>
      </c>
      <c r="AM137" t="str" cm="1">
        <f t="array" ref="AM137">_xlfn.LET(
  _xlpm.K, Constantes!$B$3,
  _xlpm.Knewgain, Constantes!$B$4,
  _xlpm.Knewscale, Constantes!$B$5,
  _xlpm.ptstables, INDEX(AM:AM, _xlfn.SEQUENCE(COUNTA($C$2:$C137), 1, 3, 4)),
  _xlpm.nbparties, COUNTA(_xlfn._xlws.FILTER(_xlpm.ptstables, _xlpm.ptstables &lt;&gt; "")),
  _xlpm.coef, _xlpm.K + _xlpm.Knewgain / (_xlpm.Knewscale + _xlpm.nbparties),
  IF(AM135="",
    "",
    _xlpm.coef * (AM135-AM136))
)</f>
        <v/>
      </c>
    </row>
    <row r="138" spans="1:39" x14ac:dyDescent="0.25">
      <c r="A138" t="s">
        <v>14</v>
      </c>
      <c r="B138" t="str" cm="1">
        <f t="array" ref="B13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35</v>
      </c>
      <c r="C138" s="2" cm="1">
        <f t="array" ref="C138">IF(B138="","",
  INDEX(Donnees!F:F, MATCH(B138, Donnees!F:F, 0)+1))</f>
        <v>45925.710659722223</v>
      </c>
      <c r="D138">
        <f t="shared" ref="D138:AM138" si="42">D134+IF(D137="",0,D137)</f>
        <v>1101.1845187776951</v>
      </c>
      <c r="E138">
        <f t="shared" si="42"/>
        <v>1105.3750854597461</v>
      </c>
      <c r="F138">
        <f t="shared" si="42"/>
        <v>858.59197181388743</v>
      </c>
      <c r="G138">
        <f t="shared" si="42"/>
        <v>974.20143793386239</v>
      </c>
      <c r="H138">
        <f t="shared" si="42"/>
        <v>1043.8545020183328</v>
      </c>
      <c r="I138">
        <f t="shared" si="42"/>
        <v>1056.8165036600865</v>
      </c>
      <c r="J138">
        <f t="shared" si="42"/>
        <v>938.49433816478961</v>
      </c>
      <c r="K138">
        <f t="shared" si="42"/>
        <v>907.51653081539087</v>
      </c>
      <c r="L138">
        <f t="shared" si="42"/>
        <v>833.43137648430843</v>
      </c>
      <c r="M138">
        <f t="shared" si="42"/>
        <v>913.41986361738122</v>
      </c>
      <c r="N138">
        <f t="shared" si="42"/>
        <v>924.41787774469185</v>
      </c>
      <c r="O138">
        <f t="shared" si="42"/>
        <v>1005.4306950475848</v>
      </c>
      <c r="P138">
        <f t="shared" si="42"/>
        <v>1015.4353469144262</v>
      </c>
      <c r="Q138">
        <f t="shared" si="42"/>
        <v>1095.3822761627605</v>
      </c>
      <c r="R138">
        <f t="shared" si="42"/>
        <v>1105.0852481437867</v>
      </c>
      <c r="S138">
        <f t="shared" si="42"/>
        <v>941.37032948557328</v>
      </c>
      <c r="T138">
        <f t="shared" si="42"/>
        <v>1135.2782658680615</v>
      </c>
      <c r="U138">
        <f t="shared" si="42"/>
        <v>1103.1884276960209</v>
      </c>
      <c r="V138">
        <f t="shared" si="42"/>
        <v>961.58818235691967</v>
      </c>
      <c r="W138">
        <f t="shared" si="42"/>
        <v>936.79085942937002</v>
      </c>
      <c r="X138">
        <f t="shared" si="42"/>
        <v>830.788580615</v>
      </c>
      <c r="Y138">
        <f t="shared" si="42"/>
        <v>1017.4822717685487</v>
      </c>
      <c r="Z138">
        <f t="shared" si="42"/>
        <v>991.11904139672549</v>
      </c>
      <c r="AA138">
        <f t="shared" si="42"/>
        <v>980.56756855165884</v>
      </c>
      <c r="AB138">
        <f t="shared" si="42"/>
        <v>988.35669729544747</v>
      </c>
      <c r="AC138">
        <f t="shared" si="42"/>
        <v>998.96652664479586</v>
      </c>
      <c r="AD138">
        <f t="shared" si="42"/>
        <v>974.01499999999999</v>
      </c>
      <c r="AE138">
        <f t="shared" si="42"/>
        <v>1011.415</v>
      </c>
      <c r="AF138">
        <f t="shared" si="42"/>
        <v>1031.1199999999999</v>
      </c>
      <c r="AG138">
        <f t="shared" si="42"/>
        <v>1001.0350000000001</v>
      </c>
      <c r="AH138">
        <f t="shared" si="42"/>
        <v>994.44</v>
      </c>
      <c r="AI138">
        <f t="shared" si="42"/>
        <v>1000</v>
      </c>
      <c r="AJ138">
        <f t="shared" si="42"/>
        <v>957.2</v>
      </c>
      <c r="AK138">
        <f t="shared" si="42"/>
        <v>1000</v>
      </c>
      <c r="AL138">
        <f t="shared" si="42"/>
        <v>1055.9299999999998</v>
      </c>
      <c r="AM138">
        <f t="shared" si="42"/>
        <v>1000</v>
      </c>
    </row>
    <row r="139" spans="1:39" x14ac:dyDescent="0.25">
      <c r="A139" t="s">
        <v>21</v>
      </c>
      <c r="D139" t="str" cm="1">
        <f t="array" ref="D139">IFERROR(
  _xlfn.LET(
    _xlpm.ligpartie, MATCH($B138, Donnees!$F:$F, 0),
    _xlpm.joueurs, INDEX(Donnees!$A:$Z, _xlpm.ligpartie+1, _xlfn.SEQUENCE(1, 4, 2)),
    INDEX(
      Donnees!$A:$Z,
      _xlpm.ligpartie + 3,
      MATCH(D$1, _xlpm.joueurs, 0) + 1
    )
  ), ""
)</f>
        <v/>
      </c>
      <c r="E139" t="str" cm="1">
        <f t="array" ref="E139">IFERROR(
  _xlfn.LET(
    _xlpm.ligpartie, MATCH($B138, Donnees!$F:$F, 0),
    _xlpm.joueurs, INDEX(Donnees!$A:$Z, _xlpm.ligpartie+1, _xlfn.SEQUENCE(1, 4, 2)),
    INDEX(
      Donnees!$A:$Z,
      _xlpm.ligpartie + 3,
      MATCH(E$1, _xlpm.joueurs, 0) + 1
    )
  ), ""
)</f>
        <v/>
      </c>
      <c r="F139" cm="1">
        <f t="array" ref="F139">IFERROR(
  _xlfn.LET(
    _xlpm.ligpartie, MATCH($B138, Donnees!$F:$F, 0),
    _xlpm.joueurs, INDEX(Donnees!$A:$Z, _xlpm.ligpartie+1, _xlfn.SEQUENCE(1, 4, 2)),
    INDEX(
      Donnees!$A:$Z,
      _xlpm.ligpartie + 3,
      MATCH(F$1, _xlpm.joueurs, 0) + 1
    )
  ), ""
)</f>
        <v>0</v>
      </c>
      <c r="G139" cm="1">
        <f t="array" ref="G139">IFERROR(
  _xlfn.LET(
    _xlpm.ligpartie, MATCH($B138, Donnees!$F:$F, 0),
    _xlpm.joueurs, INDEX(Donnees!$A:$Z, _xlpm.ligpartie+1, _xlfn.SEQUENCE(1, 4, 2)),
    INDEX(
      Donnees!$A:$Z,
      _xlpm.ligpartie + 3,
      MATCH(G$1, _xlpm.joueurs, 0) + 1
    )
  ), ""
)</f>
        <v>3</v>
      </c>
      <c r="H139" t="str" cm="1">
        <f t="array" ref="H139">IFERROR(
  _xlfn.LET(
    _xlpm.ligpartie, MATCH($B138, Donnees!$F:$F, 0),
    _xlpm.joueurs, INDEX(Donnees!$A:$Z, _xlpm.ligpartie+1, _xlfn.SEQUENCE(1, 4, 2)),
    INDEX(
      Donnees!$A:$Z,
      _xlpm.ligpartie + 3,
      MATCH(H$1, _xlpm.joueurs, 0) + 1
    )
  ), ""
)</f>
        <v/>
      </c>
      <c r="I139" t="str" cm="1">
        <f t="array" ref="I139">IFERROR(
  _xlfn.LET(
    _xlpm.ligpartie, MATCH($B138, Donnees!$F:$F, 0),
    _xlpm.joueurs, INDEX(Donnees!$A:$Z, _xlpm.ligpartie+1, _xlfn.SEQUENCE(1, 4, 2)),
    INDEX(
      Donnees!$A:$Z,
      _xlpm.ligpartie + 3,
      MATCH(I$1, _xlpm.joueurs, 0) + 1
    )
  ), ""
)</f>
        <v/>
      </c>
      <c r="J139" t="str" cm="1">
        <f t="array" ref="J139">IFERROR(
  _xlfn.LET(
    _xlpm.ligpartie, MATCH($B138, Donnees!$F:$F, 0),
    _xlpm.joueurs, INDEX(Donnees!$A:$Z, _xlpm.ligpartie+1, _xlfn.SEQUENCE(1, 4, 2)),
    INDEX(
      Donnees!$A:$Z,
      _xlpm.ligpartie + 3,
      MATCH(J$1, _xlpm.joueurs, 0) + 1
    )
  ), ""
)</f>
        <v/>
      </c>
      <c r="K139" t="str" cm="1">
        <f t="array" ref="K139">IFERROR(
  _xlfn.LET(
    _xlpm.ligpartie, MATCH($B138, Donnees!$F:$F, 0),
    _xlpm.joueurs, INDEX(Donnees!$A:$Z, _xlpm.ligpartie+1, _xlfn.SEQUENCE(1, 4, 2)),
    INDEX(
      Donnees!$A:$Z,
      _xlpm.ligpartie + 3,
      MATCH(K$1, _xlpm.joueurs, 0) + 1
    )
  ), ""
)</f>
        <v/>
      </c>
      <c r="L139" t="str" cm="1">
        <f t="array" ref="L139">IFERROR(
  _xlfn.LET(
    _xlpm.ligpartie, MATCH($B138, Donnees!$F:$F, 0),
    _xlpm.joueurs, INDEX(Donnees!$A:$Z, _xlpm.ligpartie+1, _xlfn.SEQUENCE(1, 4, 2)),
    INDEX(
      Donnees!$A:$Z,
      _xlpm.ligpartie + 3,
      MATCH(L$1, _xlpm.joueurs, 0) + 1
    )
  ), ""
)</f>
        <v/>
      </c>
      <c r="M139" t="str" cm="1">
        <f t="array" ref="M139">IFERROR(
  _xlfn.LET(
    _xlpm.ligpartie, MATCH($B138, Donnees!$F:$F, 0),
    _xlpm.joueurs, INDEX(Donnees!$A:$Z, _xlpm.ligpartie+1, _xlfn.SEQUENCE(1, 4, 2)),
    INDEX(
      Donnees!$A:$Z,
      _xlpm.ligpartie + 3,
      MATCH(M$1, _xlpm.joueurs, 0) + 1
    )
  ), ""
)</f>
        <v/>
      </c>
      <c r="N139" t="str" cm="1">
        <f t="array" ref="N139">IFERROR(
  _xlfn.LET(
    _xlpm.ligpartie, MATCH($B138, Donnees!$F:$F, 0),
    _xlpm.joueurs, INDEX(Donnees!$A:$Z, _xlpm.ligpartie+1, _xlfn.SEQUENCE(1, 4, 2)),
    INDEX(
      Donnees!$A:$Z,
      _xlpm.ligpartie + 3,
      MATCH(N$1, _xlpm.joueurs, 0) + 1
    )
  ), ""
)</f>
        <v/>
      </c>
      <c r="O139" t="str" cm="1">
        <f t="array" ref="O139">IFERROR(
  _xlfn.LET(
    _xlpm.ligpartie, MATCH($B138, Donnees!$F:$F, 0),
    _xlpm.joueurs, INDEX(Donnees!$A:$Z, _xlpm.ligpartie+1, _xlfn.SEQUENCE(1, 4, 2)),
    INDEX(
      Donnees!$A:$Z,
      _xlpm.ligpartie + 3,
      MATCH(O$1, _xlpm.joueurs, 0) + 1
    )
  ), ""
)</f>
        <v/>
      </c>
      <c r="P139" t="str" cm="1">
        <f t="array" ref="P139">IFERROR(
  _xlfn.LET(
    _xlpm.ligpartie, MATCH($B138, Donnees!$F:$F, 0),
    _xlpm.joueurs, INDEX(Donnees!$A:$Z, _xlpm.ligpartie+1, _xlfn.SEQUENCE(1, 4, 2)),
    INDEX(
      Donnees!$A:$Z,
      _xlpm.ligpartie + 3,
      MATCH(P$1, _xlpm.joueurs, 0) + 1
    )
  ), ""
)</f>
        <v/>
      </c>
      <c r="Q139" cm="1">
        <f t="array" ref="Q139">IFERROR(
  _xlfn.LET(
    _xlpm.ligpartie, MATCH($B138, Donnees!$F:$F, 0),
    _xlpm.joueurs, INDEX(Donnees!$A:$Z, _xlpm.ligpartie+1, _xlfn.SEQUENCE(1, 4, 2)),
    INDEX(
      Donnees!$A:$Z,
      _xlpm.ligpartie + 3,
      MATCH(Q$1, _xlpm.joueurs, 0) + 1
    )
  ), ""
)</f>
        <v>2</v>
      </c>
      <c r="R139" t="str" cm="1">
        <f t="array" ref="R139">IFERROR(
  _xlfn.LET(
    _xlpm.ligpartie, MATCH($B138, Donnees!$F:$F, 0),
    _xlpm.joueurs, INDEX(Donnees!$A:$Z, _xlpm.ligpartie+1, _xlfn.SEQUENCE(1, 4, 2)),
    INDEX(
      Donnees!$A:$Z,
      _xlpm.ligpartie + 3,
      MATCH(R$1, _xlpm.joueurs, 0) + 1
    )
  ), ""
)</f>
        <v/>
      </c>
      <c r="S139" t="str" cm="1">
        <f t="array" ref="S139">IFERROR(
  _xlfn.LET(
    _xlpm.ligpartie, MATCH($B138, Donnees!$F:$F, 0),
    _xlpm.joueurs, INDEX(Donnees!$A:$Z, _xlpm.ligpartie+1, _xlfn.SEQUENCE(1, 4, 2)),
    INDEX(
      Donnees!$A:$Z,
      _xlpm.ligpartie + 3,
      MATCH(S$1, _xlpm.joueurs, 0) + 1
    )
  ), ""
)</f>
        <v/>
      </c>
      <c r="T139" t="str" cm="1">
        <f t="array" ref="T139">IFERROR(
  _xlfn.LET(
    _xlpm.ligpartie, MATCH($B138, Donnees!$F:$F, 0),
    _xlpm.joueurs, INDEX(Donnees!$A:$Z, _xlpm.ligpartie+1, _xlfn.SEQUENCE(1, 4, 2)),
    INDEX(
      Donnees!$A:$Z,
      _xlpm.ligpartie + 3,
      MATCH(T$1, _xlpm.joueurs, 0) + 1
    )
  ), ""
)</f>
        <v/>
      </c>
      <c r="U139" cm="1">
        <f t="array" ref="U139">IFERROR(
  _xlfn.LET(
    _xlpm.ligpartie, MATCH($B138, Donnees!$F:$F, 0),
    _xlpm.joueurs, INDEX(Donnees!$A:$Z, _xlpm.ligpartie+1, _xlfn.SEQUENCE(1, 4, 2)),
    INDEX(
      Donnees!$A:$Z,
      _xlpm.ligpartie + 3,
      MATCH(U$1, _xlpm.joueurs, 0) + 1
    )
  ), ""
)</f>
        <v>1</v>
      </c>
      <c r="V139" t="str" cm="1">
        <f t="array" ref="V139">IFERROR(
  _xlfn.LET(
    _xlpm.ligpartie, MATCH($B138, Donnees!$F:$F, 0),
    _xlpm.joueurs, INDEX(Donnees!$A:$Z, _xlpm.ligpartie+1, _xlfn.SEQUENCE(1, 4, 2)),
    INDEX(
      Donnees!$A:$Z,
      _xlpm.ligpartie + 3,
      MATCH(V$1, _xlpm.joueurs, 0) + 1
    )
  ), ""
)</f>
        <v/>
      </c>
      <c r="W139" t="str" cm="1">
        <f t="array" ref="W139">IFERROR(
  _xlfn.LET(
    _xlpm.ligpartie, MATCH($B138, Donnees!$F:$F, 0),
    _xlpm.joueurs, INDEX(Donnees!$A:$Z, _xlpm.ligpartie+1, _xlfn.SEQUENCE(1, 4, 2)),
    INDEX(
      Donnees!$A:$Z,
      _xlpm.ligpartie + 3,
      MATCH(W$1, _xlpm.joueurs, 0) + 1
    )
  ), ""
)</f>
        <v/>
      </c>
      <c r="X139" t="str" cm="1">
        <f t="array" ref="X139">IFERROR(
  _xlfn.LET(
    _xlpm.ligpartie, MATCH($B138, Donnees!$F:$F, 0),
    _xlpm.joueurs, INDEX(Donnees!$A:$Z, _xlpm.ligpartie+1, _xlfn.SEQUENCE(1, 4, 2)),
    INDEX(
      Donnees!$A:$Z,
      _xlpm.ligpartie + 3,
      MATCH(X$1, _xlpm.joueurs, 0) + 1
    )
  ), ""
)</f>
        <v/>
      </c>
      <c r="Y139" t="str" cm="1">
        <f t="array" ref="Y139">IFERROR(
  _xlfn.LET(
    _xlpm.ligpartie, MATCH($B138, Donnees!$F:$F, 0),
    _xlpm.joueurs, INDEX(Donnees!$A:$Z, _xlpm.ligpartie+1, _xlfn.SEQUENCE(1, 4, 2)),
    INDEX(
      Donnees!$A:$Z,
      _xlpm.ligpartie + 3,
      MATCH(Y$1, _xlpm.joueurs, 0) + 1
    )
  ), ""
)</f>
        <v/>
      </c>
      <c r="Z139" t="str" cm="1">
        <f t="array" ref="Z139">IFERROR(
  _xlfn.LET(
    _xlpm.ligpartie, MATCH($B138, Donnees!$F:$F, 0),
    _xlpm.joueurs, INDEX(Donnees!$A:$Z, _xlpm.ligpartie+1, _xlfn.SEQUENCE(1, 4, 2)),
    INDEX(
      Donnees!$A:$Z,
      _xlpm.ligpartie + 3,
      MATCH(Z$1, _xlpm.joueurs, 0) + 1
    )
  ), ""
)</f>
        <v/>
      </c>
      <c r="AA139" t="str" cm="1">
        <f t="array" ref="AA139">IFERROR(
  _xlfn.LET(
    _xlpm.ligpartie, MATCH($B138, Donnees!$F:$F, 0),
    _xlpm.joueurs, INDEX(Donnees!$A:$Z, _xlpm.ligpartie+1, _xlfn.SEQUENCE(1, 4, 2)),
    INDEX(
      Donnees!$A:$Z,
      _xlpm.ligpartie + 3,
      MATCH(AA$1, _xlpm.joueurs, 0) + 1
    )
  ), ""
)</f>
        <v/>
      </c>
      <c r="AB139" t="str" cm="1">
        <f t="array" ref="AB139">IFERROR(
  _xlfn.LET(
    _xlpm.ligpartie, MATCH($B138, Donnees!$F:$F, 0),
    _xlpm.joueurs, INDEX(Donnees!$A:$Z, _xlpm.ligpartie+1, _xlfn.SEQUENCE(1, 4, 2)),
    INDEX(
      Donnees!$A:$Z,
      _xlpm.ligpartie + 3,
      MATCH(AB$1, _xlpm.joueurs, 0) + 1
    )
  ), ""
)</f>
        <v/>
      </c>
      <c r="AC139" t="str" cm="1">
        <f t="array" ref="AC139">IFERROR(
  _xlfn.LET(
    _xlpm.ligpartie, MATCH($B138, Donnees!$F:$F, 0),
    _xlpm.joueurs, INDEX(Donnees!$A:$Z, _xlpm.ligpartie+1, _xlfn.SEQUENCE(1, 4, 2)),
    INDEX(
      Donnees!$A:$Z,
      _xlpm.ligpartie + 3,
      MATCH(AC$1, _xlpm.joueurs, 0) + 1
    )
  ), ""
)</f>
        <v/>
      </c>
      <c r="AD139" t="str" cm="1">
        <f t="array" ref="AD139">IFERROR(
  _xlfn.LET(
    _xlpm.ligpartie, MATCH($B138, Donnees!$F:$F, 0),
    _xlpm.joueurs, INDEX(Donnees!$A:$Z, _xlpm.ligpartie+1, _xlfn.SEQUENCE(1, 4, 2)),
    INDEX(
      Donnees!$A:$Z,
      _xlpm.ligpartie + 3,
      MATCH(AD$1, _xlpm.joueurs, 0) + 1
    )
  ), ""
)</f>
        <v/>
      </c>
      <c r="AE139" t="str" cm="1">
        <f t="array" ref="AE139">IFERROR(
  _xlfn.LET(
    _xlpm.ligpartie, MATCH($B138, Donnees!$F:$F, 0),
    _xlpm.joueurs, INDEX(Donnees!$A:$Z, _xlpm.ligpartie+1, _xlfn.SEQUENCE(1, 4, 2)),
    INDEX(
      Donnees!$A:$Z,
      _xlpm.ligpartie + 3,
      MATCH(AE$1, _xlpm.joueurs, 0) + 1
    )
  ), ""
)</f>
        <v/>
      </c>
      <c r="AF139" t="str" cm="1">
        <f t="array" ref="AF139">IFERROR(
  _xlfn.LET(
    _xlpm.ligpartie, MATCH($B138, Donnees!$F:$F, 0),
    _xlpm.joueurs, INDEX(Donnees!$A:$Z, _xlpm.ligpartie+1, _xlfn.SEQUENCE(1, 4, 2)),
    INDEX(
      Donnees!$A:$Z,
      _xlpm.ligpartie + 3,
      MATCH(AF$1, _xlpm.joueurs, 0) + 1
    )
  ), ""
)</f>
        <v/>
      </c>
      <c r="AG139" t="str" cm="1">
        <f t="array" ref="AG139">IFERROR(
  _xlfn.LET(
    _xlpm.ligpartie, MATCH($B138, Donnees!$F:$F, 0),
    _xlpm.joueurs, INDEX(Donnees!$A:$Z, _xlpm.ligpartie+1, _xlfn.SEQUENCE(1, 4, 2)),
    INDEX(
      Donnees!$A:$Z,
      _xlpm.ligpartie + 3,
      MATCH(AG$1, _xlpm.joueurs, 0) + 1
    )
  ), ""
)</f>
        <v/>
      </c>
      <c r="AH139" t="str" cm="1">
        <f t="array" ref="AH139">IFERROR(
  _xlfn.LET(
    _xlpm.ligpartie, MATCH($B138, Donnees!$F:$F, 0),
    _xlpm.joueurs, INDEX(Donnees!$A:$Z, _xlpm.ligpartie+1, _xlfn.SEQUENCE(1, 4, 2)),
    INDEX(
      Donnees!$A:$Z,
      _xlpm.ligpartie + 3,
      MATCH(AH$1, _xlpm.joueurs, 0) + 1
    )
  ), ""
)</f>
        <v/>
      </c>
      <c r="AI139" t="str" cm="1">
        <f t="array" ref="AI139">IFERROR(
  _xlfn.LET(
    _xlpm.ligpartie, MATCH($B138, Donnees!$F:$F, 0),
    _xlpm.joueurs, INDEX(Donnees!$A:$Z, _xlpm.ligpartie+1, _xlfn.SEQUENCE(1, 4, 2)),
    INDEX(
      Donnees!$A:$Z,
      _xlpm.ligpartie + 3,
      MATCH(AI$1, _xlpm.joueurs, 0) + 1
    )
  ), ""
)</f>
        <v/>
      </c>
      <c r="AJ139" t="str" cm="1">
        <f t="array" ref="AJ139">IFERROR(
  _xlfn.LET(
    _xlpm.ligpartie, MATCH($B138, Donnees!$F:$F, 0),
    _xlpm.joueurs, INDEX(Donnees!$A:$Z, _xlpm.ligpartie+1, _xlfn.SEQUENCE(1, 4, 2)),
    INDEX(
      Donnees!$A:$Z,
      _xlpm.ligpartie + 3,
      MATCH(AJ$1, _xlpm.joueurs, 0) + 1
    )
  ), ""
)</f>
        <v/>
      </c>
      <c r="AK139" t="str" cm="1">
        <f t="array" ref="AK139">IFERROR(
  _xlfn.LET(
    _xlpm.ligpartie, MATCH($B138, Donnees!$F:$F, 0),
    _xlpm.joueurs, INDEX(Donnees!$A:$Z, _xlpm.ligpartie+1, _xlfn.SEQUENCE(1, 4, 2)),
    INDEX(
      Donnees!$A:$Z,
      _xlpm.ligpartie + 3,
      MATCH(AK$1, _xlpm.joueurs, 0) + 1
    )
  ), ""
)</f>
        <v/>
      </c>
      <c r="AL139" t="str" cm="1">
        <f t="array" ref="AL139">IFERROR(
  _xlfn.LET(
    _xlpm.ligpartie, MATCH($B138, Donnees!$F:$F, 0),
    _xlpm.joueurs, INDEX(Donnees!$A:$Z, _xlpm.ligpartie+1, _xlfn.SEQUENCE(1, 4, 2)),
    INDEX(
      Donnees!$A:$Z,
      _xlpm.ligpartie + 3,
      MATCH(AL$1, _xlpm.joueurs, 0) + 1
    )
  ), ""
)</f>
        <v/>
      </c>
      <c r="AM139" t="str" cm="1">
        <f t="array" ref="AM139">IFERROR(
  _xlfn.LET(
    _xlpm.ligpartie, MATCH($B138, Donnees!$F:$F, 0),
    _xlpm.joueurs, INDEX(Donnees!$A:$Z, _xlpm.ligpartie+1, _xlfn.SEQUENCE(1, 4, 2)),
    INDEX(
      Donnees!$A:$Z,
      _xlpm.ligpartie + 3,
      MATCH(AM$1, _xlpm.joueurs, 0) + 1
    )
  ), ""
)</f>
        <v/>
      </c>
    </row>
    <row r="140" spans="1:39" x14ac:dyDescent="0.25">
      <c r="A140" t="s">
        <v>20</v>
      </c>
      <c r="D140" t="str" cm="1">
        <f t="array" ref="D140">_xlfn.LET(
  _xlpm.colj, _xlfn._xlws.FILTER(IF(ISNUMBER(139:139), COLUMN(139:139)), ISNUMBER(139:139)),
  _xlpm.elos, INDEX(138:138,1,_xlpm.colj),
  _xlpm.diffscale, Constantes!$B$2,
  IF(D139="",
    "",
    SUM(1/(1+POWER(10,-(D138-_xlpm.elos)/_xlpm.diffscale)))-0.5)
)</f>
        <v/>
      </c>
      <c r="E140" t="str" cm="1">
        <f t="array" ref="E140">_xlfn.LET(
  _xlpm.colj, _xlfn._xlws.FILTER(IF(ISNUMBER(139:139), COLUMN(139:139)), ISNUMBER(139:139)),
  _xlpm.elos, INDEX(138:138,1,_xlpm.colj),
  _xlpm.diffscale, Constantes!$B$2,
  IF(E139="",
    "",
    SUM(1/(1+POWER(10,-(E138-_xlpm.elos)/_xlpm.diffscale)))-0.5)
)</f>
        <v/>
      </c>
      <c r="F140" cm="1">
        <f t="array" ref="F140">_xlfn.LET(
  _xlpm.colj, _xlfn._xlws.FILTER(IF(ISNUMBER(139:139), COLUMN(139:139)), ISNUMBER(139:139)),
  _xlpm.elos, INDEX(138:138,1,_xlpm.colj),
  _xlpm.diffscale, Constantes!$B$2,
  IF(F139="",
    "",
    SUM(1/(1+POWER(10,-(F138-_xlpm.elos)/_xlpm.diffscale)))-0.5)
)</f>
        <v>0.73979396280007426</v>
      </c>
      <c r="G140" cm="1">
        <f t="array" ref="G140">_xlfn.LET(
  _xlpm.colj, _xlfn._xlws.FILTER(IF(ISNUMBER(139:139), COLUMN(139:139)), ISNUMBER(139:139)),
  _xlpm.elos, INDEX(138:138,1,_xlpm.colj),
  _xlpm.diffscale, Constantes!$B$2,
  IF(G139="",
    "",
    SUM(1/(1+POWER(10,-(G138-_xlpm.elos)/_xlpm.diffscale)))-0.5)
)</f>
        <v>1.3153014890480299</v>
      </c>
      <c r="H140" t="str" cm="1">
        <f t="array" ref="H140">_xlfn.LET(
  _xlpm.colj, _xlfn._xlws.FILTER(IF(ISNUMBER(139:139), COLUMN(139:139)), ISNUMBER(139:139)),
  _xlpm.elos, INDEX(138:138,1,_xlpm.colj),
  _xlpm.diffscale, Constantes!$B$2,
  IF(H139="",
    "",
    SUM(1/(1+POWER(10,-(H138-_xlpm.elos)/_xlpm.diffscale)))-0.5)
)</f>
        <v/>
      </c>
      <c r="I140" t="str" cm="1">
        <f t="array" ref="I140">_xlfn.LET(
  _xlpm.colj, _xlfn._xlws.FILTER(IF(ISNUMBER(139:139), COLUMN(139:139)), ISNUMBER(139:139)),
  _xlpm.elos, INDEX(138:138,1,_xlpm.colj),
  _xlpm.diffscale, Constantes!$B$2,
  IF(I139="",
    "",
    SUM(1/(1+POWER(10,-(I138-_xlpm.elos)/_xlpm.diffscale)))-0.5)
)</f>
        <v/>
      </c>
      <c r="J140" t="str" cm="1">
        <f t="array" ref="J140">_xlfn.LET(
  _xlpm.colj, _xlfn._xlws.FILTER(IF(ISNUMBER(139:139), COLUMN(139:139)), ISNUMBER(139:139)),
  _xlpm.elos, INDEX(138:138,1,_xlpm.colj),
  _xlpm.diffscale, Constantes!$B$2,
  IF(J139="",
    "",
    SUM(1/(1+POWER(10,-(J138-_xlpm.elos)/_xlpm.diffscale)))-0.5)
)</f>
        <v/>
      </c>
      <c r="K140" t="str" cm="1">
        <f t="array" ref="K140">_xlfn.LET(
  _xlpm.colj, _xlfn._xlws.FILTER(IF(ISNUMBER(139:139), COLUMN(139:139)), ISNUMBER(139:139)),
  _xlpm.elos, INDEX(138:138,1,_xlpm.colj),
  _xlpm.diffscale, Constantes!$B$2,
  IF(K139="",
    "",
    SUM(1/(1+POWER(10,-(K138-_xlpm.elos)/_xlpm.diffscale)))-0.5)
)</f>
        <v/>
      </c>
      <c r="L140" t="str" cm="1">
        <f t="array" ref="L140">_xlfn.LET(
  _xlpm.colj, _xlfn._xlws.FILTER(IF(ISNUMBER(139:139), COLUMN(139:139)), ISNUMBER(139:139)),
  _xlpm.elos, INDEX(138:138,1,_xlpm.colj),
  _xlpm.diffscale, Constantes!$B$2,
  IF(L139="",
    "",
    SUM(1/(1+POWER(10,-(L138-_xlpm.elos)/_xlpm.diffscale)))-0.5)
)</f>
        <v/>
      </c>
      <c r="M140" t="str" cm="1">
        <f t="array" ref="M140">_xlfn.LET(
  _xlpm.colj, _xlfn._xlws.FILTER(IF(ISNUMBER(139:139), COLUMN(139:139)), ISNUMBER(139:139)),
  _xlpm.elos, INDEX(138:138,1,_xlpm.colj),
  _xlpm.diffscale, Constantes!$B$2,
  IF(M139="",
    "",
    SUM(1/(1+POWER(10,-(M138-_xlpm.elos)/_xlpm.diffscale)))-0.5)
)</f>
        <v/>
      </c>
      <c r="N140" t="str" cm="1">
        <f t="array" ref="N140">_xlfn.LET(
  _xlpm.colj, _xlfn._xlws.FILTER(IF(ISNUMBER(139:139), COLUMN(139:139)), ISNUMBER(139:139)),
  _xlpm.elos, INDEX(138:138,1,_xlpm.colj),
  _xlpm.diffscale, Constantes!$B$2,
  IF(N139="",
    "",
    SUM(1/(1+POWER(10,-(N138-_xlpm.elos)/_xlpm.diffscale)))-0.5)
)</f>
        <v/>
      </c>
      <c r="O140" t="str" cm="1">
        <f t="array" ref="O140">_xlfn.LET(
  _xlpm.colj, _xlfn._xlws.FILTER(IF(ISNUMBER(139:139), COLUMN(139:139)), ISNUMBER(139:139)),
  _xlpm.elos, INDEX(138:138,1,_xlpm.colj),
  _xlpm.diffscale, Constantes!$B$2,
  IF(O139="",
    "",
    SUM(1/(1+POWER(10,-(O138-_xlpm.elos)/_xlpm.diffscale)))-0.5)
)</f>
        <v/>
      </c>
      <c r="P140" t="str" cm="1">
        <f t="array" ref="P140">_xlfn.LET(
  _xlpm.colj, _xlfn._xlws.FILTER(IF(ISNUMBER(139:139), COLUMN(139:139)), ISNUMBER(139:139)),
  _xlpm.elos, INDEX(138:138,1,_xlpm.colj),
  _xlpm.diffscale, Constantes!$B$2,
  IF(P139="",
    "",
    SUM(1/(1+POWER(10,-(P138-_xlpm.elos)/_xlpm.diffscale)))-0.5)
)</f>
        <v/>
      </c>
      <c r="Q140" cm="1">
        <f t="array" ref="Q140">_xlfn.LET(
  _xlpm.colj, _xlfn._xlws.FILTER(IF(ISNUMBER(139:139), COLUMN(139:139)), ISNUMBER(139:139)),
  _xlpm.elos, INDEX(138:138,1,_xlpm.colj),
  _xlpm.diffscale, Constantes!$B$2,
  IF(Q139="",
    "",
    SUM(1/(1+POWER(10,-(Q138-_xlpm.elos)/_xlpm.diffscale)))-0.5)
)</f>
        <v>1.9526763260682589</v>
      </c>
      <c r="R140" t="str" cm="1">
        <f t="array" ref="R140">_xlfn.LET(
  _xlpm.colj, _xlfn._xlws.FILTER(IF(ISNUMBER(139:139), COLUMN(139:139)), ISNUMBER(139:139)),
  _xlpm.elos, INDEX(138:138,1,_xlpm.colj),
  _xlpm.diffscale, Constantes!$B$2,
  IF(R139="",
    "",
    SUM(1/(1+POWER(10,-(R138-_xlpm.elos)/_xlpm.diffscale)))-0.5)
)</f>
        <v/>
      </c>
      <c r="S140" t="str" cm="1">
        <f t="array" ref="S140">_xlfn.LET(
  _xlpm.colj, _xlfn._xlws.FILTER(IF(ISNUMBER(139:139), COLUMN(139:139)), ISNUMBER(139:139)),
  _xlpm.elos, INDEX(138:138,1,_xlpm.colj),
  _xlpm.diffscale, Constantes!$B$2,
  IF(S139="",
    "",
    SUM(1/(1+POWER(10,-(S138-_xlpm.elos)/_xlpm.diffscale)))-0.5)
)</f>
        <v/>
      </c>
      <c r="T140" t="str" cm="1">
        <f t="array" ref="T140">_xlfn.LET(
  _xlpm.colj, _xlfn._xlws.FILTER(IF(ISNUMBER(139:139), COLUMN(139:139)), ISNUMBER(139:139)),
  _xlpm.elos, INDEX(138:138,1,_xlpm.colj),
  _xlpm.diffscale, Constantes!$B$2,
  IF(T139="",
    "",
    SUM(1/(1+POWER(10,-(T138-_xlpm.elos)/_xlpm.diffscale)))-0.5)
)</f>
        <v/>
      </c>
      <c r="U140" cm="1">
        <f t="array" ref="U140">_xlfn.LET(
  _xlpm.colj, _xlfn._xlws.FILTER(IF(ISNUMBER(139:139), COLUMN(139:139)), ISNUMBER(139:139)),
  _xlpm.elos, INDEX(138:138,1,_xlpm.colj),
  _xlpm.diffscale, Constantes!$B$2,
  IF(U139="",
    "",
    SUM(1/(1+POWER(10,-(U138-_xlpm.elos)/_xlpm.diffscale)))-0.5)
)</f>
        <v>1.9922282220836367</v>
      </c>
      <c r="V140" t="str" cm="1">
        <f t="array" ref="V140">_xlfn.LET(
  _xlpm.colj, _xlfn._xlws.FILTER(IF(ISNUMBER(139:139), COLUMN(139:139)), ISNUMBER(139:139)),
  _xlpm.elos, INDEX(138:138,1,_xlpm.colj),
  _xlpm.diffscale, Constantes!$B$2,
  IF(V139="",
    "",
    SUM(1/(1+POWER(10,-(V138-_xlpm.elos)/_xlpm.diffscale)))-0.5)
)</f>
        <v/>
      </c>
      <c r="W140" t="str" cm="1">
        <f t="array" ref="W140">_xlfn.LET(
  _xlpm.colj, _xlfn._xlws.FILTER(IF(ISNUMBER(139:139), COLUMN(139:139)), ISNUMBER(139:139)),
  _xlpm.elos, INDEX(138:138,1,_xlpm.colj),
  _xlpm.diffscale, Constantes!$B$2,
  IF(W139="",
    "",
    SUM(1/(1+POWER(10,-(W138-_xlpm.elos)/_xlpm.diffscale)))-0.5)
)</f>
        <v/>
      </c>
      <c r="X140" t="str" cm="1">
        <f t="array" ref="X140">_xlfn.LET(
  _xlpm.colj, _xlfn._xlws.FILTER(IF(ISNUMBER(139:139), COLUMN(139:139)), ISNUMBER(139:139)),
  _xlpm.elos, INDEX(138:138,1,_xlpm.colj),
  _xlpm.diffscale, Constantes!$B$2,
  IF(X139="",
    "",
    SUM(1/(1+POWER(10,-(X138-_xlpm.elos)/_xlpm.diffscale)))-0.5)
)</f>
        <v/>
      </c>
      <c r="Y140" t="str" cm="1">
        <f t="array" ref="Y140">_xlfn.LET(
  _xlpm.colj, _xlfn._xlws.FILTER(IF(ISNUMBER(139:139), COLUMN(139:139)), ISNUMBER(139:139)),
  _xlpm.elos, INDEX(138:138,1,_xlpm.colj),
  _xlpm.diffscale, Constantes!$B$2,
  IF(Y139="",
    "",
    SUM(1/(1+POWER(10,-(Y138-_xlpm.elos)/_xlpm.diffscale)))-0.5)
)</f>
        <v/>
      </c>
      <c r="Z140" t="str" cm="1">
        <f t="array" ref="Z140">_xlfn.LET(
  _xlpm.colj, _xlfn._xlws.FILTER(IF(ISNUMBER(139:139), COLUMN(139:139)), ISNUMBER(139:139)),
  _xlpm.elos, INDEX(138:138,1,_xlpm.colj),
  _xlpm.diffscale, Constantes!$B$2,
  IF(Z139="",
    "",
    SUM(1/(1+POWER(10,-(Z138-_xlpm.elos)/_xlpm.diffscale)))-0.5)
)</f>
        <v/>
      </c>
      <c r="AA140" t="str" cm="1">
        <f t="array" ref="AA140">_xlfn.LET(
  _xlpm.colj, _xlfn._xlws.FILTER(IF(ISNUMBER(139:139), COLUMN(139:139)), ISNUMBER(139:139)),
  _xlpm.elos, INDEX(138:138,1,_xlpm.colj),
  _xlpm.diffscale, Constantes!$B$2,
  IF(AA139="",
    "",
    SUM(1/(1+POWER(10,-(AA138-_xlpm.elos)/_xlpm.diffscale)))-0.5)
)</f>
        <v/>
      </c>
      <c r="AB140" t="str" cm="1">
        <f t="array" ref="AB140">_xlfn.LET(
  _xlpm.colj, _xlfn._xlws.FILTER(IF(ISNUMBER(139:139), COLUMN(139:139)), ISNUMBER(139:139)),
  _xlpm.elos, INDEX(138:138,1,_xlpm.colj),
  _xlpm.diffscale, Constantes!$B$2,
  IF(AB139="",
    "",
    SUM(1/(1+POWER(10,-(AB138-_xlpm.elos)/_xlpm.diffscale)))-0.5)
)</f>
        <v/>
      </c>
      <c r="AC140" t="str" cm="1">
        <f t="array" ref="AC140">_xlfn.LET(
  _xlpm.colj, _xlfn._xlws.FILTER(IF(ISNUMBER(139:139), COLUMN(139:139)), ISNUMBER(139:139)),
  _xlpm.elos, INDEX(138:138,1,_xlpm.colj),
  _xlpm.diffscale, Constantes!$B$2,
  IF(AC139="",
    "",
    SUM(1/(1+POWER(10,-(AC138-_xlpm.elos)/_xlpm.diffscale)))-0.5)
)</f>
        <v/>
      </c>
      <c r="AD140" t="str" cm="1">
        <f t="array" ref="AD140">_xlfn.LET(
  _xlpm.colj, _xlfn._xlws.FILTER(IF(ISNUMBER(139:139), COLUMN(139:139)), ISNUMBER(139:139)),
  _xlpm.elos, INDEX(138:138,1,_xlpm.colj),
  _xlpm.diffscale, Constantes!$B$2,
  IF(AD139="",
    "",
    SUM(1/(1+POWER(10,-(AD138-_xlpm.elos)/_xlpm.diffscale)))-0.5)
)</f>
        <v/>
      </c>
      <c r="AE140" t="str" cm="1">
        <f t="array" ref="AE140">_xlfn.LET(
  _xlpm.colj, _xlfn._xlws.FILTER(IF(ISNUMBER(139:139), COLUMN(139:139)), ISNUMBER(139:139)),
  _xlpm.elos, INDEX(138:138,1,_xlpm.colj),
  _xlpm.diffscale, Constantes!$B$2,
  IF(AE139="",
    "",
    SUM(1/(1+POWER(10,-(AE138-_xlpm.elos)/_xlpm.diffscale)))-0.5)
)</f>
        <v/>
      </c>
      <c r="AF140" t="str" cm="1">
        <f t="array" ref="AF140">_xlfn.LET(
  _xlpm.colj, _xlfn._xlws.FILTER(IF(ISNUMBER(139:139), COLUMN(139:139)), ISNUMBER(139:139)),
  _xlpm.elos, INDEX(138:138,1,_xlpm.colj),
  _xlpm.diffscale, Constantes!$B$2,
  IF(AF139="",
    "",
    SUM(1/(1+POWER(10,-(AF138-_xlpm.elos)/_xlpm.diffscale)))-0.5)
)</f>
        <v/>
      </c>
      <c r="AG140" t="str" cm="1">
        <f t="array" ref="AG140">_xlfn.LET(
  _xlpm.colj, _xlfn._xlws.FILTER(IF(ISNUMBER(139:139), COLUMN(139:139)), ISNUMBER(139:139)),
  _xlpm.elos, INDEX(138:138,1,_xlpm.colj),
  _xlpm.diffscale, Constantes!$B$2,
  IF(AG139="",
    "",
    SUM(1/(1+POWER(10,-(AG138-_xlpm.elos)/_xlpm.diffscale)))-0.5)
)</f>
        <v/>
      </c>
      <c r="AH140" t="str" cm="1">
        <f t="array" ref="AH140">_xlfn.LET(
  _xlpm.colj, _xlfn._xlws.FILTER(IF(ISNUMBER(139:139), COLUMN(139:139)), ISNUMBER(139:139)),
  _xlpm.elos, INDEX(138:138,1,_xlpm.colj),
  _xlpm.diffscale, Constantes!$B$2,
  IF(AH139="",
    "",
    SUM(1/(1+POWER(10,-(AH138-_xlpm.elos)/_xlpm.diffscale)))-0.5)
)</f>
        <v/>
      </c>
      <c r="AI140" t="str" cm="1">
        <f t="array" ref="AI140">_xlfn.LET(
  _xlpm.colj, _xlfn._xlws.FILTER(IF(ISNUMBER(139:139), COLUMN(139:139)), ISNUMBER(139:139)),
  _xlpm.elos, INDEX(138:138,1,_xlpm.colj),
  _xlpm.diffscale, Constantes!$B$2,
  IF(AI139="",
    "",
    SUM(1/(1+POWER(10,-(AI138-_xlpm.elos)/_xlpm.diffscale)))-0.5)
)</f>
        <v/>
      </c>
      <c r="AJ140" t="str" cm="1">
        <f t="array" ref="AJ140">_xlfn.LET(
  _xlpm.colj, _xlfn._xlws.FILTER(IF(ISNUMBER(139:139), COLUMN(139:139)), ISNUMBER(139:139)),
  _xlpm.elos, INDEX(138:138,1,_xlpm.colj),
  _xlpm.diffscale, Constantes!$B$2,
  IF(AJ139="",
    "",
    SUM(1/(1+POWER(10,-(AJ138-_xlpm.elos)/_xlpm.diffscale)))-0.5)
)</f>
        <v/>
      </c>
      <c r="AK140" t="str" cm="1">
        <f t="array" ref="AK140">_xlfn.LET(
  _xlpm.colj, _xlfn._xlws.FILTER(IF(ISNUMBER(139:139), COLUMN(139:139)), ISNUMBER(139:139)),
  _xlpm.elos, INDEX(138:138,1,_xlpm.colj),
  _xlpm.diffscale, Constantes!$B$2,
  IF(AK139="",
    "",
    SUM(1/(1+POWER(10,-(AK138-_xlpm.elos)/_xlpm.diffscale)))-0.5)
)</f>
        <v/>
      </c>
      <c r="AL140" t="str" cm="1">
        <f t="array" ref="AL140">_xlfn.LET(
  _xlpm.colj, _xlfn._xlws.FILTER(IF(ISNUMBER(139:139), COLUMN(139:139)), ISNUMBER(139:139)),
  _xlpm.elos, INDEX(138:138,1,_xlpm.colj),
  _xlpm.diffscale, Constantes!$B$2,
  IF(AL139="",
    "",
    SUM(1/(1+POWER(10,-(AL138-_xlpm.elos)/_xlpm.diffscale)))-0.5)
)</f>
        <v/>
      </c>
      <c r="AM140" t="str" cm="1">
        <f t="array" ref="AM140">_xlfn.LET(
  _xlpm.colj, _xlfn._xlws.FILTER(IF(ISNUMBER(139:139), COLUMN(139:139)), ISNUMBER(139:139)),
  _xlpm.elos, INDEX(138:138,1,_xlpm.colj),
  _xlpm.diffscale, Constantes!$B$2,
  IF(AM139="",
    "",
    SUM(1/(1+POWER(10,-(AM138-_xlpm.elos)/_xlpm.diffscale)))-0.5)
)</f>
        <v/>
      </c>
    </row>
    <row r="141" spans="1:39" x14ac:dyDescent="0.25">
      <c r="A141" t="s">
        <v>22</v>
      </c>
      <c r="D141" t="str" cm="1">
        <f t="array" ref="D141">_xlfn.LET(
  _xlpm.K, Constantes!$B$3,
  _xlpm.Knewgain, Constantes!$B$4,
  _xlpm.Knewscale, Constantes!$B$5,
  _xlpm.ptstables, INDEX(D:D, _xlfn.SEQUENCE(COUNTA($C$2:$C141), 1, 3, 4)),
  _xlpm.nbparties, COUNTA(_xlfn._xlws.FILTER(_xlpm.ptstables, _xlpm.ptstables &lt;&gt; "")),
  _xlpm.coef, _xlpm.K + _xlpm.Knewgain / (_xlpm.Knewscale + _xlpm.nbparties),
  IF(D139="",
    "",
    _xlpm.coef * (D139-D140))
)</f>
        <v/>
      </c>
      <c r="E141" t="str" cm="1">
        <f t="array" ref="E141">_xlfn.LET(
  _xlpm.K, Constantes!$B$3,
  _xlpm.Knewgain, Constantes!$B$4,
  _xlpm.Knewscale, Constantes!$B$5,
  _xlpm.ptstables, INDEX(E:E, _xlfn.SEQUENCE(COUNTA($C$2:$C141), 1, 3, 4)),
  _xlpm.nbparties, COUNTA(_xlfn._xlws.FILTER(_xlpm.ptstables, _xlpm.ptstables &lt;&gt; "")),
  _xlpm.coef, _xlpm.K + _xlpm.Knewgain / (_xlpm.Knewscale + _xlpm.nbparties),
  IF(E139="",
    "",
    _xlpm.coef * (E139-E140))
)</f>
        <v/>
      </c>
      <c r="F141" cm="1">
        <f t="array" ref="F141">_xlfn.LET(
  _xlpm.K, Constantes!$B$3,
  _xlpm.Knewgain, Constantes!$B$4,
  _xlpm.Knewscale, Constantes!$B$5,
  _xlpm.ptstables, INDEX(F:F, _xlfn.SEQUENCE(COUNTA($C$2:$C141), 1, 3, 4)),
  _xlpm.nbparties, COUNTA(_xlfn._xlws.FILTER(_xlpm.ptstables, _xlpm.ptstables &lt;&gt; "")),
  _xlpm.coef, _xlpm.K + _xlpm.Knewgain / (_xlpm.Knewscale + _xlpm.nbparties),
  IF(F139="",
    "",
    _xlpm.coef * (F139-F140))
)</f>
        <v>-17.878354101001797</v>
      </c>
      <c r="G141" cm="1">
        <f t="array" ref="G141">_xlfn.LET(
  _xlpm.K, Constantes!$B$3,
  _xlpm.Knewgain, Constantes!$B$4,
  _xlpm.Knewscale, Constantes!$B$5,
  _xlpm.ptstables, INDEX(G:G, _xlfn.SEQUENCE(COUNTA($C$2:$C141), 1, 3, 4)),
  _xlpm.nbparties, COUNTA(_xlfn._xlws.FILTER(_xlpm.ptstables, _xlpm.ptstables &lt;&gt; "")),
  _xlpm.coef, _xlpm.K + _xlpm.Knewgain / (_xlpm.Knewscale + _xlpm.nbparties),
  IF(G139="",
    "",
    _xlpm.coef * (G139-G140))
)</f>
        <v>39.309631922212631</v>
      </c>
      <c r="H141" t="str" cm="1">
        <f t="array" ref="H141">_xlfn.LET(
  _xlpm.K, Constantes!$B$3,
  _xlpm.Knewgain, Constantes!$B$4,
  _xlpm.Knewscale, Constantes!$B$5,
  _xlpm.ptstables, INDEX(H:H, _xlfn.SEQUENCE(COUNTA($C$2:$C141), 1, 3, 4)),
  _xlpm.nbparties, COUNTA(_xlfn._xlws.FILTER(_xlpm.ptstables, _xlpm.ptstables &lt;&gt; "")),
  _xlpm.coef, _xlpm.K + _xlpm.Knewgain / (_xlpm.Knewscale + _xlpm.nbparties),
  IF(H139="",
    "",
    _xlpm.coef * (H139-H140))
)</f>
        <v/>
      </c>
      <c r="I141" t="str" cm="1">
        <f t="array" ref="I141">_xlfn.LET(
  _xlpm.K, Constantes!$B$3,
  _xlpm.Knewgain, Constantes!$B$4,
  _xlpm.Knewscale, Constantes!$B$5,
  _xlpm.ptstables, INDEX(I:I, _xlfn.SEQUENCE(COUNTA($C$2:$C141), 1, 3, 4)),
  _xlpm.nbparties, COUNTA(_xlfn._xlws.FILTER(_xlpm.ptstables, _xlpm.ptstables &lt;&gt; "")),
  _xlpm.coef, _xlpm.K + _xlpm.Knewgain / (_xlpm.Knewscale + _xlpm.nbparties),
  IF(I139="",
    "",
    _xlpm.coef * (I139-I140))
)</f>
        <v/>
      </c>
      <c r="J141" t="str" cm="1">
        <f t="array" ref="J141">_xlfn.LET(
  _xlpm.K, Constantes!$B$3,
  _xlpm.Knewgain, Constantes!$B$4,
  _xlpm.Knewscale, Constantes!$B$5,
  _xlpm.ptstables, INDEX(J:J, _xlfn.SEQUENCE(COUNTA($C$2:$C141), 1, 3, 4)),
  _xlpm.nbparties, COUNTA(_xlfn._xlws.FILTER(_xlpm.ptstables, _xlpm.ptstables &lt;&gt; "")),
  _xlpm.coef, _xlpm.K + _xlpm.Knewgain / (_xlpm.Knewscale + _xlpm.nbparties),
  IF(J139="",
    "",
    _xlpm.coef * (J139-J140))
)</f>
        <v/>
      </c>
      <c r="K141" t="str" cm="1">
        <f t="array" ref="K141">_xlfn.LET(
  _xlpm.K, Constantes!$B$3,
  _xlpm.Knewgain, Constantes!$B$4,
  _xlpm.Knewscale, Constantes!$B$5,
  _xlpm.ptstables, INDEX(K:K, _xlfn.SEQUENCE(COUNTA($C$2:$C141), 1, 3, 4)),
  _xlpm.nbparties, COUNTA(_xlfn._xlws.FILTER(_xlpm.ptstables, _xlpm.ptstables &lt;&gt; "")),
  _xlpm.coef, _xlpm.K + _xlpm.Knewgain / (_xlpm.Knewscale + _xlpm.nbparties),
  IF(K139="",
    "",
    _xlpm.coef * (K139-K140))
)</f>
        <v/>
      </c>
      <c r="L141" t="str" cm="1">
        <f t="array" ref="L141">_xlfn.LET(
  _xlpm.K, Constantes!$B$3,
  _xlpm.Knewgain, Constantes!$B$4,
  _xlpm.Knewscale, Constantes!$B$5,
  _xlpm.ptstables, INDEX(L:L, _xlfn.SEQUENCE(COUNTA($C$2:$C141), 1, 3, 4)),
  _xlpm.nbparties, COUNTA(_xlfn._xlws.FILTER(_xlpm.ptstables, _xlpm.ptstables &lt;&gt; "")),
  _xlpm.coef, _xlpm.K + _xlpm.Knewgain / (_xlpm.Knewscale + _xlpm.nbparties),
  IF(L139="",
    "",
    _xlpm.coef * (L139-L140))
)</f>
        <v/>
      </c>
      <c r="M141" t="str" cm="1">
        <f t="array" ref="M141">_xlfn.LET(
  _xlpm.K, Constantes!$B$3,
  _xlpm.Knewgain, Constantes!$B$4,
  _xlpm.Knewscale, Constantes!$B$5,
  _xlpm.ptstables, INDEX(M:M, _xlfn.SEQUENCE(COUNTA($C$2:$C141), 1, 3, 4)),
  _xlpm.nbparties, COUNTA(_xlfn._xlws.FILTER(_xlpm.ptstables, _xlpm.ptstables &lt;&gt; "")),
  _xlpm.coef, _xlpm.K + _xlpm.Knewgain / (_xlpm.Knewscale + _xlpm.nbparties),
  IF(M139="",
    "",
    _xlpm.coef * (M139-M140))
)</f>
        <v/>
      </c>
      <c r="N141" t="str" cm="1">
        <f t="array" ref="N141">_xlfn.LET(
  _xlpm.K, Constantes!$B$3,
  _xlpm.Knewgain, Constantes!$B$4,
  _xlpm.Knewscale, Constantes!$B$5,
  _xlpm.ptstables, INDEX(N:N, _xlfn.SEQUENCE(COUNTA($C$2:$C141), 1, 3, 4)),
  _xlpm.nbparties, COUNTA(_xlfn._xlws.FILTER(_xlpm.ptstables, _xlpm.ptstables &lt;&gt; "")),
  _xlpm.coef, _xlpm.K + _xlpm.Knewgain / (_xlpm.Knewscale + _xlpm.nbparties),
  IF(N139="",
    "",
    _xlpm.coef * (N139-N140))
)</f>
        <v/>
      </c>
      <c r="O141" t="str" cm="1">
        <f t="array" ref="O141">_xlfn.LET(
  _xlpm.K, Constantes!$B$3,
  _xlpm.Knewgain, Constantes!$B$4,
  _xlpm.Knewscale, Constantes!$B$5,
  _xlpm.ptstables, INDEX(O:O, _xlfn.SEQUENCE(COUNTA($C$2:$C141), 1, 3, 4)),
  _xlpm.nbparties, COUNTA(_xlfn._xlws.FILTER(_xlpm.ptstables, _xlpm.ptstables &lt;&gt; "")),
  _xlpm.coef, _xlpm.K + _xlpm.Knewgain / (_xlpm.Knewscale + _xlpm.nbparties),
  IF(O139="",
    "",
    _xlpm.coef * (O139-O140))
)</f>
        <v/>
      </c>
      <c r="P141" t="str" cm="1">
        <f t="array" ref="P141">_xlfn.LET(
  _xlpm.K, Constantes!$B$3,
  _xlpm.Knewgain, Constantes!$B$4,
  _xlpm.Knewscale, Constantes!$B$5,
  _xlpm.ptstables, INDEX(P:P, _xlfn.SEQUENCE(COUNTA($C$2:$C141), 1, 3, 4)),
  _xlpm.nbparties, COUNTA(_xlfn._xlws.FILTER(_xlpm.ptstables, _xlpm.ptstables &lt;&gt; "")),
  _xlpm.coef, _xlpm.K + _xlpm.Knewgain / (_xlpm.Knewscale + _xlpm.nbparties),
  IF(P139="",
    "",
    _xlpm.coef * (P139-P140))
)</f>
        <v/>
      </c>
      <c r="Q141" cm="1">
        <f t="array" ref="Q141">_xlfn.LET(
  _xlpm.K, Constantes!$B$3,
  _xlpm.Knewgain, Constantes!$B$4,
  _xlpm.Knewscale, Constantes!$B$5,
  _xlpm.ptstables, INDEX(Q:Q, _xlfn.SEQUENCE(COUNTA($C$2:$C141), 1, 3, 4)),
  _xlpm.nbparties, COUNTA(_xlfn._xlws.FILTER(_xlpm.ptstables, _xlpm.ptstables &lt;&gt; "")),
  _xlpm.coef, _xlpm.K + _xlpm.Knewgain / (_xlpm.Knewscale + _xlpm.nbparties),
  IF(Q139="",
    "",
    _xlpm.coef * (Q139-Q140))
)</f>
        <v>1.2422464407082034</v>
      </c>
      <c r="R141" t="str" cm="1">
        <f t="array" ref="R141">_xlfn.LET(
  _xlpm.K, Constantes!$B$3,
  _xlpm.Knewgain, Constantes!$B$4,
  _xlpm.Knewscale, Constantes!$B$5,
  _xlpm.ptstables, INDEX(R:R, _xlfn.SEQUENCE(COUNTA($C$2:$C141), 1, 3, 4)),
  _xlpm.nbparties, COUNTA(_xlfn._xlws.FILTER(_xlpm.ptstables, _xlpm.ptstables &lt;&gt; "")),
  _xlpm.coef, _xlpm.K + _xlpm.Knewgain / (_xlpm.Knewscale + _xlpm.nbparties),
  IF(R139="",
    "",
    _xlpm.coef * (R139-R140))
)</f>
        <v/>
      </c>
      <c r="S141" t="str" cm="1">
        <f t="array" ref="S141">_xlfn.LET(
  _xlpm.K, Constantes!$B$3,
  _xlpm.Knewgain, Constantes!$B$4,
  _xlpm.Knewscale, Constantes!$B$5,
  _xlpm.ptstables, INDEX(S:S, _xlfn.SEQUENCE(COUNTA($C$2:$C141), 1, 3, 4)),
  _xlpm.nbparties, COUNTA(_xlfn._xlws.FILTER(_xlpm.ptstables, _xlpm.ptstables &lt;&gt; "")),
  _xlpm.coef, _xlpm.K + _xlpm.Knewgain / (_xlpm.Knewscale + _xlpm.nbparties),
  IF(S139="",
    "",
    _xlpm.coef * (S139-S140))
)</f>
        <v/>
      </c>
      <c r="T141" t="str" cm="1">
        <f t="array" ref="T141">_xlfn.LET(
  _xlpm.K, Constantes!$B$3,
  _xlpm.Knewgain, Constantes!$B$4,
  _xlpm.Knewscale, Constantes!$B$5,
  _xlpm.ptstables, INDEX(T:T, _xlfn.SEQUENCE(COUNTA($C$2:$C141), 1, 3, 4)),
  _xlpm.nbparties, COUNTA(_xlfn._xlws.FILTER(_xlpm.ptstables, _xlpm.ptstables &lt;&gt; "")),
  _xlpm.coef, _xlpm.K + _xlpm.Knewgain / (_xlpm.Knewscale + _xlpm.nbparties),
  IF(T139="",
    "",
    _xlpm.coef * (T139-T140))
)</f>
        <v/>
      </c>
      <c r="U141" cm="1">
        <f t="array" ref="U141">_xlfn.LET(
  _xlpm.K, Constantes!$B$3,
  _xlpm.Knewgain, Constantes!$B$4,
  _xlpm.Knewscale, Constantes!$B$5,
  _xlpm.ptstables, INDEX(U:U, _xlfn.SEQUENCE(COUNTA($C$2:$C141), 1, 3, 4)),
  _xlpm.nbparties, COUNTA(_xlfn._xlws.FILTER(_xlpm.ptstables, _xlpm.ptstables &lt;&gt; "")),
  _xlpm.coef, _xlpm.K + _xlpm.Knewgain / (_xlpm.Knewscale + _xlpm.nbparties),
  IF(U139="",
    "",
    _xlpm.coef * (U139-U140))
)</f>
        <v>-24.805705552090917</v>
      </c>
      <c r="V141" t="str" cm="1">
        <f t="array" ref="V141">_xlfn.LET(
  _xlpm.K, Constantes!$B$3,
  _xlpm.Knewgain, Constantes!$B$4,
  _xlpm.Knewscale, Constantes!$B$5,
  _xlpm.ptstables, INDEX(V:V, _xlfn.SEQUENCE(COUNTA($C$2:$C141), 1, 3, 4)),
  _xlpm.nbparties, COUNTA(_xlfn._xlws.FILTER(_xlpm.ptstables, _xlpm.ptstables &lt;&gt; "")),
  _xlpm.coef, _xlpm.K + _xlpm.Knewgain / (_xlpm.Knewscale + _xlpm.nbparties),
  IF(V139="",
    "",
    _xlpm.coef * (V139-V140))
)</f>
        <v/>
      </c>
      <c r="W141" t="str" cm="1">
        <f t="array" ref="W141">_xlfn.LET(
  _xlpm.K, Constantes!$B$3,
  _xlpm.Knewgain, Constantes!$B$4,
  _xlpm.Knewscale, Constantes!$B$5,
  _xlpm.ptstables, INDEX(W:W, _xlfn.SEQUENCE(COUNTA($C$2:$C141), 1, 3, 4)),
  _xlpm.nbparties, COUNTA(_xlfn._xlws.FILTER(_xlpm.ptstables, _xlpm.ptstables &lt;&gt; "")),
  _xlpm.coef, _xlpm.K + _xlpm.Knewgain / (_xlpm.Knewscale + _xlpm.nbparties),
  IF(W139="",
    "",
    _xlpm.coef * (W139-W140))
)</f>
        <v/>
      </c>
      <c r="X141" t="str" cm="1">
        <f t="array" ref="X141">_xlfn.LET(
  _xlpm.K, Constantes!$B$3,
  _xlpm.Knewgain, Constantes!$B$4,
  _xlpm.Knewscale, Constantes!$B$5,
  _xlpm.ptstables, INDEX(X:X, _xlfn.SEQUENCE(COUNTA($C$2:$C141), 1, 3, 4)),
  _xlpm.nbparties, COUNTA(_xlfn._xlws.FILTER(_xlpm.ptstables, _xlpm.ptstables &lt;&gt; "")),
  _xlpm.coef, _xlpm.K + _xlpm.Knewgain / (_xlpm.Knewscale + _xlpm.nbparties),
  IF(X139="",
    "",
    _xlpm.coef * (X139-X140))
)</f>
        <v/>
      </c>
      <c r="Y141" t="str" cm="1">
        <f t="array" ref="Y141">_xlfn.LET(
  _xlpm.K, Constantes!$B$3,
  _xlpm.Knewgain, Constantes!$B$4,
  _xlpm.Knewscale, Constantes!$B$5,
  _xlpm.ptstables, INDEX(Y:Y, _xlfn.SEQUENCE(COUNTA($C$2:$C141), 1, 3, 4)),
  _xlpm.nbparties, COUNTA(_xlfn._xlws.FILTER(_xlpm.ptstables, _xlpm.ptstables &lt;&gt; "")),
  _xlpm.coef, _xlpm.K + _xlpm.Knewgain / (_xlpm.Knewscale + _xlpm.nbparties),
  IF(Y139="",
    "",
    _xlpm.coef * (Y139-Y140))
)</f>
        <v/>
      </c>
      <c r="Z141" t="str" cm="1">
        <f t="array" ref="Z141">_xlfn.LET(
  _xlpm.K, Constantes!$B$3,
  _xlpm.Knewgain, Constantes!$B$4,
  _xlpm.Knewscale, Constantes!$B$5,
  _xlpm.ptstables, INDEX(Z:Z, _xlfn.SEQUENCE(COUNTA($C$2:$C141), 1, 3, 4)),
  _xlpm.nbparties, COUNTA(_xlfn._xlws.FILTER(_xlpm.ptstables, _xlpm.ptstables &lt;&gt; "")),
  _xlpm.coef, _xlpm.K + _xlpm.Knewgain / (_xlpm.Knewscale + _xlpm.nbparties),
  IF(Z139="",
    "",
    _xlpm.coef * (Z139-Z140))
)</f>
        <v/>
      </c>
      <c r="AA141" t="str" cm="1">
        <f t="array" ref="AA141">_xlfn.LET(
  _xlpm.K, Constantes!$B$3,
  _xlpm.Knewgain, Constantes!$B$4,
  _xlpm.Knewscale, Constantes!$B$5,
  _xlpm.ptstables, INDEX(AA:AA, _xlfn.SEQUENCE(COUNTA($C$2:$C141), 1, 3, 4)),
  _xlpm.nbparties, COUNTA(_xlfn._xlws.FILTER(_xlpm.ptstables, _xlpm.ptstables &lt;&gt; "")),
  _xlpm.coef, _xlpm.K + _xlpm.Knewgain / (_xlpm.Knewscale + _xlpm.nbparties),
  IF(AA139="",
    "",
    _xlpm.coef * (AA139-AA140))
)</f>
        <v/>
      </c>
      <c r="AB141" t="str" cm="1">
        <f t="array" ref="AB141">_xlfn.LET(
  _xlpm.K, Constantes!$B$3,
  _xlpm.Knewgain, Constantes!$B$4,
  _xlpm.Knewscale, Constantes!$B$5,
  _xlpm.ptstables, INDEX(AB:AB, _xlfn.SEQUENCE(COUNTA($C$2:$C141), 1, 3, 4)),
  _xlpm.nbparties, COUNTA(_xlfn._xlws.FILTER(_xlpm.ptstables, _xlpm.ptstables &lt;&gt; "")),
  _xlpm.coef, _xlpm.K + _xlpm.Knewgain / (_xlpm.Knewscale + _xlpm.nbparties),
  IF(AB139="",
    "",
    _xlpm.coef * (AB139-AB140))
)</f>
        <v/>
      </c>
      <c r="AC141" t="str" cm="1">
        <f t="array" ref="AC141">_xlfn.LET(
  _xlpm.K, Constantes!$B$3,
  _xlpm.Knewgain, Constantes!$B$4,
  _xlpm.Knewscale, Constantes!$B$5,
  _xlpm.ptstables, INDEX(AC:AC, _xlfn.SEQUENCE(COUNTA($C$2:$C141), 1, 3, 4)),
  _xlpm.nbparties, COUNTA(_xlfn._xlws.FILTER(_xlpm.ptstables, _xlpm.ptstables &lt;&gt; "")),
  _xlpm.coef, _xlpm.K + _xlpm.Knewgain / (_xlpm.Knewscale + _xlpm.nbparties),
  IF(AC139="",
    "",
    _xlpm.coef * (AC139-AC140))
)</f>
        <v/>
      </c>
      <c r="AD141" t="str" cm="1">
        <f t="array" ref="AD141">_xlfn.LET(
  _xlpm.K, Constantes!$B$3,
  _xlpm.Knewgain, Constantes!$B$4,
  _xlpm.Knewscale, Constantes!$B$5,
  _xlpm.ptstables, INDEX(AD:AD, _xlfn.SEQUENCE(COUNTA($C$2:$C141), 1, 3, 4)),
  _xlpm.nbparties, COUNTA(_xlfn._xlws.FILTER(_xlpm.ptstables, _xlpm.ptstables &lt;&gt; "")),
  _xlpm.coef, _xlpm.K + _xlpm.Knewgain / (_xlpm.Knewscale + _xlpm.nbparties),
  IF(AD139="",
    "",
    _xlpm.coef * (AD139-AD140))
)</f>
        <v/>
      </c>
      <c r="AE141" t="str" cm="1">
        <f t="array" ref="AE141">_xlfn.LET(
  _xlpm.K, Constantes!$B$3,
  _xlpm.Knewgain, Constantes!$B$4,
  _xlpm.Knewscale, Constantes!$B$5,
  _xlpm.ptstables, INDEX(AE:AE, _xlfn.SEQUENCE(COUNTA($C$2:$C141), 1, 3, 4)),
  _xlpm.nbparties, COUNTA(_xlfn._xlws.FILTER(_xlpm.ptstables, _xlpm.ptstables &lt;&gt; "")),
  _xlpm.coef, _xlpm.K + _xlpm.Knewgain / (_xlpm.Knewscale + _xlpm.nbparties),
  IF(AE139="",
    "",
    _xlpm.coef * (AE139-AE140))
)</f>
        <v/>
      </c>
      <c r="AF141" t="str" cm="1">
        <f t="array" ref="AF141">_xlfn.LET(
  _xlpm.K, Constantes!$B$3,
  _xlpm.Knewgain, Constantes!$B$4,
  _xlpm.Knewscale, Constantes!$B$5,
  _xlpm.ptstables, INDEX(AF:AF, _xlfn.SEQUENCE(COUNTA($C$2:$C141), 1, 3, 4)),
  _xlpm.nbparties, COUNTA(_xlfn._xlws.FILTER(_xlpm.ptstables, _xlpm.ptstables &lt;&gt; "")),
  _xlpm.coef, _xlpm.K + _xlpm.Knewgain / (_xlpm.Knewscale + _xlpm.nbparties),
  IF(AF139="",
    "",
    _xlpm.coef * (AF139-AF140))
)</f>
        <v/>
      </c>
      <c r="AG141" t="str" cm="1">
        <f t="array" ref="AG141">_xlfn.LET(
  _xlpm.K, Constantes!$B$3,
  _xlpm.Knewgain, Constantes!$B$4,
  _xlpm.Knewscale, Constantes!$B$5,
  _xlpm.ptstables, INDEX(AG:AG, _xlfn.SEQUENCE(COUNTA($C$2:$C141), 1, 3, 4)),
  _xlpm.nbparties, COUNTA(_xlfn._xlws.FILTER(_xlpm.ptstables, _xlpm.ptstables &lt;&gt; "")),
  _xlpm.coef, _xlpm.K + _xlpm.Knewgain / (_xlpm.Knewscale + _xlpm.nbparties),
  IF(AG139="",
    "",
    _xlpm.coef * (AG139-AG140))
)</f>
        <v/>
      </c>
      <c r="AH141" t="str" cm="1">
        <f t="array" ref="AH141">_xlfn.LET(
  _xlpm.K, Constantes!$B$3,
  _xlpm.Knewgain, Constantes!$B$4,
  _xlpm.Knewscale, Constantes!$B$5,
  _xlpm.ptstables, INDEX(AH:AH, _xlfn.SEQUENCE(COUNTA($C$2:$C141), 1, 3, 4)),
  _xlpm.nbparties, COUNTA(_xlfn._xlws.FILTER(_xlpm.ptstables, _xlpm.ptstables &lt;&gt; "")),
  _xlpm.coef, _xlpm.K + _xlpm.Knewgain / (_xlpm.Knewscale + _xlpm.nbparties),
  IF(AH139="",
    "",
    _xlpm.coef * (AH139-AH140))
)</f>
        <v/>
      </c>
      <c r="AI141" t="str" cm="1">
        <f t="array" ref="AI141">_xlfn.LET(
  _xlpm.K, Constantes!$B$3,
  _xlpm.Knewgain, Constantes!$B$4,
  _xlpm.Knewscale, Constantes!$B$5,
  _xlpm.ptstables, INDEX(AI:AI, _xlfn.SEQUENCE(COUNTA($C$2:$C141), 1, 3, 4)),
  _xlpm.nbparties, COUNTA(_xlfn._xlws.FILTER(_xlpm.ptstables, _xlpm.ptstables &lt;&gt; "")),
  _xlpm.coef, _xlpm.K + _xlpm.Knewgain / (_xlpm.Knewscale + _xlpm.nbparties),
  IF(AI139="",
    "",
    _xlpm.coef * (AI139-AI140))
)</f>
        <v/>
      </c>
      <c r="AJ141" t="str" cm="1">
        <f t="array" ref="AJ141">_xlfn.LET(
  _xlpm.K, Constantes!$B$3,
  _xlpm.Knewgain, Constantes!$B$4,
  _xlpm.Knewscale, Constantes!$B$5,
  _xlpm.ptstables, INDEX(AJ:AJ, _xlfn.SEQUENCE(COUNTA($C$2:$C141), 1, 3, 4)),
  _xlpm.nbparties, COUNTA(_xlfn._xlws.FILTER(_xlpm.ptstables, _xlpm.ptstables &lt;&gt; "")),
  _xlpm.coef, _xlpm.K + _xlpm.Knewgain / (_xlpm.Knewscale + _xlpm.nbparties),
  IF(AJ139="",
    "",
    _xlpm.coef * (AJ139-AJ140))
)</f>
        <v/>
      </c>
      <c r="AK141" t="str" cm="1">
        <f t="array" ref="AK141">_xlfn.LET(
  _xlpm.K, Constantes!$B$3,
  _xlpm.Knewgain, Constantes!$B$4,
  _xlpm.Knewscale, Constantes!$B$5,
  _xlpm.ptstables, INDEX(AK:AK, _xlfn.SEQUENCE(COUNTA($C$2:$C141), 1, 3, 4)),
  _xlpm.nbparties, COUNTA(_xlfn._xlws.FILTER(_xlpm.ptstables, _xlpm.ptstables &lt;&gt; "")),
  _xlpm.coef, _xlpm.K + _xlpm.Knewgain / (_xlpm.Knewscale + _xlpm.nbparties),
  IF(AK139="",
    "",
    _xlpm.coef * (AK139-AK140))
)</f>
        <v/>
      </c>
      <c r="AL141" t="str" cm="1">
        <f t="array" ref="AL141">_xlfn.LET(
  _xlpm.K, Constantes!$B$3,
  _xlpm.Knewgain, Constantes!$B$4,
  _xlpm.Knewscale, Constantes!$B$5,
  _xlpm.ptstables, INDEX(AL:AL, _xlfn.SEQUENCE(COUNTA($C$2:$C141), 1, 3, 4)),
  _xlpm.nbparties, COUNTA(_xlfn._xlws.FILTER(_xlpm.ptstables, _xlpm.ptstables &lt;&gt; "")),
  _xlpm.coef, _xlpm.K + _xlpm.Knewgain / (_xlpm.Knewscale + _xlpm.nbparties),
  IF(AL139="",
    "",
    _xlpm.coef * (AL139-AL140))
)</f>
        <v/>
      </c>
      <c r="AM141" t="str" cm="1">
        <f t="array" ref="AM141">_xlfn.LET(
  _xlpm.K, Constantes!$B$3,
  _xlpm.Knewgain, Constantes!$B$4,
  _xlpm.Knewscale, Constantes!$B$5,
  _xlpm.ptstables, INDEX(AM:AM, _xlfn.SEQUENCE(COUNTA($C$2:$C141), 1, 3, 4)),
  _xlpm.nbparties, COUNTA(_xlfn._xlws.FILTER(_xlpm.ptstables, _xlpm.ptstables &lt;&gt; "")),
  _xlpm.coef, _xlpm.K + _xlpm.Knewgain / (_xlpm.Knewscale + _xlpm.nbparties),
  IF(AM139="",
    "",
    _xlpm.coef * (AM139-AM140))
)</f>
        <v/>
      </c>
    </row>
    <row r="142" spans="1:39" x14ac:dyDescent="0.25">
      <c r="A142" t="s">
        <v>14</v>
      </c>
      <c r="B142" t="str" cm="1">
        <f t="array" ref="B14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36</v>
      </c>
      <c r="C142" s="2" cm="1">
        <f t="array" ref="C142">IF(B142="","",
  INDEX(Donnees!F:F, MATCH(B142, Donnees!F:F, 0)+1))</f>
        <v>45925.804814814815</v>
      </c>
      <c r="D142">
        <f t="shared" ref="D142:AM142" si="43">D138+IF(D141="",0,D141)</f>
        <v>1101.1845187776951</v>
      </c>
      <c r="E142">
        <f t="shared" si="43"/>
        <v>1105.3750854597461</v>
      </c>
      <c r="F142">
        <f t="shared" si="43"/>
        <v>840.71361771288559</v>
      </c>
      <c r="G142">
        <f t="shared" si="43"/>
        <v>1013.511069856075</v>
      </c>
      <c r="H142">
        <f t="shared" si="43"/>
        <v>1043.8545020183328</v>
      </c>
      <c r="I142">
        <f t="shared" si="43"/>
        <v>1056.8165036600865</v>
      </c>
      <c r="J142">
        <f t="shared" si="43"/>
        <v>938.49433816478961</v>
      </c>
      <c r="K142">
        <f t="shared" si="43"/>
        <v>907.51653081539087</v>
      </c>
      <c r="L142">
        <f t="shared" si="43"/>
        <v>833.43137648430843</v>
      </c>
      <c r="M142">
        <f t="shared" si="43"/>
        <v>913.41986361738122</v>
      </c>
      <c r="N142">
        <f t="shared" si="43"/>
        <v>924.41787774469185</v>
      </c>
      <c r="O142">
        <f t="shared" si="43"/>
        <v>1005.4306950475848</v>
      </c>
      <c r="P142">
        <f t="shared" si="43"/>
        <v>1015.4353469144262</v>
      </c>
      <c r="Q142">
        <f t="shared" si="43"/>
        <v>1096.6245226034687</v>
      </c>
      <c r="R142">
        <f t="shared" si="43"/>
        <v>1105.0852481437867</v>
      </c>
      <c r="S142">
        <f t="shared" si="43"/>
        <v>941.37032948557328</v>
      </c>
      <c r="T142">
        <f t="shared" si="43"/>
        <v>1135.2782658680615</v>
      </c>
      <c r="U142">
        <f t="shared" si="43"/>
        <v>1078.3827221439299</v>
      </c>
      <c r="V142">
        <f t="shared" si="43"/>
        <v>961.58818235691967</v>
      </c>
      <c r="W142">
        <f t="shared" si="43"/>
        <v>936.79085942937002</v>
      </c>
      <c r="X142">
        <f t="shared" si="43"/>
        <v>830.788580615</v>
      </c>
      <c r="Y142">
        <f t="shared" si="43"/>
        <v>1017.4822717685487</v>
      </c>
      <c r="Z142">
        <f t="shared" si="43"/>
        <v>991.11904139672549</v>
      </c>
      <c r="AA142">
        <f t="shared" si="43"/>
        <v>980.56756855165884</v>
      </c>
      <c r="AB142">
        <f t="shared" si="43"/>
        <v>988.35669729544747</v>
      </c>
      <c r="AC142">
        <f t="shared" si="43"/>
        <v>998.96652664479586</v>
      </c>
      <c r="AD142">
        <f t="shared" si="43"/>
        <v>974.01499999999999</v>
      </c>
      <c r="AE142">
        <f t="shared" si="43"/>
        <v>1011.415</v>
      </c>
      <c r="AF142">
        <f t="shared" si="43"/>
        <v>1031.1199999999999</v>
      </c>
      <c r="AG142">
        <f t="shared" si="43"/>
        <v>1001.0350000000001</v>
      </c>
      <c r="AH142">
        <f t="shared" si="43"/>
        <v>994.44</v>
      </c>
      <c r="AI142">
        <f t="shared" si="43"/>
        <v>1000</v>
      </c>
      <c r="AJ142">
        <f t="shared" si="43"/>
        <v>957.2</v>
      </c>
      <c r="AK142">
        <f t="shared" si="43"/>
        <v>1000</v>
      </c>
      <c r="AL142">
        <f t="shared" si="43"/>
        <v>1055.9299999999998</v>
      </c>
      <c r="AM142">
        <f t="shared" si="43"/>
        <v>1000</v>
      </c>
    </row>
    <row r="143" spans="1:39" x14ac:dyDescent="0.25">
      <c r="A143" t="s">
        <v>21</v>
      </c>
      <c r="D143" t="str" cm="1">
        <f t="array" ref="D143">IFERROR(
  _xlfn.LET(
    _xlpm.ligpartie, MATCH($B142, Donnees!$F:$F, 0),
    _xlpm.joueurs, INDEX(Donnees!$A:$Z, _xlpm.ligpartie+1, _xlfn.SEQUENCE(1, 4, 2)),
    INDEX(
      Donnees!$A:$Z,
      _xlpm.ligpartie + 3,
      MATCH(D$1, _xlpm.joueurs, 0) + 1
    )
  ), ""
)</f>
        <v/>
      </c>
      <c r="E143" t="str" cm="1">
        <f t="array" ref="E143">IFERROR(
  _xlfn.LET(
    _xlpm.ligpartie, MATCH($B142, Donnees!$F:$F, 0),
    _xlpm.joueurs, INDEX(Donnees!$A:$Z, _xlpm.ligpartie+1, _xlfn.SEQUENCE(1, 4, 2)),
    INDEX(
      Donnees!$A:$Z,
      _xlpm.ligpartie + 3,
      MATCH(E$1, _xlpm.joueurs, 0) + 1
    )
  ), ""
)</f>
        <v/>
      </c>
      <c r="F143" cm="1">
        <f t="array" ref="F143">IFERROR(
  _xlfn.LET(
    _xlpm.ligpartie, MATCH($B142, Donnees!$F:$F, 0),
    _xlpm.joueurs, INDEX(Donnees!$A:$Z, _xlpm.ligpartie+1, _xlfn.SEQUENCE(1, 4, 2)),
    INDEX(
      Donnees!$A:$Z,
      _xlpm.ligpartie + 3,
      MATCH(F$1, _xlpm.joueurs, 0) + 1
    )
  ), ""
)</f>
        <v>0</v>
      </c>
      <c r="G143" cm="1">
        <f t="array" ref="G143">IFERROR(
  _xlfn.LET(
    _xlpm.ligpartie, MATCH($B142, Donnees!$F:$F, 0),
    _xlpm.joueurs, INDEX(Donnees!$A:$Z, _xlpm.ligpartie+1, _xlfn.SEQUENCE(1, 4, 2)),
    INDEX(
      Donnees!$A:$Z,
      _xlpm.ligpartie + 3,
      MATCH(G$1, _xlpm.joueurs, 0) + 1
    )
  ), ""
)</f>
        <v>2</v>
      </c>
      <c r="H143" t="str" cm="1">
        <f t="array" ref="H143">IFERROR(
  _xlfn.LET(
    _xlpm.ligpartie, MATCH($B142, Donnees!$F:$F, 0),
    _xlpm.joueurs, INDEX(Donnees!$A:$Z, _xlpm.ligpartie+1, _xlfn.SEQUENCE(1, 4, 2)),
    INDEX(
      Donnees!$A:$Z,
      _xlpm.ligpartie + 3,
      MATCH(H$1, _xlpm.joueurs, 0) + 1
    )
  ), ""
)</f>
        <v/>
      </c>
      <c r="I143" t="str" cm="1">
        <f t="array" ref="I143">IFERROR(
  _xlfn.LET(
    _xlpm.ligpartie, MATCH($B142, Donnees!$F:$F, 0),
    _xlpm.joueurs, INDEX(Donnees!$A:$Z, _xlpm.ligpartie+1, _xlfn.SEQUENCE(1, 4, 2)),
    INDEX(
      Donnees!$A:$Z,
      _xlpm.ligpartie + 3,
      MATCH(I$1, _xlpm.joueurs, 0) + 1
    )
  ), ""
)</f>
        <v/>
      </c>
      <c r="J143" t="str" cm="1">
        <f t="array" ref="J143">IFERROR(
  _xlfn.LET(
    _xlpm.ligpartie, MATCH($B142, Donnees!$F:$F, 0),
    _xlpm.joueurs, INDEX(Donnees!$A:$Z, _xlpm.ligpartie+1, _xlfn.SEQUENCE(1, 4, 2)),
    INDEX(
      Donnees!$A:$Z,
      _xlpm.ligpartie + 3,
      MATCH(J$1, _xlpm.joueurs, 0) + 1
    )
  ), ""
)</f>
        <v/>
      </c>
      <c r="K143" t="str" cm="1">
        <f t="array" ref="K143">IFERROR(
  _xlfn.LET(
    _xlpm.ligpartie, MATCH($B142, Donnees!$F:$F, 0),
    _xlpm.joueurs, INDEX(Donnees!$A:$Z, _xlpm.ligpartie+1, _xlfn.SEQUENCE(1, 4, 2)),
    INDEX(
      Donnees!$A:$Z,
      _xlpm.ligpartie + 3,
      MATCH(K$1, _xlpm.joueurs, 0) + 1
    )
  ), ""
)</f>
        <v/>
      </c>
      <c r="L143" t="str" cm="1">
        <f t="array" ref="L143">IFERROR(
  _xlfn.LET(
    _xlpm.ligpartie, MATCH($B142, Donnees!$F:$F, 0),
    _xlpm.joueurs, INDEX(Donnees!$A:$Z, _xlpm.ligpartie+1, _xlfn.SEQUENCE(1, 4, 2)),
    INDEX(
      Donnees!$A:$Z,
      _xlpm.ligpartie + 3,
      MATCH(L$1, _xlpm.joueurs, 0) + 1
    )
  ), ""
)</f>
        <v/>
      </c>
      <c r="M143" t="str" cm="1">
        <f t="array" ref="M143">IFERROR(
  _xlfn.LET(
    _xlpm.ligpartie, MATCH($B142, Donnees!$F:$F, 0),
    _xlpm.joueurs, INDEX(Donnees!$A:$Z, _xlpm.ligpartie+1, _xlfn.SEQUENCE(1, 4, 2)),
    INDEX(
      Donnees!$A:$Z,
      _xlpm.ligpartie + 3,
      MATCH(M$1, _xlpm.joueurs, 0) + 1
    )
  ), ""
)</f>
        <v/>
      </c>
      <c r="N143" t="str" cm="1">
        <f t="array" ref="N143">IFERROR(
  _xlfn.LET(
    _xlpm.ligpartie, MATCH($B142, Donnees!$F:$F, 0),
    _xlpm.joueurs, INDEX(Donnees!$A:$Z, _xlpm.ligpartie+1, _xlfn.SEQUENCE(1, 4, 2)),
    INDEX(
      Donnees!$A:$Z,
      _xlpm.ligpartie + 3,
      MATCH(N$1, _xlpm.joueurs, 0) + 1
    )
  ), ""
)</f>
        <v/>
      </c>
      <c r="O143" t="str" cm="1">
        <f t="array" ref="O143">IFERROR(
  _xlfn.LET(
    _xlpm.ligpartie, MATCH($B142, Donnees!$F:$F, 0),
    _xlpm.joueurs, INDEX(Donnees!$A:$Z, _xlpm.ligpartie+1, _xlfn.SEQUENCE(1, 4, 2)),
    INDEX(
      Donnees!$A:$Z,
      _xlpm.ligpartie + 3,
      MATCH(O$1, _xlpm.joueurs, 0) + 1
    )
  ), ""
)</f>
        <v/>
      </c>
      <c r="P143" t="str" cm="1">
        <f t="array" ref="P143">IFERROR(
  _xlfn.LET(
    _xlpm.ligpartie, MATCH($B142, Donnees!$F:$F, 0),
    _xlpm.joueurs, INDEX(Donnees!$A:$Z, _xlpm.ligpartie+1, _xlfn.SEQUENCE(1, 4, 2)),
    INDEX(
      Donnees!$A:$Z,
      _xlpm.ligpartie + 3,
      MATCH(P$1, _xlpm.joueurs, 0) + 1
    )
  ), ""
)</f>
        <v/>
      </c>
      <c r="Q143" cm="1">
        <f t="array" ref="Q143">IFERROR(
  _xlfn.LET(
    _xlpm.ligpartie, MATCH($B142, Donnees!$F:$F, 0),
    _xlpm.joueurs, INDEX(Donnees!$A:$Z, _xlpm.ligpartie+1, _xlfn.SEQUENCE(1, 4, 2)),
    INDEX(
      Donnees!$A:$Z,
      _xlpm.ligpartie + 3,
      MATCH(Q$1, _xlpm.joueurs, 0) + 1
    )
  ), ""
)</f>
        <v>1</v>
      </c>
      <c r="R143" t="str" cm="1">
        <f t="array" ref="R143">IFERROR(
  _xlfn.LET(
    _xlpm.ligpartie, MATCH($B142, Donnees!$F:$F, 0),
    _xlpm.joueurs, INDEX(Donnees!$A:$Z, _xlpm.ligpartie+1, _xlfn.SEQUENCE(1, 4, 2)),
    INDEX(
      Donnees!$A:$Z,
      _xlpm.ligpartie + 3,
      MATCH(R$1, _xlpm.joueurs, 0) + 1
    )
  ), ""
)</f>
        <v/>
      </c>
      <c r="S143" t="str" cm="1">
        <f t="array" ref="S143">IFERROR(
  _xlfn.LET(
    _xlpm.ligpartie, MATCH($B142, Donnees!$F:$F, 0),
    _xlpm.joueurs, INDEX(Donnees!$A:$Z, _xlpm.ligpartie+1, _xlfn.SEQUENCE(1, 4, 2)),
    INDEX(
      Donnees!$A:$Z,
      _xlpm.ligpartie + 3,
      MATCH(S$1, _xlpm.joueurs, 0) + 1
    )
  ), ""
)</f>
        <v/>
      </c>
      <c r="T143" t="str" cm="1">
        <f t="array" ref="T143">IFERROR(
  _xlfn.LET(
    _xlpm.ligpartie, MATCH($B142, Donnees!$F:$F, 0),
    _xlpm.joueurs, INDEX(Donnees!$A:$Z, _xlpm.ligpartie+1, _xlfn.SEQUENCE(1, 4, 2)),
    INDEX(
      Donnees!$A:$Z,
      _xlpm.ligpartie + 3,
      MATCH(T$1, _xlpm.joueurs, 0) + 1
    )
  ), ""
)</f>
        <v/>
      </c>
      <c r="U143" cm="1">
        <f t="array" ref="U143">IFERROR(
  _xlfn.LET(
    _xlpm.ligpartie, MATCH($B142, Donnees!$F:$F, 0),
    _xlpm.joueurs, INDEX(Donnees!$A:$Z, _xlpm.ligpartie+1, _xlfn.SEQUENCE(1, 4, 2)),
    INDEX(
      Donnees!$A:$Z,
      _xlpm.ligpartie + 3,
      MATCH(U$1, _xlpm.joueurs, 0) + 1
    )
  ), ""
)</f>
        <v>3</v>
      </c>
      <c r="V143" t="str" cm="1">
        <f t="array" ref="V143">IFERROR(
  _xlfn.LET(
    _xlpm.ligpartie, MATCH($B142, Donnees!$F:$F, 0),
    _xlpm.joueurs, INDEX(Donnees!$A:$Z, _xlpm.ligpartie+1, _xlfn.SEQUENCE(1, 4, 2)),
    INDEX(
      Donnees!$A:$Z,
      _xlpm.ligpartie + 3,
      MATCH(V$1, _xlpm.joueurs, 0) + 1
    )
  ), ""
)</f>
        <v/>
      </c>
      <c r="W143" t="str" cm="1">
        <f t="array" ref="W143">IFERROR(
  _xlfn.LET(
    _xlpm.ligpartie, MATCH($B142, Donnees!$F:$F, 0),
    _xlpm.joueurs, INDEX(Donnees!$A:$Z, _xlpm.ligpartie+1, _xlfn.SEQUENCE(1, 4, 2)),
    INDEX(
      Donnees!$A:$Z,
      _xlpm.ligpartie + 3,
      MATCH(W$1, _xlpm.joueurs, 0) + 1
    )
  ), ""
)</f>
        <v/>
      </c>
      <c r="X143" t="str" cm="1">
        <f t="array" ref="X143">IFERROR(
  _xlfn.LET(
    _xlpm.ligpartie, MATCH($B142, Donnees!$F:$F, 0),
    _xlpm.joueurs, INDEX(Donnees!$A:$Z, _xlpm.ligpartie+1, _xlfn.SEQUENCE(1, 4, 2)),
    INDEX(
      Donnees!$A:$Z,
      _xlpm.ligpartie + 3,
      MATCH(X$1, _xlpm.joueurs, 0) + 1
    )
  ), ""
)</f>
        <v/>
      </c>
      <c r="Y143" t="str" cm="1">
        <f t="array" ref="Y143">IFERROR(
  _xlfn.LET(
    _xlpm.ligpartie, MATCH($B142, Donnees!$F:$F, 0),
    _xlpm.joueurs, INDEX(Donnees!$A:$Z, _xlpm.ligpartie+1, _xlfn.SEQUENCE(1, 4, 2)),
    INDEX(
      Donnees!$A:$Z,
      _xlpm.ligpartie + 3,
      MATCH(Y$1, _xlpm.joueurs, 0) + 1
    )
  ), ""
)</f>
        <v/>
      </c>
      <c r="Z143" t="str" cm="1">
        <f t="array" ref="Z143">IFERROR(
  _xlfn.LET(
    _xlpm.ligpartie, MATCH($B142, Donnees!$F:$F, 0),
    _xlpm.joueurs, INDEX(Donnees!$A:$Z, _xlpm.ligpartie+1, _xlfn.SEQUENCE(1, 4, 2)),
    INDEX(
      Donnees!$A:$Z,
      _xlpm.ligpartie + 3,
      MATCH(Z$1, _xlpm.joueurs, 0) + 1
    )
  ), ""
)</f>
        <v/>
      </c>
      <c r="AA143" t="str" cm="1">
        <f t="array" ref="AA143">IFERROR(
  _xlfn.LET(
    _xlpm.ligpartie, MATCH($B142, Donnees!$F:$F, 0),
    _xlpm.joueurs, INDEX(Donnees!$A:$Z, _xlpm.ligpartie+1, _xlfn.SEQUENCE(1, 4, 2)),
    INDEX(
      Donnees!$A:$Z,
      _xlpm.ligpartie + 3,
      MATCH(AA$1, _xlpm.joueurs, 0) + 1
    )
  ), ""
)</f>
        <v/>
      </c>
      <c r="AB143" t="str" cm="1">
        <f t="array" ref="AB143">IFERROR(
  _xlfn.LET(
    _xlpm.ligpartie, MATCH($B142, Donnees!$F:$F, 0),
    _xlpm.joueurs, INDEX(Donnees!$A:$Z, _xlpm.ligpartie+1, _xlfn.SEQUENCE(1, 4, 2)),
    INDEX(
      Donnees!$A:$Z,
      _xlpm.ligpartie + 3,
      MATCH(AB$1, _xlpm.joueurs, 0) + 1
    )
  ), ""
)</f>
        <v/>
      </c>
      <c r="AC143" t="str" cm="1">
        <f t="array" ref="AC143">IFERROR(
  _xlfn.LET(
    _xlpm.ligpartie, MATCH($B142, Donnees!$F:$F, 0),
    _xlpm.joueurs, INDEX(Donnees!$A:$Z, _xlpm.ligpartie+1, _xlfn.SEQUENCE(1, 4, 2)),
    INDEX(
      Donnees!$A:$Z,
      _xlpm.ligpartie + 3,
      MATCH(AC$1, _xlpm.joueurs, 0) + 1
    )
  ), ""
)</f>
        <v/>
      </c>
      <c r="AD143" t="str" cm="1">
        <f t="array" ref="AD143">IFERROR(
  _xlfn.LET(
    _xlpm.ligpartie, MATCH($B142, Donnees!$F:$F, 0),
    _xlpm.joueurs, INDEX(Donnees!$A:$Z, _xlpm.ligpartie+1, _xlfn.SEQUENCE(1, 4, 2)),
    INDEX(
      Donnees!$A:$Z,
      _xlpm.ligpartie + 3,
      MATCH(AD$1, _xlpm.joueurs, 0) + 1
    )
  ), ""
)</f>
        <v/>
      </c>
      <c r="AE143" t="str" cm="1">
        <f t="array" ref="AE143">IFERROR(
  _xlfn.LET(
    _xlpm.ligpartie, MATCH($B142, Donnees!$F:$F, 0),
    _xlpm.joueurs, INDEX(Donnees!$A:$Z, _xlpm.ligpartie+1, _xlfn.SEQUENCE(1, 4, 2)),
    INDEX(
      Donnees!$A:$Z,
      _xlpm.ligpartie + 3,
      MATCH(AE$1, _xlpm.joueurs, 0) + 1
    )
  ), ""
)</f>
        <v/>
      </c>
      <c r="AF143" t="str" cm="1">
        <f t="array" ref="AF143">IFERROR(
  _xlfn.LET(
    _xlpm.ligpartie, MATCH($B142, Donnees!$F:$F, 0),
    _xlpm.joueurs, INDEX(Donnees!$A:$Z, _xlpm.ligpartie+1, _xlfn.SEQUENCE(1, 4, 2)),
    INDEX(
      Donnees!$A:$Z,
      _xlpm.ligpartie + 3,
      MATCH(AF$1, _xlpm.joueurs, 0) + 1
    )
  ), ""
)</f>
        <v/>
      </c>
      <c r="AG143" t="str" cm="1">
        <f t="array" ref="AG143">IFERROR(
  _xlfn.LET(
    _xlpm.ligpartie, MATCH($B142, Donnees!$F:$F, 0),
    _xlpm.joueurs, INDEX(Donnees!$A:$Z, _xlpm.ligpartie+1, _xlfn.SEQUENCE(1, 4, 2)),
    INDEX(
      Donnees!$A:$Z,
      _xlpm.ligpartie + 3,
      MATCH(AG$1, _xlpm.joueurs, 0) + 1
    )
  ), ""
)</f>
        <v/>
      </c>
      <c r="AH143" t="str" cm="1">
        <f t="array" ref="AH143">IFERROR(
  _xlfn.LET(
    _xlpm.ligpartie, MATCH($B142, Donnees!$F:$F, 0),
    _xlpm.joueurs, INDEX(Donnees!$A:$Z, _xlpm.ligpartie+1, _xlfn.SEQUENCE(1, 4, 2)),
    INDEX(
      Donnees!$A:$Z,
      _xlpm.ligpartie + 3,
      MATCH(AH$1, _xlpm.joueurs, 0) + 1
    )
  ), ""
)</f>
        <v/>
      </c>
      <c r="AI143" t="str" cm="1">
        <f t="array" ref="AI143">IFERROR(
  _xlfn.LET(
    _xlpm.ligpartie, MATCH($B142, Donnees!$F:$F, 0),
    _xlpm.joueurs, INDEX(Donnees!$A:$Z, _xlpm.ligpartie+1, _xlfn.SEQUENCE(1, 4, 2)),
    INDEX(
      Donnees!$A:$Z,
      _xlpm.ligpartie + 3,
      MATCH(AI$1, _xlpm.joueurs, 0) + 1
    )
  ), ""
)</f>
        <v/>
      </c>
      <c r="AJ143" t="str" cm="1">
        <f t="array" ref="AJ143">IFERROR(
  _xlfn.LET(
    _xlpm.ligpartie, MATCH($B142, Donnees!$F:$F, 0),
    _xlpm.joueurs, INDEX(Donnees!$A:$Z, _xlpm.ligpartie+1, _xlfn.SEQUENCE(1, 4, 2)),
    INDEX(
      Donnees!$A:$Z,
      _xlpm.ligpartie + 3,
      MATCH(AJ$1, _xlpm.joueurs, 0) + 1
    )
  ), ""
)</f>
        <v/>
      </c>
      <c r="AK143" t="str" cm="1">
        <f t="array" ref="AK143">IFERROR(
  _xlfn.LET(
    _xlpm.ligpartie, MATCH($B142, Donnees!$F:$F, 0),
    _xlpm.joueurs, INDEX(Donnees!$A:$Z, _xlpm.ligpartie+1, _xlfn.SEQUENCE(1, 4, 2)),
    INDEX(
      Donnees!$A:$Z,
      _xlpm.ligpartie + 3,
      MATCH(AK$1, _xlpm.joueurs, 0) + 1
    )
  ), ""
)</f>
        <v/>
      </c>
      <c r="AL143" t="str" cm="1">
        <f t="array" ref="AL143">IFERROR(
  _xlfn.LET(
    _xlpm.ligpartie, MATCH($B142, Donnees!$F:$F, 0),
    _xlpm.joueurs, INDEX(Donnees!$A:$Z, _xlpm.ligpartie+1, _xlfn.SEQUENCE(1, 4, 2)),
    INDEX(
      Donnees!$A:$Z,
      _xlpm.ligpartie + 3,
      MATCH(AL$1, _xlpm.joueurs, 0) + 1
    )
  ), ""
)</f>
        <v/>
      </c>
      <c r="AM143" t="str" cm="1">
        <f t="array" ref="AM143">IFERROR(
  _xlfn.LET(
    _xlpm.ligpartie, MATCH($B142, Donnees!$F:$F, 0),
    _xlpm.joueurs, INDEX(Donnees!$A:$Z, _xlpm.ligpartie+1, _xlfn.SEQUENCE(1, 4, 2)),
    INDEX(
      Donnees!$A:$Z,
      _xlpm.ligpartie + 3,
      MATCH(AM$1, _xlpm.joueurs, 0) + 1
    )
  ), ""
)</f>
        <v/>
      </c>
    </row>
    <row r="144" spans="1:39" x14ac:dyDescent="0.25">
      <c r="A144" t="s">
        <v>20</v>
      </c>
      <c r="D144" t="str" cm="1">
        <f t="array" ref="D144">_xlfn.LET(
  _xlpm.colj, _xlfn._xlws.FILTER(IF(ISNUMBER(143:143), COLUMN(143:143)), ISNUMBER(143:143)),
  _xlpm.elos, INDEX(142:142,1,_xlpm.colj),
  _xlpm.diffscale, Constantes!$B$2,
  IF(D143="",
    "",
    SUM(1/(1+POWER(10,-(D142-_xlpm.elos)/_xlpm.diffscale)))-0.5)
)</f>
        <v/>
      </c>
      <c r="E144" t="str" cm="1">
        <f t="array" ref="E144">_xlfn.LET(
  _xlpm.colj, _xlfn._xlws.FILTER(IF(ISNUMBER(143:143), COLUMN(143:143)), ISNUMBER(143:143)),
  _xlpm.elos, INDEX(142:142,1,_xlpm.colj),
  _xlpm.diffscale, Constantes!$B$2,
  IF(E143="",
    "",
    SUM(1/(1+POWER(10,-(E142-_xlpm.elos)/_xlpm.diffscale)))-0.5)
)</f>
        <v/>
      </c>
      <c r="F144" cm="1">
        <f t="array" ref="F144">_xlfn.LET(
  _xlpm.colj, _xlfn._xlws.FILTER(IF(ISNUMBER(143:143), COLUMN(143:143)), ISNUMBER(143:143)),
  _xlpm.elos, INDEX(142:142,1,_xlpm.colj),
  _xlpm.diffscale, Constantes!$B$2,
  IF(F143="",
    "",
    SUM(1/(1+POWER(10,-(F142-_xlpm.elos)/_xlpm.diffscale)))-0.5)
)</f>
        <v>0.65937150549545476</v>
      </c>
      <c r="G144" cm="1">
        <f t="array" ref="G144">_xlfn.LET(
  _xlpm.colj, _xlfn._xlws.FILTER(IF(ISNUMBER(143:143), COLUMN(143:143)), ISNUMBER(143:143)),
  _xlpm.elos, INDEX(142:142,1,_xlpm.colj),
  _xlpm.diffscale, Constantes!$B$2,
  IF(G143="",
    "",
    SUM(1/(1+POWER(10,-(G142-_xlpm.elos)/_xlpm.diffscale)))-0.5)
)</f>
        <v>1.5203485284072942</v>
      </c>
      <c r="H144" t="str" cm="1">
        <f t="array" ref="H144">_xlfn.LET(
  _xlpm.colj, _xlfn._xlws.FILTER(IF(ISNUMBER(143:143), COLUMN(143:143)), ISNUMBER(143:143)),
  _xlpm.elos, INDEX(142:142,1,_xlpm.colj),
  _xlpm.diffscale, Constantes!$B$2,
  IF(H143="",
    "",
    SUM(1/(1+POWER(10,-(H142-_xlpm.elos)/_xlpm.diffscale)))-0.5)
)</f>
        <v/>
      </c>
      <c r="I144" t="str" cm="1">
        <f t="array" ref="I144">_xlfn.LET(
  _xlpm.colj, _xlfn._xlws.FILTER(IF(ISNUMBER(143:143), COLUMN(143:143)), ISNUMBER(143:143)),
  _xlpm.elos, INDEX(142:142,1,_xlpm.colj),
  _xlpm.diffscale, Constantes!$B$2,
  IF(I143="",
    "",
    SUM(1/(1+POWER(10,-(I142-_xlpm.elos)/_xlpm.diffscale)))-0.5)
)</f>
        <v/>
      </c>
      <c r="J144" t="str" cm="1">
        <f t="array" ref="J144">_xlfn.LET(
  _xlpm.colj, _xlfn._xlws.FILTER(IF(ISNUMBER(143:143), COLUMN(143:143)), ISNUMBER(143:143)),
  _xlpm.elos, INDEX(142:142,1,_xlpm.colj),
  _xlpm.diffscale, Constantes!$B$2,
  IF(J143="",
    "",
    SUM(1/(1+POWER(10,-(J142-_xlpm.elos)/_xlpm.diffscale)))-0.5)
)</f>
        <v/>
      </c>
      <c r="K144" t="str" cm="1">
        <f t="array" ref="K144">_xlfn.LET(
  _xlpm.colj, _xlfn._xlws.FILTER(IF(ISNUMBER(143:143), COLUMN(143:143)), ISNUMBER(143:143)),
  _xlpm.elos, INDEX(142:142,1,_xlpm.colj),
  _xlpm.diffscale, Constantes!$B$2,
  IF(K143="",
    "",
    SUM(1/(1+POWER(10,-(K142-_xlpm.elos)/_xlpm.diffscale)))-0.5)
)</f>
        <v/>
      </c>
      <c r="L144" t="str" cm="1">
        <f t="array" ref="L144">_xlfn.LET(
  _xlpm.colj, _xlfn._xlws.FILTER(IF(ISNUMBER(143:143), COLUMN(143:143)), ISNUMBER(143:143)),
  _xlpm.elos, INDEX(142:142,1,_xlpm.colj),
  _xlpm.diffscale, Constantes!$B$2,
  IF(L143="",
    "",
    SUM(1/(1+POWER(10,-(L142-_xlpm.elos)/_xlpm.diffscale)))-0.5)
)</f>
        <v/>
      </c>
      <c r="M144" t="str" cm="1">
        <f t="array" ref="M144">_xlfn.LET(
  _xlpm.colj, _xlfn._xlws.FILTER(IF(ISNUMBER(143:143), COLUMN(143:143)), ISNUMBER(143:143)),
  _xlpm.elos, INDEX(142:142,1,_xlpm.colj),
  _xlpm.diffscale, Constantes!$B$2,
  IF(M143="",
    "",
    SUM(1/(1+POWER(10,-(M142-_xlpm.elos)/_xlpm.diffscale)))-0.5)
)</f>
        <v/>
      </c>
      <c r="N144" t="str" cm="1">
        <f t="array" ref="N144">_xlfn.LET(
  _xlpm.colj, _xlfn._xlws.FILTER(IF(ISNUMBER(143:143), COLUMN(143:143)), ISNUMBER(143:143)),
  _xlpm.elos, INDEX(142:142,1,_xlpm.colj),
  _xlpm.diffscale, Constantes!$B$2,
  IF(N143="",
    "",
    SUM(1/(1+POWER(10,-(N142-_xlpm.elos)/_xlpm.diffscale)))-0.5)
)</f>
        <v/>
      </c>
      <c r="O144" t="str" cm="1">
        <f t="array" ref="O144">_xlfn.LET(
  _xlpm.colj, _xlfn._xlws.FILTER(IF(ISNUMBER(143:143), COLUMN(143:143)), ISNUMBER(143:143)),
  _xlpm.elos, INDEX(142:142,1,_xlpm.colj),
  _xlpm.diffscale, Constantes!$B$2,
  IF(O143="",
    "",
    SUM(1/(1+POWER(10,-(O142-_xlpm.elos)/_xlpm.diffscale)))-0.5)
)</f>
        <v/>
      </c>
      <c r="P144" t="str" cm="1">
        <f t="array" ref="P144">_xlfn.LET(
  _xlpm.colj, _xlfn._xlws.FILTER(IF(ISNUMBER(143:143), COLUMN(143:143)), ISNUMBER(143:143)),
  _xlpm.elos, INDEX(142:142,1,_xlpm.colj),
  _xlpm.diffscale, Constantes!$B$2,
  IF(P143="",
    "",
    SUM(1/(1+POWER(10,-(P142-_xlpm.elos)/_xlpm.diffscale)))-0.5)
)</f>
        <v/>
      </c>
      <c r="Q144" cm="1">
        <f t="array" ref="Q144">_xlfn.LET(
  _xlpm.colj, _xlfn._xlws.FILTER(IF(ISNUMBER(143:143), COLUMN(143:143)), ISNUMBER(143:143)),
  _xlpm.elos, INDEX(142:142,1,_xlpm.colj),
  _xlpm.diffscale, Constantes!$B$2,
  IF(Q143="",
    "",
    SUM(1/(1+POWER(10,-(Q142-_xlpm.elos)/_xlpm.diffscale)))-0.5)
)</f>
        <v>1.9571417032195328</v>
      </c>
      <c r="R144" t="str" cm="1">
        <f t="array" ref="R144">_xlfn.LET(
  _xlpm.colj, _xlfn._xlws.FILTER(IF(ISNUMBER(143:143), COLUMN(143:143)), ISNUMBER(143:143)),
  _xlpm.elos, INDEX(142:142,1,_xlpm.colj),
  _xlpm.diffscale, Constantes!$B$2,
  IF(R143="",
    "",
    SUM(1/(1+POWER(10,-(R142-_xlpm.elos)/_xlpm.diffscale)))-0.5)
)</f>
        <v/>
      </c>
      <c r="S144" t="str" cm="1">
        <f t="array" ref="S144">_xlfn.LET(
  _xlpm.colj, _xlfn._xlws.FILTER(IF(ISNUMBER(143:143), COLUMN(143:143)), ISNUMBER(143:143)),
  _xlpm.elos, INDEX(142:142,1,_xlpm.colj),
  _xlpm.diffscale, Constantes!$B$2,
  IF(S143="",
    "",
    SUM(1/(1+POWER(10,-(S142-_xlpm.elos)/_xlpm.diffscale)))-0.5)
)</f>
        <v/>
      </c>
      <c r="T144" t="str" cm="1">
        <f t="array" ref="T144">_xlfn.LET(
  _xlpm.colj, _xlfn._xlws.FILTER(IF(ISNUMBER(143:143), COLUMN(143:143)), ISNUMBER(143:143)),
  _xlpm.elos, INDEX(142:142,1,_xlpm.colj),
  _xlpm.diffscale, Constantes!$B$2,
  IF(T143="",
    "",
    SUM(1/(1+POWER(10,-(T142-_xlpm.elos)/_xlpm.diffscale)))-0.5)
)</f>
        <v/>
      </c>
      <c r="U144" cm="1">
        <f t="array" ref="U144">_xlfn.LET(
  _xlpm.colj, _xlfn._xlws.FILTER(IF(ISNUMBER(143:143), COLUMN(143:143)), ISNUMBER(143:143)),
  _xlpm.elos, INDEX(142:142,1,_xlpm.colj),
  _xlpm.diffscale, Constantes!$B$2,
  IF(U143="",
    "",
    SUM(1/(1+POWER(10,-(U142-_xlpm.elos)/_xlpm.diffscale)))-0.5)
)</f>
        <v>1.863138262877718</v>
      </c>
      <c r="V144" t="str" cm="1">
        <f t="array" ref="V144">_xlfn.LET(
  _xlpm.colj, _xlfn._xlws.FILTER(IF(ISNUMBER(143:143), COLUMN(143:143)), ISNUMBER(143:143)),
  _xlpm.elos, INDEX(142:142,1,_xlpm.colj),
  _xlpm.diffscale, Constantes!$B$2,
  IF(V143="",
    "",
    SUM(1/(1+POWER(10,-(V142-_xlpm.elos)/_xlpm.diffscale)))-0.5)
)</f>
        <v/>
      </c>
      <c r="W144" t="str" cm="1">
        <f t="array" ref="W144">_xlfn.LET(
  _xlpm.colj, _xlfn._xlws.FILTER(IF(ISNUMBER(143:143), COLUMN(143:143)), ISNUMBER(143:143)),
  _xlpm.elos, INDEX(142:142,1,_xlpm.colj),
  _xlpm.diffscale, Constantes!$B$2,
  IF(W143="",
    "",
    SUM(1/(1+POWER(10,-(W142-_xlpm.elos)/_xlpm.diffscale)))-0.5)
)</f>
        <v/>
      </c>
      <c r="X144" t="str" cm="1">
        <f t="array" ref="X144">_xlfn.LET(
  _xlpm.colj, _xlfn._xlws.FILTER(IF(ISNUMBER(143:143), COLUMN(143:143)), ISNUMBER(143:143)),
  _xlpm.elos, INDEX(142:142,1,_xlpm.colj),
  _xlpm.diffscale, Constantes!$B$2,
  IF(X143="",
    "",
    SUM(1/(1+POWER(10,-(X142-_xlpm.elos)/_xlpm.diffscale)))-0.5)
)</f>
        <v/>
      </c>
      <c r="Y144" t="str" cm="1">
        <f t="array" ref="Y144">_xlfn.LET(
  _xlpm.colj, _xlfn._xlws.FILTER(IF(ISNUMBER(143:143), COLUMN(143:143)), ISNUMBER(143:143)),
  _xlpm.elos, INDEX(142:142,1,_xlpm.colj),
  _xlpm.diffscale, Constantes!$B$2,
  IF(Y143="",
    "",
    SUM(1/(1+POWER(10,-(Y142-_xlpm.elos)/_xlpm.diffscale)))-0.5)
)</f>
        <v/>
      </c>
      <c r="Z144" t="str" cm="1">
        <f t="array" ref="Z144">_xlfn.LET(
  _xlpm.colj, _xlfn._xlws.FILTER(IF(ISNUMBER(143:143), COLUMN(143:143)), ISNUMBER(143:143)),
  _xlpm.elos, INDEX(142:142,1,_xlpm.colj),
  _xlpm.diffscale, Constantes!$B$2,
  IF(Z143="",
    "",
    SUM(1/(1+POWER(10,-(Z142-_xlpm.elos)/_xlpm.diffscale)))-0.5)
)</f>
        <v/>
      </c>
      <c r="AA144" t="str" cm="1">
        <f t="array" ref="AA144">_xlfn.LET(
  _xlpm.colj, _xlfn._xlws.FILTER(IF(ISNUMBER(143:143), COLUMN(143:143)), ISNUMBER(143:143)),
  _xlpm.elos, INDEX(142:142,1,_xlpm.colj),
  _xlpm.diffscale, Constantes!$B$2,
  IF(AA143="",
    "",
    SUM(1/(1+POWER(10,-(AA142-_xlpm.elos)/_xlpm.diffscale)))-0.5)
)</f>
        <v/>
      </c>
      <c r="AB144" t="str" cm="1">
        <f t="array" ref="AB144">_xlfn.LET(
  _xlpm.colj, _xlfn._xlws.FILTER(IF(ISNUMBER(143:143), COLUMN(143:143)), ISNUMBER(143:143)),
  _xlpm.elos, INDEX(142:142,1,_xlpm.colj),
  _xlpm.diffscale, Constantes!$B$2,
  IF(AB143="",
    "",
    SUM(1/(1+POWER(10,-(AB142-_xlpm.elos)/_xlpm.diffscale)))-0.5)
)</f>
        <v/>
      </c>
      <c r="AC144" t="str" cm="1">
        <f t="array" ref="AC144">_xlfn.LET(
  _xlpm.colj, _xlfn._xlws.FILTER(IF(ISNUMBER(143:143), COLUMN(143:143)), ISNUMBER(143:143)),
  _xlpm.elos, INDEX(142:142,1,_xlpm.colj),
  _xlpm.diffscale, Constantes!$B$2,
  IF(AC143="",
    "",
    SUM(1/(1+POWER(10,-(AC142-_xlpm.elos)/_xlpm.diffscale)))-0.5)
)</f>
        <v/>
      </c>
      <c r="AD144" t="str" cm="1">
        <f t="array" ref="AD144">_xlfn.LET(
  _xlpm.colj, _xlfn._xlws.FILTER(IF(ISNUMBER(143:143), COLUMN(143:143)), ISNUMBER(143:143)),
  _xlpm.elos, INDEX(142:142,1,_xlpm.colj),
  _xlpm.diffscale, Constantes!$B$2,
  IF(AD143="",
    "",
    SUM(1/(1+POWER(10,-(AD142-_xlpm.elos)/_xlpm.diffscale)))-0.5)
)</f>
        <v/>
      </c>
      <c r="AE144" t="str" cm="1">
        <f t="array" ref="AE144">_xlfn.LET(
  _xlpm.colj, _xlfn._xlws.FILTER(IF(ISNUMBER(143:143), COLUMN(143:143)), ISNUMBER(143:143)),
  _xlpm.elos, INDEX(142:142,1,_xlpm.colj),
  _xlpm.diffscale, Constantes!$B$2,
  IF(AE143="",
    "",
    SUM(1/(1+POWER(10,-(AE142-_xlpm.elos)/_xlpm.diffscale)))-0.5)
)</f>
        <v/>
      </c>
      <c r="AF144" t="str" cm="1">
        <f t="array" ref="AF144">_xlfn.LET(
  _xlpm.colj, _xlfn._xlws.FILTER(IF(ISNUMBER(143:143), COLUMN(143:143)), ISNUMBER(143:143)),
  _xlpm.elos, INDEX(142:142,1,_xlpm.colj),
  _xlpm.diffscale, Constantes!$B$2,
  IF(AF143="",
    "",
    SUM(1/(1+POWER(10,-(AF142-_xlpm.elos)/_xlpm.diffscale)))-0.5)
)</f>
        <v/>
      </c>
      <c r="AG144" t="str" cm="1">
        <f t="array" ref="AG144">_xlfn.LET(
  _xlpm.colj, _xlfn._xlws.FILTER(IF(ISNUMBER(143:143), COLUMN(143:143)), ISNUMBER(143:143)),
  _xlpm.elos, INDEX(142:142,1,_xlpm.colj),
  _xlpm.diffscale, Constantes!$B$2,
  IF(AG143="",
    "",
    SUM(1/(1+POWER(10,-(AG142-_xlpm.elos)/_xlpm.diffscale)))-0.5)
)</f>
        <v/>
      </c>
      <c r="AH144" t="str" cm="1">
        <f t="array" ref="AH144">_xlfn.LET(
  _xlpm.colj, _xlfn._xlws.FILTER(IF(ISNUMBER(143:143), COLUMN(143:143)), ISNUMBER(143:143)),
  _xlpm.elos, INDEX(142:142,1,_xlpm.colj),
  _xlpm.diffscale, Constantes!$B$2,
  IF(AH143="",
    "",
    SUM(1/(1+POWER(10,-(AH142-_xlpm.elos)/_xlpm.diffscale)))-0.5)
)</f>
        <v/>
      </c>
      <c r="AI144" t="str" cm="1">
        <f t="array" ref="AI144">_xlfn.LET(
  _xlpm.colj, _xlfn._xlws.FILTER(IF(ISNUMBER(143:143), COLUMN(143:143)), ISNUMBER(143:143)),
  _xlpm.elos, INDEX(142:142,1,_xlpm.colj),
  _xlpm.diffscale, Constantes!$B$2,
  IF(AI143="",
    "",
    SUM(1/(1+POWER(10,-(AI142-_xlpm.elos)/_xlpm.diffscale)))-0.5)
)</f>
        <v/>
      </c>
      <c r="AJ144" t="str" cm="1">
        <f t="array" ref="AJ144">_xlfn.LET(
  _xlpm.colj, _xlfn._xlws.FILTER(IF(ISNUMBER(143:143), COLUMN(143:143)), ISNUMBER(143:143)),
  _xlpm.elos, INDEX(142:142,1,_xlpm.colj),
  _xlpm.diffscale, Constantes!$B$2,
  IF(AJ143="",
    "",
    SUM(1/(1+POWER(10,-(AJ142-_xlpm.elos)/_xlpm.diffscale)))-0.5)
)</f>
        <v/>
      </c>
      <c r="AK144" t="str" cm="1">
        <f t="array" ref="AK144">_xlfn.LET(
  _xlpm.colj, _xlfn._xlws.FILTER(IF(ISNUMBER(143:143), COLUMN(143:143)), ISNUMBER(143:143)),
  _xlpm.elos, INDEX(142:142,1,_xlpm.colj),
  _xlpm.diffscale, Constantes!$B$2,
  IF(AK143="",
    "",
    SUM(1/(1+POWER(10,-(AK142-_xlpm.elos)/_xlpm.diffscale)))-0.5)
)</f>
        <v/>
      </c>
      <c r="AL144" t="str" cm="1">
        <f t="array" ref="AL144">_xlfn.LET(
  _xlpm.colj, _xlfn._xlws.FILTER(IF(ISNUMBER(143:143), COLUMN(143:143)), ISNUMBER(143:143)),
  _xlpm.elos, INDEX(142:142,1,_xlpm.colj),
  _xlpm.diffscale, Constantes!$B$2,
  IF(AL143="",
    "",
    SUM(1/(1+POWER(10,-(AL142-_xlpm.elos)/_xlpm.diffscale)))-0.5)
)</f>
        <v/>
      </c>
      <c r="AM144" t="str" cm="1">
        <f t="array" ref="AM144">_xlfn.LET(
  _xlpm.colj, _xlfn._xlws.FILTER(IF(ISNUMBER(143:143), COLUMN(143:143)), ISNUMBER(143:143)),
  _xlpm.elos, INDEX(142:142,1,_xlpm.colj),
  _xlpm.diffscale, Constantes!$B$2,
  IF(AM143="",
    "",
    SUM(1/(1+POWER(10,-(AM142-_xlpm.elos)/_xlpm.diffscale)))-0.5)
)</f>
        <v/>
      </c>
    </row>
    <row r="145" spans="1:39" x14ac:dyDescent="0.25">
      <c r="A145" t="s">
        <v>22</v>
      </c>
      <c r="D145" t="str" cm="1">
        <f t="array" ref="D145">_xlfn.LET(
  _xlpm.K, Constantes!$B$3,
  _xlpm.Knewgain, Constantes!$B$4,
  _xlpm.Knewscale, Constantes!$B$5,
  _xlpm.ptstables, INDEX(D:D, _xlfn.SEQUENCE(COUNTA($C$2:$C145), 1, 3, 4)),
  _xlpm.nbparties, COUNTA(_xlfn._xlws.FILTER(_xlpm.ptstables, _xlpm.ptstables &lt;&gt; "")),
  _xlpm.coef, _xlpm.K + _xlpm.Knewgain / (_xlpm.Knewscale + _xlpm.nbparties),
  IF(D143="",
    "",
    _xlpm.coef * (D143-D144))
)</f>
        <v/>
      </c>
      <c r="E145" t="str" cm="1">
        <f t="array" ref="E145">_xlfn.LET(
  _xlpm.K, Constantes!$B$3,
  _xlpm.Knewgain, Constantes!$B$4,
  _xlpm.Knewscale, Constantes!$B$5,
  _xlpm.ptstables, INDEX(E:E, _xlfn.SEQUENCE(COUNTA($C$2:$C145), 1, 3, 4)),
  _xlpm.nbparties, COUNTA(_xlfn._xlws.FILTER(_xlpm.ptstables, _xlpm.ptstables &lt;&gt; "")),
  _xlpm.coef, _xlpm.K + _xlpm.Knewgain / (_xlpm.Knewscale + _xlpm.nbparties),
  IF(E143="",
    "",
    _xlpm.coef * (E143-E144))
)</f>
        <v/>
      </c>
      <c r="F145" cm="1">
        <f t="array" ref="F145">_xlfn.LET(
  _xlpm.K, Constantes!$B$3,
  _xlpm.Knewgain, Constantes!$B$4,
  _xlpm.Knewscale, Constantes!$B$5,
  _xlpm.ptstables, INDEX(F:F, _xlfn.SEQUENCE(COUNTA($C$2:$C145), 1, 3, 4)),
  _xlpm.nbparties, COUNTA(_xlfn._xlws.FILTER(_xlpm.ptstables, _xlpm.ptstables &lt;&gt; "")),
  _xlpm.coef, _xlpm.K + _xlpm.Knewgain / (_xlpm.Knewscale + _xlpm.nbparties),
  IF(F143="",
    "",
    _xlpm.coef * (F143-F144))
)</f>
        <v>-15.723474361814691</v>
      </c>
      <c r="G145" cm="1">
        <f t="array" ref="G145">_xlfn.LET(
  _xlpm.K, Constantes!$B$3,
  _xlpm.Knewgain, Constantes!$B$4,
  _xlpm.Knewscale, Constantes!$B$5,
  _xlpm.ptstables, INDEX(G:G, _xlfn.SEQUENCE(COUNTA($C$2:$C145), 1, 3, 4)),
  _xlpm.nbparties, COUNTA(_xlfn._xlws.FILTER(_xlpm.ptstables, _xlpm.ptstables &lt;&gt; "")),
  _xlpm.coef, _xlpm.K + _xlpm.Knewgain / (_xlpm.Knewscale + _xlpm.nbparties),
  IF(G143="",
    "",
    _xlpm.coef * (G143-G144))
)</f>
        <v>11.091940280581323</v>
      </c>
      <c r="H145" t="str" cm="1">
        <f t="array" ref="H145">_xlfn.LET(
  _xlpm.K, Constantes!$B$3,
  _xlpm.Knewgain, Constantes!$B$4,
  _xlpm.Knewscale, Constantes!$B$5,
  _xlpm.ptstables, INDEX(H:H, _xlfn.SEQUENCE(COUNTA($C$2:$C145), 1, 3, 4)),
  _xlpm.nbparties, COUNTA(_xlfn._xlws.FILTER(_xlpm.ptstables, _xlpm.ptstables &lt;&gt; "")),
  _xlpm.coef, _xlpm.K + _xlpm.Knewgain / (_xlpm.Knewscale + _xlpm.nbparties),
  IF(H143="",
    "",
    _xlpm.coef * (H143-H144))
)</f>
        <v/>
      </c>
      <c r="I145" t="str" cm="1">
        <f t="array" ref="I145">_xlfn.LET(
  _xlpm.K, Constantes!$B$3,
  _xlpm.Knewgain, Constantes!$B$4,
  _xlpm.Knewscale, Constantes!$B$5,
  _xlpm.ptstables, INDEX(I:I, _xlfn.SEQUENCE(COUNTA($C$2:$C145), 1, 3, 4)),
  _xlpm.nbparties, COUNTA(_xlfn._xlws.FILTER(_xlpm.ptstables, _xlpm.ptstables &lt;&gt; "")),
  _xlpm.coef, _xlpm.K + _xlpm.Knewgain / (_xlpm.Knewscale + _xlpm.nbparties),
  IF(I143="",
    "",
    _xlpm.coef * (I143-I144))
)</f>
        <v/>
      </c>
      <c r="J145" t="str" cm="1">
        <f t="array" ref="J145">_xlfn.LET(
  _xlpm.K, Constantes!$B$3,
  _xlpm.Knewgain, Constantes!$B$4,
  _xlpm.Knewscale, Constantes!$B$5,
  _xlpm.ptstables, INDEX(J:J, _xlfn.SEQUENCE(COUNTA($C$2:$C145), 1, 3, 4)),
  _xlpm.nbparties, COUNTA(_xlfn._xlws.FILTER(_xlpm.ptstables, _xlpm.ptstables &lt;&gt; "")),
  _xlpm.coef, _xlpm.K + _xlpm.Knewgain / (_xlpm.Knewscale + _xlpm.nbparties),
  IF(J143="",
    "",
    _xlpm.coef * (J143-J144))
)</f>
        <v/>
      </c>
      <c r="K145" t="str" cm="1">
        <f t="array" ref="K145">_xlfn.LET(
  _xlpm.K, Constantes!$B$3,
  _xlpm.Knewgain, Constantes!$B$4,
  _xlpm.Knewscale, Constantes!$B$5,
  _xlpm.ptstables, INDEX(K:K, _xlfn.SEQUENCE(COUNTA($C$2:$C145), 1, 3, 4)),
  _xlpm.nbparties, COUNTA(_xlfn._xlws.FILTER(_xlpm.ptstables, _xlpm.ptstables &lt;&gt; "")),
  _xlpm.coef, _xlpm.K + _xlpm.Knewgain / (_xlpm.Knewscale + _xlpm.nbparties),
  IF(K143="",
    "",
    _xlpm.coef * (K143-K144))
)</f>
        <v/>
      </c>
      <c r="L145" t="str" cm="1">
        <f t="array" ref="L145">_xlfn.LET(
  _xlpm.K, Constantes!$B$3,
  _xlpm.Knewgain, Constantes!$B$4,
  _xlpm.Knewscale, Constantes!$B$5,
  _xlpm.ptstables, INDEX(L:L, _xlfn.SEQUENCE(COUNTA($C$2:$C145), 1, 3, 4)),
  _xlpm.nbparties, COUNTA(_xlfn._xlws.FILTER(_xlpm.ptstables, _xlpm.ptstables &lt;&gt; "")),
  _xlpm.coef, _xlpm.K + _xlpm.Knewgain / (_xlpm.Knewscale + _xlpm.nbparties),
  IF(L143="",
    "",
    _xlpm.coef * (L143-L144))
)</f>
        <v/>
      </c>
      <c r="M145" t="str" cm="1">
        <f t="array" ref="M145">_xlfn.LET(
  _xlpm.K, Constantes!$B$3,
  _xlpm.Knewgain, Constantes!$B$4,
  _xlpm.Knewscale, Constantes!$B$5,
  _xlpm.ptstables, INDEX(M:M, _xlfn.SEQUENCE(COUNTA($C$2:$C145), 1, 3, 4)),
  _xlpm.nbparties, COUNTA(_xlfn._xlws.FILTER(_xlpm.ptstables, _xlpm.ptstables &lt;&gt; "")),
  _xlpm.coef, _xlpm.K + _xlpm.Knewgain / (_xlpm.Knewscale + _xlpm.nbparties),
  IF(M143="",
    "",
    _xlpm.coef * (M143-M144))
)</f>
        <v/>
      </c>
      <c r="N145" t="str" cm="1">
        <f t="array" ref="N145">_xlfn.LET(
  _xlpm.K, Constantes!$B$3,
  _xlpm.Knewgain, Constantes!$B$4,
  _xlpm.Knewscale, Constantes!$B$5,
  _xlpm.ptstables, INDEX(N:N, _xlfn.SEQUENCE(COUNTA($C$2:$C145), 1, 3, 4)),
  _xlpm.nbparties, COUNTA(_xlfn._xlws.FILTER(_xlpm.ptstables, _xlpm.ptstables &lt;&gt; "")),
  _xlpm.coef, _xlpm.K + _xlpm.Knewgain / (_xlpm.Knewscale + _xlpm.nbparties),
  IF(N143="",
    "",
    _xlpm.coef * (N143-N144))
)</f>
        <v/>
      </c>
      <c r="O145" t="str" cm="1">
        <f t="array" ref="O145">_xlfn.LET(
  _xlpm.K, Constantes!$B$3,
  _xlpm.Knewgain, Constantes!$B$4,
  _xlpm.Knewscale, Constantes!$B$5,
  _xlpm.ptstables, INDEX(O:O, _xlfn.SEQUENCE(COUNTA($C$2:$C145), 1, 3, 4)),
  _xlpm.nbparties, COUNTA(_xlfn._xlws.FILTER(_xlpm.ptstables, _xlpm.ptstables &lt;&gt; "")),
  _xlpm.coef, _xlpm.K + _xlpm.Knewgain / (_xlpm.Knewscale + _xlpm.nbparties),
  IF(O143="",
    "",
    _xlpm.coef * (O143-O144))
)</f>
        <v/>
      </c>
      <c r="P145" t="str" cm="1">
        <f t="array" ref="P145">_xlfn.LET(
  _xlpm.K, Constantes!$B$3,
  _xlpm.Knewgain, Constantes!$B$4,
  _xlpm.Knewscale, Constantes!$B$5,
  _xlpm.ptstables, INDEX(P:P, _xlfn.SEQUENCE(COUNTA($C$2:$C145), 1, 3, 4)),
  _xlpm.nbparties, COUNTA(_xlfn._xlws.FILTER(_xlpm.ptstables, _xlpm.ptstables &lt;&gt; "")),
  _xlpm.coef, _xlpm.K + _xlpm.Knewgain / (_xlpm.Knewscale + _xlpm.nbparties),
  IF(P143="",
    "",
    _xlpm.coef * (P143-P144))
)</f>
        <v/>
      </c>
      <c r="Q145" cm="1">
        <f t="array" ref="Q145">_xlfn.LET(
  _xlpm.K, Constantes!$B$3,
  _xlpm.Knewgain, Constantes!$B$4,
  _xlpm.Knewscale, Constantes!$B$5,
  _xlpm.ptstables, INDEX(Q:Q, _xlfn.SEQUENCE(COUNTA($C$2:$C145), 1, 3, 4)),
  _xlpm.nbparties, COUNTA(_xlfn._xlws.FILTER(_xlpm.ptstables, _xlpm.ptstables &lt;&gt; "")),
  _xlpm.coef, _xlpm.K + _xlpm.Knewgain / (_xlpm.Knewscale + _xlpm.nbparties),
  IF(Q143="",
    "",
    _xlpm.coef * (Q143-Q144))
)</f>
        <v>-24.46028797116584</v>
      </c>
      <c r="R145" t="str" cm="1">
        <f t="array" ref="R145">_xlfn.LET(
  _xlpm.K, Constantes!$B$3,
  _xlpm.Knewgain, Constantes!$B$4,
  _xlpm.Knewscale, Constantes!$B$5,
  _xlpm.ptstables, INDEX(R:R, _xlfn.SEQUENCE(COUNTA($C$2:$C145), 1, 3, 4)),
  _xlpm.nbparties, COUNTA(_xlfn._xlws.FILTER(_xlpm.ptstables, _xlpm.ptstables &lt;&gt; "")),
  _xlpm.coef, _xlpm.K + _xlpm.Knewgain / (_xlpm.Knewscale + _xlpm.nbparties),
  IF(R143="",
    "",
    _xlpm.coef * (R143-R144))
)</f>
        <v/>
      </c>
      <c r="S145" t="str" cm="1">
        <f t="array" ref="S145">_xlfn.LET(
  _xlpm.K, Constantes!$B$3,
  _xlpm.Knewgain, Constantes!$B$4,
  _xlpm.Knewscale, Constantes!$B$5,
  _xlpm.ptstables, INDEX(S:S, _xlfn.SEQUENCE(COUNTA($C$2:$C145), 1, 3, 4)),
  _xlpm.nbparties, COUNTA(_xlfn._xlws.FILTER(_xlpm.ptstables, _xlpm.ptstables &lt;&gt; "")),
  _xlpm.coef, _xlpm.K + _xlpm.Knewgain / (_xlpm.Knewscale + _xlpm.nbparties),
  IF(S143="",
    "",
    _xlpm.coef * (S143-S144))
)</f>
        <v/>
      </c>
      <c r="T145" t="str" cm="1">
        <f t="array" ref="T145">_xlfn.LET(
  _xlpm.K, Constantes!$B$3,
  _xlpm.Knewgain, Constantes!$B$4,
  _xlpm.Knewscale, Constantes!$B$5,
  _xlpm.ptstables, INDEX(T:T, _xlfn.SEQUENCE(COUNTA($C$2:$C145), 1, 3, 4)),
  _xlpm.nbparties, COUNTA(_xlfn._xlws.FILTER(_xlpm.ptstables, _xlpm.ptstables &lt;&gt; "")),
  _xlpm.coef, _xlpm.K + _xlpm.Knewgain / (_xlpm.Knewscale + _xlpm.nbparties),
  IF(T143="",
    "",
    _xlpm.coef * (T143-T144))
)</f>
        <v/>
      </c>
      <c r="U145" cm="1">
        <f t="array" ref="U145">_xlfn.LET(
  _xlpm.K, Constantes!$B$3,
  _xlpm.Knewgain, Constantes!$B$4,
  _xlpm.Knewscale, Constantes!$B$5,
  _xlpm.ptstables, INDEX(U:U, _xlfn.SEQUENCE(COUNTA($C$2:$C145), 1, 3, 4)),
  _xlpm.nbparties, COUNTA(_xlfn._xlws.FILTER(_xlpm.ptstables, _xlpm.ptstables &lt;&gt; "")),
  _xlpm.coef, _xlpm.K + _xlpm.Knewgain / (_xlpm.Knewscale + _xlpm.nbparties),
  IF(U143="",
    "",
    _xlpm.coef * (U143-U144))
)</f>
        <v>27.904788093001468</v>
      </c>
      <c r="V145" t="str" cm="1">
        <f t="array" ref="V145">_xlfn.LET(
  _xlpm.K, Constantes!$B$3,
  _xlpm.Knewgain, Constantes!$B$4,
  _xlpm.Knewscale, Constantes!$B$5,
  _xlpm.ptstables, INDEX(V:V, _xlfn.SEQUENCE(COUNTA($C$2:$C145), 1, 3, 4)),
  _xlpm.nbparties, COUNTA(_xlfn._xlws.FILTER(_xlpm.ptstables, _xlpm.ptstables &lt;&gt; "")),
  _xlpm.coef, _xlpm.K + _xlpm.Knewgain / (_xlpm.Knewscale + _xlpm.nbparties),
  IF(V143="",
    "",
    _xlpm.coef * (V143-V144))
)</f>
        <v/>
      </c>
      <c r="W145" t="str" cm="1">
        <f t="array" ref="W145">_xlfn.LET(
  _xlpm.K, Constantes!$B$3,
  _xlpm.Knewgain, Constantes!$B$4,
  _xlpm.Knewscale, Constantes!$B$5,
  _xlpm.ptstables, INDEX(W:W, _xlfn.SEQUENCE(COUNTA($C$2:$C145), 1, 3, 4)),
  _xlpm.nbparties, COUNTA(_xlfn._xlws.FILTER(_xlpm.ptstables, _xlpm.ptstables &lt;&gt; "")),
  _xlpm.coef, _xlpm.K + _xlpm.Knewgain / (_xlpm.Knewscale + _xlpm.nbparties),
  IF(W143="",
    "",
    _xlpm.coef * (W143-W144))
)</f>
        <v/>
      </c>
      <c r="X145" t="str" cm="1">
        <f t="array" ref="X145">_xlfn.LET(
  _xlpm.K, Constantes!$B$3,
  _xlpm.Knewgain, Constantes!$B$4,
  _xlpm.Knewscale, Constantes!$B$5,
  _xlpm.ptstables, INDEX(X:X, _xlfn.SEQUENCE(COUNTA($C$2:$C145), 1, 3, 4)),
  _xlpm.nbparties, COUNTA(_xlfn._xlws.FILTER(_xlpm.ptstables, _xlpm.ptstables &lt;&gt; "")),
  _xlpm.coef, _xlpm.K + _xlpm.Knewgain / (_xlpm.Knewscale + _xlpm.nbparties),
  IF(X143="",
    "",
    _xlpm.coef * (X143-X144))
)</f>
        <v/>
      </c>
      <c r="Y145" t="str" cm="1">
        <f t="array" ref="Y145">_xlfn.LET(
  _xlpm.K, Constantes!$B$3,
  _xlpm.Knewgain, Constantes!$B$4,
  _xlpm.Knewscale, Constantes!$B$5,
  _xlpm.ptstables, INDEX(Y:Y, _xlfn.SEQUENCE(COUNTA($C$2:$C145), 1, 3, 4)),
  _xlpm.nbparties, COUNTA(_xlfn._xlws.FILTER(_xlpm.ptstables, _xlpm.ptstables &lt;&gt; "")),
  _xlpm.coef, _xlpm.K + _xlpm.Knewgain / (_xlpm.Knewscale + _xlpm.nbparties),
  IF(Y143="",
    "",
    _xlpm.coef * (Y143-Y144))
)</f>
        <v/>
      </c>
      <c r="Z145" t="str" cm="1">
        <f t="array" ref="Z145">_xlfn.LET(
  _xlpm.K, Constantes!$B$3,
  _xlpm.Knewgain, Constantes!$B$4,
  _xlpm.Knewscale, Constantes!$B$5,
  _xlpm.ptstables, INDEX(Z:Z, _xlfn.SEQUENCE(COUNTA($C$2:$C145), 1, 3, 4)),
  _xlpm.nbparties, COUNTA(_xlfn._xlws.FILTER(_xlpm.ptstables, _xlpm.ptstables &lt;&gt; "")),
  _xlpm.coef, _xlpm.K + _xlpm.Knewgain / (_xlpm.Knewscale + _xlpm.nbparties),
  IF(Z143="",
    "",
    _xlpm.coef * (Z143-Z144))
)</f>
        <v/>
      </c>
      <c r="AA145" t="str" cm="1">
        <f t="array" ref="AA145">_xlfn.LET(
  _xlpm.K, Constantes!$B$3,
  _xlpm.Knewgain, Constantes!$B$4,
  _xlpm.Knewscale, Constantes!$B$5,
  _xlpm.ptstables, INDEX(AA:AA, _xlfn.SEQUENCE(COUNTA($C$2:$C145), 1, 3, 4)),
  _xlpm.nbparties, COUNTA(_xlfn._xlws.FILTER(_xlpm.ptstables, _xlpm.ptstables &lt;&gt; "")),
  _xlpm.coef, _xlpm.K + _xlpm.Knewgain / (_xlpm.Knewscale + _xlpm.nbparties),
  IF(AA143="",
    "",
    _xlpm.coef * (AA143-AA144))
)</f>
        <v/>
      </c>
      <c r="AB145" t="str" cm="1">
        <f t="array" ref="AB145">_xlfn.LET(
  _xlpm.K, Constantes!$B$3,
  _xlpm.Knewgain, Constantes!$B$4,
  _xlpm.Knewscale, Constantes!$B$5,
  _xlpm.ptstables, INDEX(AB:AB, _xlfn.SEQUENCE(COUNTA($C$2:$C145), 1, 3, 4)),
  _xlpm.nbparties, COUNTA(_xlfn._xlws.FILTER(_xlpm.ptstables, _xlpm.ptstables &lt;&gt; "")),
  _xlpm.coef, _xlpm.K + _xlpm.Knewgain / (_xlpm.Knewscale + _xlpm.nbparties),
  IF(AB143="",
    "",
    _xlpm.coef * (AB143-AB144))
)</f>
        <v/>
      </c>
      <c r="AC145" t="str" cm="1">
        <f t="array" ref="AC145">_xlfn.LET(
  _xlpm.K, Constantes!$B$3,
  _xlpm.Knewgain, Constantes!$B$4,
  _xlpm.Knewscale, Constantes!$B$5,
  _xlpm.ptstables, INDEX(AC:AC, _xlfn.SEQUENCE(COUNTA($C$2:$C145), 1, 3, 4)),
  _xlpm.nbparties, COUNTA(_xlfn._xlws.FILTER(_xlpm.ptstables, _xlpm.ptstables &lt;&gt; "")),
  _xlpm.coef, _xlpm.K + _xlpm.Knewgain / (_xlpm.Knewscale + _xlpm.nbparties),
  IF(AC143="",
    "",
    _xlpm.coef * (AC143-AC144))
)</f>
        <v/>
      </c>
      <c r="AD145" t="str" cm="1">
        <f t="array" ref="AD145">_xlfn.LET(
  _xlpm.K, Constantes!$B$3,
  _xlpm.Knewgain, Constantes!$B$4,
  _xlpm.Knewscale, Constantes!$B$5,
  _xlpm.ptstables, INDEX(AD:AD, _xlfn.SEQUENCE(COUNTA($C$2:$C145), 1, 3, 4)),
  _xlpm.nbparties, COUNTA(_xlfn._xlws.FILTER(_xlpm.ptstables, _xlpm.ptstables &lt;&gt; "")),
  _xlpm.coef, _xlpm.K + _xlpm.Knewgain / (_xlpm.Knewscale + _xlpm.nbparties),
  IF(AD143="",
    "",
    _xlpm.coef * (AD143-AD144))
)</f>
        <v/>
      </c>
      <c r="AE145" t="str" cm="1">
        <f t="array" ref="AE145">_xlfn.LET(
  _xlpm.K, Constantes!$B$3,
  _xlpm.Knewgain, Constantes!$B$4,
  _xlpm.Knewscale, Constantes!$B$5,
  _xlpm.ptstables, INDEX(AE:AE, _xlfn.SEQUENCE(COUNTA($C$2:$C145), 1, 3, 4)),
  _xlpm.nbparties, COUNTA(_xlfn._xlws.FILTER(_xlpm.ptstables, _xlpm.ptstables &lt;&gt; "")),
  _xlpm.coef, _xlpm.K + _xlpm.Knewgain / (_xlpm.Knewscale + _xlpm.nbparties),
  IF(AE143="",
    "",
    _xlpm.coef * (AE143-AE144))
)</f>
        <v/>
      </c>
      <c r="AF145" t="str" cm="1">
        <f t="array" ref="AF145">_xlfn.LET(
  _xlpm.K, Constantes!$B$3,
  _xlpm.Knewgain, Constantes!$B$4,
  _xlpm.Knewscale, Constantes!$B$5,
  _xlpm.ptstables, INDEX(AF:AF, _xlfn.SEQUENCE(COUNTA($C$2:$C145), 1, 3, 4)),
  _xlpm.nbparties, COUNTA(_xlfn._xlws.FILTER(_xlpm.ptstables, _xlpm.ptstables &lt;&gt; "")),
  _xlpm.coef, _xlpm.K + _xlpm.Knewgain / (_xlpm.Knewscale + _xlpm.nbparties),
  IF(AF143="",
    "",
    _xlpm.coef * (AF143-AF144))
)</f>
        <v/>
      </c>
      <c r="AG145" t="str" cm="1">
        <f t="array" ref="AG145">_xlfn.LET(
  _xlpm.K, Constantes!$B$3,
  _xlpm.Knewgain, Constantes!$B$4,
  _xlpm.Knewscale, Constantes!$B$5,
  _xlpm.ptstables, INDEX(AG:AG, _xlfn.SEQUENCE(COUNTA($C$2:$C145), 1, 3, 4)),
  _xlpm.nbparties, COUNTA(_xlfn._xlws.FILTER(_xlpm.ptstables, _xlpm.ptstables &lt;&gt; "")),
  _xlpm.coef, _xlpm.K + _xlpm.Knewgain / (_xlpm.Knewscale + _xlpm.nbparties),
  IF(AG143="",
    "",
    _xlpm.coef * (AG143-AG144))
)</f>
        <v/>
      </c>
      <c r="AH145" t="str" cm="1">
        <f t="array" ref="AH145">_xlfn.LET(
  _xlpm.K, Constantes!$B$3,
  _xlpm.Knewgain, Constantes!$B$4,
  _xlpm.Knewscale, Constantes!$B$5,
  _xlpm.ptstables, INDEX(AH:AH, _xlfn.SEQUENCE(COUNTA($C$2:$C145), 1, 3, 4)),
  _xlpm.nbparties, COUNTA(_xlfn._xlws.FILTER(_xlpm.ptstables, _xlpm.ptstables &lt;&gt; "")),
  _xlpm.coef, _xlpm.K + _xlpm.Knewgain / (_xlpm.Knewscale + _xlpm.nbparties),
  IF(AH143="",
    "",
    _xlpm.coef * (AH143-AH144))
)</f>
        <v/>
      </c>
      <c r="AI145" t="str" cm="1">
        <f t="array" ref="AI145">_xlfn.LET(
  _xlpm.K, Constantes!$B$3,
  _xlpm.Knewgain, Constantes!$B$4,
  _xlpm.Knewscale, Constantes!$B$5,
  _xlpm.ptstables, INDEX(AI:AI, _xlfn.SEQUENCE(COUNTA($C$2:$C145), 1, 3, 4)),
  _xlpm.nbparties, COUNTA(_xlfn._xlws.FILTER(_xlpm.ptstables, _xlpm.ptstables &lt;&gt; "")),
  _xlpm.coef, _xlpm.K + _xlpm.Knewgain / (_xlpm.Knewscale + _xlpm.nbparties),
  IF(AI143="",
    "",
    _xlpm.coef * (AI143-AI144))
)</f>
        <v/>
      </c>
      <c r="AJ145" t="str" cm="1">
        <f t="array" ref="AJ145">_xlfn.LET(
  _xlpm.K, Constantes!$B$3,
  _xlpm.Knewgain, Constantes!$B$4,
  _xlpm.Knewscale, Constantes!$B$5,
  _xlpm.ptstables, INDEX(AJ:AJ, _xlfn.SEQUENCE(COUNTA($C$2:$C145), 1, 3, 4)),
  _xlpm.nbparties, COUNTA(_xlfn._xlws.FILTER(_xlpm.ptstables, _xlpm.ptstables &lt;&gt; "")),
  _xlpm.coef, _xlpm.K + _xlpm.Knewgain / (_xlpm.Knewscale + _xlpm.nbparties),
  IF(AJ143="",
    "",
    _xlpm.coef * (AJ143-AJ144))
)</f>
        <v/>
      </c>
      <c r="AK145" t="str" cm="1">
        <f t="array" ref="AK145">_xlfn.LET(
  _xlpm.K, Constantes!$B$3,
  _xlpm.Knewgain, Constantes!$B$4,
  _xlpm.Knewscale, Constantes!$B$5,
  _xlpm.ptstables, INDEX(AK:AK, _xlfn.SEQUENCE(COUNTA($C$2:$C145), 1, 3, 4)),
  _xlpm.nbparties, COUNTA(_xlfn._xlws.FILTER(_xlpm.ptstables, _xlpm.ptstables &lt;&gt; "")),
  _xlpm.coef, _xlpm.K + _xlpm.Knewgain / (_xlpm.Knewscale + _xlpm.nbparties),
  IF(AK143="",
    "",
    _xlpm.coef * (AK143-AK144))
)</f>
        <v/>
      </c>
      <c r="AL145" t="str" cm="1">
        <f t="array" ref="AL145">_xlfn.LET(
  _xlpm.K, Constantes!$B$3,
  _xlpm.Knewgain, Constantes!$B$4,
  _xlpm.Knewscale, Constantes!$B$5,
  _xlpm.ptstables, INDEX(AL:AL, _xlfn.SEQUENCE(COUNTA($C$2:$C145), 1, 3, 4)),
  _xlpm.nbparties, COUNTA(_xlfn._xlws.FILTER(_xlpm.ptstables, _xlpm.ptstables &lt;&gt; "")),
  _xlpm.coef, _xlpm.K + _xlpm.Knewgain / (_xlpm.Knewscale + _xlpm.nbparties),
  IF(AL143="",
    "",
    _xlpm.coef * (AL143-AL144))
)</f>
        <v/>
      </c>
      <c r="AM145" t="str" cm="1">
        <f t="array" ref="AM145">_xlfn.LET(
  _xlpm.K, Constantes!$B$3,
  _xlpm.Knewgain, Constantes!$B$4,
  _xlpm.Knewscale, Constantes!$B$5,
  _xlpm.ptstables, INDEX(AM:AM, _xlfn.SEQUENCE(COUNTA($C$2:$C145), 1, 3, 4)),
  _xlpm.nbparties, COUNTA(_xlfn._xlws.FILTER(_xlpm.ptstables, _xlpm.ptstables &lt;&gt; "")),
  _xlpm.coef, _xlpm.K + _xlpm.Knewgain / (_xlpm.Knewscale + _xlpm.nbparties),
  IF(AM143="",
    "",
    _xlpm.coef * (AM143-AM144))
)</f>
        <v/>
      </c>
    </row>
    <row r="146" spans="1:39" x14ac:dyDescent="0.25">
      <c r="A146" t="s">
        <v>14</v>
      </c>
      <c r="B146" t="str" cm="1">
        <f t="array" ref="B14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37</v>
      </c>
      <c r="C146" s="2" cm="1">
        <f t="array" ref="C146">IF(B146="","",
  INDEX(Donnees!F:F, MATCH(B146, Donnees!F:F, 0)+1))</f>
        <v>45927.592199074075</v>
      </c>
      <c r="D146">
        <f t="shared" ref="D146:AM146" si="44">D142+IF(D145="",0,D145)</f>
        <v>1101.1845187776951</v>
      </c>
      <c r="E146">
        <f t="shared" si="44"/>
        <v>1105.3750854597461</v>
      </c>
      <c r="F146">
        <f t="shared" si="44"/>
        <v>824.99014335107086</v>
      </c>
      <c r="G146">
        <f t="shared" si="44"/>
        <v>1024.6030101366564</v>
      </c>
      <c r="H146">
        <f t="shared" si="44"/>
        <v>1043.8545020183328</v>
      </c>
      <c r="I146">
        <f t="shared" si="44"/>
        <v>1056.8165036600865</v>
      </c>
      <c r="J146">
        <f t="shared" si="44"/>
        <v>938.49433816478961</v>
      </c>
      <c r="K146">
        <f t="shared" si="44"/>
        <v>907.51653081539087</v>
      </c>
      <c r="L146">
        <f t="shared" si="44"/>
        <v>833.43137648430843</v>
      </c>
      <c r="M146">
        <f t="shared" si="44"/>
        <v>913.41986361738122</v>
      </c>
      <c r="N146">
        <f t="shared" si="44"/>
        <v>924.41787774469185</v>
      </c>
      <c r="O146">
        <f t="shared" si="44"/>
        <v>1005.4306950475848</v>
      </c>
      <c r="P146">
        <f t="shared" si="44"/>
        <v>1015.4353469144262</v>
      </c>
      <c r="Q146">
        <f t="shared" si="44"/>
        <v>1072.1642346323029</v>
      </c>
      <c r="R146">
        <f t="shared" si="44"/>
        <v>1105.0852481437867</v>
      </c>
      <c r="S146">
        <f t="shared" si="44"/>
        <v>941.37032948557328</v>
      </c>
      <c r="T146">
        <f t="shared" si="44"/>
        <v>1135.2782658680615</v>
      </c>
      <c r="U146">
        <f t="shared" si="44"/>
        <v>1106.2875102369314</v>
      </c>
      <c r="V146">
        <f t="shared" si="44"/>
        <v>961.58818235691967</v>
      </c>
      <c r="W146">
        <f t="shared" si="44"/>
        <v>936.79085942937002</v>
      </c>
      <c r="X146">
        <f t="shared" si="44"/>
        <v>830.788580615</v>
      </c>
      <c r="Y146">
        <f t="shared" si="44"/>
        <v>1017.4822717685487</v>
      </c>
      <c r="Z146">
        <f t="shared" si="44"/>
        <v>991.11904139672549</v>
      </c>
      <c r="AA146">
        <f t="shared" si="44"/>
        <v>980.56756855165884</v>
      </c>
      <c r="AB146">
        <f t="shared" si="44"/>
        <v>988.35669729544747</v>
      </c>
      <c r="AC146">
        <f t="shared" si="44"/>
        <v>998.96652664479586</v>
      </c>
      <c r="AD146">
        <f t="shared" si="44"/>
        <v>974.01499999999999</v>
      </c>
      <c r="AE146">
        <f t="shared" si="44"/>
        <v>1011.415</v>
      </c>
      <c r="AF146">
        <f t="shared" si="44"/>
        <v>1031.1199999999999</v>
      </c>
      <c r="AG146">
        <f t="shared" si="44"/>
        <v>1001.0350000000001</v>
      </c>
      <c r="AH146">
        <f t="shared" si="44"/>
        <v>994.44</v>
      </c>
      <c r="AI146">
        <f t="shared" si="44"/>
        <v>1000</v>
      </c>
      <c r="AJ146">
        <f t="shared" si="44"/>
        <v>957.2</v>
      </c>
      <c r="AK146">
        <f t="shared" si="44"/>
        <v>1000</v>
      </c>
      <c r="AL146">
        <f t="shared" si="44"/>
        <v>1055.9299999999998</v>
      </c>
      <c r="AM146">
        <f t="shared" si="44"/>
        <v>1000</v>
      </c>
    </row>
    <row r="147" spans="1:39" x14ac:dyDescent="0.25">
      <c r="A147" t="s">
        <v>21</v>
      </c>
      <c r="D147" t="str" cm="1">
        <f t="array" ref="D147">IFERROR(
  _xlfn.LET(
    _xlpm.ligpartie, MATCH($B146, Donnees!$F:$F, 0),
    _xlpm.joueurs, INDEX(Donnees!$A:$Z, _xlpm.ligpartie+1, _xlfn.SEQUENCE(1, 4, 2)),
    INDEX(
      Donnees!$A:$Z,
      _xlpm.ligpartie + 3,
      MATCH(D$1, _xlpm.joueurs, 0) + 1
    )
  ), ""
)</f>
        <v/>
      </c>
      <c r="E147" t="str" cm="1">
        <f t="array" ref="E147">IFERROR(
  _xlfn.LET(
    _xlpm.ligpartie, MATCH($B146, Donnees!$F:$F, 0),
    _xlpm.joueurs, INDEX(Donnees!$A:$Z, _xlpm.ligpartie+1, _xlfn.SEQUENCE(1, 4, 2)),
    INDEX(
      Donnees!$A:$Z,
      _xlpm.ligpartie + 3,
      MATCH(E$1, _xlpm.joueurs, 0) + 1
    )
  ), ""
)</f>
        <v/>
      </c>
      <c r="F147" cm="1">
        <f t="array" ref="F147">IFERROR(
  _xlfn.LET(
    _xlpm.ligpartie, MATCH($B146, Donnees!$F:$F, 0),
    _xlpm.joueurs, INDEX(Donnees!$A:$Z, _xlpm.ligpartie+1, _xlfn.SEQUENCE(1, 4, 2)),
    INDEX(
      Donnees!$A:$Z,
      _xlpm.ligpartie + 3,
      MATCH(F$1, _xlpm.joueurs, 0) + 1
    )
  ), ""
)</f>
        <v>1</v>
      </c>
      <c r="G147" t="str" cm="1">
        <f t="array" ref="G147">IFERROR(
  _xlfn.LET(
    _xlpm.ligpartie, MATCH($B146, Donnees!$F:$F, 0),
    _xlpm.joueurs, INDEX(Donnees!$A:$Z, _xlpm.ligpartie+1, _xlfn.SEQUENCE(1, 4, 2)),
    INDEX(
      Donnees!$A:$Z,
      _xlpm.ligpartie + 3,
      MATCH(G$1, _xlpm.joueurs, 0) + 1
    )
  ), ""
)</f>
        <v/>
      </c>
      <c r="H147" t="str" cm="1">
        <f t="array" ref="H147">IFERROR(
  _xlfn.LET(
    _xlpm.ligpartie, MATCH($B146, Donnees!$F:$F, 0),
    _xlpm.joueurs, INDEX(Donnees!$A:$Z, _xlpm.ligpartie+1, _xlfn.SEQUENCE(1, 4, 2)),
    INDEX(
      Donnees!$A:$Z,
      _xlpm.ligpartie + 3,
      MATCH(H$1, _xlpm.joueurs, 0) + 1
    )
  ), ""
)</f>
        <v/>
      </c>
      <c r="I147" t="str" cm="1">
        <f t="array" ref="I147">IFERROR(
  _xlfn.LET(
    _xlpm.ligpartie, MATCH($B146, Donnees!$F:$F, 0),
    _xlpm.joueurs, INDEX(Donnees!$A:$Z, _xlpm.ligpartie+1, _xlfn.SEQUENCE(1, 4, 2)),
    INDEX(
      Donnees!$A:$Z,
      _xlpm.ligpartie + 3,
      MATCH(I$1, _xlpm.joueurs, 0) + 1
    )
  ), ""
)</f>
        <v/>
      </c>
      <c r="J147" t="str" cm="1">
        <f t="array" ref="J147">IFERROR(
  _xlfn.LET(
    _xlpm.ligpartie, MATCH($B146, Donnees!$F:$F, 0),
    _xlpm.joueurs, INDEX(Donnees!$A:$Z, _xlpm.ligpartie+1, _xlfn.SEQUENCE(1, 4, 2)),
    INDEX(
      Donnees!$A:$Z,
      _xlpm.ligpartie + 3,
      MATCH(J$1, _xlpm.joueurs, 0) + 1
    )
  ), ""
)</f>
        <v/>
      </c>
      <c r="K147" t="str" cm="1">
        <f t="array" ref="K147">IFERROR(
  _xlfn.LET(
    _xlpm.ligpartie, MATCH($B146, Donnees!$F:$F, 0),
    _xlpm.joueurs, INDEX(Donnees!$A:$Z, _xlpm.ligpartie+1, _xlfn.SEQUENCE(1, 4, 2)),
    INDEX(
      Donnees!$A:$Z,
      _xlpm.ligpartie + 3,
      MATCH(K$1, _xlpm.joueurs, 0) + 1
    )
  ), ""
)</f>
        <v/>
      </c>
      <c r="L147" t="str" cm="1">
        <f t="array" ref="L147">IFERROR(
  _xlfn.LET(
    _xlpm.ligpartie, MATCH($B146, Donnees!$F:$F, 0),
    _xlpm.joueurs, INDEX(Donnees!$A:$Z, _xlpm.ligpartie+1, _xlfn.SEQUENCE(1, 4, 2)),
    INDEX(
      Donnees!$A:$Z,
      _xlpm.ligpartie + 3,
      MATCH(L$1, _xlpm.joueurs, 0) + 1
    )
  ), ""
)</f>
        <v/>
      </c>
      <c r="M147" t="str" cm="1">
        <f t="array" ref="M147">IFERROR(
  _xlfn.LET(
    _xlpm.ligpartie, MATCH($B146, Donnees!$F:$F, 0),
    _xlpm.joueurs, INDEX(Donnees!$A:$Z, _xlpm.ligpartie+1, _xlfn.SEQUENCE(1, 4, 2)),
    INDEX(
      Donnees!$A:$Z,
      _xlpm.ligpartie + 3,
      MATCH(M$1, _xlpm.joueurs, 0) + 1
    )
  ), ""
)</f>
        <v/>
      </c>
      <c r="N147" cm="1">
        <f t="array" ref="N147">IFERROR(
  _xlfn.LET(
    _xlpm.ligpartie, MATCH($B146, Donnees!$F:$F, 0),
    _xlpm.joueurs, INDEX(Donnees!$A:$Z, _xlpm.ligpartie+1, _xlfn.SEQUENCE(1, 4, 2)),
    INDEX(
      Donnees!$A:$Z,
      _xlpm.ligpartie + 3,
      MATCH(N$1, _xlpm.joueurs, 0) + 1
    )
  ), ""
)</f>
        <v>0</v>
      </c>
      <c r="O147" t="str" cm="1">
        <f t="array" ref="O147">IFERROR(
  _xlfn.LET(
    _xlpm.ligpartie, MATCH($B146, Donnees!$F:$F, 0),
    _xlpm.joueurs, INDEX(Donnees!$A:$Z, _xlpm.ligpartie+1, _xlfn.SEQUENCE(1, 4, 2)),
    INDEX(
      Donnees!$A:$Z,
      _xlpm.ligpartie + 3,
      MATCH(O$1, _xlpm.joueurs, 0) + 1
    )
  ), ""
)</f>
        <v/>
      </c>
      <c r="P147" t="str" cm="1">
        <f t="array" ref="P147">IFERROR(
  _xlfn.LET(
    _xlpm.ligpartie, MATCH($B146, Donnees!$F:$F, 0),
    _xlpm.joueurs, INDEX(Donnees!$A:$Z, _xlpm.ligpartie+1, _xlfn.SEQUENCE(1, 4, 2)),
    INDEX(
      Donnees!$A:$Z,
      _xlpm.ligpartie + 3,
      MATCH(P$1, _xlpm.joueurs, 0) + 1
    )
  ), ""
)</f>
        <v/>
      </c>
      <c r="Q147" t="str" cm="1">
        <f t="array" ref="Q147">IFERROR(
  _xlfn.LET(
    _xlpm.ligpartie, MATCH($B146, Donnees!$F:$F, 0),
    _xlpm.joueurs, INDEX(Donnees!$A:$Z, _xlpm.ligpartie+1, _xlfn.SEQUENCE(1, 4, 2)),
    INDEX(
      Donnees!$A:$Z,
      _xlpm.ligpartie + 3,
      MATCH(Q$1, _xlpm.joueurs, 0) + 1
    )
  ), ""
)</f>
        <v/>
      </c>
      <c r="R147" cm="1">
        <f t="array" ref="R147">IFERROR(
  _xlfn.LET(
    _xlpm.ligpartie, MATCH($B146, Donnees!$F:$F, 0),
    _xlpm.joueurs, INDEX(Donnees!$A:$Z, _xlpm.ligpartie+1, _xlfn.SEQUENCE(1, 4, 2)),
    INDEX(
      Donnees!$A:$Z,
      _xlpm.ligpartie + 3,
      MATCH(R$1, _xlpm.joueurs, 0) + 1
    )
  ), ""
)</f>
        <v>3</v>
      </c>
      <c r="S147" t="str" cm="1">
        <f t="array" ref="S147">IFERROR(
  _xlfn.LET(
    _xlpm.ligpartie, MATCH($B146, Donnees!$F:$F, 0),
    _xlpm.joueurs, INDEX(Donnees!$A:$Z, _xlpm.ligpartie+1, _xlfn.SEQUENCE(1, 4, 2)),
    INDEX(
      Donnees!$A:$Z,
      _xlpm.ligpartie + 3,
      MATCH(S$1, _xlpm.joueurs, 0) + 1
    )
  ), ""
)</f>
        <v/>
      </c>
      <c r="T147" t="str" cm="1">
        <f t="array" ref="T147">IFERROR(
  _xlfn.LET(
    _xlpm.ligpartie, MATCH($B146, Donnees!$F:$F, 0),
    _xlpm.joueurs, INDEX(Donnees!$A:$Z, _xlpm.ligpartie+1, _xlfn.SEQUENCE(1, 4, 2)),
    INDEX(
      Donnees!$A:$Z,
      _xlpm.ligpartie + 3,
      MATCH(T$1, _xlpm.joueurs, 0) + 1
    )
  ), ""
)</f>
        <v/>
      </c>
      <c r="U147" t="str" cm="1">
        <f t="array" ref="U147">IFERROR(
  _xlfn.LET(
    _xlpm.ligpartie, MATCH($B146, Donnees!$F:$F, 0),
    _xlpm.joueurs, INDEX(Donnees!$A:$Z, _xlpm.ligpartie+1, _xlfn.SEQUENCE(1, 4, 2)),
    INDEX(
      Donnees!$A:$Z,
      _xlpm.ligpartie + 3,
      MATCH(U$1, _xlpm.joueurs, 0) + 1
    )
  ), ""
)</f>
        <v/>
      </c>
      <c r="V147" t="str" cm="1">
        <f t="array" ref="V147">IFERROR(
  _xlfn.LET(
    _xlpm.ligpartie, MATCH($B146, Donnees!$F:$F, 0),
    _xlpm.joueurs, INDEX(Donnees!$A:$Z, _xlpm.ligpartie+1, _xlfn.SEQUENCE(1, 4, 2)),
    INDEX(
      Donnees!$A:$Z,
      _xlpm.ligpartie + 3,
      MATCH(V$1, _xlpm.joueurs, 0) + 1
    )
  ), ""
)</f>
        <v/>
      </c>
      <c r="W147" t="str" cm="1">
        <f t="array" ref="W147">IFERROR(
  _xlfn.LET(
    _xlpm.ligpartie, MATCH($B146, Donnees!$F:$F, 0),
    _xlpm.joueurs, INDEX(Donnees!$A:$Z, _xlpm.ligpartie+1, _xlfn.SEQUENCE(1, 4, 2)),
    INDEX(
      Donnees!$A:$Z,
      _xlpm.ligpartie + 3,
      MATCH(W$1, _xlpm.joueurs, 0) + 1
    )
  ), ""
)</f>
        <v/>
      </c>
      <c r="X147" t="str" cm="1">
        <f t="array" ref="X147">IFERROR(
  _xlfn.LET(
    _xlpm.ligpartie, MATCH($B146, Donnees!$F:$F, 0),
    _xlpm.joueurs, INDEX(Donnees!$A:$Z, _xlpm.ligpartie+1, _xlfn.SEQUENCE(1, 4, 2)),
    INDEX(
      Donnees!$A:$Z,
      _xlpm.ligpartie + 3,
      MATCH(X$1, _xlpm.joueurs, 0) + 1
    )
  ), ""
)</f>
        <v/>
      </c>
      <c r="Y147" cm="1">
        <f t="array" ref="Y147">IFERROR(
  _xlfn.LET(
    _xlpm.ligpartie, MATCH($B146, Donnees!$F:$F, 0),
    _xlpm.joueurs, INDEX(Donnees!$A:$Z, _xlpm.ligpartie+1, _xlfn.SEQUENCE(1, 4, 2)),
    INDEX(
      Donnees!$A:$Z,
      _xlpm.ligpartie + 3,
      MATCH(Y$1, _xlpm.joueurs, 0) + 1
    )
  ), ""
)</f>
        <v>2</v>
      </c>
      <c r="Z147" t="str" cm="1">
        <f t="array" ref="Z147">IFERROR(
  _xlfn.LET(
    _xlpm.ligpartie, MATCH($B146, Donnees!$F:$F, 0),
    _xlpm.joueurs, INDEX(Donnees!$A:$Z, _xlpm.ligpartie+1, _xlfn.SEQUENCE(1, 4, 2)),
    INDEX(
      Donnees!$A:$Z,
      _xlpm.ligpartie + 3,
      MATCH(Z$1, _xlpm.joueurs, 0) + 1
    )
  ), ""
)</f>
        <v/>
      </c>
      <c r="AA147" t="str" cm="1">
        <f t="array" ref="AA147">IFERROR(
  _xlfn.LET(
    _xlpm.ligpartie, MATCH($B146, Donnees!$F:$F, 0),
    _xlpm.joueurs, INDEX(Donnees!$A:$Z, _xlpm.ligpartie+1, _xlfn.SEQUENCE(1, 4, 2)),
    INDEX(
      Donnees!$A:$Z,
      _xlpm.ligpartie + 3,
      MATCH(AA$1, _xlpm.joueurs, 0) + 1
    )
  ), ""
)</f>
        <v/>
      </c>
      <c r="AB147" t="str" cm="1">
        <f t="array" ref="AB147">IFERROR(
  _xlfn.LET(
    _xlpm.ligpartie, MATCH($B146, Donnees!$F:$F, 0),
    _xlpm.joueurs, INDEX(Donnees!$A:$Z, _xlpm.ligpartie+1, _xlfn.SEQUENCE(1, 4, 2)),
    INDEX(
      Donnees!$A:$Z,
      _xlpm.ligpartie + 3,
      MATCH(AB$1, _xlpm.joueurs, 0) + 1
    )
  ), ""
)</f>
        <v/>
      </c>
      <c r="AC147" t="str" cm="1">
        <f t="array" ref="AC147">IFERROR(
  _xlfn.LET(
    _xlpm.ligpartie, MATCH($B146, Donnees!$F:$F, 0),
    _xlpm.joueurs, INDEX(Donnees!$A:$Z, _xlpm.ligpartie+1, _xlfn.SEQUENCE(1, 4, 2)),
    INDEX(
      Donnees!$A:$Z,
      _xlpm.ligpartie + 3,
      MATCH(AC$1, _xlpm.joueurs, 0) + 1
    )
  ), ""
)</f>
        <v/>
      </c>
      <c r="AD147" t="str" cm="1">
        <f t="array" ref="AD147">IFERROR(
  _xlfn.LET(
    _xlpm.ligpartie, MATCH($B146, Donnees!$F:$F, 0),
    _xlpm.joueurs, INDEX(Donnees!$A:$Z, _xlpm.ligpartie+1, _xlfn.SEQUENCE(1, 4, 2)),
    INDEX(
      Donnees!$A:$Z,
      _xlpm.ligpartie + 3,
      MATCH(AD$1, _xlpm.joueurs, 0) + 1
    )
  ), ""
)</f>
        <v/>
      </c>
      <c r="AE147" t="str" cm="1">
        <f t="array" ref="AE147">IFERROR(
  _xlfn.LET(
    _xlpm.ligpartie, MATCH($B146, Donnees!$F:$F, 0),
    _xlpm.joueurs, INDEX(Donnees!$A:$Z, _xlpm.ligpartie+1, _xlfn.SEQUENCE(1, 4, 2)),
    INDEX(
      Donnees!$A:$Z,
      _xlpm.ligpartie + 3,
      MATCH(AE$1, _xlpm.joueurs, 0) + 1
    )
  ), ""
)</f>
        <v/>
      </c>
      <c r="AF147" t="str" cm="1">
        <f t="array" ref="AF147">IFERROR(
  _xlfn.LET(
    _xlpm.ligpartie, MATCH($B146, Donnees!$F:$F, 0),
    _xlpm.joueurs, INDEX(Donnees!$A:$Z, _xlpm.ligpartie+1, _xlfn.SEQUENCE(1, 4, 2)),
    INDEX(
      Donnees!$A:$Z,
      _xlpm.ligpartie + 3,
      MATCH(AF$1, _xlpm.joueurs, 0) + 1
    )
  ), ""
)</f>
        <v/>
      </c>
      <c r="AG147" t="str" cm="1">
        <f t="array" ref="AG147">IFERROR(
  _xlfn.LET(
    _xlpm.ligpartie, MATCH($B146, Donnees!$F:$F, 0),
    _xlpm.joueurs, INDEX(Donnees!$A:$Z, _xlpm.ligpartie+1, _xlfn.SEQUENCE(1, 4, 2)),
    INDEX(
      Donnees!$A:$Z,
      _xlpm.ligpartie + 3,
      MATCH(AG$1, _xlpm.joueurs, 0) + 1
    )
  ), ""
)</f>
        <v/>
      </c>
      <c r="AH147" t="str" cm="1">
        <f t="array" ref="AH147">IFERROR(
  _xlfn.LET(
    _xlpm.ligpartie, MATCH($B146, Donnees!$F:$F, 0),
    _xlpm.joueurs, INDEX(Donnees!$A:$Z, _xlpm.ligpartie+1, _xlfn.SEQUENCE(1, 4, 2)),
    INDEX(
      Donnees!$A:$Z,
      _xlpm.ligpartie + 3,
      MATCH(AH$1, _xlpm.joueurs, 0) + 1
    )
  ), ""
)</f>
        <v/>
      </c>
      <c r="AI147" t="str" cm="1">
        <f t="array" ref="AI147">IFERROR(
  _xlfn.LET(
    _xlpm.ligpartie, MATCH($B146, Donnees!$F:$F, 0),
    _xlpm.joueurs, INDEX(Donnees!$A:$Z, _xlpm.ligpartie+1, _xlfn.SEQUENCE(1, 4, 2)),
    INDEX(
      Donnees!$A:$Z,
      _xlpm.ligpartie + 3,
      MATCH(AI$1, _xlpm.joueurs, 0) + 1
    )
  ), ""
)</f>
        <v/>
      </c>
      <c r="AJ147" t="str" cm="1">
        <f t="array" ref="AJ147">IFERROR(
  _xlfn.LET(
    _xlpm.ligpartie, MATCH($B146, Donnees!$F:$F, 0),
    _xlpm.joueurs, INDEX(Donnees!$A:$Z, _xlpm.ligpartie+1, _xlfn.SEQUENCE(1, 4, 2)),
    INDEX(
      Donnees!$A:$Z,
      _xlpm.ligpartie + 3,
      MATCH(AJ$1, _xlpm.joueurs, 0) + 1
    )
  ), ""
)</f>
        <v/>
      </c>
      <c r="AK147" t="str" cm="1">
        <f t="array" ref="AK147">IFERROR(
  _xlfn.LET(
    _xlpm.ligpartie, MATCH($B146, Donnees!$F:$F, 0),
    _xlpm.joueurs, INDEX(Donnees!$A:$Z, _xlpm.ligpartie+1, _xlfn.SEQUENCE(1, 4, 2)),
    INDEX(
      Donnees!$A:$Z,
      _xlpm.ligpartie + 3,
      MATCH(AK$1, _xlpm.joueurs, 0) + 1
    )
  ), ""
)</f>
        <v/>
      </c>
      <c r="AL147" t="str" cm="1">
        <f t="array" ref="AL147">IFERROR(
  _xlfn.LET(
    _xlpm.ligpartie, MATCH($B146, Donnees!$F:$F, 0),
    _xlpm.joueurs, INDEX(Donnees!$A:$Z, _xlpm.ligpartie+1, _xlfn.SEQUENCE(1, 4, 2)),
    INDEX(
      Donnees!$A:$Z,
      _xlpm.ligpartie + 3,
      MATCH(AL$1, _xlpm.joueurs, 0) + 1
    )
  ), ""
)</f>
        <v/>
      </c>
      <c r="AM147" t="str" cm="1">
        <f t="array" ref="AM147">IFERROR(
  _xlfn.LET(
    _xlpm.ligpartie, MATCH($B146, Donnees!$F:$F, 0),
    _xlpm.joueurs, INDEX(Donnees!$A:$Z, _xlpm.ligpartie+1, _xlfn.SEQUENCE(1, 4, 2)),
    INDEX(
      Donnees!$A:$Z,
      _xlpm.ligpartie + 3,
      MATCH(AM$1, _xlpm.joueurs, 0) + 1
    )
  ), ""
)</f>
        <v/>
      </c>
    </row>
    <row r="148" spans="1:39" x14ac:dyDescent="0.25">
      <c r="A148" t="s">
        <v>20</v>
      </c>
      <c r="D148" t="str" cm="1">
        <f t="array" ref="D148">_xlfn.LET(
  _xlpm.colj, _xlfn._xlws.FILTER(IF(ISNUMBER(147:147), COLUMN(147:147)), ISNUMBER(147:147)),
  _xlpm.elos, INDEX(146:146,1,_xlpm.colj),
  _xlpm.diffscale, Constantes!$B$2,
  IF(D147="",
    "",
    SUM(1/(1+POWER(10,-(D146-_xlpm.elos)/_xlpm.diffscale)))-0.5)
)</f>
        <v/>
      </c>
      <c r="E148" t="str" cm="1">
        <f t="array" ref="E148">_xlfn.LET(
  _xlpm.colj, _xlfn._xlws.FILTER(IF(ISNUMBER(147:147), COLUMN(147:147)), ISNUMBER(147:147)),
  _xlpm.elos, INDEX(146:146,1,_xlpm.colj),
  _xlpm.diffscale, Constantes!$B$2,
  IF(E147="",
    "",
    SUM(1/(1+POWER(10,-(E146-_xlpm.elos)/_xlpm.diffscale)))-0.5)
)</f>
        <v/>
      </c>
      <c r="F148" cm="1">
        <f t="array" ref="F148">_xlfn.LET(
  _xlpm.colj, _xlfn._xlws.FILTER(IF(ISNUMBER(147:147), COLUMN(147:147)), ISNUMBER(147:147)),
  _xlpm.elos, INDEX(146:146,1,_xlpm.colj),
  _xlpm.diffscale, Constantes!$B$2,
  IF(F147="",
    "",
    SUM(1/(1+POWER(10,-(F146-_xlpm.elos)/_xlpm.diffscale)))-0.5)
)</f>
        <v>0.7751860801834678</v>
      </c>
      <c r="G148" t="str" cm="1">
        <f t="array" ref="G148">_xlfn.LET(
  _xlpm.colj, _xlfn._xlws.FILTER(IF(ISNUMBER(147:147), COLUMN(147:147)), ISNUMBER(147:147)),
  _xlpm.elos, INDEX(146:146,1,_xlpm.colj),
  _xlpm.diffscale, Constantes!$B$2,
  IF(G147="",
    "",
    SUM(1/(1+POWER(10,-(G146-_xlpm.elos)/_xlpm.diffscale)))-0.5)
)</f>
        <v/>
      </c>
      <c r="H148" t="str" cm="1">
        <f t="array" ref="H148">_xlfn.LET(
  _xlpm.colj, _xlfn._xlws.FILTER(IF(ISNUMBER(147:147), COLUMN(147:147)), ISNUMBER(147:147)),
  _xlpm.elos, INDEX(146:146,1,_xlpm.colj),
  _xlpm.diffscale, Constantes!$B$2,
  IF(H147="",
    "",
    SUM(1/(1+POWER(10,-(H146-_xlpm.elos)/_xlpm.diffscale)))-0.5)
)</f>
        <v/>
      </c>
      <c r="I148" t="str" cm="1">
        <f t="array" ref="I148">_xlfn.LET(
  _xlpm.colj, _xlfn._xlws.FILTER(IF(ISNUMBER(147:147), COLUMN(147:147)), ISNUMBER(147:147)),
  _xlpm.elos, INDEX(146:146,1,_xlpm.colj),
  _xlpm.diffscale, Constantes!$B$2,
  IF(I147="",
    "",
    SUM(1/(1+POWER(10,-(I146-_xlpm.elos)/_xlpm.diffscale)))-0.5)
)</f>
        <v/>
      </c>
      <c r="J148" t="str" cm="1">
        <f t="array" ref="J148">_xlfn.LET(
  _xlpm.colj, _xlfn._xlws.FILTER(IF(ISNUMBER(147:147), COLUMN(147:147)), ISNUMBER(147:147)),
  _xlpm.elos, INDEX(146:146,1,_xlpm.colj),
  _xlpm.diffscale, Constantes!$B$2,
  IF(J147="",
    "",
    SUM(1/(1+POWER(10,-(J146-_xlpm.elos)/_xlpm.diffscale)))-0.5)
)</f>
        <v/>
      </c>
      <c r="K148" t="str" cm="1">
        <f t="array" ref="K148">_xlfn.LET(
  _xlpm.colj, _xlfn._xlws.FILTER(IF(ISNUMBER(147:147), COLUMN(147:147)), ISNUMBER(147:147)),
  _xlpm.elos, INDEX(146:146,1,_xlpm.colj),
  _xlpm.diffscale, Constantes!$B$2,
  IF(K147="",
    "",
    SUM(1/(1+POWER(10,-(K146-_xlpm.elos)/_xlpm.diffscale)))-0.5)
)</f>
        <v/>
      </c>
      <c r="L148" t="str" cm="1">
        <f t="array" ref="L148">_xlfn.LET(
  _xlpm.colj, _xlfn._xlws.FILTER(IF(ISNUMBER(147:147), COLUMN(147:147)), ISNUMBER(147:147)),
  _xlpm.elos, INDEX(146:146,1,_xlpm.colj),
  _xlpm.diffscale, Constantes!$B$2,
  IF(L147="",
    "",
    SUM(1/(1+POWER(10,-(L146-_xlpm.elos)/_xlpm.diffscale)))-0.5)
)</f>
        <v/>
      </c>
      <c r="M148" t="str" cm="1">
        <f t="array" ref="M148">_xlfn.LET(
  _xlpm.colj, _xlfn._xlws.FILTER(IF(ISNUMBER(147:147), COLUMN(147:147)), ISNUMBER(147:147)),
  _xlpm.elos, INDEX(146:146,1,_xlpm.colj),
  _xlpm.diffscale, Constantes!$B$2,
  IF(M147="",
    "",
    SUM(1/(1+POWER(10,-(M146-_xlpm.elos)/_xlpm.diffscale)))-0.5)
)</f>
        <v/>
      </c>
      <c r="N148" cm="1">
        <f t="array" ref="N148">_xlfn.LET(
  _xlpm.colj, _xlfn._xlws.FILTER(IF(ISNUMBER(147:147), COLUMN(147:147)), ISNUMBER(147:147)),
  _xlpm.elos, INDEX(146:146,1,_xlpm.colj),
  _xlpm.diffscale, Constantes!$B$2,
  IF(N147="",
    "",
    SUM(1/(1+POWER(10,-(N146-_xlpm.elos)/_xlpm.diffscale)))-0.5)
)</f>
        <v>1.2696381328776281</v>
      </c>
      <c r="O148" t="str" cm="1">
        <f t="array" ref="O148">_xlfn.LET(
  _xlpm.colj, _xlfn._xlws.FILTER(IF(ISNUMBER(147:147), COLUMN(147:147)), ISNUMBER(147:147)),
  _xlpm.elos, INDEX(146:146,1,_xlpm.colj),
  _xlpm.diffscale, Constantes!$B$2,
  IF(O147="",
    "",
    SUM(1/(1+POWER(10,-(O146-_xlpm.elos)/_xlpm.diffscale)))-0.5)
)</f>
        <v/>
      </c>
      <c r="P148" t="str" cm="1">
        <f t="array" ref="P148">_xlfn.LET(
  _xlpm.colj, _xlfn._xlws.FILTER(IF(ISNUMBER(147:147), COLUMN(147:147)), ISNUMBER(147:147)),
  _xlpm.elos, INDEX(146:146,1,_xlpm.colj),
  _xlpm.diffscale, Constantes!$B$2,
  IF(P147="",
    "",
    SUM(1/(1+POWER(10,-(P146-_xlpm.elos)/_xlpm.diffscale)))-0.5)
)</f>
        <v/>
      </c>
      <c r="Q148" t="str" cm="1">
        <f t="array" ref="Q148">_xlfn.LET(
  _xlpm.colj, _xlfn._xlws.FILTER(IF(ISNUMBER(147:147), COLUMN(147:147)), ISNUMBER(147:147)),
  _xlpm.elos, INDEX(146:146,1,_xlpm.colj),
  _xlpm.diffscale, Constantes!$B$2,
  IF(Q147="",
    "",
    SUM(1/(1+POWER(10,-(Q146-_xlpm.elos)/_xlpm.diffscale)))-0.5)
)</f>
        <v/>
      </c>
      <c r="R148" cm="1">
        <f t="array" ref="R148">_xlfn.LET(
  _xlpm.colj, _xlfn._xlws.FILTER(IF(ISNUMBER(147:147), COLUMN(147:147)), ISNUMBER(147:147)),
  _xlpm.elos, INDEX(146:146,1,_xlpm.colj),
  _xlpm.diffscale, Constantes!$B$2,
  IF(R147="",
    "",
    SUM(1/(1+POWER(10,-(R146-_xlpm.elos)/_xlpm.diffscale)))-0.5)
)</f>
        <v>2.1960547261405567</v>
      </c>
      <c r="S148" t="str" cm="1">
        <f t="array" ref="S148">_xlfn.LET(
  _xlpm.colj, _xlfn._xlws.FILTER(IF(ISNUMBER(147:147), COLUMN(147:147)), ISNUMBER(147:147)),
  _xlpm.elos, INDEX(146:146,1,_xlpm.colj),
  _xlpm.diffscale, Constantes!$B$2,
  IF(S147="",
    "",
    SUM(1/(1+POWER(10,-(S146-_xlpm.elos)/_xlpm.diffscale)))-0.5)
)</f>
        <v/>
      </c>
      <c r="T148" t="str" cm="1">
        <f t="array" ref="T148">_xlfn.LET(
  _xlpm.colj, _xlfn._xlws.FILTER(IF(ISNUMBER(147:147), COLUMN(147:147)), ISNUMBER(147:147)),
  _xlpm.elos, INDEX(146:146,1,_xlpm.colj),
  _xlpm.diffscale, Constantes!$B$2,
  IF(T147="",
    "",
    SUM(1/(1+POWER(10,-(T146-_xlpm.elos)/_xlpm.diffscale)))-0.5)
)</f>
        <v/>
      </c>
      <c r="U148" t="str" cm="1">
        <f t="array" ref="U148">_xlfn.LET(
  _xlpm.colj, _xlfn._xlws.FILTER(IF(ISNUMBER(147:147), COLUMN(147:147)), ISNUMBER(147:147)),
  _xlpm.elos, INDEX(146:146,1,_xlpm.colj),
  _xlpm.diffscale, Constantes!$B$2,
  IF(U147="",
    "",
    SUM(1/(1+POWER(10,-(U146-_xlpm.elos)/_xlpm.diffscale)))-0.5)
)</f>
        <v/>
      </c>
      <c r="V148" t="str" cm="1">
        <f t="array" ref="V148">_xlfn.LET(
  _xlpm.colj, _xlfn._xlws.FILTER(IF(ISNUMBER(147:147), COLUMN(147:147)), ISNUMBER(147:147)),
  _xlpm.elos, INDEX(146:146,1,_xlpm.colj),
  _xlpm.diffscale, Constantes!$B$2,
  IF(V147="",
    "",
    SUM(1/(1+POWER(10,-(V146-_xlpm.elos)/_xlpm.diffscale)))-0.5)
)</f>
        <v/>
      </c>
      <c r="W148" t="str" cm="1">
        <f t="array" ref="W148">_xlfn.LET(
  _xlpm.colj, _xlfn._xlws.FILTER(IF(ISNUMBER(147:147), COLUMN(147:147)), ISNUMBER(147:147)),
  _xlpm.elos, INDEX(146:146,1,_xlpm.colj),
  _xlpm.diffscale, Constantes!$B$2,
  IF(W147="",
    "",
    SUM(1/(1+POWER(10,-(W146-_xlpm.elos)/_xlpm.diffscale)))-0.5)
)</f>
        <v/>
      </c>
      <c r="X148" t="str" cm="1">
        <f t="array" ref="X148">_xlfn.LET(
  _xlpm.colj, _xlfn._xlws.FILTER(IF(ISNUMBER(147:147), COLUMN(147:147)), ISNUMBER(147:147)),
  _xlpm.elos, INDEX(146:146,1,_xlpm.colj),
  _xlpm.diffscale, Constantes!$B$2,
  IF(X147="",
    "",
    SUM(1/(1+POWER(10,-(X146-_xlpm.elos)/_xlpm.diffscale)))-0.5)
)</f>
        <v/>
      </c>
      <c r="Y148" cm="1">
        <f t="array" ref="Y148">_xlfn.LET(
  _xlpm.colj, _xlfn._xlws.FILTER(IF(ISNUMBER(147:147), COLUMN(147:147)), ISNUMBER(147:147)),
  _xlpm.elos, INDEX(146:146,1,_xlpm.colj),
  _xlpm.diffscale, Constantes!$B$2,
  IF(Y147="",
    "",
    SUM(1/(1+POWER(10,-(Y146-_xlpm.elos)/_xlpm.diffscale)))-0.5)
)</f>
        <v>1.7591210607983481</v>
      </c>
      <c r="Z148" t="str" cm="1">
        <f t="array" ref="Z148">_xlfn.LET(
  _xlpm.colj, _xlfn._xlws.FILTER(IF(ISNUMBER(147:147), COLUMN(147:147)), ISNUMBER(147:147)),
  _xlpm.elos, INDEX(146:146,1,_xlpm.colj),
  _xlpm.diffscale, Constantes!$B$2,
  IF(Z147="",
    "",
    SUM(1/(1+POWER(10,-(Z146-_xlpm.elos)/_xlpm.diffscale)))-0.5)
)</f>
        <v/>
      </c>
      <c r="AA148" t="str" cm="1">
        <f t="array" ref="AA148">_xlfn.LET(
  _xlpm.colj, _xlfn._xlws.FILTER(IF(ISNUMBER(147:147), COLUMN(147:147)), ISNUMBER(147:147)),
  _xlpm.elos, INDEX(146:146,1,_xlpm.colj),
  _xlpm.diffscale, Constantes!$B$2,
  IF(AA147="",
    "",
    SUM(1/(1+POWER(10,-(AA146-_xlpm.elos)/_xlpm.diffscale)))-0.5)
)</f>
        <v/>
      </c>
      <c r="AB148" t="str" cm="1">
        <f t="array" ref="AB148">_xlfn.LET(
  _xlpm.colj, _xlfn._xlws.FILTER(IF(ISNUMBER(147:147), COLUMN(147:147)), ISNUMBER(147:147)),
  _xlpm.elos, INDEX(146:146,1,_xlpm.colj),
  _xlpm.diffscale, Constantes!$B$2,
  IF(AB147="",
    "",
    SUM(1/(1+POWER(10,-(AB146-_xlpm.elos)/_xlpm.diffscale)))-0.5)
)</f>
        <v/>
      </c>
      <c r="AC148" t="str" cm="1">
        <f t="array" ref="AC148">_xlfn.LET(
  _xlpm.colj, _xlfn._xlws.FILTER(IF(ISNUMBER(147:147), COLUMN(147:147)), ISNUMBER(147:147)),
  _xlpm.elos, INDEX(146:146,1,_xlpm.colj),
  _xlpm.diffscale, Constantes!$B$2,
  IF(AC147="",
    "",
    SUM(1/(1+POWER(10,-(AC146-_xlpm.elos)/_xlpm.diffscale)))-0.5)
)</f>
        <v/>
      </c>
      <c r="AD148" t="str" cm="1">
        <f t="array" ref="AD148">_xlfn.LET(
  _xlpm.colj, _xlfn._xlws.FILTER(IF(ISNUMBER(147:147), COLUMN(147:147)), ISNUMBER(147:147)),
  _xlpm.elos, INDEX(146:146,1,_xlpm.colj),
  _xlpm.diffscale, Constantes!$B$2,
  IF(AD147="",
    "",
    SUM(1/(1+POWER(10,-(AD146-_xlpm.elos)/_xlpm.diffscale)))-0.5)
)</f>
        <v/>
      </c>
      <c r="AE148" t="str" cm="1">
        <f t="array" ref="AE148">_xlfn.LET(
  _xlpm.colj, _xlfn._xlws.FILTER(IF(ISNUMBER(147:147), COLUMN(147:147)), ISNUMBER(147:147)),
  _xlpm.elos, INDEX(146:146,1,_xlpm.colj),
  _xlpm.diffscale, Constantes!$B$2,
  IF(AE147="",
    "",
    SUM(1/(1+POWER(10,-(AE146-_xlpm.elos)/_xlpm.diffscale)))-0.5)
)</f>
        <v/>
      </c>
      <c r="AF148" t="str" cm="1">
        <f t="array" ref="AF148">_xlfn.LET(
  _xlpm.colj, _xlfn._xlws.FILTER(IF(ISNUMBER(147:147), COLUMN(147:147)), ISNUMBER(147:147)),
  _xlpm.elos, INDEX(146:146,1,_xlpm.colj),
  _xlpm.diffscale, Constantes!$B$2,
  IF(AF147="",
    "",
    SUM(1/(1+POWER(10,-(AF146-_xlpm.elos)/_xlpm.diffscale)))-0.5)
)</f>
        <v/>
      </c>
      <c r="AG148" t="str" cm="1">
        <f t="array" ref="AG148">_xlfn.LET(
  _xlpm.colj, _xlfn._xlws.FILTER(IF(ISNUMBER(147:147), COLUMN(147:147)), ISNUMBER(147:147)),
  _xlpm.elos, INDEX(146:146,1,_xlpm.colj),
  _xlpm.diffscale, Constantes!$B$2,
  IF(AG147="",
    "",
    SUM(1/(1+POWER(10,-(AG146-_xlpm.elos)/_xlpm.diffscale)))-0.5)
)</f>
        <v/>
      </c>
      <c r="AH148" t="str" cm="1">
        <f t="array" ref="AH148">_xlfn.LET(
  _xlpm.colj, _xlfn._xlws.FILTER(IF(ISNUMBER(147:147), COLUMN(147:147)), ISNUMBER(147:147)),
  _xlpm.elos, INDEX(146:146,1,_xlpm.colj),
  _xlpm.diffscale, Constantes!$B$2,
  IF(AH147="",
    "",
    SUM(1/(1+POWER(10,-(AH146-_xlpm.elos)/_xlpm.diffscale)))-0.5)
)</f>
        <v/>
      </c>
      <c r="AI148" t="str" cm="1">
        <f t="array" ref="AI148">_xlfn.LET(
  _xlpm.colj, _xlfn._xlws.FILTER(IF(ISNUMBER(147:147), COLUMN(147:147)), ISNUMBER(147:147)),
  _xlpm.elos, INDEX(146:146,1,_xlpm.colj),
  _xlpm.diffscale, Constantes!$B$2,
  IF(AI147="",
    "",
    SUM(1/(1+POWER(10,-(AI146-_xlpm.elos)/_xlpm.diffscale)))-0.5)
)</f>
        <v/>
      </c>
      <c r="AJ148" t="str" cm="1">
        <f t="array" ref="AJ148">_xlfn.LET(
  _xlpm.colj, _xlfn._xlws.FILTER(IF(ISNUMBER(147:147), COLUMN(147:147)), ISNUMBER(147:147)),
  _xlpm.elos, INDEX(146:146,1,_xlpm.colj),
  _xlpm.diffscale, Constantes!$B$2,
  IF(AJ147="",
    "",
    SUM(1/(1+POWER(10,-(AJ146-_xlpm.elos)/_xlpm.diffscale)))-0.5)
)</f>
        <v/>
      </c>
      <c r="AK148" t="str" cm="1">
        <f t="array" ref="AK148">_xlfn.LET(
  _xlpm.colj, _xlfn._xlws.FILTER(IF(ISNUMBER(147:147), COLUMN(147:147)), ISNUMBER(147:147)),
  _xlpm.elos, INDEX(146:146,1,_xlpm.colj),
  _xlpm.diffscale, Constantes!$B$2,
  IF(AK147="",
    "",
    SUM(1/(1+POWER(10,-(AK146-_xlpm.elos)/_xlpm.diffscale)))-0.5)
)</f>
        <v/>
      </c>
      <c r="AL148" t="str" cm="1">
        <f t="array" ref="AL148">_xlfn.LET(
  _xlpm.colj, _xlfn._xlws.FILTER(IF(ISNUMBER(147:147), COLUMN(147:147)), ISNUMBER(147:147)),
  _xlpm.elos, INDEX(146:146,1,_xlpm.colj),
  _xlpm.diffscale, Constantes!$B$2,
  IF(AL147="",
    "",
    SUM(1/(1+POWER(10,-(AL146-_xlpm.elos)/_xlpm.diffscale)))-0.5)
)</f>
        <v/>
      </c>
      <c r="AM148" t="str" cm="1">
        <f t="array" ref="AM148">_xlfn.LET(
  _xlpm.colj, _xlfn._xlws.FILTER(IF(ISNUMBER(147:147), COLUMN(147:147)), ISNUMBER(147:147)),
  _xlpm.elos, INDEX(146:146,1,_xlpm.colj),
  _xlpm.diffscale, Constantes!$B$2,
  IF(AM147="",
    "",
    SUM(1/(1+POWER(10,-(AM146-_xlpm.elos)/_xlpm.diffscale)))-0.5)
)</f>
        <v/>
      </c>
    </row>
    <row r="149" spans="1:39" x14ac:dyDescent="0.25">
      <c r="A149" t="s">
        <v>22</v>
      </c>
      <c r="D149" t="str" cm="1">
        <f t="array" ref="D149">_xlfn.LET(
  _xlpm.K, Constantes!$B$3,
  _xlpm.Knewgain, Constantes!$B$4,
  _xlpm.Knewscale, Constantes!$B$5,
  _xlpm.ptstables, INDEX(D:D, _xlfn.SEQUENCE(COUNTA($C$2:$C149), 1, 3, 4)),
  _xlpm.nbparties, COUNTA(_xlfn._xlws.FILTER(_xlpm.ptstables, _xlpm.ptstables &lt;&gt; "")),
  _xlpm.coef, _xlpm.K + _xlpm.Knewgain / (_xlpm.Knewscale + _xlpm.nbparties),
  IF(D147="",
    "",
    _xlpm.coef * (D147-D148))
)</f>
        <v/>
      </c>
      <c r="E149" t="str" cm="1">
        <f t="array" ref="E149">_xlfn.LET(
  _xlpm.K, Constantes!$B$3,
  _xlpm.Knewgain, Constantes!$B$4,
  _xlpm.Knewscale, Constantes!$B$5,
  _xlpm.ptstables, INDEX(E:E, _xlfn.SEQUENCE(COUNTA($C$2:$C149), 1, 3, 4)),
  _xlpm.nbparties, COUNTA(_xlfn._xlws.FILTER(_xlpm.ptstables, _xlpm.ptstables &lt;&gt; "")),
  _xlpm.coef, _xlpm.K + _xlpm.Knewgain / (_xlpm.Knewscale + _xlpm.nbparties),
  IF(E147="",
    "",
    _xlpm.coef * (E147-E148))
)</f>
        <v/>
      </c>
      <c r="F149" cm="1">
        <f t="array" ref="F149">_xlfn.LET(
  _xlpm.K, Constantes!$B$3,
  _xlpm.Knewgain, Constantes!$B$4,
  _xlpm.Knewscale, Constantes!$B$5,
  _xlpm.ptstables, INDEX(F:F, _xlfn.SEQUENCE(COUNTA($C$2:$C149), 1, 3, 4)),
  _xlpm.nbparties, COUNTA(_xlfn._xlws.FILTER(_xlpm.ptstables, _xlpm.ptstables &lt;&gt; "")),
  _xlpm.coef, _xlpm.K + _xlpm.Knewgain / (_xlpm.Knewscale + _xlpm.nbparties),
  IF(F147="",
    "",
    _xlpm.coef * (F147-F148))
)</f>
        <v>5.2991852528182593</v>
      </c>
      <c r="G149" t="str" cm="1">
        <f t="array" ref="G149">_xlfn.LET(
  _xlpm.K, Constantes!$B$3,
  _xlpm.Knewgain, Constantes!$B$4,
  _xlpm.Knewscale, Constantes!$B$5,
  _xlpm.ptstables, INDEX(G:G, _xlfn.SEQUENCE(COUNTA($C$2:$C149), 1, 3, 4)),
  _xlpm.nbparties, COUNTA(_xlfn._xlws.FILTER(_xlpm.ptstables, _xlpm.ptstables &lt;&gt; "")),
  _xlpm.coef, _xlpm.K + _xlpm.Knewgain / (_xlpm.Knewscale + _xlpm.nbparties),
  IF(G147="",
    "",
    _xlpm.coef * (G147-G148))
)</f>
        <v/>
      </c>
      <c r="H149" t="str" cm="1">
        <f t="array" ref="H149">_xlfn.LET(
  _xlpm.K, Constantes!$B$3,
  _xlpm.Knewgain, Constantes!$B$4,
  _xlpm.Knewscale, Constantes!$B$5,
  _xlpm.ptstables, INDEX(H:H, _xlfn.SEQUENCE(COUNTA($C$2:$C149), 1, 3, 4)),
  _xlpm.nbparties, COUNTA(_xlfn._xlws.FILTER(_xlpm.ptstables, _xlpm.ptstables &lt;&gt; "")),
  _xlpm.coef, _xlpm.K + _xlpm.Knewgain / (_xlpm.Knewscale + _xlpm.nbparties),
  IF(H147="",
    "",
    _xlpm.coef * (H147-H148))
)</f>
        <v/>
      </c>
      <c r="I149" t="str" cm="1">
        <f t="array" ref="I149">_xlfn.LET(
  _xlpm.K, Constantes!$B$3,
  _xlpm.Knewgain, Constantes!$B$4,
  _xlpm.Knewscale, Constantes!$B$5,
  _xlpm.ptstables, INDEX(I:I, _xlfn.SEQUENCE(COUNTA($C$2:$C149), 1, 3, 4)),
  _xlpm.nbparties, COUNTA(_xlfn._xlws.FILTER(_xlpm.ptstables, _xlpm.ptstables &lt;&gt; "")),
  _xlpm.coef, _xlpm.K + _xlpm.Knewgain / (_xlpm.Knewscale + _xlpm.nbparties),
  IF(I147="",
    "",
    _xlpm.coef * (I147-I148))
)</f>
        <v/>
      </c>
      <c r="J149" t="str" cm="1">
        <f t="array" ref="J149">_xlfn.LET(
  _xlpm.K, Constantes!$B$3,
  _xlpm.Knewgain, Constantes!$B$4,
  _xlpm.Knewscale, Constantes!$B$5,
  _xlpm.ptstables, INDEX(J:J, _xlfn.SEQUENCE(COUNTA($C$2:$C149), 1, 3, 4)),
  _xlpm.nbparties, COUNTA(_xlfn._xlws.FILTER(_xlpm.ptstables, _xlpm.ptstables &lt;&gt; "")),
  _xlpm.coef, _xlpm.K + _xlpm.Knewgain / (_xlpm.Knewscale + _xlpm.nbparties),
  IF(J147="",
    "",
    _xlpm.coef * (J147-J148))
)</f>
        <v/>
      </c>
      <c r="K149" t="str" cm="1">
        <f t="array" ref="K149">_xlfn.LET(
  _xlpm.K, Constantes!$B$3,
  _xlpm.Knewgain, Constantes!$B$4,
  _xlpm.Knewscale, Constantes!$B$5,
  _xlpm.ptstables, INDEX(K:K, _xlfn.SEQUENCE(COUNTA($C$2:$C149), 1, 3, 4)),
  _xlpm.nbparties, COUNTA(_xlfn._xlws.FILTER(_xlpm.ptstables, _xlpm.ptstables &lt;&gt; "")),
  _xlpm.coef, _xlpm.K + _xlpm.Knewgain / (_xlpm.Knewscale + _xlpm.nbparties),
  IF(K147="",
    "",
    _xlpm.coef * (K147-K148))
)</f>
        <v/>
      </c>
      <c r="L149" t="str" cm="1">
        <f t="array" ref="L149">_xlfn.LET(
  _xlpm.K, Constantes!$B$3,
  _xlpm.Knewgain, Constantes!$B$4,
  _xlpm.Knewscale, Constantes!$B$5,
  _xlpm.ptstables, INDEX(L:L, _xlfn.SEQUENCE(COUNTA($C$2:$C149), 1, 3, 4)),
  _xlpm.nbparties, COUNTA(_xlfn._xlws.FILTER(_xlpm.ptstables, _xlpm.ptstables &lt;&gt; "")),
  _xlpm.coef, _xlpm.K + _xlpm.Knewgain / (_xlpm.Knewscale + _xlpm.nbparties),
  IF(L147="",
    "",
    _xlpm.coef * (L147-L148))
)</f>
        <v/>
      </c>
      <c r="M149" t="str" cm="1">
        <f t="array" ref="M149">_xlfn.LET(
  _xlpm.K, Constantes!$B$3,
  _xlpm.Knewgain, Constantes!$B$4,
  _xlpm.Knewscale, Constantes!$B$5,
  _xlpm.ptstables, INDEX(M:M, _xlfn.SEQUENCE(COUNTA($C$2:$C149), 1, 3, 4)),
  _xlpm.nbparties, COUNTA(_xlfn._xlws.FILTER(_xlpm.ptstables, _xlpm.ptstables &lt;&gt; "")),
  _xlpm.coef, _xlpm.K + _xlpm.Knewgain / (_xlpm.Knewscale + _xlpm.nbparties),
  IF(M147="",
    "",
    _xlpm.coef * (M147-M148))
)</f>
        <v/>
      </c>
      <c r="N149" cm="1">
        <f t="array" ref="N149">_xlfn.LET(
  _xlpm.K, Constantes!$B$3,
  _xlpm.Knewgain, Constantes!$B$4,
  _xlpm.Knewscale, Constantes!$B$5,
  _xlpm.ptstables, INDEX(N:N, _xlfn.SEQUENCE(COUNTA($C$2:$C149), 1, 3, 4)),
  _xlpm.nbparties, COUNTA(_xlfn._xlws.FILTER(_xlpm.ptstables, _xlpm.ptstables &lt;&gt; "")),
  _xlpm.coef, _xlpm.K + _xlpm.Knewgain / (_xlpm.Knewscale + _xlpm.nbparties),
  IF(N147="",
    "",
    _xlpm.coef * (N147-N148))
)</f>
        <v>-33.328000988037736</v>
      </c>
      <c r="O149" t="str" cm="1">
        <f t="array" ref="O149">_xlfn.LET(
  _xlpm.K, Constantes!$B$3,
  _xlpm.Knewgain, Constantes!$B$4,
  _xlpm.Knewscale, Constantes!$B$5,
  _xlpm.ptstables, INDEX(O:O, _xlfn.SEQUENCE(COUNTA($C$2:$C149), 1, 3, 4)),
  _xlpm.nbparties, COUNTA(_xlfn._xlws.FILTER(_xlpm.ptstables, _xlpm.ptstables &lt;&gt; "")),
  _xlpm.coef, _xlpm.K + _xlpm.Knewgain / (_xlpm.Knewscale + _xlpm.nbparties),
  IF(O147="",
    "",
    _xlpm.coef * (O147-O148))
)</f>
        <v/>
      </c>
      <c r="P149" t="str" cm="1">
        <f t="array" ref="P149">_xlfn.LET(
  _xlpm.K, Constantes!$B$3,
  _xlpm.Knewgain, Constantes!$B$4,
  _xlpm.Knewscale, Constantes!$B$5,
  _xlpm.ptstables, INDEX(P:P, _xlfn.SEQUENCE(COUNTA($C$2:$C149), 1, 3, 4)),
  _xlpm.nbparties, COUNTA(_xlfn._xlws.FILTER(_xlpm.ptstables, _xlpm.ptstables &lt;&gt; "")),
  _xlpm.coef, _xlpm.K + _xlpm.Knewgain / (_xlpm.Knewscale + _xlpm.nbparties),
  IF(P147="",
    "",
    _xlpm.coef * (P147-P148))
)</f>
        <v/>
      </c>
      <c r="Q149" t="str" cm="1">
        <f t="array" ref="Q149">_xlfn.LET(
  _xlpm.K, Constantes!$B$3,
  _xlpm.Knewgain, Constantes!$B$4,
  _xlpm.Knewscale, Constantes!$B$5,
  _xlpm.ptstables, INDEX(Q:Q, _xlfn.SEQUENCE(COUNTA($C$2:$C149), 1, 3, 4)),
  _xlpm.nbparties, COUNTA(_xlfn._xlws.FILTER(_xlpm.ptstables, _xlpm.ptstables &lt;&gt; "")),
  _xlpm.coef, _xlpm.K + _xlpm.Knewgain / (_xlpm.Knewscale + _xlpm.nbparties),
  IF(Q147="",
    "",
    _xlpm.coef * (Q147-Q148))
)</f>
        <v/>
      </c>
      <c r="R149" cm="1">
        <f t="array" ref="R149">_xlfn.LET(
  _xlpm.K, Constantes!$B$3,
  _xlpm.Knewgain, Constantes!$B$4,
  _xlpm.Knewscale, Constantes!$B$5,
  _xlpm.ptstables, INDEX(R:R, _xlfn.SEQUENCE(COUNTA($C$2:$C149), 1, 3, 4)),
  _xlpm.nbparties, COUNTA(_xlfn._xlws.FILTER(_xlpm.ptstables, _xlpm.ptstables &lt;&gt; "")),
  _xlpm.coef, _xlpm.K + _xlpm.Knewgain / (_xlpm.Knewscale + _xlpm.nbparties),
  IF(R147="",
    "",
    _xlpm.coef * (R147-R148))
)</f>
        <v>20.098631846486082</v>
      </c>
      <c r="S149" t="str" cm="1">
        <f t="array" ref="S149">_xlfn.LET(
  _xlpm.K, Constantes!$B$3,
  _xlpm.Knewgain, Constantes!$B$4,
  _xlpm.Knewscale, Constantes!$B$5,
  _xlpm.ptstables, INDEX(S:S, _xlfn.SEQUENCE(COUNTA($C$2:$C149), 1, 3, 4)),
  _xlpm.nbparties, COUNTA(_xlfn._xlws.FILTER(_xlpm.ptstables, _xlpm.ptstables &lt;&gt; "")),
  _xlpm.coef, _xlpm.K + _xlpm.Knewgain / (_xlpm.Knewscale + _xlpm.nbparties),
  IF(S147="",
    "",
    _xlpm.coef * (S147-S148))
)</f>
        <v/>
      </c>
      <c r="T149" t="str" cm="1">
        <f t="array" ref="T149">_xlfn.LET(
  _xlpm.K, Constantes!$B$3,
  _xlpm.Knewgain, Constantes!$B$4,
  _xlpm.Knewscale, Constantes!$B$5,
  _xlpm.ptstables, INDEX(T:T, _xlfn.SEQUENCE(COUNTA($C$2:$C149), 1, 3, 4)),
  _xlpm.nbparties, COUNTA(_xlfn._xlws.FILTER(_xlpm.ptstables, _xlpm.ptstables &lt;&gt; "")),
  _xlpm.coef, _xlpm.K + _xlpm.Knewgain / (_xlpm.Knewscale + _xlpm.nbparties),
  IF(T147="",
    "",
    _xlpm.coef * (T147-T148))
)</f>
        <v/>
      </c>
      <c r="U149" t="str" cm="1">
        <f t="array" ref="U149">_xlfn.LET(
  _xlpm.K, Constantes!$B$3,
  _xlpm.Knewgain, Constantes!$B$4,
  _xlpm.Knewscale, Constantes!$B$5,
  _xlpm.ptstables, INDEX(U:U, _xlfn.SEQUENCE(COUNTA($C$2:$C149), 1, 3, 4)),
  _xlpm.nbparties, COUNTA(_xlfn._xlws.FILTER(_xlpm.ptstables, _xlpm.ptstables &lt;&gt; "")),
  _xlpm.coef, _xlpm.K + _xlpm.Knewgain / (_xlpm.Knewscale + _xlpm.nbparties),
  IF(U147="",
    "",
    _xlpm.coef * (U147-U148))
)</f>
        <v/>
      </c>
      <c r="V149" t="str" cm="1">
        <f t="array" ref="V149">_xlfn.LET(
  _xlpm.K, Constantes!$B$3,
  _xlpm.Knewgain, Constantes!$B$4,
  _xlpm.Knewscale, Constantes!$B$5,
  _xlpm.ptstables, INDEX(V:V, _xlfn.SEQUENCE(COUNTA($C$2:$C149), 1, 3, 4)),
  _xlpm.nbparties, COUNTA(_xlfn._xlws.FILTER(_xlpm.ptstables, _xlpm.ptstables &lt;&gt; "")),
  _xlpm.coef, _xlpm.K + _xlpm.Knewgain / (_xlpm.Knewscale + _xlpm.nbparties),
  IF(V147="",
    "",
    _xlpm.coef * (V147-V148))
)</f>
        <v/>
      </c>
      <c r="W149" t="str" cm="1">
        <f t="array" ref="W149">_xlfn.LET(
  _xlpm.K, Constantes!$B$3,
  _xlpm.Knewgain, Constantes!$B$4,
  _xlpm.Knewscale, Constantes!$B$5,
  _xlpm.ptstables, INDEX(W:W, _xlfn.SEQUENCE(COUNTA($C$2:$C149), 1, 3, 4)),
  _xlpm.nbparties, COUNTA(_xlfn._xlws.FILTER(_xlpm.ptstables, _xlpm.ptstables &lt;&gt; "")),
  _xlpm.coef, _xlpm.K + _xlpm.Knewgain / (_xlpm.Knewscale + _xlpm.nbparties),
  IF(W147="",
    "",
    _xlpm.coef * (W147-W148))
)</f>
        <v/>
      </c>
      <c r="X149" t="str" cm="1">
        <f t="array" ref="X149">_xlfn.LET(
  _xlpm.K, Constantes!$B$3,
  _xlpm.Knewgain, Constantes!$B$4,
  _xlpm.Knewscale, Constantes!$B$5,
  _xlpm.ptstables, INDEX(X:X, _xlfn.SEQUENCE(COUNTA($C$2:$C149), 1, 3, 4)),
  _xlpm.nbparties, COUNTA(_xlfn._xlws.FILTER(_xlpm.ptstables, _xlpm.ptstables &lt;&gt; "")),
  _xlpm.coef, _xlpm.K + _xlpm.Knewgain / (_xlpm.Knewscale + _xlpm.nbparties),
  IF(X147="",
    "",
    _xlpm.coef * (X147-X148))
)</f>
        <v/>
      </c>
      <c r="Y149" cm="1">
        <f t="array" ref="Y149">_xlfn.LET(
  _xlpm.K, Constantes!$B$3,
  _xlpm.Knewgain, Constantes!$B$4,
  _xlpm.Knewscale, Constantes!$B$5,
  _xlpm.ptstables, INDEX(Y:Y, _xlfn.SEQUENCE(COUNTA($C$2:$C149), 1, 3, 4)),
  _xlpm.nbparties, COUNTA(_xlfn._xlws.FILTER(_xlpm.ptstables, _xlpm.ptstables &lt;&gt; "")),
  _xlpm.coef, _xlpm.K + _xlpm.Knewgain / (_xlpm.Knewscale + _xlpm.nbparties),
  IF(Y147="",
    "",
    _xlpm.coef * (Y147-Y148))
)</f>
        <v>6.3230721540433628</v>
      </c>
      <c r="Z149" t="str" cm="1">
        <f t="array" ref="Z149">_xlfn.LET(
  _xlpm.K, Constantes!$B$3,
  _xlpm.Knewgain, Constantes!$B$4,
  _xlpm.Knewscale, Constantes!$B$5,
  _xlpm.ptstables, INDEX(Z:Z, _xlfn.SEQUENCE(COUNTA($C$2:$C149), 1, 3, 4)),
  _xlpm.nbparties, COUNTA(_xlfn._xlws.FILTER(_xlpm.ptstables, _xlpm.ptstables &lt;&gt; "")),
  _xlpm.coef, _xlpm.K + _xlpm.Knewgain / (_xlpm.Knewscale + _xlpm.nbparties),
  IF(Z147="",
    "",
    _xlpm.coef * (Z147-Z148))
)</f>
        <v/>
      </c>
      <c r="AA149" t="str" cm="1">
        <f t="array" ref="AA149">_xlfn.LET(
  _xlpm.K, Constantes!$B$3,
  _xlpm.Knewgain, Constantes!$B$4,
  _xlpm.Knewscale, Constantes!$B$5,
  _xlpm.ptstables, INDEX(AA:AA, _xlfn.SEQUENCE(COUNTA($C$2:$C149), 1, 3, 4)),
  _xlpm.nbparties, COUNTA(_xlfn._xlws.FILTER(_xlpm.ptstables, _xlpm.ptstables &lt;&gt; "")),
  _xlpm.coef, _xlpm.K + _xlpm.Knewgain / (_xlpm.Knewscale + _xlpm.nbparties),
  IF(AA147="",
    "",
    _xlpm.coef * (AA147-AA148))
)</f>
        <v/>
      </c>
      <c r="AB149" t="str" cm="1">
        <f t="array" ref="AB149">_xlfn.LET(
  _xlpm.K, Constantes!$B$3,
  _xlpm.Knewgain, Constantes!$B$4,
  _xlpm.Knewscale, Constantes!$B$5,
  _xlpm.ptstables, INDEX(AB:AB, _xlfn.SEQUENCE(COUNTA($C$2:$C149), 1, 3, 4)),
  _xlpm.nbparties, COUNTA(_xlfn._xlws.FILTER(_xlpm.ptstables, _xlpm.ptstables &lt;&gt; "")),
  _xlpm.coef, _xlpm.K + _xlpm.Knewgain / (_xlpm.Knewscale + _xlpm.nbparties),
  IF(AB147="",
    "",
    _xlpm.coef * (AB147-AB148))
)</f>
        <v/>
      </c>
      <c r="AC149" t="str" cm="1">
        <f t="array" ref="AC149">_xlfn.LET(
  _xlpm.K, Constantes!$B$3,
  _xlpm.Knewgain, Constantes!$B$4,
  _xlpm.Knewscale, Constantes!$B$5,
  _xlpm.ptstables, INDEX(AC:AC, _xlfn.SEQUENCE(COUNTA($C$2:$C149), 1, 3, 4)),
  _xlpm.nbparties, COUNTA(_xlfn._xlws.FILTER(_xlpm.ptstables, _xlpm.ptstables &lt;&gt; "")),
  _xlpm.coef, _xlpm.K + _xlpm.Knewgain / (_xlpm.Knewscale + _xlpm.nbparties),
  IF(AC147="",
    "",
    _xlpm.coef * (AC147-AC148))
)</f>
        <v/>
      </c>
      <c r="AD149" t="str" cm="1">
        <f t="array" ref="AD149">_xlfn.LET(
  _xlpm.K, Constantes!$B$3,
  _xlpm.Knewgain, Constantes!$B$4,
  _xlpm.Knewscale, Constantes!$B$5,
  _xlpm.ptstables, INDEX(AD:AD, _xlfn.SEQUENCE(COUNTA($C$2:$C149), 1, 3, 4)),
  _xlpm.nbparties, COUNTA(_xlfn._xlws.FILTER(_xlpm.ptstables, _xlpm.ptstables &lt;&gt; "")),
  _xlpm.coef, _xlpm.K + _xlpm.Knewgain / (_xlpm.Knewscale + _xlpm.nbparties),
  IF(AD147="",
    "",
    _xlpm.coef * (AD147-AD148))
)</f>
        <v/>
      </c>
      <c r="AE149" t="str" cm="1">
        <f t="array" ref="AE149">_xlfn.LET(
  _xlpm.K, Constantes!$B$3,
  _xlpm.Knewgain, Constantes!$B$4,
  _xlpm.Knewscale, Constantes!$B$5,
  _xlpm.ptstables, INDEX(AE:AE, _xlfn.SEQUENCE(COUNTA($C$2:$C149), 1, 3, 4)),
  _xlpm.nbparties, COUNTA(_xlfn._xlws.FILTER(_xlpm.ptstables, _xlpm.ptstables &lt;&gt; "")),
  _xlpm.coef, _xlpm.K + _xlpm.Knewgain / (_xlpm.Knewscale + _xlpm.nbparties),
  IF(AE147="",
    "",
    _xlpm.coef * (AE147-AE148))
)</f>
        <v/>
      </c>
      <c r="AF149" t="str" cm="1">
        <f t="array" ref="AF149">_xlfn.LET(
  _xlpm.K, Constantes!$B$3,
  _xlpm.Knewgain, Constantes!$B$4,
  _xlpm.Knewscale, Constantes!$B$5,
  _xlpm.ptstables, INDEX(AF:AF, _xlfn.SEQUENCE(COUNTA($C$2:$C149), 1, 3, 4)),
  _xlpm.nbparties, COUNTA(_xlfn._xlws.FILTER(_xlpm.ptstables, _xlpm.ptstables &lt;&gt; "")),
  _xlpm.coef, _xlpm.K + _xlpm.Knewgain / (_xlpm.Knewscale + _xlpm.nbparties),
  IF(AF147="",
    "",
    _xlpm.coef * (AF147-AF148))
)</f>
        <v/>
      </c>
      <c r="AG149" t="str" cm="1">
        <f t="array" ref="AG149">_xlfn.LET(
  _xlpm.K, Constantes!$B$3,
  _xlpm.Knewgain, Constantes!$B$4,
  _xlpm.Knewscale, Constantes!$B$5,
  _xlpm.ptstables, INDEX(AG:AG, _xlfn.SEQUENCE(COUNTA($C$2:$C149), 1, 3, 4)),
  _xlpm.nbparties, COUNTA(_xlfn._xlws.FILTER(_xlpm.ptstables, _xlpm.ptstables &lt;&gt; "")),
  _xlpm.coef, _xlpm.K + _xlpm.Knewgain / (_xlpm.Knewscale + _xlpm.nbparties),
  IF(AG147="",
    "",
    _xlpm.coef * (AG147-AG148))
)</f>
        <v/>
      </c>
      <c r="AH149" t="str" cm="1">
        <f t="array" ref="AH149">_xlfn.LET(
  _xlpm.K, Constantes!$B$3,
  _xlpm.Knewgain, Constantes!$B$4,
  _xlpm.Knewscale, Constantes!$B$5,
  _xlpm.ptstables, INDEX(AH:AH, _xlfn.SEQUENCE(COUNTA($C$2:$C149), 1, 3, 4)),
  _xlpm.nbparties, COUNTA(_xlfn._xlws.FILTER(_xlpm.ptstables, _xlpm.ptstables &lt;&gt; "")),
  _xlpm.coef, _xlpm.K + _xlpm.Knewgain / (_xlpm.Knewscale + _xlpm.nbparties),
  IF(AH147="",
    "",
    _xlpm.coef * (AH147-AH148))
)</f>
        <v/>
      </c>
      <c r="AI149" t="str" cm="1">
        <f t="array" ref="AI149">_xlfn.LET(
  _xlpm.K, Constantes!$B$3,
  _xlpm.Knewgain, Constantes!$B$4,
  _xlpm.Knewscale, Constantes!$B$5,
  _xlpm.ptstables, INDEX(AI:AI, _xlfn.SEQUENCE(COUNTA($C$2:$C149), 1, 3, 4)),
  _xlpm.nbparties, COUNTA(_xlfn._xlws.FILTER(_xlpm.ptstables, _xlpm.ptstables &lt;&gt; "")),
  _xlpm.coef, _xlpm.K + _xlpm.Knewgain / (_xlpm.Knewscale + _xlpm.nbparties),
  IF(AI147="",
    "",
    _xlpm.coef * (AI147-AI148))
)</f>
        <v/>
      </c>
      <c r="AJ149" t="str" cm="1">
        <f t="array" ref="AJ149">_xlfn.LET(
  _xlpm.K, Constantes!$B$3,
  _xlpm.Knewgain, Constantes!$B$4,
  _xlpm.Knewscale, Constantes!$B$5,
  _xlpm.ptstables, INDEX(AJ:AJ, _xlfn.SEQUENCE(COUNTA($C$2:$C149), 1, 3, 4)),
  _xlpm.nbparties, COUNTA(_xlfn._xlws.FILTER(_xlpm.ptstables, _xlpm.ptstables &lt;&gt; "")),
  _xlpm.coef, _xlpm.K + _xlpm.Knewgain / (_xlpm.Knewscale + _xlpm.nbparties),
  IF(AJ147="",
    "",
    _xlpm.coef * (AJ147-AJ148))
)</f>
        <v/>
      </c>
      <c r="AK149" t="str" cm="1">
        <f t="array" ref="AK149">_xlfn.LET(
  _xlpm.K, Constantes!$B$3,
  _xlpm.Knewgain, Constantes!$B$4,
  _xlpm.Knewscale, Constantes!$B$5,
  _xlpm.ptstables, INDEX(AK:AK, _xlfn.SEQUENCE(COUNTA($C$2:$C149), 1, 3, 4)),
  _xlpm.nbparties, COUNTA(_xlfn._xlws.FILTER(_xlpm.ptstables, _xlpm.ptstables &lt;&gt; "")),
  _xlpm.coef, _xlpm.K + _xlpm.Knewgain / (_xlpm.Knewscale + _xlpm.nbparties),
  IF(AK147="",
    "",
    _xlpm.coef * (AK147-AK148))
)</f>
        <v/>
      </c>
      <c r="AL149" t="str" cm="1">
        <f t="array" ref="AL149">_xlfn.LET(
  _xlpm.K, Constantes!$B$3,
  _xlpm.Knewgain, Constantes!$B$4,
  _xlpm.Knewscale, Constantes!$B$5,
  _xlpm.ptstables, INDEX(AL:AL, _xlfn.SEQUENCE(COUNTA($C$2:$C149), 1, 3, 4)),
  _xlpm.nbparties, COUNTA(_xlfn._xlws.FILTER(_xlpm.ptstables, _xlpm.ptstables &lt;&gt; "")),
  _xlpm.coef, _xlpm.K + _xlpm.Knewgain / (_xlpm.Knewscale + _xlpm.nbparties),
  IF(AL147="",
    "",
    _xlpm.coef * (AL147-AL148))
)</f>
        <v/>
      </c>
      <c r="AM149" t="str" cm="1">
        <f t="array" ref="AM149">_xlfn.LET(
  _xlpm.K, Constantes!$B$3,
  _xlpm.Knewgain, Constantes!$B$4,
  _xlpm.Knewscale, Constantes!$B$5,
  _xlpm.ptstables, INDEX(AM:AM, _xlfn.SEQUENCE(COUNTA($C$2:$C149), 1, 3, 4)),
  _xlpm.nbparties, COUNTA(_xlfn._xlws.FILTER(_xlpm.ptstables, _xlpm.ptstables &lt;&gt; "")),
  _xlpm.coef, _xlpm.K + _xlpm.Knewgain / (_xlpm.Knewscale + _xlpm.nbparties),
  IF(AM147="",
    "",
    _xlpm.coef * (AM147-AM148))
)</f>
        <v/>
      </c>
    </row>
    <row r="150" spans="1:39" x14ac:dyDescent="0.25">
      <c r="A150" t="s">
        <v>14</v>
      </c>
      <c r="B150" t="str" cm="1">
        <f t="array" ref="B15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41</v>
      </c>
      <c r="C150" s="2" cm="1">
        <f t="array" ref="C150">IF(B150="","",
  INDEX(Donnees!F:F, MATCH(B150, Donnees!F:F, 0)+1))</f>
        <v>45927.59270833333</v>
      </c>
      <c r="D150">
        <f t="shared" ref="D150:AM150" si="45">D146+IF(D149="",0,D149)</f>
        <v>1101.1845187776951</v>
      </c>
      <c r="E150">
        <f t="shared" si="45"/>
        <v>1105.3750854597461</v>
      </c>
      <c r="F150">
        <f t="shared" si="45"/>
        <v>830.28932860388909</v>
      </c>
      <c r="G150">
        <f t="shared" si="45"/>
        <v>1024.6030101366564</v>
      </c>
      <c r="H150">
        <f t="shared" si="45"/>
        <v>1043.8545020183328</v>
      </c>
      <c r="I150">
        <f t="shared" si="45"/>
        <v>1056.8165036600865</v>
      </c>
      <c r="J150">
        <f t="shared" si="45"/>
        <v>938.49433816478961</v>
      </c>
      <c r="K150">
        <f t="shared" si="45"/>
        <v>907.51653081539087</v>
      </c>
      <c r="L150">
        <f t="shared" si="45"/>
        <v>833.43137648430843</v>
      </c>
      <c r="M150">
        <f t="shared" si="45"/>
        <v>913.41986361738122</v>
      </c>
      <c r="N150">
        <f t="shared" si="45"/>
        <v>891.08987675665412</v>
      </c>
      <c r="O150">
        <f t="shared" si="45"/>
        <v>1005.4306950475848</v>
      </c>
      <c r="P150">
        <f t="shared" si="45"/>
        <v>1015.4353469144262</v>
      </c>
      <c r="Q150">
        <f t="shared" si="45"/>
        <v>1072.1642346323029</v>
      </c>
      <c r="R150">
        <f t="shared" si="45"/>
        <v>1125.1838799902728</v>
      </c>
      <c r="S150">
        <f t="shared" si="45"/>
        <v>941.37032948557328</v>
      </c>
      <c r="T150">
        <f t="shared" si="45"/>
        <v>1135.2782658680615</v>
      </c>
      <c r="U150">
        <f t="shared" si="45"/>
        <v>1106.2875102369314</v>
      </c>
      <c r="V150">
        <f t="shared" si="45"/>
        <v>961.58818235691967</v>
      </c>
      <c r="W150">
        <f t="shared" si="45"/>
        <v>936.79085942937002</v>
      </c>
      <c r="X150">
        <f t="shared" si="45"/>
        <v>830.788580615</v>
      </c>
      <c r="Y150">
        <f t="shared" si="45"/>
        <v>1023.8053439225921</v>
      </c>
      <c r="Z150">
        <f t="shared" si="45"/>
        <v>991.11904139672549</v>
      </c>
      <c r="AA150">
        <f t="shared" si="45"/>
        <v>980.56756855165884</v>
      </c>
      <c r="AB150">
        <f t="shared" si="45"/>
        <v>988.35669729544747</v>
      </c>
      <c r="AC150">
        <f t="shared" si="45"/>
        <v>998.96652664479586</v>
      </c>
      <c r="AD150">
        <f t="shared" si="45"/>
        <v>974.01499999999999</v>
      </c>
      <c r="AE150">
        <f t="shared" si="45"/>
        <v>1011.415</v>
      </c>
      <c r="AF150">
        <f t="shared" si="45"/>
        <v>1031.1199999999999</v>
      </c>
      <c r="AG150">
        <f t="shared" si="45"/>
        <v>1001.0350000000001</v>
      </c>
      <c r="AH150">
        <f t="shared" si="45"/>
        <v>994.44</v>
      </c>
      <c r="AI150">
        <f t="shared" si="45"/>
        <v>1000</v>
      </c>
      <c r="AJ150">
        <f t="shared" si="45"/>
        <v>957.2</v>
      </c>
      <c r="AK150">
        <f t="shared" si="45"/>
        <v>1000</v>
      </c>
      <c r="AL150">
        <f t="shared" si="45"/>
        <v>1055.9299999999998</v>
      </c>
      <c r="AM150">
        <f t="shared" si="45"/>
        <v>1000</v>
      </c>
    </row>
    <row r="151" spans="1:39" x14ac:dyDescent="0.25">
      <c r="A151" t="s">
        <v>21</v>
      </c>
      <c r="D151" t="str" cm="1">
        <f t="array" ref="D151">IFERROR(
  _xlfn.LET(
    _xlpm.ligpartie, MATCH($B150, Donnees!$F:$F, 0),
    _xlpm.joueurs, INDEX(Donnees!$A:$Z, _xlpm.ligpartie+1, _xlfn.SEQUENCE(1, 4, 2)),
    INDEX(
      Donnees!$A:$Z,
      _xlpm.ligpartie + 3,
      MATCH(D$1, _xlpm.joueurs, 0) + 1
    )
  ), ""
)</f>
        <v/>
      </c>
      <c r="E151" t="str" cm="1">
        <f t="array" ref="E151">IFERROR(
  _xlfn.LET(
    _xlpm.ligpartie, MATCH($B150, Donnees!$F:$F, 0),
    _xlpm.joueurs, INDEX(Donnees!$A:$Z, _xlpm.ligpartie+1, _xlfn.SEQUENCE(1, 4, 2)),
    INDEX(
      Donnees!$A:$Z,
      _xlpm.ligpartie + 3,
      MATCH(E$1, _xlpm.joueurs, 0) + 1
    )
  ), ""
)</f>
        <v/>
      </c>
      <c r="F151" t="str" cm="1">
        <f t="array" ref="F151">IFERROR(
  _xlfn.LET(
    _xlpm.ligpartie, MATCH($B150, Donnees!$F:$F, 0),
    _xlpm.joueurs, INDEX(Donnees!$A:$Z, _xlpm.ligpartie+1, _xlfn.SEQUENCE(1, 4, 2)),
    INDEX(
      Donnees!$A:$Z,
      _xlpm.ligpartie + 3,
      MATCH(F$1, _xlpm.joueurs, 0) + 1
    )
  ), ""
)</f>
        <v/>
      </c>
      <c r="G151" t="str" cm="1">
        <f t="array" ref="G151">IFERROR(
  _xlfn.LET(
    _xlpm.ligpartie, MATCH($B150, Donnees!$F:$F, 0),
    _xlpm.joueurs, INDEX(Donnees!$A:$Z, _xlpm.ligpartie+1, _xlfn.SEQUENCE(1, 4, 2)),
    INDEX(
      Donnees!$A:$Z,
      _xlpm.ligpartie + 3,
      MATCH(G$1, _xlpm.joueurs, 0) + 1
    )
  ), ""
)</f>
        <v/>
      </c>
      <c r="H151" t="str" cm="1">
        <f t="array" ref="H151">IFERROR(
  _xlfn.LET(
    _xlpm.ligpartie, MATCH($B150, Donnees!$F:$F, 0),
    _xlpm.joueurs, INDEX(Donnees!$A:$Z, _xlpm.ligpartie+1, _xlfn.SEQUENCE(1, 4, 2)),
    INDEX(
      Donnees!$A:$Z,
      _xlpm.ligpartie + 3,
      MATCH(H$1, _xlpm.joueurs, 0) + 1
    )
  ), ""
)</f>
        <v/>
      </c>
      <c r="I151" cm="1">
        <f t="array" ref="I151">IFERROR(
  _xlfn.LET(
    _xlpm.ligpartie, MATCH($B150, Donnees!$F:$F, 0),
    _xlpm.joueurs, INDEX(Donnees!$A:$Z, _xlpm.ligpartie+1, _xlfn.SEQUENCE(1, 4, 2)),
    INDEX(
      Donnees!$A:$Z,
      _xlpm.ligpartie + 3,
      MATCH(I$1, _xlpm.joueurs, 0) + 1
    )
  ), ""
)</f>
        <v>3</v>
      </c>
      <c r="J151" t="str" cm="1">
        <f t="array" ref="J151">IFERROR(
  _xlfn.LET(
    _xlpm.ligpartie, MATCH($B150, Donnees!$F:$F, 0),
    _xlpm.joueurs, INDEX(Donnees!$A:$Z, _xlpm.ligpartie+1, _xlfn.SEQUENCE(1, 4, 2)),
    INDEX(
      Donnees!$A:$Z,
      _xlpm.ligpartie + 3,
      MATCH(J$1, _xlpm.joueurs, 0) + 1
    )
  ), ""
)</f>
        <v/>
      </c>
      <c r="K151" t="str" cm="1">
        <f t="array" ref="K151">IFERROR(
  _xlfn.LET(
    _xlpm.ligpartie, MATCH($B150, Donnees!$F:$F, 0),
    _xlpm.joueurs, INDEX(Donnees!$A:$Z, _xlpm.ligpartie+1, _xlfn.SEQUENCE(1, 4, 2)),
    INDEX(
      Donnees!$A:$Z,
      _xlpm.ligpartie + 3,
      MATCH(K$1, _xlpm.joueurs, 0) + 1
    )
  ), ""
)</f>
        <v/>
      </c>
      <c r="L151" cm="1">
        <f t="array" ref="L151">IFERROR(
  _xlfn.LET(
    _xlpm.ligpartie, MATCH($B150, Donnees!$F:$F, 0),
    _xlpm.joueurs, INDEX(Donnees!$A:$Z, _xlpm.ligpartie+1, _xlfn.SEQUENCE(1, 4, 2)),
    INDEX(
      Donnees!$A:$Z,
      _xlpm.ligpartie + 3,
      MATCH(L$1, _xlpm.joueurs, 0) + 1
    )
  ), ""
)</f>
        <v>1</v>
      </c>
      <c r="M151" t="str" cm="1">
        <f t="array" ref="M151">IFERROR(
  _xlfn.LET(
    _xlpm.ligpartie, MATCH($B150, Donnees!$F:$F, 0),
    _xlpm.joueurs, INDEX(Donnees!$A:$Z, _xlpm.ligpartie+1, _xlfn.SEQUENCE(1, 4, 2)),
    INDEX(
      Donnees!$A:$Z,
      _xlpm.ligpartie + 3,
      MATCH(M$1, _xlpm.joueurs, 0) + 1
    )
  ), ""
)</f>
        <v/>
      </c>
      <c r="N151" t="str" cm="1">
        <f t="array" ref="N151">IFERROR(
  _xlfn.LET(
    _xlpm.ligpartie, MATCH($B150, Donnees!$F:$F, 0),
    _xlpm.joueurs, INDEX(Donnees!$A:$Z, _xlpm.ligpartie+1, _xlfn.SEQUENCE(1, 4, 2)),
    INDEX(
      Donnees!$A:$Z,
      _xlpm.ligpartie + 3,
      MATCH(N$1, _xlpm.joueurs, 0) + 1
    )
  ), ""
)</f>
        <v/>
      </c>
      <c r="O151" t="str" cm="1">
        <f t="array" ref="O151">IFERROR(
  _xlfn.LET(
    _xlpm.ligpartie, MATCH($B150, Donnees!$F:$F, 0),
    _xlpm.joueurs, INDEX(Donnees!$A:$Z, _xlpm.ligpartie+1, _xlfn.SEQUENCE(1, 4, 2)),
    INDEX(
      Donnees!$A:$Z,
      _xlpm.ligpartie + 3,
      MATCH(O$1, _xlpm.joueurs, 0) + 1
    )
  ), ""
)</f>
        <v/>
      </c>
      <c r="P151" t="str" cm="1">
        <f t="array" ref="P151">IFERROR(
  _xlfn.LET(
    _xlpm.ligpartie, MATCH($B150, Donnees!$F:$F, 0),
    _xlpm.joueurs, INDEX(Donnees!$A:$Z, _xlpm.ligpartie+1, _xlfn.SEQUENCE(1, 4, 2)),
    INDEX(
      Donnees!$A:$Z,
      _xlpm.ligpartie + 3,
      MATCH(P$1, _xlpm.joueurs, 0) + 1
    )
  ), ""
)</f>
        <v/>
      </c>
      <c r="Q151" t="str" cm="1">
        <f t="array" ref="Q151">IFERROR(
  _xlfn.LET(
    _xlpm.ligpartie, MATCH($B150, Donnees!$F:$F, 0),
    _xlpm.joueurs, INDEX(Donnees!$A:$Z, _xlpm.ligpartie+1, _xlfn.SEQUENCE(1, 4, 2)),
    INDEX(
      Donnees!$A:$Z,
      _xlpm.ligpartie + 3,
      MATCH(Q$1, _xlpm.joueurs, 0) + 1
    )
  ), ""
)</f>
        <v/>
      </c>
      <c r="R151" t="str" cm="1">
        <f t="array" ref="R151">IFERROR(
  _xlfn.LET(
    _xlpm.ligpartie, MATCH($B150, Donnees!$F:$F, 0),
    _xlpm.joueurs, INDEX(Donnees!$A:$Z, _xlpm.ligpartie+1, _xlfn.SEQUENCE(1, 4, 2)),
    INDEX(
      Donnees!$A:$Z,
      _xlpm.ligpartie + 3,
      MATCH(R$1, _xlpm.joueurs, 0) + 1
    )
  ), ""
)</f>
        <v/>
      </c>
      <c r="S151" cm="1">
        <f t="array" ref="S151">IFERROR(
  _xlfn.LET(
    _xlpm.ligpartie, MATCH($B150, Donnees!$F:$F, 0),
    _xlpm.joueurs, INDEX(Donnees!$A:$Z, _xlpm.ligpartie+1, _xlfn.SEQUENCE(1, 4, 2)),
    INDEX(
      Donnees!$A:$Z,
      _xlpm.ligpartie + 3,
      MATCH(S$1, _xlpm.joueurs, 0) + 1
    )
  ), ""
)</f>
        <v>0</v>
      </c>
      <c r="T151" t="str" cm="1">
        <f t="array" ref="T151">IFERROR(
  _xlfn.LET(
    _xlpm.ligpartie, MATCH($B150, Donnees!$F:$F, 0),
    _xlpm.joueurs, INDEX(Donnees!$A:$Z, _xlpm.ligpartie+1, _xlfn.SEQUENCE(1, 4, 2)),
    INDEX(
      Donnees!$A:$Z,
      _xlpm.ligpartie + 3,
      MATCH(T$1, _xlpm.joueurs, 0) + 1
    )
  ), ""
)</f>
        <v/>
      </c>
      <c r="U151" t="str" cm="1">
        <f t="array" ref="U151">IFERROR(
  _xlfn.LET(
    _xlpm.ligpartie, MATCH($B150, Donnees!$F:$F, 0),
    _xlpm.joueurs, INDEX(Donnees!$A:$Z, _xlpm.ligpartie+1, _xlfn.SEQUENCE(1, 4, 2)),
    INDEX(
      Donnees!$A:$Z,
      _xlpm.ligpartie + 3,
      MATCH(U$1, _xlpm.joueurs, 0) + 1
    )
  ), ""
)</f>
        <v/>
      </c>
      <c r="V151" t="str" cm="1">
        <f t="array" ref="V151">IFERROR(
  _xlfn.LET(
    _xlpm.ligpartie, MATCH($B150, Donnees!$F:$F, 0),
    _xlpm.joueurs, INDEX(Donnees!$A:$Z, _xlpm.ligpartie+1, _xlfn.SEQUENCE(1, 4, 2)),
    INDEX(
      Donnees!$A:$Z,
      _xlpm.ligpartie + 3,
      MATCH(V$1, _xlpm.joueurs, 0) + 1
    )
  ), ""
)</f>
        <v/>
      </c>
      <c r="W151" t="str" cm="1">
        <f t="array" ref="W151">IFERROR(
  _xlfn.LET(
    _xlpm.ligpartie, MATCH($B150, Donnees!$F:$F, 0),
    _xlpm.joueurs, INDEX(Donnees!$A:$Z, _xlpm.ligpartie+1, _xlfn.SEQUENCE(1, 4, 2)),
    INDEX(
      Donnees!$A:$Z,
      _xlpm.ligpartie + 3,
      MATCH(W$1, _xlpm.joueurs, 0) + 1
    )
  ), ""
)</f>
        <v/>
      </c>
      <c r="X151" cm="1">
        <f t="array" ref="X151">IFERROR(
  _xlfn.LET(
    _xlpm.ligpartie, MATCH($B150, Donnees!$F:$F, 0),
    _xlpm.joueurs, INDEX(Donnees!$A:$Z, _xlpm.ligpartie+1, _xlfn.SEQUENCE(1, 4, 2)),
    INDEX(
      Donnees!$A:$Z,
      _xlpm.ligpartie + 3,
      MATCH(X$1, _xlpm.joueurs, 0) + 1
    )
  ), ""
)</f>
        <v>2</v>
      </c>
      <c r="Y151" t="str" cm="1">
        <f t="array" ref="Y151">IFERROR(
  _xlfn.LET(
    _xlpm.ligpartie, MATCH($B150, Donnees!$F:$F, 0),
    _xlpm.joueurs, INDEX(Donnees!$A:$Z, _xlpm.ligpartie+1, _xlfn.SEQUENCE(1, 4, 2)),
    INDEX(
      Donnees!$A:$Z,
      _xlpm.ligpartie + 3,
      MATCH(Y$1, _xlpm.joueurs, 0) + 1
    )
  ), ""
)</f>
        <v/>
      </c>
      <c r="Z151" t="str" cm="1">
        <f t="array" ref="Z151">IFERROR(
  _xlfn.LET(
    _xlpm.ligpartie, MATCH($B150, Donnees!$F:$F, 0),
    _xlpm.joueurs, INDEX(Donnees!$A:$Z, _xlpm.ligpartie+1, _xlfn.SEQUENCE(1, 4, 2)),
    INDEX(
      Donnees!$A:$Z,
      _xlpm.ligpartie + 3,
      MATCH(Z$1, _xlpm.joueurs, 0) + 1
    )
  ), ""
)</f>
        <v/>
      </c>
      <c r="AA151" t="str" cm="1">
        <f t="array" ref="AA151">IFERROR(
  _xlfn.LET(
    _xlpm.ligpartie, MATCH($B150, Donnees!$F:$F, 0),
    _xlpm.joueurs, INDEX(Donnees!$A:$Z, _xlpm.ligpartie+1, _xlfn.SEQUENCE(1, 4, 2)),
    INDEX(
      Donnees!$A:$Z,
      _xlpm.ligpartie + 3,
      MATCH(AA$1, _xlpm.joueurs, 0) + 1
    )
  ), ""
)</f>
        <v/>
      </c>
      <c r="AB151" t="str" cm="1">
        <f t="array" ref="AB151">IFERROR(
  _xlfn.LET(
    _xlpm.ligpartie, MATCH($B150, Donnees!$F:$F, 0),
    _xlpm.joueurs, INDEX(Donnees!$A:$Z, _xlpm.ligpartie+1, _xlfn.SEQUENCE(1, 4, 2)),
    INDEX(
      Donnees!$A:$Z,
      _xlpm.ligpartie + 3,
      MATCH(AB$1, _xlpm.joueurs, 0) + 1
    )
  ), ""
)</f>
        <v/>
      </c>
      <c r="AC151" t="str" cm="1">
        <f t="array" ref="AC151">IFERROR(
  _xlfn.LET(
    _xlpm.ligpartie, MATCH($B150, Donnees!$F:$F, 0),
    _xlpm.joueurs, INDEX(Donnees!$A:$Z, _xlpm.ligpartie+1, _xlfn.SEQUENCE(1, 4, 2)),
    INDEX(
      Donnees!$A:$Z,
      _xlpm.ligpartie + 3,
      MATCH(AC$1, _xlpm.joueurs, 0) + 1
    )
  ), ""
)</f>
        <v/>
      </c>
      <c r="AD151" t="str" cm="1">
        <f t="array" ref="AD151">IFERROR(
  _xlfn.LET(
    _xlpm.ligpartie, MATCH($B150, Donnees!$F:$F, 0),
    _xlpm.joueurs, INDEX(Donnees!$A:$Z, _xlpm.ligpartie+1, _xlfn.SEQUENCE(1, 4, 2)),
    INDEX(
      Donnees!$A:$Z,
      _xlpm.ligpartie + 3,
      MATCH(AD$1, _xlpm.joueurs, 0) + 1
    )
  ), ""
)</f>
        <v/>
      </c>
      <c r="AE151" t="str" cm="1">
        <f t="array" ref="AE151">IFERROR(
  _xlfn.LET(
    _xlpm.ligpartie, MATCH($B150, Donnees!$F:$F, 0),
    _xlpm.joueurs, INDEX(Donnees!$A:$Z, _xlpm.ligpartie+1, _xlfn.SEQUENCE(1, 4, 2)),
    INDEX(
      Donnees!$A:$Z,
      _xlpm.ligpartie + 3,
      MATCH(AE$1, _xlpm.joueurs, 0) + 1
    )
  ), ""
)</f>
        <v/>
      </c>
      <c r="AF151" t="str" cm="1">
        <f t="array" ref="AF151">IFERROR(
  _xlfn.LET(
    _xlpm.ligpartie, MATCH($B150, Donnees!$F:$F, 0),
    _xlpm.joueurs, INDEX(Donnees!$A:$Z, _xlpm.ligpartie+1, _xlfn.SEQUENCE(1, 4, 2)),
    INDEX(
      Donnees!$A:$Z,
      _xlpm.ligpartie + 3,
      MATCH(AF$1, _xlpm.joueurs, 0) + 1
    )
  ), ""
)</f>
        <v/>
      </c>
      <c r="AG151" t="str" cm="1">
        <f t="array" ref="AG151">IFERROR(
  _xlfn.LET(
    _xlpm.ligpartie, MATCH($B150, Donnees!$F:$F, 0),
    _xlpm.joueurs, INDEX(Donnees!$A:$Z, _xlpm.ligpartie+1, _xlfn.SEQUENCE(1, 4, 2)),
    INDEX(
      Donnees!$A:$Z,
      _xlpm.ligpartie + 3,
      MATCH(AG$1, _xlpm.joueurs, 0) + 1
    )
  ), ""
)</f>
        <v/>
      </c>
      <c r="AH151" t="str" cm="1">
        <f t="array" ref="AH151">IFERROR(
  _xlfn.LET(
    _xlpm.ligpartie, MATCH($B150, Donnees!$F:$F, 0),
    _xlpm.joueurs, INDEX(Donnees!$A:$Z, _xlpm.ligpartie+1, _xlfn.SEQUENCE(1, 4, 2)),
    INDEX(
      Donnees!$A:$Z,
      _xlpm.ligpartie + 3,
      MATCH(AH$1, _xlpm.joueurs, 0) + 1
    )
  ), ""
)</f>
        <v/>
      </c>
      <c r="AI151" t="str" cm="1">
        <f t="array" ref="AI151">IFERROR(
  _xlfn.LET(
    _xlpm.ligpartie, MATCH($B150, Donnees!$F:$F, 0),
    _xlpm.joueurs, INDEX(Donnees!$A:$Z, _xlpm.ligpartie+1, _xlfn.SEQUENCE(1, 4, 2)),
    INDEX(
      Donnees!$A:$Z,
      _xlpm.ligpartie + 3,
      MATCH(AI$1, _xlpm.joueurs, 0) + 1
    )
  ), ""
)</f>
        <v/>
      </c>
      <c r="AJ151" t="str" cm="1">
        <f t="array" ref="AJ151">IFERROR(
  _xlfn.LET(
    _xlpm.ligpartie, MATCH($B150, Donnees!$F:$F, 0),
    _xlpm.joueurs, INDEX(Donnees!$A:$Z, _xlpm.ligpartie+1, _xlfn.SEQUENCE(1, 4, 2)),
    INDEX(
      Donnees!$A:$Z,
      _xlpm.ligpartie + 3,
      MATCH(AJ$1, _xlpm.joueurs, 0) + 1
    )
  ), ""
)</f>
        <v/>
      </c>
      <c r="AK151" t="str" cm="1">
        <f t="array" ref="AK151">IFERROR(
  _xlfn.LET(
    _xlpm.ligpartie, MATCH($B150, Donnees!$F:$F, 0),
    _xlpm.joueurs, INDEX(Donnees!$A:$Z, _xlpm.ligpartie+1, _xlfn.SEQUENCE(1, 4, 2)),
    INDEX(
      Donnees!$A:$Z,
      _xlpm.ligpartie + 3,
      MATCH(AK$1, _xlpm.joueurs, 0) + 1
    )
  ), ""
)</f>
        <v/>
      </c>
      <c r="AL151" t="str" cm="1">
        <f t="array" ref="AL151">IFERROR(
  _xlfn.LET(
    _xlpm.ligpartie, MATCH($B150, Donnees!$F:$F, 0),
    _xlpm.joueurs, INDEX(Donnees!$A:$Z, _xlpm.ligpartie+1, _xlfn.SEQUENCE(1, 4, 2)),
    INDEX(
      Donnees!$A:$Z,
      _xlpm.ligpartie + 3,
      MATCH(AL$1, _xlpm.joueurs, 0) + 1
    )
  ), ""
)</f>
        <v/>
      </c>
      <c r="AM151" t="str" cm="1">
        <f t="array" ref="AM151">IFERROR(
  _xlfn.LET(
    _xlpm.ligpartie, MATCH($B150, Donnees!$F:$F, 0),
    _xlpm.joueurs, INDEX(Donnees!$A:$Z, _xlpm.ligpartie+1, _xlfn.SEQUENCE(1, 4, 2)),
    INDEX(
      Donnees!$A:$Z,
      _xlpm.ligpartie + 3,
      MATCH(AM$1, _xlpm.joueurs, 0) + 1
    )
  ), ""
)</f>
        <v/>
      </c>
    </row>
    <row r="152" spans="1:39" x14ac:dyDescent="0.25">
      <c r="A152" t="s">
        <v>20</v>
      </c>
      <c r="D152" t="str" cm="1">
        <f t="array" ref="D152">_xlfn.LET(
  _xlpm.colj, _xlfn._xlws.FILTER(IF(ISNUMBER(151:151), COLUMN(151:151)), ISNUMBER(151:151)),
  _xlpm.elos, INDEX(150:150,1,_xlpm.colj),
  _xlpm.diffscale, Constantes!$B$2,
  IF(D151="",
    "",
    SUM(1/(1+POWER(10,-(D150-_xlpm.elos)/_xlpm.diffscale)))-0.5)
)</f>
        <v/>
      </c>
      <c r="E152" t="str" cm="1">
        <f t="array" ref="E152">_xlfn.LET(
  _xlpm.colj, _xlfn._xlws.FILTER(IF(ISNUMBER(151:151), COLUMN(151:151)), ISNUMBER(151:151)),
  _xlpm.elos, INDEX(150:150,1,_xlpm.colj),
  _xlpm.diffscale, Constantes!$B$2,
  IF(E151="",
    "",
    SUM(1/(1+POWER(10,-(E150-_xlpm.elos)/_xlpm.diffscale)))-0.5)
)</f>
        <v/>
      </c>
      <c r="F152" t="str" cm="1">
        <f t="array" ref="F152">_xlfn.LET(
  _xlpm.colj, _xlfn._xlws.FILTER(IF(ISNUMBER(151:151), COLUMN(151:151)), ISNUMBER(151:151)),
  _xlpm.elos, INDEX(150:150,1,_xlpm.colj),
  _xlpm.diffscale, Constantes!$B$2,
  IF(F151="",
    "",
    SUM(1/(1+POWER(10,-(F150-_xlpm.elos)/_xlpm.diffscale)))-0.5)
)</f>
        <v/>
      </c>
      <c r="G152" t="str" cm="1">
        <f t="array" ref="G152">_xlfn.LET(
  _xlpm.colj, _xlfn._xlws.FILTER(IF(ISNUMBER(151:151), COLUMN(151:151)), ISNUMBER(151:151)),
  _xlpm.elos, INDEX(150:150,1,_xlpm.colj),
  _xlpm.diffscale, Constantes!$B$2,
  IF(G151="",
    "",
    SUM(1/(1+POWER(10,-(G150-_xlpm.elos)/_xlpm.diffscale)))-0.5)
)</f>
        <v/>
      </c>
      <c r="H152" t="str" cm="1">
        <f t="array" ref="H152">_xlfn.LET(
  _xlpm.colj, _xlfn._xlws.FILTER(IF(ISNUMBER(151:151), COLUMN(151:151)), ISNUMBER(151:151)),
  _xlpm.elos, INDEX(150:150,1,_xlpm.colj),
  _xlpm.diffscale, Constantes!$B$2,
  IF(H151="",
    "",
    SUM(1/(1+POWER(10,-(H150-_xlpm.elos)/_xlpm.diffscale)))-0.5)
)</f>
        <v/>
      </c>
      <c r="I152" cm="1">
        <f t="array" ref="I152">_xlfn.LET(
  _xlpm.colj, _xlfn._xlws.FILTER(IF(ISNUMBER(151:151), COLUMN(151:151)), ISNUMBER(151:151)),
  _xlpm.elos, INDEX(150:150,1,_xlpm.colj),
  _xlpm.diffscale, Constantes!$B$2,
  IF(I151="",
    "",
    SUM(1/(1+POWER(10,-(I150-_xlpm.elos)/_xlpm.diffscale)))-0.5)
)</f>
        <v>2.2297617784121067</v>
      </c>
      <c r="J152" t="str" cm="1">
        <f t="array" ref="J152">_xlfn.LET(
  _xlpm.colj, _xlfn._xlws.FILTER(IF(ISNUMBER(151:151), COLUMN(151:151)), ISNUMBER(151:151)),
  _xlpm.elos, INDEX(150:150,1,_xlpm.colj),
  _xlpm.diffscale, Constantes!$B$2,
  IF(J151="",
    "",
    SUM(1/(1+POWER(10,-(J150-_xlpm.elos)/_xlpm.diffscale)))-0.5)
)</f>
        <v/>
      </c>
      <c r="K152" t="str" cm="1">
        <f t="array" ref="K152">_xlfn.LET(
  _xlpm.colj, _xlfn._xlws.FILTER(IF(ISNUMBER(151:151), COLUMN(151:151)), ISNUMBER(151:151)),
  _xlpm.elos, INDEX(150:150,1,_xlpm.colj),
  _xlpm.diffscale, Constantes!$B$2,
  IF(K151="",
    "",
    SUM(1/(1+POWER(10,-(K150-_xlpm.elos)/_xlpm.diffscale)))-0.5)
)</f>
        <v/>
      </c>
      <c r="L152" cm="1">
        <f t="array" ref="L152">_xlfn.LET(
  _xlpm.colj, _xlfn._xlws.FILTER(IF(ISNUMBER(151:151), COLUMN(151:151)), ISNUMBER(151:151)),
  _xlpm.elos, INDEX(150:150,1,_xlpm.colj),
  _xlpm.diffscale, Constantes!$B$2,
  IF(L151="",
    "",
    SUM(1/(1+POWER(10,-(L150-_xlpm.elos)/_xlpm.diffscale)))-0.5)
)</f>
        <v>1.069824677409648</v>
      </c>
      <c r="M152" t="str" cm="1">
        <f t="array" ref="M152">_xlfn.LET(
  _xlpm.colj, _xlfn._xlws.FILTER(IF(ISNUMBER(151:151), COLUMN(151:151)), ISNUMBER(151:151)),
  _xlpm.elos, INDEX(150:150,1,_xlpm.colj),
  _xlpm.diffscale, Constantes!$B$2,
  IF(M151="",
    "",
    SUM(1/(1+POWER(10,-(M150-_xlpm.elos)/_xlpm.diffscale)))-0.5)
)</f>
        <v/>
      </c>
      <c r="N152" t="str" cm="1">
        <f t="array" ref="N152">_xlfn.LET(
  _xlpm.colj, _xlfn._xlws.FILTER(IF(ISNUMBER(151:151), COLUMN(151:151)), ISNUMBER(151:151)),
  _xlpm.elos, INDEX(150:150,1,_xlpm.colj),
  _xlpm.diffscale, Constantes!$B$2,
  IF(N151="",
    "",
    SUM(1/(1+POWER(10,-(N150-_xlpm.elos)/_xlpm.diffscale)))-0.5)
)</f>
        <v/>
      </c>
      <c r="O152" t="str" cm="1">
        <f t="array" ref="O152">_xlfn.LET(
  _xlpm.colj, _xlfn._xlws.FILTER(IF(ISNUMBER(151:151), COLUMN(151:151)), ISNUMBER(151:151)),
  _xlpm.elos, INDEX(150:150,1,_xlpm.colj),
  _xlpm.diffscale, Constantes!$B$2,
  IF(O151="",
    "",
    SUM(1/(1+POWER(10,-(O150-_xlpm.elos)/_xlpm.diffscale)))-0.5)
)</f>
        <v/>
      </c>
      <c r="P152" t="str" cm="1">
        <f t="array" ref="P152">_xlfn.LET(
  _xlpm.colj, _xlfn._xlws.FILTER(IF(ISNUMBER(151:151), COLUMN(151:151)), ISNUMBER(151:151)),
  _xlpm.elos, INDEX(150:150,1,_xlpm.colj),
  _xlpm.diffscale, Constantes!$B$2,
  IF(P151="",
    "",
    SUM(1/(1+POWER(10,-(P150-_xlpm.elos)/_xlpm.diffscale)))-0.5)
)</f>
        <v/>
      </c>
      <c r="Q152" t="str" cm="1">
        <f t="array" ref="Q152">_xlfn.LET(
  _xlpm.colj, _xlfn._xlws.FILTER(IF(ISNUMBER(151:151), COLUMN(151:151)), ISNUMBER(151:151)),
  _xlpm.elos, INDEX(150:150,1,_xlpm.colj),
  _xlpm.diffscale, Constantes!$B$2,
  IF(Q151="",
    "",
    SUM(1/(1+POWER(10,-(Q150-_xlpm.elos)/_xlpm.diffscale)))-0.5)
)</f>
        <v/>
      </c>
      <c r="R152" t="str" cm="1">
        <f t="array" ref="R152">_xlfn.LET(
  _xlpm.colj, _xlfn._xlws.FILTER(IF(ISNUMBER(151:151), COLUMN(151:151)), ISNUMBER(151:151)),
  _xlpm.elos, INDEX(150:150,1,_xlpm.colj),
  _xlpm.diffscale, Constantes!$B$2,
  IF(R151="",
    "",
    SUM(1/(1+POWER(10,-(R150-_xlpm.elos)/_xlpm.diffscale)))-0.5)
)</f>
        <v/>
      </c>
      <c r="S152" cm="1">
        <f t="array" ref="S152">_xlfn.LET(
  _xlpm.colj, _xlfn._xlws.FILTER(IF(ISNUMBER(151:151), COLUMN(151:151)), ISNUMBER(151:151)),
  _xlpm.elos, INDEX(150:150,1,_xlpm.colj),
  _xlpm.diffscale, Constantes!$B$2,
  IF(S151="",
    "",
    SUM(1/(1+POWER(10,-(S150-_xlpm.elos)/_xlpm.diffscale)))-0.5)
)</f>
        <v>1.6442157642115491</v>
      </c>
      <c r="T152" t="str" cm="1">
        <f t="array" ref="T152">_xlfn.LET(
  _xlpm.colj, _xlfn._xlws.FILTER(IF(ISNUMBER(151:151), COLUMN(151:151)), ISNUMBER(151:151)),
  _xlpm.elos, INDEX(150:150,1,_xlpm.colj),
  _xlpm.diffscale, Constantes!$B$2,
  IF(T151="",
    "",
    SUM(1/(1+POWER(10,-(T150-_xlpm.elos)/_xlpm.diffscale)))-0.5)
)</f>
        <v/>
      </c>
      <c r="U152" t="str" cm="1">
        <f t="array" ref="U152">_xlfn.LET(
  _xlpm.colj, _xlfn._xlws.FILTER(IF(ISNUMBER(151:151), COLUMN(151:151)), ISNUMBER(151:151)),
  _xlpm.elos, INDEX(150:150,1,_xlpm.colj),
  _xlpm.diffscale, Constantes!$B$2,
  IF(U151="",
    "",
    SUM(1/(1+POWER(10,-(U150-_xlpm.elos)/_xlpm.diffscale)))-0.5)
)</f>
        <v/>
      </c>
      <c r="V152" t="str" cm="1">
        <f t="array" ref="V152">_xlfn.LET(
  _xlpm.colj, _xlfn._xlws.FILTER(IF(ISNUMBER(151:151), COLUMN(151:151)), ISNUMBER(151:151)),
  _xlpm.elos, INDEX(150:150,1,_xlpm.colj),
  _xlpm.diffscale, Constantes!$B$2,
  IF(V151="",
    "",
    SUM(1/(1+POWER(10,-(V150-_xlpm.elos)/_xlpm.diffscale)))-0.5)
)</f>
        <v/>
      </c>
      <c r="W152" t="str" cm="1">
        <f t="array" ref="W152">_xlfn.LET(
  _xlpm.colj, _xlfn._xlws.FILTER(IF(ISNUMBER(151:151), COLUMN(151:151)), ISNUMBER(151:151)),
  _xlpm.elos, INDEX(150:150,1,_xlpm.colj),
  _xlpm.diffscale, Constantes!$B$2,
  IF(W151="",
    "",
    SUM(1/(1+POWER(10,-(W150-_xlpm.elos)/_xlpm.diffscale)))-0.5)
)</f>
        <v/>
      </c>
      <c r="X152" cm="1">
        <f t="array" ref="X152">_xlfn.LET(
  _xlpm.colj, _xlfn._xlws.FILTER(IF(ISNUMBER(151:151), COLUMN(151:151)), ISNUMBER(151:151)),
  _xlpm.elos, INDEX(150:150,1,_xlpm.colj),
  _xlpm.diffscale, Constantes!$B$2,
  IF(X151="",
    "",
    SUM(1/(1+POWER(10,-(X150-_xlpm.elos)/_xlpm.diffscale)))-0.5)
)</f>
        <v>1.0561977799666966</v>
      </c>
      <c r="Y152" t="str" cm="1">
        <f t="array" ref="Y152">_xlfn.LET(
  _xlpm.colj, _xlfn._xlws.FILTER(IF(ISNUMBER(151:151), COLUMN(151:151)), ISNUMBER(151:151)),
  _xlpm.elos, INDEX(150:150,1,_xlpm.colj),
  _xlpm.diffscale, Constantes!$B$2,
  IF(Y151="",
    "",
    SUM(1/(1+POWER(10,-(Y150-_xlpm.elos)/_xlpm.diffscale)))-0.5)
)</f>
        <v/>
      </c>
      <c r="Z152" t="str" cm="1">
        <f t="array" ref="Z152">_xlfn.LET(
  _xlpm.colj, _xlfn._xlws.FILTER(IF(ISNUMBER(151:151), COLUMN(151:151)), ISNUMBER(151:151)),
  _xlpm.elos, INDEX(150:150,1,_xlpm.colj),
  _xlpm.diffscale, Constantes!$B$2,
  IF(Z151="",
    "",
    SUM(1/(1+POWER(10,-(Z150-_xlpm.elos)/_xlpm.diffscale)))-0.5)
)</f>
        <v/>
      </c>
      <c r="AA152" t="str" cm="1">
        <f t="array" ref="AA152">_xlfn.LET(
  _xlpm.colj, _xlfn._xlws.FILTER(IF(ISNUMBER(151:151), COLUMN(151:151)), ISNUMBER(151:151)),
  _xlpm.elos, INDEX(150:150,1,_xlpm.colj),
  _xlpm.diffscale, Constantes!$B$2,
  IF(AA151="",
    "",
    SUM(1/(1+POWER(10,-(AA150-_xlpm.elos)/_xlpm.diffscale)))-0.5)
)</f>
        <v/>
      </c>
      <c r="AB152" t="str" cm="1">
        <f t="array" ref="AB152">_xlfn.LET(
  _xlpm.colj, _xlfn._xlws.FILTER(IF(ISNUMBER(151:151), COLUMN(151:151)), ISNUMBER(151:151)),
  _xlpm.elos, INDEX(150:150,1,_xlpm.colj),
  _xlpm.diffscale, Constantes!$B$2,
  IF(AB151="",
    "",
    SUM(1/(1+POWER(10,-(AB150-_xlpm.elos)/_xlpm.diffscale)))-0.5)
)</f>
        <v/>
      </c>
      <c r="AC152" t="str" cm="1">
        <f t="array" ref="AC152">_xlfn.LET(
  _xlpm.colj, _xlfn._xlws.FILTER(IF(ISNUMBER(151:151), COLUMN(151:151)), ISNUMBER(151:151)),
  _xlpm.elos, INDEX(150:150,1,_xlpm.colj),
  _xlpm.diffscale, Constantes!$B$2,
  IF(AC151="",
    "",
    SUM(1/(1+POWER(10,-(AC150-_xlpm.elos)/_xlpm.diffscale)))-0.5)
)</f>
        <v/>
      </c>
      <c r="AD152" t="str" cm="1">
        <f t="array" ref="AD152">_xlfn.LET(
  _xlpm.colj, _xlfn._xlws.FILTER(IF(ISNUMBER(151:151), COLUMN(151:151)), ISNUMBER(151:151)),
  _xlpm.elos, INDEX(150:150,1,_xlpm.colj),
  _xlpm.diffscale, Constantes!$B$2,
  IF(AD151="",
    "",
    SUM(1/(1+POWER(10,-(AD150-_xlpm.elos)/_xlpm.diffscale)))-0.5)
)</f>
        <v/>
      </c>
      <c r="AE152" t="str" cm="1">
        <f t="array" ref="AE152">_xlfn.LET(
  _xlpm.colj, _xlfn._xlws.FILTER(IF(ISNUMBER(151:151), COLUMN(151:151)), ISNUMBER(151:151)),
  _xlpm.elos, INDEX(150:150,1,_xlpm.colj),
  _xlpm.diffscale, Constantes!$B$2,
  IF(AE151="",
    "",
    SUM(1/(1+POWER(10,-(AE150-_xlpm.elos)/_xlpm.diffscale)))-0.5)
)</f>
        <v/>
      </c>
      <c r="AF152" t="str" cm="1">
        <f t="array" ref="AF152">_xlfn.LET(
  _xlpm.colj, _xlfn._xlws.FILTER(IF(ISNUMBER(151:151), COLUMN(151:151)), ISNUMBER(151:151)),
  _xlpm.elos, INDEX(150:150,1,_xlpm.colj),
  _xlpm.diffscale, Constantes!$B$2,
  IF(AF151="",
    "",
    SUM(1/(1+POWER(10,-(AF150-_xlpm.elos)/_xlpm.diffscale)))-0.5)
)</f>
        <v/>
      </c>
      <c r="AG152" t="str" cm="1">
        <f t="array" ref="AG152">_xlfn.LET(
  _xlpm.colj, _xlfn._xlws.FILTER(IF(ISNUMBER(151:151), COLUMN(151:151)), ISNUMBER(151:151)),
  _xlpm.elos, INDEX(150:150,1,_xlpm.colj),
  _xlpm.diffscale, Constantes!$B$2,
  IF(AG151="",
    "",
    SUM(1/(1+POWER(10,-(AG150-_xlpm.elos)/_xlpm.diffscale)))-0.5)
)</f>
        <v/>
      </c>
      <c r="AH152" t="str" cm="1">
        <f t="array" ref="AH152">_xlfn.LET(
  _xlpm.colj, _xlfn._xlws.FILTER(IF(ISNUMBER(151:151), COLUMN(151:151)), ISNUMBER(151:151)),
  _xlpm.elos, INDEX(150:150,1,_xlpm.colj),
  _xlpm.diffscale, Constantes!$B$2,
  IF(AH151="",
    "",
    SUM(1/(1+POWER(10,-(AH150-_xlpm.elos)/_xlpm.diffscale)))-0.5)
)</f>
        <v/>
      </c>
      <c r="AI152" t="str" cm="1">
        <f t="array" ref="AI152">_xlfn.LET(
  _xlpm.colj, _xlfn._xlws.FILTER(IF(ISNUMBER(151:151), COLUMN(151:151)), ISNUMBER(151:151)),
  _xlpm.elos, INDEX(150:150,1,_xlpm.colj),
  _xlpm.diffscale, Constantes!$B$2,
  IF(AI151="",
    "",
    SUM(1/(1+POWER(10,-(AI150-_xlpm.elos)/_xlpm.diffscale)))-0.5)
)</f>
        <v/>
      </c>
      <c r="AJ152" t="str" cm="1">
        <f t="array" ref="AJ152">_xlfn.LET(
  _xlpm.colj, _xlfn._xlws.FILTER(IF(ISNUMBER(151:151), COLUMN(151:151)), ISNUMBER(151:151)),
  _xlpm.elos, INDEX(150:150,1,_xlpm.colj),
  _xlpm.diffscale, Constantes!$B$2,
  IF(AJ151="",
    "",
    SUM(1/(1+POWER(10,-(AJ150-_xlpm.elos)/_xlpm.diffscale)))-0.5)
)</f>
        <v/>
      </c>
      <c r="AK152" t="str" cm="1">
        <f t="array" ref="AK152">_xlfn.LET(
  _xlpm.colj, _xlfn._xlws.FILTER(IF(ISNUMBER(151:151), COLUMN(151:151)), ISNUMBER(151:151)),
  _xlpm.elos, INDEX(150:150,1,_xlpm.colj),
  _xlpm.diffscale, Constantes!$B$2,
  IF(AK151="",
    "",
    SUM(1/(1+POWER(10,-(AK150-_xlpm.elos)/_xlpm.diffscale)))-0.5)
)</f>
        <v/>
      </c>
      <c r="AL152" t="str" cm="1">
        <f t="array" ref="AL152">_xlfn.LET(
  _xlpm.colj, _xlfn._xlws.FILTER(IF(ISNUMBER(151:151), COLUMN(151:151)), ISNUMBER(151:151)),
  _xlpm.elos, INDEX(150:150,1,_xlpm.colj),
  _xlpm.diffscale, Constantes!$B$2,
  IF(AL151="",
    "",
    SUM(1/(1+POWER(10,-(AL150-_xlpm.elos)/_xlpm.diffscale)))-0.5)
)</f>
        <v/>
      </c>
      <c r="AM152" t="str" cm="1">
        <f t="array" ref="AM152">_xlfn.LET(
  _xlpm.colj, _xlfn._xlws.FILTER(IF(ISNUMBER(151:151), COLUMN(151:151)), ISNUMBER(151:151)),
  _xlpm.elos, INDEX(150:150,1,_xlpm.colj),
  _xlpm.diffscale, Constantes!$B$2,
  IF(AM151="",
    "",
    SUM(1/(1+POWER(10,-(AM150-_xlpm.elos)/_xlpm.diffscale)))-0.5)
)</f>
        <v/>
      </c>
    </row>
    <row r="153" spans="1:39" x14ac:dyDescent="0.25">
      <c r="A153" t="s">
        <v>22</v>
      </c>
      <c r="D153" t="str" cm="1">
        <f t="array" ref="D153">_xlfn.LET(
  _xlpm.K, Constantes!$B$3,
  _xlpm.Knewgain, Constantes!$B$4,
  _xlpm.Knewscale, Constantes!$B$5,
  _xlpm.ptstables, INDEX(D:D, _xlfn.SEQUENCE(COUNTA($C$2:$C153), 1, 3, 4)),
  _xlpm.nbparties, COUNTA(_xlfn._xlws.FILTER(_xlpm.ptstables, _xlpm.ptstables &lt;&gt; "")),
  _xlpm.coef, _xlpm.K + _xlpm.Knewgain / (_xlpm.Knewscale + _xlpm.nbparties),
  IF(D151="",
    "",
    _xlpm.coef * (D151-D152))
)</f>
        <v/>
      </c>
      <c r="E153" t="str" cm="1">
        <f t="array" ref="E153">_xlfn.LET(
  _xlpm.K, Constantes!$B$3,
  _xlpm.Knewgain, Constantes!$B$4,
  _xlpm.Knewscale, Constantes!$B$5,
  _xlpm.ptstables, INDEX(E:E, _xlfn.SEQUENCE(COUNTA($C$2:$C153), 1, 3, 4)),
  _xlpm.nbparties, COUNTA(_xlfn._xlws.FILTER(_xlpm.ptstables, _xlpm.ptstables &lt;&gt; "")),
  _xlpm.coef, _xlpm.K + _xlpm.Knewgain / (_xlpm.Knewscale + _xlpm.nbparties),
  IF(E151="",
    "",
    _xlpm.coef * (E151-E152))
)</f>
        <v/>
      </c>
      <c r="F153" t="str" cm="1">
        <f t="array" ref="F153">_xlfn.LET(
  _xlpm.K, Constantes!$B$3,
  _xlpm.Knewgain, Constantes!$B$4,
  _xlpm.Knewscale, Constantes!$B$5,
  _xlpm.ptstables, INDEX(F:F, _xlfn.SEQUENCE(COUNTA($C$2:$C153), 1, 3, 4)),
  _xlpm.nbparties, COUNTA(_xlfn._xlws.FILTER(_xlpm.ptstables, _xlpm.ptstables &lt;&gt; "")),
  _xlpm.coef, _xlpm.K + _xlpm.Knewgain / (_xlpm.Knewscale + _xlpm.nbparties),
  IF(F151="",
    "",
    _xlpm.coef * (F151-F152))
)</f>
        <v/>
      </c>
      <c r="G153" t="str" cm="1">
        <f t="array" ref="G153">_xlfn.LET(
  _xlpm.K, Constantes!$B$3,
  _xlpm.Knewgain, Constantes!$B$4,
  _xlpm.Knewscale, Constantes!$B$5,
  _xlpm.ptstables, INDEX(G:G, _xlfn.SEQUENCE(COUNTA($C$2:$C153), 1, 3, 4)),
  _xlpm.nbparties, COUNTA(_xlfn._xlws.FILTER(_xlpm.ptstables, _xlpm.ptstables &lt;&gt; "")),
  _xlpm.coef, _xlpm.K + _xlpm.Knewgain / (_xlpm.Knewscale + _xlpm.nbparties),
  IF(G151="",
    "",
    _xlpm.coef * (G151-G152))
)</f>
        <v/>
      </c>
      <c r="H153" t="str" cm="1">
        <f t="array" ref="H153">_xlfn.LET(
  _xlpm.K, Constantes!$B$3,
  _xlpm.Knewgain, Constantes!$B$4,
  _xlpm.Knewscale, Constantes!$B$5,
  _xlpm.ptstables, INDEX(H:H, _xlfn.SEQUENCE(COUNTA($C$2:$C153), 1, 3, 4)),
  _xlpm.nbparties, COUNTA(_xlfn._xlws.FILTER(_xlpm.ptstables, _xlpm.ptstables &lt;&gt; "")),
  _xlpm.coef, _xlpm.K + _xlpm.Knewgain / (_xlpm.Knewscale + _xlpm.nbparties),
  IF(H151="",
    "",
    _xlpm.coef * (H151-H152))
)</f>
        <v/>
      </c>
      <c r="I153" cm="1">
        <f t="array" ref="I153">_xlfn.LET(
  _xlpm.K, Constantes!$B$3,
  _xlpm.Knewgain, Constantes!$B$4,
  _xlpm.Knewscale, Constantes!$B$5,
  _xlpm.ptstables, INDEX(I:I, _xlfn.SEQUENCE(COUNTA($C$2:$C153), 1, 3, 4)),
  _xlpm.nbparties, COUNTA(_xlfn._xlws.FILTER(_xlpm.ptstables, _xlpm.ptstables &lt;&gt; "")),
  _xlpm.coef, _xlpm.K + _xlpm.Knewgain / (_xlpm.Knewscale + _xlpm.nbparties),
  IF(I151="",
    "",
    _xlpm.coef * (I151-I152))
)</f>
        <v>23.107146647636799</v>
      </c>
      <c r="J153" t="str" cm="1">
        <f t="array" ref="J153">_xlfn.LET(
  _xlpm.K, Constantes!$B$3,
  _xlpm.Knewgain, Constantes!$B$4,
  _xlpm.Knewscale, Constantes!$B$5,
  _xlpm.ptstables, INDEX(J:J, _xlfn.SEQUENCE(COUNTA($C$2:$C153), 1, 3, 4)),
  _xlpm.nbparties, COUNTA(_xlfn._xlws.FILTER(_xlpm.ptstables, _xlpm.ptstables &lt;&gt; "")),
  _xlpm.coef, _xlpm.K + _xlpm.Knewgain / (_xlpm.Knewscale + _xlpm.nbparties),
  IF(J151="",
    "",
    _xlpm.coef * (J151-J152))
)</f>
        <v/>
      </c>
      <c r="K153" t="str" cm="1">
        <f t="array" ref="K153">_xlfn.LET(
  _xlpm.K, Constantes!$B$3,
  _xlpm.Knewgain, Constantes!$B$4,
  _xlpm.Knewscale, Constantes!$B$5,
  _xlpm.ptstables, INDEX(K:K, _xlfn.SEQUENCE(COUNTA($C$2:$C153), 1, 3, 4)),
  _xlpm.nbparties, COUNTA(_xlfn._xlws.FILTER(_xlpm.ptstables, _xlpm.ptstables &lt;&gt; "")),
  _xlpm.coef, _xlpm.K + _xlpm.Knewgain / (_xlpm.Knewscale + _xlpm.nbparties),
  IF(K151="",
    "",
    _xlpm.coef * (K151-K152))
)</f>
        <v/>
      </c>
      <c r="L153" cm="1">
        <f t="array" ref="L153">_xlfn.LET(
  _xlpm.K, Constantes!$B$3,
  _xlpm.Knewgain, Constantes!$B$4,
  _xlpm.Knewscale, Constantes!$B$5,
  _xlpm.ptstables, INDEX(L:L, _xlfn.SEQUENCE(COUNTA($C$2:$C153), 1, 3, 4)),
  _xlpm.nbparties, COUNTA(_xlfn._xlws.FILTER(_xlpm.ptstables, _xlpm.ptstables &lt;&gt; "")),
  _xlpm.coef, _xlpm.K + _xlpm.Knewgain / (_xlpm.Knewscale + _xlpm.nbparties),
  IF(L151="",
    "",
    _xlpm.coef * (L151-L152))
)</f>
        <v>-2.0947403222894412</v>
      </c>
      <c r="M153" t="str" cm="1">
        <f t="array" ref="M153">_xlfn.LET(
  _xlpm.K, Constantes!$B$3,
  _xlpm.Knewgain, Constantes!$B$4,
  _xlpm.Knewscale, Constantes!$B$5,
  _xlpm.ptstables, INDEX(M:M, _xlfn.SEQUENCE(COUNTA($C$2:$C153), 1, 3, 4)),
  _xlpm.nbparties, COUNTA(_xlfn._xlws.FILTER(_xlpm.ptstables, _xlpm.ptstables &lt;&gt; "")),
  _xlpm.coef, _xlpm.K + _xlpm.Knewgain / (_xlpm.Knewscale + _xlpm.nbparties),
  IF(M151="",
    "",
    _xlpm.coef * (M151-M152))
)</f>
        <v/>
      </c>
      <c r="N153" t="str" cm="1">
        <f t="array" ref="N153">_xlfn.LET(
  _xlpm.K, Constantes!$B$3,
  _xlpm.Knewgain, Constantes!$B$4,
  _xlpm.Knewscale, Constantes!$B$5,
  _xlpm.ptstables, INDEX(N:N, _xlfn.SEQUENCE(COUNTA($C$2:$C153), 1, 3, 4)),
  _xlpm.nbparties, COUNTA(_xlfn._xlws.FILTER(_xlpm.ptstables, _xlpm.ptstables &lt;&gt; "")),
  _xlpm.coef, _xlpm.K + _xlpm.Knewgain / (_xlpm.Knewscale + _xlpm.nbparties),
  IF(N151="",
    "",
    _xlpm.coef * (N151-N152))
)</f>
        <v/>
      </c>
      <c r="O153" t="str" cm="1">
        <f t="array" ref="O153">_xlfn.LET(
  _xlpm.K, Constantes!$B$3,
  _xlpm.Knewgain, Constantes!$B$4,
  _xlpm.Knewscale, Constantes!$B$5,
  _xlpm.ptstables, INDEX(O:O, _xlfn.SEQUENCE(COUNTA($C$2:$C153), 1, 3, 4)),
  _xlpm.nbparties, COUNTA(_xlfn._xlws.FILTER(_xlpm.ptstables, _xlpm.ptstables &lt;&gt; "")),
  _xlpm.coef, _xlpm.K + _xlpm.Knewgain / (_xlpm.Knewscale + _xlpm.nbparties),
  IF(O151="",
    "",
    _xlpm.coef * (O151-O152))
)</f>
        <v/>
      </c>
      <c r="P153" t="str" cm="1">
        <f t="array" ref="P153">_xlfn.LET(
  _xlpm.K, Constantes!$B$3,
  _xlpm.Knewgain, Constantes!$B$4,
  _xlpm.Knewscale, Constantes!$B$5,
  _xlpm.ptstables, INDEX(P:P, _xlfn.SEQUENCE(COUNTA($C$2:$C153), 1, 3, 4)),
  _xlpm.nbparties, COUNTA(_xlfn._xlws.FILTER(_xlpm.ptstables, _xlpm.ptstables &lt;&gt; "")),
  _xlpm.coef, _xlpm.K + _xlpm.Knewgain / (_xlpm.Knewscale + _xlpm.nbparties),
  IF(P151="",
    "",
    _xlpm.coef * (P151-P152))
)</f>
        <v/>
      </c>
      <c r="Q153" t="str" cm="1">
        <f t="array" ref="Q153">_xlfn.LET(
  _xlpm.K, Constantes!$B$3,
  _xlpm.Knewgain, Constantes!$B$4,
  _xlpm.Knewscale, Constantes!$B$5,
  _xlpm.ptstables, INDEX(Q:Q, _xlfn.SEQUENCE(COUNTA($C$2:$C153), 1, 3, 4)),
  _xlpm.nbparties, COUNTA(_xlfn._xlws.FILTER(_xlpm.ptstables, _xlpm.ptstables &lt;&gt; "")),
  _xlpm.coef, _xlpm.K + _xlpm.Knewgain / (_xlpm.Knewscale + _xlpm.nbparties),
  IF(Q151="",
    "",
    _xlpm.coef * (Q151-Q152))
)</f>
        <v/>
      </c>
      <c r="R153" t="str" cm="1">
        <f t="array" ref="R153">_xlfn.LET(
  _xlpm.K, Constantes!$B$3,
  _xlpm.Knewgain, Constantes!$B$4,
  _xlpm.Knewscale, Constantes!$B$5,
  _xlpm.ptstables, INDEX(R:R, _xlfn.SEQUENCE(COUNTA($C$2:$C153), 1, 3, 4)),
  _xlpm.nbparties, COUNTA(_xlfn._xlws.FILTER(_xlpm.ptstables, _xlpm.ptstables &lt;&gt; "")),
  _xlpm.coef, _xlpm.K + _xlpm.Knewgain / (_xlpm.Knewscale + _xlpm.nbparties),
  IF(R151="",
    "",
    _xlpm.coef * (R151-R152))
)</f>
        <v/>
      </c>
      <c r="S153" cm="1">
        <f t="array" ref="S153">_xlfn.LET(
  _xlpm.K, Constantes!$B$3,
  _xlpm.Knewgain, Constantes!$B$4,
  _xlpm.Knewscale, Constantes!$B$5,
  _xlpm.ptstables, INDEX(S:S, _xlfn.SEQUENCE(COUNTA($C$2:$C153), 1, 3, 4)),
  _xlpm.nbparties, COUNTA(_xlfn._xlws.FILTER(_xlpm.ptstables, _xlpm.ptstables &lt;&gt; "")),
  _xlpm.coef, _xlpm.K + _xlpm.Knewgain / (_xlpm.Knewscale + _xlpm.nbparties),
  IF(S151="",
    "",
    _xlpm.coef * (S151-S152))
)</f>
        <v>-41.105394105288731</v>
      </c>
      <c r="T153" t="str" cm="1">
        <f t="array" ref="T153">_xlfn.LET(
  _xlpm.K, Constantes!$B$3,
  _xlpm.Knewgain, Constantes!$B$4,
  _xlpm.Knewscale, Constantes!$B$5,
  _xlpm.ptstables, INDEX(T:T, _xlfn.SEQUENCE(COUNTA($C$2:$C153), 1, 3, 4)),
  _xlpm.nbparties, COUNTA(_xlfn._xlws.FILTER(_xlpm.ptstables, _xlpm.ptstables &lt;&gt; "")),
  _xlpm.coef, _xlpm.K + _xlpm.Knewgain / (_xlpm.Knewscale + _xlpm.nbparties),
  IF(T151="",
    "",
    _xlpm.coef * (T151-T152))
)</f>
        <v/>
      </c>
      <c r="U153" t="str" cm="1">
        <f t="array" ref="U153">_xlfn.LET(
  _xlpm.K, Constantes!$B$3,
  _xlpm.Knewgain, Constantes!$B$4,
  _xlpm.Knewscale, Constantes!$B$5,
  _xlpm.ptstables, INDEX(U:U, _xlfn.SEQUENCE(COUNTA($C$2:$C153), 1, 3, 4)),
  _xlpm.nbparties, COUNTA(_xlfn._xlws.FILTER(_xlpm.ptstables, _xlpm.ptstables &lt;&gt; "")),
  _xlpm.coef, _xlpm.K + _xlpm.Knewgain / (_xlpm.Knewscale + _xlpm.nbparties),
  IF(U151="",
    "",
    _xlpm.coef * (U151-U152))
)</f>
        <v/>
      </c>
      <c r="V153" t="str" cm="1">
        <f t="array" ref="V153">_xlfn.LET(
  _xlpm.K, Constantes!$B$3,
  _xlpm.Knewgain, Constantes!$B$4,
  _xlpm.Knewscale, Constantes!$B$5,
  _xlpm.ptstables, INDEX(V:V, _xlfn.SEQUENCE(COUNTA($C$2:$C153), 1, 3, 4)),
  _xlpm.nbparties, COUNTA(_xlfn._xlws.FILTER(_xlpm.ptstables, _xlpm.ptstables &lt;&gt; "")),
  _xlpm.coef, _xlpm.K + _xlpm.Knewgain / (_xlpm.Knewscale + _xlpm.nbparties),
  IF(V151="",
    "",
    _xlpm.coef * (V151-V152))
)</f>
        <v/>
      </c>
      <c r="W153" t="str" cm="1">
        <f t="array" ref="W153">_xlfn.LET(
  _xlpm.K, Constantes!$B$3,
  _xlpm.Knewgain, Constantes!$B$4,
  _xlpm.Knewscale, Constantes!$B$5,
  _xlpm.ptstables, INDEX(W:W, _xlfn.SEQUENCE(COUNTA($C$2:$C153), 1, 3, 4)),
  _xlpm.nbparties, COUNTA(_xlfn._xlws.FILTER(_xlpm.ptstables, _xlpm.ptstables &lt;&gt; "")),
  _xlpm.coef, _xlpm.K + _xlpm.Knewgain / (_xlpm.Knewscale + _xlpm.nbparties),
  IF(W151="",
    "",
    _xlpm.coef * (W151-W152))
)</f>
        <v/>
      </c>
      <c r="X153" cm="1">
        <f t="array" ref="X153">_xlfn.LET(
  _xlpm.K, Constantes!$B$3,
  _xlpm.Knewgain, Constantes!$B$4,
  _xlpm.Knewscale, Constantes!$B$5,
  _xlpm.ptstables, INDEX(X:X, _xlfn.SEQUENCE(COUNTA($C$2:$C153), 1, 3, 4)),
  _xlpm.nbparties, COUNTA(_xlfn._xlws.FILTER(_xlpm.ptstables, _xlpm.ptstables &lt;&gt; "")),
  _xlpm.coef, _xlpm.K + _xlpm.Knewgain / (_xlpm.Knewscale + _xlpm.nbparties),
  IF(X151="",
    "",
    _xlpm.coef * (X151-X152))
)</f>
        <v>25.617488829475377</v>
      </c>
      <c r="Y153" t="str" cm="1">
        <f t="array" ref="Y153">_xlfn.LET(
  _xlpm.K, Constantes!$B$3,
  _xlpm.Knewgain, Constantes!$B$4,
  _xlpm.Knewscale, Constantes!$B$5,
  _xlpm.ptstables, INDEX(Y:Y, _xlfn.SEQUENCE(COUNTA($C$2:$C153), 1, 3, 4)),
  _xlpm.nbparties, COUNTA(_xlfn._xlws.FILTER(_xlpm.ptstables, _xlpm.ptstables &lt;&gt; "")),
  _xlpm.coef, _xlpm.K + _xlpm.Knewgain / (_xlpm.Knewscale + _xlpm.nbparties),
  IF(Y151="",
    "",
    _xlpm.coef * (Y151-Y152))
)</f>
        <v/>
      </c>
      <c r="Z153" t="str" cm="1">
        <f t="array" ref="Z153">_xlfn.LET(
  _xlpm.K, Constantes!$B$3,
  _xlpm.Knewgain, Constantes!$B$4,
  _xlpm.Knewscale, Constantes!$B$5,
  _xlpm.ptstables, INDEX(Z:Z, _xlfn.SEQUENCE(COUNTA($C$2:$C153), 1, 3, 4)),
  _xlpm.nbparties, COUNTA(_xlfn._xlws.FILTER(_xlpm.ptstables, _xlpm.ptstables &lt;&gt; "")),
  _xlpm.coef, _xlpm.K + _xlpm.Knewgain / (_xlpm.Knewscale + _xlpm.nbparties),
  IF(Z151="",
    "",
    _xlpm.coef * (Z151-Z152))
)</f>
        <v/>
      </c>
      <c r="AA153" t="str" cm="1">
        <f t="array" ref="AA153">_xlfn.LET(
  _xlpm.K, Constantes!$B$3,
  _xlpm.Knewgain, Constantes!$B$4,
  _xlpm.Knewscale, Constantes!$B$5,
  _xlpm.ptstables, INDEX(AA:AA, _xlfn.SEQUENCE(COUNTA($C$2:$C153), 1, 3, 4)),
  _xlpm.nbparties, COUNTA(_xlfn._xlws.FILTER(_xlpm.ptstables, _xlpm.ptstables &lt;&gt; "")),
  _xlpm.coef, _xlpm.K + _xlpm.Knewgain / (_xlpm.Knewscale + _xlpm.nbparties),
  IF(AA151="",
    "",
    _xlpm.coef * (AA151-AA152))
)</f>
        <v/>
      </c>
      <c r="AB153" t="str" cm="1">
        <f t="array" ref="AB153">_xlfn.LET(
  _xlpm.K, Constantes!$B$3,
  _xlpm.Knewgain, Constantes!$B$4,
  _xlpm.Knewscale, Constantes!$B$5,
  _xlpm.ptstables, INDEX(AB:AB, _xlfn.SEQUENCE(COUNTA($C$2:$C153), 1, 3, 4)),
  _xlpm.nbparties, COUNTA(_xlfn._xlws.FILTER(_xlpm.ptstables, _xlpm.ptstables &lt;&gt; "")),
  _xlpm.coef, _xlpm.K + _xlpm.Knewgain / (_xlpm.Knewscale + _xlpm.nbparties),
  IF(AB151="",
    "",
    _xlpm.coef * (AB151-AB152))
)</f>
        <v/>
      </c>
      <c r="AC153" t="str" cm="1">
        <f t="array" ref="AC153">_xlfn.LET(
  _xlpm.K, Constantes!$B$3,
  _xlpm.Knewgain, Constantes!$B$4,
  _xlpm.Knewscale, Constantes!$B$5,
  _xlpm.ptstables, INDEX(AC:AC, _xlfn.SEQUENCE(COUNTA($C$2:$C153), 1, 3, 4)),
  _xlpm.nbparties, COUNTA(_xlfn._xlws.FILTER(_xlpm.ptstables, _xlpm.ptstables &lt;&gt; "")),
  _xlpm.coef, _xlpm.K + _xlpm.Knewgain / (_xlpm.Knewscale + _xlpm.nbparties),
  IF(AC151="",
    "",
    _xlpm.coef * (AC151-AC152))
)</f>
        <v/>
      </c>
      <c r="AD153" t="str" cm="1">
        <f t="array" ref="AD153">_xlfn.LET(
  _xlpm.K, Constantes!$B$3,
  _xlpm.Knewgain, Constantes!$B$4,
  _xlpm.Knewscale, Constantes!$B$5,
  _xlpm.ptstables, INDEX(AD:AD, _xlfn.SEQUENCE(COUNTA($C$2:$C153), 1, 3, 4)),
  _xlpm.nbparties, COUNTA(_xlfn._xlws.FILTER(_xlpm.ptstables, _xlpm.ptstables &lt;&gt; "")),
  _xlpm.coef, _xlpm.K + _xlpm.Knewgain / (_xlpm.Knewscale + _xlpm.nbparties),
  IF(AD151="",
    "",
    _xlpm.coef * (AD151-AD152))
)</f>
        <v/>
      </c>
      <c r="AE153" t="str" cm="1">
        <f t="array" ref="AE153">_xlfn.LET(
  _xlpm.K, Constantes!$B$3,
  _xlpm.Knewgain, Constantes!$B$4,
  _xlpm.Knewscale, Constantes!$B$5,
  _xlpm.ptstables, INDEX(AE:AE, _xlfn.SEQUENCE(COUNTA($C$2:$C153), 1, 3, 4)),
  _xlpm.nbparties, COUNTA(_xlfn._xlws.FILTER(_xlpm.ptstables, _xlpm.ptstables &lt;&gt; "")),
  _xlpm.coef, _xlpm.K + _xlpm.Knewgain / (_xlpm.Knewscale + _xlpm.nbparties),
  IF(AE151="",
    "",
    _xlpm.coef * (AE151-AE152))
)</f>
        <v/>
      </c>
      <c r="AF153" t="str" cm="1">
        <f t="array" ref="AF153">_xlfn.LET(
  _xlpm.K, Constantes!$B$3,
  _xlpm.Knewgain, Constantes!$B$4,
  _xlpm.Knewscale, Constantes!$B$5,
  _xlpm.ptstables, INDEX(AF:AF, _xlfn.SEQUENCE(COUNTA($C$2:$C153), 1, 3, 4)),
  _xlpm.nbparties, COUNTA(_xlfn._xlws.FILTER(_xlpm.ptstables, _xlpm.ptstables &lt;&gt; "")),
  _xlpm.coef, _xlpm.K + _xlpm.Knewgain / (_xlpm.Knewscale + _xlpm.nbparties),
  IF(AF151="",
    "",
    _xlpm.coef * (AF151-AF152))
)</f>
        <v/>
      </c>
      <c r="AG153" t="str" cm="1">
        <f t="array" ref="AG153">_xlfn.LET(
  _xlpm.K, Constantes!$B$3,
  _xlpm.Knewgain, Constantes!$B$4,
  _xlpm.Knewscale, Constantes!$B$5,
  _xlpm.ptstables, INDEX(AG:AG, _xlfn.SEQUENCE(COUNTA($C$2:$C153), 1, 3, 4)),
  _xlpm.nbparties, COUNTA(_xlfn._xlws.FILTER(_xlpm.ptstables, _xlpm.ptstables &lt;&gt; "")),
  _xlpm.coef, _xlpm.K + _xlpm.Knewgain / (_xlpm.Knewscale + _xlpm.nbparties),
  IF(AG151="",
    "",
    _xlpm.coef * (AG151-AG152))
)</f>
        <v/>
      </c>
      <c r="AH153" t="str" cm="1">
        <f t="array" ref="AH153">_xlfn.LET(
  _xlpm.K, Constantes!$B$3,
  _xlpm.Knewgain, Constantes!$B$4,
  _xlpm.Knewscale, Constantes!$B$5,
  _xlpm.ptstables, INDEX(AH:AH, _xlfn.SEQUENCE(COUNTA($C$2:$C153), 1, 3, 4)),
  _xlpm.nbparties, COUNTA(_xlfn._xlws.FILTER(_xlpm.ptstables, _xlpm.ptstables &lt;&gt; "")),
  _xlpm.coef, _xlpm.K + _xlpm.Knewgain / (_xlpm.Knewscale + _xlpm.nbparties),
  IF(AH151="",
    "",
    _xlpm.coef * (AH151-AH152))
)</f>
        <v/>
      </c>
      <c r="AI153" t="str" cm="1">
        <f t="array" ref="AI153">_xlfn.LET(
  _xlpm.K, Constantes!$B$3,
  _xlpm.Knewgain, Constantes!$B$4,
  _xlpm.Knewscale, Constantes!$B$5,
  _xlpm.ptstables, INDEX(AI:AI, _xlfn.SEQUENCE(COUNTA($C$2:$C153), 1, 3, 4)),
  _xlpm.nbparties, COUNTA(_xlfn._xlws.FILTER(_xlpm.ptstables, _xlpm.ptstables &lt;&gt; "")),
  _xlpm.coef, _xlpm.K + _xlpm.Knewgain / (_xlpm.Knewscale + _xlpm.nbparties),
  IF(AI151="",
    "",
    _xlpm.coef * (AI151-AI152))
)</f>
        <v/>
      </c>
      <c r="AJ153" t="str" cm="1">
        <f t="array" ref="AJ153">_xlfn.LET(
  _xlpm.K, Constantes!$B$3,
  _xlpm.Knewgain, Constantes!$B$4,
  _xlpm.Knewscale, Constantes!$B$5,
  _xlpm.ptstables, INDEX(AJ:AJ, _xlfn.SEQUENCE(COUNTA($C$2:$C153), 1, 3, 4)),
  _xlpm.nbparties, COUNTA(_xlfn._xlws.FILTER(_xlpm.ptstables, _xlpm.ptstables &lt;&gt; "")),
  _xlpm.coef, _xlpm.K + _xlpm.Knewgain / (_xlpm.Knewscale + _xlpm.nbparties),
  IF(AJ151="",
    "",
    _xlpm.coef * (AJ151-AJ152))
)</f>
        <v/>
      </c>
      <c r="AK153" t="str" cm="1">
        <f t="array" ref="AK153">_xlfn.LET(
  _xlpm.K, Constantes!$B$3,
  _xlpm.Knewgain, Constantes!$B$4,
  _xlpm.Knewscale, Constantes!$B$5,
  _xlpm.ptstables, INDEX(AK:AK, _xlfn.SEQUENCE(COUNTA($C$2:$C153), 1, 3, 4)),
  _xlpm.nbparties, COUNTA(_xlfn._xlws.FILTER(_xlpm.ptstables, _xlpm.ptstables &lt;&gt; "")),
  _xlpm.coef, _xlpm.K + _xlpm.Knewgain / (_xlpm.Knewscale + _xlpm.nbparties),
  IF(AK151="",
    "",
    _xlpm.coef * (AK151-AK152))
)</f>
        <v/>
      </c>
      <c r="AL153" t="str" cm="1">
        <f t="array" ref="AL153">_xlfn.LET(
  _xlpm.K, Constantes!$B$3,
  _xlpm.Knewgain, Constantes!$B$4,
  _xlpm.Knewscale, Constantes!$B$5,
  _xlpm.ptstables, INDEX(AL:AL, _xlfn.SEQUENCE(COUNTA($C$2:$C153), 1, 3, 4)),
  _xlpm.nbparties, COUNTA(_xlfn._xlws.FILTER(_xlpm.ptstables, _xlpm.ptstables &lt;&gt; "")),
  _xlpm.coef, _xlpm.K + _xlpm.Knewgain / (_xlpm.Knewscale + _xlpm.nbparties),
  IF(AL151="",
    "",
    _xlpm.coef * (AL151-AL152))
)</f>
        <v/>
      </c>
      <c r="AM153" t="str" cm="1">
        <f t="array" ref="AM153">_xlfn.LET(
  _xlpm.K, Constantes!$B$3,
  _xlpm.Knewgain, Constantes!$B$4,
  _xlpm.Knewscale, Constantes!$B$5,
  _xlpm.ptstables, INDEX(AM:AM, _xlfn.SEQUENCE(COUNTA($C$2:$C153), 1, 3, 4)),
  _xlpm.nbparties, COUNTA(_xlfn._xlws.FILTER(_xlpm.ptstables, _xlpm.ptstables &lt;&gt; "")),
  _xlpm.coef, _xlpm.K + _xlpm.Knewgain / (_xlpm.Knewscale + _xlpm.nbparties),
  IF(AM151="",
    "",
    _xlpm.coef * (AM151-AM152))
)</f>
        <v/>
      </c>
    </row>
    <row r="154" spans="1:39" x14ac:dyDescent="0.25">
      <c r="A154" t="s">
        <v>14</v>
      </c>
      <c r="B154" t="str" cm="1">
        <f t="array" ref="B15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39</v>
      </c>
      <c r="C154" s="2" cm="1">
        <f t="array" ref="C154">IF(B154="","",
  INDEX(Donnees!F:F, MATCH(B154, Donnees!F:F, 0)+1))</f>
        <v>45927.696898148148</v>
      </c>
      <c r="D154">
        <f t="shared" ref="D154:AM154" si="46">D150+IF(D153="",0,D153)</f>
        <v>1101.1845187776951</v>
      </c>
      <c r="E154">
        <f t="shared" si="46"/>
        <v>1105.3750854597461</v>
      </c>
      <c r="F154">
        <f t="shared" si="46"/>
        <v>830.28932860388909</v>
      </c>
      <c r="G154">
        <f t="shared" si="46"/>
        <v>1024.6030101366564</v>
      </c>
      <c r="H154">
        <f t="shared" si="46"/>
        <v>1043.8545020183328</v>
      </c>
      <c r="I154">
        <f t="shared" si="46"/>
        <v>1079.9236503077234</v>
      </c>
      <c r="J154">
        <f t="shared" si="46"/>
        <v>938.49433816478961</v>
      </c>
      <c r="K154">
        <f t="shared" si="46"/>
        <v>907.51653081539087</v>
      </c>
      <c r="L154">
        <f t="shared" si="46"/>
        <v>831.33663616201898</v>
      </c>
      <c r="M154">
        <f t="shared" si="46"/>
        <v>913.41986361738122</v>
      </c>
      <c r="N154">
        <f t="shared" si="46"/>
        <v>891.08987675665412</v>
      </c>
      <c r="O154">
        <f t="shared" si="46"/>
        <v>1005.4306950475848</v>
      </c>
      <c r="P154">
        <f t="shared" si="46"/>
        <v>1015.4353469144262</v>
      </c>
      <c r="Q154">
        <f t="shared" si="46"/>
        <v>1072.1642346323029</v>
      </c>
      <c r="R154">
        <f t="shared" si="46"/>
        <v>1125.1838799902728</v>
      </c>
      <c r="S154">
        <f t="shared" si="46"/>
        <v>900.26493538028456</v>
      </c>
      <c r="T154">
        <f t="shared" si="46"/>
        <v>1135.2782658680615</v>
      </c>
      <c r="U154">
        <f t="shared" si="46"/>
        <v>1106.2875102369314</v>
      </c>
      <c r="V154">
        <f t="shared" si="46"/>
        <v>961.58818235691967</v>
      </c>
      <c r="W154">
        <f t="shared" si="46"/>
        <v>936.79085942937002</v>
      </c>
      <c r="X154">
        <f t="shared" si="46"/>
        <v>856.40606944447541</v>
      </c>
      <c r="Y154">
        <f t="shared" si="46"/>
        <v>1023.8053439225921</v>
      </c>
      <c r="Z154">
        <f t="shared" si="46"/>
        <v>991.11904139672549</v>
      </c>
      <c r="AA154">
        <f t="shared" si="46"/>
        <v>980.56756855165884</v>
      </c>
      <c r="AB154">
        <f t="shared" si="46"/>
        <v>988.35669729544747</v>
      </c>
      <c r="AC154">
        <f t="shared" si="46"/>
        <v>998.96652664479586</v>
      </c>
      <c r="AD154">
        <f t="shared" si="46"/>
        <v>974.01499999999999</v>
      </c>
      <c r="AE154">
        <f t="shared" si="46"/>
        <v>1011.415</v>
      </c>
      <c r="AF154">
        <f t="shared" si="46"/>
        <v>1031.1199999999999</v>
      </c>
      <c r="AG154">
        <f t="shared" si="46"/>
        <v>1001.0350000000001</v>
      </c>
      <c r="AH154">
        <f t="shared" si="46"/>
        <v>994.44</v>
      </c>
      <c r="AI154">
        <f t="shared" si="46"/>
        <v>1000</v>
      </c>
      <c r="AJ154">
        <f t="shared" si="46"/>
        <v>957.2</v>
      </c>
      <c r="AK154">
        <f t="shared" si="46"/>
        <v>1000</v>
      </c>
      <c r="AL154">
        <f t="shared" si="46"/>
        <v>1055.9299999999998</v>
      </c>
      <c r="AM154">
        <f t="shared" si="46"/>
        <v>1000</v>
      </c>
    </row>
    <row r="155" spans="1:39" x14ac:dyDescent="0.25">
      <c r="A155" t="s">
        <v>21</v>
      </c>
      <c r="D155" cm="1">
        <f t="array" ref="D155">IFERROR(
  _xlfn.LET(
    _xlpm.ligpartie, MATCH($B154, Donnees!$F:$F, 0),
    _xlpm.joueurs, INDEX(Donnees!$A:$Z, _xlpm.ligpartie+1, _xlfn.SEQUENCE(1, 4, 2)),
    INDEX(
      Donnees!$A:$Z,
      _xlpm.ligpartie + 3,
      MATCH(D$1, _xlpm.joueurs, 0) + 1
    )
  ), ""
)</f>
        <v>3</v>
      </c>
      <c r="E155" t="str" cm="1">
        <f t="array" ref="E155">IFERROR(
  _xlfn.LET(
    _xlpm.ligpartie, MATCH($B154, Donnees!$F:$F, 0),
    _xlpm.joueurs, INDEX(Donnees!$A:$Z, _xlpm.ligpartie+1, _xlfn.SEQUENCE(1, 4, 2)),
    INDEX(
      Donnees!$A:$Z,
      _xlpm.ligpartie + 3,
      MATCH(E$1, _xlpm.joueurs, 0) + 1
    )
  ), ""
)</f>
        <v/>
      </c>
      <c r="F155" t="str" cm="1">
        <f t="array" ref="F155">IFERROR(
  _xlfn.LET(
    _xlpm.ligpartie, MATCH($B154, Donnees!$F:$F, 0),
    _xlpm.joueurs, INDEX(Donnees!$A:$Z, _xlpm.ligpartie+1, _xlfn.SEQUENCE(1, 4, 2)),
    INDEX(
      Donnees!$A:$Z,
      _xlpm.ligpartie + 3,
      MATCH(F$1, _xlpm.joueurs, 0) + 1
    )
  ), ""
)</f>
        <v/>
      </c>
      <c r="G155" t="str" cm="1">
        <f t="array" ref="G155">IFERROR(
  _xlfn.LET(
    _xlpm.ligpartie, MATCH($B154, Donnees!$F:$F, 0),
    _xlpm.joueurs, INDEX(Donnees!$A:$Z, _xlpm.ligpartie+1, _xlfn.SEQUENCE(1, 4, 2)),
    INDEX(
      Donnees!$A:$Z,
      _xlpm.ligpartie + 3,
      MATCH(G$1, _xlpm.joueurs, 0) + 1
    )
  ), ""
)</f>
        <v/>
      </c>
      <c r="H155" t="str" cm="1">
        <f t="array" ref="H155">IFERROR(
  _xlfn.LET(
    _xlpm.ligpartie, MATCH($B154, Donnees!$F:$F, 0),
    _xlpm.joueurs, INDEX(Donnees!$A:$Z, _xlpm.ligpartie+1, _xlfn.SEQUENCE(1, 4, 2)),
    INDEX(
      Donnees!$A:$Z,
      _xlpm.ligpartie + 3,
      MATCH(H$1, _xlpm.joueurs, 0) + 1
    )
  ), ""
)</f>
        <v/>
      </c>
      <c r="I155" t="str" cm="1">
        <f t="array" ref="I155">IFERROR(
  _xlfn.LET(
    _xlpm.ligpartie, MATCH($B154, Donnees!$F:$F, 0),
    _xlpm.joueurs, INDEX(Donnees!$A:$Z, _xlpm.ligpartie+1, _xlfn.SEQUENCE(1, 4, 2)),
    INDEX(
      Donnees!$A:$Z,
      _xlpm.ligpartie + 3,
      MATCH(I$1, _xlpm.joueurs, 0) + 1
    )
  ), ""
)</f>
        <v/>
      </c>
      <c r="J155" t="str" cm="1">
        <f t="array" ref="J155">IFERROR(
  _xlfn.LET(
    _xlpm.ligpartie, MATCH($B154, Donnees!$F:$F, 0),
    _xlpm.joueurs, INDEX(Donnees!$A:$Z, _xlpm.ligpartie+1, _xlfn.SEQUENCE(1, 4, 2)),
    INDEX(
      Donnees!$A:$Z,
      _xlpm.ligpartie + 3,
      MATCH(J$1, _xlpm.joueurs, 0) + 1
    )
  ), ""
)</f>
        <v/>
      </c>
      <c r="K155" t="str" cm="1">
        <f t="array" ref="K155">IFERROR(
  _xlfn.LET(
    _xlpm.ligpartie, MATCH($B154, Donnees!$F:$F, 0),
    _xlpm.joueurs, INDEX(Donnees!$A:$Z, _xlpm.ligpartie+1, _xlfn.SEQUENCE(1, 4, 2)),
    INDEX(
      Donnees!$A:$Z,
      _xlpm.ligpartie + 3,
      MATCH(K$1, _xlpm.joueurs, 0) + 1
    )
  ), ""
)</f>
        <v/>
      </c>
      <c r="L155" cm="1">
        <f t="array" ref="L155">IFERROR(
  _xlfn.LET(
    _xlpm.ligpartie, MATCH($B154, Donnees!$F:$F, 0),
    _xlpm.joueurs, INDEX(Donnees!$A:$Z, _xlpm.ligpartie+1, _xlfn.SEQUENCE(1, 4, 2)),
    INDEX(
      Donnees!$A:$Z,
      _xlpm.ligpartie + 3,
      MATCH(L$1, _xlpm.joueurs, 0) + 1
    )
  ), ""
)</f>
        <v>0</v>
      </c>
      <c r="M155" t="str" cm="1">
        <f t="array" ref="M155">IFERROR(
  _xlfn.LET(
    _xlpm.ligpartie, MATCH($B154, Donnees!$F:$F, 0),
    _xlpm.joueurs, INDEX(Donnees!$A:$Z, _xlpm.ligpartie+1, _xlfn.SEQUENCE(1, 4, 2)),
    INDEX(
      Donnees!$A:$Z,
      _xlpm.ligpartie + 3,
      MATCH(M$1, _xlpm.joueurs, 0) + 1
    )
  ), ""
)</f>
        <v/>
      </c>
      <c r="N155" cm="1">
        <f t="array" ref="N155">IFERROR(
  _xlfn.LET(
    _xlpm.ligpartie, MATCH($B154, Donnees!$F:$F, 0),
    _xlpm.joueurs, INDEX(Donnees!$A:$Z, _xlpm.ligpartie+1, _xlfn.SEQUENCE(1, 4, 2)),
    INDEX(
      Donnees!$A:$Z,
      _xlpm.ligpartie + 3,
      MATCH(N$1, _xlpm.joueurs, 0) + 1
    )
  ), ""
)</f>
        <v>2</v>
      </c>
      <c r="O155" t="str" cm="1">
        <f t="array" ref="O155">IFERROR(
  _xlfn.LET(
    _xlpm.ligpartie, MATCH($B154, Donnees!$F:$F, 0),
    _xlpm.joueurs, INDEX(Donnees!$A:$Z, _xlpm.ligpartie+1, _xlfn.SEQUENCE(1, 4, 2)),
    INDEX(
      Donnees!$A:$Z,
      _xlpm.ligpartie + 3,
      MATCH(O$1, _xlpm.joueurs, 0) + 1
    )
  ), ""
)</f>
        <v/>
      </c>
      <c r="P155" t="str" cm="1">
        <f t="array" ref="P155">IFERROR(
  _xlfn.LET(
    _xlpm.ligpartie, MATCH($B154, Donnees!$F:$F, 0),
    _xlpm.joueurs, INDEX(Donnees!$A:$Z, _xlpm.ligpartie+1, _xlfn.SEQUENCE(1, 4, 2)),
    INDEX(
      Donnees!$A:$Z,
      _xlpm.ligpartie + 3,
      MATCH(P$1, _xlpm.joueurs, 0) + 1
    )
  ), ""
)</f>
        <v/>
      </c>
      <c r="Q155" t="str" cm="1">
        <f t="array" ref="Q155">IFERROR(
  _xlfn.LET(
    _xlpm.ligpartie, MATCH($B154, Donnees!$F:$F, 0),
    _xlpm.joueurs, INDEX(Donnees!$A:$Z, _xlpm.ligpartie+1, _xlfn.SEQUENCE(1, 4, 2)),
    INDEX(
      Donnees!$A:$Z,
      _xlpm.ligpartie + 3,
      MATCH(Q$1, _xlpm.joueurs, 0) + 1
    )
  ), ""
)</f>
        <v/>
      </c>
      <c r="R155" t="str" cm="1">
        <f t="array" ref="R155">IFERROR(
  _xlfn.LET(
    _xlpm.ligpartie, MATCH($B154, Donnees!$F:$F, 0),
    _xlpm.joueurs, INDEX(Donnees!$A:$Z, _xlpm.ligpartie+1, _xlfn.SEQUENCE(1, 4, 2)),
    INDEX(
      Donnees!$A:$Z,
      _xlpm.ligpartie + 3,
      MATCH(R$1, _xlpm.joueurs, 0) + 1
    )
  ), ""
)</f>
        <v/>
      </c>
      <c r="S155" t="str" cm="1">
        <f t="array" ref="S155">IFERROR(
  _xlfn.LET(
    _xlpm.ligpartie, MATCH($B154, Donnees!$F:$F, 0),
    _xlpm.joueurs, INDEX(Donnees!$A:$Z, _xlpm.ligpartie+1, _xlfn.SEQUENCE(1, 4, 2)),
    INDEX(
      Donnees!$A:$Z,
      _xlpm.ligpartie + 3,
      MATCH(S$1, _xlpm.joueurs, 0) + 1
    )
  ), ""
)</f>
        <v/>
      </c>
      <c r="T155" t="str" cm="1">
        <f t="array" ref="T155">IFERROR(
  _xlfn.LET(
    _xlpm.ligpartie, MATCH($B154, Donnees!$F:$F, 0),
    _xlpm.joueurs, INDEX(Donnees!$A:$Z, _xlpm.ligpartie+1, _xlfn.SEQUENCE(1, 4, 2)),
    INDEX(
      Donnees!$A:$Z,
      _xlpm.ligpartie + 3,
      MATCH(T$1, _xlpm.joueurs, 0) + 1
    )
  ), ""
)</f>
        <v/>
      </c>
      <c r="U155" t="str" cm="1">
        <f t="array" ref="U155">IFERROR(
  _xlfn.LET(
    _xlpm.ligpartie, MATCH($B154, Donnees!$F:$F, 0),
    _xlpm.joueurs, INDEX(Donnees!$A:$Z, _xlpm.ligpartie+1, _xlfn.SEQUENCE(1, 4, 2)),
    INDEX(
      Donnees!$A:$Z,
      _xlpm.ligpartie + 3,
      MATCH(U$1, _xlpm.joueurs, 0) + 1
    )
  ), ""
)</f>
        <v/>
      </c>
      <c r="V155" t="str" cm="1">
        <f t="array" ref="V155">IFERROR(
  _xlfn.LET(
    _xlpm.ligpartie, MATCH($B154, Donnees!$F:$F, 0),
    _xlpm.joueurs, INDEX(Donnees!$A:$Z, _xlpm.ligpartie+1, _xlfn.SEQUENCE(1, 4, 2)),
    INDEX(
      Donnees!$A:$Z,
      _xlpm.ligpartie + 3,
      MATCH(V$1, _xlpm.joueurs, 0) + 1
    )
  ), ""
)</f>
        <v/>
      </c>
      <c r="W155" t="str" cm="1">
        <f t="array" ref="W155">IFERROR(
  _xlfn.LET(
    _xlpm.ligpartie, MATCH($B154, Donnees!$F:$F, 0),
    _xlpm.joueurs, INDEX(Donnees!$A:$Z, _xlpm.ligpartie+1, _xlfn.SEQUENCE(1, 4, 2)),
    INDEX(
      Donnees!$A:$Z,
      _xlpm.ligpartie + 3,
      MATCH(W$1, _xlpm.joueurs, 0) + 1
    )
  ), ""
)</f>
        <v/>
      </c>
      <c r="X155" cm="1">
        <f t="array" ref="X155">IFERROR(
  _xlfn.LET(
    _xlpm.ligpartie, MATCH($B154, Donnees!$F:$F, 0),
    _xlpm.joueurs, INDEX(Donnees!$A:$Z, _xlpm.ligpartie+1, _xlfn.SEQUENCE(1, 4, 2)),
    INDEX(
      Donnees!$A:$Z,
      _xlpm.ligpartie + 3,
      MATCH(X$1, _xlpm.joueurs, 0) + 1
    )
  ), ""
)</f>
        <v>1</v>
      </c>
      <c r="Y155" t="str" cm="1">
        <f t="array" ref="Y155">IFERROR(
  _xlfn.LET(
    _xlpm.ligpartie, MATCH($B154, Donnees!$F:$F, 0),
    _xlpm.joueurs, INDEX(Donnees!$A:$Z, _xlpm.ligpartie+1, _xlfn.SEQUENCE(1, 4, 2)),
    INDEX(
      Donnees!$A:$Z,
      _xlpm.ligpartie + 3,
      MATCH(Y$1, _xlpm.joueurs, 0) + 1
    )
  ), ""
)</f>
        <v/>
      </c>
      <c r="Z155" t="str" cm="1">
        <f t="array" ref="Z155">IFERROR(
  _xlfn.LET(
    _xlpm.ligpartie, MATCH($B154, Donnees!$F:$F, 0),
    _xlpm.joueurs, INDEX(Donnees!$A:$Z, _xlpm.ligpartie+1, _xlfn.SEQUENCE(1, 4, 2)),
    INDEX(
      Donnees!$A:$Z,
      _xlpm.ligpartie + 3,
      MATCH(Z$1, _xlpm.joueurs, 0) + 1
    )
  ), ""
)</f>
        <v/>
      </c>
      <c r="AA155" t="str" cm="1">
        <f t="array" ref="AA155">IFERROR(
  _xlfn.LET(
    _xlpm.ligpartie, MATCH($B154, Donnees!$F:$F, 0),
    _xlpm.joueurs, INDEX(Donnees!$A:$Z, _xlpm.ligpartie+1, _xlfn.SEQUENCE(1, 4, 2)),
    INDEX(
      Donnees!$A:$Z,
      _xlpm.ligpartie + 3,
      MATCH(AA$1, _xlpm.joueurs, 0) + 1
    )
  ), ""
)</f>
        <v/>
      </c>
      <c r="AB155" t="str" cm="1">
        <f t="array" ref="AB155">IFERROR(
  _xlfn.LET(
    _xlpm.ligpartie, MATCH($B154, Donnees!$F:$F, 0),
    _xlpm.joueurs, INDEX(Donnees!$A:$Z, _xlpm.ligpartie+1, _xlfn.SEQUENCE(1, 4, 2)),
    INDEX(
      Donnees!$A:$Z,
      _xlpm.ligpartie + 3,
      MATCH(AB$1, _xlpm.joueurs, 0) + 1
    )
  ), ""
)</f>
        <v/>
      </c>
      <c r="AC155" t="str" cm="1">
        <f t="array" ref="AC155">IFERROR(
  _xlfn.LET(
    _xlpm.ligpartie, MATCH($B154, Donnees!$F:$F, 0),
    _xlpm.joueurs, INDEX(Donnees!$A:$Z, _xlpm.ligpartie+1, _xlfn.SEQUENCE(1, 4, 2)),
    INDEX(
      Donnees!$A:$Z,
      _xlpm.ligpartie + 3,
      MATCH(AC$1, _xlpm.joueurs, 0) + 1
    )
  ), ""
)</f>
        <v/>
      </c>
      <c r="AD155" t="str" cm="1">
        <f t="array" ref="AD155">IFERROR(
  _xlfn.LET(
    _xlpm.ligpartie, MATCH($B154, Donnees!$F:$F, 0),
    _xlpm.joueurs, INDEX(Donnees!$A:$Z, _xlpm.ligpartie+1, _xlfn.SEQUENCE(1, 4, 2)),
    INDEX(
      Donnees!$A:$Z,
      _xlpm.ligpartie + 3,
      MATCH(AD$1, _xlpm.joueurs, 0) + 1
    )
  ), ""
)</f>
        <v/>
      </c>
      <c r="AE155" t="str" cm="1">
        <f t="array" ref="AE155">IFERROR(
  _xlfn.LET(
    _xlpm.ligpartie, MATCH($B154, Donnees!$F:$F, 0),
    _xlpm.joueurs, INDEX(Donnees!$A:$Z, _xlpm.ligpartie+1, _xlfn.SEQUENCE(1, 4, 2)),
    INDEX(
      Donnees!$A:$Z,
      _xlpm.ligpartie + 3,
      MATCH(AE$1, _xlpm.joueurs, 0) + 1
    )
  ), ""
)</f>
        <v/>
      </c>
      <c r="AF155" t="str" cm="1">
        <f t="array" ref="AF155">IFERROR(
  _xlfn.LET(
    _xlpm.ligpartie, MATCH($B154, Donnees!$F:$F, 0),
    _xlpm.joueurs, INDEX(Donnees!$A:$Z, _xlpm.ligpartie+1, _xlfn.SEQUENCE(1, 4, 2)),
    INDEX(
      Donnees!$A:$Z,
      _xlpm.ligpartie + 3,
      MATCH(AF$1, _xlpm.joueurs, 0) + 1
    )
  ), ""
)</f>
        <v/>
      </c>
      <c r="AG155" t="str" cm="1">
        <f t="array" ref="AG155">IFERROR(
  _xlfn.LET(
    _xlpm.ligpartie, MATCH($B154, Donnees!$F:$F, 0),
    _xlpm.joueurs, INDEX(Donnees!$A:$Z, _xlpm.ligpartie+1, _xlfn.SEQUENCE(1, 4, 2)),
    INDEX(
      Donnees!$A:$Z,
      _xlpm.ligpartie + 3,
      MATCH(AG$1, _xlpm.joueurs, 0) + 1
    )
  ), ""
)</f>
        <v/>
      </c>
      <c r="AH155" t="str" cm="1">
        <f t="array" ref="AH155">IFERROR(
  _xlfn.LET(
    _xlpm.ligpartie, MATCH($B154, Donnees!$F:$F, 0),
    _xlpm.joueurs, INDEX(Donnees!$A:$Z, _xlpm.ligpartie+1, _xlfn.SEQUENCE(1, 4, 2)),
    INDEX(
      Donnees!$A:$Z,
      _xlpm.ligpartie + 3,
      MATCH(AH$1, _xlpm.joueurs, 0) + 1
    )
  ), ""
)</f>
        <v/>
      </c>
      <c r="AI155" t="str" cm="1">
        <f t="array" ref="AI155">IFERROR(
  _xlfn.LET(
    _xlpm.ligpartie, MATCH($B154, Donnees!$F:$F, 0),
    _xlpm.joueurs, INDEX(Donnees!$A:$Z, _xlpm.ligpartie+1, _xlfn.SEQUENCE(1, 4, 2)),
    INDEX(
      Donnees!$A:$Z,
      _xlpm.ligpartie + 3,
      MATCH(AI$1, _xlpm.joueurs, 0) + 1
    )
  ), ""
)</f>
        <v/>
      </c>
      <c r="AJ155" t="str" cm="1">
        <f t="array" ref="AJ155">IFERROR(
  _xlfn.LET(
    _xlpm.ligpartie, MATCH($B154, Donnees!$F:$F, 0),
    _xlpm.joueurs, INDEX(Donnees!$A:$Z, _xlpm.ligpartie+1, _xlfn.SEQUENCE(1, 4, 2)),
    INDEX(
      Donnees!$A:$Z,
      _xlpm.ligpartie + 3,
      MATCH(AJ$1, _xlpm.joueurs, 0) + 1
    )
  ), ""
)</f>
        <v/>
      </c>
      <c r="AK155" t="str" cm="1">
        <f t="array" ref="AK155">IFERROR(
  _xlfn.LET(
    _xlpm.ligpartie, MATCH($B154, Donnees!$F:$F, 0),
    _xlpm.joueurs, INDEX(Donnees!$A:$Z, _xlpm.ligpartie+1, _xlfn.SEQUENCE(1, 4, 2)),
    INDEX(
      Donnees!$A:$Z,
      _xlpm.ligpartie + 3,
      MATCH(AK$1, _xlpm.joueurs, 0) + 1
    )
  ), ""
)</f>
        <v/>
      </c>
      <c r="AL155" t="str" cm="1">
        <f t="array" ref="AL155">IFERROR(
  _xlfn.LET(
    _xlpm.ligpartie, MATCH($B154, Donnees!$F:$F, 0),
    _xlpm.joueurs, INDEX(Donnees!$A:$Z, _xlpm.ligpartie+1, _xlfn.SEQUENCE(1, 4, 2)),
    INDEX(
      Donnees!$A:$Z,
      _xlpm.ligpartie + 3,
      MATCH(AL$1, _xlpm.joueurs, 0) + 1
    )
  ), ""
)</f>
        <v/>
      </c>
      <c r="AM155" t="str" cm="1">
        <f t="array" ref="AM155">IFERROR(
  _xlfn.LET(
    _xlpm.ligpartie, MATCH($B154, Donnees!$F:$F, 0),
    _xlpm.joueurs, INDEX(Donnees!$A:$Z, _xlpm.ligpartie+1, _xlfn.SEQUENCE(1, 4, 2)),
    INDEX(
      Donnees!$A:$Z,
      _xlpm.ligpartie + 3,
      MATCH(AM$1, _xlpm.joueurs, 0) + 1
    )
  ), ""
)</f>
        <v/>
      </c>
    </row>
    <row r="156" spans="1:39" x14ac:dyDescent="0.25">
      <c r="A156" t="s">
        <v>20</v>
      </c>
      <c r="D156" cm="1">
        <f t="array" ref="D156">_xlfn.LET(
  _xlpm.colj, _xlfn._xlws.FILTER(IF(ISNUMBER(155:155), COLUMN(155:155)), ISNUMBER(155:155)),
  _xlpm.elos, INDEX(154:154,1,_xlpm.colj),
  _xlpm.diffscale, Constantes!$B$2,
  IF(D155="",
    "",
    SUM(1/(1+POWER(10,-(D154-_xlpm.elos)/_xlpm.diffscale)))-0.5)
)</f>
        <v>2.3992102729283373</v>
      </c>
      <c r="E156" t="str" cm="1">
        <f t="array" ref="E156">_xlfn.LET(
  _xlpm.colj, _xlfn._xlws.FILTER(IF(ISNUMBER(155:155), COLUMN(155:155)), ISNUMBER(155:155)),
  _xlpm.elos, INDEX(154:154,1,_xlpm.colj),
  _xlpm.diffscale, Constantes!$B$2,
  IF(E155="",
    "",
    SUM(1/(1+POWER(10,-(E154-_xlpm.elos)/_xlpm.diffscale)))-0.5)
)</f>
        <v/>
      </c>
      <c r="F156" t="str" cm="1">
        <f t="array" ref="F156">_xlfn.LET(
  _xlpm.colj, _xlfn._xlws.FILTER(IF(ISNUMBER(155:155), COLUMN(155:155)), ISNUMBER(155:155)),
  _xlpm.elos, INDEX(154:154,1,_xlpm.colj),
  _xlpm.diffscale, Constantes!$B$2,
  IF(F155="",
    "",
    SUM(1/(1+POWER(10,-(F154-_xlpm.elos)/_xlpm.diffscale)))-0.5)
)</f>
        <v/>
      </c>
      <c r="G156" t="str" cm="1">
        <f t="array" ref="G156">_xlfn.LET(
  _xlpm.colj, _xlfn._xlws.FILTER(IF(ISNUMBER(155:155), COLUMN(155:155)), ISNUMBER(155:155)),
  _xlpm.elos, INDEX(154:154,1,_xlpm.colj),
  _xlpm.diffscale, Constantes!$B$2,
  IF(G155="",
    "",
    SUM(1/(1+POWER(10,-(G154-_xlpm.elos)/_xlpm.diffscale)))-0.5)
)</f>
        <v/>
      </c>
      <c r="H156" t="str" cm="1">
        <f t="array" ref="H156">_xlfn.LET(
  _xlpm.colj, _xlfn._xlws.FILTER(IF(ISNUMBER(155:155), COLUMN(155:155)), ISNUMBER(155:155)),
  _xlpm.elos, INDEX(154:154,1,_xlpm.colj),
  _xlpm.diffscale, Constantes!$B$2,
  IF(H155="",
    "",
    SUM(1/(1+POWER(10,-(H154-_xlpm.elos)/_xlpm.diffscale)))-0.5)
)</f>
        <v/>
      </c>
      <c r="I156" t="str" cm="1">
        <f t="array" ref="I156">_xlfn.LET(
  _xlpm.colj, _xlfn._xlws.FILTER(IF(ISNUMBER(155:155), COLUMN(155:155)), ISNUMBER(155:155)),
  _xlpm.elos, INDEX(154:154,1,_xlpm.colj),
  _xlpm.diffscale, Constantes!$B$2,
  IF(I155="",
    "",
    SUM(1/(1+POWER(10,-(I154-_xlpm.elos)/_xlpm.diffscale)))-0.5)
)</f>
        <v/>
      </c>
      <c r="J156" t="str" cm="1">
        <f t="array" ref="J156">_xlfn.LET(
  _xlpm.colj, _xlfn._xlws.FILTER(IF(ISNUMBER(155:155), COLUMN(155:155)), ISNUMBER(155:155)),
  _xlpm.elos, INDEX(154:154,1,_xlpm.colj),
  _xlpm.diffscale, Constantes!$B$2,
  IF(J155="",
    "",
    SUM(1/(1+POWER(10,-(J154-_xlpm.elos)/_xlpm.diffscale)))-0.5)
)</f>
        <v/>
      </c>
      <c r="K156" t="str" cm="1">
        <f t="array" ref="K156">_xlfn.LET(
  _xlpm.colj, _xlfn._xlws.FILTER(IF(ISNUMBER(155:155), COLUMN(155:155)), ISNUMBER(155:155)),
  _xlpm.elos, INDEX(154:154,1,_xlpm.colj),
  _xlpm.diffscale, Constantes!$B$2,
  IF(K155="",
    "",
    SUM(1/(1+POWER(10,-(K154-_xlpm.elos)/_xlpm.diffscale)))-0.5)
)</f>
        <v/>
      </c>
      <c r="L156" cm="1">
        <f t="array" ref="L156">_xlfn.LET(
  _xlpm.colj, _xlfn._xlws.FILTER(IF(ISNUMBER(155:155), COLUMN(155:155)), ISNUMBER(155:155)),
  _xlpm.elos, INDEX(154:154,1,_xlpm.colj),
  _xlpm.diffscale, Constantes!$B$2,
  IF(L155="",
    "",
    SUM(1/(1+POWER(10,-(L154-_xlpm.elos)/_xlpm.diffscale)))-0.5)
)</f>
        <v>1.0534309345065949</v>
      </c>
      <c r="M156" t="str" cm="1">
        <f t="array" ref="M156">_xlfn.LET(
  _xlpm.colj, _xlfn._xlws.FILTER(IF(ISNUMBER(155:155), COLUMN(155:155)), ISNUMBER(155:155)),
  _xlpm.elos, INDEX(154:154,1,_xlpm.colj),
  _xlpm.diffscale, Constantes!$B$2,
  IF(M155="",
    "",
    SUM(1/(1+POWER(10,-(M154-_xlpm.elos)/_xlpm.diffscale)))-0.5)
)</f>
        <v/>
      </c>
      <c r="N156" cm="1">
        <f t="array" ref="N156">_xlfn.LET(
  _xlpm.colj, _xlfn._xlws.FILTER(IF(ISNUMBER(155:155), COLUMN(155:155)), ISNUMBER(155:155)),
  _xlpm.elos, INDEX(154:154,1,_xlpm.colj),
  _xlpm.diffscale, Constantes!$B$2,
  IF(N155="",
    "",
    SUM(1/(1+POWER(10,-(N154-_xlpm.elos)/_xlpm.diffscale)))-0.5)
)</f>
        <v>1.3647096475515741</v>
      </c>
      <c r="O156" t="str" cm="1">
        <f t="array" ref="O156">_xlfn.LET(
  _xlpm.colj, _xlfn._xlws.FILTER(IF(ISNUMBER(155:155), COLUMN(155:155)), ISNUMBER(155:155)),
  _xlpm.elos, INDEX(154:154,1,_xlpm.colj),
  _xlpm.diffscale, Constantes!$B$2,
  IF(O155="",
    "",
    SUM(1/(1+POWER(10,-(O154-_xlpm.elos)/_xlpm.diffscale)))-0.5)
)</f>
        <v/>
      </c>
      <c r="P156" t="str" cm="1">
        <f t="array" ref="P156">_xlfn.LET(
  _xlpm.colj, _xlfn._xlws.FILTER(IF(ISNUMBER(155:155), COLUMN(155:155)), ISNUMBER(155:155)),
  _xlpm.elos, INDEX(154:154,1,_xlpm.colj),
  _xlpm.diffscale, Constantes!$B$2,
  IF(P155="",
    "",
    SUM(1/(1+POWER(10,-(P154-_xlpm.elos)/_xlpm.diffscale)))-0.5)
)</f>
        <v/>
      </c>
      <c r="Q156" t="str" cm="1">
        <f t="array" ref="Q156">_xlfn.LET(
  _xlpm.colj, _xlfn._xlws.FILTER(IF(ISNUMBER(155:155), COLUMN(155:155)), ISNUMBER(155:155)),
  _xlpm.elos, INDEX(154:154,1,_xlpm.colj),
  _xlpm.diffscale, Constantes!$B$2,
  IF(Q155="",
    "",
    SUM(1/(1+POWER(10,-(Q154-_xlpm.elos)/_xlpm.diffscale)))-0.5)
)</f>
        <v/>
      </c>
      <c r="R156" t="str" cm="1">
        <f t="array" ref="R156">_xlfn.LET(
  _xlpm.colj, _xlfn._xlws.FILTER(IF(ISNUMBER(155:155), COLUMN(155:155)), ISNUMBER(155:155)),
  _xlpm.elos, INDEX(154:154,1,_xlpm.colj),
  _xlpm.diffscale, Constantes!$B$2,
  IF(R155="",
    "",
    SUM(1/(1+POWER(10,-(R154-_xlpm.elos)/_xlpm.diffscale)))-0.5)
)</f>
        <v/>
      </c>
      <c r="S156" t="str" cm="1">
        <f t="array" ref="S156">_xlfn.LET(
  _xlpm.colj, _xlfn._xlws.FILTER(IF(ISNUMBER(155:155), COLUMN(155:155)), ISNUMBER(155:155)),
  _xlpm.elos, INDEX(154:154,1,_xlpm.colj),
  _xlpm.diffscale, Constantes!$B$2,
  IF(S155="",
    "",
    SUM(1/(1+POWER(10,-(S154-_xlpm.elos)/_xlpm.diffscale)))-0.5)
)</f>
        <v/>
      </c>
      <c r="T156" t="str" cm="1">
        <f t="array" ref="T156">_xlfn.LET(
  _xlpm.colj, _xlfn._xlws.FILTER(IF(ISNUMBER(155:155), COLUMN(155:155)), ISNUMBER(155:155)),
  _xlpm.elos, INDEX(154:154,1,_xlpm.colj),
  _xlpm.diffscale, Constantes!$B$2,
  IF(T155="",
    "",
    SUM(1/(1+POWER(10,-(T154-_xlpm.elos)/_xlpm.diffscale)))-0.5)
)</f>
        <v/>
      </c>
      <c r="U156" t="str" cm="1">
        <f t="array" ref="U156">_xlfn.LET(
  _xlpm.colj, _xlfn._xlws.FILTER(IF(ISNUMBER(155:155), COLUMN(155:155)), ISNUMBER(155:155)),
  _xlpm.elos, INDEX(154:154,1,_xlpm.colj),
  _xlpm.diffscale, Constantes!$B$2,
  IF(U155="",
    "",
    SUM(1/(1+POWER(10,-(U154-_xlpm.elos)/_xlpm.diffscale)))-0.5)
)</f>
        <v/>
      </c>
      <c r="V156" t="str" cm="1">
        <f t="array" ref="V156">_xlfn.LET(
  _xlpm.colj, _xlfn._xlws.FILTER(IF(ISNUMBER(155:155), COLUMN(155:155)), ISNUMBER(155:155)),
  _xlpm.elos, INDEX(154:154,1,_xlpm.colj),
  _xlpm.diffscale, Constantes!$B$2,
  IF(V155="",
    "",
    SUM(1/(1+POWER(10,-(V154-_xlpm.elos)/_xlpm.diffscale)))-0.5)
)</f>
        <v/>
      </c>
      <c r="W156" t="str" cm="1">
        <f t="array" ref="W156">_xlfn.LET(
  _xlpm.colj, _xlfn._xlws.FILTER(IF(ISNUMBER(155:155), COLUMN(155:155)), ISNUMBER(155:155)),
  _xlpm.elos, INDEX(154:154,1,_xlpm.colj),
  _xlpm.diffscale, Constantes!$B$2,
  IF(W155="",
    "",
    SUM(1/(1+POWER(10,-(W154-_xlpm.elos)/_xlpm.diffscale)))-0.5)
)</f>
        <v/>
      </c>
      <c r="X156" cm="1">
        <f t="array" ref="X156">_xlfn.LET(
  _xlpm.colj, _xlfn._xlws.FILTER(IF(ISNUMBER(155:155), COLUMN(155:155)), ISNUMBER(155:155)),
  _xlpm.elos, INDEX(154:154,1,_xlpm.colj),
  _xlpm.diffscale, Constantes!$B$2,
  IF(X155="",
    "",
    SUM(1/(1+POWER(10,-(X154-_xlpm.elos)/_xlpm.diffscale)))-0.5)
)</f>
        <v>1.1826491450134933</v>
      </c>
      <c r="Y156" t="str" cm="1">
        <f t="array" ref="Y156">_xlfn.LET(
  _xlpm.colj, _xlfn._xlws.FILTER(IF(ISNUMBER(155:155), COLUMN(155:155)), ISNUMBER(155:155)),
  _xlpm.elos, INDEX(154:154,1,_xlpm.colj),
  _xlpm.diffscale, Constantes!$B$2,
  IF(Y155="",
    "",
    SUM(1/(1+POWER(10,-(Y154-_xlpm.elos)/_xlpm.diffscale)))-0.5)
)</f>
        <v/>
      </c>
      <c r="Z156" t="str" cm="1">
        <f t="array" ref="Z156">_xlfn.LET(
  _xlpm.colj, _xlfn._xlws.FILTER(IF(ISNUMBER(155:155), COLUMN(155:155)), ISNUMBER(155:155)),
  _xlpm.elos, INDEX(154:154,1,_xlpm.colj),
  _xlpm.diffscale, Constantes!$B$2,
  IF(Z155="",
    "",
    SUM(1/(1+POWER(10,-(Z154-_xlpm.elos)/_xlpm.diffscale)))-0.5)
)</f>
        <v/>
      </c>
      <c r="AA156" t="str" cm="1">
        <f t="array" ref="AA156">_xlfn.LET(
  _xlpm.colj, _xlfn._xlws.FILTER(IF(ISNUMBER(155:155), COLUMN(155:155)), ISNUMBER(155:155)),
  _xlpm.elos, INDEX(154:154,1,_xlpm.colj),
  _xlpm.diffscale, Constantes!$B$2,
  IF(AA155="",
    "",
    SUM(1/(1+POWER(10,-(AA154-_xlpm.elos)/_xlpm.diffscale)))-0.5)
)</f>
        <v/>
      </c>
      <c r="AB156" t="str" cm="1">
        <f t="array" ref="AB156">_xlfn.LET(
  _xlpm.colj, _xlfn._xlws.FILTER(IF(ISNUMBER(155:155), COLUMN(155:155)), ISNUMBER(155:155)),
  _xlpm.elos, INDEX(154:154,1,_xlpm.colj),
  _xlpm.diffscale, Constantes!$B$2,
  IF(AB155="",
    "",
    SUM(1/(1+POWER(10,-(AB154-_xlpm.elos)/_xlpm.diffscale)))-0.5)
)</f>
        <v/>
      </c>
      <c r="AC156" t="str" cm="1">
        <f t="array" ref="AC156">_xlfn.LET(
  _xlpm.colj, _xlfn._xlws.FILTER(IF(ISNUMBER(155:155), COLUMN(155:155)), ISNUMBER(155:155)),
  _xlpm.elos, INDEX(154:154,1,_xlpm.colj),
  _xlpm.diffscale, Constantes!$B$2,
  IF(AC155="",
    "",
    SUM(1/(1+POWER(10,-(AC154-_xlpm.elos)/_xlpm.diffscale)))-0.5)
)</f>
        <v/>
      </c>
      <c r="AD156" t="str" cm="1">
        <f t="array" ref="AD156">_xlfn.LET(
  _xlpm.colj, _xlfn._xlws.FILTER(IF(ISNUMBER(155:155), COLUMN(155:155)), ISNUMBER(155:155)),
  _xlpm.elos, INDEX(154:154,1,_xlpm.colj),
  _xlpm.diffscale, Constantes!$B$2,
  IF(AD155="",
    "",
    SUM(1/(1+POWER(10,-(AD154-_xlpm.elos)/_xlpm.diffscale)))-0.5)
)</f>
        <v/>
      </c>
      <c r="AE156" t="str" cm="1">
        <f t="array" ref="AE156">_xlfn.LET(
  _xlpm.colj, _xlfn._xlws.FILTER(IF(ISNUMBER(155:155), COLUMN(155:155)), ISNUMBER(155:155)),
  _xlpm.elos, INDEX(154:154,1,_xlpm.colj),
  _xlpm.diffscale, Constantes!$B$2,
  IF(AE155="",
    "",
    SUM(1/(1+POWER(10,-(AE154-_xlpm.elos)/_xlpm.diffscale)))-0.5)
)</f>
        <v/>
      </c>
      <c r="AF156" t="str" cm="1">
        <f t="array" ref="AF156">_xlfn.LET(
  _xlpm.colj, _xlfn._xlws.FILTER(IF(ISNUMBER(155:155), COLUMN(155:155)), ISNUMBER(155:155)),
  _xlpm.elos, INDEX(154:154,1,_xlpm.colj),
  _xlpm.diffscale, Constantes!$B$2,
  IF(AF155="",
    "",
    SUM(1/(1+POWER(10,-(AF154-_xlpm.elos)/_xlpm.diffscale)))-0.5)
)</f>
        <v/>
      </c>
      <c r="AG156" t="str" cm="1">
        <f t="array" ref="AG156">_xlfn.LET(
  _xlpm.colj, _xlfn._xlws.FILTER(IF(ISNUMBER(155:155), COLUMN(155:155)), ISNUMBER(155:155)),
  _xlpm.elos, INDEX(154:154,1,_xlpm.colj),
  _xlpm.diffscale, Constantes!$B$2,
  IF(AG155="",
    "",
    SUM(1/(1+POWER(10,-(AG154-_xlpm.elos)/_xlpm.diffscale)))-0.5)
)</f>
        <v/>
      </c>
      <c r="AH156" t="str" cm="1">
        <f t="array" ref="AH156">_xlfn.LET(
  _xlpm.colj, _xlfn._xlws.FILTER(IF(ISNUMBER(155:155), COLUMN(155:155)), ISNUMBER(155:155)),
  _xlpm.elos, INDEX(154:154,1,_xlpm.colj),
  _xlpm.diffscale, Constantes!$B$2,
  IF(AH155="",
    "",
    SUM(1/(1+POWER(10,-(AH154-_xlpm.elos)/_xlpm.diffscale)))-0.5)
)</f>
        <v/>
      </c>
      <c r="AI156" t="str" cm="1">
        <f t="array" ref="AI156">_xlfn.LET(
  _xlpm.colj, _xlfn._xlws.FILTER(IF(ISNUMBER(155:155), COLUMN(155:155)), ISNUMBER(155:155)),
  _xlpm.elos, INDEX(154:154,1,_xlpm.colj),
  _xlpm.diffscale, Constantes!$B$2,
  IF(AI155="",
    "",
    SUM(1/(1+POWER(10,-(AI154-_xlpm.elos)/_xlpm.diffscale)))-0.5)
)</f>
        <v/>
      </c>
      <c r="AJ156" t="str" cm="1">
        <f t="array" ref="AJ156">_xlfn.LET(
  _xlpm.colj, _xlfn._xlws.FILTER(IF(ISNUMBER(155:155), COLUMN(155:155)), ISNUMBER(155:155)),
  _xlpm.elos, INDEX(154:154,1,_xlpm.colj),
  _xlpm.diffscale, Constantes!$B$2,
  IF(AJ155="",
    "",
    SUM(1/(1+POWER(10,-(AJ154-_xlpm.elos)/_xlpm.diffscale)))-0.5)
)</f>
        <v/>
      </c>
      <c r="AK156" t="str" cm="1">
        <f t="array" ref="AK156">_xlfn.LET(
  _xlpm.colj, _xlfn._xlws.FILTER(IF(ISNUMBER(155:155), COLUMN(155:155)), ISNUMBER(155:155)),
  _xlpm.elos, INDEX(154:154,1,_xlpm.colj),
  _xlpm.diffscale, Constantes!$B$2,
  IF(AK155="",
    "",
    SUM(1/(1+POWER(10,-(AK154-_xlpm.elos)/_xlpm.diffscale)))-0.5)
)</f>
        <v/>
      </c>
      <c r="AL156" t="str" cm="1">
        <f t="array" ref="AL156">_xlfn.LET(
  _xlpm.colj, _xlfn._xlws.FILTER(IF(ISNUMBER(155:155), COLUMN(155:155)), ISNUMBER(155:155)),
  _xlpm.elos, INDEX(154:154,1,_xlpm.colj),
  _xlpm.diffscale, Constantes!$B$2,
  IF(AL155="",
    "",
    SUM(1/(1+POWER(10,-(AL154-_xlpm.elos)/_xlpm.diffscale)))-0.5)
)</f>
        <v/>
      </c>
      <c r="AM156" t="str" cm="1">
        <f t="array" ref="AM156">_xlfn.LET(
  _xlpm.colj, _xlfn._xlws.FILTER(IF(ISNUMBER(155:155), COLUMN(155:155)), ISNUMBER(155:155)),
  _xlpm.elos, INDEX(154:154,1,_xlpm.colj),
  _xlpm.diffscale, Constantes!$B$2,
  IF(AM155="",
    "",
    SUM(1/(1+POWER(10,-(AM154-_xlpm.elos)/_xlpm.diffscale)))-0.5)
)</f>
        <v/>
      </c>
    </row>
    <row r="157" spans="1:39" x14ac:dyDescent="0.25">
      <c r="A157" t="s">
        <v>22</v>
      </c>
      <c r="D157" cm="1">
        <f t="array" ref="D157">_xlfn.LET(
  _xlpm.K, Constantes!$B$3,
  _xlpm.Knewgain, Constantes!$B$4,
  _xlpm.Knewscale, Constantes!$B$5,
  _xlpm.ptstables, INDEX(D:D, _xlfn.SEQUENCE(COUNTA($C$2:$C157), 1, 3, 4)),
  _xlpm.nbparties, COUNTA(_xlfn._xlws.FILTER(_xlpm.ptstables, _xlpm.ptstables &lt;&gt; "")),
  _xlpm.coef, _xlpm.K + _xlpm.Knewgain / (_xlpm.Knewscale + _xlpm.nbparties),
  IF(D155="",
    "",
    _xlpm.coef * (D155-D156))
)</f>
        <v>14.746656937213539</v>
      </c>
      <c r="E157" t="str" cm="1">
        <f t="array" ref="E157">_xlfn.LET(
  _xlpm.K, Constantes!$B$3,
  _xlpm.Knewgain, Constantes!$B$4,
  _xlpm.Knewscale, Constantes!$B$5,
  _xlpm.ptstables, INDEX(E:E, _xlfn.SEQUENCE(COUNTA($C$2:$C157), 1, 3, 4)),
  _xlpm.nbparties, COUNTA(_xlfn._xlws.FILTER(_xlpm.ptstables, _xlpm.ptstables &lt;&gt; "")),
  _xlpm.coef, _xlpm.K + _xlpm.Knewgain / (_xlpm.Knewscale + _xlpm.nbparties),
  IF(E155="",
    "",
    _xlpm.coef * (E155-E156))
)</f>
        <v/>
      </c>
      <c r="F157" t="str" cm="1">
        <f t="array" ref="F157">_xlfn.LET(
  _xlpm.K, Constantes!$B$3,
  _xlpm.Knewgain, Constantes!$B$4,
  _xlpm.Knewscale, Constantes!$B$5,
  _xlpm.ptstables, INDEX(F:F, _xlfn.SEQUENCE(COUNTA($C$2:$C157), 1, 3, 4)),
  _xlpm.nbparties, COUNTA(_xlfn._xlws.FILTER(_xlpm.ptstables, _xlpm.ptstables &lt;&gt; "")),
  _xlpm.coef, _xlpm.K + _xlpm.Knewgain / (_xlpm.Knewscale + _xlpm.nbparties),
  IF(F155="",
    "",
    _xlpm.coef * (F155-F156))
)</f>
        <v/>
      </c>
      <c r="G157" t="str" cm="1">
        <f t="array" ref="G157">_xlfn.LET(
  _xlpm.K, Constantes!$B$3,
  _xlpm.Knewgain, Constantes!$B$4,
  _xlpm.Knewscale, Constantes!$B$5,
  _xlpm.ptstables, INDEX(G:G, _xlfn.SEQUENCE(COUNTA($C$2:$C157), 1, 3, 4)),
  _xlpm.nbparties, COUNTA(_xlfn._xlws.FILTER(_xlpm.ptstables, _xlpm.ptstables &lt;&gt; "")),
  _xlpm.coef, _xlpm.K + _xlpm.Knewgain / (_xlpm.Knewscale + _xlpm.nbparties),
  IF(G155="",
    "",
    _xlpm.coef * (G155-G156))
)</f>
        <v/>
      </c>
      <c r="H157" t="str" cm="1">
        <f t="array" ref="H157">_xlfn.LET(
  _xlpm.K, Constantes!$B$3,
  _xlpm.Knewgain, Constantes!$B$4,
  _xlpm.Knewscale, Constantes!$B$5,
  _xlpm.ptstables, INDEX(H:H, _xlfn.SEQUENCE(COUNTA($C$2:$C157), 1, 3, 4)),
  _xlpm.nbparties, COUNTA(_xlfn._xlws.FILTER(_xlpm.ptstables, _xlpm.ptstables &lt;&gt; "")),
  _xlpm.coef, _xlpm.K + _xlpm.Knewgain / (_xlpm.Knewscale + _xlpm.nbparties),
  IF(H155="",
    "",
    _xlpm.coef * (H155-H156))
)</f>
        <v/>
      </c>
      <c r="I157" t="str" cm="1">
        <f t="array" ref="I157">_xlfn.LET(
  _xlpm.K, Constantes!$B$3,
  _xlpm.Knewgain, Constantes!$B$4,
  _xlpm.Knewscale, Constantes!$B$5,
  _xlpm.ptstables, INDEX(I:I, _xlfn.SEQUENCE(COUNTA($C$2:$C157), 1, 3, 4)),
  _xlpm.nbparties, COUNTA(_xlfn._xlws.FILTER(_xlpm.ptstables, _xlpm.ptstables &lt;&gt; "")),
  _xlpm.coef, _xlpm.K + _xlpm.Knewgain / (_xlpm.Knewscale + _xlpm.nbparties),
  IF(I155="",
    "",
    _xlpm.coef * (I155-I156))
)</f>
        <v/>
      </c>
      <c r="J157" t="str" cm="1">
        <f t="array" ref="J157">_xlfn.LET(
  _xlpm.K, Constantes!$B$3,
  _xlpm.Knewgain, Constantes!$B$4,
  _xlpm.Knewscale, Constantes!$B$5,
  _xlpm.ptstables, INDEX(J:J, _xlfn.SEQUENCE(COUNTA($C$2:$C157), 1, 3, 4)),
  _xlpm.nbparties, COUNTA(_xlfn._xlws.FILTER(_xlpm.ptstables, _xlpm.ptstables &lt;&gt; "")),
  _xlpm.coef, _xlpm.K + _xlpm.Knewgain / (_xlpm.Knewscale + _xlpm.nbparties),
  IF(J155="",
    "",
    _xlpm.coef * (J155-J156))
)</f>
        <v/>
      </c>
      <c r="K157" t="str" cm="1">
        <f t="array" ref="K157">_xlfn.LET(
  _xlpm.K, Constantes!$B$3,
  _xlpm.Knewgain, Constantes!$B$4,
  _xlpm.Knewscale, Constantes!$B$5,
  _xlpm.ptstables, INDEX(K:K, _xlfn.SEQUENCE(COUNTA($C$2:$C157), 1, 3, 4)),
  _xlpm.nbparties, COUNTA(_xlfn._xlws.FILTER(_xlpm.ptstables, _xlpm.ptstables &lt;&gt; "")),
  _xlpm.coef, _xlpm.K + _xlpm.Knewgain / (_xlpm.Knewscale + _xlpm.nbparties),
  IF(K155="",
    "",
    _xlpm.coef * (K155-K156))
)</f>
        <v/>
      </c>
      <c r="L157" cm="1">
        <f t="array" ref="L157">_xlfn.LET(
  _xlpm.K, Constantes!$B$3,
  _xlpm.Knewgain, Constantes!$B$4,
  _xlpm.Knewscale, Constantes!$B$5,
  _xlpm.ptstables, INDEX(L:L, _xlfn.SEQUENCE(COUNTA($C$2:$C157), 1, 3, 4)),
  _xlpm.nbparties, COUNTA(_xlfn._xlws.FILTER(_xlpm.ptstables, _xlpm.ptstables &lt;&gt; "")),
  _xlpm.coef, _xlpm.K + _xlpm.Knewgain / (_xlpm.Knewscale + _xlpm.nbparties),
  IF(L155="",
    "",
    _xlpm.coef * (L155-L156))
)</f>
        <v>-29.847209811020189</v>
      </c>
      <c r="M157" t="str" cm="1">
        <f t="array" ref="M157">_xlfn.LET(
  _xlpm.K, Constantes!$B$3,
  _xlpm.Knewgain, Constantes!$B$4,
  _xlpm.Knewscale, Constantes!$B$5,
  _xlpm.ptstables, INDEX(M:M, _xlfn.SEQUENCE(COUNTA($C$2:$C157), 1, 3, 4)),
  _xlpm.nbparties, COUNTA(_xlfn._xlws.FILTER(_xlpm.ptstables, _xlpm.ptstables &lt;&gt; "")),
  _xlpm.coef, _xlpm.K + _xlpm.Knewgain / (_xlpm.Knewscale + _xlpm.nbparties),
  IF(M155="",
    "",
    _xlpm.coef * (M155-M156))
)</f>
        <v/>
      </c>
      <c r="N157" cm="1">
        <f t="array" ref="N157">_xlfn.LET(
  _xlpm.K, Constantes!$B$3,
  _xlpm.Knewgain, Constantes!$B$4,
  _xlpm.Knewscale, Constantes!$B$5,
  _xlpm.ptstables, INDEX(N:N, _xlfn.SEQUENCE(COUNTA($C$2:$C157), 1, 3, 4)),
  _xlpm.nbparties, COUNTA(_xlfn._xlws.FILTER(_xlpm.ptstables, _xlpm.ptstables &lt;&gt; "")),
  _xlpm.coef, _xlpm.K + _xlpm.Knewgain / (_xlpm.Knewscale + _xlpm.nbparties),
  IF(N155="",
    "",
    _xlpm.coef * (N155-N156))
)</f>
        <v>16.235197895904218</v>
      </c>
      <c r="O157" t="str" cm="1">
        <f t="array" ref="O157">_xlfn.LET(
  _xlpm.K, Constantes!$B$3,
  _xlpm.Knewgain, Constantes!$B$4,
  _xlpm.Knewscale, Constantes!$B$5,
  _xlpm.ptstables, INDEX(O:O, _xlfn.SEQUENCE(COUNTA($C$2:$C157), 1, 3, 4)),
  _xlpm.nbparties, COUNTA(_xlfn._xlws.FILTER(_xlpm.ptstables, _xlpm.ptstables &lt;&gt; "")),
  _xlpm.coef, _xlpm.K + _xlpm.Knewgain / (_xlpm.Knewscale + _xlpm.nbparties),
  IF(O155="",
    "",
    _xlpm.coef * (O155-O156))
)</f>
        <v/>
      </c>
      <c r="P157" t="str" cm="1">
        <f t="array" ref="P157">_xlfn.LET(
  _xlpm.K, Constantes!$B$3,
  _xlpm.Knewgain, Constantes!$B$4,
  _xlpm.Knewscale, Constantes!$B$5,
  _xlpm.ptstables, INDEX(P:P, _xlfn.SEQUENCE(COUNTA($C$2:$C157), 1, 3, 4)),
  _xlpm.nbparties, COUNTA(_xlfn._xlws.FILTER(_xlpm.ptstables, _xlpm.ptstables &lt;&gt; "")),
  _xlpm.coef, _xlpm.K + _xlpm.Knewgain / (_xlpm.Knewscale + _xlpm.nbparties),
  IF(P155="",
    "",
    _xlpm.coef * (P155-P156))
)</f>
        <v/>
      </c>
      <c r="Q157" t="str" cm="1">
        <f t="array" ref="Q157">_xlfn.LET(
  _xlpm.K, Constantes!$B$3,
  _xlpm.Knewgain, Constantes!$B$4,
  _xlpm.Knewscale, Constantes!$B$5,
  _xlpm.ptstables, INDEX(Q:Q, _xlfn.SEQUENCE(COUNTA($C$2:$C157), 1, 3, 4)),
  _xlpm.nbparties, COUNTA(_xlfn._xlws.FILTER(_xlpm.ptstables, _xlpm.ptstables &lt;&gt; "")),
  _xlpm.coef, _xlpm.K + _xlpm.Knewgain / (_xlpm.Knewscale + _xlpm.nbparties),
  IF(Q155="",
    "",
    _xlpm.coef * (Q155-Q156))
)</f>
        <v/>
      </c>
      <c r="R157" t="str" cm="1">
        <f t="array" ref="R157">_xlfn.LET(
  _xlpm.K, Constantes!$B$3,
  _xlpm.Knewgain, Constantes!$B$4,
  _xlpm.Knewscale, Constantes!$B$5,
  _xlpm.ptstables, INDEX(R:R, _xlfn.SEQUENCE(COUNTA($C$2:$C157), 1, 3, 4)),
  _xlpm.nbparties, COUNTA(_xlfn._xlws.FILTER(_xlpm.ptstables, _xlpm.ptstables &lt;&gt; "")),
  _xlpm.coef, _xlpm.K + _xlpm.Knewgain / (_xlpm.Knewscale + _xlpm.nbparties),
  IF(R155="",
    "",
    _xlpm.coef * (R155-R156))
)</f>
        <v/>
      </c>
      <c r="S157" t="str" cm="1">
        <f t="array" ref="S157">_xlfn.LET(
  _xlpm.K, Constantes!$B$3,
  _xlpm.Knewgain, Constantes!$B$4,
  _xlpm.Knewscale, Constantes!$B$5,
  _xlpm.ptstables, INDEX(S:S, _xlfn.SEQUENCE(COUNTA($C$2:$C157), 1, 3, 4)),
  _xlpm.nbparties, COUNTA(_xlfn._xlws.FILTER(_xlpm.ptstables, _xlpm.ptstables &lt;&gt; "")),
  _xlpm.coef, _xlpm.K + _xlpm.Knewgain / (_xlpm.Knewscale + _xlpm.nbparties),
  IF(S155="",
    "",
    _xlpm.coef * (S155-S156))
)</f>
        <v/>
      </c>
      <c r="T157" t="str" cm="1">
        <f t="array" ref="T157">_xlfn.LET(
  _xlpm.K, Constantes!$B$3,
  _xlpm.Knewgain, Constantes!$B$4,
  _xlpm.Knewscale, Constantes!$B$5,
  _xlpm.ptstables, INDEX(T:T, _xlfn.SEQUENCE(COUNTA($C$2:$C157), 1, 3, 4)),
  _xlpm.nbparties, COUNTA(_xlfn._xlws.FILTER(_xlpm.ptstables, _xlpm.ptstables &lt;&gt; "")),
  _xlpm.coef, _xlpm.K + _xlpm.Knewgain / (_xlpm.Knewscale + _xlpm.nbparties),
  IF(T155="",
    "",
    _xlpm.coef * (T155-T156))
)</f>
        <v/>
      </c>
      <c r="U157" t="str" cm="1">
        <f t="array" ref="U157">_xlfn.LET(
  _xlpm.K, Constantes!$B$3,
  _xlpm.Knewgain, Constantes!$B$4,
  _xlpm.Knewscale, Constantes!$B$5,
  _xlpm.ptstables, INDEX(U:U, _xlfn.SEQUENCE(COUNTA($C$2:$C157), 1, 3, 4)),
  _xlpm.nbparties, COUNTA(_xlfn._xlws.FILTER(_xlpm.ptstables, _xlpm.ptstables &lt;&gt; "")),
  _xlpm.coef, _xlpm.K + _xlpm.Knewgain / (_xlpm.Knewscale + _xlpm.nbparties),
  IF(U155="",
    "",
    _xlpm.coef * (U155-U156))
)</f>
        <v/>
      </c>
      <c r="V157" t="str" cm="1">
        <f t="array" ref="V157">_xlfn.LET(
  _xlpm.K, Constantes!$B$3,
  _xlpm.Knewgain, Constantes!$B$4,
  _xlpm.Knewscale, Constantes!$B$5,
  _xlpm.ptstables, INDEX(V:V, _xlfn.SEQUENCE(COUNTA($C$2:$C157), 1, 3, 4)),
  _xlpm.nbparties, COUNTA(_xlfn._xlws.FILTER(_xlpm.ptstables, _xlpm.ptstables &lt;&gt; "")),
  _xlpm.coef, _xlpm.K + _xlpm.Knewgain / (_xlpm.Knewscale + _xlpm.nbparties),
  IF(V155="",
    "",
    _xlpm.coef * (V155-V156))
)</f>
        <v/>
      </c>
      <c r="W157" t="str" cm="1">
        <f t="array" ref="W157">_xlfn.LET(
  _xlpm.K, Constantes!$B$3,
  _xlpm.Knewgain, Constantes!$B$4,
  _xlpm.Knewscale, Constantes!$B$5,
  _xlpm.ptstables, INDEX(W:W, _xlfn.SEQUENCE(COUNTA($C$2:$C157), 1, 3, 4)),
  _xlpm.nbparties, COUNTA(_xlfn._xlws.FILTER(_xlpm.ptstables, _xlpm.ptstables &lt;&gt; "")),
  _xlpm.coef, _xlpm.K + _xlpm.Knewgain / (_xlpm.Knewscale + _xlpm.nbparties),
  IF(W155="",
    "",
    _xlpm.coef * (W155-W156))
)</f>
        <v/>
      </c>
      <c r="X157" cm="1">
        <f t="array" ref="X157">_xlfn.LET(
  _xlpm.K, Constantes!$B$3,
  _xlpm.Knewgain, Constantes!$B$4,
  _xlpm.Knewscale, Constantes!$B$5,
  _xlpm.ptstables, INDEX(X:X, _xlfn.SEQUENCE(COUNTA($C$2:$C157), 1, 3, 4)),
  _xlpm.nbparties, COUNTA(_xlfn._xlws.FILTER(_xlpm.ptstables, _xlpm.ptstables &lt;&gt; "")),
  _xlpm.coef, _xlpm.K + _xlpm.Knewgain / (_xlpm.Knewscale + _xlpm.nbparties),
  IF(X155="",
    "",
    _xlpm.coef * (X155-X156))
)</f>
        <v>-4.7945400566041982</v>
      </c>
      <c r="Y157" t="str" cm="1">
        <f t="array" ref="Y157">_xlfn.LET(
  _xlpm.K, Constantes!$B$3,
  _xlpm.Knewgain, Constantes!$B$4,
  _xlpm.Knewscale, Constantes!$B$5,
  _xlpm.ptstables, INDEX(Y:Y, _xlfn.SEQUENCE(COUNTA($C$2:$C157), 1, 3, 4)),
  _xlpm.nbparties, COUNTA(_xlfn._xlws.FILTER(_xlpm.ptstables, _xlpm.ptstables &lt;&gt; "")),
  _xlpm.coef, _xlpm.K + _xlpm.Knewgain / (_xlpm.Knewscale + _xlpm.nbparties),
  IF(Y155="",
    "",
    _xlpm.coef * (Y155-Y156))
)</f>
        <v/>
      </c>
      <c r="Z157" t="str" cm="1">
        <f t="array" ref="Z157">_xlfn.LET(
  _xlpm.K, Constantes!$B$3,
  _xlpm.Knewgain, Constantes!$B$4,
  _xlpm.Knewscale, Constantes!$B$5,
  _xlpm.ptstables, INDEX(Z:Z, _xlfn.SEQUENCE(COUNTA($C$2:$C157), 1, 3, 4)),
  _xlpm.nbparties, COUNTA(_xlfn._xlws.FILTER(_xlpm.ptstables, _xlpm.ptstables &lt;&gt; "")),
  _xlpm.coef, _xlpm.K + _xlpm.Knewgain / (_xlpm.Knewscale + _xlpm.nbparties),
  IF(Z155="",
    "",
    _xlpm.coef * (Z155-Z156))
)</f>
        <v/>
      </c>
      <c r="AA157" t="str" cm="1">
        <f t="array" ref="AA157">_xlfn.LET(
  _xlpm.K, Constantes!$B$3,
  _xlpm.Knewgain, Constantes!$B$4,
  _xlpm.Knewscale, Constantes!$B$5,
  _xlpm.ptstables, INDEX(AA:AA, _xlfn.SEQUENCE(COUNTA($C$2:$C157), 1, 3, 4)),
  _xlpm.nbparties, COUNTA(_xlfn._xlws.FILTER(_xlpm.ptstables, _xlpm.ptstables &lt;&gt; "")),
  _xlpm.coef, _xlpm.K + _xlpm.Knewgain / (_xlpm.Knewscale + _xlpm.nbparties),
  IF(AA155="",
    "",
    _xlpm.coef * (AA155-AA156))
)</f>
        <v/>
      </c>
      <c r="AB157" t="str" cm="1">
        <f t="array" ref="AB157">_xlfn.LET(
  _xlpm.K, Constantes!$B$3,
  _xlpm.Knewgain, Constantes!$B$4,
  _xlpm.Knewscale, Constantes!$B$5,
  _xlpm.ptstables, INDEX(AB:AB, _xlfn.SEQUENCE(COUNTA($C$2:$C157), 1, 3, 4)),
  _xlpm.nbparties, COUNTA(_xlfn._xlws.FILTER(_xlpm.ptstables, _xlpm.ptstables &lt;&gt; "")),
  _xlpm.coef, _xlpm.K + _xlpm.Knewgain / (_xlpm.Knewscale + _xlpm.nbparties),
  IF(AB155="",
    "",
    _xlpm.coef * (AB155-AB156))
)</f>
        <v/>
      </c>
      <c r="AC157" t="str" cm="1">
        <f t="array" ref="AC157">_xlfn.LET(
  _xlpm.K, Constantes!$B$3,
  _xlpm.Knewgain, Constantes!$B$4,
  _xlpm.Knewscale, Constantes!$B$5,
  _xlpm.ptstables, INDEX(AC:AC, _xlfn.SEQUENCE(COUNTA($C$2:$C157), 1, 3, 4)),
  _xlpm.nbparties, COUNTA(_xlfn._xlws.FILTER(_xlpm.ptstables, _xlpm.ptstables &lt;&gt; "")),
  _xlpm.coef, _xlpm.K + _xlpm.Knewgain / (_xlpm.Knewscale + _xlpm.nbparties),
  IF(AC155="",
    "",
    _xlpm.coef * (AC155-AC156))
)</f>
        <v/>
      </c>
      <c r="AD157" t="str" cm="1">
        <f t="array" ref="AD157">_xlfn.LET(
  _xlpm.K, Constantes!$B$3,
  _xlpm.Knewgain, Constantes!$B$4,
  _xlpm.Knewscale, Constantes!$B$5,
  _xlpm.ptstables, INDEX(AD:AD, _xlfn.SEQUENCE(COUNTA($C$2:$C157), 1, 3, 4)),
  _xlpm.nbparties, COUNTA(_xlfn._xlws.FILTER(_xlpm.ptstables, _xlpm.ptstables &lt;&gt; "")),
  _xlpm.coef, _xlpm.K + _xlpm.Knewgain / (_xlpm.Knewscale + _xlpm.nbparties),
  IF(AD155="",
    "",
    _xlpm.coef * (AD155-AD156))
)</f>
        <v/>
      </c>
      <c r="AE157" t="str" cm="1">
        <f t="array" ref="AE157">_xlfn.LET(
  _xlpm.K, Constantes!$B$3,
  _xlpm.Knewgain, Constantes!$B$4,
  _xlpm.Knewscale, Constantes!$B$5,
  _xlpm.ptstables, INDEX(AE:AE, _xlfn.SEQUENCE(COUNTA($C$2:$C157), 1, 3, 4)),
  _xlpm.nbparties, COUNTA(_xlfn._xlws.FILTER(_xlpm.ptstables, _xlpm.ptstables &lt;&gt; "")),
  _xlpm.coef, _xlpm.K + _xlpm.Knewgain / (_xlpm.Knewscale + _xlpm.nbparties),
  IF(AE155="",
    "",
    _xlpm.coef * (AE155-AE156))
)</f>
        <v/>
      </c>
      <c r="AF157" t="str" cm="1">
        <f t="array" ref="AF157">_xlfn.LET(
  _xlpm.K, Constantes!$B$3,
  _xlpm.Knewgain, Constantes!$B$4,
  _xlpm.Knewscale, Constantes!$B$5,
  _xlpm.ptstables, INDEX(AF:AF, _xlfn.SEQUENCE(COUNTA($C$2:$C157), 1, 3, 4)),
  _xlpm.nbparties, COUNTA(_xlfn._xlws.FILTER(_xlpm.ptstables, _xlpm.ptstables &lt;&gt; "")),
  _xlpm.coef, _xlpm.K + _xlpm.Knewgain / (_xlpm.Knewscale + _xlpm.nbparties),
  IF(AF155="",
    "",
    _xlpm.coef * (AF155-AF156))
)</f>
        <v/>
      </c>
      <c r="AG157" t="str" cm="1">
        <f t="array" ref="AG157">_xlfn.LET(
  _xlpm.K, Constantes!$B$3,
  _xlpm.Knewgain, Constantes!$B$4,
  _xlpm.Knewscale, Constantes!$B$5,
  _xlpm.ptstables, INDEX(AG:AG, _xlfn.SEQUENCE(COUNTA($C$2:$C157), 1, 3, 4)),
  _xlpm.nbparties, COUNTA(_xlfn._xlws.FILTER(_xlpm.ptstables, _xlpm.ptstables &lt;&gt; "")),
  _xlpm.coef, _xlpm.K + _xlpm.Knewgain / (_xlpm.Knewscale + _xlpm.nbparties),
  IF(AG155="",
    "",
    _xlpm.coef * (AG155-AG156))
)</f>
        <v/>
      </c>
      <c r="AH157" t="str" cm="1">
        <f t="array" ref="AH157">_xlfn.LET(
  _xlpm.K, Constantes!$B$3,
  _xlpm.Knewgain, Constantes!$B$4,
  _xlpm.Knewscale, Constantes!$B$5,
  _xlpm.ptstables, INDEX(AH:AH, _xlfn.SEQUENCE(COUNTA($C$2:$C157), 1, 3, 4)),
  _xlpm.nbparties, COUNTA(_xlfn._xlws.FILTER(_xlpm.ptstables, _xlpm.ptstables &lt;&gt; "")),
  _xlpm.coef, _xlpm.K + _xlpm.Knewgain / (_xlpm.Knewscale + _xlpm.nbparties),
  IF(AH155="",
    "",
    _xlpm.coef * (AH155-AH156))
)</f>
        <v/>
      </c>
      <c r="AI157" t="str" cm="1">
        <f t="array" ref="AI157">_xlfn.LET(
  _xlpm.K, Constantes!$B$3,
  _xlpm.Knewgain, Constantes!$B$4,
  _xlpm.Knewscale, Constantes!$B$5,
  _xlpm.ptstables, INDEX(AI:AI, _xlfn.SEQUENCE(COUNTA($C$2:$C157), 1, 3, 4)),
  _xlpm.nbparties, COUNTA(_xlfn._xlws.FILTER(_xlpm.ptstables, _xlpm.ptstables &lt;&gt; "")),
  _xlpm.coef, _xlpm.K + _xlpm.Knewgain / (_xlpm.Knewscale + _xlpm.nbparties),
  IF(AI155="",
    "",
    _xlpm.coef * (AI155-AI156))
)</f>
        <v/>
      </c>
      <c r="AJ157" t="str" cm="1">
        <f t="array" ref="AJ157">_xlfn.LET(
  _xlpm.K, Constantes!$B$3,
  _xlpm.Knewgain, Constantes!$B$4,
  _xlpm.Knewscale, Constantes!$B$5,
  _xlpm.ptstables, INDEX(AJ:AJ, _xlfn.SEQUENCE(COUNTA($C$2:$C157), 1, 3, 4)),
  _xlpm.nbparties, COUNTA(_xlfn._xlws.FILTER(_xlpm.ptstables, _xlpm.ptstables &lt;&gt; "")),
  _xlpm.coef, _xlpm.K + _xlpm.Knewgain / (_xlpm.Knewscale + _xlpm.nbparties),
  IF(AJ155="",
    "",
    _xlpm.coef * (AJ155-AJ156))
)</f>
        <v/>
      </c>
      <c r="AK157" t="str" cm="1">
        <f t="array" ref="AK157">_xlfn.LET(
  _xlpm.K, Constantes!$B$3,
  _xlpm.Knewgain, Constantes!$B$4,
  _xlpm.Knewscale, Constantes!$B$5,
  _xlpm.ptstables, INDEX(AK:AK, _xlfn.SEQUENCE(COUNTA($C$2:$C157), 1, 3, 4)),
  _xlpm.nbparties, COUNTA(_xlfn._xlws.FILTER(_xlpm.ptstables, _xlpm.ptstables &lt;&gt; "")),
  _xlpm.coef, _xlpm.K + _xlpm.Knewgain / (_xlpm.Knewscale + _xlpm.nbparties),
  IF(AK155="",
    "",
    _xlpm.coef * (AK155-AK156))
)</f>
        <v/>
      </c>
      <c r="AL157" t="str" cm="1">
        <f t="array" ref="AL157">_xlfn.LET(
  _xlpm.K, Constantes!$B$3,
  _xlpm.Knewgain, Constantes!$B$4,
  _xlpm.Knewscale, Constantes!$B$5,
  _xlpm.ptstables, INDEX(AL:AL, _xlfn.SEQUENCE(COUNTA($C$2:$C157), 1, 3, 4)),
  _xlpm.nbparties, COUNTA(_xlfn._xlws.FILTER(_xlpm.ptstables, _xlpm.ptstables &lt;&gt; "")),
  _xlpm.coef, _xlpm.K + _xlpm.Knewgain / (_xlpm.Knewscale + _xlpm.nbparties),
  IF(AL155="",
    "",
    _xlpm.coef * (AL155-AL156))
)</f>
        <v/>
      </c>
      <c r="AM157" t="str" cm="1">
        <f t="array" ref="AM157">_xlfn.LET(
  _xlpm.K, Constantes!$B$3,
  _xlpm.Knewgain, Constantes!$B$4,
  _xlpm.Knewscale, Constantes!$B$5,
  _xlpm.ptstables, INDEX(AM:AM, _xlfn.SEQUENCE(COUNTA($C$2:$C157), 1, 3, 4)),
  _xlpm.nbparties, COUNTA(_xlfn._xlws.FILTER(_xlpm.ptstables, _xlpm.ptstables &lt;&gt; "")),
  _xlpm.coef, _xlpm.K + _xlpm.Knewgain / (_xlpm.Knewscale + _xlpm.nbparties),
  IF(AM155="",
    "",
    _xlpm.coef * (AM155-AM156))
)</f>
        <v/>
      </c>
    </row>
    <row r="158" spans="1:39" x14ac:dyDescent="0.25">
      <c r="A158" t="s">
        <v>14</v>
      </c>
      <c r="B158" t="str" cm="1">
        <f t="array" ref="B15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40</v>
      </c>
      <c r="C158" s="2" cm="1">
        <f t="array" ref="C158">IF(B158="","",
  INDEX(Donnees!F:F, MATCH(B158, Donnees!F:F, 0)+1))</f>
        <v>45927.697187500002</v>
      </c>
      <c r="D158">
        <f t="shared" ref="D158:AM158" si="47">D154+IF(D157="",0,D157)</f>
        <v>1115.9311757149087</v>
      </c>
      <c r="E158">
        <f t="shared" si="47"/>
        <v>1105.3750854597461</v>
      </c>
      <c r="F158">
        <f t="shared" si="47"/>
        <v>830.28932860388909</v>
      </c>
      <c r="G158">
        <f t="shared" si="47"/>
        <v>1024.6030101366564</v>
      </c>
      <c r="H158">
        <f t="shared" si="47"/>
        <v>1043.8545020183328</v>
      </c>
      <c r="I158">
        <f t="shared" si="47"/>
        <v>1079.9236503077234</v>
      </c>
      <c r="J158">
        <f t="shared" si="47"/>
        <v>938.49433816478961</v>
      </c>
      <c r="K158">
        <f t="shared" si="47"/>
        <v>907.51653081539087</v>
      </c>
      <c r="L158">
        <f t="shared" si="47"/>
        <v>801.48942635099877</v>
      </c>
      <c r="M158">
        <f t="shared" si="47"/>
        <v>913.41986361738122</v>
      </c>
      <c r="N158">
        <f t="shared" si="47"/>
        <v>907.32507465255833</v>
      </c>
      <c r="O158">
        <f t="shared" si="47"/>
        <v>1005.4306950475848</v>
      </c>
      <c r="P158">
        <f t="shared" si="47"/>
        <v>1015.4353469144262</v>
      </c>
      <c r="Q158">
        <f t="shared" si="47"/>
        <v>1072.1642346323029</v>
      </c>
      <c r="R158">
        <f t="shared" si="47"/>
        <v>1125.1838799902728</v>
      </c>
      <c r="S158">
        <f t="shared" si="47"/>
        <v>900.26493538028456</v>
      </c>
      <c r="T158">
        <f t="shared" si="47"/>
        <v>1135.2782658680615</v>
      </c>
      <c r="U158">
        <f t="shared" si="47"/>
        <v>1106.2875102369314</v>
      </c>
      <c r="V158">
        <f t="shared" si="47"/>
        <v>961.58818235691967</v>
      </c>
      <c r="W158">
        <f t="shared" si="47"/>
        <v>936.79085942937002</v>
      </c>
      <c r="X158">
        <f t="shared" si="47"/>
        <v>851.6115293878712</v>
      </c>
      <c r="Y158">
        <f t="shared" si="47"/>
        <v>1023.8053439225921</v>
      </c>
      <c r="Z158">
        <f t="shared" si="47"/>
        <v>991.11904139672549</v>
      </c>
      <c r="AA158">
        <f t="shared" si="47"/>
        <v>980.56756855165884</v>
      </c>
      <c r="AB158">
        <f t="shared" si="47"/>
        <v>988.35669729544747</v>
      </c>
      <c r="AC158">
        <f t="shared" si="47"/>
        <v>998.96652664479586</v>
      </c>
      <c r="AD158">
        <f t="shared" si="47"/>
        <v>974.01499999999999</v>
      </c>
      <c r="AE158">
        <f t="shared" si="47"/>
        <v>1011.415</v>
      </c>
      <c r="AF158">
        <f t="shared" si="47"/>
        <v>1031.1199999999999</v>
      </c>
      <c r="AG158">
        <f t="shared" si="47"/>
        <v>1001.0350000000001</v>
      </c>
      <c r="AH158">
        <f t="shared" si="47"/>
        <v>994.44</v>
      </c>
      <c r="AI158">
        <f t="shared" si="47"/>
        <v>1000</v>
      </c>
      <c r="AJ158">
        <f t="shared" si="47"/>
        <v>957.2</v>
      </c>
      <c r="AK158">
        <f t="shared" si="47"/>
        <v>1000</v>
      </c>
      <c r="AL158">
        <f t="shared" si="47"/>
        <v>1055.9299999999998</v>
      </c>
      <c r="AM158">
        <f t="shared" si="47"/>
        <v>1000</v>
      </c>
    </row>
    <row r="159" spans="1:39" x14ac:dyDescent="0.25">
      <c r="A159" t="s">
        <v>21</v>
      </c>
      <c r="D159" t="str" cm="1">
        <f t="array" ref="D159">IFERROR(
  _xlfn.LET(
    _xlpm.ligpartie, MATCH($B158, Donnees!$F:$F, 0),
    _xlpm.joueurs, INDEX(Donnees!$A:$Z, _xlpm.ligpartie+1, _xlfn.SEQUENCE(1, 4, 2)),
    INDEX(
      Donnees!$A:$Z,
      _xlpm.ligpartie + 3,
      MATCH(D$1, _xlpm.joueurs, 0) + 1
    )
  ), ""
)</f>
        <v/>
      </c>
      <c r="E159" t="str" cm="1">
        <f t="array" ref="E159">IFERROR(
  _xlfn.LET(
    _xlpm.ligpartie, MATCH($B158, Donnees!$F:$F, 0),
    _xlpm.joueurs, INDEX(Donnees!$A:$Z, _xlpm.ligpartie+1, _xlfn.SEQUENCE(1, 4, 2)),
    INDEX(
      Donnees!$A:$Z,
      _xlpm.ligpartie + 3,
      MATCH(E$1, _xlpm.joueurs, 0) + 1
    )
  ), ""
)</f>
        <v/>
      </c>
      <c r="F159" cm="1">
        <f t="array" ref="F159">IFERROR(
  _xlfn.LET(
    _xlpm.ligpartie, MATCH($B158, Donnees!$F:$F, 0),
    _xlpm.joueurs, INDEX(Donnees!$A:$Z, _xlpm.ligpartie+1, _xlfn.SEQUENCE(1, 4, 2)),
    INDEX(
      Donnees!$A:$Z,
      _xlpm.ligpartie + 3,
      MATCH(F$1, _xlpm.joueurs, 0) + 1
    )
  ), ""
)</f>
        <v>1</v>
      </c>
      <c r="G159" t="str" cm="1">
        <f t="array" ref="G159">IFERROR(
  _xlfn.LET(
    _xlpm.ligpartie, MATCH($B158, Donnees!$F:$F, 0),
    _xlpm.joueurs, INDEX(Donnees!$A:$Z, _xlpm.ligpartie+1, _xlfn.SEQUENCE(1, 4, 2)),
    INDEX(
      Donnees!$A:$Z,
      _xlpm.ligpartie + 3,
      MATCH(G$1, _xlpm.joueurs, 0) + 1
    )
  ), ""
)</f>
        <v/>
      </c>
      <c r="H159" t="str" cm="1">
        <f t="array" ref="H159">IFERROR(
  _xlfn.LET(
    _xlpm.ligpartie, MATCH($B158, Donnees!$F:$F, 0),
    _xlpm.joueurs, INDEX(Donnees!$A:$Z, _xlpm.ligpartie+1, _xlfn.SEQUENCE(1, 4, 2)),
    INDEX(
      Donnees!$A:$Z,
      _xlpm.ligpartie + 3,
      MATCH(H$1, _xlpm.joueurs, 0) + 1
    )
  ), ""
)</f>
        <v/>
      </c>
      <c r="I159" cm="1">
        <f t="array" ref="I159">IFERROR(
  _xlfn.LET(
    _xlpm.ligpartie, MATCH($B158, Donnees!$F:$F, 0),
    _xlpm.joueurs, INDEX(Donnees!$A:$Z, _xlpm.ligpartie+1, _xlfn.SEQUENCE(1, 4, 2)),
    INDEX(
      Donnees!$A:$Z,
      _xlpm.ligpartie + 3,
      MATCH(I$1, _xlpm.joueurs, 0) + 1
    )
  ), ""
)</f>
        <v>2</v>
      </c>
      <c r="J159" t="str" cm="1">
        <f t="array" ref="J159">IFERROR(
  _xlfn.LET(
    _xlpm.ligpartie, MATCH($B158, Donnees!$F:$F, 0),
    _xlpm.joueurs, INDEX(Donnees!$A:$Z, _xlpm.ligpartie+1, _xlfn.SEQUENCE(1, 4, 2)),
    INDEX(
      Donnees!$A:$Z,
      _xlpm.ligpartie + 3,
      MATCH(J$1, _xlpm.joueurs, 0) + 1
    )
  ), ""
)</f>
        <v/>
      </c>
      <c r="K159" t="str" cm="1">
        <f t="array" ref="K159">IFERROR(
  _xlfn.LET(
    _xlpm.ligpartie, MATCH($B158, Donnees!$F:$F, 0),
    _xlpm.joueurs, INDEX(Donnees!$A:$Z, _xlpm.ligpartie+1, _xlfn.SEQUENCE(1, 4, 2)),
    INDEX(
      Donnees!$A:$Z,
      _xlpm.ligpartie + 3,
      MATCH(K$1, _xlpm.joueurs, 0) + 1
    )
  ), ""
)</f>
        <v/>
      </c>
      <c r="L159" t="str" cm="1">
        <f t="array" ref="L159">IFERROR(
  _xlfn.LET(
    _xlpm.ligpartie, MATCH($B158, Donnees!$F:$F, 0),
    _xlpm.joueurs, INDEX(Donnees!$A:$Z, _xlpm.ligpartie+1, _xlfn.SEQUENCE(1, 4, 2)),
    INDEX(
      Donnees!$A:$Z,
      _xlpm.ligpartie + 3,
      MATCH(L$1, _xlpm.joueurs, 0) + 1
    )
  ), ""
)</f>
        <v/>
      </c>
      <c r="M159" t="str" cm="1">
        <f t="array" ref="M159">IFERROR(
  _xlfn.LET(
    _xlpm.ligpartie, MATCH($B158, Donnees!$F:$F, 0),
    _xlpm.joueurs, INDEX(Donnees!$A:$Z, _xlpm.ligpartie+1, _xlfn.SEQUENCE(1, 4, 2)),
    INDEX(
      Donnees!$A:$Z,
      _xlpm.ligpartie + 3,
      MATCH(M$1, _xlpm.joueurs, 0) + 1
    )
  ), ""
)</f>
        <v/>
      </c>
      <c r="N159" t="str" cm="1">
        <f t="array" ref="N159">IFERROR(
  _xlfn.LET(
    _xlpm.ligpartie, MATCH($B158, Donnees!$F:$F, 0),
    _xlpm.joueurs, INDEX(Donnees!$A:$Z, _xlpm.ligpartie+1, _xlfn.SEQUENCE(1, 4, 2)),
    INDEX(
      Donnees!$A:$Z,
      _xlpm.ligpartie + 3,
      MATCH(N$1, _xlpm.joueurs, 0) + 1
    )
  ), ""
)</f>
        <v/>
      </c>
      <c r="O159" t="str" cm="1">
        <f t="array" ref="O159">IFERROR(
  _xlfn.LET(
    _xlpm.ligpartie, MATCH($B158, Donnees!$F:$F, 0),
    _xlpm.joueurs, INDEX(Donnees!$A:$Z, _xlpm.ligpartie+1, _xlfn.SEQUENCE(1, 4, 2)),
    INDEX(
      Donnees!$A:$Z,
      _xlpm.ligpartie + 3,
      MATCH(O$1, _xlpm.joueurs, 0) + 1
    )
  ), ""
)</f>
        <v/>
      </c>
      <c r="P159" t="str" cm="1">
        <f t="array" ref="P159">IFERROR(
  _xlfn.LET(
    _xlpm.ligpartie, MATCH($B158, Donnees!$F:$F, 0),
    _xlpm.joueurs, INDEX(Donnees!$A:$Z, _xlpm.ligpartie+1, _xlfn.SEQUENCE(1, 4, 2)),
    INDEX(
      Donnees!$A:$Z,
      _xlpm.ligpartie + 3,
      MATCH(P$1, _xlpm.joueurs, 0) + 1
    )
  ), ""
)</f>
        <v/>
      </c>
      <c r="Q159" t="str" cm="1">
        <f t="array" ref="Q159">IFERROR(
  _xlfn.LET(
    _xlpm.ligpartie, MATCH($B158, Donnees!$F:$F, 0),
    _xlpm.joueurs, INDEX(Donnees!$A:$Z, _xlpm.ligpartie+1, _xlfn.SEQUENCE(1, 4, 2)),
    INDEX(
      Donnees!$A:$Z,
      _xlpm.ligpartie + 3,
      MATCH(Q$1, _xlpm.joueurs, 0) + 1
    )
  ), ""
)</f>
        <v/>
      </c>
      <c r="R159" cm="1">
        <f t="array" ref="R159">IFERROR(
  _xlfn.LET(
    _xlpm.ligpartie, MATCH($B158, Donnees!$F:$F, 0),
    _xlpm.joueurs, INDEX(Donnees!$A:$Z, _xlpm.ligpartie+1, _xlfn.SEQUENCE(1, 4, 2)),
    INDEX(
      Donnees!$A:$Z,
      _xlpm.ligpartie + 3,
      MATCH(R$1, _xlpm.joueurs, 0) + 1
    )
  ), ""
)</f>
        <v>3</v>
      </c>
      <c r="S159" t="str" cm="1">
        <f t="array" ref="S159">IFERROR(
  _xlfn.LET(
    _xlpm.ligpartie, MATCH($B158, Donnees!$F:$F, 0),
    _xlpm.joueurs, INDEX(Donnees!$A:$Z, _xlpm.ligpartie+1, _xlfn.SEQUENCE(1, 4, 2)),
    INDEX(
      Donnees!$A:$Z,
      _xlpm.ligpartie + 3,
      MATCH(S$1, _xlpm.joueurs, 0) + 1
    )
  ), ""
)</f>
        <v/>
      </c>
      <c r="T159" t="str" cm="1">
        <f t="array" ref="T159">IFERROR(
  _xlfn.LET(
    _xlpm.ligpartie, MATCH($B158, Donnees!$F:$F, 0),
    _xlpm.joueurs, INDEX(Donnees!$A:$Z, _xlpm.ligpartie+1, _xlfn.SEQUENCE(1, 4, 2)),
    INDEX(
      Donnees!$A:$Z,
      _xlpm.ligpartie + 3,
      MATCH(T$1, _xlpm.joueurs, 0) + 1
    )
  ), ""
)</f>
        <v/>
      </c>
      <c r="U159" t="str" cm="1">
        <f t="array" ref="U159">IFERROR(
  _xlfn.LET(
    _xlpm.ligpartie, MATCH($B158, Donnees!$F:$F, 0),
    _xlpm.joueurs, INDEX(Donnees!$A:$Z, _xlpm.ligpartie+1, _xlfn.SEQUENCE(1, 4, 2)),
    INDEX(
      Donnees!$A:$Z,
      _xlpm.ligpartie + 3,
      MATCH(U$1, _xlpm.joueurs, 0) + 1
    )
  ), ""
)</f>
        <v/>
      </c>
      <c r="V159" t="str" cm="1">
        <f t="array" ref="V159">IFERROR(
  _xlfn.LET(
    _xlpm.ligpartie, MATCH($B158, Donnees!$F:$F, 0),
    _xlpm.joueurs, INDEX(Donnees!$A:$Z, _xlpm.ligpartie+1, _xlfn.SEQUENCE(1, 4, 2)),
    INDEX(
      Donnees!$A:$Z,
      _xlpm.ligpartie + 3,
      MATCH(V$1, _xlpm.joueurs, 0) + 1
    )
  ), ""
)</f>
        <v/>
      </c>
      <c r="W159" t="str" cm="1">
        <f t="array" ref="W159">IFERROR(
  _xlfn.LET(
    _xlpm.ligpartie, MATCH($B158, Donnees!$F:$F, 0),
    _xlpm.joueurs, INDEX(Donnees!$A:$Z, _xlpm.ligpartie+1, _xlfn.SEQUENCE(1, 4, 2)),
    INDEX(
      Donnees!$A:$Z,
      _xlpm.ligpartie + 3,
      MATCH(W$1, _xlpm.joueurs, 0) + 1
    )
  ), ""
)</f>
        <v/>
      </c>
      <c r="X159" t="str" cm="1">
        <f t="array" ref="X159">IFERROR(
  _xlfn.LET(
    _xlpm.ligpartie, MATCH($B158, Donnees!$F:$F, 0),
    _xlpm.joueurs, INDEX(Donnees!$A:$Z, _xlpm.ligpartie+1, _xlfn.SEQUENCE(1, 4, 2)),
    INDEX(
      Donnees!$A:$Z,
      _xlpm.ligpartie + 3,
      MATCH(X$1, _xlpm.joueurs, 0) + 1
    )
  ), ""
)</f>
        <v/>
      </c>
      <c r="Y159" cm="1">
        <f t="array" ref="Y159">IFERROR(
  _xlfn.LET(
    _xlpm.ligpartie, MATCH($B158, Donnees!$F:$F, 0),
    _xlpm.joueurs, INDEX(Donnees!$A:$Z, _xlpm.ligpartie+1, _xlfn.SEQUENCE(1, 4, 2)),
    INDEX(
      Donnees!$A:$Z,
      _xlpm.ligpartie + 3,
      MATCH(Y$1, _xlpm.joueurs, 0) + 1
    )
  ), ""
)</f>
        <v>0</v>
      </c>
      <c r="Z159" t="str" cm="1">
        <f t="array" ref="Z159">IFERROR(
  _xlfn.LET(
    _xlpm.ligpartie, MATCH($B158, Donnees!$F:$F, 0),
    _xlpm.joueurs, INDEX(Donnees!$A:$Z, _xlpm.ligpartie+1, _xlfn.SEQUENCE(1, 4, 2)),
    INDEX(
      Donnees!$A:$Z,
      _xlpm.ligpartie + 3,
      MATCH(Z$1, _xlpm.joueurs, 0) + 1
    )
  ), ""
)</f>
        <v/>
      </c>
      <c r="AA159" t="str" cm="1">
        <f t="array" ref="AA159">IFERROR(
  _xlfn.LET(
    _xlpm.ligpartie, MATCH($B158, Donnees!$F:$F, 0),
    _xlpm.joueurs, INDEX(Donnees!$A:$Z, _xlpm.ligpartie+1, _xlfn.SEQUENCE(1, 4, 2)),
    INDEX(
      Donnees!$A:$Z,
      _xlpm.ligpartie + 3,
      MATCH(AA$1, _xlpm.joueurs, 0) + 1
    )
  ), ""
)</f>
        <v/>
      </c>
      <c r="AB159" t="str" cm="1">
        <f t="array" ref="AB159">IFERROR(
  _xlfn.LET(
    _xlpm.ligpartie, MATCH($B158, Donnees!$F:$F, 0),
    _xlpm.joueurs, INDEX(Donnees!$A:$Z, _xlpm.ligpartie+1, _xlfn.SEQUENCE(1, 4, 2)),
    INDEX(
      Donnees!$A:$Z,
      _xlpm.ligpartie + 3,
      MATCH(AB$1, _xlpm.joueurs, 0) + 1
    )
  ), ""
)</f>
        <v/>
      </c>
      <c r="AC159" t="str" cm="1">
        <f t="array" ref="AC159">IFERROR(
  _xlfn.LET(
    _xlpm.ligpartie, MATCH($B158, Donnees!$F:$F, 0),
    _xlpm.joueurs, INDEX(Donnees!$A:$Z, _xlpm.ligpartie+1, _xlfn.SEQUENCE(1, 4, 2)),
    INDEX(
      Donnees!$A:$Z,
      _xlpm.ligpartie + 3,
      MATCH(AC$1, _xlpm.joueurs, 0) + 1
    )
  ), ""
)</f>
        <v/>
      </c>
      <c r="AD159" t="str" cm="1">
        <f t="array" ref="AD159">IFERROR(
  _xlfn.LET(
    _xlpm.ligpartie, MATCH($B158, Donnees!$F:$F, 0),
    _xlpm.joueurs, INDEX(Donnees!$A:$Z, _xlpm.ligpartie+1, _xlfn.SEQUENCE(1, 4, 2)),
    INDEX(
      Donnees!$A:$Z,
      _xlpm.ligpartie + 3,
      MATCH(AD$1, _xlpm.joueurs, 0) + 1
    )
  ), ""
)</f>
        <v/>
      </c>
      <c r="AE159" t="str" cm="1">
        <f t="array" ref="AE159">IFERROR(
  _xlfn.LET(
    _xlpm.ligpartie, MATCH($B158, Donnees!$F:$F, 0),
    _xlpm.joueurs, INDEX(Donnees!$A:$Z, _xlpm.ligpartie+1, _xlfn.SEQUENCE(1, 4, 2)),
    INDEX(
      Donnees!$A:$Z,
      _xlpm.ligpartie + 3,
      MATCH(AE$1, _xlpm.joueurs, 0) + 1
    )
  ), ""
)</f>
        <v/>
      </c>
      <c r="AF159" t="str" cm="1">
        <f t="array" ref="AF159">IFERROR(
  _xlfn.LET(
    _xlpm.ligpartie, MATCH($B158, Donnees!$F:$F, 0),
    _xlpm.joueurs, INDEX(Donnees!$A:$Z, _xlpm.ligpartie+1, _xlfn.SEQUENCE(1, 4, 2)),
    INDEX(
      Donnees!$A:$Z,
      _xlpm.ligpartie + 3,
      MATCH(AF$1, _xlpm.joueurs, 0) + 1
    )
  ), ""
)</f>
        <v/>
      </c>
      <c r="AG159" t="str" cm="1">
        <f t="array" ref="AG159">IFERROR(
  _xlfn.LET(
    _xlpm.ligpartie, MATCH($B158, Donnees!$F:$F, 0),
    _xlpm.joueurs, INDEX(Donnees!$A:$Z, _xlpm.ligpartie+1, _xlfn.SEQUENCE(1, 4, 2)),
    INDEX(
      Donnees!$A:$Z,
      _xlpm.ligpartie + 3,
      MATCH(AG$1, _xlpm.joueurs, 0) + 1
    )
  ), ""
)</f>
        <v/>
      </c>
      <c r="AH159" t="str" cm="1">
        <f t="array" ref="AH159">IFERROR(
  _xlfn.LET(
    _xlpm.ligpartie, MATCH($B158, Donnees!$F:$F, 0),
    _xlpm.joueurs, INDEX(Donnees!$A:$Z, _xlpm.ligpartie+1, _xlfn.SEQUENCE(1, 4, 2)),
    INDEX(
      Donnees!$A:$Z,
      _xlpm.ligpartie + 3,
      MATCH(AH$1, _xlpm.joueurs, 0) + 1
    )
  ), ""
)</f>
        <v/>
      </c>
      <c r="AI159" t="str" cm="1">
        <f t="array" ref="AI159">IFERROR(
  _xlfn.LET(
    _xlpm.ligpartie, MATCH($B158, Donnees!$F:$F, 0),
    _xlpm.joueurs, INDEX(Donnees!$A:$Z, _xlpm.ligpartie+1, _xlfn.SEQUENCE(1, 4, 2)),
    INDEX(
      Donnees!$A:$Z,
      _xlpm.ligpartie + 3,
      MATCH(AI$1, _xlpm.joueurs, 0) + 1
    )
  ), ""
)</f>
        <v/>
      </c>
      <c r="AJ159" t="str" cm="1">
        <f t="array" ref="AJ159">IFERROR(
  _xlfn.LET(
    _xlpm.ligpartie, MATCH($B158, Donnees!$F:$F, 0),
    _xlpm.joueurs, INDEX(Donnees!$A:$Z, _xlpm.ligpartie+1, _xlfn.SEQUENCE(1, 4, 2)),
    INDEX(
      Donnees!$A:$Z,
      _xlpm.ligpartie + 3,
      MATCH(AJ$1, _xlpm.joueurs, 0) + 1
    )
  ), ""
)</f>
        <v/>
      </c>
      <c r="AK159" t="str" cm="1">
        <f t="array" ref="AK159">IFERROR(
  _xlfn.LET(
    _xlpm.ligpartie, MATCH($B158, Donnees!$F:$F, 0),
    _xlpm.joueurs, INDEX(Donnees!$A:$Z, _xlpm.ligpartie+1, _xlfn.SEQUENCE(1, 4, 2)),
    INDEX(
      Donnees!$A:$Z,
      _xlpm.ligpartie + 3,
      MATCH(AK$1, _xlpm.joueurs, 0) + 1
    )
  ), ""
)</f>
        <v/>
      </c>
      <c r="AL159" t="str" cm="1">
        <f t="array" ref="AL159">IFERROR(
  _xlfn.LET(
    _xlpm.ligpartie, MATCH($B158, Donnees!$F:$F, 0),
    _xlpm.joueurs, INDEX(Donnees!$A:$Z, _xlpm.ligpartie+1, _xlfn.SEQUENCE(1, 4, 2)),
    INDEX(
      Donnees!$A:$Z,
      _xlpm.ligpartie + 3,
      MATCH(AL$1, _xlpm.joueurs, 0) + 1
    )
  ), ""
)</f>
        <v/>
      </c>
      <c r="AM159" t="str" cm="1">
        <f t="array" ref="AM159">IFERROR(
  _xlfn.LET(
    _xlpm.ligpartie, MATCH($B158, Donnees!$F:$F, 0),
    _xlpm.joueurs, INDEX(Donnees!$A:$Z, _xlpm.ligpartie+1, _xlfn.SEQUENCE(1, 4, 2)),
    INDEX(
      Donnees!$A:$Z,
      _xlpm.ligpartie + 3,
      MATCH(AM$1, _xlpm.joueurs, 0) + 1
    )
  ), ""
)</f>
        <v/>
      </c>
    </row>
    <row r="160" spans="1:39" x14ac:dyDescent="0.25">
      <c r="A160" t="s">
        <v>20</v>
      </c>
      <c r="D160" t="str" cm="1">
        <f t="array" ref="D160">_xlfn.LET(
  _xlpm.colj, _xlfn._xlws.FILTER(IF(ISNUMBER(159:159), COLUMN(159:159)), ISNUMBER(159:159)),
  _xlpm.elos, INDEX(158:158,1,_xlpm.colj),
  _xlpm.diffscale, Constantes!$B$2,
  IF(D159="",
    "",
    SUM(1/(1+POWER(10,-(D158-_xlpm.elos)/_xlpm.diffscale)))-0.5)
)</f>
        <v/>
      </c>
      <c r="E160" t="str" cm="1">
        <f t="array" ref="E160">_xlfn.LET(
  _xlpm.colj, _xlfn._xlws.FILTER(IF(ISNUMBER(159:159), COLUMN(159:159)), ISNUMBER(159:159)),
  _xlpm.elos, INDEX(158:158,1,_xlpm.colj),
  _xlpm.diffscale, Constantes!$B$2,
  IF(E159="",
    "",
    SUM(1/(1+POWER(10,-(E158-_xlpm.elos)/_xlpm.diffscale)))-0.5)
)</f>
        <v/>
      </c>
      <c r="F160" cm="1">
        <f t="array" ref="F160">_xlfn.LET(
  _xlpm.colj, _xlfn._xlws.FILTER(IF(ISNUMBER(159:159), COLUMN(159:159)), ISNUMBER(159:159)),
  _xlpm.elos, INDEX(158:158,1,_xlpm.colj),
  _xlpm.diffscale, Constantes!$B$2,
  IF(F159="",
    "",
    SUM(1/(1+POWER(10,-(F158-_xlpm.elos)/_xlpm.diffscale)))-0.5)
)</f>
        <v>0.59392619775736355</v>
      </c>
      <c r="G160" t="str" cm="1">
        <f t="array" ref="G160">_xlfn.LET(
  _xlpm.colj, _xlfn._xlws.FILTER(IF(ISNUMBER(159:159), COLUMN(159:159)), ISNUMBER(159:159)),
  _xlpm.elos, INDEX(158:158,1,_xlpm.colj),
  _xlpm.diffscale, Constantes!$B$2,
  IF(G159="",
    "",
    SUM(1/(1+POWER(10,-(G158-_xlpm.elos)/_xlpm.diffscale)))-0.5)
)</f>
        <v/>
      </c>
      <c r="H160" t="str" cm="1">
        <f t="array" ref="H160">_xlfn.LET(
  _xlpm.colj, _xlfn._xlws.FILTER(IF(ISNUMBER(159:159), COLUMN(159:159)), ISNUMBER(159:159)),
  _xlpm.elos, INDEX(158:158,1,_xlpm.colj),
  _xlpm.diffscale, Constantes!$B$2,
  IF(H159="",
    "",
    SUM(1/(1+POWER(10,-(H158-_xlpm.elos)/_xlpm.diffscale)))-0.5)
)</f>
        <v/>
      </c>
      <c r="I160" cm="1">
        <f t="array" ref="I160">_xlfn.LET(
  _xlpm.colj, _xlfn._xlws.FILTER(IF(ISNUMBER(159:159), COLUMN(159:159)), ISNUMBER(159:159)),
  _xlpm.elos, INDEX(158:158,1,_xlpm.colj),
  _xlpm.diffscale, Constantes!$B$2,
  IF(I159="",
    "",
    SUM(1/(1+POWER(10,-(I158-_xlpm.elos)/_xlpm.diffscale)))-0.5)
)</f>
        <v>1.8232882274521995</v>
      </c>
      <c r="J160" t="str" cm="1">
        <f t="array" ref="J160">_xlfn.LET(
  _xlpm.colj, _xlfn._xlws.FILTER(IF(ISNUMBER(159:159), COLUMN(159:159)), ISNUMBER(159:159)),
  _xlpm.elos, INDEX(158:158,1,_xlpm.colj),
  _xlpm.diffscale, Constantes!$B$2,
  IF(J159="",
    "",
    SUM(1/(1+POWER(10,-(J158-_xlpm.elos)/_xlpm.diffscale)))-0.5)
)</f>
        <v/>
      </c>
      <c r="K160" t="str" cm="1">
        <f t="array" ref="K160">_xlfn.LET(
  _xlpm.colj, _xlfn._xlws.FILTER(IF(ISNUMBER(159:159), COLUMN(159:159)), ISNUMBER(159:159)),
  _xlpm.elos, INDEX(158:158,1,_xlpm.colj),
  _xlpm.diffscale, Constantes!$B$2,
  IF(K159="",
    "",
    SUM(1/(1+POWER(10,-(K158-_xlpm.elos)/_xlpm.diffscale)))-0.5)
)</f>
        <v/>
      </c>
      <c r="L160" t="str" cm="1">
        <f t="array" ref="L160">_xlfn.LET(
  _xlpm.colj, _xlfn._xlws.FILTER(IF(ISNUMBER(159:159), COLUMN(159:159)), ISNUMBER(159:159)),
  _xlpm.elos, INDEX(158:158,1,_xlpm.colj),
  _xlpm.diffscale, Constantes!$B$2,
  IF(L159="",
    "",
    SUM(1/(1+POWER(10,-(L158-_xlpm.elos)/_xlpm.diffscale)))-0.5)
)</f>
        <v/>
      </c>
      <c r="M160" t="str" cm="1">
        <f t="array" ref="M160">_xlfn.LET(
  _xlpm.colj, _xlfn._xlws.FILTER(IF(ISNUMBER(159:159), COLUMN(159:159)), ISNUMBER(159:159)),
  _xlpm.elos, INDEX(158:158,1,_xlpm.colj),
  _xlpm.diffscale, Constantes!$B$2,
  IF(M159="",
    "",
    SUM(1/(1+POWER(10,-(M158-_xlpm.elos)/_xlpm.diffscale)))-0.5)
)</f>
        <v/>
      </c>
      <c r="N160" t="str" cm="1">
        <f t="array" ref="N160">_xlfn.LET(
  _xlpm.colj, _xlfn._xlws.FILTER(IF(ISNUMBER(159:159), COLUMN(159:159)), ISNUMBER(159:159)),
  _xlpm.elos, INDEX(158:158,1,_xlpm.colj),
  _xlpm.diffscale, Constantes!$B$2,
  IF(N159="",
    "",
    SUM(1/(1+POWER(10,-(N158-_xlpm.elos)/_xlpm.diffscale)))-0.5)
)</f>
        <v/>
      </c>
      <c r="O160" t="str" cm="1">
        <f t="array" ref="O160">_xlfn.LET(
  _xlpm.colj, _xlfn._xlws.FILTER(IF(ISNUMBER(159:159), COLUMN(159:159)), ISNUMBER(159:159)),
  _xlpm.elos, INDEX(158:158,1,_xlpm.colj),
  _xlpm.diffscale, Constantes!$B$2,
  IF(O159="",
    "",
    SUM(1/(1+POWER(10,-(O158-_xlpm.elos)/_xlpm.diffscale)))-0.5)
)</f>
        <v/>
      </c>
      <c r="P160" t="str" cm="1">
        <f t="array" ref="P160">_xlfn.LET(
  _xlpm.colj, _xlfn._xlws.FILTER(IF(ISNUMBER(159:159), COLUMN(159:159)), ISNUMBER(159:159)),
  _xlpm.elos, INDEX(158:158,1,_xlpm.colj),
  _xlpm.diffscale, Constantes!$B$2,
  IF(P159="",
    "",
    SUM(1/(1+POWER(10,-(P158-_xlpm.elos)/_xlpm.diffscale)))-0.5)
)</f>
        <v/>
      </c>
      <c r="Q160" t="str" cm="1">
        <f t="array" ref="Q160">_xlfn.LET(
  _xlpm.colj, _xlfn._xlws.FILTER(IF(ISNUMBER(159:159), COLUMN(159:159)), ISNUMBER(159:159)),
  _xlpm.elos, INDEX(158:158,1,_xlpm.colj),
  _xlpm.diffscale, Constantes!$B$2,
  IF(Q159="",
    "",
    SUM(1/(1+POWER(10,-(Q158-_xlpm.elos)/_xlpm.diffscale)))-0.5)
)</f>
        <v/>
      </c>
      <c r="R160" cm="1">
        <f t="array" ref="R160">_xlfn.LET(
  _xlpm.colj, _xlfn._xlws.FILTER(IF(ISNUMBER(159:159), COLUMN(159:159)), ISNUMBER(159:159)),
  _xlpm.elos, INDEX(158:158,1,_xlpm.colj),
  _xlpm.diffscale, Constantes!$B$2,
  IF(R159="",
    "",
    SUM(1/(1+POWER(10,-(R158-_xlpm.elos)/_xlpm.diffscale)))-0.5)
)</f>
        <v>2.051874309496275</v>
      </c>
      <c r="S160" t="str" cm="1">
        <f t="array" ref="S160">_xlfn.LET(
  _xlpm.colj, _xlfn._xlws.FILTER(IF(ISNUMBER(159:159), COLUMN(159:159)), ISNUMBER(159:159)),
  _xlpm.elos, INDEX(158:158,1,_xlpm.colj),
  _xlpm.diffscale, Constantes!$B$2,
  IF(S159="",
    "",
    SUM(1/(1+POWER(10,-(S158-_xlpm.elos)/_xlpm.diffscale)))-0.5)
)</f>
        <v/>
      </c>
      <c r="T160" t="str" cm="1">
        <f t="array" ref="T160">_xlfn.LET(
  _xlpm.colj, _xlfn._xlws.FILTER(IF(ISNUMBER(159:159), COLUMN(159:159)), ISNUMBER(159:159)),
  _xlpm.elos, INDEX(158:158,1,_xlpm.colj),
  _xlpm.diffscale, Constantes!$B$2,
  IF(T159="",
    "",
    SUM(1/(1+POWER(10,-(T158-_xlpm.elos)/_xlpm.diffscale)))-0.5)
)</f>
        <v/>
      </c>
      <c r="U160" t="str" cm="1">
        <f t="array" ref="U160">_xlfn.LET(
  _xlpm.colj, _xlfn._xlws.FILTER(IF(ISNUMBER(159:159), COLUMN(159:159)), ISNUMBER(159:159)),
  _xlpm.elos, INDEX(158:158,1,_xlpm.colj),
  _xlpm.diffscale, Constantes!$B$2,
  IF(U159="",
    "",
    SUM(1/(1+POWER(10,-(U158-_xlpm.elos)/_xlpm.diffscale)))-0.5)
)</f>
        <v/>
      </c>
      <c r="V160" t="str" cm="1">
        <f t="array" ref="V160">_xlfn.LET(
  _xlpm.colj, _xlfn._xlws.FILTER(IF(ISNUMBER(159:159), COLUMN(159:159)), ISNUMBER(159:159)),
  _xlpm.elos, INDEX(158:158,1,_xlpm.colj),
  _xlpm.diffscale, Constantes!$B$2,
  IF(V159="",
    "",
    SUM(1/(1+POWER(10,-(V158-_xlpm.elos)/_xlpm.diffscale)))-0.5)
)</f>
        <v/>
      </c>
      <c r="W160" t="str" cm="1">
        <f t="array" ref="W160">_xlfn.LET(
  _xlpm.colj, _xlfn._xlws.FILTER(IF(ISNUMBER(159:159), COLUMN(159:159)), ISNUMBER(159:159)),
  _xlpm.elos, INDEX(158:158,1,_xlpm.colj),
  _xlpm.diffscale, Constantes!$B$2,
  IF(W159="",
    "",
    SUM(1/(1+POWER(10,-(W158-_xlpm.elos)/_xlpm.diffscale)))-0.5)
)</f>
        <v/>
      </c>
      <c r="X160" t="str" cm="1">
        <f t="array" ref="X160">_xlfn.LET(
  _xlpm.colj, _xlfn._xlws.FILTER(IF(ISNUMBER(159:159), COLUMN(159:159)), ISNUMBER(159:159)),
  _xlpm.elos, INDEX(158:158,1,_xlpm.colj),
  _xlpm.diffscale, Constantes!$B$2,
  IF(X159="",
    "",
    SUM(1/(1+POWER(10,-(X158-_xlpm.elos)/_xlpm.diffscale)))-0.5)
)</f>
        <v/>
      </c>
      <c r="Y160" cm="1">
        <f t="array" ref="Y160">_xlfn.LET(
  _xlpm.colj, _xlfn._xlws.FILTER(IF(ISNUMBER(159:159), COLUMN(159:159)), ISNUMBER(159:159)),
  _xlpm.elos, INDEX(158:158,1,_xlpm.colj),
  _xlpm.diffscale, Constantes!$B$2,
  IF(Y159="",
    "",
    SUM(1/(1+POWER(10,-(Y158-_xlpm.elos)/_xlpm.diffscale)))-0.5)
)</f>
        <v>1.5309112652941619</v>
      </c>
      <c r="Z160" t="str" cm="1">
        <f t="array" ref="Z160">_xlfn.LET(
  _xlpm.colj, _xlfn._xlws.FILTER(IF(ISNUMBER(159:159), COLUMN(159:159)), ISNUMBER(159:159)),
  _xlpm.elos, INDEX(158:158,1,_xlpm.colj),
  _xlpm.diffscale, Constantes!$B$2,
  IF(Z159="",
    "",
    SUM(1/(1+POWER(10,-(Z158-_xlpm.elos)/_xlpm.diffscale)))-0.5)
)</f>
        <v/>
      </c>
      <c r="AA160" t="str" cm="1">
        <f t="array" ref="AA160">_xlfn.LET(
  _xlpm.colj, _xlfn._xlws.FILTER(IF(ISNUMBER(159:159), COLUMN(159:159)), ISNUMBER(159:159)),
  _xlpm.elos, INDEX(158:158,1,_xlpm.colj),
  _xlpm.diffscale, Constantes!$B$2,
  IF(AA159="",
    "",
    SUM(1/(1+POWER(10,-(AA158-_xlpm.elos)/_xlpm.diffscale)))-0.5)
)</f>
        <v/>
      </c>
      <c r="AB160" t="str" cm="1">
        <f t="array" ref="AB160">_xlfn.LET(
  _xlpm.colj, _xlfn._xlws.FILTER(IF(ISNUMBER(159:159), COLUMN(159:159)), ISNUMBER(159:159)),
  _xlpm.elos, INDEX(158:158,1,_xlpm.colj),
  _xlpm.diffscale, Constantes!$B$2,
  IF(AB159="",
    "",
    SUM(1/(1+POWER(10,-(AB158-_xlpm.elos)/_xlpm.diffscale)))-0.5)
)</f>
        <v/>
      </c>
      <c r="AC160" t="str" cm="1">
        <f t="array" ref="AC160">_xlfn.LET(
  _xlpm.colj, _xlfn._xlws.FILTER(IF(ISNUMBER(159:159), COLUMN(159:159)), ISNUMBER(159:159)),
  _xlpm.elos, INDEX(158:158,1,_xlpm.colj),
  _xlpm.diffscale, Constantes!$B$2,
  IF(AC159="",
    "",
    SUM(1/(1+POWER(10,-(AC158-_xlpm.elos)/_xlpm.diffscale)))-0.5)
)</f>
        <v/>
      </c>
      <c r="AD160" t="str" cm="1">
        <f t="array" ref="AD160">_xlfn.LET(
  _xlpm.colj, _xlfn._xlws.FILTER(IF(ISNUMBER(159:159), COLUMN(159:159)), ISNUMBER(159:159)),
  _xlpm.elos, INDEX(158:158,1,_xlpm.colj),
  _xlpm.diffscale, Constantes!$B$2,
  IF(AD159="",
    "",
    SUM(1/(1+POWER(10,-(AD158-_xlpm.elos)/_xlpm.diffscale)))-0.5)
)</f>
        <v/>
      </c>
      <c r="AE160" t="str" cm="1">
        <f t="array" ref="AE160">_xlfn.LET(
  _xlpm.colj, _xlfn._xlws.FILTER(IF(ISNUMBER(159:159), COLUMN(159:159)), ISNUMBER(159:159)),
  _xlpm.elos, INDEX(158:158,1,_xlpm.colj),
  _xlpm.diffscale, Constantes!$B$2,
  IF(AE159="",
    "",
    SUM(1/(1+POWER(10,-(AE158-_xlpm.elos)/_xlpm.diffscale)))-0.5)
)</f>
        <v/>
      </c>
      <c r="AF160" t="str" cm="1">
        <f t="array" ref="AF160">_xlfn.LET(
  _xlpm.colj, _xlfn._xlws.FILTER(IF(ISNUMBER(159:159), COLUMN(159:159)), ISNUMBER(159:159)),
  _xlpm.elos, INDEX(158:158,1,_xlpm.colj),
  _xlpm.diffscale, Constantes!$B$2,
  IF(AF159="",
    "",
    SUM(1/(1+POWER(10,-(AF158-_xlpm.elos)/_xlpm.diffscale)))-0.5)
)</f>
        <v/>
      </c>
      <c r="AG160" t="str" cm="1">
        <f t="array" ref="AG160">_xlfn.LET(
  _xlpm.colj, _xlfn._xlws.FILTER(IF(ISNUMBER(159:159), COLUMN(159:159)), ISNUMBER(159:159)),
  _xlpm.elos, INDEX(158:158,1,_xlpm.colj),
  _xlpm.diffscale, Constantes!$B$2,
  IF(AG159="",
    "",
    SUM(1/(1+POWER(10,-(AG158-_xlpm.elos)/_xlpm.diffscale)))-0.5)
)</f>
        <v/>
      </c>
      <c r="AH160" t="str" cm="1">
        <f t="array" ref="AH160">_xlfn.LET(
  _xlpm.colj, _xlfn._xlws.FILTER(IF(ISNUMBER(159:159), COLUMN(159:159)), ISNUMBER(159:159)),
  _xlpm.elos, INDEX(158:158,1,_xlpm.colj),
  _xlpm.diffscale, Constantes!$B$2,
  IF(AH159="",
    "",
    SUM(1/(1+POWER(10,-(AH158-_xlpm.elos)/_xlpm.diffscale)))-0.5)
)</f>
        <v/>
      </c>
      <c r="AI160" t="str" cm="1">
        <f t="array" ref="AI160">_xlfn.LET(
  _xlpm.colj, _xlfn._xlws.FILTER(IF(ISNUMBER(159:159), COLUMN(159:159)), ISNUMBER(159:159)),
  _xlpm.elos, INDEX(158:158,1,_xlpm.colj),
  _xlpm.diffscale, Constantes!$B$2,
  IF(AI159="",
    "",
    SUM(1/(1+POWER(10,-(AI158-_xlpm.elos)/_xlpm.diffscale)))-0.5)
)</f>
        <v/>
      </c>
      <c r="AJ160" t="str" cm="1">
        <f t="array" ref="AJ160">_xlfn.LET(
  _xlpm.colj, _xlfn._xlws.FILTER(IF(ISNUMBER(159:159), COLUMN(159:159)), ISNUMBER(159:159)),
  _xlpm.elos, INDEX(158:158,1,_xlpm.colj),
  _xlpm.diffscale, Constantes!$B$2,
  IF(AJ159="",
    "",
    SUM(1/(1+POWER(10,-(AJ158-_xlpm.elos)/_xlpm.diffscale)))-0.5)
)</f>
        <v/>
      </c>
      <c r="AK160" t="str" cm="1">
        <f t="array" ref="AK160">_xlfn.LET(
  _xlpm.colj, _xlfn._xlws.FILTER(IF(ISNUMBER(159:159), COLUMN(159:159)), ISNUMBER(159:159)),
  _xlpm.elos, INDEX(158:158,1,_xlpm.colj),
  _xlpm.diffscale, Constantes!$B$2,
  IF(AK159="",
    "",
    SUM(1/(1+POWER(10,-(AK158-_xlpm.elos)/_xlpm.diffscale)))-0.5)
)</f>
        <v/>
      </c>
      <c r="AL160" t="str" cm="1">
        <f t="array" ref="AL160">_xlfn.LET(
  _xlpm.colj, _xlfn._xlws.FILTER(IF(ISNUMBER(159:159), COLUMN(159:159)), ISNUMBER(159:159)),
  _xlpm.elos, INDEX(158:158,1,_xlpm.colj),
  _xlpm.diffscale, Constantes!$B$2,
  IF(AL159="",
    "",
    SUM(1/(1+POWER(10,-(AL158-_xlpm.elos)/_xlpm.diffscale)))-0.5)
)</f>
        <v/>
      </c>
      <c r="AM160" t="str" cm="1">
        <f t="array" ref="AM160">_xlfn.LET(
  _xlpm.colj, _xlfn._xlws.FILTER(IF(ISNUMBER(159:159), COLUMN(159:159)), ISNUMBER(159:159)),
  _xlpm.elos, INDEX(158:158,1,_xlpm.colj),
  _xlpm.diffscale, Constantes!$B$2,
  IF(AM159="",
    "",
    SUM(1/(1+POWER(10,-(AM158-_xlpm.elos)/_xlpm.diffscale)))-0.5)
)</f>
        <v/>
      </c>
    </row>
    <row r="161" spans="1:39" x14ac:dyDescent="0.25">
      <c r="A161" t="s">
        <v>22</v>
      </c>
      <c r="D161" t="str" cm="1">
        <f t="array" ref="D161">_xlfn.LET(
  _xlpm.K, Constantes!$B$3,
  _xlpm.Knewgain, Constantes!$B$4,
  _xlpm.Knewscale, Constantes!$B$5,
  _xlpm.ptstables, INDEX(D:D, _xlfn.SEQUENCE(COUNTA($C$2:$C161), 1, 3, 4)),
  _xlpm.nbparties, COUNTA(_xlfn._xlws.FILTER(_xlpm.ptstables, _xlpm.ptstables &lt;&gt; "")),
  _xlpm.coef, _xlpm.K + _xlpm.Knewgain / (_xlpm.Knewscale + _xlpm.nbparties),
  IF(D159="",
    "",
    _xlpm.coef * (D159-D160))
)</f>
        <v/>
      </c>
      <c r="E161" t="str" cm="1">
        <f t="array" ref="E161">_xlfn.LET(
  _xlpm.K, Constantes!$B$3,
  _xlpm.Knewgain, Constantes!$B$4,
  _xlpm.Knewscale, Constantes!$B$5,
  _xlpm.ptstables, INDEX(E:E, _xlfn.SEQUENCE(COUNTA($C$2:$C161), 1, 3, 4)),
  _xlpm.nbparties, COUNTA(_xlfn._xlws.FILTER(_xlpm.ptstables, _xlpm.ptstables &lt;&gt; "")),
  _xlpm.coef, _xlpm.K + _xlpm.Knewgain / (_xlpm.Knewscale + _xlpm.nbparties),
  IF(E159="",
    "",
    _xlpm.coef * (E159-E160))
)</f>
        <v/>
      </c>
      <c r="F161" cm="1">
        <f t="array" ref="F161">_xlfn.LET(
  _xlpm.K, Constantes!$B$3,
  _xlpm.Knewgain, Constantes!$B$4,
  _xlpm.Knewscale, Constantes!$B$5,
  _xlpm.ptstables, INDEX(F:F, _xlfn.SEQUENCE(COUNTA($C$2:$C161), 1, 3, 4)),
  _xlpm.nbparties, COUNTA(_xlfn._xlws.FILTER(_xlpm.ptstables, _xlpm.ptstables &lt;&gt; "")),
  _xlpm.coef, _xlpm.K + _xlpm.Knewgain / (_xlpm.Knewscale + _xlpm.nbparties),
  IF(F159="",
    "",
    _xlpm.coef * (F159-F160))
)</f>
        <v>9.4750553856615163</v>
      </c>
      <c r="G161" t="str" cm="1">
        <f t="array" ref="G161">_xlfn.LET(
  _xlpm.K, Constantes!$B$3,
  _xlpm.Knewgain, Constantes!$B$4,
  _xlpm.Knewscale, Constantes!$B$5,
  _xlpm.ptstables, INDEX(G:G, _xlfn.SEQUENCE(COUNTA($C$2:$C161), 1, 3, 4)),
  _xlpm.nbparties, COUNTA(_xlfn._xlws.FILTER(_xlpm.ptstables, _xlpm.ptstables &lt;&gt; "")),
  _xlpm.coef, _xlpm.K + _xlpm.Knewgain / (_xlpm.Knewscale + _xlpm.nbparties),
  IF(G159="",
    "",
    _xlpm.coef * (G159-G160))
)</f>
        <v/>
      </c>
      <c r="H161" t="str" cm="1">
        <f t="array" ref="H161">_xlfn.LET(
  _xlpm.K, Constantes!$B$3,
  _xlpm.Knewgain, Constantes!$B$4,
  _xlpm.Knewscale, Constantes!$B$5,
  _xlpm.ptstables, INDEX(H:H, _xlfn.SEQUENCE(COUNTA($C$2:$C161), 1, 3, 4)),
  _xlpm.nbparties, COUNTA(_xlfn._xlws.FILTER(_xlpm.ptstables, _xlpm.ptstables &lt;&gt; "")),
  _xlpm.coef, _xlpm.K + _xlpm.Knewgain / (_xlpm.Knewscale + _xlpm.nbparties),
  IF(H159="",
    "",
    _xlpm.coef * (H159-H160))
)</f>
        <v/>
      </c>
      <c r="I161" cm="1">
        <f t="array" ref="I161">_xlfn.LET(
  _xlpm.K, Constantes!$B$3,
  _xlpm.Knewgain, Constantes!$B$4,
  _xlpm.Knewscale, Constantes!$B$5,
  _xlpm.ptstables, INDEX(I:I, _xlfn.SEQUENCE(COUNTA($C$2:$C161), 1, 3, 4)),
  _xlpm.nbparties, COUNTA(_xlfn._xlws.FILTER(_xlpm.ptstables, _xlpm.ptstables &lt;&gt; "")),
  _xlpm.coef, _xlpm.K + _xlpm.Knewgain / (_xlpm.Knewscale + _xlpm.nbparties),
  IF(I159="",
    "",
    _xlpm.coef * (I159-I160))
)</f>
        <v>5.0068335555210135</v>
      </c>
      <c r="J161" t="str" cm="1">
        <f t="array" ref="J161">_xlfn.LET(
  _xlpm.K, Constantes!$B$3,
  _xlpm.Knewgain, Constantes!$B$4,
  _xlpm.Knewscale, Constantes!$B$5,
  _xlpm.ptstables, INDEX(J:J, _xlfn.SEQUENCE(COUNTA($C$2:$C161), 1, 3, 4)),
  _xlpm.nbparties, COUNTA(_xlfn._xlws.FILTER(_xlpm.ptstables, _xlpm.ptstables &lt;&gt; "")),
  _xlpm.coef, _xlpm.K + _xlpm.Knewgain / (_xlpm.Knewscale + _xlpm.nbparties),
  IF(J159="",
    "",
    _xlpm.coef * (J159-J160))
)</f>
        <v/>
      </c>
      <c r="K161" t="str" cm="1">
        <f t="array" ref="K161">_xlfn.LET(
  _xlpm.K, Constantes!$B$3,
  _xlpm.Knewgain, Constantes!$B$4,
  _xlpm.Knewscale, Constantes!$B$5,
  _xlpm.ptstables, INDEX(K:K, _xlfn.SEQUENCE(COUNTA($C$2:$C161), 1, 3, 4)),
  _xlpm.nbparties, COUNTA(_xlfn._xlws.FILTER(_xlpm.ptstables, _xlpm.ptstables &lt;&gt; "")),
  _xlpm.coef, _xlpm.K + _xlpm.Knewgain / (_xlpm.Knewscale + _xlpm.nbparties),
  IF(K159="",
    "",
    _xlpm.coef * (K159-K160))
)</f>
        <v/>
      </c>
      <c r="L161" t="str" cm="1">
        <f t="array" ref="L161">_xlfn.LET(
  _xlpm.K, Constantes!$B$3,
  _xlpm.Knewgain, Constantes!$B$4,
  _xlpm.Knewscale, Constantes!$B$5,
  _xlpm.ptstables, INDEX(L:L, _xlfn.SEQUENCE(COUNTA($C$2:$C161), 1, 3, 4)),
  _xlpm.nbparties, COUNTA(_xlfn._xlws.FILTER(_xlpm.ptstables, _xlpm.ptstables &lt;&gt; "")),
  _xlpm.coef, _xlpm.K + _xlpm.Knewgain / (_xlpm.Knewscale + _xlpm.nbparties),
  IF(L159="",
    "",
    _xlpm.coef * (L159-L160))
)</f>
        <v/>
      </c>
      <c r="M161" t="str" cm="1">
        <f t="array" ref="M161">_xlfn.LET(
  _xlpm.K, Constantes!$B$3,
  _xlpm.Knewgain, Constantes!$B$4,
  _xlpm.Knewscale, Constantes!$B$5,
  _xlpm.ptstables, INDEX(M:M, _xlfn.SEQUENCE(COUNTA($C$2:$C161), 1, 3, 4)),
  _xlpm.nbparties, COUNTA(_xlfn._xlws.FILTER(_xlpm.ptstables, _xlpm.ptstables &lt;&gt; "")),
  _xlpm.coef, _xlpm.K + _xlpm.Knewgain / (_xlpm.Knewscale + _xlpm.nbparties),
  IF(M159="",
    "",
    _xlpm.coef * (M159-M160))
)</f>
        <v/>
      </c>
      <c r="N161" t="str" cm="1">
        <f t="array" ref="N161">_xlfn.LET(
  _xlpm.K, Constantes!$B$3,
  _xlpm.Knewgain, Constantes!$B$4,
  _xlpm.Knewscale, Constantes!$B$5,
  _xlpm.ptstables, INDEX(N:N, _xlfn.SEQUENCE(COUNTA($C$2:$C161), 1, 3, 4)),
  _xlpm.nbparties, COUNTA(_xlfn._xlws.FILTER(_xlpm.ptstables, _xlpm.ptstables &lt;&gt; "")),
  _xlpm.coef, _xlpm.K + _xlpm.Knewgain / (_xlpm.Knewscale + _xlpm.nbparties),
  IF(N159="",
    "",
    _xlpm.coef * (N159-N160))
)</f>
        <v/>
      </c>
      <c r="O161" t="str" cm="1">
        <f t="array" ref="O161">_xlfn.LET(
  _xlpm.K, Constantes!$B$3,
  _xlpm.Knewgain, Constantes!$B$4,
  _xlpm.Knewscale, Constantes!$B$5,
  _xlpm.ptstables, INDEX(O:O, _xlfn.SEQUENCE(COUNTA($C$2:$C161), 1, 3, 4)),
  _xlpm.nbparties, COUNTA(_xlfn._xlws.FILTER(_xlpm.ptstables, _xlpm.ptstables &lt;&gt; "")),
  _xlpm.coef, _xlpm.K + _xlpm.Knewgain / (_xlpm.Knewscale + _xlpm.nbparties),
  IF(O159="",
    "",
    _xlpm.coef * (O159-O160))
)</f>
        <v/>
      </c>
      <c r="P161" t="str" cm="1">
        <f t="array" ref="P161">_xlfn.LET(
  _xlpm.K, Constantes!$B$3,
  _xlpm.Knewgain, Constantes!$B$4,
  _xlpm.Knewscale, Constantes!$B$5,
  _xlpm.ptstables, INDEX(P:P, _xlfn.SEQUENCE(COUNTA($C$2:$C161), 1, 3, 4)),
  _xlpm.nbparties, COUNTA(_xlfn._xlws.FILTER(_xlpm.ptstables, _xlpm.ptstables &lt;&gt; "")),
  _xlpm.coef, _xlpm.K + _xlpm.Knewgain / (_xlpm.Knewscale + _xlpm.nbparties),
  IF(P159="",
    "",
    _xlpm.coef * (P159-P160))
)</f>
        <v/>
      </c>
      <c r="Q161" t="str" cm="1">
        <f t="array" ref="Q161">_xlfn.LET(
  _xlpm.K, Constantes!$B$3,
  _xlpm.Knewgain, Constantes!$B$4,
  _xlpm.Knewscale, Constantes!$B$5,
  _xlpm.ptstables, INDEX(Q:Q, _xlfn.SEQUENCE(COUNTA($C$2:$C161), 1, 3, 4)),
  _xlpm.nbparties, COUNTA(_xlfn._xlws.FILTER(_xlpm.ptstables, _xlpm.ptstables &lt;&gt; "")),
  _xlpm.coef, _xlpm.K + _xlpm.Knewgain / (_xlpm.Knewscale + _xlpm.nbparties),
  IF(Q159="",
    "",
    _xlpm.coef * (Q159-Q160))
)</f>
        <v/>
      </c>
      <c r="R161" cm="1">
        <f t="array" ref="R161">_xlfn.LET(
  _xlpm.K, Constantes!$B$3,
  _xlpm.Knewgain, Constantes!$B$4,
  _xlpm.Knewscale, Constantes!$B$5,
  _xlpm.ptstables, INDEX(R:R, _xlfn.SEQUENCE(COUNTA($C$2:$C161), 1, 3, 4)),
  _xlpm.nbparties, COUNTA(_xlfn._xlws.FILTER(_xlpm.ptstables, _xlpm.ptstables &lt;&gt; "")),
  _xlpm.coef, _xlpm.K + _xlpm.Knewgain / (_xlpm.Knewscale + _xlpm.nbparties),
  IF(R159="",
    "",
    _xlpm.coef * (R159-R160))
)</f>
        <v>23.272176039636886</v>
      </c>
      <c r="S161" t="str" cm="1">
        <f t="array" ref="S161">_xlfn.LET(
  _xlpm.K, Constantes!$B$3,
  _xlpm.Knewgain, Constantes!$B$4,
  _xlpm.Knewscale, Constantes!$B$5,
  _xlpm.ptstables, INDEX(S:S, _xlfn.SEQUENCE(COUNTA($C$2:$C161), 1, 3, 4)),
  _xlpm.nbparties, COUNTA(_xlfn._xlws.FILTER(_xlpm.ptstables, _xlpm.ptstables &lt;&gt; "")),
  _xlpm.coef, _xlpm.K + _xlpm.Knewgain / (_xlpm.Knewscale + _xlpm.nbparties),
  IF(S159="",
    "",
    _xlpm.coef * (S159-S160))
)</f>
        <v/>
      </c>
      <c r="T161" t="str" cm="1">
        <f t="array" ref="T161">_xlfn.LET(
  _xlpm.K, Constantes!$B$3,
  _xlpm.Knewgain, Constantes!$B$4,
  _xlpm.Knewscale, Constantes!$B$5,
  _xlpm.ptstables, INDEX(T:T, _xlfn.SEQUENCE(COUNTA($C$2:$C161), 1, 3, 4)),
  _xlpm.nbparties, COUNTA(_xlfn._xlws.FILTER(_xlpm.ptstables, _xlpm.ptstables &lt;&gt; "")),
  _xlpm.coef, _xlpm.K + _xlpm.Knewgain / (_xlpm.Knewscale + _xlpm.nbparties),
  IF(T159="",
    "",
    _xlpm.coef * (T159-T160))
)</f>
        <v/>
      </c>
      <c r="U161" t="str" cm="1">
        <f t="array" ref="U161">_xlfn.LET(
  _xlpm.K, Constantes!$B$3,
  _xlpm.Knewgain, Constantes!$B$4,
  _xlpm.Knewscale, Constantes!$B$5,
  _xlpm.ptstables, INDEX(U:U, _xlfn.SEQUENCE(COUNTA($C$2:$C161), 1, 3, 4)),
  _xlpm.nbparties, COUNTA(_xlfn._xlws.FILTER(_xlpm.ptstables, _xlpm.ptstables &lt;&gt; "")),
  _xlpm.coef, _xlpm.K + _xlpm.Knewgain / (_xlpm.Knewscale + _xlpm.nbparties),
  IF(U159="",
    "",
    _xlpm.coef * (U159-U160))
)</f>
        <v/>
      </c>
      <c r="V161" t="str" cm="1">
        <f t="array" ref="V161">_xlfn.LET(
  _xlpm.K, Constantes!$B$3,
  _xlpm.Knewgain, Constantes!$B$4,
  _xlpm.Knewscale, Constantes!$B$5,
  _xlpm.ptstables, INDEX(V:V, _xlfn.SEQUENCE(COUNTA($C$2:$C161), 1, 3, 4)),
  _xlpm.nbparties, COUNTA(_xlfn._xlws.FILTER(_xlpm.ptstables, _xlpm.ptstables &lt;&gt; "")),
  _xlpm.coef, _xlpm.K + _xlpm.Knewgain / (_xlpm.Knewscale + _xlpm.nbparties),
  IF(V159="",
    "",
    _xlpm.coef * (V159-V160))
)</f>
        <v/>
      </c>
      <c r="W161" t="str" cm="1">
        <f t="array" ref="W161">_xlfn.LET(
  _xlpm.K, Constantes!$B$3,
  _xlpm.Knewgain, Constantes!$B$4,
  _xlpm.Knewscale, Constantes!$B$5,
  _xlpm.ptstables, INDEX(W:W, _xlfn.SEQUENCE(COUNTA($C$2:$C161), 1, 3, 4)),
  _xlpm.nbparties, COUNTA(_xlfn._xlws.FILTER(_xlpm.ptstables, _xlpm.ptstables &lt;&gt; "")),
  _xlpm.coef, _xlpm.K + _xlpm.Knewgain / (_xlpm.Knewscale + _xlpm.nbparties),
  IF(W159="",
    "",
    _xlpm.coef * (W159-W160))
)</f>
        <v/>
      </c>
      <c r="X161" t="str" cm="1">
        <f t="array" ref="X161">_xlfn.LET(
  _xlpm.K, Constantes!$B$3,
  _xlpm.Knewgain, Constantes!$B$4,
  _xlpm.Knewscale, Constantes!$B$5,
  _xlpm.ptstables, INDEX(X:X, _xlfn.SEQUENCE(COUNTA($C$2:$C161), 1, 3, 4)),
  _xlpm.nbparties, COUNTA(_xlfn._xlws.FILTER(_xlpm.ptstables, _xlpm.ptstables &lt;&gt; "")),
  _xlpm.coef, _xlpm.K + _xlpm.Knewgain / (_xlpm.Knewscale + _xlpm.nbparties),
  IF(X159="",
    "",
    _xlpm.coef * (X159-X160))
)</f>
        <v/>
      </c>
      <c r="Y161" cm="1">
        <f t="array" ref="Y161">_xlfn.LET(
  _xlpm.K, Constantes!$B$3,
  _xlpm.Knewgain, Constantes!$B$4,
  _xlpm.Knewscale, Constantes!$B$5,
  _xlpm.ptstables, INDEX(Y:Y, _xlfn.SEQUENCE(COUNTA($C$2:$C161), 1, 3, 4)),
  _xlpm.nbparties, COUNTA(_xlfn._xlws.FILTER(_xlpm.ptstables, _xlpm.ptstables &lt;&gt; "")),
  _xlpm.coef, _xlpm.K + _xlpm.Knewgain / (_xlpm.Knewscale + _xlpm.nbparties),
  IF(Y159="",
    "",
    _xlpm.coef * (Y159-Y160))
)</f>
        <v>-39.123287890850804</v>
      </c>
      <c r="Z161" t="str" cm="1">
        <f t="array" ref="Z161">_xlfn.LET(
  _xlpm.K, Constantes!$B$3,
  _xlpm.Knewgain, Constantes!$B$4,
  _xlpm.Knewscale, Constantes!$B$5,
  _xlpm.ptstables, INDEX(Z:Z, _xlfn.SEQUENCE(COUNTA($C$2:$C161), 1, 3, 4)),
  _xlpm.nbparties, COUNTA(_xlfn._xlws.FILTER(_xlpm.ptstables, _xlpm.ptstables &lt;&gt; "")),
  _xlpm.coef, _xlpm.K + _xlpm.Knewgain / (_xlpm.Knewscale + _xlpm.nbparties),
  IF(Z159="",
    "",
    _xlpm.coef * (Z159-Z160))
)</f>
        <v/>
      </c>
      <c r="AA161" t="str" cm="1">
        <f t="array" ref="AA161">_xlfn.LET(
  _xlpm.K, Constantes!$B$3,
  _xlpm.Knewgain, Constantes!$B$4,
  _xlpm.Knewscale, Constantes!$B$5,
  _xlpm.ptstables, INDEX(AA:AA, _xlfn.SEQUENCE(COUNTA($C$2:$C161), 1, 3, 4)),
  _xlpm.nbparties, COUNTA(_xlfn._xlws.FILTER(_xlpm.ptstables, _xlpm.ptstables &lt;&gt; "")),
  _xlpm.coef, _xlpm.K + _xlpm.Knewgain / (_xlpm.Knewscale + _xlpm.nbparties),
  IF(AA159="",
    "",
    _xlpm.coef * (AA159-AA160))
)</f>
        <v/>
      </c>
      <c r="AB161" t="str" cm="1">
        <f t="array" ref="AB161">_xlfn.LET(
  _xlpm.K, Constantes!$B$3,
  _xlpm.Knewgain, Constantes!$B$4,
  _xlpm.Knewscale, Constantes!$B$5,
  _xlpm.ptstables, INDEX(AB:AB, _xlfn.SEQUENCE(COUNTA($C$2:$C161), 1, 3, 4)),
  _xlpm.nbparties, COUNTA(_xlfn._xlws.FILTER(_xlpm.ptstables, _xlpm.ptstables &lt;&gt; "")),
  _xlpm.coef, _xlpm.K + _xlpm.Knewgain / (_xlpm.Knewscale + _xlpm.nbparties),
  IF(AB159="",
    "",
    _xlpm.coef * (AB159-AB160))
)</f>
        <v/>
      </c>
      <c r="AC161" t="str" cm="1">
        <f t="array" ref="AC161">_xlfn.LET(
  _xlpm.K, Constantes!$B$3,
  _xlpm.Knewgain, Constantes!$B$4,
  _xlpm.Knewscale, Constantes!$B$5,
  _xlpm.ptstables, INDEX(AC:AC, _xlfn.SEQUENCE(COUNTA($C$2:$C161), 1, 3, 4)),
  _xlpm.nbparties, COUNTA(_xlfn._xlws.FILTER(_xlpm.ptstables, _xlpm.ptstables &lt;&gt; "")),
  _xlpm.coef, _xlpm.K + _xlpm.Knewgain / (_xlpm.Knewscale + _xlpm.nbparties),
  IF(AC159="",
    "",
    _xlpm.coef * (AC159-AC160))
)</f>
        <v/>
      </c>
      <c r="AD161" t="str" cm="1">
        <f t="array" ref="AD161">_xlfn.LET(
  _xlpm.K, Constantes!$B$3,
  _xlpm.Knewgain, Constantes!$B$4,
  _xlpm.Knewscale, Constantes!$B$5,
  _xlpm.ptstables, INDEX(AD:AD, _xlfn.SEQUENCE(COUNTA($C$2:$C161), 1, 3, 4)),
  _xlpm.nbparties, COUNTA(_xlfn._xlws.FILTER(_xlpm.ptstables, _xlpm.ptstables &lt;&gt; "")),
  _xlpm.coef, _xlpm.K + _xlpm.Knewgain / (_xlpm.Knewscale + _xlpm.nbparties),
  IF(AD159="",
    "",
    _xlpm.coef * (AD159-AD160))
)</f>
        <v/>
      </c>
      <c r="AE161" t="str" cm="1">
        <f t="array" ref="AE161">_xlfn.LET(
  _xlpm.K, Constantes!$B$3,
  _xlpm.Knewgain, Constantes!$B$4,
  _xlpm.Knewscale, Constantes!$B$5,
  _xlpm.ptstables, INDEX(AE:AE, _xlfn.SEQUENCE(COUNTA($C$2:$C161), 1, 3, 4)),
  _xlpm.nbparties, COUNTA(_xlfn._xlws.FILTER(_xlpm.ptstables, _xlpm.ptstables &lt;&gt; "")),
  _xlpm.coef, _xlpm.K + _xlpm.Knewgain / (_xlpm.Knewscale + _xlpm.nbparties),
  IF(AE159="",
    "",
    _xlpm.coef * (AE159-AE160))
)</f>
        <v/>
      </c>
      <c r="AF161" t="str" cm="1">
        <f t="array" ref="AF161">_xlfn.LET(
  _xlpm.K, Constantes!$B$3,
  _xlpm.Knewgain, Constantes!$B$4,
  _xlpm.Knewscale, Constantes!$B$5,
  _xlpm.ptstables, INDEX(AF:AF, _xlfn.SEQUENCE(COUNTA($C$2:$C161), 1, 3, 4)),
  _xlpm.nbparties, COUNTA(_xlfn._xlws.FILTER(_xlpm.ptstables, _xlpm.ptstables &lt;&gt; "")),
  _xlpm.coef, _xlpm.K + _xlpm.Knewgain / (_xlpm.Knewscale + _xlpm.nbparties),
  IF(AF159="",
    "",
    _xlpm.coef * (AF159-AF160))
)</f>
        <v/>
      </c>
      <c r="AG161" t="str" cm="1">
        <f t="array" ref="AG161">_xlfn.LET(
  _xlpm.K, Constantes!$B$3,
  _xlpm.Knewgain, Constantes!$B$4,
  _xlpm.Knewscale, Constantes!$B$5,
  _xlpm.ptstables, INDEX(AG:AG, _xlfn.SEQUENCE(COUNTA($C$2:$C161), 1, 3, 4)),
  _xlpm.nbparties, COUNTA(_xlfn._xlws.FILTER(_xlpm.ptstables, _xlpm.ptstables &lt;&gt; "")),
  _xlpm.coef, _xlpm.K + _xlpm.Knewgain / (_xlpm.Knewscale + _xlpm.nbparties),
  IF(AG159="",
    "",
    _xlpm.coef * (AG159-AG160))
)</f>
        <v/>
      </c>
      <c r="AH161" t="str" cm="1">
        <f t="array" ref="AH161">_xlfn.LET(
  _xlpm.K, Constantes!$B$3,
  _xlpm.Knewgain, Constantes!$B$4,
  _xlpm.Knewscale, Constantes!$B$5,
  _xlpm.ptstables, INDEX(AH:AH, _xlfn.SEQUENCE(COUNTA($C$2:$C161), 1, 3, 4)),
  _xlpm.nbparties, COUNTA(_xlfn._xlws.FILTER(_xlpm.ptstables, _xlpm.ptstables &lt;&gt; "")),
  _xlpm.coef, _xlpm.K + _xlpm.Knewgain / (_xlpm.Knewscale + _xlpm.nbparties),
  IF(AH159="",
    "",
    _xlpm.coef * (AH159-AH160))
)</f>
        <v/>
      </c>
      <c r="AI161" t="str" cm="1">
        <f t="array" ref="AI161">_xlfn.LET(
  _xlpm.K, Constantes!$B$3,
  _xlpm.Knewgain, Constantes!$B$4,
  _xlpm.Knewscale, Constantes!$B$5,
  _xlpm.ptstables, INDEX(AI:AI, _xlfn.SEQUENCE(COUNTA($C$2:$C161), 1, 3, 4)),
  _xlpm.nbparties, COUNTA(_xlfn._xlws.FILTER(_xlpm.ptstables, _xlpm.ptstables &lt;&gt; "")),
  _xlpm.coef, _xlpm.K + _xlpm.Knewgain / (_xlpm.Knewscale + _xlpm.nbparties),
  IF(AI159="",
    "",
    _xlpm.coef * (AI159-AI160))
)</f>
        <v/>
      </c>
      <c r="AJ161" t="str" cm="1">
        <f t="array" ref="AJ161">_xlfn.LET(
  _xlpm.K, Constantes!$B$3,
  _xlpm.Knewgain, Constantes!$B$4,
  _xlpm.Knewscale, Constantes!$B$5,
  _xlpm.ptstables, INDEX(AJ:AJ, _xlfn.SEQUENCE(COUNTA($C$2:$C161), 1, 3, 4)),
  _xlpm.nbparties, COUNTA(_xlfn._xlws.FILTER(_xlpm.ptstables, _xlpm.ptstables &lt;&gt; "")),
  _xlpm.coef, _xlpm.K + _xlpm.Knewgain / (_xlpm.Knewscale + _xlpm.nbparties),
  IF(AJ159="",
    "",
    _xlpm.coef * (AJ159-AJ160))
)</f>
        <v/>
      </c>
      <c r="AK161" t="str" cm="1">
        <f t="array" ref="AK161">_xlfn.LET(
  _xlpm.K, Constantes!$B$3,
  _xlpm.Knewgain, Constantes!$B$4,
  _xlpm.Knewscale, Constantes!$B$5,
  _xlpm.ptstables, INDEX(AK:AK, _xlfn.SEQUENCE(COUNTA($C$2:$C161), 1, 3, 4)),
  _xlpm.nbparties, COUNTA(_xlfn._xlws.FILTER(_xlpm.ptstables, _xlpm.ptstables &lt;&gt; "")),
  _xlpm.coef, _xlpm.K + _xlpm.Knewgain / (_xlpm.Knewscale + _xlpm.nbparties),
  IF(AK159="",
    "",
    _xlpm.coef * (AK159-AK160))
)</f>
        <v/>
      </c>
      <c r="AL161" t="str" cm="1">
        <f t="array" ref="AL161">_xlfn.LET(
  _xlpm.K, Constantes!$B$3,
  _xlpm.Knewgain, Constantes!$B$4,
  _xlpm.Knewscale, Constantes!$B$5,
  _xlpm.ptstables, INDEX(AL:AL, _xlfn.SEQUENCE(COUNTA($C$2:$C161), 1, 3, 4)),
  _xlpm.nbparties, COUNTA(_xlfn._xlws.FILTER(_xlpm.ptstables, _xlpm.ptstables &lt;&gt; "")),
  _xlpm.coef, _xlpm.K + _xlpm.Knewgain / (_xlpm.Knewscale + _xlpm.nbparties),
  IF(AL159="",
    "",
    _xlpm.coef * (AL159-AL160))
)</f>
        <v/>
      </c>
      <c r="AM161" t="str" cm="1">
        <f t="array" ref="AM161">_xlfn.LET(
  _xlpm.K, Constantes!$B$3,
  _xlpm.Knewgain, Constantes!$B$4,
  _xlpm.Knewscale, Constantes!$B$5,
  _xlpm.ptstables, INDEX(AM:AM, _xlfn.SEQUENCE(COUNTA($C$2:$C161), 1, 3, 4)),
  _xlpm.nbparties, COUNTA(_xlfn._xlws.FILTER(_xlpm.ptstables, _xlpm.ptstables &lt;&gt; "")),
  _xlpm.coef, _xlpm.K + _xlpm.Knewgain / (_xlpm.Knewscale + _xlpm.nbparties),
  IF(AM159="",
    "",
    _xlpm.coef * (AM159-AM160))
)</f>
        <v/>
      </c>
    </row>
    <row r="162" spans="1:39" x14ac:dyDescent="0.25">
      <c r="A162" t="s">
        <v>14</v>
      </c>
      <c r="B162" t="str" cm="1">
        <f t="array" ref="B16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38</v>
      </c>
      <c r="C162" s="2" cm="1">
        <f t="array" ref="C162">IF(B162="","",
  INDEX(Donnees!F:F, MATCH(B162, Donnees!F:F, 0)+1))</f>
        <v>45927.697650462964</v>
      </c>
      <c r="D162">
        <f t="shared" ref="D162:AM162" si="48">D158+IF(D161="",0,D161)</f>
        <v>1115.9311757149087</v>
      </c>
      <c r="E162">
        <f t="shared" si="48"/>
        <v>1105.3750854597461</v>
      </c>
      <c r="F162">
        <f t="shared" si="48"/>
        <v>839.76438398955065</v>
      </c>
      <c r="G162">
        <f t="shared" si="48"/>
        <v>1024.6030101366564</v>
      </c>
      <c r="H162">
        <f t="shared" si="48"/>
        <v>1043.8545020183328</v>
      </c>
      <c r="I162">
        <f t="shared" si="48"/>
        <v>1084.9304838632445</v>
      </c>
      <c r="J162">
        <f t="shared" si="48"/>
        <v>938.49433816478961</v>
      </c>
      <c r="K162">
        <f t="shared" si="48"/>
        <v>907.51653081539087</v>
      </c>
      <c r="L162">
        <f t="shared" si="48"/>
        <v>801.48942635099877</v>
      </c>
      <c r="M162">
        <f t="shared" si="48"/>
        <v>913.41986361738122</v>
      </c>
      <c r="N162">
        <f t="shared" si="48"/>
        <v>907.32507465255833</v>
      </c>
      <c r="O162">
        <f t="shared" si="48"/>
        <v>1005.4306950475848</v>
      </c>
      <c r="P162">
        <f t="shared" si="48"/>
        <v>1015.4353469144262</v>
      </c>
      <c r="Q162">
        <f t="shared" si="48"/>
        <v>1072.1642346323029</v>
      </c>
      <c r="R162">
        <f t="shared" si="48"/>
        <v>1148.4560560299096</v>
      </c>
      <c r="S162">
        <f t="shared" si="48"/>
        <v>900.26493538028456</v>
      </c>
      <c r="T162">
        <f t="shared" si="48"/>
        <v>1135.2782658680615</v>
      </c>
      <c r="U162">
        <f t="shared" si="48"/>
        <v>1106.2875102369314</v>
      </c>
      <c r="V162">
        <f t="shared" si="48"/>
        <v>961.58818235691967</v>
      </c>
      <c r="W162">
        <f t="shared" si="48"/>
        <v>936.79085942937002</v>
      </c>
      <c r="X162">
        <f t="shared" si="48"/>
        <v>851.6115293878712</v>
      </c>
      <c r="Y162">
        <f t="shared" si="48"/>
        <v>984.68205603174124</v>
      </c>
      <c r="Z162">
        <f t="shared" si="48"/>
        <v>991.11904139672549</v>
      </c>
      <c r="AA162">
        <f t="shared" si="48"/>
        <v>980.56756855165884</v>
      </c>
      <c r="AB162">
        <f t="shared" si="48"/>
        <v>988.35669729544747</v>
      </c>
      <c r="AC162">
        <f t="shared" si="48"/>
        <v>998.96652664479586</v>
      </c>
      <c r="AD162">
        <f t="shared" si="48"/>
        <v>974.01499999999999</v>
      </c>
      <c r="AE162">
        <f t="shared" si="48"/>
        <v>1011.415</v>
      </c>
      <c r="AF162">
        <f t="shared" si="48"/>
        <v>1031.1199999999999</v>
      </c>
      <c r="AG162">
        <f t="shared" si="48"/>
        <v>1001.0350000000001</v>
      </c>
      <c r="AH162">
        <f t="shared" si="48"/>
        <v>994.44</v>
      </c>
      <c r="AI162">
        <f t="shared" si="48"/>
        <v>1000</v>
      </c>
      <c r="AJ162">
        <f t="shared" si="48"/>
        <v>957.2</v>
      </c>
      <c r="AK162">
        <f t="shared" si="48"/>
        <v>1000</v>
      </c>
      <c r="AL162">
        <f t="shared" si="48"/>
        <v>1055.9299999999998</v>
      </c>
      <c r="AM162">
        <f t="shared" si="48"/>
        <v>1000</v>
      </c>
    </row>
    <row r="163" spans="1:39" x14ac:dyDescent="0.25">
      <c r="A163" t="s">
        <v>21</v>
      </c>
      <c r="D163" t="str" cm="1">
        <f t="array" ref="D163">IFERROR(
  _xlfn.LET(
    _xlpm.ligpartie, MATCH($B162, Donnees!$F:$F, 0),
    _xlpm.joueurs, INDEX(Donnees!$A:$Z, _xlpm.ligpartie+1, _xlfn.SEQUENCE(1, 4, 2)),
    INDEX(
      Donnees!$A:$Z,
      _xlpm.ligpartie + 3,
      MATCH(D$1, _xlpm.joueurs, 0) + 1
    )
  ), ""
)</f>
        <v/>
      </c>
      <c r="E163" t="str" cm="1">
        <f t="array" ref="E163">IFERROR(
  _xlfn.LET(
    _xlpm.ligpartie, MATCH($B162, Donnees!$F:$F, 0),
    _xlpm.joueurs, INDEX(Donnees!$A:$Z, _xlpm.ligpartie+1, _xlfn.SEQUENCE(1, 4, 2)),
    INDEX(
      Donnees!$A:$Z,
      _xlpm.ligpartie + 3,
      MATCH(E$1, _xlpm.joueurs, 0) + 1
    )
  ), ""
)</f>
        <v/>
      </c>
      <c r="F163" t="str" cm="1">
        <f t="array" ref="F163">IFERROR(
  _xlfn.LET(
    _xlpm.ligpartie, MATCH($B162, Donnees!$F:$F, 0),
    _xlpm.joueurs, INDEX(Donnees!$A:$Z, _xlpm.ligpartie+1, _xlfn.SEQUENCE(1, 4, 2)),
    INDEX(
      Donnees!$A:$Z,
      _xlpm.ligpartie + 3,
      MATCH(F$1, _xlpm.joueurs, 0) + 1
    )
  ), ""
)</f>
        <v/>
      </c>
      <c r="G163" t="str" cm="1">
        <f t="array" ref="G163">IFERROR(
  _xlfn.LET(
    _xlpm.ligpartie, MATCH($B162, Donnees!$F:$F, 0),
    _xlpm.joueurs, INDEX(Donnees!$A:$Z, _xlpm.ligpartie+1, _xlfn.SEQUENCE(1, 4, 2)),
    INDEX(
      Donnees!$A:$Z,
      _xlpm.ligpartie + 3,
      MATCH(G$1, _xlpm.joueurs, 0) + 1
    )
  ), ""
)</f>
        <v/>
      </c>
      <c r="H163" t="str" cm="1">
        <f t="array" ref="H163">IFERROR(
  _xlfn.LET(
    _xlpm.ligpartie, MATCH($B162, Donnees!$F:$F, 0),
    _xlpm.joueurs, INDEX(Donnees!$A:$Z, _xlpm.ligpartie+1, _xlfn.SEQUENCE(1, 4, 2)),
    INDEX(
      Donnees!$A:$Z,
      _xlpm.ligpartie + 3,
      MATCH(H$1, _xlpm.joueurs, 0) + 1
    )
  ), ""
)</f>
        <v/>
      </c>
      <c r="I163" t="str" cm="1">
        <f t="array" ref="I163">IFERROR(
  _xlfn.LET(
    _xlpm.ligpartie, MATCH($B162, Donnees!$F:$F, 0),
    _xlpm.joueurs, INDEX(Donnees!$A:$Z, _xlpm.ligpartie+1, _xlfn.SEQUENCE(1, 4, 2)),
    INDEX(
      Donnees!$A:$Z,
      _xlpm.ligpartie + 3,
      MATCH(I$1, _xlpm.joueurs, 0) + 1
    )
  ), ""
)</f>
        <v/>
      </c>
      <c r="J163" t="str" cm="1">
        <f t="array" ref="J163">IFERROR(
  _xlfn.LET(
    _xlpm.ligpartie, MATCH($B162, Donnees!$F:$F, 0),
    _xlpm.joueurs, INDEX(Donnees!$A:$Z, _xlpm.ligpartie+1, _xlfn.SEQUENCE(1, 4, 2)),
    INDEX(
      Donnees!$A:$Z,
      _xlpm.ligpartie + 3,
      MATCH(J$1, _xlpm.joueurs, 0) + 1
    )
  ), ""
)</f>
        <v/>
      </c>
      <c r="K163" t="str" cm="1">
        <f t="array" ref="K163">IFERROR(
  _xlfn.LET(
    _xlpm.ligpartie, MATCH($B162, Donnees!$F:$F, 0),
    _xlpm.joueurs, INDEX(Donnees!$A:$Z, _xlpm.ligpartie+1, _xlfn.SEQUENCE(1, 4, 2)),
    INDEX(
      Donnees!$A:$Z,
      _xlpm.ligpartie + 3,
      MATCH(K$1, _xlpm.joueurs, 0) + 1
    )
  ), ""
)</f>
        <v/>
      </c>
      <c r="L163" t="str" cm="1">
        <f t="array" ref="L163">IFERROR(
  _xlfn.LET(
    _xlpm.ligpartie, MATCH($B162, Donnees!$F:$F, 0),
    _xlpm.joueurs, INDEX(Donnees!$A:$Z, _xlpm.ligpartie+1, _xlfn.SEQUENCE(1, 4, 2)),
    INDEX(
      Donnees!$A:$Z,
      _xlpm.ligpartie + 3,
      MATCH(L$1, _xlpm.joueurs, 0) + 1
    )
  ), ""
)</f>
        <v/>
      </c>
      <c r="M163" t="str" cm="1">
        <f t="array" ref="M163">IFERROR(
  _xlfn.LET(
    _xlpm.ligpartie, MATCH($B162, Donnees!$F:$F, 0),
    _xlpm.joueurs, INDEX(Donnees!$A:$Z, _xlpm.ligpartie+1, _xlfn.SEQUENCE(1, 4, 2)),
    INDEX(
      Donnees!$A:$Z,
      _xlpm.ligpartie + 3,
      MATCH(M$1, _xlpm.joueurs, 0) + 1
    )
  ), ""
)</f>
        <v/>
      </c>
      <c r="N163" t="str" cm="1">
        <f t="array" ref="N163">IFERROR(
  _xlfn.LET(
    _xlpm.ligpartie, MATCH($B162, Donnees!$F:$F, 0),
    _xlpm.joueurs, INDEX(Donnees!$A:$Z, _xlpm.ligpartie+1, _xlfn.SEQUENCE(1, 4, 2)),
    INDEX(
      Donnees!$A:$Z,
      _xlpm.ligpartie + 3,
      MATCH(N$1, _xlpm.joueurs, 0) + 1
    )
  ), ""
)</f>
        <v/>
      </c>
      <c r="O163" t="str" cm="1">
        <f t="array" ref="O163">IFERROR(
  _xlfn.LET(
    _xlpm.ligpartie, MATCH($B162, Donnees!$F:$F, 0),
    _xlpm.joueurs, INDEX(Donnees!$A:$Z, _xlpm.ligpartie+1, _xlfn.SEQUENCE(1, 4, 2)),
    INDEX(
      Donnees!$A:$Z,
      _xlpm.ligpartie + 3,
      MATCH(O$1, _xlpm.joueurs, 0) + 1
    )
  ), ""
)</f>
        <v/>
      </c>
      <c r="P163" t="str" cm="1">
        <f t="array" ref="P163">IFERROR(
  _xlfn.LET(
    _xlpm.ligpartie, MATCH($B162, Donnees!$F:$F, 0),
    _xlpm.joueurs, INDEX(Donnees!$A:$Z, _xlpm.ligpartie+1, _xlfn.SEQUENCE(1, 4, 2)),
    INDEX(
      Donnees!$A:$Z,
      _xlpm.ligpartie + 3,
      MATCH(P$1, _xlpm.joueurs, 0) + 1
    )
  ), ""
)</f>
        <v/>
      </c>
      <c r="Q163" cm="1">
        <f t="array" ref="Q163">IFERROR(
  _xlfn.LET(
    _xlpm.ligpartie, MATCH($B162, Donnees!$F:$F, 0),
    _xlpm.joueurs, INDEX(Donnees!$A:$Z, _xlpm.ligpartie+1, _xlfn.SEQUENCE(1, 4, 2)),
    INDEX(
      Donnees!$A:$Z,
      _xlpm.ligpartie + 3,
      MATCH(Q$1, _xlpm.joueurs, 0) + 1
    )
  ), ""
)</f>
        <v>3</v>
      </c>
      <c r="R163" t="str" cm="1">
        <f t="array" ref="R163">IFERROR(
  _xlfn.LET(
    _xlpm.ligpartie, MATCH($B162, Donnees!$F:$F, 0),
    _xlpm.joueurs, INDEX(Donnees!$A:$Z, _xlpm.ligpartie+1, _xlfn.SEQUENCE(1, 4, 2)),
    INDEX(
      Donnees!$A:$Z,
      _xlpm.ligpartie + 3,
      MATCH(R$1, _xlpm.joueurs, 0) + 1
    )
  ), ""
)</f>
        <v/>
      </c>
      <c r="S163" cm="1">
        <f t="array" ref="S163">IFERROR(
  _xlfn.LET(
    _xlpm.ligpartie, MATCH($B162, Donnees!$F:$F, 0),
    _xlpm.joueurs, INDEX(Donnees!$A:$Z, _xlpm.ligpartie+1, _xlfn.SEQUENCE(1, 4, 2)),
    INDEX(
      Donnees!$A:$Z,
      _xlpm.ligpartie + 3,
      MATCH(S$1, _xlpm.joueurs, 0) + 1
    )
  ), ""
)</f>
        <v>0</v>
      </c>
      <c r="T163" t="str" cm="1">
        <f t="array" ref="T163">IFERROR(
  _xlfn.LET(
    _xlpm.ligpartie, MATCH($B162, Donnees!$F:$F, 0),
    _xlpm.joueurs, INDEX(Donnees!$A:$Z, _xlpm.ligpartie+1, _xlfn.SEQUENCE(1, 4, 2)),
    INDEX(
      Donnees!$A:$Z,
      _xlpm.ligpartie + 3,
      MATCH(T$1, _xlpm.joueurs, 0) + 1
    )
  ), ""
)</f>
        <v/>
      </c>
      <c r="U163" cm="1">
        <f t="array" ref="U163">IFERROR(
  _xlfn.LET(
    _xlpm.ligpartie, MATCH($B162, Donnees!$F:$F, 0),
    _xlpm.joueurs, INDEX(Donnees!$A:$Z, _xlpm.ligpartie+1, _xlfn.SEQUENCE(1, 4, 2)),
    INDEX(
      Donnees!$A:$Z,
      _xlpm.ligpartie + 3,
      MATCH(U$1, _xlpm.joueurs, 0) + 1
    )
  ), ""
)</f>
        <v>2</v>
      </c>
      <c r="V163" t="str" cm="1">
        <f t="array" ref="V163">IFERROR(
  _xlfn.LET(
    _xlpm.ligpartie, MATCH($B162, Donnees!$F:$F, 0),
    _xlpm.joueurs, INDEX(Donnees!$A:$Z, _xlpm.ligpartie+1, _xlfn.SEQUENCE(1, 4, 2)),
    INDEX(
      Donnees!$A:$Z,
      _xlpm.ligpartie + 3,
      MATCH(V$1, _xlpm.joueurs, 0) + 1
    )
  ), ""
)</f>
        <v/>
      </c>
      <c r="W163" t="str" cm="1">
        <f t="array" ref="W163">IFERROR(
  _xlfn.LET(
    _xlpm.ligpartie, MATCH($B162, Donnees!$F:$F, 0),
    _xlpm.joueurs, INDEX(Donnees!$A:$Z, _xlpm.ligpartie+1, _xlfn.SEQUENCE(1, 4, 2)),
    INDEX(
      Donnees!$A:$Z,
      _xlpm.ligpartie + 3,
      MATCH(W$1, _xlpm.joueurs, 0) + 1
    )
  ), ""
)</f>
        <v/>
      </c>
      <c r="X163" t="str" cm="1">
        <f t="array" ref="X163">IFERROR(
  _xlfn.LET(
    _xlpm.ligpartie, MATCH($B162, Donnees!$F:$F, 0),
    _xlpm.joueurs, INDEX(Donnees!$A:$Z, _xlpm.ligpartie+1, _xlfn.SEQUENCE(1, 4, 2)),
    INDEX(
      Donnees!$A:$Z,
      _xlpm.ligpartie + 3,
      MATCH(X$1, _xlpm.joueurs, 0) + 1
    )
  ), ""
)</f>
        <v/>
      </c>
      <c r="Y163" t="str" cm="1">
        <f t="array" ref="Y163">IFERROR(
  _xlfn.LET(
    _xlpm.ligpartie, MATCH($B162, Donnees!$F:$F, 0),
    _xlpm.joueurs, INDEX(Donnees!$A:$Z, _xlpm.ligpartie+1, _xlfn.SEQUENCE(1, 4, 2)),
    INDEX(
      Donnees!$A:$Z,
      _xlpm.ligpartie + 3,
      MATCH(Y$1, _xlpm.joueurs, 0) + 1
    )
  ), ""
)</f>
        <v/>
      </c>
      <c r="Z163" t="str" cm="1">
        <f t="array" ref="Z163">IFERROR(
  _xlfn.LET(
    _xlpm.ligpartie, MATCH($B162, Donnees!$F:$F, 0),
    _xlpm.joueurs, INDEX(Donnees!$A:$Z, _xlpm.ligpartie+1, _xlfn.SEQUENCE(1, 4, 2)),
    INDEX(
      Donnees!$A:$Z,
      _xlpm.ligpartie + 3,
      MATCH(Z$1, _xlpm.joueurs, 0) + 1
    )
  ), ""
)</f>
        <v/>
      </c>
      <c r="AA163" t="str" cm="1">
        <f t="array" ref="AA163">IFERROR(
  _xlfn.LET(
    _xlpm.ligpartie, MATCH($B162, Donnees!$F:$F, 0),
    _xlpm.joueurs, INDEX(Donnees!$A:$Z, _xlpm.ligpartie+1, _xlfn.SEQUENCE(1, 4, 2)),
    INDEX(
      Donnees!$A:$Z,
      _xlpm.ligpartie + 3,
      MATCH(AA$1, _xlpm.joueurs, 0) + 1
    )
  ), ""
)</f>
        <v/>
      </c>
      <c r="AB163" t="str" cm="1">
        <f t="array" ref="AB163">IFERROR(
  _xlfn.LET(
    _xlpm.ligpartie, MATCH($B162, Donnees!$F:$F, 0),
    _xlpm.joueurs, INDEX(Donnees!$A:$Z, _xlpm.ligpartie+1, _xlfn.SEQUENCE(1, 4, 2)),
    INDEX(
      Donnees!$A:$Z,
      _xlpm.ligpartie + 3,
      MATCH(AB$1, _xlpm.joueurs, 0) + 1
    )
  ), ""
)</f>
        <v/>
      </c>
      <c r="AC163" cm="1">
        <f t="array" ref="AC163">IFERROR(
  _xlfn.LET(
    _xlpm.ligpartie, MATCH($B162, Donnees!$F:$F, 0),
    _xlpm.joueurs, INDEX(Donnees!$A:$Z, _xlpm.ligpartie+1, _xlfn.SEQUENCE(1, 4, 2)),
    INDEX(
      Donnees!$A:$Z,
      _xlpm.ligpartie + 3,
      MATCH(AC$1, _xlpm.joueurs, 0) + 1
    )
  ), ""
)</f>
        <v>1</v>
      </c>
      <c r="AD163" t="str" cm="1">
        <f t="array" ref="AD163">IFERROR(
  _xlfn.LET(
    _xlpm.ligpartie, MATCH($B162, Donnees!$F:$F, 0),
    _xlpm.joueurs, INDEX(Donnees!$A:$Z, _xlpm.ligpartie+1, _xlfn.SEQUENCE(1, 4, 2)),
    INDEX(
      Donnees!$A:$Z,
      _xlpm.ligpartie + 3,
      MATCH(AD$1, _xlpm.joueurs, 0) + 1
    )
  ), ""
)</f>
        <v/>
      </c>
      <c r="AE163" t="str" cm="1">
        <f t="array" ref="AE163">IFERROR(
  _xlfn.LET(
    _xlpm.ligpartie, MATCH($B162, Donnees!$F:$F, 0),
    _xlpm.joueurs, INDEX(Donnees!$A:$Z, _xlpm.ligpartie+1, _xlfn.SEQUENCE(1, 4, 2)),
    INDEX(
      Donnees!$A:$Z,
      _xlpm.ligpartie + 3,
      MATCH(AE$1, _xlpm.joueurs, 0) + 1
    )
  ), ""
)</f>
        <v/>
      </c>
      <c r="AF163" t="str" cm="1">
        <f t="array" ref="AF163">IFERROR(
  _xlfn.LET(
    _xlpm.ligpartie, MATCH($B162, Donnees!$F:$F, 0),
    _xlpm.joueurs, INDEX(Donnees!$A:$Z, _xlpm.ligpartie+1, _xlfn.SEQUENCE(1, 4, 2)),
    INDEX(
      Donnees!$A:$Z,
      _xlpm.ligpartie + 3,
      MATCH(AF$1, _xlpm.joueurs, 0) + 1
    )
  ), ""
)</f>
        <v/>
      </c>
      <c r="AG163" t="str" cm="1">
        <f t="array" ref="AG163">IFERROR(
  _xlfn.LET(
    _xlpm.ligpartie, MATCH($B162, Donnees!$F:$F, 0),
    _xlpm.joueurs, INDEX(Donnees!$A:$Z, _xlpm.ligpartie+1, _xlfn.SEQUENCE(1, 4, 2)),
    INDEX(
      Donnees!$A:$Z,
      _xlpm.ligpartie + 3,
      MATCH(AG$1, _xlpm.joueurs, 0) + 1
    )
  ), ""
)</f>
        <v/>
      </c>
      <c r="AH163" t="str" cm="1">
        <f t="array" ref="AH163">IFERROR(
  _xlfn.LET(
    _xlpm.ligpartie, MATCH($B162, Donnees!$F:$F, 0),
    _xlpm.joueurs, INDEX(Donnees!$A:$Z, _xlpm.ligpartie+1, _xlfn.SEQUENCE(1, 4, 2)),
    INDEX(
      Donnees!$A:$Z,
      _xlpm.ligpartie + 3,
      MATCH(AH$1, _xlpm.joueurs, 0) + 1
    )
  ), ""
)</f>
        <v/>
      </c>
      <c r="AI163" t="str" cm="1">
        <f t="array" ref="AI163">IFERROR(
  _xlfn.LET(
    _xlpm.ligpartie, MATCH($B162, Donnees!$F:$F, 0),
    _xlpm.joueurs, INDEX(Donnees!$A:$Z, _xlpm.ligpartie+1, _xlfn.SEQUENCE(1, 4, 2)),
    INDEX(
      Donnees!$A:$Z,
      _xlpm.ligpartie + 3,
      MATCH(AI$1, _xlpm.joueurs, 0) + 1
    )
  ), ""
)</f>
        <v/>
      </c>
      <c r="AJ163" t="str" cm="1">
        <f t="array" ref="AJ163">IFERROR(
  _xlfn.LET(
    _xlpm.ligpartie, MATCH($B162, Donnees!$F:$F, 0),
    _xlpm.joueurs, INDEX(Donnees!$A:$Z, _xlpm.ligpartie+1, _xlfn.SEQUENCE(1, 4, 2)),
    INDEX(
      Donnees!$A:$Z,
      _xlpm.ligpartie + 3,
      MATCH(AJ$1, _xlpm.joueurs, 0) + 1
    )
  ), ""
)</f>
        <v/>
      </c>
      <c r="AK163" t="str" cm="1">
        <f t="array" ref="AK163">IFERROR(
  _xlfn.LET(
    _xlpm.ligpartie, MATCH($B162, Donnees!$F:$F, 0),
    _xlpm.joueurs, INDEX(Donnees!$A:$Z, _xlpm.ligpartie+1, _xlfn.SEQUENCE(1, 4, 2)),
    INDEX(
      Donnees!$A:$Z,
      _xlpm.ligpartie + 3,
      MATCH(AK$1, _xlpm.joueurs, 0) + 1
    )
  ), ""
)</f>
        <v/>
      </c>
      <c r="AL163" t="str" cm="1">
        <f t="array" ref="AL163">IFERROR(
  _xlfn.LET(
    _xlpm.ligpartie, MATCH($B162, Donnees!$F:$F, 0),
    _xlpm.joueurs, INDEX(Donnees!$A:$Z, _xlpm.ligpartie+1, _xlfn.SEQUENCE(1, 4, 2)),
    INDEX(
      Donnees!$A:$Z,
      _xlpm.ligpartie + 3,
      MATCH(AL$1, _xlpm.joueurs, 0) + 1
    )
  ), ""
)</f>
        <v/>
      </c>
      <c r="AM163" t="str" cm="1">
        <f t="array" ref="AM163">IFERROR(
  _xlfn.LET(
    _xlpm.ligpartie, MATCH($B162, Donnees!$F:$F, 0),
    _xlpm.joueurs, INDEX(Donnees!$A:$Z, _xlpm.ligpartie+1, _xlfn.SEQUENCE(1, 4, 2)),
    INDEX(
      Donnees!$A:$Z,
      _xlpm.ligpartie + 3,
      MATCH(AM$1, _xlpm.joueurs, 0) + 1
    )
  ), ""
)</f>
        <v/>
      </c>
    </row>
    <row r="164" spans="1:39" x14ac:dyDescent="0.25">
      <c r="A164" t="s">
        <v>20</v>
      </c>
      <c r="D164" t="str" cm="1">
        <f t="array" ref="D164">_xlfn.LET(
  _xlpm.colj, _xlfn._xlws.FILTER(IF(ISNUMBER(163:163), COLUMN(163:163)), ISNUMBER(163:163)),
  _xlpm.elos, INDEX(162:162,1,_xlpm.colj),
  _xlpm.diffscale, Constantes!$B$2,
  IF(D163="",
    "",
    SUM(1/(1+POWER(10,-(D162-_xlpm.elos)/_xlpm.diffscale)))-0.5)
)</f>
        <v/>
      </c>
      <c r="E164" t="str" cm="1">
        <f t="array" ref="E164">_xlfn.LET(
  _xlpm.colj, _xlfn._xlws.FILTER(IF(ISNUMBER(163:163), COLUMN(163:163)), ISNUMBER(163:163)),
  _xlpm.elos, INDEX(162:162,1,_xlpm.colj),
  _xlpm.diffscale, Constantes!$B$2,
  IF(E163="",
    "",
    SUM(1/(1+POWER(10,-(E162-_xlpm.elos)/_xlpm.diffscale)))-0.5)
)</f>
        <v/>
      </c>
      <c r="F164" t="str" cm="1">
        <f t="array" ref="F164">_xlfn.LET(
  _xlpm.colj, _xlfn._xlws.FILTER(IF(ISNUMBER(163:163), COLUMN(163:163)), ISNUMBER(163:163)),
  _xlpm.elos, INDEX(162:162,1,_xlpm.colj),
  _xlpm.diffscale, Constantes!$B$2,
  IF(F163="",
    "",
    SUM(1/(1+POWER(10,-(F162-_xlpm.elos)/_xlpm.diffscale)))-0.5)
)</f>
        <v/>
      </c>
      <c r="G164" t="str" cm="1">
        <f t="array" ref="G164">_xlfn.LET(
  _xlpm.colj, _xlfn._xlws.FILTER(IF(ISNUMBER(163:163), COLUMN(163:163)), ISNUMBER(163:163)),
  _xlpm.elos, INDEX(162:162,1,_xlpm.colj),
  _xlpm.diffscale, Constantes!$B$2,
  IF(G163="",
    "",
    SUM(1/(1+POWER(10,-(G162-_xlpm.elos)/_xlpm.diffscale)))-0.5)
)</f>
        <v/>
      </c>
      <c r="H164" t="str" cm="1">
        <f t="array" ref="H164">_xlfn.LET(
  _xlpm.colj, _xlfn._xlws.FILTER(IF(ISNUMBER(163:163), COLUMN(163:163)), ISNUMBER(163:163)),
  _xlpm.elos, INDEX(162:162,1,_xlpm.colj),
  _xlpm.diffscale, Constantes!$B$2,
  IF(H163="",
    "",
    SUM(1/(1+POWER(10,-(H162-_xlpm.elos)/_xlpm.diffscale)))-0.5)
)</f>
        <v/>
      </c>
      <c r="I164" t="str" cm="1">
        <f t="array" ref="I164">_xlfn.LET(
  _xlpm.colj, _xlfn._xlws.FILTER(IF(ISNUMBER(163:163), COLUMN(163:163)), ISNUMBER(163:163)),
  _xlpm.elos, INDEX(162:162,1,_xlpm.colj),
  _xlpm.diffscale, Constantes!$B$2,
  IF(I163="",
    "",
    SUM(1/(1+POWER(10,-(I162-_xlpm.elos)/_xlpm.diffscale)))-0.5)
)</f>
        <v/>
      </c>
      <c r="J164" t="str" cm="1">
        <f t="array" ref="J164">_xlfn.LET(
  _xlpm.colj, _xlfn._xlws.FILTER(IF(ISNUMBER(163:163), COLUMN(163:163)), ISNUMBER(163:163)),
  _xlpm.elos, INDEX(162:162,1,_xlpm.colj),
  _xlpm.diffscale, Constantes!$B$2,
  IF(J163="",
    "",
    SUM(1/(1+POWER(10,-(J162-_xlpm.elos)/_xlpm.diffscale)))-0.5)
)</f>
        <v/>
      </c>
      <c r="K164" t="str" cm="1">
        <f t="array" ref="K164">_xlfn.LET(
  _xlpm.colj, _xlfn._xlws.FILTER(IF(ISNUMBER(163:163), COLUMN(163:163)), ISNUMBER(163:163)),
  _xlpm.elos, INDEX(162:162,1,_xlpm.colj),
  _xlpm.diffscale, Constantes!$B$2,
  IF(K163="",
    "",
    SUM(1/(1+POWER(10,-(K162-_xlpm.elos)/_xlpm.diffscale)))-0.5)
)</f>
        <v/>
      </c>
      <c r="L164" t="str" cm="1">
        <f t="array" ref="L164">_xlfn.LET(
  _xlpm.colj, _xlfn._xlws.FILTER(IF(ISNUMBER(163:163), COLUMN(163:163)), ISNUMBER(163:163)),
  _xlpm.elos, INDEX(162:162,1,_xlpm.colj),
  _xlpm.diffscale, Constantes!$B$2,
  IF(L163="",
    "",
    SUM(1/(1+POWER(10,-(L162-_xlpm.elos)/_xlpm.diffscale)))-0.5)
)</f>
        <v/>
      </c>
      <c r="M164" t="str" cm="1">
        <f t="array" ref="M164">_xlfn.LET(
  _xlpm.colj, _xlfn._xlws.FILTER(IF(ISNUMBER(163:163), COLUMN(163:163)), ISNUMBER(163:163)),
  _xlpm.elos, INDEX(162:162,1,_xlpm.colj),
  _xlpm.diffscale, Constantes!$B$2,
  IF(M163="",
    "",
    SUM(1/(1+POWER(10,-(M162-_xlpm.elos)/_xlpm.diffscale)))-0.5)
)</f>
        <v/>
      </c>
      <c r="N164" t="str" cm="1">
        <f t="array" ref="N164">_xlfn.LET(
  _xlpm.colj, _xlfn._xlws.FILTER(IF(ISNUMBER(163:163), COLUMN(163:163)), ISNUMBER(163:163)),
  _xlpm.elos, INDEX(162:162,1,_xlpm.colj),
  _xlpm.diffscale, Constantes!$B$2,
  IF(N163="",
    "",
    SUM(1/(1+POWER(10,-(N162-_xlpm.elos)/_xlpm.diffscale)))-0.5)
)</f>
        <v/>
      </c>
      <c r="O164" t="str" cm="1">
        <f t="array" ref="O164">_xlfn.LET(
  _xlpm.colj, _xlfn._xlws.FILTER(IF(ISNUMBER(163:163), COLUMN(163:163)), ISNUMBER(163:163)),
  _xlpm.elos, INDEX(162:162,1,_xlpm.colj),
  _xlpm.diffscale, Constantes!$B$2,
  IF(O163="",
    "",
    SUM(1/(1+POWER(10,-(O162-_xlpm.elos)/_xlpm.diffscale)))-0.5)
)</f>
        <v/>
      </c>
      <c r="P164" t="str" cm="1">
        <f t="array" ref="P164">_xlfn.LET(
  _xlpm.colj, _xlfn._xlws.FILTER(IF(ISNUMBER(163:163), COLUMN(163:163)), ISNUMBER(163:163)),
  _xlpm.elos, INDEX(162:162,1,_xlpm.colj),
  _xlpm.diffscale, Constantes!$B$2,
  IF(P163="",
    "",
    SUM(1/(1+POWER(10,-(P162-_xlpm.elos)/_xlpm.diffscale)))-0.5)
)</f>
        <v/>
      </c>
      <c r="Q164" cm="1">
        <f t="array" ref="Q164">_xlfn.LET(
  _xlpm.colj, _xlfn._xlws.FILTER(IF(ISNUMBER(163:163), COLUMN(163:163)), ISNUMBER(163:163)),
  _xlpm.elos, INDEX(162:162,1,_xlpm.colj),
  _xlpm.diffscale, Constantes!$B$2,
  IF(Q163="",
    "",
    SUM(1/(1+POWER(10,-(Q162-_xlpm.elos)/_xlpm.diffscale)))-0.5)
)</f>
        <v>1.7838540173360675</v>
      </c>
      <c r="R164" t="str" cm="1">
        <f t="array" ref="R164">_xlfn.LET(
  _xlpm.colj, _xlfn._xlws.FILTER(IF(ISNUMBER(163:163), COLUMN(163:163)), ISNUMBER(163:163)),
  _xlpm.elos, INDEX(162:162,1,_xlpm.colj),
  _xlpm.diffscale, Constantes!$B$2,
  IF(R163="",
    "",
    SUM(1/(1+POWER(10,-(R162-_xlpm.elos)/_xlpm.diffscale)))-0.5)
)</f>
        <v/>
      </c>
      <c r="S164" cm="1">
        <f t="array" ref="S164">_xlfn.LET(
  _xlpm.colj, _xlfn._xlws.FILTER(IF(ISNUMBER(163:163), COLUMN(163:163)), ISNUMBER(163:163)),
  _xlpm.elos, INDEX(162:162,1,_xlpm.colj),
  _xlpm.diffscale, Constantes!$B$2,
  IF(S163="",
    "",
    SUM(1/(1+POWER(10,-(S162-_xlpm.elos)/_xlpm.diffscale)))-0.5)
)</f>
        <v>0.86664530668696993</v>
      </c>
      <c r="T164" t="str" cm="1">
        <f t="array" ref="T164">_xlfn.LET(
  _xlpm.colj, _xlfn._xlws.FILTER(IF(ISNUMBER(163:163), COLUMN(163:163)), ISNUMBER(163:163)),
  _xlpm.elos, INDEX(162:162,1,_xlpm.colj),
  _xlpm.diffscale, Constantes!$B$2,
  IF(T163="",
    "",
    SUM(1/(1+POWER(10,-(T162-_xlpm.elos)/_xlpm.diffscale)))-0.5)
)</f>
        <v/>
      </c>
      <c r="U164" cm="1">
        <f t="array" ref="U164">_xlfn.LET(
  _xlpm.colj, _xlfn._xlws.FILTER(IF(ISNUMBER(163:163), COLUMN(163:163)), ISNUMBER(163:163)),
  _xlpm.elos, INDEX(162:162,1,_xlpm.colj),
  _xlpm.diffscale, Constantes!$B$2,
  IF(U163="",
    "",
    SUM(1/(1+POWER(10,-(U162-_xlpm.elos)/_xlpm.diffscale)))-0.5)
)</f>
        <v>1.9646835922405383</v>
      </c>
      <c r="V164" t="str" cm="1">
        <f t="array" ref="V164">_xlfn.LET(
  _xlpm.colj, _xlfn._xlws.FILTER(IF(ISNUMBER(163:163), COLUMN(163:163)), ISNUMBER(163:163)),
  _xlpm.elos, INDEX(162:162,1,_xlpm.colj),
  _xlpm.diffscale, Constantes!$B$2,
  IF(V163="",
    "",
    SUM(1/(1+POWER(10,-(V162-_xlpm.elos)/_xlpm.diffscale)))-0.5)
)</f>
        <v/>
      </c>
      <c r="W164" t="str" cm="1">
        <f t="array" ref="W164">_xlfn.LET(
  _xlpm.colj, _xlfn._xlws.FILTER(IF(ISNUMBER(163:163), COLUMN(163:163)), ISNUMBER(163:163)),
  _xlpm.elos, INDEX(162:162,1,_xlpm.colj),
  _xlpm.diffscale, Constantes!$B$2,
  IF(W163="",
    "",
    SUM(1/(1+POWER(10,-(W162-_xlpm.elos)/_xlpm.diffscale)))-0.5)
)</f>
        <v/>
      </c>
      <c r="X164" t="str" cm="1">
        <f t="array" ref="X164">_xlfn.LET(
  _xlpm.colj, _xlfn._xlws.FILTER(IF(ISNUMBER(163:163), COLUMN(163:163)), ISNUMBER(163:163)),
  _xlpm.elos, INDEX(162:162,1,_xlpm.colj),
  _xlpm.diffscale, Constantes!$B$2,
  IF(X163="",
    "",
    SUM(1/(1+POWER(10,-(X162-_xlpm.elos)/_xlpm.diffscale)))-0.5)
)</f>
        <v/>
      </c>
      <c r="Y164" t="str" cm="1">
        <f t="array" ref="Y164">_xlfn.LET(
  _xlpm.colj, _xlfn._xlws.FILTER(IF(ISNUMBER(163:163), COLUMN(163:163)), ISNUMBER(163:163)),
  _xlpm.elos, INDEX(162:162,1,_xlpm.colj),
  _xlpm.diffscale, Constantes!$B$2,
  IF(Y163="",
    "",
    SUM(1/(1+POWER(10,-(Y162-_xlpm.elos)/_xlpm.diffscale)))-0.5)
)</f>
        <v/>
      </c>
      <c r="Z164" t="str" cm="1">
        <f t="array" ref="Z164">_xlfn.LET(
  _xlpm.colj, _xlfn._xlws.FILTER(IF(ISNUMBER(163:163), COLUMN(163:163)), ISNUMBER(163:163)),
  _xlpm.elos, INDEX(162:162,1,_xlpm.colj),
  _xlpm.diffscale, Constantes!$B$2,
  IF(Z163="",
    "",
    SUM(1/(1+POWER(10,-(Z162-_xlpm.elos)/_xlpm.diffscale)))-0.5)
)</f>
        <v/>
      </c>
      <c r="AA164" t="str" cm="1">
        <f t="array" ref="AA164">_xlfn.LET(
  _xlpm.colj, _xlfn._xlws.FILTER(IF(ISNUMBER(163:163), COLUMN(163:163)), ISNUMBER(163:163)),
  _xlpm.elos, INDEX(162:162,1,_xlpm.colj),
  _xlpm.diffscale, Constantes!$B$2,
  IF(AA163="",
    "",
    SUM(1/(1+POWER(10,-(AA162-_xlpm.elos)/_xlpm.diffscale)))-0.5)
)</f>
        <v/>
      </c>
      <c r="AB164" t="str" cm="1">
        <f t="array" ref="AB164">_xlfn.LET(
  _xlpm.colj, _xlfn._xlws.FILTER(IF(ISNUMBER(163:163), COLUMN(163:163)), ISNUMBER(163:163)),
  _xlpm.elos, INDEX(162:162,1,_xlpm.colj),
  _xlpm.diffscale, Constantes!$B$2,
  IF(AB163="",
    "",
    SUM(1/(1+POWER(10,-(AB162-_xlpm.elos)/_xlpm.diffscale)))-0.5)
)</f>
        <v/>
      </c>
      <c r="AC164" cm="1">
        <f t="array" ref="AC164">_xlfn.LET(
  _xlpm.colj, _xlfn._xlws.FILTER(IF(ISNUMBER(163:163), COLUMN(163:163)), ISNUMBER(163:163)),
  _xlpm.elos, INDEX(162:162,1,_xlpm.colj),
  _xlpm.diffscale, Constantes!$B$2,
  IF(AC163="",
    "",
    SUM(1/(1+POWER(10,-(AC162-_xlpm.elos)/_xlpm.diffscale)))-0.5)
)</f>
        <v>1.384817083736424</v>
      </c>
      <c r="AD164" t="str" cm="1">
        <f t="array" ref="AD164">_xlfn.LET(
  _xlpm.colj, _xlfn._xlws.FILTER(IF(ISNUMBER(163:163), COLUMN(163:163)), ISNUMBER(163:163)),
  _xlpm.elos, INDEX(162:162,1,_xlpm.colj),
  _xlpm.diffscale, Constantes!$B$2,
  IF(AD163="",
    "",
    SUM(1/(1+POWER(10,-(AD162-_xlpm.elos)/_xlpm.diffscale)))-0.5)
)</f>
        <v/>
      </c>
      <c r="AE164" t="str" cm="1">
        <f t="array" ref="AE164">_xlfn.LET(
  _xlpm.colj, _xlfn._xlws.FILTER(IF(ISNUMBER(163:163), COLUMN(163:163)), ISNUMBER(163:163)),
  _xlpm.elos, INDEX(162:162,1,_xlpm.colj),
  _xlpm.diffscale, Constantes!$B$2,
  IF(AE163="",
    "",
    SUM(1/(1+POWER(10,-(AE162-_xlpm.elos)/_xlpm.diffscale)))-0.5)
)</f>
        <v/>
      </c>
      <c r="AF164" t="str" cm="1">
        <f t="array" ref="AF164">_xlfn.LET(
  _xlpm.colj, _xlfn._xlws.FILTER(IF(ISNUMBER(163:163), COLUMN(163:163)), ISNUMBER(163:163)),
  _xlpm.elos, INDEX(162:162,1,_xlpm.colj),
  _xlpm.diffscale, Constantes!$B$2,
  IF(AF163="",
    "",
    SUM(1/(1+POWER(10,-(AF162-_xlpm.elos)/_xlpm.diffscale)))-0.5)
)</f>
        <v/>
      </c>
      <c r="AG164" t="str" cm="1">
        <f t="array" ref="AG164">_xlfn.LET(
  _xlpm.colj, _xlfn._xlws.FILTER(IF(ISNUMBER(163:163), COLUMN(163:163)), ISNUMBER(163:163)),
  _xlpm.elos, INDEX(162:162,1,_xlpm.colj),
  _xlpm.diffscale, Constantes!$B$2,
  IF(AG163="",
    "",
    SUM(1/(1+POWER(10,-(AG162-_xlpm.elos)/_xlpm.diffscale)))-0.5)
)</f>
        <v/>
      </c>
      <c r="AH164" t="str" cm="1">
        <f t="array" ref="AH164">_xlfn.LET(
  _xlpm.colj, _xlfn._xlws.FILTER(IF(ISNUMBER(163:163), COLUMN(163:163)), ISNUMBER(163:163)),
  _xlpm.elos, INDEX(162:162,1,_xlpm.colj),
  _xlpm.diffscale, Constantes!$B$2,
  IF(AH163="",
    "",
    SUM(1/(1+POWER(10,-(AH162-_xlpm.elos)/_xlpm.diffscale)))-0.5)
)</f>
        <v/>
      </c>
      <c r="AI164" t="str" cm="1">
        <f t="array" ref="AI164">_xlfn.LET(
  _xlpm.colj, _xlfn._xlws.FILTER(IF(ISNUMBER(163:163), COLUMN(163:163)), ISNUMBER(163:163)),
  _xlpm.elos, INDEX(162:162,1,_xlpm.colj),
  _xlpm.diffscale, Constantes!$B$2,
  IF(AI163="",
    "",
    SUM(1/(1+POWER(10,-(AI162-_xlpm.elos)/_xlpm.diffscale)))-0.5)
)</f>
        <v/>
      </c>
      <c r="AJ164" t="str" cm="1">
        <f t="array" ref="AJ164">_xlfn.LET(
  _xlpm.colj, _xlfn._xlws.FILTER(IF(ISNUMBER(163:163), COLUMN(163:163)), ISNUMBER(163:163)),
  _xlpm.elos, INDEX(162:162,1,_xlpm.colj),
  _xlpm.diffscale, Constantes!$B$2,
  IF(AJ163="",
    "",
    SUM(1/(1+POWER(10,-(AJ162-_xlpm.elos)/_xlpm.diffscale)))-0.5)
)</f>
        <v/>
      </c>
      <c r="AK164" t="str" cm="1">
        <f t="array" ref="AK164">_xlfn.LET(
  _xlpm.colj, _xlfn._xlws.FILTER(IF(ISNUMBER(163:163), COLUMN(163:163)), ISNUMBER(163:163)),
  _xlpm.elos, INDEX(162:162,1,_xlpm.colj),
  _xlpm.diffscale, Constantes!$B$2,
  IF(AK163="",
    "",
    SUM(1/(1+POWER(10,-(AK162-_xlpm.elos)/_xlpm.diffscale)))-0.5)
)</f>
        <v/>
      </c>
      <c r="AL164" t="str" cm="1">
        <f t="array" ref="AL164">_xlfn.LET(
  _xlpm.colj, _xlfn._xlws.FILTER(IF(ISNUMBER(163:163), COLUMN(163:163)), ISNUMBER(163:163)),
  _xlpm.elos, INDEX(162:162,1,_xlpm.colj),
  _xlpm.diffscale, Constantes!$B$2,
  IF(AL163="",
    "",
    SUM(1/(1+POWER(10,-(AL162-_xlpm.elos)/_xlpm.diffscale)))-0.5)
)</f>
        <v/>
      </c>
      <c r="AM164" t="str" cm="1">
        <f t="array" ref="AM164">_xlfn.LET(
  _xlpm.colj, _xlfn._xlws.FILTER(IF(ISNUMBER(163:163), COLUMN(163:163)), ISNUMBER(163:163)),
  _xlpm.elos, INDEX(162:162,1,_xlpm.colj),
  _xlpm.diffscale, Constantes!$B$2,
  IF(AM163="",
    "",
    SUM(1/(1+POWER(10,-(AM162-_xlpm.elos)/_xlpm.diffscale)))-0.5)
)</f>
        <v/>
      </c>
    </row>
    <row r="165" spans="1:39" x14ac:dyDescent="0.25">
      <c r="A165" t="s">
        <v>22</v>
      </c>
      <c r="D165" t="str" cm="1">
        <f t="array" ref="D165">_xlfn.LET(
  _xlpm.K, Constantes!$B$3,
  _xlpm.Knewgain, Constantes!$B$4,
  _xlpm.Knewscale, Constantes!$B$5,
  _xlpm.ptstables, INDEX(D:D, _xlfn.SEQUENCE(COUNTA($C$2:$C165), 1, 3, 4)),
  _xlpm.nbparties, COUNTA(_xlfn._xlws.FILTER(_xlpm.ptstables, _xlpm.ptstables &lt;&gt; "")),
  _xlpm.coef, _xlpm.K + _xlpm.Knewgain / (_xlpm.Knewscale + _xlpm.nbparties),
  IF(D163="",
    "",
    _xlpm.coef * (D163-D164))
)</f>
        <v/>
      </c>
      <c r="E165" t="str" cm="1">
        <f t="array" ref="E165">_xlfn.LET(
  _xlpm.K, Constantes!$B$3,
  _xlpm.Knewgain, Constantes!$B$4,
  _xlpm.Knewscale, Constantes!$B$5,
  _xlpm.ptstables, INDEX(E:E, _xlfn.SEQUENCE(COUNTA($C$2:$C165), 1, 3, 4)),
  _xlpm.nbparties, COUNTA(_xlfn._xlws.FILTER(_xlpm.ptstables, _xlpm.ptstables &lt;&gt; "")),
  _xlpm.coef, _xlpm.K + _xlpm.Knewgain / (_xlpm.Knewscale + _xlpm.nbparties),
  IF(E163="",
    "",
    _xlpm.coef * (E163-E164))
)</f>
        <v/>
      </c>
      <c r="F165" t="str" cm="1">
        <f t="array" ref="F165">_xlfn.LET(
  _xlpm.K, Constantes!$B$3,
  _xlpm.Knewgain, Constantes!$B$4,
  _xlpm.Knewscale, Constantes!$B$5,
  _xlpm.ptstables, INDEX(F:F, _xlfn.SEQUENCE(COUNTA($C$2:$C165), 1, 3, 4)),
  _xlpm.nbparties, COUNTA(_xlfn._xlws.FILTER(_xlpm.ptstables, _xlpm.ptstables &lt;&gt; "")),
  _xlpm.coef, _xlpm.K + _xlpm.Knewgain / (_xlpm.Knewscale + _xlpm.nbparties),
  IF(F163="",
    "",
    _xlpm.coef * (F163-F164))
)</f>
        <v/>
      </c>
      <c r="G165" t="str" cm="1">
        <f t="array" ref="G165">_xlfn.LET(
  _xlpm.K, Constantes!$B$3,
  _xlpm.Knewgain, Constantes!$B$4,
  _xlpm.Knewscale, Constantes!$B$5,
  _xlpm.ptstables, INDEX(G:G, _xlfn.SEQUENCE(COUNTA($C$2:$C165), 1, 3, 4)),
  _xlpm.nbparties, COUNTA(_xlfn._xlws.FILTER(_xlpm.ptstables, _xlpm.ptstables &lt;&gt; "")),
  _xlpm.coef, _xlpm.K + _xlpm.Knewgain / (_xlpm.Knewscale + _xlpm.nbparties),
  IF(G163="",
    "",
    _xlpm.coef * (G163-G164))
)</f>
        <v/>
      </c>
      <c r="H165" t="str" cm="1">
        <f t="array" ref="H165">_xlfn.LET(
  _xlpm.K, Constantes!$B$3,
  _xlpm.Knewgain, Constantes!$B$4,
  _xlpm.Knewscale, Constantes!$B$5,
  _xlpm.ptstables, INDEX(H:H, _xlfn.SEQUENCE(COUNTA($C$2:$C165), 1, 3, 4)),
  _xlpm.nbparties, COUNTA(_xlfn._xlws.FILTER(_xlpm.ptstables, _xlpm.ptstables &lt;&gt; "")),
  _xlpm.coef, _xlpm.K + _xlpm.Knewgain / (_xlpm.Knewscale + _xlpm.nbparties),
  IF(H163="",
    "",
    _xlpm.coef * (H163-H164))
)</f>
        <v/>
      </c>
      <c r="I165" t="str" cm="1">
        <f t="array" ref="I165">_xlfn.LET(
  _xlpm.K, Constantes!$B$3,
  _xlpm.Knewgain, Constantes!$B$4,
  _xlpm.Knewscale, Constantes!$B$5,
  _xlpm.ptstables, INDEX(I:I, _xlfn.SEQUENCE(COUNTA($C$2:$C165), 1, 3, 4)),
  _xlpm.nbparties, COUNTA(_xlfn._xlws.FILTER(_xlpm.ptstables, _xlpm.ptstables &lt;&gt; "")),
  _xlpm.coef, _xlpm.K + _xlpm.Knewgain / (_xlpm.Knewscale + _xlpm.nbparties),
  IF(I163="",
    "",
    _xlpm.coef * (I163-I164))
)</f>
        <v/>
      </c>
      <c r="J165" t="str" cm="1">
        <f t="array" ref="J165">_xlfn.LET(
  _xlpm.K, Constantes!$B$3,
  _xlpm.Knewgain, Constantes!$B$4,
  _xlpm.Knewscale, Constantes!$B$5,
  _xlpm.ptstables, INDEX(J:J, _xlfn.SEQUENCE(COUNTA($C$2:$C165), 1, 3, 4)),
  _xlpm.nbparties, COUNTA(_xlfn._xlws.FILTER(_xlpm.ptstables, _xlpm.ptstables &lt;&gt; "")),
  _xlpm.coef, _xlpm.K + _xlpm.Knewgain / (_xlpm.Knewscale + _xlpm.nbparties),
  IF(J163="",
    "",
    _xlpm.coef * (J163-J164))
)</f>
        <v/>
      </c>
      <c r="K165" t="str" cm="1">
        <f t="array" ref="K165">_xlfn.LET(
  _xlpm.K, Constantes!$B$3,
  _xlpm.Knewgain, Constantes!$B$4,
  _xlpm.Knewscale, Constantes!$B$5,
  _xlpm.ptstables, INDEX(K:K, _xlfn.SEQUENCE(COUNTA($C$2:$C165), 1, 3, 4)),
  _xlpm.nbparties, COUNTA(_xlfn._xlws.FILTER(_xlpm.ptstables, _xlpm.ptstables &lt;&gt; "")),
  _xlpm.coef, _xlpm.K + _xlpm.Knewgain / (_xlpm.Knewscale + _xlpm.nbparties),
  IF(K163="",
    "",
    _xlpm.coef * (K163-K164))
)</f>
        <v/>
      </c>
      <c r="L165" t="str" cm="1">
        <f t="array" ref="L165">_xlfn.LET(
  _xlpm.K, Constantes!$B$3,
  _xlpm.Knewgain, Constantes!$B$4,
  _xlpm.Knewscale, Constantes!$B$5,
  _xlpm.ptstables, INDEX(L:L, _xlfn.SEQUENCE(COUNTA($C$2:$C165), 1, 3, 4)),
  _xlpm.nbparties, COUNTA(_xlfn._xlws.FILTER(_xlpm.ptstables, _xlpm.ptstables &lt;&gt; "")),
  _xlpm.coef, _xlpm.K + _xlpm.Knewgain / (_xlpm.Knewscale + _xlpm.nbparties),
  IF(L163="",
    "",
    _xlpm.coef * (L163-L164))
)</f>
        <v/>
      </c>
      <c r="M165" t="str" cm="1">
        <f t="array" ref="M165">_xlfn.LET(
  _xlpm.K, Constantes!$B$3,
  _xlpm.Knewgain, Constantes!$B$4,
  _xlpm.Knewscale, Constantes!$B$5,
  _xlpm.ptstables, INDEX(M:M, _xlfn.SEQUENCE(COUNTA($C$2:$C165), 1, 3, 4)),
  _xlpm.nbparties, COUNTA(_xlfn._xlws.FILTER(_xlpm.ptstables, _xlpm.ptstables &lt;&gt; "")),
  _xlpm.coef, _xlpm.K + _xlpm.Knewgain / (_xlpm.Knewscale + _xlpm.nbparties),
  IF(M163="",
    "",
    _xlpm.coef * (M163-M164))
)</f>
        <v/>
      </c>
      <c r="N165" t="str" cm="1">
        <f t="array" ref="N165">_xlfn.LET(
  _xlpm.K, Constantes!$B$3,
  _xlpm.Knewgain, Constantes!$B$4,
  _xlpm.Knewscale, Constantes!$B$5,
  _xlpm.ptstables, INDEX(N:N, _xlfn.SEQUENCE(COUNTA($C$2:$C165), 1, 3, 4)),
  _xlpm.nbparties, COUNTA(_xlfn._xlws.FILTER(_xlpm.ptstables, _xlpm.ptstables &lt;&gt; "")),
  _xlpm.coef, _xlpm.K + _xlpm.Knewgain / (_xlpm.Knewscale + _xlpm.nbparties),
  IF(N163="",
    "",
    _xlpm.coef * (N163-N164))
)</f>
        <v/>
      </c>
      <c r="O165" t="str" cm="1">
        <f t="array" ref="O165">_xlfn.LET(
  _xlpm.K, Constantes!$B$3,
  _xlpm.Knewgain, Constantes!$B$4,
  _xlpm.Knewscale, Constantes!$B$5,
  _xlpm.ptstables, INDEX(O:O, _xlfn.SEQUENCE(COUNTA($C$2:$C165), 1, 3, 4)),
  _xlpm.nbparties, COUNTA(_xlfn._xlws.FILTER(_xlpm.ptstables, _xlpm.ptstables &lt;&gt; "")),
  _xlpm.coef, _xlpm.K + _xlpm.Knewgain / (_xlpm.Knewscale + _xlpm.nbparties),
  IF(O163="",
    "",
    _xlpm.coef * (O163-O164))
)</f>
        <v/>
      </c>
      <c r="P165" t="str" cm="1">
        <f t="array" ref="P165">_xlfn.LET(
  _xlpm.K, Constantes!$B$3,
  _xlpm.Knewgain, Constantes!$B$4,
  _xlpm.Knewscale, Constantes!$B$5,
  _xlpm.ptstables, INDEX(P:P, _xlfn.SEQUENCE(COUNTA($C$2:$C165), 1, 3, 4)),
  _xlpm.nbparties, COUNTA(_xlfn._xlws.FILTER(_xlpm.ptstables, _xlpm.ptstables &lt;&gt; "")),
  _xlpm.coef, _xlpm.K + _xlpm.Knewgain / (_xlpm.Knewscale + _xlpm.nbparties),
  IF(P163="",
    "",
    _xlpm.coef * (P163-P164))
)</f>
        <v/>
      </c>
      <c r="Q165" cm="1">
        <f t="array" ref="Q165">_xlfn.LET(
  _xlpm.K, Constantes!$B$3,
  _xlpm.Knewgain, Constantes!$B$4,
  _xlpm.Knewscale, Constantes!$B$5,
  _xlpm.ptstables, INDEX(Q:Q, _xlfn.SEQUENCE(COUNTA($C$2:$C165), 1, 3, 4)),
  _xlpm.nbparties, COUNTA(_xlfn._xlws.FILTER(_xlpm.ptstables, _xlpm.ptstables &lt;&gt; "")),
  _xlpm.coef, _xlpm.K + _xlpm.Knewgain / (_xlpm.Knewscale + _xlpm.nbparties),
  IF(Q163="",
    "",
    _xlpm.coef * (Q163-Q164))
)</f>
        <v>30.403649566598311</v>
      </c>
      <c r="R165" t="str" cm="1">
        <f t="array" ref="R165">_xlfn.LET(
  _xlpm.K, Constantes!$B$3,
  _xlpm.Knewgain, Constantes!$B$4,
  _xlpm.Knewscale, Constantes!$B$5,
  _xlpm.ptstables, INDEX(R:R, _xlfn.SEQUENCE(COUNTA($C$2:$C165), 1, 3, 4)),
  _xlpm.nbparties, COUNTA(_xlfn._xlws.FILTER(_xlpm.ptstables, _xlpm.ptstables &lt;&gt; "")),
  _xlpm.coef, _xlpm.K + _xlpm.Knewgain / (_xlpm.Knewscale + _xlpm.nbparties),
  IF(R163="",
    "",
    _xlpm.coef * (R163-R164))
)</f>
        <v/>
      </c>
      <c r="S165" cm="1">
        <f t="array" ref="S165">_xlfn.LET(
  _xlpm.K, Constantes!$B$3,
  _xlpm.Knewgain, Constantes!$B$4,
  _xlpm.Knewscale, Constantes!$B$5,
  _xlpm.ptstables, INDEX(S:S, _xlfn.SEQUENCE(COUNTA($C$2:$C165), 1, 3, 4)),
  _xlpm.nbparties, COUNTA(_xlfn._xlws.FILTER(_xlpm.ptstables, _xlpm.ptstables &lt;&gt; "")),
  _xlpm.coef, _xlpm.K + _xlpm.Knewgain / (_xlpm.Knewscale + _xlpm.nbparties),
  IF(S163="",
    "",
    _xlpm.coef * (S163-S164))
)</f>
        <v>-21.272202982316536</v>
      </c>
      <c r="T165" t="str" cm="1">
        <f t="array" ref="T165">_xlfn.LET(
  _xlpm.K, Constantes!$B$3,
  _xlpm.Knewgain, Constantes!$B$4,
  _xlpm.Knewscale, Constantes!$B$5,
  _xlpm.ptstables, INDEX(T:T, _xlfn.SEQUENCE(COUNTA($C$2:$C165), 1, 3, 4)),
  _xlpm.nbparties, COUNTA(_xlfn._xlws.FILTER(_xlpm.ptstables, _xlpm.ptstables &lt;&gt; "")),
  _xlpm.coef, _xlpm.K + _xlpm.Knewgain / (_xlpm.Knewscale + _xlpm.nbparties),
  IF(T163="",
    "",
    _xlpm.coef * (T163-T164))
)</f>
        <v/>
      </c>
      <c r="U165" cm="1">
        <f t="array" ref="U165">_xlfn.LET(
  _xlpm.K, Constantes!$B$3,
  _xlpm.Knewgain, Constantes!$B$4,
  _xlpm.Knewscale, Constantes!$B$5,
  _xlpm.ptstables, INDEX(U:U, _xlfn.SEQUENCE(COUNTA($C$2:$C165), 1, 3, 4)),
  _xlpm.nbparties, COUNTA(_xlfn._xlws.FILTER(_xlpm.ptstables, _xlpm.ptstables &lt;&gt; "")),
  _xlpm.coef, _xlpm.K + _xlpm.Knewgain / (_xlpm.Knewscale + _xlpm.nbparties),
  IF(U163="",
    "",
    _xlpm.coef * (U163-U164))
)</f>
        <v>0.85347985418699002</v>
      </c>
      <c r="V165" t="str" cm="1">
        <f t="array" ref="V165">_xlfn.LET(
  _xlpm.K, Constantes!$B$3,
  _xlpm.Knewgain, Constantes!$B$4,
  _xlpm.Knewscale, Constantes!$B$5,
  _xlpm.ptstables, INDEX(V:V, _xlfn.SEQUENCE(COUNTA($C$2:$C165), 1, 3, 4)),
  _xlpm.nbparties, COUNTA(_xlfn._xlws.FILTER(_xlpm.ptstables, _xlpm.ptstables &lt;&gt; "")),
  _xlpm.coef, _xlpm.K + _xlpm.Knewgain / (_xlpm.Knewscale + _xlpm.nbparties),
  IF(V163="",
    "",
    _xlpm.coef * (V163-V164))
)</f>
        <v/>
      </c>
      <c r="W165" t="str" cm="1">
        <f t="array" ref="W165">_xlfn.LET(
  _xlpm.K, Constantes!$B$3,
  _xlpm.Knewgain, Constantes!$B$4,
  _xlpm.Knewscale, Constantes!$B$5,
  _xlpm.ptstables, INDEX(W:W, _xlfn.SEQUENCE(COUNTA($C$2:$C165), 1, 3, 4)),
  _xlpm.nbparties, COUNTA(_xlfn._xlws.FILTER(_xlpm.ptstables, _xlpm.ptstables &lt;&gt; "")),
  _xlpm.coef, _xlpm.K + _xlpm.Knewgain / (_xlpm.Knewscale + _xlpm.nbparties),
  IF(W163="",
    "",
    _xlpm.coef * (W163-W164))
)</f>
        <v/>
      </c>
      <c r="X165" t="str" cm="1">
        <f t="array" ref="X165">_xlfn.LET(
  _xlpm.K, Constantes!$B$3,
  _xlpm.Knewgain, Constantes!$B$4,
  _xlpm.Knewscale, Constantes!$B$5,
  _xlpm.ptstables, INDEX(X:X, _xlfn.SEQUENCE(COUNTA($C$2:$C165), 1, 3, 4)),
  _xlpm.nbparties, COUNTA(_xlfn._xlws.FILTER(_xlpm.ptstables, _xlpm.ptstables &lt;&gt; "")),
  _xlpm.coef, _xlpm.K + _xlpm.Knewgain / (_xlpm.Knewscale + _xlpm.nbparties),
  IF(X163="",
    "",
    _xlpm.coef * (X163-X164))
)</f>
        <v/>
      </c>
      <c r="Y165" t="str" cm="1">
        <f t="array" ref="Y165">_xlfn.LET(
  _xlpm.K, Constantes!$B$3,
  _xlpm.Knewgain, Constantes!$B$4,
  _xlpm.Knewscale, Constantes!$B$5,
  _xlpm.ptstables, INDEX(Y:Y, _xlfn.SEQUENCE(COUNTA($C$2:$C165), 1, 3, 4)),
  _xlpm.nbparties, COUNTA(_xlfn._xlws.FILTER(_xlpm.ptstables, _xlpm.ptstables &lt;&gt; "")),
  _xlpm.coef, _xlpm.K + _xlpm.Knewgain / (_xlpm.Knewscale + _xlpm.nbparties),
  IF(Y163="",
    "",
    _xlpm.coef * (Y163-Y164))
)</f>
        <v/>
      </c>
      <c r="Z165" t="str" cm="1">
        <f t="array" ref="Z165">_xlfn.LET(
  _xlpm.K, Constantes!$B$3,
  _xlpm.Knewgain, Constantes!$B$4,
  _xlpm.Knewscale, Constantes!$B$5,
  _xlpm.ptstables, INDEX(Z:Z, _xlfn.SEQUENCE(COUNTA($C$2:$C165), 1, 3, 4)),
  _xlpm.nbparties, COUNTA(_xlfn._xlws.FILTER(_xlpm.ptstables, _xlpm.ptstables &lt;&gt; "")),
  _xlpm.coef, _xlpm.K + _xlpm.Knewgain / (_xlpm.Knewscale + _xlpm.nbparties),
  IF(Z163="",
    "",
    _xlpm.coef * (Z163-Z164))
)</f>
        <v/>
      </c>
      <c r="AA165" t="str" cm="1">
        <f t="array" ref="AA165">_xlfn.LET(
  _xlpm.K, Constantes!$B$3,
  _xlpm.Knewgain, Constantes!$B$4,
  _xlpm.Knewscale, Constantes!$B$5,
  _xlpm.ptstables, INDEX(AA:AA, _xlfn.SEQUENCE(COUNTA($C$2:$C165), 1, 3, 4)),
  _xlpm.nbparties, COUNTA(_xlfn._xlws.FILTER(_xlpm.ptstables, _xlpm.ptstables &lt;&gt; "")),
  _xlpm.coef, _xlpm.K + _xlpm.Knewgain / (_xlpm.Knewscale + _xlpm.nbparties),
  IF(AA163="",
    "",
    _xlpm.coef * (AA163-AA164))
)</f>
        <v/>
      </c>
      <c r="AB165" t="str" cm="1">
        <f t="array" ref="AB165">_xlfn.LET(
  _xlpm.K, Constantes!$B$3,
  _xlpm.Knewgain, Constantes!$B$4,
  _xlpm.Knewscale, Constantes!$B$5,
  _xlpm.ptstables, INDEX(AB:AB, _xlfn.SEQUENCE(COUNTA($C$2:$C165), 1, 3, 4)),
  _xlpm.nbparties, COUNTA(_xlfn._xlws.FILTER(_xlpm.ptstables, _xlpm.ptstables &lt;&gt; "")),
  _xlpm.coef, _xlpm.K + _xlpm.Knewgain / (_xlpm.Knewscale + _xlpm.nbparties),
  IF(AB163="",
    "",
    _xlpm.coef * (AB163-AB164))
)</f>
        <v/>
      </c>
      <c r="AC165" cm="1">
        <f t="array" ref="AC165">_xlfn.LET(
  _xlpm.K, Constantes!$B$3,
  _xlpm.Knewgain, Constantes!$B$4,
  _xlpm.Knewscale, Constantes!$B$5,
  _xlpm.ptstables, INDEX(AC:AC, _xlfn.SEQUENCE(COUNTA($C$2:$C165), 1, 3, 4)),
  _xlpm.nbparties, COUNTA(_xlfn._xlws.FILTER(_xlpm.ptstables, _xlpm.ptstables &lt;&gt; "")),
  _xlpm.coef, _xlpm.K + _xlpm.Knewgain / (_xlpm.Knewscale + _xlpm.nbparties),
  IF(AC163="",
    "",
    _xlpm.coef * (AC163-AC164))
)</f>
        <v>-14.109959737002214</v>
      </c>
      <c r="AD165" t="str" cm="1">
        <f t="array" ref="AD165">_xlfn.LET(
  _xlpm.K, Constantes!$B$3,
  _xlpm.Knewgain, Constantes!$B$4,
  _xlpm.Knewscale, Constantes!$B$5,
  _xlpm.ptstables, INDEX(AD:AD, _xlfn.SEQUENCE(COUNTA($C$2:$C165), 1, 3, 4)),
  _xlpm.nbparties, COUNTA(_xlfn._xlws.FILTER(_xlpm.ptstables, _xlpm.ptstables &lt;&gt; "")),
  _xlpm.coef, _xlpm.K + _xlpm.Knewgain / (_xlpm.Knewscale + _xlpm.nbparties),
  IF(AD163="",
    "",
    _xlpm.coef * (AD163-AD164))
)</f>
        <v/>
      </c>
      <c r="AE165" t="str" cm="1">
        <f t="array" ref="AE165">_xlfn.LET(
  _xlpm.K, Constantes!$B$3,
  _xlpm.Knewgain, Constantes!$B$4,
  _xlpm.Knewscale, Constantes!$B$5,
  _xlpm.ptstables, INDEX(AE:AE, _xlfn.SEQUENCE(COUNTA($C$2:$C165), 1, 3, 4)),
  _xlpm.nbparties, COUNTA(_xlfn._xlws.FILTER(_xlpm.ptstables, _xlpm.ptstables &lt;&gt; "")),
  _xlpm.coef, _xlpm.K + _xlpm.Knewgain / (_xlpm.Knewscale + _xlpm.nbparties),
  IF(AE163="",
    "",
    _xlpm.coef * (AE163-AE164))
)</f>
        <v/>
      </c>
      <c r="AF165" t="str" cm="1">
        <f t="array" ref="AF165">_xlfn.LET(
  _xlpm.K, Constantes!$B$3,
  _xlpm.Knewgain, Constantes!$B$4,
  _xlpm.Knewscale, Constantes!$B$5,
  _xlpm.ptstables, INDEX(AF:AF, _xlfn.SEQUENCE(COUNTA($C$2:$C165), 1, 3, 4)),
  _xlpm.nbparties, COUNTA(_xlfn._xlws.FILTER(_xlpm.ptstables, _xlpm.ptstables &lt;&gt; "")),
  _xlpm.coef, _xlpm.K + _xlpm.Knewgain / (_xlpm.Knewscale + _xlpm.nbparties),
  IF(AF163="",
    "",
    _xlpm.coef * (AF163-AF164))
)</f>
        <v/>
      </c>
      <c r="AG165" t="str" cm="1">
        <f t="array" ref="AG165">_xlfn.LET(
  _xlpm.K, Constantes!$B$3,
  _xlpm.Knewgain, Constantes!$B$4,
  _xlpm.Knewscale, Constantes!$B$5,
  _xlpm.ptstables, INDEX(AG:AG, _xlfn.SEQUENCE(COUNTA($C$2:$C165), 1, 3, 4)),
  _xlpm.nbparties, COUNTA(_xlfn._xlws.FILTER(_xlpm.ptstables, _xlpm.ptstables &lt;&gt; "")),
  _xlpm.coef, _xlpm.K + _xlpm.Knewgain / (_xlpm.Knewscale + _xlpm.nbparties),
  IF(AG163="",
    "",
    _xlpm.coef * (AG163-AG164))
)</f>
        <v/>
      </c>
      <c r="AH165" t="str" cm="1">
        <f t="array" ref="AH165">_xlfn.LET(
  _xlpm.K, Constantes!$B$3,
  _xlpm.Knewgain, Constantes!$B$4,
  _xlpm.Knewscale, Constantes!$B$5,
  _xlpm.ptstables, INDEX(AH:AH, _xlfn.SEQUENCE(COUNTA($C$2:$C165), 1, 3, 4)),
  _xlpm.nbparties, COUNTA(_xlfn._xlws.FILTER(_xlpm.ptstables, _xlpm.ptstables &lt;&gt; "")),
  _xlpm.coef, _xlpm.K + _xlpm.Knewgain / (_xlpm.Knewscale + _xlpm.nbparties),
  IF(AH163="",
    "",
    _xlpm.coef * (AH163-AH164))
)</f>
        <v/>
      </c>
      <c r="AI165" t="str" cm="1">
        <f t="array" ref="AI165">_xlfn.LET(
  _xlpm.K, Constantes!$B$3,
  _xlpm.Knewgain, Constantes!$B$4,
  _xlpm.Knewscale, Constantes!$B$5,
  _xlpm.ptstables, INDEX(AI:AI, _xlfn.SEQUENCE(COUNTA($C$2:$C165), 1, 3, 4)),
  _xlpm.nbparties, COUNTA(_xlfn._xlws.FILTER(_xlpm.ptstables, _xlpm.ptstables &lt;&gt; "")),
  _xlpm.coef, _xlpm.K + _xlpm.Knewgain / (_xlpm.Knewscale + _xlpm.nbparties),
  IF(AI163="",
    "",
    _xlpm.coef * (AI163-AI164))
)</f>
        <v/>
      </c>
      <c r="AJ165" t="str" cm="1">
        <f t="array" ref="AJ165">_xlfn.LET(
  _xlpm.K, Constantes!$B$3,
  _xlpm.Knewgain, Constantes!$B$4,
  _xlpm.Knewscale, Constantes!$B$5,
  _xlpm.ptstables, INDEX(AJ:AJ, _xlfn.SEQUENCE(COUNTA($C$2:$C165), 1, 3, 4)),
  _xlpm.nbparties, COUNTA(_xlfn._xlws.FILTER(_xlpm.ptstables, _xlpm.ptstables &lt;&gt; "")),
  _xlpm.coef, _xlpm.K + _xlpm.Knewgain / (_xlpm.Knewscale + _xlpm.nbparties),
  IF(AJ163="",
    "",
    _xlpm.coef * (AJ163-AJ164))
)</f>
        <v/>
      </c>
      <c r="AK165" t="str" cm="1">
        <f t="array" ref="AK165">_xlfn.LET(
  _xlpm.K, Constantes!$B$3,
  _xlpm.Knewgain, Constantes!$B$4,
  _xlpm.Knewscale, Constantes!$B$5,
  _xlpm.ptstables, INDEX(AK:AK, _xlfn.SEQUENCE(COUNTA($C$2:$C165), 1, 3, 4)),
  _xlpm.nbparties, COUNTA(_xlfn._xlws.FILTER(_xlpm.ptstables, _xlpm.ptstables &lt;&gt; "")),
  _xlpm.coef, _xlpm.K + _xlpm.Knewgain / (_xlpm.Knewscale + _xlpm.nbparties),
  IF(AK163="",
    "",
    _xlpm.coef * (AK163-AK164))
)</f>
        <v/>
      </c>
      <c r="AL165" t="str" cm="1">
        <f t="array" ref="AL165">_xlfn.LET(
  _xlpm.K, Constantes!$B$3,
  _xlpm.Knewgain, Constantes!$B$4,
  _xlpm.Knewscale, Constantes!$B$5,
  _xlpm.ptstables, INDEX(AL:AL, _xlfn.SEQUENCE(COUNTA($C$2:$C165), 1, 3, 4)),
  _xlpm.nbparties, COUNTA(_xlfn._xlws.FILTER(_xlpm.ptstables, _xlpm.ptstables &lt;&gt; "")),
  _xlpm.coef, _xlpm.K + _xlpm.Knewgain / (_xlpm.Knewscale + _xlpm.nbparties),
  IF(AL163="",
    "",
    _xlpm.coef * (AL163-AL164))
)</f>
        <v/>
      </c>
      <c r="AM165" t="str" cm="1">
        <f t="array" ref="AM165">_xlfn.LET(
  _xlpm.K, Constantes!$B$3,
  _xlpm.Knewgain, Constantes!$B$4,
  _xlpm.Knewscale, Constantes!$B$5,
  _xlpm.ptstables, INDEX(AM:AM, _xlfn.SEQUENCE(COUNTA($C$2:$C165), 1, 3, 4)),
  _xlpm.nbparties, COUNTA(_xlfn._xlws.FILTER(_xlpm.ptstables, _xlpm.ptstables &lt;&gt; "")),
  _xlpm.coef, _xlpm.K + _xlpm.Knewgain / (_xlpm.Knewscale + _xlpm.nbparties),
  IF(AM163="",
    "",
    _xlpm.coef * (AM163-AM164))
)</f>
        <v/>
      </c>
    </row>
    <row r="166" spans="1:39" x14ac:dyDescent="0.25">
      <c r="A166" t="s">
        <v>14</v>
      </c>
      <c r="B166" t="str" cm="1">
        <f t="array" ref="B16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42</v>
      </c>
      <c r="C166" s="2" cm="1">
        <f t="array" ref="C166">IF(B166="","",
  INDEX(Donnees!F:F, MATCH(B166, Donnees!F:F, 0)+1))</f>
        <v>45927.858159722222</v>
      </c>
      <c r="D166">
        <f t="shared" ref="D166:AM166" si="49">D162+IF(D165="",0,D165)</f>
        <v>1115.9311757149087</v>
      </c>
      <c r="E166">
        <f t="shared" si="49"/>
        <v>1105.3750854597461</v>
      </c>
      <c r="F166">
        <f t="shared" si="49"/>
        <v>839.76438398955065</v>
      </c>
      <c r="G166">
        <f t="shared" si="49"/>
        <v>1024.6030101366564</v>
      </c>
      <c r="H166">
        <f t="shared" si="49"/>
        <v>1043.8545020183328</v>
      </c>
      <c r="I166">
        <f t="shared" si="49"/>
        <v>1084.9304838632445</v>
      </c>
      <c r="J166">
        <f t="shared" si="49"/>
        <v>938.49433816478961</v>
      </c>
      <c r="K166">
        <f t="shared" si="49"/>
        <v>907.51653081539087</v>
      </c>
      <c r="L166">
        <f t="shared" si="49"/>
        <v>801.48942635099877</v>
      </c>
      <c r="M166">
        <f t="shared" si="49"/>
        <v>913.41986361738122</v>
      </c>
      <c r="N166">
        <f t="shared" si="49"/>
        <v>907.32507465255833</v>
      </c>
      <c r="O166">
        <f t="shared" si="49"/>
        <v>1005.4306950475848</v>
      </c>
      <c r="P166">
        <f t="shared" si="49"/>
        <v>1015.4353469144262</v>
      </c>
      <c r="Q166">
        <f t="shared" si="49"/>
        <v>1102.5678841989011</v>
      </c>
      <c r="R166">
        <f t="shared" si="49"/>
        <v>1148.4560560299096</v>
      </c>
      <c r="S166">
        <f t="shared" si="49"/>
        <v>878.99273239796798</v>
      </c>
      <c r="T166">
        <f t="shared" si="49"/>
        <v>1135.2782658680615</v>
      </c>
      <c r="U166">
        <f t="shared" si="49"/>
        <v>1107.1409900911185</v>
      </c>
      <c r="V166">
        <f t="shared" si="49"/>
        <v>961.58818235691967</v>
      </c>
      <c r="W166">
        <f t="shared" si="49"/>
        <v>936.79085942937002</v>
      </c>
      <c r="X166">
        <f t="shared" si="49"/>
        <v>851.6115293878712</v>
      </c>
      <c r="Y166">
        <f t="shared" si="49"/>
        <v>984.68205603174124</v>
      </c>
      <c r="Z166">
        <f t="shared" si="49"/>
        <v>991.11904139672549</v>
      </c>
      <c r="AA166">
        <f t="shared" si="49"/>
        <v>980.56756855165884</v>
      </c>
      <c r="AB166">
        <f t="shared" si="49"/>
        <v>988.35669729544747</v>
      </c>
      <c r="AC166">
        <f t="shared" si="49"/>
        <v>984.85656690779365</v>
      </c>
      <c r="AD166">
        <f t="shared" si="49"/>
        <v>974.01499999999999</v>
      </c>
      <c r="AE166">
        <f t="shared" si="49"/>
        <v>1011.415</v>
      </c>
      <c r="AF166">
        <f t="shared" si="49"/>
        <v>1031.1199999999999</v>
      </c>
      <c r="AG166">
        <f t="shared" si="49"/>
        <v>1001.0350000000001</v>
      </c>
      <c r="AH166">
        <f t="shared" si="49"/>
        <v>994.44</v>
      </c>
      <c r="AI166">
        <f t="shared" si="49"/>
        <v>1000</v>
      </c>
      <c r="AJ166">
        <f t="shared" si="49"/>
        <v>957.2</v>
      </c>
      <c r="AK166">
        <f t="shared" si="49"/>
        <v>1000</v>
      </c>
      <c r="AL166">
        <f t="shared" si="49"/>
        <v>1055.9299999999998</v>
      </c>
      <c r="AM166">
        <f t="shared" si="49"/>
        <v>1000</v>
      </c>
    </row>
    <row r="167" spans="1:39" x14ac:dyDescent="0.25">
      <c r="A167" t="s">
        <v>21</v>
      </c>
      <c r="D167" t="str" cm="1">
        <f t="array" ref="D167">IFERROR(
  _xlfn.LET(
    _xlpm.ligpartie, MATCH($B166, Donnees!$F:$F, 0),
    _xlpm.joueurs, INDEX(Donnees!$A:$Z, _xlpm.ligpartie+1, _xlfn.SEQUENCE(1, 4, 2)),
    INDEX(
      Donnees!$A:$Z,
      _xlpm.ligpartie + 3,
      MATCH(D$1, _xlpm.joueurs, 0) + 1
    )
  ), ""
)</f>
        <v/>
      </c>
      <c r="E167" t="str" cm="1">
        <f t="array" ref="E167">IFERROR(
  _xlfn.LET(
    _xlpm.ligpartie, MATCH($B166, Donnees!$F:$F, 0),
    _xlpm.joueurs, INDEX(Donnees!$A:$Z, _xlpm.ligpartie+1, _xlfn.SEQUENCE(1, 4, 2)),
    INDEX(
      Donnees!$A:$Z,
      _xlpm.ligpartie + 3,
      MATCH(E$1, _xlpm.joueurs, 0) + 1
    )
  ), ""
)</f>
        <v/>
      </c>
      <c r="F167" t="str" cm="1">
        <f t="array" ref="F167">IFERROR(
  _xlfn.LET(
    _xlpm.ligpartie, MATCH($B166, Donnees!$F:$F, 0),
    _xlpm.joueurs, INDEX(Donnees!$A:$Z, _xlpm.ligpartie+1, _xlfn.SEQUENCE(1, 4, 2)),
    INDEX(
      Donnees!$A:$Z,
      _xlpm.ligpartie + 3,
      MATCH(F$1, _xlpm.joueurs, 0) + 1
    )
  ), ""
)</f>
        <v/>
      </c>
      <c r="G167" t="str" cm="1">
        <f t="array" ref="G167">IFERROR(
  _xlfn.LET(
    _xlpm.ligpartie, MATCH($B166, Donnees!$F:$F, 0),
    _xlpm.joueurs, INDEX(Donnees!$A:$Z, _xlpm.ligpartie+1, _xlfn.SEQUENCE(1, 4, 2)),
    INDEX(
      Donnees!$A:$Z,
      _xlpm.ligpartie + 3,
      MATCH(G$1, _xlpm.joueurs, 0) + 1
    )
  ), ""
)</f>
        <v/>
      </c>
      <c r="H167" t="str" cm="1">
        <f t="array" ref="H167">IFERROR(
  _xlfn.LET(
    _xlpm.ligpartie, MATCH($B166, Donnees!$F:$F, 0),
    _xlpm.joueurs, INDEX(Donnees!$A:$Z, _xlpm.ligpartie+1, _xlfn.SEQUENCE(1, 4, 2)),
    INDEX(
      Donnees!$A:$Z,
      _xlpm.ligpartie + 3,
      MATCH(H$1, _xlpm.joueurs, 0) + 1
    )
  ), ""
)</f>
        <v/>
      </c>
      <c r="I167" t="str" cm="1">
        <f t="array" ref="I167">IFERROR(
  _xlfn.LET(
    _xlpm.ligpartie, MATCH($B166, Donnees!$F:$F, 0),
    _xlpm.joueurs, INDEX(Donnees!$A:$Z, _xlpm.ligpartie+1, _xlfn.SEQUENCE(1, 4, 2)),
    INDEX(
      Donnees!$A:$Z,
      _xlpm.ligpartie + 3,
      MATCH(I$1, _xlpm.joueurs, 0) + 1
    )
  ), ""
)</f>
        <v/>
      </c>
      <c r="J167" t="str" cm="1">
        <f t="array" ref="J167">IFERROR(
  _xlfn.LET(
    _xlpm.ligpartie, MATCH($B166, Donnees!$F:$F, 0),
    _xlpm.joueurs, INDEX(Donnees!$A:$Z, _xlpm.ligpartie+1, _xlfn.SEQUENCE(1, 4, 2)),
    INDEX(
      Donnees!$A:$Z,
      _xlpm.ligpartie + 3,
      MATCH(J$1, _xlpm.joueurs, 0) + 1
    )
  ), ""
)</f>
        <v/>
      </c>
      <c r="K167" t="str" cm="1">
        <f t="array" ref="K167">IFERROR(
  _xlfn.LET(
    _xlpm.ligpartie, MATCH($B166, Donnees!$F:$F, 0),
    _xlpm.joueurs, INDEX(Donnees!$A:$Z, _xlpm.ligpartie+1, _xlfn.SEQUENCE(1, 4, 2)),
    INDEX(
      Donnees!$A:$Z,
      _xlpm.ligpartie + 3,
      MATCH(K$1, _xlpm.joueurs, 0) + 1
    )
  ), ""
)</f>
        <v/>
      </c>
      <c r="L167" t="str" cm="1">
        <f t="array" ref="L167">IFERROR(
  _xlfn.LET(
    _xlpm.ligpartie, MATCH($B166, Donnees!$F:$F, 0),
    _xlpm.joueurs, INDEX(Donnees!$A:$Z, _xlpm.ligpartie+1, _xlfn.SEQUENCE(1, 4, 2)),
    INDEX(
      Donnees!$A:$Z,
      _xlpm.ligpartie + 3,
      MATCH(L$1, _xlpm.joueurs, 0) + 1
    )
  ), ""
)</f>
        <v/>
      </c>
      <c r="M167" t="str" cm="1">
        <f t="array" ref="M167">IFERROR(
  _xlfn.LET(
    _xlpm.ligpartie, MATCH($B166, Donnees!$F:$F, 0),
    _xlpm.joueurs, INDEX(Donnees!$A:$Z, _xlpm.ligpartie+1, _xlfn.SEQUENCE(1, 4, 2)),
    INDEX(
      Donnees!$A:$Z,
      _xlpm.ligpartie + 3,
      MATCH(M$1, _xlpm.joueurs, 0) + 1
    )
  ), ""
)</f>
        <v/>
      </c>
      <c r="N167" t="str" cm="1">
        <f t="array" ref="N167">IFERROR(
  _xlfn.LET(
    _xlpm.ligpartie, MATCH($B166, Donnees!$F:$F, 0),
    _xlpm.joueurs, INDEX(Donnees!$A:$Z, _xlpm.ligpartie+1, _xlfn.SEQUENCE(1, 4, 2)),
    INDEX(
      Donnees!$A:$Z,
      _xlpm.ligpartie + 3,
      MATCH(N$1, _xlpm.joueurs, 0) + 1
    )
  ), ""
)</f>
        <v/>
      </c>
      <c r="O167" t="str" cm="1">
        <f t="array" ref="O167">IFERROR(
  _xlfn.LET(
    _xlpm.ligpartie, MATCH($B166, Donnees!$F:$F, 0),
    _xlpm.joueurs, INDEX(Donnees!$A:$Z, _xlpm.ligpartie+1, _xlfn.SEQUENCE(1, 4, 2)),
    INDEX(
      Donnees!$A:$Z,
      _xlpm.ligpartie + 3,
      MATCH(O$1, _xlpm.joueurs, 0) + 1
    )
  ), ""
)</f>
        <v/>
      </c>
      <c r="P167" cm="1">
        <f t="array" ref="P167">IFERROR(
  _xlfn.LET(
    _xlpm.ligpartie, MATCH($B166, Donnees!$F:$F, 0),
    _xlpm.joueurs, INDEX(Donnees!$A:$Z, _xlpm.ligpartie+1, _xlfn.SEQUENCE(1, 4, 2)),
    INDEX(
      Donnees!$A:$Z,
      _xlpm.ligpartie + 3,
      MATCH(P$1, _xlpm.joueurs, 0) + 1
    )
  ), ""
)</f>
        <v>1</v>
      </c>
      <c r="Q167" cm="1">
        <f t="array" ref="Q167">IFERROR(
  _xlfn.LET(
    _xlpm.ligpartie, MATCH($B166, Donnees!$F:$F, 0),
    _xlpm.joueurs, INDEX(Donnees!$A:$Z, _xlpm.ligpartie+1, _xlfn.SEQUENCE(1, 4, 2)),
    INDEX(
      Donnees!$A:$Z,
      _xlpm.ligpartie + 3,
      MATCH(Q$1, _xlpm.joueurs, 0) + 1
    )
  ), ""
)</f>
        <v>2</v>
      </c>
      <c r="R167" cm="1">
        <f t="array" ref="R167">IFERROR(
  _xlfn.LET(
    _xlpm.ligpartie, MATCH($B166, Donnees!$F:$F, 0),
    _xlpm.joueurs, INDEX(Donnees!$A:$Z, _xlpm.ligpartie+1, _xlfn.SEQUENCE(1, 4, 2)),
    INDEX(
      Donnees!$A:$Z,
      _xlpm.ligpartie + 3,
      MATCH(R$1, _xlpm.joueurs, 0) + 1
    )
  ), ""
)</f>
        <v>3</v>
      </c>
      <c r="S167" cm="1">
        <f t="array" ref="S167">IFERROR(
  _xlfn.LET(
    _xlpm.ligpartie, MATCH($B166, Donnees!$F:$F, 0),
    _xlpm.joueurs, INDEX(Donnees!$A:$Z, _xlpm.ligpartie+1, _xlfn.SEQUENCE(1, 4, 2)),
    INDEX(
      Donnees!$A:$Z,
      _xlpm.ligpartie + 3,
      MATCH(S$1, _xlpm.joueurs, 0) + 1
    )
  ), ""
)</f>
        <v>0</v>
      </c>
      <c r="T167" t="str" cm="1">
        <f t="array" ref="T167">IFERROR(
  _xlfn.LET(
    _xlpm.ligpartie, MATCH($B166, Donnees!$F:$F, 0),
    _xlpm.joueurs, INDEX(Donnees!$A:$Z, _xlpm.ligpartie+1, _xlfn.SEQUENCE(1, 4, 2)),
    INDEX(
      Donnees!$A:$Z,
      _xlpm.ligpartie + 3,
      MATCH(T$1, _xlpm.joueurs, 0) + 1
    )
  ), ""
)</f>
        <v/>
      </c>
      <c r="U167" t="str" cm="1">
        <f t="array" ref="U167">IFERROR(
  _xlfn.LET(
    _xlpm.ligpartie, MATCH($B166, Donnees!$F:$F, 0),
    _xlpm.joueurs, INDEX(Donnees!$A:$Z, _xlpm.ligpartie+1, _xlfn.SEQUENCE(1, 4, 2)),
    INDEX(
      Donnees!$A:$Z,
      _xlpm.ligpartie + 3,
      MATCH(U$1, _xlpm.joueurs, 0) + 1
    )
  ), ""
)</f>
        <v/>
      </c>
      <c r="V167" t="str" cm="1">
        <f t="array" ref="V167">IFERROR(
  _xlfn.LET(
    _xlpm.ligpartie, MATCH($B166, Donnees!$F:$F, 0),
    _xlpm.joueurs, INDEX(Donnees!$A:$Z, _xlpm.ligpartie+1, _xlfn.SEQUENCE(1, 4, 2)),
    INDEX(
      Donnees!$A:$Z,
      _xlpm.ligpartie + 3,
      MATCH(V$1, _xlpm.joueurs, 0) + 1
    )
  ), ""
)</f>
        <v/>
      </c>
      <c r="W167" t="str" cm="1">
        <f t="array" ref="W167">IFERROR(
  _xlfn.LET(
    _xlpm.ligpartie, MATCH($B166, Donnees!$F:$F, 0),
    _xlpm.joueurs, INDEX(Donnees!$A:$Z, _xlpm.ligpartie+1, _xlfn.SEQUENCE(1, 4, 2)),
    INDEX(
      Donnees!$A:$Z,
      _xlpm.ligpartie + 3,
      MATCH(W$1, _xlpm.joueurs, 0) + 1
    )
  ), ""
)</f>
        <v/>
      </c>
      <c r="X167" t="str" cm="1">
        <f t="array" ref="X167">IFERROR(
  _xlfn.LET(
    _xlpm.ligpartie, MATCH($B166, Donnees!$F:$F, 0),
    _xlpm.joueurs, INDEX(Donnees!$A:$Z, _xlpm.ligpartie+1, _xlfn.SEQUENCE(1, 4, 2)),
    INDEX(
      Donnees!$A:$Z,
      _xlpm.ligpartie + 3,
      MATCH(X$1, _xlpm.joueurs, 0) + 1
    )
  ), ""
)</f>
        <v/>
      </c>
      <c r="Y167" t="str" cm="1">
        <f t="array" ref="Y167">IFERROR(
  _xlfn.LET(
    _xlpm.ligpartie, MATCH($B166, Donnees!$F:$F, 0),
    _xlpm.joueurs, INDEX(Donnees!$A:$Z, _xlpm.ligpartie+1, _xlfn.SEQUENCE(1, 4, 2)),
    INDEX(
      Donnees!$A:$Z,
      _xlpm.ligpartie + 3,
      MATCH(Y$1, _xlpm.joueurs, 0) + 1
    )
  ), ""
)</f>
        <v/>
      </c>
      <c r="Z167" t="str" cm="1">
        <f t="array" ref="Z167">IFERROR(
  _xlfn.LET(
    _xlpm.ligpartie, MATCH($B166, Donnees!$F:$F, 0),
    _xlpm.joueurs, INDEX(Donnees!$A:$Z, _xlpm.ligpartie+1, _xlfn.SEQUENCE(1, 4, 2)),
    INDEX(
      Donnees!$A:$Z,
      _xlpm.ligpartie + 3,
      MATCH(Z$1, _xlpm.joueurs, 0) + 1
    )
  ), ""
)</f>
        <v/>
      </c>
      <c r="AA167" t="str" cm="1">
        <f t="array" ref="AA167">IFERROR(
  _xlfn.LET(
    _xlpm.ligpartie, MATCH($B166, Donnees!$F:$F, 0),
    _xlpm.joueurs, INDEX(Donnees!$A:$Z, _xlpm.ligpartie+1, _xlfn.SEQUENCE(1, 4, 2)),
    INDEX(
      Donnees!$A:$Z,
      _xlpm.ligpartie + 3,
      MATCH(AA$1, _xlpm.joueurs, 0) + 1
    )
  ), ""
)</f>
        <v/>
      </c>
      <c r="AB167" t="str" cm="1">
        <f t="array" ref="AB167">IFERROR(
  _xlfn.LET(
    _xlpm.ligpartie, MATCH($B166, Donnees!$F:$F, 0),
    _xlpm.joueurs, INDEX(Donnees!$A:$Z, _xlpm.ligpartie+1, _xlfn.SEQUENCE(1, 4, 2)),
    INDEX(
      Donnees!$A:$Z,
      _xlpm.ligpartie + 3,
      MATCH(AB$1, _xlpm.joueurs, 0) + 1
    )
  ), ""
)</f>
        <v/>
      </c>
      <c r="AC167" t="str" cm="1">
        <f t="array" ref="AC167">IFERROR(
  _xlfn.LET(
    _xlpm.ligpartie, MATCH($B166, Donnees!$F:$F, 0),
    _xlpm.joueurs, INDEX(Donnees!$A:$Z, _xlpm.ligpartie+1, _xlfn.SEQUENCE(1, 4, 2)),
    INDEX(
      Donnees!$A:$Z,
      _xlpm.ligpartie + 3,
      MATCH(AC$1, _xlpm.joueurs, 0) + 1
    )
  ), ""
)</f>
        <v/>
      </c>
      <c r="AD167" t="str" cm="1">
        <f t="array" ref="AD167">IFERROR(
  _xlfn.LET(
    _xlpm.ligpartie, MATCH($B166, Donnees!$F:$F, 0),
    _xlpm.joueurs, INDEX(Donnees!$A:$Z, _xlpm.ligpartie+1, _xlfn.SEQUENCE(1, 4, 2)),
    INDEX(
      Donnees!$A:$Z,
      _xlpm.ligpartie + 3,
      MATCH(AD$1, _xlpm.joueurs, 0) + 1
    )
  ), ""
)</f>
        <v/>
      </c>
      <c r="AE167" t="str" cm="1">
        <f t="array" ref="AE167">IFERROR(
  _xlfn.LET(
    _xlpm.ligpartie, MATCH($B166, Donnees!$F:$F, 0),
    _xlpm.joueurs, INDEX(Donnees!$A:$Z, _xlpm.ligpartie+1, _xlfn.SEQUENCE(1, 4, 2)),
    INDEX(
      Donnees!$A:$Z,
      _xlpm.ligpartie + 3,
      MATCH(AE$1, _xlpm.joueurs, 0) + 1
    )
  ), ""
)</f>
        <v/>
      </c>
      <c r="AF167" t="str" cm="1">
        <f t="array" ref="AF167">IFERROR(
  _xlfn.LET(
    _xlpm.ligpartie, MATCH($B166, Donnees!$F:$F, 0),
    _xlpm.joueurs, INDEX(Donnees!$A:$Z, _xlpm.ligpartie+1, _xlfn.SEQUENCE(1, 4, 2)),
    INDEX(
      Donnees!$A:$Z,
      _xlpm.ligpartie + 3,
      MATCH(AF$1, _xlpm.joueurs, 0) + 1
    )
  ), ""
)</f>
        <v/>
      </c>
      <c r="AG167" t="str" cm="1">
        <f t="array" ref="AG167">IFERROR(
  _xlfn.LET(
    _xlpm.ligpartie, MATCH($B166, Donnees!$F:$F, 0),
    _xlpm.joueurs, INDEX(Donnees!$A:$Z, _xlpm.ligpartie+1, _xlfn.SEQUENCE(1, 4, 2)),
    INDEX(
      Donnees!$A:$Z,
      _xlpm.ligpartie + 3,
      MATCH(AG$1, _xlpm.joueurs, 0) + 1
    )
  ), ""
)</f>
        <v/>
      </c>
      <c r="AH167" t="str" cm="1">
        <f t="array" ref="AH167">IFERROR(
  _xlfn.LET(
    _xlpm.ligpartie, MATCH($B166, Donnees!$F:$F, 0),
    _xlpm.joueurs, INDEX(Donnees!$A:$Z, _xlpm.ligpartie+1, _xlfn.SEQUENCE(1, 4, 2)),
    INDEX(
      Donnees!$A:$Z,
      _xlpm.ligpartie + 3,
      MATCH(AH$1, _xlpm.joueurs, 0) + 1
    )
  ), ""
)</f>
        <v/>
      </c>
      <c r="AI167" t="str" cm="1">
        <f t="array" ref="AI167">IFERROR(
  _xlfn.LET(
    _xlpm.ligpartie, MATCH($B166, Donnees!$F:$F, 0),
    _xlpm.joueurs, INDEX(Donnees!$A:$Z, _xlpm.ligpartie+1, _xlfn.SEQUENCE(1, 4, 2)),
    INDEX(
      Donnees!$A:$Z,
      _xlpm.ligpartie + 3,
      MATCH(AI$1, _xlpm.joueurs, 0) + 1
    )
  ), ""
)</f>
        <v/>
      </c>
      <c r="AJ167" t="str" cm="1">
        <f t="array" ref="AJ167">IFERROR(
  _xlfn.LET(
    _xlpm.ligpartie, MATCH($B166, Donnees!$F:$F, 0),
    _xlpm.joueurs, INDEX(Donnees!$A:$Z, _xlpm.ligpartie+1, _xlfn.SEQUENCE(1, 4, 2)),
    INDEX(
      Donnees!$A:$Z,
      _xlpm.ligpartie + 3,
      MATCH(AJ$1, _xlpm.joueurs, 0) + 1
    )
  ), ""
)</f>
        <v/>
      </c>
      <c r="AK167" t="str" cm="1">
        <f t="array" ref="AK167">IFERROR(
  _xlfn.LET(
    _xlpm.ligpartie, MATCH($B166, Donnees!$F:$F, 0),
    _xlpm.joueurs, INDEX(Donnees!$A:$Z, _xlpm.ligpartie+1, _xlfn.SEQUENCE(1, 4, 2)),
    INDEX(
      Donnees!$A:$Z,
      _xlpm.ligpartie + 3,
      MATCH(AK$1, _xlpm.joueurs, 0) + 1
    )
  ), ""
)</f>
        <v/>
      </c>
      <c r="AL167" t="str" cm="1">
        <f t="array" ref="AL167">IFERROR(
  _xlfn.LET(
    _xlpm.ligpartie, MATCH($B166, Donnees!$F:$F, 0),
    _xlpm.joueurs, INDEX(Donnees!$A:$Z, _xlpm.ligpartie+1, _xlfn.SEQUENCE(1, 4, 2)),
    INDEX(
      Donnees!$A:$Z,
      _xlpm.ligpartie + 3,
      MATCH(AL$1, _xlpm.joueurs, 0) + 1
    )
  ), ""
)</f>
        <v/>
      </c>
      <c r="AM167" t="str" cm="1">
        <f t="array" ref="AM167">IFERROR(
  _xlfn.LET(
    _xlpm.ligpartie, MATCH($B166, Donnees!$F:$F, 0),
    _xlpm.joueurs, INDEX(Donnees!$A:$Z, _xlpm.ligpartie+1, _xlfn.SEQUENCE(1, 4, 2)),
    INDEX(
      Donnees!$A:$Z,
      _xlpm.ligpartie + 3,
      MATCH(AM$1, _xlpm.joueurs, 0) + 1
    )
  ), ""
)</f>
        <v/>
      </c>
    </row>
    <row r="168" spans="1:39" x14ac:dyDescent="0.25">
      <c r="A168" t="s">
        <v>20</v>
      </c>
      <c r="D168" t="str" cm="1">
        <f t="array" ref="D168">_xlfn.LET(
  _xlpm.colj, _xlfn._xlws.FILTER(IF(ISNUMBER(167:167), COLUMN(167:167)), ISNUMBER(167:167)),
  _xlpm.elos, INDEX(166:166,1,_xlpm.colj),
  _xlpm.diffscale, Constantes!$B$2,
  IF(D167="",
    "",
    SUM(1/(1+POWER(10,-(D166-_xlpm.elos)/_xlpm.diffscale)))-0.5)
)</f>
        <v/>
      </c>
      <c r="E168" t="str" cm="1">
        <f t="array" ref="E168">_xlfn.LET(
  _xlpm.colj, _xlfn._xlws.FILTER(IF(ISNUMBER(167:167), COLUMN(167:167)), ISNUMBER(167:167)),
  _xlpm.elos, INDEX(166:166,1,_xlpm.colj),
  _xlpm.diffscale, Constantes!$B$2,
  IF(E167="",
    "",
    SUM(1/(1+POWER(10,-(E166-_xlpm.elos)/_xlpm.diffscale)))-0.5)
)</f>
        <v/>
      </c>
      <c r="F168" t="str" cm="1">
        <f t="array" ref="F168">_xlfn.LET(
  _xlpm.colj, _xlfn._xlws.FILTER(IF(ISNUMBER(167:167), COLUMN(167:167)), ISNUMBER(167:167)),
  _xlpm.elos, INDEX(166:166,1,_xlpm.colj),
  _xlpm.diffscale, Constantes!$B$2,
  IF(F167="",
    "",
    SUM(1/(1+POWER(10,-(F166-_xlpm.elos)/_xlpm.diffscale)))-0.5)
)</f>
        <v/>
      </c>
      <c r="G168" t="str" cm="1">
        <f t="array" ref="G168">_xlfn.LET(
  _xlpm.colj, _xlfn._xlws.FILTER(IF(ISNUMBER(167:167), COLUMN(167:167)), ISNUMBER(167:167)),
  _xlpm.elos, INDEX(166:166,1,_xlpm.colj),
  _xlpm.diffscale, Constantes!$B$2,
  IF(G167="",
    "",
    SUM(1/(1+POWER(10,-(G166-_xlpm.elos)/_xlpm.diffscale)))-0.5)
)</f>
        <v/>
      </c>
      <c r="H168" t="str" cm="1">
        <f t="array" ref="H168">_xlfn.LET(
  _xlpm.colj, _xlfn._xlws.FILTER(IF(ISNUMBER(167:167), COLUMN(167:167)), ISNUMBER(167:167)),
  _xlpm.elos, INDEX(166:166,1,_xlpm.colj),
  _xlpm.diffscale, Constantes!$B$2,
  IF(H167="",
    "",
    SUM(1/(1+POWER(10,-(H166-_xlpm.elos)/_xlpm.diffscale)))-0.5)
)</f>
        <v/>
      </c>
      <c r="I168" t="str" cm="1">
        <f t="array" ref="I168">_xlfn.LET(
  _xlpm.colj, _xlfn._xlws.FILTER(IF(ISNUMBER(167:167), COLUMN(167:167)), ISNUMBER(167:167)),
  _xlpm.elos, INDEX(166:166,1,_xlpm.colj),
  _xlpm.diffscale, Constantes!$B$2,
  IF(I167="",
    "",
    SUM(1/(1+POWER(10,-(I166-_xlpm.elos)/_xlpm.diffscale)))-0.5)
)</f>
        <v/>
      </c>
      <c r="J168" t="str" cm="1">
        <f t="array" ref="J168">_xlfn.LET(
  _xlpm.colj, _xlfn._xlws.FILTER(IF(ISNUMBER(167:167), COLUMN(167:167)), ISNUMBER(167:167)),
  _xlpm.elos, INDEX(166:166,1,_xlpm.colj),
  _xlpm.diffscale, Constantes!$B$2,
  IF(J167="",
    "",
    SUM(1/(1+POWER(10,-(J166-_xlpm.elos)/_xlpm.diffscale)))-0.5)
)</f>
        <v/>
      </c>
      <c r="K168" t="str" cm="1">
        <f t="array" ref="K168">_xlfn.LET(
  _xlpm.colj, _xlfn._xlws.FILTER(IF(ISNUMBER(167:167), COLUMN(167:167)), ISNUMBER(167:167)),
  _xlpm.elos, INDEX(166:166,1,_xlpm.colj),
  _xlpm.diffscale, Constantes!$B$2,
  IF(K167="",
    "",
    SUM(1/(1+POWER(10,-(K166-_xlpm.elos)/_xlpm.diffscale)))-0.5)
)</f>
        <v/>
      </c>
      <c r="L168" t="str" cm="1">
        <f t="array" ref="L168">_xlfn.LET(
  _xlpm.colj, _xlfn._xlws.FILTER(IF(ISNUMBER(167:167), COLUMN(167:167)), ISNUMBER(167:167)),
  _xlpm.elos, INDEX(166:166,1,_xlpm.colj),
  _xlpm.diffscale, Constantes!$B$2,
  IF(L167="",
    "",
    SUM(1/(1+POWER(10,-(L166-_xlpm.elos)/_xlpm.diffscale)))-0.5)
)</f>
        <v/>
      </c>
      <c r="M168" t="str" cm="1">
        <f t="array" ref="M168">_xlfn.LET(
  _xlpm.colj, _xlfn._xlws.FILTER(IF(ISNUMBER(167:167), COLUMN(167:167)), ISNUMBER(167:167)),
  _xlpm.elos, INDEX(166:166,1,_xlpm.colj),
  _xlpm.diffscale, Constantes!$B$2,
  IF(M167="",
    "",
    SUM(1/(1+POWER(10,-(M166-_xlpm.elos)/_xlpm.diffscale)))-0.5)
)</f>
        <v/>
      </c>
      <c r="N168" t="str" cm="1">
        <f t="array" ref="N168">_xlfn.LET(
  _xlpm.colj, _xlfn._xlws.FILTER(IF(ISNUMBER(167:167), COLUMN(167:167)), ISNUMBER(167:167)),
  _xlpm.elos, INDEX(166:166,1,_xlpm.colj),
  _xlpm.diffscale, Constantes!$B$2,
  IF(N167="",
    "",
    SUM(1/(1+POWER(10,-(N166-_xlpm.elos)/_xlpm.diffscale)))-0.5)
)</f>
        <v/>
      </c>
      <c r="O168" t="str" cm="1">
        <f t="array" ref="O168">_xlfn.LET(
  _xlpm.colj, _xlfn._xlws.FILTER(IF(ISNUMBER(167:167), COLUMN(167:167)), ISNUMBER(167:167)),
  _xlpm.elos, INDEX(166:166,1,_xlpm.colj),
  _xlpm.diffscale, Constantes!$B$2,
  IF(O167="",
    "",
    SUM(1/(1+POWER(10,-(O166-_xlpm.elos)/_xlpm.diffscale)))-0.5)
)</f>
        <v/>
      </c>
      <c r="P168" cm="1">
        <f t="array" ref="P168">_xlfn.LET(
  _xlpm.colj, _xlfn._xlws.FILTER(IF(ISNUMBER(167:167), COLUMN(167:167)), ISNUMBER(167:167)),
  _xlpm.elos, INDEX(166:166,1,_xlpm.colj),
  _xlpm.diffscale, Constantes!$B$2,
  IF(P167="",
    "",
    SUM(1/(1+POWER(10,-(P166-_xlpm.elos)/_xlpm.diffscale)))-0.5)
)</f>
        <v>1.3814228862423339</v>
      </c>
      <c r="Q168" cm="1">
        <f t="array" ref="Q168">_xlfn.LET(
  _xlpm.colj, _xlfn._xlws.FILTER(IF(ISNUMBER(167:167), COLUMN(167:167)), ISNUMBER(167:167)),
  _xlpm.elos, INDEX(166:166,1,_xlpm.colj),
  _xlpm.diffscale, Constantes!$B$2,
  IF(Q167="",
    "",
    SUM(1/(1+POWER(10,-(Q166-_xlpm.elos)/_xlpm.diffscale)))-0.5)
)</f>
        <v>1.8408117065796215</v>
      </c>
      <c r="R168" cm="1">
        <f t="array" ref="R168">_xlfn.LET(
  _xlpm.colj, _xlfn._xlws.FILTER(IF(ISNUMBER(167:167), COLUMN(167:167)), ISNUMBER(167:167)),
  _xlpm.elos, INDEX(166:166,1,_xlpm.colj),
  _xlpm.diffscale, Constantes!$B$2,
  IF(R167="",
    "",
    SUM(1/(1+POWER(10,-(R166-_xlpm.elos)/_xlpm.diffscale)))-0.5)
)</f>
        <v>2.0733338361774218</v>
      </c>
      <c r="S168" cm="1">
        <f t="array" ref="S168">_xlfn.LET(
  _xlpm.colj, _xlfn._xlws.FILTER(IF(ISNUMBER(167:167), COLUMN(167:167)), ISNUMBER(167:167)),
  _xlpm.elos, INDEX(166:166,1,_xlpm.colj),
  _xlpm.diffscale, Constantes!$B$2,
  IF(S167="",
    "",
    SUM(1/(1+POWER(10,-(S166-_xlpm.elos)/_xlpm.diffscale)))-0.5)
)</f>
        <v>0.70443157100062259</v>
      </c>
      <c r="T168" t="str" cm="1">
        <f t="array" ref="T168">_xlfn.LET(
  _xlpm.colj, _xlfn._xlws.FILTER(IF(ISNUMBER(167:167), COLUMN(167:167)), ISNUMBER(167:167)),
  _xlpm.elos, INDEX(166:166,1,_xlpm.colj),
  _xlpm.diffscale, Constantes!$B$2,
  IF(T167="",
    "",
    SUM(1/(1+POWER(10,-(T166-_xlpm.elos)/_xlpm.diffscale)))-0.5)
)</f>
        <v/>
      </c>
      <c r="U168" t="str" cm="1">
        <f t="array" ref="U168">_xlfn.LET(
  _xlpm.colj, _xlfn._xlws.FILTER(IF(ISNUMBER(167:167), COLUMN(167:167)), ISNUMBER(167:167)),
  _xlpm.elos, INDEX(166:166,1,_xlpm.colj),
  _xlpm.diffscale, Constantes!$B$2,
  IF(U167="",
    "",
    SUM(1/(1+POWER(10,-(U166-_xlpm.elos)/_xlpm.diffscale)))-0.5)
)</f>
        <v/>
      </c>
      <c r="V168" t="str" cm="1">
        <f t="array" ref="V168">_xlfn.LET(
  _xlpm.colj, _xlfn._xlws.FILTER(IF(ISNUMBER(167:167), COLUMN(167:167)), ISNUMBER(167:167)),
  _xlpm.elos, INDEX(166:166,1,_xlpm.colj),
  _xlpm.diffscale, Constantes!$B$2,
  IF(V167="",
    "",
    SUM(1/(1+POWER(10,-(V166-_xlpm.elos)/_xlpm.diffscale)))-0.5)
)</f>
        <v/>
      </c>
      <c r="W168" t="str" cm="1">
        <f t="array" ref="W168">_xlfn.LET(
  _xlpm.colj, _xlfn._xlws.FILTER(IF(ISNUMBER(167:167), COLUMN(167:167)), ISNUMBER(167:167)),
  _xlpm.elos, INDEX(166:166,1,_xlpm.colj),
  _xlpm.diffscale, Constantes!$B$2,
  IF(W167="",
    "",
    SUM(1/(1+POWER(10,-(W166-_xlpm.elos)/_xlpm.diffscale)))-0.5)
)</f>
        <v/>
      </c>
      <c r="X168" t="str" cm="1">
        <f t="array" ref="X168">_xlfn.LET(
  _xlpm.colj, _xlfn._xlws.FILTER(IF(ISNUMBER(167:167), COLUMN(167:167)), ISNUMBER(167:167)),
  _xlpm.elos, INDEX(166:166,1,_xlpm.colj),
  _xlpm.diffscale, Constantes!$B$2,
  IF(X167="",
    "",
    SUM(1/(1+POWER(10,-(X166-_xlpm.elos)/_xlpm.diffscale)))-0.5)
)</f>
        <v/>
      </c>
      <c r="Y168" t="str" cm="1">
        <f t="array" ref="Y168">_xlfn.LET(
  _xlpm.colj, _xlfn._xlws.FILTER(IF(ISNUMBER(167:167), COLUMN(167:167)), ISNUMBER(167:167)),
  _xlpm.elos, INDEX(166:166,1,_xlpm.colj),
  _xlpm.diffscale, Constantes!$B$2,
  IF(Y167="",
    "",
    SUM(1/(1+POWER(10,-(Y166-_xlpm.elos)/_xlpm.diffscale)))-0.5)
)</f>
        <v/>
      </c>
      <c r="Z168" t="str" cm="1">
        <f t="array" ref="Z168">_xlfn.LET(
  _xlpm.colj, _xlfn._xlws.FILTER(IF(ISNUMBER(167:167), COLUMN(167:167)), ISNUMBER(167:167)),
  _xlpm.elos, INDEX(166:166,1,_xlpm.colj),
  _xlpm.diffscale, Constantes!$B$2,
  IF(Z167="",
    "",
    SUM(1/(1+POWER(10,-(Z166-_xlpm.elos)/_xlpm.diffscale)))-0.5)
)</f>
        <v/>
      </c>
      <c r="AA168" t="str" cm="1">
        <f t="array" ref="AA168">_xlfn.LET(
  _xlpm.colj, _xlfn._xlws.FILTER(IF(ISNUMBER(167:167), COLUMN(167:167)), ISNUMBER(167:167)),
  _xlpm.elos, INDEX(166:166,1,_xlpm.colj),
  _xlpm.diffscale, Constantes!$B$2,
  IF(AA167="",
    "",
    SUM(1/(1+POWER(10,-(AA166-_xlpm.elos)/_xlpm.diffscale)))-0.5)
)</f>
        <v/>
      </c>
      <c r="AB168" t="str" cm="1">
        <f t="array" ref="AB168">_xlfn.LET(
  _xlpm.colj, _xlfn._xlws.FILTER(IF(ISNUMBER(167:167), COLUMN(167:167)), ISNUMBER(167:167)),
  _xlpm.elos, INDEX(166:166,1,_xlpm.colj),
  _xlpm.diffscale, Constantes!$B$2,
  IF(AB167="",
    "",
    SUM(1/(1+POWER(10,-(AB166-_xlpm.elos)/_xlpm.diffscale)))-0.5)
)</f>
        <v/>
      </c>
      <c r="AC168" t="str" cm="1">
        <f t="array" ref="AC168">_xlfn.LET(
  _xlpm.colj, _xlfn._xlws.FILTER(IF(ISNUMBER(167:167), COLUMN(167:167)), ISNUMBER(167:167)),
  _xlpm.elos, INDEX(166:166,1,_xlpm.colj),
  _xlpm.diffscale, Constantes!$B$2,
  IF(AC167="",
    "",
    SUM(1/(1+POWER(10,-(AC166-_xlpm.elos)/_xlpm.diffscale)))-0.5)
)</f>
        <v/>
      </c>
      <c r="AD168" t="str" cm="1">
        <f t="array" ref="AD168">_xlfn.LET(
  _xlpm.colj, _xlfn._xlws.FILTER(IF(ISNUMBER(167:167), COLUMN(167:167)), ISNUMBER(167:167)),
  _xlpm.elos, INDEX(166:166,1,_xlpm.colj),
  _xlpm.diffscale, Constantes!$B$2,
  IF(AD167="",
    "",
    SUM(1/(1+POWER(10,-(AD166-_xlpm.elos)/_xlpm.diffscale)))-0.5)
)</f>
        <v/>
      </c>
      <c r="AE168" t="str" cm="1">
        <f t="array" ref="AE168">_xlfn.LET(
  _xlpm.colj, _xlfn._xlws.FILTER(IF(ISNUMBER(167:167), COLUMN(167:167)), ISNUMBER(167:167)),
  _xlpm.elos, INDEX(166:166,1,_xlpm.colj),
  _xlpm.diffscale, Constantes!$B$2,
  IF(AE167="",
    "",
    SUM(1/(1+POWER(10,-(AE166-_xlpm.elos)/_xlpm.diffscale)))-0.5)
)</f>
        <v/>
      </c>
      <c r="AF168" t="str" cm="1">
        <f t="array" ref="AF168">_xlfn.LET(
  _xlpm.colj, _xlfn._xlws.FILTER(IF(ISNUMBER(167:167), COLUMN(167:167)), ISNUMBER(167:167)),
  _xlpm.elos, INDEX(166:166,1,_xlpm.colj),
  _xlpm.diffscale, Constantes!$B$2,
  IF(AF167="",
    "",
    SUM(1/(1+POWER(10,-(AF166-_xlpm.elos)/_xlpm.diffscale)))-0.5)
)</f>
        <v/>
      </c>
      <c r="AG168" t="str" cm="1">
        <f t="array" ref="AG168">_xlfn.LET(
  _xlpm.colj, _xlfn._xlws.FILTER(IF(ISNUMBER(167:167), COLUMN(167:167)), ISNUMBER(167:167)),
  _xlpm.elos, INDEX(166:166,1,_xlpm.colj),
  _xlpm.diffscale, Constantes!$B$2,
  IF(AG167="",
    "",
    SUM(1/(1+POWER(10,-(AG166-_xlpm.elos)/_xlpm.diffscale)))-0.5)
)</f>
        <v/>
      </c>
      <c r="AH168" t="str" cm="1">
        <f t="array" ref="AH168">_xlfn.LET(
  _xlpm.colj, _xlfn._xlws.FILTER(IF(ISNUMBER(167:167), COLUMN(167:167)), ISNUMBER(167:167)),
  _xlpm.elos, INDEX(166:166,1,_xlpm.colj),
  _xlpm.diffscale, Constantes!$B$2,
  IF(AH167="",
    "",
    SUM(1/(1+POWER(10,-(AH166-_xlpm.elos)/_xlpm.diffscale)))-0.5)
)</f>
        <v/>
      </c>
      <c r="AI168" t="str" cm="1">
        <f t="array" ref="AI168">_xlfn.LET(
  _xlpm.colj, _xlfn._xlws.FILTER(IF(ISNUMBER(167:167), COLUMN(167:167)), ISNUMBER(167:167)),
  _xlpm.elos, INDEX(166:166,1,_xlpm.colj),
  _xlpm.diffscale, Constantes!$B$2,
  IF(AI167="",
    "",
    SUM(1/(1+POWER(10,-(AI166-_xlpm.elos)/_xlpm.diffscale)))-0.5)
)</f>
        <v/>
      </c>
      <c r="AJ168" t="str" cm="1">
        <f t="array" ref="AJ168">_xlfn.LET(
  _xlpm.colj, _xlfn._xlws.FILTER(IF(ISNUMBER(167:167), COLUMN(167:167)), ISNUMBER(167:167)),
  _xlpm.elos, INDEX(166:166,1,_xlpm.colj),
  _xlpm.diffscale, Constantes!$B$2,
  IF(AJ167="",
    "",
    SUM(1/(1+POWER(10,-(AJ166-_xlpm.elos)/_xlpm.diffscale)))-0.5)
)</f>
        <v/>
      </c>
      <c r="AK168" t="str" cm="1">
        <f t="array" ref="AK168">_xlfn.LET(
  _xlpm.colj, _xlfn._xlws.FILTER(IF(ISNUMBER(167:167), COLUMN(167:167)), ISNUMBER(167:167)),
  _xlpm.elos, INDEX(166:166,1,_xlpm.colj),
  _xlpm.diffscale, Constantes!$B$2,
  IF(AK167="",
    "",
    SUM(1/(1+POWER(10,-(AK166-_xlpm.elos)/_xlpm.diffscale)))-0.5)
)</f>
        <v/>
      </c>
      <c r="AL168" t="str" cm="1">
        <f t="array" ref="AL168">_xlfn.LET(
  _xlpm.colj, _xlfn._xlws.FILTER(IF(ISNUMBER(167:167), COLUMN(167:167)), ISNUMBER(167:167)),
  _xlpm.elos, INDEX(166:166,1,_xlpm.colj),
  _xlpm.diffscale, Constantes!$B$2,
  IF(AL167="",
    "",
    SUM(1/(1+POWER(10,-(AL166-_xlpm.elos)/_xlpm.diffscale)))-0.5)
)</f>
        <v/>
      </c>
      <c r="AM168" t="str" cm="1">
        <f t="array" ref="AM168">_xlfn.LET(
  _xlpm.colj, _xlfn._xlws.FILTER(IF(ISNUMBER(167:167), COLUMN(167:167)), ISNUMBER(167:167)),
  _xlpm.elos, INDEX(166:166,1,_xlpm.colj),
  _xlpm.diffscale, Constantes!$B$2,
  IF(AM167="",
    "",
    SUM(1/(1+POWER(10,-(AM166-_xlpm.elos)/_xlpm.diffscale)))-0.5)
)</f>
        <v/>
      </c>
    </row>
    <row r="169" spans="1:39" x14ac:dyDescent="0.25">
      <c r="A169" t="s">
        <v>22</v>
      </c>
      <c r="D169" t="str" cm="1">
        <f t="array" ref="D169">_xlfn.LET(
  _xlpm.K, Constantes!$B$3,
  _xlpm.Knewgain, Constantes!$B$4,
  _xlpm.Knewscale, Constantes!$B$5,
  _xlpm.ptstables, INDEX(D:D, _xlfn.SEQUENCE(COUNTA($C$2:$C169), 1, 3, 4)),
  _xlpm.nbparties, COUNTA(_xlfn._xlws.FILTER(_xlpm.ptstables, _xlpm.ptstables &lt;&gt; "")),
  _xlpm.coef, _xlpm.K + _xlpm.Knewgain / (_xlpm.Knewscale + _xlpm.nbparties),
  IF(D167="",
    "",
    _xlpm.coef * (D167-D168))
)</f>
        <v/>
      </c>
      <c r="E169" t="str" cm="1">
        <f t="array" ref="E169">_xlfn.LET(
  _xlpm.K, Constantes!$B$3,
  _xlpm.Knewgain, Constantes!$B$4,
  _xlpm.Knewscale, Constantes!$B$5,
  _xlpm.ptstables, INDEX(E:E, _xlfn.SEQUENCE(COUNTA($C$2:$C169), 1, 3, 4)),
  _xlpm.nbparties, COUNTA(_xlfn._xlws.FILTER(_xlpm.ptstables, _xlpm.ptstables &lt;&gt; "")),
  _xlpm.coef, _xlpm.K + _xlpm.Knewgain / (_xlpm.Knewscale + _xlpm.nbparties),
  IF(E167="",
    "",
    _xlpm.coef * (E167-E168))
)</f>
        <v/>
      </c>
      <c r="F169" t="str" cm="1">
        <f t="array" ref="F169">_xlfn.LET(
  _xlpm.K, Constantes!$B$3,
  _xlpm.Knewgain, Constantes!$B$4,
  _xlpm.Knewscale, Constantes!$B$5,
  _xlpm.ptstables, INDEX(F:F, _xlfn.SEQUENCE(COUNTA($C$2:$C169), 1, 3, 4)),
  _xlpm.nbparties, COUNTA(_xlfn._xlws.FILTER(_xlpm.ptstables, _xlpm.ptstables &lt;&gt; "")),
  _xlpm.coef, _xlpm.K + _xlpm.Knewgain / (_xlpm.Knewscale + _xlpm.nbparties),
  IF(F167="",
    "",
    _xlpm.coef * (F167-F168))
)</f>
        <v/>
      </c>
      <c r="G169" t="str" cm="1">
        <f t="array" ref="G169">_xlfn.LET(
  _xlpm.K, Constantes!$B$3,
  _xlpm.Knewgain, Constantes!$B$4,
  _xlpm.Knewscale, Constantes!$B$5,
  _xlpm.ptstables, INDEX(G:G, _xlfn.SEQUENCE(COUNTA($C$2:$C169), 1, 3, 4)),
  _xlpm.nbparties, COUNTA(_xlfn._xlws.FILTER(_xlpm.ptstables, _xlpm.ptstables &lt;&gt; "")),
  _xlpm.coef, _xlpm.K + _xlpm.Knewgain / (_xlpm.Knewscale + _xlpm.nbparties),
  IF(G167="",
    "",
    _xlpm.coef * (G167-G168))
)</f>
        <v/>
      </c>
      <c r="H169" t="str" cm="1">
        <f t="array" ref="H169">_xlfn.LET(
  _xlpm.K, Constantes!$B$3,
  _xlpm.Knewgain, Constantes!$B$4,
  _xlpm.Knewscale, Constantes!$B$5,
  _xlpm.ptstables, INDEX(H:H, _xlfn.SEQUENCE(COUNTA($C$2:$C169), 1, 3, 4)),
  _xlpm.nbparties, COUNTA(_xlfn._xlws.FILTER(_xlpm.ptstables, _xlpm.ptstables &lt;&gt; "")),
  _xlpm.coef, _xlpm.K + _xlpm.Knewgain / (_xlpm.Knewscale + _xlpm.nbparties),
  IF(H167="",
    "",
    _xlpm.coef * (H167-H168))
)</f>
        <v/>
      </c>
      <c r="I169" t="str" cm="1">
        <f t="array" ref="I169">_xlfn.LET(
  _xlpm.K, Constantes!$B$3,
  _xlpm.Knewgain, Constantes!$B$4,
  _xlpm.Knewscale, Constantes!$B$5,
  _xlpm.ptstables, INDEX(I:I, _xlfn.SEQUENCE(COUNTA($C$2:$C169), 1, 3, 4)),
  _xlpm.nbparties, COUNTA(_xlfn._xlws.FILTER(_xlpm.ptstables, _xlpm.ptstables &lt;&gt; "")),
  _xlpm.coef, _xlpm.K + _xlpm.Knewgain / (_xlpm.Knewscale + _xlpm.nbparties),
  IF(I167="",
    "",
    _xlpm.coef * (I167-I168))
)</f>
        <v/>
      </c>
      <c r="J169" t="str" cm="1">
        <f t="array" ref="J169">_xlfn.LET(
  _xlpm.K, Constantes!$B$3,
  _xlpm.Knewgain, Constantes!$B$4,
  _xlpm.Knewscale, Constantes!$B$5,
  _xlpm.ptstables, INDEX(J:J, _xlfn.SEQUENCE(COUNTA($C$2:$C169), 1, 3, 4)),
  _xlpm.nbparties, COUNTA(_xlfn._xlws.FILTER(_xlpm.ptstables, _xlpm.ptstables &lt;&gt; "")),
  _xlpm.coef, _xlpm.K + _xlpm.Knewgain / (_xlpm.Knewscale + _xlpm.nbparties),
  IF(J167="",
    "",
    _xlpm.coef * (J167-J168))
)</f>
        <v/>
      </c>
      <c r="K169" t="str" cm="1">
        <f t="array" ref="K169">_xlfn.LET(
  _xlpm.K, Constantes!$B$3,
  _xlpm.Knewgain, Constantes!$B$4,
  _xlpm.Knewscale, Constantes!$B$5,
  _xlpm.ptstables, INDEX(K:K, _xlfn.SEQUENCE(COUNTA($C$2:$C169), 1, 3, 4)),
  _xlpm.nbparties, COUNTA(_xlfn._xlws.FILTER(_xlpm.ptstables, _xlpm.ptstables &lt;&gt; "")),
  _xlpm.coef, _xlpm.K + _xlpm.Knewgain / (_xlpm.Knewscale + _xlpm.nbparties),
  IF(K167="",
    "",
    _xlpm.coef * (K167-K168))
)</f>
        <v/>
      </c>
      <c r="L169" t="str" cm="1">
        <f t="array" ref="L169">_xlfn.LET(
  _xlpm.K, Constantes!$B$3,
  _xlpm.Knewgain, Constantes!$B$4,
  _xlpm.Knewscale, Constantes!$B$5,
  _xlpm.ptstables, INDEX(L:L, _xlfn.SEQUENCE(COUNTA($C$2:$C169), 1, 3, 4)),
  _xlpm.nbparties, COUNTA(_xlfn._xlws.FILTER(_xlpm.ptstables, _xlpm.ptstables &lt;&gt; "")),
  _xlpm.coef, _xlpm.K + _xlpm.Knewgain / (_xlpm.Knewscale + _xlpm.nbparties),
  IF(L167="",
    "",
    _xlpm.coef * (L167-L168))
)</f>
        <v/>
      </c>
      <c r="M169" t="str" cm="1">
        <f t="array" ref="M169">_xlfn.LET(
  _xlpm.K, Constantes!$B$3,
  _xlpm.Knewgain, Constantes!$B$4,
  _xlpm.Knewscale, Constantes!$B$5,
  _xlpm.ptstables, INDEX(M:M, _xlfn.SEQUENCE(COUNTA($C$2:$C169), 1, 3, 4)),
  _xlpm.nbparties, COUNTA(_xlfn._xlws.FILTER(_xlpm.ptstables, _xlpm.ptstables &lt;&gt; "")),
  _xlpm.coef, _xlpm.K + _xlpm.Knewgain / (_xlpm.Knewscale + _xlpm.nbparties),
  IF(M167="",
    "",
    _xlpm.coef * (M167-M168))
)</f>
        <v/>
      </c>
      <c r="N169" t="str" cm="1">
        <f t="array" ref="N169">_xlfn.LET(
  _xlpm.K, Constantes!$B$3,
  _xlpm.Knewgain, Constantes!$B$4,
  _xlpm.Knewscale, Constantes!$B$5,
  _xlpm.ptstables, INDEX(N:N, _xlfn.SEQUENCE(COUNTA($C$2:$C169), 1, 3, 4)),
  _xlpm.nbparties, COUNTA(_xlfn._xlws.FILTER(_xlpm.ptstables, _xlpm.ptstables &lt;&gt; "")),
  _xlpm.coef, _xlpm.K + _xlpm.Knewgain / (_xlpm.Knewscale + _xlpm.nbparties),
  IF(N167="",
    "",
    _xlpm.coef * (N167-N168))
)</f>
        <v/>
      </c>
      <c r="O169" t="str" cm="1">
        <f t="array" ref="O169">_xlfn.LET(
  _xlpm.K, Constantes!$B$3,
  _xlpm.Knewgain, Constantes!$B$4,
  _xlpm.Knewscale, Constantes!$B$5,
  _xlpm.ptstables, INDEX(O:O, _xlfn.SEQUENCE(COUNTA($C$2:$C169), 1, 3, 4)),
  _xlpm.nbparties, COUNTA(_xlfn._xlws.FILTER(_xlpm.ptstables, _xlpm.ptstables &lt;&gt; "")),
  _xlpm.coef, _xlpm.K + _xlpm.Knewgain / (_xlpm.Knewscale + _xlpm.nbparties),
  IF(O167="",
    "",
    _xlpm.coef * (O167-O168))
)</f>
        <v/>
      </c>
      <c r="P169" cm="1">
        <f t="array" ref="P169">_xlfn.LET(
  _xlpm.K, Constantes!$B$3,
  _xlpm.Knewgain, Constantes!$B$4,
  _xlpm.Knewscale, Constantes!$B$5,
  _xlpm.ptstables, INDEX(P:P, _xlfn.SEQUENCE(COUNTA($C$2:$C169), 1, 3, 4)),
  _xlpm.nbparties, COUNTA(_xlfn._xlws.FILTER(_xlpm.ptstables, _xlpm.ptstables &lt;&gt; "")),
  _xlpm.coef, _xlpm.K + _xlpm.Knewgain / (_xlpm.Knewscale + _xlpm.nbparties),
  IF(P167="",
    "",
    _xlpm.coef * (P167-P168))
)</f>
        <v>-10.012350763861265</v>
      </c>
      <c r="Q169" cm="1">
        <f t="array" ref="Q169">_xlfn.LET(
  _xlpm.K, Constantes!$B$3,
  _xlpm.Knewgain, Constantes!$B$4,
  _xlpm.Knewscale, Constantes!$B$5,
  _xlpm.ptstables, INDEX(Q:Q, _xlfn.SEQUENCE(COUNTA($C$2:$C169), 1, 3, 4)),
  _xlpm.nbparties, COUNTA(_xlfn._xlws.FILTER(_xlpm.ptstables, _xlpm.ptstables &lt;&gt; "")),
  _xlpm.coef, _xlpm.K + _xlpm.Knewgain / (_xlpm.Knewscale + _xlpm.nbparties),
  IF(Q167="",
    "",
    _xlpm.coef * (Q167-Q168))
)</f>
        <v>3.9073490203183825</v>
      </c>
      <c r="R169" cm="1">
        <f t="array" ref="R169">_xlfn.LET(
  _xlpm.K, Constantes!$B$3,
  _xlpm.Knewgain, Constantes!$B$4,
  _xlpm.Knewscale, Constantes!$B$5,
  _xlpm.ptstables, INDEX(R:R, _xlfn.SEQUENCE(COUNTA($C$2:$C169), 1, 3, 4)),
  _xlpm.nbparties, COUNTA(_xlfn._xlws.FILTER(_xlpm.ptstables, _xlpm.ptstables &lt;&gt; "")),
  _xlpm.coef, _xlpm.K + _xlpm.Knewgain / (_xlpm.Knewscale + _xlpm.nbparties),
  IF(R167="",
    "",
    _xlpm.coef * (R167-R168))
)</f>
        <v>22.394432292378973</v>
      </c>
      <c r="S169" cm="1">
        <f t="array" ref="S169">_xlfn.LET(
  _xlpm.K, Constantes!$B$3,
  _xlpm.Knewgain, Constantes!$B$4,
  _xlpm.Knewscale, Constantes!$B$5,
  _xlpm.ptstables, INDEX(S:S, _xlfn.SEQUENCE(COUNTA($C$2:$C169), 1, 3, 4)),
  _xlpm.nbparties, COUNTA(_xlfn._xlws.FILTER(_xlpm.ptstables, _xlpm.ptstables &lt;&gt; "")),
  _xlpm.coef, _xlpm.K + _xlpm.Knewgain / (_xlpm.Knewscale + _xlpm.nbparties),
  IF(S167="",
    "",
    _xlpm.coef * (S167-S168))
)</f>
        <v>-17.02376296584838</v>
      </c>
      <c r="T169" t="str" cm="1">
        <f t="array" ref="T169">_xlfn.LET(
  _xlpm.K, Constantes!$B$3,
  _xlpm.Knewgain, Constantes!$B$4,
  _xlpm.Knewscale, Constantes!$B$5,
  _xlpm.ptstables, INDEX(T:T, _xlfn.SEQUENCE(COUNTA($C$2:$C169), 1, 3, 4)),
  _xlpm.nbparties, COUNTA(_xlfn._xlws.FILTER(_xlpm.ptstables, _xlpm.ptstables &lt;&gt; "")),
  _xlpm.coef, _xlpm.K + _xlpm.Knewgain / (_xlpm.Knewscale + _xlpm.nbparties),
  IF(T167="",
    "",
    _xlpm.coef * (T167-T168))
)</f>
        <v/>
      </c>
      <c r="U169" t="str" cm="1">
        <f t="array" ref="U169">_xlfn.LET(
  _xlpm.K, Constantes!$B$3,
  _xlpm.Knewgain, Constantes!$B$4,
  _xlpm.Knewscale, Constantes!$B$5,
  _xlpm.ptstables, INDEX(U:U, _xlfn.SEQUENCE(COUNTA($C$2:$C169), 1, 3, 4)),
  _xlpm.nbparties, COUNTA(_xlfn._xlws.FILTER(_xlpm.ptstables, _xlpm.ptstables &lt;&gt; "")),
  _xlpm.coef, _xlpm.K + _xlpm.Knewgain / (_xlpm.Knewscale + _xlpm.nbparties),
  IF(U167="",
    "",
    _xlpm.coef * (U167-U168))
)</f>
        <v/>
      </c>
      <c r="V169" t="str" cm="1">
        <f t="array" ref="V169">_xlfn.LET(
  _xlpm.K, Constantes!$B$3,
  _xlpm.Knewgain, Constantes!$B$4,
  _xlpm.Knewscale, Constantes!$B$5,
  _xlpm.ptstables, INDEX(V:V, _xlfn.SEQUENCE(COUNTA($C$2:$C169), 1, 3, 4)),
  _xlpm.nbparties, COUNTA(_xlfn._xlws.FILTER(_xlpm.ptstables, _xlpm.ptstables &lt;&gt; "")),
  _xlpm.coef, _xlpm.K + _xlpm.Knewgain / (_xlpm.Knewscale + _xlpm.nbparties),
  IF(V167="",
    "",
    _xlpm.coef * (V167-V168))
)</f>
        <v/>
      </c>
      <c r="W169" t="str" cm="1">
        <f t="array" ref="W169">_xlfn.LET(
  _xlpm.K, Constantes!$B$3,
  _xlpm.Knewgain, Constantes!$B$4,
  _xlpm.Knewscale, Constantes!$B$5,
  _xlpm.ptstables, INDEX(W:W, _xlfn.SEQUENCE(COUNTA($C$2:$C169), 1, 3, 4)),
  _xlpm.nbparties, COUNTA(_xlfn._xlws.FILTER(_xlpm.ptstables, _xlpm.ptstables &lt;&gt; "")),
  _xlpm.coef, _xlpm.K + _xlpm.Knewgain / (_xlpm.Knewscale + _xlpm.nbparties),
  IF(W167="",
    "",
    _xlpm.coef * (W167-W168))
)</f>
        <v/>
      </c>
      <c r="X169" t="str" cm="1">
        <f t="array" ref="X169">_xlfn.LET(
  _xlpm.K, Constantes!$B$3,
  _xlpm.Knewgain, Constantes!$B$4,
  _xlpm.Knewscale, Constantes!$B$5,
  _xlpm.ptstables, INDEX(X:X, _xlfn.SEQUENCE(COUNTA($C$2:$C169), 1, 3, 4)),
  _xlpm.nbparties, COUNTA(_xlfn._xlws.FILTER(_xlpm.ptstables, _xlpm.ptstables &lt;&gt; "")),
  _xlpm.coef, _xlpm.K + _xlpm.Knewgain / (_xlpm.Knewscale + _xlpm.nbparties),
  IF(X167="",
    "",
    _xlpm.coef * (X167-X168))
)</f>
        <v/>
      </c>
      <c r="Y169" t="str" cm="1">
        <f t="array" ref="Y169">_xlfn.LET(
  _xlpm.K, Constantes!$B$3,
  _xlpm.Knewgain, Constantes!$B$4,
  _xlpm.Knewscale, Constantes!$B$5,
  _xlpm.ptstables, INDEX(Y:Y, _xlfn.SEQUENCE(COUNTA($C$2:$C169), 1, 3, 4)),
  _xlpm.nbparties, COUNTA(_xlfn._xlws.FILTER(_xlpm.ptstables, _xlpm.ptstables &lt;&gt; "")),
  _xlpm.coef, _xlpm.K + _xlpm.Knewgain / (_xlpm.Knewscale + _xlpm.nbparties),
  IF(Y167="",
    "",
    _xlpm.coef * (Y167-Y168))
)</f>
        <v/>
      </c>
      <c r="Z169" t="str" cm="1">
        <f t="array" ref="Z169">_xlfn.LET(
  _xlpm.K, Constantes!$B$3,
  _xlpm.Knewgain, Constantes!$B$4,
  _xlpm.Knewscale, Constantes!$B$5,
  _xlpm.ptstables, INDEX(Z:Z, _xlfn.SEQUENCE(COUNTA($C$2:$C169), 1, 3, 4)),
  _xlpm.nbparties, COUNTA(_xlfn._xlws.FILTER(_xlpm.ptstables, _xlpm.ptstables &lt;&gt; "")),
  _xlpm.coef, _xlpm.K + _xlpm.Knewgain / (_xlpm.Knewscale + _xlpm.nbparties),
  IF(Z167="",
    "",
    _xlpm.coef * (Z167-Z168))
)</f>
        <v/>
      </c>
      <c r="AA169" t="str" cm="1">
        <f t="array" ref="AA169">_xlfn.LET(
  _xlpm.K, Constantes!$B$3,
  _xlpm.Knewgain, Constantes!$B$4,
  _xlpm.Knewscale, Constantes!$B$5,
  _xlpm.ptstables, INDEX(AA:AA, _xlfn.SEQUENCE(COUNTA($C$2:$C169), 1, 3, 4)),
  _xlpm.nbparties, COUNTA(_xlfn._xlws.FILTER(_xlpm.ptstables, _xlpm.ptstables &lt;&gt; "")),
  _xlpm.coef, _xlpm.K + _xlpm.Knewgain / (_xlpm.Knewscale + _xlpm.nbparties),
  IF(AA167="",
    "",
    _xlpm.coef * (AA167-AA168))
)</f>
        <v/>
      </c>
      <c r="AB169" t="str" cm="1">
        <f t="array" ref="AB169">_xlfn.LET(
  _xlpm.K, Constantes!$B$3,
  _xlpm.Knewgain, Constantes!$B$4,
  _xlpm.Knewscale, Constantes!$B$5,
  _xlpm.ptstables, INDEX(AB:AB, _xlfn.SEQUENCE(COUNTA($C$2:$C169), 1, 3, 4)),
  _xlpm.nbparties, COUNTA(_xlfn._xlws.FILTER(_xlpm.ptstables, _xlpm.ptstables &lt;&gt; "")),
  _xlpm.coef, _xlpm.K + _xlpm.Knewgain / (_xlpm.Knewscale + _xlpm.nbparties),
  IF(AB167="",
    "",
    _xlpm.coef * (AB167-AB168))
)</f>
        <v/>
      </c>
      <c r="AC169" t="str" cm="1">
        <f t="array" ref="AC169">_xlfn.LET(
  _xlpm.K, Constantes!$B$3,
  _xlpm.Knewgain, Constantes!$B$4,
  _xlpm.Knewscale, Constantes!$B$5,
  _xlpm.ptstables, INDEX(AC:AC, _xlfn.SEQUENCE(COUNTA($C$2:$C169), 1, 3, 4)),
  _xlpm.nbparties, COUNTA(_xlfn._xlws.FILTER(_xlpm.ptstables, _xlpm.ptstables &lt;&gt; "")),
  _xlpm.coef, _xlpm.K + _xlpm.Knewgain / (_xlpm.Knewscale + _xlpm.nbparties),
  IF(AC167="",
    "",
    _xlpm.coef * (AC167-AC168))
)</f>
        <v/>
      </c>
      <c r="AD169" t="str" cm="1">
        <f t="array" ref="AD169">_xlfn.LET(
  _xlpm.K, Constantes!$B$3,
  _xlpm.Knewgain, Constantes!$B$4,
  _xlpm.Knewscale, Constantes!$B$5,
  _xlpm.ptstables, INDEX(AD:AD, _xlfn.SEQUENCE(COUNTA($C$2:$C169), 1, 3, 4)),
  _xlpm.nbparties, COUNTA(_xlfn._xlws.FILTER(_xlpm.ptstables, _xlpm.ptstables &lt;&gt; "")),
  _xlpm.coef, _xlpm.K + _xlpm.Knewgain / (_xlpm.Knewscale + _xlpm.nbparties),
  IF(AD167="",
    "",
    _xlpm.coef * (AD167-AD168))
)</f>
        <v/>
      </c>
      <c r="AE169" t="str" cm="1">
        <f t="array" ref="AE169">_xlfn.LET(
  _xlpm.K, Constantes!$B$3,
  _xlpm.Knewgain, Constantes!$B$4,
  _xlpm.Knewscale, Constantes!$B$5,
  _xlpm.ptstables, INDEX(AE:AE, _xlfn.SEQUENCE(COUNTA($C$2:$C169), 1, 3, 4)),
  _xlpm.nbparties, COUNTA(_xlfn._xlws.FILTER(_xlpm.ptstables, _xlpm.ptstables &lt;&gt; "")),
  _xlpm.coef, _xlpm.K + _xlpm.Knewgain / (_xlpm.Knewscale + _xlpm.nbparties),
  IF(AE167="",
    "",
    _xlpm.coef * (AE167-AE168))
)</f>
        <v/>
      </c>
      <c r="AF169" t="str" cm="1">
        <f t="array" ref="AF169">_xlfn.LET(
  _xlpm.K, Constantes!$B$3,
  _xlpm.Knewgain, Constantes!$B$4,
  _xlpm.Knewscale, Constantes!$B$5,
  _xlpm.ptstables, INDEX(AF:AF, _xlfn.SEQUENCE(COUNTA($C$2:$C169), 1, 3, 4)),
  _xlpm.nbparties, COUNTA(_xlfn._xlws.FILTER(_xlpm.ptstables, _xlpm.ptstables &lt;&gt; "")),
  _xlpm.coef, _xlpm.K + _xlpm.Knewgain / (_xlpm.Knewscale + _xlpm.nbparties),
  IF(AF167="",
    "",
    _xlpm.coef * (AF167-AF168))
)</f>
        <v/>
      </c>
      <c r="AG169" t="str" cm="1">
        <f t="array" ref="AG169">_xlfn.LET(
  _xlpm.K, Constantes!$B$3,
  _xlpm.Knewgain, Constantes!$B$4,
  _xlpm.Knewscale, Constantes!$B$5,
  _xlpm.ptstables, INDEX(AG:AG, _xlfn.SEQUENCE(COUNTA($C$2:$C169), 1, 3, 4)),
  _xlpm.nbparties, COUNTA(_xlfn._xlws.FILTER(_xlpm.ptstables, _xlpm.ptstables &lt;&gt; "")),
  _xlpm.coef, _xlpm.K + _xlpm.Knewgain / (_xlpm.Knewscale + _xlpm.nbparties),
  IF(AG167="",
    "",
    _xlpm.coef * (AG167-AG168))
)</f>
        <v/>
      </c>
      <c r="AH169" t="str" cm="1">
        <f t="array" ref="AH169">_xlfn.LET(
  _xlpm.K, Constantes!$B$3,
  _xlpm.Knewgain, Constantes!$B$4,
  _xlpm.Knewscale, Constantes!$B$5,
  _xlpm.ptstables, INDEX(AH:AH, _xlfn.SEQUENCE(COUNTA($C$2:$C169), 1, 3, 4)),
  _xlpm.nbparties, COUNTA(_xlfn._xlws.FILTER(_xlpm.ptstables, _xlpm.ptstables &lt;&gt; "")),
  _xlpm.coef, _xlpm.K + _xlpm.Knewgain / (_xlpm.Knewscale + _xlpm.nbparties),
  IF(AH167="",
    "",
    _xlpm.coef * (AH167-AH168))
)</f>
        <v/>
      </c>
      <c r="AI169" t="str" cm="1">
        <f t="array" ref="AI169">_xlfn.LET(
  _xlpm.K, Constantes!$B$3,
  _xlpm.Knewgain, Constantes!$B$4,
  _xlpm.Knewscale, Constantes!$B$5,
  _xlpm.ptstables, INDEX(AI:AI, _xlfn.SEQUENCE(COUNTA($C$2:$C169), 1, 3, 4)),
  _xlpm.nbparties, COUNTA(_xlfn._xlws.FILTER(_xlpm.ptstables, _xlpm.ptstables &lt;&gt; "")),
  _xlpm.coef, _xlpm.K + _xlpm.Knewgain / (_xlpm.Knewscale + _xlpm.nbparties),
  IF(AI167="",
    "",
    _xlpm.coef * (AI167-AI168))
)</f>
        <v/>
      </c>
      <c r="AJ169" t="str" cm="1">
        <f t="array" ref="AJ169">_xlfn.LET(
  _xlpm.K, Constantes!$B$3,
  _xlpm.Knewgain, Constantes!$B$4,
  _xlpm.Knewscale, Constantes!$B$5,
  _xlpm.ptstables, INDEX(AJ:AJ, _xlfn.SEQUENCE(COUNTA($C$2:$C169), 1, 3, 4)),
  _xlpm.nbparties, COUNTA(_xlfn._xlws.FILTER(_xlpm.ptstables, _xlpm.ptstables &lt;&gt; "")),
  _xlpm.coef, _xlpm.K + _xlpm.Knewgain / (_xlpm.Knewscale + _xlpm.nbparties),
  IF(AJ167="",
    "",
    _xlpm.coef * (AJ167-AJ168))
)</f>
        <v/>
      </c>
      <c r="AK169" t="str" cm="1">
        <f t="array" ref="AK169">_xlfn.LET(
  _xlpm.K, Constantes!$B$3,
  _xlpm.Knewgain, Constantes!$B$4,
  _xlpm.Knewscale, Constantes!$B$5,
  _xlpm.ptstables, INDEX(AK:AK, _xlfn.SEQUENCE(COUNTA($C$2:$C169), 1, 3, 4)),
  _xlpm.nbparties, COUNTA(_xlfn._xlws.FILTER(_xlpm.ptstables, _xlpm.ptstables &lt;&gt; "")),
  _xlpm.coef, _xlpm.K + _xlpm.Knewgain / (_xlpm.Knewscale + _xlpm.nbparties),
  IF(AK167="",
    "",
    _xlpm.coef * (AK167-AK168))
)</f>
        <v/>
      </c>
      <c r="AL169" t="str" cm="1">
        <f t="array" ref="AL169">_xlfn.LET(
  _xlpm.K, Constantes!$B$3,
  _xlpm.Knewgain, Constantes!$B$4,
  _xlpm.Knewscale, Constantes!$B$5,
  _xlpm.ptstables, INDEX(AL:AL, _xlfn.SEQUENCE(COUNTA($C$2:$C169), 1, 3, 4)),
  _xlpm.nbparties, COUNTA(_xlfn._xlws.FILTER(_xlpm.ptstables, _xlpm.ptstables &lt;&gt; "")),
  _xlpm.coef, _xlpm.K + _xlpm.Knewgain / (_xlpm.Knewscale + _xlpm.nbparties),
  IF(AL167="",
    "",
    _xlpm.coef * (AL167-AL168))
)</f>
        <v/>
      </c>
      <c r="AM169" t="str" cm="1">
        <f t="array" ref="AM169">_xlfn.LET(
  _xlpm.K, Constantes!$B$3,
  _xlpm.Knewgain, Constantes!$B$4,
  _xlpm.Knewscale, Constantes!$B$5,
  _xlpm.ptstables, INDEX(AM:AM, _xlfn.SEQUENCE(COUNTA($C$2:$C169), 1, 3, 4)),
  _xlpm.nbparties, COUNTA(_xlfn._xlws.FILTER(_xlpm.ptstables, _xlpm.ptstables &lt;&gt; "")),
  _xlpm.coef, _xlpm.K + _xlpm.Knewgain / (_xlpm.Knewscale + _xlpm.nbparties),
  IF(AM167="",
    "",
    _xlpm.coef * (AM167-AM168))
)</f>
        <v/>
      </c>
    </row>
    <row r="170" spans="1:39" x14ac:dyDescent="0.25">
      <c r="A170" t="s">
        <v>14</v>
      </c>
      <c r="B170" t="str" cm="1">
        <f t="array" ref="B17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43</v>
      </c>
      <c r="C170" s="2" cm="1">
        <f t="array" ref="C170">IF(B170="","",
  INDEX(Donnees!F:F, MATCH(B170, Donnees!F:F, 0)+1))</f>
        <v>45927.860451388886</v>
      </c>
      <c r="D170">
        <f t="shared" ref="D170:AM170" si="50">D166+IF(D169="",0,D169)</f>
        <v>1115.9311757149087</v>
      </c>
      <c r="E170">
        <f t="shared" si="50"/>
        <v>1105.3750854597461</v>
      </c>
      <c r="F170">
        <f t="shared" si="50"/>
        <v>839.76438398955065</v>
      </c>
      <c r="G170">
        <f t="shared" si="50"/>
        <v>1024.6030101366564</v>
      </c>
      <c r="H170">
        <f t="shared" si="50"/>
        <v>1043.8545020183328</v>
      </c>
      <c r="I170">
        <f t="shared" si="50"/>
        <v>1084.9304838632445</v>
      </c>
      <c r="J170">
        <f t="shared" si="50"/>
        <v>938.49433816478961</v>
      </c>
      <c r="K170">
        <f t="shared" si="50"/>
        <v>907.51653081539087</v>
      </c>
      <c r="L170">
        <f t="shared" si="50"/>
        <v>801.48942635099877</v>
      </c>
      <c r="M170">
        <f t="shared" si="50"/>
        <v>913.41986361738122</v>
      </c>
      <c r="N170">
        <f t="shared" si="50"/>
        <v>907.32507465255833</v>
      </c>
      <c r="O170">
        <f t="shared" si="50"/>
        <v>1005.4306950475848</v>
      </c>
      <c r="P170">
        <f t="shared" si="50"/>
        <v>1005.4229961505649</v>
      </c>
      <c r="Q170">
        <f t="shared" si="50"/>
        <v>1106.4752332192195</v>
      </c>
      <c r="R170">
        <f t="shared" si="50"/>
        <v>1170.8504883222886</v>
      </c>
      <c r="S170">
        <f t="shared" si="50"/>
        <v>861.96896943211959</v>
      </c>
      <c r="T170">
        <f t="shared" si="50"/>
        <v>1135.2782658680615</v>
      </c>
      <c r="U170">
        <f t="shared" si="50"/>
        <v>1107.1409900911185</v>
      </c>
      <c r="V170">
        <f t="shared" si="50"/>
        <v>961.58818235691967</v>
      </c>
      <c r="W170">
        <f t="shared" si="50"/>
        <v>936.79085942937002</v>
      </c>
      <c r="X170">
        <f t="shared" si="50"/>
        <v>851.6115293878712</v>
      </c>
      <c r="Y170">
        <f t="shared" si="50"/>
        <v>984.68205603174124</v>
      </c>
      <c r="Z170">
        <f t="shared" si="50"/>
        <v>991.11904139672549</v>
      </c>
      <c r="AA170">
        <f t="shared" si="50"/>
        <v>980.56756855165884</v>
      </c>
      <c r="AB170">
        <f t="shared" si="50"/>
        <v>988.35669729544747</v>
      </c>
      <c r="AC170">
        <f t="shared" si="50"/>
        <v>984.85656690779365</v>
      </c>
      <c r="AD170">
        <f t="shared" si="50"/>
        <v>974.01499999999999</v>
      </c>
      <c r="AE170">
        <f t="shared" si="50"/>
        <v>1011.415</v>
      </c>
      <c r="AF170">
        <f t="shared" si="50"/>
        <v>1031.1199999999999</v>
      </c>
      <c r="AG170">
        <f t="shared" si="50"/>
        <v>1001.0350000000001</v>
      </c>
      <c r="AH170">
        <f t="shared" si="50"/>
        <v>994.44</v>
      </c>
      <c r="AI170">
        <f t="shared" si="50"/>
        <v>1000</v>
      </c>
      <c r="AJ170">
        <f t="shared" si="50"/>
        <v>957.2</v>
      </c>
      <c r="AK170">
        <f t="shared" si="50"/>
        <v>1000</v>
      </c>
      <c r="AL170">
        <f t="shared" si="50"/>
        <v>1055.9299999999998</v>
      </c>
      <c r="AM170">
        <f t="shared" si="50"/>
        <v>1000</v>
      </c>
    </row>
    <row r="171" spans="1:39" x14ac:dyDescent="0.25">
      <c r="A171" t="s">
        <v>21</v>
      </c>
      <c r="D171" cm="1">
        <f t="array" ref="D171">IFERROR(
  _xlfn.LET(
    _xlpm.ligpartie, MATCH($B170, Donnees!$F:$F, 0),
    _xlpm.joueurs, INDEX(Donnees!$A:$Z, _xlpm.ligpartie+1, _xlfn.SEQUENCE(1, 4, 2)),
    INDEX(
      Donnees!$A:$Z,
      _xlpm.ligpartie + 3,
      MATCH(D$1, _xlpm.joueurs, 0) + 1
    )
  ), ""
)</f>
        <v>0</v>
      </c>
      <c r="E171" t="str" cm="1">
        <f t="array" ref="E171">IFERROR(
  _xlfn.LET(
    _xlpm.ligpartie, MATCH($B170, Donnees!$F:$F, 0),
    _xlpm.joueurs, INDEX(Donnees!$A:$Z, _xlpm.ligpartie+1, _xlfn.SEQUENCE(1, 4, 2)),
    INDEX(
      Donnees!$A:$Z,
      _xlpm.ligpartie + 3,
      MATCH(E$1, _xlpm.joueurs, 0) + 1
    )
  ), ""
)</f>
        <v/>
      </c>
      <c r="F171" t="str" cm="1">
        <f t="array" ref="F171">IFERROR(
  _xlfn.LET(
    _xlpm.ligpartie, MATCH($B170, Donnees!$F:$F, 0),
    _xlpm.joueurs, INDEX(Donnees!$A:$Z, _xlpm.ligpartie+1, _xlfn.SEQUENCE(1, 4, 2)),
    INDEX(
      Donnees!$A:$Z,
      _xlpm.ligpartie + 3,
      MATCH(F$1, _xlpm.joueurs, 0) + 1
    )
  ), ""
)</f>
        <v/>
      </c>
      <c r="G171" cm="1">
        <f t="array" ref="G171">IFERROR(
  _xlfn.LET(
    _xlpm.ligpartie, MATCH($B170, Donnees!$F:$F, 0),
    _xlpm.joueurs, INDEX(Donnees!$A:$Z, _xlpm.ligpartie+1, _xlfn.SEQUENCE(1, 4, 2)),
    INDEX(
      Donnees!$A:$Z,
      _xlpm.ligpartie + 3,
      MATCH(G$1, _xlpm.joueurs, 0) + 1
    )
  ), ""
)</f>
        <v>2</v>
      </c>
      <c r="H171" t="str" cm="1">
        <f t="array" ref="H171">IFERROR(
  _xlfn.LET(
    _xlpm.ligpartie, MATCH($B170, Donnees!$F:$F, 0),
    _xlpm.joueurs, INDEX(Donnees!$A:$Z, _xlpm.ligpartie+1, _xlfn.SEQUENCE(1, 4, 2)),
    INDEX(
      Donnees!$A:$Z,
      _xlpm.ligpartie + 3,
      MATCH(H$1, _xlpm.joueurs, 0) + 1
    )
  ), ""
)</f>
        <v/>
      </c>
      <c r="I171" t="str" cm="1">
        <f t="array" ref="I171">IFERROR(
  _xlfn.LET(
    _xlpm.ligpartie, MATCH($B170, Donnees!$F:$F, 0),
    _xlpm.joueurs, INDEX(Donnees!$A:$Z, _xlpm.ligpartie+1, _xlfn.SEQUENCE(1, 4, 2)),
    INDEX(
      Donnees!$A:$Z,
      _xlpm.ligpartie + 3,
      MATCH(I$1, _xlpm.joueurs, 0) + 1
    )
  ), ""
)</f>
        <v/>
      </c>
      <c r="J171" t="str" cm="1">
        <f t="array" ref="J171">IFERROR(
  _xlfn.LET(
    _xlpm.ligpartie, MATCH($B170, Donnees!$F:$F, 0),
    _xlpm.joueurs, INDEX(Donnees!$A:$Z, _xlpm.ligpartie+1, _xlfn.SEQUENCE(1, 4, 2)),
    INDEX(
      Donnees!$A:$Z,
      _xlpm.ligpartie + 3,
      MATCH(J$1, _xlpm.joueurs, 0) + 1
    )
  ), ""
)</f>
        <v/>
      </c>
      <c r="K171" t="str" cm="1">
        <f t="array" ref="K171">IFERROR(
  _xlfn.LET(
    _xlpm.ligpartie, MATCH($B170, Donnees!$F:$F, 0),
    _xlpm.joueurs, INDEX(Donnees!$A:$Z, _xlpm.ligpartie+1, _xlfn.SEQUENCE(1, 4, 2)),
    INDEX(
      Donnees!$A:$Z,
      _xlpm.ligpartie + 3,
      MATCH(K$1, _xlpm.joueurs, 0) + 1
    )
  ), ""
)</f>
        <v/>
      </c>
      <c r="L171" t="str" cm="1">
        <f t="array" ref="L171">IFERROR(
  _xlfn.LET(
    _xlpm.ligpartie, MATCH($B170, Donnees!$F:$F, 0),
    _xlpm.joueurs, INDEX(Donnees!$A:$Z, _xlpm.ligpartie+1, _xlfn.SEQUENCE(1, 4, 2)),
    INDEX(
      Donnees!$A:$Z,
      _xlpm.ligpartie + 3,
      MATCH(L$1, _xlpm.joueurs, 0) + 1
    )
  ), ""
)</f>
        <v/>
      </c>
      <c r="M171" t="str" cm="1">
        <f t="array" ref="M171">IFERROR(
  _xlfn.LET(
    _xlpm.ligpartie, MATCH($B170, Donnees!$F:$F, 0),
    _xlpm.joueurs, INDEX(Donnees!$A:$Z, _xlpm.ligpartie+1, _xlfn.SEQUENCE(1, 4, 2)),
    INDEX(
      Donnees!$A:$Z,
      _xlpm.ligpartie + 3,
      MATCH(M$1, _xlpm.joueurs, 0) + 1
    )
  ), ""
)</f>
        <v/>
      </c>
      <c r="N171" t="str" cm="1">
        <f t="array" ref="N171">IFERROR(
  _xlfn.LET(
    _xlpm.ligpartie, MATCH($B170, Donnees!$F:$F, 0),
    _xlpm.joueurs, INDEX(Donnees!$A:$Z, _xlpm.ligpartie+1, _xlfn.SEQUENCE(1, 4, 2)),
    INDEX(
      Donnees!$A:$Z,
      _xlpm.ligpartie + 3,
      MATCH(N$1, _xlpm.joueurs, 0) + 1
    )
  ), ""
)</f>
        <v/>
      </c>
      <c r="O171" t="str" cm="1">
        <f t="array" ref="O171">IFERROR(
  _xlfn.LET(
    _xlpm.ligpartie, MATCH($B170, Donnees!$F:$F, 0),
    _xlpm.joueurs, INDEX(Donnees!$A:$Z, _xlpm.ligpartie+1, _xlfn.SEQUENCE(1, 4, 2)),
    INDEX(
      Donnees!$A:$Z,
      _xlpm.ligpartie + 3,
      MATCH(O$1, _xlpm.joueurs, 0) + 1
    )
  ), ""
)</f>
        <v/>
      </c>
      <c r="P171" t="str" cm="1">
        <f t="array" ref="P171">IFERROR(
  _xlfn.LET(
    _xlpm.ligpartie, MATCH($B170, Donnees!$F:$F, 0),
    _xlpm.joueurs, INDEX(Donnees!$A:$Z, _xlpm.ligpartie+1, _xlfn.SEQUENCE(1, 4, 2)),
    INDEX(
      Donnees!$A:$Z,
      _xlpm.ligpartie + 3,
      MATCH(P$1, _xlpm.joueurs, 0) + 1
    )
  ), ""
)</f>
        <v/>
      </c>
      <c r="Q171" t="str" cm="1">
        <f t="array" ref="Q171">IFERROR(
  _xlfn.LET(
    _xlpm.ligpartie, MATCH($B170, Donnees!$F:$F, 0),
    _xlpm.joueurs, INDEX(Donnees!$A:$Z, _xlpm.ligpartie+1, _xlfn.SEQUENCE(1, 4, 2)),
    INDEX(
      Donnees!$A:$Z,
      _xlpm.ligpartie + 3,
      MATCH(Q$1, _xlpm.joueurs, 0) + 1
    )
  ), ""
)</f>
        <v/>
      </c>
      <c r="R171" t="str" cm="1">
        <f t="array" ref="R171">IFERROR(
  _xlfn.LET(
    _xlpm.ligpartie, MATCH($B170, Donnees!$F:$F, 0),
    _xlpm.joueurs, INDEX(Donnees!$A:$Z, _xlpm.ligpartie+1, _xlfn.SEQUENCE(1, 4, 2)),
    INDEX(
      Donnees!$A:$Z,
      _xlpm.ligpartie + 3,
      MATCH(R$1, _xlpm.joueurs, 0) + 1
    )
  ), ""
)</f>
        <v/>
      </c>
      <c r="S171" t="str" cm="1">
        <f t="array" ref="S171">IFERROR(
  _xlfn.LET(
    _xlpm.ligpartie, MATCH($B170, Donnees!$F:$F, 0),
    _xlpm.joueurs, INDEX(Donnees!$A:$Z, _xlpm.ligpartie+1, _xlfn.SEQUENCE(1, 4, 2)),
    INDEX(
      Donnees!$A:$Z,
      _xlpm.ligpartie + 3,
      MATCH(S$1, _xlpm.joueurs, 0) + 1
    )
  ), ""
)</f>
        <v/>
      </c>
      <c r="T171" t="str" cm="1">
        <f t="array" ref="T171">IFERROR(
  _xlfn.LET(
    _xlpm.ligpartie, MATCH($B170, Donnees!$F:$F, 0),
    _xlpm.joueurs, INDEX(Donnees!$A:$Z, _xlpm.ligpartie+1, _xlfn.SEQUENCE(1, 4, 2)),
    INDEX(
      Donnees!$A:$Z,
      _xlpm.ligpartie + 3,
      MATCH(T$1, _xlpm.joueurs, 0) + 1
    )
  ), ""
)</f>
        <v/>
      </c>
      <c r="U171" cm="1">
        <f t="array" ref="U171">IFERROR(
  _xlfn.LET(
    _xlpm.ligpartie, MATCH($B170, Donnees!$F:$F, 0),
    _xlpm.joueurs, INDEX(Donnees!$A:$Z, _xlpm.ligpartie+1, _xlfn.SEQUENCE(1, 4, 2)),
    INDEX(
      Donnees!$A:$Z,
      _xlpm.ligpartie + 3,
      MATCH(U$1, _xlpm.joueurs, 0) + 1
    )
  ), ""
)</f>
        <v>1</v>
      </c>
      <c r="V171" t="str" cm="1">
        <f t="array" ref="V171">IFERROR(
  _xlfn.LET(
    _xlpm.ligpartie, MATCH($B170, Donnees!$F:$F, 0),
    _xlpm.joueurs, INDEX(Donnees!$A:$Z, _xlpm.ligpartie+1, _xlfn.SEQUENCE(1, 4, 2)),
    INDEX(
      Donnees!$A:$Z,
      _xlpm.ligpartie + 3,
      MATCH(V$1, _xlpm.joueurs, 0) + 1
    )
  ), ""
)</f>
        <v/>
      </c>
      <c r="W171" t="str" cm="1">
        <f t="array" ref="W171">IFERROR(
  _xlfn.LET(
    _xlpm.ligpartie, MATCH($B170, Donnees!$F:$F, 0),
    _xlpm.joueurs, INDEX(Donnees!$A:$Z, _xlpm.ligpartie+1, _xlfn.SEQUENCE(1, 4, 2)),
    INDEX(
      Donnees!$A:$Z,
      _xlpm.ligpartie + 3,
      MATCH(W$1, _xlpm.joueurs, 0) + 1
    )
  ), ""
)</f>
        <v/>
      </c>
      <c r="X171" t="str" cm="1">
        <f t="array" ref="X171">IFERROR(
  _xlfn.LET(
    _xlpm.ligpartie, MATCH($B170, Donnees!$F:$F, 0),
    _xlpm.joueurs, INDEX(Donnees!$A:$Z, _xlpm.ligpartie+1, _xlfn.SEQUENCE(1, 4, 2)),
    INDEX(
      Donnees!$A:$Z,
      _xlpm.ligpartie + 3,
      MATCH(X$1, _xlpm.joueurs, 0) + 1
    )
  ), ""
)</f>
        <v/>
      </c>
      <c r="Y171" t="str" cm="1">
        <f t="array" ref="Y171">IFERROR(
  _xlfn.LET(
    _xlpm.ligpartie, MATCH($B170, Donnees!$F:$F, 0),
    _xlpm.joueurs, INDEX(Donnees!$A:$Z, _xlpm.ligpartie+1, _xlfn.SEQUENCE(1, 4, 2)),
    INDEX(
      Donnees!$A:$Z,
      _xlpm.ligpartie + 3,
      MATCH(Y$1, _xlpm.joueurs, 0) + 1
    )
  ), ""
)</f>
        <v/>
      </c>
      <c r="Z171" t="str" cm="1">
        <f t="array" ref="Z171">IFERROR(
  _xlfn.LET(
    _xlpm.ligpartie, MATCH($B170, Donnees!$F:$F, 0),
    _xlpm.joueurs, INDEX(Donnees!$A:$Z, _xlpm.ligpartie+1, _xlfn.SEQUENCE(1, 4, 2)),
    INDEX(
      Donnees!$A:$Z,
      _xlpm.ligpartie + 3,
      MATCH(Z$1, _xlpm.joueurs, 0) + 1
    )
  ), ""
)</f>
        <v/>
      </c>
      <c r="AA171" t="str" cm="1">
        <f t="array" ref="AA171">IFERROR(
  _xlfn.LET(
    _xlpm.ligpartie, MATCH($B170, Donnees!$F:$F, 0),
    _xlpm.joueurs, INDEX(Donnees!$A:$Z, _xlpm.ligpartie+1, _xlfn.SEQUENCE(1, 4, 2)),
    INDEX(
      Donnees!$A:$Z,
      _xlpm.ligpartie + 3,
      MATCH(AA$1, _xlpm.joueurs, 0) + 1
    )
  ), ""
)</f>
        <v/>
      </c>
      <c r="AB171" t="str" cm="1">
        <f t="array" ref="AB171">IFERROR(
  _xlfn.LET(
    _xlpm.ligpartie, MATCH($B170, Donnees!$F:$F, 0),
    _xlpm.joueurs, INDEX(Donnees!$A:$Z, _xlpm.ligpartie+1, _xlfn.SEQUENCE(1, 4, 2)),
    INDEX(
      Donnees!$A:$Z,
      _xlpm.ligpartie + 3,
      MATCH(AB$1, _xlpm.joueurs, 0) + 1
    )
  ), ""
)</f>
        <v/>
      </c>
      <c r="AC171" cm="1">
        <f t="array" ref="AC171">IFERROR(
  _xlfn.LET(
    _xlpm.ligpartie, MATCH($B170, Donnees!$F:$F, 0),
    _xlpm.joueurs, INDEX(Donnees!$A:$Z, _xlpm.ligpartie+1, _xlfn.SEQUENCE(1, 4, 2)),
    INDEX(
      Donnees!$A:$Z,
      _xlpm.ligpartie + 3,
      MATCH(AC$1, _xlpm.joueurs, 0) + 1
    )
  ), ""
)</f>
        <v>3</v>
      </c>
      <c r="AD171" t="str" cm="1">
        <f t="array" ref="AD171">IFERROR(
  _xlfn.LET(
    _xlpm.ligpartie, MATCH($B170, Donnees!$F:$F, 0),
    _xlpm.joueurs, INDEX(Donnees!$A:$Z, _xlpm.ligpartie+1, _xlfn.SEQUENCE(1, 4, 2)),
    INDEX(
      Donnees!$A:$Z,
      _xlpm.ligpartie + 3,
      MATCH(AD$1, _xlpm.joueurs, 0) + 1
    )
  ), ""
)</f>
        <v/>
      </c>
      <c r="AE171" t="str" cm="1">
        <f t="array" ref="AE171">IFERROR(
  _xlfn.LET(
    _xlpm.ligpartie, MATCH($B170, Donnees!$F:$F, 0),
    _xlpm.joueurs, INDEX(Donnees!$A:$Z, _xlpm.ligpartie+1, _xlfn.SEQUENCE(1, 4, 2)),
    INDEX(
      Donnees!$A:$Z,
      _xlpm.ligpartie + 3,
      MATCH(AE$1, _xlpm.joueurs, 0) + 1
    )
  ), ""
)</f>
        <v/>
      </c>
      <c r="AF171" t="str" cm="1">
        <f t="array" ref="AF171">IFERROR(
  _xlfn.LET(
    _xlpm.ligpartie, MATCH($B170, Donnees!$F:$F, 0),
    _xlpm.joueurs, INDEX(Donnees!$A:$Z, _xlpm.ligpartie+1, _xlfn.SEQUENCE(1, 4, 2)),
    INDEX(
      Donnees!$A:$Z,
      _xlpm.ligpartie + 3,
      MATCH(AF$1, _xlpm.joueurs, 0) + 1
    )
  ), ""
)</f>
        <v/>
      </c>
      <c r="AG171" t="str" cm="1">
        <f t="array" ref="AG171">IFERROR(
  _xlfn.LET(
    _xlpm.ligpartie, MATCH($B170, Donnees!$F:$F, 0),
    _xlpm.joueurs, INDEX(Donnees!$A:$Z, _xlpm.ligpartie+1, _xlfn.SEQUENCE(1, 4, 2)),
    INDEX(
      Donnees!$A:$Z,
      _xlpm.ligpartie + 3,
      MATCH(AG$1, _xlpm.joueurs, 0) + 1
    )
  ), ""
)</f>
        <v/>
      </c>
      <c r="AH171" t="str" cm="1">
        <f t="array" ref="AH171">IFERROR(
  _xlfn.LET(
    _xlpm.ligpartie, MATCH($B170, Donnees!$F:$F, 0),
    _xlpm.joueurs, INDEX(Donnees!$A:$Z, _xlpm.ligpartie+1, _xlfn.SEQUENCE(1, 4, 2)),
    INDEX(
      Donnees!$A:$Z,
      _xlpm.ligpartie + 3,
      MATCH(AH$1, _xlpm.joueurs, 0) + 1
    )
  ), ""
)</f>
        <v/>
      </c>
      <c r="AI171" t="str" cm="1">
        <f t="array" ref="AI171">IFERROR(
  _xlfn.LET(
    _xlpm.ligpartie, MATCH($B170, Donnees!$F:$F, 0),
    _xlpm.joueurs, INDEX(Donnees!$A:$Z, _xlpm.ligpartie+1, _xlfn.SEQUENCE(1, 4, 2)),
    INDEX(
      Donnees!$A:$Z,
      _xlpm.ligpartie + 3,
      MATCH(AI$1, _xlpm.joueurs, 0) + 1
    )
  ), ""
)</f>
        <v/>
      </c>
      <c r="AJ171" t="str" cm="1">
        <f t="array" ref="AJ171">IFERROR(
  _xlfn.LET(
    _xlpm.ligpartie, MATCH($B170, Donnees!$F:$F, 0),
    _xlpm.joueurs, INDEX(Donnees!$A:$Z, _xlpm.ligpartie+1, _xlfn.SEQUENCE(1, 4, 2)),
    INDEX(
      Donnees!$A:$Z,
      _xlpm.ligpartie + 3,
      MATCH(AJ$1, _xlpm.joueurs, 0) + 1
    )
  ), ""
)</f>
        <v/>
      </c>
      <c r="AK171" t="str" cm="1">
        <f t="array" ref="AK171">IFERROR(
  _xlfn.LET(
    _xlpm.ligpartie, MATCH($B170, Donnees!$F:$F, 0),
    _xlpm.joueurs, INDEX(Donnees!$A:$Z, _xlpm.ligpartie+1, _xlfn.SEQUENCE(1, 4, 2)),
    INDEX(
      Donnees!$A:$Z,
      _xlpm.ligpartie + 3,
      MATCH(AK$1, _xlpm.joueurs, 0) + 1
    )
  ), ""
)</f>
        <v/>
      </c>
      <c r="AL171" t="str" cm="1">
        <f t="array" ref="AL171">IFERROR(
  _xlfn.LET(
    _xlpm.ligpartie, MATCH($B170, Donnees!$F:$F, 0),
    _xlpm.joueurs, INDEX(Donnees!$A:$Z, _xlpm.ligpartie+1, _xlfn.SEQUENCE(1, 4, 2)),
    INDEX(
      Donnees!$A:$Z,
      _xlpm.ligpartie + 3,
      MATCH(AL$1, _xlpm.joueurs, 0) + 1
    )
  ), ""
)</f>
        <v/>
      </c>
      <c r="AM171" t="str" cm="1">
        <f t="array" ref="AM171">IFERROR(
  _xlfn.LET(
    _xlpm.ligpartie, MATCH($B170, Donnees!$F:$F, 0),
    _xlpm.joueurs, INDEX(Donnees!$A:$Z, _xlpm.ligpartie+1, _xlfn.SEQUENCE(1, 4, 2)),
    INDEX(
      Donnees!$A:$Z,
      _xlpm.ligpartie + 3,
      MATCH(AM$1, _xlpm.joueurs, 0) + 1
    )
  ), ""
)</f>
        <v/>
      </c>
    </row>
    <row r="172" spans="1:39" x14ac:dyDescent="0.25">
      <c r="A172" t="s">
        <v>20</v>
      </c>
      <c r="D172" cm="1">
        <f t="array" ref="D172">_xlfn.LET(
  _xlpm.colj, _xlfn._xlws.FILTER(IF(ISNUMBER(171:171), COLUMN(171:171)), ISNUMBER(171:171)),
  _xlpm.elos, INDEX(170:170,1,_xlpm.colj),
  _xlpm.diffscale, Constantes!$B$2,
  IF(D171="",
    "",
    SUM(1/(1+POWER(10,-(D170-_xlpm.elos)/_xlpm.diffscale)))-0.5)
)</f>
        <v>1.8212975033753946</v>
      </c>
      <c r="E172" t="str" cm="1">
        <f t="array" ref="E172">_xlfn.LET(
  _xlpm.colj, _xlfn._xlws.FILTER(IF(ISNUMBER(171:171), COLUMN(171:171)), ISNUMBER(171:171)),
  _xlpm.elos, INDEX(170:170,1,_xlpm.colj),
  _xlpm.diffscale, Constantes!$B$2,
  IF(E171="",
    "",
    SUM(1/(1+POWER(10,-(E170-_xlpm.elos)/_xlpm.diffscale)))-0.5)
)</f>
        <v/>
      </c>
      <c r="F172" t="str" cm="1">
        <f t="array" ref="F172">_xlfn.LET(
  _xlpm.colj, _xlfn._xlws.FILTER(IF(ISNUMBER(171:171), COLUMN(171:171)), ISNUMBER(171:171)),
  _xlpm.elos, INDEX(170:170,1,_xlpm.colj),
  _xlpm.diffscale, Constantes!$B$2,
  IF(F171="",
    "",
    SUM(1/(1+POWER(10,-(F170-_xlpm.elos)/_xlpm.diffscale)))-0.5)
)</f>
        <v/>
      </c>
      <c r="G172" cm="1">
        <f t="array" ref="G172">_xlfn.LET(
  _xlpm.colj, _xlfn._xlws.FILTER(IF(ISNUMBER(171:171), COLUMN(171:171)), ISNUMBER(171:171)),
  _xlpm.elos, INDEX(170:170,1,_xlpm.colj),
  _xlpm.diffscale, Constantes!$B$2,
  IF(G171="",
    "",
    SUM(1/(1+POWER(10,-(G170-_xlpm.elos)/_xlpm.diffscale)))-0.5)
)</f>
        <v>1.3118690231367509</v>
      </c>
      <c r="H172" t="str" cm="1">
        <f t="array" ref="H172">_xlfn.LET(
  _xlpm.colj, _xlfn._xlws.FILTER(IF(ISNUMBER(171:171), COLUMN(171:171)), ISNUMBER(171:171)),
  _xlpm.elos, INDEX(170:170,1,_xlpm.colj),
  _xlpm.diffscale, Constantes!$B$2,
  IF(H171="",
    "",
    SUM(1/(1+POWER(10,-(H170-_xlpm.elos)/_xlpm.diffscale)))-0.5)
)</f>
        <v/>
      </c>
      <c r="I172" t="str" cm="1">
        <f t="array" ref="I172">_xlfn.LET(
  _xlpm.colj, _xlfn._xlws.FILTER(IF(ISNUMBER(171:171), COLUMN(171:171)), ISNUMBER(171:171)),
  _xlpm.elos, INDEX(170:170,1,_xlpm.colj),
  _xlpm.diffscale, Constantes!$B$2,
  IF(I171="",
    "",
    SUM(1/(1+POWER(10,-(I170-_xlpm.elos)/_xlpm.diffscale)))-0.5)
)</f>
        <v/>
      </c>
      <c r="J172" t="str" cm="1">
        <f t="array" ref="J172">_xlfn.LET(
  _xlpm.colj, _xlfn._xlws.FILTER(IF(ISNUMBER(171:171), COLUMN(171:171)), ISNUMBER(171:171)),
  _xlpm.elos, INDEX(170:170,1,_xlpm.colj),
  _xlpm.diffscale, Constantes!$B$2,
  IF(J171="",
    "",
    SUM(1/(1+POWER(10,-(J170-_xlpm.elos)/_xlpm.diffscale)))-0.5)
)</f>
        <v/>
      </c>
      <c r="K172" t="str" cm="1">
        <f t="array" ref="K172">_xlfn.LET(
  _xlpm.colj, _xlfn._xlws.FILTER(IF(ISNUMBER(171:171), COLUMN(171:171)), ISNUMBER(171:171)),
  _xlpm.elos, INDEX(170:170,1,_xlpm.colj),
  _xlpm.diffscale, Constantes!$B$2,
  IF(K171="",
    "",
    SUM(1/(1+POWER(10,-(K170-_xlpm.elos)/_xlpm.diffscale)))-0.5)
)</f>
        <v/>
      </c>
      <c r="L172" t="str" cm="1">
        <f t="array" ref="L172">_xlfn.LET(
  _xlpm.colj, _xlfn._xlws.FILTER(IF(ISNUMBER(171:171), COLUMN(171:171)), ISNUMBER(171:171)),
  _xlpm.elos, INDEX(170:170,1,_xlpm.colj),
  _xlpm.diffscale, Constantes!$B$2,
  IF(L171="",
    "",
    SUM(1/(1+POWER(10,-(L170-_xlpm.elos)/_xlpm.diffscale)))-0.5)
)</f>
        <v/>
      </c>
      <c r="M172" t="str" cm="1">
        <f t="array" ref="M172">_xlfn.LET(
  _xlpm.colj, _xlfn._xlws.FILTER(IF(ISNUMBER(171:171), COLUMN(171:171)), ISNUMBER(171:171)),
  _xlpm.elos, INDEX(170:170,1,_xlpm.colj),
  _xlpm.diffscale, Constantes!$B$2,
  IF(M171="",
    "",
    SUM(1/(1+POWER(10,-(M170-_xlpm.elos)/_xlpm.diffscale)))-0.5)
)</f>
        <v/>
      </c>
      <c r="N172" t="str" cm="1">
        <f t="array" ref="N172">_xlfn.LET(
  _xlpm.colj, _xlfn._xlws.FILTER(IF(ISNUMBER(171:171), COLUMN(171:171)), ISNUMBER(171:171)),
  _xlpm.elos, INDEX(170:170,1,_xlpm.colj),
  _xlpm.diffscale, Constantes!$B$2,
  IF(N171="",
    "",
    SUM(1/(1+POWER(10,-(N170-_xlpm.elos)/_xlpm.diffscale)))-0.5)
)</f>
        <v/>
      </c>
      <c r="O172" t="str" cm="1">
        <f t="array" ref="O172">_xlfn.LET(
  _xlpm.colj, _xlfn._xlws.FILTER(IF(ISNUMBER(171:171), COLUMN(171:171)), ISNUMBER(171:171)),
  _xlpm.elos, INDEX(170:170,1,_xlpm.colj),
  _xlpm.diffscale, Constantes!$B$2,
  IF(O171="",
    "",
    SUM(1/(1+POWER(10,-(O170-_xlpm.elos)/_xlpm.diffscale)))-0.5)
)</f>
        <v/>
      </c>
      <c r="P172" t="str" cm="1">
        <f t="array" ref="P172">_xlfn.LET(
  _xlpm.colj, _xlfn._xlws.FILTER(IF(ISNUMBER(171:171), COLUMN(171:171)), ISNUMBER(171:171)),
  _xlpm.elos, INDEX(170:170,1,_xlpm.colj),
  _xlpm.diffscale, Constantes!$B$2,
  IF(P171="",
    "",
    SUM(1/(1+POWER(10,-(P170-_xlpm.elos)/_xlpm.diffscale)))-0.5)
)</f>
        <v/>
      </c>
      <c r="Q172" t="str" cm="1">
        <f t="array" ref="Q172">_xlfn.LET(
  _xlpm.colj, _xlfn._xlws.FILTER(IF(ISNUMBER(171:171), COLUMN(171:171)), ISNUMBER(171:171)),
  _xlpm.elos, INDEX(170:170,1,_xlpm.colj),
  _xlpm.diffscale, Constantes!$B$2,
  IF(Q171="",
    "",
    SUM(1/(1+POWER(10,-(Q170-_xlpm.elos)/_xlpm.diffscale)))-0.5)
)</f>
        <v/>
      </c>
      <c r="R172" t="str" cm="1">
        <f t="array" ref="R172">_xlfn.LET(
  _xlpm.colj, _xlfn._xlws.FILTER(IF(ISNUMBER(171:171), COLUMN(171:171)), ISNUMBER(171:171)),
  _xlpm.elos, INDEX(170:170,1,_xlpm.colj),
  _xlpm.diffscale, Constantes!$B$2,
  IF(R171="",
    "",
    SUM(1/(1+POWER(10,-(R170-_xlpm.elos)/_xlpm.diffscale)))-0.5)
)</f>
        <v/>
      </c>
      <c r="S172" t="str" cm="1">
        <f t="array" ref="S172">_xlfn.LET(
  _xlpm.colj, _xlfn._xlws.FILTER(IF(ISNUMBER(171:171), COLUMN(171:171)), ISNUMBER(171:171)),
  _xlpm.elos, INDEX(170:170,1,_xlpm.colj),
  _xlpm.diffscale, Constantes!$B$2,
  IF(S171="",
    "",
    SUM(1/(1+POWER(10,-(S170-_xlpm.elos)/_xlpm.diffscale)))-0.5)
)</f>
        <v/>
      </c>
      <c r="T172" t="str" cm="1">
        <f t="array" ref="T172">_xlfn.LET(
  _xlpm.colj, _xlfn._xlws.FILTER(IF(ISNUMBER(171:171), COLUMN(171:171)), ISNUMBER(171:171)),
  _xlpm.elos, INDEX(170:170,1,_xlpm.colj),
  _xlpm.diffscale, Constantes!$B$2,
  IF(T171="",
    "",
    SUM(1/(1+POWER(10,-(T170-_xlpm.elos)/_xlpm.diffscale)))-0.5)
)</f>
        <v/>
      </c>
      <c r="U172" cm="1">
        <f t="array" ref="U172">_xlfn.LET(
  _xlpm.colj, _xlfn._xlws.FILTER(IF(ISNUMBER(171:171), COLUMN(171:171)), ISNUMBER(171:171)),
  _xlpm.elos, INDEX(170:170,1,_xlpm.colj),
  _xlpm.diffscale, Constantes!$B$2,
  IF(U171="",
    "",
    SUM(1/(1+POWER(10,-(U170-_xlpm.elos)/_xlpm.diffscale)))-0.5)
)</f>
        <v>1.7730066673889877</v>
      </c>
      <c r="V172" t="str" cm="1">
        <f t="array" ref="V172">_xlfn.LET(
  _xlpm.colj, _xlfn._xlws.FILTER(IF(ISNUMBER(171:171), COLUMN(171:171)), ISNUMBER(171:171)),
  _xlpm.elos, INDEX(170:170,1,_xlpm.colj),
  _xlpm.diffscale, Constantes!$B$2,
  IF(V171="",
    "",
    SUM(1/(1+POWER(10,-(V170-_xlpm.elos)/_xlpm.diffscale)))-0.5)
)</f>
        <v/>
      </c>
      <c r="W172" t="str" cm="1">
        <f t="array" ref="W172">_xlfn.LET(
  _xlpm.colj, _xlfn._xlws.FILTER(IF(ISNUMBER(171:171), COLUMN(171:171)), ISNUMBER(171:171)),
  _xlpm.elos, INDEX(170:170,1,_xlpm.colj),
  _xlpm.diffscale, Constantes!$B$2,
  IF(W171="",
    "",
    SUM(1/(1+POWER(10,-(W170-_xlpm.elos)/_xlpm.diffscale)))-0.5)
)</f>
        <v/>
      </c>
      <c r="X172" t="str" cm="1">
        <f t="array" ref="X172">_xlfn.LET(
  _xlpm.colj, _xlfn._xlws.FILTER(IF(ISNUMBER(171:171), COLUMN(171:171)), ISNUMBER(171:171)),
  _xlpm.elos, INDEX(170:170,1,_xlpm.colj),
  _xlpm.diffscale, Constantes!$B$2,
  IF(X171="",
    "",
    SUM(1/(1+POWER(10,-(X170-_xlpm.elos)/_xlpm.diffscale)))-0.5)
)</f>
        <v/>
      </c>
      <c r="Y172" t="str" cm="1">
        <f t="array" ref="Y172">_xlfn.LET(
  _xlpm.colj, _xlfn._xlws.FILTER(IF(ISNUMBER(171:171), COLUMN(171:171)), ISNUMBER(171:171)),
  _xlpm.elos, INDEX(170:170,1,_xlpm.colj),
  _xlpm.diffscale, Constantes!$B$2,
  IF(Y171="",
    "",
    SUM(1/(1+POWER(10,-(Y170-_xlpm.elos)/_xlpm.diffscale)))-0.5)
)</f>
        <v/>
      </c>
      <c r="Z172" t="str" cm="1">
        <f t="array" ref="Z172">_xlfn.LET(
  _xlpm.colj, _xlfn._xlws.FILTER(IF(ISNUMBER(171:171), COLUMN(171:171)), ISNUMBER(171:171)),
  _xlpm.elos, INDEX(170:170,1,_xlpm.colj),
  _xlpm.diffscale, Constantes!$B$2,
  IF(Z171="",
    "",
    SUM(1/(1+POWER(10,-(Z170-_xlpm.elos)/_xlpm.diffscale)))-0.5)
)</f>
        <v/>
      </c>
      <c r="AA172" t="str" cm="1">
        <f t="array" ref="AA172">_xlfn.LET(
  _xlpm.colj, _xlfn._xlws.FILTER(IF(ISNUMBER(171:171), COLUMN(171:171)), ISNUMBER(171:171)),
  _xlpm.elos, INDEX(170:170,1,_xlpm.colj),
  _xlpm.diffscale, Constantes!$B$2,
  IF(AA171="",
    "",
    SUM(1/(1+POWER(10,-(AA170-_xlpm.elos)/_xlpm.diffscale)))-0.5)
)</f>
        <v/>
      </c>
      <c r="AB172" t="str" cm="1">
        <f t="array" ref="AB172">_xlfn.LET(
  _xlpm.colj, _xlfn._xlws.FILTER(IF(ISNUMBER(171:171), COLUMN(171:171)), ISNUMBER(171:171)),
  _xlpm.elos, INDEX(170:170,1,_xlpm.colj),
  _xlpm.diffscale, Constantes!$B$2,
  IF(AB171="",
    "",
    SUM(1/(1+POWER(10,-(AB170-_xlpm.elos)/_xlpm.diffscale)))-0.5)
)</f>
        <v/>
      </c>
      <c r="AC172" cm="1">
        <f t="array" ref="AC172">_xlfn.LET(
  _xlpm.colj, _xlfn._xlws.FILTER(IF(ISNUMBER(171:171), COLUMN(171:171)), ISNUMBER(171:171)),
  _xlpm.elos, INDEX(170:170,1,_xlpm.colj),
  _xlpm.diffscale, Constantes!$B$2,
  IF(AC171="",
    "",
    SUM(1/(1+POWER(10,-(AC170-_xlpm.elos)/_xlpm.diffscale)))-0.5)
)</f>
        <v>1.0938268060988661</v>
      </c>
      <c r="AD172" t="str" cm="1">
        <f t="array" ref="AD172">_xlfn.LET(
  _xlpm.colj, _xlfn._xlws.FILTER(IF(ISNUMBER(171:171), COLUMN(171:171)), ISNUMBER(171:171)),
  _xlpm.elos, INDEX(170:170,1,_xlpm.colj),
  _xlpm.diffscale, Constantes!$B$2,
  IF(AD171="",
    "",
    SUM(1/(1+POWER(10,-(AD170-_xlpm.elos)/_xlpm.diffscale)))-0.5)
)</f>
        <v/>
      </c>
      <c r="AE172" t="str" cm="1">
        <f t="array" ref="AE172">_xlfn.LET(
  _xlpm.colj, _xlfn._xlws.FILTER(IF(ISNUMBER(171:171), COLUMN(171:171)), ISNUMBER(171:171)),
  _xlpm.elos, INDEX(170:170,1,_xlpm.colj),
  _xlpm.diffscale, Constantes!$B$2,
  IF(AE171="",
    "",
    SUM(1/(1+POWER(10,-(AE170-_xlpm.elos)/_xlpm.diffscale)))-0.5)
)</f>
        <v/>
      </c>
      <c r="AF172" t="str" cm="1">
        <f t="array" ref="AF172">_xlfn.LET(
  _xlpm.colj, _xlfn._xlws.FILTER(IF(ISNUMBER(171:171), COLUMN(171:171)), ISNUMBER(171:171)),
  _xlpm.elos, INDEX(170:170,1,_xlpm.colj),
  _xlpm.diffscale, Constantes!$B$2,
  IF(AF171="",
    "",
    SUM(1/(1+POWER(10,-(AF170-_xlpm.elos)/_xlpm.diffscale)))-0.5)
)</f>
        <v/>
      </c>
      <c r="AG172" t="str" cm="1">
        <f t="array" ref="AG172">_xlfn.LET(
  _xlpm.colj, _xlfn._xlws.FILTER(IF(ISNUMBER(171:171), COLUMN(171:171)), ISNUMBER(171:171)),
  _xlpm.elos, INDEX(170:170,1,_xlpm.colj),
  _xlpm.diffscale, Constantes!$B$2,
  IF(AG171="",
    "",
    SUM(1/(1+POWER(10,-(AG170-_xlpm.elos)/_xlpm.diffscale)))-0.5)
)</f>
        <v/>
      </c>
      <c r="AH172" t="str" cm="1">
        <f t="array" ref="AH172">_xlfn.LET(
  _xlpm.colj, _xlfn._xlws.FILTER(IF(ISNUMBER(171:171), COLUMN(171:171)), ISNUMBER(171:171)),
  _xlpm.elos, INDEX(170:170,1,_xlpm.colj),
  _xlpm.diffscale, Constantes!$B$2,
  IF(AH171="",
    "",
    SUM(1/(1+POWER(10,-(AH170-_xlpm.elos)/_xlpm.diffscale)))-0.5)
)</f>
        <v/>
      </c>
      <c r="AI172" t="str" cm="1">
        <f t="array" ref="AI172">_xlfn.LET(
  _xlpm.colj, _xlfn._xlws.FILTER(IF(ISNUMBER(171:171), COLUMN(171:171)), ISNUMBER(171:171)),
  _xlpm.elos, INDEX(170:170,1,_xlpm.colj),
  _xlpm.diffscale, Constantes!$B$2,
  IF(AI171="",
    "",
    SUM(1/(1+POWER(10,-(AI170-_xlpm.elos)/_xlpm.diffscale)))-0.5)
)</f>
        <v/>
      </c>
      <c r="AJ172" t="str" cm="1">
        <f t="array" ref="AJ172">_xlfn.LET(
  _xlpm.colj, _xlfn._xlws.FILTER(IF(ISNUMBER(171:171), COLUMN(171:171)), ISNUMBER(171:171)),
  _xlpm.elos, INDEX(170:170,1,_xlpm.colj),
  _xlpm.diffscale, Constantes!$B$2,
  IF(AJ171="",
    "",
    SUM(1/(1+POWER(10,-(AJ170-_xlpm.elos)/_xlpm.diffscale)))-0.5)
)</f>
        <v/>
      </c>
      <c r="AK172" t="str" cm="1">
        <f t="array" ref="AK172">_xlfn.LET(
  _xlpm.colj, _xlfn._xlws.FILTER(IF(ISNUMBER(171:171), COLUMN(171:171)), ISNUMBER(171:171)),
  _xlpm.elos, INDEX(170:170,1,_xlpm.colj),
  _xlpm.diffscale, Constantes!$B$2,
  IF(AK171="",
    "",
    SUM(1/(1+POWER(10,-(AK170-_xlpm.elos)/_xlpm.diffscale)))-0.5)
)</f>
        <v/>
      </c>
      <c r="AL172" t="str" cm="1">
        <f t="array" ref="AL172">_xlfn.LET(
  _xlpm.colj, _xlfn._xlws.FILTER(IF(ISNUMBER(171:171), COLUMN(171:171)), ISNUMBER(171:171)),
  _xlpm.elos, INDEX(170:170,1,_xlpm.colj),
  _xlpm.diffscale, Constantes!$B$2,
  IF(AL171="",
    "",
    SUM(1/(1+POWER(10,-(AL170-_xlpm.elos)/_xlpm.diffscale)))-0.5)
)</f>
        <v/>
      </c>
      <c r="AM172" t="str" cm="1">
        <f t="array" ref="AM172">_xlfn.LET(
  _xlpm.colj, _xlfn._xlws.FILTER(IF(ISNUMBER(171:171), COLUMN(171:171)), ISNUMBER(171:171)),
  _xlpm.elos, INDEX(170:170,1,_xlpm.colj),
  _xlpm.diffscale, Constantes!$B$2,
  IF(AM171="",
    "",
    SUM(1/(1+POWER(10,-(AM170-_xlpm.elos)/_xlpm.diffscale)))-0.5)
)</f>
        <v/>
      </c>
    </row>
    <row r="173" spans="1:39" x14ac:dyDescent="0.25">
      <c r="A173" t="s">
        <v>22</v>
      </c>
      <c r="D173" cm="1">
        <f t="array" ref="D173">_xlfn.LET(
  _xlpm.K, Constantes!$B$3,
  _xlpm.Knewgain, Constantes!$B$4,
  _xlpm.Knewscale, Constantes!$B$5,
  _xlpm.ptstables, INDEX(D:D, _xlfn.SEQUENCE(COUNTA($C$2:$C173), 1, 3, 4)),
  _xlpm.nbparties, COUNTA(_xlfn._xlws.FILTER(_xlpm.ptstables, _xlpm.ptstables &lt;&gt; "")),
  _xlpm.coef, _xlpm.K + _xlpm.Knewgain / (_xlpm.Knewscale + _xlpm.nbparties),
  IF(D171="",
    "",
    _xlpm.coef * (D171-D172))
)</f>
        <v>-44.014689664905376</v>
      </c>
      <c r="E173" t="str" cm="1">
        <f t="array" ref="E173">_xlfn.LET(
  _xlpm.K, Constantes!$B$3,
  _xlpm.Knewgain, Constantes!$B$4,
  _xlpm.Knewscale, Constantes!$B$5,
  _xlpm.ptstables, INDEX(E:E, _xlfn.SEQUENCE(COUNTA($C$2:$C173), 1, 3, 4)),
  _xlpm.nbparties, COUNTA(_xlfn._xlws.FILTER(_xlpm.ptstables, _xlpm.ptstables &lt;&gt; "")),
  _xlpm.coef, _xlpm.K + _xlpm.Knewgain / (_xlpm.Knewscale + _xlpm.nbparties),
  IF(E171="",
    "",
    _xlpm.coef * (E171-E172))
)</f>
        <v/>
      </c>
      <c r="F173" t="str" cm="1">
        <f t="array" ref="F173">_xlfn.LET(
  _xlpm.K, Constantes!$B$3,
  _xlpm.Knewgain, Constantes!$B$4,
  _xlpm.Knewscale, Constantes!$B$5,
  _xlpm.ptstables, INDEX(F:F, _xlfn.SEQUENCE(COUNTA($C$2:$C173), 1, 3, 4)),
  _xlpm.nbparties, COUNTA(_xlfn._xlws.FILTER(_xlpm.ptstables, _xlpm.ptstables &lt;&gt; "")),
  _xlpm.coef, _xlpm.K + _xlpm.Knewgain / (_xlpm.Knewscale + _xlpm.nbparties),
  IF(F171="",
    "",
    _xlpm.coef * (F171-F172))
)</f>
        <v/>
      </c>
      <c r="G173" cm="1">
        <f t="array" ref="G173">_xlfn.LET(
  _xlpm.K, Constantes!$B$3,
  _xlpm.Knewgain, Constantes!$B$4,
  _xlpm.Knewscale, Constantes!$B$5,
  _xlpm.ptstables, INDEX(G:G, _xlfn.SEQUENCE(COUNTA($C$2:$C173), 1, 3, 4)),
  _xlpm.nbparties, COUNTA(_xlfn._xlws.FILTER(_xlpm.ptstables, _xlpm.ptstables &lt;&gt; "")),
  _xlpm.coef, _xlpm.K + _xlpm.Knewgain / (_xlpm.Knewscale + _xlpm.nbparties),
  IF(G171="",
    "",
    _xlpm.coef * (G171-G172))
)</f>
        <v>15.786534175098067</v>
      </c>
      <c r="H173" t="str" cm="1">
        <f t="array" ref="H173">_xlfn.LET(
  _xlpm.K, Constantes!$B$3,
  _xlpm.Knewgain, Constantes!$B$4,
  _xlpm.Knewscale, Constantes!$B$5,
  _xlpm.ptstables, INDEX(H:H, _xlfn.SEQUENCE(COUNTA($C$2:$C173), 1, 3, 4)),
  _xlpm.nbparties, COUNTA(_xlfn._xlws.FILTER(_xlpm.ptstables, _xlpm.ptstables &lt;&gt; "")),
  _xlpm.coef, _xlpm.K + _xlpm.Knewgain / (_xlpm.Knewscale + _xlpm.nbparties),
  IF(H171="",
    "",
    _xlpm.coef * (H171-H172))
)</f>
        <v/>
      </c>
      <c r="I173" t="str" cm="1">
        <f t="array" ref="I173">_xlfn.LET(
  _xlpm.K, Constantes!$B$3,
  _xlpm.Knewgain, Constantes!$B$4,
  _xlpm.Knewscale, Constantes!$B$5,
  _xlpm.ptstables, INDEX(I:I, _xlfn.SEQUENCE(COUNTA($C$2:$C173), 1, 3, 4)),
  _xlpm.nbparties, COUNTA(_xlfn._xlws.FILTER(_xlpm.ptstables, _xlpm.ptstables &lt;&gt; "")),
  _xlpm.coef, _xlpm.K + _xlpm.Knewgain / (_xlpm.Knewscale + _xlpm.nbparties),
  IF(I171="",
    "",
    _xlpm.coef * (I171-I172))
)</f>
        <v/>
      </c>
      <c r="J173" t="str" cm="1">
        <f t="array" ref="J173">_xlfn.LET(
  _xlpm.K, Constantes!$B$3,
  _xlpm.Knewgain, Constantes!$B$4,
  _xlpm.Knewscale, Constantes!$B$5,
  _xlpm.ptstables, INDEX(J:J, _xlfn.SEQUENCE(COUNTA($C$2:$C173), 1, 3, 4)),
  _xlpm.nbparties, COUNTA(_xlfn._xlws.FILTER(_xlpm.ptstables, _xlpm.ptstables &lt;&gt; "")),
  _xlpm.coef, _xlpm.K + _xlpm.Knewgain / (_xlpm.Knewscale + _xlpm.nbparties),
  IF(J171="",
    "",
    _xlpm.coef * (J171-J172))
)</f>
        <v/>
      </c>
      <c r="K173" t="str" cm="1">
        <f t="array" ref="K173">_xlfn.LET(
  _xlpm.K, Constantes!$B$3,
  _xlpm.Knewgain, Constantes!$B$4,
  _xlpm.Knewscale, Constantes!$B$5,
  _xlpm.ptstables, INDEX(K:K, _xlfn.SEQUENCE(COUNTA($C$2:$C173), 1, 3, 4)),
  _xlpm.nbparties, COUNTA(_xlfn._xlws.FILTER(_xlpm.ptstables, _xlpm.ptstables &lt;&gt; "")),
  _xlpm.coef, _xlpm.K + _xlpm.Knewgain / (_xlpm.Knewscale + _xlpm.nbparties),
  IF(K171="",
    "",
    _xlpm.coef * (K171-K172))
)</f>
        <v/>
      </c>
      <c r="L173" t="str" cm="1">
        <f t="array" ref="L173">_xlfn.LET(
  _xlpm.K, Constantes!$B$3,
  _xlpm.Knewgain, Constantes!$B$4,
  _xlpm.Knewscale, Constantes!$B$5,
  _xlpm.ptstables, INDEX(L:L, _xlfn.SEQUENCE(COUNTA($C$2:$C173), 1, 3, 4)),
  _xlpm.nbparties, COUNTA(_xlfn._xlws.FILTER(_xlpm.ptstables, _xlpm.ptstables &lt;&gt; "")),
  _xlpm.coef, _xlpm.K + _xlpm.Knewgain / (_xlpm.Knewscale + _xlpm.nbparties),
  IF(L171="",
    "",
    _xlpm.coef * (L171-L172))
)</f>
        <v/>
      </c>
      <c r="M173" t="str" cm="1">
        <f t="array" ref="M173">_xlfn.LET(
  _xlpm.K, Constantes!$B$3,
  _xlpm.Knewgain, Constantes!$B$4,
  _xlpm.Knewscale, Constantes!$B$5,
  _xlpm.ptstables, INDEX(M:M, _xlfn.SEQUENCE(COUNTA($C$2:$C173), 1, 3, 4)),
  _xlpm.nbparties, COUNTA(_xlfn._xlws.FILTER(_xlpm.ptstables, _xlpm.ptstables &lt;&gt; "")),
  _xlpm.coef, _xlpm.K + _xlpm.Knewgain / (_xlpm.Knewscale + _xlpm.nbparties),
  IF(M171="",
    "",
    _xlpm.coef * (M171-M172))
)</f>
        <v/>
      </c>
      <c r="N173" t="str" cm="1">
        <f t="array" ref="N173">_xlfn.LET(
  _xlpm.K, Constantes!$B$3,
  _xlpm.Knewgain, Constantes!$B$4,
  _xlpm.Knewscale, Constantes!$B$5,
  _xlpm.ptstables, INDEX(N:N, _xlfn.SEQUENCE(COUNTA($C$2:$C173), 1, 3, 4)),
  _xlpm.nbparties, COUNTA(_xlfn._xlws.FILTER(_xlpm.ptstables, _xlpm.ptstables &lt;&gt; "")),
  _xlpm.coef, _xlpm.K + _xlpm.Knewgain / (_xlpm.Knewscale + _xlpm.nbparties),
  IF(N171="",
    "",
    _xlpm.coef * (N171-N172))
)</f>
        <v/>
      </c>
      <c r="O173" t="str" cm="1">
        <f t="array" ref="O173">_xlfn.LET(
  _xlpm.K, Constantes!$B$3,
  _xlpm.Knewgain, Constantes!$B$4,
  _xlpm.Knewscale, Constantes!$B$5,
  _xlpm.ptstables, INDEX(O:O, _xlfn.SEQUENCE(COUNTA($C$2:$C173), 1, 3, 4)),
  _xlpm.nbparties, COUNTA(_xlfn._xlws.FILTER(_xlpm.ptstables, _xlpm.ptstables &lt;&gt; "")),
  _xlpm.coef, _xlpm.K + _xlpm.Knewgain / (_xlpm.Knewscale + _xlpm.nbparties),
  IF(O171="",
    "",
    _xlpm.coef * (O171-O172))
)</f>
        <v/>
      </c>
      <c r="P173" t="str" cm="1">
        <f t="array" ref="P173">_xlfn.LET(
  _xlpm.K, Constantes!$B$3,
  _xlpm.Knewgain, Constantes!$B$4,
  _xlpm.Knewscale, Constantes!$B$5,
  _xlpm.ptstables, INDEX(P:P, _xlfn.SEQUENCE(COUNTA($C$2:$C173), 1, 3, 4)),
  _xlpm.nbparties, COUNTA(_xlfn._xlws.FILTER(_xlpm.ptstables, _xlpm.ptstables &lt;&gt; "")),
  _xlpm.coef, _xlpm.K + _xlpm.Knewgain / (_xlpm.Knewscale + _xlpm.nbparties),
  IF(P171="",
    "",
    _xlpm.coef * (P171-P172))
)</f>
        <v/>
      </c>
      <c r="Q173" t="str" cm="1">
        <f t="array" ref="Q173">_xlfn.LET(
  _xlpm.K, Constantes!$B$3,
  _xlpm.Knewgain, Constantes!$B$4,
  _xlpm.Knewscale, Constantes!$B$5,
  _xlpm.ptstables, INDEX(Q:Q, _xlfn.SEQUENCE(COUNTA($C$2:$C173), 1, 3, 4)),
  _xlpm.nbparties, COUNTA(_xlfn._xlws.FILTER(_xlpm.ptstables, _xlpm.ptstables &lt;&gt; "")),
  _xlpm.coef, _xlpm.K + _xlpm.Knewgain / (_xlpm.Knewscale + _xlpm.nbparties),
  IF(Q171="",
    "",
    _xlpm.coef * (Q171-Q172))
)</f>
        <v/>
      </c>
      <c r="R173" t="str" cm="1">
        <f t="array" ref="R173">_xlfn.LET(
  _xlpm.K, Constantes!$B$3,
  _xlpm.Knewgain, Constantes!$B$4,
  _xlpm.Knewscale, Constantes!$B$5,
  _xlpm.ptstables, INDEX(R:R, _xlfn.SEQUENCE(COUNTA($C$2:$C173), 1, 3, 4)),
  _xlpm.nbparties, COUNTA(_xlfn._xlws.FILTER(_xlpm.ptstables, _xlpm.ptstables &lt;&gt; "")),
  _xlpm.coef, _xlpm.K + _xlpm.Knewgain / (_xlpm.Knewscale + _xlpm.nbparties),
  IF(R171="",
    "",
    _xlpm.coef * (R171-R172))
)</f>
        <v/>
      </c>
      <c r="S173" t="str" cm="1">
        <f t="array" ref="S173">_xlfn.LET(
  _xlpm.K, Constantes!$B$3,
  _xlpm.Knewgain, Constantes!$B$4,
  _xlpm.Knewscale, Constantes!$B$5,
  _xlpm.ptstables, INDEX(S:S, _xlfn.SEQUENCE(COUNTA($C$2:$C173), 1, 3, 4)),
  _xlpm.nbparties, COUNTA(_xlfn._xlws.FILTER(_xlpm.ptstables, _xlpm.ptstables &lt;&gt; "")),
  _xlpm.coef, _xlpm.K + _xlpm.Knewgain / (_xlpm.Knewscale + _xlpm.nbparties),
  IF(S171="",
    "",
    _xlpm.coef * (S171-S172))
)</f>
        <v/>
      </c>
      <c r="T173" t="str" cm="1">
        <f t="array" ref="T173">_xlfn.LET(
  _xlpm.K, Constantes!$B$3,
  _xlpm.Knewgain, Constantes!$B$4,
  _xlpm.Knewscale, Constantes!$B$5,
  _xlpm.ptstables, INDEX(T:T, _xlfn.SEQUENCE(COUNTA($C$2:$C173), 1, 3, 4)),
  _xlpm.nbparties, COUNTA(_xlfn._xlws.FILTER(_xlpm.ptstables, _xlpm.ptstables &lt;&gt; "")),
  _xlpm.coef, _xlpm.K + _xlpm.Knewgain / (_xlpm.Knewscale + _xlpm.nbparties),
  IF(T171="",
    "",
    _xlpm.coef * (T171-T172))
)</f>
        <v/>
      </c>
      <c r="U173" cm="1">
        <f t="array" ref="U173">_xlfn.LET(
  _xlpm.K, Constantes!$B$3,
  _xlpm.Knewgain, Constantes!$B$4,
  _xlpm.Knewscale, Constantes!$B$5,
  _xlpm.ptstables, INDEX(U:U, _xlfn.SEQUENCE(COUNTA($C$2:$C173), 1, 3, 4)),
  _xlpm.nbparties, COUNTA(_xlfn._xlws.FILTER(_xlpm.ptstables, _xlpm.ptstables &lt;&gt; "")),
  _xlpm.coef, _xlpm.K + _xlpm.Knewgain / (_xlpm.Knewscale + _xlpm.nbparties),
  IF(U171="",
    "",
    _xlpm.coef * (U171-U172))
)</f>
        <v>-18.433235914660475</v>
      </c>
      <c r="V173" t="str" cm="1">
        <f t="array" ref="V173">_xlfn.LET(
  _xlpm.K, Constantes!$B$3,
  _xlpm.Knewgain, Constantes!$B$4,
  _xlpm.Knewscale, Constantes!$B$5,
  _xlpm.ptstables, INDEX(V:V, _xlfn.SEQUENCE(COUNTA($C$2:$C173), 1, 3, 4)),
  _xlpm.nbparties, COUNTA(_xlfn._xlws.FILTER(_xlpm.ptstables, _xlpm.ptstables &lt;&gt; "")),
  _xlpm.coef, _xlpm.K + _xlpm.Knewgain / (_xlpm.Knewscale + _xlpm.nbparties),
  IF(V171="",
    "",
    _xlpm.coef * (V171-V172))
)</f>
        <v/>
      </c>
      <c r="W173" t="str" cm="1">
        <f t="array" ref="W173">_xlfn.LET(
  _xlpm.K, Constantes!$B$3,
  _xlpm.Knewgain, Constantes!$B$4,
  _xlpm.Knewscale, Constantes!$B$5,
  _xlpm.ptstables, INDEX(W:W, _xlfn.SEQUENCE(COUNTA($C$2:$C173), 1, 3, 4)),
  _xlpm.nbparties, COUNTA(_xlfn._xlws.FILTER(_xlpm.ptstables, _xlpm.ptstables &lt;&gt; "")),
  _xlpm.coef, _xlpm.K + _xlpm.Knewgain / (_xlpm.Knewscale + _xlpm.nbparties),
  IF(W171="",
    "",
    _xlpm.coef * (W171-W172))
)</f>
        <v/>
      </c>
      <c r="X173" t="str" cm="1">
        <f t="array" ref="X173">_xlfn.LET(
  _xlpm.K, Constantes!$B$3,
  _xlpm.Knewgain, Constantes!$B$4,
  _xlpm.Knewscale, Constantes!$B$5,
  _xlpm.ptstables, INDEX(X:X, _xlfn.SEQUENCE(COUNTA($C$2:$C173), 1, 3, 4)),
  _xlpm.nbparties, COUNTA(_xlfn._xlws.FILTER(_xlpm.ptstables, _xlpm.ptstables &lt;&gt; "")),
  _xlpm.coef, _xlpm.K + _xlpm.Knewgain / (_xlpm.Knewscale + _xlpm.nbparties),
  IF(X171="",
    "",
    _xlpm.coef * (X171-X172))
)</f>
        <v/>
      </c>
      <c r="Y173" t="str" cm="1">
        <f t="array" ref="Y173">_xlfn.LET(
  _xlpm.K, Constantes!$B$3,
  _xlpm.Knewgain, Constantes!$B$4,
  _xlpm.Knewscale, Constantes!$B$5,
  _xlpm.ptstables, INDEX(Y:Y, _xlfn.SEQUENCE(COUNTA($C$2:$C173), 1, 3, 4)),
  _xlpm.nbparties, COUNTA(_xlfn._xlws.FILTER(_xlpm.ptstables, _xlpm.ptstables &lt;&gt; "")),
  _xlpm.coef, _xlpm.K + _xlpm.Knewgain / (_xlpm.Knewscale + _xlpm.nbparties),
  IF(Y171="",
    "",
    _xlpm.coef * (Y171-Y172))
)</f>
        <v/>
      </c>
      <c r="Z173" t="str" cm="1">
        <f t="array" ref="Z173">_xlfn.LET(
  _xlpm.K, Constantes!$B$3,
  _xlpm.Knewgain, Constantes!$B$4,
  _xlpm.Knewscale, Constantes!$B$5,
  _xlpm.ptstables, INDEX(Z:Z, _xlfn.SEQUENCE(COUNTA($C$2:$C173), 1, 3, 4)),
  _xlpm.nbparties, COUNTA(_xlfn._xlws.FILTER(_xlpm.ptstables, _xlpm.ptstables &lt;&gt; "")),
  _xlpm.coef, _xlpm.K + _xlpm.Knewgain / (_xlpm.Knewscale + _xlpm.nbparties),
  IF(Z171="",
    "",
    _xlpm.coef * (Z171-Z172))
)</f>
        <v/>
      </c>
      <c r="AA173" t="str" cm="1">
        <f t="array" ref="AA173">_xlfn.LET(
  _xlpm.K, Constantes!$B$3,
  _xlpm.Knewgain, Constantes!$B$4,
  _xlpm.Knewscale, Constantes!$B$5,
  _xlpm.ptstables, INDEX(AA:AA, _xlfn.SEQUENCE(COUNTA($C$2:$C173), 1, 3, 4)),
  _xlpm.nbparties, COUNTA(_xlfn._xlws.FILTER(_xlpm.ptstables, _xlpm.ptstables &lt;&gt; "")),
  _xlpm.coef, _xlpm.K + _xlpm.Knewgain / (_xlpm.Knewscale + _xlpm.nbparties),
  IF(AA171="",
    "",
    _xlpm.coef * (AA171-AA172))
)</f>
        <v/>
      </c>
      <c r="AB173" t="str" cm="1">
        <f t="array" ref="AB173">_xlfn.LET(
  _xlpm.K, Constantes!$B$3,
  _xlpm.Knewgain, Constantes!$B$4,
  _xlpm.Knewscale, Constantes!$B$5,
  _xlpm.ptstables, INDEX(AB:AB, _xlfn.SEQUENCE(COUNTA($C$2:$C173), 1, 3, 4)),
  _xlpm.nbparties, COUNTA(_xlfn._xlws.FILTER(_xlpm.ptstables, _xlpm.ptstables &lt;&gt; "")),
  _xlpm.coef, _xlpm.K + _xlpm.Knewgain / (_xlpm.Knewscale + _xlpm.nbparties),
  IF(AB171="",
    "",
    _xlpm.coef * (AB171-AB172))
)</f>
        <v/>
      </c>
      <c r="AC173" cm="1">
        <f t="array" ref="AC173">_xlfn.LET(
  _xlpm.K, Constantes!$B$3,
  _xlpm.Knewgain, Constantes!$B$4,
  _xlpm.Knewscale, Constantes!$B$5,
  _xlpm.ptstables, INDEX(AC:AC, _xlfn.SEQUENCE(COUNTA($C$2:$C173), 1, 3, 4)),
  _xlpm.nbparties, COUNTA(_xlfn._xlws.FILTER(_xlpm.ptstables, _xlpm.ptstables &lt;&gt; "")),
  _xlpm.coef, _xlpm.K + _xlpm.Knewgain / (_xlpm.Knewscale + _xlpm.nbparties),
  IF(AC171="",
    "",
    _xlpm.coef * (AC171-AC172))
)</f>
        <v>61.950628801786856</v>
      </c>
      <c r="AD173" t="str" cm="1">
        <f t="array" ref="AD173">_xlfn.LET(
  _xlpm.K, Constantes!$B$3,
  _xlpm.Knewgain, Constantes!$B$4,
  _xlpm.Knewscale, Constantes!$B$5,
  _xlpm.ptstables, INDEX(AD:AD, _xlfn.SEQUENCE(COUNTA($C$2:$C173), 1, 3, 4)),
  _xlpm.nbparties, COUNTA(_xlfn._xlws.FILTER(_xlpm.ptstables, _xlpm.ptstables &lt;&gt; "")),
  _xlpm.coef, _xlpm.K + _xlpm.Knewgain / (_xlpm.Knewscale + _xlpm.nbparties),
  IF(AD171="",
    "",
    _xlpm.coef * (AD171-AD172))
)</f>
        <v/>
      </c>
      <c r="AE173" t="str" cm="1">
        <f t="array" ref="AE173">_xlfn.LET(
  _xlpm.K, Constantes!$B$3,
  _xlpm.Knewgain, Constantes!$B$4,
  _xlpm.Knewscale, Constantes!$B$5,
  _xlpm.ptstables, INDEX(AE:AE, _xlfn.SEQUENCE(COUNTA($C$2:$C173), 1, 3, 4)),
  _xlpm.nbparties, COUNTA(_xlfn._xlws.FILTER(_xlpm.ptstables, _xlpm.ptstables &lt;&gt; "")),
  _xlpm.coef, _xlpm.K + _xlpm.Knewgain / (_xlpm.Knewscale + _xlpm.nbparties),
  IF(AE171="",
    "",
    _xlpm.coef * (AE171-AE172))
)</f>
        <v/>
      </c>
      <c r="AF173" t="str" cm="1">
        <f t="array" ref="AF173">_xlfn.LET(
  _xlpm.K, Constantes!$B$3,
  _xlpm.Knewgain, Constantes!$B$4,
  _xlpm.Knewscale, Constantes!$B$5,
  _xlpm.ptstables, INDEX(AF:AF, _xlfn.SEQUENCE(COUNTA($C$2:$C173), 1, 3, 4)),
  _xlpm.nbparties, COUNTA(_xlfn._xlws.FILTER(_xlpm.ptstables, _xlpm.ptstables &lt;&gt; "")),
  _xlpm.coef, _xlpm.K + _xlpm.Knewgain / (_xlpm.Knewscale + _xlpm.nbparties),
  IF(AF171="",
    "",
    _xlpm.coef * (AF171-AF172))
)</f>
        <v/>
      </c>
      <c r="AG173" t="str" cm="1">
        <f t="array" ref="AG173">_xlfn.LET(
  _xlpm.K, Constantes!$B$3,
  _xlpm.Knewgain, Constantes!$B$4,
  _xlpm.Knewscale, Constantes!$B$5,
  _xlpm.ptstables, INDEX(AG:AG, _xlfn.SEQUENCE(COUNTA($C$2:$C173), 1, 3, 4)),
  _xlpm.nbparties, COUNTA(_xlfn._xlws.FILTER(_xlpm.ptstables, _xlpm.ptstables &lt;&gt; "")),
  _xlpm.coef, _xlpm.K + _xlpm.Knewgain / (_xlpm.Knewscale + _xlpm.nbparties),
  IF(AG171="",
    "",
    _xlpm.coef * (AG171-AG172))
)</f>
        <v/>
      </c>
      <c r="AH173" t="str" cm="1">
        <f t="array" ref="AH173">_xlfn.LET(
  _xlpm.K, Constantes!$B$3,
  _xlpm.Knewgain, Constantes!$B$4,
  _xlpm.Knewscale, Constantes!$B$5,
  _xlpm.ptstables, INDEX(AH:AH, _xlfn.SEQUENCE(COUNTA($C$2:$C173), 1, 3, 4)),
  _xlpm.nbparties, COUNTA(_xlfn._xlws.FILTER(_xlpm.ptstables, _xlpm.ptstables &lt;&gt; "")),
  _xlpm.coef, _xlpm.K + _xlpm.Knewgain / (_xlpm.Knewscale + _xlpm.nbparties),
  IF(AH171="",
    "",
    _xlpm.coef * (AH171-AH172))
)</f>
        <v/>
      </c>
      <c r="AI173" t="str" cm="1">
        <f t="array" ref="AI173">_xlfn.LET(
  _xlpm.K, Constantes!$B$3,
  _xlpm.Knewgain, Constantes!$B$4,
  _xlpm.Knewscale, Constantes!$B$5,
  _xlpm.ptstables, INDEX(AI:AI, _xlfn.SEQUENCE(COUNTA($C$2:$C173), 1, 3, 4)),
  _xlpm.nbparties, COUNTA(_xlfn._xlws.FILTER(_xlpm.ptstables, _xlpm.ptstables &lt;&gt; "")),
  _xlpm.coef, _xlpm.K + _xlpm.Knewgain / (_xlpm.Knewscale + _xlpm.nbparties),
  IF(AI171="",
    "",
    _xlpm.coef * (AI171-AI172))
)</f>
        <v/>
      </c>
      <c r="AJ173" t="str" cm="1">
        <f t="array" ref="AJ173">_xlfn.LET(
  _xlpm.K, Constantes!$B$3,
  _xlpm.Knewgain, Constantes!$B$4,
  _xlpm.Knewscale, Constantes!$B$5,
  _xlpm.ptstables, INDEX(AJ:AJ, _xlfn.SEQUENCE(COUNTA($C$2:$C173), 1, 3, 4)),
  _xlpm.nbparties, COUNTA(_xlfn._xlws.FILTER(_xlpm.ptstables, _xlpm.ptstables &lt;&gt; "")),
  _xlpm.coef, _xlpm.K + _xlpm.Knewgain / (_xlpm.Knewscale + _xlpm.nbparties),
  IF(AJ171="",
    "",
    _xlpm.coef * (AJ171-AJ172))
)</f>
        <v/>
      </c>
      <c r="AK173" t="str" cm="1">
        <f t="array" ref="AK173">_xlfn.LET(
  _xlpm.K, Constantes!$B$3,
  _xlpm.Knewgain, Constantes!$B$4,
  _xlpm.Knewscale, Constantes!$B$5,
  _xlpm.ptstables, INDEX(AK:AK, _xlfn.SEQUENCE(COUNTA($C$2:$C173), 1, 3, 4)),
  _xlpm.nbparties, COUNTA(_xlfn._xlws.FILTER(_xlpm.ptstables, _xlpm.ptstables &lt;&gt; "")),
  _xlpm.coef, _xlpm.K + _xlpm.Knewgain / (_xlpm.Knewscale + _xlpm.nbparties),
  IF(AK171="",
    "",
    _xlpm.coef * (AK171-AK172))
)</f>
        <v/>
      </c>
      <c r="AL173" t="str" cm="1">
        <f t="array" ref="AL173">_xlfn.LET(
  _xlpm.K, Constantes!$B$3,
  _xlpm.Knewgain, Constantes!$B$4,
  _xlpm.Knewscale, Constantes!$B$5,
  _xlpm.ptstables, INDEX(AL:AL, _xlfn.SEQUENCE(COUNTA($C$2:$C173), 1, 3, 4)),
  _xlpm.nbparties, COUNTA(_xlfn._xlws.FILTER(_xlpm.ptstables, _xlpm.ptstables &lt;&gt; "")),
  _xlpm.coef, _xlpm.K + _xlpm.Knewgain / (_xlpm.Knewscale + _xlpm.nbparties),
  IF(AL171="",
    "",
    _xlpm.coef * (AL171-AL172))
)</f>
        <v/>
      </c>
      <c r="AM173" t="str" cm="1">
        <f t="array" ref="AM173">_xlfn.LET(
  _xlpm.K, Constantes!$B$3,
  _xlpm.Knewgain, Constantes!$B$4,
  _xlpm.Knewscale, Constantes!$B$5,
  _xlpm.ptstables, INDEX(AM:AM, _xlfn.SEQUENCE(COUNTA($C$2:$C173), 1, 3, 4)),
  _xlpm.nbparties, COUNTA(_xlfn._xlws.FILTER(_xlpm.ptstables, _xlpm.ptstables &lt;&gt; "")),
  _xlpm.coef, _xlpm.K + _xlpm.Knewgain / (_xlpm.Knewscale + _xlpm.nbparties),
  IF(AM171="",
    "",
    _xlpm.coef * (AM171-AM172))
)</f>
        <v/>
      </c>
    </row>
    <row r="174" spans="1:39" x14ac:dyDescent="0.25">
      <c r="A174" t="s">
        <v>14</v>
      </c>
      <c r="B174" t="str" cm="1">
        <f t="array" ref="B17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44</v>
      </c>
      <c r="C174" s="2" cm="1">
        <f t="array" ref="C174">IF(B174="","",
  INDEX(Donnees!F:F, MATCH(B174, Donnees!F:F, 0)+1))</f>
        <v>45931.674340277779</v>
      </c>
      <c r="D174">
        <f t="shared" ref="D174:AM174" si="51">D170+IF(D173="",0,D173)</f>
        <v>1071.9164860500034</v>
      </c>
      <c r="E174">
        <f t="shared" si="51"/>
        <v>1105.3750854597461</v>
      </c>
      <c r="F174">
        <f t="shared" si="51"/>
        <v>839.76438398955065</v>
      </c>
      <c r="G174">
        <f t="shared" si="51"/>
        <v>1040.3895443117544</v>
      </c>
      <c r="H174">
        <f t="shared" si="51"/>
        <v>1043.8545020183328</v>
      </c>
      <c r="I174">
        <f t="shared" si="51"/>
        <v>1084.9304838632445</v>
      </c>
      <c r="J174">
        <f t="shared" si="51"/>
        <v>938.49433816478961</v>
      </c>
      <c r="K174">
        <f t="shared" si="51"/>
        <v>907.51653081539087</v>
      </c>
      <c r="L174">
        <f t="shared" si="51"/>
        <v>801.48942635099877</v>
      </c>
      <c r="M174">
        <f t="shared" si="51"/>
        <v>913.41986361738122</v>
      </c>
      <c r="N174">
        <f t="shared" si="51"/>
        <v>907.32507465255833</v>
      </c>
      <c r="O174">
        <f t="shared" si="51"/>
        <v>1005.4306950475848</v>
      </c>
      <c r="P174">
        <f t="shared" si="51"/>
        <v>1005.4229961505649</v>
      </c>
      <c r="Q174">
        <f t="shared" si="51"/>
        <v>1106.4752332192195</v>
      </c>
      <c r="R174">
        <f t="shared" si="51"/>
        <v>1170.8504883222886</v>
      </c>
      <c r="S174">
        <f t="shared" si="51"/>
        <v>861.96896943211959</v>
      </c>
      <c r="T174">
        <f t="shared" si="51"/>
        <v>1135.2782658680615</v>
      </c>
      <c r="U174">
        <f t="shared" si="51"/>
        <v>1088.7077541764581</v>
      </c>
      <c r="V174">
        <f t="shared" si="51"/>
        <v>961.58818235691967</v>
      </c>
      <c r="W174">
        <f t="shared" si="51"/>
        <v>936.79085942937002</v>
      </c>
      <c r="X174">
        <f t="shared" si="51"/>
        <v>851.6115293878712</v>
      </c>
      <c r="Y174">
        <f t="shared" si="51"/>
        <v>984.68205603174124</v>
      </c>
      <c r="Z174">
        <f t="shared" si="51"/>
        <v>991.11904139672549</v>
      </c>
      <c r="AA174">
        <f t="shared" si="51"/>
        <v>980.56756855165884</v>
      </c>
      <c r="AB174">
        <f t="shared" si="51"/>
        <v>988.35669729544747</v>
      </c>
      <c r="AC174">
        <f t="shared" si="51"/>
        <v>1046.8071957095806</v>
      </c>
      <c r="AD174">
        <f t="shared" si="51"/>
        <v>974.01499999999999</v>
      </c>
      <c r="AE174">
        <f t="shared" si="51"/>
        <v>1011.415</v>
      </c>
      <c r="AF174">
        <f t="shared" si="51"/>
        <v>1031.1199999999999</v>
      </c>
      <c r="AG174">
        <f t="shared" si="51"/>
        <v>1001.0350000000001</v>
      </c>
      <c r="AH174">
        <f t="shared" si="51"/>
        <v>994.44</v>
      </c>
      <c r="AI174">
        <f t="shared" si="51"/>
        <v>1000</v>
      </c>
      <c r="AJ174">
        <f t="shared" si="51"/>
        <v>957.2</v>
      </c>
      <c r="AK174">
        <f t="shared" si="51"/>
        <v>1000</v>
      </c>
      <c r="AL174">
        <f t="shared" si="51"/>
        <v>1055.9299999999998</v>
      </c>
      <c r="AM174">
        <f t="shared" si="51"/>
        <v>1000</v>
      </c>
    </row>
    <row r="175" spans="1:39" x14ac:dyDescent="0.25">
      <c r="A175" t="s">
        <v>21</v>
      </c>
      <c r="D175" t="str" cm="1">
        <f t="array" ref="D175">IFERROR(
  _xlfn.LET(
    _xlpm.ligpartie, MATCH($B174, Donnees!$F:$F, 0),
    _xlpm.joueurs, INDEX(Donnees!$A:$Z, _xlpm.ligpartie+1, _xlfn.SEQUENCE(1, 4, 2)),
    INDEX(
      Donnees!$A:$Z,
      _xlpm.ligpartie + 3,
      MATCH(D$1, _xlpm.joueurs, 0) + 1
    )
  ), ""
)</f>
        <v/>
      </c>
      <c r="E175" t="str" cm="1">
        <f t="array" ref="E175">IFERROR(
  _xlfn.LET(
    _xlpm.ligpartie, MATCH($B174, Donnees!$F:$F, 0),
    _xlpm.joueurs, INDEX(Donnees!$A:$Z, _xlpm.ligpartie+1, _xlfn.SEQUENCE(1, 4, 2)),
    INDEX(
      Donnees!$A:$Z,
      _xlpm.ligpartie + 3,
      MATCH(E$1, _xlpm.joueurs, 0) + 1
    )
  ), ""
)</f>
        <v/>
      </c>
      <c r="F175" t="str" cm="1">
        <f t="array" ref="F175">IFERROR(
  _xlfn.LET(
    _xlpm.ligpartie, MATCH($B174, Donnees!$F:$F, 0),
    _xlpm.joueurs, INDEX(Donnees!$A:$Z, _xlpm.ligpartie+1, _xlfn.SEQUENCE(1, 4, 2)),
    INDEX(
      Donnees!$A:$Z,
      _xlpm.ligpartie + 3,
      MATCH(F$1, _xlpm.joueurs, 0) + 1
    )
  ), ""
)</f>
        <v/>
      </c>
      <c r="G175" cm="1">
        <f t="array" ref="G175">IFERROR(
  _xlfn.LET(
    _xlpm.ligpartie, MATCH($B174, Donnees!$F:$F, 0),
    _xlpm.joueurs, INDEX(Donnees!$A:$Z, _xlpm.ligpartie+1, _xlfn.SEQUENCE(1, 4, 2)),
    INDEX(
      Donnees!$A:$Z,
      _xlpm.ligpartie + 3,
      MATCH(G$1, _xlpm.joueurs, 0) + 1
    )
  ), ""
)</f>
        <v>2</v>
      </c>
      <c r="H175" cm="1">
        <f t="array" ref="H175">IFERROR(
  _xlfn.LET(
    _xlpm.ligpartie, MATCH($B174, Donnees!$F:$F, 0),
    _xlpm.joueurs, INDEX(Donnees!$A:$Z, _xlpm.ligpartie+1, _xlfn.SEQUENCE(1, 4, 2)),
    INDEX(
      Donnees!$A:$Z,
      _xlpm.ligpartie + 3,
      MATCH(H$1, _xlpm.joueurs, 0) + 1
    )
  ), ""
)</f>
        <v>1</v>
      </c>
      <c r="I175" cm="1">
        <f t="array" ref="I175">IFERROR(
  _xlfn.LET(
    _xlpm.ligpartie, MATCH($B174, Donnees!$F:$F, 0),
    _xlpm.joueurs, INDEX(Donnees!$A:$Z, _xlpm.ligpartie+1, _xlfn.SEQUENCE(1, 4, 2)),
    INDEX(
      Donnees!$A:$Z,
      _xlpm.ligpartie + 3,
      MATCH(I$1, _xlpm.joueurs, 0) + 1
    )
  ), ""
)</f>
        <v>0</v>
      </c>
      <c r="J175" t="str" cm="1">
        <f t="array" ref="J175">IFERROR(
  _xlfn.LET(
    _xlpm.ligpartie, MATCH($B174, Donnees!$F:$F, 0),
    _xlpm.joueurs, INDEX(Donnees!$A:$Z, _xlpm.ligpartie+1, _xlfn.SEQUENCE(1, 4, 2)),
    INDEX(
      Donnees!$A:$Z,
      _xlpm.ligpartie + 3,
      MATCH(J$1, _xlpm.joueurs, 0) + 1
    )
  ), ""
)</f>
        <v/>
      </c>
      <c r="K175" t="str" cm="1">
        <f t="array" ref="K175">IFERROR(
  _xlfn.LET(
    _xlpm.ligpartie, MATCH($B174, Donnees!$F:$F, 0),
    _xlpm.joueurs, INDEX(Donnees!$A:$Z, _xlpm.ligpartie+1, _xlfn.SEQUENCE(1, 4, 2)),
    INDEX(
      Donnees!$A:$Z,
      _xlpm.ligpartie + 3,
      MATCH(K$1, _xlpm.joueurs, 0) + 1
    )
  ), ""
)</f>
        <v/>
      </c>
      <c r="L175" t="str" cm="1">
        <f t="array" ref="L175">IFERROR(
  _xlfn.LET(
    _xlpm.ligpartie, MATCH($B174, Donnees!$F:$F, 0),
    _xlpm.joueurs, INDEX(Donnees!$A:$Z, _xlpm.ligpartie+1, _xlfn.SEQUENCE(1, 4, 2)),
    INDEX(
      Donnees!$A:$Z,
      _xlpm.ligpartie + 3,
      MATCH(L$1, _xlpm.joueurs, 0) + 1
    )
  ), ""
)</f>
        <v/>
      </c>
      <c r="M175" t="str" cm="1">
        <f t="array" ref="M175">IFERROR(
  _xlfn.LET(
    _xlpm.ligpartie, MATCH($B174, Donnees!$F:$F, 0),
    _xlpm.joueurs, INDEX(Donnees!$A:$Z, _xlpm.ligpartie+1, _xlfn.SEQUENCE(1, 4, 2)),
    INDEX(
      Donnees!$A:$Z,
      _xlpm.ligpartie + 3,
      MATCH(M$1, _xlpm.joueurs, 0) + 1
    )
  ), ""
)</f>
        <v/>
      </c>
      <c r="N175" t="str" cm="1">
        <f t="array" ref="N175">IFERROR(
  _xlfn.LET(
    _xlpm.ligpartie, MATCH($B174, Donnees!$F:$F, 0),
    _xlpm.joueurs, INDEX(Donnees!$A:$Z, _xlpm.ligpartie+1, _xlfn.SEQUENCE(1, 4, 2)),
    INDEX(
      Donnees!$A:$Z,
      _xlpm.ligpartie + 3,
      MATCH(N$1, _xlpm.joueurs, 0) + 1
    )
  ), ""
)</f>
        <v/>
      </c>
      <c r="O175" t="str" cm="1">
        <f t="array" ref="O175">IFERROR(
  _xlfn.LET(
    _xlpm.ligpartie, MATCH($B174, Donnees!$F:$F, 0),
    _xlpm.joueurs, INDEX(Donnees!$A:$Z, _xlpm.ligpartie+1, _xlfn.SEQUENCE(1, 4, 2)),
    INDEX(
      Donnees!$A:$Z,
      _xlpm.ligpartie + 3,
      MATCH(O$1, _xlpm.joueurs, 0) + 1
    )
  ), ""
)</f>
        <v/>
      </c>
      <c r="P175" t="str" cm="1">
        <f t="array" ref="P175">IFERROR(
  _xlfn.LET(
    _xlpm.ligpartie, MATCH($B174, Donnees!$F:$F, 0),
    _xlpm.joueurs, INDEX(Donnees!$A:$Z, _xlpm.ligpartie+1, _xlfn.SEQUENCE(1, 4, 2)),
    INDEX(
      Donnees!$A:$Z,
      _xlpm.ligpartie + 3,
      MATCH(P$1, _xlpm.joueurs, 0) + 1
    )
  ), ""
)</f>
        <v/>
      </c>
      <c r="Q175" t="str" cm="1">
        <f t="array" ref="Q175">IFERROR(
  _xlfn.LET(
    _xlpm.ligpartie, MATCH($B174, Donnees!$F:$F, 0),
    _xlpm.joueurs, INDEX(Donnees!$A:$Z, _xlpm.ligpartie+1, _xlfn.SEQUENCE(1, 4, 2)),
    INDEX(
      Donnees!$A:$Z,
      _xlpm.ligpartie + 3,
      MATCH(Q$1, _xlpm.joueurs, 0) + 1
    )
  ), ""
)</f>
        <v/>
      </c>
      <c r="R175" t="str" cm="1">
        <f t="array" ref="R175">IFERROR(
  _xlfn.LET(
    _xlpm.ligpartie, MATCH($B174, Donnees!$F:$F, 0),
    _xlpm.joueurs, INDEX(Donnees!$A:$Z, _xlpm.ligpartie+1, _xlfn.SEQUENCE(1, 4, 2)),
    INDEX(
      Donnees!$A:$Z,
      _xlpm.ligpartie + 3,
      MATCH(R$1, _xlpm.joueurs, 0) + 1
    )
  ), ""
)</f>
        <v/>
      </c>
      <c r="S175" t="str" cm="1">
        <f t="array" ref="S175">IFERROR(
  _xlfn.LET(
    _xlpm.ligpartie, MATCH($B174, Donnees!$F:$F, 0),
    _xlpm.joueurs, INDEX(Donnees!$A:$Z, _xlpm.ligpartie+1, _xlfn.SEQUENCE(1, 4, 2)),
    INDEX(
      Donnees!$A:$Z,
      _xlpm.ligpartie + 3,
      MATCH(S$1, _xlpm.joueurs, 0) + 1
    )
  ), ""
)</f>
        <v/>
      </c>
      <c r="T175" t="str" cm="1">
        <f t="array" ref="T175">IFERROR(
  _xlfn.LET(
    _xlpm.ligpartie, MATCH($B174, Donnees!$F:$F, 0),
    _xlpm.joueurs, INDEX(Donnees!$A:$Z, _xlpm.ligpartie+1, _xlfn.SEQUENCE(1, 4, 2)),
    INDEX(
      Donnees!$A:$Z,
      _xlpm.ligpartie + 3,
      MATCH(T$1, _xlpm.joueurs, 0) + 1
    )
  ), ""
)</f>
        <v/>
      </c>
      <c r="U175" cm="1">
        <f t="array" ref="U175">IFERROR(
  _xlfn.LET(
    _xlpm.ligpartie, MATCH($B174, Donnees!$F:$F, 0),
    _xlpm.joueurs, INDEX(Donnees!$A:$Z, _xlpm.ligpartie+1, _xlfn.SEQUENCE(1, 4, 2)),
    INDEX(
      Donnees!$A:$Z,
      _xlpm.ligpartie + 3,
      MATCH(U$1, _xlpm.joueurs, 0) + 1
    )
  ), ""
)</f>
        <v>3</v>
      </c>
      <c r="V175" t="str" cm="1">
        <f t="array" ref="V175">IFERROR(
  _xlfn.LET(
    _xlpm.ligpartie, MATCH($B174, Donnees!$F:$F, 0),
    _xlpm.joueurs, INDEX(Donnees!$A:$Z, _xlpm.ligpartie+1, _xlfn.SEQUENCE(1, 4, 2)),
    INDEX(
      Donnees!$A:$Z,
      _xlpm.ligpartie + 3,
      MATCH(V$1, _xlpm.joueurs, 0) + 1
    )
  ), ""
)</f>
        <v/>
      </c>
      <c r="W175" t="str" cm="1">
        <f t="array" ref="W175">IFERROR(
  _xlfn.LET(
    _xlpm.ligpartie, MATCH($B174, Donnees!$F:$F, 0),
    _xlpm.joueurs, INDEX(Donnees!$A:$Z, _xlpm.ligpartie+1, _xlfn.SEQUENCE(1, 4, 2)),
    INDEX(
      Donnees!$A:$Z,
      _xlpm.ligpartie + 3,
      MATCH(W$1, _xlpm.joueurs, 0) + 1
    )
  ), ""
)</f>
        <v/>
      </c>
      <c r="X175" t="str" cm="1">
        <f t="array" ref="X175">IFERROR(
  _xlfn.LET(
    _xlpm.ligpartie, MATCH($B174, Donnees!$F:$F, 0),
    _xlpm.joueurs, INDEX(Donnees!$A:$Z, _xlpm.ligpartie+1, _xlfn.SEQUENCE(1, 4, 2)),
    INDEX(
      Donnees!$A:$Z,
      _xlpm.ligpartie + 3,
      MATCH(X$1, _xlpm.joueurs, 0) + 1
    )
  ), ""
)</f>
        <v/>
      </c>
      <c r="Y175" t="str" cm="1">
        <f t="array" ref="Y175">IFERROR(
  _xlfn.LET(
    _xlpm.ligpartie, MATCH($B174, Donnees!$F:$F, 0),
    _xlpm.joueurs, INDEX(Donnees!$A:$Z, _xlpm.ligpartie+1, _xlfn.SEQUENCE(1, 4, 2)),
    INDEX(
      Donnees!$A:$Z,
      _xlpm.ligpartie + 3,
      MATCH(Y$1, _xlpm.joueurs, 0) + 1
    )
  ), ""
)</f>
        <v/>
      </c>
      <c r="Z175" t="str" cm="1">
        <f t="array" ref="Z175">IFERROR(
  _xlfn.LET(
    _xlpm.ligpartie, MATCH($B174, Donnees!$F:$F, 0),
    _xlpm.joueurs, INDEX(Donnees!$A:$Z, _xlpm.ligpartie+1, _xlfn.SEQUENCE(1, 4, 2)),
    INDEX(
      Donnees!$A:$Z,
      _xlpm.ligpartie + 3,
      MATCH(Z$1, _xlpm.joueurs, 0) + 1
    )
  ), ""
)</f>
        <v/>
      </c>
      <c r="AA175" t="str" cm="1">
        <f t="array" ref="AA175">IFERROR(
  _xlfn.LET(
    _xlpm.ligpartie, MATCH($B174, Donnees!$F:$F, 0),
    _xlpm.joueurs, INDEX(Donnees!$A:$Z, _xlpm.ligpartie+1, _xlfn.SEQUENCE(1, 4, 2)),
    INDEX(
      Donnees!$A:$Z,
      _xlpm.ligpartie + 3,
      MATCH(AA$1, _xlpm.joueurs, 0) + 1
    )
  ), ""
)</f>
        <v/>
      </c>
      <c r="AB175" t="str" cm="1">
        <f t="array" ref="AB175">IFERROR(
  _xlfn.LET(
    _xlpm.ligpartie, MATCH($B174, Donnees!$F:$F, 0),
    _xlpm.joueurs, INDEX(Donnees!$A:$Z, _xlpm.ligpartie+1, _xlfn.SEQUENCE(1, 4, 2)),
    INDEX(
      Donnees!$A:$Z,
      _xlpm.ligpartie + 3,
      MATCH(AB$1, _xlpm.joueurs, 0) + 1
    )
  ), ""
)</f>
        <v/>
      </c>
      <c r="AC175" t="str" cm="1">
        <f t="array" ref="AC175">IFERROR(
  _xlfn.LET(
    _xlpm.ligpartie, MATCH($B174, Donnees!$F:$F, 0),
    _xlpm.joueurs, INDEX(Donnees!$A:$Z, _xlpm.ligpartie+1, _xlfn.SEQUENCE(1, 4, 2)),
    INDEX(
      Donnees!$A:$Z,
      _xlpm.ligpartie + 3,
      MATCH(AC$1, _xlpm.joueurs, 0) + 1
    )
  ), ""
)</f>
        <v/>
      </c>
      <c r="AD175" t="str" cm="1">
        <f t="array" ref="AD175">IFERROR(
  _xlfn.LET(
    _xlpm.ligpartie, MATCH($B174, Donnees!$F:$F, 0),
    _xlpm.joueurs, INDEX(Donnees!$A:$Z, _xlpm.ligpartie+1, _xlfn.SEQUENCE(1, 4, 2)),
    INDEX(
      Donnees!$A:$Z,
      _xlpm.ligpartie + 3,
      MATCH(AD$1, _xlpm.joueurs, 0) + 1
    )
  ), ""
)</f>
        <v/>
      </c>
      <c r="AE175" t="str" cm="1">
        <f t="array" ref="AE175">IFERROR(
  _xlfn.LET(
    _xlpm.ligpartie, MATCH($B174, Donnees!$F:$F, 0),
    _xlpm.joueurs, INDEX(Donnees!$A:$Z, _xlpm.ligpartie+1, _xlfn.SEQUENCE(1, 4, 2)),
    INDEX(
      Donnees!$A:$Z,
      _xlpm.ligpartie + 3,
      MATCH(AE$1, _xlpm.joueurs, 0) + 1
    )
  ), ""
)</f>
        <v/>
      </c>
      <c r="AF175" t="str" cm="1">
        <f t="array" ref="AF175">IFERROR(
  _xlfn.LET(
    _xlpm.ligpartie, MATCH($B174, Donnees!$F:$F, 0),
    _xlpm.joueurs, INDEX(Donnees!$A:$Z, _xlpm.ligpartie+1, _xlfn.SEQUENCE(1, 4, 2)),
    INDEX(
      Donnees!$A:$Z,
      _xlpm.ligpartie + 3,
      MATCH(AF$1, _xlpm.joueurs, 0) + 1
    )
  ), ""
)</f>
        <v/>
      </c>
      <c r="AG175" t="str" cm="1">
        <f t="array" ref="AG175">IFERROR(
  _xlfn.LET(
    _xlpm.ligpartie, MATCH($B174, Donnees!$F:$F, 0),
    _xlpm.joueurs, INDEX(Donnees!$A:$Z, _xlpm.ligpartie+1, _xlfn.SEQUENCE(1, 4, 2)),
    INDEX(
      Donnees!$A:$Z,
      _xlpm.ligpartie + 3,
      MATCH(AG$1, _xlpm.joueurs, 0) + 1
    )
  ), ""
)</f>
        <v/>
      </c>
      <c r="AH175" t="str" cm="1">
        <f t="array" ref="AH175">IFERROR(
  _xlfn.LET(
    _xlpm.ligpartie, MATCH($B174, Donnees!$F:$F, 0),
    _xlpm.joueurs, INDEX(Donnees!$A:$Z, _xlpm.ligpartie+1, _xlfn.SEQUENCE(1, 4, 2)),
    INDEX(
      Donnees!$A:$Z,
      _xlpm.ligpartie + 3,
      MATCH(AH$1, _xlpm.joueurs, 0) + 1
    )
  ), ""
)</f>
        <v/>
      </c>
      <c r="AI175" t="str" cm="1">
        <f t="array" ref="AI175">IFERROR(
  _xlfn.LET(
    _xlpm.ligpartie, MATCH($B174, Donnees!$F:$F, 0),
    _xlpm.joueurs, INDEX(Donnees!$A:$Z, _xlpm.ligpartie+1, _xlfn.SEQUENCE(1, 4, 2)),
    INDEX(
      Donnees!$A:$Z,
      _xlpm.ligpartie + 3,
      MATCH(AI$1, _xlpm.joueurs, 0) + 1
    )
  ), ""
)</f>
        <v/>
      </c>
      <c r="AJ175" t="str" cm="1">
        <f t="array" ref="AJ175">IFERROR(
  _xlfn.LET(
    _xlpm.ligpartie, MATCH($B174, Donnees!$F:$F, 0),
    _xlpm.joueurs, INDEX(Donnees!$A:$Z, _xlpm.ligpartie+1, _xlfn.SEQUENCE(1, 4, 2)),
    INDEX(
      Donnees!$A:$Z,
      _xlpm.ligpartie + 3,
      MATCH(AJ$1, _xlpm.joueurs, 0) + 1
    )
  ), ""
)</f>
        <v/>
      </c>
      <c r="AK175" t="str" cm="1">
        <f t="array" ref="AK175">IFERROR(
  _xlfn.LET(
    _xlpm.ligpartie, MATCH($B174, Donnees!$F:$F, 0),
    _xlpm.joueurs, INDEX(Donnees!$A:$Z, _xlpm.ligpartie+1, _xlfn.SEQUENCE(1, 4, 2)),
    INDEX(
      Donnees!$A:$Z,
      _xlpm.ligpartie + 3,
      MATCH(AK$1, _xlpm.joueurs, 0) + 1
    )
  ), ""
)</f>
        <v/>
      </c>
      <c r="AL175" t="str" cm="1">
        <f t="array" ref="AL175">IFERROR(
  _xlfn.LET(
    _xlpm.ligpartie, MATCH($B174, Donnees!$F:$F, 0),
    _xlpm.joueurs, INDEX(Donnees!$A:$Z, _xlpm.ligpartie+1, _xlfn.SEQUENCE(1, 4, 2)),
    INDEX(
      Donnees!$A:$Z,
      _xlpm.ligpartie + 3,
      MATCH(AL$1, _xlpm.joueurs, 0) + 1
    )
  ), ""
)</f>
        <v/>
      </c>
      <c r="AM175" t="str" cm="1">
        <f t="array" ref="AM175">IFERROR(
  _xlfn.LET(
    _xlpm.ligpartie, MATCH($B174, Donnees!$F:$F, 0),
    _xlpm.joueurs, INDEX(Donnees!$A:$Z, _xlpm.ligpartie+1, _xlfn.SEQUENCE(1, 4, 2)),
    INDEX(
      Donnees!$A:$Z,
      _xlpm.ligpartie + 3,
      MATCH(AM$1, _xlpm.joueurs, 0) + 1
    )
  ), ""
)</f>
        <v/>
      </c>
    </row>
    <row r="176" spans="1:39" x14ac:dyDescent="0.25">
      <c r="A176" t="s">
        <v>20</v>
      </c>
      <c r="D176" t="str" cm="1">
        <f t="array" ref="D176">_xlfn.LET(
  _xlpm.colj, _xlfn._xlws.FILTER(IF(ISNUMBER(175:175), COLUMN(175:175)), ISNUMBER(175:175)),
  _xlpm.elos, INDEX(174:174,1,_xlpm.colj),
  _xlpm.diffscale, Constantes!$B$2,
  IF(D175="",
    "",
    SUM(1/(1+POWER(10,-(D174-_xlpm.elos)/_xlpm.diffscale)))-0.5)
)</f>
        <v/>
      </c>
      <c r="E176" t="str" cm="1">
        <f t="array" ref="E176">_xlfn.LET(
  _xlpm.colj, _xlfn._xlws.FILTER(IF(ISNUMBER(175:175), COLUMN(175:175)), ISNUMBER(175:175)),
  _xlpm.elos, INDEX(174:174,1,_xlpm.colj),
  _xlpm.diffscale, Constantes!$B$2,
  IF(E175="",
    "",
    SUM(1/(1+POWER(10,-(E174-_xlpm.elos)/_xlpm.diffscale)))-0.5)
)</f>
        <v/>
      </c>
      <c r="F176" t="str" cm="1">
        <f t="array" ref="F176">_xlfn.LET(
  _xlpm.colj, _xlfn._xlws.FILTER(IF(ISNUMBER(175:175), COLUMN(175:175)), ISNUMBER(175:175)),
  _xlpm.elos, INDEX(174:174,1,_xlpm.colj),
  _xlpm.diffscale, Constantes!$B$2,
  IF(F175="",
    "",
    SUM(1/(1+POWER(10,-(F174-_xlpm.elos)/_xlpm.diffscale)))-0.5)
)</f>
        <v/>
      </c>
      <c r="G176" cm="1">
        <f t="array" ref="G176">_xlfn.LET(
  _xlpm.colj, _xlfn._xlws.FILTER(IF(ISNUMBER(175:175), COLUMN(175:175)), ISNUMBER(175:175)),
  _xlpm.elos, INDEX(174:174,1,_xlpm.colj),
  _xlpm.diffscale, Constantes!$B$2,
  IF(G175="",
    "",
    SUM(1/(1+POWER(10,-(G174-_xlpm.elos)/_xlpm.diffscale)))-0.5)
)</f>
        <v>1.362172346089316</v>
      </c>
      <c r="H176" cm="1">
        <f t="array" ref="H176">_xlfn.LET(
  _xlpm.colj, _xlfn._xlws.FILTER(IF(ISNUMBER(175:175), COLUMN(175:175)), ISNUMBER(175:175)),
  _xlpm.elos, INDEX(174:174,1,_xlpm.colj),
  _xlpm.diffscale, Constantes!$B$2,
  IF(H175="",
    "",
    SUM(1/(1+POWER(10,-(H174-_xlpm.elos)/_xlpm.diffscale)))-0.5)
)</f>
        <v>1.381954309795707</v>
      </c>
      <c r="I176" cm="1">
        <f t="array" ref="I176">_xlfn.LET(
  _xlpm.colj, _xlfn._xlws.FILTER(IF(ISNUMBER(175:175), COLUMN(175:175)), ISNUMBER(175:175)),
  _xlpm.elos, INDEX(174:174,1,_xlpm.colj),
  _xlpm.diffscale, Constantes!$B$2,
  IF(I175="",
    "",
    SUM(1/(1+POWER(10,-(I174-_xlpm.elos)/_xlpm.diffscale)))-0.5)
)</f>
        <v>1.6171541884980702</v>
      </c>
      <c r="J176" t="str" cm="1">
        <f t="array" ref="J176">_xlfn.LET(
  _xlpm.colj, _xlfn._xlws.FILTER(IF(ISNUMBER(175:175), COLUMN(175:175)), ISNUMBER(175:175)),
  _xlpm.elos, INDEX(174:174,1,_xlpm.colj),
  _xlpm.diffscale, Constantes!$B$2,
  IF(J175="",
    "",
    SUM(1/(1+POWER(10,-(J174-_xlpm.elos)/_xlpm.diffscale)))-0.5)
)</f>
        <v/>
      </c>
      <c r="K176" t="str" cm="1">
        <f t="array" ref="K176">_xlfn.LET(
  _xlpm.colj, _xlfn._xlws.FILTER(IF(ISNUMBER(175:175), COLUMN(175:175)), ISNUMBER(175:175)),
  _xlpm.elos, INDEX(174:174,1,_xlpm.colj),
  _xlpm.diffscale, Constantes!$B$2,
  IF(K175="",
    "",
    SUM(1/(1+POWER(10,-(K174-_xlpm.elos)/_xlpm.diffscale)))-0.5)
)</f>
        <v/>
      </c>
      <c r="L176" t="str" cm="1">
        <f t="array" ref="L176">_xlfn.LET(
  _xlpm.colj, _xlfn._xlws.FILTER(IF(ISNUMBER(175:175), COLUMN(175:175)), ISNUMBER(175:175)),
  _xlpm.elos, INDEX(174:174,1,_xlpm.colj),
  _xlpm.diffscale, Constantes!$B$2,
  IF(L175="",
    "",
    SUM(1/(1+POWER(10,-(L174-_xlpm.elos)/_xlpm.diffscale)))-0.5)
)</f>
        <v/>
      </c>
      <c r="M176" t="str" cm="1">
        <f t="array" ref="M176">_xlfn.LET(
  _xlpm.colj, _xlfn._xlws.FILTER(IF(ISNUMBER(175:175), COLUMN(175:175)), ISNUMBER(175:175)),
  _xlpm.elos, INDEX(174:174,1,_xlpm.colj),
  _xlpm.diffscale, Constantes!$B$2,
  IF(M175="",
    "",
    SUM(1/(1+POWER(10,-(M174-_xlpm.elos)/_xlpm.diffscale)))-0.5)
)</f>
        <v/>
      </c>
      <c r="N176" t="str" cm="1">
        <f t="array" ref="N176">_xlfn.LET(
  _xlpm.colj, _xlfn._xlws.FILTER(IF(ISNUMBER(175:175), COLUMN(175:175)), ISNUMBER(175:175)),
  _xlpm.elos, INDEX(174:174,1,_xlpm.colj),
  _xlpm.diffscale, Constantes!$B$2,
  IF(N175="",
    "",
    SUM(1/(1+POWER(10,-(N174-_xlpm.elos)/_xlpm.diffscale)))-0.5)
)</f>
        <v/>
      </c>
      <c r="O176" t="str" cm="1">
        <f t="array" ref="O176">_xlfn.LET(
  _xlpm.colj, _xlfn._xlws.FILTER(IF(ISNUMBER(175:175), COLUMN(175:175)), ISNUMBER(175:175)),
  _xlpm.elos, INDEX(174:174,1,_xlpm.colj),
  _xlpm.diffscale, Constantes!$B$2,
  IF(O175="",
    "",
    SUM(1/(1+POWER(10,-(O174-_xlpm.elos)/_xlpm.diffscale)))-0.5)
)</f>
        <v/>
      </c>
      <c r="P176" t="str" cm="1">
        <f t="array" ref="P176">_xlfn.LET(
  _xlpm.colj, _xlfn._xlws.FILTER(IF(ISNUMBER(175:175), COLUMN(175:175)), ISNUMBER(175:175)),
  _xlpm.elos, INDEX(174:174,1,_xlpm.colj),
  _xlpm.diffscale, Constantes!$B$2,
  IF(P175="",
    "",
    SUM(1/(1+POWER(10,-(P174-_xlpm.elos)/_xlpm.diffscale)))-0.5)
)</f>
        <v/>
      </c>
      <c r="Q176" t="str" cm="1">
        <f t="array" ref="Q176">_xlfn.LET(
  _xlpm.colj, _xlfn._xlws.FILTER(IF(ISNUMBER(175:175), COLUMN(175:175)), ISNUMBER(175:175)),
  _xlpm.elos, INDEX(174:174,1,_xlpm.colj),
  _xlpm.diffscale, Constantes!$B$2,
  IF(Q175="",
    "",
    SUM(1/(1+POWER(10,-(Q174-_xlpm.elos)/_xlpm.diffscale)))-0.5)
)</f>
        <v/>
      </c>
      <c r="R176" t="str" cm="1">
        <f t="array" ref="R176">_xlfn.LET(
  _xlpm.colj, _xlfn._xlws.FILTER(IF(ISNUMBER(175:175), COLUMN(175:175)), ISNUMBER(175:175)),
  _xlpm.elos, INDEX(174:174,1,_xlpm.colj),
  _xlpm.diffscale, Constantes!$B$2,
  IF(R175="",
    "",
    SUM(1/(1+POWER(10,-(R174-_xlpm.elos)/_xlpm.diffscale)))-0.5)
)</f>
        <v/>
      </c>
      <c r="S176" t="str" cm="1">
        <f t="array" ref="S176">_xlfn.LET(
  _xlpm.colj, _xlfn._xlws.FILTER(IF(ISNUMBER(175:175), COLUMN(175:175)), ISNUMBER(175:175)),
  _xlpm.elos, INDEX(174:174,1,_xlpm.colj),
  _xlpm.diffscale, Constantes!$B$2,
  IF(S175="",
    "",
    SUM(1/(1+POWER(10,-(S174-_xlpm.elos)/_xlpm.diffscale)))-0.5)
)</f>
        <v/>
      </c>
      <c r="T176" t="str" cm="1">
        <f t="array" ref="T176">_xlfn.LET(
  _xlpm.colj, _xlfn._xlws.FILTER(IF(ISNUMBER(175:175), COLUMN(175:175)), ISNUMBER(175:175)),
  _xlpm.elos, INDEX(174:174,1,_xlpm.colj),
  _xlpm.diffscale, Constantes!$B$2,
  IF(T175="",
    "",
    SUM(1/(1+POWER(10,-(T174-_xlpm.elos)/_xlpm.diffscale)))-0.5)
)</f>
        <v/>
      </c>
      <c r="U176" cm="1">
        <f t="array" ref="U176">_xlfn.LET(
  _xlpm.colj, _xlfn._xlws.FILTER(IF(ISNUMBER(175:175), COLUMN(175:175)), ISNUMBER(175:175)),
  _xlpm.elos, INDEX(174:174,1,_xlpm.colj),
  _xlpm.diffscale, Constantes!$B$2,
  IF(U175="",
    "",
    SUM(1/(1+POWER(10,-(U174-_xlpm.elos)/_xlpm.diffscale)))-0.5)
)</f>
        <v>1.638719155616907</v>
      </c>
      <c r="V176" t="str" cm="1">
        <f t="array" ref="V176">_xlfn.LET(
  _xlpm.colj, _xlfn._xlws.FILTER(IF(ISNUMBER(175:175), COLUMN(175:175)), ISNUMBER(175:175)),
  _xlpm.elos, INDEX(174:174,1,_xlpm.colj),
  _xlpm.diffscale, Constantes!$B$2,
  IF(V175="",
    "",
    SUM(1/(1+POWER(10,-(V174-_xlpm.elos)/_xlpm.diffscale)))-0.5)
)</f>
        <v/>
      </c>
      <c r="W176" t="str" cm="1">
        <f t="array" ref="W176">_xlfn.LET(
  _xlpm.colj, _xlfn._xlws.FILTER(IF(ISNUMBER(175:175), COLUMN(175:175)), ISNUMBER(175:175)),
  _xlpm.elos, INDEX(174:174,1,_xlpm.colj),
  _xlpm.diffscale, Constantes!$B$2,
  IF(W175="",
    "",
    SUM(1/(1+POWER(10,-(W174-_xlpm.elos)/_xlpm.diffscale)))-0.5)
)</f>
        <v/>
      </c>
      <c r="X176" t="str" cm="1">
        <f t="array" ref="X176">_xlfn.LET(
  _xlpm.colj, _xlfn._xlws.FILTER(IF(ISNUMBER(175:175), COLUMN(175:175)), ISNUMBER(175:175)),
  _xlpm.elos, INDEX(174:174,1,_xlpm.colj),
  _xlpm.diffscale, Constantes!$B$2,
  IF(X175="",
    "",
    SUM(1/(1+POWER(10,-(X174-_xlpm.elos)/_xlpm.diffscale)))-0.5)
)</f>
        <v/>
      </c>
      <c r="Y176" t="str" cm="1">
        <f t="array" ref="Y176">_xlfn.LET(
  _xlpm.colj, _xlfn._xlws.FILTER(IF(ISNUMBER(175:175), COLUMN(175:175)), ISNUMBER(175:175)),
  _xlpm.elos, INDEX(174:174,1,_xlpm.colj),
  _xlpm.diffscale, Constantes!$B$2,
  IF(Y175="",
    "",
    SUM(1/(1+POWER(10,-(Y174-_xlpm.elos)/_xlpm.diffscale)))-0.5)
)</f>
        <v/>
      </c>
      <c r="Z176" t="str" cm="1">
        <f t="array" ref="Z176">_xlfn.LET(
  _xlpm.colj, _xlfn._xlws.FILTER(IF(ISNUMBER(175:175), COLUMN(175:175)), ISNUMBER(175:175)),
  _xlpm.elos, INDEX(174:174,1,_xlpm.colj),
  _xlpm.diffscale, Constantes!$B$2,
  IF(Z175="",
    "",
    SUM(1/(1+POWER(10,-(Z174-_xlpm.elos)/_xlpm.diffscale)))-0.5)
)</f>
        <v/>
      </c>
      <c r="AA176" t="str" cm="1">
        <f t="array" ref="AA176">_xlfn.LET(
  _xlpm.colj, _xlfn._xlws.FILTER(IF(ISNUMBER(175:175), COLUMN(175:175)), ISNUMBER(175:175)),
  _xlpm.elos, INDEX(174:174,1,_xlpm.colj),
  _xlpm.diffscale, Constantes!$B$2,
  IF(AA175="",
    "",
    SUM(1/(1+POWER(10,-(AA174-_xlpm.elos)/_xlpm.diffscale)))-0.5)
)</f>
        <v/>
      </c>
      <c r="AB176" t="str" cm="1">
        <f t="array" ref="AB176">_xlfn.LET(
  _xlpm.colj, _xlfn._xlws.FILTER(IF(ISNUMBER(175:175), COLUMN(175:175)), ISNUMBER(175:175)),
  _xlpm.elos, INDEX(174:174,1,_xlpm.colj),
  _xlpm.diffscale, Constantes!$B$2,
  IF(AB175="",
    "",
    SUM(1/(1+POWER(10,-(AB174-_xlpm.elos)/_xlpm.diffscale)))-0.5)
)</f>
        <v/>
      </c>
      <c r="AC176" t="str" cm="1">
        <f t="array" ref="AC176">_xlfn.LET(
  _xlpm.colj, _xlfn._xlws.FILTER(IF(ISNUMBER(175:175), COLUMN(175:175)), ISNUMBER(175:175)),
  _xlpm.elos, INDEX(174:174,1,_xlpm.colj),
  _xlpm.diffscale, Constantes!$B$2,
  IF(AC175="",
    "",
    SUM(1/(1+POWER(10,-(AC174-_xlpm.elos)/_xlpm.diffscale)))-0.5)
)</f>
        <v/>
      </c>
      <c r="AD176" t="str" cm="1">
        <f t="array" ref="AD176">_xlfn.LET(
  _xlpm.colj, _xlfn._xlws.FILTER(IF(ISNUMBER(175:175), COLUMN(175:175)), ISNUMBER(175:175)),
  _xlpm.elos, INDEX(174:174,1,_xlpm.colj),
  _xlpm.diffscale, Constantes!$B$2,
  IF(AD175="",
    "",
    SUM(1/(1+POWER(10,-(AD174-_xlpm.elos)/_xlpm.diffscale)))-0.5)
)</f>
        <v/>
      </c>
      <c r="AE176" t="str" cm="1">
        <f t="array" ref="AE176">_xlfn.LET(
  _xlpm.colj, _xlfn._xlws.FILTER(IF(ISNUMBER(175:175), COLUMN(175:175)), ISNUMBER(175:175)),
  _xlpm.elos, INDEX(174:174,1,_xlpm.colj),
  _xlpm.diffscale, Constantes!$B$2,
  IF(AE175="",
    "",
    SUM(1/(1+POWER(10,-(AE174-_xlpm.elos)/_xlpm.diffscale)))-0.5)
)</f>
        <v/>
      </c>
      <c r="AF176" t="str" cm="1">
        <f t="array" ref="AF176">_xlfn.LET(
  _xlpm.colj, _xlfn._xlws.FILTER(IF(ISNUMBER(175:175), COLUMN(175:175)), ISNUMBER(175:175)),
  _xlpm.elos, INDEX(174:174,1,_xlpm.colj),
  _xlpm.diffscale, Constantes!$B$2,
  IF(AF175="",
    "",
    SUM(1/(1+POWER(10,-(AF174-_xlpm.elos)/_xlpm.diffscale)))-0.5)
)</f>
        <v/>
      </c>
      <c r="AG176" t="str" cm="1">
        <f t="array" ref="AG176">_xlfn.LET(
  _xlpm.colj, _xlfn._xlws.FILTER(IF(ISNUMBER(175:175), COLUMN(175:175)), ISNUMBER(175:175)),
  _xlpm.elos, INDEX(174:174,1,_xlpm.colj),
  _xlpm.diffscale, Constantes!$B$2,
  IF(AG175="",
    "",
    SUM(1/(1+POWER(10,-(AG174-_xlpm.elos)/_xlpm.diffscale)))-0.5)
)</f>
        <v/>
      </c>
      <c r="AH176" t="str" cm="1">
        <f t="array" ref="AH176">_xlfn.LET(
  _xlpm.colj, _xlfn._xlws.FILTER(IF(ISNUMBER(175:175), COLUMN(175:175)), ISNUMBER(175:175)),
  _xlpm.elos, INDEX(174:174,1,_xlpm.colj),
  _xlpm.diffscale, Constantes!$B$2,
  IF(AH175="",
    "",
    SUM(1/(1+POWER(10,-(AH174-_xlpm.elos)/_xlpm.diffscale)))-0.5)
)</f>
        <v/>
      </c>
      <c r="AI176" t="str" cm="1">
        <f t="array" ref="AI176">_xlfn.LET(
  _xlpm.colj, _xlfn._xlws.FILTER(IF(ISNUMBER(175:175), COLUMN(175:175)), ISNUMBER(175:175)),
  _xlpm.elos, INDEX(174:174,1,_xlpm.colj),
  _xlpm.diffscale, Constantes!$B$2,
  IF(AI175="",
    "",
    SUM(1/(1+POWER(10,-(AI174-_xlpm.elos)/_xlpm.diffscale)))-0.5)
)</f>
        <v/>
      </c>
      <c r="AJ176" t="str" cm="1">
        <f t="array" ref="AJ176">_xlfn.LET(
  _xlpm.colj, _xlfn._xlws.FILTER(IF(ISNUMBER(175:175), COLUMN(175:175)), ISNUMBER(175:175)),
  _xlpm.elos, INDEX(174:174,1,_xlpm.colj),
  _xlpm.diffscale, Constantes!$B$2,
  IF(AJ175="",
    "",
    SUM(1/(1+POWER(10,-(AJ174-_xlpm.elos)/_xlpm.diffscale)))-0.5)
)</f>
        <v/>
      </c>
      <c r="AK176" t="str" cm="1">
        <f t="array" ref="AK176">_xlfn.LET(
  _xlpm.colj, _xlfn._xlws.FILTER(IF(ISNUMBER(175:175), COLUMN(175:175)), ISNUMBER(175:175)),
  _xlpm.elos, INDEX(174:174,1,_xlpm.colj),
  _xlpm.diffscale, Constantes!$B$2,
  IF(AK175="",
    "",
    SUM(1/(1+POWER(10,-(AK174-_xlpm.elos)/_xlpm.diffscale)))-0.5)
)</f>
        <v/>
      </c>
      <c r="AL176" t="str" cm="1">
        <f t="array" ref="AL176">_xlfn.LET(
  _xlpm.colj, _xlfn._xlws.FILTER(IF(ISNUMBER(175:175), COLUMN(175:175)), ISNUMBER(175:175)),
  _xlpm.elos, INDEX(174:174,1,_xlpm.colj),
  _xlpm.diffscale, Constantes!$B$2,
  IF(AL175="",
    "",
    SUM(1/(1+POWER(10,-(AL174-_xlpm.elos)/_xlpm.diffscale)))-0.5)
)</f>
        <v/>
      </c>
      <c r="AM176" t="str" cm="1">
        <f t="array" ref="AM176">_xlfn.LET(
  _xlpm.colj, _xlfn._xlws.FILTER(IF(ISNUMBER(175:175), COLUMN(175:175)), ISNUMBER(175:175)),
  _xlpm.elos, INDEX(174:174,1,_xlpm.colj),
  _xlpm.diffscale, Constantes!$B$2,
  IF(AM175="",
    "",
    SUM(1/(1+POWER(10,-(AM174-_xlpm.elos)/_xlpm.diffscale)))-0.5)
)</f>
        <v/>
      </c>
    </row>
    <row r="177" spans="1:39" x14ac:dyDescent="0.25">
      <c r="A177" t="s">
        <v>22</v>
      </c>
      <c r="D177" t="str" cm="1">
        <f t="array" ref="D177">_xlfn.LET(
  _xlpm.K, Constantes!$B$3,
  _xlpm.Knewgain, Constantes!$B$4,
  _xlpm.Knewscale, Constantes!$B$5,
  _xlpm.ptstables, INDEX(D:D, _xlfn.SEQUENCE(COUNTA($C$2:$C177), 1, 3, 4)),
  _xlpm.nbparties, COUNTA(_xlfn._xlws.FILTER(_xlpm.ptstables, _xlpm.ptstables &lt;&gt; "")),
  _xlpm.coef, _xlpm.K + _xlpm.Knewgain / (_xlpm.Knewscale + _xlpm.nbparties),
  IF(D175="",
    "",
    _xlpm.coef * (D175-D176))
)</f>
        <v/>
      </c>
      <c r="E177" t="str" cm="1">
        <f t="array" ref="E177">_xlfn.LET(
  _xlpm.K, Constantes!$B$3,
  _xlpm.Knewgain, Constantes!$B$4,
  _xlpm.Knewscale, Constantes!$B$5,
  _xlpm.ptstables, INDEX(E:E, _xlfn.SEQUENCE(COUNTA($C$2:$C177), 1, 3, 4)),
  _xlpm.nbparties, COUNTA(_xlfn._xlws.FILTER(_xlpm.ptstables, _xlpm.ptstables &lt;&gt; "")),
  _xlpm.coef, _xlpm.K + _xlpm.Knewgain / (_xlpm.Knewscale + _xlpm.nbparties),
  IF(E175="",
    "",
    _xlpm.coef * (E175-E176))
)</f>
        <v/>
      </c>
      <c r="F177" t="str" cm="1">
        <f t="array" ref="F177">_xlfn.LET(
  _xlpm.K, Constantes!$B$3,
  _xlpm.Knewgain, Constantes!$B$4,
  _xlpm.Knewscale, Constantes!$B$5,
  _xlpm.ptstables, INDEX(F:F, _xlfn.SEQUENCE(COUNTA($C$2:$C177), 1, 3, 4)),
  _xlpm.nbparties, COUNTA(_xlfn._xlws.FILTER(_xlpm.ptstables, _xlpm.ptstables &lt;&gt; "")),
  _xlpm.coef, _xlpm.K + _xlpm.Knewgain / (_xlpm.Knewscale + _xlpm.nbparties),
  IF(F175="",
    "",
    _xlpm.coef * (F175-F176))
)</f>
        <v/>
      </c>
      <c r="G177" cm="1">
        <f t="array" ref="G177">_xlfn.LET(
  _xlpm.K, Constantes!$B$3,
  _xlpm.Knewgain, Constantes!$B$4,
  _xlpm.Knewscale, Constantes!$B$5,
  _xlpm.ptstables, INDEX(G:G, _xlfn.SEQUENCE(COUNTA($C$2:$C177), 1, 3, 4)),
  _xlpm.nbparties, COUNTA(_xlfn._xlws.FILTER(_xlpm.ptstables, _xlpm.ptstables &lt;&gt; "")),
  _xlpm.coef, _xlpm.K + _xlpm.Knewgain / (_xlpm.Knewscale + _xlpm.nbparties),
  IF(G175="",
    "",
    _xlpm.coef * (G175-G176))
)</f>
        <v>14.528296561298912</v>
      </c>
      <c r="H177" cm="1">
        <f t="array" ref="H177">_xlfn.LET(
  _xlpm.K, Constantes!$B$3,
  _xlpm.Knewgain, Constantes!$B$4,
  _xlpm.Knewscale, Constantes!$B$5,
  _xlpm.ptstables, INDEX(H:H, _xlfn.SEQUENCE(COUNTA($C$2:$C177), 1, 3, 4)),
  _xlpm.nbparties, COUNTA(_xlfn._xlws.FILTER(_xlpm.ptstables, _xlpm.ptstables &lt;&gt; "")),
  _xlpm.coef, _xlpm.K + _xlpm.Knewgain / (_xlpm.Knewscale + _xlpm.nbparties),
  IF(H175="",
    "",
    _xlpm.coef * (H175-H176))
)</f>
        <v>-10.026300632137309</v>
      </c>
      <c r="I177" cm="1">
        <f t="array" ref="I177">_xlfn.LET(
  _xlpm.K, Constantes!$B$3,
  _xlpm.Knewgain, Constantes!$B$4,
  _xlpm.Knewscale, Constantes!$B$5,
  _xlpm.ptstables, INDEX(I:I, _xlfn.SEQUENCE(COUNTA($C$2:$C177), 1, 3, 4)),
  _xlpm.nbparties, COUNTA(_xlfn._xlws.FILTER(_xlpm.ptstables, _xlpm.ptstables &lt;&gt; "")),
  _xlpm.coef, _xlpm.K + _xlpm.Knewgain / (_xlpm.Knewscale + _xlpm.nbparties),
  IF(I175="",
    "",
    _xlpm.coef * (I175-I176))
)</f>
        <v>-43.894185116376192</v>
      </c>
      <c r="J177" t="str" cm="1">
        <f t="array" ref="J177">_xlfn.LET(
  _xlpm.K, Constantes!$B$3,
  _xlpm.Knewgain, Constantes!$B$4,
  _xlpm.Knewscale, Constantes!$B$5,
  _xlpm.ptstables, INDEX(J:J, _xlfn.SEQUENCE(COUNTA($C$2:$C177), 1, 3, 4)),
  _xlpm.nbparties, COUNTA(_xlfn._xlws.FILTER(_xlpm.ptstables, _xlpm.ptstables &lt;&gt; "")),
  _xlpm.coef, _xlpm.K + _xlpm.Knewgain / (_xlpm.Knewscale + _xlpm.nbparties),
  IF(J175="",
    "",
    _xlpm.coef * (J175-J176))
)</f>
        <v/>
      </c>
      <c r="K177" t="str" cm="1">
        <f t="array" ref="K177">_xlfn.LET(
  _xlpm.K, Constantes!$B$3,
  _xlpm.Knewgain, Constantes!$B$4,
  _xlpm.Knewscale, Constantes!$B$5,
  _xlpm.ptstables, INDEX(K:K, _xlfn.SEQUENCE(COUNTA($C$2:$C177), 1, 3, 4)),
  _xlpm.nbparties, COUNTA(_xlfn._xlws.FILTER(_xlpm.ptstables, _xlpm.ptstables &lt;&gt; "")),
  _xlpm.coef, _xlpm.K + _xlpm.Knewgain / (_xlpm.Knewscale + _xlpm.nbparties),
  IF(K175="",
    "",
    _xlpm.coef * (K175-K176))
)</f>
        <v/>
      </c>
      <c r="L177" t="str" cm="1">
        <f t="array" ref="L177">_xlfn.LET(
  _xlpm.K, Constantes!$B$3,
  _xlpm.Knewgain, Constantes!$B$4,
  _xlpm.Knewscale, Constantes!$B$5,
  _xlpm.ptstables, INDEX(L:L, _xlfn.SEQUENCE(COUNTA($C$2:$C177), 1, 3, 4)),
  _xlpm.nbparties, COUNTA(_xlfn._xlws.FILTER(_xlpm.ptstables, _xlpm.ptstables &lt;&gt; "")),
  _xlpm.coef, _xlpm.K + _xlpm.Knewgain / (_xlpm.Knewscale + _xlpm.nbparties),
  IF(L175="",
    "",
    _xlpm.coef * (L175-L176))
)</f>
        <v/>
      </c>
      <c r="M177" t="str" cm="1">
        <f t="array" ref="M177">_xlfn.LET(
  _xlpm.K, Constantes!$B$3,
  _xlpm.Knewgain, Constantes!$B$4,
  _xlpm.Knewscale, Constantes!$B$5,
  _xlpm.ptstables, INDEX(M:M, _xlfn.SEQUENCE(COUNTA($C$2:$C177), 1, 3, 4)),
  _xlpm.nbparties, COUNTA(_xlfn._xlws.FILTER(_xlpm.ptstables, _xlpm.ptstables &lt;&gt; "")),
  _xlpm.coef, _xlpm.K + _xlpm.Knewgain / (_xlpm.Knewscale + _xlpm.nbparties),
  IF(M175="",
    "",
    _xlpm.coef * (M175-M176))
)</f>
        <v/>
      </c>
      <c r="N177" t="str" cm="1">
        <f t="array" ref="N177">_xlfn.LET(
  _xlpm.K, Constantes!$B$3,
  _xlpm.Knewgain, Constantes!$B$4,
  _xlpm.Knewscale, Constantes!$B$5,
  _xlpm.ptstables, INDEX(N:N, _xlfn.SEQUENCE(COUNTA($C$2:$C177), 1, 3, 4)),
  _xlpm.nbparties, COUNTA(_xlfn._xlws.FILTER(_xlpm.ptstables, _xlpm.ptstables &lt;&gt; "")),
  _xlpm.coef, _xlpm.K + _xlpm.Knewgain / (_xlpm.Knewscale + _xlpm.nbparties),
  IF(N175="",
    "",
    _xlpm.coef * (N175-N176))
)</f>
        <v/>
      </c>
      <c r="O177" t="str" cm="1">
        <f t="array" ref="O177">_xlfn.LET(
  _xlpm.K, Constantes!$B$3,
  _xlpm.Knewgain, Constantes!$B$4,
  _xlpm.Knewscale, Constantes!$B$5,
  _xlpm.ptstables, INDEX(O:O, _xlfn.SEQUENCE(COUNTA($C$2:$C177), 1, 3, 4)),
  _xlpm.nbparties, COUNTA(_xlfn._xlws.FILTER(_xlpm.ptstables, _xlpm.ptstables &lt;&gt; "")),
  _xlpm.coef, _xlpm.K + _xlpm.Knewgain / (_xlpm.Knewscale + _xlpm.nbparties),
  IF(O175="",
    "",
    _xlpm.coef * (O175-O176))
)</f>
        <v/>
      </c>
      <c r="P177" t="str" cm="1">
        <f t="array" ref="P177">_xlfn.LET(
  _xlpm.K, Constantes!$B$3,
  _xlpm.Knewgain, Constantes!$B$4,
  _xlpm.Knewscale, Constantes!$B$5,
  _xlpm.ptstables, INDEX(P:P, _xlfn.SEQUENCE(COUNTA($C$2:$C177), 1, 3, 4)),
  _xlpm.nbparties, COUNTA(_xlfn._xlws.FILTER(_xlpm.ptstables, _xlpm.ptstables &lt;&gt; "")),
  _xlpm.coef, _xlpm.K + _xlpm.Knewgain / (_xlpm.Knewscale + _xlpm.nbparties),
  IF(P175="",
    "",
    _xlpm.coef * (P175-P176))
)</f>
        <v/>
      </c>
      <c r="Q177" t="str" cm="1">
        <f t="array" ref="Q177">_xlfn.LET(
  _xlpm.K, Constantes!$B$3,
  _xlpm.Knewgain, Constantes!$B$4,
  _xlpm.Knewscale, Constantes!$B$5,
  _xlpm.ptstables, INDEX(Q:Q, _xlfn.SEQUENCE(COUNTA($C$2:$C177), 1, 3, 4)),
  _xlpm.nbparties, COUNTA(_xlfn._xlws.FILTER(_xlpm.ptstables, _xlpm.ptstables &lt;&gt; "")),
  _xlpm.coef, _xlpm.K + _xlpm.Knewgain / (_xlpm.Knewscale + _xlpm.nbparties),
  IF(Q175="",
    "",
    _xlpm.coef * (Q175-Q176))
)</f>
        <v/>
      </c>
      <c r="R177" t="str" cm="1">
        <f t="array" ref="R177">_xlfn.LET(
  _xlpm.K, Constantes!$B$3,
  _xlpm.Knewgain, Constantes!$B$4,
  _xlpm.Knewscale, Constantes!$B$5,
  _xlpm.ptstables, INDEX(R:R, _xlfn.SEQUENCE(COUNTA($C$2:$C177), 1, 3, 4)),
  _xlpm.nbparties, COUNTA(_xlfn._xlws.FILTER(_xlpm.ptstables, _xlpm.ptstables &lt;&gt; "")),
  _xlpm.coef, _xlpm.K + _xlpm.Knewgain / (_xlpm.Knewscale + _xlpm.nbparties),
  IF(R175="",
    "",
    _xlpm.coef * (R175-R176))
)</f>
        <v/>
      </c>
      <c r="S177" t="str" cm="1">
        <f t="array" ref="S177">_xlfn.LET(
  _xlpm.K, Constantes!$B$3,
  _xlpm.Knewgain, Constantes!$B$4,
  _xlpm.Knewscale, Constantes!$B$5,
  _xlpm.ptstables, INDEX(S:S, _xlfn.SEQUENCE(COUNTA($C$2:$C177), 1, 3, 4)),
  _xlpm.nbparties, COUNTA(_xlfn._xlws.FILTER(_xlpm.ptstables, _xlpm.ptstables &lt;&gt; "")),
  _xlpm.coef, _xlpm.K + _xlpm.Knewgain / (_xlpm.Knewscale + _xlpm.nbparties),
  IF(S175="",
    "",
    _xlpm.coef * (S175-S176))
)</f>
        <v/>
      </c>
      <c r="T177" t="str" cm="1">
        <f t="array" ref="T177">_xlfn.LET(
  _xlpm.K, Constantes!$B$3,
  _xlpm.Knewgain, Constantes!$B$4,
  _xlpm.Knewscale, Constantes!$B$5,
  _xlpm.ptstables, INDEX(T:T, _xlfn.SEQUENCE(COUNTA($C$2:$C177), 1, 3, 4)),
  _xlpm.nbparties, COUNTA(_xlfn._xlws.FILTER(_xlpm.ptstables, _xlpm.ptstables &lt;&gt; "")),
  _xlpm.coef, _xlpm.K + _xlpm.Knewgain / (_xlpm.Knewscale + _xlpm.nbparties),
  IF(T175="",
    "",
    _xlpm.coef * (T175-T176))
)</f>
        <v/>
      </c>
      <c r="U177" cm="1">
        <f t="array" ref="U177">_xlfn.LET(
  _xlpm.K, Constantes!$B$3,
  _xlpm.Knewgain, Constantes!$B$4,
  _xlpm.Knewscale, Constantes!$B$5,
  _xlpm.ptstables, INDEX(U:U, _xlfn.SEQUENCE(COUNTA($C$2:$C177), 1, 3, 4)),
  _xlpm.nbparties, COUNTA(_xlfn._xlws.FILTER(_xlpm.ptstables, _xlpm.ptstables &lt;&gt; "")),
  _xlpm.coef, _xlpm.K + _xlpm.Knewgain / (_xlpm.Knewscale + _xlpm.nbparties),
  IF(U175="",
    "",
    _xlpm.coef * (U175-U176))
)</f>
        <v>32.087334189030052</v>
      </c>
      <c r="V177" t="str" cm="1">
        <f t="array" ref="V177">_xlfn.LET(
  _xlpm.K, Constantes!$B$3,
  _xlpm.Knewgain, Constantes!$B$4,
  _xlpm.Knewscale, Constantes!$B$5,
  _xlpm.ptstables, INDEX(V:V, _xlfn.SEQUENCE(COUNTA($C$2:$C177), 1, 3, 4)),
  _xlpm.nbparties, COUNTA(_xlfn._xlws.FILTER(_xlpm.ptstables, _xlpm.ptstables &lt;&gt; "")),
  _xlpm.coef, _xlpm.K + _xlpm.Knewgain / (_xlpm.Knewscale + _xlpm.nbparties),
  IF(V175="",
    "",
    _xlpm.coef * (V175-V176))
)</f>
        <v/>
      </c>
      <c r="W177" t="str" cm="1">
        <f t="array" ref="W177">_xlfn.LET(
  _xlpm.K, Constantes!$B$3,
  _xlpm.Knewgain, Constantes!$B$4,
  _xlpm.Knewscale, Constantes!$B$5,
  _xlpm.ptstables, INDEX(W:W, _xlfn.SEQUENCE(COUNTA($C$2:$C177), 1, 3, 4)),
  _xlpm.nbparties, COUNTA(_xlfn._xlws.FILTER(_xlpm.ptstables, _xlpm.ptstables &lt;&gt; "")),
  _xlpm.coef, _xlpm.K + _xlpm.Knewgain / (_xlpm.Knewscale + _xlpm.nbparties),
  IF(W175="",
    "",
    _xlpm.coef * (W175-W176))
)</f>
        <v/>
      </c>
      <c r="X177" t="str" cm="1">
        <f t="array" ref="X177">_xlfn.LET(
  _xlpm.K, Constantes!$B$3,
  _xlpm.Knewgain, Constantes!$B$4,
  _xlpm.Knewscale, Constantes!$B$5,
  _xlpm.ptstables, INDEX(X:X, _xlfn.SEQUENCE(COUNTA($C$2:$C177), 1, 3, 4)),
  _xlpm.nbparties, COUNTA(_xlfn._xlws.FILTER(_xlpm.ptstables, _xlpm.ptstables &lt;&gt; "")),
  _xlpm.coef, _xlpm.K + _xlpm.Knewgain / (_xlpm.Knewscale + _xlpm.nbparties),
  IF(X175="",
    "",
    _xlpm.coef * (X175-X176))
)</f>
        <v/>
      </c>
      <c r="Y177" t="str" cm="1">
        <f t="array" ref="Y177">_xlfn.LET(
  _xlpm.K, Constantes!$B$3,
  _xlpm.Knewgain, Constantes!$B$4,
  _xlpm.Knewscale, Constantes!$B$5,
  _xlpm.ptstables, INDEX(Y:Y, _xlfn.SEQUENCE(COUNTA($C$2:$C177), 1, 3, 4)),
  _xlpm.nbparties, COUNTA(_xlfn._xlws.FILTER(_xlpm.ptstables, _xlpm.ptstables &lt;&gt; "")),
  _xlpm.coef, _xlpm.K + _xlpm.Knewgain / (_xlpm.Knewscale + _xlpm.nbparties),
  IF(Y175="",
    "",
    _xlpm.coef * (Y175-Y176))
)</f>
        <v/>
      </c>
      <c r="Z177" t="str" cm="1">
        <f t="array" ref="Z177">_xlfn.LET(
  _xlpm.K, Constantes!$B$3,
  _xlpm.Knewgain, Constantes!$B$4,
  _xlpm.Knewscale, Constantes!$B$5,
  _xlpm.ptstables, INDEX(Z:Z, _xlfn.SEQUENCE(COUNTA($C$2:$C177), 1, 3, 4)),
  _xlpm.nbparties, COUNTA(_xlfn._xlws.FILTER(_xlpm.ptstables, _xlpm.ptstables &lt;&gt; "")),
  _xlpm.coef, _xlpm.K + _xlpm.Knewgain / (_xlpm.Knewscale + _xlpm.nbparties),
  IF(Z175="",
    "",
    _xlpm.coef * (Z175-Z176))
)</f>
        <v/>
      </c>
      <c r="AA177" t="str" cm="1">
        <f t="array" ref="AA177">_xlfn.LET(
  _xlpm.K, Constantes!$B$3,
  _xlpm.Knewgain, Constantes!$B$4,
  _xlpm.Knewscale, Constantes!$B$5,
  _xlpm.ptstables, INDEX(AA:AA, _xlfn.SEQUENCE(COUNTA($C$2:$C177), 1, 3, 4)),
  _xlpm.nbparties, COUNTA(_xlfn._xlws.FILTER(_xlpm.ptstables, _xlpm.ptstables &lt;&gt; "")),
  _xlpm.coef, _xlpm.K + _xlpm.Knewgain / (_xlpm.Knewscale + _xlpm.nbparties),
  IF(AA175="",
    "",
    _xlpm.coef * (AA175-AA176))
)</f>
        <v/>
      </c>
      <c r="AB177" t="str" cm="1">
        <f t="array" ref="AB177">_xlfn.LET(
  _xlpm.K, Constantes!$B$3,
  _xlpm.Knewgain, Constantes!$B$4,
  _xlpm.Knewscale, Constantes!$B$5,
  _xlpm.ptstables, INDEX(AB:AB, _xlfn.SEQUENCE(COUNTA($C$2:$C177), 1, 3, 4)),
  _xlpm.nbparties, COUNTA(_xlfn._xlws.FILTER(_xlpm.ptstables, _xlpm.ptstables &lt;&gt; "")),
  _xlpm.coef, _xlpm.K + _xlpm.Knewgain / (_xlpm.Knewscale + _xlpm.nbparties),
  IF(AB175="",
    "",
    _xlpm.coef * (AB175-AB176))
)</f>
        <v/>
      </c>
      <c r="AC177" t="str" cm="1">
        <f t="array" ref="AC177">_xlfn.LET(
  _xlpm.K, Constantes!$B$3,
  _xlpm.Knewgain, Constantes!$B$4,
  _xlpm.Knewscale, Constantes!$B$5,
  _xlpm.ptstables, INDEX(AC:AC, _xlfn.SEQUENCE(COUNTA($C$2:$C177), 1, 3, 4)),
  _xlpm.nbparties, COUNTA(_xlfn._xlws.FILTER(_xlpm.ptstables, _xlpm.ptstables &lt;&gt; "")),
  _xlpm.coef, _xlpm.K + _xlpm.Knewgain / (_xlpm.Knewscale + _xlpm.nbparties),
  IF(AC175="",
    "",
    _xlpm.coef * (AC175-AC176))
)</f>
        <v/>
      </c>
      <c r="AD177" t="str" cm="1">
        <f t="array" ref="AD177">_xlfn.LET(
  _xlpm.K, Constantes!$B$3,
  _xlpm.Knewgain, Constantes!$B$4,
  _xlpm.Knewscale, Constantes!$B$5,
  _xlpm.ptstables, INDEX(AD:AD, _xlfn.SEQUENCE(COUNTA($C$2:$C177), 1, 3, 4)),
  _xlpm.nbparties, COUNTA(_xlfn._xlws.FILTER(_xlpm.ptstables, _xlpm.ptstables &lt;&gt; "")),
  _xlpm.coef, _xlpm.K + _xlpm.Knewgain / (_xlpm.Knewscale + _xlpm.nbparties),
  IF(AD175="",
    "",
    _xlpm.coef * (AD175-AD176))
)</f>
        <v/>
      </c>
      <c r="AE177" t="str" cm="1">
        <f t="array" ref="AE177">_xlfn.LET(
  _xlpm.K, Constantes!$B$3,
  _xlpm.Knewgain, Constantes!$B$4,
  _xlpm.Knewscale, Constantes!$B$5,
  _xlpm.ptstables, INDEX(AE:AE, _xlfn.SEQUENCE(COUNTA($C$2:$C177), 1, 3, 4)),
  _xlpm.nbparties, COUNTA(_xlfn._xlws.FILTER(_xlpm.ptstables, _xlpm.ptstables &lt;&gt; "")),
  _xlpm.coef, _xlpm.K + _xlpm.Knewgain / (_xlpm.Knewscale + _xlpm.nbparties),
  IF(AE175="",
    "",
    _xlpm.coef * (AE175-AE176))
)</f>
        <v/>
      </c>
      <c r="AF177" t="str" cm="1">
        <f t="array" ref="AF177">_xlfn.LET(
  _xlpm.K, Constantes!$B$3,
  _xlpm.Knewgain, Constantes!$B$4,
  _xlpm.Knewscale, Constantes!$B$5,
  _xlpm.ptstables, INDEX(AF:AF, _xlfn.SEQUENCE(COUNTA($C$2:$C177), 1, 3, 4)),
  _xlpm.nbparties, COUNTA(_xlfn._xlws.FILTER(_xlpm.ptstables, _xlpm.ptstables &lt;&gt; "")),
  _xlpm.coef, _xlpm.K + _xlpm.Knewgain / (_xlpm.Knewscale + _xlpm.nbparties),
  IF(AF175="",
    "",
    _xlpm.coef * (AF175-AF176))
)</f>
        <v/>
      </c>
      <c r="AG177" t="str" cm="1">
        <f t="array" ref="AG177">_xlfn.LET(
  _xlpm.K, Constantes!$B$3,
  _xlpm.Knewgain, Constantes!$B$4,
  _xlpm.Knewscale, Constantes!$B$5,
  _xlpm.ptstables, INDEX(AG:AG, _xlfn.SEQUENCE(COUNTA($C$2:$C177), 1, 3, 4)),
  _xlpm.nbparties, COUNTA(_xlfn._xlws.FILTER(_xlpm.ptstables, _xlpm.ptstables &lt;&gt; "")),
  _xlpm.coef, _xlpm.K + _xlpm.Knewgain / (_xlpm.Knewscale + _xlpm.nbparties),
  IF(AG175="",
    "",
    _xlpm.coef * (AG175-AG176))
)</f>
        <v/>
      </c>
      <c r="AH177" t="str" cm="1">
        <f t="array" ref="AH177">_xlfn.LET(
  _xlpm.K, Constantes!$B$3,
  _xlpm.Knewgain, Constantes!$B$4,
  _xlpm.Knewscale, Constantes!$B$5,
  _xlpm.ptstables, INDEX(AH:AH, _xlfn.SEQUENCE(COUNTA($C$2:$C177), 1, 3, 4)),
  _xlpm.nbparties, COUNTA(_xlfn._xlws.FILTER(_xlpm.ptstables, _xlpm.ptstables &lt;&gt; "")),
  _xlpm.coef, _xlpm.K + _xlpm.Knewgain / (_xlpm.Knewscale + _xlpm.nbparties),
  IF(AH175="",
    "",
    _xlpm.coef * (AH175-AH176))
)</f>
        <v/>
      </c>
      <c r="AI177" t="str" cm="1">
        <f t="array" ref="AI177">_xlfn.LET(
  _xlpm.K, Constantes!$B$3,
  _xlpm.Knewgain, Constantes!$B$4,
  _xlpm.Knewscale, Constantes!$B$5,
  _xlpm.ptstables, INDEX(AI:AI, _xlfn.SEQUENCE(COUNTA($C$2:$C177), 1, 3, 4)),
  _xlpm.nbparties, COUNTA(_xlfn._xlws.FILTER(_xlpm.ptstables, _xlpm.ptstables &lt;&gt; "")),
  _xlpm.coef, _xlpm.K + _xlpm.Knewgain / (_xlpm.Knewscale + _xlpm.nbparties),
  IF(AI175="",
    "",
    _xlpm.coef * (AI175-AI176))
)</f>
        <v/>
      </c>
      <c r="AJ177" t="str" cm="1">
        <f t="array" ref="AJ177">_xlfn.LET(
  _xlpm.K, Constantes!$B$3,
  _xlpm.Knewgain, Constantes!$B$4,
  _xlpm.Knewscale, Constantes!$B$5,
  _xlpm.ptstables, INDEX(AJ:AJ, _xlfn.SEQUENCE(COUNTA($C$2:$C177), 1, 3, 4)),
  _xlpm.nbparties, COUNTA(_xlfn._xlws.FILTER(_xlpm.ptstables, _xlpm.ptstables &lt;&gt; "")),
  _xlpm.coef, _xlpm.K + _xlpm.Knewgain / (_xlpm.Knewscale + _xlpm.nbparties),
  IF(AJ175="",
    "",
    _xlpm.coef * (AJ175-AJ176))
)</f>
        <v/>
      </c>
      <c r="AK177" t="str" cm="1">
        <f t="array" ref="AK177">_xlfn.LET(
  _xlpm.K, Constantes!$B$3,
  _xlpm.Knewgain, Constantes!$B$4,
  _xlpm.Knewscale, Constantes!$B$5,
  _xlpm.ptstables, INDEX(AK:AK, _xlfn.SEQUENCE(COUNTA($C$2:$C177), 1, 3, 4)),
  _xlpm.nbparties, COUNTA(_xlfn._xlws.FILTER(_xlpm.ptstables, _xlpm.ptstables &lt;&gt; "")),
  _xlpm.coef, _xlpm.K + _xlpm.Knewgain / (_xlpm.Knewscale + _xlpm.nbparties),
  IF(AK175="",
    "",
    _xlpm.coef * (AK175-AK176))
)</f>
        <v/>
      </c>
      <c r="AL177" t="str" cm="1">
        <f t="array" ref="AL177">_xlfn.LET(
  _xlpm.K, Constantes!$B$3,
  _xlpm.Knewgain, Constantes!$B$4,
  _xlpm.Knewscale, Constantes!$B$5,
  _xlpm.ptstables, INDEX(AL:AL, _xlfn.SEQUENCE(COUNTA($C$2:$C177), 1, 3, 4)),
  _xlpm.nbparties, COUNTA(_xlfn._xlws.FILTER(_xlpm.ptstables, _xlpm.ptstables &lt;&gt; "")),
  _xlpm.coef, _xlpm.K + _xlpm.Knewgain / (_xlpm.Knewscale + _xlpm.nbparties),
  IF(AL175="",
    "",
    _xlpm.coef * (AL175-AL176))
)</f>
        <v/>
      </c>
      <c r="AM177" t="str" cm="1">
        <f t="array" ref="AM177">_xlfn.LET(
  _xlpm.K, Constantes!$B$3,
  _xlpm.Knewgain, Constantes!$B$4,
  _xlpm.Knewscale, Constantes!$B$5,
  _xlpm.ptstables, INDEX(AM:AM, _xlfn.SEQUENCE(COUNTA($C$2:$C177), 1, 3, 4)),
  _xlpm.nbparties, COUNTA(_xlfn._xlws.FILTER(_xlpm.ptstables, _xlpm.ptstables &lt;&gt; "")),
  _xlpm.coef, _xlpm.K + _xlpm.Knewgain / (_xlpm.Knewscale + _xlpm.nbparties),
  IF(AM175="",
    "",
    _xlpm.coef * (AM175-AM176))
)</f>
        <v/>
      </c>
    </row>
    <row r="178" spans="1:39" x14ac:dyDescent="0.25">
      <c r="A178" t="s">
        <v>14</v>
      </c>
      <c r="B178" t="str" cm="1">
        <f t="array" ref="B17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45</v>
      </c>
      <c r="C178" s="2" cm="1">
        <f t="array" ref="C178">IF(B178="","",
  INDEX(Donnees!F:F, MATCH(B178, Donnees!F:F, 0)+1))</f>
        <v>45931.77847222222</v>
      </c>
      <c r="D178">
        <f t="shared" ref="D178:AM178" si="52">D174+IF(D177="",0,D177)</f>
        <v>1071.9164860500034</v>
      </c>
      <c r="E178">
        <f t="shared" si="52"/>
        <v>1105.3750854597461</v>
      </c>
      <c r="F178">
        <f t="shared" si="52"/>
        <v>839.76438398955065</v>
      </c>
      <c r="G178">
        <f t="shared" si="52"/>
        <v>1054.9178408730534</v>
      </c>
      <c r="H178">
        <f t="shared" si="52"/>
        <v>1033.8282013861956</v>
      </c>
      <c r="I178">
        <f t="shared" si="52"/>
        <v>1041.0362987468684</v>
      </c>
      <c r="J178">
        <f t="shared" si="52"/>
        <v>938.49433816478961</v>
      </c>
      <c r="K178">
        <f t="shared" si="52"/>
        <v>907.51653081539087</v>
      </c>
      <c r="L178">
        <f t="shared" si="52"/>
        <v>801.48942635099877</v>
      </c>
      <c r="M178">
        <f t="shared" si="52"/>
        <v>913.41986361738122</v>
      </c>
      <c r="N178">
        <f t="shared" si="52"/>
        <v>907.32507465255833</v>
      </c>
      <c r="O178">
        <f t="shared" si="52"/>
        <v>1005.4306950475848</v>
      </c>
      <c r="P178">
        <f t="shared" si="52"/>
        <v>1005.4229961505649</v>
      </c>
      <c r="Q178">
        <f t="shared" si="52"/>
        <v>1106.4752332192195</v>
      </c>
      <c r="R178">
        <f t="shared" si="52"/>
        <v>1170.8504883222886</v>
      </c>
      <c r="S178">
        <f t="shared" si="52"/>
        <v>861.96896943211959</v>
      </c>
      <c r="T178">
        <f t="shared" si="52"/>
        <v>1135.2782658680615</v>
      </c>
      <c r="U178">
        <f t="shared" si="52"/>
        <v>1120.7950883654883</v>
      </c>
      <c r="V178">
        <f t="shared" si="52"/>
        <v>961.58818235691967</v>
      </c>
      <c r="W178">
        <f t="shared" si="52"/>
        <v>936.79085942937002</v>
      </c>
      <c r="X178">
        <f t="shared" si="52"/>
        <v>851.6115293878712</v>
      </c>
      <c r="Y178">
        <f t="shared" si="52"/>
        <v>984.68205603174124</v>
      </c>
      <c r="Z178">
        <f t="shared" si="52"/>
        <v>991.11904139672549</v>
      </c>
      <c r="AA178">
        <f t="shared" si="52"/>
        <v>980.56756855165884</v>
      </c>
      <c r="AB178">
        <f t="shared" si="52"/>
        <v>988.35669729544747</v>
      </c>
      <c r="AC178">
        <f t="shared" si="52"/>
        <v>1046.8071957095806</v>
      </c>
      <c r="AD178">
        <f t="shared" si="52"/>
        <v>974.01499999999999</v>
      </c>
      <c r="AE178">
        <f t="shared" si="52"/>
        <v>1011.415</v>
      </c>
      <c r="AF178">
        <f t="shared" si="52"/>
        <v>1031.1199999999999</v>
      </c>
      <c r="AG178">
        <f t="shared" si="52"/>
        <v>1001.0350000000001</v>
      </c>
      <c r="AH178">
        <f t="shared" si="52"/>
        <v>994.44</v>
      </c>
      <c r="AI178">
        <f t="shared" si="52"/>
        <v>1000</v>
      </c>
      <c r="AJ178">
        <f t="shared" si="52"/>
        <v>957.2</v>
      </c>
      <c r="AK178">
        <f t="shared" si="52"/>
        <v>1000</v>
      </c>
      <c r="AL178">
        <f t="shared" si="52"/>
        <v>1055.9299999999998</v>
      </c>
      <c r="AM178">
        <f t="shared" si="52"/>
        <v>1000</v>
      </c>
    </row>
    <row r="179" spans="1:39" x14ac:dyDescent="0.25">
      <c r="A179" t="s">
        <v>21</v>
      </c>
      <c r="D179" t="str" cm="1">
        <f t="array" ref="D179">IFERROR(
  _xlfn.LET(
    _xlpm.ligpartie, MATCH($B178, Donnees!$F:$F, 0),
    _xlpm.joueurs, INDEX(Donnees!$A:$Z, _xlpm.ligpartie+1, _xlfn.SEQUENCE(1, 4, 2)),
    INDEX(
      Donnees!$A:$Z,
      _xlpm.ligpartie + 3,
      MATCH(D$1, _xlpm.joueurs, 0) + 1
    )
  ), ""
)</f>
        <v/>
      </c>
      <c r="E179" t="str" cm="1">
        <f t="array" ref="E179">IFERROR(
  _xlfn.LET(
    _xlpm.ligpartie, MATCH($B178, Donnees!$F:$F, 0),
    _xlpm.joueurs, INDEX(Donnees!$A:$Z, _xlpm.ligpartie+1, _xlfn.SEQUENCE(1, 4, 2)),
    INDEX(
      Donnees!$A:$Z,
      _xlpm.ligpartie + 3,
      MATCH(E$1, _xlpm.joueurs, 0) + 1
    )
  ), ""
)</f>
        <v/>
      </c>
      <c r="F179" t="str" cm="1">
        <f t="array" ref="F179">IFERROR(
  _xlfn.LET(
    _xlpm.ligpartie, MATCH($B178, Donnees!$F:$F, 0),
    _xlpm.joueurs, INDEX(Donnees!$A:$Z, _xlpm.ligpartie+1, _xlfn.SEQUENCE(1, 4, 2)),
    INDEX(
      Donnees!$A:$Z,
      _xlpm.ligpartie + 3,
      MATCH(F$1, _xlpm.joueurs, 0) + 1
    )
  ), ""
)</f>
        <v/>
      </c>
      <c r="G179" cm="1">
        <f t="array" ref="G179">IFERROR(
  _xlfn.LET(
    _xlpm.ligpartie, MATCH($B178, Donnees!$F:$F, 0),
    _xlpm.joueurs, INDEX(Donnees!$A:$Z, _xlpm.ligpartie+1, _xlfn.SEQUENCE(1, 4, 2)),
    INDEX(
      Donnees!$A:$Z,
      _xlpm.ligpartie + 3,
      MATCH(G$1, _xlpm.joueurs, 0) + 1
    )
  ), ""
)</f>
        <v>2</v>
      </c>
      <c r="H179" t="str" cm="1">
        <f t="array" ref="H179">IFERROR(
  _xlfn.LET(
    _xlpm.ligpartie, MATCH($B178, Donnees!$F:$F, 0),
    _xlpm.joueurs, INDEX(Donnees!$A:$Z, _xlpm.ligpartie+1, _xlfn.SEQUENCE(1, 4, 2)),
    INDEX(
      Donnees!$A:$Z,
      _xlpm.ligpartie + 3,
      MATCH(H$1, _xlpm.joueurs, 0) + 1
    )
  ), ""
)</f>
        <v/>
      </c>
      <c r="I179" cm="1">
        <f t="array" ref="I179">IFERROR(
  _xlfn.LET(
    _xlpm.ligpartie, MATCH($B178, Donnees!$F:$F, 0),
    _xlpm.joueurs, INDEX(Donnees!$A:$Z, _xlpm.ligpartie+1, _xlfn.SEQUENCE(1, 4, 2)),
    INDEX(
      Donnees!$A:$Z,
      _xlpm.ligpartie + 3,
      MATCH(I$1, _xlpm.joueurs, 0) + 1
    )
  ), ""
)</f>
        <v>1</v>
      </c>
      <c r="J179" t="str" cm="1">
        <f t="array" ref="J179">IFERROR(
  _xlfn.LET(
    _xlpm.ligpartie, MATCH($B178, Donnees!$F:$F, 0),
    _xlpm.joueurs, INDEX(Donnees!$A:$Z, _xlpm.ligpartie+1, _xlfn.SEQUENCE(1, 4, 2)),
    INDEX(
      Donnees!$A:$Z,
      _xlpm.ligpartie + 3,
      MATCH(J$1, _xlpm.joueurs, 0) + 1
    )
  ), ""
)</f>
        <v/>
      </c>
      <c r="K179" t="str" cm="1">
        <f t="array" ref="K179">IFERROR(
  _xlfn.LET(
    _xlpm.ligpartie, MATCH($B178, Donnees!$F:$F, 0),
    _xlpm.joueurs, INDEX(Donnees!$A:$Z, _xlpm.ligpartie+1, _xlfn.SEQUENCE(1, 4, 2)),
    INDEX(
      Donnees!$A:$Z,
      _xlpm.ligpartie + 3,
      MATCH(K$1, _xlpm.joueurs, 0) + 1
    )
  ), ""
)</f>
        <v/>
      </c>
      <c r="L179" t="str" cm="1">
        <f t="array" ref="L179">IFERROR(
  _xlfn.LET(
    _xlpm.ligpartie, MATCH($B178, Donnees!$F:$F, 0),
    _xlpm.joueurs, INDEX(Donnees!$A:$Z, _xlpm.ligpartie+1, _xlfn.SEQUENCE(1, 4, 2)),
    INDEX(
      Donnees!$A:$Z,
      _xlpm.ligpartie + 3,
      MATCH(L$1, _xlpm.joueurs, 0) + 1
    )
  ), ""
)</f>
        <v/>
      </c>
      <c r="M179" t="str" cm="1">
        <f t="array" ref="M179">IFERROR(
  _xlfn.LET(
    _xlpm.ligpartie, MATCH($B178, Donnees!$F:$F, 0),
    _xlpm.joueurs, INDEX(Donnees!$A:$Z, _xlpm.ligpartie+1, _xlfn.SEQUENCE(1, 4, 2)),
    INDEX(
      Donnees!$A:$Z,
      _xlpm.ligpartie + 3,
      MATCH(M$1, _xlpm.joueurs, 0) + 1
    )
  ), ""
)</f>
        <v/>
      </c>
      <c r="N179" t="str" cm="1">
        <f t="array" ref="N179">IFERROR(
  _xlfn.LET(
    _xlpm.ligpartie, MATCH($B178, Donnees!$F:$F, 0),
    _xlpm.joueurs, INDEX(Donnees!$A:$Z, _xlpm.ligpartie+1, _xlfn.SEQUENCE(1, 4, 2)),
    INDEX(
      Donnees!$A:$Z,
      _xlpm.ligpartie + 3,
      MATCH(N$1, _xlpm.joueurs, 0) + 1
    )
  ), ""
)</f>
        <v/>
      </c>
      <c r="O179" t="str" cm="1">
        <f t="array" ref="O179">IFERROR(
  _xlfn.LET(
    _xlpm.ligpartie, MATCH($B178, Donnees!$F:$F, 0),
    _xlpm.joueurs, INDEX(Donnees!$A:$Z, _xlpm.ligpartie+1, _xlfn.SEQUENCE(1, 4, 2)),
    INDEX(
      Donnees!$A:$Z,
      _xlpm.ligpartie + 3,
      MATCH(O$1, _xlpm.joueurs, 0) + 1
    )
  ), ""
)</f>
        <v/>
      </c>
      <c r="P179" t="str" cm="1">
        <f t="array" ref="P179">IFERROR(
  _xlfn.LET(
    _xlpm.ligpartie, MATCH($B178, Donnees!$F:$F, 0),
    _xlpm.joueurs, INDEX(Donnees!$A:$Z, _xlpm.ligpartie+1, _xlfn.SEQUENCE(1, 4, 2)),
    INDEX(
      Donnees!$A:$Z,
      _xlpm.ligpartie + 3,
      MATCH(P$1, _xlpm.joueurs, 0) + 1
    )
  ), ""
)</f>
        <v/>
      </c>
      <c r="Q179" cm="1">
        <f t="array" ref="Q179">IFERROR(
  _xlfn.LET(
    _xlpm.ligpartie, MATCH($B178, Donnees!$F:$F, 0),
    _xlpm.joueurs, INDEX(Donnees!$A:$Z, _xlpm.ligpartie+1, _xlfn.SEQUENCE(1, 4, 2)),
    INDEX(
      Donnees!$A:$Z,
      _xlpm.ligpartie + 3,
      MATCH(Q$1, _xlpm.joueurs, 0) + 1
    )
  ), ""
)</f>
        <v>0</v>
      </c>
      <c r="R179" t="str" cm="1">
        <f t="array" ref="R179">IFERROR(
  _xlfn.LET(
    _xlpm.ligpartie, MATCH($B178, Donnees!$F:$F, 0),
    _xlpm.joueurs, INDEX(Donnees!$A:$Z, _xlpm.ligpartie+1, _xlfn.SEQUENCE(1, 4, 2)),
    INDEX(
      Donnees!$A:$Z,
      _xlpm.ligpartie + 3,
      MATCH(R$1, _xlpm.joueurs, 0) + 1
    )
  ), ""
)</f>
        <v/>
      </c>
      <c r="S179" t="str" cm="1">
        <f t="array" ref="S179">IFERROR(
  _xlfn.LET(
    _xlpm.ligpartie, MATCH($B178, Donnees!$F:$F, 0),
    _xlpm.joueurs, INDEX(Donnees!$A:$Z, _xlpm.ligpartie+1, _xlfn.SEQUENCE(1, 4, 2)),
    INDEX(
      Donnees!$A:$Z,
      _xlpm.ligpartie + 3,
      MATCH(S$1, _xlpm.joueurs, 0) + 1
    )
  ), ""
)</f>
        <v/>
      </c>
      <c r="T179" t="str" cm="1">
        <f t="array" ref="T179">IFERROR(
  _xlfn.LET(
    _xlpm.ligpartie, MATCH($B178, Donnees!$F:$F, 0),
    _xlpm.joueurs, INDEX(Donnees!$A:$Z, _xlpm.ligpartie+1, _xlfn.SEQUENCE(1, 4, 2)),
    INDEX(
      Donnees!$A:$Z,
      _xlpm.ligpartie + 3,
      MATCH(T$1, _xlpm.joueurs, 0) + 1
    )
  ), ""
)</f>
        <v/>
      </c>
      <c r="U179" cm="1">
        <f t="array" ref="U179">IFERROR(
  _xlfn.LET(
    _xlpm.ligpartie, MATCH($B178, Donnees!$F:$F, 0),
    _xlpm.joueurs, INDEX(Donnees!$A:$Z, _xlpm.ligpartie+1, _xlfn.SEQUENCE(1, 4, 2)),
    INDEX(
      Donnees!$A:$Z,
      _xlpm.ligpartie + 3,
      MATCH(U$1, _xlpm.joueurs, 0) + 1
    )
  ), ""
)</f>
        <v>3</v>
      </c>
      <c r="V179" t="str" cm="1">
        <f t="array" ref="V179">IFERROR(
  _xlfn.LET(
    _xlpm.ligpartie, MATCH($B178, Donnees!$F:$F, 0),
    _xlpm.joueurs, INDEX(Donnees!$A:$Z, _xlpm.ligpartie+1, _xlfn.SEQUENCE(1, 4, 2)),
    INDEX(
      Donnees!$A:$Z,
      _xlpm.ligpartie + 3,
      MATCH(V$1, _xlpm.joueurs, 0) + 1
    )
  ), ""
)</f>
        <v/>
      </c>
      <c r="W179" t="str" cm="1">
        <f t="array" ref="W179">IFERROR(
  _xlfn.LET(
    _xlpm.ligpartie, MATCH($B178, Donnees!$F:$F, 0),
    _xlpm.joueurs, INDEX(Donnees!$A:$Z, _xlpm.ligpartie+1, _xlfn.SEQUENCE(1, 4, 2)),
    INDEX(
      Donnees!$A:$Z,
      _xlpm.ligpartie + 3,
      MATCH(W$1, _xlpm.joueurs, 0) + 1
    )
  ), ""
)</f>
        <v/>
      </c>
      <c r="X179" t="str" cm="1">
        <f t="array" ref="X179">IFERROR(
  _xlfn.LET(
    _xlpm.ligpartie, MATCH($B178, Donnees!$F:$F, 0),
    _xlpm.joueurs, INDEX(Donnees!$A:$Z, _xlpm.ligpartie+1, _xlfn.SEQUENCE(1, 4, 2)),
    INDEX(
      Donnees!$A:$Z,
      _xlpm.ligpartie + 3,
      MATCH(X$1, _xlpm.joueurs, 0) + 1
    )
  ), ""
)</f>
        <v/>
      </c>
      <c r="Y179" t="str" cm="1">
        <f t="array" ref="Y179">IFERROR(
  _xlfn.LET(
    _xlpm.ligpartie, MATCH($B178, Donnees!$F:$F, 0),
    _xlpm.joueurs, INDEX(Donnees!$A:$Z, _xlpm.ligpartie+1, _xlfn.SEQUENCE(1, 4, 2)),
    INDEX(
      Donnees!$A:$Z,
      _xlpm.ligpartie + 3,
      MATCH(Y$1, _xlpm.joueurs, 0) + 1
    )
  ), ""
)</f>
        <v/>
      </c>
      <c r="Z179" t="str" cm="1">
        <f t="array" ref="Z179">IFERROR(
  _xlfn.LET(
    _xlpm.ligpartie, MATCH($B178, Donnees!$F:$F, 0),
    _xlpm.joueurs, INDEX(Donnees!$A:$Z, _xlpm.ligpartie+1, _xlfn.SEQUENCE(1, 4, 2)),
    INDEX(
      Donnees!$A:$Z,
      _xlpm.ligpartie + 3,
      MATCH(Z$1, _xlpm.joueurs, 0) + 1
    )
  ), ""
)</f>
        <v/>
      </c>
      <c r="AA179" t="str" cm="1">
        <f t="array" ref="AA179">IFERROR(
  _xlfn.LET(
    _xlpm.ligpartie, MATCH($B178, Donnees!$F:$F, 0),
    _xlpm.joueurs, INDEX(Donnees!$A:$Z, _xlpm.ligpartie+1, _xlfn.SEQUENCE(1, 4, 2)),
    INDEX(
      Donnees!$A:$Z,
      _xlpm.ligpartie + 3,
      MATCH(AA$1, _xlpm.joueurs, 0) + 1
    )
  ), ""
)</f>
        <v/>
      </c>
      <c r="AB179" t="str" cm="1">
        <f t="array" ref="AB179">IFERROR(
  _xlfn.LET(
    _xlpm.ligpartie, MATCH($B178, Donnees!$F:$F, 0),
    _xlpm.joueurs, INDEX(Donnees!$A:$Z, _xlpm.ligpartie+1, _xlfn.SEQUENCE(1, 4, 2)),
    INDEX(
      Donnees!$A:$Z,
      _xlpm.ligpartie + 3,
      MATCH(AB$1, _xlpm.joueurs, 0) + 1
    )
  ), ""
)</f>
        <v/>
      </c>
      <c r="AC179" t="str" cm="1">
        <f t="array" ref="AC179">IFERROR(
  _xlfn.LET(
    _xlpm.ligpartie, MATCH($B178, Donnees!$F:$F, 0),
    _xlpm.joueurs, INDEX(Donnees!$A:$Z, _xlpm.ligpartie+1, _xlfn.SEQUENCE(1, 4, 2)),
    INDEX(
      Donnees!$A:$Z,
      _xlpm.ligpartie + 3,
      MATCH(AC$1, _xlpm.joueurs, 0) + 1
    )
  ), ""
)</f>
        <v/>
      </c>
      <c r="AD179" t="str" cm="1">
        <f t="array" ref="AD179">IFERROR(
  _xlfn.LET(
    _xlpm.ligpartie, MATCH($B178, Donnees!$F:$F, 0),
    _xlpm.joueurs, INDEX(Donnees!$A:$Z, _xlpm.ligpartie+1, _xlfn.SEQUENCE(1, 4, 2)),
    INDEX(
      Donnees!$A:$Z,
      _xlpm.ligpartie + 3,
      MATCH(AD$1, _xlpm.joueurs, 0) + 1
    )
  ), ""
)</f>
        <v/>
      </c>
      <c r="AE179" t="str" cm="1">
        <f t="array" ref="AE179">IFERROR(
  _xlfn.LET(
    _xlpm.ligpartie, MATCH($B178, Donnees!$F:$F, 0),
    _xlpm.joueurs, INDEX(Donnees!$A:$Z, _xlpm.ligpartie+1, _xlfn.SEQUENCE(1, 4, 2)),
    INDEX(
      Donnees!$A:$Z,
      _xlpm.ligpartie + 3,
      MATCH(AE$1, _xlpm.joueurs, 0) + 1
    )
  ), ""
)</f>
        <v/>
      </c>
      <c r="AF179" t="str" cm="1">
        <f t="array" ref="AF179">IFERROR(
  _xlfn.LET(
    _xlpm.ligpartie, MATCH($B178, Donnees!$F:$F, 0),
    _xlpm.joueurs, INDEX(Donnees!$A:$Z, _xlpm.ligpartie+1, _xlfn.SEQUENCE(1, 4, 2)),
    INDEX(
      Donnees!$A:$Z,
      _xlpm.ligpartie + 3,
      MATCH(AF$1, _xlpm.joueurs, 0) + 1
    )
  ), ""
)</f>
        <v/>
      </c>
      <c r="AG179" t="str" cm="1">
        <f t="array" ref="AG179">IFERROR(
  _xlfn.LET(
    _xlpm.ligpartie, MATCH($B178, Donnees!$F:$F, 0),
    _xlpm.joueurs, INDEX(Donnees!$A:$Z, _xlpm.ligpartie+1, _xlfn.SEQUENCE(1, 4, 2)),
    INDEX(
      Donnees!$A:$Z,
      _xlpm.ligpartie + 3,
      MATCH(AG$1, _xlpm.joueurs, 0) + 1
    )
  ), ""
)</f>
        <v/>
      </c>
      <c r="AH179" t="str" cm="1">
        <f t="array" ref="AH179">IFERROR(
  _xlfn.LET(
    _xlpm.ligpartie, MATCH($B178, Donnees!$F:$F, 0),
    _xlpm.joueurs, INDEX(Donnees!$A:$Z, _xlpm.ligpartie+1, _xlfn.SEQUENCE(1, 4, 2)),
    INDEX(
      Donnees!$A:$Z,
      _xlpm.ligpartie + 3,
      MATCH(AH$1, _xlpm.joueurs, 0) + 1
    )
  ), ""
)</f>
        <v/>
      </c>
      <c r="AI179" t="str" cm="1">
        <f t="array" ref="AI179">IFERROR(
  _xlfn.LET(
    _xlpm.ligpartie, MATCH($B178, Donnees!$F:$F, 0),
    _xlpm.joueurs, INDEX(Donnees!$A:$Z, _xlpm.ligpartie+1, _xlfn.SEQUENCE(1, 4, 2)),
    INDEX(
      Donnees!$A:$Z,
      _xlpm.ligpartie + 3,
      MATCH(AI$1, _xlpm.joueurs, 0) + 1
    )
  ), ""
)</f>
        <v/>
      </c>
      <c r="AJ179" t="str" cm="1">
        <f t="array" ref="AJ179">IFERROR(
  _xlfn.LET(
    _xlpm.ligpartie, MATCH($B178, Donnees!$F:$F, 0),
    _xlpm.joueurs, INDEX(Donnees!$A:$Z, _xlpm.ligpartie+1, _xlfn.SEQUENCE(1, 4, 2)),
    INDEX(
      Donnees!$A:$Z,
      _xlpm.ligpartie + 3,
      MATCH(AJ$1, _xlpm.joueurs, 0) + 1
    )
  ), ""
)</f>
        <v/>
      </c>
      <c r="AK179" t="str" cm="1">
        <f t="array" ref="AK179">IFERROR(
  _xlfn.LET(
    _xlpm.ligpartie, MATCH($B178, Donnees!$F:$F, 0),
    _xlpm.joueurs, INDEX(Donnees!$A:$Z, _xlpm.ligpartie+1, _xlfn.SEQUENCE(1, 4, 2)),
    INDEX(
      Donnees!$A:$Z,
      _xlpm.ligpartie + 3,
      MATCH(AK$1, _xlpm.joueurs, 0) + 1
    )
  ), ""
)</f>
        <v/>
      </c>
      <c r="AL179" t="str" cm="1">
        <f t="array" ref="AL179">IFERROR(
  _xlfn.LET(
    _xlpm.ligpartie, MATCH($B178, Donnees!$F:$F, 0),
    _xlpm.joueurs, INDEX(Donnees!$A:$Z, _xlpm.ligpartie+1, _xlfn.SEQUENCE(1, 4, 2)),
    INDEX(
      Donnees!$A:$Z,
      _xlpm.ligpartie + 3,
      MATCH(AL$1, _xlpm.joueurs, 0) + 1
    )
  ), ""
)</f>
        <v/>
      </c>
      <c r="AM179" t="str" cm="1">
        <f t="array" ref="AM179">IFERROR(
  _xlfn.LET(
    _xlpm.ligpartie, MATCH($B178, Donnees!$F:$F, 0),
    _xlpm.joueurs, INDEX(Donnees!$A:$Z, _xlpm.ligpartie+1, _xlfn.SEQUENCE(1, 4, 2)),
    INDEX(
      Donnees!$A:$Z,
      _xlpm.ligpartie + 3,
      MATCH(AM$1, _xlpm.joueurs, 0) + 1
    )
  ), ""
)</f>
        <v/>
      </c>
    </row>
    <row r="180" spans="1:39" x14ac:dyDescent="0.25">
      <c r="A180" t="s">
        <v>20</v>
      </c>
      <c r="D180" t="str" cm="1">
        <f t="array" ref="D180">_xlfn.LET(
  _xlpm.colj, _xlfn._xlws.FILTER(IF(ISNUMBER(179:179), COLUMN(179:179)), ISNUMBER(179:179)),
  _xlpm.elos, INDEX(178:178,1,_xlpm.colj),
  _xlpm.diffscale, Constantes!$B$2,
  IF(D179="",
    "",
    SUM(1/(1+POWER(10,-(D178-_xlpm.elos)/_xlpm.diffscale)))-0.5)
)</f>
        <v/>
      </c>
      <c r="E180" t="str" cm="1">
        <f t="array" ref="E180">_xlfn.LET(
  _xlpm.colj, _xlfn._xlws.FILTER(IF(ISNUMBER(179:179), COLUMN(179:179)), ISNUMBER(179:179)),
  _xlpm.elos, INDEX(178:178,1,_xlpm.colj),
  _xlpm.diffscale, Constantes!$B$2,
  IF(E179="",
    "",
    SUM(1/(1+POWER(10,-(E178-_xlpm.elos)/_xlpm.diffscale)))-0.5)
)</f>
        <v/>
      </c>
      <c r="F180" t="str" cm="1">
        <f t="array" ref="F180">_xlfn.LET(
  _xlpm.colj, _xlfn._xlws.FILTER(IF(ISNUMBER(179:179), COLUMN(179:179)), ISNUMBER(179:179)),
  _xlpm.elos, INDEX(178:178,1,_xlpm.colj),
  _xlpm.diffscale, Constantes!$B$2,
  IF(F179="",
    "",
    SUM(1/(1+POWER(10,-(F178-_xlpm.elos)/_xlpm.diffscale)))-0.5)
)</f>
        <v/>
      </c>
      <c r="G180" cm="1">
        <f t="array" ref="G180">_xlfn.LET(
  _xlpm.colj, _xlfn._xlws.FILTER(IF(ISNUMBER(179:179), COLUMN(179:179)), ISNUMBER(179:179)),
  _xlpm.elos, INDEX(178:178,1,_xlpm.colj),
  _xlpm.diffscale, Constantes!$B$2,
  IF(G179="",
    "",
    SUM(1/(1+POWER(10,-(G178-_xlpm.elos)/_xlpm.diffscale)))-0.5)
)</f>
        <v>1.3526243978659451</v>
      </c>
      <c r="H180" t="str" cm="1">
        <f t="array" ref="H180">_xlfn.LET(
  _xlpm.colj, _xlfn._xlws.FILTER(IF(ISNUMBER(179:179), COLUMN(179:179)), ISNUMBER(179:179)),
  _xlpm.elos, INDEX(178:178,1,_xlpm.colj),
  _xlpm.diffscale, Constantes!$B$2,
  IF(H179="",
    "",
    SUM(1/(1+POWER(10,-(H178-_xlpm.elos)/_xlpm.diffscale)))-0.5)
)</f>
        <v/>
      </c>
      <c r="I180" cm="1">
        <f t="array" ref="I180">_xlfn.LET(
  _xlpm.colj, _xlfn._xlws.FILTER(IF(ISNUMBER(179:179), COLUMN(179:179)), ISNUMBER(179:179)),
  _xlpm.elos, INDEX(178:178,1,_xlpm.colj),
  _xlpm.diffscale, Constantes!$B$2,
  IF(I179="",
    "",
    SUM(1/(1+POWER(10,-(I178-_xlpm.elos)/_xlpm.diffscale)))-0.5)
)</f>
        <v>1.2741499047453178</v>
      </c>
      <c r="J180" t="str" cm="1">
        <f t="array" ref="J180">_xlfn.LET(
  _xlpm.colj, _xlfn._xlws.FILTER(IF(ISNUMBER(179:179), COLUMN(179:179)), ISNUMBER(179:179)),
  _xlpm.elos, INDEX(178:178,1,_xlpm.colj),
  _xlpm.diffscale, Constantes!$B$2,
  IF(J179="",
    "",
    SUM(1/(1+POWER(10,-(J178-_xlpm.elos)/_xlpm.diffscale)))-0.5)
)</f>
        <v/>
      </c>
      <c r="K180" t="str" cm="1">
        <f t="array" ref="K180">_xlfn.LET(
  _xlpm.colj, _xlfn._xlws.FILTER(IF(ISNUMBER(179:179), COLUMN(179:179)), ISNUMBER(179:179)),
  _xlpm.elos, INDEX(178:178,1,_xlpm.colj),
  _xlpm.diffscale, Constantes!$B$2,
  IF(K179="",
    "",
    SUM(1/(1+POWER(10,-(K178-_xlpm.elos)/_xlpm.diffscale)))-0.5)
)</f>
        <v/>
      </c>
      <c r="L180" t="str" cm="1">
        <f t="array" ref="L180">_xlfn.LET(
  _xlpm.colj, _xlfn._xlws.FILTER(IF(ISNUMBER(179:179), COLUMN(179:179)), ISNUMBER(179:179)),
  _xlpm.elos, INDEX(178:178,1,_xlpm.colj),
  _xlpm.diffscale, Constantes!$B$2,
  IF(L179="",
    "",
    SUM(1/(1+POWER(10,-(L178-_xlpm.elos)/_xlpm.diffscale)))-0.5)
)</f>
        <v/>
      </c>
      <c r="M180" t="str" cm="1">
        <f t="array" ref="M180">_xlfn.LET(
  _xlpm.colj, _xlfn._xlws.FILTER(IF(ISNUMBER(179:179), COLUMN(179:179)), ISNUMBER(179:179)),
  _xlpm.elos, INDEX(178:178,1,_xlpm.colj),
  _xlpm.diffscale, Constantes!$B$2,
  IF(M179="",
    "",
    SUM(1/(1+POWER(10,-(M178-_xlpm.elos)/_xlpm.diffscale)))-0.5)
)</f>
        <v/>
      </c>
      <c r="N180" t="str" cm="1">
        <f t="array" ref="N180">_xlfn.LET(
  _xlpm.colj, _xlfn._xlws.FILTER(IF(ISNUMBER(179:179), COLUMN(179:179)), ISNUMBER(179:179)),
  _xlpm.elos, INDEX(178:178,1,_xlpm.colj),
  _xlpm.diffscale, Constantes!$B$2,
  IF(N179="",
    "",
    SUM(1/(1+POWER(10,-(N178-_xlpm.elos)/_xlpm.diffscale)))-0.5)
)</f>
        <v/>
      </c>
      <c r="O180" t="str" cm="1">
        <f t="array" ref="O180">_xlfn.LET(
  _xlpm.colj, _xlfn._xlws.FILTER(IF(ISNUMBER(179:179), COLUMN(179:179)), ISNUMBER(179:179)),
  _xlpm.elos, INDEX(178:178,1,_xlpm.colj),
  _xlpm.diffscale, Constantes!$B$2,
  IF(O179="",
    "",
    SUM(1/(1+POWER(10,-(O178-_xlpm.elos)/_xlpm.diffscale)))-0.5)
)</f>
        <v/>
      </c>
      <c r="P180" t="str" cm="1">
        <f t="array" ref="P180">_xlfn.LET(
  _xlpm.colj, _xlfn._xlws.FILTER(IF(ISNUMBER(179:179), COLUMN(179:179)), ISNUMBER(179:179)),
  _xlpm.elos, INDEX(178:178,1,_xlpm.colj),
  _xlpm.diffscale, Constantes!$B$2,
  IF(P179="",
    "",
    SUM(1/(1+POWER(10,-(P178-_xlpm.elos)/_xlpm.diffscale)))-0.5)
)</f>
        <v/>
      </c>
      <c r="Q180" cm="1">
        <f t="array" ref="Q180">_xlfn.LET(
  _xlpm.colj, _xlfn._xlws.FILTER(IF(ISNUMBER(179:179), COLUMN(179:179)), ISNUMBER(179:179)),
  _xlpm.elos, INDEX(178:178,1,_xlpm.colj),
  _xlpm.diffscale, Constantes!$B$2,
  IF(Q179="",
    "",
    SUM(1/(1+POWER(10,-(Q178-_xlpm.elos)/_xlpm.diffscale)))-0.5)
)</f>
        <v>1.6461370754104689</v>
      </c>
      <c r="R180" t="str" cm="1">
        <f t="array" ref="R180">_xlfn.LET(
  _xlpm.colj, _xlfn._xlws.FILTER(IF(ISNUMBER(179:179), COLUMN(179:179)), ISNUMBER(179:179)),
  _xlpm.elos, INDEX(178:178,1,_xlpm.colj),
  _xlpm.diffscale, Constantes!$B$2,
  IF(R179="",
    "",
    SUM(1/(1+POWER(10,-(R178-_xlpm.elos)/_xlpm.diffscale)))-0.5)
)</f>
        <v/>
      </c>
      <c r="S180" t="str" cm="1">
        <f t="array" ref="S180">_xlfn.LET(
  _xlpm.colj, _xlfn._xlws.FILTER(IF(ISNUMBER(179:179), COLUMN(179:179)), ISNUMBER(179:179)),
  _xlpm.elos, INDEX(178:178,1,_xlpm.colj),
  _xlpm.diffscale, Constantes!$B$2,
  IF(S179="",
    "",
    SUM(1/(1+POWER(10,-(S178-_xlpm.elos)/_xlpm.diffscale)))-0.5)
)</f>
        <v/>
      </c>
      <c r="T180" t="str" cm="1">
        <f t="array" ref="T180">_xlfn.LET(
  _xlpm.colj, _xlfn._xlws.FILTER(IF(ISNUMBER(179:179), COLUMN(179:179)), ISNUMBER(179:179)),
  _xlpm.elos, INDEX(178:178,1,_xlpm.colj),
  _xlpm.diffscale, Constantes!$B$2,
  IF(T179="",
    "",
    SUM(1/(1+POWER(10,-(T178-_xlpm.elos)/_xlpm.diffscale)))-0.5)
)</f>
        <v/>
      </c>
      <c r="U180" cm="1">
        <f t="array" ref="U180">_xlfn.LET(
  _xlpm.colj, _xlfn._xlws.FILTER(IF(ISNUMBER(179:179), COLUMN(179:179)), ISNUMBER(179:179)),
  _xlpm.elos, INDEX(178:178,1,_xlpm.colj),
  _xlpm.diffscale, Constantes!$B$2,
  IF(U179="",
    "",
    SUM(1/(1+POWER(10,-(U178-_xlpm.elos)/_xlpm.diffscale)))-0.5)
)</f>
        <v>1.7270886219782682</v>
      </c>
      <c r="V180" t="str" cm="1">
        <f t="array" ref="V180">_xlfn.LET(
  _xlpm.colj, _xlfn._xlws.FILTER(IF(ISNUMBER(179:179), COLUMN(179:179)), ISNUMBER(179:179)),
  _xlpm.elos, INDEX(178:178,1,_xlpm.colj),
  _xlpm.diffscale, Constantes!$B$2,
  IF(V179="",
    "",
    SUM(1/(1+POWER(10,-(V178-_xlpm.elos)/_xlpm.diffscale)))-0.5)
)</f>
        <v/>
      </c>
      <c r="W180" t="str" cm="1">
        <f t="array" ref="W180">_xlfn.LET(
  _xlpm.colj, _xlfn._xlws.FILTER(IF(ISNUMBER(179:179), COLUMN(179:179)), ISNUMBER(179:179)),
  _xlpm.elos, INDEX(178:178,1,_xlpm.colj),
  _xlpm.diffscale, Constantes!$B$2,
  IF(W179="",
    "",
    SUM(1/(1+POWER(10,-(W178-_xlpm.elos)/_xlpm.diffscale)))-0.5)
)</f>
        <v/>
      </c>
      <c r="X180" t="str" cm="1">
        <f t="array" ref="X180">_xlfn.LET(
  _xlpm.colj, _xlfn._xlws.FILTER(IF(ISNUMBER(179:179), COLUMN(179:179)), ISNUMBER(179:179)),
  _xlpm.elos, INDEX(178:178,1,_xlpm.colj),
  _xlpm.diffscale, Constantes!$B$2,
  IF(X179="",
    "",
    SUM(1/(1+POWER(10,-(X178-_xlpm.elos)/_xlpm.diffscale)))-0.5)
)</f>
        <v/>
      </c>
      <c r="Y180" t="str" cm="1">
        <f t="array" ref="Y180">_xlfn.LET(
  _xlpm.colj, _xlfn._xlws.FILTER(IF(ISNUMBER(179:179), COLUMN(179:179)), ISNUMBER(179:179)),
  _xlpm.elos, INDEX(178:178,1,_xlpm.colj),
  _xlpm.diffscale, Constantes!$B$2,
  IF(Y179="",
    "",
    SUM(1/(1+POWER(10,-(Y178-_xlpm.elos)/_xlpm.diffscale)))-0.5)
)</f>
        <v/>
      </c>
      <c r="Z180" t="str" cm="1">
        <f t="array" ref="Z180">_xlfn.LET(
  _xlpm.colj, _xlfn._xlws.FILTER(IF(ISNUMBER(179:179), COLUMN(179:179)), ISNUMBER(179:179)),
  _xlpm.elos, INDEX(178:178,1,_xlpm.colj),
  _xlpm.diffscale, Constantes!$B$2,
  IF(Z179="",
    "",
    SUM(1/(1+POWER(10,-(Z178-_xlpm.elos)/_xlpm.diffscale)))-0.5)
)</f>
        <v/>
      </c>
      <c r="AA180" t="str" cm="1">
        <f t="array" ref="AA180">_xlfn.LET(
  _xlpm.colj, _xlfn._xlws.FILTER(IF(ISNUMBER(179:179), COLUMN(179:179)), ISNUMBER(179:179)),
  _xlpm.elos, INDEX(178:178,1,_xlpm.colj),
  _xlpm.diffscale, Constantes!$B$2,
  IF(AA179="",
    "",
    SUM(1/(1+POWER(10,-(AA178-_xlpm.elos)/_xlpm.diffscale)))-0.5)
)</f>
        <v/>
      </c>
      <c r="AB180" t="str" cm="1">
        <f t="array" ref="AB180">_xlfn.LET(
  _xlpm.colj, _xlfn._xlws.FILTER(IF(ISNUMBER(179:179), COLUMN(179:179)), ISNUMBER(179:179)),
  _xlpm.elos, INDEX(178:178,1,_xlpm.colj),
  _xlpm.diffscale, Constantes!$B$2,
  IF(AB179="",
    "",
    SUM(1/(1+POWER(10,-(AB178-_xlpm.elos)/_xlpm.diffscale)))-0.5)
)</f>
        <v/>
      </c>
      <c r="AC180" t="str" cm="1">
        <f t="array" ref="AC180">_xlfn.LET(
  _xlpm.colj, _xlfn._xlws.FILTER(IF(ISNUMBER(179:179), COLUMN(179:179)), ISNUMBER(179:179)),
  _xlpm.elos, INDEX(178:178,1,_xlpm.colj),
  _xlpm.diffscale, Constantes!$B$2,
  IF(AC179="",
    "",
    SUM(1/(1+POWER(10,-(AC178-_xlpm.elos)/_xlpm.diffscale)))-0.5)
)</f>
        <v/>
      </c>
      <c r="AD180" t="str" cm="1">
        <f t="array" ref="AD180">_xlfn.LET(
  _xlpm.colj, _xlfn._xlws.FILTER(IF(ISNUMBER(179:179), COLUMN(179:179)), ISNUMBER(179:179)),
  _xlpm.elos, INDEX(178:178,1,_xlpm.colj),
  _xlpm.diffscale, Constantes!$B$2,
  IF(AD179="",
    "",
    SUM(1/(1+POWER(10,-(AD178-_xlpm.elos)/_xlpm.diffscale)))-0.5)
)</f>
        <v/>
      </c>
      <c r="AE180" t="str" cm="1">
        <f t="array" ref="AE180">_xlfn.LET(
  _xlpm.colj, _xlfn._xlws.FILTER(IF(ISNUMBER(179:179), COLUMN(179:179)), ISNUMBER(179:179)),
  _xlpm.elos, INDEX(178:178,1,_xlpm.colj),
  _xlpm.diffscale, Constantes!$B$2,
  IF(AE179="",
    "",
    SUM(1/(1+POWER(10,-(AE178-_xlpm.elos)/_xlpm.diffscale)))-0.5)
)</f>
        <v/>
      </c>
      <c r="AF180" t="str" cm="1">
        <f t="array" ref="AF180">_xlfn.LET(
  _xlpm.colj, _xlfn._xlws.FILTER(IF(ISNUMBER(179:179), COLUMN(179:179)), ISNUMBER(179:179)),
  _xlpm.elos, INDEX(178:178,1,_xlpm.colj),
  _xlpm.diffscale, Constantes!$B$2,
  IF(AF179="",
    "",
    SUM(1/(1+POWER(10,-(AF178-_xlpm.elos)/_xlpm.diffscale)))-0.5)
)</f>
        <v/>
      </c>
      <c r="AG180" t="str" cm="1">
        <f t="array" ref="AG180">_xlfn.LET(
  _xlpm.colj, _xlfn._xlws.FILTER(IF(ISNUMBER(179:179), COLUMN(179:179)), ISNUMBER(179:179)),
  _xlpm.elos, INDEX(178:178,1,_xlpm.colj),
  _xlpm.diffscale, Constantes!$B$2,
  IF(AG179="",
    "",
    SUM(1/(1+POWER(10,-(AG178-_xlpm.elos)/_xlpm.diffscale)))-0.5)
)</f>
        <v/>
      </c>
      <c r="AH180" t="str" cm="1">
        <f t="array" ref="AH180">_xlfn.LET(
  _xlpm.colj, _xlfn._xlws.FILTER(IF(ISNUMBER(179:179), COLUMN(179:179)), ISNUMBER(179:179)),
  _xlpm.elos, INDEX(178:178,1,_xlpm.colj),
  _xlpm.diffscale, Constantes!$B$2,
  IF(AH179="",
    "",
    SUM(1/(1+POWER(10,-(AH178-_xlpm.elos)/_xlpm.diffscale)))-0.5)
)</f>
        <v/>
      </c>
      <c r="AI180" t="str" cm="1">
        <f t="array" ref="AI180">_xlfn.LET(
  _xlpm.colj, _xlfn._xlws.FILTER(IF(ISNUMBER(179:179), COLUMN(179:179)), ISNUMBER(179:179)),
  _xlpm.elos, INDEX(178:178,1,_xlpm.colj),
  _xlpm.diffscale, Constantes!$B$2,
  IF(AI179="",
    "",
    SUM(1/(1+POWER(10,-(AI178-_xlpm.elos)/_xlpm.diffscale)))-0.5)
)</f>
        <v/>
      </c>
      <c r="AJ180" t="str" cm="1">
        <f t="array" ref="AJ180">_xlfn.LET(
  _xlpm.colj, _xlfn._xlws.FILTER(IF(ISNUMBER(179:179), COLUMN(179:179)), ISNUMBER(179:179)),
  _xlpm.elos, INDEX(178:178,1,_xlpm.colj),
  _xlpm.diffscale, Constantes!$B$2,
  IF(AJ179="",
    "",
    SUM(1/(1+POWER(10,-(AJ178-_xlpm.elos)/_xlpm.diffscale)))-0.5)
)</f>
        <v/>
      </c>
      <c r="AK180" t="str" cm="1">
        <f t="array" ref="AK180">_xlfn.LET(
  _xlpm.colj, _xlfn._xlws.FILTER(IF(ISNUMBER(179:179), COLUMN(179:179)), ISNUMBER(179:179)),
  _xlpm.elos, INDEX(178:178,1,_xlpm.colj),
  _xlpm.diffscale, Constantes!$B$2,
  IF(AK179="",
    "",
    SUM(1/(1+POWER(10,-(AK178-_xlpm.elos)/_xlpm.diffscale)))-0.5)
)</f>
        <v/>
      </c>
      <c r="AL180" t="str" cm="1">
        <f t="array" ref="AL180">_xlfn.LET(
  _xlpm.colj, _xlfn._xlws.FILTER(IF(ISNUMBER(179:179), COLUMN(179:179)), ISNUMBER(179:179)),
  _xlpm.elos, INDEX(178:178,1,_xlpm.colj),
  _xlpm.diffscale, Constantes!$B$2,
  IF(AL179="",
    "",
    SUM(1/(1+POWER(10,-(AL178-_xlpm.elos)/_xlpm.diffscale)))-0.5)
)</f>
        <v/>
      </c>
      <c r="AM180" t="str" cm="1">
        <f t="array" ref="AM180">_xlfn.LET(
  _xlpm.colj, _xlfn._xlws.FILTER(IF(ISNUMBER(179:179), COLUMN(179:179)), ISNUMBER(179:179)),
  _xlpm.elos, INDEX(178:178,1,_xlpm.colj),
  _xlpm.diffscale, Constantes!$B$2,
  IF(AM179="",
    "",
    SUM(1/(1+POWER(10,-(AM178-_xlpm.elos)/_xlpm.diffscale)))-0.5)
)</f>
        <v/>
      </c>
    </row>
    <row r="181" spans="1:39" x14ac:dyDescent="0.25">
      <c r="A181" t="s">
        <v>22</v>
      </c>
      <c r="D181" t="str" cm="1">
        <f t="array" ref="D181">_xlfn.LET(
  _xlpm.K, Constantes!$B$3,
  _xlpm.Knewgain, Constantes!$B$4,
  _xlpm.Knewscale, Constantes!$B$5,
  _xlpm.ptstables, INDEX(D:D, _xlfn.SEQUENCE(COUNTA($C$2:$C181), 1, 3, 4)),
  _xlpm.nbparties, COUNTA(_xlfn._xlws.FILTER(_xlpm.ptstables, _xlpm.ptstables &lt;&gt; "")),
  _xlpm.coef, _xlpm.K + _xlpm.Knewgain / (_xlpm.Knewscale + _xlpm.nbparties),
  IF(D179="",
    "",
    _xlpm.coef * (D179-D180))
)</f>
        <v/>
      </c>
      <c r="E181" t="str" cm="1">
        <f t="array" ref="E181">_xlfn.LET(
  _xlpm.K, Constantes!$B$3,
  _xlpm.Knewgain, Constantes!$B$4,
  _xlpm.Knewscale, Constantes!$B$5,
  _xlpm.ptstables, INDEX(E:E, _xlfn.SEQUENCE(COUNTA($C$2:$C181), 1, 3, 4)),
  _xlpm.nbparties, COUNTA(_xlfn._xlws.FILTER(_xlpm.ptstables, _xlpm.ptstables &lt;&gt; "")),
  _xlpm.coef, _xlpm.K + _xlpm.Knewgain / (_xlpm.Knewscale + _xlpm.nbparties),
  IF(E179="",
    "",
    _xlpm.coef * (E179-E180))
)</f>
        <v/>
      </c>
      <c r="F181" t="str" cm="1">
        <f t="array" ref="F181">_xlfn.LET(
  _xlpm.K, Constantes!$B$3,
  _xlpm.Knewgain, Constantes!$B$4,
  _xlpm.Knewscale, Constantes!$B$5,
  _xlpm.ptstables, INDEX(F:F, _xlfn.SEQUENCE(COUNTA($C$2:$C181), 1, 3, 4)),
  _xlpm.nbparties, COUNTA(_xlfn._xlws.FILTER(_xlpm.ptstables, _xlpm.ptstables &lt;&gt; "")),
  _xlpm.coef, _xlpm.K + _xlpm.Knewgain / (_xlpm.Knewscale + _xlpm.nbparties),
  IF(F179="",
    "",
    _xlpm.coef * (F179-F180))
)</f>
        <v/>
      </c>
      <c r="G181" cm="1">
        <f t="array" ref="G181">_xlfn.LET(
  _xlpm.K, Constantes!$B$3,
  _xlpm.Knewgain, Constantes!$B$4,
  _xlpm.Knewscale, Constantes!$B$5,
  _xlpm.ptstables, INDEX(G:G, _xlfn.SEQUENCE(COUNTA($C$2:$C181), 1, 3, 4)),
  _xlpm.nbparties, COUNTA(_xlfn._xlws.FILTER(_xlpm.ptstables, _xlpm.ptstables &lt;&gt; "")),
  _xlpm.coef, _xlpm.K + _xlpm.Knewgain / (_xlpm.Knewscale + _xlpm.nbparties),
  IF(G179="",
    "",
    _xlpm.coef * (G179-G180))
)</f>
        <v>14.651132048297031</v>
      </c>
      <c r="H181" t="str" cm="1">
        <f t="array" ref="H181">_xlfn.LET(
  _xlpm.K, Constantes!$B$3,
  _xlpm.Knewgain, Constantes!$B$4,
  _xlpm.Knewscale, Constantes!$B$5,
  _xlpm.ptstables, INDEX(H:H, _xlfn.SEQUENCE(COUNTA($C$2:$C181), 1, 3, 4)),
  _xlpm.nbparties, COUNTA(_xlfn._xlws.FILTER(_xlpm.ptstables, _xlpm.ptstables &lt;&gt; "")),
  _xlpm.coef, _xlpm.K + _xlpm.Knewgain / (_xlpm.Knewscale + _xlpm.nbparties),
  IF(H179="",
    "",
    _xlpm.coef * (H179-H180))
)</f>
        <v/>
      </c>
      <c r="I181" cm="1">
        <f t="array" ref="I181">_xlfn.LET(
  _xlpm.K, Constantes!$B$3,
  _xlpm.Knewgain, Constantes!$B$4,
  _xlpm.Knewscale, Constantes!$B$5,
  _xlpm.ptstables, INDEX(I:I, _xlfn.SEQUENCE(COUNTA($C$2:$C181), 1, 3, 4)),
  _xlpm.nbparties, COUNTA(_xlfn._xlws.FILTER(_xlpm.ptstables, _xlpm.ptstables &lt;&gt; "")),
  _xlpm.coef, _xlpm.K + _xlpm.Knewgain / (_xlpm.Knewscale + _xlpm.nbparties),
  IF(I179="",
    "",
    _xlpm.coef * (I179-I180))
)</f>
        <v>-7.1964349995645911</v>
      </c>
      <c r="J181" t="str" cm="1">
        <f t="array" ref="J181">_xlfn.LET(
  _xlpm.K, Constantes!$B$3,
  _xlpm.Knewgain, Constantes!$B$4,
  _xlpm.Knewscale, Constantes!$B$5,
  _xlpm.ptstables, INDEX(J:J, _xlfn.SEQUENCE(COUNTA($C$2:$C181), 1, 3, 4)),
  _xlpm.nbparties, COUNTA(_xlfn._xlws.FILTER(_xlpm.ptstables, _xlpm.ptstables &lt;&gt; "")),
  _xlpm.coef, _xlpm.K + _xlpm.Knewgain / (_xlpm.Knewscale + _xlpm.nbparties),
  IF(J179="",
    "",
    _xlpm.coef * (J179-J180))
)</f>
        <v/>
      </c>
      <c r="K181" t="str" cm="1">
        <f t="array" ref="K181">_xlfn.LET(
  _xlpm.K, Constantes!$B$3,
  _xlpm.Knewgain, Constantes!$B$4,
  _xlpm.Knewscale, Constantes!$B$5,
  _xlpm.ptstables, INDEX(K:K, _xlfn.SEQUENCE(COUNTA($C$2:$C181), 1, 3, 4)),
  _xlpm.nbparties, COUNTA(_xlfn._xlws.FILTER(_xlpm.ptstables, _xlpm.ptstables &lt;&gt; "")),
  _xlpm.coef, _xlpm.K + _xlpm.Knewgain / (_xlpm.Knewscale + _xlpm.nbparties),
  IF(K179="",
    "",
    _xlpm.coef * (K179-K180))
)</f>
        <v/>
      </c>
      <c r="L181" t="str" cm="1">
        <f t="array" ref="L181">_xlfn.LET(
  _xlpm.K, Constantes!$B$3,
  _xlpm.Knewgain, Constantes!$B$4,
  _xlpm.Knewscale, Constantes!$B$5,
  _xlpm.ptstables, INDEX(L:L, _xlfn.SEQUENCE(COUNTA($C$2:$C181), 1, 3, 4)),
  _xlpm.nbparties, COUNTA(_xlfn._xlws.FILTER(_xlpm.ptstables, _xlpm.ptstables &lt;&gt; "")),
  _xlpm.coef, _xlpm.K + _xlpm.Knewgain / (_xlpm.Knewscale + _xlpm.nbparties),
  IF(L179="",
    "",
    _xlpm.coef * (L179-L180))
)</f>
        <v/>
      </c>
      <c r="M181" t="str" cm="1">
        <f t="array" ref="M181">_xlfn.LET(
  _xlpm.K, Constantes!$B$3,
  _xlpm.Knewgain, Constantes!$B$4,
  _xlpm.Knewscale, Constantes!$B$5,
  _xlpm.ptstables, INDEX(M:M, _xlfn.SEQUENCE(COUNTA($C$2:$C181), 1, 3, 4)),
  _xlpm.nbparties, COUNTA(_xlfn._xlws.FILTER(_xlpm.ptstables, _xlpm.ptstables &lt;&gt; "")),
  _xlpm.coef, _xlpm.K + _xlpm.Knewgain / (_xlpm.Knewscale + _xlpm.nbparties),
  IF(M179="",
    "",
    _xlpm.coef * (M179-M180))
)</f>
        <v/>
      </c>
      <c r="N181" t="str" cm="1">
        <f t="array" ref="N181">_xlfn.LET(
  _xlpm.K, Constantes!$B$3,
  _xlpm.Knewgain, Constantes!$B$4,
  _xlpm.Knewscale, Constantes!$B$5,
  _xlpm.ptstables, INDEX(N:N, _xlfn.SEQUENCE(COUNTA($C$2:$C181), 1, 3, 4)),
  _xlpm.nbparties, COUNTA(_xlfn._xlws.FILTER(_xlpm.ptstables, _xlpm.ptstables &lt;&gt; "")),
  _xlpm.coef, _xlpm.K + _xlpm.Knewgain / (_xlpm.Knewscale + _xlpm.nbparties),
  IF(N179="",
    "",
    _xlpm.coef * (N179-N180))
)</f>
        <v/>
      </c>
      <c r="O181" t="str" cm="1">
        <f t="array" ref="O181">_xlfn.LET(
  _xlpm.K, Constantes!$B$3,
  _xlpm.Knewgain, Constantes!$B$4,
  _xlpm.Knewscale, Constantes!$B$5,
  _xlpm.ptstables, INDEX(O:O, _xlfn.SEQUENCE(COUNTA($C$2:$C181), 1, 3, 4)),
  _xlpm.nbparties, COUNTA(_xlfn._xlws.FILTER(_xlpm.ptstables, _xlpm.ptstables &lt;&gt; "")),
  _xlpm.coef, _xlpm.K + _xlpm.Knewgain / (_xlpm.Knewscale + _xlpm.nbparties),
  IF(O179="",
    "",
    _xlpm.coef * (O179-O180))
)</f>
        <v/>
      </c>
      <c r="P181" t="str" cm="1">
        <f t="array" ref="P181">_xlfn.LET(
  _xlpm.K, Constantes!$B$3,
  _xlpm.Knewgain, Constantes!$B$4,
  _xlpm.Knewscale, Constantes!$B$5,
  _xlpm.ptstables, INDEX(P:P, _xlfn.SEQUENCE(COUNTA($C$2:$C181), 1, 3, 4)),
  _xlpm.nbparties, COUNTA(_xlfn._xlws.FILTER(_xlpm.ptstables, _xlpm.ptstables &lt;&gt; "")),
  _xlpm.coef, _xlpm.K + _xlpm.Knewgain / (_xlpm.Knewscale + _xlpm.nbparties),
  IF(P179="",
    "",
    _xlpm.coef * (P179-P180))
)</f>
        <v/>
      </c>
      <c r="Q181" cm="1">
        <f t="array" ref="Q181">_xlfn.LET(
  _xlpm.K, Constantes!$B$3,
  _xlpm.Knewgain, Constantes!$B$4,
  _xlpm.Knewscale, Constantes!$B$5,
  _xlpm.ptstables, INDEX(Q:Q, _xlfn.SEQUENCE(COUNTA($C$2:$C181), 1, 3, 4)),
  _xlpm.nbparties, COUNTA(_xlfn._xlws.FILTER(_xlpm.ptstables, _xlpm.ptstables &lt;&gt; "")),
  _xlpm.coef, _xlpm.K + _xlpm.Knewgain / (_xlpm.Knewscale + _xlpm.nbparties),
  IF(Q179="",
    "",
    _xlpm.coef * (Q179-Q180))
)</f>
        <v>-39.781645989086336</v>
      </c>
      <c r="R181" t="str" cm="1">
        <f t="array" ref="R181">_xlfn.LET(
  _xlpm.K, Constantes!$B$3,
  _xlpm.Knewgain, Constantes!$B$4,
  _xlpm.Knewscale, Constantes!$B$5,
  _xlpm.ptstables, INDEX(R:R, _xlfn.SEQUENCE(COUNTA($C$2:$C181), 1, 3, 4)),
  _xlpm.nbparties, COUNTA(_xlfn._xlws.FILTER(_xlpm.ptstables, _xlpm.ptstables &lt;&gt; "")),
  _xlpm.coef, _xlpm.K + _xlpm.Knewgain / (_xlpm.Knewscale + _xlpm.nbparties),
  IF(R179="",
    "",
    _xlpm.coef * (R179-R180))
)</f>
        <v/>
      </c>
      <c r="S181" t="str" cm="1">
        <f t="array" ref="S181">_xlfn.LET(
  _xlpm.K, Constantes!$B$3,
  _xlpm.Knewgain, Constantes!$B$4,
  _xlpm.Knewscale, Constantes!$B$5,
  _xlpm.ptstables, INDEX(S:S, _xlfn.SEQUENCE(COUNTA($C$2:$C181), 1, 3, 4)),
  _xlpm.nbparties, COUNTA(_xlfn._xlws.FILTER(_xlpm.ptstables, _xlpm.ptstables &lt;&gt; "")),
  _xlpm.coef, _xlpm.K + _xlpm.Knewgain / (_xlpm.Knewscale + _xlpm.nbparties),
  IF(S179="",
    "",
    _xlpm.coef * (S179-S180))
)</f>
        <v/>
      </c>
      <c r="T181" t="str" cm="1">
        <f t="array" ref="T181">_xlfn.LET(
  _xlpm.K, Constantes!$B$3,
  _xlpm.Knewgain, Constantes!$B$4,
  _xlpm.Knewscale, Constantes!$B$5,
  _xlpm.ptstables, INDEX(T:T, _xlfn.SEQUENCE(COUNTA($C$2:$C181), 1, 3, 4)),
  _xlpm.nbparties, COUNTA(_xlfn._xlws.FILTER(_xlpm.ptstables, _xlpm.ptstables &lt;&gt; "")),
  _xlpm.coef, _xlpm.K + _xlpm.Knewgain / (_xlpm.Knewscale + _xlpm.nbparties),
  IF(T179="",
    "",
    _xlpm.coef * (T179-T180))
)</f>
        <v/>
      </c>
      <c r="U181" cm="1">
        <f t="array" ref="U181">_xlfn.LET(
  _xlpm.K, Constantes!$B$3,
  _xlpm.Knewgain, Constantes!$B$4,
  _xlpm.Knewscale, Constantes!$B$5,
  _xlpm.ptstables, INDEX(U:U, _xlfn.SEQUENCE(COUNTA($C$2:$C181), 1, 3, 4)),
  _xlpm.nbparties, COUNTA(_xlfn._xlws.FILTER(_xlpm.ptstables, _xlpm.ptstables &lt;&gt; "")),
  _xlpm.coef, _xlpm.K + _xlpm.Knewgain / (_xlpm.Knewscale + _xlpm.nbparties),
  IF(U179="",
    "",
    _xlpm.coef * (U179-U180))
)</f>
        <v>29.701265487173742</v>
      </c>
      <c r="V181" t="str" cm="1">
        <f t="array" ref="V181">_xlfn.LET(
  _xlpm.K, Constantes!$B$3,
  _xlpm.Knewgain, Constantes!$B$4,
  _xlpm.Knewscale, Constantes!$B$5,
  _xlpm.ptstables, INDEX(V:V, _xlfn.SEQUENCE(COUNTA($C$2:$C181), 1, 3, 4)),
  _xlpm.nbparties, COUNTA(_xlfn._xlws.FILTER(_xlpm.ptstables, _xlpm.ptstables &lt;&gt; "")),
  _xlpm.coef, _xlpm.K + _xlpm.Knewgain / (_xlpm.Knewscale + _xlpm.nbparties),
  IF(V179="",
    "",
    _xlpm.coef * (V179-V180))
)</f>
        <v/>
      </c>
      <c r="W181" t="str" cm="1">
        <f t="array" ref="W181">_xlfn.LET(
  _xlpm.K, Constantes!$B$3,
  _xlpm.Knewgain, Constantes!$B$4,
  _xlpm.Knewscale, Constantes!$B$5,
  _xlpm.ptstables, INDEX(W:W, _xlfn.SEQUENCE(COUNTA($C$2:$C181), 1, 3, 4)),
  _xlpm.nbparties, COUNTA(_xlfn._xlws.FILTER(_xlpm.ptstables, _xlpm.ptstables &lt;&gt; "")),
  _xlpm.coef, _xlpm.K + _xlpm.Knewgain / (_xlpm.Knewscale + _xlpm.nbparties),
  IF(W179="",
    "",
    _xlpm.coef * (W179-W180))
)</f>
        <v/>
      </c>
      <c r="X181" t="str" cm="1">
        <f t="array" ref="X181">_xlfn.LET(
  _xlpm.K, Constantes!$B$3,
  _xlpm.Knewgain, Constantes!$B$4,
  _xlpm.Knewscale, Constantes!$B$5,
  _xlpm.ptstables, INDEX(X:X, _xlfn.SEQUENCE(COUNTA($C$2:$C181), 1, 3, 4)),
  _xlpm.nbparties, COUNTA(_xlfn._xlws.FILTER(_xlpm.ptstables, _xlpm.ptstables &lt;&gt; "")),
  _xlpm.coef, _xlpm.K + _xlpm.Knewgain / (_xlpm.Knewscale + _xlpm.nbparties),
  IF(X179="",
    "",
    _xlpm.coef * (X179-X180))
)</f>
        <v/>
      </c>
      <c r="Y181" t="str" cm="1">
        <f t="array" ref="Y181">_xlfn.LET(
  _xlpm.K, Constantes!$B$3,
  _xlpm.Knewgain, Constantes!$B$4,
  _xlpm.Knewscale, Constantes!$B$5,
  _xlpm.ptstables, INDEX(Y:Y, _xlfn.SEQUENCE(COUNTA($C$2:$C181), 1, 3, 4)),
  _xlpm.nbparties, COUNTA(_xlfn._xlws.FILTER(_xlpm.ptstables, _xlpm.ptstables &lt;&gt; "")),
  _xlpm.coef, _xlpm.K + _xlpm.Knewgain / (_xlpm.Knewscale + _xlpm.nbparties),
  IF(Y179="",
    "",
    _xlpm.coef * (Y179-Y180))
)</f>
        <v/>
      </c>
      <c r="Z181" t="str" cm="1">
        <f t="array" ref="Z181">_xlfn.LET(
  _xlpm.K, Constantes!$B$3,
  _xlpm.Knewgain, Constantes!$B$4,
  _xlpm.Knewscale, Constantes!$B$5,
  _xlpm.ptstables, INDEX(Z:Z, _xlfn.SEQUENCE(COUNTA($C$2:$C181), 1, 3, 4)),
  _xlpm.nbparties, COUNTA(_xlfn._xlws.FILTER(_xlpm.ptstables, _xlpm.ptstables &lt;&gt; "")),
  _xlpm.coef, _xlpm.K + _xlpm.Knewgain / (_xlpm.Knewscale + _xlpm.nbparties),
  IF(Z179="",
    "",
    _xlpm.coef * (Z179-Z180))
)</f>
        <v/>
      </c>
      <c r="AA181" t="str" cm="1">
        <f t="array" ref="AA181">_xlfn.LET(
  _xlpm.K, Constantes!$B$3,
  _xlpm.Knewgain, Constantes!$B$4,
  _xlpm.Knewscale, Constantes!$B$5,
  _xlpm.ptstables, INDEX(AA:AA, _xlfn.SEQUENCE(COUNTA($C$2:$C181), 1, 3, 4)),
  _xlpm.nbparties, COUNTA(_xlfn._xlws.FILTER(_xlpm.ptstables, _xlpm.ptstables &lt;&gt; "")),
  _xlpm.coef, _xlpm.K + _xlpm.Knewgain / (_xlpm.Knewscale + _xlpm.nbparties),
  IF(AA179="",
    "",
    _xlpm.coef * (AA179-AA180))
)</f>
        <v/>
      </c>
      <c r="AB181" t="str" cm="1">
        <f t="array" ref="AB181">_xlfn.LET(
  _xlpm.K, Constantes!$B$3,
  _xlpm.Knewgain, Constantes!$B$4,
  _xlpm.Knewscale, Constantes!$B$5,
  _xlpm.ptstables, INDEX(AB:AB, _xlfn.SEQUENCE(COUNTA($C$2:$C181), 1, 3, 4)),
  _xlpm.nbparties, COUNTA(_xlfn._xlws.FILTER(_xlpm.ptstables, _xlpm.ptstables &lt;&gt; "")),
  _xlpm.coef, _xlpm.K + _xlpm.Knewgain / (_xlpm.Knewscale + _xlpm.nbparties),
  IF(AB179="",
    "",
    _xlpm.coef * (AB179-AB180))
)</f>
        <v/>
      </c>
      <c r="AC181" t="str" cm="1">
        <f t="array" ref="AC181">_xlfn.LET(
  _xlpm.K, Constantes!$B$3,
  _xlpm.Knewgain, Constantes!$B$4,
  _xlpm.Knewscale, Constantes!$B$5,
  _xlpm.ptstables, INDEX(AC:AC, _xlfn.SEQUENCE(COUNTA($C$2:$C181), 1, 3, 4)),
  _xlpm.nbparties, COUNTA(_xlfn._xlws.FILTER(_xlpm.ptstables, _xlpm.ptstables &lt;&gt; "")),
  _xlpm.coef, _xlpm.K + _xlpm.Knewgain / (_xlpm.Knewscale + _xlpm.nbparties),
  IF(AC179="",
    "",
    _xlpm.coef * (AC179-AC180))
)</f>
        <v/>
      </c>
      <c r="AD181" t="str" cm="1">
        <f t="array" ref="AD181">_xlfn.LET(
  _xlpm.K, Constantes!$B$3,
  _xlpm.Knewgain, Constantes!$B$4,
  _xlpm.Knewscale, Constantes!$B$5,
  _xlpm.ptstables, INDEX(AD:AD, _xlfn.SEQUENCE(COUNTA($C$2:$C181), 1, 3, 4)),
  _xlpm.nbparties, COUNTA(_xlfn._xlws.FILTER(_xlpm.ptstables, _xlpm.ptstables &lt;&gt; "")),
  _xlpm.coef, _xlpm.K + _xlpm.Knewgain / (_xlpm.Knewscale + _xlpm.nbparties),
  IF(AD179="",
    "",
    _xlpm.coef * (AD179-AD180))
)</f>
        <v/>
      </c>
      <c r="AE181" t="str" cm="1">
        <f t="array" ref="AE181">_xlfn.LET(
  _xlpm.K, Constantes!$B$3,
  _xlpm.Knewgain, Constantes!$B$4,
  _xlpm.Knewscale, Constantes!$B$5,
  _xlpm.ptstables, INDEX(AE:AE, _xlfn.SEQUENCE(COUNTA($C$2:$C181), 1, 3, 4)),
  _xlpm.nbparties, COUNTA(_xlfn._xlws.FILTER(_xlpm.ptstables, _xlpm.ptstables &lt;&gt; "")),
  _xlpm.coef, _xlpm.K + _xlpm.Knewgain / (_xlpm.Knewscale + _xlpm.nbparties),
  IF(AE179="",
    "",
    _xlpm.coef * (AE179-AE180))
)</f>
        <v/>
      </c>
      <c r="AF181" t="str" cm="1">
        <f t="array" ref="AF181">_xlfn.LET(
  _xlpm.K, Constantes!$B$3,
  _xlpm.Knewgain, Constantes!$B$4,
  _xlpm.Knewscale, Constantes!$B$5,
  _xlpm.ptstables, INDEX(AF:AF, _xlfn.SEQUENCE(COUNTA($C$2:$C181), 1, 3, 4)),
  _xlpm.nbparties, COUNTA(_xlfn._xlws.FILTER(_xlpm.ptstables, _xlpm.ptstables &lt;&gt; "")),
  _xlpm.coef, _xlpm.K + _xlpm.Knewgain / (_xlpm.Knewscale + _xlpm.nbparties),
  IF(AF179="",
    "",
    _xlpm.coef * (AF179-AF180))
)</f>
        <v/>
      </c>
      <c r="AG181" t="str" cm="1">
        <f t="array" ref="AG181">_xlfn.LET(
  _xlpm.K, Constantes!$B$3,
  _xlpm.Knewgain, Constantes!$B$4,
  _xlpm.Knewscale, Constantes!$B$5,
  _xlpm.ptstables, INDEX(AG:AG, _xlfn.SEQUENCE(COUNTA($C$2:$C181), 1, 3, 4)),
  _xlpm.nbparties, COUNTA(_xlfn._xlws.FILTER(_xlpm.ptstables, _xlpm.ptstables &lt;&gt; "")),
  _xlpm.coef, _xlpm.K + _xlpm.Knewgain / (_xlpm.Knewscale + _xlpm.nbparties),
  IF(AG179="",
    "",
    _xlpm.coef * (AG179-AG180))
)</f>
        <v/>
      </c>
      <c r="AH181" t="str" cm="1">
        <f t="array" ref="AH181">_xlfn.LET(
  _xlpm.K, Constantes!$B$3,
  _xlpm.Knewgain, Constantes!$B$4,
  _xlpm.Knewscale, Constantes!$B$5,
  _xlpm.ptstables, INDEX(AH:AH, _xlfn.SEQUENCE(COUNTA($C$2:$C181), 1, 3, 4)),
  _xlpm.nbparties, COUNTA(_xlfn._xlws.FILTER(_xlpm.ptstables, _xlpm.ptstables &lt;&gt; "")),
  _xlpm.coef, _xlpm.K + _xlpm.Knewgain / (_xlpm.Knewscale + _xlpm.nbparties),
  IF(AH179="",
    "",
    _xlpm.coef * (AH179-AH180))
)</f>
        <v/>
      </c>
      <c r="AI181" t="str" cm="1">
        <f t="array" ref="AI181">_xlfn.LET(
  _xlpm.K, Constantes!$B$3,
  _xlpm.Knewgain, Constantes!$B$4,
  _xlpm.Knewscale, Constantes!$B$5,
  _xlpm.ptstables, INDEX(AI:AI, _xlfn.SEQUENCE(COUNTA($C$2:$C181), 1, 3, 4)),
  _xlpm.nbparties, COUNTA(_xlfn._xlws.FILTER(_xlpm.ptstables, _xlpm.ptstables &lt;&gt; "")),
  _xlpm.coef, _xlpm.K + _xlpm.Knewgain / (_xlpm.Knewscale + _xlpm.nbparties),
  IF(AI179="",
    "",
    _xlpm.coef * (AI179-AI180))
)</f>
        <v/>
      </c>
      <c r="AJ181" t="str" cm="1">
        <f t="array" ref="AJ181">_xlfn.LET(
  _xlpm.K, Constantes!$B$3,
  _xlpm.Knewgain, Constantes!$B$4,
  _xlpm.Knewscale, Constantes!$B$5,
  _xlpm.ptstables, INDEX(AJ:AJ, _xlfn.SEQUENCE(COUNTA($C$2:$C181), 1, 3, 4)),
  _xlpm.nbparties, COUNTA(_xlfn._xlws.FILTER(_xlpm.ptstables, _xlpm.ptstables &lt;&gt; "")),
  _xlpm.coef, _xlpm.K + _xlpm.Knewgain / (_xlpm.Knewscale + _xlpm.nbparties),
  IF(AJ179="",
    "",
    _xlpm.coef * (AJ179-AJ180))
)</f>
        <v/>
      </c>
      <c r="AK181" t="str" cm="1">
        <f t="array" ref="AK181">_xlfn.LET(
  _xlpm.K, Constantes!$B$3,
  _xlpm.Knewgain, Constantes!$B$4,
  _xlpm.Knewscale, Constantes!$B$5,
  _xlpm.ptstables, INDEX(AK:AK, _xlfn.SEQUENCE(COUNTA($C$2:$C181), 1, 3, 4)),
  _xlpm.nbparties, COUNTA(_xlfn._xlws.FILTER(_xlpm.ptstables, _xlpm.ptstables &lt;&gt; "")),
  _xlpm.coef, _xlpm.K + _xlpm.Knewgain / (_xlpm.Knewscale + _xlpm.nbparties),
  IF(AK179="",
    "",
    _xlpm.coef * (AK179-AK180))
)</f>
        <v/>
      </c>
      <c r="AL181" t="str" cm="1">
        <f t="array" ref="AL181">_xlfn.LET(
  _xlpm.K, Constantes!$B$3,
  _xlpm.Knewgain, Constantes!$B$4,
  _xlpm.Knewscale, Constantes!$B$5,
  _xlpm.ptstables, INDEX(AL:AL, _xlfn.SEQUENCE(COUNTA($C$2:$C181), 1, 3, 4)),
  _xlpm.nbparties, COUNTA(_xlfn._xlws.FILTER(_xlpm.ptstables, _xlpm.ptstables &lt;&gt; "")),
  _xlpm.coef, _xlpm.K + _xlpm.Knewgain / (_xlpm.Knewscale + _xlpm.nbparties),
  IF(AL179="",
    "",
    _xlpm.coef * (AL179-AL180))
)</f>
        <v/>
      </c>
      <c r="AM181" t="str" cm="1">
        <f t="array" ref="AM181">_xlfn.LET(
  _xlpm.K, Constantes!$B$3,
  _xlpm.Knewgain, Constantes!$B$4,
  _xlpm.Knewscale, Constantes!$B$5,
  _xlpm.ptstables, INDEX(AM:AM, _xlfn.SEQUENCE(COUNTA($C$2:$C181), 1, 3, 4)),
  _xlpm.nbparties, COUNTA(_xlfn._xlws.FILTER(_xlpm.ptstables, _xlpm.ptstables &lt;&gt; "")),
  _xlpm.coef, _xlpm.K + _xlpm.Knewgain / (_xlpm.Knewscale + _xlpm.nbparties),
  IF(AM179="",
    "",
    _xlpm.coef * (AM179-AM180))
)</f>
        <v/>
      </c>
    </row>
    <row r="182" spans="1:39" x14ac:dyDescent="0.25">
      <c r="A182" t="s">
        <v>14</v>
      </c>
      <c r="B182" t="str" cm="1">
        <f t="array" ref="B18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48</v>
      </c>
      <c r="C182" s="2" cm="1">
        <f t="array" ref="C182">IF(B182="","",
  INDEX(Donnees!F:F, MATCH(B182, Donnees!F:F, 0)+1))</f>
        <v>45934.595358796294</v>
      </c>
      <c r="D182">
        <f t="shared" ref="D182:AM182" si="53">D178+IF(D181="",0,D181)</f>
        <v>1071.9164860500034</v>
      </c>
      <c r="E182">
        <f t="shared" si="53"/>
        <v>1105.3750854597461</v>
      </c>
      <c r="F182">
        <f t="shared" si="53"/>
        <v>839.76438398955065</v>
      </c>
      <c r="G182">
        <f t="shared" si="53"/>
        <v>1069.5689729213505</v>
      </c>
      <c r="H182">
        <f t="shared" si="53"/>
        <v>1033.8282013861956</v>
      </c>
      <c r="I182">
        <f t="shared" si="53"/>
        <v>1033.8398637473038</v>
      </c>
      <c r="J182">
        <f t="shared" si="53"/>
        <v>938.49433816478961</v>
      </c>
      <c r="K182">
        <f t="shared" si="53"/>
        <v>907.51653081539087</v>
      </c>
      <c r="L182">
        <f t="shared" si="53"/>
        <v>801.48942635099877</v>
      </c>
      <c r="M182">
        <f t="shared" si="53"/>
        <v>913.41986361738122</v>
      </c>
      <c r="N182">
        <f t="shared" si="53"/>
        <v>907.32507465255833</v>
      </c>
      <c r="O182">
        <f t="shared" si="53"/>
        <v>1005.4306950475848</v>
      </c>
      <c r="P182">
        <f t="shared" si="53"/>
        <v>1005.4229961505649</v>
      </c>
      <c r="Q182">
        <f t="shared" si="53"/>
        <v>1066.6935872301331</v>
      </c>
      <c r="R182">
        <f t="shared" si="53"/>
        <v>1170.8504883222886</v>
      </c>
      <c r="S182">
        <f t="shared" si="53"/>
        <v>861.96896943211959</v>
      </c>
      <c r="T182">
        <f t="shared" si="53"/>
        <v>1135.2782658680615</v>
      </c>
      <c r="U182">
        <f t="shared" si="53"/>
        <v>1150.496353852662</v>
      </c>
      <c r="V182">
        <f t="shared" si="53"/>
        <v>961.58818235691967</v>
      </c>
      <c r="W182">
        <f t="shared" si="53"/>
        <v>936.79085942937002</v>
      </c>
      <c r="X182">
        <f t="shared" si="53"/>
        <v>851.6115293878712</v>
      </c>
      <c r="Y182">
        <f t="shared" si="53"/>
        <v>984.68205603174124</v>
      </c>
      <c r="Z182">
        <f t="shared" si="53"/>
        <v>991.11904139672549</v>
      </c>
      <c r="AA182">
        <f t="shared" si="53"/>
        <v>980.56756855165884</v>
      </c>
      <c r="AB182">
        <f t="shared" si="53"/>
        <v>988.35669729544747</v>
      </c>
      <c r="AC182">
        <f t="shared" si="53"/>
        <v>1046.8071957095806</v>
      </c>
      <c r="AD182">
        <f t="shared" si="53"/>
        <v>974.01499999999999</v>
      </c>
      <c r="AE182">
        <f t="shared" si="53"/>
        <v>1011.415</v>
      </c>
      <c r="AF182">
        <f t="shared" si="53"/>
        <v>1031.1199999999999</v>
      </c>
      <c r="AG182">
        <f t="shared" si="53"/>
        <v>1001.0350000000001</v>
      </c>
      <c r="AH182">
        <f t="shared" si="53"/>
        <v>994.44</v>
      </c>
      <c r="AI182">
        <f t="shared" si="53"/>
        <v>1000</v>
      </c>
      <c r="AJ182">
        <f t="shared" si="53"/>
        <v>957.2</v>
      </c>
      <c r="AK182">
        <f t="shared" si="53"/>
        <v>1000</v>
      </c>
      <c r="AL182">
        <f t="shared" si="53"/>
        <v>1055.9299999999998</v>
      </c>
      <c r="AM182">
        <f t="shared" si="53"/>
        <v>1000</v>
      </c>
    </row>
    <row r="183" spans="1:39" x14ac:dyDescent="0.25">
      <c r="A183" t="s">
        <v>21</v>
      </c>
      <c r="D183" t="str" cm="1">
        <f t="array" ref="D183">IFERROR(
  _xlfn.LET(
    _xlpm.ligpartie, MATCH($B182, Donnees!$F:$F, 0),
    _xlpm.joueurs, INDEX(Donnees!$A:$Z, _xlpm.ligpartie+1, _xlfn.SEQUENCE(1, 4, 2)),
    INDEX(
      Donnees!$A:$Z,
      _xlpm.ligpartie + 3,
      MATCH(D$1, _xlpm.joueurs, 0) + 1
    )
  ), ""
)</f>
        <v/>
      </c>
      <c r="E183" t="str" cm="1">
        <f t="array" ref="E183">IFERROR(
  _xlfn.LET(
    _xlpm.ligpartie, MATCH($B182, Donnees!$F:$F, 0),
    _xlpm.joueurs, INDEX(Donnees!$A:$Z, _xlpm.ligpartie+1, _xlfn.SEQUENCE(1, 4, 2)),
    INDEX(
      Donnees!$A:$Z,
      _xlpm.ligpartie + 3,
      MATCH(E$1, _xlpm.joueurs, 0) + 1
    )
  ), ""
)</f>
        <v/>
      </c>
      <c r="F183" cm="1">
        <f t="array" ref="F183">IFERROR(
  _xlfn.LET(
    _xlpm.ligpartie, MATCH($B182, Donnees!$F:$F, 0),
    _xlpm.joueurs, INDEX(Donnees!$A:$Z, _xlpm.ligpartie+1, _xlfn.SEQUENCE(1, 4, 2)),
    INDEX(
      Donnees!$A:$Z,
      _xlpm.ligpartie + 3,
      MATCH(F$1, _xlpm.joueurs, 0) + 1
    )
  ), ""
)</f>
        <v>2</v>
      </c>
      <c r="G183" t="str" cm="1">
        <f t="array" ref="G183">IFERROR(
  _xlfn.LET(
    _xlpm.ligpartie, MATCH($B182, Donnees!$F:$F, 0),
    _xlpm.joueurs, INDEX(Donnees!$A:$Z, _xlpm.ligpartie+1, _xlfn.SEQUENCE(1, 4, 2)),
    INDEX(
      Donnees!$A:$Z,
      _xlpm.ligpartie + 3,
      MATCH(G$1, _xlpm.joueurs, 0) + 1
    )
  ), ""
)</f>
        <v/>
      </c>
      <c r="H183" t="str" cm="1">
        <f t="array" ref="H183">IFERROR(
  _xlfn.LET(
    _xlpm.ligpartie, MATCH($B182, Donnees!$F:$F, 0),
    _xlpm.joueurs, INDEX(Donnees!$A:$Z, _xlpm.ligpartie+1, _xlfn.SEQUENCE(1, 4, 2)),
    INDEX(
      Donnees!$A:$Z,
      _xlpm.ligpartie + 3,
      MATCH(H$1, _xlpm.joueurs, 0) + 1
    )
  ), ""
)</f>
        <v/>
      </c>
      <c r="I183" t="str" cm="1">
        <f t="array" ref="I183">IFERROR(
  _xlfn.LET(
    _xlpm.ligpartie, MATCH($B182, Donnees!$F:$F, 0),
    _xlpm.joueurs, INDEX(Donnees!$A:$Z, _xlpm.ligpartie+1, _xlfn.SEQUENCE(1, 4, 2)),
    INDEX(
      Donnees!$A:$Z,
      _xlpm.ligpartie + 3,
      MATCH(I$1, _xlpm.joueurs, 0) + 1
    )
  ), ""
)</f>
        <v/>
      </c>
      <c r="J183" t="str" cm="1">
        <f t="array" ref="J183">IFERROR(
  _xlfn.LET(
    _xlpm.ligpartie, MATCH($B182, Donnees!$F:$F, 0),
    _xlpm.joueurs, INDEX(Donnees!$A:$Z, _xlpm.ligpartie+1, _xlfn.SEQUENCE(1, 4, 2)),
    INDEX(
      Donnees!$A:$Z,
      _xlpm.ligpartie + 3,
      MATCH(J$1, _xlpm.joueurs, 0) + 1
    )
  ), ""
)</f>
        <v/>
      </c>
      <c r="K183" t="str" cm="1">
        <f t="array" ref="K183">IFERROR(
  _xlfn.LET(
    _xlpm.ligpartie, MATCH($B182, Donnees!$F:$F, 0),
    _xlpm.joueurs, INDEX(Donnees!$A:$Z, _xlpm.ligpartie+1, _xlfn.SEQUENCE(1, 4, 2)),
    INDEX(
      Donnees!$A:$Z,
      _xlpm.ligpartie + 3,
      MATCH(K$1, _xlpm.joueurs, 0) + 1
    )
  ), ""
)</f>
        <v/>
      </c>
      <c r="L183" t="str" cm="1">
        <f t="array" ref="L183">IFERROR(
  _xlfn.LET(
    _xlpm.ligpartie, MATCH($B182, Donnees!$F:$F, 0),
    _xlpm.joueurs, INDEX(Donnees!$A:$Z, _xlpm.ligpartie+1, _xlfn.SEQUENCE(1, 4, 2)),
    INDEX(
      Donnees!$A:$Z,
      _xlpm.ligpartie + 3,
      MATCH(L$1, _xlpm.joueurs, 0) + 1
    )
  ), ""
)</f>
        <v/>
      </c>
      <c r="M183" t="str" cm="1">
        <f t="array" ref="M183">IFERROR(
  _xlfn.LET(
    _xlpm.ligpartie, MATCH($B182, Donnees!$F:$F, 0),
    _xlpm.joueurs, INDEX(Donnees!$A:$Z, _xlpm.ligpartie+1, _xlfn.SEQUENCE(1, 4, 2)),
    INDEX(
      Donnees!$A:$Z,
      _xlpm.ligpartie + 3,
      MATCH(M$1, _xlpm.joueurs, 0) + 1
    )
  ), ""
)</f>
        <v/>
      </c>
      <c r="N183" t="str" cm="1">
        <f t="array" ref="N183">IFERROR(
  _xlfn.LET(
    _xlpm.ligpartie, MATCH($B182, Donnees!$F:$F, 0),
    _xlpm.joueurs, INDEX(Donnees!$A:$Z, _xlpm.ligpartie+1, _xlfn.SEQUENCE(1, 4, 2)),
    INDEX(
      Donnees!$A:$Z,
      _xlpm.ligpartie + 3,
      MATCH(N$1, _xlpm.joueurs, 0) + 1
    )
  ), ""
)</f>
        <v/>
      </c>
      <c r="O183" t="str" cm="1">
        <f t="array" ref="O183">IFERROR(
  _xlfn.LET(
    _xlpm.ligpartie, MATCH($B182, Donnees!$F:$F, 0),
    _xlpm.joueurs, INDEX(Donnees!$A:$Z, _xlpm.ligpartie+1, _xlfn.SEQUENCE(1, 4, 2)),
    INDEX(
      Donnees!$A:$Z,
      _xlpm.ligpartie + 3,
      MATCH(O$1, _xlpm.joueurs, 0) + 1
    )
  ), ""
)</f>
        <v/>
      </c>
      <c r="P183" t="str" cm="1">
        <f t="array" ref="P183">IFERROR(
  _xlfn.LET(
    _xlpm.ligpartie, MATCH($B182, Donnees!$F:$F, 0),
    _xlpm.joueurs, INDEX(Donnees!$A:$Z, _xlpm.ligpartie+1, _xlfn.SEQUENCE(1, 4, 2)),
    INDEX(
      Donnees!$A:$Z,
      _xlpm.ligpartie + 3,
      MATCH(P$1, _xlpm.joueurs, 0) + 1
    )
  ), ""
)</f>
        <v/>
      </c>
      <c r="Q183" t="str" cm="1">
        <f t="array" ref="Q183">IFERROR(
  _xlfn.LET(
    _xlpm.ligpartie, MATCH($B182, Donnees!$F:$F, 0),
    _xlpm.joueurs, INDEX(Donnees!$A:$Z, _xlpm.ligpartie+1, _xlfn.SEQUENCE(1, 4, 2)),
    INDEX(
      Donnees!$A:$Z,
      _xlpm.ligpartie + 3,
      MATCH(Q$1, _xlpm.joueurs, 0) + 1
    )
  ), ""
)</f>
        <v/>
      </c>
      <c r="R183" cm="1">
        <f t="array" ref="R183">IFERROR(
  _xlfn.LET(
    _xlpm.ligpartie, MATCH($B182, Donnees!$F:$F, 0),
    _xlpm.joueurs, INDEX(Donnees!$A:$Z, _xlpm.ligpartie+1, _xlfn.SEQUENCE(1, 4, 2)),
    INDEX(
      Donnees!$A:$Z,
      _xlpm.ligpartie + 3,
      MATCH(R$1, _xlpm.joueurs, 0) + 1
    )
  ), ""
)</f>
        <v>3</v>
      </c>
      <c r="S183" cm="1">
        <f t="array" ref="S183">IFERROR(
  _xlfn.LET(
    _xlpm.ligpartie, MATCH($B182, Donnees!$F:$F, 0),
    _xlpm.joueurs, INDEX(Donnees!$A:$Z, _xlpm.ligpartie+1, _xlfn.SEQUENCE(1, 4, 2)),
    INDEX(
      Donnees!$A:$Z,
      _xlpm.ligpartie + 3,
      MATCH(S$1, _xlpm.joueurs, 0) + 1
    )
  ), ""
)</f>
        <v>1</v>
      </c>
      <c r="T183" t="str" cm="1">
        <f t="array" ref="T183">IFERROR(
  _xlfn.LET(
    _xlpm.ligpartie, MATCH($B182, Donnees!$F:$F, 0),
    _xlpm.joueurs, INDEX(Donnees!$A:$Z, _xlpm.ligpartie+1, _xlfn.SEQUENCE(1, 4, 2)),
    INDEX(
      Donnees!$A:$Z,
      _xlpm.ligpartie + 3,
      MATCH(T$1, _xlpm.joueurs, 0) + 1
    )
  ), ""
)</f>
        <v/>
      </c>
      <c r="U183" t="str" cm="1">
        <f t="array" ref="U183">IFERROR(
  _xlfn.LET(
    _xlpm.ligpartie, MATCH($B182, Donnees!$F:$F, 0),
    _xlpm.joueurs, INDEX(Donnees!$A:$Z, _xlpm.ligpartie+1, _xlfn.SEQUENCE(1, 4, 2)),
    INDEX(
      Donnees!$A:$Z,
      _xlpm.ligpartie + 3,
      MATCH(U$1, _xlpm.joueurs, 0) + 1
    )
  ), ""
)</f>
        <v/>
      </c>
      <c r="V183" t="str" cm="1">
        <f t="array" ref="V183">IFERROR(
  _xlfn.LET(
    _xlpm.ligpartie, MATCH($B182, Donnees!$F:$F, 0),
    _xlpm.joueurs, INDEX(Donnees!$A:$Z, _xlpm.ligpartie+1, _xlfn.SEQUENCE(1, 4, 2)),
    INDEX(
      Donnees!$A:$Z,
      _xlpm.ligpartie + 3,
      MATCH(V$1, _xlpm.joueurs, 0) + 1
    )
  ), ""
)</f>
        <v/>
      </c>
      <c r="W183" t="str" cm="1">
        <f t="array" ref="W183">IFERROR(
  _xlfn.LET(
    _xlpm.ligpartie, MATCH($B182, Donnees!$F:$F, 0),
    _xlpm.joueurs, INDEX(Donnees!$A:$Z, _xlpm.ligpartie+1, _xlfn.SEQUENCE(1, 4, 2)),
    INDEX(
      Donnees!$A:$Z,
      _xlpm.ligpartie + 3,
      MATCH(W$1, _xlpm.joueurs, 0) + 1
    )
  ), ""
)</f>
        <v/>
      </c>
      <c r="X183" cm="1">
        <f t="array" ref="X183">IFERROR(
  _xlfn.LET(
    _xlpm.ligpartie, MATCH($B182, Donnees!$F:$F, 0),
    _xlpm.joueurs, INDEX(Donnees!$A:$Z, _xlpm.ligpartie+1, _xlfn.SEQUENCE(1, 4, 2)),
    INDEX(
      Donnees!$A:$Z,
      _xlpm.ligpartie + 3,
      MATCH(X$1, _xlpm.joueurs, 0) + 1
    )
  ), ""
)</f>
        <v>0</v>
      </c>
      <c r="Y183" t="str" cm="1">
        <f t="array" ref="Y183">IFERROR(
  _xlfn.LET(
    _xlpm.ligpartie, MATCH($B182, Donnees!$F:$F, 0),
    _xlpm.joueurs, INDEX(Donnees!$A:$Z, _xlpm.ligpartie+1, _xlfn.SEQUENCE(1, 4, 2)),
    INDEX(
      Donnees!$A:$Z,
      _xlpm.ligpartie + 3,
      MATCH(Y$1, _xlpm.joueurs, 0) + 1
    )
  ), ""
)</f>
        <v/>
      </c>
      <c r="Z183" t="str" cm="1">
        <f t="array" ref="Z183">IFERROR(
  _xlfn.LET(
    _xlpm.ligpartie, MATCH($B182, Donnees!$F:$F, 0),
    _xlpm.joueurs, INDEX(Donnees!$A:$Z, _xlpm.ligpartie+1, _xlfn.SEQUENCE(1, 4, 2)),
    INDEX(
      Donnees!$A:$Z,
      _xlpm.ligpartie + 3,
      MATCH(Z$1, _xlpm.joueurs, 0) + 1
    )
  ), ""
)</f>
        <v/>
      </c>
      <c r="AA183" t="str" cm="1">
        <f t="array" ref="AA183">IFERROR(
  _xlfn.LET(
    _xlpm.ligpartie, MATCH($B182, Donnees!$F:$F, 0),
    _xlpm.joueurs, INDEX(Donnees!$A:$Z, _xlpm.ligpartie+1, _xlfn.SEQUENCE(1, 4, 2)),
    INDEX(
      Donnees!$A:$Z,
      _xlpm.ligpartie + 3,
      MATCH(AA$1, _xlpm.joueurs, 0) + 1
    )
  ), ""
)</f>
        <v/>
      </c>
      <c r="AB183" t="str" cm="1">
        <f t="array" ref="AB183">IFERROR(
  _xlfn.LET(
    _xlpm.ligpartie, MATCH($B182, Donnees!$F:$F, 0),
    _xlpm.joueurs, INDEX(Donnees!$A:$Z, _xlpm.ligpartie+1, _xlfn.SEQUENCE(1, 4, 2)),
    INDEX(
      Donnees!$A:$Z,
      _xlpm.ligpartie + 3,
      MATCH(AB$1, _xlpm.joueurs, 0) + 1
    )
  ), ""
)</f>
        <v/>
      </c>
      <c r="AC183" t="str" cm="1">
        <f t="array" ref="AC183">IFERROR(
  _xlfn.LET(
    _xlpm.ligpartie, MATCH($B182, Donnees!$F:$F, 0),
    _xlpm.joueurs, INDEX(Donnees!$A:$Z, _xlpm.ligpartie+1, _xlfn.SEQUENCE(1, 4, 2)),
    INDEX(
      Donnees!$A:$Z,
      _xlpm.ligpartie + 3,
      MATCH(AC$1, _xlpm.joueurs, 0) + 1
    )
  ), ""
)</f>
        <v/>
      </c>
      <c r="AD183" t="str" cm="1">
        <f t="array" ref="AD183">IFERROR(
  _xlfn.LET(
    _xlpm.ligpartie, MATCH($B182, Donnees!$F:$F, 0),
    _xlpm.joueurs, INDEX(Donnees!$A:$Z, _xlpm.ligpartie+1, _xlfn.SEQUENCE(1, 4, 2)),
    INDEX(
      Donnees!$A:$Z,
      _xlpm.ligpartie + 3,
      MATCH(AD$1, _xlpm.joueurs, 0) + 1
    )
  ), ""
)</f>
        <v/>
      </c>
      <c r="AE183" t="str" cm="1">
        <f t="array" ref="AE183">IFERROR(
  _xlfn.LET(
    _xlpm.ligpartie, MATCH($B182, Donnees!$F:$F, 0),
    _xlpm.joueurs, INDEX(Donnees!$A:$Z, _xlpm.ligpartie+1, _xlfn.SEQUENCE(1, 4, 2)),
    INDEX(
      Donnees!$A:$Z,
      _xlpm.ligpartie + 3,
      MATCH(AE$1, _xlpm.joueurs, 0) + 1
    )
  ), ""
)</f>
        <v/>
      </c>
      <c r="AF183" t="str" cm="1">
        <f t="array" ref="AF183">IFERROR(
  _xlfn.LET(
    _xlpm.ligpartie, MATCH($B182, Donnees!$F:$F, 0),
    _xlpm.joueurs, INDEX(Donnees!$A:$Z, _xlpm.ligpartie+1, _xlfn.SEQUENCE(1, 4, 2)),
    INDEX(
      Donnees!$A:$Z,
      _xlpm.ligpartie + 3,
      MATCH(AF$1, _xlpm.joueurs, 0) + 1
    )
  ), ""
)</f>
        <v/>
      </c>
      <c r="AG183" t="str" cm="1">
        <f t="array" ref="AG183">IFERROR(
  _xlfn.LET(
    _xlpm.ligpartie, MATCH($B182, Donnees!$F:$F, 0),
    _xlpm.joueurs, INDEX(Donnees!$A:$Z, _xlpm.ligpartie+1, _xlfn.SEQUENCE(1, 4, 2)),
    INDEX(
      Donnees!$A:$Z,
      _xlpm.ligpartie + 3,
      MATCH(AG$1, _xlpm.joueurs, 0) + 1
    )
  ), ""
)</f>
        <v/>
      </c>
      <c r="AH183" t="str" cm="1">
        <f t="array" ref="AH183">IFERROR(
  _xlfn.LET(
    _xlpm.ligpartie, MATCH($B182, Donnees!$F:$F, 0),
    _xlpm.joueurs, INDEX(Donnees!$A:$Z, _xlpm.ligpartie+1, _xlfn.SEQUENCE(1, 4, 2)),
    INDEX(
      Donnees!$A:$Z,
      _xlpm.ligpartie + 3,
      MATCH(AH$1, _xlpm.joueurs, 0) + 1
    )
  ), ""
)</f>
        <v/>
      </c>
      <c r="AI183" t="str" cm="1">
        <f t="array" ref="AI183">IFERROR(
  _xlfn.LET(
    _xlpm.ligpartie, MATCH($B182, Donnees!$F:$F, 0),
    _xlpm.joueurs, INDEX(Donnees!$A:$Z, _xlpm.ligpartie+1, _xlfn.SEQUENCE(1, 4, 2)),
    INDEX(
      Donnees!$A:$Z,
      _xlpm.ligpartie + 3,
      MATCH(AI$1, _xlpm.joueurs, 0) + 1
    )
  ), ""
)</f>
        <v/>
      </c>
      <c r="AJ183" t="str" cm="1">
        <f t="array" ref="AJ183">IFERROR(
  _xlfn.LET(
    _xlpm.ligpartie, MATCH($B182, Donnees!$F:$F, 0),
    _xlpm.joueurs, INDEX(Donnees!$A:$Z, _xlpm.ligpartie+1, _xlfn.SEQUENCE(1, 4, 2)),
    INDEX(
      Donnees!$A:$Z,
      _xlpm.ligpartie + 3,
      MATCH(AJ$1, _xlpm.joueurs, 0) + 1
    )
  ), ""
)</f>
        <v/>
      </c>
      <c r="AK183" t="str" cm="1">
        <f t="array" ref="AK183">IFERROR(
  _xlfn.LET(
    _xlpm.ligpartie, MATCH($B182, Donnees!$F:$F, 0),
    _xlpm.joueurs, INDEX(Donnees!$A:$Z, _xlpm.ligpartie+1, _xlfn.SEQUENCE(1, 4, 2)),
    INDEX(
      Donnees!$A:$Z,
      _xlpm.ligpartie + 3,
      MATCH(AK$1, _xlpm.joueurs, 0) + 1
    )
  ), ""
)</f>
        <v/>
      </c>
      <c r="AL183" t="str" cm="1">
        <f t="array" ref="AL183">IFERROR(
  _xlfn.LET(
    _xlpm.ligpartie, MATCH($B182, Donnees!$F:$F, 0),
    _xlpm.joueurs, INDEX(Donnees!$A:$Z, _xlpm.ligpartie+1, _xlfn.SEQUENCE(1, 4, 2)),
    INDEX(
      Donnees!$A:$Z,
      _xlpm.ligpartie + 3,
      MATCH(AL$1, _xlpm.joueurs, 0) + 1
    )
  ), ""
)</f>
        <v/>
      </c>
      <c r="AM183" t="str" cm="1">
        <f t="array" ref="AM183">IFERROR(
  _xlfn.LET(
    _xlpm.ligpartie, MATCH($B182, Donnees!$F:$F, 0),
    _xlpm.joueurs, INDEX(Donnees!$A:$Z, _xlpm.ligpartie+1, _xlfn.SEQUENCE(1, 4, 2)),
    INDEX(
      Donnees!$A:$Z,
      _xlpm.ligpartie + 3,
      MATCH(AM$1, _xlpm.joueurs, 0) + 1
    )
  ), ""
)</f>
        <v/>
      </c>
    </row>
    <row r="184" spans="1:39" x14ac:dyDescent="0.25">
      <c r="A184" t="s">
        <v>20</v>
      </c>
      <c r="D184" t="str" cm="1">
        <f t="array" ref="D184">_xlfn.LET(
  _xlpm.colj, _xlfn._xlws.FILTER(IF(ISNUMBER(183:183), COLUMN(183:183)), ISNUMBER(183:183)),
  _xlpm.elos, INDEX(182:182,1,_xlpm.colj),
  _xlpm.diffscale, Constantes!$B$2,
  IF(D183="",
    "",
    SUM(1/(1+POWER(10,-(D182-_xlpm.elos)/_xlpm.diffscale)))-0.5)
)</f>
        <v/>
      </c>
      <c r="E184" t="str" cm="1">
        <f t="array" ref="E184">_xlfn.LET(
  _xlpm.colj, _xlfn._xlws.FILTER(IF(ISNUMBER(183:183), COLUMN(183:183)), ISNUMBER(183:183)),
  _xlpm.elos, INDEX(182:182,1,_xlpm.colj),
  _xlpm.diffscale, Constantes!$B$2,
  IF(E183="",
    "",
    SUM(1/(1+POWER(10,-(E182-_xlpm.elos)/_xlpm.diffscale)))-0.5)
)</f>
        <v/>
      </c>
      <c r="F184" cm="1">
        <f t="array" ref="F184">_xlfn.LET(
  _xlpm.colj, _xlfn._xlws.FILTER(IF(ISNUMBER(183:183), COLUMN(183:183)), ISNUMBER(183:183)),
  _xlpm.elos, INDEX(182:182,1,_xlpm.colj),
  _xlpm.diffscale, Constantes!$B$2,
  IF(F183="",
    "",
    SUM(1/(1+POWER(10,-(F182-_xlpm.elos)/_xlpm.diffscale)))-0.5)
)</f>
        <v>1.0804895378914601</v>
      </c>
      <c r="G184" t="str" cm="1">
        <f t="array" ref="G184">_xlfn.LET(
  _xlpm.colj, _xlfn._xlws.FILTER(IF(ISNUMBER(183:183), COLUMN(183:183)), ISNUMBER(183:183)),
  _xlpm.elos, INDEX(182:182,1,_xlpm.colj),
  _xlpm.diffscale, Constantes!$B$2,
  IF(G183="",
    "",
    SUM(1/(1+POWER(10,-(G182-_xlpm.elos)/_xlpm.diffscale)))-0.5)
)</f>
        <v/>
      </c>
      <c r="H184" t="str" cm="1">
        <f t="array" ref="H184">_xlfn.LET(
  _xlpm.colj, _xlfn._xlws.FILTER(IF(ISNUMBER(183:183), COLUMN(183:183)), ISNUMBER(183:183)),
  _xlpm.elos, INDEX(182:182,1,_xlpm.colj),
  _xlpm.diffscale, Constantes!$B$2,
  IF(H183="",
    "",
    SUM(1/(1+POWER(10,-(H182-_xlpm.elos)/_xlpm.diffscale)))-0.5)
)</f>
        <v/>
      </c>
      <c r="I184" t="str" cm="1">
        <f t="array" ref="I184">_xlfn.LET(
  _xlpm.colj, _xlfn._xlws.FILTER(IF(ISNUMBER(183:183), COLUMN(183:183)), ISNUMBER(183:183)),
  _xlpm.elos, INDEX(182:182,1,_xlpm.colj),
  _xlpm.diffscale, Constantes!$B$2,
  IF(I183="",
    "",
    SUM(1/(1+POWER(10,-(I182-_xlpm.elos)/_xlpm.diffscale)))-0.5)
)</f>
        <v/>
      </c>
      <c r="J184" t="str" cm="1">
        <f t="array" ref="J184">_xlfn.LET(
  _xlpm.colj, _xlfn._xlws.FILTER(IF(ISNUMBER(183:183), COLUMN(183:183)), ISNUMBER(183:183)),
  _xlpm.elos, INDEX(182:182,1,_xlpm.colj),
  _xlpm.diffscale, Constantes!$B$2,
  IF(J183="",
    "",
    SUM(1/(1+POWER(10,-(J182-_xlpm.elos)/_xlpm.diffscale)))-0.5)
)</f>
        <v/>
      </c>
      <c r="K184" t="str" cm="1">
        <f t="array" ref="K184">_xlfn.LET(
  _xlpm.colj, _xlfn._xlws.FILTER(IF(ISNUMBER(183:183), COLUMN(183:183)), ISNUMBER(183:183)),
  _xlpm.elos, INDEX(182:182,1,_xlpm.colj),
  _xlpm.diffscale, Constantes!$B$2,
  IF(K183="",
    "",
    SUM(1/(1+POWER(10,-(K182-_xlpm.elos)/_xlpm.diffscale)))-0.5)
)</f>
        <v/>
      </c>
      <c r="L184" t="str" cm="1">
        <f t="array" ref="L184">_xlfn.LET(
  _xlpm.colj, _xlfn._xlws.FILTER(IF(ISNUMBER(183:183), COLUMN(183:183)), ISNUMBER(183:183)),
  _xlpm.elos, INDEX(182:182,1,_xlpm.colj),
  _xlpm.diffscale, Constantes!$B$2,
  IF(L183="",
    "",
    SUM(1/(1+POWER(10,-(L182-_xlpm.elos)/_xlpm.diffscale)))-0.5)
)</f>
        <v/>
      </c>
      <c r="M184" t="str" cm="1">
        <f t="array" ref="M184">_xlfn.LET(
  _xlpm.colj, _xlfn._xlws.FILTER(IF(ISNUMBER(183:183), COLUMN(183:183)), ISNUMBER(183:183)),
  _xlpm.elos, INDEX(182:182,1,_xlpm.colj),
  _xlpm.diffscale, Constantes!$B$2,
  IF(M183="",
    "",
    SUM(1/(1+POWER(10,-(M182-_xlpm.elos)/_xlpm.diffscale)))-0.5)
)</f>
        <v/>
      </c>
      <c r="N184" t="str" cm="1">
        <f t="array" ref="N184">_xlfn.LET(
  _xlpm.colj, _xlfn._xlws.FILTER(IF(ISNUMBER(183:183), COLUMN(183:183)), ISNUMBER(183:183)),
  _xlpm.elos, INDEX(182:182,1,_xlpm.colj),
  _xlpm.diffscale, Constantes!$B$2,
  IF(N183="",
    "",
    SUM(1/(1+POWER(10,-(N182-_xlpm.elos)/_xlpm.diffscale)))-0.5)
)</f>
        <v/>
      </c>
      <c r="O184" t="str" cm="1">
        <f t="array" ref="O184">_xlfn.LET(
  _xlpm.colj, _xlfn._xlws.FILTER(IF(ISNUMBER(183:183), COLUMN(183:183)), ISNUMBER(183:183)),
  _xlpm.elos, INDEX(182:182,1,_xlpm.colj),
  _xlpm.diffscale, Constantes!$B$2,
  IF(O183="",
    "",
    SUM(1/(1+POWER(10,-(O182-_xlpm.elos)/_xlpm.diffscale)))-0.5)
)</f>
        <v/>
      </c>
      <c r="P184" t="str" cm="1">
        <f t="array" ref="P184">_xlfn.LET(
  _xlpm.colj, _xlfn._xlws.FILTER(IF(ISNUMBER(183:183), COLUMN(183:183)), ISNUMBER(183:183)),
  _xlpm.elos, INDEX(182:182,1,_xlpm.colj),
  _xlpm.diffscale, Constantes!$B$2,
  IF(P183="",
    "",
    SUM(1/(1+POWER(10,-(P182-_xlpm.elos)/_xlpm.diffscale)))-0.5)
)</f>
        <v/>
      </c>
      <c r="Q184" t="str" cm="1">
        <f t="array" ref="Q184">_xlfn.LET(
  _xlpm.colj, _xlfn._xlws.FILTER(IF(ISNUMBER(183:183), COLUMN(183:183)), ISNUMBER(183:183)),
  _xlpm.elos, INDEX(182:182,1,_xlpm.colj),
  _xlpm.diffscale, Constantes!$B$2,
  IF(Q183="",
    "",
    SUM(1/(1+POWER(10,-(Q182-_xlpm.elos)/_xlpm.diffscale)))-0.5)
)</f>
        <v/>
      </c>
      <c r="R184" cm="1">
        <f t="array" ref="R184">_xlfn.LET(
  _xlpm.colj, _xlfn._xlws.FILTER(IF(ISNUMBER(183:183), COLUMN(183:183)), ISNUMBER(183:183)),
  _xlpm.elos, INDEX(182:182,1,_xlpm.colj),
  _xlpm.diffscale, Constantes!$B$2,
  IF(R183="",
    "",
    SUM(1/(1+POWER(10,-(R182-_xlpm.elos)/_xlpm.diffscale)))-0.5)
)</f>
        <v>2.5886888282254112</v>
      </c>
      <c r="S184" cm="1">
        <f t="array" ref="S184">_xlfn.LET(
  _xlpm.colj, _xlfn._xlws.FILTER(IF(ISNUMBER(183:183), COLUMN(183:183)), ISNUMBER(183:183)),
  _xlpm.elos, INDEX(182:182,1,_xlpm.colj),
  _xlpm.diffscale, Constantes!$B$2,
  IF(S183="",
    "",
    SUM(1/(1+POWER(10,-(S182-_xlpm.elos)/_xlpm.diffscale)))-0.5)
)</f>
        <v>1.1913549098615481</v>
      </c>
      <c r="T184" t="str" cm="1">
        <f t="array" ref="T184">_xlfn.LET(
  _xlpm.colj, _xlfn._xlws.FILTER(IF(ISNUMBER(183:183), COLUMN(183:183)), ISNUMBER(183:183)),
  _xlpm.elos, INDEX(182:182,1,_xlpm.colj),
  _xlpm.diffscale, Constantes!$B$2,
  IF(T183="",
    "",
    SUM(1/(1+POWER(10,-(T182-_xlpm.elos)/_xlpm.diffscale)))-0.5)
)</f>
        <v/>
      </c>
      <c r="U184" t="str" cm="1">
        <f t="array" ref="U184">_xlfn.LET(
  _xlpm.colj, _xlfn._xlws.FILTER(IF(ISNUMBER(183:183), COLUMN(183:183)), ISNUMBER(183:183)),
  _xlpm.elos, INDEX(182:182,1,_xlpm.colj),
  _xlpm.diffscale, Constantes!$B$2,
  IF(U183="",
    "",
    SUM(1/(1+POWER(10,-(U182-_xlpm.elos)/_xlpm.diffscale)))-0.5)
)</f>
        <v/>
      </c>
      <c r="V184" t="str" cm="1">
        <f t="array" ref="V184">_xlfn.LET(
  _xlpm.colj, _xlfn._xlws.FILTER(IF(ISNUMBER(183:183), COLUMN(183:183)), ISNUMBER(183:183)),
  _xlpm.elos, INDEX(182:182,1,_xlpm.colj),
  _xlpm.diffscale, Constantes!$B$2,
  IF(V183="",
    "",
    SUM(1/(1+POWER(10,-(V182-_xlpm.elos)/_xlpm.diffscale)))-0.5)
)</f>
        <v/>
      </c>
      <c r="W184" t="str" cm="1">
        <f t="array" ref="W184">_xlfn.LET(
  _xlpm.colj, _xlfn._xlws.FILTER(IF(ISNUMBER(183:183), COLUMN(183:183)), ISNUMBER(183:183)),
  _xlpm.elos, INDEX(182:182,1,_xlpm.colj),
  _xlpm.diffscale, Constantes!$B$2,
  IF(W183="",
    "",
    SUM(1/(1+POWER(10,-(W182-_xlpm.elos)/_xlpm.diffscale)))-0.5)
)</f>
        <v/>
      </c>
      <c r="X184" cm="1">
        <f t="array" ref="X184">_xlfn.LET(
  _xlpm.colj, _xlfn._xlws.FILTER(IF(ISNUMBER(183:183), COLUMN(183:183)), ISNUMBER(183:183)),
  _xlpm.elos, INDEX(182:182,1,_xlpm.colj),
  _xlpm.diffscale, Constantes!$B$2,
  IF(X183="",
    "",
    SUM(1/(1+POWER(10,-(X182-_xlpm.elos)/_xlpm.diffscale)))-0.5)
)</f>
        <v>1.1394667240215801</v>
      </c>
      <c r="Y184" t="str" cm="1">
        <f t="array" ref="Y184">_xlfn.LET(
  _xlpm.colj, _xlfn._xlws.FILTER(IF(ISNUMBER(183:183), COLUMN(183:183)), ISNUMBER(183:183)),
  _xlpm.elos, INDEX(182:182,1,_xlpm.colj),
  _xlpm.diffscale, Constantes!$B$2,
  IF(Y183="",
    "",
    SUM(1/(1+POWER(10,-(Y182-_xlpm.elos)/_xlpm.diffscale)))-0.5)
)</f>
        <v/>
      </c>
      <c r="Z184" t="str" cm="1">
        <f t="array" ref="Z184">_xlfn.LET(
  _xlpm.colj, _xlfn._xlws.FILTER(IF(ISNUMBER(183:183), COLUMN(183:183)), ISNUMBER(183:183)),
  _xlpm.elos, INDEX(182:182,1,_xlpm.colj),
  _xlpm.diffscale, Constantes!$B$2,
  IF(Z183="",
    "",
    SUM(1/(1+POWER(10,-(Z182-_xlpm.elos)/_xlpm.diffscale)))-0.5)
)</f>
        <v/>
      </c>
      <c r="AA184" t="str" cm="1">
        <f t="array" ref="AA184">_xlfn.LET(
  _xlpm.colj, _xlfn._xlws.FILTER(IF(ISNUMBER(183:183), COLUMN(183:183)), ISNUMBER(183:183)),
  _xlpm.elos, INDEX(182:182,1,_xlpm.colj),
  _xlpm.diffscale, Constantes!$B$2,
  IF(AA183="",
    "",
    SUM(1/(1+POWER(10,-(AA182-_xlpm.elos)/_xlpm.diffscale)))-0.5)
)</f>
        <v/>
      </c>
      <c r="AB184" t="str" cm="1">
        <f t="array" ref="AB184">_xlfn.LET(
  _xlpm.colj, _xlfn._xlws.FILTER(IF(ISNUMBER(183:183), COLUMN(183:183)), ISNUMBER(183:183)),
  _xlpm.elos, INDEX(182:182,1,_xlpm.colj),
  _xlpm.diffscale, Constantes!$B$2,
  IF(AB183="",
    "",
    SUM(1/(1+POWER(10,-(AB182-_xlpm.elos)/_xlpm.diffscale)))-0.5)
)</f>
        <v/>
      </c>
      <c r="AC184" t="str" cm="1">
        <f t="array" ref="AC184">_xlfn.LET(
  _xlpm.colj, _xlfn._xlws.FILTER(IF(ISNUMBER(183:183), COLUMN(183:183)), ISNUMBER(183:183)),
  _xlpm.elos, INDEX(182:182,1,_xlpm.colj),
  _xlpm.diffscale, Constantes!$B$2,
  IF(AC183="",
    "",
    SUM(1/(1+POWER(10,-(AC182-_xlpm.elos)/_xlpm.diffscale)))-0.5)
)</f>
        <v/>
      </c>
      <c r="AD184" t="str" cm="1">
        <f t="array" ref="AD184">_xlfn.LET(
  _xlpm.colj, _xlfn._xlws.FILTER(IF(ISNUMBER(183:183), COLUMN(183:183)), ISNUMBER(183:183)),
  _xlpm.elos, INDEX(182:182,1,_xlpm.colj),
  _xlpm.diffscale, Constantes!$B$2,
  IF(AD183="",
    "",
    SUM(1/(1+POWER(10,-(AD182-_xlpm.elos)/_xlpm.diffscale)))-0.5)
)</f>
        <v/>
      </c>
      <c r="AE184" t="str" cm="1">
        <f t="array" ref="AE184">_xlfn.LET(
  _xlpm.colj, _xlfn._xlws.FILTER(IF(ISNUMBER(183:183), COLUMN(183:183)), ISNUMBER(183:183)),
  _xlpm.elos, INDEX(182:182,1,_xlpm.colj),
  _xlpm.diffscale, Constantes!$B$2,
  IF(AE183="",
    "",
    SUM(1/(1+POWER(10,-(AE182-_xlpm.elos)/_xlpm.diffscale)))-0.5)
)</f>
        <v/>
      </c>
      <c r="AF184" t="str" cm="1">
        <f t="array" ref="AF184">_xlfn.LET(
  _xlpm.colj, _xlfn._xlws.FILTER(IF(ISNUMBER(183:183), COLUMN(183:183)), ISNUMBER(183:183)),
  _xlpm.elos, INDEX(182:182,1,_xlpm.colj),
  _xlpm.diffscale, Constantes!$B$2,
  IF(AF183="",
    "",
    SUM(1/(1+POWER(10,-(AF182-_xlpm.elos)/_xlpm.diffscale)))-0.5)
)</f>
        <v/>
      </c>
      <c r="AG184" t="str" cm="1">
        <f t="array" ref="AG184">_xlfn.LET(
  _xlpm.colj, _xlfn._xlws.FILTER(IF(ISNUMBER(183:183), COLUMN(183:183)), ISNUMBER(183:183)),
  _xlpm.elos, INDEX(182:182,1,_xlpm.colj),
  _xlpm.diffscale, Constantes!$B$2,
  IF(AG183="",
    "",
    SUM(1/(1+POWER(10,-(AG182-_xlpm.elos)/_xlpm.diffscale)))-0.5)
)</f>
        <v/>
      </c>
      <c r="AH184" t="str" cm="1">
        <f t="array" ref="AH184">_xlfn.LET(
  _xlpm.colj, _xlfn._xlws.FILTER(IF(ISNUMBER(183:183), COLUMN(183:183)), ISNUMBER(183:183)),
  _xlpm.elos, INDEX(182:182,1,_xlpm.colj),
  _xlpm.diffscale, Constantes!$B$2,
  IF(AH183="",
    "",
    SUM(1/(1+POWER(10,-(AH182-_xlpm.elos)/_xlpm.diffscale)))-0.5)
)</f>
        <v/>
      </c>
      <c r="AI184" t="str" cm="1">
        <f t="array" ref="AI184">_xlfn.LET(
  _xlpm.colj, _xlfn._xlws.FILTER(IF(ISNUMBER(183:183), COLUMN(183:183)), ISNUMBER(183:183)),
  _xlpm.elos, INDEX(182:182,1,_xlpm.colj),
  _xlpm.diffscale, Constantes!$B$2,
  IF(AI183="",
    "",
    SUM(1/(1+POWER(10,-(AI182-_xlpm.elos)/_xlpm.diffscale)))-0.5)
)</f>
        <v/>
      </c>
      <c r="AJ184" t="str" cm="1">
        <f t="array" ref="AJ184">_xlfn.LET(
  _xlpm.colj, _xlfn._xlws.FILTER(IF(ISNUMBER(183:183), COLUMN(183:183)), ISNUMBER(183:183)),
  _xlpm.elos, INDEX(182:182,1,_xlpm.colj),
  _xlpm.diffscale, Constantes!$B$2,
  IF(AJ183="",
    "",
    SUM(1/(1+POWER(10,-(AJ182-_xlpm.elos)/_xlpm.diffscale)))-0.5)
)</f>
        <v/>
      </c>
      <c r="AK184" t="str" cm="1">
        <f t="array" ref="AK184">_xlfn.LET(
  _xlpm.colj, _xlfn._xlws.FILTER(IF(ISNUMBER(183:183), COLUMN(183:183)), ISNUMBER(183:183)),
  _xlpm.elos, INDEX(182:182,1,_xlpm.colj),
  _xlpm.diffscale, Constantes!$B$2,
  IF(AK183="",
    "",
    SUM(1/(1+POWER(10,-(AK182-_xlpm.elos)/_xlpm.diffscale)))-0.5)
)</f>
        <v/>
      </c>
      <c r="AL184" t="str" cm="1">
        <f t="array" ref="AL184">_xlfn.LET(
  _xlpm.colj, _xlfn._xlws.FILTER(IF(ISNUMBER(183:183), COLUMN(183:183)), ISNUMBER(183:183)),
  _xlpm.elos, INDEX(182:182,1,_xlpm.colj),
  _xlpm.diffscale, Constantes!$B$2,
  IF(AL183="",
    "",
    SUM(1/(1+POWER(10,-(AL182-_xlpm.elos)/_xlpm.diffscale)))-0.5)
)</f>
        <v/>
      </c>
      <c r="AM184" t="str" cm="1">
        <f t="array" ref="AM184">_xlfn.LET(
  _xlpm.colj, _xlfn._xlws.FILTER(IF(ISNUMBER(183:183), COLUMN(183:183)), ISNUMBER(183:183)),
  _xlpm.elos, INDEX(182:182,1,_xlpm.colj),
  _xlpm.diffscale, Constantes!$B$2,
  IF(AM183="",
    "",
    SUM(1/(1+POWER(10,-(AM182-_xlpm.elos)/_xlpm.diffscale)))-0.5)
)</f>
        <v/>
      </c>
    </row>
    <row r="185" spans="1:39" x14ac:dyDescent="0.25">
      <c r="A185" t="s">
        <v>22</v>
      </c>
      <c r="D185" t="str" cm="1">
        <f t="array" ref="D185">_xlfn.LET(
  _xlpm.K, Constantes!$B$3,
  _xlpm.Knewgain, Constantes!$B$4,
  _xlpm.Knewscale, Constantes!$B$5,
  _xlpm.ptstables, INDEX(D:D, _xlfn.SEQUENCE(COUNTA($C$2:$C185), 1, 3, 4)),
  _xlpm.nbparties, COUNTA(_xlfn._xlws.FILTER(_xlpm.ptstables, _xlpm.ptstables &lt;&gt; "")),
  _xlpm.coef, _xlpm.K + _xlpm.Knewgain / (_xlpm.Knewscale + _xlpm.nbparties),
  IF(D183="",
    "",
    _xlpm.coef * (D183-D184))
)</f>
        <v/>
      </c>
      <c r="E185" t="str" cm="1">
        <f t="array" ref="E185">_xlfn.LET(
  _xlpm.K, Constantes!$B$3,
  _xlpm.Knewgain, Constantes!$B$4,
  _xlpm.Knewscale, Constantes!$B$5,
  _xlpm.ptstables, INDEX(E:E, _xlfn.SEQUENCE(COUNTA($C$2:$C185), 1, 3, 4)),
  _xlpm.nbparties, COUNTA(_xlfn._xlws.FILTER(_xlpm.ptstables, _xlpm.ptstables &lt;&gt; "")),
  _xlpm.coef, _xlpm.K + _xlpm.Knewgain / (_xlpm.Knewscale + _xlpm.nbparties),
  IF(E183="",
    "",
    _xlpm.coef * (E183-E184))
)</f>
        <v/>
      </c>
      <c r="F185" cm="1">
        <f t="array" ref="F185">_xlfn.LET(
  _xlpm.K, Constantes!$B$3,
  _xlpm.Knewgain, Constantes!$B$4,
  _xlpm.Knewscale, Constantes!$B$5,
  _xlpm.ptstables, INDEX(F:F, _xlfn.SEQUENCE(COUNTA($C$2:$C185), 1, 3, 4)),
  _xlpm.nbparties, COUNTA(_xlfn._xlws.FILTER(_xlpm.ptstables, _xlpm.ptstables &lt;&gt; "")),
  _xlpm.coef, _xlpm.K + _xlpm.Knewgain / (_xlpm.Knewscale + _xlpm.nbparties),
  IF(F183="",
    "",
    _xlpm.coef * (F183-F184))
)</f>
        <v>21.263679436259984</v>
      </c>
      <c r="G185" t="str" cm="1">
        <f t="array" ref="G185">_xlfn.LET(
  _xlpm.K, Constantes!$B$3,
  _xlpm.Knewgain, Constantes!$B$4,
  _xlpm.Knewscale, Constantes!$B$5,
  _xlpm.ptstables, INDEX(G:G, _xlfn.SEQUENCE(COUNTA($C$2:$C185), 1, 3, 4)),
  _xlpm.nbparties, COUNTA(_xlfn._xlws.FILTER(_xlpm.ptstables, _xlpm.ptstables &lt;&gt; "")),
  _xlpm.coef, _xlpm.K + _xlpm.Knewgain / (_xlpm.Knewscale + _xlpm.nbparties),
  IF(G183="",
    "",
    _xlpm.coef * (G183-G184))
)</f>
        <v/>
      </c>
      <c r="H185" t="str" cm="1">
        <f t="array" ref="H185">_xlfn.LET(
  _xlpm.K, Constantes!$B$3,
  _xlpm.Knewgain, Constantes!$B$4,
  _xlpm.Knewscale, Constantes!$B$5,
  _xlpm.ptstables, INDEX(H:H, _xlfn.SEQUENCE(COUNTA($C$2:$C185), 1, 3, 4)),
  _xlpm.nbparties, COUNTA(_xlfn._xlws.FILTER(_xlpm.ptstables, _xlpm.ptstables &lt;&gt; "")),
  _xlpm.coef, _xlpm.K + _xlpm.Knewgain / (_xlpm.Knewscale + _xlpm.nbparties),
  IF(H183="",
    "",
    _xlpm.coef * (H183-H184))
)</f>
        <v/>
      </c>
      <c r="I185" t="str" cm="1">
        <f t="array" ref="I185">_xlfn.LET(
  _xlpm.K, Constantes!$B$3,
  _xlpm.Knewgain, Constantes!$B$4,
  _xlpm.Knewscale, Constantes!$B$5,
  _xlpm.ptstables, INDEX(I:I, _xlfn.SEQUENCE(COUNTA($C$2:$C185), 1, 3, 4)),
  _xlpm.nbparties, COUNTA(_xlfn._xlws.FILTER(_xlpm.ptstables, _xlpm.ptstables &lt;&gt; "")),
  _xlpm.coef, _xlpm.K + _xlpm.Knewgain / (_xlpm.Knewscale + _xlpm.nbparties),
  IF(I183="",
    "",
    _xlpm.coef * (I183-I184))
)</f>
        <v/>
      </c>
      <c r="J185" t="str" cm="1">
        <f t="array" ref="J185">_xlfn.LET(
  _xlpm.K, Constantes!$B$3,
  _xlpm.Knewgain, Constantes!$B$4,
  _xlpm.Knewscale, Constantes!$B$5,
  _xlpm.ptstables, INDEX(J:J, _xlfn.SEQUENCE(COUNTA($C$2:$C185), 1, 3, 4)),
  _xlpm.nbparties, COUNTA(_xlfn._xlws.FILTER(_xlpm.ptstables, _xlpm.ptstables &lt;&gt; "")),
  _xlpm.coef, _xlpm.K + _xlpm.Knewgain / (_xlpm.Knewscale + _xlpm.nbparties),
  IF(J183="",
    "",
    _xlpm.coef * (J183-J184))
)</f>
        <v/>
      </c>
      <c r="K185" t="str" cm="1">
        <f t="array" ref="K185">_xlfn.LET(
  _xlpm.K, Constantes!$B$3,
  _xlpm.Knewgain, Constantes!$B$4,
  _xlpm.Knewscale, Constantes!$B$5,
  _xlpm.ptstables, INDEX(K:K, _xlfn.SEQUENCE(COUNTA($C$2:$C185), 1, 3, 4)),
  _xlpm.nbparties, COUNTA(_xlfn._xlws.FILTER(_xlpm.ptstables, _xlpm.ptstables &lt;&gt; "")),
  _xlpm.coef, _xlpm.K + _xlpm.Knewgain / (_xlpm.Knewscale + _xlpm.nbparties),
  IF(K183="",
    "",
    _xlpm.coef * (K183-K184))
)</f>
        <v/>
      </c>
      <c r="L185" t="str" cm="1">
        <f t="array" ref="L185">_xlfn.LET(
  _xlpm.K, Constantes!$B$3,
  _xlpm.Knewgain, Constantes!$B$4,
  _xlpm.Knewscale, Constantes!$B$5,
  _xlpm.ptstables, INDEX(L:L, _xlfn.SEQUENCE(COUNTA($C$2:$C185), 1, 3, 4)),
  _xlpm.nbparties, COUNTA(_xlfn._xlws.FILTER(_xlpm.ptstables, _xlpm.ptstables &lt;&gt; "")),
  _xlpm.coef, _xlpm.K + _xlpm.Knewgain / (_xlpm.Knewscale + _xlpm.nbparties),
  IF(L183="",
    "",
    _xlpm.coef * (L183-L184))
)</f>
        <v/>
      </c>
      <c r="M185" t="str" cm="1">
        <f t="array" ref="M185">_xlfn.LET(
  _xlpm.K, Constantes!$B$3,
  _xlpm.Knewgain, Constantes!$B$4,
  _xlpm.Knewscale, Constantes!$B$5,
  _xlpm.ptstables, INDEX(M:M, _xlfn.SEQUENCE(COUNTA($C$2:$C185), 1, 3, 4)),
  _xlpm.nbparties, COUNTA(_xlfn._xlws.FILTER(_xlpm.ptstables, _xlpm.ptstables &lt;&gt; "")),
  _xlpm.coef, _xlpm.K + _xlpm.Knewgain / (_xlpm.Knewscale + _xlpm.nbparties),
  IF(M183="",
    "",
    _xlpm.coef * (M183-M184))
)</f>
        <v/>
      </c>
      <c r="N185" t="str" cm="1">
        <f t="array" ref="N185">_xlfn.LET(
  _xlpm.K, Constantes!$B$3,
  _xlpm.Knewgain, Constantes!$B$4,
  _xlpm.Knewscale, Constantes!$B$5,
  _xlpm.ptstables, INDEX(N:N, _xlfn.SEQUENCE(COUNTA($C$2:$C185), 1, 3, 4)),
  _xlpm.nbparties, COUNTA(_xlfn._xlws.FILTER(_xlpm.ptstables, _xlpm.ptstables &lt;&gt; "")),
  _xlpm.coef, _xlpm.K + _xlpm.Knewgain / (_xlpm.Knewscale + _xlpm.nbparties),
  IF(N183="",
    "",
    _xlpm.coef * (N183-N184))
)</f>
        <v/>
      </c>
      <c r="O185" t="str" cm="1">
        <f t="array" ref="O185">_xlfn.LET(
  _xlpm.K, Constantes!$B$3,
  _xlpm.Knewgain, Constantes!$B$4,
  _xlpm.Knewscale, Constantes!$B$5,
  _xlpm.ptstables, INDEX(O:O, _xlfn.SEQUENCE(COUNTA($C$2:$C185), 1, 3, 4)),
  _xlpm.nbparties, COUNTA(_xlfn._xlws.FILTER(_xlpm.ptstables, _xlpm.ptstables &lt;&gt; "")),
  _xlpm.coef, _xlpm.K + _xlpm.Knewgain / (_xlpm.Knewscale + _xlpm.nbparties),
  IF(O183="",
    "",
    _xlpm.coef * (O183-O184))
)</f>
        <v/>
      </c>
      <c r="P185" t="str" cm="1">
        <f t="array" ref="P185">_xlfn.LET(
  _xlpm.K, Constantes!$B$3,
  _xlpm.Knewgain, Constantes!$B$4,
  _xlpm.Knewscale, Constantes!$B$5,
  _xlpm.ptstables, INDEX(P:P, _xlfn.SEQUENCE(COUNTA($C$2:$C185), 1, 3, 4)),
  _xlpm.nbparties, COUNTA(_xlfn._xlws.FILTER(_xlpm.ptstables, _xlpm.ptstables &lt;&gt; "")),
  _xlpm.coef, _xlpm.K + _xlpm.Knewgain / (_xlpm.Knewscale + _xlpm.nbparties),
  IF(P183="",
    "",
    _xlpm.coef * (P183-P184))
)</f>
        <v/>
      </c>
      <c r="Q185" t="str" cm="1">
        <f t="array" ref="Q185">_xlfn.LET(
  _xlpm.K, Constantes!$B$3,
  _xlpm.Knewgain, Constantes!$B$4,
  _xlpm.Knewscale, Constantes!$B$5,
  _xlpm.ptstables, INDEX(Q:Q, _xlfn.SEQUENCE(COUNTA($C$2:$C185), 1, 3, 4)),
  _xlpm.nbparties, COUNTA(_xlfn._xlws.FILTER(_xlpm.ptstables, _xlpm.ptstables &lt;&gt; "")),
  _xlpm.coef, _xlpm.K + _xlpm.Knewgain / (_xlpm.Knewscale + _xlpm.nbparties),
  IF(Q183="",
    "",
    _xlpm.coef * (Q183-Q184))
)</f>
        <v/>
      </c>
      <c r="R185" cm="1">
        <f t="array" ref="R185">_xlfn.LET(
  _xlpm.K, Constantes!$B$3,
  _xlpm.Knewgain, Constantes!$B$4,
  _xlpm.Knewscale, Constantes!$B$5,
  _xlpm.ptstables, INDEX(R:R, _xlfn.SEQUENCE(COUNTA($C$2:$C185), 1, 3, 4)),
  _xlpm.nbparties, COUNTA(_xlfn._xlws.FILTER(_xlpm.ptstables, _xlpm.ptstables &lt;&gt; "")),
  _xlpm.coef, _xlpm.K + _xlpm.Knewgain / (_xlpm.Knewscale + _xlpm.nbparties),
  IF(R183="",
    "",
    _xlpm.coef * (R183-R184))
)</f>
        <v>9.8081894807786547</v>
      </c>
      <c r="S185" cm="1">
        <f t="array" ref="S185">_xlfn.LET(
  _xlpm.K, Constantes!$B$3,
  _xlpm.Knewgain, Constantes!$B$4,
  _xlpm.Knewscale, Constantes!$B$5,
  _xlpm.ptstables, INDEX(S:S, _xlfn.SEQUENCE(COUNTA($C$2:$C185), 1, 3, 4)),
  _xlpm.nbparties, COUNTA(_xlfn._xlws.FILTER(_xlpm.ptstables, _xlpm.ptstables &lt;&gt; "")),
  _xlpm.coef, _xlpm.K + _xlpm.Knewgain / (_xlpm.Knewscale + _xlpm.nbparties),
  IF(S183="",
    "",
    _xlpm.coef * (S183-S184))
)</f>
        <v>-4.5630786197753785</v>
      </c>
      <c r="T185" t="str" cm="1">
        <f t="array" ref="T185">_xlfn.LET(
  _xlpm.K, Constantes!$B$3,
  _xlpm.Knewgain, Constantes!$B$4,
  _xlpm.Knewscale, Constantes!$B$5,
  _xlpm.ptstables, INDEX(T:T, _xlfn.SEQUENCE(COUNTA($C$2:$C185), 1, 3, 4)),
  _xlpm.nbparties, COUNTA(_xlfn._xlws.FILTER(_xlpm.ptstables, _xlpm.ptstables &lt;&gt; "")),
  _xlpm.coef, _xlpm.K + _xlpm.Knewgain / (_xlpm.Knewscale + _xlpm.nbparties),
  IF(T183="",
    "",
    _xlpm.coef * (T183-T184))
)</f>
        <v/>
      </c>
      <c r="U185" t="str" cm="1">
        <f t="array" ref="U185">_xlfn.LET(
  _xlpm.K, Constantes!$B$3,
  _xlpm.Knewgain, Constantes!$B$4,
  _xlpm.Knewscale, Constantes!$B$5,
  _xlpm.ptstables, INDEX(U:U, _xlfn.SEQUENCE(COUNTA($C$2:$C185), 1, 3, 4)),
  _xlpm.nbparties, COUNTA(_xlfn._xlws.FILTER(_xlpm.ptstables, _xlpm.ptstables &lt;&gt; "")),
  _xlpm.coef, _xlpm.K + _xlpm.Knewgain / (_xlpm.Knewscale + _xlpm.nbparties),
  IF(U183="",
    "",
    _xlpm.coef * (U183-U184))
)</f>
        <v/>
      </c>
      <c r="V185" t="str" cm="1">
        <f t="array" ref="V185">_xlfn.LET(
  _xlpm.K, Constantes!$B$3,
  _xlpm.Knewgain, Constantes!$B$4,
  _xlpm.Knewscale, Constantes!$B$5,
  _xlpm.ptstables, INDEX(V:V, _xlfn.SEQUENCE(COUNTA($C$2:$C185), 1, 3, 4)),
  _xlpm.nbparties, COUNTA(_xlfn._xlws.FILTER(_xlpm.ptstables, _xlpm.ptstables &lt;&gt; "")),
  _xlpm.coef, _xlpm.K + _xlpm.Knewgain / (_xlpm.Knewscale + _xlpm.nbparties),
  IF(V183="",
    "",
    _xlpm.coef * (V183-V184))
)</f>
        <v/>
      </c>
      <c r="W185" t="str" cm="1">
        <f t="array" ref="W185">_xlfn.LET(
  _xlpm.K, Constantes!$B$3,
  _xlpm.Knewgain, Constantes!$B$4,
  _xlpm.Knewscale, Constantes!$B$5,
  _xlpm.ptstables, INDEX(W:W, _xlfn.SEQUENCE(COUNTA($C$2:$C185), 1, 3, 4)),
  _xlpm.nbparties, COUNTA(_xlfn._xlws.FILTER(_xlpm.ptstables, _xlpm.ptstables &lt;&gt; "")),
  _xlpm.coef, _xlpm.K + _xlpm.Knewgain / (_xlpm.Knewscale + _xlpm.nbparties),
  IF(W183="",
    "",
    _xlpm.coef * (W183-W184))
)</f>
        <v/>
      </c>
      <c r="X185" cm="1">
        <f t="array" ref="X185">_xlfn.LET(
  _xlpm.K, Constantes!$B$3,
  _xlpm.Knewgain, Constantes!$B$4,
  _xlpm.Knewscale, Constantes!$B$5,
  _xlpm.ptstables, INDEX(X:X, _xlfn.SEQUENCE(COUNTA($C$2:$C185), 1, 3, 4)),
  _xlpm.nbparties, COUNTA(_xlfn._xlws.FILTER(_xlpm.ptstables, _xlpm.ptstables &lt;&gt; "")),
  _xlpm.coef, _xlpm.K + _xlpm.Knewgain / (_xlpm.Knewscale + _xlpm.nbparties),
  IF(X183="",
    "",
    _xlpm.coef * (X183-X184))
)</f>
        <v>-29.119705169440383</v>
      </c>
      <c r="Y185" t="str" cm="1">
        <f t="array" ref="Y185">_xlfn.LET(
  _xlpm.K, Constantes!$B$3,
  _xlpm.Knewgain, Constantes!$B$4,
  _xlpm.Knewscale, Constantes!$B$5,
  _xlpm.ptstables, INDEX(Y:Y, _xlfn.SEQUENCE(COUNTA($C$2:$C185), 1, 3, 4)),
  _xlpm.nbparties, COUNTA(_xlfn._xlws.FILTER(_xlpm.ptstables, _xlpm.ptstables &lt;&gt; "")),
  _xlpm.coef, _xlpm.K + _xlpm.Knewgain / (_xlpm.Knewscale + _xlpm.nbparties),
  IF(Y183="",
    "",
    _xlpm.coef * (Y183-Y184))
)</f>
        <v/>
      </c>
      <c r="Z185" t="str" cm="1">
        <f t="array" ref="Z185">_xlfn.LET(
  _xlpm.K, Constantes!$B$3,
  _xlpm.Knewgain, Constantes!$B$4,
  _xlpm.Knewscale, Constantes!$B$5,
  _xlpm.ptstables, INDEX(Z:Z, _xlfn.SEQUENCE(COUNTA($C$2:$C185), 1, 3, 4)),
  _xlpm.nbparties, COUNTA(_xlfn._xlws.FILTER(_xlpm.ptstables, _xlpm.ptstables &lt;&gt; "")),
  _xlpm.coef, _xlpm.K + _xlpm.Knewgain / (_xlpm.Knewscale + _xlpm.nbparties),
  IF(Z183="",
    "",
    _xlpm.coef * (Z183-Z184))
)</f>
        <v/>
      </c>
      <c r="AA185" t="str" cm="1">
        <f t="array" ref="AA185">_xlfn.LET(
  _xlpm.K, Constantes!$B$3,
  _xlpm.Knewgain, Constantes!$B$4,
  _xlpm.Knewscale, Constantes!$B$5,
  _xlpm.ptstables, INDEX(AA:AA, _xlfn.SEQUENCE(COUNTA($C$2:$C185), 1, 3, 4)),
  _xlpm.nbparties, COUNTA(_xlfn._xlws.FILTER(_xlpm.ptstables, _xlpm.ptstables &lt;&gt; "")),
  _xlpm.coef, _xlpm.K + _xlpm.Knewgain / (_xlpm.Knewscale + _xlpm.nbparties),
  IF(AA183="",
    "",
    _xlpm.coef * (AA183-AA184))
)</f>
        <v/>
      </c>
      <c r="AB185" t="str" cm="1">
        <f t="array" ref="AB185">_xlfn.LET(
  _xlpm.K, Constantes!$B$3,
  _xlpm.Knewgain, Constantes!$B$4,
  _xlpm.Knewscale, Constantes!$B$5,
  _xlpm.ptstables, INDEX(AB:AB, _xlfn.SEQUENCE(COUNTA($C$2:$C185), 1, 3, 4)),
  _xlpm.nbparties, COUNTA(_xlfn._xlws.FILTER(_xlpm.ptstables, _xlpm.ptstables &lt;&gt; "")),
  _xlpm.coef, _xlpm.K + _xlpm.Knewgain / (_xlpm.Knewscale + _xlpm.nbparties),
  IF(AB183="",
    "",
    _xlpm.coef * (AB183-AB184))
)</f>
        <v/>
      </c>
      <c r="AC185" t="str" cm="1">
        <f t="array" ref="AC185">_xlfn.LET(
  _xlpm.K, Constantes!$B$3,
  _xlpm.Knewgain, Constantes!$B$4,
  _xlpm.Knewscale, Constantes!$B$5,
  _xlpm.ptstables, INDEX(AC:AC, _xlfn.SEQUENCE(COUNTA($C$2:$C185), 1, 3, 4)),
  _xlpm.nbparties, COUNTA(_xlfn._xlws.FILTER(_xlpm.ptstables, _xlpm.ptstables &lt;&gt; "")),
  _xlpm.coef, _xlpm.K + _xlpm.Knewgain / (_xlpm.Knewscale + _xlpm.nbparties),
  IF(AC183="",
    "",
    _xlpm.coef * (AC183-AC184))
)</f>
        <v/>
      </c>
      <c r="AD185" t="str" cm="1">
        <f t="array" ref="AD185">_xlfn.LET(
  _xlpm.K, Constantes!$B$3,
  _xlpm.Knewgain, Constantes!$B$4,
  _xlpm.Knewscale, Constantes!$B$5,
  _xlpm.ptstables, INDEX(AD:AD, _xlfn.SEQUENCE(COUNTA($C$2:$C185), 1, 3, 4)),
  _xlpm.nbparties, COUNTA(_xlfn._xlws.FILTER(_xlpm.ptstables, _xlpm.ptstables &lt;&gt; "")),
  _xlpm.coef, _xlpm.K + _xlpm.Knewgain / (_xlpm.Knewscale + _xlpm.nbparties),
  IF(AD183="",
    "",
    _xlpm.coef * (AD183-AD184))
)</f>
        <v/>
      </c>
      <c r="AE185" t="str" cm="1">
        <f t="array" ref="AE185">_xlfn.LET(
  _xlpm.K, Constantes!$B$3,
  _xlpm.Knewgain, Constantes!$B$4,
  _xlpm.Knewscale, Constantes!$B$5,
  _xlpm.ptstables, INDEX(AE:AE, _xlfn.SEQUENCE(COUNTA($C$2:$C185), 1, 3, 4)),
  _xlpm.nbparties, COUNTA(_xlfn._xlws.FILTER(_xlpm.ptstables, _xlpm.ptstables &lt;&gt; "")),
  _xlpm.coef, _xlpm.K + _xlpm.Knewgain / (_xlpm.Knewscale + _xlpm.nbparties),
  IF(AE183="",
    "",
    _xlpm.coef * (AE183-AE184))
)</f>
        <v/>
      </c>
      <c r="AF185" t="str" cm="1">
        <f t="array" ref="AF185">_xlfn.LET(
  _xlpm.K, Constantes!$B$3,
  _xlpm.Knewgain, Constantes!$B$4,
  _xlpm.Knewscale, Constantes!$B$5,
  _xlpm.ptstables, INDEX(AF:AF, _xlfn.SEQUENCE(COUNTA($C$2:$C185), 1, 3, 4)),
  _xlpm.nbparties, COUNTA(_xlfn._xlws.FILTER(_xlpm.ptstables, _xlpm.ptstables &lt;&gt; "")),
  _xlpm.coef, _xlpm.K + _xlpm.Knewgain / (_xlpm.Knewscale + _xlpm.nbparties),
  IF(AF183="",
    "",
    _xlpm.coef * (AF183-AF184))
)</f>
        <v/>
      </c>
      <c r="AG185" t="str" cm="1">
        <f t="array" ref="AG185">_xlfn.LET(
  _xlpm.K, Constantes!$B$3,
  _xlpm.Knewgain, Constantes!$B$4,
  _xlpm.Knewscale, Constantes!$B$5,
  _xlpm.ptstables, INDEX(AG:AG, _xlfn.SEQUENCE(COUNTA($C$2:$C185), 1, 3, 4)),
  _xlpm.nbparties, COUNTA(_xlfn._xlws.FILTER(_xlpm.ptstables, _xlpm.ptstables &lt;&gt; "")),
  _xlpm.coef, _xlpm.K + _xlpm.Knewgain / (_xlpm.Knewscale + _xlpm.nbparties),
  IF(AG183="",
    "",
    _xlpm.coef * (AG183-AG184))
)</f>
        <v/>
      </c>
      <c r="AH185" t="str" cm="1">
        <f t="array" ref="AH185">_xlfn.LET(
  _xlpm.K, Constantes!$B$3,
  _xlpm.Knewgain, Constantes!$B$4,
  _xlpm.Knewscale, Constantes!$B$5,
  _xlpm.ptstables, INDEX(AH:AH, _xlfn.SEQUENCE(COUNTA($C$2:$C185), 1, 3, 4)),
  _xlpm.nbparties, COUNTA(_xlfn._xlws.FILTER(_xlpm.ptstables, _xlpm.ptstables &lt;&gt; "")),
  _xlpm.coef, _xlpm.K + _xlpm.Knewgain / (_xlpm.Knewscale + _xlpm.nbparties),
  IF(AH183="",
    "",
    _xlpm.coef * (AH183-AH184))
)</f>
        <v/>
      </c>
      <c r="AI185" t="str" cm="1">
        <f t="array" ref="AI185">_xlfn.LET(
  _xlpm.K, Constantes!$B$3,
  _xlpm.Knewgain, Constantes!$B$4,
  _xlpm.Knewscale, Constantes!$B$5,
  _xlpm.ptstables, INDEX(AI:AI, _xlfn.SEQUENCE(COUNTA($C$2:$C185), 1, 3, 4)),
  _xlpm.nbparties, COUNTA(_xlfn._xlws.FILTER(_xlpm.ptstables, _xlpm.ptstables &lt;&gt; "")),
  _xlpm.coef, _xlpm.K + _xlpm.Knewgain / (_xlpm.Knewscale + _xlpm.nbparties),
  IF(AI183="",
    "",
    _xlpm.coef * (AI183-AI184))
)</f>
        <v/>
      </c>
      <c r="AJ185" t="str" cm="1">
        <f t="array" ref="AJ185">_xlfn.LET(
  _xlpm.K, Constantes!$B$3,
  _xlpm.Knewgain, Constantes!$B$4,
  _xlpm.Knewscale, Constantes!$B$5,
  _xlpm.ptstables, INDEX(AJ:AJ, _xlfn.SEQUENCE(COUNTA($C$2:$C185), 1, 3, 4)),
  _xlpm.nbparties, COUNTA(_xlfn._xlws.FILTER(_xlpm.ptstables, _xlpm.ptstables &lt;&gt; "")),
  _xlpm.coef, _xlpm.K + _xlpm.Knewgain / (_xlpm.Knewscale + _xlpm.nbparties),
  IF(AJ183="",
    "",
    _xlpm.coef * (AJ183-AJ184))
)</f>
        <v/>
      </c>
      <c r="AK185" t="str" cm="1">
        <f t="array" ref="AK185">_xlfn.LET(
  _xlpm.K, Constantes!$B$3,
  _xlpm.Knewgain, Constantes!$B$4,
  _xlpm.Knewscale, Constantes!$B$5,
  _xlpm.ptstables, INDEX(AK:AK, _xlfn.SEQUENCE(COUNTA($C$2:$C185), 1, 3, 4)),
  _xlpm.nbparties, COUNTA(_xlfn._xlws.FILTER(_xlpm.ptstables, _xlpm.ptstables &lt;&gt; "")),
  _xlpm.coef, _xlpm.K + _xlpm.Knewgain / (_xlpm.Knewscale + _xlpm.nbparties),
  IF(AK183="",
    "",
    _xlpm.coef * (AK183-AK184))
)</f>
        <v/>
      </c>
      <c r="AL185" t="str" cm="1">
        <f t="array" ref="AL185">_xlfn.LET(
  _xlpm.K, Constantes!$B$3,
  _xlpm.Knewgain, Constantes!$B$4,
  _xlpm.Knewscale, Constantes!$B$5,
  _xlpm.ptstables, INDEX(AL:AL, _xlfn.SEQUENCE(COUNTA($C$2:$C185), 1, 3, 4)),
  _xlpm.nbparties, COUNTA(_xlfn._xlws.FILTER(_xlpm.ptstables, _xlpm.ptstables &lt;&gt; "")),
  _xlpm.coef, _xlpm.K + _xlpm.Knewgain / (_xlpm.Knewscale + _xlpm.nbparties),
  IF(AL183="",
    "",
    _xlpm.coef * (AL183-AL184))
)</f>
        <v/>
      </c>
      <c r="AM185" t="str" cm="1">
        <f t="array" ref="AM185">_xlfn.LET(
  _xlpm.K, Constantes!$B$3,
  _xlpm.Knewgain, Constantes!$B$4,
  _xlpm.Knewscale, Constantes!$B$5,
  _xlpm.ptstables, INDEX(AM:AM, _xlfn.SEQUENCE(COUNTA($C$2:$C185), 1, 3, 4)),
  _xlpm.nbparties, COUNTA(_xlfn._xlws.FILTER(_xlpm.ptstables, _xlpm.ptstables &lt;&gt; "")),
  _xlpm.coef, _xlpm.K + _xlpm.Knewgain / (_xlpm.Knewscale + _xlpm.nbparties),
  IF(AM183="",
    "",
    _xlpm.coef * (AM183-AM184))
)</f>
        <v/>
      </c>
    </row>
    <row r="186" spans="1:39" x14ac:dyDescent="0.25">
      <c r="A186" t="s">
        <v>14</v>
      </c>
      <c r="B186" t="str" cm="1">
        <f t="array" ref="B18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47</v>
      </c>
      <c r="C186" s="2" cm="1">
        <f t="array" ref="C186">IF(B186="","",
  INDEX(Donnees!F:F, MATCH(B186, Donnees!F:F, 0)+1))</f>
        <v>45934.596435185187</v>
      </c>
      <c r="D186">
        <f t="shared" ref="D186:AM186" si="54">D182+IF(D185="",0,D185)</f>
        <v>1071.9164860500034</v>
      </c>
      <c r="E186">
        <f t="shared" si="54"/>
        <v>1105.3750854597461</v>
      </c>
      <c r="F186">
        <f t="shared" si="54"/>
        <v>861.02806342581061</v>
      </c>
      <c r="G186">
        <f t="shared" si="54"/>
        <v>1069.5689729213505</v>
      </c>
      <c r="H186">
        <f t="shared" si="54"/>
        <v>1033.8282013861956</v>
      </c>
      <c r="I186">
        <f t="shared" si="54"/>
        <v>1033.8398637473038</v>
      </c>
      <c r="J186">
        <f t="shared" si="54"/>
        <v>938.49433816478961</v>
      </c>
      <c r="K186">
        <f t="shared" si="54"/>
        <v>907.51653081539087</v>
      </c>
      <c r="L186">
        <f t="shared" si="54"/>
        <v>801.48942635099877</v>
      </c>
      <c r="M186">
        <f t="shared" si="54"/>
        <v>913.41986361738122</v>
      </c>
      <c r="N186">
        <f t="shared" si="54"/>
        <v>907.32507465255833</v>
      </c>
      <c r="O186">
        <f t="shared" si="54"/>
        <v>1005.4306950475848</v>
      </c>
      <c r="P186">
        <f t="shared" si="54"/>
        <v>1005.4229961505649</v>
      </c>
      <c r="Q186">
        <f t="shared" si="54"/>
        <v>1066.6935872301331</v>
      </c>
      <c r="R186">
        <f t="shared" si="54"/>
        <v>1180.6586778030673</v>
      </c>
      <c r="S186">
        <f t="shared" si="54"/>
        <v>857.40589081234418</v>
      </c>
      <c r="T186">
        <f t="shared" si="54"/>
        <v>1135.2782658680615</v>
      </c>
      <c r="U186">
        <f t="shared" si="54"/>
        <v>1150.496353852662</v>
      </c>
      <c r="V186">
        <f t="shared" si="54"/>
        <v>961.58818235691967</v>
      </c>
      <c r="W186">
        <f t="shared" si="54"/>
        <v>936.79085942937002</v>
      </c>
      <c r="X186">
        <f t="shared" si="54"/>
        <v>822.49182421843079</v>
      </c>
      <c r="Y186">
        <f t="shared" si="54"/>
        <v>984.68205603174124</v>
      </c>
      <c r="Z186">
        <f t="shared" si="54"/>
        <v>991.11904139672549</v>
      </c>
      <c r="AA186">
        <f t="shared" si="54"/>
        <v>980.56756855165884</v>
      </c>
      <c r="AB186">
        <f t="shared" si="54"/>
        <v>988.35669729544747</v>
      </c>
      <c r="AC186">
        <f t="shared" si="54"/>
        <v>1046.8071957095806</v>
      </c>
      <c r="AD186">
        <f t="shared" si="54"/>
        <v>974.01499999999999</v>
      </c>
      <c r="AE186">
        <f t="shared" si="54"/>
        <v>1011.415</v>
      </c>
      <c r="AF186">
        <f t="shared" si="54"/>
        <v>1031.1199999999999</v>
      </c>
      <c r="AG186">
        <f t="shared" si="54"/>
        <v>1001.0350000000001</v>
      </c>
      <c r="AH186">
        <f t="shared" si="54"/>
        <v>994.44</v>
      </c>
      <c r="AI186">
        <f t="shared" si="54"/>
        <v>1000</v>
      </c>
      <c r="AJ186">
        <f t="shared" si="54"/>
        <v>957.2</v>
      </c>
      <c r="AK186">
        <f t="shared" si="54"/>
        <v>1000</v>
      </c>
      <c r="AL186">
        <f t="shared" si="54"/>
        <v>1055.9299999999998</v>
      </c>
      <c r="AM186">
        <f t="shared" si="54"/>
        <v>1000</v>
      </c>
    </row>
    <row r="187" spans="1:39" x14ac:dyDescent="0.25">
      <c r="A187" t="s">
        <v>21</v>
      </c>
      <c r="D187" cm="1">
        <f t="array" ref="D187">IFERROR(
  _xlfn.LET(
    _xlpm.ligpartie, MATCH($B186, Donnees!$F:$F, 0),
    _xlpm.joueurs, INDEX(Donnees!$A:$Z, _xlpm.ligpartie+1, _xlfn.SEQUENCE(1, 4, 2)),
    INDEX(
      Donnees!$A:$Z,
      _xlpm.ligpartie + 3,
      MATCH(D$1, _xlpm.joueurs, 0) + 1
    )
  ), ""
)</f>
        <v>3</v>
      </c>
      <c r="E187" t="str" cm="1">
        <f t="array" ref="E187">IFERROR(
  _xlfn.LET(
    _xlpm.ligpartie, MATCH($B186, Donnees!$F:$F, 0),
    _xlpm.joueurs, INDEX(Donnees!$A:$Z, _xlpm.ligpartie+1, _xlfn.SEQUENCE(1, 4, 2)),
    INDEX(
      Donnees!$A:$Z,
      _xlpm.ligpartie + 3,
      MATCH(E$1, _xlpm.joueurs, 0) + 1
    )
  ), ""
)</f>
        <v/>
      </c>
      <c r="F187" t="str" cm="1">
        <f t="array" ref="F187">IFERROR(
  _xlfn.LET(
    _xlpm.ligpartie, MATCH($B186, Donnees!$F:$F, 0),
    _xlpm.joueurs, INDEX(Donnees!$A:$Z, _xlpm.ligpartie+1, _xlfn.SEQUENCE(1, 4, 2)),
    INDEX(
      Donnees!$A:$Z,
      _xlpm.ligpartie + 3,
      MATCH(F$1, _xlpm.joueurs, 0) + 1
    )
  ), ""
)</f>
        <v/>
      </c>
      <c r="G187" t="str" cm="1">
        <f t="array" ref="G187">IFERROR(
  _xlfn.LET(
    _xlpm.ligpartie, MATCH($B186, Donnees!$F:$F, 0),
    _xlpm.joueurs, INDEX(Donnees!$A:$Z, _xlpm.ligpartie+1, _xlfn.SEQUENCE(1, 4, 2)),
    INDEX(
      Donnees!$A:$Z,
      _xlpm.ligpartie + 3,
      MATCH(G$1, _xlpm.joueurs, 0) + 1
    )
  ), ""
)</f>
        <v/>
      </c>
      <c r="H187" t="str" cm="1">
        <f t="array" ref="H187">IFERROR(
  _xlfn.LET(
    _xlpm.ligpartie, MATCH($B186, Donnees!$F:$F, 0),
    _xlpm.joueurs, INDEX(Donnees!$A:$Z, _xlpm.ligpartie+1, _xlfn.SEQUENCE(1, 4, 2)),
    INDEX(
      Donnees!$A:$Z,
      _xlpm.ligpartie + 3,
      MATCH(H$1, _xlpm.joueurs, 0) + 1
    )
  ), ""
)</f>
        <v/>
      </c>
      <c r="I187" cm="1">
        <f t="array" ref="I187">IFERROR(
  _xlfn.LET(
    _xlpm.ligpartie, MATCH($B186, Donnees!$F:$F, 0),
    _xlpm.joueurs, INDEX(Donnees!$A:$Z, _xlpm.ligpartie+1, _xlfn.SEQUENCE(1, 4, 2)),
    INDEX(
      Donnees!$A:$Z,
      _xlpm.ligpartie + 3,
      MATCH(I$1, _xlpm.joueurs, 0) + 1
    )
  ), ""
)</f>
        <v>0</v>
      </c>
      <c r="J187" t="str" cm="1">
        <f t="array" ref="J187">IFERROR(
  _xlfn.LET(
    _xlpm.ligpartie, MATCH($B186, Donnees!$F:$F, 0),
    _xlpm.joueurs, INDEX(Donnees!$A:$Z, _xlpm.ligpartie+1, _xlfn.SEQUENCE(1, 4, 2)),
    INDEX(
      Donnees!$A:$Z,
      _xlpm.ligpartie + 3,
      MATCH(J$1, _xlpm.joueurs, 0) + 1
    )
  ), ""
)</f>
        <v/>
      </c>
      <c r="K187" t="str" cm="1">
        <f t="array" ref="K187">IFERROR(
  _xlfn.LET(
    _xlpm.ligpartie, MATCH($B186, Donnees!$F:$F, 0),
    _xlpm.joueurs, INDEX(Donnees!$A:$Z, _xlpm.ligpartie+1, _xlfn.SEQUENCE(1, 4, 2)),
    INDEX(
      Donnees!$A:$Z,
      _xlpm.ligpartie + 3,
      MATCH(K$1, _xlpm.joueurs, 0) + 1
    )
  ), ""
)</f>
        <v/>
      </c>
      <c r="L187" t="str" cm="1">
        <f t="array" ref="L187">IFERROR(
  _xlfn.LET(
    _xlpm.ligpartie, MATCH($B186, Donnees!$F:$F, 0),
    _xlpm.joueurs, INDEX(Donnees!$A:$Z, _xlpm.ligpartie+1, _xlfn.SEQUENCE(1, 4, 2)),
    INDEX(
      Donnees!$A:$Z,
      _xlpm.ligpartie + 3,
      MATCH(L$1, _xlpm.joueurs, 0) + 1
    )
  ), ""
)</f>
        <v/>
      </c>
      <c r="M187" t="str" cm="1">
        <f t="array" ref="M187">IFERROR(
  _xlfn.LET(
    _xlpm.ligpartie, MATCH($B186, Donnees!$F:$F, 0),
    _xlpm.joueurs, INDEX(Donnees!$A:$Z, _xlpm.ligpartie+1, _xlfn.SEQUENCE(1, 4, 2)),
    INDEX(
      Donnees!$A:$Z,
      _xlpm.ligpartie + 3,
      MATCH(M$1, _xlpm.joueurs, 0) + 1
    )
  ), ""
)</f>
        <v/>
      </c>
      <c r="N187" t="str" cm="1">
        <f t="array" ref="N187">IFERROR(
  _xlfn.LET(
    _xlpm.ligpartie, MATCH($B186, Donnees!$F:$F, 0),
    _xlpm.joueurs, INDEX(Donnees!$A:$Z, _xlpm.ligpartie+1, _xlfn.SEQUENCE(1, 4, 2)),
    INDEX(
      Donnees!$A:$Z,
      _xlpm.ligpartie + 3,
      MATCH(N$1, _xlpm.joueurs, 0) + 1
    )
  ), ""
)</f>
        <v/>
      </c>
      <c r="O187" t="str" cm="1">
        <f t="array" ref="O187">IFERROR(
  _xlfn.LET(
    _xlpm.ligpartie, MATCH($B186, Donnees!$F:$F, 0),
    _xlpm.joueurs, INDEX(Donnees!$A:$Z, _xlpm.ligpartie+1, _xlfn.SEQUENCE(1, 4, 2)),
    INDEX(
      Donnees!$A:$Z,
      _xlpm.ligpartie + 3,
      MATCH(O$1, _xlpm.joueurs, 0) + 1
    )
  ), ""
)</f>
        <v/>
      </c>
      <c r="P187" t="str" cm="1">
        <f t="array" ref="P187">IFERROR(
  _xlfn.LET(
    _xlpm.ligpartie, MATCH($B186, Donnees!$F:$F, 0),
    _xlpm.joueurs, INDEX(Donnees!$A:$Z, _xlpm.ligpartie+1, _xlfn.SEQUENCE(1, 4, 2)),
    INDEX(
      Donnees!$A:$Z,
      _xlpm.ligpartie + 3,
      MATCH(P$1, _xlpm.joueurs, 0) + 1
    )
  ), ""
)</f>
        <v/>
      </c>
      <c r="Q187" cm="1">
        <f t="array" ref="Q187">IFERROR(
  _xlfn.LET(
    _xlpm.ligpartie, MATCH($B186, Donnees!$F:$F, 0),
    _xlpm.joueurs, INDEX(Donnees!$A:$Z, _xlpm.ligpartie+1, _xlfn.SEQUENCE(1, 4, 2)),
    INDEX(
      Donnees!$A:$Z,
      _xlpm.ligpartie + 3,
      MATCH(Q$1, _xlpm.joueurs, 0) + 1
    )
  ), ""
)</f>
        <v>1</v>
      </c>
      <c r="R187" t="str" cm="1">
        <f t="array" ref="R187">IFERROR(
  _xlfn.LET(
    _xlpm.ligpartie, MATCH($B186, Donnees!$F:$F, 0),
    _xlpm.joueurs, INDEX(Donnees!$A:$Z, _xlpm.ligpartie+1, _xlfn.SEQUENCE(1, 4, 2)),
    INDEX(
      Donnees!$A:$Z,
      _xlpm.ligpartie + 3,
      MATCH(R$1, _xlpm.joueurs, 0) + 1
    )
  ), ""
)</f>
        <v/>
      </c>
      <c r="S187" t="str" cm="1">
        <f t="array" ref="S187">IFERROR(
  _xlfn.LET(
    _xlpm.ligpartie, MATCH($B186, Donnees!$F:$F, 0),
    _xlpm.joueurs, INDEX(Donnees!$A:$Z, _xlpm.ligpartie+1, _xlfn.SEQUENCE(1, 4, 2)),
    INDEX(
      Donnees!$A:$Z,
      _xlpm.ligpartie + 3,
      MATCH(S$1, _xlpm.joueurs, 0) + 1
    )
  ), ""
)</f>
        <v/>
      </c>
      <c r="T187" t="str" cm="1">
        <f t="array" ref="T187">IFERROR(
  _xlfn.LET(
    _xlpm.ligpartie, MATCH($B186, Donnees!$F:$F, 0),
    _xlpm.joueurs, INDEX(Donnees!$A:$Z, _xlpm.ligpartie+1, _xlfn.SEQUENCE(1, 4, 2)),
    INDEX(
      Donnees!$A:$Z,
      _xlpm.ligpartie + 3,
      MATCH(T$1, _xlpm.joueurs, 0) + 1
    )
  ), ""
)</f>
        <v/>
      </c>
      <c r="U187" t="str" cm="1">
        <f t="array" ref="U187">IFERROR(
  _xlfn.LET(
    _xlpm.ligpartie, MATCH($B186, Donnees!$F:$F, 0),
    _xlpm.joueurs, INDEX(Donnees!$A:$Z, _xlpm.ligpartie+1, _xlfn.SEQUENCE(1, 4, 2)),
    INDEX(
      Donnees!$A:$Z,
      _xlpm.ligpartie + 3,
      MATCH(U$1, _xlpm.joueurs, 0) + 1
    )
  ), ""
)</f>
        <v/>
      </c>
      <c r="V187" t="str" cm="1">
        <f t="array" ref="V187">IFERROR(
  _xlfn.LET(
    _xlpm.ligpartie, MATCH($B186, Donnees!$F:$F, 0),
    _xlpm.joueurs, INDEX(Donnees!$A:$Z, _xlpm.ligpartie+1, _xlfn.SEQUENCE(1, 4, 2)),
    INDEX(
      Donnees!$A:$Z,
      _xlpm.ligpartie + 3,
      MATCH(V$1, _xlpm.joueurs, 0) + 1
    )
  ), ""
)</f>
        <v/>
      </c>
      <c r="W187" t="str" cm="1">
        <f t="array" ref="W187">IFERROR(
  _xlfn.LET(
    _xlpm.ligpartie, MATCH($B186, Donnees!$F:$F, 0),
    _xlpm.joueurs, INDEX(Donnees!$A:$Z, _xlpm.ligpartie+1, _xlfn.SEQUENCE(1, 4, 2)),
    INDEX(
      Donnees!$A:$Z,
      _xlpm.ligpartie + 3,
      MATCH(W$1, _xlpm.joueurs, 0) + 1
    )
  ), ""
)</f>
        <v/>
      </c>
      <c r="X187" t="str" cm="1">
        <f t="array" ref="X187">IFERROR(
  _xlfn.LET(
    _xlpm.ligpartie, MATCH($B186, Donnees!$F:$F, 0),
    _xlpm.joueurs, INDEX(Donnees!$A:$Z, _xlpm.ligpartie+1, _xlfn.SEQUENCE(1, 4, 2)),
    INDEX(
      Donnees!$A:$Z,
      _xlpm.ligpartie + 3,
      MATCH(X$1, _xlpm.joueurs, 0) + 1
    )
  ), ""
)</f>
        <v/>
      </c>
      <c r="Y187" t="str" cm="1">
        <f t="array" ref="Y187">IFERROR(
  _xlfn.LET(
    _xlpm.ligpartie, MATCH($B186, Donnees!$F:$F, 0),
    _xlpm.joueurs, INDEX(Donnees!$A:$Z, _xlpm.ligpartie+1, _xlfn.SEQUENCE(1, 4, 2)),
    INDEX(
      Donnees!$A:$Z,
      _xlpm.ligpartie + 3,
      MATCH(Y$1, _xlpm.joueurs, 0) + 1
    )
  ), ""
)</f>
        <v/>
      </c>
      <c r="Z187" t="str" cm="1">
        <f t="array" ref="Z187">IFERROR(
  _xlfn.LET(
    _xlpm.ligpartie, MATCH($B186, Donnees!$F:$F, 0),
    _xlpm.joueurs, INDEX(Donnees!$A:$Z, _xlpm.ligpartie+1, _xlfn.SEQUENCE(1, 4, 2)),
    INDEX(
      Donnees!$A:$Z,
      _xlpm.ligpartie + 3,
      MATCH(Z$1, _xlpm.joueurs, 0) + 1
    )
  ), ""
)</f>
        <v/>
      </c>
      <c r="AA187" t="str" cm="1">
        <f t="array" ref="AA187">IFERROR(
  _xlfn.LET(
    _xlpm.ligpartie, MATCH($B186, Donnees!$F:$F, 0),
    _xlpm.joueurs, INDEX(Donnees!$A:$Z, _xlpm.ligpartie+1, _xlfn.SEQUENCE(1, 4, 2)),
    INDEX(
      Donnees!$A:$Z,
      _xlpm.ligpartie + 3,
      MATCH(AA$1, _xlpm.joueurs, 0) + 1
    )
  ), ""
)</f>
        <v/>
      </c>
      <c r="AB187" t="str" cm="1">
        <f t="array" ref="AB187">IFERROR(
  _xlfn.LET(
    _xlpm.ligpartie, MATCH($B186, Donnees!$F:$F, 0),
    _xlpm.joueurs, INDEX(Donnees!$A:$Z, _xlpm.ligpartie+1, _xlfn.SEQUENCE(1, 4, 2)),
    INDEX(
      Donnees!$A:$Z,
      _xlpm.ligpartie + 3,
      MATCH(AB$1, _xlpm.joueurs, 0) + 1
    )
  ), ""
)</f>
        <v/>
      </c>
      <c r="AC187" t="str" cm="1">
        <f t="array" ref="AC187">IFERROR(
  _xlfn.LET(
    _xlpm.ligpartie, MATCH($B186, Donnees!$F:$F, 0),
    _xlpm.joueurs, INDEX(Donnees!$A:$Z, _xlpm.ligpartie+1, _xlfn.SEQUENCE(1, 4, 2)),
    INDEX(
      Donnees!$A:$Z,
      _xlpm.ligpartie + 3,
      MATCH(AC$1, _xlpm.joueurs, 0) + 1
    )
  ), ""
)</f>
        <v/>
      </c>
      <c r="AD187" cm="1">
        <f t="array" ref="AD187">IFERROR(
  _xlfn.LET(
    _xlpm.ligpartie, MATCH($B186, Donnees!$F:$F, 0),
    _xlpm.joueurs, INDEX(Donnees!$A:$Z, _xlpm.ligpartie+1, _xlfn.SEQUENCE(1, 4, 2)),
    INDEX(
      Donnees!$A:$Z,
      _xlpm.ligpartie + 3,
      MATCH(AD$1, _xlpm.joueurs, 0) + 1
    )
  ), ""
)</f>
        <v>2</v>
      </c>
      <c r="AE187" t="str" cm="1">
        <f t="array" ref="AE187">IFERROR(
  _xlfn.LET(
    _xlpm.ligpartie, MATCH($B186, Donnees!$F:$F, 0),
    _xlpm.joueurs, INDEX(Donnees!$A:$Z, _xlpm.ligpartie+1, _xlfn.SEQUENCE(1, 4, 2)),
    INDEX(
      Donnees!$A:$Z,
      _xlpm.ligpartie + 3,
      MATCH(AE$1, _xlpm.joueurs, 0) + 1
    )
  ), ""
)</f>
        <v/>
      </c>
      <c r="AF187" t="str" cm="1">
        <f t="array" ref="AF187">IFERROR(
  _xlfn.LET(
    _xlpm.ligpartie, MATCH($B186, Donnees!$F:$F, 0),
    _xlpm.joueurs, INDEX(Donnees!$A:$Z, _xlpm.ligpartie+1, _xlfn.SEQUENCE(1, 4, 2)),
    INDEX(
      Donnees!$A:$Z,
      _xlpm.ligpartie + 3,
      MATCH(AF$1, _xlpm.joueurs, 0) + 1
    )
  ), ""
)</f>
        <v/>
      </c>
      <c r="AG187" t="str" cm="1">
        <f t="array" ref="AG187">IFERROR(
  _xlfn.LET(
    _xlpm.ligpartie, MATCH($B186, Donnees!$F:$F, 0),
    _xlpm.joueurs, INDEX(Donnees!$A:$Z, _xlpm.ligpartie+1, _xlfn.SEQUENCE(1, 4, 2)),
    INDEX(
      Donnees!$A:$Z,
      _xlpm.ligpartie + 3,
      MATCH(AG$1, _xlpm.joueurs, 0) + 1
    )
  ), ""
)</f>
        <v/>
      </c>
      <c r="AH187" t="str" cm="1">
        <f t="array" ref="AH187">IFERROR(
  _xlfn.LET(
    _xlpm.ligpartie, MATCH($B186, Donnees!$F:$F, 0),
    _xlpm.joueurs, INDEX(Donnees!$A:$Z, _xlpm.ligpartie+1, _xlfn.SEQUENCE(1, 4, 2)),
    INDEX(
      Donnees!$A:$Z,
      _xlpm.ligpartie + 3,
      MATCH(AH$1, _xlpm.joueurs, 0) + 1
    )
  ), ""
)</f>
        <v/>
      </c>
      <c r="AI187" t="str" cm="1">
        <f t="array" ref="AI187">IFERROR(
  _xlfn.LET(
    _xlpm.ligpartie, MATCH($B186, Donnees!$F:$F, 0),
    _xlpm.joueurs, INDEX(Donnees!$A:$Z, _xlpm.ligpartie+1, _xlfn.SEQUENCE(1, 4, 2)),
    INDEX(
      Donnees!$A:$Z,
      _xlpm.ligpartie + 3,
      MATCH(AI$1, _xlpm.joueurs, 0) + 1
    )
  ), ""
)</f>
        <v/>
      </c>
      <c r="AJ187" t="str" cm="1">
        <f t="array" ref="AJ187">IFERROR(
  _xlfn.LET(
    _xlpm.ligpartie, MATCH($B186, Donnees!$F:$F, 0),
    _xlpm.joueurs, INDEX(Donnees!$A:$Z, _xlpm.ligpartie+1, _xlfn.SEQUENCE(1, 4, 2)),
    INDEX(
      Donnees!$A:$Z,
      _xlpm.ligpartie + 3,
      MATCH(AJ$1, _xlpm.joueurs, 0) + 1
    )
  ), ""
)</f>
        <v/>
      </c>
      <c r="AK187" t="str" cm="1">
        <f t="array" ref="AK187">IFERROR(
  _xlfn.LET(
    _xlpm.ligpartie, MATCH($B186, Donnees!$F:$F, 0),
    _xlpm.joueurs, INDEX(Donnees!$A:$Z, _xlpm.ligpartie+1, _xlfn.SEQUENCE(1, 4, 2)),
    INDEX(
      Donnees!$A:$Z,
      _xlpm.ligpartie + 3,
      MATCH(AK$1, _xlpm.joueurs, 0) + 1
    )
  ), ""
)</f>
        <v/>
      </c>
      <c r="AL187" t="str" cm="1">
        <f t="array" ref="AL187">IFERROR(
  _xlfn.LET(
    _xlpm.ligpartie, MATCH($B186, Donnees!$F:$F, 0),
    _xlpm.joueurs, INDEX(Donnees!$A:$Z, _xlpm.ligpartie+1, _xlfn.SEQUENCE(1, 4, 2)),
    INDEX(
      Donnees!$A:$Z,
      _xlpm.ligpartie + 3,
      MATCH(AL$1, _xlpm.joueurs, 0) + 1
    )
  ), ""
)</f>
        <v/>
      </c>
      <c r="AM187" t="str" cm="1">
        <f t="array" ref="AM187">IFERROR(
  _xlfn.LET(
    _xlpm.ligpartie, MATCH($B186, Donnees!$F:$F, 0),
    _xlpm.joueurs, INDEX(Donnees!$A:$Z, _xlpm.ligpartie+1, _xlfn.SEQUENCE(1, 4, 2)),
    INDEX(
      Donnees!$A:$Z,
      _xlpm.ligpartie + 3,
      MATCH(AM$1, _xlpm.joueurs, 0) + 1
    )
  ), ""
)</f>
        <v/>
      </c>
    </row>
    <row r="188" spans="1:39" x14ac:dyDescent="0.25">
      <c r="A188" t="s">
        <v>20</v>
      </c>
      <c r="D188" cm="1">
        <f t="array" ref="D188">_xlfn.LET(
  _xlpm.colj, _xlfn._xlws.FILTER(IF(ISNUMBER(187:187), COLUMN(187:187)), ISNUMBER(187:187)),
  _xlpm.elos, INDEX(186:186,1,_xlpm.colj),
  _xlpm.diffscale, Constantes!$B$2,
  IF(D187="",
    "",
    SUM(1/(1+POWER(10,-(D186-_xlpm.elos)/_xlpm.diffscale)))-0.5)
)</f>
        <v>1.6993714214601892</v>
      </c>
      <c r="E188" t="str" cm="1">
        <f t="array" ref="E188">_xlfn.LET(
  _xlpm.colj, _xlfn._xlws.FILTER(IF(ISNUMBER(187:187), COLUMN(187:187)), ISNUMBER(187:187)),
  _xlpm.elos, INDEX(186:186,1,_xlpm.colj),
  _xlpm.diffscale, Constantes!$B$2,
  IF(E187="",
    "",
    SUM(1/(1+POWER(10,-(E186-_xlpm.elos)/_xlpm.diffscale)))-0.5)
)</f>
        <v/>
      </c>
      <c r="F188" t="str" cm="1">
        <f t="array" ref="F188">_xlfn.LET(
  _xlpm.colj, _xlfn._xlws.FILTER(IF(ISNUMBER(187:187), COLUMN(187:187)), ISNUMBER(187:187)),
  _xlpm.elos, INDEX(186:186,1,_xlpm.colj),
  _xlpm.diffscale, Constantes!$B$2,
  IF(F187="",
    "",
    SUM(1/(1+POWER(10,-(F186-_xlpm.elos)/_xlpm.diffscale)))-0.5)
)</f>
        <v/>
      </c>
      <c r="G188" t="str" cm="1">
        <f t="array" ref="G188">_xlfn.LET(
  _xlpm.colj, _xlfn._xlws.FILTER(IF(ISNUMBER(187:187), COLUMN(187:187)), ISNUMBER(187:187)),
  _xlpm.elos, INDEX(186:186,1,_xlpm.colj),
  _xlpm.diffscale, Constantes!$B$2,
  IF(G187="",
    "",
    SUM(1/(1+POWER(10,-(G186-_xlpm.elos)/_xlpm.diffscale)))-0.5)
)</f>
        <v/>
      </c>
      <c r="H188" t="str" cm="1">
        <f t="array" ref="H188">_xlfn.LET(
  _xlpm.colj, _xlfn._xlws.FILTER(IF(ISNUMBER(187:187), COLUMN(187:187)), ISNUMBER(187:187)),
  _xlpm.elos, INDEX(186:186,1,_xlpm.colj),
  _xlpm.diffscale, Constantes!$B$2,
  IF(H187="",
    "",
    SUM(1/(1+POWER(10,-(H186-_xlpm.elos)/_xlpm.diffscale)))-0.5)
)</f>
        <v/>
      </c>
      <c r="I188" cm="1">
        <f t="array" ref="I188">_xlfn.LET(
  _xlpm.colj, _xlfn._xlws.FILTER(IF(ISNUMBER(187:187), COLUMN(187:187)), ISNUMBER(187:187)),
  _xlpm.elos, INDEX(186:186,1,_xlpm.colj),
  _xlpm.diffscale, Constantes!$B$2,
  IF(I187="",
    "",
    SUM(1/(1+POWER(10,-(I186-_xlpm.elos)/_xlpm.diffscale)))-0.5)
)</f>
        <v>1.4835357661978559</v>
      </c>
      <c r="J188" t="str" cm="1">
        <f t="array" ref="J188">_xlfn.LET(
  _xlpm.colj, _xlfn._xlws.FILTER(IF(ISNUMBER(187:187), COLUMN(187:187)), ISNUMBER(187:187)),
  _xlpm.elos, INDEX(186:186,1,_xlpm.colj),
  _xlpm.diffscale, Constantes!$B$2,
  IF(J187="",
    "",
    SUM(1/(1+POWER(10,-(J186-_xlpm.elos)/_xlpm.diffscale)))-0.5)
)</f>
        <v/>
      </c>
      <c r="K188" t="str" cm="1">
        <f t="array" ref="K188">_xlfn.LET(
  _xlpm.colj, _xlfn._xlws.FILTER(IF(ISNUMBER(187:187), COLUMN(187:187)), ISNUMBER(187:187)),
  _xlpm.elos, INDEX(186:186,1,_xlpm.colj),
  _xlpm.diffscale, Constantes!$B$2,
  IF(K187="",
    "",
    SUM(1/(1+POWER(10,-(K186-_xlpm.elos)/_xlpm.diffscale)))-0.5)
)</f>
        <v/>
      </c>
      <c r="L188" t="str" cm="1">
        <f t="array" ref="L188">_xlfn.LET(
  _xlpm.colj, _xlfn._xlws.FILTER(IF(ISNUMBER(187:187), COLUMN(187:187)), ISNUMBER(187:187)),
  _xlpm.elos, INDEX(186:186,1,_xlpm.colj),
  _xlpm.diffscale, Constantes!$B$2,
  IF(L187="",
    "",
    SUM(1/(1+POWER(10,-(L186-_xlpm.elos)/_xlpm.diffscale)))-0.5)
)</f>
        <v/>
      </c>
      <c r="M188" t="str" cm="1">
        <f t="array" ref="M188">_xlfn.LET(
  _xlpm.colj, _xlfn._xlws.FILTER(IF(ISNUMBER(187:187), COLUMN(187:187)), ISNUMBER(187:187)),
  _xlpm.elos, INDEX(186:186,1,_xlpm.colj),
  _xlpm.diffscale, Constantes!$B$2,
  IF(M187="",
    "",
    SUM(1/(1+POWER(10,-(M186-_xlpm.elos)/_xlpm.diffscale)))-0.5)
)</f>
        <v/>
      </c>
      <c r="N188" t="str" cm="1">
        <f t="array" ref="N188">_xlfn.LET(
  _xlpm.colj, _xlfn._xlws.FILTER(IF(ISNUMBER(187:187), COLUMN(187:187)), ISNUMBER(187:187)),
  _xlpm.elos, INDEX(186:186,1,_xlpm.colj),
  _xlpm.diffscale, Constantes!$B$2,
  IF(N187="",
    "",
    SUM(1/(1+POWER(10,-(N186-_xlpm.elos)/_xlpm.diffscale)))-0.5)
)</f>
        <v/>
      </c>
      <c r="O188" t="str" cm="1">
        <f t="array" ref="O188">_xlfn.LET(
  _xlpm.colj, _xlfn._xlws.FILTER(IF(ISNUMBER(187:187), COLUMN(187:187)), ISNUMBER(187:187)),
  _xlpm.elos, INDEX(186:186,1,_xlpm.colj),
  _xlpm.diffscale, Constantes!$B$2,
  IF(O187="",
    "",
    SUM(1/(1+POWER(10,-(O186-_xlpm.elos)/_xlpm.diffscale)))-0.5)
)</f>
        <v/>
      </c>
      <c r="P188" t="str" cm="1">
        <f t="array" ref="P188">_xlfn.LET(
  _xlpm.colj, _xlfn._xlws.FILTER(IF(ISNUMBER(187:187), COLUMN(187:187)), ISNUMBER(187:187)),
  _xlpm.elos, INDEX(186:186,1,_xlpm.colj),
  _xlpm.diffscale, Constantes!$B$2,
  IF(P187="",
    "",
    SUM(1/(1+POWER(10,-(P186-_xlpm.elos)/_xlpm.diffscale)))-0.5)
)</f>
        <v/>
      </c>
      <c r="Q188" cm="1">
        <f t="array" ref="Q188">_xlfn.LET(
  _xlpm.colj, _xlfn._xlws.FILTER(IF(ISNUMBER(187:187), COLUMN(187:187)), ISNUMBER(187:187)),
  _xlpm.elos, INDEX(186:186,1,_xlpm.colj),
  _xlpm.diffscale, Constantes!$B$2,
  IF(Q187="",
    "",
    SUM(1/(1+POWER(10,-(Q186-_xlpm.elos)/_xlpm.diffscale)))-0.5)
)</f>
        <v>1.6699233541965923</v>
      </c>
      <c r="R188" t="str" cm="1">
        <f t="array" ref="R188">_xlfn.LET(
  _xlpm.colj, _xlfn._xlws.FILTER(IF(ISNUMBER(187:187), COLUMN(187:187)), ISNUMBER(187:187)),
  _xlpm.elos, INDEX(186:186,1,_xlpm.colj),
  _xlpm.diffscale, Constantes!$B$2,
  IF(R187="",
    "",
    SUM(1/(1+POWER(10,-(R186-_xlpm.elos)/_xlpm.diffscale)))-0.5)
)</f>
        <v/>
      </c>
      <c r="S188" t="str" cm="1">
        <f t="array" ref="S188">_xlfn.LET(
  _xlpm.colj, _xlfn._xlws.FILTER(IF(ISNUMBER(187:187), COLUMN(187:187)), ISNUMBER(187:187)),
  _xlpm.elos, INDEX(186:186,1,_xlpm.colj),
  _xlpm.diffscale, Constantes!$B$2,
  IF(S187="",
    "",
    SUM(1/(1+POWER(10,-(S186-_xlpm.elos)/_xlpm.diffscale)))-0.5)
)</f>
        <v/>
      </c>
      <c r="T188" t="str" cm="1">
        <f t="array" ref="T188">_xlfn.LET(
  _xlpm.colj, _xlfn._xlws.FILTER(IF(ISNUMBER(187:187), COLUMN(187:187)), ISNUMBER(187:187)),
  _xlpm.elos, INDEX(186:186,1,_xlpm.colj),
  _xlpm.diffscale, Constantes!$B$2,
  IF(T187="",
    "",
    SUM(1/(1+POWER(10,-(T186-_xlpm.elos)/_xlpm.diffscale)))-0.5)
)</f>
        <v/>
      </c>
      <c r="U188" t="str" cm="1">
        <f t="array" ref="U188">_xlfn.LET(
  _xlpm.colj, _xlfn._xlws.FILTER(IF(ISNUMBER(187:187), COLUMN(187:187)), ISNUMBER(187:187)),
  _xlpm.elos, INDEX(186:186,1,_xlpm.colj),
  _xlpm.diffscale, Constantes!$B$2,
  IF(U187="",
    "",
    SUM(1/(1+POWER(10,-(U186-_xlpm.elos)/_xlpm.diffscale)))-0.5)
)</f>
        <v/>
      </c>
      <c r="V188" t="str" cm="1">
        <f t="array" ref="V188">_xlfn.LET(
  _xlpm.colj, _xlfn._xlws.FILTER(IF(ISNUMBER(187:187), COLUMN(187:187)), ISNUMBER(187:187)),
  _xlpm.elos, INDEX(186:186,1,_xlpm.colj),
  _xlpm.diffscale, Constantes!$B$2,
  IF(V187="",
    "",
    SUM(1/(1+POWER(10,-(V186-_xlpm.elos)/_xlpm.diffscale)))-0.5)
)</f>
        <v/>
      </c>
      <c r="W188" t="str" cm="1">
        <f t="array" ref="W188">_xlfn.LET(
  _xlpm.colj, _xlfn._xlws.FILTER(IF(ISNUMBER(187:187), COLUMN(187:187)), ISNUMBER(187:187)),
  _xlpm.elos, INDEX(186:186,1,_xlpm.colj),
  _xlpm.diffscale, Constantes!$B$2,
  IF(W187="",
    "",
    SUM(1/(1+POWER(10,-(W186-_xlpm.elos)/_xlpm.diffscale)))-0.5)
)</f>
        <v/>
      </c>
      <c r="X188" t="str" cm="1">
        <f t="array" ref="X188">_xlfn.LET(
  _xlpm.colj, _xlfn._xlws.FILTER(IF(ISNUMBER(187:187), COLUMN(187:187)), ISNUMBER(187:187)),
  _xlpm.elos, INDEX(186:186,1,_xlpm.colj),
  _xlpm.diffscale, Constantes!$B$2,
  IF(X187="",
    "",
    SUM(1/(1+POWER(10,-(X186-_xlpm.elos)/_xlpm.diffscale)))-0.5)
)</f>
        <v/>
      </c>
      <c r="Y188" t="str" cm="1">
        <f t="array" ref="Y188">_xlfn.LET(
  _xlpm.colj, _xlfn._xlws.FILTER(IF(ISNUMBER(187:187), COLUMN(187:187)), ISNUMBER(187:187)),
  _xlpm.elos, INDEX(186:186,1,_xlpm.colj),
  _xlpm.diffscale, Constantes!$B$2,
  IF(Y187="",
    "",
    SUM(1/(1+POWER(10,-(Y186-_xlpm.elos)/_xlpm.diffscale)))-0.5)
)</f>
        <v/>
      </c>
      <c r="Z188" t="str" cm="1">
        <f t="array" ref="Z188">_xlfn.LET(
  _xlpm.colj, _xlfn._xlws.FILTER(IF(ISNUMBER(187:187), COLUMN(187:187)), ISNUMBER(187:187)),
  _xlpm.elos, INDEX(186:186,1,_xlpm.colj),
  _xlpm.diffscale, Constantes!$B$2,
  IF(Z187="",
    "",
    SUM(1/(1+POWER(10,-(Z186-_xlpm.elos)/_xlpm.diffscale)))-0.5)
)</f>
        <v/>
      </c>
      <c r="AA188" t="str" cm="1">
        <f t="array" ref="AA188">_xlfn.LET(
  _xlpm.colj, _xlfn._xlws.FILTER(IF(ISNUMBER(187:187), COLUMN(187:187)), ISNUMBER(187:187)),
  _xlpm.elos, INDEX(186:186,1,_xlpm.colj),
  _xlpm.diffscale, Constantes!$B$2,
  IF(AA187="",
    "",
    SUM(1/(1+POWER(10,-(AA186-_xlpm.elos)/_xlpm.diffscale)))-0.5)
)</f>
        <v/>
      </c>
      <c r="AB188" t="str" cm="1">
        <f t="array" ref="AB188">_xlfn.LET(
  _xlpm.colj, _xlfn._xlws.FILTER(IF(ISNUMBER(187:187), COLUMN(187:187)), ISNUMBER(187:187)),
  _xlpm.elos, INDEX(186:186,1,_xlpm.colj),
  _xlpm.diffscale, Constantes!$B$2,
  IF(AB187="",
    "",
    SUM(1/(1+POWER(10,-(AB186-_xlpm.elos)/_xlpm.diffscale)))-0.5)
)</f>
        <v/>
      </c>
      <c r="AC188" t="str" cm="1">
        <f t="array" ref="AC188">_xlfn.LET(
  _xlpm.colj, _xlfn._xlws.FILTER(IF(ISNUMBER(187:187), COLUMN(187:187)), ISNUMBER(187:187)),
  _xlpm.elos, INDEX(186:186,1,_xlpm.colj),
  _xlpm.diffscale, Constantes!$B$2,
  IF(AC187="",
    "",
    SUM(1/(1+POWER(10,-(AC186-_xlpm.elos)/_xlpm.diffscale)))-0.5)
)</f>
        <v/>
      </c>
      <c r="AD188" cm="1">
        <f t="array" ref="AD188">_xlfn.LET(
  _xlpm.colj, _xlfn._xlws.FILTER(IF(ISNUMBER(187:187), COLUMN(187:187)), ISNUMBER(187:187)),
  _xlpm.elos, INDEX(186:186,1,_xlpm.colj),
  _xlpm.diffscale, Constantes!$B$2,
  IF(AD187="",
    "",
    SUM(1/(1+POWER(10,-(AD186-_xlpm.elos)/_xlpm.diffscale)))-0.5)
)</f>
        <v>1.1471694581453626</v>
      </c>
      <c r="AE188" t="str" cm="1">
        <f t="array" ref="AE188">_xlfn.LET(
  _xlpm.colj, _xlfn._xlws.FILTER(IF(ISNUMBER(187:187), COLUMN(187:187)), ISNUMBER(187:187)),
  _xlpm.elos, INDEX(186:186,1,_xlpm.colj),
  _xlpm.diffscale, Constantes!$B$2,
  IF(AE187="",
    "",
    SUM(1/(1+POWER(10,-(AE186-_xlpm.elos)/_xlpm.diffscale)))-0.5)
)</f>
        <v/>
      </c>
      <c r="AF188" t="str" cm="1">
        <f t="array" ref="AF188">_xlfn.LET(
  _xlpm.colj, _xlfn._xlws.FILTER(IF(ISNUMBER(187:187), COLUMN(187:187)), ISNUMBER(187:187)),
  _xlpm.elos, INDEX(186:186,1,_xlpm.colj),
  _xlpm.diffscale, Constantes!$B$2,
  IF(AF187="",
    "",
    SUM(1/(1+POWER(10,-(AF186-_xlpm.elos)/_xlpm.diffscale)))-0.5)
)</f>
        <v/>
      </c>
      <c r="AG188" t="str" cm="1">
        <f t="array" ref="AG188">_xlfn.LET(
  _xlpm.colj, _xlfn._xlws.FILTER(IF(ISNUMBER(187:187), COLUMN(187:187)), ISNUMBER(187:187)),
  _xlpm.elos, INDEX(186:186,1,_xlpm.colj),
  _xlpm.diffscale, Constantes!$B$2,
  IF(AG187="",
    "",
    SUM(1/(1+POWER(10,-(AG186-_xlpm.elos)/_xlpm.diffscale)))-0.5)
)</f>
        <v/>
      </c>
      <c r="AH188" t="str" cm="1">
        <f t="array" ref="AH188">_xlfn.LET(
  _xlpm.colj, _xlfn._xlws.FILTER(IF(ISNUMBER(187:187), COLUMN(187:187)), ISNUMBER(187:187)),
  _xlpm.elos, INDEX(186:186,1,_xlpm.colj),
  _xlpm.diffscale, Constantes!$B$2,
  IF(AH187="",
    "",
    SUM(1/(1+POWER(10,-(AH186-_xlpm.elos)/_xlpm.diffscale)))-0.5)
)</f>
        <v/>
      </c>
      <c r="AI188" t="str" cm="1">
        <f t="array" ref="AI188">_xlfn.LET(
  _xlpm.colj, _xlfn._xlws.FILTER(IF(ISNUMBER(187:187), COLUMN(187:187)), ISNUMBER(187:187)),
  _xlpm.elos, INDEX(186:186,1,_xlpm.colj),
  _xlpm.diffscale, Constantes!$B$2,
  IF(AI187="",
    "",
    SUM(1/(1+POWER(10,-(AI186-_xlpm.elos)/_xlpm.diffscale)))-0.5)
)</f>
        <v/>
      </c>
      <c r="AJ188" t="str" cm="1">
        <f t="array" ref="AJ188">_xlfn.LET(
  _xlpm.colj, _xlfn._xlws.FILTER(IF(ISNUMBER(187:187), COLUMN(187:187)), ISNUMBER(187:187)),
  _xlpm.elos, INDEX(186:186,1,_xlpm.colj),
  _xlpm.diffscale, Constantes!$B$2,
  IF(AJ187="",
    "",
    SUM(1/(1+POWER(10,-(AJ186-_xlpm.elos)/_xlpm.diffscale)))-0.5)
)</f>
        <v/>
      </c>
      <c r="AK188" t="str" cm="1">
        <f t="array" ref="AK188">_xlfn.LET(
  _xlpm.colj, _xlfn._xlws.FILTER(IF(ISNUMBER(187:187), COLUMN(187:187)), ISNUMBER(187:187)),
  _xlpm.elos, INDEX(186:186,1,_xlpm.colj),
  _xlpm.diffscale, Constantes!$B$2,
  IF(AK187="",
    "",
    SUM(1/(1+POWER(10,-(AK186-_xlpm.elos)/_xlpm.diffscale)))-0.5)
)</f>
        <v/>
      </c>
      <c r="AL188" t="str" cm="1">
        <f t="array" ref="AL188">_xlfn.LET(
  _xlpm.colj, _xlfn._xlws.FILTER(IF(ISNUMBER(187:187), COLUMN(187:187)), ISNUMBER(187:187)),
  _xlpm.elos, INDEX(186:186,1,_xlpm.colj),
  _xlpm.diffscale, Constantes!$B$2,
  IF(AL187="",
    "",
    SUM(1/(1+POWER(10,-(AL186-_xlpm.elos)/_xlpm.diffscale)))-0.5)
)</f>
        <v/>
      </c>
      <c r="AM188" t="str" cm="1">
        <f t="array" ref="AM188">_xlfn.LET(
  _xlpm.colj, _xlfn._xlws.FILTER(IF(ISNUMBER(187:187), COLUMN(187:187)), ISNUMBER(187:187)),
  _xlpm.elos, INDEX(186:186,1,_xlpm.colj),
  _xlpm.diffscale, Constantes!$B$2,
  IF(AM187="",
    "",
    SUM(1/(1+POWER(10,-(AM186-_xlpm.elos)/_xlpm.diffscale)))-0.5)
)</f>
        <v/>
      </c>
    </row>
    <row r="189" spans="1:39" x14ac:dyDescent="0.25">
      <c r="A189" t="s">
        <v>22</v>
      </c>
      <c r="D189" cm="1">
        <f t="array" ref="D189">_xlfn.LET(
  _xlpm.K, Constantes!$B$3,
  _xlpm.Knewgain, Constantes!$B$4,
  _xlpm.Knewscale, Constantes!$B$5,
  _xlpm.ptstables, INDEX(D:D, _xlfn.SEQUENCE(COUNTA($C$2:$C189), 1, 3, 4)),
  _xlpm.nbparties, COUNTA(_xlfn._xlws.FILTER(_xlpm.ptstables, _xlpm.ptstables &lt;&gt; "")),
  _xlpm.coef, _xlpm.K + _xlpm.Knewgain / (_xlpm.Knewscale + _xlpm.nbparties),
  IF(D187="",
    "",
    _xlpm.coef * (D187-D188))
)</f>
        <v>31.014989180564722</v>
      </c>
      <c r="E189" t="str" cm="1">
        <f t="array" ref="E189">_xlfn.LET(
  _xlpm.K, Constantes!$B$3,
  _xlpm.Knewgain, Constantes!$B$4,
  _xlpm.Knewscale, Constantes!$B$5,
  _xlpm.ptstables, INDEX(E:E, _xlfn.SEQUENCE(COUNTA($C$2:$C189), 1, 3, 4)),
  _xlpm.nbparties, COUNTA(_xlfn._xlws.FILTER(_xlpm.ptstables, _xlpm.ptstables &lt;&gt; "")),
  _xlpm.coef, _xlpm.K + _xlpm.Knewgain / (_xlpm.Knewscale + _xlpm.nbparties),
  IF(E187="",
    "",
    _xlpm.coef * (E187-E188))
)</f>
        <v/>
      </c>
      <c r="F189" t="str" cm="1">
        <f t="array" ref="F189">_xlfn.LET(
  _xlpm.K, Constantes!$B$3,
  _xlpm.Knewgain, Constantes!$B$4,
  _xlpm.Knewscale, Constantes!$B$5,
  _xlpm.ptstables, INDEX(F:F, _xlfn.SEQUENCE(COUNTA($C$2:$C189), 1, 3, 4)),
  _xlpm.nbparties, COUNTA(_xlfn._xlws.FILTER(_xlpm.ptstables, _xlpm.ptstables &lt;&gt; "")),
  _xlpm.coef, _xlpm.K + _xlpm.Knewgain / (_xlpm.Knewscale + _xlpm.nbparties),
  IF(F187="",
    "",
    _xlpm.coef * (F187-F188))
)</f>
        <v/>
      </c>
      <c r="G189" t="str" cm="1">
        <f t="array" ref="G189">_xlfn.LET(
  _xlpm.K, Constantes!$B$3,
  _xlpm.Knewgain, Constantes!$B$4,
  _xlpm.Knewscale, Constantes!$B$5,
  _xlpm.ptstables, INDEX(G:G, _xlfn.SEQUENCE(COUNTA($C$2:$C189), 1, 3, 4)),
  _xlpm.nbparties, COUNTA(_xlfn._xlws.FILTER(_xlpm.ptstables, _xlpm.ptstables &lt;&gt; "")),
  _xlpm.coef, _xlpm.K + _xlpm.Knewgain / (_xlpm.Knewscale + _xlpm.nbparties),
  IF(G187="",
    "",
    _xlpm.coef * (G187-G188))
)</f>
        <v/>
      </c>
      <c r="H189" t="str" cm="1">
        <f t="array" ref="H189">_xlfn.LET(
  _xlpm.K, Constantes!$B$3,
  _xlpm.Knewgain, Constantes!$B$4,
  _xlpm.Knewscale, Constantes!$B$5,
  _xlpm.ptstables, INDEX(H:H, _xlfn.SEQUENCE(COUNTA($C$2:$C189), 1, 3, 4)),
  _xlpm.nbparties, COUNTA(_xlfn._xlws.FILTER(_xlpm.ptstables, _xlpm.ptstables &lt;&gt; "")),
  _xlpm.coef, _xlpm.K + _xlpm.Knewgain / (_xlpm.Knewscale + _xlpm.nbparties),
  IF(H187="",
    "",
    _xlpm.coef * (H187-H188))
)</f>
        <v/>
      </c>
      <c r="I189" cm="1">
        <f t="array" ref="I189">_xlfn.LET(
  _xlpm.K, Constantes!$B$3,
  _xlpm.Knewgain, Constantes!$B$4,
  _xlpm.Knewscale, Constantes!$B$5,
  _xlpm.ptstables, INDEX(I:I, _xlfn.SEQUENCE(COUNTA($C$2:$C189), 1, 3, 4)),
  _xlpm.nbparties, COUNTA(_xlfn._xlws.FILTER(_xlpm.ptstables, _xlpm.ptstables &lt;&gt; "")),
  _xlpm.coef, _xlpm.K + _xlpm.Knewgain / (_xlpm.Knewscale + _xlpm.nbparties),
  IF(I187="",
    "",
    _xlpm.coef * (I187-I188))
)</f>
        <v>-37.912580691722987</v>
      </c>
      <c r="J189" t="str" cm="1">
        <f t="array" ref="J189">_xlfn.LET(
  _xlpm.K, Constantes!$B$3,
  _xlpm.Knewgain, Constantes!$B$4,
  _xlpm.Knewscale, Constantes!$B$5,
  _xlpm.ptstables, INDEX(J:J, _xlfn.SEQUENCE(COUNTA($C$2:$C189), 1, 3, 4)),
  _xlpm.nbparties, COUNTA(_xlfn._xlws.FILTER(_xlpm.ptstables, _xlpm.ptstables &lt;&gt; "")),
  _xlpm.coef, _xlpm.K + _xlpm.Knewgain / (_xlpm.Knewscale + _xlpm.nbparties),
  IF(J187="",
    "",
    _xlpm.coef * (J187-J188))
)</f>
        <v/>
      </c>
      <c r="K189" t="str" cm="1">
        <f t="array" ref="K189">_xlfn.LET(
  _xlpm.K, Constantes!$B$3,
  _xlpm.Knewgain, Constantes!$B$4,
  _xlpm.Knewscale, Constantes!$B$5,
  _xlpm.ptstables, INDEX(K:K, _xlfn.SEQUENCE(COUNTA($C$2:$C189), 1, 3, 4)),
  _xlpm.nbparties, COUNTA(_xlfn._xlws.FILTER(_xlpm.ptstables, _xlpm.ptstables &lt;&gt; "")),
  _xlpm.coef, _xlpm.K + _xlpm.Knewgain / (_xlpm.Knewscale + _xlpm.nbparties),
  IF(K187="",
    "",
    _xlpm.coef * (K187-K188))
)</f>
        <v/>
      </c>
      <c r="L189" t="str" cm="1">
        <f t="array" ref="L189">_xlfn.LET(
  _xlpm.K, Constantes!$B$3,
  _xlpm.Knewgain, Constantes!$B$4,
  _xlpm.Knewscale, Constantes!$B$5,
  _xlpm.ptstables, INDEX(L:L, _xlfn.SEQUENCE(COUNTA($C$2:$C189), 1, 3, 4)),
  _xlpm.nbparties, COUNTA(_xlfn._xlws.FILTER(_xlpm.ptstables, _xlpm.ptstables &lt;&gt; "")),
  _xlpm.coef, _xlpm.K + _xlpm.Knewgain / (_xlpm.Knewscale + _xlpm.nbparties),
  IF(L187="",
    "",
    _xlpm.coef * (L187-L188))
)</f>
        <v/>
      </c>
      <c r="M189" t="str" cm="1">
        <f t="array" ref="M189">_xlfn.LET(
  _xlpm.K, Constantes!$B$3,
  _xlpm.Knewgain, Constantes!$B$4,
  _xlpm.Knewscale, Constantes!$B$5,
  _xlpm.ptstables, INDEX(M:M, _xlfn.SEQUENCE(COUNTA($C$2:$C189), 1, 3, 4)),
  _xlpm.nbparties, COUNTA(_xlfn._xlws.FILTER(_xlpm.ptstables, _xlpm.ptstables &lt;&gt; "")),
  _xlpm.coef, _xlpm.K + _xlpm.Knewgain / (_xlpm.Knewscale + _xlpm.nbparties),
  IF(M187="",
    "",
    _xlpm.coef * (M187-M188))
)</f>
        <v/>
      </c>
      <c r="N189" t="str" cm="1">
        <f t="array" ref="N189">_xlfn.LET(
  _xlpm.K, Constantes!$B$3,
  _xlpm.Knewgain, Constantes!$B$4,
  _xlpm.Knewscale, Constantes!$B$5,
  _xlpm.ptstables, INDEX(N:N, _xlfn.SEQUENCE(COUNTA($C$2:$C189), 1, 3, 4)),
  _xlpm.nbparties, COUNTA(_xlfn._xlws.FILTER(_xlpm.ptstables, _xlpm.ptstables &lt;&gt; "")),
  _xlpm.coef, _xlpm.K + _xlpm.Knewgain / (_xlpm.Knewscale + _xlpm.nbparties),
  IF(N187="",
    "",
    _xlpm.coef * (N187-N188))
)</f>
        <v/>
      </c>
      <c r="O189" t="str" cm="1">
        <f t="array" ref="O189">_xlfn.LET(
  _xlpm.K, Constantes!$B$3,
  _xlpm.Knewgain, Constantes!$B$4,
  _xlpm.Knewscale, Constantes!$B$5,
  _xlpm.ptstables, INDEX(O:O, _xlfn.SEQUENCE(COUNTA($C$2:$C189), 1, 3, 4)),
  _xlpm.nbparties, COUNTA(_xlfn._xlws.FILTER(_xlpm.ptstables, _xlpm.ptstables &lt;&gt; "")),
  _xlpm.coef, _xlpm.K + _xlpm.Knewgain / (_xlpm.Knewscale + _xlpm.nbparties),
  IF(O187="",
    "",
    _xlpm.coef * (O187-O188))
)</f>
        <v/>
      </c>
      <c r="P189" t="str" cm="1">
        <f t="array" ref="P189">_xlfn.LET(
  _xlpm.K, Constantes!$B$3,
  _xlpm.Knewgain, Constantes!$B$4,
  _xlpm.Knewscale, Constantes!$B$5,
  _xlpm.ptstables, INDEX(P:P, _xlfn.SEQUENCE(COUNTA($C$2:$C189), 1, 3, 4)),
  _xlpm.nbparties, COUNTA(_xlfn._xlws.FILTER(_xlpm.ptstables, _xlpm.ptstables &lt;&gt; "")),
  _xlpm.coef, _xlpm.K + _xlpm.Knewgain / (_xlpm.Knewscale + _xlpm.nbparties),
  IF(P187="",
    "",
    _xlpm.coef * (P187-P188))
)</f>
        <v/>
      </c>
      <c r="Q189" cm="1">
        <f t="array" ref="Q189">_xlfn.LET(
  _xlpm.K, Constantes!$B$3,
  _xlpm.Knewgain, Constantes!$B$4,
  _xlpm.Knewscale, Constantes!$B$5,
  _xlpm.ptstables, INDEX(Q:Q, _xlfn.SEQUENCE(COUNTA($C$2:$C189), 1, 3, 4)),
  _xlpm.nbparties, COUNTA(_xlfn._xlws.FILTER(_xlpm.ptstables, _xlpm.ptstables &lt;&gt; "")),
  _xlpm.coef, _xlpm.K + _xlpm.Knewgain / (_xlpm.Knewscale + _xlpm.nbparties),
  IF(Q187="",
    "",
    _xlpm.coef * (Q187-Q188))
)</f>
        <v>-15.975095369303355</v>
      </c>
      <c r="R189" t="str" cm="1">
        <f t="array" ref="R189">_xlfn.LET(
  _xlpm.K, Constantes!$B$3,
  _xlpm.Knewgain, Constantes!$B$4,
  _xlpm.Knewscale, Constantes!$B$5,
  _xlpm.ptstables, INDEX(R:R, _xlfn.SEQUENCE(COUNTA($C$2:$C189), 1, 3, 4)),
  _xlpm.nbparties, COUNTA(_xlfn._xlws.FILTER(_xlpm.ptstables, _xlpm.ptstables &lt;&gt; "")),
  _xlpm.coef, _xlpm.K + _xlpm.Knewgain / (_xlpm.Knewscale + _xlpm.nbparties),
  IF(R187="",
    "",
    _xlpm.coef * (R187-R188))
)</f>
        <v/>
      </c>
      <c r="S189" t="str" cm="1">
        <f t="array" ref="S189">_xlfn.LET(
  _xlpm.K, Constantes!$B$3,
  _xlpm.Knewgain, Constantes!$B$4,
  _xlpm.Knewscale, Constantes!$B$5,
  _xlpm.ptstables, INDEX(S:S, _xlfn.SEQUENCE(COUNTA($C$2:$C189), 1, 3, 4)),
  _xlpm.nbparties, COUNTA(_xlfn._xlws.FILTER(_xlpm.ptstables, _xlpm.ptstables &lt;&gt; "")),
  _xlpm.coef, _xlpm.K + _xlpm.Knewgain / (_xlpm.Knewscale + _xlpm.nbparties),
  IF(S187="",
    "",
    _xlpm.coef * (S187-S188))
)</f>
        <v/>
      </c>
      <c r="T189" t="str" cm="1">
        <f t="array" ref="T189">_xlfn.LET(
  _xlpm.K, Constantes!$B$3,
  _xlpm.Knewgain, Constantes!$B$4,
  _xlpm.Knewscale, Constantes!$B$5,
  _xlpm.ptstables, INDEX(T:T, _xlfn.SEQUENCE(COUNTA($C$2:$C189), 1, 3, 4)),
  _xlpm.nbparties, COUNTA(_xlfn._xlws.FILTER(_xlpm.ptstables, _xlpm.ptstables &lt;&gt; "")),
  _xlpm.coef, _xlpm.K + _xlpm.Knewgain / (_xlpm.Knewscale + _xlpm.nbparties),
  IF(T187="",
    "",
    _xlpm.coef * (T187-T188))
)</f>
        <v/>
      </c>
      <c r="U189" t="str" cm="1">
        <f t="array" ref="U189">_xlfn.LET(
  _xlpm.K, Constantes!$B$3,
  _xlpm.Knewgain, Constantes!$B$4,
  _xlpm.Knewscale, Constantes!$B$5,
  _xlpm.ptstables, INDEX(U:U, _xlfn.SEQUENCE(COUNTA($C$2:$C189), 1, 3, 4)),
  _xlpm.nbparties, COUNTA(_xlfn._xlws.FILTER(_xlpm.ptstables, _xlpm.ptstables &lt;&gt; "")),
  _xlpm.coef, _xlpm.K + _xlpm.Knewgain / (_xlpm.Knewscale + _xlpm.nbparties),
  IF(U187="",
    "",
    _xlpm.coef * (U187-U188))
)</f>
        <v/>
      </c>
      <c r="V189" t="str" cm="1">
        <f t="array" ref="V189">_xlfn.LET(
  _xlpm.K, Constantes!$B$3,
  _xlpm.Knewgain, Constantes!$B$4,
  _xlpm.Knewscale, Constantes!$B$5,
  _xlpm.ptstables, INDEX(V:V, _xlfn.SEQUENCE(COUNTA($C$2:$C189), 1, 3, 4)),
  _xlpm.nbparties, COUNTA(_xlfn._xlws.FILTER(_xlpm.ptstables, _xlpm.ptstables &lt;&gt; "")),
  _xlpm.coef, _xlpm.K + _xlpm.Knewgain / (_xlpm.Knewscale + _xlpm.nbparties),
  IF(V187="",
    "",
    _xlpm.coef * (V187-V188))
)</f>
        <v/>
      </c>
      <c r="W189" t="str" cm="1">
        <f t="array" ref="W189">_xlfn.LET(
  _xlpm.K, Constantes!$B$3,
  _xlpm.Knewgain, Constantes!$B$4,
  _xlpm.Knewscale, Constantes!$B$5,
  _xlpm.ptstables, INDEX(W:W, _xlfn.SEQUENCE(COUNTA($C$2:$C189), 1, 3, 4)),
  _xlpm.nbparties, COUNTA(_xlfn._xlws.FILTER(_xlpm.ptstables, _xlpm.ptstables &lt;&gt; "")),
  _xlpm.coef, _xlpm.K + _xlpm.Knewgain / (_xlpm.Knewscale + _xlpm.nbparties),
  IF(W187="",
    "",
    _xlpm.coef * (W187-W188))
)</f>
        <v/>
      </c>
      <c r="X189" t="str" cm="1">
        <f t="array" ref="X189">_xlfn.LET(
  _xlpm.K, Constantes!$B$3,
  _xlpm.Knewgain, Constantes!$B$4,
  _xlpm.Knewscale, Constantes!$B$5,
  _xlpm.ptstables, INDEX(X:X, _xlfn.SEQUENCE(COUNTA($C$2:$C189), 1, 3, 4)),
  _xlpm.nbparties, COUNTA(_xlfn._xlws.FILTER(_xlpm.ptstables, _xlpm.ptstables &lt;&gt; "")),
  _xlpm.coef, _xlpm.K + _xlpm.Knewgain / (_xlpm.Knewscale + _xlpm.nbparties),
  IF(X187="",
    "",
    _xlpm.coef * (X187-X188))
)</f>
        <v/>
      </c>
      <c r="Y189" t="str" cm="1">
        <f t="array" ref="Y189">_xlfn.LET(
  _xlpm.K, Constantes!$B$3,
  _xlpm.Knewgain, Constantes!$B$4,
  _xlpm.Knewscale, Constantes!$B$5,
  _xlpm.ptstables, INDEX(Y:Y, _xlfn.SEQUENCE(COUNTA($C$2:$C189), 1, 3, 4)),
  _xlpm.nbparties, COUNTA(_xlfn._xlws.FILTER(_xlpm.ptstables, _xlpm.ptstables &lt;&gt; "")),
  _xlpm.coef, _xlpm.K + _xlpm.Knewgain / (_xlpm.Knewscale + _xlpm.nbparties),
  IF(Y187="",
    "",
    _xlpm.coef * (Y187-Y188))
)</f>
        <v/>
      </c>
      <c r="Z189" t="str" cm="1">
        <f t="array" ref="Z189">_xlfn.LET(
  _xlpm.K, Constantes!$B$3,
  _xlpm.Knewgain, Constantes!$B$4,
  _xlpm.Knewscale, Constantes!$B$5,
  _xlpm.ptstables, INDEX(Z:Z, _xlfn.SEQUENCE(COUNTA($C$2:$C189), 1, 3, 4)),
  _xlpm.nbparties, COUNTA(_xlfn._xlws.FILTER(_xlpm.ptstables, _xlpm.ptstables &lt;&gt; "")),
  _xlpm.coef, _xlpm.K + _xlpm.Knewgain / (_xlpm.Knewscale + _xlpm.nbparties),
  IF(Z187="",
    "",
    _xlpm.coef * (Z187-Z188))
)</f>
        <v/>
      </c>
      <c r="AA189" t="str" cm="1">
        <f t="array" ref="AA189">_xlfn.LET(
  _xlpm.K, Constantes!$B$3,
  _xlpm.Knewgain, Constantes!$B$4,
  _xlpm.Knewscale, Constantes!$B$5,
  _xlpm.ptstables, INDEX(AA:AA, _xlfn.SEQUENCE(COUNTA($C$2:$C189), 1, 3, 4)),
  _xlpm.nbparties, COUNTA(_xlfn._xlws.FILTER(_xlpm.ptstables, _xlpm.ptstables &lt;&gt; "")),
  _xlpm.coef, _xlpm.K + _xlpm.Knewgain / (_xlpm.Knewscale + _xlpm.nbparties),
  IF(AA187="",
    "",
    _xlpm.coef * (AA187-AA188))
)</f>
        <v/>
      </c>
      <c r="AB189" t="str" cm="1">
        <f t="array" ref="AB189">_xlfn.LET(
  _xlpm.K, Constantes!$B$3,
  _xlpm.Knewgain, Constantes!$B$4,
  _xlpm.Knewscale, Constantes!$B$5,
  _xlpm.ptstables, INDEX(AB:AB, _xlfn.SEQUENCE(COUNTA($C$2:$C189), 1, 3, 4)),
  _xlpm.nbparties, COUNTA(_xlfn._xlws.FILTER(_xlpm.ptstables, _xlpm.ptstables &lt;&gt; "")),
  _xlpm.coef, _xlpm.K + _xlpm.Knewgain / (_xlpm.Knewscale + _xlpm.nbparties),
  IF(AB187="",
    "",
    _xlpm.coef * (AB187-AB188))
)</f>
        <v/>
      </c>
      <c r="AC189" t="str" cm="1">
        <f t="array" ref="AC189">_xlfn.LET(
  _xlpm.K, Constantes!$B$3,
  _xlpm.Knewgain, Constantes!$B$4,
  _xlpm.Knewscale, Constantes!$B$5,
  _xlpm.ptstables, INDEX(AC:AC, _xlfn.SEQUENCE(COUNTA($C$2:$C189), 1, 3, 4)),
  _xlpm.nbparties, COUNTA(_xlfn._xlws.FILTER(_xlpm.ptstables, _xlpm.ptstables &lt;&gt; "")),
  _xlpm.coef, _xlpm.K + _xlpm.Knewgain / (_xlpm.Knewscale + _xlpm.nbparties),
  IF(AC187="",
    "",
    _xlpm.coef * (AC187-AC188))
)</f>
        <v/>
      </c>
      <c r="AD189" cm="1">
        <f t="array" ref="AD189">_xlfn.LET(
  _xlpm.K, Constantes!$B$3,
  _xlpm.Knewgain, Constantes!$B$4,
  _xlpm.Knewscale, Constantes!$B$5,
  _xlpm.ptstables, INDEX(AD:AD, _xlfn.SEQUENCE(COUNTA($C$2:$C189), 1, 3, 4)),
  _xlpm.nbparties, COUNTA(_xlfn._xlws.FILTER(_xlpm.ptstables, _xlpm.ptstables &lt;&gt; "")),
  _xlpm.coef, _xlpm.K + _xlpm.Knewgain / (_xlpm.Knewscale + _xlpm.nbparties),
  IF(AD187="",
    "",
    _xlpm.coef * (AD187-AD188))
)</f>
        <v>38.37737438345868</v>
      </c>
      <c r="AE189" t="str" cm="1">
        <f t="array" ref="AE189">_xlfn.LET(
  _xlpm.K, Constantes!$B$3,
  _xlpm.Knewgain, Constantes!$B$4,
  _xlpm.Knewscale, Constantes!$B$5,
  _xlpm.ptstables, INDEX(AE:AE, _xlfn.SEQUENCE(COUNTA($C$2:$C189), 1, 3, 4)),
  _xlpm.nbparties, COUNTA(_xlfn._xlws.FILTER(_xlpm.ptstables, _xlpm.ptstables &lt;&gt; "")),
  _xlpm.coef, _xlpm.K + _xlpm.Knewgain / (_xlpm.Knewscale + _xlpm.nbparties),
  IF(AE187="",
    "",
    _xlpm.coef * (AE187-AE188))
)</f>
        <v/>
      </c>
      <c r="AF189" t="str" cm="1">
        <f t="array" ref="AF189">_xlfn.LET(
  _xlpm.K, Constantes!$B$3,
  _xlpm.Knewgain, Constantes!$B$4,
  _xlpm.Knewscale, Constantes!$B$5,
  _xlpm.ptstables, INDEX(AF:AF, _xlfn.SEQUENCE(COUNTA($C$2:$C189), 1, 3, 4)),
  _xlpm.nbparties, COUNTA(_xlfn._xlws.FILTER(_xlpm.ptstables, _xlpm.ptstables &lt;&gt; "")),
  _xlpm.coef, _xlpm.K + _xlpm.Knewgain / (_xlpm.Knewscale + _xlpm.nbparties),
  IF(AF187="",
    "",
    _xlpm.coef * (AF187-AF188))
)</f>
        <v/>
      </c>
      <c r="AG189" t="str" cm="1">
        <f t="array" ref="AG189">_xlfn.LET(
  _xlpm.K, Constantes!$B$3,
  _xlpm.Knewgain, Constantes!$B$4,
  _xlpm.Knewscale, Constantes!$B$5,
  _xlpm.ptstables, INDEX(AG:AG, _xlfn.SEQUENCE(COUNTA($C$2:$C189), 1, 3, 4)),
  _xlpm.nbparties, COUNTA(_xlfn._xlws.FILTER(_xlpm.ptstables, _xlpm.ptstables &lt;&gt; "")),
  _xlpm.coef, _xlpm.K + _xlpm.Knewgain / (_xlpm.Knewscale + _xlpm.nbparties),
  IF(AG187="",
    "",
    _xlpm.coef * (AG187-AG188))
)</f>
        <v/>
      </c>
      <c r="AH189" t="str" cm="1">
        <f t="array" ref="AH189">_xlfn.LET(
  _xlpm.K, Constantes!$B$3,
  _xlpm.Knewgain, Constantes!$B$4,
  _xlpm.Knewscale, Constantes!$B$5,
  _xlpm.ptstables, INDEX(AH:AH, _xlfn.SEQUENCE(COUNTA($C$2:$C189), 1, 3, 4)),
  _xlpm.nbparties, COUNTA(_xlfn._xlws.FILTER(_xlpm.ptstables, _xlpm.ptstables &lt;&gt; "")),
  _xlpm.coef, _xlpm.K + _xlpm.Knewgain / (_xlpm.Knewscale + _xlpm.nbparties),
  IF(AH187="",
    "",
    _xlpm.coef * (AH187-AH188))
)</f>
        <v/>
      </c>
      <c r="AI189" t="str" cm="1">
        <f t="array" ref="AI189">_xlfn.LET(
  _xlpm.K, Constantes!$B$3,
  _xlpm.Knewgain, Constantes!$B$4,
  _xlpm.Knewscale, Constantes!$B$5,
  _xlpm.ptstables, INDEX(AI:AI, _xlfn.SEQUENCE(COUNTA($C$2:$C189), 1, 3, 4)),
  _xlpm.nbparties, COUNTA(_xlfn._xlws.FILTER(_xlpm.ptstables, _xlpm.ptstables &lt;&gt; "")),
  _xlpm.coef, _xlpm.K + _xlpm.Knewgain / (_xlpm.Knewscale + _xlpm.nbparties),
  IF(AI187="",
    "",
    _xlpm.coef * (AI187-AI188))
)</f>
        <v/>
      </c>
      <c r="AJ189" t="str" cm="1">
        <f t="array" ref="AJ189">_xlfn.LET(
  _xlpm.K, Constantes!$B$3,
  _xlpm.Knewgain, Constantes!$B$4,
  _xlpm.Knewscale, Constantes!$B$5,
  _xlpm.ptstables, INDEX(AJ:AJ, _xlfn.SEQUENCE(COUNTA($C$2:$C189), 1, 3, 4)),
  _xlpm.nbparties, COUNTA(_xlfn._xlws.FILTER(_xlpm.ptstables, _xlpm.ptstables &lt;&gt; "")),
  _xlpm.coef, _xlpm.K + _xlpm.Knewgain / (_xlpm.Knewscale + _xlpm.nbparties),
  IF(AJ187="",
    "",
    _xlpm.coef * (AJ187-AJ188))
)</f>
        <v/>
      </c>
      <c r="AK189" t="str" cm="1">
        <f t="array" ref="AK189">_xlfn.LET(
  _xlpm.K, Constantes!$B$3,
  _xlpm.Knewgain, Constantes!$B$4,
  _xlpm.Knewscale, Constantes!$B$5,
  _xlpm.ptstables, INDEX(AK:AK, _xlfn.SEQUENCE(COUNTA($C$2:$C189), 1, 3, 4)),
  _xlpm.nbparties, COUNTA(_xlfn._xlws.FILTER(_xlpm.ptstables, _xlpm.ptstables &lt;&gt; "")),
  _xlpm.coef, _xlpm.K + _xlpm.Knewgain / (_xlpm.Knewscale + _xlpm.nbparties),
  IF(AK187="",
    "",
    _xlpm.coef * (AK187-AK188))
)</f>
        <v/>
      </c>
      <c r="AL189" t="str" cm="1">
        <f t="array" ref="AL189">_xlfn.LET(
  _xlpm.K, Constantes!$B$3,
  _xlpm.Knewgain, Constantes!$B$4,
  _xlpm.Knewscale, Constantes!$B$5,
  _xlpm.ptstables, INDEX(AL:AL, _xlfn.SEQUENCE(COUNTA($C$2:$C189), 1, 3, 4)),
  _xlpm.nbparties, COUNTA(_xlfn._xlws.FILTER(_xlpm.ptstables, _xlpm.ptstables &lt;&gt; "")),
  _xlpm.coef, _xlpm.K + _xlpm.Knewgain / (_xlpm.Knewscale + _xlpm.nbparties),
  IF(AL187="",
    "",
    _xlpm.coef * (AL187-AL188))
)</f>
        <v/>
      </c>
      <c r="AM189" t="str" cm="1">
        <f t="array" ref="AM189">_xlfn.LET(
  _xlpm.K, Constantes!$B$3,
  _xlpm.Knewgain, Constantes!$B$4,
  _xlpm.Knewscale, Constantes!$B$5,
  _xlpm.ptstables, INDEX(AM:AM, _xlfn.SEQUENCE(COUNTA($C$2:$C189), 1, 3, 4)),
  _xlpm.nbparties, COUNTA(_xlfn._xlws.FILTER(_xlpm.ptstables, _xlpm.ptstables &lt;&gt; "")),
  _xlpm.coef, _xlpm.K + _xlpm.Knewgain / (_xlpm.Knewscale + _xlpm.nbparties),
  IF(AM187="",
    "",
    _xlpm.coef * (AM187-AM188))
)</f>
        <v/>
      </c>
    </row>
    <row r="190" spans="1:39" x14ac:dyDescent="0.25">
      <c r="A190" t="s">
        <v>14</v>
      </c>
      <c r="B190" t="str" cm="1">
        <f t="array" ref="B19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52</v>
      </c>
      <c r="C190" s="2" cm="1">
        <f t="array" ref="C190">IF(B190="","",
  INDEX(Donnees!F:F, MATCH(B190, Donnees!F:F, 0)+1))</f>
        <v>45934.596504629626</v>
      </c>
      <c r="D190">
        <f t="shared" ref="D190:AM190" si="55">D186+IF(D189="",0,D189)</f>
        <v>1102.9314752305681</v>
      </c>
      <c r="E190">
        <f t="shared" si="55"/>
        <v>1105.3750854597461</v>
      </c>
      <c r="F190">
        <f t="shared" si="55"/>
        <v>861.02806342581061</v>
      </c>
      <c r="G190">
        <f t="shared" si="55"/>
        <v>1069.5689729213505</v>
      </c>
      <c r="H190">
        <f t="shared" si="55"/>
        <v>1033.8282013861956</v>
      </c>
      <c r="I190">
        <f t="shared" si="55"/>
        <v>995.9272830555808</v>
      </c>
      <c r="J190">
        <f t="shared" si="55"/>
        <v>938.49433816478961</v>
      </c>
      <c r="K190">
        <f t="shared" si="55"/>
        <v>907.51653081539087</v>
      </c>
      <c r="L190">
        <f t="shared" si="55"/>
        <v>801.48942635099877</v>
      </c>
      <c r="M190">
        <f t="shared" si="55"/>
        <v>913.41986361738122</v>
      </c>
      <c r="N190">
        <f t="shared" si="55"/>
        <v>907.32507465255833</v>
      </c>
      <c r="O190">
        <f t="shared" si="55"/>
        <v>1005.4306950475848</v>
      </c>
      <c r="P190">
        <f t="shared" si="55"/>
        <v>1005.4229961505649</v>
      </c>
      <c r="Q190">
        <f t="shared" si="55"/>
        <v>1050.7184918608298</v>
      </c>
      <c r="R190">
        <f t="shared" si="55"/>
        <v>1180.6586778030673</v>
      </c>
      <c r="S190">
        <f t="shared" si="55"/>
        <v>857.40589081234418</v>
      </c>
      <c r="T190">
        <f t="shared" si="55"/>
        <v>1135.2782658680615</v>
      </c>
      <c r="U190">
        <f t="shared" si="55"/>
        <v>1150.496353852662</v>
      </c>
      <c r="V190">
        <f t="shared" si="55"/>
        <v>961.58818235691967</v>
      </c>
      <c r="W190">
        <f t="shared" si="55"/>
        <v>936.79085942937002</v>
      </c>
      <c r="X190">
        <f t="shared" si="55"/>
        <v>822.49182421843079</v>
      </c>
      <c r="Y190">
        <f t="shared" si="55"/>
        <v>984.68205603174124</v>
      </c>
      <c r="Z190">
        <f t="shared" si="55"/>
        <v>991.11904139672549</v>
      </c>
      <c r="AA190">
        <f t="shared" si="55"/>
        <v>980.56756855165884</v>
      </c>
      <c r="AB190">
        <f t="shared" si="55"/>
        <v>988.35669729544747</v>
      </c>
      <c r="AC190">
        <f t="shared" si="55"/>
        <v>1046.8071957095806</v>
      </c>
      <c r="AD190">
        <f t="shared" si="55"/>
        <v>1012.3923743834587</v>
      </c>
      <c r="AE190">
        <f t="shared" si="55"/>
        <v>1011.415</v>
      </c>
      <c r="AF190">
        <f t="shared" si="55"/>
        <v>1031.1199999999999</v>
      </c>
      <c r="AG190">
        <f t="shared" si="55"/>
        <v>1001.0350000000001</v>
      </c>
      <c r="AH190">
        <f t="shared" si="55"/>
        <v>994.44</v>
      </c>
      <c r="AI190">
        <f t="shared" si="55"/>
        <v>1000</v>
      </c>
      <c r="AJ190">
        <f t="shared" si="55"/>
        <v>957.2</v>
      </c>
      <c r="AK190">
        <f t="shared" si="55"/>
        <v>1000</v>
      </c>
      <c r="AL190">
        <f t="shared" si="55"/>
        <v>1055.9299999999998</v>
      </c>
      <c r="AM190">
        <f t="shared" si="55"/>
        <v>1000</v>
      </c>
    </row>
    <row r="191" spans="1:39" x14ac:dyDescent="0.25">
      <c r="A191" t="s">
        <v>21</v>
      </c>
      <c r="D191" t="str" cm="1">
        <f t="array" ref="D191">IFERROR(
  _xlfn.LET(
    _xlpm.ligpartie, MATCH($B190, Donnees!$F:$F, 0),
    _xlpm.joueurs, INDEX(Donnees!$A:$Z, _xlpm.ligpartie+1, _xlfn.SEQUENCE(1, 4, 2)),
    INDEX(
      Donnees!$A:$Z,
      _xlpm.ligpartie + 3,
      MATCH(D$1, _xlpm.joueurs, 0) + 1
    )
  ), ""
)</f>
        <v/>
      </c>
      <c r="E191" cm="1">
        <f t="array" ref="E191">IFERROR(
  _xlfn.LET(
    _xlpm.ligpartie, MATCH($B190, Donnees!$F:$F, 0),
    _xlpm.joueurs, INDEX(Donnees!$A:$Z, _xlpm.ligpartie+1, _xlfn.SEQUENCE(1, 4, 2)),
    INDEX(
      Donnees!$A:$Z,
      _xlpm.ligpartie + 3,
      MATCH(E$1, _xlpm.joueurs, 0) + 1
    )
  ), ""
)</f>
        <v>3</v>
      </c>
      <c r="F191" t="str" cm="1">
        <f t="array" ref="F191">IFERROR(
  _xlfn.LET(
    _xlpm.ligpartie, MATCH($B190, Donnees!$F:$F, 0),
    _xlpm.joueurs, INDEX(Donnees!$A:$Z, _xlpm.ligpartie+1, _xlfn.SEQUENCE(1, 4, 2)),
    INDEX(
      Donnees!$A:$Z,
      _xlpm.ligpartie + 3,
      MATCH(F$1, _xlpm.joueurs, 0) + 1
    )
  ), ""
)</f>
        <v/>
      </c>
      <c r="G191" t="str" cm="1">
        <f t="array" ref="G191">IFERROR(
  _xlfn.LET(
    _xlpm.ligpartie, MATCH($B190, Donnees!$F:$F, 0),
    _xlpm.joueurs, INDEX(Donnees!$A:$Z, _xlpm.ligpartie+1, _xlfn.SEQUENCE(1, 4, 2)),
    INDEX(
      Donnees!$A:$Z,
      _xlpm.ligpartie + 3,
      MATCH(G$1, _xlpm.joueurs, 0) + 1
    )
  ), ""
)</f>
        <v/>
      </c>
      <c r="H191" t="str" cm="1">
        <f t="array" ref="H191">IFERROR(
  _xlfn.LET(
    _xlpm.ligpartie, MATCH($B190, Donnees!$F:$F, 0),
    _xlpm.joueurs, INDEX(Donnees!$A:$Z, _xlpm.ligpartie+1, _xlfn.SEQUENCE(1, 4, 2)),
    INDEX(
      Donnees!$A:$Z,
      _xlpm.ligpartie + 3,
      MATCH(H$1, _xlpm.joueurs, 0) + 1
    )
  ), ""
)</f>
        <v/>
      </c>
      <c r="I191" t="str" cm="1">
        <f t="array" ref="I191">IFERROR(
  _xlfn.LET(
    _xlpm.ligpartie, MATCH($B190, Donnees!$F:$F, 0),
    _xlpm.joueurs, INDEX(Donnees!$A:$Z, _xlpm.ligpartie+1, _xlfn.SEQUENCE(1, 4, 2)),
    INDEX(
      Donnees!$A:$Z,
      _xlpm.ligpartie + 3,
      MATCH(I$1, _xlpm.joueurs, 0) + 1
    )
  ), ""
)</f>
        <v/>
      </c>
      <c r="J191" t="str" cm="1">
        <f t="array" ref="J191">IFERROR(
  _xlfn.LET(
    _xlpm.ligpartie, MATCH($B190, Donnees!$F:$F, 0),
    _xlpm.joueurs, INDEX(Donnees!$A:$Z, _xlpm.ligpartie+1, _xlfn.SEQUENCE(1, 4, 2)),
    INDEX(
      Donnees!$A:$Z,
      _xlpm.ligpartie + 3,
      MATCH(J$1, _xlpm.joueurs, 0) + 1
    )
  ), ""
)</f>
        <v/>
      </c>
      <c r="K191" cm="1">
        <f t="array" ref="K191">IFERROR(
  _xlfn.LET(
    _xlpm.ligpartie, MATCH($B190, Donnees!$F:$F, 0),
    _xlpm.joueurs, INDEX(Donnees!$A:$Z, _xlpm.ligpartie+1, _xlfn.SEQUENCE(1, 4, 2)),
    INDEX(
      Donnees!$A:$Z,
      _xlpm.ligpartie + 3,
      MATCH(K$1, _xlpm.joueurs, 0) + 1
    )
  ), ""
)</f>
        <v>2</v>
      </c>
      <c r="L191" t="str" cm="1">
        <f t="array" ref="L191">IFERROR(
  _xlfn.LET(
    _xlpm.ligpartie, MATCH($B190, Donnees!$F:$F, 0),
    _xlpm.joueurs, INDEX(Donnees!$A:$Z, _xlpm.ligpartie+1, _xlfn.SEQUENCE(1, 4, 2)),
    INDEX(
      Donnees!$A:$Z,
      _xlpm.ligpartie + 3,
      MATCH(L$1, _xlpm.joueurs, 0) + 1
    )
  ), ""
)</f>
        <v/>
      </c>
      <c r="M191" t="str" cm="1">
        <f t="array" ref="M191">IFERROR(
  _xlfn.LET(
    _xlpm.ligpartie, MATCH($B190, Donnees!$F:$F, 0),
    _xlpm.joueurs, INDEX(Donnees!$A:$Z, _xlpm.ligpartie+1, _xlfn.SEQUENCE(1, 4, 2)),
    INDEX(
      Donnees!$A:$Z,
      _xlpm.ligpartie + 3,
      MATCH(M$1, _xlpm.joueurs, 0) + 1
    )
  ), ""
)</f>
        <v/>
      </c>
      <c r="N191" cm="1">
        <f t="array" ref="N191">IFERROR(
  _xlfn.LET(
    _xlpm.ligpartie, MATCH($B190, Donnees!$F:$F, 0),
    _xlpm.joueurs, INDEX(Donnees!$A:$Z, _xlpm.ligpartie+1, _xlfn.SEQUENCE(1, 4, 2)),
    INDEX(
      Donnees!$A:$Z,
      _xlpm.ligpartie + 3,
      MATCH(N$1, _xlpm.joueurs, 0) + 1
    )
  ), ""
)</f>
        <v>1</v>
      </c>
      <c r="O191" t="str" cm="1">
        <f t="array" ref="O191">IFERROR(
  _xlfn.LET(
    _xlpm.ligpartie, MATCH($B190, Donnees!$F:$F, 0),
    _xlpm.joueurs, INDEX(Donnees!$A:$Z, _xlpm.ligpartie+1, _xlfn.SEQUENCE(1, 4, 2)),
    INDEX(
      Donnees!$A:$Z,
      _xlpm.ligpartie + 3,
      MATCH(O$1, _xlpm.joueurs, 0) + 1
    )
  ), ""
)</f>
        <v/>
      </c>
      <c r="P191" t="str" cm="1">
        <f t="array" ref="P191">IFERROR(
  _xlfn.LET(
    _xlpm.ligpartie, MATCH($B190, Donnees!$F:$F, 0),
    _xlpm.joueurs, INDEX(Donnees!$A:$Z, _xlpm.ligpartie+1, _xlfn.SEQUENCE(1, 4, 2)),
    INDEX(
      Donnees!$A:$Z,
      _xlpm.ligpartie + 3,
      MATCH(P$1, _xlpm.joueurs, 0) + 1
    )
  ), ""
)</f>
        <v/>
      </c>
      <c r="Q191" t="str" cm="1">
        <f t="array" ref="Q191">IFERROR(
  _xlfn.LET(
    _xlpm.ligpartie, MATCH($B190, Donnees!$F:$F, 0),
    _xlpm.joueurs, INDEX(Donnees!$A:$Z, _xlpm.ligpartie+1, _xlfn.SEQUENCE(1, 4, 2)),
    INDEX(
      Donnees!$A:$Z,
      _xlpm.ligpartie + 3,
      MATCH(Q$1, _xlpm.joueurs, 0) + 1
    )
  ), ""
)</f>
        <v/>
      </c>
      <c r="R191" t="str" cm="1">
        <f t="array" ref="R191">IFERROR(
  _xlfn.LET(
    _xlpm.ligpartie, MATCH($B190, Donnees!$F:$F, 0),
    _xlpm.joueurs, INDEX(Donnees!$A:$Z, _xlpm.ligpartie+1, _xlfn.SEQUENCE(1, 4, 2)),
    INDEX(
      Donnees!$A:$Z,
      _xlpm.ligpartie + 3,
      MATCH(R$1, _xlpm.joueurs, 0) + 1
    )
  ), ""
)</f>
        <v/>
      </c>
      <c r="S191" t="str" cm="1">
        <f t="array" ref="S191">IFERROR(
  _xlfn.LET(
    _xlpm.ligpartie, MATCH($B190, Donnees!$F:$F, 0),
    _xlpm.joueurs, INDEX(Donnees!$A:$Z, _xlpm.ligpartie+1, _xlfn.SEQUENCE(1, 4, 2)),
    INDEX(
      Donnees!$A:$Z,
      _xlpm.ligpartie + 3,
      MATCH(S$1, _xlpm.joueurs, 0) + 1
    )
  ), ""
)</f>
        <v/>
      </c>
      <c r="T191" t="str" cm="1">
        <f t="array" ref="T191">IFERROR(
  _xlfn.LET(
    _xlpm.ligpartie, MATCH($B190, Donnees!$F:$F, 0),
    _xlpm.joueurs, INDEX(Donnees!$A:$Z, _xlpm.ligpartie+1, _xlfn.SEQUENCE(1, 4, 2)),
    INDEX(
      Donnees!$A:$Z,
      _xlpm.ligpartie + 3,
      MATCH(T$1, _xlpm.joueurs, 0) + 1
    )
  ), ""
)</f>
        <v/>
      </c>
      <c r="U191" t="str" cm="1">
        <f t="array" ref="U191">IFERROR(
  _xlfn.LET(
    _xlpm.ligpartie, MATCH($B190, Donnees!$F:$F, 0),
    _xlpm.joueurs, INDEX(Donnees!$A:$Z, _xlpm.ligpartie+1, _xlfn.SEQUENCE(1, 4, 2)),
    INDEX(
      Donnees!$A:$Z,
      _xlpm.ligpartie + 3,
      MATCH(U$1, _xlpm.joueurs, 0) + 1
    )
  ), ""
)</f>
        <v/>
      </c>
      <c r="V191" t="str" cm="1">
        <f t="array" ref="V191">IFERROR(
  _xlfn.LET(
    _xlpm.ligpartie, MATCH($B190, Donnees!$F:$F, 0),
    _xlpm.joueurs, INDEX(Donnees!$A:$Z, _xlpm.ligpartie+1, _xlfn.SEQUENCE(1, 4, 2)),
    INDEX(
      Donnees!$A:$Z,
      _xlpm.ligpartie + 3,
      MATCH(V$1, _xlpm.joueurs, 0) + 1
    )
  ), ""
)</f>
        <v/>
      </c>
      <c r="W191" t="str" cm="1">
        <f t="array" ref="W191">IFERROR(
  _xlfn.LET(
    _xlpm.ligpartie, MATCH($B190, Donnees!$F:$F, 0),
    _xlpm.joueurs, INDEX(Donnees!$A:$Z, _xlpm.ligpartie+1, _xlfn.SEQUENCE(1, 4, 2)),
    INDEX(
      Donnees!$A:$Z,
      _xlpm.ligpartie + 3,
      MATCH(W$1, _xlpm.joueurs, 0) + 1
    )
  ), ""
)</f>
        <v/>
      </c>
      <c r="X191" t="str" cm="1">
        <f t="array" ref="X191">IFERROR(
  _xlfn.LET(
    _xlpm.ligpartie, MATCH($B190, Donnees!$F:$F, 0),
    _xlpm.joueurs, INDEX(Donnees!$A:$Z, _xlpm.ligpartie+1, _xlfn.SEQUENCE(1, 4, 2)),
    INDEX(
      Donnees!$A:$Z,
      _xlpm.ligpartie + 3,
      MATCH(X$1, _xlpm.joueurs, 0) + 1
    )
  ), ""
)</f>
        <v/>
      </c>
      <c r="Y191" t="str" cm="1">
        <f t="array" ref="Y191">IFERROR(
  _xlfn.LET(
    _xlpm.ligpartie, MATCH($B190, Donnees!$F:$F, 0),
    _xlpm.joueurs, INDEX(Donnees!$A:$Z, _xlpm.ligpartie+1, _xlfn.SEQUENCE(1, 4, 2)),
    INDEX(
      Donnees!$A:$Z,
      _xlpm.ligpartie + 3,
      MATCH(Y$1, _xlpm.joueurs, 0) + 1
    )
  ), ""
)</f>
        <v/>
      </c>
      <c r="Z191" t="str" cm="1">
        <f t="array" ref="Z191">IFERROR(
  _xlfn.LET(
    _xlpm.ligpartie, MATCH($B190, Donnees!$F:$F, 0),
    _xlpm.joueurs, INDEX(Donnees!$A:$Z, _xlpm.ligpartie+1, _xlfn.SEQUENCE(1, 4, 2)),
    INDEX(
      Donnees!$A:$Z,
      _xlpm.ligpartie + 3,
      MATCH(Z$1, _xlpm.joueurs, 0) + 1
    )
  ), ""
)</f>
        <v/>
      </c>
      <c r="AA191" cm="1">
        <f t="array" ref="AA191">IFERROR(
  _xlfn.LET(
    _xlpm.ligpartie, MATCH($B190, Donnees!$F:$F, 0),
    _xlpm.joueurs, INDEX(Donnees!$A:$Z, _xlpm.ligpartie+1, _xlfn.SEQUENCE(1, 4, 2)),
    INDEX(
      Donnees!$A:$Z,
      _xlpm.ligpartie + 3,
      MATCH(AA$1, _xlpm.joueurs, 0) + 1
    )
  ), ""
)</f>
        <v>0</v>
      </c>
      <c r="AB191" t="str" cm="1">
        <f t="array" ref="AB191">IFERROR(
  _xlfn.LET(
    _xlpm.ligpartie, MATCH($B190, Donnees!$F:$F, 0),
    _xlpm.joueurs, INDEX(Donnees!$A:$Z, _xlpm.ligpartie+1, _xlfn.SEQUENCE(1, 4, 2)),
    INDEX(
      Donnees!$A:$Z,
      _xlpm.ligpartie + 3,
      MATCH(AB$1, _xlpm.joueurs, 0) + 1
    )
  ), ""
)</f>
        <v/>
      </c>
      <c r="AC191" t="str" cm="1">
        <f t="array" ref="AC191">IFERROR(
  _xlfn.LET(
    _xlpm.ligpartie, MATCH($B190, Donnees!$F:$F, 0),
    _xlpm.joueurs, INDEX(Donnees!$A:$Z, _xlpm.ligpartie+1, _xlfn.SEQUENCE(1, 4, 2)),
    INDEX(
      Donnees!$A:$Z,
      _xlpm.ligpartie + 3,
      MATCH(AC$1, _xlpm.joueurs, 0) + 1
    )
  ), ""
)</f>
        <v/>
      </c>
      <c r="AD191" t="str" cm="1">
        <f t="array" ref="AD191">IFERROR(
  _xlfn.LET(
    _xlpm.ligpartie, MATCH($B190, Donnees!$F:$F, 0),
    _xlpm.joueurs, INDEX(Donnees!$A:$Z, _xlpm.ligpartie+1, _xlfn.SEQUENCE(1, 4, 2)),
    INDEX(
      Donnees!$A:$Z,
      _xlpm.ligpartie + 3,
      MATCH(AD$1, _xlpm.joueurs, 0) + 1
    )
  ), ""
)</f>
        <v/>
      </c>
      <c r="AE191" t="str" cm="1">
        <f t="array" ref="AE191">IFERROR(
  _xlfn.LET(
    _xlpm.ligpartie, MATCH($B190, Donnees!$F:$F, 0),
    _xlpm.joueurs, INDEX(Donnees!$A:$Z, _xlpm.ligpartie+1, _xlfn.SEQUENCE(1, 4, 2)),
    INDEX(
      Donnees!$A:$Z,
      _xlpm.ligpartie + 3,
      MATCH(AE$1, _xlpm.joueurs, 0) + 1
    )
  ), ""
)</f>
        <v/>
      </c>
      <c r="AF191" t="str" cm="1">
        <f t="array" ref="AF191">IFERROR(
  _xlfn.LET(
    _xlpm.ligpartie, MATCH($B190, Donnees!$F:$F, 0),
    _xlpm.joueurs, INDEX(Donnees!$A:$Z, _xlpm.ligpartie+1, _xlfn.SEQUENCE(1, 4, 2)),
    INDEX(
      Donnees!$A:$Z,
      _xlpm.ligpartie + 3,
      MATCH(AF$1, _xlpm.joueurs, 0) + 1
    )
  ), ""
)</f>
        <v/>
      </c>
      <c r="AG191" t="str" cm="1">
        <f t="array" ref="AG191">IFERROR(
  _xlfn.LET(
    _xlpm.ligpartie, MATCH($B190, Donnees!$F:$F, 0),
    _xlpm.joueurs, INDEX(Donnees!$A:$Z, _xlpm.ligpartie+1, _xlfn.SEQUENCE(1, 4, 2)),
    INDEX(
      Donnees!$A:$Z,
      _xlpm.ligpartie + 3,
      MATCH(AG$1, _xlpm.joueurs, 0) + 1
    )
  ), ""
)</f>
        <v/>
      </c>
      <c r="AH191" t="str" cm="1">
        <f t="array" ref="AH191">IFERROR(
  _xlfn.LET(
    _xlpm.ligpartie, MATCH($B190, Donnees!$F:$F, 0),
    _xlpm.joueurs, INDEX(Donnees!$A:$Z, _xlpm.ligpartie+1, _xlfn.SEQUENCE(1, 4, 2)),
    INDEX(
      Donnees!$A:$Z,
      _xlpm.ligpartie + 3,
      MATCH(AH$1, _xlpm.joueurs, 0) + 1
    )
  ), ""
)</f>
        <v/>
      </c>
      <c r="AI191" t="str" cm="1">
        <f t="array" ref="AI191">IFERROR(
  _xlfn.LET(
    _xlpm.ligpartie, MATCH($B190, Donnees!$F:$F, 0),
    _xlpm.joueurs, INDEX(Donnees!$A:$Z, _xlpm.ligpartie+1, _xlfn.SEQUENCE(1, 4, 2)),
    INDEX(
      Donnees!$A:$Z,
      _xlpm.ligpartie + 3,
      MATCH(AI$1, _xlpm.joueurs, 0) + 1
    )
  ), ""
)</f>
        <v/>
      </c>
      <c r="AJ191" t="str" cm="1">
        <f t="array" ref="AJ191">IFERROR(
  _xlfn.LET(
    _xlpm.ligpartie, MATCH($B190, Donnees!$F:$F, 0),
    _xlpm.joueurs, INDEX(Donnees!$A:$Z, _xlpm.ligpartie+1, _xlfn.SEQUENCE(1, 4, 2)),
    INDEX(
      Donnees!$A:$Z,
      _xlpm.ligpartie + 3,
      MATCH(AJ$1, _xlpm.joueurs, 0) + 1
    )
  ), ""
)</f>
        <v/>
      </c>
      <c r="AK191" t="str" cm="1">
        <f t="array" ref="AK191">IFERROR(
  _xlfn.LET(
    _xlpm.ligpartie, MATCH($B190, Donnees!$F:$F, 0),
    _xlpm.joueurs, INDEX(Donnees!$A:$Z, _xlpm.ligpartie+1, _xlfn.SEQUENCE(1, 4, 2)),
    INDEX(
      Donnees!$A:$Z,
      _xlpm.ligpartie + 3,
      MATCH(AK$1, _xlpm.joueurs, 0) + 1
    )
  ), ""
)</f>
        <v/>
      </c>
      <c r="AL191" t="str" cm="1">
        <f t="array" ref="AL191">IFERROR(
  _xlfn.LET(
    _xlpm.ligpartie, MATCH($B190, Donnees!$F:$F, 0),
    _xlpm.joueurs, INDEX(Donnees!$A:$Z, _xlpm.ligpartie+1, _xlfn.SEQUENCE(1, 4, 2)),
    INDEX(
      Donnees!$A:$Z,
      _xlpm.ligpartie + 3,
      MATCH(AL$1, _xlpm.joueurs, 0) + 1
    )
  ), ""
)</f>
        <v/>
      </c>
      <c r="AM191" t="str" cm="1">
        <f t="array" ref="AM191">IFERROR(
  _xlfn.LET(
    _xlpm.ligpartie, MATCH($B190, Donnees!$F:$F, 0),
    _xlpm.joueurs, INDEX(Donnees!$A:$Z, _xlpm.ligpartie+1, _xlfn.SEQUENCE(1, 4, 2)),
    INDEX(
      Donnees!$A:$Z,
      _xlpm.ligpartie + 3,
      MATCH(AM$1, _xlpm.joueurs, 0) + 1
    )
  ), ""
)</f>
        <v/>
      </c>
    </row>
    <row r="192" spans="1:39" x14ac:dyDescent="0.25">
      <c r="A192" t="s">
        <v>20</v>
      </c>
      <c r="D192" t="str" cm="1">
        <f t="array" ref="D192">_xlfn.LET(
  _xlpm.colj, _xlfn._xlws.FILTER(IF(ISNUMBER(191:191), COLUMN(191:191)), ISNUMBER(191:191)),
  _xlpm.elos, INDEX(190:190,1,_xlpm.colj),
  _xlpm.diffscale, Constantes!$B$2,
  IF(D191="",
    "",
    SUM(1/(1+POWER(10,-(D190-_xlpm.elos)/_xlpm.diffscale)))-0.5)
)</f>
        <v/>
      </c>
      <c r="E192" cm="1">
        <f t="array" ref="E192">_xlfn.LET(
  _xlpm.colj, _xlfn._xlws.FILTER(IF(ISNUMBER(191:191), COLUMN(191:191)), ISNUMBER(191:191)),
  _xlpm.elos, INDEX(190:190,1,_xlpm.colj),
  _xlpm.diffscale, Constantes!$B$2,
  IF(E191="",
    "",
    SUM(1/(1+POWER(10,-(E190-_xlpm.elos)/_xlpm.diffscale)))-0.5)
)</f>
        <v>2.1874472324158614</v>
      </c>
      <c r="F192" t="str" cm="1">
        <f t="array" ref="F192">_xlfn.LET(
  _xlpm.colj, _xlfn._xlws.FILTER(IF(ISNUMBER(191:191), COLUMN(191:191)), ISNUMBER(191:191)),
  _xlpm.elos, INDEX(190:190,1,_xlpm.colj),
  _xlpm.diffscale, Constantes!$B$2,
  IF(F191="",
    "",
    SUM(1/(1+POWER(10,-(F190-_xlpm.elos)/_xlpm.diffscale)))-0.5)
)</f>
        <v/>
      </c>
      <c r="G192" t="str" cm="1">
        <f t="array" ref="G192">_xlfn.LET(
  _xlpm.colj, _xlfn._xlws.FILTER(IF(ISNUMBER(191:191), COLUMN(191:191)), ISNUMBER(191:191)),
  _xlpm.elos, INDEX(190:190,1,_xlpm.colj),
  _xlpm.diffscale, Constantes!$B$2,
  IF(G191="",
    "",
    SUM(1/(1+POWER(10,-(G190-_xlpm.elos)/_xlpm.diffscale)))-0.5)
)</f>
        <v/>
      </c>
      <c r="H192" t="str" cm="1">
        <f t="array" ref="H192">_xlfn.LET(
  _xlpm.colj, _xlfn._xlws.FILTER(IF(ISNUMBER(191:191), COLUMN(191:191)), ISNUMBER(191:191)),
  _xlpm.elos, INDEX(190:190,1,_xlpm.colj),
  _xlpm.diffscale, Constantes!$B$2,
  IF(H191="",
    "",
    SUM(1/(1+POWER(10,-(H190-_xlpm.elos)/_xlpm.diffscale)))-0.5)
)</f>
        <v/>
      </c>
      <c r="I192" t="str" cm="1">
        <f t="array" ref="I192">_xlfn.LET(
  _xlpm.colj, _xlfn._xlws.FILTER(IF(ISNUMBER(191:191), COLUMN(191:191)), ISNUMBER(191:191)),
  _xlpm.elos, INDEX(190:190,1,_xlpm.colj),
  _xlpm.diffscale, Constantes!$B$2,
  IF(I191="",
    "",
    SUM(1/(1+POWER(10,-(I190-_xlpm.elos)/_xlpm.diffscale)))-0.5)
)</f>
        <v/>
      </c>
      <c r="J192" t="str" cm="1">
        <f t="array" ref="J192">_xlfn.LET(
  _xlpm.colj, _xlfn._xlws.FILTER(IF(ISNUMBER(191:191), COLUMN(191:191)), ISNUMBER(191:191)),
  _xlpm.elos, INDEX(190:190,1,_xlpm.colj),
  _xlpm.diffscale, Constantes!$B$2,
  IF(J191="",
    "",
    SUM(1/(1+POWER(10,-(J190-_xlpm.elos)/_xlpm.diffscale)))-0.5)
)</f>
        <v/>
      </c>
      <c r="K192" cm="1">
        <f t="array" ref="K192">_xlfn.LET(
  _xlpm.colj, _xlfn._xlws.FILTER(IF(ISNUMBER(191:191), COLUMN(191:191)), ISNUMBER(191:191)),
  _xlpm.elos, INDEX(190:190,1,_xlpm.colj),
  _xlpm.diffscale, Constantes!$B$2,
  IF(K191="",
    "",
    SUM(1/(1+POWER(10,-(K190-_xlpm.elos)/_xlpm.diffscale)))-0.5)
)</f>
        <v>1.1391792775317215</v>
      </c>
      <c r="L192" t="str" cm="1">
        <f t="array" ref="L192">_xlfn.LET(
  _xlpm.colj, _xlfn._xlws.FILTER(IF(ISNUMBER(191:191), COLUMN(191:191)), ISNUMBER(191:191)),
  _xlpm.elos, INDEX(190:190,1,_xlpm.colj),
  _xlpm.diffscale, Constantes!$B$2,
  IF(L191="",
    "",
    SUM(1/(1+POWER(10,-(L190-_xlpm.elos)/_xlpm.diffscale)))-0.5)
)</f>
        <v/>
      </c>
      <c r="M192" t="str" cm="1">
        <f t="array" ref="M192">_xlfn.LET(
  _xlpm.colj, _xlfn._xlws.FILTER(IF(ISNUMBER(191:191), COLUMN(191:191)), ISNUMBER(191:191)),
  _xlpm.elos, INDEX(190:190,1,_xlpm.colj),
  _xlpm.diffscale, Constantes!$B$2,
  IF(M191="",
    "",
    SUM(1/(1+POWER(10,-(M190-_xlpm.elos)/_xlpm.diffscale)))-0.5)
)</f>
        <v/>
      </c>
      <c r="N192" cm="1">
        <f t="array" ref="N192">_xlfn.LET(
  _xlpm.colj, _xlfn._xlws.FILTER(IF(ISNUMBER(191:191), COLUMN(191:191)), ISNUMBER(191:191)),
  _xlpm.elos, INDEX(190:190,1,_xlpm.colj),
  _xlpm.diffscale, Constantes!$B$2,
  IF(N191="",
    "",
    SUM(1/(1+POWER(10,-(N190-_xlpm.elos)/_xlpm.diffscale)))-0.5)
)</f>
        <v>1.1381621562442943</v>
      </c>
      <c r="O192" t="str" cm="1">
        <f t="array" ref="O192">_xlfn.LET(
  _xlpm.colj, _xlfn._xlws.FILTER(IF(ISNUMBER(191:191), COLUMN(191:191)), ISNUMBER(191:191)),
  _xlpm.elos, INDEX(190:190,1,_xlpm.colj),
  _xlpm.diffscale, Constantes!$B$2,
  IF(O191="",
    "",
    SUM(1/(1+POWER(10,-(O190-_xlpm.elos)/_xlpm.diffscale)))-0.5)
)</f>
        <v/>
      </c>
      <c r="P192" t="str" cm="1">
        <f t="array" ref="P192">_xlfn.LET(
  _xlpm.colj, _xlfn._xlws.FILTER(IF(ISNUMBER(191:191), COLUMN(191:191)), ISNUMBER(191:191)),
  _xlpm.elos, INDEX(190:190,1,_xlpm.colj),
  _xlpm.diffscale, Constantes!$B$2,
  IF(P191="",
    "",
    SUM(1/(1+POWER(10,-(P190-_xlpm.elos)/_xlpm.diffscale)))-0.5)
)</f>
        <v/>
      </c>
      <c r="Q192" t="str" cm="1">
        <f t="array" ref="Q192">_xlfn.LET(
  _xlpm.colj, _xlfn._xlws.FILTER(IF(ISNUMBER(191:191), COLUMN(191:191)), ISNUMBER(191:191)),
  _xlpm.elos, INDEX(190:190,1,_xlpm.colj),
  _xlpm.diffscale, Constantes!$B$2,
  IF(Q191="",
    "",
    SUM(1/(1+POWER(10,-(Q190-_xlpm.elos)/_xlpm.diffscale)))-0.5)
)</f>
        <v/>
      </c>
      <c r="R192" t="str" cm="1">
        <f t="array" ref="R192">_xlfn.LET(
  _xlpm.colj, _xlfn._xlws.FILTER(IF(ISNUMBER(191:191), COLUMN(191:191)), ISNUMBER(191:191)),
  _xlpm.elos, INDEX(190:190,1,_xlpm.colj),
  _xlpm.diffscale, Constantes!$B$2,
  IF(R191="",
    "",
    SUM(1/(1+POWER(10,-(R190-_xlpm.elos)/_xlpm.diffscale)))-0.5)
)</f>
        <v/>
      </c>
      <c r="S192" t="str" cm="1">
        <f t="array" ref="S192">_xlfn.LET(
  _xlpm.colj, _xlfn._xlws.FILTER(IF(ISNUMBER(191:191), COLUMN(191:191)), ISNUMBER(191:191)),
  _xlpm.elos, INDEX(190:190,1,_xlpm.colj),
  _xlpm.diffscale, Constantes!$B$2,
  IF(S191="",
    "",
    SUM(1/(1+POWER(10,-(S190-_xlpm.elos)/_xlpm.diffscale)))-0.5)
)</f>
        <v/>
      </c>
      <c r="T192" t="str" cm="1">
        <f t="array" ref="T192">_xlfn.LET(
  _xlpm.colj, _xlfn._xlws.FILTER(IF(ISNUMBER(191:191), COLUMN(191:191)), ISNUMBER(191:191)),
  _xlpm.elos, INDEX(190:190,1,_xlpm.colj),
  _xlpm.diffscale, Constantes!$B$2,
  IF(T191="",
    "",
    SUM(1/(1+POWER(10,-(T190-_xlpm.elos)/_xlpm.diffscale)))-0.5)
)</f>
        <v/>
      </c>
      <c r="U192" t="str" cm="1">
        <f t="array" ref="U192">_xlfn.LET(
  _xlpm.colj, _xlfn._xlws.FILTER(IF(ISNUMBER(191:191), COLUMN(191:191)), ISNUMBER(191:191)),
  _xlpm.elos, INDEX(190:190,1,_xlpm.colj),
  _xlpm.diffscale, Constantes!$B$2,
  IF(U191="",
    "",
    SUM(1/(1+POWER(10,-(U190-_xlpm.elos)/_xlpm.diffscale)))-0.5)
)</f>
        <v/>
      </c>
      <c r="V192" t="str" cm="1">
        <f t="array" ref="V192">_xlfn.LET(
  _xlpm.colj, _xlfn._xlws.FILTER(IF(ISNUMBER(191:191), COLUMN(191:191)), ISNUMBER(191:191)),
  _xlpm.elos, INDEX(190:190,1,_xlpm.colj),
  _xlpm.diffscale, Constantes!$B$2,
  IF(V191="",
    "",
    SUM(1/(1+POWER(10,-(V190-_xlpm.elos)/_xlpm.diffscale)))-0.5)
)</f>
        <v/>
      </c>
      <c r="W192" t="str" cm="1">
        <f t="array" ref="W192">_xlfn.LET(
  _xlpm.colj, _xlfn._xlws.FILTER(IF(ISNUMBER(191:191), COLUMN(191:191)), ISNUMBER(191:191)),
  _xlpm.elos, INDEX(190:190,1,_xlpm.colj),
  _xlpm.diffscale, Constantes!$B$2,
  IF(W191="",
    "",
    SUM(1/(1+POWER(10,-(W190-_xlpm.elos)/_xlpm.diffscale)))-0.5)
)</f>
        <v/>
      </c>
      <c r="X192" t="str" cm="1">
        <f t="array" ref="X192">_xlfn.LET(
  _xlpm.colj, _xlfn._xlws.FILTER(IF(ISNUMBER(191:191), COLUMN(191:191)), ISNUMBER(191:191)),
  _xlpm.elos, INDEX(190:190,1,_xlpm.colj),
  _xlpm.diffscale, Constantes!$B$2,
  IF(X191="",
    "",
    SUM(1/(1+POWER(10,-(X190-_xlpm.elos)/_xlpm.diffscale)))-0.5)
)</f>
        <v/>
      </c>
      <c r="Y192" t="str" cm="1">
        <f t="array" ref="Y192">_xlfn.LET(
  _xlpm.colj, _xlfn._xlws.FILTER(IF(ISNUMBER(191:191), COLUMN(191:191)), ISNUMBER(191:191)),
  _xlpm.elos, INDEX(190:190,1,_xlpm.colj),
  _xlpm.diffscale, Constantes!$B$2,
  IF(Y191="",
    "",
    SUM(1/(1+POWER(10,-(Y190-_xlpm.elos)/_xlpm.diffscale)))-0.5)
)</f>
        <v/>
      </c>
      <c r="Z192" t="str" cm="1">
        <f t="array" ref="Z192">_xlfn.LET(
  _xlpm.colj, _xlfn._xlws.FILTER(IF(ISNUMBER(191:191), COLUMN(191:191)), ISNUMBER(191:191)),
  _xlpm.elos, INDEX(190:190,1,_xlpm.colj),
  _xlpm.diffscale, Constantes!$B$2,
  IF(Z191="",
    "",
    SUM(1/(1+POWER(10,-(Z190-_xlpm.elos)/_xlpm.diffscale)))-0.5)
)</f>
        <v/>
      </c>
      <c r="AA192" cm="1">
        <f t="array" ref="AA192">_xlfn.LET(
  _xlpm.colj, _xlfn._xlws.FILTER(IF(ISNUMBER(191:191), COLUMN(191:191)), ISNUMBER(191:191)),
  _xlpm.elos, INDEX(190:190,1,_xlpm.colj),
  _xlpm.diffscale, Constantes!$B$2,
  IF(AA191="",
    "",
    SUM(1/(1+POWER(10,-(AA190-_xlpm.elos)/_xlpm.diffscale)))-0.5)
)</f>
        <v>1.5352113338081224</v>
      </c>
      <c r="AB192" t="str" cm="1">
        <f t="array" ref="AB192">_xlfn.LET(
  _xlpm.colj, _xlfn._xlws.FILTER(IF(ISNUMBER(191:191), COLUMN(191:191)), ISNUMBER(191:191)),
  _xlpm.elos, INDEX(190:190,1,_xlpm.colj),
  _xlpm.diffscale, Constantes!$B$2,
  IF(AB191="",
    "",
    SUM(1/(1+POWER(10,-(AB190-_xlpm.elos)/_xlpm.diffscale)))-0.5)
)</f>
        <v/>
      </c>
      <c r="AC192" t="str" cm="1">
        <f t="array" ref="AC192">_xlfn.LET(
  _xlpm.colj, _xlfn._xlws.FILTER(IF(ISNUMBER(191:191), COLUMN(191:191)), ISNUMBER(191:191)),
  _xlpm.elos, INDEX(190:190,1,_xlpm.colj),
  _xlpm.diffscale, Constantes!$B$2,
  IF(AC191="",
    "",
    SUM(1/(1+POWER(10,-(AC190-_xlpm.elos)/_xlpm.diffscale)))-0.5)
)</f>
        <v/>
      </c>
      <c r="AD192" t="str" cm="1">
        <f t="array" ref="AD192">_xlfn.LET(
  _xlpm.colj, _xlfn._xlws.FILTER(IF(ISNUMBER(191:191), COLUMN(191:191)), ISNUMBER(191:191)),
  _xlpm.elos, INDEX(190:190,1,_xlpm.colj),
  _xlpm.diffscale, Constantes!$B$2,
  IF(AD191="",
    "",
    SUM(1/(1+POWER(10,-(AD190-_xlpm.elos)/_xlpm.diffscale)))-0.5)
)</f>
        <v/>
      </c>
      <c r="AE192" t="str" cm="1">
        <f t="array" ref="AE192">_xlfn.LET(
  _xlpm.colj, _xlfn._xlws.FILTER(IF(ISNUMBER(191:191), COLUMN(191:191)), ISNUMBER(191:191)),
  _xlpm.elos, INDEX(190:190,1,_xlpm.colj),
  _xlpm.diffscale, Constantes!$B$2,
  IF(AE191="",
    "",
    SUM(1/(1+POWER(10,-(AE190-_xlpm.elos)/_xlpm.diffscale)))-0.5)
)</f>
        <v/>
      </c>
      <c r="AF192" t="str" cm="1">
        <f t="array" ref="AF192">_xlfn.LET(
  _xlpm.colj, _xlfn._xlws.FILTER(IF(ISNUMBER(191:191), COLUMN(191:191)), ISNUMBER(191:191)),
  _xlpm.elos, INDEX(190:190,1,_xlpm.colj),
  _xlpm.diffscale, Constantes!$B$2,
  IF(AF191="",
    "",
    SUM(1/(1+POWER(10,-(AF190-_xlpm.elos)/_xlpm.diffscale)))-0.5)
)</f>
        <v/>
      </c>
      <c r="AG192" t="str" cm="1">
        <f t="array" ref="AG192">_xlfn.LET(
  _xlpm.colj, _xlfn._xlws.FILTER(IF(ISNUMBER(191:191), COLUMN(191:191)), ISNUMBER(191:191)),
  _xlpm.elos, INDEX(190:190,1,_xlpm.colj),
  _xlpm.diffscale, Constantes!$B$2,
  IF(AG191="",
    "",
    SUM(1/(1+POWER(10,-(AG190-_xlpm.elos)/_xlpm.diffscale)))-0.5)
)</f>
        <v/>
      </c>
      <c r="AH192" t="str" cm="1">
        <f t="array" ref="AH192">_xlfn.LET(
  _xlpm.colj, _xlfn._xlws.FILTER(IF(ISNUMBER(191:191), COLUMN(191:191)), ISNUMBER(191:191)),
  _xlpm.elos, INDEX(190:190,1,_xlpm.colj),
  _xlpm.diffscale, Constantes!$B$2,
  IF(AH191="",
    "",
    SUM(1/(1+POWER(10,-(AH190-_xlpm.elos)/_xlpm.diffscale)))-0.5)
)</f>
        <v/>
      </c>
      <c r="AI192" t="str" cm="1">
        <f t="array" ref="AI192">_xlfn.LET(
  _xlpm.colj, _xlfn._xlws.FILTER(IF(ISNUMBER(191:191), COLUMN(191:191)), ISNUMBER(191:191)),
  _xlpm.elos, INDEX(190:190,1,_xlpm.colj),
  _xlpm.diffscale, Constantes!$B$2,
  IF(AI191="",
    "",
    SUM(1/(1+POWER(10,-(AI190-_xlpm.elos)/_xlpm.diffscale)))-0.5)
)</f>
        <v/>
      </c>
      <c r="AJ192" t="str" cm="1">
        <f t="array" ref="AJ192">_xlfn.LET(
  _xlpm.colj, _xlfn._xlws.FILTER(IF(ISNUMBER(191:191), COLUMN(191:191)), ISNUMBER(191:191)),
  _xlpm.elos, INDEX(190:190,1,_xlpm.colj),
  _xlpm.diffscale, Constantes!$B$2,
  IF(AJ191="",
    "",
    SUM(1/(1+POWER(10,-(AJ190-_xlpm.elos)/_xlpm.diffscale)))-0.5)
)</f>
        <v/>
      </c>
      <c r="AK192" t="str" cm="1">
        <f t="array" ref="AK192">_xlfn.LET(
  _xlpm.colj, _xlfn._xlws.FILTER(IF(ISNUMBER(191:191), COLUMN(191:191)), ISNUMBER(191:191)),
  _xlpm.elos, INDEX(190:190,1,_xlpm.colj),
  _xlpm.diffscale, Constantes!$B$2,
  IF(AK191="",
    "",
    SUM(1/(1+POWER(10,-(AK190-_xlpm.elos)/_xlpm.diffscale)))-0.5)
)</f>
        <v/>
      </c>
      <c r="AL192" t="str" cm="1">
        <f t="array" ref="AL192">_xlfn.LET(
  _xlpm.colj, _xlfn._xlws.FILTER(IF(ISNUMBER(191:191), COLUMN(191:191)), ISNUMBER(191:191)),
  _xlpm.elos, INDEX(190:190,1,_xlpm.colj),
  _xlpm.diffscale, Constantes!$B$2,
  IF(AL191="",
    "",
    SUM(1/(1+POWER(10,-(AL190-_xlpm.elos)/_xlpm.diffscale)))-0.5)
)</f>
        <v/>
      </c>
      <c r="AM192" t="str" cm="1">
        <f t="array" ref="AM192">_xlfn.LET(
  _xlpm.colj, _xlfn._xlws.FILTER(IF(ISNUMBER(191:191), COLUMN(191:191)), ISNUMBER(191:191)),
  _xlpm.elos, INDEX(190:190,1,_xlpm.colj),
  _xlpm.diffscale, Constantes!$B$2,
  IF(AM191="",
    "",
    SUM(1/(1+POWER(10,-(AM190-_xlpm.elos)/_xlpm.diffscale)))-0.5)
)</f>
        <v/>
      </c>
    </row>
    <row r="193" spans="1:39" x14ac:dyDescent="0.25">
      <c r="A193" t="s">
        <v>22</v>
      </c>
      <c r="D193" t="str" cm="1">
        <f t="array" ref="D193">_xlfn.LET(
  _xlpm.K, Constantes!$B$3,
  _xlpm.Knewgain, Constantes!$B$4,
  _xlpm.Knewscale, Constantes!$B$5,
  _xlpm.ptstables, INDEX(D:D, _xlfn.SEQUENCE(COUNTA($C$2:$C193), 1, 3, 4)),
  _xlpm.nbparties, COUNTA(_xlfn._xlws.FILTER(_xlpm.ptstables, _xlpm.ptstables &lt;&gt; "")),
  _xlpm.coef, _xlpm.K + _xlpm.Knewgain / (_xlpm.Knewscale + _xlpm.nbparties),
  IF(D191="",
    "",
    _xlpm.coef * (D191-D192))
)</f>
        <v/>
      </c>
      <c r="E193" cm="1">
        <f t="array" ref="E193">_xlfn.LET(
  _xlpm.K, Constantes!$B$3,
  _xlpm.Knewgain, Constantes!$B$4,
  _xlpm.Knewscale, Constantes!$B$5,
  _xlpm.ptstables, INDEX(E:E, _xlfn.SEQUENCE(COUNTA($C$2:$C193), 1, 3, 4)),
  _xlpm.nbparties, COUNTA(_xlfn._xlws.FILTER(_xlpm.ptstables, _xlpm.ptstables &lt;&gt; "")),
  _xlpm.coef, _xlpm.K + _xlpm.Knewgain / (_xlpm.Knewscale + _xlpm.nbparties),
  IF(E191="",
    "",
    _xlpm.coef * (E191-E192))
)</f>
        <v>18.959564576963235</v>
      </c>
      <c r="F193" t="str" cm="1">
        <f t="array" ref="F193">_xlfn.LET(
  _xlpm.K, Constantes!$B$3,
  _xlpm.Knewgain, Constantes!$B$4,
  _xlpm.Knewscale, Constantes!$B$5,
  _xlpm.ptstables, INDEX(F:F, _xlfn.SEQUENCE(COUNTA($C$2:$C193), 1, 3, 4)),
  _xlpm.nbparties, COUNTA(_xlfn._xlws.FILTER(_xlpm.ptstables, _xlpm.ptstables &lt;&gt; "")),
  _xlpm.coef, _xlpm.K + _xlpm.Knewgain / (_xlpm.Knewscale + _xlpm.nbparties),
  IF(F191="",
    "",
    _xlpm.coef * (F191-F192))
)</f>
        <v/>
      </c>
      <c r="G193" t="str" cm="1">
        <f t="array" ref="G193">_xlfn.LET(
  _xlpm.K, Constantes!$B$3,
  _xlpm.Knewgain, Constantes!$B$4,
  _xlpm.Knewscale, Constantes!$B$5,
  _xlpm.ptstables, INDEX(G:G, _xlfn.SEQUENCE(COUNTA($C$2:$C193), 1, 3, 4)),
  _xlpm.nbparties, COUNTA(_xlfn._xlws.FILTER(_xlpm.ptstables, _xlpm.ptstables &lt;&gt; "")),
  _xlpm.coef, _xlpm.K + _xlpm.Knewgain / (_xlpm.Knewscale + _xlpm.nbparties),
  IF(G191="",
    "",
    _xlpm.coef * (G191-G192))
)</f>
        <v/>
      </c>
      <c r="H193" t="str" cm="1">
        <f t="array" ref="H193">_xlfn.LET(
  _xlpm.K, Constantes!$B$3,
  _xlpm.Knewgain, Constantes!$B$4,
  _xlpm.Knewscale, Constantes!$B$5,
  _xlpm.ptstables, INDEX(H:H, _xlfn.SEQUENCE(COUNTA($C$2:$C193), 1, 3, 4)),
  _xlpm.nbparties, COUNTA(_xlfn._xlws.FILTER(_xlpm.ptstables, _xlpm.ptstables &lt;&gt; "")),
  _xlpm.coef, _xlpm.K + _xlpm.Knewgain / (_xlpm.Knewscale + _xlpm.nbparties),
  IF(H191="",
    "",
    _xlpm.coef * (H191-H192))
)</f>
        <v/>
      </c>
      <c r="I193" t="str" cm="1">
        <f t="array" ref="I193">_xlfn.LET(
  _xlpm.K, Constantes!$B$3,
  _xlpm.Knewgain, Constantes!$B$4,
  _xlpm.Knewscale, Constantes!$B$5,
  _xlpm.ptstables, INDEX(I:I, _xlfn.SEQUENCE(COUNTA($C$2:$C193), 1, 3, 4)),
  _xlpm.nbparties, COUNTA(_xlfn._xlws.FILTER(_xlpm.ptstables, _xlpm.ptstables &lt;&gt; "")),
  _xlpm.coef, _xlpm.K + _xlpm.Knewgain / (_xlpm.Knewscale + _xlpm.nbparties),
  IF(I191="",
    "",
    _xlpm.coef * (I191-I192))
)</f>
        <v/>
      </c>
      <c r="J193" t="str" cm="1">
        <f t="array" ref="J193">_xlfn.LET(
  _xlpm.K, Constantes!$B$3,
  _xlpm.Knewgain, Constantes!$B$4,
  _xlpm.Knewscale, Constantes!$B$5,
  _xlpm.ptstables, INDEX(J:J, _xlfn.SEQUENCE(COUNTA($C$2:$C193), 1, 3, 4)),
  _xlpm.nbparties, COUNTA(_xlfn._xlws.FILTER(_xlpm.ptstables, _xlpm.ptstables &lt;&gt; "")),
  _xlpm.coef, _xlpm.K + _xlpm.Knewgain / (_xlpm.Knewscale + _xlpm.nbparties),
  IF(J191="",
    "",
    _xlpm.coef * (J191-J192))
)</f>
        <v/>
      </c>
      <c r="K193" cm="1">
        <f t="array" ref="K193">_xlfn.LET(
  _xlpm.K, Constantes!$B$3,
  _xlpm.Knewgain, Constantes!$B$4,
  _xlpm.Knewscale, Constantes!$B$5,
  _xlpm.ptstables, INDEX(K:K, _xlfn.SEQUENCE(COUNTA($C$2:$C193), 1, 3, 4)),
  _xlpm.nbparties, COUNTA(_xlfn._xlws.FILTER(_xlpm.ptstables, _xlpm.ptstables &lt;&gt; "")),
  _xlpm.coef, _xlpm.K + _xlpm.Knewgain / (_xlpm.Knewscale + _xlpm.nbparties),
  IF(K191="",
    "",
    _xlpm.coef * (K191-K192))
)</f>
        <v>24.389920469934559</v>
      </c>
      <c r="L193" t="str" cm="1">
        <f t="array" ref="L193">_xlfn.LET(
  _xlpm.K, Constantes!$B$3,
  _xlpm.Knewgain, Constantes!$B$4,
  _xlpm.Knewscale, Constantes!$B$5,
  _xlpm.ptstables, INDEX(L:L, _xlfn.SEQUENCE(COUNTA($C$2:$C193), 1, 3, 4)),
  _xlpm.nbparties, COUNTA(_xlfn._xlws.FILTER(_xlpm.ptstables, _xlpm.ptstables &lt;&gt; "")),
  _xlpm.coef, _xlpm.K + _xlpm.Knewgain / (_xlpm.Knewscale + _xlpm.nbparties),
  IF(L191="",
    "",
    _xlpm.coef * (L191-L192))
)</f>
        <v/>
      </c>
      <c r="M193" t="str" cm="1">
        <f t="array" ref="M193">_xlfn.LET(
  _xlpm.K, Constantes!$B$3,
  _xlpm.Knewgain, Constantes!$B$4,
  _xlpm.Knewscale, Constantes!$B$5,
  _xlpm.ptstables, INDEX(M:M, _xlfn.SEQUENCE(COUNTA($C$2:$C193), 1, 3, 4)),
  _xlpm.nbparties, COUNTA(_xlfn._xlws.FILTER(_xlpm.ptstables, _xlpm.ptstables &lt;&gt; "")),
  _xlpm.coef, _xlpm.K + _xlpm.Knewgain / (_xlpm.Knewscale + _xlpm.nbparties),
  IF(M191="",
    "",
    _xlpm.coef * (M191-M192))
)</f>
        <v/>
      </c>
      <c r="N193" cm="1">
        <f t="array" ref="N193">_xlfn.LET(
  _xlpm.K, Constantes!$B$3,
  _xlpm.Knewgain, Constantes!$B$4,
  _xlpm.Knewscale, Constantes!$B$5,
  _xlpm.ptstables, INDEX(N:N, _xlfn.SEQUENCE(COUNTA($C$2:$C193), 1, 3, 4)),
  _xlpm.nbparties, COUNTA(_xlfn._xlws.FILTER(_xlpm.ptstables, _xlpm.ptstables &lt;&gt; "")),
  _xlpm.coef, _xlpm.K + _xlpm.Knewgain / (_xlpm.Knewscale + _xlpm.nbparties),
  IF(N191="",
    "",
    _xlpm.coef * (N191-N192))
)</f>
        <v>-3.4540539061073572</v>
      </c>
      <c r="O193" t="str" cm="1">
        <f t="array" ref="O193">_xlfn.LET(
  _xlpm.K, Constantes!$B$3,
  _xlpm.Knewgain, Constantes!$B$4,
  _xlpm.Knewscale, Constantes!$B$5,
  _xlpm.ptstables, INDEX(O:O, _xlfn.SEQUENCE(COUNTA($C$2:$C193), 1, 3, 4)),
  _xlpm.nbparties, COUNTA(_xlfn._xlws.FILTER(_xlpm.ptstables, _xlpm.ptstables &lt;&gt; "")),
  _xlpm.coef, _xlpm.K + _xlpm.Knewgain / (_xlpm.Knewscale + _xlpm.nbparties),
  IF(O191="",
    "",
    _xlpm.coef * (O191-O192))
)</f>
        <v/>
      </c>
      <c r="P193" t="str" cm="1">
        <f t="array" ref="P193">_xlfn.LET(
  _xlpm.K, Constantes!$B$3,
  _xlpm.Knewgain, Constantes!$B$4,
  _xlpm.Knewscale, Constantes!$B$5,
  _xlpm.ptstables, INDEX(P:P, _xlfn.SEQUENCE(COUNTA($C$2:$C193), 1, 3, 4)),
  _xlpm.nbparties, COUNTA(_xlfn._xlws.FILTER(_xlpm.ptstables, _xlpm.ptstables &lt;&gt; "")),
  _xlpm.coef, _xlpm.K + _xlpm.Knewgain / (_xlpm.Knewscale + _xlpm.nbparties),
  IF(P191="",
    "",
    _xlpm.coef * (P191-P192))
)</f>
        <v/>
      </c>
      <c r="Q193" t="str" cm="1">
        <f t="array" ref="Q193">_xlfn.LET(
  _xlpm.K, Constantes!$B$3,
  _xlpm.Knewgain, Constantes!$B$4,
  _xlpm.Knewscale, Constantes!$B$5,
  _xlpm.ptstables, INDEX(Q:Q, _xlfn.SEQUENCE(COUNTA($C$2:$C193), 1, 3, 4)),
  _xlpm.nbparties, COUNTA(_xlfn._xlws.FILTER(_xlpm.ptstables, _xlpm.ptstables &lt;&gt; "")),
  _xlpm.coef, _xlpm.K + _xlpm.Knewgain / (_xlpm.Knewscale + _xlpm.nbparties),
  IF(Q191="",
    "",
    _xlpm.coef * (Q191-Q192))
)</f>
        <v/>
      </c>
      <c r="R193" t="str" cm="1">
        <f t="array" ref="R193">_xlfn.LET(
  _xlpm.K, Constantes!$B$3,
  _xlpm.Knewgain, Constantes!$B$4,
  _xlpm.Knewscale, Constantes!$B$5,
  _xlpm.ptstables, INDEX(R:R, _xlfn.SEQUENCE(COUNTA($C$2:$C193), 1, 3, 4)),
  _xlpm.nbparties, COUNTA(_xlfn._xlws.FILTER(_xlpm.ptstables, _xlpm.ptstables &lt;&gt; "")),
  _xlpm.coef, _xlpm.K + _xlpm.Knewgain / (_xlpm.Knewscale + _xlpm.nbparties),
  IF(R191="",
    "",
    _xlpm.coef * (R191-R192))
)</f>
        <v/>
      </c>
      <c r="S193" t="str" cm="1">
        <f t="array" ref="S193">_xlfn.LET(
  _xlpm.K, Constantes!$B$3,
  _xlpm.Knewgain, Constantes!$B$4,
  _xlpm.Knewscale, Constantes!$B$5,
  _xlpm.ptstables, INDEX(S:S, _xlfn.SEQUENCE(COUNTA($C$2:$C193), 1, 3, 4)),
  _xlpm.nbparties, COUNTA(_xlfn._xlws.FILTER(_xlpm.ptstables, _xlpm.ptstables &lt;&gt; "")),
  _xlpm.coef, _xlpm.K + _xlpm.Knewgain / (_xlpm.Knewscale + _xlpm.nbparties),
  IF(S191="",
    "",
    _xlpm.coef * (S191-S192))
)</f>
        <v/>
      </c>
      <c r="T193" t="str" cm="1">
        <f t="array" ref="T193">_xlfn.LET(
  _xlpm.K, Constantes!$B$3,
  _xlpm.Knewgain, Constantes!$B$4,
  _xlpm.Knewscale, Constantes!$B$5,
  _xlpm.ptstables, INDEX(T:T, _xlfn.SEQUENCE(COUNTA($C$2:$C193), 1, 3, 4)),
  _xlpm.nbparties, COUNTA(_xlfn._xlws.FILTER(_xlpm.ptstables, _xlpm.ptstables &lt;&gt; "")),
  _xlpm.coef, _xlpm.K + _xlpm.Knewgain / (_xlpm.Knewscale + _xlpm.nbparties),
  IF(T191="",
    "",
    _xlpm.coef * (T191-T192))
)</f>
        <v/>
      </c>
      <c r="U193" t="str" cm="1">
        <f t="array" ref="U193">_xlfn.LET(
  _xlpm.K, Constantes!$B$3,
  _xlpm.Knewgain, Constantes!$B$4,
  _xlpm.Knewscale, Constantes!$B$5,
  _xlpm.ptstables, INDEX(U:U, _xlfn.SEQUENCE(COUNTA($C$2:$C193), 1, 3, 4)),
  _xlpm.nbparties, COUNTA(_xlfn._xlws.FILTER(_xlpm.ptstables, _xlpm.ptstables &lt;&gt; "")),
  _xlpm.coef, _xlpm.K + _xlpm.Knewgain / (_xlpm.Knewscale + _xlpm.nbparties),
  IF(U191="",
    "",
    _xlpm.coef * (U191-U192))
)</f>
        <v/>
      </c>
      <c r="V193" t="str" cm="1">
        <f t="array" ref="V193">_xlfn.LET(
  _xlpm.K, Constantes!$B$3,
  _xlpm.Knewgain, Constantes!$B$4,
  _xlpm.Knewscale, Constantes!$B$5,
  _xlpm.ptstables, INDEX(V:V, _xlfn.SEQUENCE(COUNTA($C$2:$C193), 1, 3, 4)),
  _xlpm.nbparties, COUNTA(_xlfn._xlws.FILTER(_xlpm.ptstables, _xlpm.ptstables &lt;&gt; "")),
  _xlpm.coef, _xlpm.K + _xlpm.Knewgain / (_xlpm.Knewscale + _xlpm.nbparties),
  IF(V191="",
    "",
    _xlpm.coef * (V191-V192))
)</f>
        <v/>
      </c>
      <c r="W193" t="str" cm="1">
        <f t="array" ref="W193">_xlfn.LET(
  _xlpm.K, Constantes!$B$3,
  _xlpm.Knewgain, Constantes!$B$4,
  _xlpm.Knewscale, Constantes!$B$5,
  _xlpm.ptstables, INDEX(W:W, _xlfn.SEQUENCE(COUNTA($C$2:$C193), 1, 3, 4)),
  _xlpm.nbparties, COUNTA(_xlfn._xlws.FILTER(_xlpm.ptstables, _xlpm.ptstables &lt;&gt; "")),
  _xlpm.coef, _xlpm.K + _xlpm.Knewgain / (_xlpm.Knewscale + _xlpm.nbparties),
  IF(W191="",
    "",
    _xlpm.coef * (W191-W192))
)</f>
        <v/>
      </c>
      <c r="X193" t="str" cm="1">
        <f t="array" ref="X193">_xlfn.LET(
  _xlpm.K, Constantes!$B$3,
  _xlpm.Knewgain, Constantes!$B$4,
  _xlpm.Knewscale, Constantes!$B$5,
  _xlpm.ptstables, INDEX(X:X, _xlfn.SEQUENCE(COUNTA($C$2:$C193), 1, 3, 4)),
  _xlpm.nbparties, COUNTA(_xlfn._xlws.FILTER(_xlpm.ptstables, _xlpm.ptstables &lt;&gt; "")),
  _xlpm.coef, _xlpm.K + _xlpm.Knewgain / (_xlpm.Knewscale + _xlpm.nbparties),
  IF(X191="",
    "",
    _xlpm.coef * (X191-X192))
)</f>
        <v/>
      </c>
      <c r="Y193" t="str" cm="1">
        <f t="array" ref="Y193">_xlfn.LET(
  _xlpm.K, Constantes!$B$3,
  _xlpm.Knewgain, Constantes!$B$4,
  _xlpm.Knewscale, Constantes!$B$5,
  _xlpm.ptstables, INDEX(Y:Y, _xlfn.SEQUENCE(COUNTA($C$2:$C193), 1, 3, 4)),
  _xlpm.nbparties, COUNTA(_xlfn._xlws.FILTER(_xlpm.ptstables, _xlpm.ptstables &lt;&gt; "")),
  _xlpm.coef, _xlpm.K + _xlpm.Knewgain / (_xlpm.Knewscale + _xlpm.nbparties),
  IF(Y191="",
    "",
    _xlpm.coef * (Y191-Y192))
)</f>
        <v/>
      </c>
      <c r="Z193" t="str" cm="1">
        <f t="array" ref="Z193">_xlfn.LET(
  _xlpm.K, Constantes!$B$3,
  _xlpm.Knewgain, Constantes!$B$4,
  _xlpm.Knewscale, Constantes!$B$5,
  _xlpm.ptstables, INDEX(Z:Z, _xlfn.SEQUENCE(COUNTA($C$2:$C193), 1, 3, 4)),
  _xlpm.nbparties, COUNTA(_xlfn._xlws.FILTER(_xlpm.ptstables, _xlpm.ptstables &lt;&gt; "")),
  _xlpm.coef, _xlpm.K + _xlpm.Knewgain / (_xlpm.Knewscale + _xlpm.nbparties),
  IF(Z191="",
    "",
    _xlpm.coef * (Z191-Z192))
)</f>
        <v/>
      </c>
      <c r="AA193" cm="1">
        <f t="array" ref="AA193">_xlfn.LET(
  _xlpm.K, Constantes!$B$3,
  _xlpm.Knewgain, Constantes!$B$4,
  _xlpm.Knewscale, Constantes!$B$5,
  _xlpm.ptstables, INDEX(AA:AA, _xlfn.SEQUENCE(COUNTA($C$2:$C193), 1, 3, 4)),
  _xlpm.nbparties, COUNTA(_xlfn._xlws.FILTER(_xlpm.ptstables, _xlpm.ptstables &lt;&gt; "")),
  _xlpm.coef, _xlpm.K + _xlpm.Knewgain / (_xlpm.Knewscale + _xlpm.nbparties),
  IF(AA191="",
    "",
    _xlpm.coef * (AA191-AA192))
)</f>
        <v>-49.894368348763976</v>
      </c>
      <c r="AB193" t="str" cm="1">
        <f t="array" ref="AB193">_xlfn.LET(
  _xlpm.K, Constantes!$B$3,
  _xlpm.Knewgain, Constantes!$B$4,
  _xlpm.Knewscale, Constantes!$B$5,
  _xlpm.ptstables, INDEX(AB:AB, _xlfn.SEQUENCE(COUNTA($C$2:$C193), 1, 3, 4)),
  _xlpm.nbparties, COUNTA(_xlfn._xlws.FILTER(_xlpm.ptstables, _xlpm.ptstables &lt;&gt; "")),
  _xlpm.coef, _xlpm.K + _xlpm.Knewgain / (_xlpm.Knewscale + _xlpm.nbparties),
  IF(AB191="",
    "",
    _xlpm.coef * (AB191-AB192))
)</f>
        <v/>
      </c>
      <c r="AC193" t="str" cm="1">
        <f t="array" ref="AC193">_xlfn.LET(
  _xlpm.K, Constantes!$B$3,
  _xlpm.Knewgain, Constantes!$B$4,
  _xlpm.Knewscale, Constantes!$B$5,
  _xlpm.ptstables, INDEX(AC:AC, _xlfn.SEQUENCE(COUNTA($C$2:$C193), 1, 3, 4)),
  _xlpm.nbparties, COUNTA(_xlfn._xlws.FILTER(_xlpm.ptstables, _xlpm.ptstables &lt;&gt; "")),
  _xlpm.coef, _xlpm.K + _xlpm.Knewgain / (_xlpm.Knewscale + _xlpm.nbparties),
  IF(AC191="",
    "",
    _xlpm.coef * (AC191-AC192))
)</f>
        <v/>
      </c>
      <c r="AD193" t="str" cm="1">
        <f t="array" ref="AD193">_xlfn.LET(
  _xlpm.K, Constantes!$B$3,
  _xlpm.Knewgain, Constantes!$B$4,
  _xlpm.Knewscale, Constantes!$B$5,
  _xlpm.ptstables, INDEX(AD:AD, _xlfn.SEQUENCE(COUNTA($C$2:$C193), 1, 3, 4)),
  _xlpm.nbparties, COUNTA(_xlfn._xlws.FILTER(_xlpm.ptstables, _xlpm.ptstables &lt;&gt; "")),
  _xlpm.coef, _xlpm.K + _xlpm.Knewgain / (_xlpm.Knewscale + _xlpm.nbparties),
  IF(AD191="",
    "",
    _xlpm.coef * (AD191-AD192))
)</f>
        <v/>
      </c>
      <c r="AE193" t="str" cm="1">
        <f t="array" ref="AE193">_xlfn.LET(
  _xlpm.K, Constantes!$B$3,
  _xlpm.Knewgain, Constantes!$B$4,
  _xlpm.Knewscale, Constantes!$B$5,
  _xlpm.ptstables, INDEX(AE:AE, _xlfn.SEQUENCE(COUNTA($C$2:$C193), 1, 3, 4)),
  _xlpm.nbparties, COUNTA(_xlfn._xlws.FILTER(_xlpm.ptstables, _xlpm.ptstables &lt;&gt; "")),
  _xlpm.coef, _xlpm.K + _xlpm.Knewgain / (_xlpm.Knewscale + _xlpm.nbparties),
  IF(AE191="",
    "",
    _xlpm.coef * (AE191-AE192))
)</f>
        <v/>
      </c>
      <c r="AF193" t="str" cm="1">
        <f t="array" ref="AF193">_xlfn.LET(
  _xlpm.K, Constantes!$B$3,
  _xlpm.Knewgain, Constantes!$B$4,
  _xlpm.Knewscale, Constantes!$B$5,
  _xlpm.ptstables, INDEX(AF:AF, _xlfn.SEQUENCE(COUNTA($C$2:$C193), 1, 3, 4)),
  _xlpm.nbparties, COUNTA(_xlfn._xlws.FILTER(_xlpm.ptstables, _xlpm.ptstables &lt;&gt; "")),
  _xlpm.coef, _xlpm.K + _xlpm.Knewgain / (_xlpm.Knewscale + _xlpm.nbparties),
  IF(AF191="",
    "",
    _xlpm.coef * (AF191-AF192))
)</f>
        <v/>
      </c>
      <c r="AG193" t="str" cm="1">
        <f t="array" ref="AG193">_xlfn.LET(
  _xlpm.K, Constantes!$B$3,
  _xlpm.Knewgain, Constantes!$B$4,
  _xlpm.Knewscale, Constantes!$B$5,
  _xlpm.ptstables, INDEX(AG:AG, _xlfn.SEQUENCE(COUNTA($C$2:$C193), 1, 3, 4)),
  _xlpm.nbparties, COUNTA(_xlfn._xlws.FILTER(_xlpm.ptstables, _xlpm.ptstables &lt;&gt; "")),
  _xlpm.coef, _xlpm.K + _xlpm.Knewgain / (_xlpm.Knewscale + _xlpm.nbparties),
  IF(AG191="",
    "",
    _xlpm.coef * (AG191-AG192))
)</f>
        <v/>
      </c>
      <c r="AH193" t="str" cm="1">
        <f t="array" ref="AH193">_xlfn.LET(
  _xlpm.K, Constantes!$B$3,
  _xlpm.Knewgain, Constantes!$B$4,
  _xlpm.Knewscale, Constantes!$B$5,
  _xlpm.ptstables, INDEX(AH:AH, _xlfn.SEQUENCE(COUNTA($C$2:$C193), 1, 3, 4)),
  _xlpm.nbparties, COUNTA(_xlfn._xlws.FILTER(_xlpm.ptstables, _xlpm.ptstables &lt;&gt; "")),
  _xlpm.coef, _xlpm.K + _xlpm.Knewgain / (_xlpm.Knewscale + _xlpm.nbparties),
  IF(AH191="",
    "",
    _xlpm.coef * (AH191-AH192))
)</f>
        <v/>
      </c>
      <c r="AI193" t="str" cm="1">
        <f t="array" ref="AI193">_xlfn.LET(
  _xlpm.K, Constantes!$B$3,
  _xlpm.Knewgain, Constantes!$B$4,
  _xlpm.Knewscale, Constantes!$B$5,
  _xlpm.ptstables, INDEX(AI:AI, _xlfn.SEQUENCE(COUNTA($C$2:$C193), 1, 3, 4)),
  _xlpm.nbparties, COUNTA(_xlfn._xlws.FILTER(_xlpm.ptstables, _xlpm.ptstables &lt;&gt; "")),
  _xlpm.coef, _xlpm.K + _xlpm.Knewgain / (_xlpm.Knewscale + _xlpm.nbparties),
  IF(AI191="",
    "",
    _xlpm.coef * (AI191-AI192))
)</f>
        <v/>
      </c>
      <c r="AJ193" t="str" cm="1">
        <f t="array" ref="AJ193">_xlfn.LET(
  _xlpm.K, Constantes!$B$3,
  _xlpm.Knewgain, Constantes!$B$4,
  _xlpm.Knewscale, Constantes!$B$5,
  _xlpm.ptstables, INDEX(AJ:AJ, _xlfn.SEQUENCE(COUNTA($C$2:$C193), 1, 3, 4)),
  _xlpm.nbparties, COUNTA(_xlfn._xlws.FILTER(_xlpm.ptstables, _xlpm.ptstables &lt;&gt; "")),
  _xlpm.coef, _xlpm.K + _xlpm.Knewgain / (_xlpm.Knewscale + _xlpm.nbparties),
  IF(AJ191="",
    "",
    _xlpm.coef * (AJ191-AJ192))
)</f>
        <v/>
      </c>
      <c r="AK193" t="str" cm="1">
        <f t="array" ref="AK193">_xlfn.LET(
  _xlpm.K, Constantes!$B$3,
  _xlpm.Knewgain, Constantes!$B$4,
  _xlpm.Knewscale, Constantes!$B$5,
  _xlpm.ptstables, INDEX(AK:AK, _xlfn.SEQUENCE(COUNTA($C$2:$C193), 1, 3, 4)),
  _xlpm.nbparties, COUNTA(_xlfn._xlws.FILTER(_xlpm.ptstables, _xlpm.ptstables &lt;&gt; "")),
  _xlpm.coef, _xlpm.K + _xlpm.Knewgain / (_xlpm.Knewscale + _xlpm.nbparties),
  IF(AK191="",
    "",
    _xlpm.coef * (AK191-AK192))
)</f>
        <v/>
      </c>
      <c r="AL193" t="str" cm="1">
        <f t="array" ref="AL193">_xlfn.LET(
  _xlpm.K, Constantes!$B$3,
  _xlpm.Knewgain, Constantes!$B$4,
  _xlpm.Knewscale, Constantes!$B$5,
  _xlpm.ptstables, INDEX(AL:AL, _xlfn.SEQUENCE(COUNTA($C$2:$C193), 1, 3, 4)),
  _xlpm.nbparties, COUNTA(_xlfn._xlws.FILTER(_xlpm.ptstables, _xlpm.ptstables &lt;&gt; "")),
  _xlpm.coef, _xlpm.K + _xlpm.Knewgain / (_xlpm.Knewscale + _xlpm.nbparties),
  IF(AL191="",
    "",
    _xlpm.coef * (AL191-AL192))
)</f>
        <v/>
      </c>
      <c r="AM193" t="str" cm="1">
        <f t="array" ref="AM193">_xlfn.LET(
  _xlpm.K, Constantes!$B$3,
  _xlpm.Knewgain, Constantes!$B$4,
  _xlpm.Knewscale, Constantes!$B$5,
  _xlpm.ptstables, INDEX(AM:AM, _xlfn.SEQUENCE(COUNTA($C$2:$C193), 1, 3, 4)),
  _xlpm.nbparties, COUNTA(_xlfn._xlws.FILTER(_xlpm.ptstables, _xlpm.ptstables &lt;&gt; "")),
  _xlpm.coef, _xlpm.K + _xlpm.Knewgain / (_xlpm.Knewscale + _xlpm.nbparties),
  IF(AM191="",
    "",
    _xlpm.coef * (AM191-AM192))
)</f>
        <v/>
      </c>
    </row>
    <row r="194" spans="1:39" x14ac:dyDescent="0.25">
      <c r="A194" t="s">
        <v>14</v>
      </c>
      <c r="B194" t="str" cm="1">
        <f t="array" ref="B19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46</v>
      </c>
      <c r="C194" s="2" cm="1">
        <f t="array" ref="C194">IF(B194="","",
  INDEX(Donnees!F:F, MATCH(B194, Donnees!F:F, 0)+1))</f>
        <v>45934.596886574072</v>
      </c>
      <c r="D194">
        <f t="shared" ref="D194:AM194" si="56">D190+IF(D193="",0,D193)</f>
        <v>1102.9314752305681</v>
      </c>
      <c r="E194">
        <f t="shared" si="56"/>
        <v>1124.3346500367093</v>
      </c>
      <c r="F194">
        <f t="shared" si="56"/>
        <v>861.02806342581061</v>
      </c>
      <c r="G194">
        <f t="shared" si="56"/>
        <v>1069.5689729213505</v>
      </c>
      <c r="H194">
        <f t="shared" si="56"/>
        <v>1033.8282013861956</v>
      </c>
      <c r="I194">
        <f t="shared" si="56"/>
        <v>995.9272830555808</v>
      </c>
      <c r="J194">
        <f t="shared" si="56"/>
        <v>938.49433816478961</v>
      </c>
      <c r="K194">
        <f t="shared" si="56"/>
        <v>931.90645128532537</v>
      </c>
      <c r="L194">
        <f t="shared" si="56"/>
        <v>801.48942635099877</v>
      </c>
      <c r="M194">
        <f t="shared" si="56"/>
        <v>913.41986361738122</v>
      </c>
      <c r="N194">
        <f t="shared" si="56"/>
        <v>903.87102074645099</v>
      </c>
      <c r="O194">
        <f t="shared" si="56"/>
        <v>1005.4306950475848</v>
      </c>
      <c r="P194">
        <f t="shared" si="56"/>
        <v>1005.4229961505649</v>
      </c>
      <c r="Q194">
        <f t="shared" si="56"/>
        <v>1050.7184918608298</v>
      </c>
      <c r="R194">
        <f t="shared" si="56"/>
        <v>1180.6586778030673</v>
      </c>
      <c r="S194">
        <f t="shared" si="56"/>
        <v>857.40589081234418</v>
      </c>
      <c r="T194">
        <f t="shared" si="56"/>
        <v>1135.2782658680615</v>
      </c>
      <c r="U194">
        <f t="shared" si="56"/>
        <v>1150.496353852662</v>
      </c>
      <c r="V194">
        <f t="shared" si="56"/>
        <v>961.58818235691967</v>
      </c>
      <c r="W194">
        <f t="shared" si="56"/>
        <v>936.79085942937002</v>
      </c>
      <c r="X194">
        <f t="shared" si="56"/>
        <v>822.49182421843079</v>
      </c>
      <c r="Y194">
        <f t="shared" si="56"/>
        <v>984.68205603174124</v>
      </c>
      <c r="Z194">
        <f t="shared" si="56"/>
        <v>991.11904139672549</v>
      </c>
      <c r="AA194">
        <f t="shared" si="56"/>
        <v>930.6732002028948</v>
      </c>
      <c r="AB194">
        <f t="shared" si="56"/>
        <v>988.35669729544747</v>
      </c>
      <c r="AC194">
        <f t="shared" si="56"/>
        <v>1046.8071957095806</v>
      </c>
      <c r="AD194">
        <f t="shared" si="56"/>
        <v>1012.3923743834587</v>
      </c>
      <c r="AE194">
        <f t="shared" si="56"/>
        <v>1011.415</v>
      </c>
      <c r="AF194">
        <f t="shared" si="56"/>
        <v>1031.1199999999999</v>
      </c>
      <c r="AG194">
        <f t="shared" si="56"/>
        <v>1001.0350000000001</v>
      </c>
      <c r="AH194">
        <f t="shared" si="56"/>
        <v>994.44</v>
      </c>
      <c r="AI194">
        <f t="shared" si="56"/>
        <v>1000</v>
      </c>
      <c r="AJ194">
        <f t="shared" si="56"/>
        <v>957.2</v>
      </c>
      <c r="AK194">
        <f t="shared" si="56"/>
        <v>1000</v>
      </c>
      <c r="AL194">
        <f t="shared" si="56"/>
        <v>1055.9299999999998</v>
      </c>
      <c r="AM194">
        <f t="shared" si="56"/>
        <v>1000</v>
      </c>
    </row>
    <row r="195" spans="1:39" x14ac:dyDescent="0.25">
      <c r="A195" t="s">
        <v>21</v>
      </c>
      <c r="D195" t="str" cm="1">
        <f t="array" ref="D195">IFERROR(
  _xlfn.LET(
    _xlpm.ligpartie, MATCH($B194, Donnees!$F:$F, 0),
    _xlpm.joueurs, INDEX(Donnees!$A:$Z, _xlpm.ligpartie+1, _xlfn.SEQUENCE(1, 4, 2)),
    INDEX(
      Donnees!$A:$Z,
      _xlpm.ligpartie + 3,
      MATCH(D$1, _xlpm.joueurs, 0) + 1
    )
  ), ""
)</f>
        <v/>
      </c>
      <c r="E195" t="str" cm="1">
        <f t="array" ref="E195">IFERROR(
  _xlfn.LET(
    _xlpm.ligpartie, MATCH($B194, Donnees!$F:$F, 0),
    _xlpm.joueurs, INDEX(Donnees!$A:$Z, _xlpm.ligpartie+1, _xlfn.SEQUENCE(1, 4, 2)),
    INDEX(
      Donnees!$A:$Z,
      _xlpm.ligpartie + 3,
      MATCH(E$1, _xlpm.joueurs, 0) + 1
    )
  ), ""
)</f>
        <v/>
      </c>
      <c r="F195" t="str" cm="1">
        <f t="array" ref="F195">IFERROR(
  _xlfn.LET(
    _xlpm.ligpartie, MATCH($B194, Donnees!$F:$F, 0),
    _xlpm.joueurs, INDEX(Donnees!$A:$Z, _xlpm.ligpartie+1, _xlfn.SEQUENCE(1, 4, 2)),
    INDEX(
      Donnees!$A:$Z,
      _xlpm.ligpartie + 3,
      MATCH(F$1, _xlpm.joueurs, 0) + 1
    )
  ), ""
)</f>
        <v/>
      </c>
      <c r="G195" t="str" cm="1">
        <f t="array" ref="G195">IFERROR(
  _xlfn.LET(
    _xlpm.ligpartie, MATCH($B194, Donnees!$F:$F, 0),
    _xlpm.joueurs, INDEX(Donnees!$A:$Z, _xlpm.ligpartie+1, _xlfn.SEQUENCE(1, 4, 2)),
    INDEX(
      Donnees!$A:$Z,
      _xlpm.ligpartie + 3,
      MATCH(G$1, _xlpm.joueurs, 0) + 1
    )
  ), ""
)</f>
        <v/>
      </c>
      <c r="H195" cm="1">
        <f t="array" ref="H195">IFERROR(
  _xlfn.LET(
    _xlpm.ligpartie, MATCH($B194, Donnees!$F:$F, 0),
    _xlpm.joueurs, INDEX(Donnees!$A:$Z, _xlpm.ligpartie+1, _xlfn.SEQUENCE(1, 4, 2)),
    INDEX(
      Donnees!$A:$Z,
      _xlpm.ligpartie + 3,
      MATCH(H$1, _xlpm.joueurs, 0) + 1
    )
  ), ""
)</f>
        <v>2</v>
      </c>
      <c r="I195" t="str" cm="1">
        <f t="array" ref="I195">IFERROR(
  _xlfn.LET(
    _xlpm.ligpartie, MATCH($B194, Donnees!$F:$F, 0),
    _xlpm.joueurs, INDEX(Donnees!$A:$Z, _xlpm.ligpartie+1, _xlfn.SEQUENCE(1, 4, 2)),
    INDEX(
      Donnees!$A:$Z,
      _xlpm.ligpartie + 3,
      MATCH(I$1, _xlpm.joueurs, 0) + 1
    )
  ), ""
)</f>
        <v/>
      </c>
      <c r="J195" t="str" cm="1">
        <f t="array" ref="J195">IFERROR(
  _xlfn.LET(
    _xlpm.ligpartie, MATCH($B194, Donnees!$F:$F, 0),
    _xlpm.joueurs, INDEX(Donnees!$A:$Z, _xlpm.ligpartie+1, _xlfn.SEQUENCE(1, 4, 2)),
    INDEX(
      Donnees!$A:$Z,
      _xlpm.ligpartie + 3,
      MATCH(J$1, _xlpm.joueurs, 0) + 1
    )
  ), ""
)</f>
        <v/>
      </c>
      <c r="K195" t="str" cm="1">
        <f t="array" ref="K195">IFERROR(
  _xlfn.LET(
    _xlpm.ligpartie, MATCH($B194, Donnees!$F:$F, 0),
    _xlpm.joueurs, INDEX(Donnees!$A:$Z, _xlpm.ligpartie+1, _xlfn.SEQUENCE(1, 4, 2)),
    INDEX(
      Donnees!$A:$Z,
      _xlpm.ligpartie + 3,
      MATCH(K$1, _xlpm.joueurs, 0) + 1
    )
  ), ""
)</f>
        <v/>
      </c>
      <c r="L195" cm="1">
        <f t="array" ref="L195">IFERROR(
  _xlfn.LET(
    _xlpm.ligpartie, MATCH($B194, Donnees!$F:$F, 0),
    _xlpm.joueurs, INDEX(Donnees!$A:$Z, _xlpm.ligpartie+1, _xlfn.SEQUENCE(1, 4, 2)),
    INDEX(
      Donnees!$A:$Z,
      _xlpm.ligpartie + 3,
      MATCH(L$1, _xlpm.joueurs, 0) + 1
    )
  ), ""
)</f>
        <v>0</v>
      </c>
      <c r="M195" t="str" cm="1">
        <f t="array" ref="M195">IFERROR(
  _xlfn.LET(
    _xlpm.ligpartie, MATCH($B194, Donnees!$F:$F, 0),
    _xlpm.joueurs, INDEX(Donnees!$A:$Z, _xlpm.ligpartie+1, _xlfn.SEQUENCE(1, 4, 2)),
    INDEX(
      Donnees!$A:$Z,
      _xlpm.ligpartie + 3,
      MATCH(M$1, _xlpm.joueurs, 0) + 1
    )
  ), ""
)</f>
        <v/>
      </c>
      <c r="N195" t="str" cm="1">
        <f t="array" ref="N195">IFERROR(
  _xlfn.LET(
    _xlpm.ligpartie, MATCH($B194, Donnees!$F:$F, 0),
    _xlpm.joueurs, INDEX(Donnees!$A:$Z, _xlpm.ligpartie+1, _xlfn.SEQUENCE(1, 4, 2)),
    INDEX(
      Donnees!$A:$Z,
      _xlpm.ligpartie + 3,
      MATCH(N$1, _xlpm.joueurs, 0) + 1
    )
  ), ""
)</f>
        <v/>
      </c>
      <c r="O195" t="str" cm="1">
        <f t="array" ref="O195">IFERROR(
  _xlfn.LET(
    _xlpm.ligpartie, MATCH($B194, Donnees!$F:$F, 0),
    _xlpm.joueurs, INDEX(Donnees!$A:$Z, _xlpm.ligpartie+1, _xlfn.SEQUENCE(1, 4, 2)),
    INDEX(
      Donnees!$A:$Z,
      _xlpm.ligpartie + 3,
      MATCH(O$1, _xlpm.joueurs, 0) + 1
    )
  ), ""
)</f>
        <v/>
      </c>
      <c r="P195" t="str" cm="1">
        <f t="array" ref="P195">IFERROR(
  _xlfn.LET(
    _xlpm.ligpartie, MATCH($B194, Donnees!$F:$F, 0),
    _xlpm.joueurs, INDEX(Donnees!$A:$Z, _xlpm.ligpartie+1, _xlfn.SEQUENCE(1, 4, 2)),
    INDEX(
      Donnees!$A:$Z,
      _xlpm.ligpartie + 3,
      MATCH(P$1, _xlpm.joueurs, 0) + 1
    )
  ), ""
)</f>
        <v/>
      </c>
      <c r="Q195" t="str" cm="1">
        <f t="array" ref="Q195">IFERROR(
  _xlfn.LET(
    _xlpm.ligpartie, MATCH($B194, Donnees!$F:$F, 0),
    _xlpm.joueurs, INDEX(Donnees!$A:$Z, _xlpm.ligpartie+1, _xlfn.SEQUENCE(1, 4, 2)),
    INDEX(
      Donnees!$A:$Z,
      _xlpm.ligpartie + 3,
      MATCH(Q$1, _xlpm.joueurs, 0) + 1
    )
  ), ""
)</f>
        <v/>
      </c>
      <c r="R195" t="str" cm="1">
        <f t="array" ref="R195">IFERROR(
  _xlfn.LET(
    _xlpm.ligpartie, MATCH($B194, Donnees!$F:$F, 0),
    _xlpm.joueurs, INDEX(Donnees!$A:$Z, _xlpm.ligpartie+1, _xlfn.SEQUENCE(1, 4, 2)),
    INDEX(
      Donnees!$A:$Z,
      _xlpm.ligpartie + 3,
      MATCH(R$1, _xlpm.joueurs, 0) + 1
    )
  ), ""
)</f>
        <v/>
      </c>
      <c r="S195" t="str" cm="1">
        <f t="array" ref="S195">IFERROR(
  _xlfn.LET(
    _xlpm.ligpartie, MATCH($B194, Donnees!$F:$F, 0),
    _xlpm.joueurs, INDEX(Donnees!$A:$Z, _xlpm.ligpartie+1, _xlfn.SEQUENCE(1, 4, 2)),
    INDEX(
      Donnees!$A:$Z,
      _xlpm.ligpartie + 3,
      MATCH(S$1, _xlpm.joueurs, 0) + 1
    )
  ), ""
)</f>
        <v/>
      </c>
      <c r="T195" t="str" cm="1">
        <f t="array" ref="T195">IFERROR(
  _xlfn.LET(
    _xlpm.ligpartie, MATCH($B194, Donnees!$F:$F, 0),
    _xlpm.joueurs, INDEX(Donnees!$A:$Z, _xlpm.ligpartie+1, _xlfn.SEQUENCE(1, 4, 2)),
    INDEX(
      Donnees!$A:$Z,
      _xlpm.ligpartie + 3,
      MATCH(T$1, _xlpm.joueurs, 0) + 1
    )
  ), ""
)</f>
        <v/>
      </c>
      <c r="U195" cm="1">
        <f t="array" ref="U195">IFERROR(
  _xlfn.LET(
    _xlpm.ligpartie, MATCH($B194, Donnees!$F:$F, 0),
    _xlpm.joueurs, INDEX(Donnees!$A:$Z, _xlpm.ligpartie+1, _xlfn.SEQUENCE(1, 4, 2)),
    INDEX(
      Donnees!$A:$Z,
      _xlpm.ligpartie + 3,
      MATCH(U$1, _xlpm.joueurs, 0) + 1
    )
  ), ""
)</f>
        <v>3</v>
      </c>
      <c r="V195" t="str" cm="1">
        <f t="array" ref="V195">IFERROR(
  _xlfn.LET(
    _xlpm.ligpartie, MATCH($B194, Donnees!$F:$F, 0),
    _xlpm.joueurs, INDEX(Donnees!$A:$Z, _xlpm.ligpartie+1, _xlfn.SEQUENCE(1, 4, 2)),
    INDEX(
      Donnees!$A:$Z,
      _xlpm.ligpartie + 3,
      MATCH(V$1, _xlpm.joueurs, 0) + 1
    )
  ), ""
)</f>
        <v/>
      </c>
      <c r="W195" t="str" cm="1">
        <f t="array" ref="W195">IFERROR(
  _xlfn.LET(
    _xlpm.ligpartie, MATCH($B194, Donnees!$F:$F, 0),
    _xlpm.joueurs, INDEX(Donnees!$A:$Z, _xlpm.ligpartie+1, _xlfn.SEQUENCE(1, 4, 2)),
    INDEX(
      Donnees!$A:$Z,
      _xlpm.ligpartie + 3,
      MATCH(W$1, _xlpm.joueurs, 0) + 1
    )
  ), ""
)</f>
        <v/>
      </c>
      <c r="X195" t="str" cm="1">
        <f t="array" ref="X195">IFERROR(
  _xlfn.LET(
    _xlpm.ligpartie, MATCH($B194, Donnees!$F:$F, 0),
    _xlpm.joueurs, INDEX(Donnees!$A:$Z, _xlpm.ligpartie+1, _xlfn.SEQUENCE(1, 4, 2)),
    INDEX(
      Donnees!$A:$Z,
      _xlpm.ligpartie + 3,
      MATCH(X$1, _xlpm.joueurs, 0) + 1
    )
  ), ""
)</f>
        <v/>
      </c>
      <c r="Y195" cm="1">
        <f t="array" ref="Y195">IFERROR(
  _xlfn.LET(
    _xlpm.ligpartie, MATCH($B194, Donnees!$F:$F, 0),
    _xlpm.joueurs, INDEX(Donnees!$A:$Z, _xlpm.ligpartie+1, _xlfn.SEQUENCE(1, 4, 2)),
    INDEX(
      Donnees!$A:$Z,
      _xlpm.ligpartie + 3,
      MATCH(Y$1, _xlpm.joueurs, 0) + 1
    )
  ), ""
)</f>
        <v>1</v>
      </c>
      <c r="Z195" t="str" cm="1">
        <f t="array" ref="Z195">IFERROR(
  _xlfn.LET(
    _xlpm.ligpartie, MATCH($B194, Donnees!$F:$F, 0),
    _xlpm.joueurs, INDEX(Donnees!$A:$Z, _xlpm.ligpartie+1, _xlfn.SEQUENCE(1, 4, 2)),
    INDEX(
      Donnees!$A:$Z,
      _xlpm.ligpartie + 3,
      MATCH(Z$1, _xlpm.joueurs, 0) + 1
    )
  ), ""
)</f>
        <v/>
      </c>
      <c r="AA195" t="str" cm="1">
        <f t="array" ref="AA195">IFERROR(
  _xlfn.LET(
    _xlpm.ligpartie, MATCH($B194, Donnees!$F:$F, 0),
    _xlpm.joueurs, INDEX(Donnees!$A:$Z, _xlpm.ligpartie+1, _xlfn.SEQUENCE(1, 4, 2)),
    INDEX(
      Donnees!$A:$Z,
      _xlpm.ligpartie + 3,
      MATCH(AA$1, _xlpm.joueurs, 0) + 1
    )
  ), ""
)</f>
        <v/>
      </c>
      <c r="AB195" t="str" cm="1">
        <f t="array" ref="AB195">IFERROR(
  _xlfn.LET(
    _xlpm.ligpartie, MATCH($B194, Donnees!$F:$F, 0),
    _xlpm.joueurs, INDEX(Donnees!$A:$Z, _xlpm.ligpartie+1, _xlfn.SEQUENCE(1, 4, 2)),
    INDEX(
      Donnees!$A:$Z,
      _xlpm.ligpartie + 3,
      MATCH(AB$1, _xlpm.joueurs, 0) + 1
    )
  ), ""
)</f>
        <v/>
      </c>
      <c r="AC195" t="str" cm="1">
        <f t="array" ref="AC195">IFERROR(
  _xlfn.LET(
    _xlpm.ligpartie, MATCH($B194, Donnees!$F:$F, 0),
    _xlpm.joueurs, INDEX(Donnees!$A:$Z, _xlpm.ligpartie+1, _xlfn.SEQUENCE(1, 4, 2)),
    INDEX(
      Donnees!$A:$Z,
      _xlpm.ligpartie + 3,
      MATCH(AC$1, _xlpm.joueurs, 0) + 1
    )
  ), ""
)</f>
        <v/>
      </c>
      <c r="AD195" t="str" cm="1">
        <f t="array" ref="AD195">IFERROR(
  _xlfn.LET(
    _xlpm.ligpartie, MATCH($B194, Donnees!$F:$F, 0),
    _xlpm.joueurs, INDEX(Donnees!$A:$Z, _xlpm.ligpartie+1, _xlfn.SEQUENCE(1, 4, 2)),
    INDEX(
      Donnees!$A:$Z,
      _xlpm.ligpartie + 3,
      MATCH(AD$1, _xlpm.joueurs, 0) + 1
    )
  ), ""
)</f>
        <v/>
      </c>
      <c r="AE195" t="str" cm="1">
        <f t="array" ref="AE195">IFERROR(
  _xlfn.LET(
    _xlpm.ligpartie, MATCH($B194, Donnees!$F:$F, 0),
    _xlpm.joueurs, INDEX(Donnees!$A:$Z, _xlpm.ligpartie+1, _xlfn.SEQUENCE(1, 4, 2)),
    INDEX(
      Donnees!$A:$Z,
      _xlpm.ligpartie + 3,
      MATCH(AE$1, _xlpm.joueurs, 0) + 1
    )
  ), ""
)</f>
        <v/>
      </c>
      <c r="AF195" t="str" cm="1">
        <f t="array" ref="AF195">IFERROR(
  _xlfn.LET(
    _xlpm.ligpartie, MATCH($B194, Donnees!$F:$F, 0),
    _xlpm.joueurs, INDEX(Donnees!$A:$Z, _xlpm.ligpartie+1, _xlfn.SEQUENCE(1, 4, 2)),
    INDEX(
      Donnees!$A:$Z,
      _xlpm.ligpartie + 3,
      MATCH(AF$1, _xlpm.joueurs, 0) + 1
    )
  ), ""
)</f>
        <v/>
      </c>
      <c r="AG195" t="str" cm="1">
        <f t="array" ref="AG195">IFERROR(
  _xlfn.LET(
    _xlpm.ligpartie, MATCH($B194, Donnees!$F:$F, 0),
    _xlpm.joueurs, INDEX(Donnees!$A:$Z, _xlpm.ligpartie+1, _xlfn.SEQUENCE(1, 4, 2)),
    INDEX(
      Donnees!$A:$Z,
      _xlpm.ligpartie + 3,
      MATCH(AG$1, _xlpm.joueurs, 0) + 1
    )
  ), ""
)</f>
        <v/>
      </c>
      <c r="AH195" t="str" cm="1">
        <f t="array" ref="AH195">IFERROR(
  _xlfn.LET(
    _xlpm.ligpartie, MATCH($B194, Donnees!$F:$F, 0),
    _xlpm.joueurs, INDEX(Donnees!$A:$Z, _xlpm.ligpartie+1, _xlfn.SEQUENCE(1, 4, 2)),
    INDEX(
      Donnees!$A:$Z,
      _xlpm.ligpartie + 3,
      MATCH(AH$1, _xlpm.joueurs, 0) + 1
    )
  ), ""
)</f>
        <v/>
      </c>
      <c r="AI195" t="str" cm="1">
        <f t="array" ref="AI195">IFERROR(
  _xlfn.LET(
    _xlpm.ligpartie, MATCH($B194, Donnees!$F:$F, 0),
    _xlpm.joueurs, INDEX(Donnees!$A:$Z, _xlpm.ligpartie+1, _xlfn.SEQUENCE(1, 4, 2)),
    INDEX(
      Donnees!$A:$Z,
      _xlpm.ligpartie + 3,
      MATCH(AI$1, _xlpm.joueurs, 0) + 1
    )
  ), ""
)</f>
        <v/>
      </c>
      <c r="AJ195" t="str" cm="1">
        <f t="array" ref="AJ195">IFERROR(
  _xlfn.LET(
    _xlpm.ligpartie, MATCH($B194, Donnees!$F:$F, 0),
    _xlpm.joueurs, INDEX(Donnees!$A:$Z, _xlpm.ligpartie+1, _xlfn.SEQUENCE(1, 4, 2)),
    INDEX(
      Donnees!$A:$Z,
      _xlpm.ligpartie + 3,
      MATCH(AJ$1, _xlpm.joueurs, 0) + 1
    )
  ), ""
)</f>
        <v/>
      </c>
      <c r="AK195" t="str" cm="1">
        <f t="array" ref="AK195">IFERROR(
  _xlfn.LET(
    _xlpm.ligpartie, MATCH($B194, Donnees!$F:$F, 0),
    _xlpm.joueurs, INDEX(Donnees!$A:$Z, _xlpm.ligpartie+1, _xlfn.SEQUENCE(1, 4, 2)),
    INDEX(
      Donnees!$A:$Z,
      _xlpm.ligpartie + 3,
      MATCH(AK$1, _xlpm.joueurs, 0) + 1
    )
  ), ""
)</f>
        <v/>
      </c>
      <c r="AL195" t="str" cm="1">
        <f t="array" ref="AL195">IFERROR(
  _xlfn.LET(
    _xlpm.ligpartie, MATCH($B194, Donnees!$F:$F, 0),
    _xlpm.joueurs, INDEX(Donnees!$A:$Z, _xlpm.ligpartie+1, _xlfn.SEQUENCE(1, 4, 2)),
    INDEX(
      Donnees!$A:$Z,
      _xlpm.ligpartie + 3,
      MATCH(AL$1, _xlpm.joueurs, 0) + 1
    )
  ), ""
)</f>
        <v/>
      </c>
      <c r="AM195" t="str" cm="1">
        <f t="array" ref="AM195">IFERROR(
  _xlfn.LET(
    _xlpm.ligpartie, MATCH($B194, Donnees!$F:$F, 0),
    _xlpm.joueurs, INDEX(Donnees!$A:$Z, _xlpm.ligpartie+1, _xlfn.SEQUENCE(1, 4, 2)),
    INDEX(
      Donnees!$A:$Z,
      _xlpm.ligpartie + 3,
      MATCH(AM$1, _xlpm.joueurs, 0) + 1
    )
  ), ""
)</f>
        <v/>
      </c>
    </row>
    <row r="196" spans="1:39" x14ac:dyDescent="0.25">
      <c r="A196" t="s">
        <v>20</v>
      </c>
      <c r="D196" t="str" cm="1">
        <f t="array" ref="D196">_xlfn.LET(
  _xlpm.colj, _xlfn._xlws.FILTER(IF(ISNUMBER(195:195), COLUMN(195:195)), ISNUMBER(195:195)),
  _xlpm.elos, INDEX(194:194,1,_xlpm.colj),
  _xlpm.diffscale, Constantes!$B$2,
  IF(D195="",
    "",
    SUM(1/(1+POWER(10,-(D194-_xlpm.elos)/_xlpm.diffscale)))-0.5)
)</f>
        <v/>
      </c>
      <c r="E196" t="str" cm="1">
        <f t="array" ref="E196">_xlfn.LET(
  _xlpm.colj, _xlfn._xlws.FILTER(IF(ISNUMBER(195:195), COLUMN(195:195)), ISNUMBER(195:195)),
  _xlpm.elos, INDEX(194:194,1,_xlpm.colj),
  _xlpm.diffscale, Constantes!$B$2,
  IF(E195="",
    "",
    SUM(1/(1+POWER(10,-(E194-_xlpm.elos)/_xlpm.diffscale)))-0.5)
)</f>
        <v/>
      </c>
      <c r="F196" t="str" cm="1">
        <f t="array" ref="F196">_xlfn.LET(
  _xlpm.colj, _xlfn._xlws.FILTER(IF(ISNUMBER(195:195), COLUMN(195:195)), ISNUMBER(195:195)),
  _xlpm.elos, INDEX(194:194,1,_xlpm.colj),
  _xlpm.diffscale, Constantes!$B$2,
  IF(F195="",
    "",
    SUM(1/(1+POWER(10,-(F194-_xlpm.elos)/_xlpm.diffscale)))-0.5)
)</f>
        <v/>
      </c>
      <c r="G196" t="str" cm="1">
        <f t="array" ref="G196">_xlfn.LET(
  _xlpm.colj, _xlfn._xlws.FILTER(IF(ISNUMBER(195:195), COLUMN(195:195)), ISNUMBER(195:195)),
  _xlpm.elos, INDEX(194:194,1,_xlpm.colj),
  _xlpm.diffscale, Constantes!$B$2,
  IF(G195="",
    "",
    SUM(1/(1+POWER(10,-(G194-_xlpm.elos)/_xlpm.diffscale)))-0.5)
)</f>
        <v/>
      </c>
      <c r="H196" cm="1">
        <f t="array" ref="H196">_xlfn.LET(
  _xlpm.colj, _xlfn._xlws.FILTER(IF(ISNUMBER(195:195), COLUMN(195:195)), ISNUMBER(195:195)),
  _xlpm.elos, INDEX(194:194,1,_xlpm.colj),
  _xlpm.diffscale, Constantes!$B$2,
  IF(H195="",
    "",
    SUM(1/(1+POWER(10,-(H194-_xlpm.elos)/_xlpm.diffscale)))-0.5)
)</f>
        <v>1.7004687932818614</v>
      </c>
      <c r="I196" t="str" cm="1">
        <f t="array" ref="I196">_xlfn.LET(
  _xlpm.colj, _xlfn._xlws.FILTER(IF(ISNUMBER(195:195), COLUMN(195:195)), ISNUMBER(195:195)),
  _xlpm.elos, INDEX(194:194,1,_xlpm.colj),
  _xlpm.diffscale, Constantes!$B$2,
  IF(I195="",
    "",
    SUM(1/(1+POWER(10,-(I194-_xlpm.elos)/_xlpm.diffscale)))-0.5)
)</f>
        <v/>
      </c>
      <c r="J196" t="str" cm="1">
        <f t="array" ref="J196">_xlfn.LET(
  _xlpm.colj, _xlfn._xlws.FILTER(IF(ISNUMBER(195:195), COLUMN(195:195)), ISNUMBER(195:195)),
  _xlpm.elos, INDEX(194:194,1,_xlpm.colj),
  _xlpm.diffscale, Constantes!$B$2,
  IF(J195="",
    "",
    SUM(1/(1+POWER(10,-(J194-_xlpm.elos)/_xlpm.diffscale)))-0.5)
)</f>
        <v/>
      </c>
      <c r="K196" t="str" cm="1">
        <f t="array" ref="K196">_xlfn.LET(
  _xlpm.colj, _xlfn._xlws.FILTER(IF(ISNUMBER(195:195), COLUMN(195:195)), ISNUMBER(195:195)),
  _xlpm.elos, INDEX(194:194,1,_xlpm.colj),
  _xlpm.diffscale, Constantes!$B$2,
  IF(K195="",
    "",
    SUM(1/(1+POWER(10,-(K194-_xlpm.elos)/_xlpm.diffscale)))-0.5)
)</f>
        <v/>
      </c>
      <c r="L196" cm="1">
        <f t="array" ref="L196">_xlfn.LET(
  _xlpm.colj, _xlfn._xlws.FILTER(IF(ISNUMBER(195:195), COLUMN(195:195)), ISNUMBER(195:195)),
  _xlpm.elos, INDEX(194:194,1,_xlpm.colj),
  _xlpm.diffscale, Constantes!$B$2,
  IF(L195="",
    "",
    SUM(1/(1+POWER(10,-(L194-_xlpm.elos)/_xlpm.diffscale)))-0.5)
)</f>
        <v>0.5845402362231531</v>
      </c>
      <c r="M196" t="str" cm="1">
        <f t="array" ref="M196">_xlfn.LET(
  _xlpm.colj, _xlfn._xlws.FILTER(IF(ISNUMBER(195:195), COLUMN(195:195)), ISNUMBER(195:195)),
  _xlpm.elos, INDEX(194:194,1,_xlpm.colj),
  _xlpm.diffscale, Constantes!$B$2,
  IF(M195="",
    "",
    SUM(1/(1+POWER(10,-(M194-_xlpm.elos)/_xlpm.diffscale)))-0.5)
)</f>
        <v/>
      </c>
      <c r="N196" t="str" cm="1">
        <f t="array" ref="N196">_xlfn.LET(
  _xlpm.colj, _xlfn._xlws.FILTER(IF(ISNUMBER(195:195), COLUMN(195:195)), ISNUMBER(195:195)),
  _xlpm.elos, INDEX(194:194,1,_xlpm.colj),
  _xlpm.diffscale, Constantes!$B$2,
  IF(N195="",
    "",
    SUM(1/(1+POWER(10,-(N194-_xlpm.elos)/_xlpm.diffscale)))-0.5)
)</f>
        <v/>
      </c>
      <c r="O196" t="str" cm="1">
        <f t="array" ref="O196">_xlfn.LET(
  _xlpm.colj, _xlfn._xlws.FILTER(IF(ISNUMBER(195:195), COLUMN(195:195)), ISNUMBER(195:195)),
  _xlpm.elos, INDEX(194:194,1,_xlpm.colj),
  _xlpm.diffscale, Constantes!$B$2,
  IF(O195="",
    "",
    SUM(1/(1+POWER(10,-(O194-_xlpm.elos)/_xlpm.diffscale)))-0.5)
)</f>
        <v/>
      </c>
      <c r="P196" t="str" cm="1">
        <f t="array" ref="P196">_xlfn.LET(
  _xlpm.colj, _xlfn._xlws.FILTER(IF(ISNUMBER(195:195), COLUMN(195:195)), ISNUMBER(195:195)),
  _xlpm.elos, INDEX(194:194,1,_xlpm.colj),
  _xlpm.diffscale, Constantes!$B$2,
  IF(P195="",
    "",
    SUM(1/(1+POWER(10,-(P194-_xlpm.elos)/_xlpm.diffscale)))-0.5)
)</f>
        <v/>
      </c>
      <c r="Q196" t="str" cm="1">
        <f t="array" ref="Q196">_xlfn.LET(
  _xlpm.colj, _xlfn._xlws.FILTER(IF(ISNUMBER(195:195), COLUMN(195:195)), ISNUMBER(195:195)),
  _xlpm.elos, INDEX(194:194,1,_xlpm.colj),
  _xlpm.diffscale, Constantes!$B$2,
  IF(Q195="",
    "",
    SUM(1/(1+POWER(10,-(Q194-_xlpm.elos)/_xlpm.diffscale)))-0.5)
)</f>
        <v/>
      </c>
      <c r="R196" t="str" cm="1">
        <f t="array" ref="R196">_xlfn.LET(
  _xlpm.colj, _xlfn._xlws.FILTER(IF(ISNUMBER(195:195), COLUMN(195:195)), ISNUMBER(195:195)),
  _xlpm.elos, INDEX(194:194,1,_xlpm.colj),
  _xlpm.diffscale, Constantes!$B$2,
  IF(R195="",
    "",
    SUM(1/(1+POWER(10,-(R194-_xlpm.elos)/_xlpm.diffscale)))-0.5)
)</f>
        <v/>
      </c>
      <c r="S196" t="str" cm="1">
        <f t="array" ref="S196">_xlfn.LET(
  _xlpm.colj, _xlfn._xlws.FILTER(IF(ISNUMBER(195:195), COLUMN(195:195)), ISNUMBER(195:195)),
  _xlpm.elos, INDEX(194:194,1,_xlpm.colj),
  _xlpm.diffscale, Constantes!$B$2,
  IF(S195="",
    "",
    SUM(1/(1+POWER(10,-(S194-_xlpm.elos)/_xlpm.diffscale)))-0.5)
)</f>
        <v/>
      </c>
      <c r="T196" t="str" cm="1">
        <f t="array" ref="T196">_xlfn.LET(
  _xlpm.colj, _xlfn._xlws.FILTER(IF(ISNUMBER(195:195), COLUMN(195:195)), ISNUMBER(195:195)),
  _xlpm.elos, INDEX(194:194,1,_xlpm.colj),
  _xlpm.diffscale, Constantes!$B$2,
  IF(T195="",
    "",
    SUM(1/(1+POWER(10,-(T194-_xlpm.elos)/_xlpm.diffscale)))-0.5)
)</f>
        <v/>
      </c>
      <c r="U196" cm="1">
        <f t="array" ref="U196">_xlfn.LET(
  _xlpm.colj, _xlfn._xlws.FILTER(IF(ISNUMBER(195:195), COLUMN(195:195)), ISNUMBER(195:195)),
  _xlpm.elos, INDEX(194:194,1,_xlpm.colj),
  _xlpm.diffscale, Constantes!$B$2,
  IF(U195="",
    "",
    SUM(1/(1+POWER(10,-(U194-_xlpm.elos)/_xlpm.diffscale)))-0.5)
)</f>
        <v>2.2656239581376698</v>
      </c>
      <c r="V196" t="str" cm="1">
        <f t="array" ref="V196">_xlfn.LET(
  _xlpm.colj, _xlfn._xlws.FILTER(IF(ISNUMBER(195:195), COLUMN(195:195)), ISNUMBER(195:195)),
  _xlpm.elos, INDEX(194:194,1,_xlpm.colj),
  _xlpm.diffscale, Constantes!$B$2,
  IF(V195="",
    "",
    SUM(1/(1+POWER(10,-(V194-_xlpm.elos)/_xlpm.diffscale)))-0.5)
)</f>
        <v/>
      </c>
      <c r="W196" t="str" cm="1">
        <f t="array" ref="W196">_xlfn.LET(
  _xlpm.colj, _xlfn._xlws.FILTER(IF(ISNUMBER(195:195), COLUMN(195:195)), ISNUMBER(195:195)),
  _xlpm.elos, INDEX(194:194,1,_xlpm.colj),
  _xlpm.diffscale, Constantes!$B$2,
  IF(W195="",
    "",
    SUM(1/(1+POWER(10,-(W194-_xlpm.elos)/_xlpm.diffscale)))-0.5)
)</f>
        <v/>
      </c>
      <c r="X196" t="str" cm="1">
        <f t="array" ref="X196">_xlfn.LET(
  _xlpm.colj, _xlfn._xlws.FILTER(IF(ISNUMBER(195:195), COLUMN(195:195)), ISNUMBER(195:195)),
  _xlpm.elos, INDEX(194:194,1,_xlpm.colj),
  _xlpm.diffscale, Constantes!$B$2,
  IF(X195="",
    "",
    SUM(1/(1+POWER(10,-(X194-_xlpm.elos)/_xlpm.diffscale)))-0.5)
)</f>
        <v/>
      </c>
      <c r="Y196" cm="1">
        <f t="array" ref="Y196">_xlfn.LET(
  _xlpm.colj, _xlfn._xlws.FILTER(IF(ISNUMBER(195:195), COLUMN(195:195)), ISNUMBER(195:195)),
  _xlpm.elos, INDEX(194:194,1,_xlpm.colj),
  _xlpm.diffscale, Constantes!$B$2,
  IF(Y195="",
    "",
    SUM(1/(1+POWER(10,-(Y194-_xlpm.elos)/_xlpm.diffscale)))-0.5)
)</f>
        <v>1.4493670123573157</v>
      </c>
      <c r="Z196" t="str" cm="1">
        <f t="array" ref="Z196">_xlfn.LET(
  _xlpm.colj, _xlfn._xlws.FILTER(IF(ISNUMBER(195:195), COLUMN(195:195)), ISNUMBER(195:195)),
  _xlpm.elos, INDEX(194:194,1,_xlpm.colj),
  _xlpm.diffscale, Constantes!$B$2,
  IF(Z195="",
    "",
    SUM(1/(1+POWER(10,-(Z194-_xlpm.elos)/_xlpm.diffscale)))-0.5)
)</f>
        <v/>
      </c>
      <c r="AA196" t="str" cm="1">
        <f t="array" ref="AA196">_xlfn.LET(
  _xlpm.colj, _xlfn._xlws.FILTER(IF(ISNUMBER(195:195), COLUMN(195:195)), ISNUMBER(195:195)),
  _xlpm.elos, INDEX(194:194,1,_xlpm.colj),
  _xlpm.diffscale, Constantes!$B$2,
  IF(AA195="",
    "",
    SUM(1/(1+POWER(10,-(AA194-_xlpm.elos)/_xlpm.diffscale)))-0.5)
)</f>
        <v/>
      </c>
      <c r="AB196" t="str" cm="1">
        <f t="array" ref="AB196">_xlfn.LET(
  _xlpm.colj, _xlfn._xlws.FILTER(IF(ISNUMBER(195:195), COLUMN(195:195)), ISNUMBER(195:195)),
  _xlpm.elos, INDEX(194:194,1,_xlpm.colj),
  _xlpm.diffscale, Constantes!$B$2,
  IF(AB195="",
    "",
    SUM(1/(1+POWER(10,-(AB194-_xlpm.elos)/_xlpm.diffscale)))-0.5)
)</f>
        <v/>
      </c>
      <c r="AC196" t="str" cm="1">
        <f t="array" ref="AC196">_xlfn.LET(
  _xlpm.colj, _xlfn._xlws.FILTER(IF(ISNUMBER(195:195), COLUMN(195:195)), ISNUMBER(195:195)),
  _xlpm.elos, INDEX(194:194,1,_xlpm.colj),
  _xlpm.diffscale, Constantes!$B$2,
  IF(AC195="",
    "",
    SUM(1/(1+POWER(10,-(AC194-_xlpm.elos)/_xlpm.diffscale)))-0.5)
)</f>
        <v/>
      </c>
      <c r="AD196" t="str" cm="1">
        <f t="array" ref="AD196">_xlfn.LET(
  _xlpm.colj, _xlfn._xlws.FILTER(IF(ISNUMBER(195:195), COLUMN(195:195)), ISNUMBER(195:195)),
  _xlpm.elos, INDEX(194:194,1,_xlpm.colj),
  _xlpm.diffscale, Constantes!$B$2,
  IF(AD195="",
    "",
    SUM(1/(1+POWER(10,-(AD194-_xlpm.elos)/_xlpm.diffscale)))-0.5)
)</f>
        <v/>
      </c>
      <c r="AE196" t="str" cm="1">
        <f t="array" ref="AE196">_xlfn.LET(
  _xlpm.colj, _xlfn._xlws.FILTER(IF(ISNUMBER(195:195), COLUMN(195:195)), ISNUMBER(195:195)),
  _xlpm.elos, INDEX(194:194,1,_xlpm.colj),
  _xlpm.diffscale, Constantes!$B$2,
  IF(AE195="",
    "",
    SUM(1/(1+POWER(10,-(AE194-_xlpm.elos)/_xlpm.diffscale)))-0.5)
)</f>
        <v/>
      </c>
      <c r="AF196" t="str" cm="1">
        <f t="array" ref="AF196">_xlfn.LET(
  _xlpm.colj, _xlfn._xlws.FILTER(IF(ISNUMBER(195:195), COLUMN(195:195)), ISNUMBER(195:195)),
  _xlpm.elos, INDEX(194:194,1,_xlpm.colj),
  _xlpm.diffscale, Constantes!$B$2,
  IF(AF195="",
    "",
    SUM(1/(1+POWER(10,-(AF194-_xlpm.elos)/_xlpm.diffscale)))-0.5)
)</f>
        <v/>
      </c>
      <c r="AG196" t="str" cm="1">
        <f t="array" ref="AG196">_xlfn.LET(
  _xlpm.colj, _xlfn._xlws.FILTER(IF(ISNUMBER(195:195), COLUMN(195:195)), ISNUMBER(195:195)),
  _xlpm.elos, INDEX(194:194,1,_xlpm.colj),
  _xlpm.diffscale, Constantes!$B$2,
  IF(AG195="",
    "",
    SUM(1/(1+POWER(10,-(AG194-_xlpm.elos)/_xlpm.diffscale)))-0.5)
)</f>
        <v/>
      </c>
      <c r="AH196" t="str" cm="1">
        <f t="array" ref="AH196">_xlfn.LET(
  _xlpm.colj, _xlfn._xlws.FILTER(IF(ISNUMBER(195:195), COLUMN(195:195)), ISNUMBER(195:195)),
  _xlpm.elos, INDEX(194:194,1,_xlpm.colj),
  _xlpm.diffscale, Constantes!$B$2,
  IF(AH195="",
    "",
    SUM(1/(1+POWER(10,-(AH194-_xlpm.elos)/_xlpm.diffscale)))-0.5)
)</f>
        <v/>
      </c>
      <c r="AI196" t="str" cm="1">
        <f t="array" ref="AI196">_xlfn.LET(
  _xlpm.colj, _xlfn._xlws.FILTER(IF(ISNUMBER(195:195), COLUMN(195:195)), ISNUMBER(195:195)),
  _xlpm.elos, INDEX(194:194,1,_xlpm.colj),
  _xlpm.diffscale, Constantes!$B$2,
  IF(AI195="",
    "",
    SUM(1/(1+POWER(10,-(AI194-_xlpm.elos)/_xlpm.diffscale)))-0.5)
)</f>
        <v/>
      </c>
      <c r="AJ196" t="str" cm="1">
        <f t="array" ref="AJ196">_xlfn.LET(
  _xlpm.colj, _xlfn._xlws.FILTER(IF(ISNUMBER(195:195), COLUMN(195:195)), ISNUMBER(195:195)),
  _xlpm.elos, INDEX(194:194,1,_xlpm.colj),
  _xlpm.diffscale, Constantes!$B$2,
  IF(AJ195="",
    "",
    SUM(1/(1+POWER(10,-(AJ194-_xlpm.elos)/_xlpm.diffscale)))-0.5)
)</f>
        <v/>
      </c>
      <c r="AK196" t="str" cm="1">
        <f t="array" ref="AK196">_xlfn.LET(
  _xlpm.colj, _xlfn._xlws.FILTER(IF(ISNUMBER(195:195), COLUMN(195:195)), ISNUMBER(195:195)),
  _xlpm.elos, INDEX(194:194,1,_xlpm.colj),
  _xlpm.diffscale, Constantes!$B$2,
  IF(AK195="",
    "",
    SUM(1/(1+POWER(10,-(AK194-_xlpm.elos)/_xlpm.diffscale)))-0.5)
)</f>
        <v/>
      </c>
      <c r="AL196" t="str" cm="1">
        <f t="array" ref="AL196">_xlfn.LET(
  _xlpm.colj, _xlfn._xlws.FILTER(IF(ISNUMBER(195:195), COLUMN(195:195)), ISNUMBER(195:195)),
  _xlpm.elos, INDEX(194:194,1,_xlpm.colj),
  _xlpm.diffscale, Constantes!$B$2,
  IF(AL195="",
    "",
    SUM(1/(1+POWER(10,-(AL194-_xlpm.elos)/_xlpm.diffscale)))-0.5)
)</f>
        <v/>
      </c>
      <c r="AM196" t="str" cm="1">
        <f t="array" ref="AM196">_xlfn.LET(
  _xlpm.colj, _xlfn._xlws.FILTER(IF(ISNUMBER(195:195), COLUMN(195:195)), ISNUMBER(195:195)),
  _xlpm.elos, INDEX(194:194,1,_xlpm.colj),
  _xlpm.diffscale, Constantes!$B$2,
  IF(AM195="",
    "",
    SUM(1/(1+POWER(10,-(AM194-_xlpm.elos)/_xlpm.diffscale)))-0.5)
)</f>
        <v/>
      </c>
    </row>
    <row r="197" spans="1:39" x14ac:dyDescent="0.25">
      <c r="A197" t="s">
        <v>22</v>
      </c>
      <c r="D197" t="str" cm="1">
        <f t="array" ref="D197">_xlfn.LET(
  _xlpm.K, Constantes!$B$3,
  _xlpm.Knewgain, Constantes!$B$4,
  _xlpm.Knewscale, Constantes!$B$5,
  _xlpm.ptstables, INDEX(D:D, _xlfn.SEQUENCE(COUNTA($C$2:$C197), 1, 3, 4)),
  _xlpm.nbparties, COUNTA(_xlfn._xlws.FILTER(_xlpm.ptstables, _xlpm.ptstables &lt;&gt; "")),
  _xlpm.coef, _xlpm.K + _xlpm.Knewgain / (_xlpm.Knewscale + _xlpm.nbparties),
  IF(D195="",
    "",
    _xlpm.coef * (D195-D196))
)</f>
        <v/>
      </c>
      <c r="E197" t="str" cm="1">
        <f t="array" ref="E197">_xlfn.LET(
  _xlpm.K, Constantes!$B$3,
  _xlpm.Knewgain, Constantes!$B$4,
  _xlpm.Knewscale, Constantes!$B$5,
  _xlpm.ptstables, INDEX(E:E, _xlfn.SEQUENCE(COUNTA($C$2:$C197), 1, 3, 4)),
  _xlpm.nbparties, COUNTA(_xlfn._xlws.FILTER(_xlpm.ptstables, _xlpm.ptstables &lt;&gt; "")),
  _xlpm.coef, _xlpm.K + _xlpm.Knewgain / (_xlpm.Knewscale + _xlpm.nbparties),
  IF(E195="",
    "",
    _xlpm.coef * (E195-E196))
)</f>
        <v/>
      </c>
      <c r="F197" t="str" cm="1">
        <f t="array" ref="F197">_xlfn.LET(
  _xlpm.K, Constantes!$B$3,
  _xlpm.Knewgain, Constantes!$B$4,
  _xlpm.Knewscale, Constantes!$B$5,
  _xlpm.ptstables, INDEX(F:F, _xlfn.SEQUENCE(COUNTA($C$2:$C197), 1, 3, 4)),
  _xlpm.nbparties, COUNTA(_xlfn._xlws.FILTER(_xlpm.ptstables, _xlpm.ptstables &lt;&gt; "")),
  _xlpm.coef, _xlpm.K + _xlpm.Knewgain / (_xlpm.Knewscale + _xlpm.nbparties),
  IF(F195="",
    "",
    _xlpm.coef * (F195-F196))
)</f>
        <v/>
      </c>
      <c r="G197" t="str" cm="1">
        <f t="array" ref="G197">_xlfn.LET(
  _xlpm.K, Constantes!$B$3,
  _xlpm.Knewgain, Constantes!$B$4,
  _xlpm.Knewscale, Constantes!$B$5,
  _xlpm.ptstables, INDEX(G:G, _xlfn.SEQUENCE(COUNTA($C$2:$C197), 1, 3, 4)),
  _xlpm.nbparties, COUNTA(_xlfn._xlws.FILTER(_xlpm.ptstables, _xlpm.ptstables &lt;&gt; "")),
  _xlpm.coef, _xlpm.K + _xlpm.Knewgain / (_xlpm.Knewscale + _xlpm.nbparties),
  IF(G195="",
    "",
    _xlpm.coef * (G195-G196))
)</f>
        <v/>
      </c>
      <c r="H197" cm="1">
        <f t="array" ref="H197">_xlfn.LET(
  _xlpm.K, Constantes!$B$3,
  _xlpm.Knewgain, Constantes!$B$4,
  _xlpm.Knewscale, Constantes!$B$5,
  _xlpm.ptstables, INDEX(H:H, _xlfn.SEQUENCE(COUNTA($C$2:$C197), 1, 3, 4)),
  _xlpm.nbparties, COUNTA(_xlfn._xlws.FILTER(_xlpm.ptstables, _xlpm.ptstables &lt;&gt; "")),
  _xlpm.coef, _xlpm.K + _xlpm.Knewgain / (_xlpm.Knewscale + _xlpm.nbparties),
  IF(H195="",
    "",
    _xlpm.coef * (H195-H196))
)</f>
        <v>7.654686393907987</v>
      </c>
      <c r="I197" t="str" cm="1">
        <f t="array" ref="I197">_xlfn.LET(
  _xlpm.K, Constantes!$B$3,
  _xlpm.Knewgain, Constantes!$B$4,
  _xlpm.Knewscale, Constantes!$B$5,
  _xlpm.ptstables, INDEX(I:I, _xlfn.SEQUENCE(COUNTA($C$2:$C197), 1, 3, 4)),
  _xlpm.nbparties, COUNTA(_xlfn._xlws.FILTER(_xlpm.ptstables, _xlpm.ptstables &lt;&gt; "")),
  _xlpm.coef, _xlpm.K + _xlpm.Knewgain / (_xlpm.Knewscale + _xlpm.nbparties),
  IF(I195="",
    "",
    _xlpm.coef * (I195-I196))
)</f>
        <v/>
      </c>
      <c r="J197" t="str" cm="1">
        <f t="array" ref="J197">_xlfn.LET(
  _xlpm.K, Constantes!$B$3,
  _xlpm.Knewgain, Constantes!$B$4,
  _xlpm.Knewscale, Constantes!$B$5,
  _xlpm.ptstables, INDEX(J:J, _xlfn.SEQUENCE(COUNTA($C$2:$C197), 1, 3, 4)),
  _xlpm.nbparties, COUNTA(_xlfn._xlws.FILTER(_xlpm.ptstables, _xlpm.ptstables &lt;&gt; "")),
  _xlpm.coef, _xlpm.K + _xlpm.Knewgain / (_xlpm.Knewscale + _xlpm.nbparties),
  IF(J195="",
    "",
    _xlpm.coef * (J195-J196))
)</f>
        <v/>
      </c>
      <c r="K197" t="str" cm="1">
        <f t="array" ref="K197">_xlfn.LET(
  _xlpm.K, Constantes!$B$3,
  _xlpm.Knewgain, Constantes!$B$4,
  _xlpm.Knewscale, Constantes!$B$5,
  _xlpm.ptstables, INDEX(K:K, _xlfn.SEQUENCE(COUNTA($C$2:$C197), 1, 3, 4)),
  _xlpm.nbparties, COUNTA(_xlfn._xlws.FILTER(_xlpm.ptstables, _xlpm.ptstables &lt;&gt; "")),
  _xlpm.coef, _xlpm.K + _xlpm.Knewgain / (_xlpm.Knewscale + _xlpm.nbparties),
  IF(K195="",
    "",
    _xlpm.coef * (K195-K196))
)</f>
        <v/>
      </c>
      <c r="L197" cm="1">
        <f t="array" ref="L197">_xlfn.LET(
  _xlpm.K, Constantes!$B$3,
  _xlpm.Knewgain, Constantes!$B$4,
  _xlpm.Knewscale, Constantes!$B$5,
  _xlpm.ptstables, INDEX(L:L, _xlfn.SEQUENCE(COUNTA($C$2:$C197), 1, 3, 4)),
  _xlpm.nbparties, COUNTA(_xlfn._xlws.FILTER(_xlpm.ptstables, _xlpm.ptstables &lt;&gt; "")),
  _xlpm.coef, _xlpm.K + _xlpm.Knewgain / (_xlpm.Knewscale + _xlpm.nbparties),
  IF(L195="",
    "",
    _xlpm.coef * (L195-L196))
)</f>
        <v>-15.866092126057012</v>
      </c>
      <c r="M197" t="str" cm="1">
        <f t="array" ref="M197">_xlfn.LET(
  _xlpm.K, Constantes!$B$3,
  _xlpm.Knewgain, Constantes!$B$4,
  _xlpm.Knewscale, Constantes!$B$5,
  _xlpm.ptstables, INDEX(M:M, _xlfn.SEQUENCE(COUNTA($C$2:$C197), 1, 3, 4)),
  _xlpm.nbparties, COUNTA(_xlfn._xlws.FILTER(_xlpm.ptstables, _xlpm.ptstables &lt;&gt; "")),
  _xlpm.coef, _xlpm.K + _xlpm.Knewgain / (_xlpm.Knewscale + _xlpm.nbparties),
  IF(M195="",
    "",
    _xlpm.coef * (M195-M196))
)</f>
        <v/>
      </c>
      <c r="N197" t="str" cm="1">
        <f t="array" ref="N197">_xlfn.LET(
  _xlpm.K, Constantes!$B$3,
  _xlpm.Knewgain, Constantes!$B$4,
  _xlpm.Knewscale, Constantes!$B$5,
  _xlpm.ptstables, INDEX(N:N, _xlfn.SEQUENCE(COUNTA($C$2:$C197), 1, 3, 4)),
  _xlpm.nbparties, COUNTA(_xlfn._xlws.FILTER(_xlpm.ptstables, _xlpm.ptstables &lt;&gt; "")),
  _xlpm.coef, _xlpm.K + _xlpm.Knewgain / (_xlpm.Knewscale + _xlpm.nbparties),
  IF(N195="",
    "",
    _xlpm.coef * (N195-N196))
)</f>
        <v/>
      </c>
      <c r="O197" t="str" cm="1">
        <f t="array" ref="O197">_xlfn.LET(
  _xlpm.K, Constantes!$B$3,
  _xlpm.Knewgain, Constantes!$B$4,
  _xlpm.Knewscale, Constantes!$B$5,
  _xlpm.ptstables, INDEX(O:O, _xlfn.SEQUENCE(COUNTA($C$2:$C197), 1, 3, 4)),
  _xlpm.nbparties, COUNTA(_xlfn._xlws.FILTER(_xlpm.ptstables, _xlpm.ptstables &lt;&gt; "")),
  _xlpm.coef, _xlpm.K + _xlpm.Knewgain / (_xlpm.Knewscale + _xlpm.nbparties),
  IF(O195="",
    "",
    _xlpm.coef * (O195-O196))
)</f>
        <v/>
      </c>
      <c r="P197" t="str" cm="1">
        <f t="array" ref="P197">_xlfn.LET(
  _xlpm.K, Constantes!$B$3,
  _xlpm.Knewgain, Constantes!$B$4,
  _xlpm.Knewscale, Constantes!$B$5,
  _xlpm.ptstables, INDEX(P:P, _xlfn.SEQUENCE(COUNTA($C$2:$C197), 1, 3, 4)),
  _xlpm.nbparties, COUNTA(_xlfn._xlws.FILTER(_xlpm.ptstables, _xlpm.ptstables &lt;&gt; "")),
  _xlpm.coef, _xlpm.K + _xlpm.Knewgain / (_xlpm.Knewscale + _xlpm.nbparties),
  IF(P195="",
    "",
    _xlpm.coef * (P195-P196))
)</f>
        <v/>
      </c>
      <c r="Q197" t="str" cm="1">
        <f t="array" ref="Q197">_xlfn.LET(
  _xlpm.K, Constantes!$B$3,
  _xlpm.Knewgain, Constantes!$B$4,
  _xlpm.Knewscale, Constantes!$B$5,
  _xlpm.ptstables, INDEX(Q:Q, _xlfn.SEQUENCE(COUNTA($C$2:$C197), 1, 3, 4)),
  _xlpm.nbparties, COUNTA(_xlfn._xlws.FILTER(_xlpm.ptstables, _xlpm.ptstables &lt;&gt; "")),
  _xlpm.coef, _xlpm.K + _xlpm.Knewgain / (_xlpm.Knewscale + _xlpm.nbparties),
  IF(Q195="",
    "",
    _xlpm.coef * (Q195-Q196))
)</f>
        <v/>
      </c>
      <c r="R197" t="str" cm="1">
        <f t="array" ref="R197">_xlfn.LET(
  _xlpm.K, Constantes!$B$3,
  _xlpm.Knewgain, Constantes!$B$4,
  _xlpm.Knewscale, Constantes!$B$5,
  _xlpm.ptstables, INDEX(R:R, _xlfn.SEQUENCE(COUNTA($C$2:$C197), 1, 3, 4)),
  _xlpm.nbparties, COUNTA(_xlfn._xlws.FILTER(_xlpm.ptstables, _xlpm.ptstables &lt;&gt; "")),
  _xlpm.coef, _xlpm.K + _xlpm.Knewgain / (_xlpm.Knewscale + _xlpm.nbparties),
  IF(R195="",
    "",
    _xlpm.coef * (R195-R196))
)</f>
        <v/>
      </c>
      <c r="S197" t="str" cm="1">
        <f t="array" ref="S197">_xlfn.LET(
  _xlpm.K, Constantes!$B$3,
  _xlpm.Knewgain, Constantes!$B$4,
  _xlpm.Knewscale, Constantes!$B$5,
  _xlpm.ptstables, INDEX(S:S, _xlfn.SEQUENCE(COUNTA($C$2:$C197), 1, 3, 4)),
  _xlpm.nbparties, COUNTA(_xlfn._xlws.FILTER(_xlpm.ptstables, _xlpm.ptstables &lt;&gt; "")),
  _xlpm.coef, _xlpm.K + _xlpm.Knewgain / (_xlpm.Knewscale + _xlpm.nbparties),
  IF(S195="",
    "",
    _xlpm.coef * (S195-S196))
)</f>
        <v/>
      </c>
      <c r="T197" t="str" cm="1">
        <f t="array" ref="T197">_xlfn.LET(
  _xlpm.K, Constantes!$B$3,
  _xlpm.Knewgain, Constantes!$B$4,
  _xlpm.Knewscale, Constantes!$B$5,
  _xlpm.ptstables, INDEX(T:T, _xlfn.SEQUENCE(COUNTA($C$2:$C197), 1, 3, 4)),
  _xlpm.nbparties, COUNTA(_xlfn._xlws.FILTER(_xlpm.ptstables, _xlpm.ptstables &lt;&gt; "")),
  _xlpm.coef, _xlpm.K + _xlpm.Knewgain / (_xlpm.Knewscale + _xlpm.nbparties),
  IF(T195="",
    "",
    _xlpm.coef * (T195-T196))
)</f>
        <v/>
      </c>
      <c r="U197" cm="1">
        <f t="array" ref="U197">_xlfn.LET(
  _xlpm.K, Constantes!$B$3,
  _xlpm.Knewgain, Constantes!$B$4,
  _xlpm.Knewscale, Constantes!$B$5,
  _xlpm.ptstables, INDEX(U:U, _xlfn.SEQUENCE(COUNTA($C$2:$C197), 1, 3, 4)),
  _xlpm.nbparties, COUNTA(_xlfn._xlws.FILTER(_xlpm.ptstables, _xlpm.ptstables &lt;&gt; "")),
  _xlpm.coef, _xlpm.K + _xlpm.Knewgain / (_xlpm.Knewscale + _xlpm.nbparties),
  IF(U195="",
    "",
    _xlpm.coef * (U195-U196))
)</f>
        <v>16.982445968066386</v>
      </c>
      <c r="V197" t="str" cm="1">
        <f t="array" ref="V197">_xlfn.LET(
  _xlpm.K, Constantes!$B$3,
  _xlpm.Knewgain, Constantes!$B$4,
  _xlpm.Knewscale, Constantes!$B$5,
  _xlpm.ptstables, INDEX(V:V, _xlfn.SEQUENCE(COUNTA($C$2:$C197), 1, 3, 4)),
  _xlpm.nbparties, COUNTA(_xlfn._xlws.FILTER(_xlpm.ptstables, _xlpm.ptstables &lt;&gt; "")),
  _xlpm.coef, _xlpm.K + _xlpm.Knewgain / (_xlpm.Knewscale + _xlpm.nbparties),
  IF(V195="",
    "",
    _xlpm.coef * (V195-V196))
)</f>
        <v/>
      </c>
      <c r="W197" t="str" cm="1">
        <f t="array" ref="W197">_xlfn.LET(
  _xlpm.K, Constantes!$B$3,
  _xlpm.Knewgain, Constantes!$B$4,
  _xlpm.Knewscale, Constantes!$B$5,
  _xlpm.ptstables, INDEX(W:W, _xlfn.SEQUENCE(COUNTA($C$2:$C197), 1, 3, 4)),
  _xlpm.nbparties, COUNTA(_xlfn._xlws.FILTER(_xlpm.ptstables, _xlpm.ptstables &lt;&gt; "")),
  _xlpm.coef, _xlpm.K + _xlpm.Knewgain / (_xlpm.Knewscale + _xlpm.nbparties),
  IF(W195="",
    "",
    _xlpm.coef * (W195-W196))
)</f>
        <v/>
      </c>
      <c r="X197" t="str" cm="1">
        <f t="array" ref="X197">_xlfn.LET(
  _xlpm.K, Constantes!$B$3,
  _xlpm.Knewgain, Constantes!$B$4,
  _xlpm.Knewscale, Constantes!$B$5,
  _xlpm.ptstables, INDEX(X:X, _xlfn.SEQUENCE(COUNTA($C$2:$C197), 1, 3, 4)),
  _xlpm.nbparties, COUNTA(_xlfn._xlws.FILTER(_xlpm.ptstables, _xlpm.ptstables &lt;&gt; "")),
  _xlpm.coef, _xlpm.K + _xlpm.Knewgain / (_xlpm.Knewscale + _xlpm.nbparties),
  IF(X195="",
    "",
    _xlpm.coef * (X195-X196))
)</f>
        <v/>
      </c>
      <c r="Y197" cm="1">
        <f t="array" ref="Y197">_xlfn.LET(
  _xlpm.K, Constantes!$B$3,
  _xlpm.Knewgain, Constantes!$B$4,
  _xlpm.Knewscale, Constantes!$B$5,
  _xlpm.ptstables, INDEX(Y:Y, _xlfn.SEQUENCE(COUNTA($C$2:$C197), 1, 3, 4)),
  _xlpm.nbparties, COUNTA(_xlfn._xlws.FILTER(_xlpm.ptstables, _xlpm.ptstables &lt;&gt; "")),
  _xlpm.coef, _xlpm.K + _xlpm.Knewgain / (_xlpm.Knewscale + _xlpm.nbparties),
  IF(Y195="",
    "",
    _xlpm.coef * (Y195-Y196))
)</f>
        <v>-11.234175308932892</v>
      </c>
      <c r="Z197" t="str" cm="1">
        <f t="array" ref="Z197">_xlfn.LET(
  _xlpm.K, Constantes!$B$3,
  _xlpm.Knewgain, Constantes!$B$4,
  _xlpm.Knewscale, Constantes!$B$5,
  _xlpm.ptstables, INDEX(Z:Z, _xlfn.SEQUENCE(COUNTA($C$2:$C197), 1, 3, 4)),
  _xlpm.nbparties, COUNTA(_xlfn._xlws.FILTER(_xlpm.ptstables, _xlpm.ptstables &lt;&gt; "")),
  _xlpm.coef, _xlpm.K + _xlpm.Knewgain / (_xlpm.Knewscale + _xlpm.nbparties),
  IF(Z195="",
    "",
    _xlpm.coef * (Z195-Z196))
)</f>
        <v/>
      </c>
      <c r="AA197" t="str" cm="1">
        <f t="array" ref="AA197">_xlfn.LET(
  _xlpm.K, Constantes!$B$3,
  _xlpm.Knewgain, Constantes!$B$4,
  _xlpm.Knewscale, Constantes!$B$5,
  _xlpm.ptstables, INDEX(AA:AA, _xlfn.SEQUENCE(COUNTA($C$2:$C197), 1, 3, 4)),
  _xlpm.nbparties, COUNTA(_xlfn._xlws.FILTER(_xlpm.ptstables, _xlpm.ptstables &lt;&gt; "")),
  _xlpm.coef, _xlpm.K + _xlpm.Knewgain / (_xlpm.Knewscale + _xlpm.nbparties),
  IF(AA195="",
    "",
    _xlpm.coef * (AA195-AA196))
)</f>
        <v/>
      </c>
      <c r="AB197" t="str" cm="1">
        <f t="array" ref="AB197">_xlfn.LET(
  _xlpm.K, Constantes!$B$3,
  _xlpm.Knewgain, Constantes!$B$4,
  _xlpm.Knewscale, Constantes!$B$5,
  _xlpm.ptstables, INDEX(AB:AB, _xlfn.SEQUENCE(COUNTA($C$2:$C197), 1, 3, 4)),
  _xlpm.nbparties, COUNTA(_xlfn._xlws.FILTER(_xlpm.ptstables, _xlpm.ptstables &lt;&gt; "")),
  _xlpm.coef, _xlpm.K + _xlpm.Knewgain / (_xlpm.Knewscale + _xlpm.nbparties),
  IF(AB195="",
    "",
    _xlpm.coef * (AB195-AB196))
)</f>
        <v/>
      </c>
      <c r="AC197" t="str" cm="1">
        <f t="array" ref="AC197">_xlfn.LET(
  _xlpm.K, Constantes!$B$3,
  _xlpm.Knewgain, Constantes!$B$4,
  _xlpm.Knewscale, Constantes!$B$5,
  _xlpm.ptstables, INDEX(AC:AC, _xlfn.SEQUENCE(COUNTA($C$2:$C197), 1, 3, 4)),
  _xlpm.nbparties, COUNTA(_xlfn._xlws.FILTER(_xlpm.ptstables, _xlpm.ptstables &lt;&gt; "")),
  _xlpm.coef, _xlpm.K + _xlpm.Knewgain / (_xlpm.Knewscale + _xlpm.nbparties),
  IF(AC195="",
    "",
    _xlpm.coef * (AC195-AC196))
)</f>
        <v/>
      </c>
      <c r="AD197" t="str" cm="1">
        <f t="array" ref="AD197">_xlfn.LET(
  _xlpm.K, Constantes!$B$3,
  _xlpm.Knewgain, Constantes!$B$4,
  _xlpm.Knewscale, Constantes!$B$5,
  _xlpm.ptstables, INDEX(AD:AD, _xlfn.SEQUENCE(COUNTA($C$2:$C197), 1, 3, 4)),
  _xlpm.nbparties, COUNTA(_xlfn._xlws.FILTER(_xlpm.ptstables, _xlpm.ptstables &lt;&gt; "")),
  _xlpm.coef, _xlpm.K + _xlpm.Knewgain / (_xlpm.Knewscale + _xlpm.nbparties),
  IF(AD195="",
    "",
    _xlpm.coef * (AD195-AD196))
)</f>
        <v/>
      </c>
      <c r="AE197" t="str" cm="1">
        <f t="array" ref="AE197">_xlfn.LET(
  _xlpm.K, Constantes!$B$3,
  _xlpm.Knewgain, Constantes!$B$4,
  _xlpm.Knewscale, Constantes!$B$5,
  _xlpm.ptstables, INDEX(AE:AE, _xlfn.SEQUENCE(COUNTA($C$2:$C197), 1, 3, 4)),
  _xlpm.nbparties, COUNTA(_xlfn._xlws.FILTER(_xlpm.ptstables, _xlpm.ptstables &lt;&gt; "")),
  _xlpm.coef, _xlpm.K + _xlpm.Knewgain / (_xlpm.Knewscale + _xlpm.nbparties),
  IF(AE195="",
    "",
    _xlpm.coef * (AE195-AE196))
)</f>
        <v/>
      </c>
      <c r="AF197" t="str" cm="1">
        <f t="array" ref="AF197">_xlfn.LET(
  _xlpm.K, Constantes!$B$3,
  _xlpm.Knewgain, Constantes!$B$4,
  _xlpm.Knewscale, Constantes!$B$5,
  _xlpm.ptstables, INDEX(AF:AF, _xlfn.SEQUENCE(COUNTA($C$2:$C197), 1, 3, 4)),
  _xlpm.nbparties, COUNTA(_xlfn._xlws.FILTER(_xlpm.ptstables, _xlpm.ptstables &lt;&gt; "")),
  _xlpm.coef, _xlpm.K + _xlpm.Knewgain / (_xlpm.Knewscale + _xlpm.nbparties),
  IF(AF195="",
    "",
    _xlpm.coef * (AF195-AF196))
)</f>
        <v/>
      </c>
      <c r="AG197" t="str" cm="1">
        <f t="array" ref="AG197">_xlfn.LET(
  _xlpm.K, Constantes!$B$3,
  _xlpm.Knewgain, Constantes!$B$4,
  _xlpm.Knewscale, Constantes!$B$5,
  _xlpm.ptstables, INDEX(AG:AG, _xlfn.SEQUENCE(COUNTA($C$2:$C197), 1, 3, 4)),
  _xlpm.nbparties, COUNTA(_xlfn._xlws.FILTER(_xlpm.ptstables, _xlpm.ptstables &lt;&gt; "")),
  _xlpm.coef, _xlpm.K + _xlpm.Knewgain / (_xlpm.Knewscale + _xlpm.nbparties),
  IF(AG195="",
    "",
    _xlpm.coef * (AG195-AG196))
)</f>
        <v/>
      </c>
      <c r="AH197" t="str" cm="1">
        <f t="array" ref="AH197">_xlfn.LET(
  _xlpm.K, Constantes!$B$3,
  _xlpm.Knewgain, Constantes!$B$4,
  _xlpm.Knewscale, Constantes!$B$5,
  _xlpm.ptstables, INDEX(AH:AH, _xlfn.SEQUENCE(COUNTA($C$2:$C197), 1, 3, 4)),
  _xlpm.nbparties, COUNTA(_xlfn._xlws.FILTER(_xlpm.ptstables, _xlpm.ptstables &lt;&gt; "")),
  _xlpm.coef, _xlpm.K + _xlpm.Knewgain / (_xlpm.Knewscale + _xlpm.nbparties),
  IF(AH195="",
    "",
    _xlpm.coef * (AH195-AH196))
)</f>
        <v/>
      </c>
      <c r="AI197" t="str" cm="1">
        <f t="array" ref="AI197">_xlfn.LET(
  _xlpm.K, Constantes!$B$3,
  _xlpm.Knewgain, Constantes!$B$4,
  _xlpm.Knewscale, Constantes!$B$5,
  _xlpm.ptstables, INDEX(AI:AI, _xlfn.SEQUENCE(COUNTA($C$2:$C197), 1, 3, 4)),
  _xlpm.nbparties, COUNTA(_xlfn._xlws.FILTER(_xlpm.ptstables, _xlpm.ptstables &lt;&gt; "")),
  _xlpm.coef, _xlpm.K + _xlpm.Knewgain / (_xlpm.Knewscale + _xlpm.nbparties),
  IF(AI195="",
    "",
    _xlpm.coef * (AI195-AI196))
)</f>
        <v/>
      </c>
      <c r="AJ197" t="str" cm="1">
        <f t="array" ref="AJ197">_xlfn.LET(
  _xlpm.K, Constantes!$B$3,
  _xlpm.Knewgain, Constantes!$B$4,
  _xlpm.Knewscale, Constantes!$B$5,
  _xlpm.ptstables, INDEX(AJ:AJ, _xlfn.SEQUENCE(COUNTA($C$2:$C197), 1, 3, 4)),
  _xlpm.nbparties, COUNTA(_xlfn._xlws.FILTER(_xlpm.ptstables, _xlpm.ptstables &lt;&gt; "")),
  _xlpm.coef, _xlpm.K + _xlpm.Knewgain / (_xlpm.Knewscale + _xlpm.nbparties),
  IF(AJ195="",
    "",
    _xlpm.coef * (AJ195-AJ196))
)</f>
        <v/>
      </c>
      <c r="AK197" t="str" cm="1">
        <f t="array" ref="AK197">_xlfn.LET(
  _xlpm.K, Constantes!$B$3,
  _xlpm.Knewgain, Constantes!$B$4,
  _xlpm.Knewscale, Constantes!$B$5,
  _xlpm.ptstables, INDEX(AK:AK, _xlfn.SEQUENCE(COUNTA($C$2:$C197), 1, 3, 4)),
  _xlpm.nbparties, COUNTA(_xlfn._xlws.FILTER(_xlpm.ptstables, _xlpm.ptstables &lt;&gt; "")),
  _xlpm.coef, _xlpm.K + _xlpm.Knewgain / (_xlpm.Knewscale + _xlpm.nbparties),
  IF(AK195="",
    "",
    _xlpm.coef * (AK195-AK196))
)</f>
        <v/>
      </c>
      <c r="AL197" t="str" cm="1">
        <f t="array" ref="AL197">_xlfn.LET(
  _xlpm.K, Constantes!$B$3,
  _xlpm.Knewgain, Constantes!$B$4,
  _xlpm.Knewscale, Constantes!$B$5,
  _xlpm.ptstables, INDEX(AL:AL, _xlfn.SEQUENCE(COUNTA($C$2:$C197), 1, 3, 4)),
  _xlpm.nbparties, COUNTA(_xlfn._xlws.FILTER(_xlpm.ptstables, _xlpm.ptstables &lt;&gt; "")),
  _xlpm.coef, _xlpm.K + _xlpm.Knewgain / (_xlpm.Knewscale + _xlpm.nbparties),
  IF(AL195="",
    "",
    _xlpm.coef * (AL195-AL196))
)</f>
        <v/>
      </c>
      <c r="AM197" t="str" cm="1">
        <f t="array" ref="AM197">_xlfn.LET(
  _xlpm.K, Constantes!$B$3,
  _xlpm.Knewgain, Constantes!$B$4,
  _xlpm.Knewscale, Constantes!$B$5,
  _xlpm.ptstables, INDEX(AM:AM, _xlfn.SEQUENCE(COUNTA($C$2:$C197), 1, 3, 4)),
  _xlpm.nbparties, COUNTA(_xlfn._xlws.FILTER(_xlpm.ptstables, _xlpm.ptstables &lt;&gt; "")),
  _xlpm.coef, _xlpm.K + _xlpm.Knewgain / (_xlpm.Knewscale + _xlpm.nbparties),
  IF(AM195="",
    "",
    _xlpm.coef * (AM195-AM196))
)</f>
        <v/>
      </c>
    </row>
    <row r="198" spans="1:39" x14ac:dyDescent="0.25">
      <c r="A198" t="s">
        <v>14</v>
      </c>
      <c r="B198" t="str" cm="1">
        <f t="array" ref="B19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53</v>
      </c>
      <c r="C198" s="2" cm="1">
        <f t="array" ref="C198">IF(B198="","",
  INDEX(Donnees!F:F, MATCH(B198, Donnees!F:F, 0)+1))</f>
        <v>45934.614895833336</v>
      </c>
      <c r="D198">
        <f t="shared" ref="D198:AM198" si="57">D194+IF(D197="",0,D197)</f>
        <v>1102.9314752305681</v>
      </c>
      <c r="E198">
        <f t="shared" si="57"/>
        <v>1124.3346500367093</v>
      </c>
      <c r="F198">
        <f t="shared" si="57"/>
        <v>861.02806342581061</v>
      </c>
      <c r="G198">
        <f t="shared" si="57"/>
        <v>1069.5689729213505</v>
      </c>
      <c r="H198">
        <f t="shared" si="57"/>
        <v>1041.4828877801035</v>
      </c>
      <c r="I198">
        <f t="shared" si="57"/>
        <v>995.9272830555808</v>
      </c>
      <c r="J198">
        <f t="shared" si="57"/>
        <v>938.49433816478961</v>
      </c>
      <c r="K198">
        <f t="shared" si="57"/>
        <v>931.90645128532537</v>
      </c>
      <c r="L198">
        <f t="shared" si="57"/>
        <v>785.6233342249418</v>
      </c>
      <c r="M198">
        <f t="shared" si="57"/>
        <v>913.41986361738122</v>
      </c>
      <c r="N198">
        <f t="shared" si="57"/>
        <v>903.87102074645099</v>
      </c>
      <c r="O198">
        <f t="shared" si="57"/>
        <v>1005.4306950475848</v>
      </c>
      <c r="P198">
        <f t="shared" si="57"/>
        <v>1005.4229961505649</v>
      </c>
      <c r="Q198">
        <f t="shared" si="57"/>
        <v>1050.7184918608298</v>
      </c>
      <c r="R198">
        <f t="shared" si="57"/>
        <v>1180.6586778030673</v>
      </c>
      <c r="S198">
        <f t="shared" si="57"/>
        <v>857.40589081234418</v>
      </c>
      <c r="T198">
        <f t="shared" si="57"/>
        <v>1135.2782658680615</v>
      </c>
      <c r="U198">
        <f t="shared" si="57"/>
        <v>1167.4787998207285</v>
      </c>
      <c r="V198">
        <f t="shared" si="57"/>
        <v>961.58818235691967</v>
      </c>
      <c r="W198">
        <f t="shared" si="57"/>
        <v>936.79085942937002</v>
      </c>
      <c r="X198">
        <f t="shared" si="57"/>
        <v>822.49182421843079</v>
      </c>
      <c r="Y198">
        <f t="shared" si="57"/>
        <v>973.44788072280835</v>
      </c>
      <c r="Z198">
        <f t="shared" si="57"/>
        <v>991.11904139672549</v>
      </c>
      <c r="AA198">
        <f t="shared" si="57"/>
        <v>930.6732002028948</v>
      </c>
      <c r="AB198">
        <f t="shared" si="57"/>
        <v>988.35669729544747</v>
      </c>
      <c r="AC198">
        <f t="shared" si="57"/>
        <v>1046.8071957095806</v>
      </c>
      <c r="AD198">
        <f t="shared" si="57"/>
        <v>1012.3923743834587</v>
      </c>
      <c r="AE198">
        <f t="shared" si="57"/>
        <v>1011.415</v>
      </c>
      <c r="AF198">
        <f t="shared" si="57"/>
        <v>1031.1199999999999</v>
      </c>
      <c r="AG198">
        <f t="shared" si="57"/>
        <v>1001.0350000000001</v>
      </c>
      <c r="AH198">
        <f t="shared" si="57"/>
        <v>994.44</v>
      </c>
      <c r="AI198">
        <f t="shared" si="57"/>
        <v>1000</v>
      </c>
      <c r="AJ198">
        <f t="shared" si="57"/>
        <v>957.2</v>
      </c>
      <c r="AK198">
        <f t="shared" si="57"/>
        <v>1000</v>
      </c>
      <c r="AL198">
        <f t="shared" si="57"/>
        <v>1055.9299999999998</v>
      </c>
      <c r="AM198">
        <f t="shared" si="57"/>
        <v>1000</v>
      </c>
    </row>
    <row r="199" spans="1:39" x14ac:dyDescent="0.25">
      <c r="A199" t="s">
        <v>21</v>
      </c>
      <c r="D199" t="str" cm="1">
        <f t="array" ref="D199">IFERROR(
  _xlfn.LET(
    _xlpm.ligpartie, MATCH($B198, Donnees!$F:$F, 0),
    _xlpm.joueurs, INDEX(Donnees!$A:$Z, _xlpm.ligpartie+1, _xlfn.SEQUENCE(1, 4, 2)),
    INDEX(
      Donnees!$A:$Z,
      _xlpm.ligpartie + 3,
      MATCH(D$1, _xlpm.joueurs, 0) + 1
    )
  ), ""
)</f>
        <v/>
      </c>
      <c r="E199" t="str" cm="1">
        <f t="array" ref="E199">IFERROR(
  _xlfn.LET(
    _xlpm.ligpartie, MATCH($B198, Donnees!$F:$F, 0),
    _xlpm.joueurs, INDEX(Donnees!$A:$Z, _xlpm.ligpartie+1, _xlfn.SEQUENCE(1, 4, 2)),
    INDEX(
      Donnees!$A:$Z,
      _xlpm.ligpartie + 3,
      MATCH(E$1, _xlpm.joueurs, 0) + 1
    )
  ), ""
)</f>
        <v/>
      </c>
      <c r="F199" t="str" cm="1">
        <f t="array" ref="F199">IFERROR(
  _xlfn.LET(
    _xlpm.ligpartie, MATCH($B198, Donnees!$F:$F, 0),
    _xlpm.joueurs, INDEX(Donnees!$A:$Z, _xlpm.ligpartie+1, _xlfn.SEQUENCE(1, 4, 2)),
    INDEX(
      Donnees!$A:$Z,
      _xlpm.ligpartie + 3,
      MATCH(F$1, _xlpm.joueurs, 0) + 1
    )
  ), ""
)</f>
        <v/>
      </c>
      <c r="G199" cm="1">
        <f t="array" ref="G199">IFERROR(
  _xlfn.LET(
    _xlpm.ligpartie, MATCH($B198, Donnees!$F:$F, 0),
    _xlpm.joueurs, INDEX(Donnees!$A:$Z, _xlpm.ligpartie+1, _xlfn.SEQUENCE(1, 4, 2)),
    INDEX(
      Donnees!$A:$Z,
      _xlpm.ligpartie + 3,
      MATCH(G$1, _xlpm.joueurs, 0) + 1
    )
  ), ""
)</f>
        <v>1</v>
      </c>
      <c r="H199" t="str" cm="1">
        <f t="array" ref="H199">IFERROR(
  _xlfn.LET(
    _xlpm.ligpartie, MATCH($B198, Donnees!$F:$F, 0),
    _xlpm.joueurs, INDEX(Donnees!$A:$Z, _xlpm.ligpartie+1, _xlfn.SEQUENCE(1, 4, 2)),
    INDEX(
      Donnees!$A:$Z,
      _xlpm.ligpartie + 3,
      MATCH(H$1, _xlpm.joueurs, 0) + 1
    )
  ), ""
)</f>
        <v/>
      </c>
      <c r="I199" cm="1">
        <f t="array" ref="I199">IFERROR(
  _xlfn.LET(
    _xlpm.ligpartie, MATCH($B198, Donnees!$F:$F, 0),
    _xlpm.joueurs, INDEX(Donnees!$A:$Z, _xlpm.ligpartie+1, _xlfn.SEQUENCE(1, 4, 2)),
    INDEX(
      Donnees!$A:$Z,
      _xlpm.ligpartie + 3,
      MATCH(I$1, _xlpm.joueurs, 0) + 1
    )
  ), ""
)</f>
        <v>0</v>
      </c>
      <c r="J199" t="str" cm="1">
        <f t="array" ref="J199">IFERROR(
  _xlfn.LET(
    _xlpm.ligpartie, MATCH($B198, Donnees!$F:$F, 0),
    _xlpm.joueurs, INDEX(Donnees!$A:$Z, _xlpm.ligpartie+1, _xlfn.SEQUENCE(1, 4, 2)),
    INDEX(
      Donnees!$A:$Z,
      _xlpm.ligpartie + 3,
      MATCH(J$1, _xlpm.joueurs, 0) + 1
    )
  ), ""
)</f>
        <v/>
      </c>
      <c r="K199" cm="1">
        <f t="array" ref="K199">IFERROR(
  _xlfn.LET(
    _xlpm.ligpartie, MATCH($B198, Donnees!$F:$F, 0),
    _xlpm.joueurs, INDEX(Donnees!$A:$Z, _xlpm.ligpartie+1, _xlfn.SEQUENCE(1, 4, 2)),
    INDEX(
      Donnees!$A:$Z,
      _xlpm.ligpartie + 3,
      MATCH(K$1, _xlpm.joueurs, 0) + 1
    )
  ), ""
)</f>
        <v>2</v>
      </c>
      <c r="L199" t="str" cm="1">
        <f t="array" ref="L199">IFERROR(
  _xlfn.LET(
    _xlpm.ligpartie, MATCH($B198, Donnees!$F:$F, 0),
    _xlpm.joueurs, INDEX(Donnees!$A:$Z, _xlpm.ligpartie+1, _xlfn.SEQUENCE(1, 4, 2)),
    INDEX(
      Donnees!$A:$Z,
      _xlpm.ligpartie + 3,
      MATCH(L$1, _xlpm.joueurs, 0) + 1
    )
  ), ""
)</f>
        <v/>
      </c>
      <c r="M199" t="str" cm="1">
        <f t="array" ref="M199">IFERROR(
  _xlfn.LET(
    _xlpm.ligpartie, MATCH($B198, Donnees!$F:$F, 0),
    _xlpm.joueurs, INDEX(Donnees!$A:$Z, _xlpm.ligpartie+1, _xlfn.SEQUENCE(1, 4, 2)),
    INDEX(
      Donnees!$A:$Z,
      _xlpm.ligpartie + 3,
      MATCH(M$1, _xlpm.joueurs, 0) + 1
    )
  ), ""
)</f>
        <v/>
      </c>
      <c r="N199" t="str" cm="1">
        <f t="array" ref="N199">IFERROR(
  _xlfn.LET(
    _xlpm.ligpartie, MATCH($B198, Donnees!$F:$F, 0),
    _xlpm.joueurs, INDEX(Donnees!$A:$Z, _xlpm.ligpartie+1, _xlfn.SEQUENCE(1, 4, 2)),
    INDEX(
      Donnees!$A:$Z,
      _xlpm.ligpartie + 3,
      MATCH(N$1, _xlpm.joueurs, 0) + 1
    )
  ), ""
)</f>
        <v/>
      </c>
      <c r="O199" t="str" cm="1">
        <f t="array" ref="O199">IFERROR(
  _xlfn.LET(
    _xlpm.ligpartie, MATCH($B198, Donnees!$F:$F, 0),
    _xlpm.joueurs, INDEX(Donnees!$A:$Z, _xlpm.ligpartie+1, _xlfn.SEQUENCE(1, 4, 2)),
    INDEX(
      Donnees!$A:$Z,
      _xlpm.ligpartie + 3,
      MATCH(O$1, _xlpm.joueurs, 0) + 1
    )
  ), ""
)</f>
        <v/>
      </c>
      <c r="P199" t="str" cm="1">
        <f t="array" ref="P199">IFERROR(
  _xlfn.LET(
    _xlpm.ligpartie, MATCH($B198, Donnees!$F:$F, 0),
    _xlpm.joueurs, INDEX(Donnees!$A:$Z, _xlpm.ligpartie+1, _xlfn.SEQUENCE(1, 4, 2)),
    INDEX(
      Donnees!$A:$Z,
      _xlpm.ligpartie + 3,
      MATCH(P$1, _xlpm.joueurs, 0) + 1
    )
  ), ""
)</f>
        <v/>
      </c>
      <c r="Q199" t="str" cm="1">
        <f t="array" ref="Q199">IFERROR(
  _xlfn.LET(
    _xlpm.ligpartie, MATCH($B198, Donnees!$F:$F, 0),
    _xlpm.joueurs, INDEX(Donnees!$A:$Z, _xlpm.ligpartie+1, _xlfn.SEQUENCE(1, 4, 2)),
    INDEX(
      Donnees!$A:$Z,
      _xlpm.ligpartie + 3,
      MATCH(Q$1, _xlpm.joueurs, 0) + 1
    )
  ), ""
)</f>
        <v/>
      </c>
      <c r="R199" t="str" cm="1">
        <f t="array" ref="R199">IFERROR(
  _xlfn.LET(
    _xlpm.ligpartie, MATCH($B198, Donnees!$F:$F, 0),
    _xlpm.joueurs, INDEX(Donnees!$A:$Z, _xlpm.ligpartie+1, _xlfn.SEQUENCE(1, 4, 2)),
    INDEX(
      Donnees!$A:$Z,
      _xlpm.ligpartie + 3,
      MATCH(R$1, _xlpm.joueurs, 0) + 1
    )
  ), ""
)</f>
        <v/>
      </c>
      <c r="S199" t="str" cm="1">
        <f t="array" ref="S199">IFERROR(
  _xlfn.LET(
    _xlpm.ligpartie, MATCH($B198, Donnees!$F:$F, 0),
    _xlpm.joueurs, INDEX(Donnees!$A:$Z, _xlpm.ligpartie+1, _xlfn.SEQUENCE(1, 4, 2)),
    INDEX(
      Donnees!$A:$Z,
      _xlpm.ligpartie + 3,
      MATCH(S$1, _xlpm.joueurs, 0) + 1
    )
  ), ""
)</f>
        <v/>
      </c>
      <c r="T199" t="str" cm="1">
        <f t="array" ref="T199">IFERROR(
  _xlfn.LET(
    _xlpm.ligpartie, MATCH($B198, Donnees!$F:$F, 0),
    _xlpm.joueurs, INDEX(Donnees!$A:$Z, _xlpm.ligpartie+1, _xlfn.SEQUENCE(1, 4, 2)),
    INDEX(
      Donnees!$A:$Z,
      _xlpm.ligpartie + 3,
      MATCH(T$1, _xlpm.joueurs, 0) + 1
    )
  ), ""
)</f>
        <v/>
      </c>
      <c r="U199" t="str" cm="1">
        <f t="array" ref="U199">IFERROR(
  _xlfn.LET(
    _xlpm.ligpartie, MATCH($B198, Donnees!$F:$F, 0),
    _xlpm.joueurs, INDEX(Donnees!$A:$Z, _xlpm.ligpartie+1, _xlfn.SEQUENCE(1, 4, 2)),
    INDEX(
      Donnees!$A:$Z,
      _xlpm.ligpartie + 3,
      MATCH(U$1, _xlpm.joueurs, 0) + 1
    )
  ), ""
)</f>
        <v/>
      </c>
      <c r="V199" t="str" cm="1">
        <f t="array" ref="V199">IFERROR(
  _xlfn.LET(
    _xlpm.ligpartie, MATCH($B198, Donnees!$F:$F, 0),
    _xlpm.joueurs, INDEX(Donnees!$A:$Z, _xlpm.ligpartie+1, _xlfn.SEQUENCE(1, 4, 2)),
    INDEX(
      Donnees!$A:$Z,
      _xlpm.ligpartie + 3,
      MATCH(V$1, _xlpm.joueurs, 0) + 1
    )
  ), ""
)</f>
        <v/>
      </c>
      <c r="W199" t="str" cm="1">
        <f t="array" ref="W199">IFERROR(
  _xlfn.LET(
    _xlpm.ligpartie, MATCH($B198, Donnees!$F:$F, 0),
    _xlpm.joueurs, INDEX(Donnees!$A:$Z, _xlpm.ligpartie+1, _xlfn.SEQUENCE(1, 4, 2)),
    INDEX(
      Donnees!$A:$Z,
      _xlpm.ligpartie + 3,
      MATCH(W$1, _xlpm.joueurs, 0) + 1
    )
  ), ""
)</f>
        <v/>
      </c>
      <c r="X199" t="str" cm="1">
        <f t="array" ref="X199">IFERROR(
  _xlfn.LET(
    _xlpm.ligpartie, MATCH($B198, Donnees!$F:$F, 0),
    _xlpm.joueurs, INDEX(Donnees!$A:$Z, _xlpm.ligpartie+1, _xlfn.SEQUENCE(1, 4, 2)),
    INDEX(
      Donnees!$A:$Z,
      _xlpm.ligpartie + 3,
      MATCH(X$1, _xlpm.joueurs, 0) + 1
    )
  ), ""
)</f>
        <v/>
      </c>
      <c r="Y199" t="str" cm="1">
        <f t="array" ref="Y199">IFERROR(
  _xlfn.LET(
    _xlpm.ligpartie, MATCH($B198, Donnees!$F:$F, 0),
    _xlpm.joueurs, INDEX(Donnees!$A:$Z, _xlpm.ligpartie+1, _xlfn.SEQUENCE(1, 4, 2)),
    INDEX(
      Donnees!$A:$Z,
      _xlpm.ligpartie + 3,
      MATCH(Y$1, _xlpm.joueurs, 0) + 1
    )
  ), ""
)</f>
        <v/>
      </c>
      <c r="Z199" t="str" cm="1">
        <f t="array" ref="Z199">IFERROR(
  _xlfn.LET(
    _xlpm.ligpartie, MATCH($B198, Donnees!$F:$F, 0),
    _xlpm.joueurs, INDEX(Donnees!$A:$Z, _xlpm.ligpartie+1, _xlfn.SEQUENCE(1, 4, 2)),
    INDEX(
      Donnees!$A:$Z,
      _xlpm.ligpartie + 3,
      MATCH(Z$1, _xlpm.joueurs, 0) + 1
    )
  ), ""
)</f>
        <v/>
      </c>
      <c r="AA199" t="str" cm="1">
        <f t="array" ref="AA199">IFERROR(
  _xlfn.LET(
    _xlpm.ligpartie, MATCH($B198, Donnees!$F:$F, 0),
    _xlpm.joueurs, INDEX(Donnees!$A:$Z, _xlpm.ligpartie+1, _xlfn.SEQUENCE(1, 4, 2)),
    INDEX(
      Donnees!$A:$Z,
      _xlpm.ligpartie + 3,
      MATCH(AA$1, _xlpm.joueurs, 0) + 1
    )
  ), ""
)</f>
        <v/>
      </c>
      <c r="AB199" t="str" cm="1">
        <f t="array" ref="AB199">IFERROR(
  _xlfn.LET(
    _xlpm.ligpartie, MATCH($B198, Donnees!$F:$F, 0),
    _xlpm.joueurs, INDEX(Donnees!$A:$Z, _xlpm.ligpartie+1, _xlfn.SEQUENCE(1, 4, 2)),
    INDEX(
      Donnees!$A:$Z,
      _xlpm.ligpartie + 3,
      MATCH(AB$1, _xlpm.joueurs, 0) + 1
    )
  ), ""
)</f>
        <v/>
      </c>
      <c r="AC199" cm="1">
        <f t="array" ref="AC199">IFERROR(
  _xlfn.LET(
    _xlpm.ligpartie, MATCH($B198, Donnees!$F:$F, 0),
    _xlpm.joueurs, INDEX(Donnees!$A:$Z, _xlpm.ligpartie+1, _xlfn.SEQUENCE(1, 4, 2)),
    INDEX(
      Donnees!$A:$Z,
      _xlpm.ligpartie + 3,
      MATCH(AC$1, _xlpm.joueurs, 0) + 1
    )
  ), ""
)</f>
        <v>3</v>
      </c>
      <c r="AD199" t="str" cm="1">
        <f t="array" ref="AD199">IFERROR(
  _xlfn.LET(
    _xlpm.ligpartie, MATCH($B198, Donnees!$F:$F, 0),
    _xlpm.joueurs, INDEX(Donnees!$A:$Z, _xlpm.ligpartie+1, _xlfn.SEQUENCE(1, 4, 2)),
    INDEX(
      Donnees!$A:$Z,
      _xlpm.ligpartie + 3,
      MATCH(AD$1, _xlpm.joueurs, 0) + 1
    )
  ), ""
)</f>
        <v/>
      </c>
      <c r="AE199" t="str" cm="1">
        <f t="array" ref="AE199">IFERROR(
  _xlfn.LET(
    _xlpm.ligpartie, MATCH($B198, Donnees!$F:$F, 0),
    _xlpm.joueurs, INDEX(Donnees!$A:$Z, _xlpm.ligpartie+1, _xlfn.SEQUENCE(1, 4, 2)),
    INDEX(
      Donnees!$A:$Z,
      _xlpm.ligpartie + 3,
      MATCH(AE$1, _xlpm.joueurs, 0) + 1
    )
  ), ""
)</f>
        <v/>
      </c>
      <c r="AF199" t="str" cm="1">
        <f t="array" ref="AF199">IFERROR(
  _xlfn.LET(
    _xlpm.ligpartie, MATCH($B198, Donnees!$F:$F, 0),
    _xlpm.joueurs, INDEX(Donnees!$A:$Z, _xlpm.ligpartie+1, _xlfn.SEQUENCE(1, 4, 2)),
    INDEX(
      Donnees!$A:$Z,
      _xlpm.ligpartie + 3,
      MATCH(AF$1, _xlpm.joueurs, 0) + 1
    )
  ), ""
)</f>
        <v/>
      </c>
      <c r="AG199" t="str" cm="1">
        <f t="array" ref="AG199">IFERROR(
  _xlfn.LET(
    _xlpm.ligpartie, MATCH($B198, Donnees!$F:$F, 0),
    _xlpm.joueurs, INDEX(Donnees!$A:$Z, _xlpm.ligpartie+1, _xlfn.SEQUENCE(1, 4, 2)),
    INDEX(
      Donnees!$A:$Z,
      _xlpm.ligpartie + 3,
      MATCH(AG$1, _xlpm.joueurs, 0) + 1
    )
  ), ""
)</f>
        <v/>
      </c>
      <c r="AH199" t="str" cm="1">
        <f t="array" ref="AH199">IFERROR(
  _xlfn.LET(
    _xlpm.ligpartie, MATCH($B198, Donnees!$F:$F, 0),
    _xlpm.joueurs, INDEX(Donnees!$A:$Z, _xlpm.ligpartie+1, _xlfn.SEQUENCE(1, 4, 2)),
    INDEX(
      Donnees!$A:$Z,
      _xlpm.ligpartie + 3,
      MATCH(AH$1, _xlpm.joueurs, 0) + 1
    )
  ), ""
)</f>
        <v/>
      </c>
      <c r="AI199" t="str" cm="1">
        <f t="array" ref="AI199">IFERROR(
  _xlfn.LET(
    _xlpm.ligpartie, MATCH($B198, Donnees!$F:$F, 0),
    _xlpm.joueurs, INDEX(Donnees!$A:$Z, _xlpm.ligpartie+1, _xlfn.SEQUENCE(1, 4, 2)),
    INDEX(
      Donnees!$A:$Z,
      _xlpm.ligpartie + 3,
      MATCH(AI$1, _xlpm.joueurs, 0) + 1
    )
  ), ""
)</f>
        <v/>
      </c>
      <c r="AJ199" t="str" cm="1">
        <f t="array" ref="AJ199">IFERROR(
  _xlfn.LET(
    _xlpm.ligpartie, MATCH($B198, Donnees!$F:$F, 0),
    _xlpm.joueurs, INDEX(Donnees!$A:$Z, _xlpm.ligpartie+1, _xlfn.SEQUENCE(1, 4, 2)),
    INDEX(
      Donnees!$A:$Z,
      _xlpm.ligpartie + 3,
      MATCH(AJ$1, _xlpm.joueurs, 0) + 1
    )
  ), ""
)</f>
        <v/>
      </c>
      <c r="AK199" t="str" cm="1">
        <f t="array" ref="AK199">IFERROR(
  _xlfn.LET(
    _xlpm.ligpartie, MATCH($B198, Donnees!$F:$F, 0),
    _xlpm.joueurs, INDEX(Donnees!$A:$Z, _xlpm.ligpartie+1, _xlfn.SEQUENCE(1, 4, 2)),
    INDEX(
      Donnees!$A:$Z,
      _xlpm.ligpartie + 3,
      MATCH(AK$1, _xlpm.joueurs, 0) + 1
    )
  ), ""
)</f>
        <v/>
      </c>
      <c r="AL199" t="str" cm="1">
        <f t="array" ref="AL199">IFERROR(
  _xlfn.LET(
    _xlpm.ligpartie, MATCH($B198, Donnees!$F:$F, 0),
    _xlpm.joueurs, INDEX(Donnees!$A:$Z, _xlpm.ligpartie+1, _xlfn.SEQUENCE(1, 4, 2)),
    INDEX(
      Donnees!$A:$Z,
      _xlpm.ligpartie + 3,
      MATCH(AL$1, _xlpm.joueurs, 0) + 1
    )
  ), ""
)</f>
        <v/>
      </c>
      <c r="AM199" t="str" cm="1">
        <f t="array" ref="AM199">IFERROR(
  _xlfn.LET(
    _xlpm.ligpartie, MATCH($B198, Donnees!$F:$F, 0),
    _xlpm.joueurs, INDEX(Donnees!$A:$Z, _xlpm.ligpartie+1, _xlfn.SEQUENCE(1, 4, 2)),
    INDEX(
      Donnees!$A:$Z,
      _xlpm.ligpartie + 3,
      MATCH(AM$1, _xlpm.joueurs, 0) + 1
    )
  ), ""
)</f>
        <v/>
      </c>
    </row>
    <row r="200" spans="1:39" x14ac:dyDescent="0.25">
      <c r="A200" t="s">
        <v>20</v>
      </c>
      <c r="D200" t="str" cm="1">
        <f t="array" ref="D200">_xlfn.LET(
  _xlpm.colj, _xlfn._xlws.FILTER(IF(ISNUMBER(199:199), COLUMN(199:199)), ISNUMBER(199:199)),
  _xlpm.elos, INDEX(198:198,1,_xlpm.colj),
  _xlpm.diffscale, Constantes!$B$2,
  IF(D199="",
    "",
    SUM(1/(1+POWER(10,-(D198-_xlpm.elos)/_xlpm.diffscale)))-0.5)
)</f>
        <v/>
      </c>
      <c r="E200" t="str" cm="1">
        <f t="array" ref="E200">_xlfn.LET(
  _xlpm.colj, _xlfn._xlws.FILTER(IF(ISNUMBER(199:199), COLUMN(199:199)), ISNUMBER(199:199)),
  _xlpm.elos, INDEX(198:198,1,_xlpm.colj),
  _xlpm.diffscale, Constantes!$B$2,
  IF(E199="",
    "",
    SUM(1/(1+POWER(10,-(E198-_xlpm.elos)/_xlpm.diffscale)))-0.5)
)</f>
        <v/>
      </c>
      <c r="F200" t="str" cm="1">
        <f t="array" ref="F200">_xlfn.LET(
  _xlpm.colj, _xlfn._xlws.FILTER(IF(ISNUMBER(199:199), COLUMN(199:199)), ISNUMBER(199:199)),
  _xlpm.elos, INDEX(198:198,1,_xlpm.colj),
  _xlpm.diffscale, Constantes!$B$2,
  IF(F199="",
    "",
    SUM(1/(1+POWER(10,-(F198-_xlpm.elos)/_xlpm.diffscale)))-0.5)
)</f>
        <v/>
      </c>
      <c r="G200" cm="1">
        <f t="array" ref="G200">_xlfn.LET(
  _xlpm.colj, _xlfn._xlws.FILTER(IF(ISNUMBER(199:199), COLUMN(199:199)), ISNUMBER(199:199)),
  _xlpm.elos, INDEX(198:198,1,_xlpm.colj),
  _xlpm.diffscale, Constantes!$B$2,
  IF(G199="",
    "",
    SUM(1/(1+POWER(10,-(G198-_xlpm.elos)/_xlpm.diffscale)))-0.5)
)</f>
        <v>1.8254868685084706</v>
      </c>
      <c r="H200" t="str" cm="1">
        <f t="array" ref="H200">_xlfn.LET(
  _xlpm.colj, _xlfn._xlws.FILTER(IF(ISNUMBER(199:199), COLUMN(199:199)), ISNUMBER(199:199)),
  _xlpm.elos, INDEX(198:198,1,_xlpm.colj),
  _xlpm.diffscale, Constantes!$B$2,
  IF(H199="",
    "",
    SUM(1/(1+POWER(10,-(H198-_xlpm.elos)/_xlpm.diffscale)))-0.5)
)</f>
        <v/>
      </c>
      <c r="I200" cm="1">
        <f t="array" ref="I200">_xlfn.LET(
  _xlpm.colj, _xlfn._xlws.FILTER(IF(ISNUMBER(199:199), COLUMN(199:199)), ISNUMBER(199:199)),
  _xlpm.elos, INDEX(198:198,1,_xlpm.colj),
  _xlpm.diffscale, Constantes!$B$2,
  IF(I199="",
    "",
    SUM(1/(1+POWER(10,-(I198-_xlpm.elos)/_xlpm.diffscale)))-0.5)
)</f>
        <v>1.413981638204155</v>
      </c>
      <c r="J200" t="str" cm="1">
        <f t="array" ref="J200">_xlfn.LET(
  _xlpm.colj, _xlfn._xlws.FILTER(IF(ISNUMBER(199:199), COLUMN(199:199)), ISNUMBER(199:199)),
  _xlpm.elos, INDEX(198:198,1,_xlpm.colj),
  _xlpm.diffscale, Constantes!$B$2,
  IF(J199="",
    "",
    SUM(1/(1+POWER(10,-(J198-_xlpm.elos)/_xlpm.diffscale)))-0.5)
)</f>
        <v/>
      </c>
      <c r="K200" cm="1">
        <f t="array" ref="K200">_xlfn.LET(
  _xlpm.colj, _xlfn._xlws.FILTER(IF(ISNUMBER(199:199), COLUMN(199:199)), ISNUMBER(199:199)),
  _xlpm.elos, INDEX(198:198,1,_xlpm.colj),
  _xlpm.diffscale, Constantes!$B$2,
  IF(K199="",
    "",
    SUM(1/(1+POWER(10,-(K198-_xlpm.elos)/_xlpm.diffscale)))-0.5)
)</f>
        <v>1.0609587297005816</v>
      </c>
      <c r="L200" t="str" cm="1">
        <f t="array" ref="L200">_xlfn.LET(
  _xlpm.colj, _xlfn._xlws.FILTER(IF(ISNUMBER(199:199), COLUMN(199:199)), ISNUMBER(199:199)),
  _xlpm.elos, INDEX(198:198,1,_xlpm.colj),
  _xlpm.diffscale, Constantes!$B$2,
  IF(L199="",
    "",
    SUM(1/(1+POWER(10,-(L198-_xlpm.elos)/_xlpm.diffscale)))-0.5)
)</f>
        <v/>
      </c>
      <c r="M200" t="str" cm="1">
        <f t="array" ref="M200">_xlfn.LET(
  _xlpm.colj, _xlfn._xlws.FILTER(IF(ISNUMBER(199:199), COLUMN(199:199)), ISNUMBER(199:199)),
  _xlpm.elos, INDEX(198:198,1,_xlpm.colj),
  _xlpm.diffscale, Constantes!$B$2,
  IF(M199="",
    "",
    SUM(1/(1+POWER(10,-(M198-_xlpm.elos)/_xlpm.diffscale)))-0.5)
)</f>
        <v/>
      </c>
      <c r="N200" t="str" cm="1">
        <f t="array" ref="N200">_xlfn.LET(
  _xlpm.colj, _xlfn._xlws.FILTER(IF(ISNUMBER(199:199), COLUMN(199:199)), ISNUMBER(199:199)),
  _xlpm.elos, INDEX(198:198,1,_xlpm.colj),
  _xlpm.diffscale, Constantes!$B$2,
  IF(N199="",
    "",
    SUM(1/(1+POWER(10,-(N198-_xlpm.elos)/_xlpm.diffscale)))-0.5)
)</f>
        <v/>
      </c>
      <c r="O200" t="str" cm="1">
        <f t="array" ref="O200">_xlfn.LET(
  _xlpm.colj, _xlfn._xlws.FILTER(IF(ISNUMBER(199:199), COLUMN(199:199)), ISNUMBER(199:199)),
  _xlpm.elos, INDEX(198:198,1,_xlpm.colj),
  _xlpm.diffscale, Constantes!$B$2,
  IF(O199="",
    "",
    SUM(1/(1+POWER(10,-(O198-_xlpm.elos)/_xlpm.diffscale)))-0.5)
)</f>
        <v/>
      </c>
      <c r="P200" t="str" cm="1">
        <f t="array" ref="P200">_xlfn.LET(
  _xlpm.colj, _xlfn._xlws.FILTER(IF(ISNUMBER(199:199), COLUMN(199:199)), ISNUMBER(199:199)),
  _xlpm.elos, INDEX(198:198,1,_xlpm.colj),
  _xlpm.diffscale, Constantes!$B$2,
  IF(P199="",
    "",
    SUM(1/(1+POWER(10,-(P198-_xlpm.elos)/_xlpm.diffscale)))-0.5)
)</f>
        <v/>
      </c>
      <c r="Q200" t="str" cm="1">
        <f t="array" ref="Q200">_xlfn.LET(
  _xlpm.colj, _xlfn._xlws.FILTER(IF(ISNUMBER(199:199), COLUMN(199:199)), ISNUMBER(199:199)),
  _xlpm.elos, INDEX(198:198,1,_xlpm.colj),
  _xlpm.diffscale, Constantes!$B$2,
  IF(Q199="",
    "",
    SUM(1/(1+POWER(10,-(Q198-_xlpm.elos)/_xlpm.diffscale)))-0.5)
)</f>
        <v/>
      </c>
      <c r="R200" t="str" cm="1">
        <f t="array" ref="R200">_xlfn.LET(
  _xlpm.colj, _xlfn._xlws.FILTER(IF(ISNUMBER(199:199), COLUMN(199:199)), ISNUMBER(199:199)),
  _xlpm.elos, INDEX(198:198,1,_xlpm.colj),
  _xlpm.diffscale, Constantes!$B$2,
  IF(R199="",
    "",
    SUM(1/(1+POWER(10,-(R198-_xlpm.elos)/_xlpm.diffscale)))-0.5)
)</f>
        <v/>
      </c>
      <c r="S200" t="str" cm="1">
        <f t="array" ref="S200">_xlfn.LET(
  _xlpm.colj, _xlfn._xlws.FILTER(IF(ISNUMBER(199:199), COLUMN(199:199)), ISNUMBER(199:199)),
  _xlpm.elos, INDEX(198:198,1,_xlpm.colj),
  _xlpm.diffscale, Constantes!$B$2,
  IF(S199="",
    "",
    SUM(1/(1+POWER(10,-(S198-_xlpm.elos)/_xlpm.diffscale)))-0.5)
)</f>
        <v/>
      </c>
      <c r="T200" t="str" cm="1">
        <f t="array" ref="T200">_xlfn.LET(
  _xlpm.colj, _xlfn._xlws.FILTER(IF(ISNUMBER(199:199), COLUMN(199:199)), ISNUMBER(199:199)),
  _xlpm.elos, INDEX(198:198,1,_xlpm.colj),
  _xlpm.diffscale, Constantes!$B$2,
  IF(T199="",
    "",
    SUM(1/(1+POWER(10,-(T198-_xlpm.elos)/_xlpm.diffscale)))-0.5)
)</f>
        <v/>
      </c>
      <c r="U200" t="str" cm="1">
        <f t="array" ref="U200">_xlfn.LET(
  _xlpm.colj, _xlfn._xlws.FILTER(IF(ISNUMBER(199:199), COLUMN(199:199)), ISNUMBER(199:199)),
  _xlpm.elos, INDEX(198:198,1,_xlpm.colj),
  _xlpm.diffscale, Constantes!$B$2,
  IF(U199="",
    "",
    SUM(1/(1+POWER(10,-(U198-_xlpm.elos)/_xlpm.diffscale)))-0.5)
)</f>
        <v/>
      </c>
      <c r="V200" t="str" cm="1">
        <f t="array" ref="V200">_xlfn.LET(
  _xlpm.colj, _xlfn._xlws.FILTER(IF(ISNUMBER(199:199), COLUMN(199:199)), ISNUMBER(199:199)),
  _xlpm.elos, INDEX(198:198,1,_xlpm.colj),
  _xlpm.diffscale, Constantes!$B$2,
  IF(V199="",
    "",
    SUM(1/(1+POWER(10,-(V198-_xlpm.elos)/_xlpm.diffscale)))-0.5)
)</f>
        <v/>
      </c>
      <c r="W200" t="str" cm="1">
        <f t="array" ref="W200">_xlfn.LET(
  _xlpm.colj, _xlfn._xlws.FILTER(IF(ISNUMBER(199:199), COLUMN(199:199)), ISNUMBER(199:199)),
  _xlpm.elos, INDEX(198:198,1,_xlpm.colj),
  _xlpm.diffscale, Constantes!$B$2,
  IF(W199="",
    "",
    SUM(1/(1+POWER(10,-(W198-_xlpm.elos)/_xlpm.diffscale)))-0.5)
)</f>
        <v/>
      </c>
      <c r="X200" t="str" cm="1">
        <f t="array" ref="X200">_xlfn.LET(
  _xlpm.colj, _xlfn._xlws.FILTER(IF(ISNUMBER(199:199), COLUMN(199:199)), ISNUMBER(199:199)),
  _xlpm.elos, INDEX(198:198,1,_xlpm.colj),
  _xlpm.diffscale, Constantes!$B$2,
  IF(X199="",
    "",
    SUM(1/(1+POWER(10,-(X198-_xlpm.elos)/_xlpm.diffscale)))-0.5)
)</f>
        <v/>
      </c>
      <c r="Y200" t="str" cm="1">
        <f t="array" ref="Y200">_xlfn.LET(
  _xlpm.colj, _xlfn._xlws.FILTER(IF(ISNUMBER(199:199), COLUMN(199:199)), ISNUMBER(199:199)),
  _xlpm.elos, INDEX(198:198,1,_xlpm.colj),
  _xlpm.diffscale, Constantes!$B$2,
  IF(Y199="",
    "",
    SUM(1/(1+POWER(10,-(Y198-_xlpm.elos)/_xlpm.diffscale)))-0.5)
)</f>
        <v/>
      </c>
      <c r="Z200" t="str" cm="1">
        <f t="array" ref="Z200">_xlfn.LET(
  _xlpm.colj, _xlfn._xlws.FILTER(IF(ISNUMBER(199:199), COLUMN(199:199)), ISNUMBER(199:199)),
  _xlpm.elos, INDEX(198:198,1,_xlpm.colj),
  _xlpm.diffscale, Constantes!$B$2,
  IF(Z199="",
    "",
    SUM(1/(1+POWER(10,-(Z198-_xlpm.elos)/_xlpm.diffscale)))-0.5)
)</f>
        <v/>
      </c>
      <c r="AA200" t="str" cm="1">
        <f t="array" ref="AA200">_xlfn.LET(
  _xlpm.colj, _xlfn._xlws.FILTER(IF(ISNUMBER(199:199), COLUMN(199:199)), ISNUMBER(199:199)),
  _xlpm.elos, INDEX(198:198,1,_xlpm.colj),
  _xlpm.diffscale, Constantes!$B$2,
  IF(AA199="",
    "",
    SUM(1/(1+POWER(10,-(AA198-_xlpm.elos)/_xlpm.diffscale)))-0.5)
)</f>
        <v/>
      </c>
      <c r="AB200" t="str" cm="1">
        <f t="array" ref="AB200">_xlfn.LET(
  _xlpm.colj, _xlfn._xlws.FILTER(IF(ISNUMBER(199:199), COLUMN(199:199)), ISNUMBER(199:199)),
  _xlpm.elos, INDEX(198:198,1,_xlpm.colj),
  _xlpm.diffscale, Constantes!$B$2,
  IF(AB199="",
    "",
    SUM(1/(1+POWER(10,-(AB198-_xlpm.elos)/_xlpm.diffscale)))-0.5)
)</f>
        <v/>
      </c>
      <c r="AC200" cm="1">
        <f t="array" ref="AC200">_xlfn.LET(
  _xlpm.colj, _xlfn._xlws.FILTER(IF(ISNUMBER(199:199), COLUMN(199:199)), ISNUMBER(199:199)),
  _xlpm.elos, INDEX(198:198,1,_xlpm.colj),
  _xlpm.diffscale, Constantes!$B$2,
  IF(AC199="",
    "",
    SUM(1/(1+POWER(10,-(AC198-_xlpm.elos)/_xlpm.diffscale)))-0.5)
)</f>
        <v>1.6995727635867928</v>
      </c>
      <c r="AD200" t="str" cm="1">
        <f t="array" ref="AD200">_xlfn.LET(
  _xlpm.colj, _xlfn._xlws.FILTER(IF(ISNUMBER(199:199), COLUMN(199:199)), ISNUMBER(199:199)),
  _xlpm.elos, INDEX(198:198,1,_xlpm.colj),
  _xlpm.diffscale, Constantes!$B$2,
  IF(AD199="",
    "",
    SUM(1/(1+POWER(10,-(AD198-_xlpm.elos)/_xlpm.diffscale)))-0.5)
)</f>
        <v/>
      </c>
      <c r="AE200" t="str" cm="1">
        <f t="array" ref="AE200">_xlfn.LET(
  _xlpm.colj, _xlfn._xlws.FILTER(IF(ISNUMBER(199:199), COLUMN(199:199)), ISNUMBER(199:199)),
  _xlpm.elos, INDEX(198:198,1,_xlpm.colj),
  _xlpm.diffscale, Constantes!$B$2,
  IF(AE199="",
    "",
    SUM(1/(1+POWER(10,-(AE198-_xlpm.elos)/_xlpm.diffscale)))-0.5)
)</f>
        <v/>
      </c>
      <c r="AF200" t="str" cm="1">
        <f t="array" ref="AF200">_xlfn.LET(
  _xlpm.colj, _xlfn._xlws.FILTER(IF(ISNUMBER(199:199), COLUMN(199:199)), ISNUMBER(199:199)),
  _xlpm.elos, INDEX(198:198,1,_xlpm.colj),
  _xlpm.diffscale, Constantes!$B$2,
  IF(AF199="",
    "",
    SUM(1/(1+POWER(10,-(AF198-_xlpm.elos)/_xlpm.diffscale)))-0.5)
)</f>
        <v/>
      </c>
      <c r="AG200" t="str" cm="1">
        <f t="array" ref="AG200">_xlfn.LET(
  _xlpm.colj, _xlfn._xlws.FILTER(IF(ISNUMBER(199:199), COLUMN(199:199)), ISNUMBER(199:199)),
  _xlpm.elos, INDEX(198:198,1,_xlpm.colj),
  _xlpm.diffscale, Constantes!$B$2,
  IF(AG199="",
    "",
    SUM(1/(1+POWER(10,-(AG198-_xlpm.elos)/_xlpm.diffscale)))-0.5)
)</f>
        <v/>
      </c>
      <c r="AH200" t="str" cm="1">
        <f t="array" ref="AH200">_xlfn.LET(
  _xlpm.colj, _xlfn._xlws.FILTER(IF(ISNUMBER(199:199), COLUMN(199:199)), ISNUMBER(199:199)),
  _xlpm.elos, INDEX(198:198,1,_xlpm.colj),
  _xlpm.diffscale, Constantes!$B$2,
  IF(AH199="",
    "",
    SUM(1/(1+POWER(10,-(AH198-_xlpm.elos)/_xlpm.diffscale)))-0.5)
)</f>
        <v/>
      </c>
      <c r="AI200" t="str" cm="1">
        <f t="array" ref="AI200">_xlfn.LET(
  _xlpm.colj, _xlfn._xlws.FILTER(IF(ISNUMBER(199:199), COLUMN(199:199)), ISNUMBER(199:199)),
  _xlpm.elos, INDEX(198:198,1,_xlpm.colj),
  _xlpm.diffscale, Constantes!$B$2,
  IF(AI199="",
    "",
    SUM(1/(1+POWER(10,-(AI198-_xlpm.elos)/_xlpm.diffscale)))-0.5)
)</f>
        <v/>
      </c>
      <c r="AJ200" t="str" cm="1">
        <f t="array" ref="AJ200">_xlfn.LET(
  _xlpm.colj, _xlfn._xlws.FILTER(IF(ISNUMBER(199:199), COLUMN(199:199)), ISNUMBER(199:199)),
  _xlpm.elos, INDEX(198:198,1,_xlpm.colj),
  _xlpm.diffscale, Constantes!$B$2,
  IF(AJ199="",
    "",
    SUM(1/(1+POWER(10,-(AJ198-_xlpm.elos)/_xlpm.diffscale)))-0.5)
)</f>
        <v/>
      </c>
      <c r="AK200" t="str" cm="1">
        <f t="array" ref="AK200">_xlfn.LET(
  _xlpm.colj, _xlfn._xlws.FILTER(IF(ISNUMBER(199:199), COLUMN(199:199)), ISNUMBER(199:199)),
  _xlpm.elos, INDEX(198:198,1,_xlpm.colj),
  _xlpm.diffscale, Constantes!$B$2,
  IF(AK199="",
    "",
    SUM(1/(1+POWER(10,-(AK198-_xlpm.elos)/_xlpm.diffscale)))-0.5)
)</f>
        <v/>
      </c>
      <c r="AL200" t="str" cm="1">
        <f t="array" ref="AL200">_xlfn.LET(
  _xlpm.colj, _xlfn._xlws.FILTER(IF(ISNUMBER(199:199), COLUMN(199:199)), ISNUMBER(199:199)),
  _xlpm.elos, INDEX(198:198,1,_xlpm.colj),
  _xlpm.diffscale, Constantes!$B$2,
  IF(AL199="",
    "",
    SUM(1/(1+POWER(10,-(AL198-_xlpm.elos)/_xlpm.diffscale)))-0.5)
)</f>
        <v/>
      </c>
      <c r="AM200" t="str" cm="1">
        <f t="array" ref="AM200">_xlfn.LET(
  _xlpm.colj, _xlfn._xlws.FILTER(IF(ISNUMBER(199:199), COLUMN(199:199)), ISNUMBER(199:199)),
  _xlpm.elos, INDEX(198:198,1,_xlpm.colj),
  _xlpm.diffscale, Constantes!$B$2,
  IF(AM199="",
    "",
    SUM(1/(1+POWER(10,-(AM198-_xlpm.elos)/_xlpm.diffscale)))-0.5)
)</f>
        <v/>
      </c>
    </row>
    <row r="201" spans="1:39" x14ac:dyDescent="0.25">
      <c r="A201" t="s">
        <v>22</v>
      </c>
      <c r="D201" t="str" cm="1">
        <f t="array" ref="D201">_xlfn.LET(
  _xlpm.K, Constantes!$B$3,
  _xlpm.Knewgain, Constantes!$B$4,
  _xlpm.Knewscale, Constantes!$B$5,
  _xlpm.ptstables, INDEX(D:D, _xlfn.SEQUENCE(COUNTA($C$2:$C201), 1, 3, 4)),
  _xlpm.nbparties, COUNTA(_xlfn._xlws.FILTER(_xlpm.ptstables, _xlpm.ptstables &lt;&gt; "")),
  _xlpm.coef, _xlpm.K + _xlpm.Knewgain / (_xlpm.Knewscale + _xlpm.nbparties),
  IF(D199="",
    "",
    _xlpm.coef * (D199-D200))
)</f>
        <v/>
      </c>
      <c r="E201" t="str" cm="1">
        <f t="array" ref="E201">_xlfn.LET(
  _xlpm.K, Constantes!$B$3,
  _xlpm.Knewgain, Constantes!$B$4,
  _xlpm.Knewscale, Constantes!$B$5,
  _xlpm.ptstables, INDEX(E:E, _xlfn.SEQUENCE(COUNTA($C$2:$C201), 1, 3, 4)),
  _xlpm.nbparties, COUNTA(_xlfn._xlws.FILTER(_xlpm.ptstables, _xlpm.ptstables &lt;&gt; "")),
  _xlpm.coef, _xlpm.K + _xlpm.Knewgain / (_xlpm.Knewscale + _xlpm.nbparties),
  IF(E199="",
    "",
    _xlpm.coef * (E199-E200))
)</f>
        <v/>
      </c>
      <c r="F201" t="str" cm="1">
        <f t="array" ref="F201">_xlfn.LET(
  _xlpm.K, Constantes!$B$3,
  _xlpm.Knewgain, Constantes!$B$4,
  _xlpm.Knewscale, Constantes!$B$5,
  _xlpm.ptstables, INDEX(F:F, _xlfn.SEQUENCE(COUNTA($C$2:$C201), 1, 3, 4)),
  _xlpm.nbparties, COUNTA(_xlfn._xlws.FILTER(_xlpm.ptstables, _xlpm.ptstables &lt;&gt; "")),
  _xlpm.coef, _xlpm.K + _xlpm.Knewgain / (_xlpm.Knewscale + _xlpm.nbparties),
  IF(F199="",
    "",
    _xlpm.coef * (F199-F200))
)</f>
        <v/>
      </c>
      <c r="G201" cm="1">
        <f t="array" ref="G201">_xlfn.LET(
  _xlpm.K, Constantes!$B$3,
  _xlpm.Knewgain, Constantes!$B$4,
  _xlpm.Knewscale, Constantes!$B$5,
  _xlpm.ptstables, INDEX(G:G, _xlfn.SEQUENCE(COUNTA($C$2:$C201), 1, 3, 4)),
  _xlpm.nbparties, COUNTA(_xlfn._xlws.FILTER(_xlpm.ptstables, _xlpm.ptstables &lt;&gt; "")),
  _xlpm.coef, _xlpm.K + _xlpm.Knewgain / (_xlpm.Knewscale + _xlpm.nbparties),
  IF(G199="",
    "",
    _xlpm.coef * (G199-G200))
)</f>
        <v>-18.57345454144059</v>
      </c>
      <c r="H201" t="str" cm="1">
        <f t="array" ref="H201">_xlfn.LET(
  _xlpm.K, Constantes!$B$3,
  _xlpm.Knewgain, Constantes!$B$4,
  _xlpm.Knewscale, Constantes!$B$5,
  _xlpm.ptstables, INDEX(H:H, _xlfn.SEQUENCE(COUNTA($C$2:$C201), 1, 3, 4)),
  _xlpm.nbparties, COUNTA(_xlfn._xlws.FILTER(_xlpm.ptstables, _xlpm.ptstables &lt;&gt; "")),
  _xlpm.coef, _xlpm.K + _xlpm.Knewgain / (_xlpm.Knewscale + _xlpm.nbparties),
  IF(H199="",
    "",
    _xlpm.coef * (H199-H200))
)</f>
        <v/>
      </c>
      <c r="I201" cm="1">
        <f t="array" ref="I201">_xlfn.LET(
  _xlpm.K, Constantes!$B$3,
  _xlpm.Knewgain, Constantes!$B$4,
  _xlpm.Knewscale, Constantes!$B$5,
  _xlpm.ptstables, INDEX(I:I, _xlfn.SEQUENCE(COUNTA($C$2:$C201), 1, 3, 4)),
  _xlpm.nbparties, COUNTA(_xlfn._xlws.FILTER(_xlpm.ptstables, _xlpm.ptstables &lt;&gt; "")),
  _xlpm.coef, _xlpm.K + _xlpm.Knewgain / (_xlpm.Knewscale + _xlpm.nbparties),
  IF(I199="",
    "",
    _xlpm.coef * (I199-I200))
)</f>
        <v>-35.349540955103876</v>
      </c>
      <c r="J201" t="str" cm="1">
        <f t="array" ref="J201">_xlfn.LET(
  _xlpm.K, Constantes!$B$3,
  _xlpm.Knewgain, Constantes!$B$4,
  _xlpm.Knewscale, Constantes!$B$5,
  _xlpm.ptstables, INDEX(J:J, _xlfn.SEQUENCE(COUNTA($C$2:$C201), 1, 3, 4)),
  _xlpm.nbparties, COUNTA(_xlfn._xlws.FILTER(_xlpm.ptstables, _xlpm.ptstables &lt;&gt; "")),
  _xlpm.coef, _xlpm.K + _xlpm.Knewgain / (_xlpm.Knewscale + _xlpm.nbparties),
  IF(J199="",
    "",
    _xlpm.coef * (J199-J200))
)</f>
        <v/>
      </c>
      <c r="K201" cm="1">
        <f t="array" ref="K201">_xlfn.LET(
  _xlpm.K, Constantes!$B$3,
  _xlpm.Knewgain, Constantes!$B$4,
  _xlpm.Knewscale, Constantes!$B$5,
  _xlpm.ptstables, INDEX(K:K, _xlfn.SEQUENCE(COUNTA($C$2:$C201), 1, 3, 4)),
  _xlpm.nbparties, COUNTA(_xlfn._xlws.FILTER(_xlpm.ptstables, _xlpm.ptstables &lt;&gt; "")),
  _xlpm.coef, _xlpm.K + _xlpm.Knewgain / (_xlpm.Knewscale + _xlpm.nbparties),
  IF(K199="",
    "",
    _xlpm.coef * (K199-K200))
)</f>
        <v>25.488263050984212</v>
      </c>
      <c r="L201" t="str" cm="1">
        <f t="array" ref="L201">_xlfn.LET(
  _xlpm.K, Constantes!$B$3,
  _xlpm.Knewgain, Constantes!$B$4,
  _xlpm.Knewscale, Constantes!$B$5,
  _xlpm.ptstables, INDEX(L:L, _xlfn.SEQUENCE(COUNTA($C$2:$C201), 1, 3, 4)),
  _xlpm.nbparties, COUNTA(_xlfn._xlws.FILTER(_xlpm.ptstables, _xlpm.ptstables &lt;&gt; "")),
  _xlpm.coef, _xlpm.K + _xlpm.Knewgain / (_xlpm.Knewscale + _xlpm.nbparties),
  IF(L199="",
    "",
    _xlpm.coef * (L199-L200))
)</f>
        <v/>
      </c>
      <c r="M201" t="str" cm="1">
        <f t="array" ref="M201">_xlfn.LET(
  _xlpm.K, Constantes!$B$3,
  _xlpm.Knewgain, Constantes!$B$4,
  _xlpm.Knewscale, Constantes!$B$5,
  _xlpm.ptstables, INDEX(M:M, _xlfn.SEQUENCE(COUNTA($C$2:$C201), 1, 3, 4)),
  _xlpm.nbparties, COUNTA(_xlfn._xlws.FILTER(_xlpm.ptstables, _xlpm.ptstables &lt;&gt; "")),
  _xlpm.coef, _xlpm.K + _xlpm.Knewgain / (_xlpm.Knewscale + _xlpm.nbparties),
  IF(M199="",
    "",
    _xlpm.coef * (M199-M200))
)</f>
        <v/>
      </c>
      <c r="N201" t="str" cm="1">
        <f t="array" ref="N201">_xlfn.LET(
  _xlpm.K, Constantes!$B$3,
  _xlpm.Knewgain, Constantes!$B$4,
  _xlpm.Knewscale, Constantes!$B$5,
  _xlpm.ptstables, INDEX(N:N, _xlfn.SEQUENCE(COUNTA($C$2:$C201), 1, 3, 4)),
  _xlpm.nbparties, COUNTA(_xlfn._xlws.FILTER(_xlpm.ptstables, _xlpm.ptstables &lt;&gt; "")),
  _xlpm.coef, _xlpm.K + _xlpm.Knewgain / (_xlpm.Knewscale + _xlpm.nbparties),
  IF(N199="",
    "",
    _xlpm.coef * (N199-N200))
)</f>
        <v/>
      </c>
      <c r="O201" t="str" cm="1">
        <f t="array" ref="O201">_xlfn.LET(
  _xlpm.K, Constantes!$B$3,
  _xlpm.Knewgain, Constantes!$B$4,
  _xlpm.Knewscale, Constantes!$B$5,
  _xlpm.ptstables, INDEX(O:O, _xlfn.SEQUENCE(COUNTA($C$2:$C201), 1, 3, 4)),
  _xlpm.nbparties, COUNTA(_xlfn._xlws.FILTER(_xlpm.ptstables, _xlpm.ptstables &lt;&gt; "")),
  _xlpm.coef, _xlpm.K + _xlpm.Knewgain / (_xlpm.Knewscale + _xlpm.nbparties),
  IF(O199="",
    "",
    _xlpm.coef * (O199-O200))
)</f>
        <v/>
      </c>
      <c r="P201" t="str" cm="1">
        <f t="array" ref="P201">_xlfn.LET(
  _xlpm.K, Constantes!$B$3,
  _xlpm.Knewgain, Constantes!$B$4,
  _xlpm.Knewscale, Constantes!$B$5,
  _xlpm.ptstables, INDEX(P:P, _xlfn.SEQUENCE(COUNTA($C$2:$C201), 1, 3, 4)),
  _xlpm.nbparties, COUNTA(_xlfn._xlws.FILTER(_xlpm.ptstables, _xlpm.ptstables &lt;&gt; "")),
  _xlpm.coef, _xlpm.K + _xlpm.Knewgain / (_xlpm.Knewscale + _xlpm.nbparties),
  IF(P199="",
    "",
    _xlpm.coef * (P199-P200))
)</f>
        <v/>
      </c>
      <c r="Q201" t="str" cm="1">
        <f t="array" ref="Q201">_xlfn.LET(
  _xlpm.K, Constantes!$B$3,
  _xlpm.Knewgain, Constantes!$B$4,
  _xlpm.Knewscale, Constantes!$B$5,
  _xlpm.ptstables, INDEX(Q:Q, _xlfn.SEQUENCE(COUNTA($C$2:$C201), 1, 3, 4)),
  _xlpm.nbparties, COUNTA(_xlfn._xlws.FILTER(_xlpm.ptstables, _xlpm.ptstables &lt;&gt; "")),
  _xlpm.coef, _xlpm.K + _xlpm.Knewgain / (_xlpm.Knewscale + _xlpm.nbparties),
  IF(Q199="",
    "",
    _xlpm.coef * (Q199-Q200))
)</f>
        <v/>
      </c>
      <c r="R201" t="str" cm="1">
        <f t="array" ref="R201">_xlfn.LET(
  _xlpm.K, Constantes!$B$3,
  _xlpm.Knewgain, Constantes!$B$4,
  _xlpm.Knewscale, Constantes!$B$5,
  _xlpm.ptstables, INDEX(R:R, _xlfn.SEQUENCE(COUNTA($C$2:$C201), 1, 3, 4)),
  _xlpm.nbparties, COUNTA(_xlfn._xlws.FILTER(_xlpm.ptstables, _xlpm.ptstables &lt;&gt; "")),
  _xlpm.coef, _xlpm.K + _xlpm.Knewgain / (_xlpm.Knewscale + _xlpm.nbparties),
  IF(R199="",
    "",
    _xlpm.coef * (R199-R200))
)</f>
        <v/>
      </c>
      <c r="S201" t="str" cm="1">
        <f t="array" ref="S201">_xlfn.LET(
  _xlpm.K, Constantes!$B$3,
  _xlpm.Knewgain, Constantes!$B$4,
  _xlpm.Knewscale, Constantes!$B$5,
  _xlpm.ptstables, INDEX(S:S, _xlfn.SEQUENCE(COUNTA($C$2:$C201), 1, 3, 4)),
  _xlpm.nbparties, COUNTA(_xlfn._xlws.FILTER(_xlpm.ptstables, _xlpm.ptstables &lt;&gt; "")),
  _xlpm.coef, _xlpm.K + _xlpm.Knewgain / (_xlpm.Knewscale + _xlpm.nbparties),
  IF(S199="",
    "",
    _xlpm.coef * (S199-S200))
)</f>
        <v/>
      </c>
      <c r="T201" t="str" cm="1">
        <f t="array" ref="T201">_xlfn.LET(
  _xlpm.K, Constantes!$B$3,
  _xlpm.Knewgain, Constantes!$B$4,
  _xlpm.Knewscale, Constantes!$B$5,
  _xlpm.ptstables, INDEX(T:T, _xlfn.SEQUENCE(COUNTA($C$2:$C201), 1, 3, 4)),
  _xlpm.nbparties, COUNTA(_xlfn._xlws.FILTER(_xlpm.ptstables, _xlpm.ptstables &lt;&gt; "")),
  _xlpm.coef, _xlpm.K + _xlpm.Knewgain / (_xlpm.Knewscale + _xlpm.nbparties),
  IF(T199="",
    "",
    _xlpm.coef * (T199-T200))
)</f>
        <v/>
      </c>
      <c r="U201" t="str" cm="1">
        <f t="array" ref="U201">_xlfn.LET(
  _xlpm.K, Constantes!$B$3,
  _xlpm.Knewgain, Constantes!$B$4,
  _xlpm.Knewscale, Constantes!$B$5,
  _xlpm.ptstables, INDEX(U:U, _xlfn.SEQUENCE(COUNTA($C$2:$C201), 1, 3, 4)),
  _xlpm.nbparties, COUNTA(_xlfn._xlws.FILTER(_xlpm.ptstables, _xlpm.ptstables &lt;&gt; "")),
  _xlpm.coef, _xlpm.K + _xlpm.Knewgain / (_xlpm.Knewscale + _xlpm.nbparties),
  IF(U199="",
    "",
    _xlpm.coef * (U199-U200))
)</f>
        <v/>
      </c>
      <c r="V201" t="str" cm="1">
        <f t="array" ref="V201">_xlfn.LET(
  _xlpm.K, Constantes!$B$3,
  _xlpm.Knewgain, Constantes!$B$4,
  _xlpm.Knewscale, Constantes!$B$5,
  _xlpm.ptstables, INDEX(V:V, _xlfn.SEQUENCE(COUNTA($C$2:$C201), 1, 3, 4)),
  _xlpm.nbparties, COUNTA(_xlfn._xlws.FILTER(_xlpm.ptstables, _xlpm.ptstables &lt;&gt; "")),
  _xlpm.coef, _xlpm.K + _xlpm.Knewgain / (_xlpm.Knewscale + _xlpm.nbparties),
  IF(V199="",
    "",
    _xlpm.coef * (V199-V200))
)</f>
        <v/>
      </c>
      <c r="W201" t="str" cm="1">
        <f t="array" ref="W201">_xlfn.LET(
  _xlpm.K, Constantes!$B$3,
  _xlpm.Knewgain, Constantes!$B$4,
  _xlpm.Knewscale, Constantes!$B$5,
  _xlpm.ptstables, INDEX(W:W, _xlfn.SEQUENCE(COUNTA($C$2:$C201), 1, 3, 4)),
  _xlpm.nbparties, COUNTA(_xlfn._xlws.FILTER(_xlpm.ptstables, _xlpm.ptstables &lt;&gt; "")),
  _xlpm.coef, _xlpm.K + _xlpm.Knewgain / (_xlpm.Knewscale + _xlpm.nbparties),
  IF(W199="",
    "",
    _xlpm.coef * (W199-W200))
)</f>
        <v/>
      </c>
      <c r="X201" t="str" cm="1">
        <f t="array" ref="X201">_xlfn.LET(
  _xlpm.K, Constantes!$B$3,
  _xlpm.Knewgain, Constantes!$B$4,
  _xlpm.Knewscale, Constantes!$B$5,
  _xlpm.ptstables, INDEX(X:X, _xlfn.SEQUENCE(COUNTA($C$2:$C201), 1, 3, 4)),
  _xlpm.nbparties, COUNTA(_xlfn._xlws.FILTER(_xlpm.ptstables, _xlpm.ptstables &lt;&gt; "")),
  _xlpm.coef, _xlpm.K + _xlpm.Knewgain / (_xlpm.Knewscale + _xlpm.nbparties),
  IF(X199="",
    "",
    _xlpm.coef * (X199-X200))
)</f>
        <v/>
      </c>
      <c r="Y201" t="str" cm="1">
        <f t="array" ref="Y201">_xlfn.LET(
  _xlpm.K, Constantes!$B$3,
  _xlpm.Knewgain, Constantes!$B$4,
  _xlpm.Knewscale, Constantes!$B$5,
  _xlpm.ptstables, INDEX(Y:Y, _xlfn.SEQUENCE(COUNTA($C$2:$C201), 1, 3, 4)),
  _xlpm.nbparties, COUNTA(_xlfn._xlws.FILTER(_xlpm.ptstables, _xlpm.ptstables &lt;&gt; "")),
  _xlpm.coef, _xlpm.K + _xlpm.Knewgain / (_xlpm.Knewscale + _xlpm.nbparties),
  IF(Y199="",
    "",
    _xlpm.coef * (Y199-Y200))
)</f>
        <v/>
      </c>
      <c r="Z201" t="str" cm="1">
        <f t="array" ref="Z201">_xlfn.LET(
  _xlpm.K, Constantes!$B$3,
  _xlpm.Knewgain, Constantes!$B$4,
  _xlpm.Knewscale, Constantes!$B$5,
  _xlpm.ptstables, INDEX(Z:Z, _xlfn.SEQUENCE(COUNTA($C$2:$C201), 1, 3, 4)),
  _xlpm.nbparties, COUNTA(_xlfn._xlws.FILTER(_xlpm.ptstables, _xlpm.ptstables &lt;&gt; "")),
  _xlpm.coef, _xlpm.K + _xlpm.Knewgain / (_xlpm.Knewscale + _xlpm.nbparties),
  IF(Z199="",
    "",
    _xlpm.coef * (Z199-Z200))
)</f>
        <v/>
      </c>
      <c r="AA201" t="str" cm="1">
        <f t="array" ref="AA201">_xlfn.LET(
  _xlpm.K, Constantes!$B$3,
  _xlpm.Knewgain, Constantes!$B$4,
  _xlpm.Knewscale, Constantes!$B$5,
  _xlpm.ptstables, INDEX(AA:AA, _xlfn.SEQUENCE(COUNTA($C$2:$C201), 1, 3, 4)),
  _xlpm.nbparties, COUNTA(_xlfn._xlws.FILTER(_xlpm.ptstables, _xlpm.ptstables &lt;&gt; "")),
  _xlpm.coef, _xlpm.K + _xlpm.Knewgain / (_xlpm.Knewscale + _xlpm.nbparties),
  IF(AA199="",
    "",
    _xlpm.coef * (AA199-AA200))
)</f>
        <v/>
      </c>
      <c r="AB201" t="str" cm="1">
        <f t="array" ref="AB201">_xlfn.LET(
  _xlpm.K, Constantes!$B$3,
  _xlpm.Knewgain, Constantes!$B$4,
  _xlpm.Knewscale, Constantes!$B$5,
  _xlpm.ptstables, INDEX(AB:AB, _xlfn.SEQUENCE(COUNTA($C$2:$C201), 1, 3, 4)),
  _xlpm.nbparties, COUNTA(_xlfn._xlws.FILTER(_xlpm.ptstables, _xlpm.ptstables &lt;&gt; "")),
  _xlpm.coef, _xlpm.K + _xlpm.Knewgain / (_xlpm.Knewscale + _xlpm.nbparties),
  IF(AB199="",
    "",
    _xlpm.coef * (AB199-AB200))
)</f>
        <v/>
      </c>
      <c r="AC201" cm="1">
        <f t="array" ref="AC201">_xlfn.LET(
  _xlpm.K, Constantes!$B$3,
  _xlpm.Knewgain, Constantes!$B$4,
  _xlpm.Knewscale, Constantes!$B$5,
  _xlpm.ptstables, INDEX(AC:AC, _xlfn.SEQUENCE(COUNTA($C$2:$C201), 1, 3, 4)),
  _xlpm.nbparties, COUNTA(_xlfn._xlws.FILTER(_xlpm.ptstables, _xlpm.ptstables &lt;&gt; "")),
  _xlpm.coef, _xlpm.K + _xlpm.Knewgain / (_xlpm.Knewscale + _xlpm.nbparties),
  IF(AC199="",
    "",
    _xlpm.coef * (AC199-AC200))
)</f>
        <v>39.012817092396219</v>
      </c>
      <c r="AD201" t="str" cm="1">
        <f t="array" ref="AD201">_xlfn.LET(
  _xlpm.K, Constantes!$B$3,
  _xlpm.Knewgain, Constantes!$B$4,
  _xlpm.Knewscale, Constantes!$B$5,
  _xlpm.ptstables, INDEX(AD:AD, _xlfn.SEQUENCE(COUNTA($C$2:$C201), 1, 3, 4)),
  _xlpm.nbparties, COUNTA(_xlfn._xlws.FILTER(_xlpm.ptstables, _xlpm.ptstables &lt;&gt; "")),
  _xlpm.coef, _xlpm.K + _xlpm.Knewgain / (_xlpm.Knewscale + _xlpm.nbparties),
  IF(AD199="",
    "",
    _xlpm.coef * (AD199-AD200))
)</f>
        <v/>
      </c>
      <c r="AE201" t="str" cm="1">
        <f t="array" ref="AE201">_xlfn.LET(
  _xlpm.K, Constantes!$B$3,
  _xlpm.Knewgain, Constantes!$B$4,
  _xlpm.Knewscale, Constantes!$B$5,
  _xlpm.ptstables, INDEX(AE:AE, _xlfn.SEQUENCE(COUNTA($C$2:$C201), 1, 3, 4)),
  _xlpm.nbparties, COUNTA(_xlfn._xlws.FILTER(_xlpm.ptstables, _xlpm.ptstables &lt;&gt; "")),
  _xlpm.coef, _xlpm.K + _xlpm.Knewgain / (_xlpm.Knewscale + _xlpm.nbparties),
  IF(AE199="",
    "",
    _xlpm.coef * (AE199-AE200))
)</f>
        <v/>
      </c>
      <c r="AF201" t="str" cm="1">
        <f t="array" ref="AF201">_xlfn.LET(
  _xlpm.K, Constantes!$B$3,
  _xlpm.Knewgain, Constantes!$B$4,
  _xlpm.Knewscale, Constantes!$B$5,
  _xlpm.ptstables, INDEX(AF:AF, _xlfn.SEQUENCE(COUNTA($C$2:$C201), 1, 3, 4)),
  _xlpm.nbparties, COUNTA(_xlfn._xlws.FILTER(_xlpm.ptstables, _xlpm.ptstables &lt;&gt; "")),
  _xlpm.coef, _xlpm.K + _xlpm.Knewgain / (_xlpm.Knewscale + _xlpm.nbparties),
  IF(AF199="",
    "",
    _xlpm.coef * (AF199-AF200))
)</f>
        <v/>
      </c>
      <c r="AG201" t="str" cm="1">
        <f t="array" ref="AG201">_xlfn.LET(
  _xlpm.K, Constantes!$B$3,
  _xlpm.Knewgain, Constantes!$B$4,
  _xlpm.Knewscale, Constantes!$B$5,
  _xlpm.ptstables, INDEX(AG:AG, _xlfn.SEQUENCE(COUNTA($C$2:$C201), 1, 3, 4)),
  _xlpm.nbparties, COUNTA(_xlfn._xlws.FILTER(_xlpm.ptstables, _xlpm.ptstables &lt;&gt; "")),
  _xlpm.coef, _xlpm.K + _xlpm.Knewgain / (_xlpm.Knewscale + _xlpm.nbparties),
  IF(AG199="",
    "",
    _xlpm.coef * (AG199-AG200))
)</f>
        <v/>
      </c>
      <c r="AH201" t="str" cm="1">
        <f t="array" ref="AH201">_xlfn.LET(
  _xlpm.K, Constantes!$B$3,
  _xlpm.Knewgain, Constantes!$B$4,
  _xlpm.Knewscale, Constantes!$B$5,
  _xlpm.ptstables, INDEX(AH:AH, _xlfn.SEQUENCE(COUNTA($C$2:$C201), 1, 3, 4)),
  _xlpm.nbparties, COUNTA(_xlfn._xlws.FILTER(_xlpm.ptstables, _xlpm.ptstables &lt;&gt; "")),
  _xlpm.coef, _xlpm.K + _xlpm.Knewgain / (_xlpm.Knewscale + _xlpm.nbparties),
  IF(AH199="",
    "",
    _xlpm.coef * (AH199-AH200))
)</f>
        <v/>
      </c>
      <c r="AI201" t="str" cm="1">
        <f t="array" ref="AI201">_xlfn.LET(
  _xlpm.K, Constantes!$B$3,
  _xlpm.Knewgain, Constantes!$B$4,
  _xlpm.Knewscale, Constantes!$B$5,
  _xlpm.ptstables, INDEX(AI:AI, _xlfn.SEQUENCE(COUNTA($C$2:$C201), 1, 3, 4)),
  _xlpm.nbparties, COUNTA(_xlfn._xlws.FILTER(_xlpm.ptstables, _xlpm.ptstables &lt;&gt; "")),
  _xlpm.coef, _xlpm.K + _xlpm.Knewgain / (_xlpm.Knewscale + _xlpm.nbparties),
  IF(AI199="",
    "",
    _xlpm.coef * (AI199-AI200))
)</f>
        <v/>
      </c>
      <c r="AJ201" t="str" cm="1">
        <f t="array" ref="AJ201">_xlfn.LET(
  _xlpm.K, Constantes!$B$3,
  _xlpm.Knewgain, Constantes!$B$4,
  _xlpm.Knewscale, Constantes!$B$5,
  _xlpm.ptstables, INDEX(AJ:AJ, _xlfn.SEQUENCE(COUNTA($C$2:$C201), 1, 3, 4)),
  _xlpm.nbparties, COUNTA(_xlfn._xlws.FILTER(_xlpm.ptstables, _xlpm.ptstables &lt;&gt; "")),
  _xlpm.coef, _xlpm.K + _xlpm.Knewgain / (_xlpm.Knewscale + _xlpm.nbparties),
  IF(AJ199="",
    "",
    _xlpm.coef * (AJ199-AJ200))
)</f>
        <v/>
      </c>
      <c r="AK201" t="str" cm="1">
        <f t="array" ref="AK201">_xlfn.LET(
  _xlpm.K, Constantes!$B$3,
  _xlpm.Knewgain, Constantes!$B$4,
  _xlpm.Knewscale, Constantes!$B$5,
  _xlpm.ptstables, INDEX(AK:AK, _xlfn.SEQUENCE(COUNTA($C$2:$C201), 1, 3, 4)),
  _xlpm.nbparties, COUNTA(_xlfn._xlws.FILTER(_xlpm.ptstables, _xlpm.ptstables &lt;&gt; "")),
  _xlpm.coef, _xlpm.K + _xlpm.Knewgain / (_xlpm.Knewscale + _xlpm.nbparties),
  IF(AK199="",
    "",
    _xlpm.coef * (AK199-AK200))
)</f>
        <v/>
      </c>
      <c r="AL201" t="str" cm="1">
        <f t="array" ref="AL201">_xlfn.LET(
  _xlpm.K, Constantes!$B$3,
  _xlpm.Knewgain, Constantes!$B$4,
  _xlpm.Knewscale, Constantes!$B$5,
  _xlpm.ptstables, INDEX(AL:AL, _xlfn.SEQUENCE(COUNTA($C$2:$C201), 1, 3, 4)),
  _xlpm.nbparties, COUNTA(_xlfn._xlws.FILTER(_xlpm.ptstables, _xlpm.ptstables &lt;&gt; "")),
  _xlpm.coef, _xlpm.K + _xlpm.Knewgain / (_xlpm.Knewscale + _xlpm.nbparties),
  IF(AL199="",
    "",
    _xlpm.coef * (AL199-AL200))
)</f>
        <v/>
      </c>
      <c r="AM201" t="str" cm="1">
        <f t="array" ref="AM201">_xlfn.LET(
  _xlpm.K, Constantes!$B$3,
  _xlpm.Knewgain, Constantes!$B$4,
  _xlpm.Knewscale, Constantes!$B$5,
  _xlpm.ptstables, INDEX(AM:AM, _xlfn.SEQUENCE(COUNTA($C$2:$C201), 1, 3, 4)),
  _xlpm.nbparties, COUNTA(_xlfn._xlws.FILTER(_xlpm.ptstables, _xlpm.ptstables &lt;&gt; "")),
  _xlpm.coef, _xlpm.K + _xlpm.Knewgain / (_xlpm.Knewscale + _xlpm.nbparties),
  IF(AM199="",
    "",
    _xlpm.coef * (AM199-AM200))
)</f>
        <v/>
      </c>
    </row>
    <row r="202" spans="1:39" x14ac:dyDescent="0.25">
      <c r="A202" t="s">
        <v>14</v>
      </c>
      <c r="B202" t="str" cm="1">
        <f t="array" ref="B20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49</v>
      </c>
      <c r="C202" s="2" cm="1">
        <f t="array" ref="C202">IF(B202="","",
  INDEX(Donnees!F:F, MATCH(B202, Donnees!F:F, 0)+1))</f>
        <v>45934.697870370372</v>
      </c>
      <c r="D202">
        <f t="shared" ref="D202:AM202" si="58">D198+IF(D201="",0,D201)</f>
        <v>1102.9314752305681</v>
      </c>
      <c r="E202">
        <f t="shared" si="58"/>
        <v>1124.3346500367093</v>
      </c>
      <c r="F202">
        <f t="shared" si="58"/>
        <v>861.02806342581061</v>
      </c>
      <c r="G202">
        <f t="shared" si="58"/>
        <v>1050.9955183799098</v>
      </c>
      <c r="H202">
        <f t="shared" si="58"/>
        <v>1041.4828877801035</v>
      </c>
      <c r="I202">
        <f t="shared" si="58"/>
        <v>960.57774210047694</v>
      </c>
      <c r="J202">
        <f t="shared" si="58"/>
        <v>938.49433816478961</v>
      </c>
      <c r="K202">
        <f t="shared" si="58"/>
        <v>957.39471433630956</v>
      </c>
      <c r="L202">
        <f t="shared" si="58"/>
        <v>785.6233342249418</v>
      </c>
      <c r="M202">
        <f t="shared" si="58"/>
        <v>913.41986361738122</v>
      </c>
      <c r="N202">
        <f t="shared" si="58"/>
        <v>903.87102074645099</v>
      </c>
      <c r="O202">
        <f t="shared" si="58"/>
        <v>1005.4306950475848</v>
      </c>
      <c r="P202">
        <f t="shared" si="58"/>
        <v>1005.4229961505649</v>
      </c>
      <c r="Q202">
        <f t="shared" si="58"/>
        <v>1050.7184918608298</v>
      </c>
      <c r="R202">
        <f t="shared" si="58"/>
        <v>1180.6586778030673</v>
      </c>
      <c r="S202">
        <f t="shared" si="58"/>
        <v>857.40589081234418</v>
      </c>
      <c r="T202">
        <f t="shared" si="58"/>
        <v>1135.2782658680615</v>
      </c>
      <c r="U202">
        <f t="shared" si="58"/>
        <v>1167.4787998207285</v>
      </c>
      <c r="V202">
        <f t="shared" si="58"/>
        <v>961.58818235691967</v>
      </c>
      <c r="W202">
        <f t="shared" si="58"/>
        <v>936.79085942937002</v>
      </c>
      <c r="X202">
        <f t="shared" si="58"/>
        <v>822.49182421843079</v>
      </c>
      <c r="Y202">
        <f t="shared" si="58"/>
        <v>973.44788072280835</v>
      </c>
      <c r="Z202">
        <f t="shared" si="58"/>
        <v>991.11904139672549</v>
      </c>
      <c r="AA202">
        <f t="shared" si="58"/>
        <v>930.6732002028948</v>
      </c>
      <c r="AB202">
        <f t="shared" si="58"/>
        <v>988.35669729544747</v>
      </c>
      <c r="AC202">
        <f t="shared" si="58"/>
        <v>1085.8200128019769</v>
      </c>
      <c r="AD202">
        <f t="shared" si="58"/>
        <v>1012.3923743834587</v>
      </c>
      <c r="AE202">
        <f t="shared" si="58"/>
        <v>1011.415</v>
      </c>
      <c r="AF202">
        <f t="shared" si="58"/>
        <v>1031.1199999999999</v>
      </c>
      <c r="AG202">
        <f t="shared" si="58"/>
        <v>1001.0350000000001</v>
      </c>
      <c r="AH202">
        <f t="shared" si="58"/>
        <v>994.44</v>
      </c>
      <c r="AI202">
        <f t="shared" si="58"/>
        <v>1000</v>
      </c>
      <c r="AJ202">
        <f t="shared" si="58"/>
        <v>957.2</v>
      </c>
      <c r="AK202">
        <f t="shared" si="58"/>
        <v>1000</v>
      </c>
      <c r="AL202">
        <f t="shared" si="58"/>
        <v>1055.9299999999998</v>
      </c>
      <c r="AM202">
        <f t="shared" si="58"/>
        <v>1000</v>
      </c>
    </row>
    <row r="203" spans="1:39" x14ac:dyDescent="0.25">
      <c r="A203" t="s">
        <v>21</v>
      </c>
      <c r="D203" t="str" cm="1">
        <f t="array" ref="D203">IFERROR(
  _xlfn.LET(
    _xlpm.ligpartie, MATCH($B202, Donnees!$F:$F, 0),
    _xlpm.joueurs, INDEX(Donnees!$A:$Z, _xlpm.ligpartie+1, _xlfn.SEQUENCE(1, 4, 2)),
    INDEX(
      Donnees!$A:$Z,
      _xlpm.ligpartie + 3,
      MATCH(D$1, _xlpm.joueurs, 0) + 1
    )
  ), ""
)</f>
        <v/>
      </c>
      <c r="E203" t="str" cm="1">
        <f t="array" ref="E203">IFERROR(
  _xlfn.LET(
    _xlpm.ligpartie, MATCH($B202, Donnees!$F:$F, 0),
    _xlpm.joueurs, INDEX(Donnees!$A:$Z, _xlpm.ligpartie+1, _xlfn.SEQUENCE(1, 4, 2)),
    INDEX(
      Donnees!$A:$Z,
      _xlpm.ligpartie + 3,
      MATCH(E$1, _xlpm.joueurs, 0) + 1
    )
  ), ""
)</f>
        <v/>
      </c>
      <c r="F203" t="str" cm="1">
        <f t="array" ref="F203">IFERROR(
  _xlfn.LET(
    _xlpm.ligpartie, MATCH($B202, Donnees!$F:$F, 0),
    _xlpm.joueurs, INDEX(Donnees!$A:$Z, _xlpm.ligpartie+1, _xlfn.SEQUENCE(1, 4, 2)),
    INDEX(
      Donnees!$A:$Z,
      _xlpm.ligpartie + 3,
      MATCH(F$1, _xlpm.joueurs, 0) + 1
    )
  ), ""
)</f>
        <v/>
      </c>
      <c r="G203" t="str" cm="1">
        <f t="array" ref="G203">IFERROR(
  _xlfn.LET(
    _xlpm.ligpartie, MATCH($B202, Donnees!$F:$F, 0),
    _xlpm.joueurs, INDEX(Donnees!$A:$Z, _xlpm.ligpartie+1, _xlfn.SEQUENCE(1, 4, 2)),
    INDEX(
      Donnees!$A:$Z,
      _xlpm.ligpartie + 3,
      MATCH(G$1, _xlpm.joueurs, 0) + 1
    )
  ), ""
)</f>
        <v/>
      </c>
      <c r="H203" t="str" cm="1">
        <f t="array" ref="H203">IFERROR(
  _xlfn.LET(
    _xlpm.ligpartie, MATCH($B202, Donnees!$F:$F, 0),
    _xlpm.joueurs, INDEX(Donnees!$A:$Z, _xlpm.ligpartie+1, _xlfn.SEQUENCE(1, 4, 2)),
    INDEX(
      Donnees!$A:$Z,
      _xlpm.ligpartie + 3,
      MATCH(H$1, _xlpm.joueurs, 0) + 1
    )
  ), ""
)</f>
        <v/>
      </c>
      <c r="I203" t="str" cm="1">
        <f t="array" ref="I203">IFERROR(
  _xlfn.LET(
    _xlpm.ligpartie, MATCH($B202, Donnees!$F:$F, 0),
    _xlpm.joueurs, INDEX(Donnees!$A:$Z, _xlpm.ligpartie+1, _xlfn.SEQUENCE(1, 4, 2)),
    INDEX(
      Donnees!$A:$Z,
      _xlpm.ligpartie + 3,
      MATCH(I$1, _xlpm.joueurs, 0) + 1
    )
  ), ""
)</f>
        <v/>
      </c>
      <c r="J203" t="str" cm="1">
        <f t="array" ref="J203">IFERROR(
  _xlfn.LET(
    _xlpm.ligpartie, MATCH($B202, Donnees!$F:$F, 0),
    _xlpm.joueurs, INDEX(Donnees!$A:$Z, _xlpm.ligpartie+1, _xlfn.SEQUENCE(1, 4, 2)),
    INDEX(
      Donnees!$A:$Z,
      _xlpm.ligpartie + 3,
      MATCH(J$1, _xlpm.joueurs, 0) + 1
    )
  ), ""
)</f>
        <v/>
      </c>
      <c r="K203" t="str" cm="1">
        <f t="array" ref="K203">IFERROR(
  _xlfn.LET(
    _xlpm.ligpartie, MATCH($B202, Donnees!$F:$F, 0),
    _xlpm.joueurs, INDEX(Donnees!$A:$Z, _xlpm.ligpartie+1, _xlfn.SEQUENCE(1, 4, 2)),
    INDEX(
      Donnees!$A:$Z,
      _xlpm.ligpartie + 3,
      MATCH(K$1, _xlpm.joueurs, 0) + 1
    )
  ), ""
)</f>
        <v/>
      </c>
      <c r="L203" cm="1">
        <f t="array" ref="L203">IFERROR(
  _xlfn.LET(
    _xlpm.ligpartie, MATCH($B202, Donnees!$F:$F, 0),
    _xlpm.joueurs, INDEX(Donnees!$A:$Z, _xlpm.ligpartie+1, _xlfn.SEQUENCE(1, 4, 2)),
    INDEX(
      Donnees!$A:$Z,
      _xlpm.ligpartie + 3,
      MATCH(L$1, _xlpm.joueurs, 0) + 1
    )
  ), ""
)</f>
        <v>0</v>
      </c>
      <c r="M203" t="str" cm="1">
        <f t="array" ref="M203">IFERROR(
  _xlfn.LET(
    _xlpm.ligpartie, MATCH($B202, Donnees!$F:$F, 0),
    _xlpm.joueurs, INDEX(Donnees!$A:$Z, _xlpm.ligpartie+1, _xlfn.SEQUENCE(1, 4, 2)),
    INDEX(
      Donnees!$A:$Z,
      _xlpm.ligpartie + 3,
      MATCH(M$1, _xlpm.joueurs, 0) + 1
    )
  ), ""
)</f>
        <v/>
      </c>
      <c r="N203" t="str" cm="1">
        <f t="array" ref="N203">IFERROR(
  _xlfn.LET(
    _xlpm.ligpartie, MATCH($B202, Donnees!$F:$F, 0),
    _xlpm.joueurs, INDEX(Donnees!$A:$Z, _xlpm.ligpartie+1, _xlfn.SEQUENCE(1, 4, 2)),
    INDEX(
      Donnees!$A:$Z,
      _xlpm.ligpartie + 3,
      MATCH(N$1, _xlpm.joueurs, 0) + 1
    )
  ), ""
)</f>
        <v/>
      </c>
      <c r="O203" t="str" cm="1">
        <f t="array" ref="O203">IFERROR(
  _xlfn.LET(
    _xlpm.ligpartie, MATCH($B202, Donnees!$F:$F, 0),
    _xlpm.joueurs, INDEX(Donnees!$A:$Z, _xlpm.ligpartie+1, _xlfn.SEQUENCE(1, 4, 2)),
    INDEX(
      Donnees!$A:$Z,
      _xlpm.ligpartie + 3,
      MATCH(O$1, _xlpm.joueurs, 0) + 1
    )
  ), ""
)</f>
        <v/>
      </c>
      <c r="P203" t="str" cm="1">
        <f t="array" ref="P203">IFERROR(
  _xlfn.LET(
    _xlpm.ligpartie, MATCH($B202, Donnees!$F:$F, 0),
    _xlpm.joueurs, INDEX(Donnees!$A:$Z, _xlpm.ligpartie+1, _xlfn.SEQUENCE(1, 4, 2)),
    INDEX(
      Donnees!$A:$Z,
      _xlpm.ligpartie + 3,
      MATCH(P$1, _xlpm.joueurs, 0) + 1
    )
  ), ""
)</f>
        <v/>
      </c>
      <c r="Q203" t="str" cm="1">
        <f t="array" ref="Q203">IFERROR(
  _xlfn.LET(
    _xlpm.ligpartie, MATCH($B202, Donnees!$F:$F, 0),
    _xlpm.joueurs, INDEX(Donnees!$A:$Z, _xlpm.ligpartie+1, _xlfn.SEQUENCE(1, 4, 2)),
    INDEX(
      Donnees!$A:$Z,
      _xlpm.ligpartie + 3,
      MATCH(Q$1, _xlpm.joueurs, 0) + 1
    )
  ), ""
)</f>
        <v/>
      </c>
      <c r="R203" t="str" cm="1">
        <f t="array" ref="R203">IFERROR(
  _xlfn.LET(
    _xlpm.ligpartie, MATCH($B202, Donnees!$F:$F, 0),
    _xlpm.joueurs, INDEX(Donnees!$A:$Z, _xlpm.ligpartie+1, _xlfn.SEQUENCE(1, 4, 2)),
    INDEX(
      Donnees!$A:$Z,
      _xlpm.ligpartie + 3,
      MATCH(R$1, _xlpm.joueurs, 0) + 1
    )
  ), ""
)</f>
        <v/>
      </c>
      <c r="S203" cm="1">
        <f t="array" ref="S203">IFERROR(
  _xlfn.LET(
    _xlpm.ligpartie, MATCH($B202, Donnees!$F:$F, 0),
    _xlpm.joueurs, INDEX(Donnees!$A:$Z, _xlpm.ligpartie+1, _xlfn.SEQUENCE(1, 4, 2)),
    INDEX(
      Donnees!$A:$Z,
      _xlpm.ligpartie + 3,
      MATCH(S$1, _xlpm.joueurs, 0) + 1
    )
  ), ""
)</f>
        <v>1</v>
      </c>
      <c r="T203" t="str" cm="1">
        <f t="array" ref="T203">IFERROR(
  _xlfn.LET(
    _xlpm.ligpartie, MATCH($B202, Donnees!$F:$F, 0),
    _xlpm.joueurs, INDEX(Donnees!$A:$Z, _xlpm.ligpartie+1, _xlfn.SEQUENCE(1, 4, 2)),
    INDEX(
      Donnees!$A:$Z,
      _xlpm.ligpartie + 3,
      MATCH(T$1, _xlpm.joueurs, 0) + 1
    )
  ), ""
)</f>
        <v/>
      </c>
      <c r="U203" cm="1">
        <f t="array" ref="U203">IFERROR(
  _xlfn.LET(
    _xlpm.ligpartie, MATCH($B202, Donnees!$F:$F, 0),
    _xlpm.joueurs, INDEX(Donnees!$A:$Z, _xlpm.ligpartie+1, _xlfn.SEQUENCE(1, 4, 2)),
    INDEX(
      Donnees!$A:$Z,
      _xlpm.ligpartie + 3,
      MATCH(U$1, _xlpm.joueurs, 0) + 1
    )
  ), ""
)</f>
        <v>2</v>
      </c>
      <c r="V203" t="str" cm="1">
        <f t="array" ref="V203">IFERROR(
  _xlfn.LET(
    _xlpm.ligpartie, MATCH($B202, Donnees!$F:$F, 0),
    _xlpm.joueurs, INDEX(Donnees!$A:$Z, _xlpm.ligpartie+1, _xlfn.SEQUENCE(1, 4, 2)),
    INDEX(
      Donnees!$A:$Z,
      _xlpm.ligpartie + 3,
      MATCH(V$1, _xlpm.joueurs, 0) + 1
    )
  ), ""
)</f>
        <v/>
      </c>
      <c r="W203" t="str" cm="1">
        <f t="array" ref="W203">IFERROR(
  _xlfn.LET(
    _xlpm.ligpartie, MATCH($B202, Donnees!$F:$F, 0),
    _xlpm.joueurs, INDEX(Donnees!$A:$Z, _xlpm.ligpartie+1, _xlfn.SEQUENCE(1, 4, 2)),
    INDEX(
      Donnees!$A:$Z,
      _xlpm.ligpartie + 3,
      MATCH(W$1, _xlpm.joueurs, 0) + 1
    )
  ), ""
)</f>
        <v/>
      </c>
      <c r="X203" t="str" cm="1">
        <f t="array" ref="X203">IFERROR(
  _xlfn.LET(
    _xlpm.ligpartie, MATCH($B202, Donnees!$F:$F, 0),
    _xlpm.joueurs, INDEX(Donnees!$A:$Z, _xlpm.ligpartie+1, _xlfn.SEQUENCE(1, 4, 2)),
    INDEX(
      Donnees!$A:$Z,
      _xlpm.ligpartie + 3,
      MATCH(X$1, _xlpm.joueurs, 0) + 1
    )
  ), ""
)</f>
        <v/>
      </c>
      <c r="Y203" t="str" cm="1">
        <f t="array" ref="Y203">IFERROR(
  _xlfn.LET(
    _xlpm.ligpartie, MATCH($B202, Donnees!$F:$F, 0),
    _xlpm.joueurs, INDEX(Donnees!$A:$Z, _xlpm.ligpartie+1, _xlfn.SEQUENCE(1, 4, 2)),
    INDEX(
      Donnees!$A:$Z,
      _xlpm.ligpartie + 3,
      MATCH(Y$1, _xlpm.joueurs, 0) + 1
    )
  ), ""
)</f>
        <v/>
      </c>
      <c r="Z203" t="str" cm="1">
        <f t="array" ref="Z203">IFERROR(
  _xlfn.LET(
    _xlpm.ligpartie, MATCH($B202, Donnees!$F:$F, 0),
    _xlpm.joueurs, INDEX(Donnees!$A:$Z, _xlpm.ligpartie+1, _xlfn.SEQUENCE(1, 4, 2)),
    INDEX(
      Donnees!$A:$Z,
      _xlpm.ligpartie + 3,
      MATCH(Z$1, _xlpm.joueurs, 0) + 1
    )
  ), ""
)</f>
        <v/>
      </c>
      <c r="AA203" t="str" cm="1">
        <f t="array" ref="AA203">IFERROR(
  _xlfn.LET(
    _xlpm.ligpartie, MATCH($B202, Donnees!$F:$F, 0),
    _xlpm.joueurs, INDEX(Donnees!$A:$Z, _xlpm.ligpartie+1, _xlfn.SEQUENCE(1, 4, 2)),
    INDEX(
      Donnees!$A:$Z,
      _xlpm.ligpartie + 3,
      MATCH(AA$1, _xlpm.joueurs, 0) + 1
    )
  ), ""
)</f>
        <v/>
      </c>
      <c r="AB203" t="str" cm="1">
        <f t="array" ref="AB203">IFERROR(
  _xlfn.LET(
    _xlpm.ligpartie, MATCH($B202, Donnees!$F:$F, 0),
    _xlpm.joueurs, INDEX(Donnees!$A:$Z, _xlpm.ligpartie+1, _xlfn.SEQUENCE(1, 4, 2)),
    INDEX(
      Donnees!$A:$Z,
      _xlpm.ligpartie + 3,
      MATCH(AB$1, _xlpm.joueurs, 0) + 1
    )
  ), ""
)</f>
        <v/>
      </c>
      <c r="AC203" t="str" cm="1">
        <f t="array" ref="AC203">IFERROR(
  _xlfn.LET(
    _xlpm.ligpartie, MATCH($B202, Donnees!$F:$F, 0),
    _xlpm.joueurs, INDEX(Donnees!$A:$Z, _xlpm.ligpartie+1, _xlfn.SEQUENCE(1, 4, 2)),
    INDEX(
      Donnees!$A:$Z,
      _xlpm.ligpartie + 3,
      MATCH(AC$1, _xlpm.joueurs, 0) + 1
    )
  ), ""
)</f>
        <v/>
      </c>
      <c r="AD203" cm="1">
        <f t="array" ref="AD203">IFERROR(
  _xlfn.LET(
    _xlpm.ligpartie, MATCH($B202, Donnees!$F:$F, 0),
    _xlpm.joueurs, INDEX(Donnees!$A:$Z, _xlpm.ligpartie+1, _xlfn.SEQUENCE(1, 4, 2)),
    INDEX(
      Donnees!$A:$Z,
      _xlpm.ligpartie + 3,
      MATCH(AD$1, _xlpm.joueurs, 0) + 1
    )
  ), ""
)</f>
        <v>3</v>
      </c>
      <c r="AE203" t="str" cm="1">
        <f t="array" ref="AE203">IFERROR(
  _xlfn.LET(
    _xlpm.ligpartie, MATCH($B202, Donnees!$F:$F, 0),
    _xlpm.joueurs, INDEX(Donnees!$A:$Z, _xlpm.ligpartie+1, _xlfn.SEQUENCE(1, 4, 2)),
    INDEX(
      Donnees!$A:$Z,
      _xlpm.ligpartie + 3,
      MATCH(AE$1, _xlpm.joueurs, 0) + 1
    )
  ), ""
)</f>
        <v/>
      </c>
      <c r="AF203" t="str" cm="1">
        <f t="array" ref="AF203">IFERROR(
  _xlfn.LET(
    _xlpm.ligpartie, MATCH($B202, Donnees!$F:$F, 0),
    _xlpm.joueurs, INDEX(Donnees!$A:$Z, _xlpm.ligpartie+1, _xlfn.SEQUENCE(1, 4, 2)),
    INDEX(
      Donnees!$A:$Z,
      _xlpm.ligpartie + 3,
      MATCH(AF$1, _xlpm.joueurs, 0) + 1
    )
  ), ""
)</f>
        <v/>
      </c>
      <c r="AG203" t="str" cm="1">
        <f t="array" ref="AG203">IFERROR(
  _xlfn.LET(
    _xlpm.ligpartie, MATCH($B202, Donnees!$F:$F, 0),
    _xlpm.joueurs, INDEX(Donnees!$A:$Z, _xlpm.ligpartie+1, _xlfn.SEQUENCE(1, 4, 2)),
    INDEX(
      Donnees!$A:$Z,
      _xlpm.ligpartie + 3,
      MATCH(AG$1, _xlpm.joueurs, 0) + 1
    )
  ), ""
)</f>
        <v/>
      </c>
      <c r="AH203" t="str" cm="1">
        <f t="array" ref="AH203">IFERROR(
  _xlfn.LET(
    _xlpm.ligpartie, MATCH($B202, Donnees!$F:$F, 0),
    _xlpm.joueurs, INDEX(Donnees!$A:$Z, _xlpm.ligpartie+1, _xlfn.SEQUENCE(1, 4, 2)),
    INDEX(
      Donnees!$A:$Z,
      _xlpm.ligpartie + 3,
      MATCH(AH$1, _xlpm.joueurs, 0) + 1
    )
  ), ""
)</f>
        <v/>
      </c>
      <c r="AI203" t="str" cm="1">
        <f t="array" ref="AI203">IFERROR(
  _xlfn.LET(
    _xlpm.ligpartie, MATCH($B202, Donnees!$F:$F, 0),
    _xlpm.joueurs, INDEX(Donnees!$A:$Z, _xlpm.ligpartie+1, _xlfn.SEQUENCE(1, 4, 2)),
    INDEX(
      Donnees!$A:$Z,
      _xlpm.ligpartie + 3,
      MATCH(AI$1, _xlpm.joueurs, 0) + 1
    )
  ), ""
)</f>
        <v/>
      </c>
      <c r="AJ203" t="str" cm="1">
        <f t="array" ref="AJ203">IFERROR(
  _xlfn.LET(
    _xlpm.ligpartie, MATCH($B202, Donnees!$F:$F, 0),
    _xlpm.joueurs, INDEX(Donnees!$A:$Z, _xlpm.ligpartie+1, _xlfn.SEQUENCE(1, 4, 2)),
    INDEX(
      Donnees!$A:$Z,
      _xlpm.ligpartie + 3,
      MATCH(AJ$1, _xlpm.joueurs, 0) + 1
    )
  ), ""
)</f>
        <v/>
      </c>
      <c r="AK203" t="str" cm="1">
        <f t="array" ref="AK203">IFERROR(
  _xlfn.LET(
    _xlpm.ligpartie, MATCH($B202, Donnees!$F:$F, 0),
    _xlpm.joueurs, INDEX(Donnees!$A:$Z, _xlpm.ligpartie+1, _xlfn.SEQUENCE(1, 4, 2)),
    INDEX(
      Donnees!$A:$Z,
      _xlpm.ligpartie + 3,
      MATCH(AK$1, _xlpm.joueurs, 0) + 1
    )
  ), ""
)</f>
        <v/>
      </c>
      <c r="AL203" t="str" cm="1">
        <f t="array" ref="AL203">IFERROR(
  _xlfn.LET(
    _xlpm.ligpartie, MATCH($B202, Donnees!$F:$F, 0),
    _xlpm.joueurs, INDEX(Donnees!$A:$Z, _xlpm.ligpartie+1, _xlfn.SEQUENCE(1, 4, 2)),
    INDEX(
      Donnees!$A:$Z,
      _xlpm.ligpartie + 3,
      MATCH(AL$1, _xlpm.joueurs, 0) + 1
    )
  ), ""
)</f>
        <v/>
      </c>
      <c r="AM203" t="str" cm="1">
        <f t="array" ref="AM203">IFERROR(
  _xlfn.LET(
    _xlpm.ligpartie, MATCH($B202, Donnees!$F:$F, 0),
    _xlpm.joueurs, INDEX(Donnees!$A:$Z, _xlpm.ligpartie+1, _xlfn.SEQUENCE(1, 4, 2)),
    INDEX(
      Donnees!$A:$Z,
      _xlpm.ligpartie + 3,
      MATCH(AM$1, _xlpm.joueurs, 0) + 1
    )
  ), ""
)</f>
        <v/>
      </c>
    </row>
    <row r="204" spans="1:39" x14ac:dyDescent="0.25">
      <c r="A204" t="s">
        <v>20</v>
      </c>
      <c r="D204" t="str" cm="1">
        <f t="array" ref="D204">_xlfn.LET(
  _xlpm.colj, _xlfn._xlws.FILTER(IF(ISNUMBER(203:203), COLUMN(203:203)), ISNUMBER(203:203)),
  _xlpm.elos, INDEX(202:202,1,_xlpm.colj),
  _xlpm.diffscale, Constantes!$B$2,
  IF(D203="",
    "",
    SUM(1/(1+POWER(10,-(D202-_xlpm.elos)/_xlpm.diffscale)))-0.5)
)</f>
        <v/>
      </c>
      <c r="E204" t="str" cm="1">
        <f t="array" ref="E204">_xlfn.LET(
  _xlpm.colj, _xlfn._xlws.FILTER(IF(ISNUMBER(203:203), COLUMN(203:203)), ISNUMBER(203:203)),
  _xlpm.elos, INDEX(202:202,1,_xlpm.colj),
  _xlpm.diffscale, Constantes!$B$2,
  IF(E203="",
    "",
    SUM(1/(1+POWER(10,-(E202-_xlpm.elos)/_xlpm.diffscale)))-0.5)
)</f>
        <v/>
      </c>
      <c r="F204" t="str" cm="1">
        <f t="array" ref="F204">_xlfn.LET(
  _xlpm.colj, _xlfn._xlws.FILTER(IF(ISNUMBER(203:203), COLUMN(203:203)), ISNUMBER(203:203)),
  _xlpm.elos, INDEX(202:202,1,_xlpm.colj),
  _xlpm.diffscale, Constantes!$B$2,
  IF(F203="",
    "",
    SUM(1/(1+POWER(10,-(F202-_xlpm.elos)/_xlpm.diffscale)))-0.5)
)</f>
        <v/>
      </c>
      <c r="G204" t="str" cm="1">
        <f t="array" ref="G204">_xlfn.LET(
  _xlpm.colj, _xlfn._xlws.FILTER(IF(ISNUMBER(203:203), COLUMN(203:203)), ISNUMBER(203:203)),
  _xlpm.elos, INDEX(202:202,1,_xlpm.colj),
  _xlpm.diffscale, Constantes!$B$2,
  IF(G203="",
    "",
    SUM(1/(1+POWER(10,-(G202-_xlpm.elos)/_xlpm.diffscale)))-0.5)
)</f>
        <v/>
      </c>
      <c r="H204" t="str" cm="1">
        <f t="array" ref="H204">_xlfn.LET(
  _xlpm.colj, _xlfn._xlws.FILTER(IF(ISNUMBER(203:203), COLUMN(203:203)), ISNUMBER(203:203)),
  _xlpm.elos, INDEX(202:202,1,_xlpm.colj),
  _xlpm.diffscale, Constantes!$B$2,
  IF(H203="",
    "",
    SUM(1/(1+POWER(10,-(H202-_xlpm.elos)/_xlpm.diffscale)))-0.5)
)</f>
        <v/>
      </c>
      <c r="I204" t="str" cm="1">
        <f t="array" ref="I204">_xlfn.LET(
  _xlpm.colj, _xlfn._xlws.FILTER(IF(ISNUMBER(203:203), COLUMN(203:203)), ISNUMBER(203:203)),
  _xlpm.elos, INDEX(202:202,1,_xlpm.colj),
  _xlpm.diffscale, Constantes!$B$2,
  IF(I203="",
    "",
    SUM(1/(1+POWER(10,-(I202-_xlpm.elos)/_xlpm.diffscale)))-0.5)
)</f>
        <v/>
      </c>
      <c r="J204" t="str" cm="1">
        <f t="array" ref="J204">_xlfn.LET(
  _xlpm.colj, _xlfn._xlws.FILTER(IF(ISNUMBER(203:203), COLUMN(203:203)), ISNUMBER(203:203)),
  _xlpm.elos, INDEX(202:202,1,_xlpm.colj),
  _xlpm.diffscale, Constantes!$B$2,
  IF(J203="",
    "",
    SUM(1/(1+POWER(10,-(J202-_xlpm.elos)/_xlpm.diffscale)))-0.5)
)</f>
        <v/>
      </c>
      <c r="K204" t="str" cm="1">
        <f t="array" ref="K204">_xlfn.LET(
  _xlpm.colj, _xlfn._xlws.FILTER(IF(ISNUMBER(203:203), COLUMN(203:203)), ISNUMBER(203:203)),
  _xlpm.elos, INDEX(202:202,1,_xlpm.colj),
  _xlpm.diffscale, Constantes!$B$2,
  IF(K203="",
    "",
    SUM(1/(1+POWER(10,-(K202-_xlpm.elos)/_xlpm.diffscale)))-0.5)
)</f>
        <v/>
      </c>
      <c r="L204" cm="1">
        <f t="array" ref="L204">_xlfn.LET(
  _xlpm.colj, _xlfn._xlws.FILTER(IF(ISNUMBER(203:203), COLUMN(203:203)), ISNUMBER(203:203)),
  _xlpm.elos, INDEX(202:202,1,_xlpm.colj),
  _xlpm.diffscale, Constantes!$B$2,
  IF(L203="",
    "",
    SUM(1/(1+POWER(10,-(L202-_xlpm.elos)/_xlpm.diffscale)))-0.5)
)</f>
        <v>0.71131944306103123</v>
      </c>
      <c r="M204" t="str" cm="1">
        <f t="array" ref="M204">_xlfn.LET(
  _xlpm.colj, _xlfn._xlws.FILTER(IF(ISNUMBER(203:203), COLUMN(203:203)), ISNUMBER(203:203)),
  _xlpm.elos, INDEX(202:202,1,_xlpm.colj),
  _xlpm.diffscale, Constantes!$B$2,
  IF(M203="",
    "",
    SUM(1/(1+POWER(10,-(M202-_xlpm.elos)/_xlpm.diffscale)))-0.5)
)</f>
        <v/>
      </c>
      <c r="N204" t="str" cm="1">
        <f t="array" ref="N204">_xlfn.LET(
  _xlpm.colj, _xlfn._xlws.FILTER(IF(ISNUMBER(203:203), COLUMN(203:203)), ISNUMBER(203:203)),
  _xlpm.elos, INDEX(202:202,1,_xlpm.colj),
  _xlpm.diffscale, Constantes!$B$2,
  IF(N203="",
    "",
    SUM(1/(1+POWER(10,-(N202-_xlpm.elos)/_xlpm.diffscale)))-0.5)
)</f>
        <v/>
      </c>
      <c r="O204" t="str" cm="1">
        <f t="array" ref="O204">_xlfn.LET(
  _xlpm.colj, _xlfn._xlws.FILTER(IF(ISNUMBER(203:203), COLUMN(203:203)), ISNUMBER(203:203)),
  _xlpm.elos, INDEX(202:202,1,_xlpm.colj),
  _xlpm.diffscale, Constantes!$B$2,
  IF(O203="",
    "",
    SUM(1/(1+POWER(10,-(O202-_xlpm.elos)/_xlpm.diffscale)))-0.5)
)</f>
        <v/>
      </c>
      <c r="P204" t="str" cm="1">
        <f t="array" ref="P204">_xlfn.LET(
  _xlpm.colj, _xlfn._xlws.FILTER(IF(ISNUMBER(203:203), COLUMN(203:203)), ISNUMBER(203:203)),
  _xlpm.elos, INDEX(202:202,1,_xlpm.colj),
  _xlpm.diffscale, Constantes!$B$2,
  IF(P203="",
    "",
    SUM(1/(1+POWER(10,-(P202-_xlpm.elos)/_xlpm.diffscale)))-0.5)
)</f>
        <v/>
      </c>
      <c r="Q204" t="str" cm="1">
        <f t="array" ref="Q204">_xlfn.LET(
  _xlpm.colj, _xlfn._xlws.FILTER(IF(ISNUMBER(203:203), COLUMN(203:203)), ISNUMBER(203:203)),
  _xlpm.elos, INDEX(202:202,1,_xlpm.colj),
  _xlpm.diffscale, Constantes!$B$2,
  IF(Q203="",
    "",
    SUM(1/(1+POWER(10,-(Q202-_xlpm.elos)/_xlpm.diffscale)))-0.5)
)</f>
        <v/>
      </c>
      <c r="R204" t="str" cm="1">
        <f t="array" ref="R204">_xlfn.LET(
  _xlpm.colj, _xlfn._xlws.FILTER(IF(ISNUMBER(203:203), COLUMN(203:203)), ISNUMBER(203:203)),
  _xlpm.elos, INDEX(202:202,1,_xlpm.colj),
  _xlpm.diffscale, Constantes!$B$2,
  IF(R203="",
    "",
    SUM(1/(1+POWER(10,-(R202-_xlpm.elos)/_xlpm.diffscale)))-0.5)
)</f>
        <v/>
      </c>
      <c r="S204" cm="1">
        <f t="array" ref="S204">_xlfn.LET(
  _xlpm.colj, _xlfn._xlws.FILTER(IF(ISNUMBER(203:203), COLUMN(203:203)), ISNUMBER(203:203)),
  _xlpm.elos, INDEX(202:202,1,_xlpm.colj),
  _xlpm.diffscale, Constantes!$B$2,
  IF(S203="",
    "",
    SUM(1/(1+POWER(10,-(S202-_xlpm.elos)/_xlpm.diffscale)))-0.5)
)</f>
        <v>1.0362158922424731</v>
      </c>
      <c r="T204" t="str" cm="1">
        <f t="array" ref="T204">_xlfn.LET(
  _xlpm.colj, _xlfn._xlws.FILTER(IF(ISNUMBER(203:203), COLUMN(203:203)), ISNUMBER(203:203)),
  _xlpm.elos, INDEX(202:202,1,_xlpm.colj),
  _xlpm.diffscale, Constantes!$B$2,
  IF(T203="",
    "",
    SUM(1/(1+POWER(10,-(T202-_xlpm.elos)/_xlpm.diffscale)))-0.5)
)</f>
        <v/>
      </c>
      <c r="U204" cm="1">
        <f t="array" ref="U204">_xlfn.LET(
  _xlpm.colj, _xlfn._xlws.FILTER(IF(ISNUMBER(203:203), COLUMN(203:203)), ISNUMBER(203:203)),
  _xlpm.elos, INDEX(202:202,1,_xlpm.colj),
  _xlpm.diffscale, Constantes!$B$2,
  IF(U203="",
    "",
    SUM(1/(1+POWER(10,-(U202-_xlpm.elos)/_xlpm.diffscale)))-0.5)
)</f>
        <v>2.4658429676890297</v>
      </c>
      <c r="V204" t="str" cm="1">
        <f t="array" ref="V204">_xlfn.LET(
  _xlpm.colj, _xlfn._xlws.FILTER(IF(ISNUMBER(203:203), COLUMN(203:203)), ISNUMBER(203:203)),
  _xlpm.elos, INDEX(202:202,1,_xlpm.colj),
  _xlpm.diffscale, Constantes!$B$2,
  IF(V203="",
    "",
    SUM(1/(1+POWER(10,-(V202-_xlpm.elos)/_xlpm.diffscale)))-0.5)
)</f>
        <v/>
      </c>
      <c r="W204" t="str" cm="1">
        <f t="array" ref="W204">_xlfn.LET(
  _xlpm.colj, _xlfn._xlws.FILTER(IF(ISNUMBER(203:203), COLUMN(203:203)), ISNUMBER(203:203)),
  _xlpm.elos, INDEX(202:202,1,_xlpm.colj),
  _xlpm.diffscale, Constantes!$B$2,
  IF(W203="",
    "",
    SUM(1/(1+POWER(10,-(W202-_xlpm.elos)/_xlpm.diffscale)))-0.5)
)</f>
        <v/>
      </c>
      <c r="X204" t="str" cm="1">
        <f t="array" ref="X204">_xlfn.LET(
  _xlpm.colj, _xlfn._xlws.FILTER(IF(ISNUMBER(203:203), COLUMN(203:203)), ISNUMBER(203:203)),
  _xlpm.elos, INDEX(202:202,1,_xlpm.colj),
  _xlpm.diffscale, Constantes!$B$2,
  IF(X203="",
    "",
    SUM(1/(1+POWER(10,-(X202-_xlpm.elos)/_xlpm.diffscale)))-0.5)
)</f>
        <v/>
      </c>
      <c r="Y204" t="str" cm="1">
        <f t="array" ref="Y204">_xlfn.LET(
  _xlpm.colj, _xlfn._xlws.FILTER(IF(ISNUMBER(203:203), COLUMN(203:203)), ISNUMBER(203:203)),
  _xlpm.elos, INDEX(202:202,1,_xlpm.colj),
  _xlpm.diffscale, Constantes!$B$2,
  IF(Y203="",
    "",
    SUM(1/(1+POWER(10,-(Y202-_xlpm.elos)/_xlpm.diffscale)))-0.5)
)</f>
        <v/>
      </c>
      <c r="Z204" t="str" cm="1">
        <f t="array" ref="Z204">_xlfn.LET(
  _xlpm.colj, _xlfn._xlws.FILTER(IF(ISNUMBER(203:203), COLUMN(203:203)), ISNUMBER(203:203)),
  _xlpm.elos, INDEX(202:202,1,_xlpm.colj),
  _xlpm.diffscale, Constantes!$B$2,
  IF(Z203="",
    "",
    SUM(1/(1+POWER(10,-(Z202-_xlpm.elos)/_xlpm.diffscale)))-0.5)
)</f>
        <v/>
      </c>
      <c r="AA204" t="str" cm="1">
        <f t="array" ref="AA204">_xlfn.LET(
  _xlpm.colj, _xlfn._xlws.FILTER(IF(ISNUMBER(203:203), COLUMN(203:203)), ISNUMBER(203:203)),
  _xlpm.elos, INDEX(202:202,1,_xlpm.colj),
  _xlpm.diffscale, Constantes!$B$2,
  IF(AA203="",
    "",
    SUM(1/(1+POWER(10,-(AA202-_xlpm.elos)/_xlpm.diffscale)))-0.5)
)</f>
        <v/>
      </c>
      <c r="AB204" t="str" cm="1">
        <f t="array" ref="AB204">_xlfn.LET(
  _xlpm.colj, _xlfn._xlws.FILTER(IF(ISNUMBER(203:203), COLUMN(203:203)), ISNUMBER(203:203)),
  _xlpm.elos, INDEX(202:202,1,_xlpm.colj),
  _xlpm.diffscale, Constantes!$B$2,
  IF(AB203="",
    "",
    SUM(1/(1+POWER(10,-(AB202-_xlpm.elos)/_xlpm.diffscale)))-0.5)
)</f>
        <v/>
      </c>
      <c r="AC204" t="str" cm="1">
        <f t="array" ref="AC204">_xlfn.LET(
  _xlpm.colj, _xlfn._xlws.FILTER(IF(ISNUMBER(203:203), COLUMN(203:203)), ISNUMBER(203:203)),
  _xlpm.elos, INDEX(202:202,1,_xlpm.colj),
  _xlpm.diffscale, Constantes!$B$2,
  IF(AC203="",
    "",
    SUM(1/(1+POWER(10,-(AC202-_xlpm.elos)/_xlpm.diffscale)))-0.5)
)</f>
        <v/>
      </c>
      <c r="AD204" cm="1">
        <f t="array" ref="AD204">_xlfn.LET(
  _xlpm.colj, _xlfn._xlws.FILTER(IF(ISNUMBER(203:203), COLUMN(203:203)), ISNUMBER(203:203)),
  _xlpm.elos, INDEX(202:202,1,_xlpm.colj),
  _xlpm.diffscale, Constantes!$B$2,
  IF(AD203="",
    "",
    SUM(1/(1+POWER(10,-(AD202-_xlpm.elos)/_xlpm.diffscale)))-0.5)
)</f>
        <v>1.7866216970074662</v>
      </c>
      <c r="AE204" t="str" cm="1">
        <f t="array" ref="AE204">_xlfn.LET(
  _xlpm.colj, _xlfn._xlws.FILTER(IF(ISNUMBER(203:203), COLUMN(203:203)), ISNUMBER(203:203)),
  _xlpm.elos, INDEX(202:202,1,_xlpm.colj),
  _xlpm.diffscale, Constantes!$B$2,
  IF(AE203="",
    "",
    SUM(1/(1+POWER(10,-(AE202-_xlpm.elos)/_xlpm.diffscale)))-0.5)
)</f>
        <v/>
      </c>
      <c r="AF204" t="str" cm="1">
        <f t="array" ref="AF204">_xlfn.LET(
  _xlpm.colj, _xlfn._xlws.FILTER(IF(ISNUMBER(203:203), COLUMN(203:203)), ISNUMBER(203:203)),
  _xlpm.elos, INDEX(202:202,1,_xlpm.colj),
  _xlpm.diffscale, Constantes!$B$2,
  IF(AF203="",
    "",
    SUM(1/(1+POWER(10,-(AF202-_xlpm.elos)/_xlpm.diffscale)))-0.5)
)</f>
        <v/>
      </c>
      <c r="AG204" t="str" cm="1">
        <f t="array" ref="AG204">_xlfn.LET(
  _xlpm.colj, _xlfn._xlws.FILTER(IF(ISNUMBER(203:203), COLUMN(203:203)), ISNUMBER(203:203)),
  _xlpm.elos, INDEX(202:202,1,_xlpm.colj),
  _xlpm.diffscale, Constantes!$B$2,
  IF(AG203="",
    "",
    SUM(1/(1+POWER(10,-(AG202-_xlpm.elos)/_xlpm.diffscale)))-0.5)
)</f>
        <v/>
      </c>
      <c r="AH204" t="str" cm="1">
        <f t="array" ref="AH204">_xlfn.LET(
  _xlpm.colj, _xlfn._xlws.FILTER(IF(ISNUMBER(203:203), COLUMN(203:203)), ISNUMBER(203:203)),
  _xlpm.elos, INDEX(202:202,1,_xlpm.colj),
  _xlpm.diffscale, Constantes!$B$2,
  IF(AH203="",
    "",
    SUM(1/(1+POWER(10,-(AH202-_xlpm.elos)/_xlpm.diffscale)))-0.5)
)</f>
        <v/>
      </c>
      <c r="AI204" t="str" cm="1">
        <f t="array" ref="AI204">_xlfn.LET(
  _xlpm.colj, _xlfn._xlws.FILTER(IF(ISNUMBER(203:203), COLUMN(203:203)), ISNUMBER(203:203)),
  _xlpm.elos, INDEX(202:202,1,_xlpm.colj),
  _xlpm.diffscale, Constantes!$B$2,
  IF(AI203="",
    "",
    SUM(1/(1+POWER(10,-(AI202-_xlpm.elos)/_xlpm.diffscale)))-0.5)
)</f>
        <v/>
      </c>
      <c r="AJ204" t="str" cm="1">
        <f t="array" ref="AJ204">_xlfn.LET(
  _xlpm.colj, _xlfn._xlws.FILTER(IF(ISNUMBER(203:203), COLUMN(203:203)), ISNUMBER(203:203)),
  _xlpm.elos, INDEX(202:202,1,_xlpm.colj),
  _xlpm.diffscale, Constantes!$B$2,
  IF(AJ203="",
    "",
    SUM(1/(1+POWER(10,-(AJ202-_xlpm.elos)/_xlpm.diffscale)))-0.5)
)</f>
        <v/>
      </c>
      <c r="AK204" t="str" cm="1">
        <f t="array" ref="AK204">_xlfn.LET(
  _xlpm.colj, _xlfn._xlws.FILTER(IF(ISNUMBER(203:203), COLUMN(203:203)), ISNUMBER(203:203)),
  _xlpm.elos, INDEX(202:202,1,_xlpm.colj),
  _xlpm.diffscale, Constantes!$B$2,
  IF(AK203="",
    "",
    SUM(1/(1+POWER(10,-(AK202-_xlpm.elos)/_xlpm.diffscale)))-0.5)
)</f>
        <v/>
      </c>
      <c r="AL204" t="str" cm="1">
        <f t="array" ref="AL204">_xlfn.LET(
  _xlpm.colj, _xlfn._xlws.FILTER(IF(ISNUMBER(203:203), COLUMN(203:203)), ISNUMBER(203:203)),
  _xlpm.elos, INDEX(202:202,1,_xlpm.colj),
  _xlpm.diffscale, Constantes!$B$2,
  IF(AL203="",
    "",
    SUM(1/(1+POWER(10,-(AL202-_xlpm.elos)/_xlpm.diffscale)))-0.5)
)</f>
        <v/>
      </c>
      <c r="AM204" t="str" cm="1">
        <f t="array" ref="AM204">_xlfn.LET(
  _xlpm.colj, _xlfn._xlws.FILTER(IF(ISNUMBER(203:203), COLUMN(203:203)), ISNUMBER(203:203)),
  _xlpm.elos, INDEX(202:202,1,_xlpm.colj),
  _xlpm.diffscale, Constantes!$B$2,
  IF(AM203="",
    "",
    SUM(1/(1+POWER(10,-(AM202-_xlpm.elos)/_xlpm.diffscale)))-0.5)
)</f>
        <v/>
      </c>
    </row>
    <row r="205" spans="1:39" x14ac:dyDescent="0.25">
      <c r="A205" t="s">
        <v>22</v>
      </c>
      <c r="D205" t="str" cm="1">
        <f t="array" ref="D205">_xlfn.LET(
  _xlpm.K, Constantes!$B$3,
  _xlpm.Knewgain, Constantes!$B$4,
  _xlpm.Knewscale, Constantes!$B$5,
  _xlpm.ptstables, INDEX(D:D, _xlfn.SEQUENCE(COUNTA($C$2:$C205), 1, 3, 4)),
  _xlpm.nbparties, COUNTA(_xlfn._xlws.FILTER(_xlpm.ptstables, _xlpm.ptstables &lt;&gt; "")),
  _xlpm.coef, _xlpm.K + _xlpm.Knewgain / (_xlpm.Knewscale + _xlpm.nbparties),
  IF(D203="",
    "",
    _xlpm.coef * (D203-D204))
)</f>
        <v/>
      </c>
      <c r="E205" t="str" cm="1">
        <f t="array" ref="E205">_xlfn.LET(
  _xlpm.K, Constantes!$B$3,
  _xlpm.Knewgain, Constantes!$B$4,
  _xlpm.Knewscale, Constantes!$B$5,
  _xlpm.ptstables, INDEX(E:E, _xlfn.SEQUENCE(COUNTA($C$2:$C205), 1, 3, 4)),
  _xlpm.nbparties, COUNTA(_xlfn._xlws.FILTER(_xlpm.ptstables, _xlpm.ptstables &lt;&gt; "")),
  _xlpm.coef, _xlpm.K + _xlpm.Knewgain / (_xlpm.Knewscale + _xlpm.nbparties),
  IF(E203="",
    "",
    _xlpm.coef * (E203-E204))
)</f>
        <v/>
      </c>
      <c r="F205" t="str" cm="1">
        <f t="array" ref="F205">_xlfn.LET(
  _xlpm.K, Constantes!$B$3,
  _xlpm.Knewgain, Constantes!$B$4,
  _xlpm.Knewscale, Constantes!$B$5,
  _xlpm.ptstables, INDEX(F:F, _xlfn.SEQUENCE(COUNTA($C$2:$C205), 1, 3, 4)),
  _xlpm.nbparties, COUNTA(_xlfn._xlws.FILTER(_xlpm.ptstables, _xlpm.ptstables &lt;&gt; "")),
  _xlpm.coef, _xlpm.K + _xlpm.Knewgain / (_xlpm.Knewscale + _xlpm.nbparties),
  IF(F203="",
    "",
    _xlpm.coef * (F203-F204))
)</f>
        <v/>
      </c>
      <c r="G205" t="str" cm="1">
        <f t="array" ref="G205">_xlfn.LET(
  _xlpm.K, Constantes!$B$3,
  _xlpm.Knewgain, Constantes!$B$4,
  _xlpm.Knewscale, Constantes!$B$5,
  _xlpm.ptstables, INDEX(G:G, _xlfn.SEQUENCE(COUNTA($C$2:$C205), 1, 3, 4)),
  _xlpm.nbparties, COUNTA(_xlfn._xlws.FILTER(_xlpm.ptstables, _xlpm.ptstables &lt;&gt; "")),
  _xlpm.coef, _xlpm.K + _xlpm.Knewgain / (_xlpm.Knewscale + _xlpm.nbparties),
  IF(G203="",
    "",
    _xlpm.coef * (G203-G204))
)</f>
        <v/>
      </c>
      <c r="H205" t="str" cm="1">
        <f t="array" ref="H205">_xlfn.LET(
  _xlpm.K, Constantes!$B$3,
  _xlpm.Knewgain, Constantes!$B$4,
  _xlpm.Knewscale, Constantes!$B$5,
  _xlpm.ptstables, INDEX(H:H, _xlfn.SEQUENCE(COUNTA($C$2:$C205), 1, 3, 4)),
  _xlpm.nbparties, COUNTA(_xlfn._xlws.FILTER(_xlpm.ptstables, _xlpm.ptstables &lt;&gt; "")),
  _xlpm.coef, _xlpm.K + _xlpm.Knewgain / (_xlpm.Knewscale + _xlpm.nbparties),
  IF(H203="",
    "",
    _xlpm.coef * (H203-H204))
)</f>
        <v/>
      </c>
      <c r="I205" t="str" cm="1">
        <f t="array" ref="I205">_xlfn.LET(
  _xlpm.K, Constantes!$B$3,
  _xlpm.Knewgain, Constantes!$B$4,
  _xlpm.Knewscale, Constantes!$B$5,
  _xlpm.ptstables, INDEX(I:I, _xlfn.SEQUENCE(COUNTA($C$2:$C205), 1, 3, 4)),
  _xlpm.nbparties, COUNTA(_xlfn._xlws.FILTER(_xlpm.ptstables, _xlpm.ptstables &lt;&gt; "")),
  _xlpm.coef, _xlpm.K + _xlpm.Knewgain / (_xlpm.Knewscale + _xlpm.nbparties),
  IF(I203="",
    "",
    _xlpm.coef * (I203-I204))
)</f>
        <v/>
      </c>
      <c r="J205" t="str" cm="1">
        <f t="array" ref="J205">_xlfn.LET(
  _xlpm.K, Constantes!$B$3,
  _xlpm.Knewgain, Constantes!$B$4,
  _xlpm.Knewscale, Constantes!$B$5,
  _xlpm.ptstables, INDEX(J:J, _xlfn.SEQUENCE(COUNTA($C$2:$C205), 1, 3, 4)),
  _xlpm.nbparties, COUNTA(_xlfn._xlws.FILTER(_xlpm.ptstables, _xlpm.ptstables &lt;&gt; "")),
  _xlpm.coef, _xlpm.K + _xlpm.Knewgain / (_xlpm.Knewscale + _xlpm.nbparties),
  IF(J203="",
    "",
    _xlpm.coef * (J203-J204))
)</f>
        <v/>
      </c>
      <c r="K205" t="str" cm="1">
        <f t="array" ref="K205">_xlfn.LET(
  _xlpm.K, Constantes!$B$3,
  _xlpm.Knewgain, Constantes!$B$4,
  _xlpm.Knewscale, Constantes!$B$5,
  _xlpm.ptstables, INDEX(K:K, _xlfn.SEQUENCE(COUNTA($C$2:$C205), 1, 3, 4)),
  _xlpm.nbparties, COUNTA(_xlfn._xlws.FILTER(_xlpm.ptstables, _xlpm.ptstables &lt;&gt; "")),
  _xlpm.coef, _xlpm.K + _xlpm.Knewgain / (_xlpm.Knewscale + _xlpm.nbparties),
  IF(K203="",
    "",
    _xlpm.coef * (K203-K204))
)</f>
        <v/>
      </c>
      <c r="L205" cm="1">
        <f t="array" ref="L205">_xlfn.LET(
  _xlpm.K, Constantes!$B$3,
  _xlpm.Knewgain, Constantes!$B$4,
  _xlpm.Knewscale, Constantes!$B$5,
  _xlpm.ptstables, INDEX(L:L, _xlfn.SEQUENCE(COUNTA($C$2:$C205), 1, 3, 4)),
  _xlpm.nbparties, COUNTA(_xlfn._xlws.FILTER(_xlpm.ptstables, _xlpm.ptstables &lt;&gt; "")),
  _xlpm.coef, _xlpm.K + _xlpm.Knewgain / (_xlpm.Knewscale + _xlpm.nbparties),
  IF(L203="",
    "",
    _xlpm.coef * (L203-L204))
)</f>
        <v>-18.672135380352071</v>
      </c>
      <c r="M205" t="str" cm="1">
        <f t="array" ref="M205">_xlfn.LET(
  _xlpm.K, Constantes!$B$3,
  _xlpm.Knewgain, Constantes!$B$4,
  _xlpm.Knewscale, Constantes!$B$5,
  _xlpm.ptstables, INDEX(M:M, _xlfn.SEQUENCE(COUNTA($C$2:$C205), 1, 3, 4)),
  _xlpm.nbparties, COUNTA(_xlfn._xlws.FILTER(_xlpm.ptstables, _xlpm.ptstables &lt;&gt; "")),
  _xlpm.coef, _xlpm.K + _xlpm.Knewgain / (_xlpm.Knewscale + _xlpm.nbparties),
  IF(M203="",
    "",
    _xlpm.coef * (M203-M204))
)</f>
        <v/>
      </c>
      <c r="N205" t="str" cm="1">
        <f t="array" ref="N205">_xlfn.LET(
  _xlpm.K, Constantes!$B$3,
  _xlpm.Knewgain, Constantes!$B$4,
  _xlpm.Knewscale, Constantes!$B$5,
  _xlpm.ptstables, INDEX(N:N, _xlfn.SEQUENCE(COUNTA($C$2:$C205), 1, 3, 4)),
  _xlpm.nbparties, COUNTA(_xlfn._xlws.FILTER(_xlpm.ptstables, _xlpm.ptstables &lt;&gt; "")),
  _xlpm.coef, _xlpm.K + _xlpm.Knewgain / (_xlpm.Knewscale + _xlpm.nbparties),
  IF(N203="",
    "",
    _xlpm.coef * (N203-N204))
)</f>
        <v/>
      </c>
      <c r="O205" t="str" cm="1">
        <f t="array" ref="O205">_xlfn.LET(
  _xlpm.K, Constantes!$B$3,
  _xlpm.Knewgain, Constantes!$B$4,
  _xlpm.Knewscale, Constantes!$B$5,
  _xlpm.ptstables, INDEX(O:O, _xlfn.SEQUENCE(COUNTA($C$2:$C205), 1, 3, 4)),
  _xlpm.nbparties, COUNTA(_xlfn._xlws.FILTER(_xlpm.ptstables, _xlpm.ptstables &lt;&gt; "")),
  _xlpm.coef, _xlpm.K + _xlpm.Knewgain / (_xlpm.Knewscale + _xlpm.nbparties),
  IF(O203="",
    "",
    _xlpm.coef * (O203-O204))
)</f>
        <v/>
      </c>
      <c r="P205" t="str" cm="1">
        <f t="array" ref="P205">_xlfn.LET(
  _xlpm.K, Constantes!$B$3,
  _xlpm.Knewgain, Constantes!$B$4,
  _xlpm.Knewscale, Constantes!$B$5,
  _xlpm.ptstables, INDEX(P:P, _xlfn.SEQUENCE(COUNTA($C$2:$C205), 1, 3, 4)),
  _xlpm.nbparties, COUNTA(_xlfn._xlws.FILTER(_xlpm.ptstables, _xlpm.ptstables &lt;&gt; "")),
  _xlpm.coef, _xlpm.K + _xlpm.Knewgain / (_xlpm.Knewscale + _xlpm.nbparties),
  IF(P203="",
    "",
    _xlpm.coef * (P203-P204))
)</f>
        <v/>
      </c>
      <c r="Q205" t="str" cm="1">
        <f t="array" ref="Q205">_xlfn.LET(
  _xlpm.K, Constantes!$B$3,
  _xlpm.Knewgain, Constantes!$B$4,
  _xlpm.Knewscale, Constantes!$B$5,
  _xlpm.ptstables, INDEX(Q:Q, _xlfn.SEQUENCE(COUNTA($C$2:$C205), 1, 3, 4)),
  _xlpm.nbparties, COUNTA(_xlfn._xlws.FILTER(_xlpm.ptstables, _xlpm.ptstables &lt;&gt; "")),
  _xlpm.coef, _xlpm.K + _xlpm.Knewgain / (_xlpm.Knewscale + _xlpm.nbparties),
  IF(Q203="",
    "",
    _xlpm.coef * (Q203-Q204))
)</f>
        <v/>
      </c>
      <c r="R205" t="str" cm="1">
        <f t="array" ref="R205">_xlfn.LET(
  _xlpm.K, Constantes!$B$3,
  _xlpm.Knewgain, Constantes!$B$4,
  _xlpm.Knewscale, Constantes!$B$5,
  _xlpm.ptstables, INDEX(R:R, _xlfn.SEQUENCE(COUNTA($C$2:$C205), 1, 3, 4)),
  _xlpm.nbparties, COUNTA(_xlfn._xlws.FILTER(_xlpm.ptstables, _xlpm.ptstables &lt;&gt; "")),
  _xlpm.coef, _xlpm.K + _xlpm.Knewgain / (_xlpm.Knewscale + _xlpm.nbparties),
  IF(R203="",
    "",
    _xlpm.coef * (R203-R204))
)</f>
        <v/>
      </c>
      <c r="S205" cm="1">
        <f t="array" ref="S205">_xlfn.LET(
  _xlpm.K, Constantes!$B$3,
  _xlpm.Knewgain, Constantes!$B$4,
  _xlpm.Knewscale, Constantes!$B$5,
  _xlpm.ptstables, INDEX(S:S, _xlfn.SEQUENCE(COUNTA($C$2:$C205), 1, 3, 4)),
  _xlpm.nbparties, COUNTA(_xlfn._xlws.FILTER(_xlpm.ptstables, _xlpm.ptstables &lt;&gt; "")),
  _xlpm.coef, _xlpm.K + _xlpm.Knewgain / (_xlpm.Knewscale + _xlpm.nbparties),
  IF(S203="",
    "",
    _xlpm.coef * (S203-S204))
)</f>
        <v>-0.85366031714400936</v>
      </c>
      <c r="T205" t="str" cm="1">
        <f t="array" ref="T205">_xlfn.LET(
  _xlpm.K, Constantes!$B$3,
  _xlpm.Knewgain, Constantes!$B$4,
  _xlpm.Knewscale, Constantes!$B$5,
  _xlpm.ptstables, INDEX(T:T, _xlfn.SEQUENCE(COUNTA($C$2:$C205), 1, 3, 4)),
  _xlpm.nbparties, COUNTA(_xlfn._xlws.FILTER(_xlpm.ptstables, _xlpm.ptstables &lt;&gt; "")),
  _xlpm.coef, _xlpm.K + _xlpm.Knewgain / (_xlpm.Knewscale + _xlpm.nbparties),
  IF(T203="",
    "",
    _xlpm.coef * (T203-T204))
)</f>
        <v/>
      </c>
      <c r="U205" cm="1">
        <f t="array" ref="U205">_xlfn.LET(
  _xlpm.K, Constantes!$B$3,
  _xlpm.Knewgain, Constantes!$B$4,
  _xlpm.Knewscale, Constantes!$B$5,
  _xlpm.ptstables, INDEX(U:U, _xlfn.SEQUENCE(COUNTA($C$2:$C205), 1, 3, 4)),
  _xlpm.nbparties, COUNTA(_xlfn._xlws.FILTER(_xlpm.ptstables, _xlpm.ptstables &lt;&gt; "")),
  _xlpm.coef, _xlpm.K + _xlpm.Knewgain / (_xlpm.Knewscale + _xlpm.nbparties),
  IF(U203="",
    "",
    _xlpm.coef * (U203-U204))
)</f>
        <v>-10.686985729336563</v>
      </c>
      <c r="V205" t="str" cm="1">
        <f t="array" ref="V205">_xlfn.LET(
  _xlpm.K, Constantes!$B$3,
  _xlpm.Knewgain, Constantes!$B$4,
  _xlpm.Knewscale, Constantes!$B$5,
  _xlpm.ptstables, INDEX(V:V, _xlfn.SEQUENCE(COUNTA($C$2:$C205), 1, 3, 4)),
  _xlpm.nbparties, COUNTA(_xlfn._xlws.FILTER(_xlpm.ptstables, _xlpm.ptstables &lt;&gt; "")),
  _xlpm.coef, _xlpm.K + _xlpm.Knewgain / (_xlpm.Knewscale + _xlpm.nbparties),
  IF(V203="",
    "",
    _xlpm.coef * (V203-V204))
)</f>
        <v/>
      </c>
      <c r="W205" t="str" cm="1">
        <f t="array" ref="W205">_xlfn.LET(
  _xlpm.K, Constantes!$B$3,
  _xlpm.Knewgain, Constantes!$B$4,
  _xlpm.Knewscale, Constantes!$B$5,
  _xlpm.ptstables, INDEX(W:W, _xlfn.SEQUENCE(COUNTA($C$2:$C205), 1, 3, 4)),
  _xlpm.nbparties, COUNTA(_xlfn._xlws.FILTER(_xlpm.ptstables, _xlpm.ptstables &lt;&gt; "")),
  _xlpm.coef, _xlpm.K + _xlpm.Knewgain / (_xlpm.Knewscale + _xlpm.nbparties),
  IF(W203="",
    "",
    _xlpm.coef * (W203-W204))
)</f>
        <v/>
      </c>
      <c r="X205" t="str" cm="1">
        <f t="array" ref="X205">_xlfn.LET(
  _xlpm.K, Constantes!$B$3,
  _xlpm.Knewgain, Constantes!$B$4,
  _xlpm.Knewscale, Constantes!$B$5,
  _xlpm.ptstables, INDEX(X:X, _xlfn.SEQUENCE(COUNTA($C$2:$C205), 1, 3, 4)),
  _xlpm.nbparties, COUNTA(_xlfn._xlws.FILTER(_xlpm.ptstables, _xlpm.ptstables &lt;&gt; "")),
  _xlpm.coef, _xlpm.K + _xlpm.Knewgain / (_xlpm.Knewscale + _xlpm.nbparties),
  IF(X203="",
    "",
    _xlpm.coef * (X203-X204))
)</f>
        <v/>
      </c>
      <c r="Y205" t="str" cm="1">
        <f t="array" ref="Y205">_xlfn.LET(
  _xlpm.K, Constantes!$B$3,
  _xlpm.Knewgain, Constantes!$B$4,
  _xlpm.Knewscale, Constantes!$B$5,
  _xlpm.ptstables, INDEX(Y:Y, _xlfn.SEQUENCE(COUNTA($C$2:$C205), 1, 3, 4)),
  _xlpm.nbparties, COUNTA(_xlfn._xlws.FILTER(_xlpm.ptstables, _xlpm.ptstables &lt;&gt; "")),
  _xlpm.coef, _xlpm.K + _xlpm.Knewgain / (_xlpm.Knewscale + _xlpm.nbparties),
  IF(Y203="",
    "",
    _xlpm.coef * (Y203-Y204))
)</f>
        <v/>
      </c>
      <c r="Z205" t="str" cm="1">
        <f t="array" ref="Z205">_xlfn.LET(
  _xlpm.K, Constantes!$B$3,
  _xlpm.Knewgain, Constantes!$B$4,
  _xlpm.Knewscale, Constantes!$B$5,
  _xlpm.ptstables, INDEX(Z:Z, _xlfn.SEQUENCE(COUNTA($C$2:$C205), 1, 3, 4)),
  _xlpm.nbparties, COUNTA(_xlfn._xlws.FILTER(_xlpm.ptstables, _xlpm.ptstables &lt;&gt; "")),
  _xlpm.coef, _xlpm.K + _xlpm.Knewgain / (_xlpm.Knewscale + _xlpm.nbparties),
  IF(Z203="",
    "",
    _xlpm.coef * (Z203-Z204))
)</f>
        <v/>
      </c>
      <c r="AA205" t="str" cm="1">
        <f t="array" ref="AA205">_xlfn.LET(
  _xlpm.K, Constantes!$B$3,
  _xlpm.Knewgain, Constantes!$B$4,
  _xlpm.Knewscale, Constantes!$B$5,
  _xlpm.ptstables, INDEX(AA:AA, _xlfn.SEQUENCE(COUNTA($C$2:$C205), 1, 3, 4)),
  _xlpm.nbparties, COUNTA(_xlfn._xlws.FILTER(_xlpm.ptstables, _xlpm.ptstables &lt;&gt; "")),
  _xlpm.coef, _xlpm.K + _xlpm.Knewgain / (_xlpm.Knewscale + _xlpm.nbparties),
  IF(AA203="",
    "",
    _xlpm.coef * (AA203-AA204))
)</f>
        <v/>
      </c>
      <c r="AB205" t="str" cm="1">
        <f t="array" ref="AB205">_xlfn.LET(
  _xlpm.K, Constantes!$B$3,
  _xlpm.Knewgain, Constantes!$B$4,
  _xlpm.Knewscale, Constantes!$B$5,
  _xlpm.ptstables, INDEX(AB:AB, _xlfn.SEQUENCE(COUNTA($C$2:$C205), 1, 3, 4)),
  _xlpm.nbparties, COUNTA(_xlfn._xlws.FILTER(_xlpm.ptstables, _xlpm.ptstables &lt;&gt; "")),
  _xlpm.coef, _xlpm.K + _xlpm.Knewgain / (_xlpm.Knewscale + _xlpm.nbparties),
  IF(AB203="",
    "",
    _xlpm.coef * (AB203-AB204))
)</f>
        <v/>
      </c>
      <c r="AC205" t="str" cm="1">
        <f t="array" ref="AC205">_xlfn.LET(
  _xlpm.K, Constantes!$B$3,
  _xlpm.Knewgain, Constantes!$B$4,
  _xlpm.Knewscale, Constantes!$B$5,
  _xlpm.ptstables, INDEX(AC:AC, _xlfn.SEQUENCE(COUNTA($C$2:$C205), 1, 3, 4)),
  _xlpm.nbparties, COUNTA(_xlfn._xlws.FILTER(_xlpm.ptstables, _xlpm.ptstables &lt;&gt; "")),
  _xlpm.coef, _xlpm.K + _xlpm.Knewgain / (_xlpm.Knewscale + _xlpm.nbparties),
  IF(AC203="",
    "",
    _xlpm.coef * (AC203-AC204))
)</f>
        <v/>
      </c>
      <c r="AD205" cm="1">
        <f t="array" ref="AD205">_xlfn.LET(
  _xlpm.K, Constantes!$B$3,
  _xlpm.Knewgain, Constantes!$B$4,
  _xlpm.Knewscale, Constantes!$B$5,
  _xlpm.ptstables, INDEX(AD:AD, _xlfn.SEQUENCE(COUNTA($C$2:$C205), 1, 3, 4)),
  _xlpm.nbparties, COUNTA(_xlfn._xlws.FILTER(_xlpm.ptstables, _xlpm.ptstables &lt;&gt; "")),
  _xlpm.coef, _xlpm.K + _xlpm.Knewgain / (_xlpm.Knewscale + _xlpm.nbparties),
  IF(AD203="",
    "",
    _xlpm.coef * (AD203-AD204))
)</f>
        <v>44.490537776392912</v>
      </c>
      <c r="AE205" t="str" cm="1">
        <f t="array" ref="AE205">_xlfn.LET(
  _xlpm.K, Constantes!$B$3,
  _xlpm.Knewgain, Constantes!$B$4,
  _xlpm.Knewscale, Constantes!$B$5,
  _xlpm.ptstables, INDEX(AE:AE, _xlfn.SEQUENCE(COUNTA($C$2:$C205), 1, 3, 4)),
  _xlpm.nbparties, COUNTA(_xlfn._xlws.FILTER(_xlpm.ptstables, _xlpm.ptstables &lt;&gt; "")),
  _xlpm.coef, _xlpm.K + _xlpm.Knewgain / (_xlpm.Knewscale + _xlpm.nbparties),
  IF(AE203="",
    "",
    _xlpm.coef * (AE203-AE204))
)</f>
        <v/>
      </c>
      <c r="AF205" t="str" cm="1">
        <f t="array" ref="AF205">_xlfn.LET(
  _xlpm.K, Constantes!$B$3,
  _xlpm.Knewgain, Constantes!$B$4,
  _xlpm.Knewscale, Constantes!$B$5,
  _xlpm.ptstables, INDEX(AF:AF, _xlfn.SEQUENCE(COUNTA($C$2:$C205), 1, 3, 4)),
  _xlpm.nbparties, COUNTA(_xlfn._xlws.FILTER(_xlpm.ptstables, _xlpm.ptstables &lt;&gt; "")),
  _xlpm.coef, _xlpm.K + _xlpm.Knewgain / (_xlpm.Knewscale + _xlpm.nbparties),
  IF(AF203="",
    "",
    _xlpm.coef * (AF203-AF204))
)</f>
        <v/>
      </c>
      <c r="AG205" t="str" cm="1">
        <f t="array" ref="AG205">_xlfn.LET(
  _xlpm.K, Constantes!$B$3,
  _xlpm.Knewgain, Constantes!$B$4,
  _xlpm.Knewscale, Constantes!$B$5,
  _xlpm.ptstables, INDEX(AG:AG, _xlfn.SEQUENCE(COUNTA($C$2:$C205), 1, 3, 4)),
  _xlpm.nbparties, COUNTA(_xlfn._xlws.FILTER(_xlpm.ptstables, _xlpm.ptstables &lt;&gt; "")),
  _xlpm.coef, _xlpm.K + _xlpm.Knewgain / (_xlpm.Knewscale + _xlpm.nbparties),
  IF(AG203="",
    "",
    _xlpm.coef * (AG203-AG204))
)</f>
        <v/>
      </c>
      <c r="AH205" t="str" cm="1">
        <f t="array" ref="AH205">_xlfn.LET(
  _xlpm.K, Constantes!$B$3,
  _xlpm.Knewgain, Constantes!$B$4,
  _xlpm.Knewscale, Constantes!$B$5,
  _xlpm.ptstables, INDEX(AH:AH, _xlfn.SEQUENCE(COUNTA($C$2:$C205), 1, 3, 4)),
  _xlpm.nbparties, COUNTA(_xlfn._xlws.FILTER(_xlpm.ptstables, _xlpm.ptstables &lt;&gt; "")),
  _xlpm.coef, _xlpm.K + _xlpm.Knewgain / (_xlpm.Knewscale + _xlpm.nbparties),
  IF(AH203="",
    "",
    _xlpm.coef * (AH203-AH204))
)</f>
        <v/>
      </c>
      <c r="AI205" t="str" cm="1">
        <f t="array" ref="AI205">_xlfn.LET(
  _xlpm.K, Constantes!$B$3,
  _xlpm.Knewgain, Constantes!$B$4,
  _xlpm.Knewscale, Constantes!$B$5,
  _xlpm.ptstables, INDEX(AI:AI, _xlfn.SEQUENCE(COUNTA($C$2:$C205), 1, 3, 4)),
  _xlpm.nbparties, COUNTA(_xlfn._xlws.FILTER(_xlpm.ptstables, _xlpm.ptstables &lt;&gt; "")),
  _xlpm.coef, _xlpm.K + _xlpm.Knewgain / (_xlpm.Knewscale + _xlpm.nbparties),
  IF(AI203="",
    "",
    _xlpm.coef * (AI203-AI204))
)</f>
        <v/>
      </c>
      <c r="AJ205" t="str" cm="1">
        <f t="array" ref="AJ205">_xlfn.LET(
  _xlpm.K, Constantes!$B$3,
  _xlpm.Knewgain, Constantes!$B$4,
  _xlpm.Knewscale, Constantes!$B$5,
  _xlpm.ptstables, INDEX(AJ:AJ, _xlfn.SEQUENCE(COUNTA($C$2:$C205), 1, 3, 4)),
  _xlpm.nbparties, COUNTA(_xlfn._xlws.FILTER(_xlpm.ptstables, _xlpm.ptstables &lt;&gt; "")),
  _xlpm.coef, _xlpm.K + _xlpm.Knewgain / (_xlpm.Knewscale + _xlpm.nbparties),
  IF(AJ203="",
    "",
    _xlpm.coef * (AJ203-AJ204))
)</f>
        <v/>
      </c>
      <c r="AK205" t="str" cm="1">
        <f t="array" ref="AK205">_xlfn.LET(
  _xlpm.K, Constantes!$B$3,
  _xlpm.Knewgain, Constantes!$B$4,
  _xlpm.Knewscale, Constantes!$B$5,
  _xlpm.ptstables, INDEX(AK:AK, _xlfn.SEQUENCE(COUNTA($C$2:$C205), 1, 3, 4)),
  _xlpm.nbparties, COUNTA(_xlfn._xlws.FILTER(_xlpm.ptstables, _xlpm.ptstables &lt;&gt; "")),
  _xlpm.coef, _xlpm.K + _xlpm.Knewgain / (_xlpm.Knewscale + _xlpm.nbparties),
  IF(AK203="",
    "",
    _xlpm.coef * (AK203-AK204))
)</f>
        <v/>
      </c>
      <c r="AL205" t="str" cm="1">
        <f t="array" ref="AL205">_xlfn.LET(
  _xlpm.K, Constantes!$B$3,
  _xlpm.Knewgain, Constantes!$B$4,
  _xlpm.Knewscale, Constantes!$B$5,
  _xlpm.ptstables, INDEX(AL:AL, _xlfn.SEQUENCE(COUNTA($C$2:$C205), 1, 3, 4)),
  _xlpm.nbparties, COUNTA(_xlfn._xlws.FILTER(_xlpm.ptstables, _xlpm.ptstables &lt;&gt; "")),
  _xlpm.coef, _xlpm.K + _xlpm.Knewgain / (_xlpm.Knewscale + _xlpm.nbparties),
  IF(AL203="",
    "",
    _xlpm.coef * (AL203-AL204))
)</f>
        <v/>
      </c>
      <c r="AM205" t="str" cm="1">
        <f t="array" ref="AM205">_xlfn.LET(
  _xlpm.K, Constantes!$B$3,
  _xlpm.Knewgain, Constantes!$B$4,
  _xlpm.Knewscale, Constantes!$B$5,
  _xlpm.ptstables, INDEX(AM:AM, _xlfn.SEQUENCE(COUNTA($C$2:$C205), 1, 3, 4)),
  _xlpm.nbparties, COUNTA(_xlfn._xlws.FILTER(_xlpm.ptstables, _xlpm.ptstables &lt;&gt; "")),
  _xlpm.coef, _xlpm.K + _xlpm.Knewgain / (_xlpm.Knewscale + _xlpm.nbparties),
  IF(AM203="",
    "",
    _xlpm.coef * (AM203-AM204))
)</f>
        <v/>
      </c>
    </row>
    <row r="206" spans="1:39" x14ac:dyDescent="0.25">
      <c r="A206" t="s">
        <v>14</v>
      </c>
      <c r="B206" t="str" cm="1">
        <f t="array" ref="B20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51</v>
      </c>
      <c r="C206" s="2" cm="1">
        <f t="array" ref="C206">IF(B206="","",
  INDEX(Donnees!F:F, MATCH(B206, Donnees!F:F, 0)+1))</f>
        <v>45934.698171296295</v>
      </c>
      <c r="D206">
        <f t="shared" ref="D206:AM206" si="59">D202+IF(D205="",0,D205)</f>
        <v>1102.9314752305681</v>
      </c>
      <c r="E206">
        <f t="shared" si="59"/>
        <v>1124.3346500367093</v>
      </c>
      <c r="F206">
        <f t="shared" si="59"/>
        <v>861.02806342581061</v>
      </c>
      <c r="G206">
        <f t="shared" si="59"/>
        <v>1050.9955183799098</v>
      </c>
      <c r="H206">
        <f t="shared" si="59"/>
        <v>1041.4828877801035</v>
      </c>
      <c r="I206">
        <f t="shared" si="59"/>
        <v>960.57774210047694</v>
      </c>
      <c r="J206">
        <f t="shared" si="59"/>
        <v>938.49433816478961</v>
      </c>
      <c r="K206">
        <f t="shared" si="59"/>
        <v>957.39471433630956</v>
      </c>
      <c r="L206">
        <f t="shared" si="59"/>
        <v>766.95119884458973</v>
      </c>
      <c r="M206">
        <f t="shared" si="59"/>
        <v>913.41986361738122</v>
      </c>
      <c r="N206">
        <f t="shared" si="59"/>
        <v>903.87102074645099</v>
      </c>
      <c r="O206">
        <f t="shared" si="59"/>
        <v>1005.4306950475848</v>
      </c>
      <c r="P206">
        <f t="shared" si="59"/>
        <v>1005.4229961505649</v>
      </c>
      <c r="Q206">
        <f t="shared" si="59"/>
        <v>1050.7184918608298</v>
      </c>
      <c r="R206">
        <f t="shared" si="59"/>
        <v>1180.6586778030673</v>
      </c>
      <c r="S206">
        <f t="shared" si="59"/>
        <v>856.55223049520021</v>
      </c>
      <c r="T206">
        <f t="shared" si="59"/>
        <v>1135.2782658680615</v>
      </c>
      <c r="U206">
        <f t="shared" si="59"/>
        <v>1156.7918140913919</v>
      </c>
      <c r="V206">
        <f t="shared" si="59"/>
        <v>961.58818235691967</v>
      </c>
      <c r="W206">
        <f t="shared" si="59"/>
        <v>936.79085942937002</v>
      </c>
      <c r="X206">
        <f t="shared" si="59"/>
        <v>822.49182421843079</v>
      </c>
      <c r="Y206">
        <f t="shared" si="59"/>
        <v>973.44788072280835</v>
      </c>
      <c r="Z206">
        <f t="shared" si="59"/>
        <v>991.11904139672549</v>
      </c>
      <c r="AA206">
        <f t="shared" si="59"/>
        <v>930.6732002028948</v>
      </c>
      <c r="AB206">
        <f t="shared" si="59"/>
        <v>988.35669729544747</v>
      </c>
      <c r="AC206">
        <f t="shared" si="59"/>
        <v>1085.8200128019769</v>
      </c>
      <c r="AD206">
        <f t="shared" si="59"/>
        <v>1056.8829121598517</v>
      </c>
      <c r="AE206">
        <f t="shared" si="59"/>
        <v>1011.415</v>
      </c>
      <c r="AF206">
        <f t="shared" si="59"/>
        <v>1031.1199999999999</v>
      </c>
      <c r="AG206">
        <f t="shared" si="59"/>
        <v>1001.0350000000001</v>
      </c>
      <c r="AH206">
        <f t="shared" si="59"/>
        <v>994.44</v>
      </c>
      <c r="AI206">
        <f t="shared" si="59"/>
        <v>1000</v>
      </c>
      <c r="AJ206">
        <f t="shared" si="59"/>
        <v>957.2</v>
      </c>
      <c r="AK206">
        <f t="shared" si="59"/>
        <v>1000</v>
      </c>
      <c r="AL206">
        <f t="shared" si="59"/>
        <v>1055.9299999999998</v>
      </c>
      <c r="AM206">
        <f t="shared" si="59"/>
        <v>1000</v>
      </c>
    </row>
    <row r="207" spans="1:39" x14ac:dyDescent="0.25">
      <c r="A207" t="s">
        <v>21</v>
      </c>
      <c r="D207" t="str" cm="1">
        <f t="array" ref="D207">IFERROR(
  _xlfn.LET(
    _xlpm.ligpartie, MATCH($B206, Donnees!$F:$F, 0),
    _xlpm.joueurs, INDEX(Donnees!$A:$Z, _xlpm.ligpartie+1, _xlfn.SEQUENCE(1, 4, 2)),
    INDEX(
      Donnees!$A:$Z,
      _xlpm.ligpartie + 3,
      MATCH(D$1, _xlpm.joueurs, 0) + 1
    )
  ), ""
)</f>
        <v/>
      </c>
      <c r="E207" t="str" cm="1">
        <f t="array" ref="E207">IFERROR(
  _xlfn.LET(
    _xlpm.ligpartie, MATCH($B206, Donnees!$F:$F, 0),
    _xlpm.joueurs, INDEX(Donnees!$A:$Z, _xlpm.ligpartie+1, _xlfn.SEQUENCE(1, 4, 2)),
    INDEX(
      Donnees!$A:$Z,
      _xlpm.ligpartie + 3,
      MATCH(E$1, _xlpm.joueurs, 0) + 1
    )
  ), ""
)</f>
        <v/>
      </c>
      <c r="F207" t="str" cm="1">
        <f t="array" ref="F207">IFERROR(
  _xlfn.LET(
    _xlpm.ligpartie, MATCH($B206, Donnees!$F:$F, 0),
    _xlpm.joueurs, INDEX(Donnees!$A:$Z, _xlpm.ligpartie+1, _xlfn.SEQUENCE(1, 4, 2)),
    INDEX(
      Donnees!$A:$Z,
      _xlpm.ligpartie + 3,
      MATCH(F$1, _xlpm.joueurs, 0) + 1
    )
  ), ""
)</f>
        <v/>
      </c>
      <c r="G207" t="str" cm="1">
        <f t="array" ref="G207">IFERROR(
  _xlfn.LET(
    _xlpm.ligpartie, MATCH($B206, Donnees!$F:$F, 0),
    _xlpm.joueurs, INDEX(Donnees!$A:$Z, _xlpm.ligpartie+1, _xlfn.SEQUENCE(1, 4, 2)),
    INDEX(
      Donnees!$A:$Z,
      _xlpm.ligpartie + 3,
      MATCH(G$1, _xlpm.joueurs, 0) + 1
    )
  ), ""
)</f>
        <v/>
      </c>
      <c r="H207" t="str" cm="1">
        <f t="array" ref="H207">IFERROR(
  _xlfn.LET(
    _xlpm.ligpartie, MATCH($B206, Donnees!$F:$F, 0),
    _xlpm.joueurs, INDEX(Donnees!$A:$Z, _xlpm.ligpartie+1, _xlfn.SEQUENCE(1, 4, 2)),
    INDEX(
      Donnees!$A:$Z,
      _xlpm.ligpartie + 3,
      MATCH(H$1, _xlpm.joueurs, 0) + 1
    )
  ), ""
)</f>
        <v/>
      </c>
      <c r="I207" t="str" cm="1">
        <f t="array" ref="I207">IFERROR(
  _xlfn.LET(
    _xlpm.ligpartie, MATCH($B206, Donnees!$F:$F, 0),
    _xlpm.joueurs, INDEX(Donnees!$A:$Z, _xlpm.ligpartie+1, _xlfn.SEQUENCE(1, 4, 2)),
    INDEX(
      Donnees!$A:$Z,
      _xlpm.ligpartie + 3,
      MATCH(I$1, _xlpm.joueurs, 0) + 1
    )
  ), ""
)</f>
        <v/>
      </c>
      <c r="J207" t="str" cm="1">
        <f t="array" ref="J207">IFERROR(
  _xlfn.LET(
    _xlpm.ligpartie, MATCH($B206, Donnees!$F:$F, 0),
    _xlpm.joueurs, INDEX(Donnees!$A:$Z, _xlpm.ligpartie+1, _xlfn.SEQUENCE(1, 4, 2)),
    INDEX(
      Donnees!$A:$Z,
      _xlpm.ligpartie + 3,
      MATCH(J$1, _xlpm.joueurs, 0) + 1
    )
  ), ""
)</f>
        <v/>
      </c>
      <c r="K207" t="str" cm="1">
        <f t="array" ref="K207">IFERROR(
  _xlfn.LET(
    _xlpm.ligpartie, MATCH($B206, Donnees!$F:$F, 0),
    _xlpm.joueurs, INDEX(Donnees!$A:$Z, _xlpm.ligpartie+1, _xlfn.SEQUENCE(1, 4, 2)),
    INDEX(
      Donnees!$A:$Z,
      _xlpm.ligpartie + 3,
      MATCH(K$1, _xlpm.joueurs, 0) + 1
    )
  ), ""
)</f>
        <v/>
      </c>
      <c r="L207" t="str" cm="1">
        <f t="array" ref="L207">IFERROR(
  _xlfn.LET(
    _xlpm.ligpartie, MATCH($B206, Donnees!$F:$F, 0),
    _xlpm.joueurs, INDEX(Donnees!$A:$Z, _xlpm.ligpartie+1, _xlfn.SEQUENCE(1, 4, 2)),
    INDEX(
      Donnees!$A:$Z,
      _xlpm.ligpartie + 3,
      MATCH(L$1, _xlpm.joueurs, 0) + 1
    )
  ), ""
)</f>
        <v/>
      </c>
      <c r="M207" t="str" cm="1">
        <f t="array" ref="M207">IFERROR(
  _xlfn.LET(
    _xlpm.ligpartie, MATCH($B206, Donnees!$F:$F, 0),
    _xlpm.joueurs, INDEX(Donnees!$A:$Z, _xlpm.ligpartie+1, _xlfn.SEQUENCE(1, 4, 2)),
    INDEX(
      Donnees!$A:$Z,
      _xlpm.ligpartie + 3,
      MATCH(M$1, _xlpm.joueurs, 0) + 1
    )
  ), ""
)</f>
        <v/>
      </c>
      <c r="N207" cm="1">
        <f t="array" ref="N207">IFERROR(
  _xlfn.LET(
    _xlpm.ligpartie, MATCH($B206, Donnees!$F:$F, 0),
    _xlpm.joueurs, INDEX(Donnees!$A:$Z, _xlpm.ligpartie+1, _xlfn.SEQUENCE(1, 4, 2)),
    INDEX(
      Donnees!$A:$Z,
      _xlpm.ligpartie + 3,
      MATCH(N$1, _xlpm.joueurs, 0) + 1
    )
  ), ""
)</f>
        <v>1</v>
      </c>
      <c r="O207" cm="1">
        <f t="array" ref="O207">IFERROR(
  _xlfn.LET(
    _xlpm.ligpartie, MATCH($B206, Donnees!$F:$F, 0),
    _xlpm.joueurs, INDEX(Donnees!$A:$Z, _xlpm.ligpartie+1, _xlfn.SEQUENCE(1, 4, 2)),
    INDEX(
      Donnees!$A:$Z,
      _xlpm.ligpartie + 3,
      MATCH(O$1, _xlpm.joueurs, 0) + 1
    )
  ), ""
)</f>
        <v>3</v>
      </c>
      <c r="P207" t="str" cm="1">
        <f t="array" ref="P207">IFERROR(
  _xlfn.LET(
    _xlpm.ligpartie, MATCH($B206, Donnees!$F:$F, 0),
    _xlpm.joueurs, INDEX(Donnees!$A:$Z, _xlpm.ligpartie+1, _xlfn.SEQUENCE(1, 4, 2)),
    INDEX(
      Donnees!$A:$Z,
      _xlpm.ligpartie + 3,
      MATCH(P$1, _xlpm.joueurs, 0) + 1
    )
  ), ""
)</f>
        <v/>
      </c>
      <c r="Q207" t="str" cm="1">
        <f t="array" ref="Q207">IFERROR(
  _xlfn.LET(
    _xlpm.ligpartie, MATCH($B206, Donnees!$F:$F, 0),
    _xlpm.joueurs, INDEX(Donnees!$A:$Z, _xlpm.ligpartie+1, _xlfn.SEQUENCE(1, 4, 2)),
    INDEX(
      Donnees!$A:$Z,
      _xlpm.ligpartie + 3,
      MATCH(Q$1, _xlpm.joueurs, 0) + 1
    )
  ), ""
)</f>
        <v/>
      </c>
      <c r="R207" cm="1">
        <f t="array" ref="R207">IFERROR(
  _xlfn.LET(
    _xlpm.ligpartie, MATCH($B206, Donnees!$F:$F, 0),
    _xlpm.joueurs, INDEX(Donnees!$A:$Z, _xlpm.ligpartie+1, _xlfn.SEQUENCE(1, 4, 2)),
    INDEX(
      Donnees!$A:$Z,
      _xlpm.ligpartie + 3,
      MATCH(R$1, _xlpm.joueurs, 0) + 1
    )
  ), ""
)</f>
        <v>0</v>
      </c>
      <c r="S207" t="str" cm="1">
        <f t="array" ref="S207">IFERROR(
  _xlfn.LET(
    _xlpm.ligpartie, MATCH($B206, Donnees!$F:$F, 0),
    _xlpm.joueurs, INDEX(Donnees!$A:$Z, _xlpm.ligpartie+1, _xlfn.SEQUENCE(1, 4, 2)),
    INDEX(
      Donnees!$A:$Z,
      _xlpm.ligpartie + 3,
      MATCH(S$1, _xlpm.joueurs, 0) + 1
    )
  ), ""
)</f>
        <v/>
      </c>
      <c r="T207" t="str" cm="1">
        <f t="array" ref="T207">IFERROR(
  _xlfn.LET(
    _xlpm.ligpartie, MATCH($B206, Donnees!$F:$F, 0),
    _xlpm.joueurs, INDEX(Donnees!$A:$Z, _xlpm.ligpartie+1, _xlfn.SEQUENCE(1, 4, 2)),
    INDEX(
      Donnees!$A:$Z,
      _xlpm.ligpartie + 3,
      MATCH(T$1, _xlpm.joueurs, 0) + 1
    )
  ), ""
)</f>
        <v/>
      </c>
      <c r="U207" t="str" cm="1">
        <f t="array" ref="U207">IFERROR(
  _xlfn.LET(
    _xlpm.ligpartie, MATCH($B206, Donnees!$F:$F, 0),
    _xlpm.joueurs, INDEX(Donnees!$A:$Z, _xlpm.ligpartie+1, _xlfn.SEQUENCE(1, 4, 2)),
    INDEX(
      Donnees!$A:$Z,
      _xlpm.ligpartie + 3,
      MATCH(U$1, _xlpm.joueurs, 0) + 1
    )
  ), ""
)</f>
        <v/>
      </c>
      <c r="V207" cm="1">
        <f t="array" ref="V207">IFERROR(
  _xlfn.LET(
    _xlpm.ligpartie, MATCH($B206, Donnees!$F:$F, 0),
    _xlpm.joueurs, INDEX(Donnees!$A:$Z, _xlpm.ligpartie+1, _xlfn.SEQUENCE(1, 4, 2)),
    INDEX(
      Donnees!$A:$Z,
      _xlpm.ligpartie + 3,
      MATCH(V$1, _xlpm.joueurs, 0) + 1
    )
  ), ""
)</f>
        <v>2</v>
      </c>
      <c r="W207" t="str" cm="1">
        <f t="array" ref="W207">IFERROR(
  _xlfn.LET(
    _xlpm.ligpartie, MATCH($B206, Donnees!$F:$F, 0),
    _xlpm.joueurs, INDEX(Donnees!$A:$Z, _xlpm.ligpartie+1, _xlfn.SEQUENCE(1, 4, 2)),
    INDEX(
      Donnees!$A:$Z,
      _xlpm.ligpartie + 3,
      MATCH(W$1, _xlpm.joueurs, 0) + 1
    )
  ), ""
)</f>
        <v/>
      </c>
      <c r="X207" t="str" cm="1">
        <f t="array" ref="X207">IFERROR(
  _xlfn.LET(
    _xlpm.ligpartie, MATCH($B206, Donnees!$F:$F, 0),
    _xlpm.joueurs, INDEX(Donnees!$A:$Z, _xlpm.ligpartie+1, _xlfn.SEQUENCE(1, 4, 2)),
    INDEX(
      Donnees!$A:$Z,
      _xlpm.ligpartie + 3,
      MATCH(X$1, _xlpm.joueurs, 0) + 1
    )
  ), ""
)</f>
        <v/>
      </c>
      <c r="Y207" t="str" cm="1">
        <f t="array" ref="Y207">IFERROR(
  _xlfn.LET(
    _xlpm.ligpartie, MATCH($B206, Donnees!$F:$F, 0),
    _xlpm.joueurs, INDEX(Donnees!$A:$Z, _xlpm.ligpartie+1, _xlfn.SEQUENCE(1, 4, 2)),
    INDEX(
      Donnees!$A:$Z,
      _xlpm.ligpartie + 3,
      MATCH(Y$1, _xlpm.joueurs, 0) + 1
    )
  ), ""
)</f>
        <v/>
      </c>
      <c r="Z207" t="str" cm="1">
        <f t="array" ref="Z207">IFERROR(
  _xlfn.LET(
    _xlpm.ligpartie, MATCH($B206, Donnees!$F:$F, 0),
    _xlpm.joueurs, INDEX(Donnees!$A:$Z, _xlpm.ligpartie+1, _xlfn.SEQUENCE(1, 4, 2)),
    INDEX(
      Donnees!$A:$Z,
      _xlpm.ligpartie + 3,
      MATCH(Z$1, _xlpm.joueurs, 0) + 1
    )
  ), ""
)</f>
        <v/>
      </c>
      <c r="AA207" t="str" cm="1">
        <f t="array" ref="AA207">IFERROR(
  _xlfn.LET(
    _xlpm.ligpartie, MATCH($B206, Donnees!$F:$F, 0),
    _xlpm.joueurs, INDEX(Donnees!$A:$Z, _xlpm.ligpartie+1, _xlfn.SEQUENCE(1, 4, 2)),
    INDEX(
      Donnees!$A:$Z,
      _xlpm.ligpartie + 3,
      MATCH(AA$1, _xlpm.joueurs, 0) + 1
    )
  ), ""
)</f>
        <v/>
      </c>
      <c r="AB207" t="str" cm="1">
        <f t="array" ref="AB207">IFERROR(
  _xlfn.LET(
    _xlpm.ligpartie, MATCH($B206, Donnees!$F:$F, 0),
    _xlpm.joueurs, INDEX(Donnees!$A:$Z, _xlpm.ligpartie+1, _xlfn.SEQUENCE(1, 4, 2)),
    INDEX(
      Donnees!$A:$Z,
      _xlpm.ligpartie + 3,
      MATCH(AB$1, _xlpm.joueurs, 0) + 1
    )
  ), ""
)</f>
        <v/>
      </c>
      <c r="AC207" t="str" cm="1">
        <f t="array" ref="AC207">IFERROR(
  _xlfn.LET(
    _xlpm.ligpartie, MATCH($B206, Donnees!$F:$F, 0),
    _xlpm.joueurs, INDEX(Donnees!$A:$Z, _xlpm.ligpartie+1, _xlfn.SEQUENCE(1, 4, 2)),
    INDEX(
      Donnees!$A:$Z,
      _xlpm.ligpartie + 3,
      MATCH(AC$1, _xlpm.joueurs, 0) + 1
    )
  ), ""
)</f>
        <v/>
      </c>
      <c r="AD207" t="str" cm="1">
        <f t="array" ref="AD207">IFERROR(
  _xlfn.LET(
    _xlpm.ligpartie, MATCH($B206, Donnees!$F:$F, 0),
    _xlpm.joueurs, INDEX(Donnees!$A:$Z, _xlpm.ligpartie+1, _xlfn.SEQUENCE(1, 4, 2)),
    INDEX(
      Donnees!$A:$Z,
      _xlpm.ligpartie + 3,
      MATCH(AD$1, _xlpm.joueurs, 0) + 1
    )
  ), ""
)</f>
        <v/>
      </c>
      <c r="AE207" t="str" cm="1">
        <f t="array" ref="AE207">IFERROR(
  _xlfn.LET(
    _xlpm.ligpartie, MATCH($B206, Donnees!$F:$F, 0),
    _xlpm.joueurs, INDEX(Donnees!$A:$Z, _xlpm.ligpartie+1, _xlfn.SEQUENCE(1, 4, 2)),
    INDEX(
      Donnees!$A:$Z,
      _xlpm.ligpartie + 3,
      MATCH(AE$1, _xlpm.joueurs, 0) + 1
    )
  ), ""
)</f>
        <v/>
      </c>
      <c r="AF207" t="str" cm="1">
        <f t="array" ref="AF207">IFERROR(
  _xlfn.LET(
    _xlpm.ligpartie, MATCH($B206, Donnees!$F:$F, 0),
    _xlpm.joueurs, INDEX(Donnees!$A:$Z, _xlpm.ligpartie+1, _xlfn.SEQUENCE(1, 4, 2)),
    INDEX(
      Donnees!$A:$Z,
      _xlpm.ligpartie + 3,
      MATCH(AF$1, _xlpm.joueurs, 0) + 1
    )
  ), ""
)</f>
        <v/>
      </c>
      <c r="AG207" t="str" cm="1">
        <f t="array" ref="AG207">IFERROR(
  _xlfn.LET(
    _xlpm.ligpartie, MATCH($B206, Donnees!$F:$F, 0),
    _xlpm.joueurs, INDEX(Donnees!$A:$Z, _xlpm.ligpartie+1, _xlfn.SEQUENCE(1, 4, 2)),
    INDEX(
      Donnees!$A:$Z,
      _xlpm.ligpartie + 3,
      MATCH(AG$1, _xlpm.joueurs, 0) + 1
    )
  ), ""
)</f>
        <v/>
      </c>
      <c r="AH207" t="str" cm="1">
        <f t="array" ref="AH207">IFERROR(
  _xlfn.LET(
    _xlpm.ligpartie, MATCH($B206, Donnees!$F:$F, 0),
    _xlpm.joueurs, INDEX(Donnees!$A:$Z, _xlpm.ligpartie+1, _xlfn.SEQUENCE(1, 4, 2)),
    INDEX(
      Donnees!$A:$Z,
      _xlpm.ligpartie + 3,
      MATCH(AH$1, _xlpm.joueurs, 0) + 1
    )
  ), ""
)</f>
        <v/>
      </c>
      <c r="AI207" t="str" cm="1">
        <f t="array" ref="AI207">IFERROR(
  _xlfn.LET(
    _xlpm.ligpartie, MATCH($B206, Donnees!$F:$F, 0),
    _xlpm.joueurs, INDEX(Donnees!$A:$Z, _xlpm.ligpartie+1, _xlfn.SEQUENCE(1, 4, 2)),
    INDEX(
      Donnees!$A:$Z,
      _xlpm.ligpartie + 3,
      MATCH(AI$1, _xlpm.joueurs, 0) + 1
    )
  ), ""
)</f>
        <v/>
      </c>
      <c r="AJ207" t="str" cm="1">
        <f t="array" ref="AJ207">IFERROR(
  _xlfn.LET(
    _xlpm.ligpartie, MATCH($B206, Donnees!$F:$F, 0),
    _xlpm.joueurs, INDEX(Donnees!$A:$Z, _xlpm.ligpartie+1, _xlfn.SEQUENCE(1, 4, 2)),
    INDEX(
      Donnees!$A:$Z,
      _xlpm.ligpartie + 3,
      MATCH(AJ$1, _xlpm.joueurs, 0) + 1
    )
  ), ""
)</f>
        <v/>
      </c>
      <c r="AK207" t="str" cm="1">
        <f t="array" ref="AK207">IFERROR(
  _xlfn.LET(
    _xlpm.ligpartie, MATCH($B206, Donnees!$F:$F, 0),
    _xlpm.joueurs, INDEX(Donnees!$A:$Z, _xlpm.ligpartie+1, _xlfn.SEQUENCE(1, 4, 2)),
    INDEX(
      Donnees!$A:$Z,
      _xlpm.ligpartie + 3,
      MATCH(AK$1, _xlpm.joueurs, 0) + 1
    )
  ), ""
)</f>
        <v/>
      </c>
      <c r="AL207" t="str" cm="1">
        <f t="array" ref="AL207">IFERROR(
  _xlfn.LET(
    _xlpm.ligpartie, MATCH($B206, Donnees!$F:$F, 0),
    _xlpm.joueurs, INDEX(Donnees!$A:$Z, _xlpm.ligpartie+1, _xlfn.SEQUENCE(1, 4, 2)),
    INDEX(
      Donnees!$A:$Z,
      _xlpm.ligpartie + 3,
      MATCH(AL$1, _xlpm.joueurs, 0) + 1
    )
  ), ""
)</f>
        <v/>
      </c>
      <c r="AM207" t="str" cm="1">
        <f t="array" ref="AM207">IFERROR(
  _xlfn.LET(
    _xlpm.ligpartie, MATCH($B206, Donnees!$F:$F, 0),
    _xlpm.joueurs, INDEX(Donnees!$A:$Z, _xlpm.ligpartie+1, _xlfn.SEQUENCE(1, 4, 2)),
    INDEX(
      Donnees!$A:$Z,
      _xlpm.ligpartie + 3,
      MATCH(AM$1, _xlpm.joueurs, 0) + 1
    )
  ), ""
)</f>
        <v/>
      </c>
    </row>
    <row r="208" spans="1:39" x14ac:dyDescent="0.25">
      <c r="A208" t="s">
        <v>20</v>
      </c>
      <c r="D208" t="str" cm="1">
        <f t="array" ref="D208">_xlfn.LET(
  _xlpm.colj, _xlfn._xlws.FILTER(IF(ISNUMBER(207:207), COLUMN(207:207)), ISNUMBER(207:207)),
  _xlpm.elos, INDEX(206:206,1,_xlpm.colj),
  _xlpm.diffscale, Constantes!$B$2,
  IF(D207="",
    "",
    SUM(1/(1+POWER(10,-(D206-_xlpm.elos)/_xlpm.diffscale)))-0.5)
)</f>
        <v/>
      </c>
      <c r="E208" t="str" cm="1">
        <f t="array" ref="E208">_xlfn.LET(
  _xlpm.colj, _xlfn._xlws.FILTER(IF(ISNUMBER(207:207), COLUMN(207:207)), ISNUMBER(207:207)),
  _xlpm.elos, INDEX(206:206,1,_xlpm.colj),
  _xlpm.diffscale, Constantes!$B$2,
  IF(E207="",
    "",
    SUM(1/(1+POWER(10,-(E206-_xlpm.elos)/_xlpm.diffscale)))-0.5)
)</f>
        <v/>
      </c>
      <c r="F208" t="str" cm="1">
        <f t="array" ref="F208">_xlfn.LET(
  _xlpm.colj, _xlfn._xlws.FILTER(IF(ISNUMBER(207:207), COLUMN(207:207)), ISNUMBER(207:207)),
  _xlpm.elos, INDEX(206:206,1,_xlpm.colj),
  _xlpm.diffscale, Constantes!$B$2,
  IF(F207="",
    "",
    SUM(1/(1+POWER(10,-(F206-_xlpm.elos)/_xlpm.diffscale)))-0.5)
)</f>
        <v/>
      </c>
      <c r="G208" t="str" cm="1">
        <f t="array" ref="G208">_xlfn.LET(
  _xlpm.colj, _xlfn._xlws.FILTER(IF(ISNUMBER(207:207), COLUMN(207:207)), ISNUMBER(207:207)),
  _xlpm.elos, INDEX(206:206,1,_xlpm.colj),
  _xlpm.diffscale, Constantes!$B$2,
  IF(G207="",
    "",
    SUM(1/(1+POWER(10,-(G206-_xlpm.elos)/_xlpm.diffscale)))-0.5)
)</f>
        <v/>
      </c>
      <c r="H208" t="str" cm="1">
        <f t="array" ref="H208">_xlfn.LET(
  _xlpm.colj, _xlfn._xlws.FILTER(IF(ISNUMBER(207:207), COLUMN(207:207)), ISNUMBER(207:207)),
  _xlpm.elos, INDEX(206:206,1,_xlpm.colj),
  _xlpm.diffscale, Constantes!$B$2,
  IF(H207="",
    "",
    SUM(1/(1+POWER(10,-(H206-_xlpm.elos)/_xlpm.diffscale)))-0.5)
)</f>
        <v/>
      </c>
      <c r="I208" t="str" cm="1">
        <f t="array" ref="I208">_xlfn.LET(
  _xlpm.colj, _xlfn._xlws.FILTER(IF(ISNUMBER(207:207), COLUMN(207:207)), ISNUMBER(207:207)),
  _xlpm.elos, INDEX(206:206,1,_xlpm.colj),
  _xlpm.diffscale, Constantes!$B$2,
  IF(I207="",
    "",
    SUM(1/(1+POWER(10,-(I206-_xlpm.elos)/_xlpm.diffscale)))-0.5)
)</f>
        <v/>
      </c>
      <c r="J208" t="str" cm="1">
        <f t="array" ref="J208">_xlfn.LET(
  _xlpm.colj, _xlfn._xlws.FILTER(IF(ISNUMBER(207:207), COLUMN(207:207)), ISNUMBER(207:207)),
  _xlpm.elos, INDEX(206:206,1,_xlpm.colj),
  _xlpm.diffscale, Constantes!$B$2,
  IF(J207="",
    "",
    SUM(1/(1+POWER(10,-(J206-_xlpm.elos)/_xlpm.diffscale)))-0.5)
)</f>
        <v/>
      </c>
      <c r="K208" t="str" cm="1">
        <f t="array" ref="K208">_xlfn.LET(
  _xlpm.colj, _xlfn._xlws.FILTER(IF(ISNUMBER(207:207), COLUMN(207:207)), ISNUMBER(207:207)),
  _xlpm.elos, INDEX(206:206,1,_xlpm.colj),
  _xlpm.diffscale, Constantes!$B$2,
  IF(K207="",
    "",
    SUM(1/(1+POWER(10,-(K206-_xlpm.elos)/_xlpm.diffscale)))-0.5)
)</f>
        <v/>
      </c>
      <c r="L208" t="str" cm="1">
        <f t="array" ref="L208">_xlfn.LET(
  _xlpm.colj, _xlfn._xlws.FILTER(IF(ISNUMBER(207:207), COLUMN(207:207)), ISNUMBER(207:207)),
  _xlpm.elos, INDEX(206:206,1,_xlpm.colj),
  _xlpm.diffscale, Constantes!$B$2,
  IF(L207="",
    "",
    SUM(1/(1+POWER(10,-(L206-_xlpm.elos)/_xlpm.diffscale)))-0.5)
)</f>
        <v/>
      </c>
      <c r="M208" t="str" cm="1">
        <f t="array" ref="M208">_xlfn.LET(
  _xlpm.colj, _xlfn._xlws.FILTER(IF(ISNUMBER(207:207), COLUMN(207:207)), ISNUMBER(207:207)),
  _xlpm.elos, INDEX(206:206,1,_xlpm.colj),
  _xlpm.diffscale, Constantes!$B$2,
  IF(M207="",
    "",
    SUM(1/(1+POWER(10,-(M206-_xlpm.elos)/_xlpm.diffscale)))-0.5)
)</f>
        <v/>
      </c>
      <c r="N208" cm="1">
        <f t="array" ref="N208">_xlfn.LET(
  _xlpm.colj, _xlfn._xlws.FILTER(IF(ISNUMBER(207:207), COLUMN(207:207)), ISNUMBER(207:207)),
  _xlpm.elos, INDEX(206:206,1,_xlpm.colj),
  _xlpm.diffscale, Constantes!$B$2,
  IF(N207="",
    "",
    SUM(1/(1+POWER(10,-(N206-_xlpm.elos)/_xlpm.diffscale)))-0.5)
)</f>
        <v>0.94448087901459843</v>
      </c>
      <c r="O208" cm="1">
        <f t="array" ref="O208">_xlfn.LET(
  _xlpm.colj, _xlfn._xlws.FILTER(IF(ISNUMBER(207:207), COLUMN(207:207)), ISNUMBER(207:207)),
  _xlpm.elos, INDEX(206:206,1,_xlpm.colj),
  _xlpm.diffscale, Constantes!$B$2,
  IF(O207="",
    "",
    SUM(1/(1+POWER(10,-(O206-_xlpm.elos)/_xlpm.diffscale)))-0.5)
)</f>
        <v>1.4721281145588576</v>
      </c>
      <c r="P208" t="str" cm="1">
        <f t="array" ref="P208">_xlfn.LET(
  _xlpm.colj, _xlfn._xlws.FILTER(IF(ISNUMBER(207:207), COLUMN(207:207)), ISNUMBER(207:207)),
  _xlpm.elos, INDEX(206:206,1,_xlpm.colj),
  _xlpm.diffscale, Constantes!$B$2,
  IF(P207="",
    "",
    SUM(1/(1+POWER(10,-(P206-_xlpm.elos)/_xlpm.diffscale)))-0.5)
)</f>
        <v/>
      </c>
      <c r="Q208" t="str" cm="1">
        <f t="array" ref="Q208">_xlfn.LET(
  _xlpm.colj, _xlfn._xlws.FILTER(IF(ISNUMBER(207:207), COLUMN(207:207)), ISNUMBER(207:207)),
  _xlpm.elos, INDEX(206:206,1,_xlpm.colj),
  _xlpm.diffscale, Constantes!$B$2,
  IF(Q207="",
    "",
    SUM(1/(1+POWER(10,-(Q206-_xlpm.elos)/_xlpm.diffscale)))-0.5)
)</f>
        <v/>
      </c>
      <c r="R208" cm="1">
        <f t="array" ref="R208">_xlfn.LET(
  _xlpm.colj, _xlfn._xlws.FILTER(IF(ISNUMBER(207:207), COLUMN(207:207)), ISNUMBER(207:207)),
  _xlpm.elos, INDEX(206:206,1,_xlpm.colj),
  _xlpm.diffscale, Constantes!$B$2,
  IF(R207="",
    "",
    SUM(1/(1+POWER(10,-(R206-_xlpm.elos)/_xlpm.diffscale)))-0.5)
)</f>
        <v>2.3430571892614265</v>
      </c>
      <c r="S208" t="str" cm="1">
        <f t="array" ref="S208">_xlfn.LET(
  _xlpm.colj, _xlfn._xlws.FILTER(IF(ISNUMBER(207:207), COLUMN(207:207)), ISNUMBER(207:207)),
  _xlpm.elos, INDEX(206:206,1,_xlpm.colj),
  _xlpm.diffscale, Constantes!$B$2,
  IF(S207="",
    "",
    SUM(1/(1+POWER(10,-(S206-_xlpm.elos)/_xlpm.diffscale)))-0.5)
)</f>
        <v/>
      </c>
      <c r="T208" t="str" cm="1">
        <f t="array" ref="T208">_xlfn.LET(
  _xlpm.colj, _xlfn._xlws.FILTER(IF(ISNUMBER(207:207), COLUMN(207:207)), ISNUMBER(207:207)),
  _xlpm.elos, INDEX(206:206,1,_xlpm.colj),
  _xlpm.diffscale, Constantes!$B$2,
  IF(T207="",
    "",
    SUM(1/(1+POWER(10,-(T206-_xlpm.elos)/_xlpm.diffscale)))-0.5)
)</f>
        <v/>
      </c>
      <c r="U208" t="str" cm="1">
        <f t="array" ref="U208">_xlfn.LET(
  _xlpm.colj, _xlfn._xlws.FILTER(IF(ISNUMBER(207:207), COLUMN(207:207)), ISNUMBER(207:207)),
  _xlpm.elos, INDEX(206:206,1,_xlpm.colj),
  _xlpm.diffscale, Constantes!$B$2,
  IF(U207="",
    "",
    SUM(1/(1+POWER(10,-(U206-_xlpm.elos)/_xlpm.diffscale)))-0.5)
)</f>
        <v/>
      </c>
      <c r="V208" cm="1">
        <f t="array" ref="V208">_xlfn.LET(
  _xlpm.colj, _xlfn._xlws.FILTER(IF(ISNUMBER(207:207), COLUMN(207:207)), ISNUMBER(207:207)),
  _xlpm.elos, INDEX(206:206,1,_xlpm.colj),
  _xlpm.diffscale, Constantes!$B$2,
  IF(V207="",
    "",
    SUM(1/(1+POWER(10,-(V206-_xlpm.elos)/_xlpm.diffscale)))-0.5)
)</f>
        <v>1.2403338171651173</v>
      </c>
      <c r="W208" t="str" cm="1">
        <f t="array" ref="W208">_xlfn.LET(
  _xlpm.colj, _xlfn._xlws.FILTER(IF(ISNUMBER(207:207), COLUMN(207:207)), ISNUMBER(207:207)),
  _xlpm.elos, INDEX(206:206,1,_xlpm.colj),
  _xlpm.diffscale, Constantes!$B$2,
  IF(W207="",
    "",
    SUM(1/(1+POWER(10,-(W206-_xlpm.elos)/_xlpm.diffscale)))-0.5)
)</f>
        <v/>
      </c>
      <c r="X208" t="str" cm="1">
        <f t="array" ref="X208">_xlfn.LET(
  _xlpm.colj, _xlfn._xlws.FILTER(IF(ISNUMBER(207:207), COLUMN(207:207)), ISNUMBER(207:207)),
  _xlpm.elos, INDEX(206:206,1,_xlpm.colj),
  _xlpm.diffscale, Constantes!$B$2,
  IF(X207="",
    "",
    SUM(1/(1+POWER(10,-(X206-_xlpm.elos)/_xlpm.diffscale)))-0.5)
)</f>
        <v/>
      </c>
      <c r="Y208" t="str" cm="1">
        <f t="array" ref="Y208">_xlfn.LET(
  _xlpm.colj, _xlfn._xlws.FILTER(IF(ISNUMBER(207:207), COLUMN(207:207)), ISNUMBER(207:207)),
  _xlpm.elos, INDEX(206:206,1,_xlpm.colj),
  _xlpm.diffscale, Constantes!$B$2,
  IF(Y207="",
    "",
    SUM(1/(1+POWER(10,-(Y206-_xlpm.elos)/_xlpm.diffscale)))-0.5)
)</f>
        <v/>
      </c>
      <c r="Z208" t="str" cm="1">
        <f t="array" ref="Z208">_xlfn.LET(
  _xlpm.colj, _xlfn._xlws.FILTER(IF(ISNUMBER(207:207), COLUMN(207:207)), ISNUMBER(207:207)),
  _xlpm.elos, INDEX(206:206,1,_xlpm.colj),
  _xlpm.diffscale, Constantes!$B$2,
  IF(Z207="",
    "",
    SUM(1/(1+POWER(10,-(Z206-_xlpm.elos)/_xlpm.diffscale)))-0.5)
)</f>
        <v/>
      </c>
      <c r="AA208" t="str" cm="1">
        <f t="array" ref="AA208">_xlfn.LET(
  _xlpm.colj, _xlfn._xlws.FILTER(IF(ISNUMBER(207:207), COLUMN(207:207)), ISNUMBER(207:207)),
  _xlpm.elos, INDEX(206:206,1,_xlpm.colj),
  _xlpm.diffscale, Constantes!$B$2,
  IF(AA207="",
    "",
    SUM(1/(1+POWER(10,-(AA206-_xlpm.elos)/_xlpm.diffscale)))-0.5)
)</f>
        <v/>
      </c>
      <c r="AB208" t="str" cm="1">
        <f t="array" ref="AB208">_xlfn.LET(
  _xlpm.colj, _xlfn._xlws.FILTER(IF(ISNUMBER(207:207), COLUMN(207:207)), ISNUMBER(207:207)),
  _xlpm.elos, INDEX(206:206,1,_xlpm.colj),
  _xlpm.diffscale, Constantes!$B$2,
  IF(AB207="",
    "",
    SUM(1/(1+POWER(10,-(AB206-_xlpm.elos)/_xlpm.diffscale)))-0.5)
)</f>
        <v/>
      </c>
      <c r="AC208" t="str" cm="1">
        <f t="array" ref="AC208">_xlfn.LET(
  _xlpm.colj, _xlfn._xlws.FILTER(IF(ISNUMBER(207:207), COLUMN(207:207)), ISNUMBER(207:207)),
  _xlpm.elos, INDEX(206:206,1,_xlpm.colj),
  _xlpm.diffscale, Constantes!$B$2,
  IF(AC207="",
    "",
    SUM(1/(1+POWER(10,-(AC206-_xlpm.elos)/_xlpm.diffscale)))-0.5)
)</f>
        <v/>
      </c>
      <c r="AD208" t="str" cm="1">
        <f t="array" ref="AD208">_xlfn.LET(
  _xlpm.colj, _xlfn._xlws.FILTER(IF(ISNUMBER(207:207), COLUMN(207:207)), ISNUMBER(207:207)),
  _xlpm.elos, INDEX(206:206,1,_xlpm.colj),
  _xlpm.diffscale, Constantes!$B$2,
  IF(AD207="",
    "",
    SUM(1/(1+POWER(10,-(AD206-_xlpm.elos)/_xlpm.diffscale)))-0.5)
)</f>
        <v/>
      </c>
      <c r="AE208" t="str" cm="1">
        <f t="array" ref="AE208">_xlfn.LET(
  _xlpm.colj, _xlfn._xlws.FILTER(IF(ISNUMBER(207:207), COLUMN(207:207)), ISNUMBER(207:207)),
  _xlpm.elos, INDEX(206:206,1,_xlpm.colj),
  _xlpm.diffscale, Constantes!$B$2,
  IF(AE207="",
    "",
    SUM(1/(1+POWER(10,-(AE206-_xlpm.elos)/_xlpm.diffscale)))-0.5)
)</f>
        <v/>
      </c>
      <c r="AF208" t="str" cm="1">
        <f t="array" ref="AF208">_xlfn.LET(
  _xlpm.colj, _xlfn._xlws.FILTER(IF(ISNUMBER(207:207), COLUMN(207:207)), ISNUMBER(207:207)),
  _xlpm.elos, INDEX(206:206,1,_xlpm.colj),
  _xlpm.diffscale, Constantes!$B$2,
  IF(AF207="",
    "",
    SUM(1/(1+POWER(10,-(AF206-_xlpm.elos)/_xlpm.diffscale)))-0.5)
)</f>
        <v/>
      </c>
      <c r="AG208" t="str" cm="1">
        <f t="array" ref="AG208">_xlfn.LET(
  _xlpm.colj, _xlfn._xlws.FILTER(IF(ISNUMBER(207:207), COLUMN(207:207)), ISNUMBER(207:207)),
  _xlpm.elos, INDEX(206:206,1,_xlpm.colj),
  _xlpm.diffscale, Constantes!$B$2,
  IF(AG207="",
    "",
    SUM(1/(1+POWER(10,-(AG206-_xlpm.elos)/_xlpm.diffscale)))-0.5)
)</f>
        <v/>
      </c>
      <c r="AH208" t="str" cm="1">
        <f t="array" ref="AH208">_xlfn.LET(
  _xlpm.colj, _xlfn._xlws.FILTER(IF(ISNUMBER(207:207), COLUMN(207:207)), ISNUMBER(207:207)),
  _xlpm.elos, INDEX(206:206,1,_xlpm.colj),
  _xlpm.diffscale, Constantes!$B$2,
  IF(AH207="",
    "",
    SUM(1/(1+POWER(10,-(AH206-_xlpm.elos)/_xlpm.diffscale)))-0.5)
)</f>
        <v/>
      </c>
      <c r="AI208" t="str" cm="1">
        <f t="array" ref="AI208">_xlfn.LET(
  _xlpm.colj, _xlfn._xlws.FILTER(IF(ISNUMBER(207:207), COLUMN(207:207)), ISNUMBER(207:207)),
  _xlpm.elos, INDEX(206:206,1,_xlpm.colj),
  _xlpm.diffscale, Constantes!$B$2,
  IF(AI207="",
    "",
    SUM(1/(1+POWER(10,-(AI206-_xlpm.elos)/_xlpm.diffscale)))-0.5)
)</f>
        <v/>
      </c>
      <c r="AJ208" t="str" cm="1">
        <f t="array" ref="AJ208">_xlfn.LET(
  _xlpm.colj, _xlfn._xlws.FILTER(IF(ISNUMBER(207:207), COLUMN(207:207)), ISNUMBER(207:207)),
  _xlpm.elos, INDEX(206:206,1,_xlpm.colj),
  _xlpm.diffscale, Constantes!$B$2,
  IF(AJ207="",
    "",
    SUM(1/(1+POWER(10,-(AJ206-_xlpm.elos)/_xlpm.diffscale)))-0.5)
)</f>
        <v/>
      </c>
      <c r="AK208" t="str" cm="1">
        <f t="array" ref="AK208">_xlfn.LET(
  _xlpm.colj, _xlfn._xlws.FILTER(IF(ISNUMBER(207:207), COLUMN(207:207)), ISNUMBER(207:207)),
  _xlpm.elos, INDEX(206:206,1,_xlpm.colj),
  _xlpm.diffscale, Constantes!$B$2,
  IF(AK207="",
    "",
    SUM(1/(1+POWER(10,-(AK206-_xlpm.elos)/_xlpm.diffscale)))-0.5)
)</f>
        <v/>
      </c>
      <c r="AL208" t="str" cm="1">
        <f t="array" ref="AL208">_xlfn.LET(
  _xlpm.colj, _xlfn._xlws.FILTER(IF(ISNUMBER(207:207), COLUMN(207:207)), ISNUMBER(207:207)),
  _xlpm.elos, INDEX(206:206,1,_xlpm.colj),
  _xlpm.diffscale, Constantes!$B$2,
  IF(AL207="",
    "",
    SUM(1/(1+POWER(10,-(AL206-_xlpm.elos)/_xlpm.diffscale)))-0.5)
)</f>
        <v/>
      </c>
      <c r="AM208" t="str" cm="1">
        <f t="array" ref="AM208">_xlfn.LET(
  _xlpm.colj, _xlfn._xlws.FILTER(IF(ISNUMBER(207:207), COLUMN(207:207)), ISNUMBER(207:207)),
  _xlpm.elos, INDEX(206:206,1,_xlpm.colj),
  _xlpm.diffscale, Constantes!$B$2,
  IF(AM207="",
    "",
    SUM(1/(1+POWER(10,-(AM206-_xlpm.elos)/_xlpm.diffscale)))-0.5)
)</f>
        <v/>
      </c>
    </row>
    <row r="209" spans="1:39" x14ac:dyDescent="0.25">
      <c r="A209" t="s">
        <v>22</v>
      </c>
      <c r="D209" t="str" cm="1">
        <f t="array" ref="D209">_xlfn.LET(
  _xlpm.K, Constantes!$B$3,
  _xlpm.Knewgain, Constantes!$B$4,
  _xlpm.Knewscale, Constantes!$B$5,
  _xlpm.ptstables, INDEX(D:D, _xlfn.SEQUENCE(COUNTA($C$2:$C209), 1, 3, 4)),
  _xlpm.nbparties, COUNTA(_xlfn._xlws.FILTER(_xlpm.ptstables, _xlpm.ptstables &lt;&gt; "")),
  _xlpm.coef, _xlpm.K + _xlpm.Knewgain / (_xlpm.Knewscale + _xlpm.nbparties),
  IF(D207="",
    "",
    _xlpm.coef * (D207-D208))
)</f>
        <v/>
      </c>
      <c r="E209" t="str" cm="1">
        <f t="array" ref="E209">_xlfn.LET(
  _xlpm.K, Constantes!$B$3,
  _xlpm.Knewgain, Constantes!$B$4,
  _xlpm.Knewscale, Constantes!$B$5,
  _xlpm.ptstables, INDEX(E:E, _xlfn.SEQUENCE(COUNTA($C$2:$C209), 1, 3, 4)),
  _xlpm.nbparties, COUNTA(_xlfn._xlws.FILTER(_xlpm.ptstables, _xlpm.ptstables &lt;&gt; "")),
  _xlpm.coef, _xlpm.K + _xlpm.Knewgain / (_xlpm.Knewscale + _xlpm.nbparties),
  IF(E207="",
    "",
    _xlpm.coef * (E207-E208))
)</f>
        <v/>
      </c>
      <c r="F209" t="str" cm="1">
        <f t="array" ref="F209">_xlfn.LET(
  _xlpm.K, Constantes!$B$3,
  _xlpm.Knewgain, Constantes!$B$4,
  _xlpm.Knewscale, Constantes!$B$5,
  _xlpm.ptstables, INDEX(F:F, _xlfn.SEQUENCE(COUNTA($C$2:$C209), 1, 3, 4)),
  _xlpm.nbparties, COUNTA(_xlfn._xlws.FILTER(_xlpm.ptstables, _xlpm.ptstables &lt;&gt; "")),
  _xlpm.coef, _xlpm.K + _xlpm.Knewgain / (_xlpm.Knewscale + _xlpm.nbparties),
  IF(F207="",
    "",
    _xlpm.coef * (F207-F208))
)</f>
        <v/>
      </c>
      <c r="G209" t="str" cm="1">
        <f t="array" ref="G209">_xlfn.LET(
  _xlpm.K, Constantes!$B$3,
  _xlpm.Knewgain, Constantes!$B$4,
  _xlpm.Knewscale, Constantes!$B$5,
  _xlpm.ptstables, INDEX(G:G, _xlfn.SEQUENCE(COUNTA($C$2:$C209), 1, 3, 4)),
  _xlpm.nbparties, COUNTA(_xlfn._xlws.FILTER(_xlpm.ptstables, _xlpm.ptstables &lt;&gt; "")),
  _xlpm.coef, _xlpm.K + _xlpm.Knewgain / (_xlpm.Knewscale + _xlpm.nbparties),
  IF(G207="",
    "",
    _xlpm.coef * (G207-G208))
)</f>
        <v/>
      </c>
      <c r="H209" t="str" cm="1">
        <f t="array" ref="H209">_xlfn.LET(
  _xlpm.K, Constantes!$B$3,
  _xlpm.Knewgain, Constantes!$B$4,
  _xlpm.Knewscale, Constantes!$B$5,
  _xlpm.ptstables, INDEX(H:H, _xlfn.SEQUENCE(COUNTA($C$2:$C209), 1, 3, 4)),
  _xlpm.nbparties, COUNTA(_xlfn._xlws.FILTER(_xlpm.ptstables, _xlpm.ptstables &lt;&gt; "")),
  _xlpm.coef, _xlpm.K + _xlpm.Knewgain / (_xlpm.Knewscale + _xlpm.nbparties),
  IF(H207="",
    "",
    _xlpm.coef * (H207-H208))
)</f>
        <v/>
      </c>
      <c r="I209" t="str" cm="1">
        <f t="array" ref="I209">_xlfn.LET(
  _xlpm.K, Constantes!$B$3,
  _xlpm.Knewgain, Constantes!$B$4,
  _xlpm.Knewscale, Constantes!$B$5,
  _xlpm.ptstables, INDEX(I:I, _xlfn.SEQUENCE(COUNTA($C$2:$C209), 1, 3, 4)),
  _xlpm.nbparties, COUNTA(_xlfn._xlws.FILTER(_xlpm.ptstables, _xlpm.ptstables &lt;&gt; "")),
  _xlpm.coef, _xlpm.K + _xlpm.Knewgain / (_xlpm.Knewscale + _xlpm.nbparties),
  IF(I207="",
    "",
    _xlpm.coef * (I207-I208))
)</f>
        <v/>
      </c>
      <c r="J209" t="str" cm="1">
        <f t="array" ref="J209">_xlfn.LET(
  _xlpm.K, Constantes!$B$3,
  _xlpm.Knewgain, Constantes!$B$4,
  _xlpm.Knewscale, Constantes!$B$5,
  _xlpm.ptstables, INDEX(J:J, _xlfn.SEQUENCE(COUNTA($C$2:$C209), 1, 3, 4)),
  _xlpm.nbparties, COUNTA(_xlfn._xlws.FILTER(_xlpm.ptstables, _xlpm.ptstables &lt;&gt; "")),
  _xlpm.coef, _xlpm.K + _xlpm.Knewgain / (_xlpm.Knewscale + _xlpm.nbparties),
  IF(J207="",
    "",
    _xlpm.coef * (J207-J208))
)</f>
        <v/>
      </c>
      <c r="K209" t="str" cm="1">
        <f t="array" ref="K209">_xlfn.LET(
  _xlpm.K, Constantes!$B$3,
  _xlpm.Knewgain, Constantes!$B$4,
  _xlpm.Knewscale, Constantes!$B$5,
  _xlpm.ptstables, INDEX(K:K, _xlfn.SEQUENCE(COUNTA($C$2:$C209), 1, 3, 4)),
  _xlpm.nbparties, COUNTA(_xlfn._xlws.FILTER(_xlpm.ptstables, _xlpm.ptstables &lt;&gt; "")),
  _xlpm.coef, _xlpm.K + _xlpm.Knewgain / (_xlpm.Knewscale + _xlpm.nbparties),
  IF(K207="",
    "",
    _xlpm.coef * (K207-K208))
)</f>
        <v/>
      </c>
      <c r="L209" t="str" cm="1">
        <f t="array" ref="L209">_xlfn.LET(
  _xlpm.K, Constantes!$B$3,
  _xlpm.Knewgain, Constantes!$B$4,
  _xlpm.Knewscale, Constantes!$B$5,
  _xlpm.ptstables, INDEX(L:L, _xlfn.SEQUENCE(COUNTA($C$2:$C209), 1, 3, 4)),
  _xlpm.nbparties, COUNTA(_xlfn._xlws.FILTER(_xlpm.ptstables, _xlpm.ptstables &lt;&gt; "")),
  _xlpm.coef, _xlpm.K + _xlpm.Knewgain / (_xlpm.Knewscale + _xlpm.nbparties),
  IF(L207="",
    "",
    _xlpm.coef * (L207-L208))
)</f>
        <v/>
      </c>
      <c r="M209" t="str" cm="1">
        <f t="array" ref="M209">_xlfn.LET(
  _xlpm.K, Constantes!$B$3,
  _xlpm.Knewgain, Constantes!$B$4,
  _xlpm.Knewscale, Constantes!$B$5,
  _xlpm.ptstables, INDEX(M:M, _xlfn.SEQUENCE(COUNTA($C$2:$C209), 1, 3, 4)),
  _xlpm.nbparties, COUNTA(_xlfn._xlws.FILTER(_xlpm.ptstables, _xlpm.ptstables &lt;&gt; "")),
  _xlpm.coef, _xlpm.K + _xlpm.Knewgain / (_xlpm.Knewscale + _xlpm.nbparties),
  IF(M207="",
    "",
    _xlpm.coef * (M207-M208))
)</f>
        <v/>
      </c>
      <c r="N209" cm="1">
        <f t="array" ref="N209">_xlfn.LET(
  _xlpm.K, Constantes!$B$3,
  _xlpm.Knewgain, Constantes!$B$4,
  _xlpm.Knewscale, Constantes!$B$5,
  _xlpm.ptstables, INDEX(N:N, _xlfn.SEQUENCE(COUNTA($C$2:$C209), 1, 3, 4)),
  _xlpm.nbparties, COUNTA(_xlfn._xlws.FILTER(_xlpm.ptstables, _xlpm.ptstables &lt;&gt; "")),
  _xlpm.coef, _xlpm.K + _xlpm.Knewgain / (_xlpm.Knewscale + _xlpm.nbparties),
  IF(N207="",
    "",
    _xlpm.coef * (N207-N208))
)</f>
        <v>1.3627420605507659</v>
      </c>
      <c r="O209" cm="1">
        <f t="array" ref="O209">_xlfn.LET(
  _xlpm.K, Constantes!$B$3,
  _xlpm.Knewgain, Constantes!$B$4,
  _xlpm.Knewscale, Constantes!$B$5,
  _xlpm.ptstables, INDEX(O:O, _xlfn.SEQUENCE(COUNTA($C$2:$C209), 1, 3, 4)),
  _xlpm.nbparties, COUNTA(_xlfn._xlws.FILTER(_xlpm.ptstables, _xlpm.ptstables &lt;&gt; "")),
  _xlpm.coef, _xlpm.K + _xlpm.Knewgain / (_xlpm.Knewscale + _xlpm.nbparties),
  IF(O207="",
    "",
    _xlpm.coef * (O207-O208))
)</f>
        <v>45.836156563234269</v>
      </c>
      <c r="P209" t="str" cm="1">
        <f t="array" ref="P209">_xlfn.LET(
  _xlpm.K, Constantes!$B$3,
  _xlpm.Knewgain, Constantes!$B$4,
  _xlpm.Knewscale, Constantes!$B$5,
  _xlpm.ptstables, INDEX(P:P, _xlfn.SEQUENCE(COUNTA($C$2:$C209), 1, 3, 4)),
  _xlpm.nbparties, COUNTA(_xlfn._xlws.FILTER(_xlpm.ptstables, _xlpm.ptstables &lt;&gt; "")),
  _xlpm.coef, _xlpm.K + _xlpm.Knewgain / (_xlpm.Knewscale + _xlpm.nbparties),
  IF(P207="",
    "",
    _xlpm.coef * (P207-P208))
)</f>
        <v/>
      </c>
      <c r="Q209" t="str" cm="1">
        <f t="array" ref="Q209">_xlfn.LET(
  _xlpm.K, Constantes!$B$3,
  _xlpm.Knewgain, Constantes!$B$4,
  _xlpm.Knewscale, Constantes!$B$5,
  _xlpm.ptstables, INDEX(Q:Q, _xlfn.SEQUENCE(COUNTA($C$2:$C209), 1, 3, 4)),
  _xlpm.nbparties, COUNTA(_xlfn._xlws.FILTER(_xlpm.ptstables, _xlpm.ptstables &lt;&gt; "")),
  _xlpm.coef, _xlpm.K + _xlpm.Knewgain / (_xlpm.Knewscale + _xlpm.nbparties),
  IF(Q207="",
    "",
    _xlpm.coef * (Q207-Q208))
)</f>
        <v/>
      </c>
      <c r="R209" cm="1">
        <f t="array" ref="R209">_xlfn.LET(
  _xlpm.K, Constantes!$B$3,
  _xlpm.Knewgain, Constantes!$B$4,
  _xlpm.Knewscale, Constantes!$B$5,
  _xlpm.ptstables, INDEX(R:R, _xlfn.SEQUENCE(COUNTA($C$2:$C209), 1, 3, 4)),
  _xlpm.nbparties, COUNTA(_xlfn._xlws.FILTER(_xlpm.ptstables, _xlpm.ptstables &lt;&gt; "")),
  _xlpm.coef, _xlpm.K + _xlpm.Knewgain / (_xlpm.Knewscale + _xlpm.nbparties),
  IF(R207="",
    "",
    _xlpm.coef * (R207-R208))
)</f>
        <v>-55.229205175447916</v>
      </c>
      <c r="S209" t="str" cm="1">
        <f t="array" ref="S209">_xlfn.LET(
  _xlpm.K, Constantes!$B$3,
  _xlpm.Knewgain, Constantes!$B$4,
  _xlpm.Knewscale, Constantes!$B$5,
  _xlpm.ptstables, INDEX(S:S, _xlfn.SEQUENCE(COUNTA($C$2:$C209), 1, 3, 4)),
  _xlpm.nbparties, COUNTA(_xlfn._xlws.FILTER(_xlpm.ptstables, _xlpm.ptstables &lt;&gt; "")),
  _xlpm.coef, _xlpm.K + _xlpm.Knewgain / (_xlpm.Knewscale + _xlpm.nbparties),
  IF(S207="",
    "",
    _xlpm.coef * (S207-S208))
)</f>
        <v/>
      </c>
      <c r="T209" t="str" cm="1">
        <f t="array" ref="T209">_xlfn.LET(
  _xlpm.K, Constantes!$B$3,
  _xlpm.Knewgain, Constantes!$B$4,
  _xlpm.Knewscale, Constantes!$B$5,
  _xlpm.ptstables, INDEX(T:T, _xlfn.SEQUENCE(COUNTA($C$2:$C209), 1, 3, 4)),
  _xlpm.nbparties, COUNTA(_xlfn._xlws.FILTER(_xlpm.ptstables, _xlpm.ptstables &lt;&gt; "")),
  _xlpm.coef, _xlpm.K + _xlpm.Knewgain / (_xlpm.Knewscale + _xlpm.nbparties),
  IF(T207="",
    "",
    _xlpm.coef * (T207-T208))
)</f>
        <v/>
      </c>
      <c r="U209" t="str" cm="1">
        <f t="array" ref="U209">_xlfn.LET(
  _xlpm.K, Constantes!$B$3,
  _xlpm.Knewgain, Constantes!$B$4,
  _xlpm.Knewscale, Constantes!$B$5,
  _xlpm.ptstables, INDEX(U:U, _xlfn.SEQUENCE(COUNTA($C$2:$C209), 1, 3, 4)),
  _xlpm.nbparties, COUNTA(_xlfn._xlws.FILTER(_xlpm.ptstables, _xlpm.ptstables &lt;&gt; "")),
  _xlpm.coef, _xlpm.K + _xlpm.Knewgain / (_xlpm.Knewscale + _xlpm.nbparties),
  IF(U207="",
    "",
    _xlpm.coef * (U207-U208))
)</f>
        <v/>
      </c>
      <c r="V209" cm="1">
        <f t="array" ref="V209">_xlfn.LET(
  _xlpm.K, Constantes!$B$3,
  _xlpm.Knewgain, Constantes!$B$4,
  _xlpm.Knewscale, Constantes!$B$5,
  _xlpm.ptstables, INDEX(V:V, _xlfn.SEQUENCE(COUNTA($C$2:$C209), 1, 3, 4)),
  _xlpm.nbparties, COUNTA(_xlfn._xlws.FILTER(_xlpm.ptstables, _xlpm.ptstables &lt;&gt; "")),
  _xlpm.coef, _xlpm.K + _xlpm.Knewgain / (_xlpm.Knewscale + _xlpm.nbparties),
  IF(V207="",
    "",
    _xlpm.coef * (V207-V208))
)</f>
        <v>21.523875180321678</v>
      </c>
      <c r="W209" t="str" cm="1">
        <f t="array" ref="W209">_xlfn.LET(
  _xlpm.K, Constantes!$B$3,
  _xlpm.Knewgain, Constantes!$B$4,
  _xlpm.Knewscale, Constantes!$B$5,
  _xlpm.ptstables, INDEX(W:W, _xlfn.SEQUENCE(COUNTA($C$2:$C209), 1, 3, 4)),
  _xlpm.nbparties, COUNTA(_xlfn._xlws.FILTER(_xlpm.ptstables, _xlpm.ptstables &lt;&gt; "")),
  _xlpm.coef, _xlpm.K + _xlpm.Knewgain / (_xlpm.Knewscale + _xlpm.nbparties),
  IF(W207="",
    "",
    _xlpm.coef * (W207-W208))
)</f>
        <v/>
      </c>
      <c r="X209" t="str" cm="1">
        <f t="array" ref="X209">_xlfn.LET(
  _xlpm.K, Constantes!$B$3,
  _xlpm.Knewgain, Constantes!$B$4,
  _xlpm.Knewscale, Constantes!$B$5,
  _xlpm.ptstables, INDEX(X:X, _xlfn.SEQUENCE(COUNTA($C$2:$C209), 1, 3, 4)),
  _xlpm.nbparties, COUNTA(_xlfn._xlws.FILTER(_xlpm.ptstables, _xlpm.ptstables &lt;&gt; "")),
  _xlpm.coef, _xlpm.K + _xlpm.Knewgain / (_xlpm.Knewscale + _xlpm.nbparties),
  IF(X207="",
    "",
    _xlpm.coef * (X207-X208))
)</f>
        <v/>
      </c>
      <c r="Y209" t="str" cm="1">
        <f t="array" ref="Y209">_xlfn.LET(
  _xlpm.K, Constantes!$B$3,
  _xlpm.Knewgain, Constantes!$B$4,
  _xlpm.Knewscale, Constantes!$B$5,
  _xlpm.ptstables, INDEX(Y:Y, _xlfn.SEQUENCE(COUNTA($C$2:$C209), 1, 3, 4)),
  _xlpm.nbparties, COUNTA(_xlfn._xlws.FILTER(_xlpm.ptstables, _xlpm.ptstables &lt;&gt; "")),
  _xlpm.coef, _xlpm.K + _xlpm.Knewgain / (_xlpm.Knewscale + _xlpm.nbparties),
  IF(Y207="",
    "",
    _xlpm.coef * (Y207-Y208))
)</f>
        <v/>
      </c>
      <c r="Z209" t="str" cm="1">
        <f t="array" ref="Z209">_xlfn.LET(
  _xlpm.K, Constantes!$B$3,
  _xlpm.Knewgain, Constantes!$B$4,
  _xlpm.Knewscale, Constantes!$B$5,
  _xlpm.ptstables, INDEX(Z:Z, _xlfn.SEQUENCE(COUNTA($C$2:$C209), 1, 3, 4)),
  _xlpm.nbparties, COUNTA(_xlfn._xlws.FILTER(_xlpm.ptstables, _xlpm.ptstables &lt;&gt; "")),
  _xlpm.coef, _xlpm.K + _xlpm.Knewgain / (_xlpm.Knewscale + _xlpm.nbparties),
  IF(Z207="",
    "",
    _xlpm.coef * (Z207-Z208))
)</f>
        <v/>
      </c>
      <c r="AA209" t="str" cm="1">
        <f t="array" ref="AA209">_xlfn.LET(
  _xlpm.K, Constantes!$B$3,
  _xlpm.Knewgain, Constantes!$B$4,
  _xlpm.Knewscale, Constantes!$B$5,
  _xlpm.ptstables, INDEX(AA:AA, _xlfn.SEQUENCE(COUNTA($C$2:$C209), 1, 3, 4)),
  _xlpm.nbparties, COUNTA(_xlfn._xlws.FILTER(_xlpm.ptstables, _xlpm.ptstables &lt;&gt; "")),
  _xlpm.coef, _xlpm.K + _xlpm.Knewgain / (_xlpm.Knewscale + _xlpm.nbparties),
  IF(AA207="",
    "",
    _xlpm.coef * (AA207-AA208))
)</f>
        <v/>
      </c>
      <c r="AB209" t="str" cm="1">
        <f t="array" ref="AB209">_xlfn.LET(
  _xlpm.K, Constantes!$B$3,
  _xlpm.Knewgain, Constantes!$B$4,
  _xlpm.Knewscale, Constantes!$B$5,
  _xlpm.ptstables, INDEX(AB:AB, _xlfn.SEQUENCE(COUNTA($C$2:$C209), 1, 3, 4)),
  _xlpm.nbparties, COUNTA(_xlfn._xlws.FILTER(_xlpm.ptstables, _xlpm.ptstables &lt;&gt; "")),
  _xlpm.coef, _xlpm.K + _xlpm.Knewgain / (_xlpm.Knewscale + _xlpm.nbparties),
  IF(AB207="",
    "",
    _xlpm.coef * (AB207-AB208))
)</f>
        <v/>
      </c>
      <c r="AC209" t="str" cm="1">
        <f t="array" ref="AC209">_xlfn.LET(
  _xlpm.K, Constantes!$B$3,
  _xlpm.Knewgain, Constantes!$B$4,
  _xlpm.Knewscale, Constantes!$B$5,
  _xlpm.ptstables, INDEX(AC:AC, _xlfn.SEQUENCE(COUNTA($C$2:$C209), 1, 3, 4)),
  _xlpm.nbparties, COUNTA(_xlfn._xlws.FILTER(_xlpm.ptstables, _xlpm.ptstables &lt;&gt; "")),
  _xlpm.coef, _xlpm.K + _xlpm.Knewgain / (_xlpm.Knewscale + _xlpm.nbparties),
  IF(AC207="",
    "",
    _xlpm.coef * (AC207-AC208))
)</f>
        <v/>
      </c>
      <c r="AD209" t="str" cm="1">
        <f t="array" ref="AD209">_xlfn.LET(
  _xlpm.K, Constantes!$B$3,
  _xlpm.Knewgain, Constantes!$B$4,
  _xlpm.Knewscale, Constantes!$B$5,
  _xlpm.ptstables, INDEX(AD:AD, _xlfn.SEQUENCE(COUNTA($C$2:$C209), 1, 3, 4)),
  _xlpm.nbparties, COUNTA(_xlfn._xlws.FILTER(_xlpm.ptstables, _xlpm.ptstables &lt;&gt; "")),
  _xlpm.coef, _xlpm.K + _xlpm.Knewgain / (_xlpm.Knewscale + _xlpm.nbparties),
  IF(AD207="",
    "",
    _xlpm.coef * (AD207-AD208))
)</f>
        <v/>
      </c>
      <c r="AE209" t="str" cm="1">
        <f t="array" ref="AE209">_xlfn.LET(
  _xlpm.K, Constantes!$B$3,
  _xlpm.Knewgain, Constantes!$B$4,
  _xlpm.Knewscale, Constantes!$B$5,
  _xlpm.ptstables, INDEX(AE:AE, _xlfn.SEQUENCE(COUNTA($C$2:$C209), 1, 3, 4)),
  _xlpm.nbparties, COUNTA(_xlfn._xlws.FILTER(_xlpm.ptstables, _xlpm.ptstables &lt;&gt; "")),
  _xlpm.coef, _xlpm.K + _xlpm.Knewgain / (_xlpm.Knewscale + _xlpm.nbparties),
  IF(AE207="",
    "",
    _xlpm.coef * (AE207-AE208))
)</f>
        <v/>
      </c>
      <c r="AF209" t="str" cm="1">
        <f t="array" ref="AF209">_xlfn.LET(
  _xlpm.K, Constantes!$B$3,
  _xlpm.Knewgain, Constantes!$B$4,
  _xlpm.Knewscale, Constantes!$B$5,
  _xlpm.ptstables, INDEX(AF:AF, _xlfn.SEQUENCE(COUNTA($C$2:$C209), 1, 3, 4)),
  _xlpm.nbparties, COUNTA(_xlfn._xlws.FILTER(_xlpm.ptstables, _xlpm.ptstables &lt;&gt; "")),
  _xlpm.coef, _xlpm.K + _xlpm.Knewgain / (_xlpm.Knewscale + _xlpm.nbparties),
  IF(AF207="",
    "",
    _xlpm.coef * (AF207-AF208))
)</f>
        <v/>
      </c>
      <c r="AG209" t="str" cm="1">
        <f t="array" ref="AG209">_xlfn.LET(
  _xlpm.K, Constantes!$B$3,
  _xlpm.Knewgain, Constantes!$B$4,
  _xlpm.Knewscale, Constantes!$B$5,
  _xlpm.ptstables, INDEX(AG:AG, _xlfn.SEQUENCE(COUNTA($C$2:$C209), 1, 3, 4)),
  _xlpm.nbparties, COUNTA(_xlfn._xlws.FILTER(_xlpm.ptstables, _xlpm.ptstables &lt;&gt; "")),
  _xlpm.coef, _xlpm.K + _xlpm.Knewgain / (_xlpm.Knewscale + _xlpm.nbparties),
  IF(AG207="",
    "",
    _xlpm.coef * (AG207-AG208))
)</f>
        <v/>
      </c>
      <c r="AH209" t="str" cm="1">
        <f t="array" ref="AH209">_xlfn.LET(
  _xlpm.K, Constantes!$B$3,
  _xlpm.Knewgain, Constantes!$B$4,
  _xlpm.Knewscale, Constantes!$B$5,
  _xlpm.ptstables, INDEX(AH:AH, _xlfn.SEQUENCE(COUNTA($C$2:$C209), 1, 3, 4)),
  _xlpm.nbparties, COUNTA(_xlfn._xlws.FILTER(_xlpm.ptstables, _xlpm.ptstables &lt;&gt; "")),
  _xlpm.coef, _xlpm.K + _xlpm.Knewgain / (_xlpm.Knewscale + _xlpm.nbparties),
  IF(AH207="",
    "",
    _xlpm.coef * (AH207-AH208))
)</f>
        <v/>
      </c>
      <c r="AI209" t="str" cm="1">
        <f t="array" ref="AI209">_xlfn.LET(
  _xlpm.K, Constantes!$B$3,
  _xlpm.Knewgain, Constantes!$B$4,
  _xlpm.Knewscale, Constantes!$B$5,
  _xlpm.ptstables, INDEX(AI:AI, _xlfn.SEQUENCE(COUNTA($C$2:$C209), 1, 3, 4)),
  _xlpm.nbparties, COUNTA(_xlfn._xlws.FILTER(_xlpm.ptstables, _xlpm.ptstables &lt;&gt; "")),
  _xlpm.coef, _xlpm.K + _xlpm.Knewgain / (_xlpm.Knewscale + _xlpm.nbparties),
  IF(AI207="",
    "",
    _xlpm.coef * (AI207-AI208))
)</f>
        <v/>
      </c>
      <c r="AJ209" t="str" cm="1">
        <f t="array" ref="AJ209">_xlfn.LET(
  _xlpm.K, Constantes!$B$3,
  _xlpm.Knewgain, Constantes!$B$4,
  _xlpm.Knewscale, Constantes!$B$5,
  _xlpm.ptstables, INDEX(AJ:AJ, _xlfn.SEQUENCE(COUNTA($C$2:$C209), 1, 3, 4)),
  _xlpm.nbparties, COUNTA(_xlfn._xlws.FILTER(_xlpm.ptstables, _xlpm.ptstables &lt;&gt; "")),
  _xlpm.coef, _xlpm.K + _xlpm.Knewgain / (_xlpm.Knewscale + _xlpm.nbparties),
  IF(AJ207="",
    "",
    _xlpm.coef * (AJ207-AJ208))
)</f>
        <v/>
      </c>
      <c r="AK209" t="str" cm="1">
        <f t="array" ref="AK209">_xlfn.LET(
  _xlpm.K, Constantes!$B$3,
  _xlpm.Knewgain, Constantes!$B$4,
  _xlpm.Knewscale, Constantes!$B$5,
  _xlpm.ptstables, INDEX(AK:AK, _xlfn.SEQUENCE(COUNTA($C$2:$C209), 1, 3, 4)),
  _xlpm.nbparties, COUNTA(_xlfn._xlws.FILTER(_xlpm.ptstables, _xlpm.ptstables &lt;&gt; "")),
  _xlpm.coef, _xlpm.K + _xlpm.Knewgain / (_xlpm.Knewscale + _xlpm.nbparties),
  IF(AK207="",
    "",
    _xlpm.coef * (AK207-AK208))
)</f>
        <v/>
      </c>
      <c r="AL209" t="str" cm="1">
        <f t="array" ref="AL209">_xlfn.LET(
  _xlpm.K, Constantes!$B$3,
  _xlpm.Knewgain, Constantes!$B$4,
  _xlpm.Knewscale, Constantes!$B$5,
  _xlpm.ptstables, INDEX(AL:AL, _xlfn.SEQUENCE(COUNTA($C$2:$C209), 1, 3, 4)),
  _xlpm.nbparties, COUNTA(_xlfn._xlws.FILTER(_xlpm.ptstables, _xlpm.ptstables &lt;&gt; "")),
  _xlpm.coef, _xlpm.K + _xlpm.Knewgain / (_xlpm.Knewscale + _xlpm.nbparties),
  IF(AL207="",
    "",
    _xlpm.coef * (AL207-AL208))
)</f>
        <v/>
      </c>
      <c r="AM209" t="str" cm="1">
        <f t="array" ref="AM209">_xlfn.LET(
  _xlpm.K, Constantes!$B$3,
  _xlpm.Knewgain, Constantes!$B$4,
  _xlpm.Knewscale, Constantes!$B$5,
  _xlpm.ptstables, INDEX(AM:AM, _xlfn.SEQUENCE(COUNTA($C$2:$C209), 1, 3, 4)),
  _xlpm.nbparties, COUNTA(_xlfn._xlws.FILTER(_xlpm.ptstables, _xlpm.ptstables &lt;&gt; "")),
  _xlpm.coef, _xlpm.K + _xlpm.Knewgain / (_xlpm.Knewscale + _xlpm.nbparties),
  IF(AM207="",
    "",
    _xlpm.coef * (AM207-AM208))
)</f>
        <v/>
      </c>
    </row>
    <row r="210" spans="1:39" x14ac:dyDescent="0.25">
      <c r="A210" t="s">
        <v>14</v>
      </c>
      <c r="B210" t="str" cm="1">
        <f t="array" ref="B21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56</v>
      </c>
      <c r="C210" s="2" cm="1">
        <f t="array" ref="C210">IF(B210="","",
  INDEX(Donnees!F:F, MATCH(B210, Donnees!F:F, 0)+1))</f>
        <v>45934.698981481481</v>
      </c>
      <c r="D210">
        <f t="shared" ref="D210:AM210" si="60">D206+IF(D209="",0,D209)</f>
        <v>1102.9314752305681</v>
      </c>
      <c r="E210">
        <f t="shared" si="60"/>
        <v>1124.3346500367093</v>
      </c>
      <c r="F210">
        <f t="shared" si="60"/>
        <v>861.02806342581061</v>
      </c>
      <c r="G210">
        <f t="shared" si="60"/>
        <v>1050.9955183799098</v>
      </c>
      <c r="H210">
        <f t="shared" si="60"/>
        <v>1041.4828877801035</v>
      </c>
      <c r="I210">
        <f t="shared" si="60"/>
        <v>960.57774210047694</v>
      </c>
      <c r="J210">
        <f t="shared" si="60"/>
        <v>938.49433816478961</v>
      </c>
      <c r="K210">
        <f t="shared" si="60"/>
        <v>957.39471433630956</v>
      </c>
      <c r="L210">
        <f t="shared" si="60"/>
        <v>766.95119884458973</v>
      </c>
      <c r="M210">
        <f t="shared" si="60"/>
        <v>913.41986361738122</v>
      </c>
      <c r="N210">
        <f t="shared" si="60"/>
        <v>905.23376280700177</v>
      </c>
      <c r="O210">
        <f t="shared" si="60"/>
        <v>1051.266851610819</v>
      </c>
      <c r="P210">
        <f t="shared" si="60"/>
        <v>1005.4229961505649</v>
      </c>
      <c r="Q210">
        <f t="shared" si="60"/>
        <v>1050.7184918608298</v>
      </c>
      <c r="R210">
        <f t="shared" si="60"/>
        <v>1125.4294726276194</v>
      </c>
      <c r="S210">
        <f t="shared" si="60"/>
        <v>856.55223049520021</v>
      </c>
      <c r="T210">
        <f t="shared" si="60"/>
        <v>1135.2782658680615</v>
      </c>
      <c r="U210">
        <f t="shared" si="60"/>
        <v>1156.7918140913919</v>
      </c>
      <c r="V210">
        <f t="shared" si="60"/>
        <v>983.1120575372413</v>
      </c>
      <c r="W210">
        <f t="shared" si="60"/>
        <v>936.79085942937002</v>
      </c>
      <c r="X210">
        <f t="shared" si="60"/>
        <v>822.49182421843079</v>
      </c>
      <c r="Y210">
        <f t="shared" si="60"/>
        <v>973.44788072280835</v>
      </c>
      <c r="Z210">
        <f t="shared" si="60"/>
        <v>991.11904139672549</v>
      </c>
      <c r="AA210">
        <f t="shared" si="60"/>
        <v>930.6732002028948</v>
      </c>
      <c r="AB210">
        <f t="shared" si="60"/>
        <v>988.35669729544747</v>
      </c>
      <c r="AC210">
        <f t="shared" si="60"/>
        <v>1085.8200128019769</v>
      </c>
      <c r="AD210">
        <f t="shared" si="60"/>
        <v>1056.8829121598517</v>
      </c>
      <c r="AE210">
        <f t="shared" si="60"/>
        <v>1011.415</v>
      </c>
      <c r="AF210">
        <f t="shared" si="60"/>
        <v>1031.1199999999999</v>
      </c>
      <c r="AG210">
        <f t="shared" si="60"/>
        <v>1001.0350000000001</v>
      </c>
      <c r="AH210">
        <f t="shared" si="60"/>
        <v>994.44</v>
      </c>
      <c r="AI210">
        <f t="shared" si="60"/>
        <v>1000</v>
      </c>
      <c r="AJ210">
        <f t="shared" si="60"/>
        <v>957.2</v>
      </c>
      <c r="AK210">
        <f t="shared" si="60"/>
        <v>1000</v>
      </c>
      <c r="AL210">
        <f t="shared" si="60"/>
        <v>1055.9299999999998</v>
      </c>
      <c r="AM210">
        <f t="shared" si="60"/>
        <v>1000</v>
      </c>
    </row>
    <row r="211" spans="1:39" x14ac:dyDescent="0.25">
      <c r="A211" t="s">
        <v>21</v>
      </c>
      <c r="D211" t="str" cm="1">
        <f t="array" ref="D211">IFERROR(
  _xlfn.LET(
    _xlpm.ligpartie, MATCH($B210, Donnees!$F:$F, 0),
    _xlpm.joueurs, INDEX(Donnees!$A:$Z, _xlpm.ligpartie+1, _xlfn.SEQUENCE(1, 4, 2)),
    INDEX(
      Donnees!$A:$Z,
      _xlpm.ligpartie + 3,
      MATCH(D$1, _xlpm.joueurs, 0) + 1
    )
  ), ""
)</f>
        <v/>
      </c>
      <c r="E211" t="str" cm="1">
        <f t="array" ref="E211">IFERROR(
  _xlfn.LET(
    _xlpm.ligpartie, MATCH($B210, Donnees!$F:$F, 0),
    _xlpm.joueurs, INDEX(Donnees!$A:$Z, _xlpm.ligpartie+1, _xlfn.SEQUENCE(1, 4, 2)),
    INDEX(
      Donnees!$A:$Z,
      _xlpm.ligpartie + 3,
      MATCH(E$1, _xlpm.joueurs, 0) + 1
    )
  ), ""
)</f>
        <v/>
      </c>
      <c r="F211" t="str" cm="1">
        <f t="array" ref="F211">IFERROR(
  _xlfn.LET(
    _xlpm.ligpartie, MATCH($B210, Donnees!$F:$F, 0),
    _xlpm.joueurs, INDEX(Donnees!$A:$Z, _xlpm.ligpartie+1, _xlfn.SEQUENCE(1, 4, 2)),
    INDEX(
      Donnees!$A:$Z,
      _xlpm.ligpartie + 3,
      MATCH(F$1, _xlpm.joueurs, 0) + 1
    )
  ), ""
)</f>
        <v/>
      </c>
      <c r="G211" t="str" cm="1">
        <f t="array" ref="G211">IFERROR(
  _xlfn.LET(
    _xlpm.ligpartie, MATCH($B210, Donnees!$F:$F, 0),
    _xlpm.joueurs, INDEX(Donnees!$A:$Z, _xlpm.ligpartie+1, _xlfn.SEQUENCE(1, 4, 2)),
    INDEX(
      Donnees!$A:$Z,
      _xlpm.ligpartie + 3,
      MATCH(G$1, _xlpm.joueurs, 0) + 1
    )
  ), ""
)</f>
        <v/>
      </c>
      <c r="H211" t="str" cm="1">
        <f t="array" ref="H211">IFERROR(
  _xlfn.LET(
    _xlpm.ligpartie, MATCH($B210, Donnees!$F:$F, 0),
    _xlpm.joueurs, INDEX(Donnees!$A:$Z, _xlpm.ligpartie+1, _xlfn.SEQUENCE(1, 4, 2)),
    INDEX(
      Donnees!$A:$Z,
      _xlpm.ligpartie + 3,
      MATCH(H$1, _xlpm.joueurs, 0) + 1
    )
  ), ""
)</f>
        <v/>
      </c>
      <c r="I211" t="str" cm="1">
        <f t="array" ref="I211">IFERROR(
  _xlfn.LET(
    _xlpm.ligpartie, MATCH($B210, Donnees!$F:$F, 0),
    _xlpm.joueurs, INDEX(Donnees!$A:$Z, _xlpm.ligpartie+1, _xlfn.SEQUENCE(1, 4, 2)),
    INDEX(
      Donnees!$A:$Z,
      _xlpm.ligpartie + 3,
      MATCH(I$1, _xlpm.joueurs, 0) + 1
    )
  ), ""
)</f>
        <v/>
      </c>
      <c r="J211" t="str" cm="1">
        <f t="array" ref="J211">IFERROR(
  _xlfn.LET(
    _xlpm.ligpartie, MATCH($B210, Donnees!$F:$F, 0),
    _xlpm.joueurs, INDEX(Donnees!$A:$Z, _xlpm.ligpartie+1, _xlfn.SEQUENCE(1, 4, 2)),
    INDEX(
      Donnees!$A:$Z,
      _xlpm.ligpartie + 3,
      MATCH(J$1, _xlpm.joueurs, 0) + 1
    )
  ), ""
)</f>
        <v/>
      </c>
      <c r="K211" t="str" cm="1">
        <f t="array" ref="K211">IFERROR(
  _xlfn.LET(
    _xlpm.ligpartie, MATCH($B210, Donnees!$F:$F, 0),
    _xlpm.joueurs, INDEX(Donnees!$A:$Z, _xlpm.ligpartie+1, _xlfn.SEQUENCE(1, 4, 2)),
    INDEX(
      Donnees!$A:$Z,
      _xlpm.ligpartie + 3,
      MATCH(K$1, _xlpm.joueurs, 0) + 1
    )
  ), ""
)</f>
        <v/>
      </c>
      <c r="L211" t="str" cm="1">
        <f t="array" ref="L211">IFERROR(
  _xlfn.LET(
    _xlpm.ligpartie, MATCH($B210, Donnees!$F:$F, 0),
    _xlpm.joueurs, INDEX(Donnees!$A:$Z, _xlpm.ligpartie+1, _xlfn.SEQUENCE(1, 4, 2)),
    INDEX(
      Donnees!$A:$Z,
      _xlpm.ligpartie + 3,
      MATCH(L$1, _xlpm.joueurs, 0) + 1
    )
  ), ""
)</f>
        <v/>
      </c>
      <c r="M211" t="str" cm="1">
        <f t="array" ref="M211">IFERROR(
  _xlfn.LET(
    _xlpm.ligpartie, MATCH($B210, Donnees!$F:$F, 0),
    _xlpm.joueurs, INDEX(Donnees!$A:$Z, _xlpm.ligpartie+1, _xlfn.SEQUENCE(1, 4, 2)),
    INDEX(
      Donnees!$A:$Z,
      _xlpm.ligpartie + 3,
      MATCH(M$1, _xlpm.joueurs, 0) + 1
    )
  ), ""
)</f>
        <v/>
      </c>
      <c r="N211" t="str" cm="1">
        <f t="array" ref="N211">IFERROR(
  _xlfn.LET(
    _xlpm.ligpartie, MATCH($B210, Donnees!$F:$F, 0),
    _xlpm.joueurs, INDEX(Donnees!$A:$Z, _xlpm.ligpartie+1, _xlfn.SEQUENCE(1, 4, 2)),
    INDEX(
      Donnees!$A:$Z,
      _xlpm.ligpartie + 3,
      MATCH(N$1, _xlpm.joueurs, 0) + 1
    )
  ), ""
)</f>
        <v/>
      </c>
      <c r="O211" cm="1">
        <f t="array" ref="O211">IFERROR(
  _xlfn.LET(
    _xlpm.ligpartie, MATCH($B210, Donnees!$F:$F, 0),
    _xlpm.joueurs, INDEX(Donnees!$A:$Z, _xlpm.ligpartie+1, _xlfn.SEQUENCE(1, 4, 2)),
    INDEX(
      Donnees!$A:$Z,
      _xlpm.ligpartie + 3,
      MATCH(O$1, _xlpm.joueurs, 0) + 1
    )
  ), ""
)</f>
        <v>0</v>
      </c>
      <c r="P211" t="str" cm="1">
        <f t="array" ref="P211">IFERROR(
  _xlfn.LET(
    _xlpm.ligpartie, MATCH($B210, Donnees!$F:$F, 0),
    _xlpm.joueurs, INDEX(Donnees!$A:$Z, _xlpm.ligpartie+1, _xlfn.SEQUENCE(1, 4, 2)),
    INDEX(
      Donnees!$A:$Z,
      _xlpm.ligpartie + 3,
      MATCH(P$1, _xlpm.joueurs, 0) + 1
    )
  ), ""
)</f>
        <v/>
      </c>
      <c r="Q211" cm="1">
        <f t="array" ref="Q211">IFERROR(
  _xlfn.LET(
    _xlpm.ligpartie, MATCH($B210, Donnees!$F:$F, 0),
    _xlpm.joueurs, INDEX(Donnees!$A:$Z, _xlpm.ligpartie+1, _xlfn.SEQUENCE(1, 4, 2)),
    INDEX(
      Donnees!$A:$Z,
      _xlpm.ligpartie + 3,
      MATCH(Q$1, _xlpm.joueurs, 0) + 1
    )
  ), ""
)</f>
        <v>3</v>
      </c>
      <c r="R211" t="str" cm="1">
        <f t="array" ref="R211">IFERROR(
  _xlfn.LET(
    _xlpm.ligpartie, MATCH($B210, Donnees!$F:$F, 0),
    _xlpm.joueurs, INDEX(Donnees!$A:$Z, _xlpm.ligpartie+1, _xlfn.SEQUENCE(1, 4, 2)),
    INDEX(
      Donnees!$A:$Z,
      _xlpm.ligpartie + 3,
      MATCH(R$1, _xlpm.joueurs, 0) + 1
    )
  ), ""
)</f>
        <v/>
      </c>
      <c r="S211" t="str" cm="1">
        <f t="array" ref="S211">IFERROR(
  _xlfn.LET(
    _xlpm.ligpartie, MATCH($B210, Donnees!$F:$F, 0),
    _xlpm.joueurs, INDEX(Donnees!$A:$Z, _xlpm.ligpartie+1, _xlfn.SEQUENCE(1, 4, 2)),
    INDEX(
      Donnees!$A:$Z,
      _xlpm.ligpartie + 3,
      MATCH(S$1, _xlpm.joueurs, 0) + 1
    )
  ), ""
)</f>
        <v/>
      </c>
      <c r="T211" t="str" cm="1">
        <f t="array" ref="T211">IFERROR(
  _xlfn.LET(
    _xlpm.ligpartie, MATCH($B210, Donnees!$F:$F, 0),
    _xlpm.joueurs, INDEX(Donnees!$A:$Z, _xlpm.ligpartie+1, _xlfn.SEQUENCE(1, 4, 2)),
    INDEX(
      Donnees!$A:$Z,
      _xlpm.ligpartie + 3,
      MATCH(T$1, _xlpm.joueurs, 0) + 1
    )
  ), ""
)</f>
        <v/>
      </c>
      <c r="U211" t="str" cm="1">
        <f t="array" ref="U211">IFERROR(
  _xlfn.LET(
    _xlpm.ligpartie, MATCH($B210, Donnees!$F:$F, 0),
    _xlpm.joueurs, INDEX(Donnees!$A:$Z, _xlpm.ligpartie+1, _xlfn.SEQUENCE(1, 4, 2)),
    INDEX(
      Donnees!$A:$Z,
      _xlpm.ligpartie + 3,
      MATCH(U$1, _xlpm.joueurs, 0) + 1
    )
  ), ""
)</f>
        <v/>
      </c>
      <c r="V211" t="str" cm="1">
        <f t="array" ref="V211">IFERROR(
  _xlfn.LET(
    _xlpm.ligpartie, MATCH($B210, Donnees!$F:$F, 0),
    _xlpm.joueurs, INDEX(Donnees!$A:$Z, _xlpm.ligpartie+1, _xlfn.SEQUENCE(1, 4, 2)),
    INDEX(
      Donnees!$A:$Z,
      _xlpm.ligpartie + 3,
      MATCH(V$1, _xlpm.joueurs, 0) + 1
    )
  ), ""
)</f>
        <v/>
      </c>
      <c r="W211" t="str" cm="1">
        <f t="array" ref="W211">IFERROR(
  _xlfn.LET(
    _xlpm.ligpartie, MATCH($B210, Donnees!$F:$F, 0),
    _xlpm.joueurs, INDEX(Donnees!$A:$Z, _xlpm.ligpartie+1, _xlfn.SEQUENCE(1, 4, 2)),
    INDEX(
      Donnees!$A:$Z,
      _xlpm.ligpartie + 3,
      MATCH(W$1, _xlpm.joueurs, 0) + 1
    )
  ), ""
)</f>
        <v/>
      </c>
      <c r="X211" cm="1">
        <f t="array" ref="X211">IFERROR(
  _xlfn.LET(
    _xlpm.ligpartie, MATCH($B210, Donnees!$F:$F, 0),
    _xlpm.joueurs, INDEX(Donnees!$A:$Z, _xlpm.ligpartie+1, _xlfn.SEQUENCE(1, 4, 2)),
    INDEX(
      Donnees!$A:$Z,
      _xlpm.ligpartie + 3,
      MATCH(X$1, _xlpm.joueurs, 0) + 1
    )
  ), ""
)</f>
        <v>1</v>
      </c>
      <c r="Y211" cm="1">
        <f t="array" ref="Y211">IFERROR(
  _xlfn.LET(
    _xlpm.ligpartie, MATCH($B210, Donnees!$F:$F, 0),
    _xlpm.joueurs, INDEX(Donnees!$A:$Z, _xlpm.ligpartie+1, _xlfn.SEQUENCE(1, 4, 2)),
    INDEX(
      Donnees!$A:$Z,
      _xlpm.ligpartie + 3,
      MATCH(Y$1, _xlpm.joueurs, 0) + 1
    )
  ), ""
)</f>
        <v>2</v>
      </c>
      <c r="Z211" t="str" cm="1">
        <f t="array" ref="Z211">IFERROR(
  _xlfn.LET(
    _xlpm.ligpartie, MATCH($B210, Donnees!$F:$F, 0),
    _xlpm.joueurs, INDEX(Donnees!$A:$Z, _xlpm.ligpartie+1, _xlfn.SEQUENCE(1, 4, 2)),
    INDEX(
      Donnees!$A:$Z,
      _xlpm.ligpartie + 3,
      MATCH(Z$1, _xlpm.joueurs, 0) + 1
    )
  ), ""
)</f>
        <v/>
      </c>
      <c r="AA211" t="str" cm="1">
        <f t="array" ref="AA211">IFERROR(
  _xlfn.LET(
    _xlpm.ligpartie, MATCH($B210, Donnees!$F:$F, 0),
    _xlpm.joueurs, INDEX(Donnees!$A:$Z, _xlpm.ligpartie+1, _xlfn.SEQUENCE(1, 4, 2)),
    INDEX(
      Donnees!$A:$Z,
      _xlpm.ligpartie + 3,
      MATCH(AA$1, _xlpm.joueurs, 0) + 1
    )
  ), ""
)</f>
        <v/>
      </c>
      <c r="AB211" t="str" cm="1">
        <f t="array" ref="AB211">IFERROR(
  _xlfn.LET(
    _xlpm.ligpartie, MATCH($B210, Donnees!$F:$F, 0),
    _xlpm.joueurs, INDEX(Donnees!$A:$Z, _xlpm.ligpartie+1, _xlfn.SEQUENCE(1, 4, 2)),
    INDEX(
      Donnees!$A:$Z,
      _xlpm.ligpartie + 3,
      MATCH(AB$1, _xlpm.joueurs, 0) + 1
    )
  ), ""
)</f>
        <v/>
      </c>
      <c r="AC211" t="str" cm="1">
        <f t="array" ref="AC211">IFERROR(
  _xlfn.LET(
    _xlpm.ligpartie, MATCH($B210, Donnees!$F:$F, 0),
    _xlpm.joueurs, INDEX(Donnees!$A:$Z, _xlpm.ligpartie+1, _xlfn.SEQUENCE(1, 4, 2)),
    INDEX(
      Donnees!$A:$Z,
      _xlpm.ligpartie + 3,
      MATCH(AC$1, _xlpm.joueurs, 0) + 1
    )
  ), ""
)</f>
        <v/>
      </c>
      <c r="AD211" t="str" cm="1">
        <f t="array" ref="AD211">IFERROR(
  _xlfn.LET(
    _xlpm.ligpartie, MATCH($B210, Donnees!$F:$F, 0),
    _xlpm.joueurs, INDEX(Donnees!$A:$Z, _xlpm.ligpartie+1, _xlfn.SEQUENCE(1, 4, 2)),
    INDEX(
      Donnees!$A:$Z,
      _xlpm.ligpartie + 3,
      MATCH(AD$1, _xlpm.joueurs, 0) + 1
    )
  ), ""
)</f>
        <v/>
      </c>
      <c r="AE211" t="str" cm="1">
        <f t="array" ref="AE211">IFERROR(
  _xlfn.LET(
    _xlpm.ligpartie, MATCH($B210, Donnees!$F:$F, 0),
    _xlpm.joueurs, INDEX(Donnees!$A:$Z, _xlpm.ligpartie+1, _xlfn.SEQUENCE(1, 4, 2)),
    INDEX(
      Donnees!$A:$Z,
      _xlpm.ligpartie + 3,
      MATCH(AE$1, _xlpm.joueurs, 0) + 1
    )
  ), ""
)</f>
        <v/>
      </c>
      <c r="AF211" t="str" cm="1">
        <f t="array" ref="AF211">IFERROR(
  _xlfn.LET(
    _xlpm.ligpartie, MATCH($B210, Donnees!$F:$F, 0),
    _xlpm.joueurs, INDEX(Donnees!$A:$Z, _xlpm.ligpartie+1, _xlfn.SEQUENCE(1, 4, 2)),
    INDEX(
      Donnees!$A:$Z,
      _xlpm.ligpartie + 3,
      MATCH(AF$1, _xlpm.joueurs, 0) + 1
    )
  ), ""
)</f>
        <v/>
      </c>
      <c r="AG211" t="str" cm="1">
        <f t="array" ref="AG211">IFERROR(
  _xlfn.LET(
    _xlpm.ligpartie, MATCH($B210, Donnees!$F:$F, 0),
    _xlpm.joueurs, INDEX(Donnees!$A:$Z, _xlpm.ligpartie+1, _xlfn.SEQUENCE(1, 4, 2)),
    INDEX(
      Donnees!$A:$Z,
      _xlpm.ligpartie + 3,
      MATCH(AG$1, _xlpm.joueurs, 0) + 1
    )
  ), ""
)</f>
        <v/>
      </c>
      <c r="AH211" t="str" cm="1">
        <f t="array" ref="AH211">IFERROR(
  _xlfn.LET(
    _xlpm.ligpartie, MATCH($B210, Donnees!$F:$F, 0),
    _xlpm.joueurs, INDEX(Donnees!$A:$Z, _xlpm.ligpartie+1, _xlfn.SEQUENCE(1, 4, 2)),
    INDEX(
      Donnees!$A:$Z,
      _xlpm.ligpartie + 3,
      MATCH(AH$1, _xlpm.joueurs, 0) + 1
    )
  ), ""
)</f>
        <v/>
      </c>
      <c r="AI211" t="str" cm="1">
        <f t="array" ref="AI211">IFERROR(
  _xlfn.LET(
    _xlpm.ligpartie, MATCH($B210, Donnees!$F:$F, 0),
    _xlpm.joueurs, INDEX(Donnees!$A:$Z, _xlpm.ligpartie+1, _xlfn.SEQUENCE(1, 4, 2)),
    INDEX(
      Donnees!$A:$Z,
      _xlpm.ligpartie + 3,
      MATCH(AI$1, _xlpm.joueurs, 0) + 1
    )
  ), ""
)</f>
        <v/>
      </c>
      <c r="AJ211" t="str" cm="1">
        <f t="array" ref="AJ211">IFERROR(
  _xlfn.LET(
    _xlpm.ligpartie, MATCH($B210, Donnees!$F:$F, 0),
    _xlpm.joueurs, INDEX(Donnees!$A:$Z, _xlpm.ligpartie+1, _xlfn.SEQUENCE(1, 4, 2)),
    INDEX(
      Donnees!$A:$Z,
      _xlpm.ligpartie + 3,
      MATCH(AJ$1, _xlpm.joueurs, 0) + 1
    )
  ), ""
)</f>
        <v/>
      </c>
      <c r="AK211" t="str" cm="1">
        <f t="array" ref="AK211">IFERROR(
  _xlfn.LET(
    _xlpm.ligpartie, MATCH($B210, Donnees!$F:$F, 0),
    _xlpm.joueurs, INDEX(Donnees!$A:$Z, _xlpm.ligpartie+1, _xlfn.SEQUENCE(1, 4, 2)),
    INDEX(
      Donnees!$A:$Z,
      _xlpm.ligpartie + 3,
      MATCH(AK$1, _xlpm.joueurs, 0) + 1
    )
  ), ""
)</f>
        <v/>
      </c>
      <c r="AL211" t="str" cm="1">
        <f t="array" ref="AL211">IFERROR(
  _xlfn.LET(
    _xlpm.ligpartie, MATCH($B210, Donnees!$F:$F, 0),
    _xlpm.joueurs, INDEX(Donnees!$A:$Z, _xlpm.ligpartie+1, _xlfn.SEQUENCE(1, 4, 2)),
    INDEX(
      Donnees!$A:$Z,
      _xlpm.ligpartie + 3,
      MATCH(AL$1, _xlpm.joueurs, 0) + 1
    )
  ), ""
)</f>
        <v/>
      </c>
      <c r="AM211" t="str" cm="1">
        <f t="array" ref="AM211">IFERROR(
  _xlfn.LET(
    _xlpm.ligpartie, MATCH($B210, Donnees!$F:$F, 0),
    _xlpm.joueurs, INDEX(Donnees!$A:$Z, _xlpm.ligpartie+1, _xlfn.SEQUENCE(1, 4, 2)),
    INDEX(
      Donnees!$A:$Z,
      _xlpm.ligpartie + 3,
      MATCH(AM$1, _xlpm.joueurs, 0) + 1
    )
  ), ""
)</f>
        <v/>
      </c>
    </row>
    <row r="212" spans="1:39" x14ac:dyDescent="0.25">
      <c r="A212" t="s">
        <v>20</v>
      </c>
      <c r="D212" t="str" cm="1">
        <f t="array" ref="D212">_xlfn.LET(
  _xlpm.colj, _xlfn._xlws.FILTER(IF(ISNUMBER(211:211), COLUMN(211:211)), ISNUMBER(211:211)),
  _xlpm.elos, INDEX(210:210,1,_xlpm.colj),
  _xlpm.diffscale, Constantes!$B$2,
  IF(D211="",
    "",
    SUM(1/(1+POWER(10,-(D210-_xlpm.elos)/_xlpm.diffscale)))-0.5)
)</f>
        <v/>
      </c>
      <c r="E212" t="str" cm="1">
        <f t="array" ref="E212">_xlfn.LET(
  _xlpm.colj, _xlfn._xlws.FILTER(IF(ISNUMBER(211:211), COLUMN(211:211)), ISNUMBER(211:211)),
  _xlpm.elos, INDEX(210:210,1,_xlpm.colj),
  _xlpm.diffscale, Constantes!$B$2,
  IF(E211="",
    "",
    SUM(1/(1+POWER(10,-(E210-_xlpm.elos)/_xlpm.diffscale)))-0.5)
)</f>
        <v/>
      </c>
      <c r="F212" t="str" cm="1">
        <f t="array" ref="F212">_xlfn.LET(
  _xlpm.colj, _xlfn._xlws.FILTER(IF(ISNUMBER(211:211), COLUMN(211:211)), ISNUMBER(211:211)),
  _xlpm.elos, INDEX(210:210,1,_xlpm.colj),
  _xlpm.diffscale, Constantes!$B$2,
  IF(F211="",
    "",
    SUM(1/(1+POWER(10,-(F210-_xlpm.elos)/_xlpm.diffscale)))-0.5)
)</f>
        <v/>
      </c>
      <c r="G212" t="str" cm="1">
        <f t="array" ref="G212">_xlfn.LET(
  _xlpm.colj, _xlfn._xlws.FILTER(IF(ISNUMBER(211:211), COLUMN(211:211)), ISNUMBER(211:211)),
  _xlpm.elos, INDEX(210:210,1,_xlpm.colj),
  _xlpm.diffscale, Constantes!$B$2,
  IF(G211="",
    "",
    SUM(1/(1+POWER(10,-(G210-_xlpm.elos)/_xlpm.diffscale)))-0.5)
)</f>
        <v/>
      </c>
      <c r="H212" t="str" cm="1">
        <f t="array" ref="H212">_xlfn.LET(
  _xlpm.colj, _xlfn._xlws.FILTER(IF(ISNUMBER(211:211), COLUMN(211:211)), ISNUMBER(211:211)),
  _xlpm.elos, INDEX(210:210,1,_xlpm.colj),
  _xlpm.diffscale, Constantes!$B$2,
  IF(H211="",
    "",
    SUM(1/(1+POWER(10,-(H210-_xlpm.elos)/_xlpm.diffscale)))-0.5)
)</f>
        <v/>
      </c>
      <c r="I212" t="str" cm="1">
        <f t="array" ref="I212">_xlfn.LET(
  _xlpm.colj, _xlfn._xlws.FILTER(IF(ISNUMBER(211:211), COLUMN(211:211)), ISNUMBER(211:211)),
  _xlpm.elos, INDEX(210:210,1,_xlpm.colj),
  _xlpm.diffscale, Constantes!$B$2,
  IF(I211="",
    "",
    SUM(1/(1+POWER(10,-(I210-_xlpm.elos)/_xlpm.diffscale)))-0.5)
)</f>
        <v/>
      </c>
      <c r="J212" t="str" cm="1">
        <f t="array" ref="J212">_xlfn.LET(
  _xlpm.colj, _xlfn._xlws.FILTER(IF(ISNUMBER(211:211), COLUMN(211:211)), ISNUMBER(211:211)),
  _xlpm.elos, INDEX(210:210,1,_xlpm.colj),
  _xlpm.diffscale, Constantes!$B$2,
  IF(J211="",
    "",
    SUM(1/(1+POWER(10,-(J210-_xlpm.elos)/_xlpm.diffscale)))-0.5)
)</f>
        <v/>
      </c>
      <c r="K212" t="str" cm="1">
        <f t="array" ref="K212">_xlfn.LET(
  _xlpm.colj, _xlfn._xlws.FILTER(IF(ISNUMBER(211:211), COLUMN(211:211)), ISNUMBER(211:211)),
  _xlpm.elos, INDEX(210:210,1,_xlpm.colj),
  _xlpm.diffscale, Constantes!$B$2,
  IF(K211="",
    "",
    SUM(1/(1+POWER(10,-(K210-_xlpm.elos)/_xlpm.diffscale)))-0.5)
)</f>
        <v/>
      </c>
      <c r="L212" t="str" cm="1">
        <f t="array" ref="L212">_xlfn.LET(
  _xlpm.colj, _xlfn._xlws.FILTER(IF(ISNUMBER(211:211), COLUMN(211:211)), ISNUMBER(211:211)),
  _xlpm.elos, INDEX(210:210,1,_xlpm.colj),
  _xlpm.diffscale, Constantes!$B$2,
  IF(L211="",
    "",
    SUM(1/(1+POWER(10,-(L210-_xlpm.elos)/_xlpm.diffscale)))-0.5)
)</f>
        <v/>
      </c>
      <c r="M212" t="str" cm="1">
        <f t="array" ref="M212">_xlfn.LET(
  _xlpm.colj, _xlfn._xlws.FILTER(IF(ISNUMBER(211:211), COLUMN(211:211)), ISNUMBER(211:211)),
  _xlpm.elos, INDEX(210:210,1,_xlpm.colj),
  _xlpm.diffscale, Constantes!$B$2,
  IF(M211="",
    "",
    SUM(1/(1+POWER(10,-(M210-_xlpm.elos)/_xlpm.diffscale)))-0.5)
)</f>
        <v/>
      </c>
      <c r="N212" t="str" cm="1">
        <f t="array" ref="N212">_xlfn.LET(
  _xlpm.colj, _xlfn._xlws.FILTER(IF(ISNUMBER(211:211), COLUMN(211:211)), ISNUMBER(211:211)),
  _xlpm.elos, INDEX(210:210,1,_xlpm.colj),
  _xlpm.diffscale, Constantes!$B$2,
  IF(N211="",
    "",
    SUM(1/(1+POWER(10,-(N210-_xlpm.elos)/_xlpm.diffscale)))-0.5)
)</f>
        <v/>
      </c>
      <c r="O212" cm="1">
        <f t="array" ref="O212">_xlfn.LET(
  _xlpm.colj, _xlfn._xlws.FILTER(IF(ISNUMBER(211:211), COLUMN(211:211)), ISNUMBER(211:211)),
  _xlpm.elos, INDEX(210:210,1,_xlpm.colj),
  _xlpm.diffscale, Constantes!$B$2,
  IF(O211="",
    "",
    SUM(1/(1+POWER(10,-(O210-_xlpm.elos)/_xlpm.diffscale)))-0.5)
)</f>
        <v>1.8996150308801902</v>
      </c>
      <c r="P212" t="str" cm="1">
        <f t="array" ref="P212">_xlfn.LET(
  _xlpm.colj, _xlfn._xlws.FILTER(IF(ISNUMBER(211:211), COLUMN(211:211)), ISNUMBER(211:211)),
  _xlpm.elos, INDEX(210:210,1,_xlpm.colj),
  _xlpm.diffscale, Constantes!$B$2,
  IF(P211="",
    "",
    SUM(1/(1+POWER(10,-(P210-_xlpm.elos)/_xlpm.diffscale)))-0.5)
)</f>
        <v/>
      </c>
      <c r="Q212" cm="1">
        <f t="array" ref="Q212">_xlfn.LET(
  _xlpm.colj, _xlfn._xlws.FILTER(IF(ISNUMBER(211:211), COLUMN(211:211)), ISNUMBER(211:211)),
  _xlpm.elos, INDEX(210:210,1,_xlpm.colj),
  _xlpm.diffscale, Constantes!$B$2,
  IF(Q211="",
    "",
    SUM(1/(1+POWER(10,-(Q210-_xlpm.elos)/_xlpm.diffscale)))-0.5)
)</f>
        <v>1.8967590262641565</v>
      </c>
      <c r="R212" t="str" cm="1">
        <f t="array" ref="R212">_xlfn.LET(
  _xlpm.colj, _xlfn._xlws.FILTER(IF(ISNUMBER(211:211), COLUMN(211:211)), ISNUMBER(211:211)),
  _xlpm.elos, INDEX(210:210,1,_xlpm.colj),
  _xlpm.diffscale, Constantes!$B$2,
  IF(R211="",
    "",
    SUM(1/(1+POWER(10,-(R210-_xlpm.elos)/_xlpm.diffscale)))-0.5)
)</f>
        <v/>
      </c>
      <c r="S212" t="str" cm="1">
        <f t="array" ref="S212">_xlfn.LET(
  _xlpm.colj, _xlfn._xlws.FILTER(IF(ISNUMBER(211:211), COLUMN(211:211)), ISNUMBER(211:211)),
  _xlpm.elos, INDEX(210:210,1,_xlpm.colj),
  _xlpm.diffscale, Constantes!$B$2,
  IF(S211="",
    "",
    SUM(1/(1+POWER(10,-(S210-_xlpm.elos)/_xlpm.diffscale)))-0.5)
)</f>
        <v/>
      </c>
      <c r="T212" t="str" cm="1">
        <f t="array" ref="T212">_xlfn.LET(
  _xlpm.colj, _xlfn._xlws.FILTER(IF(ISNUMBER(211:211), COLUMN(211:211)), ISNUMBER(211:211)),
  _xlpm.elos, INDEX(210:210,1,_xlpm.colj),
  _xlpm.diffscale, Constantes!$B$2,
  IF(T211="",
    "",
    SUM(1/(1+POWER(10,-(T210-_xlpm.elos)/_xlpm.diffscale)))-0.5)
)</f>
        <v/>
      </c>
      <c r="U212" t="str" cm="1">
        <f t="array" ref="U212">_xlfn.LET(
  _xlpm.colj, _xlfn._xlws.FILTER(IF(ISNUMBER(211:211), COLUMN(211:211)), ISNUMBER(211:211)),
  _xlpm.elos, INDEX(210:210,1,_xlpm.colj),
  _xlpm.diffscale, Constantes!$B$2,
  IF(U211="",
    "",
    SUM(1/(1+POWER(10,-(U210-_xlpm.elos)/_xlpm.diffscale)))-0.5)
)</f>
        <v/>
      </c>
      <c r="V212" t="str" cm="1">
        <f t="array" ref="V212">_xlfn.LET(
  _xlpm.colj, _xlfn._xlws.FILTER(IF(ISNUMBER(211:211), COLUMN(211:211)), ISNUMBER(211:211)),
  _xlpm.elos, INDEX(210:210,1,_xlpm.colj),
  _xlpm.diffscale, Constantes!$B$2,
  IF(V211="",
    "",
    SUM(1/(1+POWER(10,-(V210-_xlpm.elos)/_xlpm.diffscale)))-0.5)
)</f>
        <v/>
      </c>
      <c r="W212" t="str" cm="1">
        <f t="array" ref="W212">_xlfn.LET(
  _xlpm.colj, _xlfn._xlws.FILTER(IF(ISNUMBER(211:211), COLUMN(211:211)), ISNUMBER(211:211)),
  _xlpm.elos, INDEX(210:210,1,_xlpm.colj),
  _xlpm.diffscale, Constantes!$B$2,
  IF(W211="",
    "",
    SUM(1/(1+POWER(10,-(W210-_xlpm.elos)/_xlpm.diffscale)))-0.5)
)</f>
        <v/>
      </c>
      <c r="X212" cm="1">
        <f t="array" ref="X212">_xlfn.LET(
  _xlpm.colj, _xlfn._xlws.FILTER(IF(ISNUMBER(211:211), COLUMN(211:211)), ISNUMBER(211:211)),
  _xlpm.elos, INDEX(210:210,1,_xlpm.colj),
  _xlpm.diffscale, Constantes!$B$2,
  IF(X211="",
    "",
    SUM(1/(1+POWER(10,-(X210-_xlpm.elos)/_xlpm.diffscale)))-0.5)
)</f>
        <v>0.71865204079555411</v>
      </c>
      <c r="Y212" cm="1">
        <f t="array" ref="Y212">_xlfn.LET(
  _xlpm.colj, _xlfn._xlws.FILTER(IF(ISNUMBER(211:211), COLUMN(211:211)), ISNUMBER(211:211)),
  _xlpm.elos, INDEX(210:210,1,_xlpm.colj),
  _xlpm.diffscale, Constantes!$B$2,
  IF(Y211="",
    "",
    SUM(1/(1+POWER(10,-(Y210-_xlpm.elos)/_xlpm.diffscale)))-0.5)
)</f>
        <v>1.4849739020600992</v>
      </c>
      <c r="Z212" t="str" cm="1">
        <f t="array" ref="Z212">_xlfn.LET(
  _xlpm.colj, _xlfn._xlws.FILTER(IF(ISNUMBER(211:211), COLUMN(211:211)), ISNUMBER(211:211)),
  _xlpm.elos, INDEX(210:210,1,_xlpm.colj),
  _xlpm.diffscale, Constantes!$B$2,
  IF(Z211="",
    "",
    SUM(1/(1+POWER(10,-(Z210-_xlpm.elos)/_xlpm.diffscale)))-0.5)
)</f>
        <v/>
      </c>
      <c r="AA212" t="str" cm="1">
        <f t="array" ref="AA212">_xlfn.LET(
  _xlpm.colj, _xlfn._xlws.FILTER(IF(ISNUMBER(211:211), COLUMN(211:211)), ISNUMBER(211:211)),
  _xlpm.elos, INDEX(210:210,1,_xlpm.colj),
  _xlpm.diffscale, Constantes!$B$2,
  IF(AA211="",
    "",
    SUM(1/(1+POWER(10,-(AA210-_xlpm.elos)/_xlpm.diffscale)))-0.5)
)</f>
        <v/>
      </c>
      <c r="AB212" t="str" cm="1">
        <f t="array" ref="AB212">_xlfn.LET(
  _xlpm.colj, _xlfn._xlws.FILTER(IF(ISNUMBER(211:211), COLUMN(211:211)), ISNUMBER(211:211)),
  _xlpm.elos, INDEX(210:210,1,_xlpm.colj),
  _xlpm.diffscale, Constantes!$B$2,
  IF(AB211="",
    "",
    SUM(1/(1+POWER(10,-(AB210-_xlpm.elos)/_xlpm.diffscale)))-0.5)
)</f>
        <v/>
      </c>
      <c r="AC212" t="str" cm="1">
        <f t="array" ref="AC212">_xlfn.LET(
  _xlpm.colj, _xlfn._xlws.FILTER(IF(ISNUMBER(211:211), COLUMN(211:211)), ISNUMBER(211:211)),
  _xlpm.elos, INDEX(210:210,1,_xlpm.colj),
  _xlpm.diffscale, Constantes!$B$2,
  IF(AC211="",
    "",
    SUM(1/(1+POWER(10,-(AC210-_xlpm.elos)/_xlpm.diffscale)))-0.5)
)</f>
        <v/>
      </c>
      <c r="AD212" t="str" cm="1">
        <f t="array" ref="AD212">_xlfn.LET(
  _xlpm.colj, _xlfn._xlws.FILTER(IF(ISNUMBER(211:211), COLUMN(211:211)), ISNUMBER(211:211)),
  _xlpm.elos, INDEX(210:210,1,_xlpm.colj),
  _xlpm.diffscale, Constantes!$B$2,
  IF(AD211="",
    "",
    SUM(1/(1+POWER(10,-(AD210-_xlpm.elos)/_xlpm.diffscale)))-0.5)
)</f>
        <v/>
      </c>
      <c r="AE212" t="str" cm="1">
        <f t="array" ref="AE212">_xlfn.LET(
  _xlpm.colj, _xlfn._xlws.FILTER(IF(ISNUMBER(211:211), COLUMN(211:211)), ISNUMBER(211:211)),
  _xlpm.elos, INDEX(210:210,1,_xlpm.colj),
  _xlpm.diffscale, Constantes!$B$2,
  IF(AE211="",
    "",
    SUM(1/(1+POWER(10,-(AE210-_xlpm.elos)/_xlpm.diffscale)))-0.5)
)</f>
        <v/>
      </c>
      <c r="AF212" t="str" cm="1">
        <f t="array" ref="AF212">_xlfn.LET(
  _xlpm.colj, _xlfn._xlws.FILTER(IF(ISNUMBER(211:211), COLUMN(211:211)), ISNUMBER(211:211)),
  _xlpm.elos, INDEX(210:210,1,_xlpm.colj),
  _xlpm.diffscale, Constantes!$B$2,
  IF(AF211="",
    "",
    SUM(1/(1+POWER(10,-(AF210-_xlpm.elos)/_xlpm.diffscale)))-0.5)
)</f>
        <v/>
      </c>
      <c r="AG212" t="str" cm="1">
        <f t="array" ref="AG212">_xlfn.LET(
  _xlpm.colj, _xlfn._xlws.FILTER(IF(ISNUMBER(211:211), COLUMN(211:211)), ISNUMBER(211:211)),
  _xlpm.elos, INDEX(210:210,1,_xlpm.colj),
  _xlpm.diffscale, Constantes!$B$2,
  IF(AG211="",
    "",
    SUM(1/(1+POWER(10,-(AG210-_xlpm.elos)/_xlpm.diffscale)))-0.5)
)</f>
        <v/>
      </c>
      <c r="AH212" t="str" cm="1">
        <f t="array" ref="AH212">_xlfn.LET(
  _xlpm.colj, _xlfn._xlws.FILTER(IF(ISNUMBER(211:211), COLUMN(211:211)), ISNUMBER(211:211)),
  _xlpm.elos, INDEX(210:210,1,_xlpm.colj),
  _xlpm.diffscale, Constantes!$B$2,
  IF(AH211="",
    "",
    SUM(1/(1+POWER(10,-(AH210-_xlpm.elos)/_xlpm.diffscale)))-0.5)
)</f>
        <v/>
      </c>
      <c r="AI212" t="str" cm="1">
        <f t="array" ref="AI212">_xlfn.LET(
  _xlpm.colj, _xlfn._xlws.FILTER(IF(ISNUMBER(211:211), COLUMN(211:211)), ISNUMBER(211:211)),
  _xlpm.elos, INDEX(210:210,1,_xlpm.colj),
  _xlpm.diffscale, Constantes!$B$2,
  IF(AI211="",
    "",
    SUM(1/(1+POWER(10,-(AI210-_xlpm.elos)/_xlpm.diffscale)))-0.5)
)</f>
        <v/>
      </c>
      <c r="AJ212" t="str" cm="1">
        <f t="array" ref="AJ212">_xlfn.LET(
  _xlpm.colj, _xlfn._xlws.FILTER(IF(ISNUMBER(211:211), COLUMN(211:211)), ISNUMBER(211:211)),
  _xlpm.elos, INDEX(210:210,1,_xlpm.colj),
  _xlpm.diffscale, Constantes!$B$2,
  IF(AJ211="",
    "",
    SUM(1/(1+POWER(10,-(AJ210-_xlpm.elos)/_xlpm.diffscale)))-0.5)
)</f>
        <v/>
      </c>
      <c r="AK212" t="str" cm="1">
        <f t="array" ref="AK212">_xlfn.LET(
  _xlpm.colj, _xlfn._xlws.FILTER(IF(ISNUMBER(211:211), COLUMN(211:211)), ISNUMBER(211:211)),
  _xlpm.elos, INDEX(210:210,1,_xlpm.colj),
  _xlpm.diffscale, Constantes!$B$2,
  IF(AK211="",
    "",
    SUM(1/(1+POWER(10,-(AK210-_xlpm.elos)/_xlpm.diffscale)))-0.5)
)</f>
        <v/>
      </c>
      <c r="AL212" t="str" cm="1">
        <f t="array" ref="AL212">_xlfn.LET(
  _xlpm.colj, _xlfn._xlws.FILTER(IF(ISNUMBER(211:211), COLUMN(211:211)), ISNUMBER(211:211)),
  _xlpm.elos, INDEX(210:210,1,_xlpm.colj),
  _xlpm.diffscale, Constantes!$B$2,
  IF(AL211="",
    "",
    SUM(1/(1+POWER(10,-(AL210-_xlpm.elos)/_xlpm.diffscale)))-0.5)
)</f>
        <v/>
      </c>
      <c r="AM212" t="str" cm="1">
        <f t="array" ref="AM212">_xlfn.LET(
  _xlpm.colj, _xlfn._xlws.FILTER(IF(ISNUMBER(211:211), COLUMN(211:211)), ISNUMBER(211:211)),
  _xlpm.elos, INDEX(210:210,1,_xlpm.colj),
  _xlpm.diffscale, Constantes!$B$2,
  IF(AM211="",
    "",
    SUM(1/(1+POWER(10,-(AM210-_xlpm.elos)/_xlpm.diffscale)))-0.5)
)</f>
        <v/>
      </c>
    </row>
    <row r="213" spans="1:39" x14ac:dyDescent="0.25">
      <c r="A213" t="s">
        <v>22</v>
      </c>
      <c r="D213" t="str" cm="1">
        <f t="array" ref="D213">_xlfn.LET(
  _xlpm.K, Constantes!$B$3,
  _xlpm.Knewgain, Constantes!$B$4,
  _xlpm.Knewscale, Constantes!$B$5,
  _xlpm.ptstables, INDEX(D:D, _xlfn.SEQUENCE(COUNTA($C$2:$C213), 1, 3, 4)),
  _xlpm.nbparties, COUNTA(_xlfn._xlws.FILTER(_xlpm.ptstables, _xlpm.ptstables &lt;&gt; "")),
  _xlpm.coef, _xlpm.K + _xlpm.Knewgain / (_xlpm.Knewscale + _xlpm.nbparties),
  IF(D211="",
    "",
    _xlpm.coef * (D211-D212))
)</f>
        <v/>
      </c>
      <c r="E213" t="str" cm="1">
        <f t="array" ref="E213">_xlfn.LET(
  _xlpm.K, Constantes!$B$3,
  _xlpm.Knewgain, Constantes!$B$4,
  _xlpm.Knewscale, Constantes!$B$5,
  _xlpm.ptstables, INDEX(E:E, _xlfn.SEQUENCE(COUNTA($C$2:$C213), 1, 3, 4)),
  _xlpm.nbparties, COUNTA(_xlfn._xlws.FILTER(_xlpm.ptstables, _xlpm.ptstables &lt;&gt; "")),
  _xlpm.coef, _xlpm.K + _xlpm.Knewgain / (_xlpm.Knewscale + _xlpm.nbparties),
  IF(E211="",
    "",
    _xlpm.coef * (E211-E212))
)</f>
        <v/>
      </c>
      <c r="F213" t="str" cm="1">
        <f t="array" ref="F213">_xlfn.LET(
  _xlpm.K, Constantes!$B$3,
  _xlpm.Knewgain, Constantes!$B$4,
  _xlpm.Knewscale, Constantes!$B$5,
  _xlpm.ptstables, INDEX(F:F, _xlfn.SEQUENCE(COUNTA($C$2:$C213), 1, 3, 4)),
  _xlpm.nbparties, COUNTA(_xlfn._xlws.FILTER(_xlpm.ptstables, _xlpm.ptstables &lt;&gt; "")),
  _xlpm.coef, _xlpm.K + _xlpm.Knewgain / (_xlpm.Knewscale + _xlpm.nbparties),
  IF(F211="",
    "",
    _xlpm.coef * (F211-F212))
)</f>
        <v/>
      </c>
      <c r="G213" t="str" cm="1">
        <f t="array" ref="G213">_xlfn.LET(
  _xlpm.K, Constantes!$B$3,
  _xlpm.Knewgain, Constantes!$B$4,
  _xlpm.Knewscale, Constantes!$B$5,
  _xlpm.ptstables, INDEX(G:G, _xlfn.SEQUENCE(COUNTA($C$2:$C213), 1, 3, 4)),
  _xlpm.nbparties, COUNTA(_xlfn._xlws.FILTER(_xlpm.ptstables, _xlpm.ptstables &lt;&gt; "")),
  _xlpm.coef, _xlpm.K + _xlpm.Knewgain / (_xlpm.Knewscale + _xlpm.nbparties),
  IF(G211="",
    "",
    _xlpm.coef * (G211-G212))
)</f>
        <v/>
      </c>
      <c r="H213" t="str" cm="1">
        <f t="array" ref="H213">_xlfn.LET(
  _xlpm.K, Constantes!$B$3,
  _xlpm.Knewgain, Constantes!$B$4,
  _xlpm.Knewscale, Constantes!$B$5,
  _xlpm.ptstables, INDEX(H:H, _xlfn.SEQUENCE(COUNTA($C$2:$C213), 1, 3, 4)),
  _xlpm.nbparties, COUNTA(_xlfn._xlws.FILTER(_xlpm.ptstables, _xlpm.ptstables &lt;&gt; "")),
  _xlpm.coef, _xlpm.K + _xlpm.Knewgain / (_xlpm.Knewscale + _xlpm.nbparties),
  IF(H211="",
    "",
    _xlpm.coef * (H211-H212))
)</f>
        <v/>
      </c>
      <c r="I213" t="str" cm="1">
        <f t="array" ref="I213">_xlfn.LET(
  _xlpm.K, Constantes!$B$3,
  _xlpm.Knewgain, Constantes!$B$4,
  _xlpm.Knewscale, Constantes!$B$5,
  _xlpm.ptstables, INDEX(I:I, _xlfn.SEQUENCE(COUNTA($C$2:$C213), 1, 3, 4)),
  _xlpm.nbparties, COUNTA(_xlfn._xlws.FILTER(_xlpm.ptstables, _xlpm.ptstables &lt;&gt; "")),
  _xlpm.coef, _xlpm.K + _xlpm.Knewgain / (_xlpm.Knewscale + _xlpm.nbparties),
  IF(I211="",
    "",
    _xlpm.coef * (I211-I212))
)</f>
        <v/>
      </c>
      <c r="J213" t="str" cm="1">
        <f t="array" ref="J213">_xlfn.LET(
  _xlpm.K, Constantes!$B$3,
  _xlpm.Knewgain, Constantes!$B$4,
  _xlpm.Knewscale, Constantes!$B$5,
  _xlpm.ptstables, INDEX(J:J, _xlfn.SEQUENCE(COUNTA($C$2:$C213), 1, 3, 4)),
  _xlpm.nbparties, COUNTA(_xlfn._xlws.FILTER(_xlpm.ptstables, _xlpm.ptstables &lt;&gt; "")),
  _xlpm.coef, _xlpm.K + _xlpm.Knewgain / (_xlpm.Knewscale + _xlpm.nbparties),
  IF(J211="",
    "",
    _xlpm.coef * (J211-J212))
)</f>
        <v/>
      </c>
      <c r="K213" t="str" cm="1">
        <f t="array" ref="K213">_xlfn.LET(
  _xlpm.K, Constantes!$B$3,
  _xlpm.Knewgain, Constantes!$B$4,
  _xlpm.Knewscale, Constantes!$B$5,
  _xlpm.ptstables, INDEX(K:K, _xlfn.SEQUENCE(COUNTA($C$2:$C213), 1, 3, 4)),
  _xlpm.nbparties, COUNTA(_xlfn._xlws.FILTER(_xlpm.ptstables, _xlpm.ptstables &lt;&gt; "")),
  _xlpm.coef, _xlpm.K + _xlpm.Knewgain / (_xlpm.Knewscale + _xlpm.nbparties),
  IF(K211="",
    "",
    _xlpm.coef * (K211-K212))
)</f>
        <v/>
      </c>
      <c r="L213" t="str" cm="1">
        <f t="array" ref="L213">_xlfn.LET(
  _xlpm.K, Constantes!$B$3,
  _xlpm.Knewgain, Constantes!$B$4,
  _xlpm.Knewscale, Constantes!$B$5,
  _xlpm.ptstables, INDEX(L:L, _xlfn.SEQUENCE(COUNTA($C$2:$C213), 1, 3, 4)),
  _xlpm.nbparties, COUNTA(_xlfn._xlws.FILTER(_xlpm.ptstables, _xlpm.ptstables &lt;&gt; "")),
  _xlpm.coef, _xlpm.K + _xlpm.Knewgain / (_xlpm.Knewscale + _xlpm.nbparties),
  IF(L211="",
    "",
    _xlpm.coef * (L211-L212))
)</f>
        <v/>
      </c>
      <c r="M213" t="str" cm="1">
        <f t="array" ref="M213">_xlfn.LET(
  _xlpm.K, Constantes!$B$3,
  _xlpm.Knewgain, Constantes!$B$4,
  _xlpm.Knewscale, Constantes!$B$5,
  _xlpm.ptstables, INDEX(M:M, _xlfn.SEQUENCE(COUNTA($C$2:$C213), 1, 3, 4)),
  _xlpm.nbparties, COUNTA(_xlfn._xlws.FILTER(_xlpm.ptstables, _xlpm.ptstables &lt;&gt; "")),
  _xlpm.coef, _xlpm.K + _xlpm.Knewgain / (_xlpm.Knewscale + _xlpm.nbparties),
  IF(M211="",
    "",
    _xlpm.coef * (M211-M212))
)</f>
        <v/>
      </c>
      <c r="N213" t="str" cm="1">
        <f t="array" ref="N213">_xlfn.LET(
  _xlpm.K, Constantes!$B$3,
  _xlpm.Knewgain, Constantes!$B$4,
  _xlpm.Knewscale, Constantes!$B$5,
  _xlpm.ptstables, INDEX(N:N, _xlfn.SEQUENCE(COUNTA($C$2:$C213), 1, 3, 4)),
  _xlpm.nbparties, COUNTA(_xlfn._xlws.FILTER(_xlpm.ptstables, _xlpm.ptstables &lt;&gt; "")),
  _xlpm.coef, _xlpm.K + _xlpm.Knewgain / (_xlpm.Knewscale + _xlpm.nbparties),
  IF(N211="",
    "",
    _xlpm.coef * (N211-N212))
)</f>
        <v/>
      </c>
      <c r="O213" cm="1">
        <f t="array" ref="O213">_xlfn.LET(
  _xlpm.K, Constantes!$B$3,
  _xlpm.Knewgain, Constantes!$B$4,
  _xlpm.Knewscale, Constantes!$B$5,
  _xlpm.ptstables, INDEX(O:O, _xlfn.SEQUENCE(COUNTA($C$2:$C213), 1, 3, 4)),
  _xlpm.nbparties, COUNTA(_xlfn._xlws.FILTER(_xlpm.ptstables, _xlpm.ptstables &lt;&gt; "")),
  _xlpm.coef, _xlpm.K + _xlpm.Knewgain / (_xlpm.Knewscale + _xlpm.nbparties),
  IF(O211="",
    "",
    _xlpm.coef * (O211-O212))
)</f>
        <v>-53.82242587493873</v>
      </c>
      <c r="P213" t="str" cm="1">
        <f t="array" ref="P213">_xlfn.LET(
  _xlpm.K, Constantes!$B$3,
  _xlpm.Knewgain, Constantes!$B$4,
  _xlpm.Knewscale, Constantes!$B$5,
  _xlpm.ptstables, INDEX(P:P, _xlfn.SEQUENCE(COUNTA($C$2:$C213), 1, 3, 4)),
  _xlpm.nbparties, COUNTA(_xlfn._xlws.FILTER(_xlpm.ptstables, _xlpm.ptstables &lt;&gt; "")),
  _xlpm.coef, _xlpm.K + _xlpm.Knewgain / (_xlpm.Knewscale + _xlpm.nbparties),
  IF(P211="",
    "",
    _xlpm.coef * (P211-P212))
)</f>
        <v/>
      </c>
      <c r="Q213" cm="1">
        <f t="array" ref="Q213">_xlfn.LET(
  _xlpm.K, Constantes!$B$3,
  _xlpm.Knewgain, Constantes!$B$4,
  _xlpm.Knewscale, Constantes!$B$5,
  _xlpm.ptstables, INDEX(Q:Q, _xlfn.SEQUENCE(COUNTA($C$2:$C213), 1, 3, 4)),
  _xlpm.nbparties, COUNTA(_xlfn._xlws.FILTER(_xlpm.ptstables, _xlpm.ptstables &lt;&gt; "")),
  _xlpm.coef, _xlpm.K + _xlpm.Knewgain / (_xlpm.Knewscale + _xlpm.nbparties),
  IF(Q211="",
    "",
    _xlpm.coef * (Q211-Q212))
)</f>
        <v>26.004965809487743</v>
      </c>
      <c r="R213" t="str" cm="1">
        <f t="array" ref="R213">_xlfn.LET(
  _xlpm.K, Constantes!$B$3,
  _xlpm.Knewgain, Constantes!$B$4,
  _xlpm.Knewscale, Constantes!$B$5,
  _xlpm.ptstables, INDEX(R:R, _xlfn.SEQUENCE(COUNTA($C$2:$C213), 1, 3, 4)),
  _xlpm.nbparties, COUNTA(_xlfn._xlws.FILTER(_xlpm.ptstables, _xlpm.ptstables &lt;&gt; "")),
  _xlpm.coef, _xlpm.K + _xlpm.Knewgain / (_xlpm.Knewscale + _xlpm.nbparties),
  IF(R211="",
    "",
    _xlpm.coef * (R211-R212))
)</f>
        <v/>
      </c>
      <c r="S213" t="str" cm="1">
        <f t="array" ref="S213">_xlfn.LET(
  _xlpm.K, Constantes!$B$3,
  _xlpm.Knewgain, Constantes!$B$4,
  _xlpm.Knewscale, Constantes!$B$5,
  _xlpm.ptstables, INDEX(S:S, _xlfn.SEQUENCE(COUNTA($C$2:$C213), 1, 3, 4)),
  _xlpm.nbparties, COUNTA(_xlfn._xlws.FILTER(_xlpm.ptstables, _xlpm.ptstables &lt;&gt; "")),
  _xlpm.coef, _xlpm.K + _xlpm.Knewgain / (_xlpm.Knewscale + _xlpm.nbparties),
  IF(S211="",
    "",
    _xlpm.coef * (S211-S212))
)</f>
        <v/>
      </c>
      <c r="T213" t="str" cm="1">
        <f t="array" ref="T213">_xlfn.LET(
  _xlpm.K, Constantes!$B$3,
  _xlpm.Knewgain, Constantes!$B$4,
  _xlpm.Knewscale, Constantes!$B$5,
  _xlpm.ptstables, INDEX(T:T, _xlfn.SEQUENCE(COUNTA($C$2:$C213), 1, 3, 4)),
  _xlpm.nbparties, COUNTA(_xlfn._xlws.FILTER(_xlpm.ptstables, _xlpm.ptstables &lt;&gt; "")),
  _xlpm.coef, _xlpm.K + _xlpm.Knewgain / (_xlpm.Knewscale + _xlpm.nbparties),
  IF(T211="",
    "",
    _xlpm.coef * (T211-T212))
)</f>
        <v/>
      </c>
      <c r="U213" t="str" cm="1">
        <f t="array" ref="U213">_xlfn.LET(
  _xlpm.K, Constantes!$B$3,
  _xlpm.Knewgain, Constantes!$B$4,
  _xlpm.Knewscale, Constantes!$B$5,
  _xlpm.ptstables, INDEX(U:U, _xlfn.SEQUENCE(COUNTA($C$2:$C213), 1, 3, 4)),
  _xlpm.nbparties, COUNTA(_xlfn._xlws.FILTER(_xlpm.ptstables, _xlpm.ptstables &lt;&gt; "")),
  _xlpm.coef, _xlpm.K + _xlpm.Knewgain / (_xlpm.Knewscale + _xlpm.nbparties),
  IF(U211="",
    "",
    _xlpm.coef * (U211-U212))
)</f>
        <v/>
      </c>
      <c r="V213" t="str" cm="1">
        <f t="array" ref="V213">_xlfn.LET(
  _xlpm.K, Constantes!$B$3,
  _xlpm.Knewgain, Constantes!$B$4,
  _xlpm.Knewscale, Constantes!$B$5,
  _xlpm.ptstables, INDEX(V:V, _xlfn.SEQUENCE(COUNTA($C$2:$C213), 1, 3, 4)),
  _xlpm.nbparties, COUNTA(_xlfn._xlws.FILTER(_xlpm.ptstables, _xlpm.ptstables &lt;&gt; "")),
  _xlpm.coef, _xlpm.K + _xlpm.Knewgain / (_xlpm.Knewscale + _xlpm.nbparties),
  IF(V211="",
    "",
    _xlpm.coef * (V211-V212))
)</f>
        <v/>
      </c>
      <c r="W213" t="str" cm="1">
        <f t="array" ref="W213">_xlfn.LET(
  _xlpm.K, Constantes!$B$3,
  _xlpm.Knewgain, Constantes!$B$4,
  _xlpm.Knewscale, Constantes!$B$5,
  _xlpm.ptstables, INDEX(W:W, _xlfn.SEQUENCE(COUNTA($C$2:$C213), 1, 3, 4)),
  _xlpm.nbparties, COUNTA(_xlfn._xlws.FILTER(_xlpm.ptstables, _xlpm.ptstables &lt;&gt; "")),
  _xlpm.coef, _xlpm.K + _xlpm.Knewgain / (_xlpm.Knewscale + _xlpm.nbparties),
  IF(W211="",
    "",
    _xlpm.coef * (W211-W212))
)</f>
        <v/>
      </c>
      <c r="X213" cm="1">
        <f t="array" ref="X213">_xlfn.LET(
  _xlpm.K, Constantes!$B$3,
  _xlpm.Knewgain, Constantes!$B$4,
  _xlpm.Knewscale, Constantes!$B$5,
  _xlpm.ptstables, INDEX(X:X, _xlfn.SEQUENCE(COUNTA($C$2:$C213), 1, 3, 4)),
  _xlpm.nbparties, COUNTA(_xlfn._xlws.FILTER(_xlpm.ptstables, _xlpm.ptstables &lt;&gt; "")),
  _xlpm.coef, _xlpm.K + _xlpm.Knewgain / (_xlpm.Knewscale + _xlpm.nbparties),
  IF(X211="",
    "",
    _xlpm.coef * (X211-X212))
)</f>
        <v>7.0336989801111471</v>
      </c>
      <c r="Y213" cm="1">
        <f t="array" ref="Y213">_xlfn.LET(
  _xlpm.K, Constantes!$B$3,
  _xlpm.Knewgain, Constantes!$B$4,
  _xlpm.Knewscale, Constantes!$B$5,
  _xlpm.ptstables, INDEX(Y:Y, _xlfn.SEQUENCE(COUNTA($C$2:$C213), 1, 3, 4)),
  _xlpm.nbparties, COUNTA(_xlfn._xlws.FILTER(_xlpm.ptstables, _xlpm.ptstables &lt;&gt; "")),
  _xlpm.coef, _xlpm.K + _xlpm.Knewgain / (_xlpm.Knewscale + _xlpm.nbparties),
  IF(Y211="",
    "",
    _xlpm.coef * (Y211-Y212))
)</f>
        <v>12.641549676706658</v>
      </c>
      <c r="Z213" t="str" cm="1">
        <f t="array" ref="Z213">_xlfn.LET(
  _xlpm.K, Constantes!$B$3,
  _xlpm.Knewgain, Constantes!$B$4,
  _xlpm.Knewscale, Constantes!$B$5,
  _xlpm.ptstables, INDEX(Z:Z, _xlfn.SEQUENCE(COUNTA($C$2:$C213), 1, 3, 4)),
  _xlpm.nbparties, COUNTA(_xlfn._xlws.FILTER(_xlpm.ptstables, _xlpm.ptstables &lt;&gt; "")),
  _xlpm.coef, _xlpm.K + _xlpm.Knewgain / (_xlpm.Knewscale + _xlpm.nbparties),
  IF(Z211="",
    "",
    _xlpm.coef * (Z211-Z212))
)</f>
        <v/>
      </c>
      <c r="AA213" t="str" cm="1">
        <f t="array" ref="AA213">_xlfn.LET(
  _xlpm.K, Constantes!$B$3,
  _xlpm.Knewgain, Constantes!$B$4,
  _xlpm.Knewscale, Constantes!$B$5,
  _xlpm.ptstables, INDEX(AA:AA, _xlfn.SEQUENCE(COUNTA($C$2:$C213), 1, 3, 4)),
  _xlpm.nbparties, COUNTA(_xlfn._xlws.FILTER(_xlpm.ptstables, _xlpm.ptstables &lt;&gt; "")),
  _xlpm.coef, _xlpm.K + _xlpm.Knewgain / (_xlpm.Knewscale + _xlpm.nbparties),
  IF(AA211="",
    "",
    _xlpm.coef * (AA211-AA212))
)</f>
        <v/>
      </c>
      <c r="AB213" t="str" cm="1">
        <f t="array" ref="AB213">_xlfn.LET(
  _xlpm.K, Constantes!$B$3,
  _xlpm.Knewgain, Constantes!$B$4,
  _xlpm.Knewscale, Constantes!$B$5,
  _xlpm.ptstables, INDEX(AB:AB, _xlfn.SEQUENCE(COUNTA($C$2:$C213), 1, 3, 4)),
  _xlpm.nbparties, COUNTA(_xlfn._xlws.FILTER(_xlpm.ptstables, _xlpm.ptstables &lt;&gt; "")),
  _xlpm.coef, _xlpm.K + _xlpm.Knewgain / (_xlpm.Knewscale + _xlpm.nbparties),
  IF(AB211="",
    "",
    _xlpm.coef * (AB211-AB212))
)</f>
        <v/>
      </c>
      <c r="AC213" t="str" cm="1">
        <f t="array" ref="AC213">_xlfn.LET(
  _xlpm.K, Constantes!$B$3,
  _xlpm.Knewgain, Constantes!$B$4,
  _xlpm.Knewscale, Constantes!$B$5,
  _xlpm.ptstables, INDEX(AC:AC, _xlfn.SEQUENCE(COUNTA($C$2:$C213), 1, 3, 4)),
  _xlpm.nbparties, COUNTA(_xlfn._xlws.FILTER(_xlpm.ptstables, _xlpm.ptstables &lt;&gt; "")),
  _xlpm.coef, _xlpm.K + _xlpm.Knewgain / (_xlpm.Knewscale + _xlpm.nbparties),
  IF(AC211="",
    "",
    _xlpm.coef * (AC211-AC212))
)</f>
        <v/>
      </c>
      <c r="AD213" t="str" cm="1">
        <f t="array" ref="AD213">_xlfn.LET(
  _xlpm.K, Constantes!$B$3,
  _xlpm.Knewgain, Constantes!$B$4,
  _xlpm.Knewscale, Constantes!$B$5,
  _xlpm.ptstables, INDEX(AD:AD, _xlfn.SEQUENCE(COUNTA($C$2:$C213), 1, 3, 4)),
  _xlpm.nbparties, COUNTA(_xlfn._xlws.FILTER(_xlpm.ptstables, _xlpm.ptstables &lt;&gt; "")),
  _xlpm.coef, _xlpm.K + _xlpm.Knewgain / (_xlpm.Knewscale + _xlpm.nbparties),
  IF(AD211="",
    "",
    _xlpm.coef * (AD211-AD212))
)</f>
        <v/>
      </c>
      <c r="AE213" t="str" cm="1">
        <f t="array" ref="AE213">_xlfn.LET(
  _xlpm.K, Constantes!$B$3,
  _xlpm.Knewgain, Constantes!$B$4,
  _xlpm.Knewscale, Constantes!$B$5,
  _xlpm.ptstables, INDEX(AE:AE, _xlfn.SEQUENCE(COUNTA($C$2:$C213), 1, 3, 4)),
  _xlpm.nbparties, COUNTA(_xlfn._xlws.FILTER(_xlpm.ptstables, _xlpm.ptstables &lt;&gt; "")),
  _xlpm.coef, _xlpm.K + _xlpm.Knewgain / (_xlpm.Knewscale + _xlpm.nbparties),
  IF(AE211="",
    "",
    _xlpm.coef * (AE211-AE212))
)</f>
        <v/>
      </c>
      <c r="AF213" t="str" cm="1">
        <f t="array" ref="AF213">_xlfn.LET(
  _xlpm.K, Constantes!$B$3,
  _xlpm.Knewgain, Constantes!$B$4,
  _xlpm.Knewscale, Constantes!$B$5,
  _xlpm.ptstables, INDEX(AF:AF, _xlfn.SEQUENCE(COUNTA($C$2:$C213), 1, 3, 4)),
  _xlpm.nbparties, COUNTA(_xlfn._xlws.FILTER(_xlpm.ptstables, _xlpm.ptstables &lt;&gt; "")),
  _xlpm.coef, _xlpm.K + _xlpm.Knewgain / (_xlpm.Knewscale + _xlpm.nbparties),
  IF(AF211="",
    "",
    _xlpm.coef * (AF211-AF212))
)</f>
        <v/>
      </c>
      <c r="AG213" t="str" cm="1">
        <f t="array" ref="AG213">_xlfn.LET(
  _xlpm.K, Constantes!$B$3,
  _xlpm.Knewgain, Constantes!$B$4,
  _xlpm.Knewscale, Constantes!$B$5,
  _xlpm.ptstables, INDEX(AG:AG, _xlfn.SEQUENCE(COUNTA($C$2:$C213), 1, 3, 4)),
  _xlpm.nbparties, COUNTA(_xlfn._xlws.FILTER(_xlpm.ptstables, _xlpm.ptstables &lt;&gt; "")),
  _xlpm.coef, _xlpm.K + _xlpm.Knewgain / (_xlpm.Knewscale + _xlpm.nbparties),
  IF(AG211="",
    "",
    _xlpm.coef * (AG211-AG212))
)</f>
        <v/>
      </c>
      <c r="AH213" t="str" cm="1">
        <f t="array" ref="AH213">_xlfn.LET(
  _xlpm.K, Constantes!$B$3,
  _xlpm.Knewgain, Constantes!$B$4,
  _xlpm.Knewscale, Constantes!$B$5,
  _xlpm.ptstables, INDEX(AH:AH, _xlfn.SEQUENCE(COUNTA($C$2:$C213), 1, 3, 4)),
  _xlpm.nbparties, COUNTA(_xlfn._xlws.FILTER(_xlpm.ptstables, _xlpm.ptstables &lt;&gt; "")),
  _xlpm.coef, _xlpm.K + _xlpm.Knewgain / (_xlpm.Knewscale + _xlpm.nbparties),
  IF(AH211="",
    "",
    _xlpm.coef * (AH211-AH212))
)</f>
        <v/>
      </c>
      <c r="AI213" t="str" cm="1">
        <f t="array" ref="AI213">_xlfn.LET(
  _xlpm.K, Constantes!$B$3,
  _xlpm.Knewgain, Constantes!$B$4,
  _xlpm.Knewscale, Constantes!$B$5,
  _xlpm.ptstables, INDEX(AI:AI, _xlfn.SEQUENCE(COUNTA($C$2:$C213), 1, 3, 4)),
  _xlpm.nbparties, COUNTA(_xlfn._xlws.FILTER(_xlpm.ptstables, _xlpm.ptstables &lt;&gt; "")),
  _xlpm.coef, _xlpm.K + _xlpm.Knewgain / (_xlpm.Knewscale + _xlpm.nbparties),
  IF(AI211="",
    "",
    _xlpm.coef * (AI211-AI212))
)</f>
        <v/>
      </c>
      <c r="AJ213" t="str" cm="1">
        <f t="array" ref="AJ213">_xlfn.LET(
  _xlpm.K, Constantes!$B$3,
  _xlpm.Knewgain, Constantes!$B$4,
  _xlpm.Knewscale, Constantes!$B$5,
  _xlpm.ptstables, INDEX(AJ:AJ, _xlfn.SEQUENCE(COUNTA($C$2:$C213), 1, 3, 4)),
  _xlpm.nbparties, COUNTA(_xlfn._xlws.FILTER(_xlpm.ptstables, _xlpm.ptstables &lt;&gt; "")),
  _xlpm.coef, _xlpm.K + _xlpm.Knewgain / (_xlpm.Knewscale + _xlpm.nbparties),
  IF(AJ211="",
    "",
    _xlpm.coef * (AJ211-AJ212))
)</f>
        <v/>
      </c>
      <c r="AK213" t="str" cm="1">
        <f t="array" ref="AK213">_xlfn.LET(
  _xlpm.K, Constantes!$B$3,
  _xlpm.Knewgain, Constantes!$B$4,
  _xlpm.Knewscale, Constantes!$B$5,
  _xlpm.ptstables, INDEX(AK:AK, _xlfn.SEQUENCE(COUNTA($C$2:$C213), 1, 3, 4)),
  _xlpm.nbparties, COUNTA(_xlfn._xlws.FILTER(_xlpm.ptstables, _xlpm.ptstables &lt;&gt; "")),
  _xlpm.coef, _xlpm.K + _xlpm.Knewgain / (_xlpm.Knewscale + _xlpm.nbparties),
  IF(AK211="",
    "",
    _xlpm.coef * (AK211-AK212))
)</f>
        <v/>
      </c>
      <c r="AL213" t="str" cm="1">
        <f t="array" ref="AL213">_xlfn.LET(
  _xlpm.K, Constantes!$B$3,
  _xlpm.Knewgain, Constantes!$B$4,
  _xlpm.Knewscale, Constantes!$B$5,
  _xlpm.ptstables, INDEX(AL:AL, _xlfn.SEQUENCE(COUNTA($C$2:$C213), 1, 3, 4)),
  _xlpm.nbparties, COUNTA(_xlfn._xlws.FILTER(_xlpm.ptstables, _xlpm.ptstables &lt;&gt; "")),
  _xlpm.coef, _xlpm.K + _xlpm.Knewgain / (_xlpm.Knewscale + _xlpm.nbparties),
  IF(AL211="",
    "",
    _xlpm.coef * (AL211-AL212))
)</f>
        <v/>
      </c>
      <c r="AM213" t="str" cm="1">
        <f t="array" ref="AM213">_xlfn.LET(
  _xlpm.K, Constantes!$B$3,
  _xlpm.Knewgain, Constantes!$B$4,
  _xlpm.Knewscale, Constantes!$B$5,
  _xlpm.ptstables, INDEX(AM:AM, _xlfn.SEQUENCE(COUNTA($C$2:$C213), 1, 3, 4)),
  _xlpm.nbparties, COUNTA(_xlfn._xlws.FILTER(_xlpm.ptstables, _xlpm.ptstables &lt;&gt; "")),
  _xlpm.coef, _xlpm.K + _xlpm.Knewgain / (_xlpm.Knewscale + _xlpm.nbparties),
  IF(AM211="",
    "",
    _xlpm.coef * (AM211-AM212))
)</f>
        <v/>
      </c>
    </row>
    <row r="214" spans="1:39" x14ac:dyDescent="0.25">
      <c r="A214" t="s">
        <v>14</v>
      </c>
      <c r="B214" t="str" cm="1">
        <f t="array" ref="B21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50</v>
      </c>
      <c r="C214" s="2" cm="1">
        <f t="array" ref="C214">IF(B214="","",
  INDEX(Donnees!F:F, MATCH(B214, Donnees!F:F, 0)+1))</f>
        <v>45934.699074074073</v>
      </c>
      <c r="D214">
        <f t="shared" ref="D214:AM214" si="61">D210+IF(D213="",0,D213)</f>
        <v>1102.9314752305681</v>
      </c>
      <c r="E214">
        <f t="shared" si="61"/>
        <v>1124.3346500367093</v>
      </c>
      <c r="F214">
        <f t="shared" si="61"/>
        <v>861.02806342581061</v>
      </c>
      <c r="G214">
        <f t="shared" si="61"/>
        <v>1050.9955183799098</v>
      </c>
      <c r="H214">
        <f t="shared" si="61"/>
        <v>1041.4828877801035</v>
      </c>
      <c r="I214">
        <f t="shared" si="61"/>
        <v>960.57774210047694</v>
      </c>
      <c r="J214">
        <f t="shared" si="61"/>
        <v>938.49433816478961</v>
      </c>
      <c r="K214">
        <f t="shared" si="61"/>
        <v>957.39471433630956</v>
      </c>
      <c r="L214">
        <f t="shared" si="61"/>
        <v>766.95119884458973</v>
      </c>
      <c r="M214">
        <f t="shared" si="61"/>
        <v>913.41986361738122</v>
      </c>
      <c r="N214">
        <f t="shared" si="61"/>
        <v>905.23376280700177</v>
      </c>
      <c r="O214">
        <f t="shared" si="61"/>
        <v>997.44442573588026</v>
      </c>
      <c r="P214">
        <f t="shared" si="61"/>
        <v>1005.4229961505649</v>
      </c>
      <c r="Q214">
        <f t="shared" si="61"/>
        <v>1076.7234576703174</v>
      </c>
      <c r="R214">
        <f t="shared" si="61"/>
        <v>1125.4294726276194</v>
      </c>
      <c r="S214">
        <f t="shared" si="61"/>
        <v>856.55223049520021</v>
      </c>
      <c r="T214">
        <f t="shared" si="61"/>
        <v>1135.2782658680615</v>
      </c>
      <c r="U214">
        <f t="shared" si="61"/>
        <v>1156.7918140913919</v>
      </c>
      <c r="V214">
        <f t="shared" si="61"/>
        <v>983.1120575372413</v>
      </c>
      <c r="W214">
        <f t="shared" si="61"/>
        <v>936.79085942937002</v>
      </c>
      <c r="X214">
        <f t="shared" si="61"/>
        <v>829.52552319854192</v>
      </c>
      <c r="Y214">
        <f t="shared" si="61"/>
        <v>986.08943039951498</v>
      </c>
      <c r="Z214">
        <f t="shared" si="61"/>
        <v>991.11904139672549</v>
      </c>
      <c r="AA214">
        <f t="shared" si="61"/>
        <v>930.6732002028948</v>
      </c>
      <c r="AB214">
        <f t="shared" si="61"/>
        <v>988.35669729544747</v>
      </c>
      <c r="AC214">
        <f t="shared" si="61"/>
        <v>1085.8200128019769</v>
      </c>
      <c r="AD214">
        <f t="shared" si="61"/>
        <v>1056.8829121598517</v>
      </c>
      <c r="AE214">
        <f t="shared" si="61"/>
        <v>1011.415</v>
      </c>
      <c r="AF214">
        <f t="shared" si="61"/>
        <v>1031.1199999999999</v>
      </c>
      <c r="AG214">
        <f t="shared" si="61"/>
        <v>1001.0350000000001</v>
      </c>
      <c r="AH214">
        <f t="shared" si="61"/>
        <v>994.44</v>
      </c>
      <c r="AI214">
        <f t="shared" si="61"/>
        <v>1000</v>
      </c>
      <c r="AJ214">
        <f t="shared" si="61"/>
        <v>957.2</v>
      </c>
      <c r="AK214">
        <f t="shared" si="61"/>
        <v>1000</v>
      </c>
      <c r="AL214">
        <f t="shared" si="61"/>
        <v>1055.9299999999998</v>
      </c>
      <c r="AM214">
        <f t="shared" si="61"/>
        <v>1000</v>
      </c>
    </row>
    <row r="215" spans="1:39" x14ac:dyDescent="0.25">
      <c r="A215" t="s">
        <v>21</v>
      </c>
      <c r="D215" cm="1">
        <f t="array" ref="D215">IFERROR(
  _xlfn.LET(
    _xlpm.ligpartie, MATCH($B214, Donnees!$F:$F, 0),
    _xlpm.joueurs, INDEX(Donnees!$A:$Z, _xlpm.ligpartie+1, _xlfn.SEQUENCE(1, 4, 2)),
    INDEX(
      Donnees!$A:$Z,
      _xlpm.ligpartie + 3,
      MATCH(D$1, _xlpm.joueurs, 0) + 1
    )
  ), ""
)</f>
        <v>2</v>
      </c>
      <c r="E215" t="str" cm="1">
        <f t="array" ref="E215">IFERROR(
  _xlfn.LET(
    _xlpm.ligpartie, MATCH($B214, Donnees!$F:$F, 0),
    _xlpm.joueurs, INDEX(Donnees!$A:$Z, _xlpm.ligpartie+1, _xlfn.SEQUENCE(1, 4, 2)),
    INDEX(
      Donnees!$A:$Z,
      _xlpm.ligpartie + 3,
      MATCH(E$1, _xlpm.joueurs, 0) + 1
    )
  ), ""
)</f>
        <v/>
      </c>
      <c r="F215" cm="1">
        <f t="array" ref="F215">IFERROR(
  _xlfn.LET(
    _xlpm.ligpartie, MATCH($B214, Donnees!$F:$F, 0),
    _xlpm.joueurs, INDEX(Donnees!$A:$Z, _xlpm.ligpartie+1, _xlfn.SEQUENCE(1, 4, 2)),
    INDEX(
      Donnees!$A:$Z,
      _xlpm.ligpartie + 3,
      MATCH(F$1, _xlpm.joueurs, 0) + 1
    )
  ), ""
)</f>
        <v>0</v>
      </c>
      <c r="G215" t="str" cm="1">
        <f t="array" ref="G215">IFERROR(
  _xlfn.LET(
    _xlpm.ligpartie, MATCH($B214, Donnees!$F:$F, 0),
    _xlpm.joueurs, INDEX(Donnees!$A:$Z, _xlpm.ligpartie+1, _xlfn.SEQUENCE(1, 4, 2)),
    INDEX(
      Donnees!$A:$Z,
      _xlpm.ligpartie + 3,
      MATCH(G$1, _xlpm.joueurs, 0) + 1
    )
  ), ""
)</f>
        <v/>
      </c>
      <c r="H215" t="str" cm="1">
        <f t="array" ref="H215">IFERROR(
  _xlfn.LET(
    _xlpm.ligpartie, MATCH($B214, Donnees!$F:$F, 0),
    _xlpm.joueurs, INDEX(Donnees!$A:$Z, _xlpm.ligpartie+1, _xlfn.SEQUENCE(1, 4, 2)),
    INDEX(
      Donnees!$A:$Z,
      _xlpm.ligpartie + 3,
      MATCH(H$1, _xlpm.joueurs, 0) + 1
    )
  ), ""
)</f>
        <v/>
      </c>
      <c r="I215" t="str" cm="1">
        <f t="array" ref="I215">IFERROR(
  _xlfn.LET(
    _xlpm.ligpartie, MATCH($B214, Donnees!$F:$F, 0),
    _xlpm.joueurs, INDEX(Donnees!$A:$Z, _xlpm.ligpartie+1, _xlfn.SEQUENCE(1, 4, 2)),
    INDEX(
      Donnees!$A:$Z,
      _xlpm.ligpartie + 3,
      MATCH(I$1, _xlpm.joueurs, 0) + 1
    )
  ), ""
)</f>
        <v/>
      </c>
      <c r="J215" t="str" cm="1">
        <f t="array" ref="J215">IFERROR(
  _xlfn.LET(
    _xlpm.ligpartie, MATCH($B214, Donnees!$F:$F, 0),
    _xlpm.joueurs, INDEX(Donnees!$A:$Z, _xlpm.ligpartie+1, _xlfn.SEQUENCE(1, 4, 2)),
    INDEX(
      Donnees!$A:$Z,
      _xlpm.ligpartie + 3,
      MATCH(J$1, _xlpm.joueurs, 0) + 1
    )
  ), ""
)</f>
        <v/>
      </c>
      <c r="K215" t="str" cm="1">
        <f t="array" ref="K215">IFERROR(
  _xlfn.LET(
    _xlpm.ligpartie, MATCH($B214, Donnees!$F:$F, 0),
    _xlpm.joueurs, INDEX(Donnees!$A:$Z, _xlpm.ligpartie+1, _xlfn.SEQUENCE(1, 4, 2)),
    INDEX(
      Donnees!$A:$Z,
      _xlpm.ligpartie + 3,
      MATCH(K$1, _xlpm.joueurs, 0) + 1
    )
  ), ""
)</f>
        <v/>
      </c>
      <c r="L215" t="str" cm="1">
        <f t="array" ref="L215">IFERROR(
  _xlfn.LET(
    _xlpm.ligpartie, MATCH($B214, Donnees!$F:$F, 0),
    _xlpm.joueurs, INDEX(Donnees!$A:$Z, _xlpm.ligpartie+1, _xlfn.SEQUENCE(1, 4, 2)),
    INDEX(
      Donnees!$A:$Z,
      _xlpm.ligpartie + 3,
      MATCH(L$1, _xlpm.joueurs, 0) + 1
    )
  ), ""
)</f>
        <v/>
      </c>
      <c r="M215" t="str" cm="1">
        <f t="array" ref="M215">IFERROR(
  _xlfn.LET(
    _xlpm.ligpartie, MATCH($B214, Donnees!$F:$F, 0),
    _xlpm.joueurs, INDEX(Donnees!$A:$Z, _xlpm.ligpartie+1, _xlfn.SEQUENCE(1, 4, 2)),
    INDEX(
      Donnees!$A:$Z,
      _xlpm.ligpartie + 3,
      MATCH(M$1, _xlpm.joueurs, 0) + 1
    )
  ), ""
)</f>
        <v/>
      </c>
      <c r="N215" t="str" cm="1">
        <f t="array" ref="N215">IFERROR(
  _xlfn.LET(
    _xlpm.ligpartie, MATCH($B214, Donnees!$F:$F, 0),
    _xlpm.joueurs, INDEX(Donnees!$A:$Z, _xlpm.ligpartie+1, _xlfn.SEQUENCE(1, 4, 2)),
    INDEX(
      Donnees!$A:$Z,
      _xlpm.ligpartie + 3,
      MATCH(N$1, _xlpm.joueurs, 0) + 1
    )
  ), ""
)</f>
        <v/>
      </c>
      <c r="O215" cm="1">
        <f t="array" ref="O215">IFERROR(
  _xlfn.LET(
    _xlpm.ligpartie, MATCH($B214, Donnees!$F:$F, 0),
    _xlpm.joueurs, INDEX(Donnees!$A:$Z, _xlpm.ligpartie+1, _xlfn.SEQUENCE(1, 4, 2)),
    INDEX(
      Donnees!$A:$Z,
      _xlpm.ligpartie + 3,
      MATCH(O$1, _xlpm.joueurs, 0) + 1
    )
  ), ""
)</f>
        <v>1</v>
      </c>
      <c r="P215" t="str" cm="1">
        <f t="array" ref="P215">IFERROR(
  _xlfn.LET(
    _xlpm.ligpartie, MATCH($B214, Donnees!$F:$F, 0),
    _xlpm.joueurs, INDEX(Donnees!$A:$Z, _xlpm.ligpartie+1, _xlfn.SEQUENCE(1, 4, 2)),
    INDEX(
      Donnees!$A:$Z,
      _xlpm.ligpartie + 3,
      MATCH(P$1, _xlpm.joueurs, 0) + 1
    )
  ), ""
)</f>
        <v/>
      </c>
      <c r="Q215" t="str" cm="1">
        <f t="array" ref="Q215">IFERROR(
  _xlfn.LET(
    _xlpm.ligpartie, MATCH($B214, Donnees!$F:$F, 0),
    _xlpm.joueurs, INDEX(Donnees!$A:$Z, _xlpm.ligpartie+1, _xlfn.SEQUENCE(1, 4, 2)),
    INDEX(
      Donnees!$A:$Z,
      _xlpm.ligpartie + 3,
      MATCH(Q$1, _xlpm.joueurs, 0) + 1
    )
  ), ""
)</f>
        <v/>
      </c>
      <c r="R215" t="str" cm="1">
        <f t="array" ref="R215">IFERROR(
  _xlfn.LET(
    _xlpm.ligpartie, MATCH($B214, Donnees!$F:$F, 0),
    _xlpm.joueurs, INDEX(Donnees!$A:$Z, _xlpm.ligpartie+1, _xlfn.SEQUENCE(1, 4, 2)),
    INDEX(
      Donnees!$A:$Z,
      _xlpm.ligpartie + 3,
      MATCH(R$1, _xlpm.joueurs, 0) + 1
    )
  ), ""
)</f>
        <v/>
      </c>
      <c r="S215" t="str" cm="1">
        <f t="array" ref="S215">IFERROR(
  _xlfn.LET(
    _xlpm.ligpartie, MATCH($B214, Donnees!$F:$F, 0),
    _xlpm.joueurs, INDEX(Donnees!$A:$Z, _xlpm.ligpartie+1, _xlfn.SEQUENCE(1, 4, 2)),
    INDEX(
      Donnees!$A:$Z,
      _xlpm.ligpartie + 3,
      MATCH(S$1, _xlpm.joueurs, 0) + 1
    )
  ), ""
)</f>
        <v/>
      </c>
      <c r="T215" t="str" cm="1">
        <f t="array" ref="T215">IFERROR(
  _xlfn.LET(
    _xlpm.ligpartie, MATCH($B214, Donnees!$F:$F, 0),
    _xlpm.joueurs, INDEX(Donnees!$A:$Z, _xlpm.ligpartie+1, _xlfn.SEQUENCE(1, 4, 2)),
    INDEX(
      Donnees!$A:$Z,
      _xlpm.ligpartie + 3,
      MATCH(T$1, _xlpm.joueurs, 0) + 1
    )
  ), ""
)</f>
        <v/>
      </c>
      <c r="U215" t="str" cm="1">
        <f t="array" ref="U215">IFERROR(
  _xlfn.LET(
    _xlpm.ligpartie, MATCH($B214, Donnees!$F:$F, 0),
    _xlpm.joueurs, INDEX(Donnees!$A:$Z, _xlpm.ligpartie+1, _xlfn.SEQUENCE(1, 4, 2)),
    INDEX(
      Donnees!$A:$Z,
      _xlpm.ligpartie + 3,
      MATCH(U$1, _xlpm.joueurs, 0) + 1
    )
  ), ""
)</f>
        <v/>
      </c>
      <c r="V215" t="str" cm="1">
        <f t="array" ref="V215">IFERROR(
  _xlfn.LET(
    _xlpm.ligpartie, MATCH($B214, Donnees!$F:$F, 0),
    _xlpm.joueurs, INDEX(Donnees!$A:$Z, _xlpm.ligpartie+1, _xlfn.SEQUENCE(1, 4, 2)),
    INDEX(
      Donnees!$A:$Z,
      _xlpm.ligpartie + 3,
      MATCH(V$1, _xlpm.joueurs, 0) + 1
    )
  ), ""
)</f>
        <v/>
      </c>
      <c r="W215" t="str" cm="1">
        <f t="array" ref="W215">IFERROR(
  _xlfn.LET(
    _xlpm.ligpartie, MATCH($B214, Donnees!$F:$F, 0),
    _xlpm.joueurs, INDEX(Donnees!$A:$Z, _xlpm.ligpartie+1, _xlfn.SEQUENCE(1, 4, 2)),
    INDEX(
      Donnees!$A:$Z,
      _xlpm.ligpartie + 3,
      MATCH(W$1, _xlpm.joueurs, 0) + 1
    )
  ), ""
)</f>
        <v/>
      </c>
      <c r="X215" t="str" cm="1">
        <f t="array" ref="X215">IFERROR(
  _xlfn.LET(
    _xlpm.ligpartie, MATCH($B214, Donnees!$F:$F, 0),
    _xlpm.joueurs, INDEX(Donnees!$A:$Z, _xlpm.ligpartie+1, _xlfn.SEQUENCE(1, 4, 2)),
    INDEX(
      Donnees!$A:$Z,
      _xlpm.ligpartie + 3,
      MATCH(X$1, _xlpm.joueurs, 0) + 1
    )
  ), ""
)</f>
        <v/>
      </c>
      <c r="Y215" t="str" cm="1">
        <f t="array" ref="Y215">IFERROR(
  _xlfn.LET(
    _xlpm.ligpartie, MATCH($B214, Donnees!$F:$F, 0),
    _xlpm.joueurs, INDEX(Donnees!$A:$Z, _xlpm.ligpartie+1, _xlfn.SEQUENCE(1, 4, 2)),
    INDEX(
      Donnees!$A:$Z,
      _xlpm.ligpartie + 3,
      MATCH(Y$1, _xlpm.joueurs, 0) + 1
    )
  ), ""
)</f>
        <v/>
      </c>
      <c r="Z215" t="str" cm="1">
        <f t="array" ref="Z215">IFERROR(
  _xlfn.LET(
    _xlpm.ligpartie, MATCH($B214, Donnees!$F:$F, 0),
    _xlpm.joueurs, INDEX(Donnees!$A:$Z, _xlpm.ligpartie+1, _xlfn.SEQUENCE(1, 4, 2)),
    INDEX(
      Donnees!$A:$Z,
      _xlpm.ligpartie + 3,
      MATCH(Z$1, _xlpm.joueurs, 0) + 1
    )
  ), ""
)</f>
        <v/>
      </c>
      <c r="AA215" cm="1">
        <f t="array" ref="AA215">IFERROR(
  _xlfn.LET(
    _xlpm.ligpartie, MATCH($B214, Donnees!$F:$F, 0),
    _xlpm.joueurs, INDEX(Donnees!$A:$Z, _xlpm.ligpartie+1, _xlfn.SEQUENCE(1, 4, 2)),
    INDEX(
      Donnees!$A:$Z,
      _xlpm.ligpartie + 3,
      MATCH(AA$1, _xlpm.joueurs, 0) + 1
    )
  ), ""
)</f>
        <v>3</v>
      </c>
      <c r="AB215" t="str" cm="1">
        <f t="array" ref="AB215">IFERROR(
  _xlfn.LET(
    _xlpm.ligpartie, MATCH($B214, Donnees!$F:$F, 0),
    _xlpm.joueurs, INDEX(Donnees!$A:$Z, _xlpm.ligpartie+1, _xlfn.SEQUENCE(1, 4, 2)),
    INDEX(
      Donnees!$A:$Z,
      _xlpm.ligpartie + 3,
      MATCH(AB$1, _xlpm.joueurs, 0) + 1
    )
  ), ""
)</f>
        <v/>
      </c>
      <c r="AC215" t="str" cm="1">
        <f t="array" ref="AC215">IFERROR(
  _xlfn.LET(
    _xlpm.ligpartie, MATCH($B214, Donnees!$F:$F, 0),
    _xlpm.joueurs, INDEX(Donnees!$A:$Z, _xlpm.ligpartie+1, _xlfn.SEQUENCE(1, 4, 2)),
    INDEX(
      Donnees!$A:$Z,
      _xlpm.ligpartie + 3,
      MATCH(AC$1, _xlpm.joueurs, 0) + 1
    )
  ), ""
)</f>
        <v/>
      </c>
      <c r="AD215" t="str" cm="1">
        <f t="array" ref="AD215">IFERROR(
  _xlfn.LET(
    _xlpm.ligpartie, MATCH($B214, Donnees!$F:$F, 0),
    _xlpm.joueurs, INDEX(Donnees!$A:$Z, _xlpm.ligpartie+1, _xlfn.SEQUENCE(1, 4, 2)),
    INDEX(
      Donnees!$A:$Z,
      _xlpm.ligpartie + 3,
      MATCH(AD$1, _xlpm.joueurs, 0) + 1
    )
  ), ""
)</f>
        <v/>
      </c>
      <c r="AE215" t="str" cm="1">
        <f t="array" ref="AE215">IFERROR(
  _xlfn.LET(
    _xlpm.ligpartie, MATCH($B214, Donnees!$F:$F, 0),
    _xlpm.joueurs, INDEX(Donnees!$A:$Z, _xlpm.ligpartie+1, _xlfn.SEQUENCE(1, 4, 2)),
    INDEX(
      Donnees!$A:$Z,
      _xlpm.ligpartie + 3,
      MATCH(AE$1, _xlpm.joueurs, 0) + 1
    )
  ), ""
)</f>
        <v/>
      </c>
      <c r="AF215" t="str" cm="1">
        <f t="array" ref="AF215">IFERROR(
  _xlfn.LET(
    _xlpm.ligpartie, MATCH($B214, Donnees!$F:$F, 0),
    _xlpm.joueurs, INDEX(Donnees!$A:$Z, _xlpm.ligpartie+1, _xlfn.SEQUENCE(1, 4, 2)),
    INDEX(
      Donnees!$A:$Z,
      _xlpm.ligpartie + 3,
      MATCH(AF$1, _xlpm.joueurs, 0) + 1
    )
  ), ""
)</f>
        <v/>
      </c>
      <c r="AG215" t="str" cm="1">
        <f t="array" ref="AG215">IFERROR(
  _xlfn.LET(
    _xlpm.ligpartie, MATCH($B214, Donnees!$F:$F, 0),
    _xlpm.joueurs, INDEX(Donnees!$A:$Z, _xlpm.ligpartie+1, _xlfn.SEQUENCE(1, 4, 2)),
    INDEX(
      Donnees!$A:$Z,
      _xlpm.ligpartie + 3,
      MATCH(AG$1, _xlpm.joueurs, 0) + 1
    )
  ), ""
)</f>
        <v/>
      </c>
      <c r="AH215" t="str" cm="1">
        <f t="array" ref="AH215">IFERROR(
  _xlfn.LET(
    _xlpm.ligpartie, MATCH($B214, Donnees!$F:$F, 0),
    _xlpm.joueurs, INDEX(Donnees!$A:$Z, _xlpm.ligpartie+1, _xlfn.SEQUENCE(1, 4, 2)),
    INDEX(
      Donnees!$A:$Z,
      _xlpm.ligpartie + 3,
      MATCH(AH$1, _xlpm.joueurs, 0) + 1
    )
  ), ""
)</f>
        <v/>
      </c>
      <c r="AI215" t="str" cm="1">
        <f t="array" ref="AI215">IFERROR(
  _xlfn.LET(
    _xlpm.ligpartie, MATCH($B214, Donnees!$F:$F, 0),
    _xlpm.joueurs, INDEX(Donnees!$A:$Z, _xlpm.ligpartie+1, _xlfn.SEQUENCE(1, 4, 2)),
    INDEX(
      Donnees!$A:$Z,
      _xlpm.ligpartie + 3,
      MATCH(AI$1, _xlpm.joueurs, 0) + 1
    )
  ), ""
)</f>
        <v/>
      </c>
      <c r="AJ215" t="str" cm="1">
        <f t="array" ref="AJ215">IFERROR(
  _xlfn.LET(
    _xlpm.ligpartie, MATCH($B214, Donnees!$F:$F, 0),
    _xlpm.joueurs, INDEX(Donnees!$A:$Z, _xlpm.ligpartie+1, _xlfn.SEQUENCE(1, 4, 2)),
    INDEX(
      Donnees!$A:$Z,
      _xlpm.ligpartie + 3,
      MATCH(AJ$1, _xlpm.joueurs, 0) + 1
    )
  ), ""
)</f>
        <v/>
      </c>
      <c r="AK215" t="str" cm="1">
        <f t="array" ref="AK215">IFERROR(
  _xlfn.LET(
    _xlpm.ligpartie, MATCH($B214, Donnees!$F:$F, 0),
    _xlpm.joueurs, INDEX(Donnees!$A:$Z, _xlpm.ligpartie+1, _xlfn.SEQUENCE(1, 4, 2)),
    INDEX(
      Donnees!$A:$Z,
      _xlpm.ligpartie + 3,
      MATCH(AK$1, _xlpm.joueurs, 0) + 1
    )
  ), ""
)</f>
        <v/>
      </c>
      <c r="AL215" t="str" cm="1">
        <f t="array" ref="AL215">IFERROR(
  _xlfn.LET(
    _xlpm.ligpartie, MATCH($B214, Donnees!$F:$F, 0),
    _xlpm.joueurs, INDEX(Donnees!$A:$Z, _xlpm.ligpartie+1, _xlfn.SEQUENCE(1, 4, 2)),
    INDEX(
      Donnees!$A:$Z,
      _xlpm.ligpartie + 3,
      MATCH(AL$1, _xlpm.joueurs, 0) + 1
    )
  ), ""
)</f>
        <v/>
      </c>
      <c r="AM215" t="str" cm="1">
        <f t="array" ref="AM215">IFERROR(
  _xlfn.LET(
    _xlpm.ligpartie, MATCH($B214, Donnees!$F:$F, 0),
    _xlpm.joueurs, INDEX(Donnees!$A:$Z, _xlpm.ligpartie+1, _xlfn.SEQUENCE(1, 4, 2)),
    INDEX(
      Donnees!$A:$Z,
      _xlpm.ligpartie + 3,
      MATCH(AM$1, _xlpm.joueurs, 0) + 1
    )
  ), ""
)</f>
        <v/>
      </c>
    </row>
    <row r="216" spans="1:39" x14ac:dyDescent="0.25">
      <c r="A216" t="s">
        <v>20</v>
      </c>
      <c r="D216" cm="1">
        <f t="array" ref="D216">_xlfn.LET(
  _xlpm.colj, _xlfn._xlws.FILTER(IF(ISNUMBER(215:215), COLUMN(215:215)), ISNUMBER(215:215)),
  _xlpm.elos, INDEX(214:214,1,_xlpm.colj),
  _xlpm.diffscale, Constantes!$B$2,
  IF(D215="",
    "",
    SUM(1/(1+POWER(10,-(D214-_xlpm.elos)/_xlpm.diffscale)))-0.5)
)</f>
        <v>2.1777050211954396</v>
      </c>
      <c r="E216" t="str" cm="1">
        <f t="array" ref="E216">_xlfn.LET(
  _xlpm.colj, _xlfn._xlws.FILTER(IF(ISNUMBER(215:215), COLUMN(215:215)), ISNUMBER(215:215)),
  _xlpm.elos, INDEX(214:214,1,_xlpm.colj),
  _xlpm.diffscale, Constantes!$B$2,
  IF(E215="",
    "",
    SUM(1/(1+POWER(10,-(E214-_xlpm.elos)/_xlpm.diffscale)))-0.5)
)</f>
        <v/>
      </c>
      <c r="F216" cm="1">
        <f t="array" ref="F216">_xlfn.LET(
  _xlpm.colj, _xlfn._xlws.FILTER(IF(ISNUMBER(215:215), COLUMN(215:215)), ISNUMBER(215:215)),
  _xlpm.elos, INDEX(214:214,1,_xlpm.colj),
  _xlpm.diffscale, Constantes!$B$2,
  IF(F215="",
    "",
    SUM(1/(1+POWER(10,-(F214-_xlpm.elos)/_xlpm.diffscale)))-0.5)
)</f>
        <v>0.91328545091529656</v>
      </c>
      <c r="G216" t="str" cm="1">
        <f t="array" ref="G216">_xlfn.LET(
  _xlpm.colj, _xlfn._xlws.FILTER(IF(ISNUMBER(215:215), COLUMN(215:215)), ISNUMBER(215:215)),
  _xlpm.elos, INDEX(214:214,1,_xlpm.colj),
  _xlpm.diffscale, Constantes!$B$2,
  IF(G215="",
    "",
    SUM(1/(1+POWER(10,-(G214-_xlpm.elos)/_xlpm.diffscale)))-0.5)
)</f>
        <v/>
      </c>
      <c r="H216" t="str" cm="1">
        <f t="array" ref="H216">_xlfn.LET(
  _xlpm.colj, _xlfn._xlws.FILTER(IF(ISNUMBER(215:215), COLUMN(215:215)), ISNUMBER(215:215)),
  _xlpm.elos, INDEX(214:214,1,_xlpm.colj),
  _xlpm.diffscale, Constantes!$B$2,
  IF(H215="",
    "",
    SUM(1/(1+POWER(10,-(H214-_xlpm.elos)/_xlpm.diffscale)))-0.5)
)</f>
        <v/>
      </c>
      <c r="I216" t="str" cm="1">
        <f t="array" ref="I216">_xlfn.LET(
  _xlpm.colj, _xlfn._xlws.FILTER(IF(ISNUMBER(215:215), COLUMN(215:215)), ISNUMBER(215:215)),
  _xlpm.elos, INDEX(214:214,1,_xlpm.colj),
  _xlpm.diffscale, Constantes!$B$2,
  IF(I215="",
    "",
    SUM(1/(1+POWER(10,-(I214-_xlpm.elos)/_xlpm.diffscale)))-0.5)
)</f>
        <v/>
      </c>
      <c r="J216" t="str" cm="1">
        <f t="array" ref="J216">_xlfn.LET(
  _xlpm.colj, _xlfn._xlws.FILTER(IF(ISNUMBER(215:215), COLUMN(215:215)), ISNUMBER(215:215)),
  _xlpm.elos, INDEX(214:214,1,_xlpm.colj),
  _xlpm.diffscale, Constantes!$B$2,
  IF(J215="",
    "",
    SUM(1/(1+POWER(10,-(J214-_xlpm.elos)/_xlpm.diffscale)))-0.5)
)</f>
        <v/>
      </c>
      <c r="K216" t="str" cm="1">
        <f t="array" ref="K216">_xlfn.LET(
  _xlpm.colj, _xlfn._xlws.FILTER(IF(ISNUMBER(215:215), COLUMN(215:215)), ISNUMBER(215:215)),
  _xlpm.elos, INDEX(214:214,1,_xlpm.colj),
  _xlpm.diffscale, Constantes!$B$2,
  IF(K215="",
    "",
    SUM(1/(1+POWER(10,-(K214-_xlpm.elos)/_xlpm.diffscale)))-0.5)
)</f>
        <v/>
      </c>
      <c r="L216" t="str" cm="1">
        <f t="array" ref="L216">_xlfn.LET(
  _xlpm.colj, _xlfn._xlws.FILTER(IF(ISNUMBER(215:215), COLUMN(215:215)), ISNUMBER(215:215)),
  _xlpm.elos, INDEX(214:214,1,_xlpm.colj),
  _xlpm.diffscale, Constantes!$B$2,
  IF(L215="",
    "",
    SUM(1/(1+POWER(10,-(L214-_xlpm.elos)/_xlpm.diffscale)))-0.5)
)</f>
        <v/>
      </c>
      <c r="M216" t="str" cm="1">
        <f t="array" ref="M216">_xlfn.LET(
  _xlpm.colj, _xlfn._xlws.FILTER(IF(ISNUMBER(215:215), COLUMN(215:215)), ISNUMBER(215:215)),
  _xlpm.elos, INDEX(214:214,1,_xlpm.colj),
  _xlpm.diffscale, Constantes!$B$2,
  IF(M215="",
    "",
    SUM(1/(1+POWER(10,-(M214-_xlpm.elos)/_xlpm.diffscale)))-0.5)
)</f>
        <v/>
      </c>
      <c r="N216" t="str" cm="1">
        <f t="array" ref="N216">_xlfn.LET(
  _xlpm.colj, _xlfn._xlws.FILTER(IF(ISNUMBER(215:215), COLUMN(215:215)), ISNUMBER(215:215)),
  _xlpm.elos, INDEX(214:214,1,_xlpm.colj),
  _xlpm.diffscale, Constantes!$B$2,
  IF(N215="",
    "",
    SUM(1/(1+POWER(10,-(N214-_xlpm.elos)/_xlpm.diffscale)))-0.5)
)</f>
        <v/>
      </c>
      <c r="O216" cm="1">
        <f t="array" ref="O216">_xlfn.LET(
  _xlpm.colj, _xlfn._xlws.FILTER(IF(ISNUMBER(215:215), COLUMN(215:215)), ISNUMBER(215:215)),
  _xlpm.elos, INDEX(214:214,1,_xlpm.colj),
  _xlpm.diffscale, Constantes!$B$2,
  IF(O215="",
    "",
    SUM(1/(1+POWER(10,-(O214-_xlpm.elos)/_xlpm.diffscale)))-0.5)
)</f>
        <v>1.6344325600659473</v>
      </c>
      <c r="P216" t="str" cm="1">
        <f t="array" ref="P216">_xlfn.LET(
  _xlpm.colj, _xlfn._xlws.FILTER(IF(ISNUMBER(215:215), COLUMN(215:215)), ISNUMBER(215:215)),
  _xlpm.elos, INDEX(214:214,1,_xlpm.colj),
  _xlpm.diffscale, Constantes!$B$2,
  IF(P215="",
    "",
    SUM(1/(1+POWER(10,-(P214-_xlpm.elos)/_xlpm.diffscale)))-0.5)
)</f>
        <v/>
      </c>
      <c r="Q216" t="str" cm="1">
        <f t="array" ref="Q216">_xlfn.LET(
  _xlpm.colj, _xlfn._xlws.FILTER(IF(ISNUMBER(215:215), COLUMN(215:215)), ISNUMBER(215:215)),
  _xlpm.elos, INDEX(214:214,1,_xlpm.colj),
  _xlpm.diffscale, Constantes!$B$2,
  IF(Q215="",
    "",
    SUM(1/(1+POWER(10,-(Q214-_xlpm.elos)/_xlpm.diffscale)))-0.5)
)</f>
        <v/>
      </c>
      <c r="R216" t="str" cm="1">
        <f t="array" ref="R216">_xlfn.LET(
  _xlpm.colj, _xlfn._xlws.FILTER(IF(ISNUMBER(215:215), COLUMN(215:215)), ISNUMBER(215:215)),
  _xlpm.elos, INDEX(214:214,1,_xlpm.colj),
  _xlpm.diffscale, Constantes!$B$2,
  IF(R215="",
    "",
    SUM(1/(1+POWER(10,-(R214-_xlpm.elos)/_xlpm.diffscale)))-0.5)
)</f>
        <v/>
      </c>
      <c r="S216" t="str" cm="1">
        <f t="array" ref="S216">_xlfn.LET(
  _xlpm.colj, _xlfn._xlws.FILTER(IF(ISNUMBER(215:215), COLUMN(215:215)), ISNUMBER(215:215)),
  _xlpm.elos, INDEX(214:214,1,_xlpm.colj),
  _xlpm.diffscale, Constantes!$B$2,
  IF(S215="",
    "",
    SUM(1/(1+POWER(10,-(S214-_xlpm.elos)/_xlpm.diffscale)))-0.5)
)</f>
        <v/>
      </c>
      <c r="T216" t="str" cm="1">
        <f t="array" ref="T216">_xlfn.LET(
  _xlpm.colj, _xlfn._xlws.FILTER(IF(ISNUMBER(215:215), COLUMN(215:215)), ISNUMBER(215:215)),
  _xlpm.elos, INDEX(214:214,1,_xlpm.colj),
  _xlpm.diffscale, Constantes!$B$2,
  IF(T215="",
    "",
    SUM(1/(1+POWER(10,-(T214-_xlpm.elos)/_xlpm.diffscale)))-0.5)
)</f>
        <v/>
      </c>
      <c r="U216" t="str" cm="1">
        <f t="array" ref="U216">_xlfn.LET(
  _xlpm.colj, _xlfn._xlws.FILTER(IF(ISNUMBER(215:215), COLUMN(215:215)), ISNUMBER(215:215)),
  _xlpm.elos, INDEX(214:214,1,_xlpm.colj),
  _xlpm.diffscale, Constantes!$B$2,
  IF(U215="",
    "",
    SUM(1/(1+POWER(10,-(U214-_xlpm.elos)/_xlpm.diffscale)))-0.5)
)</f>
        <v/>
      </c>
      <c r="V216" t="str" cm="1">
        <f t="array" ref="V216">_xlfn.LET(
  _xlpm.colj, _xlfn._xlws.FILTER(IF(ISNUMBER(215:215), COLUMN(215:215)), ISNUMBER(215:215)),
  _xlpm.elos, INDEX(214:214,1,_xlpm.colj),
  _xlpm.diffscale, Constantes!$B$2,
  IF(V215="",
    "",
    SUM(1/(1+POWER(10,-(V214-_xlpm.elos)/_xlpm.diffscale)))-0.5)
)</f>
        <v/>
      </c>
      <c r="W216" t="str" cm="1">
        <f t="array" ref="W216">_xlfn.LET(
  _xlpm.colj, _xlfn._xlws.FILTER(IF(ISNUMBER(215:215), COLUMN(215:215)), ISNUMBER(215:215)),
  _xlpm.elos, INDEX(214:214,1,_xlpm.colj),
  _xlpm.diffscale, Constantes!$B$2,
  IF(W215="",
    "",
    SUM(1/(1+POWER(10,-(W214-_xlpm.elos)/_xlpm.diffscale)))-0.5)
)</f>
        <v/>
      </c>
      <c r="X216" t="str" cm="1">
        <f t="array" ref="X216">_xlfn.LET(
  _xlpm.colj, _xlfn._xlws.FILTER(IF(ISNUMBER(215:215), COLUMN(215:215)), ISNUMBER(215:215)),
  _xlpm.elos, INDEX(214:214,1,_xlpm.colj),
  _xlpm.diffscale, Constantes!$B$2,
  IF(X215="",
    "",
    SUM(1/(1+POWER(10,-(X214-_xlpm.elos)/_xlpm.diffscale)))-0.5)
)</f>
        <v/>
      </c>
      <c r="Y216" t="str" cm="1">
        <f t="array" ref="Y216">_xlfn.LET(
  _xlpm.colj, _xlfn._xlws.FILTER(IF(ISNUMBER(215:215), COLUMN(215:215)), ISNUMBER(215:215)),
  _xlpm.elos, INDEX(214:214,1,_xlpm.colj),
  _xlpm.diffscale, Constantes!$B$2,
  IF(Y215="",
    "",
    SUM(1/(1+POWER(10,-(Y214-_xlpm.elos)/_xlpm.diffscale)))-0.5)
)</f>
        <v/>
      </c>
      <c r="Z216" t="str" cm="1">
        <f t="array" ref="Z216">_xlfn.LET(
  _xlpm.colj, _xlfn._xlws.FILTER(IF(ISNUMBER(215:215), COLUMN(215:215)), ISNUMBER(215:215)),
  _xlpm.elos, INDEX(214:214,1,_xlpm.colj),
  _xlpm.diffscale, Constantes!$B$2,
  IF(Z215="",
    "",
    SUM(1/(1+POWER(10,-(Z214-_xlpm.elos)/_xlpm.diffscale)))-0.5)
)</f>
        <v/>
      </c>
      <c r="AA216" cm="1">
        <f t="array" ref="AA216">_xlfn.LET(
  _xlpm.colj, _xlfn._xlws.FILTER(IF(ISNUMBER(215:215), COLUMN(215:215)), ISNUMBER(215:215)),
  _xlpm.elos, INDEX(214:214,1,_xlpm.colj),
  _xlpm.diffscale, Constantes!$B$2,
  IF(AA215="",
    "",
    SUM(1/(1+POWER(10,-(AA214-_xlpm.elos)/_xlpm.diffscale)))-0.5)
)</f>
        <v>1.2745769678233168</v>
      </c>
      <c r="AB216" t="str" cm="1">
        <f t="array" ref="AB216">_xlfn.LET(
  _xlpm.colj, _xlfn._xlws.FILTER(IF(ISNUMBER(215:215), COLUMN(215:215)), ISNUMBER(215:215)),
  _xlpm.elos, INDEX(214:214,1,_xlpm.colj),
  _xlpm.diffscale, Constantes!$B$2,
  IF(AB215="",
    "",
    SUM(1/(1+POWER(10,-(AB214-_xlpm.elos)/_xlpm.diffscale)))-0.5)
)</f>
        <v/>
      </c>
      <c r="AC216" t="str" cm="1">
        <f t="array" ref="AC216">_xlfn.LET(
  _xlpm.colj, _xlfn._xlws.FILTER(IF(ISNUMBER(215:215), COLUMN(215:215)), ISNUMBER(215:215)),
  _xlpm.elos, INDEX(214:214,1,_xlpm.colj),
  _xlpm.diffscale, Constantes!$B$2,
  IF(AC215="",
    "",
    SUM(1/(1+POWER(10,-(AC214-_xlpm.elos)/_xlpm.diffscale)))-0.5)
)</f>
        <v/>
      </c>
      <c r="AD216" t="str" cm="1">
        <f t="array" ref="AD216">_xlfn.LET(
  _xlpm.colj, _xlfn._xlws.FILTER(IF(ISNUMBER(215:215), COLUMN(215:215)), ISNUMBER(215:215)),
  _xlpm.elos, INDEX(214:214,1,_xlpm.colj),
  _xlpm.diffscale, Constantes!$B$2,
  IF(AD215="",
    "",
    SUM(1/(1+POWER(10,-(AD214-_xlpm.elos)/_xlpm.diffscale)))-0.5)
)</f>
        <v/>
      </c>
      <c r="AE216" t="str" cm="1">
        <f t="array" ref="AE216">_xlfn.LET(
  _xlpm.colj, _xlfn._xlws.FILTER(IF(ISNUMBER(215:215), COLUMN(215:215)), ISNUMBER(215:215)),
  _xlpm.elos, INDEX(214:214,1,_xlpm.colj),
  _xlpm.diffscale, Constantes!$B$2,
  IF(AE215="",
    "",
    SUM(1/(1+POWER(10,-(AE214-_xlpm.elos)/_xlpm.diffscale)))-0.5)
)</f>
        <v/>
      </c>
      <c r="AF216" t="str" cm="1">
        <f t="array" ref="AF216">_xlfn.LET(
  _xlpm.colj, _xlfn._xlws.FILTER(IF(ISNUMBER(215:215), COLUMN(215:215)), ISNUMBER(215:215)),
  _xlpm.elos, INDEX(214:214,1,_xlpm.colj),
  _xlpm.diffscale, Constantes!$B$2,
  IF(AF215="",
    "",
    SUM(1/(1+POWER(10,-(AF214-_xlpm.elos)/_xlpm.diffscale)))-0.5)
)</f>
        <v/>
      </c>
      <c r="AG216" t="str" cm="1">
        <f t="array" ref="AG216">_xlfn.LET(
  _xlpm.colj, _xlfn._xlws.FILTER(IF(ISNUMBER(215:215), COLUMN(215:215)), ISNUMBER(215:215)),
  _xlpm.elos, INDEX(214:214,1,_xlpm.colj),
  _xlpm.diffscale, Constantes!$B$2,
  IF(AG215="",
    "",
    SUM(1/(1+POWER(10,-(AG214-_xlpm.elos)/_xlpm.diffscale)))-0.5)
)</f>
        <v/>
      </c>
      <c r="AH216" t="str" cm="1">
        <f t="array" ref="AH216">_xlfn.LET(
  _xlpm.colj, _xlfn._xlws.FILTER(IF(ISNUMBER(215:215), COLUMN(215:215)), ISNUMBER(215:215)),
  _xlpm.elos, INDEX(214:214,1,_xlpm.colj),
  _xlpm.diffscale, Constantes!$B$2,
  IF(AH215="",
    "",
    SUM(1/(1+POWER(10,-(AH214-_xlpm.elos)/_xlpm.diffscale)))-0.5)
)</f>
        <v/>
      </c>
      <c r="AI216" t="str" cm="1">
        <f t="array" ref="AI216">_xlfn.LET(
  _xlpm.colj, _xlfn._xlws.FILTER(IF(ISNUMBER(215:215), COLUMN(215:215)), ISNUMBER(215:215)),
  _xlpm.elos, INDEX(214:214,1,_xlpm.colj),
  _xlpm.diffscale, Constantes!$B$2,
  IF(AI215="",
    "",
    SUM(1/(1+POWER(10,-(AI214-_xlpm.elos)/_xlpm.diffscale)))-0.5)
)</f>
        <v/>
      </c>
      <c r="AJ216" t="str" cm="1">
        <f t="array" ref="AJ216">_xlfn.LET(
  _xlpm.colj, _xlfn._xlws.FILTER(IF(ISNUMBER(215:215), COLUMN(215:215)), ISNUMBER(215:215)),
  _xlpm.elos, INDEX(214:214,1,_xlpm.colj),
  _xlpm.diffscale, Constantes!$B$2,
  IF(AJ215="",
    "",
    SUM(1/(1+POWER(10,-(AJ214-_xlpm.elos)/_xlpm.diffscale)))-0.5)
)</f>
        <v/>
      </c>
      <c r="AK216" t="str" cm="1">
        <f t="array" ref="AK216">_xlfn.LET(
  _xlpm.colj, _xlfn._xlws.FILTER(IF(ISNUMBER(215:215), COLUMN(215:215)), ISNUMBER(215:215)),
  _xlpm.elos, INDEX(214:214,1,_xlpm.colj),
  _xlpm.diffscale, Constantes!$B$2,
  IF(AK215="",
    "",
    SUM(1/(1+POWER(10,-(AK214-_xlpm.elos)/_xlpm.diffscale)))-0.5)
)</f>
        <v/>
      </c>
      <c r="AL216" t="str" cm="1">
        <f t="array" ref="AL216">_xlfn.LET(
  _xlpm.colj, _xlfn._xlws.FILTER(IF(ISNUMBER(215:215), COLUMN(215:215)), ISNUMBER(215:215)),
  _xlpm.elos, INDEX(214:214,1,_xlpm.colj),
  _xlpm.diffscale, Constantes!$B$2,
  IF(AL215="",
    "",
    SUM(1/(1+POWER(10,-(AL214-_xlpm.elos)/_xlpm.diffscale)))-0.5)
)</f>
        <v/>
      </c>
      <c r="AM216" t="str" cm="1">
        <f t="array" ref="AM216">_xlfn.LET(
  _xlpm.colj, _xlfn._xlws.FILTER(IF(ISNUMBER(215:215), COLUMN(215:215)), ISNUMBER(215:215)),
  _xlpm.elos, INDEX(214:214,1,_xlpm.colj),
  _xlpm.diffscale, Constantes!$B$2,
  IF(AM215="",
    "",
    SUM(1/(1+POWER(10,-(AM214-_xlpm.elos)/_xlpm.diffscale)))-0.5)
)</f>
        <v/>
      </c>
    </row>
    <row r="217" spans="1:39" x14ac:dyDescent="0.25">
      <c r="A217" t="s">
        <v>22</v>
      </c>
      <c r="D217" cm="1">
        <f t="array" ref="D217">_xlfn.LET(
  _xlpm.K, Constantes!$B$3,
  _xlpm.Knewgain, Constantes!$B$4,
  _xlpm.Knewscale, Constantes!$B$5,
  _xlpm.ptstables, INDEX(D:D, _xlfn.SEQUENCE(COUNTA($C$2:$C217), 1, 3, 4)),
  _xlpm.nbparties, COUNTA(_xlfn._xlws.FILTER(_xlpm.ptstables, _xlpm.ptstables &lt;&gt; "")),
  _xlpm.coef, _xlpm.K + _xlpm.Knewgain / (_xlpm.Knewscale + _xlpm.nbparties),
  IF(D215="",
    "",
    _xlpm.coef * (D215-D216))
)</f>
        <v>-4.1887612138925059</v>
      </c>
      <c r="E217" t="str" cm="1">
        <f t="array" ref="E217">_xlfn.LET(
  _xlpm.K, Constantes!$B$3,
  _xlpm.Knewgain, Constantes!$B$4,
  _xlpm.Knewscale, Constantes!$B$5,
  _xlpm.ptstables, INDEX(E:E, _xlfn.SEQUENCE(COUNTA($C$2:$C217), 1, 3, 4)),
  _xlpm.nbparties, COUNTA(_xlfn._xlws.FILTER(_xlpm.ptstables, _xlpm.ptstables &lt;&gt; "")),
  _xlpm.coef, _xlpm.K + _xlpm.Knewgain / (_xlpm.Knewscale + _xlpm.nbparties),
  IF(E215="",
    "",
    _xlpm.coef * (E215-E216))
)</f>
        <v/>
      </c>
      <c r="F217" cm="1">
        <f t="array" ref="F217">_xlfn.LET(
  _xlpm.K, Constantes!$B$3,
  _xlpm.Knewgain, Constantes!$B$4,
  _xlpm.Knewscale, Constantes!$B$5,
  _xlpm.ptstables, INDEX(F:F, _xlfn.SEQUENCE(COUNTA($C$2:$C217), 1, 3, 4)),
  _xlpm.nbparties, COUNTA(_xlfn._xlws.FILTER(_xlpm.ptstables, _xlpm.ptstables &lt;&gt; "")),
  _xlpm.coef, _xlpm.K + _xlpm.Knewgain / (_xlpm.Knewscale + _xlpm.nbparties),
  IF(F215="",
    "",
    _xlpm.coef * (F215-F216))
)</f>
        <v>-20.951842697468567</v>
      </c>
      <c r="G217" t="str" cm="1">
        <f t="array" ref="G217">_xlfn.LET(
  _xlpm.K, Constantes!$B$3,
  _xlpm.Knewgain, Constantes!$B$4,
  _xlpm.Knewscale, Constantes!$B$5,
  _xlpm.ptstables, INDEX(G:G, _xlfn.SEQUENCE(COUNTA($C$2:$C217), 1, 3, 4)),
  _xlpm.nbparties, COUNTA(_xlfn._xlws.FILTER(_xlpm.ptstables, _xlpm.ptstables &lt;&gt; "")),
  _xlpm.coef, _xlpm.K + _xlpm.Knewgain / (_xlpm.Knewscale + _xlpm.nbparties),
  IF(G215="",
    "",
    _xlpm.coef * (G215-G216))
)</f>
        <v/>
      </c>
      <c r="H217" t="str" cm="1">
        <f t="array" ref="H217">_xlfn.LET(
  _xlpm.K, Constantes!$B$3,
  _xlpm.Knewgain, Constantes!$B$4,
  _xlpm.Knewscale, Constantes!$B$5,
  _xlpm.ptstables, INDEX(H:H, _xlfn.SEQUENCE(COUNTA($C$2:$C217), 1, 3, 4)),
  _xlpm.nbparties, COUNTA(_xlfn._xlws.FILTER(_xlpm.ptstables, _xlpm.ptstables &lt;&gt; "")),
  _xlpm.coef, _xlpm.K + _xlpm.Knewgain / (_xlpm.Knewscale + _xlpm.nbparties),
  IF(H215="",
    "",
    _xlpm.coef * (H215-H216))
)</f>
        <v/>
      </c>
      <c r="I217" t="str" cm="1">
        <f t="array" ref="I217">_xlfn.LET(
  _xlpm.K, Constantes!$B$3,
  _xlpm.Knewgain, Constantes!$B$4,
  _xlpm.Knewscale, Constantes!$B$5,
  _xlpm.ptstables, INDEX(I:I, _xlfn.SEQUENCE(COUNTA($C$2:$C217), 1, 3, 4)),
  _xlpm.nbparties, COUNTA(_xlfn._xlws.FILTER(_xlpm.ptstables, _xlpm.ptstables &lt;&gt; "")),
  _xlpm.coef, _xlpm.K + _xlpm.Knewgain / (_xlpm.Knewscale + _xlpm.nbparties),
  IF(I215="",
    "",
    _xlpm.coef * (I215-I216))
)</f>
        <v/>
      </c>
      <c r="J217" t="str" cm="1">
        <f t="array" ref="J217">_xlfn.LET(
  _xlpm.K, Constantes!$B$3,
  _xlpm.Knewgain, Constantes!$B$4,
  _xlpm.Knewscale, Constantes!$B$5,
  _xlpm.ptstables, INDEX(J:J, _xlfn.SEQUENCE(COUNTA($C$2:$C217), 1, 3, 4)),
  _xlpm.nbparties, COUNTA(_xlfn._xlws.FILTER(_xlpm.ptstables, _xlpm.ptstables &lt;&gt; "")),
  _xlpm.coef, _xlpm.K + _xlpm.Knewgain / (_xlpm.Knewscale + _xlpm.nbparties),
  IF(J215="",
    "",
    _xlpm.coef * (J215-J216))
)</f>
        <v/>
      </c>
      <c r="K217" t="str" cm="1">
        <f t="array" ref="K217">_xlfn.LET(
  _xlpm.K, Constantes!$B$3,
  _xlpm.Knewgain, Constantes!$B$4,
  _xlpm.Knewscale, Constantes!$B$5,
  _xlpm.ptstables, INDEX(K:K, _xlfn.SEQUENCE(COUNTA($C$2:$C217), 1, 3, 4)),
  _xlpm.nbparties, COUNTA(_xlfn._xlws.FILTER(_xlpm.ptstables, _xlpm.ptstables &lt;&gt; "")),
  _xlpm.coef, _xlpm.K + _xlpm.Knewgain / (_xlpm.Knewscale + _xlpm.nbparties),
  IF(K215="",
    "",
    _xlpm.coef * (K215-K216))
)</f>
        <v/>
      </c>
      <c r="L217" t="str" cm="1">
        <f t="array" ref="L217">_xlfn.LET(
  _xlpm.K, Constantes!$B$3,
  _xlpm.Knewgain, Constantes!$B$4,
  _xlpm.Knewscale, Constantes!$B$5,
  _xlpm.ptstables, INDEX(L:L, _xlfn.SEQUENCE(COUNTA($C$2:$C217), 1, 3, 4)),
  _xlpm.nbparties, COUNTA(_xlfn._xlws.FILTER(_xlpm.ptstables, _xlpm.ptstables &lt;&gt; "")),
  _xlpm.coef, _xlpm.K + _xlpm.Knewgain / (_xlpm.Knewscale + _xlpm.nbparties),
  IF(L215="",
    "",
    _xlpm.coef * (L215-L216))
)</f>
        <v/>
      </c>
      <c r="M217" t="str" cm="1">
        <f t="array" ref="M217">_xlfn.LET(
  _xlpm.K, Constantes!$B$3,
  _xlpm.Knewgain, Constantes!$B$4,
  _xlpm.Knewscale, Constantes!$B$5,
  _xlpm.ptstables, INDEX(M:M, _xlfn.SEQUENCE(COUNTA($C$2:$C217), 1, 3, 4)),
  _xlpm.nbparties, COUNTA(_xlfn._xlws.FILTER(_xlpm.ptstables, _xlpm.ptstables &lt;&gt; "")),
  _xlpm.coef, _xlpm.K + _xlpm.Knewgain / (_xlpm.Knewscale + _xlpm.nbparties),
  IF(M215="",
    "",
    _xlpm.coef * (M215-M216))
)</f>
        <v/>
      </c>
      <c r="N217" t="str" cm="1">
        <f t="array" ref="N217">_xlfn.LET(
  _xlpm.K, Constantes!$B$3,
  _xlpm.Knewgain, Constantes!$B$4,
  _xlpm.Knewscale, Constantes!$B$5,
  _xlpm.ptstables, INDEX(N:N, _xlfn.SEQUENCE(COUNTA($C$2:$C217), 1, 3, 4)),
  _xlpm.nbparties, COUNTA(_xlfn._xlws.FILTER(_xlpm.ptstables, _xlpm.ptstables &lt;&gt; "")),
  _xlpm.coef, _xlpm.K + _xlpm.Knewgain / (_xlpm.Knewscale + _xlpm.nbparties),
  IF(N215="",
    "",
    _xlpm.coef * (N215-N216))
)</f>
        <v/>
      </c>
      <c r="O217" cm="1">
        <f t="array" ref="O217">_xlfn.LET(
  _xlpm.K, Constantes!$B$3,
  _xlpm.Knewgain, Constantes!$B$4,
  _xlpm.Knewscale, Constantes!$B$5,
  _xlpm.ptstables, INDEX(O:O, _xlfn.SEQUENCE(COUNTA($C$2:$C217), 1, 3, 4)),
  _xlpm.nbparties, COUNTA(_xlfn._xlws.FILTER(_xlpm.ptstables, _xlpm.ptstables &lt;&gt; "")),
  _xlpm.coef, _xlpm.K + _xlpm.Knewgain / (_xlpm.Knewscale + _xlpm.nbparties),
  IF(O215="",
    "",
    _xlpm.coef * (O215-O216))
)</f>
        <v>-17.220312344647141</v>
      </c>
      <c r="P217" t="str" cm="1">
        <f t="array" ref="P217">_xlfn.LET(
  _xlpm.K, Constantes!$B$3,
  _xlpm.Knewgain, Constantes!$B$4,
  _xlpm.Knewscale, Constantes!$B$5,
  _xlpm.ptstables, INDEX(P:P, _xlfn.SEQUENCE(COUNTA($C$2:$C217), 1, 3, 4)),
  _xlpm.nbparties, COUNTA(_xlfn._xlws.FILTER(_xlpm.ptstables, _xlpm.ptstables &lt;&gt; "")),
  _xlpm.coef, _xlpm.K + _xlpm.Knewgain / (_xlpm.Knewscale + _xlpm.nbparties),
  IF(P215="",
    "",
    _xlpm.coef * (P215-P216))
)</f>
        <v/>
      </c>
      <c r="Q217" t="str" cm="1">
        <f t="array" ref="Q217">_xlfn.LET(
  _xlpm.K, Constantes!$B$3,
  _xlpm.Knewgain, Constantes!$B$4,
  _xlpm.Knewscale, Constantes!$B$5,
  _xlpm.ptstables, INDEX(Q:Q, _xlfn.SEQUENCE(COUNTA($C$2:$C217), 1, 3, 4)),
  _xlpm.nbparties, COUNTA(_xlfn._xlws.FILTER(_xlpm.ptstables, _xlpm.ptstables &lt;&gt; "")),
  _xlpm.coef, _xlpm.K + _xlpm.Knewgain / (_xlpm.Knewscale + _xlpm.nbparties),
  IF(Q215="",
    "",
    _xlpm.coef * (Q215-Q216))
)</f>
        <v/>
      </c>
      <c r="R217" t="str" cm="1">
        <f t="array" ref="R217">_xlfn.LET(
  _xlpm.K, Constantes!$B$3,
  _xlpm.Knewgain, Constantes!$B$4,
  _xlpm.Knewscale, Constantes!$B$5,
  _xlpm.ptstables, INDEX(R:R, _xlfn.SEQUENCE(COUNTA($C$2:$C217), 1, 3, 4)),
  _xlpm.nbparties, COUNTA(_xlfn._xlws.FILTER(_xlpm.ptstables, _xlpm.ptstables &lt;&gt; "")),
  _xlpm.coef, _xlpm.K + _xlpm.Knewgain / (_xlpm.Knewscale + _xlpm.nbparties),
  IF(R215="",
    "",
    _xlpm.coef * (R215-R216))
)</f>
        <v/>
      </c>
      <c r="S217" t="str" cm="1">
        <f t="array" ref="S217">_xlfn.LET(
  _xlpm.K, Constantes!$B$3,
  _xlpm.Knewgain, Constantes!$B$4,
  _xlpm.Knewscale, Constantes!$B$5,
  _xlpm.ptstables, INDEX(S:S, _xlfn.SEQUENCE(COUNTA($C$2:$C217), 1, 3, 4)),
  _xlpm.nbparties, COUNTA(_xlfn._xlws.FILTER(_xlpm.ptstables, _xlpm.ptstables &lt;&gt; "")),
  _xlpm.coef, _xlpm.K + _xlpm.Knewgain / (_xlpm.Knewscale + _xlpm.nbparties),
  IF(S215="",
    "",
    _xlpm.coef * (S215-S216))
)</f>
        <v/>
      </c>
      <c r="T217" t="str" cm="1">
        <f t="array" ref="T217">_xlfn.LET(
  _xlpm.K, Constantes!$B$3,
  _xlpm.Knewgain, Constantes!$B$4,
  _xlpm.Knewscale, Constantes!$B$5,
  _xlpm.ptstables, INDEX(T:T, _xlfn.SEQUENCE(COUNTA($C$2:$C217), 1, 3, 4)),
  _xlpm.nbparties, COUNTA(_xlfn._xlws.FILTER(_xlpm.ptstables, _xlpm.ptstables &lt;&gt; "")),
  _xlpm.coef, _xlpm.K + _xlpm.Knewgain / (_xlpm.Knewscale + _xlpm.nbparties),
  IF(T215="",
    "",
    _xlpm.coef * (T215-T216))
)</f>
        <v/>
      </c>
      <c r="U217" t="str" cm="1">
        <f t="array" ref="U217">_xlfn.LET(
  _xlpm.K, Constantes!$B$3,
  _xlpm.Knewgain, Constantes!$B$4,
  _xlpm.Knewscale, Constantes!$B$5,
  _xlpm.ptstables, INDEX(U:U, _xlfn.SEQUENCE(COUNTA($C$2:$C217), 1, 3, 4)),
  _xlpm.nbparties, COUNTA(_xlfn._xlws.FILTER(_xlpm.ptstables, _xlpm.ptstables &lt;&gt; "")),
  _xlpm.coef, _xlpm.K + _xlpm.Knewgain / (_xlpm.Knewscale + _xlpm.nbparties),
  IF(U215="",
    "",
    _xlpm.coef * (U215-U216))
)</f>
        <v/>
      </c>
      <c r="V217" t="str" cm="1">
        <f t="array" ref="V217">_xlfn.LET(
  _xlpm.K, Constantes!$B$3,
  _xlpm.Knewgain, Constantes!$B$4,
  _xlpm.Knewscale, Constantes!$B$5,
  _xlpm.ptstables, INDEX(V:V, _xlfn.SEQUENCE(COUNTA($C$2:$C217), 1, 3, 4)),
  _xlpm.nbparties, COUNTA(_xlfn._xlws.FILTER(_xlpm.ptstables, _xlpm.ptstables &lt;&gt; "")),
  _xlpm.coef, _xlpm.K + _xlpm.Knewgain / (_xlpm.Knewscale + _xlpm.nbparties),
  IF(V215="",
    "",
    _xlpm.coef * (V215-V216))
)</f>
        <v/>
      </c>
      <c r="W217" t="str" cm="1">
        <f t="array" ref="W217">_xlfn.LET(
  _xlpm.K, Constantes!$B$3,
  _xlpm.Knewgain, Constantes!$B$4,
  _xlpm.Knewscale, Constantes!$B$5,
  _xlpm.ptstables, INDEX(W:W, _xlfn.SEQUENCE(COUNTA($C$2:$C217), 1, 3, 4)),
  _xlpm.nbparties, COUNTA(_xlfn._xlws.FILTER(_xlpm.ptstables, _xlpm.ptstables &lt;&gt; "")),
  _xlpm.coef, _xlpm.K + _xlpm.Knewgain / (_xlpm.Knewscale + _xlpm.nbparties),
  IF(W215="",
    "",
    _xlpm.coef * (W215-W216))
)</f>
        <v/>
      </c>
      <c r="X217" t="str" cm="1">
        <f t="array" ref="X217">_xlfn.LET(
  _xlpm.K, Constantes!$B$3,
  _xlpm.Knewgain, Constantes!$B$4,
  _xlpm.Knewscale, Constantes!$B$5,
  _xlpm.ptstables, INDEX(X:X, _xlfn.SEQUENCE(COUNTA($C$2:$C217), 1, 3, 4)),
  _xlpm.nbparties, COUNTA(_xlfn._xlws.FILTER(_xlpm.ptstables, _xlpm.ptstables &lt;&gt; "")),
  _xlpm.coef, _xlpm.K + _xlpm.Knewgain / (_xlpm.Knewscale + _xlpm.nbparties),
  IF(X215="",
    "",
    _xlpm.coef * (X215-X216))
)</f>
        <v/>
      </c>
      <c r="Y217" t="str" cm="1">
        <f t="array" ref="Y217">_xlfn.LET(
  _xlpm.K, Constantes!$B$3,
  _xlpm.Knewgain, Constantes!$B$4,
  _xlpm.Knewscale, Constantes!$B$5,
  _xlpm.ptstables, INDEX(Y:Y, _xlfn.SEQUENCE(COUNTA($C$2:$C217), 1, 3, 4)),
  _xlpm.nbparties, COUNTA(_xlfn._xlws.FILTER(_xlpm.ptstables, _xlpm.ptstables &lt;&gt; "")),
  _xlpm.coef, _xlpm.K + _xlpm.Knewgain / (_xlpm.Knewscale + _xlpm.nbparties),
  IF(Y215="",
    "",
    _xlpm.coef * (Y215-Y216))
)</f>
        <v/>
      </c>
      <c r="Z217" t="str" cm="1">
        <f t="array" ref="Z217">_xlfn.LET(
  _xlpm.K, Constantes!$B$3,
  _xlpm.Knewgain, Constantes!$B$4,
  _xlpm.Knewscale, Constantes!$B$5,
  _xlpm.ptstables, INDEX(Z:Z, _xlfn.SEQUENCE(COUNTA($C$2:$C217), 1, 3, 4)),
  _xlpm.nbparties, COUNTA(_xlfn._xlws.FILTER(_xlpm.ptstables, _xlpm.ptstables &lt;&gt; "")),
  _xlpm.coef, _xlpm.K + _xlpm.Knewgain / (_xlpm.Knewscale + _xlpm.nbparties),
  IF(Z215="",
    "",
    _xlpm.coef * (Z215-Z216))
)</f>
        <v/>
      </c>
      <c r="AA217" cm="1">
        <f t="array" ref="AA217">_xlfn.LET(
  _xlpm.K, Constantes!$B$3,
  _xlpm.Knewgain, Constantes!$B$4,
  _xlpm.Knewscale, Constantes!$B$5,
  _xlpm.ptstables, INDEX(AA:AA, _xlfn.SEQUENCE(COUNTA($C$2:$C217), 1, 3, 4)),
  _xlpm.nbparties, COUNTA(_xlfn._xlws.FILTER(_xlpm.ptstables, _xlpm.ptstables &lt;&gt; "")),
  _xlpm.coef, _xlpm.K + _xlpm.Knewgain / (_xlpm.Knewscale + _xlpm.nbparties),
  IF(AA215="",
    "",
    _xlpm.coef * (AA215-AA216))
)</f>
        <v>51.7626909653005</v>
      </c>
      <c r="AB217" t="str" cm="1">
        <f t="array" ref="AB217">_xlfn.LET(
  _xlpm.K, Constantes!$B$3,
  _xlpm.Knewgain, Constantes!$B$4,
  _xlpm.Knewscale, Constantes!$B$5,
  _xlpm.ptstables, INDEX(AB:AB, _xlfn.SEQUENCE(COUNTA($C$2:$C217), 1, 3, 4)),
  _xlpm.nbparties, COUNTA(_xlfn._xlws.FILTER(_xlpm.ptstables, _xlpm.ptstables &lt;&gt; "")),
  _xlpm.coef, _xlpm.K + _xlpm.Knewgain / (_xlpm.Knewscale + _xlpm.nbparties),
  IF(AB215="",
    "",
    _xlpm.coef * (AB215-AB216))
)</f>
        <v/>
      </c>
      <c r="AC217" t="str" cm="1">
        <f t="array" ref="AC217">_xlfn.LET(
  _xlpm.K, Constantes!$B$3,
  _xlpm.Knewgain, Constantes!$B$4,
  _xlpm.Knewscale, Constantes!$B$5,
  _xlpm.ptstables, INDEX(AC:AC, _xlfn.SEQUENCE(COUNTA($C$2:$C217), 1, 3, 4)),
  _xlpm.nbparties, COUNTA(_xlfn._xlws.FILTER(_xlpm.ptstables, _xlpm.ptstables &lt;&gt; "")),
  _xlpm.coef, _xlpm.K + _xlpm.Knewgain / (_xlpm.Knewscale + _xlpm.nbparties),
  IF(AC215="",
    "",
    _xlpm.coef * (AC215-AC216))
)</f>
        <v/>
      </c>
      <c r="AD217" t="str" cm="1">
        <f t="array" ref="AD217">_xlfn.LET(
  _xlpm.K, Constantes!$B$3,
  _xlpm.Knewgain, Constantes!$B$4,
  _xlpm.Knewscale, Constantes!$B$5,
  _xlpm.ptstables, INDEX(AD:AD, _xlfn.SEQUENCE(COUNTA($C$2:$C217), 1, 3, 4)),
  _xlpm.nbparties, COUNTA(_xlfn._xlws.FILTER(_xlpm.ptstables, _xlpm.ptstables &lt;&gt; "")),
  _xlpm.coef, _xlpm.K + _xlpm.Knewgain / (_xlpm.Knewscale + _xlpm.nbparties),
  IF(AD215="",
    "",
    _xlpm.coef * (AD215-AD216))
)</f>
        <v/>
      </c>
      <c r="AE217" t="str" cm="1">
        <f t="array" ref="AE217">_xlfn.LET(
  _xlpm.K, Constantes!$B$3,
  _xlpm.Knewgain, Constantes!$B$4,
  _xlpm.Knewscale, Constantes!$B$5,
  _xlpm.ptstables, INDEX(AE:AE, _xlfn.SEQUENCE(COUNTA($C$2:$C217), 1, 3, 4)),
  _xlpm.nbparties, COUNTA(_xlfn._xlws.FILTER(_xlpm.ptstables, _xlpm.ptstables &lt;&gt; "")),
  _xlpm.coef, _xlpm.K + _xlpm.Knewgain / (_xlpm.Knewscale + _xlpm.nbparties),
  IF(AE215="",
    "",
    _xlpm.coef * (AE215-AE216))
)</f>
        <v/>
      </c>
      <c r="AF217" t="str" cm="1">
        <f t="array" ref="AF217">_xlfn.LET(
  _xlpm.K, Constantes!$B$3,
  _xlpm.Knewgain, Constantes!$B$4,
  _xlpm.Knewscale, Constantes!$B$5,
  _xlpm.ptstables, INDEX(AF:AF, _xlfn.SEQUENCE(COUNTA($C$2:$C217), 1, 3, 4)),
  _xlpm.nbparties, COUNTA(_xlfn._xlws.FILTER(_xlpm.ptstables, _xlpm.ptstables &lt;&gt; "")),
  _xlpm.coef, _xlpm.K + _xlpm.Knewgain / (_xlpm.Knewscale + _xlpm.nbparties),
  IF(AF215="",
    "",
    _xlpm.coef * (AF215-AF216))
)</f>
        <v/>
      </c>
      <c r="AG217" t="str" cm="1">
        <f t="array" ref="AG217">_xlfn.LET(
  _xlpm.K, Constantes!$B$3,
  _xlpm.Knewgain, Constantes!$B$4,
  _xlpm.Knewscale, Constantes!$B$5,
  _xlpm.ptstables, INDEX(AG:AG, _xlfn.SEQUENCE(COUNTA($C$2:$C217), 1, 3, 4)),
  _xlpm.nbparties, COUNTA(_xlfn._xlws.FILTER(_xlpm.ptstables, _xlpm.ptstables &lt;&gt; "")),
  _xlpm.coef, _xlpm.K + _xlpm.Knewgain / (_xlpm.Knewscale + _xlpm.nbparties),
  IF(AG215="",
    "",
    _xlpm.coef * (AG215-AG216))
)</f>
        <v/>
      </c>
      <c r="AH217" t="str" cm="1">
        <f t="array" ref="AH217">_xlfn.LET(
  _xlpm.K, Constantes!$B$3,
  _xlpm.Knewgain, Constantes!$B$4,
  _xlpm.Knewscale, Constantes!$B$5,
  _xlpm.ptstables, INDEX(AH:AH, _xlfn.SEQUENCE(COUNTA($C$2:$C217), 1, 3, 4)),
  _xlpm.nbparties, COUNTA(_xlfn._xlws.FILTER(_xlpm.ptstables, _xlpm.ptstables &lt;&gt; "")),
  _xlpm.coef, _xlpm.K + _xlpm.Knewgain / (_xlpm.Knewscale + _xlpm.nbparties),
  IF(AH215="",
    "",
    _xlpm.coef * (AH215-AH216))
)</f>
        <v/>
      </c>
      <c r="AI217" t="str" cm="1">
        <f t="array" ref="AI217">_xlfn.LET(
  _xlpm.K, Constantes!$B$3,
  _xlpm.Knewgain, Constantes!$B$4,
  _xlpm.Knewscale, Constantes!$B$5,
  _xlpm.ptstables, INDEX(AI:AI, _xlfn.SEQUENCE(COUNTA($C$2:$C217), 1, 3, 4)),
  _xlpm.nbparties, COUNTA(_xlfn._xlws.FILTER(_xlpm.ptstables, _xlpm.ptstables &lt;&gt; "")),
  _xlpm.coef, _xlpm.K + _xlpm.Knewgain / (_xlpm.Knewscale + _xlpm.nbparties),
  IF(AI215="",
    "",
    _xlpm.coef * (AI215-AI216))
)</f>
        <v/>
      </c>
      <c r="AJ217" t="str" cm="1">
        <f t="array" ref="AJ217">_xlfn.LET(
  _xlpm.K, Constantes!$B$3,
  _xlpm.Knewgain, Constantes!$B$4,
  _xlpm.Knewscale, Constantes!$B$5,
  _xlpm.ptstables, INDEX(AJ:AJ, _xlfn.SEQUENCE(COUNTA($C$2:$C217), 1, 3, 4)),
  _xlpm.nbparties, COUNTA(_xlfn._xlws.FILTER(_xlpm.ptstables, _xlpm.ptstables &lt;&gt; "")),
  _xlpm.coef, _xlpm.K + _xlpm.Knewgain / (_xlpm.Knewscale + _xlpm.nbparties),
  IF(AJ215="",
    "",
    _xlpm.coef * (AJ215-AJ216))
)</f>
        <v/>
      </c>
      <c r="AK217" t="str" cm="1">
        <f t="array" ref="AK217">_xlfn.LET(
  _xlpm.K, Constantes!$B$3,
  _xlpm.Knewgain, Constantes!$B$4,
  _xlpm.Knewscale, Constantes!$B$5,
  _xlpm.ptstables, INDEX(AK:AK, _xlfn.SEQUENCE(COUNTA($C$2:$C217), 1, 3, 4)),
  _xlpm.nbparties, COUNTA(_xlfn._xlws.FILTER(_xlpm.ptstables, _xlpm.ptstables &lt;&gt; "")),
  _xlpm.coef, _xlpm.K + _xlpm.Knewgain / (_xlpm.Knewscale + _xlpm.nbparties),
  IF(AK215="",
    "",
    _xlpm.coef * (AK215-AK216))
)</f>
        <v/>
      </c>
      <c r="AL217" t="str" cm="1">
        <f t="array" ref="AL217">_xlfn.LET(
  _xlpm.K, Constantes!$B$3,
  _xlpm.Knewgain, Constantes!$B$4,
  _xlpm.Knewscale, Constantes!$B$5,
  _xlpm.ptstables, INDEX(AL:AL, _xlfn.SEQUENCE(COUNTA($C$2:$C217), 1, 3, 4)),
  _xlpm.nbparties, COUNTA(_xlfn._xlws.FILTER(_xlpm.ptstables, _xlpm.ptstables &lt;&gt; "")),
  _xlpm.coef, _xlpm.K + _xlpm.Knewgain / (_xlpm.Knewscale + _xlpm.nbparties),
  IF(AL215="",
    "",
    _xlpm.coef * (AL215-AL216))
)</f>
        <v/>
      </c>
      <c r="AM217" t="str" cm="1">
        <f t="array" ref="AM217">_xlfn.LET(
  _xlpm.K, Constantes!$B$3,
  _xlpm.Knewgain, Constantes!$B$4,
  _xlpm.Knewscale, Constantes!$B$5,
  _xlpm.ptstables, INDEX(AM:AM, _xlfn.SEQUENCE(COUNTA($C$2:$C217), 1, 3, 4)),
  _xlpm.nbparties, COUNTA(_xlfn._xlws.FILTER(_xlpm.ptstables, _xlpm.ptstables &lt;&gt; "")),
  _xlpm.coef, _xlpm.K + _xlpm.Knewgain / (_xlpm.Knewscale + _xlpm.nbparties),
  IF(AM215="",
    "",
    _xlpm.coef * (AM215-AM216))
)</f>
        <v/>
      </c>
    </row>
    <row r="218" spans="1:39" x14ac:dyDescent="0.25">
      <c r="A218" t="s">
        <v>14</v>
      </c>
      <c r="B218" t="str" cm="1">
        <f t="array" ref="B21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54</v>
      </c>
      <c r="C218" s="2" cm="1">
        <f t="array" ref="C218">IF(B218="","",
  INDEX(Donnees!F:F, MATCH(B218, Donnees!F:F, 0)+1))</f>
        <v>45934.851412037038</v>
      </c>
      <c r="D218">
        <f t="shared" ref="D218:AM218" si="62">D214+IF(D217="",0,D217)</f>
        <v>1098.7427140166756</v>
      </c>
      <c r="E218">
        <f t="shared" si="62"/>
        <v>1124.3346500367093</v>
      </c>
      <c r="F218">
        <f t="shared" si="62"/>
        <v>840.07622072834204</v>
      </c>
      <c r="G218">
        <f t="shared" si="62"/>
        <v>1050.9955183799098</v>
      </c>
      <c r="H218">
        <f t="shared" si="62"/>
        <v>1041.4828877801035</v>
      </c>
      <c r="I218">
        <f t="shared" si="62"/>
        <v>960.57774210047694</v>
      </c>
      <c r="J218">
        <f t="shared" si="62"/>
        <v>938.49433816478961</v>
      </c>
      <c r="K218">
        <f t="shared" si="62"/>
        <v>957.39471433630956</v>
      </c>
      <c r="L218">
        <f t="shared" si="62"/>
        <v>766.95119884458973</v>
      </c>
      <c r="M218">
        <f t="shared" si="62"/>
        <v>913.41986361738122</v>
      </c>
      <c r="N218">
        <f t="shared" si="62"/>
        <v>905.23376280700177</v>
      </c>
      <c r="O218">
        <f t="shared" si="62"/>
        <v>980.22411339123312</v>
      </c>
      <c r="P218">
        <f t="shared" si="62"/>
        <v>1005.4229961505649</v>
      </c>
      <c r="Q218">
        <f t="shared" si="62"/>
        <v>1076.7234576703174</v>
      </c>
      <c r="R218">
        <f t="shared" si="62"/>
        <v>1125.4294726276194</v>
      </c>
      <c r="S218">
        <f t="shared" si="62"/>
        <v>856.55223049520021</v>
      </c>
      <c r="T218">
        <f t="shared" si="62"/>
        <v>1135.2782658680615</v>
      </c>
      <c r="U218">
        <f t="shared" si="62"/>
        <v>1156.7918140913919</v>
      </c>
      <c r="V218">
        <f t="shared" si="62"/>
        <v>983.1120575372413</v>
      </c>
      <c r="W218">
        <f t="shared" si="62"/>
        <v>936.79085942937002</v>
      </c>
      <c r="X218">
        <f t="shared" si="62"/>
        <v>829.52552319854192</v>
      </c>
      <c r="Y218">
        <f t="shared" si="62"/>
        <v>986.08943039951498</v>
      </c>
      <c r="Z218">
        <f t="shared" si="62"/>
        <v>991.11904139672549</v>
      </c>
      <c r="AA218">
        <f t="shared" si="62"/>
        <v>982.43589116819533</v>
      </c>
      <c r="AB218">
        <f t="shared" si="62"/>
        <v>988.35669729544747</v>
      </c>
      <c r="AC218">
        <f t="shared" si="62"/>
        <v>1085.8200128019769</v>
      </c>
      <c r="AD218">
        <f t="shared" si="62"/>
        <v>1056.8829121598517</v>
      </c>
      <c r="AE218">
        <f t="shared" si="62"/>
        <v>1011.415</v>
      </c>
      <c r="AF218">
        <f t="shared" si="62"/>
        <v>1031.1199999999999</v>
      </c>
      <c r="AG218">
        <f t="shared" si="62"/>
        <v>1001.0350000000001</v>
      </c>
      <c r="AH218">
        <f t="shared" si="62"/>
        <v>994.44</v>
      </c>
      <c r="AI218">
        <f t="shared" si="62"/>
        <v>1000</v>
      </c>
      <c r="AJ218">
        <f t="shared" si="62"/>
        <v>957.2</v>
      </c>
      <c r="AK218">
        <f t="shared" si="62"/>
        <v>1000</v>
      </c>
      <c r="AL218">
        <f t="shared" si="62"/>
        <v>1055.9299999999998</v>
      </c>
      <c r="AM218">
        <f t="shared" si="62"/>
        <v>1000</v>
      </c>
    </row>
    <row r="219" spans="1:39" x14ac:dyDescent="0.25">
      <c r="A219" t="s">
        <v>21</v>
      </c>
      <c r="D219" t="str" cm="1">
        <f t="array" ref="D219">IFERROR(
  _xlfn.LET(
    _xlpm.ligpartie, MATCH($B218, Donnees!$F:$F, 0),
    _xlpm.joueurs, INDEX(Donnees!$A:$Z, _xlpm.ligpartie+1, _xlfn.SEQUENCE(1, 4, 2)),
    INDEX(
      Donnees!$A:$Z,
      _xlpm.ligpartie + 3,
      MATCH(D$1, _xlpm.joueurs, 0) + 1
    )
  ), ""
)</f>
        <v/>
      </c>
      <c r="E219" t="str" cm="1">
        <f t="array" ref="E219">IFERROR(
  _xlfn.LET(
    _xlpm.ligpartie, MATCH($B218, Donnees!$F:$F, 0),
    _xlpm.joueurs, INDEX(Donnees!$A:$Z, _xlpm.ligpartie+1, _xlfn.SEQUENCE(1, 4, 2)),
    INDEX(
      Donnees!$A:$Z,
      _xlpm.ligpartie + 3,
      MATCH(E$1, _xlpm.joueurs, 0) + 1
    )
  ), ""
)</f>
        <v/>
      </c>
      <c r="F219" t="str" cm="1">
        <f t="array" ref="F219">IFERROR(
  _xlfn.LET(
    _xlpm.ligpartie, MATCH($B218, Donnees!$F:$F, 0),
    _xlpm.joueurs, INDEX(Donnees!$A:$Z, _xlpm.ligpartie+1, _xlfn.SEQUENCE(1, 4, 2)),
    INDEX(
      Donnees!$A:$Z,
      _xlpm.ligpartie + 3,
      MATCH(F$1, _xlpm.joueurs, 0) + 1
    )
  ), ""
)</f>
        <v/>
      </c>
      <c r="G219" cm="1">
        <f t="array" ref="G219">IFERROR(
  _xlfn.LET(
    _xlpm.ligpartie, MATCH($B218, Donnees!$F:$F, 0),
    _xlpm.joueurs, INDEX(Donnees!$A:$Z, _xlpm.ligpartie+1, _xlfn.SEQUENCE(1, 4, 2)),
    INDEX(
      Donnees!$A:$Z,
      _xlpm.ligpartie + 3,
      MATCH(G$1, _xlpm.joueurs, 0) + 1
    )
  ), ""
)</f>
        <v>2</v>
      </c>
      <c r="H219" t="str" cm="1">
        <f t="array" ref="H219">IFERROR(
  _xlfn.LET(
    _xlpm.ligpartie, MATCH($B218, Donnees!$F:$F, 0),
    _xlpm.joueurs, INDEX(Donnees!$A:$Z, _xlpm.ligpartie+1, _xlfn.SEQUENCE(1, 4, 2)),
    INDEX(
      Donnees!$A:$Z,
      _xlpm.ligpartie + 3,
      MATCH(H$1, _xlpm.joueurs, 0) + 1
    )
  ), ""
)</f>
        <v/>
      </c>
      <c r="I219" t="str" cm="1">
        <f t="array" ref="I219">IFERROR(
  _xlfn.LET(
    _xlpm.ligpartie, MATCH($B218, Donnees!$F:$F, 0),
    _xlpm.joueurs, INDEX(Donnees!$A:$Z, _xlpm.ligpartie+1, _xlfn.SEQUENCE(1, 4, 2)),
    INDEX(
      Donnees!$A:$Z,
      _xlpm.ligpartie + 3,
      MATCH(I$1, _xlpm.joueurs, 0) + 1
    )
  ), ""
)</f>
        <v/>
      </c>
      <c r="J219" t="str" cm="1">
        <f t="array" ref="J219">IFERROR(
  _xlfn.LET(
    _xlpm.ligpartie, MATCH($B218, Donnees!$F:$F, 0),
    _xlpm.joueurs, INDEX(Donnees!$A:$Z, _xlpm.ligpartie+1, _xlfn.SEQUENCE(1, 4, 2)),
    INDEX(
      Donnees!$A:$Z,
      _xlpm.ligpartie + 3,
      MATCH(J$1, _xlpm.joueurs, 0) + 1
    )
  ), ""
)</f>
        <v/>
      </c>
      <c r="K219" t="str" cm="1">
        <f t="array" ref="K219">IFERROR(
  _xlfn.LET(
    _xlpm.ligpartie, MATCH($B218, Donnees!$F:$F, 0),
    _xlpm.joueurs, INDEX(Donnees!$A:$Z, _xlpm.ligpartie+1, _xlfn.SEQUENCE(1, 4, 2)),
    INDEX(
      Donnees!$A:$Z,
      _xlpm.ligpartie + 3,
      MATCH(K$1, _xlpm.joueurs, 0) + 1
    )
  ), ""
)</f>
        <v/>
      </c>
      <c r="L219" t="str" cm="1">
        <f t="array" ref="L219">IFERROR(
  _xlfn.LET(
    _xlpm.ligpartie, MATCH($B218, Donnees!$F:$F, 0),
    _xlpm.joueurs, INDEX(Donnees!$A:$Z, _xlpm.ligpartie+1, _xlfn.SEQUENCE(1, 4, 2)),
    INDEX(
      Donnees!$A:$Z,
      _xlpm.ligpartie + 3,
      MATCH(L$1, _xlpm.joueurs, 0) + 1
    )
  ), ""
)</f>
        <v/>
      </c>
      <c r="M219" t="str" cm="1">
        <f t="array" ref="M219">IFERROR(
  _xlfn.LET(
    _xlpm.ligpartie, MATCH($B218, Donnees!$F:$F, 0),
    _xlpm.joueurs, INDEX(Donnees!$A:$Z, _xlpm.ligpartie+1, _xlfn.SEQUENCE(1, 4, 2)),
    INDEX(
      Donnees!$A:$Z,
      _xlpm.ligpartie + 3,
      MATCH(M$1, _xlpm.joueurs, 0) + 1
    )
  ), ""
)</f>
        <v/>
      </c>
      <c r="N219" t="str" cm="1">
        <f t="array" ref="N219">IFERROR(
  _xlfn.LET(
    _xlpm.ligpartie, MATCH($B218, Donnees!$F:$F, 0),
    _xlpm.joueurs, INDEX(Donnees!$A:$Z, _xlpm.ligpartie+1, _xlfn.SEQUENCE(1, 4, 2)),
    INDEX(
      Donnees!$A:$Z,
      _xlpm.ligpartie + 3,
      MATCH(N$1, _xlpm.joueurs, 0) + 1
    )
  ), ""
)</f>
        <v/>
      </c>
      <c r="O219" t="str" cm="1">
        <f t="array" ref="O219">IFERROR(
  _xlfn.LET(
    _xlpm.ligpartie, MATCH($B218, Donnees!$F:$F, 0),
    _xlpm.joueurs, INDEX(Donnees!$A:$Z, _xlpm.ligpartie+1, _xlfn.SEQUENCE(1, 4, 2)),
    INDEX(
      Donnees!$A:$Z,
      _xlpm.ligpartie + 3,
      MATCH(O$1, _xlpm.joueurs, 0) + 1
    )
  ), ""
)</f>
        <v/>
      </c>
      <c r="P219" cm="1">
        <f t="array" ref="P219">IFERROR(
  _xlfn.LET(
    _xlpm.ligpartie, MATCH($B218, Donnees!$F:$F, 0),
    _xlpm.joueurs, INDEX(Donnees!$A:$Z, _xlpm.ligpartie+1, _xlfn.SEQUENCE(1, 4, 2)),
    INDEX(
      Donnees!$A:$Z,
      _xlpm.ligpartie + 3,
      MATCH(P$1, _xlpm.joueurs, 0) + 1
    )
  ), ""
)</f>
        <v>3</v>
      </c>
      <c r="Q219" t="str" cm="1">
        <f t="array" ref="Q219">IFERROR(
  _xlfn.LET(
    _xlpm.ligpartie, MATCH($B218, Donnees!$F:$F, 0),
    _xlpm.joueurs, INDEX(Donnees!$A:$Z, _xlpm.ligpartie+1, _xlfn.SEQUENCE(1, 4, 2)),
    INDEX(
      Donnees!$A:$Z,
      _xlpm.ligpartie + 3,
      MATCH(Q$1, _xlpm.joueurs, 0) + 1
    )
  ), ""
)</f>
        <v/>
      </c>
      <c r="R219" t="str" cm="1">
        <f t="array" ref="R219">IFERROR(
  _xlfn.LET(
    _xlpm.ligpartie, MATCH($B218, Donnees!$F:$F, 0),
    _xlpm.joueurs, INDEX(Donnees!$A:$Z, _xlpm.ligpartie+1, _xlfn.SEQUENCE(1, 4, 2)),
    INDEX(
      Donnees!$A:$Z,
      _xlpm.ligpartie + 3,
      MATCH(R$1, _xlpm.joueurs, 0) + 1
    )
  ), ""
)</f>
        <v/>
      </c>
      <c r="S219" t="str" cm="1">
        <f t="array" ref="S219">IFERROR(
  _xlfn.LET(
    _xlpm.ligpartie, MATCH($B218, Donnees!$F:$F, 0),
    _xlpm.joueurs, INDEX(Donnees!$A:$Z, _xlpm.ligpartie+1, _xlfn.SEQUENCE(1, 4, 2)),
    INDEX(
      Donnees!$A:$Z,
      _xlpm.ligpartie + 3,
      MATCH(S$1, _xlpm.joueurs, 0) + 1
    )
  ), ""
)</f>
        <v/>
      </c>
      <c r="T219" t="str" cm="1">
        <f t="array" ref="T219">IFERROR(
  _xlfn.LET(
    _xlpm.ligpartie, MATCH($B218, Donnees!$F:$F, 0),
    _xlpm.joueurs, INDEX(Donnees!$A:$Z, _xlpm.ligpartie+1, _xlfn.SEQUENCE(1, 4, 2)),
    INDEX(
      Donnees!$A:$Z,
      _xlpm.ligpartie + 3,
      MATCH(T$1, _xlpm.joueurs, 0) + 1
    )
  ), ""
)</f>
        <v/>
      </c>
      <c r="U219" cm="1">
        <f t="array" ref="U219">IFERROR(
  _xlfn.LET(
    _xlpm.ligpartie, MATCH($B218, Donnees!$F:$F, 0),
    _xlpm.joueurs, INDEX(Donnees!$A:$Z, _xlpm.ligpartie+1, _xlfn.SEQUENCE(1, 4, 2)),
    INDEX(
      Donnees!$A:$Z,
      _xlpm.ligpartie + 3,
      MATCH(U$1, _xlpm.joueurs, 0) + 1
    )
  ), ""
)</f>
        <v>1</v>
      </c>
      <c r="V219" t="str" cm="1">
        <f t="array" ref="V219">IFERROR(
  _xlfn.LET(
    _xlpm.ligpartie, MATCH($B218, Donnees!$F:$F, 0),
    _xlpm.joueurs, INDEX(Donnees!$A:$Z, _xlpm.ligpartie+1, _xlfn.SEQUENCE(1, 4, 2)),
    INDEX(
      Donnees!$A:$Z,
      _xlpm.ligpartie + 3,
      MATCH(V$1, _xlpm.joueurs, 0) + 1
    )
  ), ""
)</f>
        <v/>
      </c>
      <c r="W219" t="str" cm="1">
        <f t="array" ref="W219">IFERROR(
  _xlfn.LET(
    _xlpm.ligpartie, MATCH($B218, Donnees!$F:$F, 0),
    _xlpm.joueurs, INDEX(Donnees!$A:$Z, _xlpm.ligpartie+1, _xlfn.SEQUENCE(1, 4, 2)),
    INDEX(
      Donnees!$A:$Z,
      _xlpm.ligpartie + 3,
      MATCH(W$1, _xlpm.joueurs, 0) + 1
    )
  ), ""
)</f>
        <v/>
      </c>
      <c r="X219" cm="1">
        <f t="array" ref="X219">IFERROR(
  _xlfn.LET(
    _xlpm.ligpartie, MATCH($B218, Donnees!$F:$F, 0),
    _xlpm.joueurs, INDEX(Donnees!$A:$Z, _xlpm.ligpartie+1, _xlfn.SEQUENCE(1, 4, 2)),
    INDEX(
      Donnees!$A:$Z,
      _xlpm.ligpartie + 3,
      MATCH(X$1, _xlpm.joueurs, 0) + 1
    )
  ), ""
)</f>
        <v>0</v>
      </c>
      <c r="Y219" t="str" cm="1">
        <f t="array" ref="Y219">IFERROR(
  _xlfn.LET(
    _xlpm.ligpartie, MATCH($B218, Donnees!$F:$F, 0),
    _xlpm.joueurs, INDEX(Donnees!$A:$Z, _xlpm.ligpartie+1, _xlfn.SEQUENCE(1, 4, 2)),
    INDEX(
      Donnees!$A:$Z,
      _xlpm.ligpartie + 3,
      MATCH(Y$1, _xlpm.joueurs, 0) + 1
    )
  ), ""
)</f>
        <v/>
      </c>
      <c r="Z219" t="str" cm="1">
        <f t="array" ref="Z219">IFERROR(
  _xlfn.LET(
    _xlpm.ligpartie, MATCH($B218, Donnees!$F:$F, 0),
    _xlpm.joueurs, INDEX(Donnees!$A:$Z, _xlpm.ligpartie+1, _xlfn.SEQUENCE(1, 4, 2)),
    INDEX(
      Donnees!$A:$Z,
      _xlpm.ligpartie + 3,
      MATCH(Z$1, _xlpm.joueurs, 0) + 1
    )
  ), ""
)</f>
        <v/>
      </c>
      <c r="AA219" t="str" cm="1">
        <f t="array" ref="AA219">IFERROR(
  _xlfn.LET(
    _xlpm.ligpartie, MATCH($B218, Donnees!$F:$F, 0),
    _xlpm.joueurs, INDEX(Donnees!$A:$Z, _xlpm.ligpartie+1, _xlfn.SEQUENCE(1, 4, 2)),
    INDEX(
      Donnees!$A:$Z,
      _xlpm.ligpartie + 3,
      MATCH(AA$1, _xlpm.joueurs, 0) + 1
    )
  ), ""
)</f>
        <v/>
      </c>
      <c r="AB219" t="str" cm="1">
        <f t="array" ref="AB219">IFERROR(
  _xlfn.LET(
    _xlpm.ligpartie, MATCH($B218, Donnees!$F:$F, 0),
    _xlpm.joueurs, INDEX(Donnees!$A:$Z, _xlpm.ligpartie+1, _xlfn.SEQUENCE(1, 4, 2)),
    INDEX(
      Donnees!$A:$Z,
      _xlpm.ligpartie + 3,
      MATCH(AB$1, _xlpm.joueurs, 0) + 1
    )
  ), ""
)</f>
        <v/>
      </c>
      <c r="AC219" t="str" cm="1">
        <f t="array" ref="AC219">IFERROR(
  _xlfn.LET(
    _xlpm.ligpartie, MATCH($B218, Donnees!$F:$F, 0),
    _xlpm.joueurs, INDEX(Donnees!$A:$Z, _xlpm.ligpartie+1, _xlfn.SEQUENCE(1, 4, 2)),
    INDEX(
      Donnees!$A:$Z,
      _xlpm.ligpartie + 3,
      MATCH(AC$1, _xlpm.joueurs, 0) + 1
    )
  ), ""
)</f>
        <v/>
      </c>
      <c r="AD219" t="str" cm="1">
        <f t="array" ref="AD219">IFERROR(
  _xlfn.LET(
    _xlpm.ligpartie, MATCH($B218, Donnees!$F:$F, 0),
    _xlpm.joueurs, INDEX(Donnees!$A:$Z, _xlpm.ligpartie+1, _xlfn.SEQUENCE(1, 4, 2)),
    INDEX(
      Donnees!$A:$Z,
      _xlpm.ligpartie + 3,
      MATCH(AD$1, _xlpm.joueurs, 0) + 1
    )
  ), ""
)</f>
        <v/>
      </c>
      <c r="AE219" t="str" cm="1">
        <f t="array" ref="AE219">IFERROR(
  _xlfn.LET(
    _xlpm.ligpartie, MATCH($B218, Donnees!$F:$F, 0),
    _xlpm.joueurs, INDEX(Donnees!$A:$Z, _xlpm.ligpartie+1, _xlfn.SEQUENCE(1, 4, 2)),
    INDEX(
      Donnees!$A:$Z,
      _xlpm.ligpartie + 3,
      MATCH(AE$1, _xlpm.joueurs, 0) + 1
    )
  ), ""
)</f>
        <v/>
      </c>
      <c r="AF219" t="str" cm="1">
        <f t="array" ref="AF219">IFERROR(
  _xlfn.LET(
    _xlpm.ligpartie, MATCH($B218, Donnees!$F:$F, 0),
    _xlpm.joueurs, INDEX(Donnees!$A:$Z, _xlpm.ligpartie+1, _xlfn.SEQUENCE(1, 4, 2)),
    INDEX(
      Donnees!$A:$Z,
      _xlpm.ligpartie + 3,
      MATCH(AF$1, _xlpm.joueurs, 0) + 1
    )
  ), ""
)</f>
        <v/>
      </c>
      <c r="AG219" t="str" cm="1">
        <f t="array" ref="AG219">IFERROR(
  _xlfn.LET(
    _xlpm.ligpartie, MATCH($B218, Donnees!$F:$F, 0),
    _xlpm.joueurs, INDEX(Donnees!$A:$Z, _xlpm.ligpartie+1, _xlfn.SEQUENCE(1, 4, 2)),
    INDEX(
      Donnees!$A:$Z,
      _xlpm.ligpartie + 3,
      MATCH(AG$1, _xlpm.joueurs, 0) + 1
    )
  ), ""
)</f>
        <v/>
      </c>
      <c r="AH219" t="str" cm="1">
        <f t="array" ref="AH219">IFERROR(
  _xlfn.LET(
    _xlpm.ligpartie, MATCH($B218, Donnees!$F:$F, 0),
    _xlpm.joueurs, INDEX(Donnees!$A:$Z, _xlpm.ligpartie+1, _xlfn.SEQUENCE(1, 4, 2)),
    INDEX(
      Donnees!$A:$Z,
      _xlpm.ligpartie + 3,
      MATCH(AH$1, _xlpm.joueurs, 0) + 1
    )
  ), ""
)</f>
        <v/>
      </c>
      <c r="AI219" t="str" cm="1">
        <f t="array" ref="AI219">IFERROR(
  _xlfn.LET(
    _xlpm.ligpartie, MATCH($B218, Donnees!$F:$F, 0),
    _xlpm.joueurs, INDEX(Donnees!$A:$Z, _xlpm.ligpartie+1, _xlfn.SEQUENCE(1, 4, 2)),
    INDEX(
      Donnees!$A:$Z,
      _xlpm.ligpartie + 3,
      MATCH(AI$1, _xlpm.joueurs, 0) + 1
    )
  ), ""
)</f>
        <v/>
      </c>
      <c r="AJ219" t="str" cm="1">
        <f t="array" ref="AJ219">IFERROR(
  _xlfn.LET(
    _xlpm.ligpartie, MATCH($B218, Donnees!$F:$F, 0),
    _xlpm.joueurs, INDEX(Donnees!$A:$Z, _xlpm.ligpartie+1, _xlfn.SEQUENCE(1, 4, 2)),
    INDEX(
      Donnees!$A:$Z,
      _xlpm.ligpartie + 3,
      MATCH(AJ$1, _xlpm.joueurs, 0) + 1
    )
  ), ""
)</f>
        <v/>
      </c>
      <c r="AK219" t="str" cm="1">
        <f t="array" ref="AK219">IFERROR(
  _xlfn.LET(
    _xlpm.ligpartie, MATCH($B218, Donnees!$F:$F, 0),
    _xlpm.joueurs, INDEX(Donnees!$A:$Z, _xlpm.ligpartie+1, _xlfn.SEQUENCE(1, 4, 2)),
    INDEX(
      Donnees!$A:$Z,
      _xlpm.ligpartie + 3,
      MATCH(AK$1, _xlpm.joueurs, 0) + 1
    )
  ), ""
)</f>
        <v/>
      </c>
      <c r="AL219" t="str" cm="1">
        <f t="array" ref="AL219">IFERROR(
  _xlfn.LET(
    _xlpm.ligpartie, MATCH($B218, Donnees!$F:$F, 0),
    _xlpm.joueurs, INDEX(Donnees!$A:$Z, _xlpm.ligpartie+1, _xlfn.SEQUENCE(1, 4, 2)),
    INDEX(
      Donnees!$A:$Z,
      _xlpm.ligpartie + 3,
      MATCH(AL$1, _xlpm.joueurs, 0) + 1
    )
  ), ""
)</f>
        <v/>
      </c>
      <c r="AM219" t="str" cm="1">
        <f t="array" ref="AM219">IFERROR(
  _xlfn.LET(
    _xlpm.ligpartie, MATCH($B218, Donnees!$F:$F, 0),
    _xlpm.joueurs, INDEX(Donnees!$A:$Z, _xlpm.ligpartie+1, _xlfn.SEQUENCE(1, 4, 2)),
    INDEX(
      Donnees!$A:$Z,
      _xlpm.ligpartie + 3,
      MATCH(AM$1, _xlpm.joueurs, 0) + 1
    )
  ), ""
)</f>
        <v/>
      </c>
    </row>
    <row r="220" spans="1:39" x14ac:dyDescent="0.25">
      <c r="A220" t="s">
        <v>20</v>
      </c>
      <c r="D220" t="str" cm="1">
        <f t="array" ref="D220">_xlfn.LET(
  _xlpm.colj, _xlfn._xlws.FILTER(IF(ISNUMBER(219:219), COLUMN(219:219)), ISNUMBER(219:219)),
  _xlpm.elos, INDEX(218:218,1,_xlpm.colj),
  _xlpm.diffscale, Constantes!$B$2,
  IF(D219="",
    "",
    SUM(1/(1+POWER(10,-(D218-_xlpm.elos)/_xlpm.diffscale)))-0.5)
)</f>
        <v/>
      </c>
      <c r="E220" t="str" cm="1">
        <f t="array" ref="E220">_xlfn.LET(
  _xlpm.colj, _xlfn._xlws.FILTER(IF(ISNUMBER(219:219), COLUMN(219:219)), ISNUMBER(219:219)),
  _xlpm.elos, INDEX(218:218,1,_xlpm.colj),
  _xlpm.diffscale, Constantes!$B$2,
  IF(E219="",
    "",
    SUM(1/(1+POWER(10,-(E218-_xlpm.elos)/_xlpm.diffscale)))-0.5)
)</f>
        <v/>
      </c>
      <c r="F220" t="str" cm="1">
        <f t="array" ref="F220">_xlfn.LET(
  _xlpm.colj, _xlfn._xlws.FILTER(IF(ISNUMBER(219:219), COLUMN(219:219)), ISNUMBER(219:219)),
  _xlpm.elos, INDEX(218:218,1,_xlpm.colj),
  _xlpm.diffscale, Constantes!$B$2,
  IF(F219="",
    "",
    SUM(1/(1+POWER(10,-(F218-_xlpm.elos)/_xlpm.diffscale)))-0.5)
)</f>
        <v/>
      </c>
      <c r="G220" cm="1">
        <f t="array" ref="G220">_xlfn.LET(
  _xlpm.colj, _xlfn._xlws.FILTER(IF(ISNUMBER(219:219), COLUMN(219:219)), ISNUMBER(219:219)),
  _xlpm.elos, INDEX(218:218,1,_xlpm.colj),
  _xlpm.diffscale, Constantes!$B$2,
  IF(G219="",
    "",
    SUM(1/(1+POWER(10,-(G218-_xlpm.elos)/_xlpm.diffscale)))-0.5)
)</f>
        <v>1.6990727057824202</v>
      </c>
      <c r="H220" t="str" cm="1">
        <f t="array" ref="H220">_xlfn.LET(
  _xlpm.colj, _xlfn._xlws.FILTER(IF(ISNUMBER(219:219), COLUMN(219:219)), ISNUMBER(219:219)),
  _xlpm.elos, INDEX(218:218,1,_xlpm.colj),
  _xlpm.diffscale, Constantes!$B$2,
  IF(H219="",
    "",
    SUM(1/(1+POWER(10,-(H218-_xlpm.elos)/_xlpm.diffscale)))-0.5)
)</f>
        <v/>
      </c>
      <c r="I220" t="str" cm="1">
        <f t="array" ref="I220">_xlfn.LET(
  _xlpm.colj, _xlfn._xlws.FILTER(IF(ISNUMBER(219:219), COLUMN(219:219)), ISNUMBER(219:219)),
  _xlpm.elos, INDEX(218:218,1,_xlpm.colj),
  _xlpm.diffscale, Constantes!$B$2,
  IF(I219="",
    "",
    SUM(1/(1+POWER(10,-(I218-_xlpm.elos)/_xlpm.diffscale)))-0.5)
)</f>
        <v/>
      </c>
      <c r="J220" t="str" cm="1">
        <f t="array" ref="J220">_xlfn.LET(
  _xlpm.colj, _xlfn._xlws.FILTER(IF(ISNUMBER(219:219), COLUMN(219:219)), ISNUMBER(219:219)),
  _xlpm.elos, INDEX(218:218,1,_xlpm.colj),
  _xlpm.diffscale, Constantes!$B$2,
  IF(J219="",
    "",
    SUM(1/(1+POWER(10,-(J218-_xlpm.elos)/_xlpm.diffscale)))-0.5)
)</f>
        <v/>
      </c>
      <c r="K220" t="str" cm="1">
        <f t="array" ref="K220">_xlfn.LET(
  _xlpm.colj, _xlfn._xlws.FILTER(IF(ISNUMBER(219:219), COLUMN(219:219)), ISNUMBER(219:219)),
  _xlpm.elos, INDEX(218:218,1,_xlpm.colj),
  _xlpm.diffscale, Constantes!$B$2,
  IF(K219="",
    "",
    SUM(1/(1+POWER(10,-(K218-_xlpm.elos)/_xlpm.diffscale)))-0.5)
)</f>
        <v/>
      </c>
      <c r="L220" t="str" cm="1">
        <f t="array" ref="L220">_xlfn.LET(
  _xlpm.colj, _xlfn._xlws.FILTER(IF(ISNUMBER(219:219), COLUMN(219:219)), ISNUMBER(219:219)),
  _xlpm.elos, INDEX(218:218,1,_xlpm.colj),
  _xlpm.diffscale, Constantes!$B$2,
  IF(L219="",
    "",
    SUM(1/(1+POWER(10,-(L218-_xlpm.elos)/_xlpm.diffscale)))-0.5)
)</f>
        <v/>
      </c>
      <c r="M220" t="str" cm="1">
        <f t="array" ref="M220">_xlfn.LET(
  _xlpm.colj, _xlfn._xlws.FILTER(IF(ISNUMBER(219:219), COLUMN(219:219)), ISNUMBER(219:219)),
  _xlpm.elos, INDEX(218:218,1,_xlpm.colj),
  _xlpm.diffscale, Constantes!$B$2,
  IF(M219="",
    "",
    SUM(1/(1+POWER(10,-(M218-_xlpm.elos)/_xlpm.diffscale)))-0.5)
)</f>
        <v/>
      </c>
      <c r="N220" t="str" cm="1">
        <f t="array" ref="N220">_xlfn.LET(
  _xlpm.colj, _xlfn._xlws.FILTER(IF(ISNUMBER(219:219), COLUMN(219:219)), ISNUMBER(219:219)),
  _xlpm.elos, INDEX(218:218,1,_xlpm.colj),
  _xlpm.diffscale, Constantes!$B$2,
  IF(N219="",
    "",
    SUM(1/(1+POWER(10,-(N218-_xlpm.elos)/_xlpm.diffscale)))-0.5)
)</f>
        <v/>
      </c>
      <c r="O220" t="str" cm="1">
        <f t="array" ref="O220">_xlfn.LET(
  _xlpm.colj, _xlfn._xlws.FILTER(IF(ISNUMBER(219:219), COLUMN(219:219)), ISNUMBER(219:219)),
  _xlpm.elos, INDEX(218:218,1,_xlpm.colj),
  _xlpm.diffscale, Constantes!$B$2,
  IF(O219="",
    "",
    SUM(1/(1+POWER(10,-(O218-_xlpm.elos)/_xlpm.diffscale)))-0.5)
)</f>
        <v/>
      </c>
      <c r="P220" cm="1">
        <f t="array" ref="P220">_xlfn.LET(
  _xlpm.colj, _xlfn._xlws.FILTER(IF(ISNUMBER(219:219), COLUMN(219:219)), ISNUMBER(219:219)),
  _xlpm.elos, INDEX(218:218,1,_xlpm.colj),
  _xlpm.diffscale, Constantes!$B$2,
  IF(P219="",
    "",
    SUM(1/(1+POWER(10,-(P218-_xlpm.elos)/_xlpm.diffscale)))-0.5)
)</f>
        <v>1.4632814683019593</v>
      </c>
      <c r="Q220" t="str" cm="1">
        <f t="array" ref="Q220">_xlfn.LET(
  _xlpm.colj, _xlfn._xlws.FILTER(IF(ISNUMBER(219:219), COLUMN(219:219)), ISNUMBER(219:219)),
  _xlpm.elos, INDEX(218:218,1,_xlpm.colj),
  _xlpm.diffscale, Constantes!$B$2,
  IF(Q219="",
    "",
    SUM(1/(1+POWER(10,-(Q218-_xlpm.elos)/_xlpm.diffscale)))-0.5)
)</f>
        <v/>
      </c>
      <c r="R220" t="str" cm="1">
        <f t="array" ref="R220">_xlfn.LET(
  _xlpm.colj, _xlfn._xlws.FILTER(IF(ISNUMBER(219:219), COLUMN(219:219)), ISNUMBER(219:219)),
  _xlpm.elos, INDEX(218:218,1,_xlpm.colj),
  _xlpm.diffscale, Constantes!$B$2,
  IF(R219="",
    "",
    SUM(1/(1+POWER(10,-(R218-_xlpm.elos)/_xlpm.diffscale)))-0.5)
)</f>
        <v/>
      </c>
      <c r="S220" t="str" cm="1">
        <f t="array" ref="S220">_xlfn.LET(
  _xlpm.colj, _xlfn._xlws.FILTER(IF(ISNUMBER(219:219), COLUMN(219:219)), ISNUMBER(219:219)),
  _xlpm.elos, INDEX(218:218,1,_xlpm.colj),
  _xlpm.diffscale, Constantes!$B$2,
  IF(S219="",
    "",
    SUM(1/(1+POWER(10,-(S218-_xlpm.elos)/_xlpm.diffscale)))-0.5)
)</f>
        <v/>
      </c>
      <c r="T220" t="str" cm="1">
        <f t="array" ref="T220">_xlfn.LET(
  _xlpm.colj, _xlfn._xlws.FILTER(IF(ISNUMBER(219:219), COLUMN(219:219)), ISNUMBER(219:219)),
  _xlpm.elos, INDEX(218:218,1,_xlpm.colj),
  _xlpm.diffscale, Constantes!$B$2,
  IF(T219="",
    "",
    SUM(1/(1+POWER(10,-(T218-_xlpm.elos)/_xlpm.diffscale)))-0.5)
)</f>
        <v/>
      </c>
      <c r="U220" cm="1">
        <f t="array" ref="U220">_xlfn.LET(
  _xlpm.colj, _xlfn._xlws.FILTER(IF(ISNUMBER(219:219), COLUMN(219:219)), ISNUMBER(219:219)),
  _xlpm.elos, INDEX(218:218,1,_xlpm.colj),
  _xlpm.diffscale, Constantes!$B$2,
  IF(U219="",
    "",
    SUM(1/(1+POWER(10,-(U218-_xlpm.elos)/_xlpm.diffscale)))-0.5)
)</f>
        <v>2.2207998149395554</v>
      </c>
      <c r="V220" t="str" cm="1">
        <f t="array" ref="V220">_xlfn.LET(
  _xlpm.colj, _xlfn._xlws.FILTER(IF(ISNUMBER(219:219), COLUMN(219:219)), ISNUMBER(219:219)),
  _xlpm.elos, INDEX(218:218,1,_xlpm.colj),
  _xlpm.diffscale, Constantes!$B$2,
  IF(V219="",
    "",
    SUM(1/(1+POWER(10,-(V218-_xlpm.elos)/_xlpm.diffscale)))-0.5)
)</f>
        <v/>
      </c>
      <c r="W220" t="str" cm="1">
        <f t="array" ref="W220">_xlfn.LET(
  _xlpm.colj, _xlfn._xlws.FILTER(IF(ISNUMBER(219:219), COLUMN(219:219)), ISNUMBER(219:219)),
  _xlpm.elos, INDEX(218:218,1,_xlpm.colj),
  _xlpm.diffscale, Constantes!$B$2,
  IF(W219="",
    "",
    SUM(1/(1+POWER(10,-(W218-_xlpm.elos)/_xlpm.diffscale)))-0.5)
)</f>
        <v/>
      </c>
      <c r="X220" cm="1">
        <f t="array" ref="X220">_xlfn.LET(
  _xlpm.colj, _xlfn._xlws.FILTER(IF(ISNUMBER(219:219), COLUMN(219:219)), ISNUMBER(219:219)),
  _xlpm.elos, INDEX(218:218,1,_xlpm.colj),
  _xlpm.diffscale, Constantes!$B$2,
  IF(X219="",
    "",
    SUM(1/(1+POWER(10,-(X218-_xlpm.elos)/_xlpm.diffscale)))-0.5)
)</f>
        <v>0.61684601097606517</v>
      </c>
      <c r="Y220" t="str" cm="1">
        <f t="array" ref="Y220">_xlfn.LET(
  _xlpm.colj, _xlfn._xlws.FILTER(IF(ISNUMBER(219:219), COLUMN(219:219)), ISNUMBER(219:219)),
  _xlpm.elos, INDEX(218:218,1,_xlpm.colj),
  _xlpm.diffscale, Constantes!$B$2,
  IF(Y219="",
    "",
    SUM(1/(1+POWER(10,-(Y218-_xlpm.elos)/_xlpm.diffscale)))-0.5)
)</f>
        <v/>
      </c>
      <c r="Z220" t="str" cm="1">
        <f t="array" ref="Z220">_xlfn.LET(
  _xlpm.colj, _xlfn._xlws.FILTER(IF(ISNUMBER(219:219), COLUMN(219:219)), ISNUMBER(219:219)),
  _xlpm.elos, INDEX(218:218,1,_xlpm.colj),
  _xlpm.diffscale, Constantes!$B$2,
  IF(Z219="",
    "",
    SUM(1/(1+POWER(10,-(Z218-_xlpm.elos)/_xlpm.diffscale)))-0.5)
)</f>
        <v/>
      </c>
      <c r="AA220" t="str" cm="1">
        <f t="array" ref="AA220">_xlfn.LET(
  _xlpm.colj, _xlfn._xlws.FILTER(IF(ISNUMBER(219:219), COLUMN(219:219)), ISNUMBER(219:219)),
  _xlpm.elos, INDEX(218:218,1,_xlpm.colj),
  _xlpm.diffscale, Constantes!$B$2,
  IF(AA219="",
    "",
    SUM(1/(1+POWER(10,-(AA218-_xlpm.elos)/_xlpm.diffscale)))-0.5)
)</f>
        <v/>
      </c>
      <c r="AB220" t="str" cm="1">
        <f t="array" ref="AB220">_xlfn.LET(
  _xlpm.colj, _xlfn._xlws.FILTER(IF(ISNUMBER(219:219), COLUMN(219:219)), ISNUMBER(219:219)),
  _xlpm.elos, INDEX(218:218,1,_xlpm.colj),
  _xlpm.diffscale, Constantes!$B$2,
  IF(AB219="",
    "",
    SUM(1/(1+POWER(10,-(AB218-_xlpm.elos)/_xlpm.diffscale)))-0.5)
)</f>
        <v/>
      </c>
      <c r="AC220" t="str" cm="1">
        <f t="array" ref="AC220">_xlfn.LET(
  _xlpm.colj, _xlfn._xlws.FILTER(IF(ISNUMBER(219:219), COLUMN(219:219)), ISNUMBER(219:219)),
  _xlpm.elos, INDEX(218:218,1,_xlpm.colj),
  _xlpm.diffscale, Constantes!$B$2,
  IF(AC219="",
    "",
    SUM(1/(1+POWER(10,-(AC218-_xlpm.elos)/_xlpm.diffscale)))-0.5)
)</f>
        <v/>
      </c>
      <c r="AD220" t="str" cm="1">
        <f t="array" ref="AD220">_xlfn.LET(
  _xlpm.colj, _xlfn._xlws.FILTER(IF(ISNUMBER(219:219), COLUMN(219:219)), ISNUMBER(219:219)),
  _xlpm.elos, INDEX(218:218,1,_xlpm.colj),
  _xlpm.diffscale, Constantes!$B$2,
  IF(AD219="",
    "",
    SUM(1/(1+POWER(10,-(AD218-_xlpm.elos)/_xlpm.diffscale)))-0.5)
)</f>
        <v/>
      </c>
      <c r="AE220" t="str" cm="1">
        <f t="array" ref="AE220">_xlfn.LET(
  _xlpm.colj, _xlfn._xlws.FILTER(IF(ISNUMBER(219:219), COLUMN(219:219)), ISNUMBER(219:219)),
  _xlpm.elos, INDEX(218:218,1,_xlpm.colj),
  _xlpm.diffscale, Constantes!$B$2,
  IF(AE219="",
    "",
    SUM(1/(1+POWER(10,-(AE218-_xlpm.elos)/_xlpm.diffscale)))-0.5)
)</f>
        <v/>
      </c>
      <c r="AF220" t="str" cm="1">
        <f t="array" ref="AF220">_xlfn.LET(
  _xlpm.colj, _xlfn._xlws.FILTER(IF(ISNUMBER(219:219), COLUMN(219:219)), ISNUMBER(219:219)),
  _xlpm.elos, INDEX(218:218,1,_xlpm.colj),
  _xlpm.diffscale, Constantes!$B$2,
  IF(AF219="",
    "",
    SUM(1/(1+POWER(10,-(AF218-_xlpm.elos)/_xlpm.diffscale)))-0.5)
)</f>
        <v/>
      </c>
      <c r="AG220" t="str" cm="1">
        <f t="array" ref="AG220">_xlfn.LET(
  _xlpm.colj, _xlfn._xlws.FILTER(IF(ISNUMBER(219:219), COLUMN(219:219)), ISNUMBER(219:219)),
  _xlpm.elos, INDEX(218:218,1,_xlpm.colj),
  _xlpm.diffscale, Constantes!$B$2,
  IF(AG219="",
    "",
    SUM(1/(1+POWER(10,-(AG218-_xlpm.elos)/_xlpm.diffscale)))-0.5)
)</f>
        <v/>
      </c>
      <c r="AH220" t="str" cm="1">
        <f t="array" ref="AH220">_xlfn.LET(
  _xlpm.colj, _xlfn._xlws.FILTER(IF(ISNUMBER(219:219), COLUMN(219:219)), ISNUMBER(219:219)),
  _xlpm.elos, INDEX(218:218,1,_xlpm.colj),
  _xlpm.diffscale, Constantes!$B$2,
  IF(AH219="",
    "",
    SUM(1/(1+POWER(10,-(AH218-_xlpm.elos)/_xlpm.diffscale)))-0.5)
)</f>
        <v/>
      </c>
      <c r="AI220" t="str" cm="1">
        <f t="array" ref="AI220">_xlfn.LET(
  _xlpm.colj, _xlfn._xlws.FILTER(IF(ISNUMBER(219:219), COLUMN(219:219)), ISNUMBER(219:219)),
  _xlpm.elos, INDEX(218:218,1,_xlpm.colj),
  _xlpm.diffscale, Constantes!$B$2,
  IF(AI219="",
    "",
    SUM(1/(1+POWER(10,-(AI218-_xlpm.elos)/_xlpm.diffscale)))-0.5)
)</f>
        <v/>
      </c>
      <c r="AJ220" t="str" cm="1">
        <f t="array" ref="AJ220">_xlfn.LET(
  _xlpm.colj, _xlfn._xlws.FILTER(IF(ISNUMBER(219:219), COLUMN(219:219)), ISNUMBER(219:219)),
  _xlpm.elos, INDEX(218:218,1,_xlpm.colj),
  _xlpm.diffscale, Constantes!$B$2,
  IF(AJ219="",
    "",
    SUM(1/(1+POWER(10,-(AJ218-_xlpm.elos)/_xlpm.diffscale)))-0.5)
)</f>
        <v/>
      </c>
      <c r="AK220" t="str" cm="1">
        <f t="array" ref="AK220">_xlfn.LET(
  _xlpm.colj, _xlfn._xlws.FILTER(IF(ISNUMBER(219:219), COLUMN(219:219)), ISNUMBER(219:219)),
  _xlpm.elos, INDEX(218:218,1,_xlpm.colj),
  _xlpm.diffscale, Constantes!$B$2,
  IF(AK219="",
    "",
    SUM(1/(1+POWER(10,-(AK218-_xlpm.elos)/_xlpm.diffscale)))-0.5)
)</f>
        <v/>
      </c>
      <c r="AL220" t="str" cm="1">
        <f t="array" ref="AL220">_xlfn.LET(
  _xlpm.colj, _xlfn._xlws.FILTER(IF(ISNUMBER(219:219), COLUMN(219:219)), ISNUMBER(219:219)),
  _xlpm.elos, INDEX(218:218,1,_xlpm.colj),
  _xlpm.diffscale, Constantes!$B$2,
  IF(AL219="",
    "",
    SUM(1/(1+POWER(10,-(AL218-_xlpm.elos)/_xlpm.diffscale)))-0.5)
)</f>
        <v/>
      </c>
      <c r="AM220" t="str" cm="1">
        <f t="array" ref="AM220">_xlfn.LET(
  _xlpm.colj, _xlfn._xlws.FILTER(IF(ISNUMBER(219:219), COLUMN(219:219)), ISNUMBER(219:219)),
  _xlpm.elos, INDEX(218:218,1,_xlpm.colj),
  _xlpm.diffscale, Constantes!$B$2,
  IF(AM219="",
    "",
    SUM(1/(1+POWER(10,-(AM218-_xlpm.elos)/_xlpm.diffscale)))-0.5)
)</f>
        <v/>
      </c>
    </row>
    <row r="221" spans="1:39" x14ac:dyDescent="0.25">
      <c r="A221" t="s">
        <v>22</v>
      </c>
      <c r="D221" t="str" cm="1">
        <f t="array" ref="D221">_xlfn.LET(
  _xlpm.K, Constantes!$B$3,
  _xlpm.Knewgain, Constantes!$B$4,
  _xlpm.Knewscale, Constantes!$B$5,
  _xlpm.ptstables, INDEX(D:D, _xlfn.SEQUENCE(COUNTA($C$2:$C221), 1, 3, 4)),
  _xlpm.nbparties, COUNTA(_xlfn._xlws.FILTER(_xlpm.ptstables, _xlpm.ptstables &lt;&gt; "")),
  _xlpm.coef, _xlpm.K + _xlpm.Knewgain / (_xlpm.Knewscale + _xlpm.nbparties),
  IF(D219="",
    "",
    _xlpm.coef * (D219-D220))
)</f>
        <v/>
      </c>
      <c r="E221" t="str" cm="1">
        <f t="array" ref="E221">_xlfn.LET(
  _xlpm.K, Constantes!$B$3,
  _xlpm.Knewgain, Constantes!$B$4,
  _xlpm.Knewscale, Constantes!$B$5,
  _xlpm.ptstables, INDEX(E:E, _xlfn.SEQUENCE(COUNTA($C$2:$C221), 1, 3, 4)),
  _xlpm.nbparties, COUNTA(_xlfn._xlws.FILTER(_xlpm.ptstables, _xlpm.ptstables &lt;&gt; "")),
  _xlpm.coef, _xlpm.K + _xlpm.Knewgain / (_xlpm.Knewscale + _xlpm.nbparties),
  IF(E219="",
    "",
    _xlpm.coef * (E219-E220))
)</f>
        <v/>
      </c>
      <c r="F221" t="str" cm="1">
        <f t="array" ref="F221">_xlfn.LET(
  _xlpm.K, Constantes!$B$3,
  _xlpm.Knewgain, Constantes!$B$4,
  _xlpm.Knewscale, Constantes!$B$5,
  _xlpm.ptstables, INDEX(F:F, _xlfn.SEQUENCE(COUNTA($C$2:$C221), 1, 3, 4)),
  _xlpm.nbparties, COUNTA(_xlfn._xlws.FILTER(_xlpm.ptstables, _xlpm.ptstables &lt;&gt; "")),
  _xlpm.coef, _xlpm.K + _xlpm.Knewgain / (_xlpm.Knewscale + _xlpm.nbparties),
  IF(F219="",
    "",
    _xlpm.coef * (F219-F220))
)</f>
        <v/>
      </c>
      <c r="G221" cm="1">
        <f t="array" ref="G221">_xlfn.LET(
  _xlpm.K, Constantes!$B$3,
  _xlpm.Knewgain, Constantes!$B$4,
  _xlpm.Knewscale, Constantes!$B$5,
  _xlpm.ptstables, INDEX(G:G, _xlfn.SEQUENCE(COUNTA($C$2:$C221), 1, 3, 4)),
  _xlpm.nbparties, COUNTA(_xlfn._xlws.FILTER(_xlpm.ptstables, _xlpm.ptstables &lt;&gt; "")),
  _xlpm.coef, _xlpm.K + _xlpm.Knewgain / (_xlpm.Knewscale + _xlpm.nbparties),
  IF(G219="",
    "",
    _xlpm.coef * (G219-G220))
)</f>
        <v>6.7350394420124999</v>
      </c>
      <c r="H221" t="str" cm="1">
        <f t="array" ref="H221">_xlfn.LET(
  _xlpm.K, Constantes!$B$3,
  _xlpm.Knewgain, Constantes!$B$4,
  _xlpm.Knewscale, Constantes!$B$5,
  _xlpm.ptstables, INDEX(H:H, _xlfn.SEQUENCE(COUNTA($C$2:$C221), 1, 3, 4)),
  _xlpm.nbparties, COUNTA(_xlfn._xlws.FILTER(_xlpm.ptstables, _xlpm.ptstables &lt;&gt; "")),
  _xlpm.coef, _xlpm.K + _xlpm.Knewgain / (_xlpm.Knewscale + _xlpm.nbparties),
  IF(H219="",
    "",
    _xlpm.coef * (H219-H220))
)</f>
        <v/>
      </c>
      <c r="I221" t="str" cm="1">
        <f t="array" ref="I221">_xlfn.LET(
  _xlpm.K, Constantes!$B$3,
  _xlpm.Knewgain, Constantes!$B$4,
  _xlpm.Knewscale, Constantes!$B$5,
  _xlpm.ptstables, INDEX(I:I, _xlfn.SEQUENCE(COUNTA($C$2:$C221), 1, 3, 4)),
  _xlpm.nbparties, COUNTA(_xlfn._xlws.FILTER(_xlpm.ptstables, _xlpm.ptstables &lt;&gt; "")),
  _xlpm.coef, _xlpm.K + _xlpm.Knewgain / (_xlpm.Knewscale + _xlpm.nbparties),
  IF(I219="",
    "",
    _xlpm.coef * (I219-I220))
)</f>
        <v/>
      </c>
      <c r="J221" t="str" cm="1">
        <f t="array" ref="J221">_xlfn.LET(
  _xlpm.K, Constantes!$B$3,
  _xlpm.Knewgain, Constantes!$B$4,
  _xlpm.Knewscale, Constantes!$B$5,
  _xlpm.ptstables, INDEX(J:J, _xlfn.SEQUENCE(COUNTA($C$2:$C221), 1, 3, 4)),
  _xlpm.nbparties, COUNTA(_xlfn._xlws.FILTER(_xlpm.ptstables, _xlpm.ptstables &lt;&gt; "")),
  _xlpm.coef, _xlpm.K + _xlpm.Knewgain / (_xlpm.Knewscale + _xlpm.nbparties),
  IF(J219="",
    "",
    _xlpm.coef * (J219-J220))
)</f>
        <v/>
      </c>
      <c r="K221" t="str" cm="1">
        <f t="array" ref="K221">_xlfn.LET(
  _xlpm.K, Constantes!$B$3,
  _xlpm.Knewgain, Constantes!$B$4,
  _xlpm.Knewscale, Constantes!$B$5,
  _xlpm.ptstables, INDEX(K:K, _xlfn.SEQUENCE(COUNTA($C$2:$C221), 1, 3, 4)),
  _xlpm.nbparties, COUNTA(_xlfn._xlws.FILTER(_xlpm.ptstables, _xlpm.ptstables &lt;&gt; "")),
  _xlpm.coef, _xlpm.K + _xlpm.Knewgain / (_xlpm.Knewscale + _xlpm.nbparties),
  IF(K219="",
    "",
    _xlpm.coef * (K219-K220))
)</f>
        <v/>
      </c>
      <c r="L221" t="str" cm="1">
        <f t="array" ref="L221">_xlfn.LET(
  _xlpm.K, Constantes!$B$3,
  _xlpm.Knewgain, Constantes!$B$4,
  _xlpm.Knewscale, Constantes!$B$5,
  _xlpm.ptstables, INDEX(L:L, _xlfn.SEQUENCE(COUNTA($C$2:$C221), 1, 3, 4)),
  _xlpm.nbparties, COUNTA(_xlfn._xlws.FILTER(_xlpm.ptstables, _xlpm.ptstables &lt;&gt; "")),
  _xlpm.coef, _xlpm.K + _xlpm.Knewgain / (_xlpm.Knewscale + _xlpm.nbparties),
  IF(L219="",
    "",
    _xlpm.coef * (L219-L220))
)</f>
        <v/>
      </c>
      <c r="M221" t="str" cm="1">
        <f t="array" ref="M221">_xlfn.LET(
  _xlpm.K, Constantes!$B$3,
  _xlpm.Knewgain, Constantes!$B$4,
  _xlpm.Knewscale, Constantes!$B$5,
  _xlpm.ptstables, INDEX(M:M, _xlfn.SEQUENCE(COUNTA($C$2:$C221), 1, 3, 4)),
  _xlpm.nbparties, COUNTA(_xlfn._xlws.FILTER(_xlpm.ptstables, _xlpm.ptstables &lt;&gt; "")),
  _xlpm.coef, _xlpm.K + _xlpm.Knewgain / (_xlpm.Knewscale + _xlpm.nbparties),
  IF(M219="",
    "",
    _xlpm.coef * (M219-M220))
)</f>
        <v/>
      </c>
      <c r="N221" t="str" cm="1">
        <f t="array" ref="N221">_xlfn.LET(
  _xlpm.K, Constantes!$B$3,
  _xlpm.Knewgain, Constantes!$B$4,
  _xlpm.Knewscale, Constantes!$B$5,
  _xlpm.ptstables, INDEX(N:N, _xlfn.SEQUENCE(COUNTA($C$2:$C221), 1, 3, 4)),
  _xlpm.nbparties, COUNTA(_xlfn._xlws.FILTER(_xlpm.ptstables, _xlpm.ptstables &lt;&gt; "")),
  _xlpm.coef, _xlpm.K + _xlpm.Knewgain / (_xlpm.Knewscale + _xlpm.nbparties),
  IF(N219="",
    "",
    _xlpm.coef * (N219-N220))
)</f>
        <v/>
      </c>
      <c r="O221" t="str" cm="1">
        <f t="array" ref="O221">_xlfn.LET(
  _xlpm.K, Constantes!$B$3,
  _xlpm.Knewgain, Constantes!$B$4,
  _xlpm.Knewscale, Constantes!$B$5,
  _xlpm.ptstables, INDEX(O:O, _xlfn.SEQUENCE(COUNTA($C$2:$C221), 1, 3, 4)),
  _xlpm.nbparties, COUNTA(_xlfn._xlws.FILTER(_xlpm.ptstables, _xlpm.ptstables &lt;&gt; "")),
  _xlpm.coef, _xlpm.K + _xlpm.Knewgain / (_xlpm.Knewscale + _xlpm.nbparties),
  IF(O219="",
    "",
    _xlpm.coef * (O219-O220))
)</f>
        <v/>
      </c>
      <c r="P221" cm="1">
        <f t="array" ref="P221">_xlfn.LET(
  _xlpm.K, Constantes!$B$3,
  _xlpm.Knewgain, Constantes!$B$4,
  _xlpm.Knewscale, Constantes!$B$5,
  _xlpm.ptstables, INDEX(P:P, _xlfn.SEQUENCE(COUNTA($C$2:$C221), 1, 3, 4)),
  _xlpm.nbparties, COUNTA(_xlfn._xlws.FILTER(_xlpm.ptstables, _xlpm.ptstables &lt;&gt; "")),
  _xlpm.coef, _xlpm.K + _xlpm.Knewgain / (_xlpm.Knewscale + _xlpm.nbparties),
  IF(P219="",
    "",
    _xlpm.coef * (P219-P220))
)</f>
        <v>39.271695810061047</v>
      </c>
      <c r="Q221" t="str" cm="1">
        <f t="array" ref="Q221">_xlfn.LET(
  _xlpm.K, Constantes!$B$3,
  _xlpm.Knewgain, Constantes!$B$4,
  _xlpm.Knewscale, Constantes!$B$5,
  _xlpm.ptstables, INDEX(Q:Q, _xlfn.SEQUENCE(COUNTA($C$2:$C221), 1, 3, 4)),
  _xlpm.nbparties, COUNTA(_xlfn._xlws.FILTER(_xlpm.ptstables, _xlpm.ptstables &lt;&gt; "")),
  _xlpm.coef, _xlpm.K + _xlpm.Knewgain / (_xlpm.Knewscale + _xlpm.nbparties),
  IF(Q219="",
    "",
    _xlpm.coef * (Q219-Q220))
)</f>
        <v/>
      </c>
      <c r="R221" t="str" cm="1">
        <f t="array" ref="R221">_xlfn.LET(
  _xlpm.K, Constantes!$B$3,
  _xlpm.Knewgain, Constantes!$B$4,
  _xlpm.Knewscale, Constantes!$B$5,
  _xlpm.ptstables, INDEX(R:R, _xlfn.SEQUENCE(COUNTA($C$2:$C221), 1, 3, 4)),
  _xlpm.nbparties, COUNTA(_xlfn._xlws.FILTER(_xlpm.ptstables, _xlpm.ptstables &lt;&gt; "")),
  _xlpm.coef, _xlpm.K + _xlpm.Knewgain / (_xlpm.Knewscale + _xlpm.nbparties),
  IF(R219="",
    "",
    _xlpm.coef * (R219-R220))
)</f>
        <v/>
      </c>
      <c r="S221" t="str" cm="1">
        <f t="array" ref="S221">_xlfn.LET(
  _xlpm.K, Constantes!$B$3,
  _xlpm.Knewgain, Constantes!$B$4,
  _xlpm.Knewscale, Constantes!$B$5,
  _xlpm.ptstables, INDEX(S:S, _xlfn.SEQUENCE(COUNTA($C$2:$C221), 1, 3, 4)),
  _xlpm.nbparties, COUNTA(_xlfn._xlws.FILTER(_xlpm.ptstables, _xlpm.ptstables &lt;&gt; "")),
  _xlpm.coef, _xlpm.K + _xlpm.Knewgain / (_xlpm.Knewscale + _xlpm.nbparties),
  IF(S219="",
    "",
    _xlpm.coef * (S219-S220))
)</f>
        <v/>
      </c>
      <c r="T221" t="str" cm="1">
        <f t="array" ref="T221">_xlfn.LET(
  _xlpm.K, Constantes!$B$3,
  _xlpm.Knewgain, Constantes!$B$4,
  _xlpm.Knewscale, Constantes!$B$5,
  _xlpm.ptstables, INDEX(T:T, _xlfn.SEQUENCE(COUNTA($C$2:$C221), 1, 3, 4)),
  _xlpm.nbparties, COUNTA(_xlfn._xlws.FILTER(_xlpm.ptstables, _xlpm.ptstables &lt;&gt; "")),
  _xlpm.coef, _xlpm.K + _xlpm.Knewgain / (_xlpm.Knewscale + _xlpm.nbparties),
  IF(T219="",
    "",
    _xlpm.coef * (T219-T220))
)</f>
        <v/>
      </c>
      <c r="U221" cm="1">
        <f t="array" ref="U221">_xlfn.LET(
  _xlpm.K, Constantes!$B$3,
  _xlpm.Knewgain, Constantes!$B$4,
  _xlpm.Knewscale, Constantes!$B$5,
  _xlpm.ptstables, INDEX(U:U, _xlfn.SEQUENCE(COUNTA($C$2:$C221), 1, 3, 4)),
  _xlpm.nbparties, COUNTA(_xlfn._xlws.FILTER(_xlpm.ptstables, _xlpm.ptstables &lt;&gt; "")),
  _xlpm.coef, _xlpm.K + _xlpm.Knewgain / (_xlpm.Knewscale + _xlpm.nbparties),
  IF(U219="",
    "",
    _xlpm.coef * (U219-U220))
)</f>
        <v>-27.807106895845429</v>
      </c>
      <c r="V221" t="str" cm="1">
        <f t="array" ref="V221">_xlfn.LET(
  _xlpm.K, Constantes!$B$3,
  _xlpm.Knewgain, Constantes!$B$4,
  _xlpm.Knewscale, Constantes!$B$5,
  _xlpm.ptstables, INDEX(V:V, _xlfn.SEQUENCE(COUNTA($C$2:$C221), 1, 3, 4)),
  _xlpm.nbparties, COUNTA(_xlfn._xlws.FILTER(_xlpm.ptstables, _xlpm.ptstables &lt;&gt; "")),
  _xlpm.coef, _xlpm.K + _xlpm.Knewgain / (_xlpm.Knewscale + _xlpm.nbparties),
  IF(V219="",
    "",
    _xlpm.coef * (V219-V220))
)</f>
        <v/>
      </c>
      <c r="W221" t="str" cm="1">
        <f t="array" ref="W221">_xlfn.LET(
  _xlpm.K, Constantes!$B$3,
  _xlpm.Knewgain, Constantes!$B$4,
  _xlpm.Knewscale, Constantes!$B$5,
  _xlpm.ptstables, INDEX(W:W, _xlfn.SEQUENCE(COUNTA($C$2:$C221), 1, 3, 4)),
  _xlpm.nbparties, COUNTA(_xlfn._xlws.FILTER(_xlpm.ptstables, _xlpm.ptstables &lt;&gt; "")),
  _xlpm.coef, _xlpm.K + _xlpm.Knewgain / (_xlpm.Knewscale + _xlpm.nbparties),
  IF(W219="",
    "",
    _xlpm.coef * (W219-W220))
)</f>
        <v/>
      </c>
      <c r="X221" cm="1">
        <f t="array" ref="X221">_xlfn.LET(
  _xlpm.K, Constantes!$B$3,
  _xlpm.Knewgain, Constantes!$B$4,
  _xlpm.Knewscale, Constantes!$B$5,
  _xlpm.ptstables, INDEX(X:X, _xlfn.SEQUENCE(COUNTA($C$2:$C221), 1, 3, 4)),
  _xlpm.nbparties, COUNTA(_xlfn._xlws.FILTER(_xlpm.ptstables, _xlpm.ptstables &lt;&gt; "")),
  _xlpm.coef, _xlpm.K + _xlpm.Knewgain / (_xlpm.Knewscale + _xlpm.nbparties),
  IF(X219="",
    "",
    _xlpm.coef * (X219-X220))
)</f>
        <v>-15.140765723957964</v>
      </c>
      <c r="Y221" t="str" cm="1">
        <f t="array" ref="Y221">_xlfn.LET(
  _xlpm.K, Constantes!$B$3,
  _xlpm.Knewgain, Constantes!$B$4,
  _xlpm.Knewscale, Constantes!$B$5,
  _xlpm.ptstables, INDEX(Y:Y, _xlfn.SEQUENCE(COUNTA($C$2:$C221), 1, 3, 4)),
  _xlpm.nbparties, COUNTA(_xlfn._xlws.FILTER(_xlpm.ptstables, _xlpm.ptstables &lt;&gt; "")),
  _xlpm.coef, _xlpm.K + _xlpm.Knewgain / (_xlpm.Knewscale + _xlpm.nbparties),
  IF(Y219="",
    "",
    _xlpm.coef * (Y219-Y220))
)</f>
        <v/>
      </c>
      <c r="Z221" t="str" cm="1">
        <f t="array" ref="Z221">_xlfn.LET(
  _xlpm.K, Constantes!$B$3,
  _xlpm.Knewgain, Constantes!$B$4,
  _xlpm.Knewscale, Constantes!$B$5,
  _xlpm.ptstables, INDEX(Z:Z, _xlfn.SEQUENCE(COUNTA($C$2:$C221), 1, 3, 4)),
  _xlpm.nbparties, COUNTA(_xlfn._xlws.FILTER(_xlpm.ptstables, _xlpm.ptstables &lt;&gt; "")),
  _xlpm.coef, _xlpm.K + _xlpm.Knewgain / (_xlpm.Knewscale + _xlpm.nbparties),
  IF(Z219="",
    "",
    _xlpm.coef * (Z219-Z220))
)</f>
        <v/>
      </c>
      <c r="AA221" t="str" cm="1">
        <f t="array" ref="AA221">_xlfn.LET(
  _xlpm.K, Constantes!$B$3,
  _xlpm.Knewgain, Constantes!$B$4,
  _xlpm.Knewscale, Constantes!$B$5,
  _xlpm.ptstables, INDEX(AA:AA, _xlfn.SEQUENCE(COUNTA($C$2:$C221), 1, 3, 4)),
  _xlpm.nbparties, COUNTA(_xlfn._xlws.FILTER(_xlpm.ptstables, _xlpm.ptstables &lt;&gt; "")),
  _xlpm.coef, _xlpm.K + _xlpm.Knewgain / (_xlpm.Knewscale + _xlpm.nbparties),
  IF(AA219="",
    "",
    _xlpm.coef * (AA219-AA220))
)</f>
        <v/>
      </c>
      <c r="AB221" t="str" cm="1">
        <f t="array" ref="AB221">_xlfn.LET(
  _xlpm.K, Constantes!$B$3,
  _xlpm.Knewgain, Constantes!$B$4,
  _xlpm.Knewscale, Constantes!$B$5,
  _xlpm.ptstables, INDEX(AB:AB, _xlfn.SEQUENCE(COUNTA($C$2:$C221), 1, 3, 4)),
  _xlpm.nbparties, COUNTA(_xlfn._xlws.FILTER(_xlpm.ptstables, _xlpm.ptstables &lt;&gt; "")),
  _xlpm.coef, _xlpm.K + _xlpm.Knewgain / (_xlpm.Knewscale + _xlpm.nbparties),
  IF(AB219="",
    "",
    _xlpm.coef * (AB219-AB220))
)</f>
        <v/>
      </c>
      <c r="AC221" t="str" cm="1">
        <f t="array" ref="AC221">_xlfn.LET(
  _xlpm.K, Constantes!$B$3,
  _xlpm.Knewgain, Constantes!$B$4,
  _xlpm.Knewscale, Constantes!$B$5,
  _xlpm.ptstables, INDEX(AC:AC, _xlfn.SEQUENCE(COUNTA($C$2:$C221), 1, 3, 4)),
  _xlpm.nbparties, COUNTA(_xlfn._xlws.FILTER(_xlpm.ptstables, _xlpm.ptstables &lt;&gt; "")),
  _xlpm.coef, _xlpm.K + _xlpm.Knewgain / (_xlpm.Knewscale + _xlpm.nbparties),
  IF(AC219="",
    "",
    _xlpm.coef * (AC219-AC220))
)</f>
        <v/>
      </c>
      <c r="AD221" t="str" cm="1">
        <f t="array" ref="AD221">_xlfn.LET(
  _xlpm.K, Constantes!$B$3,
  _xlpm.Knewgain, Constantes!$B$4,
  _xlpm.Knewscale, Constantes!$B$5,
  _xlpm.ptstables, INDEX(AD:AD, _xlfn.SEQUENCE(COUNTA($C$2:$C221), 1, 3, 4)),
  _xlpm.nbparties, COUNTA(_xlfn._xlws.FILTER(_xlpm.ptstables, _xlpm.ptstables &lt;&gt; "")),
  _xlpm.coef, _xlpm.K + _xlpm.Knewgain / (_xlpm.Knewscale + _xlpm.nbparties),
  IF(AD219="",
    "",
    _xlpm.coef * (AD219-AD220))
)</f>
        <v/>
      </c>
      <c r="AE221" t="str" cm="1">
        <f t="array" ref="AE221">_xlfn.LET(
  _xlpm.K, Constantes!$B$3,
  _xlpm.Knewgain, Constantes!$B$4,
  _xlpm.Knewscale, Constantes!$B$5,
  _xlpm.ptstables, INDEX(AE:AE, _xlfn.SEQUENCE(COUNTA($C$2:$C221), 1, 3, 4)),
  _xlpm.nbparties, COUNTA(_xlfn._xlws.FILTER(_xlpm.ptstables, _xlpm.ptstables &lt;&gt; "")),
  _xlpm.coef, _xlpm.K + _xlpm.Knewgain / (_xlpm.Knewscale + _xlpm.nbparties),
  IF(AE219="",
    "",
    _xlpm.coef * (AE219-AE220))
)</f>
        <v/>
      </c>
      <c r="AF221" t="str" cm="1">
        <f t="array" ref="AF221">_xlfn.LET(
  _xlpm.K, Constantes!$B$3,
  _xlpm.Knewgain, Constantes!$B$4,
  _xlpm.Knewscale, Constantes!$B$5,
  _xlpm.ptstables, INDEX(AF:AF, _xlfn.SEQUENCE(COUNTA($C$2:$C221), 1, 3, 4)),
  _xlpm.nbparties, COUNTA(_xlfn._xlws.FILTER(_xlpm.ptstables, _xlpm.ptstables &lt;&gt; "")),
  _xlpm.coef, _xlpm.K + _xlpm.Knewgain / (_xlpm.Knewscale + _xlpm.nbparties),
  IF(AF219="",
    "",
    _xlpm.coef * (AF219-AF220))
)</f>
        <v/>
      </c>
      <c r="AG221" t="str" cm="1">
        <f t="array" ref="AG221">_xlfn.LET(
  _xlpm.K, Constantes!$B$3,
  _xlpm.Knewgain, Constantes!$B$4,
  _xlpm.Knewscale, Constantes!$B$5,
  _xlpm.ptstables, INDEX(AG:AG, _xlfn.SEQUENCE(COUNTA($C$2:$C221), 1, 3, 4)),
  _xlpm.nbparties, COUNTA(_xlfn._xlws.FILTER(_xlpm.ptstables, _xlpm.ptstables &lt;&gt; "")),
  _xlpm.coef, _xlpm.K + _xlpm.Knewgain / (_xlpm.Knewscale + _xlpm.nbparties),
  IF(AG219="",
    "",
    _xlpm.coef * (AG219-AG220))
)</f>
        <v/>
      </c>
      <c r="AH221" t="str" cm="1">
        <f t="array" ref="AH221">_xlfn.LET(
  _xlpm.K, Constantes!$B$3,
  _xlpm.Knewgain, Constantes!$B$4,
  _xlpm.Knewscale, Constantes!$B$5,
  _xlpm.ptstables, INDEX(AH:AH, _xlfn.SEQUENCE(COUNTA($C$2:$C221), 1, 3, 4)),
  _xlpm.nbparties, COUNTA(_xlfn._xlws.FILTER(_xlpm.ptstables, _xlpm.ptstables &lt;&gt; "")),
  _xlpm.coef, _xlpm.K + _xlpm.Knewgain / (_xlpm.Knewscale + _xlpm.nbparties),
  IF(AH219="",
    "",
    _xlpm.coef * (AH219-AH220))
)</f>
        <v/>
      </c>
      <c r="AI221" t="str" cm="1">
        <f t="array" ref="AI221">_xlfn.LET(
  _xlpm.K, Constantes!$B$3,
  _xlpm.Knewgain, Constantes!$B$4,
  _xlpm.Knewscale, Constantes!$B$5,
  _xlpm.ptstables, INDEX(AI:AI, _xlfn.SEQUENCE(COUNTA($C$2:$C221), 1, 3, 4)),
  _xlpm.nbparties, COUNTA(_xlfn._xlws.FILTER(_xlpm.ptstables, _xlpm.ptstables &lt;&gt; "")),
  _xlpm.coef, _xlpm.K + _xlpm.Knewgain / (_xlpm.Knewscale + _xlpm.nbparties),
  IF(AI219="",
    "",
    _xlpm.coef * (AI219-AI220))
)</f>
        <v/>
      </c>
      <c r="AJ221" t="str" cm="1">
        <f t="array" ref="AJ221">_xlfn.LET(
  _xlpm.K, Constantes!$B$3,
  _xlpm.Knewgain, Constantes!$B$4,
  _xlpm.Knewscale, Constantes!$B$5,
  _xlpm.ptstables, INDEX(AJ:AJ, _xlfn.SEQUENCE(COUNTA($C$2:$C221), 1, 3, 4)),
  _xlpm.nbparties, COUNTA(_xlfn._xlws.FILTER(_xlpm.ptstables, _xlpm.ptstables &lt;&gt; "")),
  _xlpm.coef, _xlpm.K + _xlpm.Knewgain / (_xlpm.Knewscale + _xlpm.nbparties),
  IF(AJ219="",
    "",
    _xlpm.coef * (AJ219-AJ220))
)</f>
        <v/>
      </c>
      <c r="AK221" t="str" cm="1">
        <f t="array" ref="AK221">_xlfn.LET(
  _xlpm.K, Constantes!$B$3,
  _xlpm.Knewgain, Constantes!$B$4,
  _xlpm.Knewscale, Constantes!$B$5,
  _xlpm.ptstables, INDEX(AK:AK, _xlfn.SEQUENCE(COUNTA($C$2:$C221), 1, 3, 4)),
  _xlpm.nbparties, COUNTA(_xlfn._xlws.FILTER(_xlpm.ptstables, _xlpm.ptstables &lt;&gt; "")),
  _xlpm.coef, _xlpm.K + _xlpm.Knewgain / (_xlpm.Knewscale + _xlpm.nbparties),
  IF(AK219="",
    "",
    _xlpm.coef * (AK219-AK220))
)</f>
        <v/>
      </c>
      <c r="AL221" t="str" cm="1">
        <f t="array" ref="AL221">_xlfn.LET(
  _xlpm.K, Constantes!$B$3,
  _xlpm.Knewgain, Constantes!$B$4,
  _xlpm.Knewscale, Constantes!$B$5,
  _xlpm.ptstables, INDEX(AL:AL, _xlfn.SEQUENCE(COUNTA($C$2:$C221), 1, 3, 4)),
  _xlpm.nbparties, COUNTA(_xlfn._xlws.FILTER(_xlpm.ptstables, _xlpm.ptstables &lt;&gt; "")),
  _xlpm.coef, _xlpm.K + _xlpm.Knewgain / (_xlpm.Knewscale + _xlpm.nbparties),
  IF(AL219="",
    "",
    _xlpm.coef * (AL219-AL220))
)</f>
        <v/>
      </c>
      <c r="AM221" t="str" cm="1">
        <f t="array" ref="AM221">_xlfn.LET(
  _xlpm.K, Constantes!$B$3,
  _xlpm.Knewgain, Constantes!$B$4,
  _xlpm.Knewscale, Constantes!$B$5,
  _xlpm.ptstables, INDEX(AM:AM, _xlfn.SEQUENCE(COUNTA($C$2:$C221), 1, 3, 4)),
  _xlpm.nbparties, COUNTA(_xlfn._xlws.FILTER(_xlpm.ptstables, _xlpm.ptstables &lt;&gt; "")),
  _xlpm.coef, _xlpm.K + _xlpm.Knewgain / (_xlpm.Knewscale + _xlpm.nbparties),
  IF(AM219="",
    "",
    _xlpm.coef * (AM219-AM220))
)</f>
        <v/>
      </c>
    </row>
    <row r="222" spans="1:39" x14ac:dyDescent="0.25">
      <c r="A222" t="s">
        <v>14</v>
      </c>
      <c r="B222" t="str" cm="1">
        <f t="array" ref="B22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57</v>
      </c>
      <c r="C222" s="2" cm="1">
        <f t="array" ref="C222">IF(B222="","",
  INDEX(Donnees!F:F, MATCH(B222, Donnees!F:F, 0)+1))</f>
        <v>45934.851493055554</v>
      </c>
      <c r="D222">
        <f t="shared" ref="D222:AM222" si="63">D218+IF(D221="",0,D221)</f>
        <v>1098.7427140166756</v>
      </c>
      <c r="E222">
        <f t="shared" si="63"/>
        <v>1124.3346500367093</v>
      </c>
      <c r="F222">
        <f t="shared" si="63"/>
        <v>840.07622072834204</v>
      </c>
      <c r="G222">
        <f t="shared" si="63"/>
        <v>1057.7305578219223</v>
      </c>
      <c r="H222">
        <f t="shared" si="63"/>
        <v>1041.4828877801035</v>
      </c>
      <c r="I222">
        <f t="shared" si="63"/>
        <v>960.57774210047694</v>
      </c>
      <c r="J222">
        <f t="shared" si="63"/>
        <v>938.49433816478961</v>
      </c>
      <c r="K222">
        <f t="shared" si="63"/>
        <v>957.39471433630956</v>
      </c>
      <c r="L222">
        <f t="shared" si="63"/>
        <v>766.95119884458973</v>
      </c>
      <c r="M222">
        <f t="shared" si="63"/>
        <v>913.41986361738122</v>
      </c>
      <c r="N222">
        <f t="shared" si="63"/>
        <v>905.23376280700177</v>
      </c>
      <c r="O222">
        <f t="shared" si="63"/>
        <v>980.22411339123312</v>
      </c>
      <c r="P222">
        <f t="shared" si="63"/>
        <v>1044.694691960626</v>
      </c>
      <c r="Q222">
        <f t="shared" si="63"/>
        <v>1076.7234576703174</v>
      </c>
      <c r="R222">
        <f t="shared" si="63"/>
        <v>1125.4294726276194</v>
      </c>
      <c r="S222">
        <f t="shared" si="63"/>
        <v>856.55223049520021</v>
      </c>
      <c r="T222">
        <f t="shared" si="63"/>
        <v>1135.2782658680615</v>
      </c>
      <c r="U222">
        <f t="shared" si="63"/>
        <v>1128.9847071955464</v>
      </c>
      <c r="V222">
        <f t="shared" si="63"/>
        <v>983.1120575372413</v>
      </c>
      <c r="W222">
        <f t="shared" si="63"/>
        <v>936.79085942937002</v>
      </c>
      <c r="X222">
        <f t="shared" si="63"/>
        <v>814.38475747458392</v>
      </c>
      <c r="Y222">
        <f t="shared" si="63"/>
        <v>986.08943039951498</v>
      </c>
      <c r="Z222">
        <f t="shared" si="63"/>
        <v>991.11904139672549</v>
      </c>
      <c r="AA222">
        <f t="shared" si="63"/>
        <v>982.43589116819533</v>
      </c>
      <c r="AB222">
        <f t="shared" si="63"/>
        <v>988.35669729544747</v>
      </c>
      <c r="AC222">
        <f t="shared" si="63"/>
        <v>1085.8200128019769</v>
      </c>
      <c r="AD222">
        <f t="shared" si="63"/>
        <v>1056.8829121598517</v>
      </c>
      <c r="AE222">
        <f t="shared" si="63"/>
        <v>1011.415</v>
      </c>
      <c r="AF222">
        <f t="shared" si="63"/>
        <v>1031.1199999999999</v>
      </c>
      <c r="AG222">
        <f t="shared" si="63"/>
        <v>1001.0350000000001</v>
      </c>
      <c r="AH222">
        <f t="shared" si="63"/>
        <v>994.44</v>
      </c>
      <c r="AI222">
        <f t="shared" si="63"/>
        <v>1000</v>
      </c>
      <c r="AJ222">
        <f t="shared" si="63"/>
        <v>957.2</v>
      </c>
      <c r="AK222">
        <f t="shared" si="63"/>
        <v>1000</v>
      </c>
      <c r="AL222">
        <f t="shared" si="63"/>
        <v>1055.9299999999998</v>
      </c>
      <c r="AM222">
        <f t="shared" si="63"/>
        <v>1000</v>
      </c>
    </row>
    <row r="223" spans="1:39" x14ac:dyDescent="0.25">
      <c r="A223" t="s">
        <v>21</v>
      </c>
      <c r="D223" t="str" cm="1">
        <f t="array" ref="D223">IFERROR(
  _xlfn.LET(
    _xlpm.ligpartie, MATCH($B222, Donnees!$F:$F, 0),
    _xlpm.joueurs, INDEX(Donnees!$A:$Z, _xlpm.ligpartie+1, _xlfn.SEQUENCE(1, 4, 2)),
    INDEX(
      Donnees!$A:$Z,
      _xlpm.ligpartie + 3,
      MATCH(D$1, _xlpm.joueurs, 0) + 1
    )
  ), ""
)</f>
        <v/>
      </c>
      <c r="E223" cm="1">
        <f t="array" ref="E223">IFERROR(
  _xlfn.LET(
    _xlpm.ligpartie, MATCH($B222, Donnees!$F:$F, 0),
    _xlpm.joueurs, INDEX(Donnees!$A:$Z, _xlpm.ligpartie+1, _xlfn.SEQUENCE(1, 4, 2)),
    INDEX(
      Donnees!$A:$Z,
      _xlpm.ligpartie + 3,
      MATCH(E$1, _xlpm.joueurs, 0) + 1
    )
  ), ""
)</f>
        <v>3</v>
      </c>
      <c r="F223" t="str" cm="1">
        <f t="array" ref="F223">IFERROR(
  _xlfn.LET(
    _xlpm.ligpartie, MATCH($B222, Donnees!$F:$F, 0),
    _xlpm.joueurs, INDEX(Donnees!$A:$Z, _xlpm.ligpartie+1, _xlfn.SEQUENCE(1, 4, 2)),
    INDEX(
      Donnees!$A:$Z,
      _xlpm.ligpartie + 3,
      MATCH(F$1, _xlpm.joueurs, 0) + 1
    )
  ), ""
)</f>
        <v/>
      </c>
      <c r="G223" t="str" cm="1">
        <f t="array" ref="G223">IFERROR(
  _xlfn.LET(
    _xlpm.ligpartie, MATCH($B222, Donnees!$F:$F, 0),
    _xlpm.joueurs, INDEX(Donnees!$A:$Z, _xlpm.ligpartie+1, _xlfn.SEQUENCE(1, 4, 2)),
    INDEX(
      Donnees!$A:$Z,
      _xlpm.ligpartie + 3,
      MATCH(G$1, _xlpm.joueurs, 0) + 1
    )
  ), ""
)</f>
        <v/>
      </c>
      <c r="H223" t="str" cm="1">
        <f t="array" ref="H223">IFERROR(
  _xlfn.LET(
    _xlpm.ligpartie, MATCH($B222, Donnees!$F:$F, 0),
    _xlpm.joueurs, INDEX(Donnees!$A:$Z, _xlpm.ligpartie+1, _xlfn.SEQUENCE(1, 4, 2)),
    INDEX(
      Donnees!$A:$Z,
      _xlpm.ligpartie + 3,
      MATCH(H$1, _xlpm.joueurs, 0) + 1
    )
  ), ""
)</f>
        <v/>
      </c>
      <c r="I223" t="str" cm="1">
        <f t="array" ref="I223">IFERROR(
  _xlfn.LET(
    _xlpm.ligpartie, MATCH($B222, Donnees!$F:$F, 0),
    _xlpm.joueurs, INDEX(Donnees!$A:$Z, _xlpm.ligpartie+1, _xlfn.SEQUENCE(1, 4, 2)),
    INDEX(
      Donnees!$A:$Z,
      _xlpm.ligpartie + 3,
      MATCH(I$1, _xlpm.joueurs, 0) + 1
    )
  ), ""
)</f>
        <v/>
      </c>
      <c r="J223" t="str" cm="1">
        <f t="array" ref="J223">IFERROR(
  _xlfn.LET(
    _xlpm.ligpartie, MATCH($B222, Donnees!$F:$F, 0),
    _xlpm.joueurs, INDEX(Donnees!$A:$Z, _xlpm.ligpartie+1, _xlfn.SEQUENCE(1, 4, 2)),
    INDEX(
      Donnees!$A:$Z,
      _xlpm.ligpartie + 3,
      MATCH(J$1, _xlpm.joueurs, 0) + 1
    )
  ), ""
)</f>
        <v/>
      </c>
      <c r="K223" t="str" cm="1">
        <f t="array" ref="K223">IFERROR(
  _xlfn.LET(
    _xlpm.ligpartie, MATCH($B222, Donnees!$F:$F, 0),
    _xlpm.joueurs, INDEX(Donnees!$A:$Z, _xlpm.ligpartie+1, _xlfn.SEQUENCE(1, 4, 2)),
    INDEX(
      Donnees!$A:$Z,
      _xlpm.ligpartie + 3,
      MATCH(K$1, _xlpm.joueurs, 0) + 1
    )
  ), ""
)</f>
        <v/>
      </c>
      <c r="L223" t="str" cm="1">
        <f t="array" ref="L223">IFERROR(
  _xlfn.LET(
    _xlpm.ligpartie, MATCH($B222, Donnees!$F:$F, 0),
    _xlpm.joueurs, INDEX(Donnees!$A:$Z, _xlpm.ligpartie+1, _xlfn.SEQUENCE(1, 4, 2)),
    INDEX(
      Donnees!$A:$Z,
      _xlpm.ligpartie + 3,
      MATCH(L$1, _xlpm.joueurs, 0) + 1
    )
  ), ""
)</f>
        <v/>
      </c>
      <c r="M223" t="str" cm="1">
        <f t="array" ref="M223">IFERROR(
  _xlfn.LET(
    _xlpm.ligpartie, MATCH($B222, Donnees!$F:$F, 0),
    _xlpm.joueurs, INDEX(Donnees!$A:$Z, _xlpm.ligpartie+1, _xlfn.SEQUENCE(1, 4, 2)),
    INDEX(
      Donnees!$A:$Z,
      _xlpm.ligpartie + 3,
      MATCH(M$1, _xlpm.joueurs, 0) + 1
    )
  ), ""
)</f>
        <v/>
      </c>
      <c r="N223" t="str" cm="1">
        <f t="array" ref="N223">IFERROR(
  _xlfn.LET(
    _xlpm.ligpartie, MATCH($B222, Donnees!$F:$F, 0),
    _xlpm.joueurs, INDEX(Donnees!$A:$Z, _xlpm.ligpartie+1, _xlfn.SEQUENCE(1, 4, 2)),
    INDEX(
      Donnees!$A:$Z,
      _xlpm.ligpartie + 3,
      MATCH(N$1, _xlpm.joueurs, 0) + 1
    )
  ), ""
)</f>
        <v/>
      </c>
      <c r="O223" t="str" cm="1">
        <f t="array" ref="O223">IFERROR(
  _xlfn.LET(
    _xlpm.ligpartie, MATCH($B222, Donnees!$F:$F, 0),
    _xlpm.joueurs, INDEX(Donnees!$A:$Z, _xlpm.ligpartie+1, _xlfn.SEQUENCE(1, 4, 2)),
    INDEX(
      Donnees!$A:$Z,
      _xlpm.ligpartie + 3,
      MATCH(O$1, _xlpm.joueurs, 0) + 1
    )
  ), ""
)</f>
        <v/>
      </c>
      <c r="P223" t="str" cm="1">
        <f t="array" ref="P223">IFERROR(
  _xlfn.LET(
    _xlpm.ligpartie, MATCH($B222, Donnees!$F:$F, 0),
    _xlpm.joueurs, INDEX(Donnees!$A:$Z, _xlpm.ligpartie+1, _xlfn.SEQUENCE(1, 4, 2)),
    INDEX(
      Donnees!$A:$Z,
      _xlpm.ligpartie + 3,
      MATCH(P$1, _xlpm.joueurs, 0) + 1
    )
  ), ""
)</f>
        <v/>
      </c>
      <c r="Q223" cm="1">
        <f t="array" ref="Q223">IFERROR(
  _xlfn.LET(
    _xlpm.ligpartie, MATCH($B222, Donnees!$F:$F, 0),
    _xlpm.joueurs, INDEX(Donnees!$A:$Z, _xlpm.ligpartie+1, _xlfn.SEQUENCE(1, 4, 2)),
    INDEX(
      Donnees!$A:$Z,
      _xlpm.ligpartie + 3,
      MATCH(Q$1, _xlpm.joueurs, 0) + 1
    )
  ), ""
)</f>
        <v>1</v>
      </c>
      <c r="R223" t="str" cm="1">
        <f t="array" ref="R223">IFERROR(
  _xlfn.LET(
    _xlpm.ligpartie, MATCH($B222, Donnees!$F:$F, 0),
    _xlpm.joueurs, INDEX(Donnees!$A:$Z, _xlpm.ligpartie+1, _xlfn.SEQUENCE(1, 4, 2)),
    INDEX(
      Donnees!$A:$Z,
      _xlpm.ligpartie + 3,
      MATCH(R$1, _xlpm.joueurs, 0) + 1
    )
  ), ""
)</f>
        <v/>
      </c>
      <c r="S223" t="str" cm="1">
        <f t="array" ref="S223">IFERROR(
  _xlfn.LET(
    _xlpm.ligpartie, MATCH($B222, Donnees!$F:$F, 0),
    _xlpm.joueurs, INDEX(Donnees!$A:$Z, _xlpm.ligpartie+1, _xlfn.SEQUENCE(1, 4, 2)),
    INDEX(
      Donnees!$A:$Z,
      _xlpm.ligpartie + 3,
      MATCH(S$1, _xlpm.joueurs, 0) + 1
    )
  ), ""
)</f>
        <v/>
      </c>
      <c r="T223" t="str" cm="1">
        <f t="array" ref="T223">IFERROR(
  _xlfn.LET(
    _xlpm.ligpartie, MATCH($B222, Donnees!$F:$F, 0),
    _xlpm.joueurs, INDEX(Donnees!$A:$Z, _xlpm.ligpartie+1, _xlfn.SEQUENCE(1, 4, 2)),
    INDEX(
      Donnees!$A:$Z,
      _xlpm.ligpartie + 3,
      MATCH(T$1, _xlpm.joueurs, 0) + 1
    )
  ), ""
)</f>
        <v/>
      </c>
      <c r="U223" t="str" cm="1">
        <f t="array" ref="U223">IFERROR(
  _xlfn.LET(
    _xlpm.ligpartie, MATCH($B222, Donnees!$F:$F, 0),
    _xlpm.joueurs, INDEX(Donnees!$A:$Z, _xlpm.ligpartie+1, _xlfn.SEQUENCE(1, 4, 2)),
    INDEX(
      Donnees!$A:$Z,
      _xlpm.ligpartie + 3,
      MATCH(U$1, _xlpm.joueurs, 0) + 1
    )
  ), ""
)</f>
        <v/>
      </c>
      <c r="V223" t="str" cm="1">
        <f t="array" ref="V223">IFERROR(
  _xlfn.LET(
    _xlpm.ligpartie, MATCH($B222, Donnees!$F:$F, 0),
    _xlpm.joueurs, INDEX(Donnees!$A:$Z, _xlpm.ligpartie+1, _xlfn.SEQUENCE(1, 4, 2)),
    INDEX(
      Donnees!$A:$Z,
      _xlpm.ligpartie + 3,
      MATCH(V$1, _xlpm.joueurs, 0) + 1
    )
  ), ""
)</f>
        <v/>
      </c>
      <c r="W223" t="str" cm="1">
        <f t="array" ref="W223">IFERROR(
  _xlfn.LET(
    _xlpm.ligpartie, MATCH($B222, Donnees!$F:$F, 0),
    _xlpm.joueurs, INDEX(Donnees!$A:$Z, _xlpm.ligpartie+1, _xlfn.SEQUENCE(1, 4, 2)),
    INDEX(
      Donnees!$A:$Z,
      _xlpm.ligpartie + 3,
      MATCH(W$1, _xlpm.joueurs, 0) + 1
    )
  ), ""
)</f>
        <v/>
      </c>
      <c r="X223" t="str" cm="1">
        <f t="array" ref="X223">IFERROR(
  _xlfn.LET(
    _xlpm.ligpartie, MATCH($B222, Donnees!$F:$F, 0),
    _xlpm.joueurs, INDEX(Donnees!$A:$Z, _xlpm.ligpartie+1, _xlfn.SEQUENCE(1, 4, 2)),
    INDEX(
      Donnees!$A:$Z,
      _xlpm.ligpartie + 3,
      MATCH(X$1, _xlpm.joueurs, 0) + 1
    )
  ), ""
)</f>
        <v/>
      </c>
      <c r="Y223" cm="1">
        <f t="array" ref="Y223">IFERROR(
  _xlfn.LET(
    _xlpm.ligpartie, MATCH($B222, Donnees!$F:$F, 0),
    _xlpm.joueurs, INDEX(Donnees!$A:$Z, _xlpm.ligpartie+1, _xlfn.SEQUENCE(1, 4, 2)),
    INDEX(
      Donnees!$A:$Z,
      _xlpm.ligpartie + 3,
      MATCH(Y$1, _xlpm.joueurs, 0) + 1
    )
  ), ""
)</f>
        <v>0</v>
      </c>
      <c r="Z223" t="str" cm="1">
        <f t="array" ref="Z223">IFERROR(
  _xlfn.LET(
    _xlpm.ligpartie, MATCH($B222, Donnees!$F:$F, 0),
    _xlpm.joueurs, INDEX(Donnees!$A:$Z, _xlpm.ligpartie+1, _xlfn.SEQUENCE(1, 4, 2)),
    INDEX(
      Donnees!$A:$Z,
      _xlpm.ligpartie + 3,
      MATCH(Z$1, _xlpm.joueurs, 0) + 1
    )
  ), ""
)</f>
        <v/>
      </c>
      <c r="AA223" t="str" cm="1">
        <f t="array" ref="AA223">IFERROR(
  _xlfn.LET(
    _xlpm.ligpartie, MATCH($B222, Donnees!$F:$F, 0),
    _xlpm.joueurs, INDEX(Donnees!$A:$Z, _xlpm.ligpartie+1, _xlfn.SEQUENCE(1, 4, 2)),
    INDEX(
      Donnees!$A:$Z,
      _xlpm.ligpartie + 3,
      MATCH(AA$1, _xlpm.joueurs, 0) + 1
    )
  ), ""
)</f>
        <v/>
      </c>
      <c r="AB223" t="str" cm="1">
        <f t="array" ref="AB223">IFERROR(
  _xlfn.LET(
    _xlpm.ligpartie, MATCH($B222, Donnees!$F:$F, 0),
    _xlpm.joueurs, INDEX(Donnees!$A:$Z, _xlpm.ligpartie+1, _xlfn.SEQUENCE(1, 4, 2)),
    INDEX(
      Donnees!$A:$Z,
      _xlpm.ligpartie + 3,
      MATCH(AB$1, _xlpm.joueurs, 0) + 1
    )
  ), ""
)</f>
        <v/>
      </c>
      <c r="AC223" t="str" cm="1">
        <f t="array" ref="AC223">IFERROR(
  _xlfn.LET(
    _xlpm.ligpartie, MATCH($B222, Donnees!$F:$F, 0),
    _xlpm.joueurs, INDEX(Donnees!$A:$Z, _xlpm.ligpartie+1, _xlfn.SEQUENCE(1, 4, 2)),
    INDEX(
      Donnees!$A:$Z,
      _xlpm.ligpartie + 3,
      MATCH(AC$1, _xlpm.joueurs, 0) + 1
    )
  ), ""
)</f>
        <v/>
      </c>
      <c r="AD223" cm="1">
        <f t="array" ref="AD223">IFERROR(
  _xlfn.LET(
    _xlpm.ligpartie, MATCH($B222, Donnees!$F:$F, 0),
    _xlpm.joueurs, INDEX(Donnees!$A:$Z, _xlpm.ligpartie+1, _xlfn.SEQUENCE(1, 4, 2)),
    INDEX(
      Donnees!$A:$Z,
      _xlpm.ligpartie + 3,
      MATCH(AD$1, _xlpm.joueurs, 0) + 1
    )
  ), ""
)</f>
        <v>2</v>
      </c>
      <c r="AE223" t="str" cm="1">
        <f t="array" ref="AE223">IFERROR(
  _xlfn.LET(
    _xlpm.ligpartie, MATCH($B222, Donnees!$F:$F, 0),
    _xlpm.joueurs, INDEX(Donnees!$A:$Z, _xlpm.ligpartie+1, _xlfn.SEQUENCE(1, 4, 2)),
    INDEX(
      Donnees!$A:$Z,
      _xlpm.ligpartie + 3,
      MATCH(AE$1, _xlpm.joueurs, 0) + 1
    )
  ), ""
)</f>
        <v/>
      </c>
      <c r="AF223" t="str" cm="1">
        <f t="array" ref="AF223">IFERROR(
  _xlfn.LET(
    _xlpm.ligpartie, MATCH($B222, Donnees!$F:$F, 0),
    _xlpm.joueurs, INDEX(Donnees!$A:$Z, _xlpm.ligpartie+1, _xlfn.SEQUENCE(1, 4, 2)),
    INDEX(
      Donnees!$A:$Z,
      _xlpm.ligpartie + 3,
      MATCH(AF$1, _xlpm.joueurs, 0) + 1
    )
  ), ""
)</f>
        <v/>
      </c>
      <c r="AG223" t="str" cm="1">
        <f t="array" ref="AG223">IFERROR(
  _xlfn.LET(
    _xlpm.ligpartie, MATCH($B222, Donnees!$F:$F, 0),
    _xlpm.joueurs, INDEX(Donnees!$A:$Z, _xlpm.ligpartie+1, _xlfn.SEQUENCE(1, 4, 2)),
    INDEX(
      Donnees!$A:$Z,
      _xlpm.ligpartie + 3,
      MATCH(AG$1, _xlpm.joueurs, 0) + 1
    )
  ), ""
)</f>
        <v/>
      </c>
      <c r="AH223" t="str" cm="1">
        <f t="array" ref="AH223">IFERROR(
  _xlfn.LET(
    _xlpm.ligpartie, MATCH($B222, Donnees!$F:$F, 0),
    _xlpm.joueurs, INDEX(Donnees!$A:$Z, _xlpm.ligpartie+1, _xlfn.SEQUENCE(1, 4, 2)),
    INDEX(
      Donnees!$A:$Z,
      _xlpm.ligpartie + 3,
      MATCH(AH$1, _xlpm.joueurs, 0) + 1
    )
  ), ""
)</f>
        <v/>
      </c>
      <c r="AI223" t="str" cm="1">
        <f t="array" ref="AI223">IFERROR(
  _xlfn.LET(
    _xlpm.ligpartie, MATCH($B222, Donnees!$F:$F, 0),
    _xlpm.joueurs, INDEX(Donnees!$A:$Z, _xlpm.ligpartie+1, _xlfn.SEQUENCE(1, 4, 2)),
    INDEX(
      Donnees!$A:$Z,
      _xlpm.ligpartie + 3,
      MATCH(AI$1, _xlpm.joueurs, 0) + 1
    )
  ), ""
)</f>
        <v/>
      </c>
      <c r="AJ223" t="str" cm="1">
        <f t="array" ref="AJ223">IFERROR(
  _xlfn.LET(
    _xlpm.ligpartie, MATCH($B222, Donnees!$F:$F, 0),
    _xlpm.joueurs, INDEX(Donnees!$A:$Z, _xlpm.ligpartie+1, _xlfn.SEQUENCE(1, 4, 2)),
    INDEX(
      Donnees!$A:$Z,
      _xlpm.ligpartie + 3,
      MATCH(AJ$1, _xlpm.joueurs, 0) + 1
    )
  ), ""
)</f>
        <v/>
      </c>
      <c r="AK223" t="str" cm="1">
        <f t="array" ref="AK223">IFERROR(
  _xlfn.LET(
    _xlpm.ligpartie, MATCH($B222, Donnees!$F:$F, 0),
    _xlpm.joueurs, INDEX(Donnees!$A:$Z, _xlpm.ligpartie+1, _xlfn.SEQUENCE(1, 4, 2)),
    INDEX(
      Donnees!$A:$Z,
      _xlpm.ligpartie + 3,
      MATCH(AK$1, _xlpm.joueurs, 0) + 1
    )
  ), ""
)</f>
        <v/>
      </c>
      <c r="AL223" t="str" cm="1">
        <f t="array" ref="AL223">IFERROR(
  _xlfn.LET(
    _xlpm.ligpartie, MATCH($B222, Donnees!$F:$F, 0),
    _xlpm.joueurs, INDEX(Donnees!$A:$Z, _xlpm.ligpartie+1, _xlfn.SEQUENCE(1, 4, 2)),
    INDEX(
      Donnees!$A:$Z,
      _xlpm.ligpartie + 3,
      MATCH(AL$1, _xlpm.joueurs, 0) + 1
    )
  ), ""
)</f>
        <v/>
      </c>
      <c r="AM223" t="str" cm="1">
        <f t="array" ref="AM223">IFERROR(
  _xlfn.LET(
    _xlpm.ligpartie, MATCH($B222, Donnees!$F:$F, 0),
    _xlpm.joueurs, INDEX(Donnees!$A:$Z, _xlpm.ligpartie+1, _xlfn.SEQUENCE(1, 4, 2)),
    INDEX(
      Donnees!$A:$Z,
      _xlpm.ligpartie + 3,
      MATCH(AM$1, _xlpm.joueurs, 0) + 1
    )
  ), ""
)</f>
        <v/>
      </c>
    </row>
    <row r="224" spans="1:39" x14ac:dyDescent="0.25">
      <c r="A224" t="s">
        <v>20</v>
      </c>
      <c r="D224" t="str" cm="1">
        <f t="array" ref="D224">_xlfn.LET(
  _xlpm.colj, _xlfn._xlws.FILTER(IF(ISNUMBER(223:223), COLUMN(223:223)), ISNUMBER(223:223)),
  _xlpm.elos, INDEX(222:222,1,_xlpm.colj),
  _xlpm.diffscale, Constantes!$B$2,
  IF(D223="",
    "",
    SUM(1/(1+POWER(10,-(D222-_xlpm.elos)/_xlpm.diffscale)))-0.5)
)</f>
        <v/>
      </c>
      <c r="E224" cm="1">
        <f t="array" ref="E224">_xlfn.LET(
  _xlpm.colj, _xlfn._xlws.FILTER(IF(ISNUMBER(223:223), COLUMN(223:223)), ISNUMBER(223:223)),
  _xlpm.elos, INDEX(222:222,1,_xlpm.colj),
  _xlpm.diffscale, Constantes!$B$2,
  IF(E223="",
    "",
    SUM(1/(1+POWER(10,-(E222-_xlpm.elos)/_xlpm.diffscale)))-0.5)
)</f>
        <v>1.8530377967589842</v>
      </c>
      <c r="F224" t="str" cm="1">
        <f t="array" ref="F224">_xlfn.LET(
  _xlpm.colj, _xlfn._xlws.FILTER(IF(ISNUMBER(223:223), COLUMN(223:223)), ISNUMBER(223:223)),
  _xlpm.elos, INDEX(222:222,1,_xlpm.colj),
  _xlpm.diffscale, Constantes!$B$2,
  IF(F223="",
    "",
    SUM(1/(1+POWER(10,-(F222-_xlpm.elos)/_xlpm.diffscale)))-0.5)
)</f>
        <v/>
      </c>
      <c r="G224" t="str" cm="1">
        <f t="array" ref="G224">_xlfn.LET(
  _xlpm.colj, _xlfn._xlws.FILTER(IF(ISNUMBER(223:223), COLUMN(223:223)), ISNUMBER(223:223)),
  _xlpm.elos, INDEX(222:222,1,_xlpm.colj),
  _xlpm.diffscale, Constantes!$B$2,
  IF(G223="",
    "",
    SUM(1/(1+POWER(10,-(G222-_xlpm.elos)/_xlpm.diffscale)))-0.5)
)</f>
        <v/>
      </c>
      <c r="H224" t="str" cm="1">
        <f t="array" ref="H224">_xlfn.LET(
  _xlpm.colj, _xlfn._xlws.FILTER(IF(ISNUMBER(223:223), COLUMN(223:223)), ISNUMBER(223:223)),
  _xlpm.elos, INDEX(222:222,1,_xlpm.colj),
  _xlpm.diffscale, Constantes!$B$2,
  IF(H223="",
    "",
    SUM(1/(1+POWER(10,-(H222-_xlpm.elos)/_xlpm.diffscale)))-0.5)
)</f>
        <v/>
      </c>
      <c r="I224" t="str" cm="1">
        <f t="array" ref="I224">_xlfn.LET(
  _xlpm.colj, _xlfn._xlws.FILTER(IF(ISNUMBER(223:223), COLUMN(223:223)), ISNUMBER(223:223)),
  _xlpm.elos, INDEX(222:222,1,_xlpm.colj),
  _xlpm.diffscale, Constantes!$B$2,
  IF(I223="",
    "",
    SUM(1/(1+POWER(10,-(I222-_xlpm.elos)/_xlpm.diffscale)))-0.5)
)</f>
        <v/>
      </c>
      <c r="J224" t="str" cm="1">
        <f t="array" ref="J224">_xlfn.LET(
  _xlpm.colj, _xlfn._xlws.FILTER(IF(ISNUMBER(223:223), COLUMN(223:223)), ISNUMBER(223:223)),
  _xlpm.elos, INDEX(222:222,1,_xlpm.colj),
  _xlpm.diffscale, Constantes!$B$2,
  IF(J223="",
    "",
    SUM(1/(1+POWER(10,-(J222-_xlpm.elos)/_xlpm.diffscale)))-0.5)
)</f>
        <v/>
      </c>
      <c r="K224" t="str" cm="1">
        <f t="array" ref="K224">_xlfn.LET(
  _xlpm.colj, _xlfn._xlws.FILTER(IF(ISNUMBER(223:223), COLUMN(223:223)), ISNUMBER(223:223)),
  _xlpm.elos, INDEX(222:222,1,_xlpm.colj),
  _xlpm.diffscale, Constantes!$B$2,
  IF(K223="",
    "",
    SUM(1/(1+POWER(10,-(K222-_xlpm.elos)/_xlpm.diffscale)))-0.5)
)</f>
        <v/>
      </c>
      <c r="L224" t="str" cm="1">
        <f t="array" ref="L224">_xlfn.LET(
  _xlpm.colj, _xlfn._xlws.FILTER(IF(ISNUMBER(223:223), COLUMN(223:223)), ISNUMBER(223:223)),
  _xlpm.elos, INDEX(222:222,1,_xlpm.colj),
  _xlpm.diffscale, Constantes!$B$2,
  IF(L223="",
    "",
    SUM(1/(1+POWER(10,-(L222-_xlpm.elos)/_xlpm.diffscale)))-0.5)
)</f>
        <v/>
      </c>
      <c r="M224" t="str" cm="1">
        <f t="array" ref="M224">_xlfn.LET(
  _xlpm.colj, _xlfn._xlws.FILTER(IF(ISNUMBER(223:223), COLUMN(223:223)), ISNUMBER(223:223)),
  _xlpm.elos, INDEX(222:222,1,_xlpm.colj),
  _xlpm.diffscale, Constantes!$B$2,
  IF(M223="",
    "",
    SUM(1/(1+POWER(10,-(M222-_xlpm.elos)/_xlpm.diffscale)))-0.5)
)</f>
        <v/>
      </c>
      <c r="N224" t="str" cm="1">
        <f t="array" ref="N224">_xlfn.LET(
  _xlpm.colj, _xlfn._xlws.FILTER(IF(ISNUMBER(223:223), COLUMN(223:223)), ISNUMBER(223:223)),
  _xlpm.elos, INDEX(222:222,1,_xlpm.colj),
  _xlpm.diffscale, Constantes!$B$2,
  IF(N223="",
    "",
    SUM(1/(1+POWER(10,-(N222-_xlpm.elos)/_xlpm.diffscale)))-0.5)
)</f>
        <v/>
      </c>
      <c r="O224" t="str" cm="1">
        <f t="array" ref="O224">_xlfn.LET(
  _xlpm.colj, _xlfn._xlws.FILTER(IF(ISNUMBER(223:223), COLUMN(223:223)), ISNUMBER(223:223)),
  _xlpm.elos, INDEX(222:222,1,_xlpm.colj),
  _xlpm.diffscale, Constantes!$B$2,
  IF(O223="",
    "",
    SUM(1/(1+POWER(10,-(O222-_xlpm.elos)/_xlpm.diffscale)))-0.5)
)</f>
        <v/>
      </c>
      <c r="P224" t="str" cm="1">
        <f t="array" ref="P224">_xlfn.LET(
  _xlpm.colj, _xlfn._xlws.FILTER(IF(ISNUMBER(223:223), COLUMN(223:223)), ISNUMBER(223:223)),
  _xlpm.elos, INDEX(222:222,1,_xlpm.colj),
  _xlpm.diffscale, Constantes!$B$2,
  IF(P223="",
    "",
    SUM(1/(1+POWER(10,-(P222-_xlpm.elos)/_xlpm.diffscale)))-0.5)
)</f>
        <v/>
      </c>
      <c r="Q224" cm="1">
        <f t="array" ref="Q224">_xlfn.LET(
  _xlpm.colj, _xlfn._xlws.FILTER(IF(ISNUMBER(223:223), COLUMN(223:223)), ISNUMBER(223:223)),
  _xlpm.elos, INDEX(222:222,1,_xlpm.colj),
  _xlpm.diffscale, Constantes!$B$2,
  IF(Q223="",
    "",
    SUM(1/(1+POWER(10,-(Q222-_xlpm.elos)/_xlpm.diffscale)))-0.5)
)</f>
        <v>1.5879820655549279</v>
      </c>
      <c r="R224" t="str" cm="1">
        <f t="array" ref="R224">_xlfn.LET(
  _xlpm.colj, _xlfn._xlws.FILTER(IF(ISNUMBER(223:223), COLUMN(223:223)), ISNUMBER(223:223)),
  _xlpm.elos, INDEX(222:222,1,_xlpm.colj),
  _xlpm.diffscale, Constantes!$B$2,
  IF(R223="",
    "",
    SUM(1/(1+POWER(10,-(R222-_xlpm.elos)/_xlpm.diffscale)))-0.5)
)</f>
        <v/>
      </c>
      <c r="S224" t="str" cm="1">
        <f t="array" ref="S224">_xlfn.LET(
  _xlpm.colj, _xlfn._xlws.FILTER(IF(ISNUMBER(223:223), COLUMN(223:223)), ISNUMBER(223:223)),
  _xlpm.elos, INDEX(222:222,1,_xlpm.colj),
  _xlpm.diffscale, Constantes!$B$2,
  IF(S223="",
    "",
    SUM(1/(1+POWER(10,-(S222-_xlpm.elos)/_xlpm.diffscale)))-0.5)
)</f>
        <v/>
      </c>
      <c r="T224" t="str" cm="1">
        <f t="array" ref="T224">_xlfn.LET(
  _xlpm.colj, _xlfn._xlws.FILTER(IF(ISNUMBER(223:223), COLUMN(223:223)), ISNUMBER(223:223)),
  _xlpm.elos, INDEX(222:222,1,_xlpm.colj),
  _xlpm.diffscale, Constantes!$B$2,
  IF(T223="",
    "",
    SUM(1/(1+POWER(10,-(T222-_xlpm.elos)/_xlpm.diffscale)))-0.5)
)</f>
        <v/>
      </c>
      <c r="U224" t="str" cm="1">
        <f t="array" ref="U224">_xlfn.LET(
  _xlpm.colj, _xlfn._xlws.FILTER(IF(ISNUMBER(223:223), COLUMN(223:223)), ISNUMBER(223:223)),
  _xlpm.elos, INDEX(222:222,1,_xlpm.colj),
  _xlpm.diffscale, Constantes!$B$2,
  IF(U223="",
    "",
    SUM(1/(1+POWER(10,-(U222-_xlpm.elos)/_xlpm.diffscale)))-0.5)
)</f>
        <v/>
      </c>
      <c r="V224" t="str" cm="1">
        <f t="array" ref="V224">_xlfn.LET(
  _xlpm.colj, _xlfn._xlws.FILTER(IF(ISNUMBER(223:223), COLUMN(223:223)), ISNUMBER(223:223)),
  _xlpm.elos, INDEX(222:222,1,_xlpm.colj),
  _xlpm.diffscale, Constantes!$B$2,
  IF(V223="",
    "",
    SUM(1/(1+POWER(10,-(V222-_xlpm.elos)/_xlpm.diffscale)))-0.5)
)</f>
        <v/>
      </c>
      <c r="W224" t="str" cm="1">
        <f t="array" ref="W224">_xlfn.LET(
  _xlpm.colj, _xlfn._xlws.FILTER(IF(ISNUMBER(223:223), COLUMN(223:223)), ISNUMBER(223:223)),
  _xlpm.elos, INDEX(222:222,1,_xlpm.colj),
  _xlpm.diffscale, Constantes!$B$2,
  IF(W223="",
    "",
    SUM(1/(1+POWER(10,-(W222-_xlpm.elos)/_xlpm.diffscale)))-0.5)
)</f>
        <v/>
      </c>
      <c r="X224" t="str" cm="1">
        <f t="array" ref="X224">_xlfn.LET(
  _xlpm.colj, _xlfn._xlws.FILTER(IF(ISNUMBER(223:223), COLUMN(223:223)), ISNUMBER(223:223)),
  _xlpm.elos, INDEX(222:222,1,_xlpm.colj),
  _xlpm.diffscale, Constantes!$B$2,
  IF(X223="",
    "",
    SUM(1/(1+POWER(10,-(X222-_xlpm.elos)/_xlpm.diffscale)))-0.5)
)</f>
        <v/>
      </c>
      <c r="Y224" cm="1">
        <f t="array" ref="Y224">_xlfn.LET(
  _xlpm.colj, _xlfn._xlws.FILTER(IF(ISNUMBER(223:223), COLUMN(223:223)), ISNUMBER(223:223)),
  _xlpm.elos, INDEX(222:222,1,_xlpm.colj),
  _xlpm.diffscale, Constantes!$B$2,
  IF(Y223="",
    "",
    SUM(1/(1+POWER(10,-(Y222-_xlpm.elos)/_xlpm.diffscale)))-0.5)
)</f>
        <v>1.0828782970792483</v>
      </c>
      <c r="Z224" t="str" cm="1">
        <f t="array" ref="Z224">_xlfn.LET(
  _xlpm.colj, _xlfn._xlws.FILTER(IF(ISNUMBER(223:223), COLUMN(223:223)), ISNUMBER(223:223)),
  _xlpm.elos, INDEX(222:222,1,_xlpm.colj),
  _xlpm.diffscale, Constantes!$B$2,
  IF(Z223="",
    "",
    SUM(1/(1+POWER(10,-(Z222-_xlpm.elos)/_xlpm.diffscale)))-0.5)
)</f>
        <v/>
      </c>
      <c r="AA224" t="str" cm="1">
        <f t="array" ref="AA224">_xlfn.LET(
  _xlpm.colj, _xlfn._xlws.FILTER(IF(ISNUMBER(223:223), COLUMN(223:223)), ISNUMBER(223:223)),
  _xlpm.elos, INDEX(222:222,1,_xlpm.colj),
  _xlpm.diffscale, Constantes!$B$2,
  IF(AA223="",
    "",
    SUM(1/(1+POWER(10,-(AA222-_xlpm.elos)/_xlpm.diffscale)))-0.5)
)</f>
        <v/>
      </c>
      <c r="AB224" t="str" cm="1">
        <f t="array" ref="AB224">_xlfn.LET(
  _xlpm.colj, _xlfn._xlws.FILTER(IF(ISNUMBER(223:223), COLUMN(223:223)), ISNUMBER(223:223)),
  _xlpm.elos, INDEX(222:222,1,_xlpm.colj),
  _xlpm.diffscale, Constantes!$B$2,
  IF(AB223="",
    "",
    SUM(1/(1+POWER(10,-(AB222-_xlpm.elos)/_xlpm.diffscale)))-0.5)
)</f>
        <v/>
      </c>
      <c r="AC224" t="str" cm="1">
        <f t="array" ref="AC224">_xlfn.LET(
  _xlpm.colj, _xlfn._xlws.FILTER(IF(ISNUMBER(223:223), COLUMN(223:223)), ISNUMBER(223:223)),
  _xlpm.elos, INDEX(222:222,1,_xlpm.colj),
  _xlpm.diffscale, Constantes!$B$2,
  IF(AC223="",
    "",
    SUM(1/(1+POWER(10,-(AC222-_xlpm.elos)/_xlpm.diffscale)))-0.5)
)</f>
        <v/>
      </c>
      <c r="AD224" cm="1">
        <f t="array" ref="AD224">_xlfn.LET(
  _xlpm.colj, _xlfn._xlws.FILTER(IF(ISNUMBER(223:223), COLUMN(223:223)), ISNUMBER(223:223)),
  _xlpm.elos, INDEX(222:222,1,_xlpm.colj),
  _xlpm.diffscale, Constantes!$B$2,
  IF(AD223="",
    "",
    SUM(1/(1+POWER(10,-(AD222-_xlpm.elos)/_xlpm.diffscale)))-0.5)
)</f>
        <v>1.4761018406068396</v>
      </c>
      <c r="AE224" t="str" cm="1">
        <f t="array" ref="AE224">_xlfn.LET(
  _xlpm.colj, _xlfn._xlws.FILTER(IF(ISNUMBER(223:223), COLUMN(223:223)), ISNUMBER(223:223)),
  _xlpm.elos, INDEX(222:222,1,_xlpm.colj),
  _xlpm.diffscale, Constantes!$B$2,
  IF(AE223="",
    "",
    SUM(1/(1+POWER(10,-(AE222-_xlpm.elos)/_xlpm.diffscale)))-0.5)
)</f>
        <v/>
      </c>
      <c r="AF224" t="str" cm="1">
        <f t="array" ref="AF224">_xlfn.LET(
  _xlpm.colj, _xlfn._xlws.FILTER(IF(ISNUMBER(223:223), COLUMN(223:223)), ISNUMBER(223:223)),
  _xlpm.elos, INDEX(222:222,1,_xlpm.colj),
  _xlpm.diffscale, Constantes!$B$2,
  IF(AF223="",
    "",
    SUM(1/(1+POWER(10,-(AF222-_xlpm.elos)/_xlpm.diffscale)))-0.5)
)</f>
        <v/>
      </c>
      <c r="AG224" t="str" cm="1">
        <f t="array" ref="AG224">_xlfn.LET(
  _xlpm.colj, _xlfn._xlws.FILTER(IF(ISNUMBER(223:223), COLUMN(223:223)), ISNUMBER(223:223)),
  _xlpm.elos, INDEX(222:222,1,_xlpm.colj),
  _xlpm.diffscale, Constantes!$B$2,
  IF(AG223="",
    "",
    SUM(1/(1+POWER(10,-(AG222-_xlpm.elos)/_xlpm.diffscale)))-0.5)
)</f>
        <v/>
      </c>
      <c r="AH224" t="str" cm="1">
        <f t="array" ref="AH224">_xlfn.LET(
  _xlpm.colj, _xlfn._xlws.FILTER(IF(ISNUMBER(223:223), COLUMN(223:223)), ISNUMBER(223:223)),
  _xlpm.elos, INDEX(222:222,1,_xlpm.colj),
  _xlpm.diffscale, Constantes!$B$2,
  IF(AH223="",
    "",
    SUM(1/(1+POWER(10,-(AH222-_xlpm.elos)/_xlpm.diffscale)))-0.5)
)</f>
        <v/>
      </c>
      <c r="AI224" t="str" cm="1">
        <f t="array" ref="AI224">_xlfn.LET(
  _xlpm.colj, _xlfn._xlws.FILTER(IF(ISNUMBER(223:223), COLUMN(223:223)), ISNUMBER(223:223)),
  _xlpm.elos, INDEX(222:222,1,_xlpm.colj),
  _xlpm.diffscale, Constantes!$B$2,
  IF(AI223="",
    "",
    SUM(1/(1+POWER(10,-(AI222-_xlpm.elos)/_xlpm.diffscale)))-0.5)
)</f>
        <v/>
      </c>
      <c r="AJ224" t="str" cm="1">
        <f t="array" ref="AJ224">_xlfn.LET(
  _xlpm.colj, _xlfn._xlws.FILTER(IF(ISNUMBER(223:223), COLUMN(223:223)), ISNUMBER(223:223)),
  _xlpm.elos, INDEX(222:222,1,_xlpm.colj),
  _xlpm.diffscale, Constantes!$B$2,
  IF(AJ223="",
    "",
    SUM(1/(1+POWER(10,-(AJ222-_xlpm.elos)/_xlpm.diffscale)))-0.5)
)</f>
        <v/>
      </c>
      <c r="AK224" t="str" cm="1">
        <f t="array" ref="AK224">_xlfn.LET(
  _xlpm.colj, _xlfn._xlws.FILTER(IF(ISNUMBER(223:223), COLUMN(223:223)), ISNUMBER(223:223)),
  _xlpm.elos, INDEX(222:222,1,_xlpm.colj),
  _xlpm.diffscale, Constantes!$B$2,
  IF(AK223="",
    "",
    SUM(1/(1+POWER(10,-(AK222-_xlpm.elos)/_xlpm.diffscale)))-0.5)
)</f>
        <v/>
      </c>
      <c r="AL224" t="str" cm="1">
        <f t="array" ref="AL224">_xlfn.LET(
  _xlpm.colj, _xlfn._xlws.FILTER(IF(ISNUMBER(223:223), COLUMN(223:223)), ISNUMBER(223:223)),
  _xlpm.elos, INDEX(222:222,1,_xlpm.colj),
  _xlpm.diffscale, Constantes!$B$2,
  IF(AL223="",
    "",
    SUM(1/(1+POWER(10,-(AL222-_xlpm.elos)/_xlpm.diffscale)))-0.5)
)</f>
        <v/>
      </c>
      <c r="AM224" t="str" cm="1">
        <f t="array" ref="AM224">_xlfn.LET(
  _xlpm.colj, _xlfn._xlws.FILTER(IF(ISNUMBER(223:223), COLUMN(223:223)), ISNUMBER(223:223)),
  _xlpm.elos, INDEX(222:222,1,_xlpm.colj),
  _xlpm.diffscale, Constantes!$B$2,
  IF(AM223="",
    "",
    SUM(1/(1+POWER(10,-(AM222-_xlpm.elos)/_xlpm.diffscale)))-0.5)
)</f>
        <v/>
      </c>
    </row>
    <row r="225" spans="1:39" x14ac:dyDescent="0.25">
      <c r="A225" t="s">
        <v>22</v>
      </c>
      <c r="D225" t="str" cm="1">
        <f t="array" ref="D225">_xlfn.LET(
  _xlpm.K, Constantes!$B$3,
  _xlpm.Knewgain, Constantes!$B$4,
  _xlpm.Knewscale, Constantes!$B$5,
  _xlpm.ptstables, INDEX(D:D, _xlfn.SEQUENCE(COUNTA($C$2:$C225), 1, 3, 4)),
  _xlpm.nbparties, COUNTA(_xlfn._xlws.FILTER(_xlpm.ptstables, _xlpm.ptstables &lt;&gt; "")),
  _xlpm.coef, _xlpm.K + _xlpm.Knewgain / (_xlpm.Knewscale + _xlpm.nbparties),
  IF(D223="",
    "",
    _xlpm.coef * (D223-D224))
)</f>
        <v/>
      </c>
      <c r="E225" cm="1">
        <f t="array" ref="E225">_xlfn.LET(
  _xlpm.K, Constantes!$B$3,
  _xlpm.Knewgain, Constantes!$B$4,
  _xlpm.Knewscale, Constantes!$B$5,
  _xlpm.ptstables, INDEX(E:E, _xlfn.SEQUENCE(COUNTA($C$2:$C225), 1, 3, 4)),
  _xlpm.nbparties, COUNTA(_xlfn._xlws.FILTER(_xlpm.ptstables, _xlpm.ptstables &lt;&gt; "")),
  _xlpm.coef, _xlpm.K + _xlpm.Knewgain / (_xlpm.Knewscale + _xlpm.nbparties),
  IF(E223="",
    "",
    _xlpm.coef * (E223-E224))
)</f>
        <v>26.523500949948492</v>
      </c>
      <c r="F225" t="str" cm="1">
        <f t="array" ref="F225">_xlfn.LET(
  _xlpm.K, Constantes!$B$3,
  _xlpm.Knewgain, Constantes!$B$4,
  _xlpm.Knewscale, Constantes!$B$5,
  _xlpm.ptstables, INDEX(F:F, _xlfn.SEQUENCE(COUNTA($C$2:$C225), 1, 3, 4)),
  _xlpm.nbparties, COUNTA(_xlfn._xlws.FILTER(_xlpm.ptstables, _xlpm.ptstables &lt;&gt; "")),
  _xlpm.coef, _xlpm.K + _xlpm.Knewgain / (_xlpm.Knewscale + _xlpm.nbparties),
  IF(F223="",
    "",
    _xlpm.coef * (F223-F224))
)</f>
        <v/>
      </c>
      <c r="G225" t="str" cm="1">
        <f t="array" ref="G225">_xlfn.LET(
  _xlpm.K, Constantes!$B$3,
  _xlpm.Knewgain, Constantes!$B$4,
  _xlpm.Knewscale, Constantes!$B$5,
  _xlpm.ptstables, INDEX(G:G, _xlfn.SEQUENCE(COUNTA($C$2:$C225), 1, 3, 4)),
  _xlpm.nbparties, COUNTA(_xlfn._xlws.FILTER(_xlpm.ptstables, _xlpm.ptstables &lt;&gt; "")),
  _xlpm.coef, _xlpm.K + _xlpm.Knewgain / (_xlpm.Knewscale + _xlpm.nbparties),
  IF(G223="",
    "",
    _xlpm.coef * (G223-G224))
)</f>
        <v/>
      </c>
      <c r="H225" t="str" cm="1">
        <f t="array" ref="H225">_xlfn.LET(
  _xlpm.K, Constantes!$B$3,
  _xlpm.Knewgain, Constantes!$B$4,
  _xlpm.Knewscale, Constantes!$B$5,
  _xlpm.ptstables, INDEX(H:H, _xlfn.SEQUENCE(COUNTA($C$2:$C225), 1, 3, 4)),
  _xlpm.nbparties, COUNTA(_xlfn._xlws.FILTER(_xlpm.ptstables, _xlpm.ptstables &lt;&gt; "")),
  _xlpm.coef, _xlpm.K + _xlpm.Knewgain / (_xlpm.Knewscale + _xlpm.nbparties),
  IF(H223="",
    "",
    _xlpm.coef * (H223-H224))
)</f>
        <v/>
      </c>
      <c r="I225" t="str" cm="1">
        <f t="array" ref="I225">_xlfn.LET(
  _xlpm.K, Constantes!$B$3,
  _xlpm.Knewgain, Constantes!$B$4,
  _xlpm.Knewscale, Constantes!$B$5,
  _xlpm.ptstables, INDEX(I:I, _xlfn.SEQUENCE(COUNTA($C$2:$C225), 1, 3, 4)),
  _xlpm.nbparties, COUNTA(_xlfn._xlws.FILTER(_xlpm.ptstables, _xlpm.ptstables &lt;&gt; "")),
  _xlpm.coef, _xlpm.K + _xlpm.Knewgain / (_xlpm.Knewscale + _xlpm.nbparties),
  IF(I223="",
    "",
    _xlpm.coef * (I223-I224))
)</f>
        <v/>
      </c>
      <c r="J225" t="str" cm="1">
        <f t="array" ref="J225">_xlfn.LET(
  _xlpm.K, Constantes!$B$3,
  _xlpm.Knewgain, Constantes!$B$4,
  _xlpm.Knewscale, Constantes!$B$5,
  _xlpm.ptstables, INDEX(J:J, _xlfn.SEQUENCE(COUNTA($C$2:$C225), 1, 3, 4)),
  _xlpm.nbparties, COUNTA(_xlfn._xlws.FILTER(_xlpm.ptstables, _xlpm.ptstables &lt;&gt; "")),
  _xlpm.coef, _xlpm.K + _xlpm.Knewgain / (_xlpm.Knewscale + _xlpm.nbparties),
  IF(J223="",
    "",
    _xlpm.coef * (J223-J224))
)</f>
        <v/>
      </c>
      <c r="K225" t="str" cm="1">
        <f t="array" ref="K225">_xlfn.LET(
  _xlpm.K, Constantes!$B$3,
  _xlpm.Knewgain, Constantes!$B$4,
  _xlpm.Knewscale, Constantes!$B$5,
  _xlpm.ptstables, INDEX(K:K, _xlfn.SEQUENCE(COUNTA($C$2:$C225), 1, 3, 4)),
  _xlpm.nbparties, COUNTA(_xlfn._xlws.FILTER(_xlpm.ptstables, _xlpm.ptstables &lt;&gt; "")),
  _xlpm.coef, _xlpm.K + _xlpm.Knewgain / (_xlpm.Knewscale + _xlpm.nbparties),
  IF(K223="",
    "",
    _xlpm.coef * (K223-K224))
)</f>
        <v/>
      </c>
      <c r="L225" t="str" cm="1">
        <f t="array" ref="L225">_xlfn.LET(
  _xlpm.K, Constantes!$B$3,
  _xlpm.Knewgain, Constantes!$B$4,
  _xlpm.Knewscale, Constantes!$B$5,
  _xlpm.ptstables, INDEX(L:L, _xlfn.SEQUENCE(COUNTA($C$2:$C225), 1, 3, 4)),
  _xlpm.nbparties, COUNTA(_xlfn._xlws.FILTER(_xlpm.ptstables, _xlpm.ptstables &lt;&gt; "")),
  _xlpm.coef, _xlpm.K + _xlpm.Knewgain / (_xlpm.Knewscale + _xlpm.nbparties),
  IF(L223="",
    "",
    _xlpm.coef * (L223-L224))
)</f>
        <v/>
      </c>
      <c r="M225" t="str" cm="1">
        <f t="array" ref="M225">_xlfn.LET(
  _xlpm.K, Constantes!$B$3,
  _xlpm.Knewgain, Constantes!$B$4,
  _xlpm.Knewscale, Constantes!$B$5,
  _xlpm.ptstables, INDEX(M:M, _xlfn.SEQUENCE(COUNTA($C$2:$C225), 1, 3, 4)),
  _xlpm.nbparties, COUNTA(_xlfn._xlws.FILTER(_xlpm.ptstables, _xlpm.ptstables &lt;&gt; "")),
  _xlpm.coef, _xlpm.K + _xlpm.Knewgain / (_xlpm.Knewscale + _xlpm.nbparties),
  IF(M223="",
    "",
    _xlpm.coef * (M223-M224))
)</f>
        <v/>
      </c>
      <c r="N225" t="str" cm="1">
        <f t="array" ref="N225">_xlfn.LET(
  _xlpm.K, Constantes!$B$3,
  _xlpm.Knewgain, Constantes!$B$4,
  _xlpm.Knewscale, Constantes!$B$5,
  _xlpm.ptstables, INDEX(N:N, _xlfn.SEQUENCE(COUNTA($C$2:$C225), 1, 3, 4)),
  _xlpm.nbparties, COUNTA(_xlfn._xlws.FILTER(_xlpm.ptstables, _xlpm.ptstables &lt;&gt; "")),
  _xlpm.coef, _xlpm.K + _xlpm.Knewgain / (_xlpm.Knewscale + _xlpm.nbparties),
  IF(N223="",
    "",
    _xlpm.coef * (N223-N224))
)</f>
        <v/>
      </c>
      <c r="O225" t="str" cm="1">
        <f t="array" ref="O225">_xlfn.LET(
  _xlpm.K, Constantes!$B$3,
  _xlpm.Knewgain, Constantes!$B$4,
  _xlpm.Knewscale, Constantes!$B$5,
  _xlpm.ptstables, INDEX(O:O, _xlfn.SEQUENCE(COUNTA($C$2:$C225), 1, 3, 4)),
  _xlpm.nbparties, COUNTA(_xlfn._xlws.FILTER(_xlpm.ptstables, _xlpm.ptstables &lt;&gt; "")),
  _xlpm.coef, _xlpm.K + _xlpm.Knewgain / (_xlpm.Knewscale + _xlpm.nbparties),
  IF(O223="",
    "",
    _xlpm.coef * (O223-O224))
)</f>
        <v/>
      </c>
      <c r="P225" t="str" cm="1">
        <f t="array" ref="P225">_xlfn.LET(
  _xlpm.K, Constantes!$B$3,
  _xlpm.Knewgain, Constantes!$B$4,
  _xlpm.Knewscale, Constantes!$B$5,
  _xlpm.ptstables, INDEX(P:P, _xlfn.SEQUENCE(COUNTA($C$2:$C225), 1, 3, 4)),
  _xlpm.nbparties, COUNTA(_xlfn._xlws.FILTER(_xlpm.ptstables, _xlpm.ptstables &lt;&gt; "")),
  _xlpm.coef, _xlpm.K + _xlpm.Knewgain / (_xlpm.Knewscale + _xlpm.nbparties),
  IF(P223="",
    "",
    _xlpm.coef * (P223-P224))
)</f>
        <v/>
      </c>
      <c r="Q225" cm="1">
        <f t="array" ref="Q225">_xlfn.LET(
  _xlpm.K, Constantes!$B$3,
  _xlpm.Knewgain, Constantes!$B$4,
  _xlpm.Knewscale, Constantes!$B$5,
  _xlpm.ptstables, INDEX(Q:Q, _xlfn.SEQUENCE(COUNTA($C$2:$C225), 1, 3, 4)),
  _xlpm.nbparties, COUNTA(_xlfn._xlws.FILTER(_xlpm.ptstables, _xlpm.ptstables &lt;&gt; "")),
  _xlpm.coef, _xlpm.K + _xlpm.Knewgain / (_xlpm.Knewscale + _xlpm.nbparties),
  IF(Q223="",
    "",
    _xlpm.coef * (Q223-Q224))
)</f>
        <v>-13.719581529614985</v>
      </c>
      <c r="R225" t="str" cm="1">
        <f t="array" ref="R225">_xlfn.LET(
  _xlpm.K, Constantes!$B$3,
  _xlpm.Knewgain, Constantes!$B$4,
  _xlpm.Knewscale, Constantes!$B$5,
  _xlpm.ptstables, INDEX(R:R, _xlfn.SEQUENCE(COUNTA($C$2:$C225), 1, 3, 4)),
  _xlpm.nbparties, COUNTA(_xlfn._xlws.FILTER(_xlpm.ptstables, _xlpm.ptstables &lt;&gt; "")),
  _xlpm.coef, _xlpm.K + _xlpm.Knewgain / (_xlpm.Knewscale + _xlpm.nbparties),
  IF(R223="",
    "",
    _xlpm.coef * (R223-R224))
)</f>
        <v/>
      </c>
      <c r="S225" t="str" cm="1">
        <f t="array" ref="S225">_xlfn.LET(
  _xlpm.K, Constantes!$B$3,
  _xlpm.Knewgain, Constantes!$B$4,
  _xlpm.Knewscale, Constantes!$B$5,
  _xlpm.ptstables, INDEX(S:S, _xlfn.SEQUENCE(COUNTA($C$2:$C225), 1, 3, 4)),
  _xlpm.nbparties, COUNTA(_xlfn._xlws.FILTER(_xlpm.ptstables, _xlpm.ptstables &lt;&gt; "")),
  _xlpm.coef, _xlpm.K + _xlpm.Knewgain / (_xlpm.Knewscale + _xlpm.nbparties),
  IF(S223="",
    "",
    _xlpm.coef * (S223-S224))
)</f>
        <v/>
      </c>
      <c r="T225" t="str" cm="1">
        <f t="array" ref="T225">_xlfn.LET(
  _xlpm.K, Constantes!$B$3,
  _xlpm.Knewgain, Constantes!$B$4,
  _xlpm.Knewscale, Constantes!$B$5,
  _xlpm.ptstables, INDEX(T:T, _xlfn.SEQUENCE(COUNTA($C$2:$C225), 1, 3, 4)),
  _xlpm.nbparties, COUNTA(_xlfn._xlws.FILTER(_xlpm.ptstables, _xlpm.ptstables &lt;&gt; "")),
  _xlpm.coef, _xlpm.K + _xlpm.Knewgain / (_xlpm.Knewscale + _xlpm.nbparties),
  IF(T223="",
    "",
    _xlpm.coef * (T223-T224))
)</f>
        <v/>
      </c>
      <c r="U225" t="str" cm="1">
        <f t="array" ref="U225">_xlfn.LET(
  _xlpm.K, Constantes!$B$3,
  _xlpm.Knewgain, Constantes!$B$4,
  _xlpm.Knewscale, Constantes!$B$5,
  _xlpm.ptstables, INDEX(U:U, _xlfn.SEQUENCE(COUNTA($C$2:$C225), 1, 3, 4)),
  _xlpm.nbparties, COUNTA(_xlfn._xlws.FILTER(_xlpm.ptstables, _xlpm.ptstables &lt;&gt; "")),
  _xlpm.coef, _xlpm.K + _xlpm.Knewgain / (_xlpm.Knewscale + _xlpm.nbparties),
  IF(U223="",
    "",
    _xlpm.coef * (U223-U224))
)</f>
        <v/>
      </c>
      <c r="V225" t="str" cm="1">
        <f t="array" ref="V225">_xlfn.LET(
  _xlpm.K, Constantes!$B$3,
  _xlpm.Knewgain, Constantes!$B$4,
  _xlpm.Knewscale, Constantes!$B$5,
  _xlpm.ptstables, INDEX(V:V, _xlfn.SEQUENCE(COUNTA($C$2:$C225), 1, 3, 4)),
  _xlpm.nbparties, COUNTA(_xlfn._xlws.FILTER(_xlpm.ptstables, _xlpm.ptstables &lt;&gt; "")),
  _xlpm.coef, _xlpm.K + _xlpm.Knewgain / (_xlpm.Knewscale + _xlpm.nbparties),
  IF(V223="",
    "",
    _xlpm.coef * (V223-V224))
)</f>
        <v/>
      </c>
      <c r="W225" t="str" cm="1">
        <f t="array" ref="W225">_xlfn.LET(
  _xlpm.K, Constantes!$B$3,
  _xlpm.Knewgain, Constantes!$B$4,
  _xlpm.Knewscale, Constantes!$B$5,
  _xlpm.ptstables, INDEX(W:W, _xlfn.SEQUENCE(COUNTA($C$2:$C225), 1, 3, 4)),
  _xlpm.nbparties, COUNTA(_xlfn._xlws.FILTER(_xlpm.ptstables, _xlpm.ptstables &lt;&gt; "")),
  _xlpm.coef, _xlpm.K + _xlpm.Knewgain / (_xlpm.Knewscale + _xlpm.nbparties),
  IF(W223="",
    "",
    _xlpm.coef * (W223-W224))
)</f>
        <v/>
      </c>
      <c r="X225" t="str" cm="1">
        <f t="array" ref="X225">_xlfn.LET(
  _xlpm.K, Constantes!$B$3,
  _xlpm.Knewgain, Constantes!$B$4,
  _xlpm.Knewscale, Constantes!$B$5,
  _xlpm.ptstables, INDEX(X:X, _xlfn.SEQUENCE(COUNTA($C$2:$C225), 1, 3, 4)),
  _xlpm.nbparties, COUNTA(_xlfn._xlws.FILTER(_xlpm.ptstables, _xlpm.ptstables &lt;&gt; "")),
  _xlpm.coef, _xlpm.K + _xlpm.Knewgain / (_xlpm.Knewscale + _xlpm.nbparties),
  IF(X223="",
    "",
    _xlpm.coef * (X223-X224))
)</f>
        <v/>
      </c>
      <c r="Y225" cm="1">
        <f t="array" ref="Y225">_xlfn.LET(
  _xlpm.K, Constantes!$B$3,
  _xlpm.Knewgain, Constantes!$B$4,
  _xlpm.Knewscale, Constantes!$B$5,
  _xlpm.ptstables, INDEX(Y:Y, _xlfn.SEQUENCE(COUNTA($C$2:$C225), 1, 3, 4)),
  _xlpm.nbparties, COUNTA(_xlfn._xlws.FILTER(_xlpm.ptstables, _xlpm.ptstables &lt;&gt; "")),
  _xlpm.coef, _xlpm.K + _xlpm.Knewgain / (_xlpm.Knewscale + _xlpm.nbparties),
  IF(Y223="",
    "",
    _xlpm.coef * (Y223-Y224))
)</f>
        <v>-26.169558846081834</v>
      </c>
      <c r="Z225" t="str" cm="1">
        <f t="array" ref="Z225">_xlfn.LET(
  _xlpm.K, Constantes!$B$3,
  _xlpm.Knewgain, Constantes!$B$4,
  _xlpm.Knewscale, Constantes!$B$5,
  _xlpm.ptstables, INDEX(Z:Z, _xlfn.SEQUENCE(COUNTA($C$2:$C225), 1, 3, 4)),
  _xlpm.nbparties, COUNTA(_xlfn._xlws.FILTER(_xlpm.ptstables, _xlpm.ptstables &lt;&gt; "")),
  _xlpm.coef, _xlpm.K + _xlpm.Knewgain / (_xlpm.Knewscale + _xlpm.nbparties),
  IF(Z223="",
    "",
    _xlpm.coef * (Z223-Z224))
)</f>
        <v/>
      </c>
      <c r="AA225" t="str" cm="1">
        <f t="array" ref="AA225">_xlfn.LET(
  _xlpm.K, Constantes!$B$3,
  _xlpm.Knewgain, Constantes!$B$4,
  _xlpm.Knewscale, Constantes!$B$5,
  _xlpm.ptstables, INDEX(AA:AA, _xlfn.SEQUENCE(COUNTA($C$2:$C225), 1, 3, 4)),
  _xlpm.nbparties, COUNTA(_xlfn._xlws.FILTER(_xlpm.ptstables, _xlpm.ptstables &lt;&gt; "")),
  _xlpm.coef, _xlpm.K + _xlpm.Knewgain / (_xlpm.Knewscale + _xlpm.nbparties),
  IF(AA223="",
    "",
    _xlpm.coef * (AA223-AA224))
)</f>
        <v/>
      </c>
      <c r="AB225" t="str" cm="1">
        <f t="array" ref="AB225">_xlfn.LET(
  _xlpm.K, Constantes!$B$3,
  _xlpm.Knewgain, Constantes!$B$4,
  _xlpm.Knewscale, Constantes!$B$5,
  _xlpm.ptstables, INDEX(AB:AB, _xlfn.SEQUENCE(COUNTA($C$2:$C225), 1, 3, 4)),
  _xlpm.nbparties, COUNTA(_xlfn._xlws.FILTER(_xlpm.ptstables, _xlpm.ptstables &lt;&gt; "")),
  _xlpm.coef, _xlpm.K + _xlpm.Knewgain / (_xlpm.Knewscale + _xlpm.nbparties),
  IF(AB223="",
    "",
    _xlpm.coef * (AB223-AB224))
)</f>
        <v/>
      </c>
      <c r="AC225" t="str" cm="1">
        <f t="array" ref="AC225">_xlfn.LET(
  _xlpm.K, Constantes!$B$3,
  _xlpm.Knewgain, Constantes!$B$4,
  _xlpm.Knewscale, Constantes!$B$5,
  _xlpm.ptstables, INDEX(AC:AC, _xlfn.SEQUENCE(COUNTA($C$2:$C225), 1, 3, 4)),
  _xlpm.nbparties, COUNTA(_xlfn._xlws.FILTER(_xlpm.ptstables, _xlpm.ptstables &lt;&gt; "")),
  _xlpm.coef, _xlpm.K + _xlpm.Knewgain / (_xlpm.Knewscale + _xlpm.nbparties),
  IF(AC223="",
    "",
    _xlpm.coef * (AC223-AC224))
)</f>
        <v/>
      </c>
      <c r="AD225" cm="1">
        <f t="array" ref="AD225">_xlfn.LET(
  _xlpm.K, Constantes!$B$3,
  _xlpm.Knewgain, Constantes!$B$4,
  _xlpm.Knewscale, Constantes!$B$5,
  _xlpm.ptstables, INDEX(AD:AD, _xlfn.SEQUENCE(COUNTA($C$2:$C225), 1, 3, 4)),
  _xlpm.nbparties, COUNTA(_xlfn._xlws.FILTER(_xlpm.ptstables, _xlpm.ptstables &lt;&gt; "")),
  _xlpm.coef, _xlpm.K + _xlpm.Knewgain / (_xlpm.Knewscale + _xlpm.nbparties),
  IF(AD223="",
    "",
    _xlpm.coef * (AD223-AD224))
)</f>
        <v>17.026690180277715</v>
      </c>
      <c r="AE225" t="str" cm="1">
        <f t="array" ref="AE225">_xlfn.LET(
  _xlpm.K, Constantes!$B$3,
  _xlpm.Knewgain, Constantes!$B$4,
  _xlpm.Knewscale, Constantes!$B$5,
  _xlpm.ptstables, INDEX(AE:AE, _xlfn.SEQUENCE(COUNTA($C$2:$C225), 1, 3, 4)),
  _xlpm.nbparties, COUNTA(_xlfn._xlws.FILTER(_xlpm.ptstables, _xlpm.ptstables &lt;&gt; "")),
  _xlpm.coef, _xlpm.K + _xlpm.Knewgain / (_xlpm.Knewscale + _xlpm.nbparties),
  IF(AE223="",
    "",
    _xlpm.coef * (AE223-AE224))
)</f>
        <v/>
      </c>
      <c r="AF225" t="str" cm="1">
        <f t="array" ref="AF225">_xlfn.LET(
  _xlpm.K, Constantes!$B$3,
  _xlpm.Knewgain, Constantes!$B$4,
  _xlpm.Knewscale, Constantes!$B$5,
  _xlpm.ptstables, INDEX(AF:AF, _xlfn.SEQUENCE(COUNTA($C$2:$C225), 1, 3, 4)),
  _xlpm.nbparties, COUNTA(_xlfn._xlws.FILTER(_xlpm.ptstables, _xlpm.ptstables &lt;&gt; "")),
  _xlpm.coef, _xlpm.K + _xlpm.Knewgain / (_xlpm.Knewscale + _xlpm.nbparties),
  IF(AF223="",
    "",
    _xlpm.coef * (AF223-AF224))
)</f>
        <v/>
      </c>
      <c r="AG225" t="str" cm="1">
        <f t="array" ref="AG225">_xlfn.LET(
  _xlpm.K, Constantes!$B$3,
  _xlpm.Knewgain, Constantes!$B$4,
  _xlpm.Knewscale, Constantes!$B$5,
  _xlpm.ptstables, INDEX(AG:AG, _xlfn.SEQUENCE(COUNTA($C$2:$C225), 1, 3, 4)),
  _xlpm.nbparties, COUNTA(_xlfn._xlws.FILTER(_xlpm.ptstables, _xlpm.ptstables &lt;&gt; "")),
  _xlpm.coef, _xlpm.K + _xlpm.Knewgain / (_xlpm.Knewscale + _xlpm.nbparties),
  IF(AG223="",
    "",
    _xlpm.coef * (AG223-AG224))
)</f>
        <v/>
      </c>
      <c r="AH225" t="str" cm="1">
        <f t="array" ref="AH225">_xlfn.LET(
  _xlpm.K, Constantes!$B$3,
  _xlpm.Knewgain, Constantes!$B$4,
  _xlpm.Knewscale, Constantes!$B$5,
  _xlpm.ptstables, INDEX(AH:AH, _xlfn.SEQUENCE(COUNTA($C$2:$C225), 1, 3, 4)),
  _xlpm.nbparties, COUNTA(_xlfn._xlws.FILTER(_xlpm.ptstables, _xlpm.ptstables &lt;&gt; "")),
  _xlpm.coef, _xlpm.K + _xlpm.Knewgain / (_xlpm.Knewscale + _xlpm.nbparties),
  IF(AH223="",
    "",
    _xlpm.coef * (AH223-AH224))
)</f>
        <v/>
      </c>
      <c r="AI225" t="str" cm="1">
        <f t="array" ref="AI225">_xlfn.LET(
  _xlpm.K, Constantes!$B$3,
  _xlpm.Knewgain, Constantes!$B$4,
  _xlpm.Knewscale, Constantes!$B$5,
  _xlpm.ptstables, INDEX(AI:AI, _xlfn.SEQUENCE(COUNTA($C$2:$C225), 1, 3, 4)),
  _xlpm.nbparties, COUNTA(_xlfn._xlws.FILTER(_xlpm.ptstables, _xlpm.ptstables &lt;&gt; "")),
  _xlpm.coef, _xlpm.K + _xlpm.Knewgain / (_xlpm.Knewscale + _xlpm.nbparties),
  IF(AI223="",
    "",
    _xlpm.coef * (AI223-AI224))
)</f>
        <v/>
      </c>
      <c r="AJ225" t="str" cm="1">
        <f t="array" ref="AJ225">_xlfn.LET(
  _xlpm.K, Constantes!$B$3,
  _xlpm.Knewgain, Constantes!$B$4,
  _xlpm.Knewscale, Constantes!$B$5,
  _xlpm.ptstables, INDEX(AJ:AJ, _xlfn.SEQUENCE(COUNTA($C$2:$C225), 1, 3, 4)),
  _xlpm.nbparties, COUNTA(_xlfn._xlws.FILTER(_xlpm.ptstables, _xlpm.ptstables &lt;&gt; "")),
  _xlpm.coef, _xlpm.K + _xlpm.Knewgain / (_xlpm.Knewscale + _xlpm.nbparties),
  IF(AJ223="",
    "",
    _xlpm.coef * (AJ223-AJ224))
)</f>
        <v/>
      </c>
      <c r="AK225" t="str" cm="1">
        <f t="array" ref="AK225">_xlfn.LET(
  _xlpm.K, Constantes!$B$3,
  _xlpm.Knewgain, Constantes!$B$4,
  _xlpm.Knewscale, Constantes!$B$5,
  _xlpm.ptstables, INDEX(AK:AK, _xlfn.SEQUENCE(COUNTA($C$2:$C225), 1, 3, 4)),
  _xlpm.nbparties, COUNTA(_xlfn._xlws.FILTER(_xlpm.ptstables, _xlpm.ptstables &lt;&gt; "")),
  _xlpm.coef, _xlpm.K + _xlpm.Knewgain / (_xlpm.Knewscale + _xlpm.nbparties),
  IF(AK223="",
    "",
    _xlpm.coef * (AK223-AK224))
)</f>
        <v/>
      </c>
      <c r="AL225" t="str" cm="1">
        <f t="array" ref="AL225">_xlfn.LET(
  _xlpm.K, Constantes!$B$3,
  _xlpm.Knewgain, Constantes!$B$4,
  _xlpm.Knewscale, Constantes!$B$5,
  _xlpm.ptstables, INDEX(AL:AL, _xlfn.SEQUENCE(COUNTA($C$2:$C225), 1, 3, 4)),
  _xlpm.nbparties, COUNTA(_xlfn._xlws.FILTER(_xlpm.ptstables, _xlpm.ptstables &lt;&gt; "")),
  _xlpm.coef, _xlpm.K + _xlpm.Knewgain / (_xlpm.Knewscale + _xlpm.nbparties),
  IF(AL223="",
    "",
    _xlpm.coef * (AL223-AL224))
)</f>
        <v/>
      </c>
      <c r="AM225" t="str" cm="1">
        <f t="array" ref="AM225">_xlfn.LET(
  _xlpm.K, Constantes!$B$3,
  _xlpm.Knewgain, Constantes!$B$4,
  _xlpm.Knewscale, Constantes!$B$5,
  _xlpm.ptstables, INDEX(AM:AM, _xlfn.SEQUENCE(COUNTA($C$2:$C225), 1, 3, 4)),
  _xlpm.nbparties, COUNTA(_xlfn._xlws.FILTER(_xlpm.ptstables, _xlpm.ptstables &lt;&gt; "")),
  _xlpm.coef, _xlpm.K + _xlpm.Knewgain / (_xlpm.Knewscale + _xlpm.nbparties),
  IF(AM223="",
    "",
    _xlpm.coef * (AM223-AM224))
)</f>
        <v/>
      </c>
    </row>
    <row r="226" spans="1:39" x14ac:dyDescent="0.25">
      <c r="A226" t="s">
        <v>14</v>
      </c>
      <c r="B226" t="str" cm="1">
        <f t="array" ref="B22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55</v>
      </c>
      <c r="C226" s="2" cm="1">
        <f t="array" ref="C226">IF(B226="","",
  INDEX(Donnees!F:F, MATCH(B226, Donnees!F:F, 0)+1))</f>
        <v>45934.851747685185</v>
      </c>
      <c r="D226">
        <f t="shared" ref="D226:AM226" si="64">D222+IF(D225="",0,D225)</f>
        <v>1098.7427140166756</v>
      </c>
      <c r="E226">
        <f t="shared" si="64"/>
        <v>1150.8581509866578</v>
      </c>
      <c r="F226">
        <f t="shared" si="64"/>
        <v>840.07622072834204</v>
      </c>
      <c r="G226">
        <f t="shared" si="64"/>
        <v>1057.7305578219223</v>
      </c>
      <c r="H226">
        <f t="shared" si="64"/>
        <v>1041.4828877801035</v>
      </c>
      <c r="I226">
        <f t="shared" si="64"/>
        <v>960.57774210047694</v>
      </c>
      <c r="J226">
        <f t="shared" si="64"/>
        <v>938.49433816478961</v>
      </c>
      <c r="K226">
        <f t="shared" si="64"/>
        <v>957.39471433630956</v>
      </c>
      <c r="L226">
        <f t="shared" si="64"/>
        <v>766.95119884458973</v>
      </c>
      <c r="M226">
        <f t="shared" si="64"/>
        <v>913.41986361738122</v>
      </c>
      <c r="N226">
        <f t="shared" si="64"/>
        <v>905.23376280700177</v>
      </c>
      <c r="O226">
        <f t="shared" si="64"/>
        <v>980.22411339123312</v>
      </c>
      <c r="P226">
        <f t="shared" si="64"/>
        <v>1044.694691960626</v>
      </c>
      <c r="Q226">
        <f t="shared" si="64"/>
        <v>1063.0038761407025</v>
      </c>
      <c r="R226">
        <f t="shared" si="64"/>
        <v>1125.4294726276194</v>
      </c>
      <c r="S226">
        <f t="shared" si="64"/>
        <v>856.55223049520021</v>
      </c>
      <c r="T226">
        <f t="shared" si="64"/>
        <v>1135.2782658680615</v>
      </c>
      <c r="U226">
        <f t="shared" si="64"/>
        <v>1128.9847071955464</v>
      </c>
      <c r="V226">
        <f t="shared" si="64"/>
        <v>983.1120575372413</v>
      </c>
      <c r="W226">
        <f t="shared" si="64"/>
        <v>936.79085942937002</v>
      </c>
      <c r="X226">
        <f t="shared" si="64"/>
        <v>814.38475747458392</v>
      </c>
      <c r="Y226">
        <f t="shared" si="64"/>
        <v>959.91987155343315</v>
      </c>
      <c r="Z226">
        <f t="shared" si="64"/>
        <v>991.11904139672549</v>
      </c>
      <c r="AA226">
        <f t="shared" si="64"/>
        <v>982.43589116819533</v>
      </c>
      <c r="AB226">
        <f t="shared" si="64"/>
        <v>988.35669729544747</v>
      </c>
      <c r="AC226">
        <f t="shared" si="64"/>
        <v>1085.8200128019769</v>
      </c>
      <c r="AD226">
        <f t="shared" si="64"/>
        <v>1073.9096023401294</v>
      </c>
      <c r="AE226">
        <f t="shared" si="64"/>
        <v>1011.415</v>
      </c>
      <c r="AF226">
        <f t="shared" si="64"/>
        <v>1031.1199999999999</v>
      </c>
      <c r="AG226">
        <f t="shared" si="64"/>
        <v>1001.0350000000001</v>
      </c>
      <c r="AH226">
        <f t="shared" si="64"/>
        <v>994.44</v>
      </c>
      <c r="AI226">
        <f t="shared" si="64"/>
        <v>1000</v>
      </c>
      <c r="AJ226">
        <f t="shared" si="64"/>
        <v>957.2</v>
      </c>
      <c r="AK226">
        <f t="shared" si="64"/>
        <v>1000</v>
      </c>
      <c r="AL226">
        <f t="shared" si="64"/>
        <v>1055.9299999999998</v>
      </c>
      <c r="AM226">
        <f t="shared" si="64"/>
        <v>1000</v>
      </c>
    </row>
    <row r="227" spans="1:39" x14ac:dyDescent="0.25">
      <c r="A227" t="s">
        <v>21</v>
      </c>
      <c r="D227" cm="1">
        <f t="array" ref="D227">IFERROR(
  _xlfn.LET(
    _xlpm.ligpartie, MATCH($B226, Donnees!$F:$F, 0),
    _xlpm.joueurs, INDEX(Donnees!$A:$Z, _xlpm.ligpartie+1, _xlfn.SEQUENCE(1, 4, 2)),
    INDEX(
      Donnees!$A:$Z,
      _xlpm.ligpartie + 3,
      MATCH(D$1, _xlpm.joueurs, 0) + 1
    )
  ), ""
)</f>
        <v>1</v>
      </c>
      <c r="E227" t="str" cm="1">
        <f t="array" ref="E227">IFERROR(
  _xlfn.LET(
    _xlpm.ligpartie, MATCH($B226, Donnees!$F:$F, 0),
    _xlpm.joueurs, INDEX(Donnees!$A:$Z, _xlpm.ligpartie+1, _xlfn.SEQUENCE(1, 4, 2)),
    INDEX(
      Donnees!$A:$Z,
      _xlpm.ligpartie + 3,
      MATCH(E$1, _xlpm.joueurs, 0) + 1
    )
  ), ""
)</f>
        <v/>
      </c>
      <c r="F227" t="str" cm="1">
        <f t="array" ref="F227">IFERROR(
  _xlfn.LET(
    _xlpm.ligpartie, MATCH($B226, Donnees!$F:$F, 0),
    _xlpm.joueurs, INDEX(Donnees!$A:$Z, _xlpm.ligpartie+1, _xlfn.SEQUENCE(1, 4, 2)),
    INDEX(
      Donnees!$A:$Z,
      _xlpm.ligpartie + 3,
      MATCH(F$1, _xlpm.joueurs, 0) + 1
    )
  ), ""
)</f>
        <v/>
      </c>
      <c r="G227" t="str" cm="1">
        <f t="array" ref="G227">IFERROR(
  _xlfn.LET(
    _xlpm.ligpartie, MATCH($B226, Donnees!$F:$F, 0),
    _xlpm.joueurs, INDEX(Donnees!$A:$Z, _xlpm.ligpartie+1, _xlfn.SEQUENCE(1, 4, 2)),
    INDEX(
      Donnees!$A:$Z,
      _xlpm.ligpartie + 3,
      MATCH(G$1, _xlpm.joueurs, 0) + 1
    )
  ), ""
)</f>
        <v/>
      </c>
      <c r="H227" t="str" cm="1">
        <f t="array" ref="H227">IFERROR(
  _xlfn.LET(
    _xlpm.ligpartie, MATCH($B226, Donnees!$F:$F, 0),
    _xlpm.joueurs, INDEX(Donnees!$A:$Z, _xlpm.ligpartie+1, _xlfn.SEQUENCE(1, 4, 2)),
    INDEX(
      Donnees!$A:$Z,
      _xlpm.ligpartie + 3,
      MATCH(H$1, _xlpm.joueurs, 0) + 1
    )
  ), ""
)</f>
        <v/>
      </c>
      <c r="I227" t="str" cm="1">
        <f t="array" ref="I227">IFERROR(
  _xlfn.LET(
    _xlpm.ligpartie, MATCH($B226, Donnees!$F:$F, 0),
    _xlpm.joueurs, INDEX(Donnees!$A:$Z, _xlpm.ligpartie+1, _xlfn.SEQUENCE(1, 4, 2)),
    INDEX(
      Donnees!$A:$Z,
      _xlpm.ligpartie + 3,
      MATCH(I$1, _xlpm.joueurs, 0) + 1
    )
  ), ""
)</f>
        <v/>
      </c>
      <c r="J227" t="str" cm="1">
        <f t="array" ref="J227">IFERROR(
  _xlfn.LET(
    _xlpm.ligpartie, MATCH($B226, Donnees!$F:$F, 0),
    _xlpm.joueurs, INDEX(Donnees!$A:$Z, _xlpm.ligpartie+1, _xlfn.SEQUENCE(1, 4, 2)),
    INDEX(
      Donnees!$A:$Z,
      _xlpm.ligpartie + 3,
      MATCH(J$1, _xlpm.joueurs, 0) + 1
    )
  ), ""
)</f>
        <v/>
      </c>
      <c r="K227" t="str" cm="1">
        <f t="array" ref="K227">IFERROR(
  _xlfn.LET(
    _xlpm.ligpartie, MATCH($B226, Donnees!$F:$F, 0),
    _xlpm.joueurs, INDEX(Donnees!$A:$Z, _xlpm.ligpartie+1, _xlfn.SEQUENCE(1, 4, 2)),
    INDEX(
      Donnees!$A:$Z,
      _xlpm.ligpartie + 3,
      MATCH(K$1, _xlpm.joueurs, 0) + 1
    )
  ), ""
)</f>
        <v/>
      </c>
      <c r="L227" t="str" cm="1">
        <f t="array" ref="L227">IFERROR(
  _xlfn.LET(
    _xlpm.ligpartie, MATCH($B226, Donnees!$F:$F, 0),
    _xlpm.joueurs, INDEX(Donnees!$A:$Z, _xlpm.ligpartie+1, _xlfn.SEQUENCE(1, 4, 2)),
    INDEX(
      Donnees!$A:$Z,
      _xlpm.ligpartie + 3,
      MATCH(L$1, _xlpm.joueurs, 0) + 1
    )
  ), ""
)</f>
        <v/>
      </c>
      <c r="M227" t="str" cm="1">
        <f t="array" ref="M227">IFERROR(
  _xlfn.LET(
    _xlpm.ligpartie, MATCH($B226, Donnees!$F:$F, 0),
    _xlpm.joueurs, INDEX(Donnees!$A:$Z, _xlpm.ligpartie+1, _xlfn.SEQUENCE(1, 4, 2)),
    INDEX(
      Donnees!$A:$Z,
      _xlpm.ligpartie + 3,
      MATCH(M$1, _xlpm.joueurs, 0) + 1
    )
  ), ""
)</f>
        <v/>
      </c>
      <c r="N227" t="str" cm="1">
        <f t="array" ref="N227">IFERROR(
  _xlfn.LET(
    _xlpm.ligpartie, MATCH($B226, Donnees!$F:$F, 0),
    _xlpm.joueurs, INDEX(Donnees!$A:$Z, _xlpm.ligpartie+1, _xlfn.SEQUENCE(1, 4, 2)),
    INDEX(
      Donnees!$A:$Z,
      _xlpm.ligpartie + 3,
      MATCH(N$1, _xlpm.joueurs, 0) + 1
    )
  ), ""
)</f>
        <v/>
      </c>
      <c r="O227" t="str" cm="1">
        <f t="array" ref="O227">IFERROR(
  _xlfn.LET(
    _xlpm.ligpartie, MATCH($B226, Donnees!$F:$F, 0),
    _xlpm.joueurs, INDEX(Donnees!$A:$Z, _xlpm.ligpartie+1, _xlfn.SEQUENCE(1, 4, 2)),
    INDEX(
      Donnees!$A:$Z,
      _xlpm.ligpartie + 3,
      MATCH(O$1, _xlpm.joueurs, 0) + 1
    )
  ), ""
)</f>
        <v/>
      </c>
      <c r="P227" t="str" cm="1">
        <f t="array" ref="P227">IFERROR(
  _xlfn.LET(
    _xlpm.ligpartie, MATCH($B226, Donnees!$F:$F, 0),
    _xlpm.joueurs, INDEX(Donnees!$A:$Z, _xlpm.ligpartie+1, _xlfn.SEQUENCE(1, 4, 2)),
    INDEX(
      Donnees!$A:$Z,
      _xlpm.ligpartie + 3,
      MATCH(P$1, _xlpm.joueurs, 0) + 1
    )
  ), ""
)</f>
        <v/>
      </c>
      <c r="Q227" t="str" cm="1">
        <f t="array" ref="Q227">IFERROR(
  _xlfn.LET(
    _xlpm.ligpartie, MATCH($B226, Donnees!$F:$F, 0),
    _xlpm.joueurs, INDEX(Donnees!$A:$Z, _xlpm.ligpartie+1, _xlfn.SEQUENCE(1, 4, 2)),
    INDEX(
      Donnees!$A:$Z,
      _xlpm.ligpartie + 3,
      MATCH(Q$1, _xlpm.joueurs, 0) + 1
    )
  ), ""
)</f>
        <v/>
      </c>
      <c r="R227" cm="1">
        <f t="array" ref="R227">IFERROR(
  _xlfn.LET(
    _xlpm.ligpartie, MATCH($B226, Donnees!$F:$F, 0),
    _xlpm.joueurs, INDEX(Donnees!$A:$Z, _xlpm.ligpartie+1, _xlfn.SEQUENCE(1, 4, 2)),
    INDEX(
      Donnees!$A:$Z,
      _xlpm.ligpartie + 3,
      MATCH(R$1, _xlpm.joueurs, 0) + 1
    )
  ), ""
)</f>
        <v>0</v>
      </c>
      <c r="S227" cm="1">
        <f t="array" ref="S227">IFERROR(
  _xlfn.LET(
    _xlpm.ligpartie, MATCH($B226, Donnees!$F:$F, 0),
    _xlpm.joueurs, INDEX(Donnees!$A:$Z, _xlpm.ligpartie+1, _xlfn.SEQUENCE(1, 4, 2)),
    INDEX(
      Donnees!$A:$Z,
      _xlpm.ligpartie + 3,
      MATCH(S$1, _xlpm.joueurs, 0) + 1
    )
  ), ""
)</f>
        <v>3</v>
      </c>
      <c r="T227" t="str" cm="1">
        <f t="array" ref="T227">IFERROR(
  _xlfn.LET(
    _xlpm.ligpartie, MATCH($B226, Donnees!$F:$F, 0),
    _xlpm.joueurs, INDEX(Donnees!$A:$Z, _xlpm.ligpartie+1, _xlfn.SEQUENCE(1, 4, 2)),
    INDEX(
      Donnees!$A:$Z,
      _xlpm.ligpartie + 3,
      MATCH(T$1, _xlpm.joueurs, 0) + 1
    )
  ), ""
)</f>
        <v/>
      </c>
      <c r="U227" t="str" cm="1">
        <f t="array" ref="U227">IFERROR(
  _xlfn.LET(
    _xlpm.ligpartie, MATCH($B226, Donnees!$F:$F, 0),
    _xlpm.joueurs, INDEX(Donnees!$A:$Z, _xlpm.ligpartie+1, _xlfn.SEQUENCE(1, 4, 2)),
    INDEX(
      Donnees!$A:$Z,
      _xlpm.ligpartie + 3,
      MATCH(U$1, _xlpm.joueurs, 0) + 1
    )
  ), ""
)</f>
        <v/>
      </c>
      <c r="V227" t="str" cm="1">
        <f t="array" ref="V227">IFERROR(
  _xlfn.LET(
    _xlpm.ligpartie, MATCH($B226, Donnees!$F:$F, 0),
    _xlpm.joueurs, INDEX(Donnees!$A:$Z, _xlpm.ligpartie+1, _xlfn.SEQUENCE(1, 4, 2)),
    INDEX(
      Donnees!$A:$Z,
      _xlpm.ligpartie + 3,
      MATCH(V$1, _xlpm.joueurs, 0) + 1
    )
  ), ""
)</f>
        <v/>
      </c>
      <c r="W227" t="str" cm="1">
        <f t="array" ref="W227">IFERROR(
  _xlfn.LET(
    _xlpm.ligpartie, MATCH($B226, Donnees!$F:$F, 0),
    _xlpm.joueurs, INDEX(Donnees!$A:$Z, _xlpm.ligpartie+1, _xlfn.SEQUENCE(1, 4, 2)),
    INDEX(
      Donnees!$A:$Z,
      _xlpm.ligpartie + 3,
      MATCH(W$1, _xlpm.joueurs, 0) + 1
    )
  ), ""
)</f>
        <v/>
      </c>
      <c r="X227" t="str" cm="1">
        <f t="array" ref="X227">IFERROR(
  _xlfn.LET(
    _xlpm.ligpartie, MATCH($B226, Donnees!$F:$F, 0),
    _xlpm.joueurs, INDEX(Donnees!$A:$Z, _xlpm.ligpartie+1, _xlfn.SEQUENCE(1, 4, 2)),
    INDEX(
      Donnees!$A:$Z,
      _xlpm.ligpartie + 3,
      MATCH(X$1, _xlpm.joueurs, 0) + 1
    )
  ), ""
)</f>
        <v/>
      </c>
      <c r="Y227" t="str" cm="1">
        <f t="array" ref="Y227">IFERROR(
  _xlfn.LET(
    _xlpm.ligpartie, MATCH($B226, Donnees!$F:$F, 0),
    _xlpm.joueurs, INDEX(Donnees!$A:$Z, _xlpm.ligpartie+1, _xlfn.SEQUENCE(1, 4, 2)),
    INDEX(
      Donnees!$A:$Z,
      _xlpm.ligpartie + 3,
      MATCH(Y$1, _xlpm.joueurs, 0) + 1
    )
  ), ""
)</f>
        <v/>
      </c>
      <c r="Z227" t="str" cm="1">
        <f t="array" ref="Z227">IFERROR(
  _xlfn.LET(
    _xlpm.ligpartie, MATCH($B226, Donnees!$F:$F, 0),
    _xlpm.joueurs, INDEX(Donnees!$A:$Z, _xlpm.ligpartie+1, _xlfn.SEQUENCE(1, 4, 2)),
    INDEX(
      Donnees!$A:$Z,
      _xlpm.ligpartie + 3,
      MATCH(Z$1, _xlpm.joueurs, 0) + 1
    )
  ), ""
)</f>
        <v/>
      </c>
      <c r="AA227" t="str" cm="1">
        <f t="array" ref="AA227">IFERROR(
  _xlfn.LET(
    _xlpm.ligpartie, MATCH($B226, Donnees!$F:$F, 0),
    _xlpm.joueurs, INDEX(Donnees!$A:$Z, _xlpm.ligpartie+1, _xlfn.SEQUENCE(1, 4, 2)),
    INDEX(
      Donnees!$A:$Z,
      _xlpm.ligpartie + 3,
      MATCH(AA$1, _xlpm.joueurs, 0) + 1
    )
  ), ""
)</f>
        <v/>
      </c>
      <c r="AB227" t="str" cm="1">
        <f t="array" ref="AB227">IFERROR(
  _xlfn.LET(
    _xlpm.ligpartie, MATCH($B226, Donnees!$F:$F, 0),
    _xlpm.joueurs, INDEX(Donnees!$A:$Z, _xlpm.ligpartie+1, _xlfn.SEQUENCE(1, 4, 2)),
    INDEX(
      Donnees!$A:$Z,
      _xlpm.ligpartie + 3,
      MATCH(AB$1, _xlpm.joueurs, 0) + 1
    )
  ), ""
)</f>
        <v/>
      </c>
      <c r="AC227" cm="1">
        <f t="array" ref="AC227">IFERROR(
  _xlfn.LET(
    _xlpm.ligpartie, MATCH($B226, Donnees!$F:$F, 0),
    _xlpm.joueurs, INDEX(Donnees!$A:$Z, _xlpm.ligpartie+1, _xlfn.SEQUENCE(1, 4, 2)),
    INDEX(
      Donnees!$A:$Z,
      _xlpm.ligpartie + 3,
      MATCH(AC$1, _xlpm.joueurs, 0) + 1
    )
  ), ""
)</f>
        <v>2</v>
      </c>
      <c r="AD227" t="str" cm="1">
        <f t="array" ref="AD227">IFERROR(
  _xlfn.LET(
    _xlpm.ligpartie, MATCH($B226, Donnees!$F:$F, 0),
    _xlpm.joueurs, INDEX(Donnees!$A:$Z, _xlpm.ligpartie+1, _xlfn.SEQUENCE(1, 4, 2)),
    INDEX(
      Donnees!$A:$Z,
      _xlpm.ligpartie + 3,
      MATCH(AD$1, _xlpm.joueurs, 0) + 1
    )
  ), ""
)</f>
        <v/>
      </c>
      <c r="AE227" t="str" cm="1">
        <f t="array" ref="AE227">IFERROR(
  _xlfn.LET(
    _xlpm.ligpartie, MATCH($B226, Donnees!$F:$F, 0),
    _xlpm.joueurs, INDEX(Donnees!$A:$Z, _xlpm.ligpartie+1, _xlfn.SEQUENCE(1, 4, 2)),
    INDEX(
      Donnees!$A:$Z,
      _xlpm.ligpartie + 3,
      MATCH(AE$1, _xlpm.joueurs, 0) + 1
    )
  ), ""
)</f>
        <v/>
      </c>
      <c r="AF227" t="str" cm="1">
        <f t="array" ref="AF227">IFERROR(
  _xlfn.LET(
    _xlpm.ligpartie, MATCH($B226, Donnees!$F:$F, 0),
    _xlpm.joueurs, INDEX(Donnees!$A:$Z, _xlpm.ligpartie+1, _xlfn.SEQUENCE(1, 4, 2)),
    INDEX(
      Donnees!$A:$Z,
      _xlpm.ligpartie + 3,
      MATCH(AF$1, _xlpm.joueurs, 0) + 1
    )
  ), ""
)</f>
        <v/>
      </c>
      <c r="AG227" t="str" cm="1">
        <f t="array" ref="AG227">IFERROR(
  _xlfn.LET(
    _xlpm.ligpartie, MATCH($B226, Donnees!$F:$F, 0),
    _xlpm.joueurs, INDEX(Donnees!$A:$Z, _xlpm.ligpartie+1, _xlfn.SEQUENCE(1, 4, 2)),
    INDEX(
      Donnees!$A:$Z,
      _xlpm.ligpartie + 3,
      MATCH(AG$1, _xlpm.joueurs, 0) + 1
    )
  ), ""
)</f>
        <v/>
      </c>
      <c r="AH227" t="str" cm="1">
        <f t="array" ref="AH227">IFERROR(
  _xlfn.LET(
    _xlpm.ligpartie, MATCH($B226, Donnees!$F:$F, 0),
    _xlpm.joueurs, INDEX(Donnees!$A:$Z, _xlpm.ligpartie+1, _xlfn.SEQUENCE(1, 4, 2)),
    INDEX(
      Donnees!$A:$Z,
      _xlpm.ligpartie + 3,
      MATCH(AH$1, _xlpm.joueurs, 0) + 1
    )
  ), ""
)</f>
        <v/>
      </c>
      <c r="AI227" t="str" cm="1">
        <f t="array" ref="AI227">IFERROR(
  _xlfn.LET(
    _xlpm.ligpartie, MATCH($B226, Donnees!$F:$F, 0),
    _xlpm.joueurs, INDEX(Donnees!$A:$Z, _xlpm.ligpartie+1, _xlfn.SEQUENCE(1, 4, 2)),
    INDEX(
      Donnees!$A:$Z,
      _xlpm.ligpartie + 3,
      MATCH(AI$1, _xlpm.joueurs, 0) + 1
    )
  ), ""
)</f>
        <v/>
      </c>
      <c r="AJ227" t="str" cm="1">
        <f t="array" ref="AJ227">IFERROR(
  _xlfn.LET(
    _xlpm.ligpartie, MATCH($B226, Donnees!$F:$F, 0),
    _xlpm.joueurs, INDEX(Donnees!$A:$Z, _xlpm.ligpartie+1, _xlfn.SEQUENCE(1, 4, 2)),
    INDEX(
      Donnees!$A:$Z,
      _xlpm.ligpartie + 3,
      MATCH(AJ$1, _xlpm.joueurs, 0) + 1
    )
  ), ""
)</f>
        <v/>
      </c>
      <c r="AK227" t="str" cm="1">
        <f t="array" ref="AK227">IFERROR(
  _xlfn.LET(
    _xlpm.ligpartie, MATCH($B226, Donnees!$F:$F, 0),
    _xlpm.joueurs, INDEX(Donnees!$A:$Z, _xlpm.ligpartie+1, _xlfn.SEQUENCE(1, 4, 2)),
    INDEX(
      Donnees!$A:$Z,
      _xlpm.ligpartie + 3,
      MATCH(AK$1, _xlpm.joueurs, 0) + 1
    )
  ), ""
)</f>
        <v/>
      </c>
      <c r="AL227" t="str" cm="1">
        <f t="array" ref="AL227">IFERROR(
  _xlfn.LET(
    _xlpm.ligpartie, MATCH($B226, Donnees!$F:$F, 0),
    _xlpm.joueurs, INDEX(Donnees!$A:$Z, _xlpm.ligpartie+1, _xlfn.SEQUENCE(1, 4, 2)),
    INDEX(
      Donnees!$A:$Z,
      _xlpm.ligpartie + 3,
      MATCH(AL$1, _xlpm.joueurs, 0) + 1
    )
  ), ""
)</f>
        <v/>
      </c>
      <c r="AM227" t="str" cm="1">
        <f t="array" ref="AM227">IFERROR(
  _xlfn.LET(
    _xlpm.ligpartie, MATCH($B226, Donnees!$F:$F, 0),
    _xlpm.joueurs, INDEX(Donnees!$A:$Z, _xlpm.ligpartie+1, _xlfn.SEQUENCE(1, 4, 2)),
    INDEX(
      Donnees!$A:$Z,
      _xlpm.ligpartie + 3,
      MATCH(AM$1, _xlpm.joueurs, 0) + 1
    )
  ), ""
)</f>
        <v/>
      </c>
    </row>
    <row r="228" spans="1:39" x14ac:dyDescent="0.25">
      <c r="A228" t="s">
        <v>20</v>
      </c>
      <c r="D228" cm="1">
        <f t="array" ref="D228">_xlfn.LET(
  _xlpm.colj, _xlfn._xlws.FILTER(IF(ISNUMBER(227:227), COLUMN(227:227)), ISNUMBER(227:227)),
  _xlpm.elos, INDEX(226:226,1,_xlpm.colj),
  _xlpm.diffscale, Constantes!$B$2,
  IF(D227="",
    "",
    SUM(1/(1+POWER(10,-(D226-_xlpm.elos)/_xlpm.diffscale)))-0.5)
)</f>
        <v>1.7815143204855479</v>
      </c>
      <c r="E228" t="str" cm="1">
        <f t="array" ref="E228">_xlfn.LET(
  _xlpm.colj, _xlfn._xlws.FILTER(IF(ISNUMBER(227:227), COLUMN(227:227)), ISNUMBER(227:227)),
  _xlpm.elos, INDEX(226:226,1,_xlpm.colj),
  _xlpm.diffscale, Constantes!$B$2,
  IF(E227="",
    "",
    SUM(1/(1+POWER(10,-(E226-_xlpm.elos)/_xlpm.diffscale)))-0.5)
)</f>
        <v/>
      </c>
      <c r="F228" t="str" cm="1">
        <f t="array" ref="F228">_xlfn.LET(
  _xlpm.colj, _xlfn._xlws.FILTER(IF(ISNUMBER(227:227), COLUMN(227:227)), ISNUMBER(227:227)),
  _xlpm.elos, INDEX(226:226,1,_xlpm.colj),
  _xlpm.diffscale, Constantes!$B$2,
  IF(F227="",
    "",
    SUM(1/(1+POWER(10,-(F226-_xlpm.elos)/_xlpm.diffscale)))-0.5)
)</f>
        <v/>
      </c>
      <c r="G228" t="str" cm="1">
        <f t="array" ref="G228">_xlfn.LET(
  _xlpm.colj, _xlfn._xlws.FILTER(IF(ISNUMBER(227:227), COLUMN(227:227)), ISNUMBER(227:227)),
  _xlpm.elos, INDEX(226:226,1,_xlpm.colj),
  _xlpm.diffscale, Constantes!$B$2,
  IF(G227="",
    "",
    SUM(1/(1+POWER(10,-(G226-_xlpm.elos)/_xlpm.diffscale)))-0.5)
)</f>
        <v/>
      </c>
      <c r="H228" t="str" cm="1">
        <f t="array" ref="H228">_xlfn.LET(
  _xlpm.colj, _xlfn._xlws.FILTER(IF(ISNUMBER(227:227), COLUMN(227:227)), ISNUMBER(227:227)),
  _xlpm.elos, INDEX(226:226,1,_xlpm.colj),
  _xlpm.diffscale, Constantes!$B$2,
  IF(H227="",
    "",
    SUM(1/(1+POWER(10,-(H226-_xlpm.elos)/_xlpm.diffscale)))-0.5)
)</f>
        <v/>
      </c>
      <c r="I228" t="str" cm="1">
        <f t="array" ref="I228">_xlfn.LET(
  _xlpm.colj, _xlfn._xlws.FILTER(IF(ISNUMBER(227:227), COLUMN(227:227)), ISNUMBER(227:227)),
  _xlpm.elos, INDEX(226:226,1,_xlpm.colj),
  _xlpm.diffscale, Constantes!$B$2,
  IF(I227="",
    "",
    SUM(1/(1+POWER(10,-(I226-_xlpm.elos)/_xlpm.diffscale)))-0.5)
)</f>
        <v/>
      </c>
      <c r="J228" t="str" cm="1">
        <f t="array" ref="J228">_xlfn.LET(
  _xlpm.colj, _xlfn._xlws.FILTER(IF(ISNUMBER(227:227), COLUMN(227:227)), ISNUMBER(227:227)),
  _xlpm.elos, INDEX(226:226,1,_xlpm.colj),
  _xlpm.diffscale, Constantes!$B$2,
  IF(J227="",
    "",
    SUM(1/(1+POWER(10,-(J226-_xlpm.elos)/_xlpm.diffscale)))-0.5)
)</f>
        <v/>
      </c>
      <c r="K228" t="str" cm="1">
        <f t="array" ref="K228">_xlfn.LET(
  _xlpm.colj, _xlfn._xlws.FILTER(IF(ISNUMBER(227:227), COLUMN(227:227)), ISNUMBER(227:227)),
  _xlpm.elos, INDEX(226:226,1,_xlpm.colj),
  _xlpm.diffscale, Constantes!$B$2,
  IF(K227="",
    "",
    SUM(1/(1+POWER(10,-(K226-_xlpm.elos)/_xlpm.diffscale)))-0.5)
)</f>
        <v/>
      </c>
      <c r="L228" t="str" cm="1">
        <f t="array" ref="L228">_xlfn.LET(
  _xlpm.colj, _xlfn._xlws.FILTER(IF(ISNUMBER(227:227), COLUMN(227:227)), ISNUMBER(227:227)),
  _xlpm.elos, INDEX(226:226,1,_xlpm.colj),
  _xlpm.diffscale, Constantes!$B$2,
  IF(L227="",
    "",
    SUM(1/(1+POWER(10,-(L226-_xlpm.elos)/_xlpm.diffscale)))-0.5)
)</f>
        <v/>
      </c>
      <c r="M228" t="str" cm="1">
        <f t="array" ref="M228">_xlfn.LET(
  _xlpm.colj, _xlfn._xlws.FILTER(IF(ISNUMBER(227:227), COLUMN(227:227)), ISNUMBER(227:227)),
  _xlpm.elos, INDEX(226:226,1,_xlpm.colj),
  _xlpm.diffscale, Constantes!$B$2,
  IF(M227="",
    "",
    SUM(1/(1+POWER(10,-(M226-_xlpm.elos)/_xlpm.diffscale)))-0.5)
)</f>
        <v/>
      </c>
      <c r="N228" t="str" cm="1">
        <f t="array" ref="N228">_xlfn.LET(
  _xlpm.colj, _xlfn._xlws.FILTER(IF(ISNUMBER(227:227), COLUMN(227:227)), ISNUMBER(227:227)),
  _xlpm.elos, INDEX(226:226,1,_xlpm.colj),
  _xlpm.diffscale, Constantes!$B$2,
  IF(N227="",
    "",
    SUM(1/(1+POWER(10,-(N226-_xlpm.elos)/_xlpm.diffscale)))-0.5)
)</f>
        <v/>
      </c>
      <c r="O228" t="str" cm="1">
        <f t="array" ref="O228">_xlfn.LET(
  _xlpm.colj, _xlfn._xlws.FILTER(IF(ISNUMBER(227:227), COLUMN(227:227)), ISNUMBER(227:227)),
  _xlpm.elos, INDEX(226:226,1,_xlpm.colj),
  _xlpm.diffscale, Constantes!$B$2,
  IF(O227="",
    "",
    SUM(1/(1+POWER(10,-(O226-_xlpm.elos)/_xlpm.diffscale)))-0.5)
)</f>
        <v/>
      </c>
      <c r="P228" t="str" cm="1">
        <f t="array" ref="P228">_xlfn.LET(
  _xlpm.colj, _xlfn._xlws.FILTER(IF(ISNUMBER(227:227), COLUMN(227:227)), ISNUMBER(227:227)),
  _xlpm.elos, INDEX(226:226,1,_xlpm.colj),
  _xlpm.diffscale, Constantes!$B$2,
  IF(P227="",
    "",
    SUM(1/(1+POWER(10,-(P226-_xlpm.elos)/_xlpm.diffscale)))-0.5)
)</f>
        <v/>
      </c>
      <c r="Q228" t="str" cm="1">
        <f t="array" ref="Q228">_xlfn.LET(
  _xlpm.colj, _xlfn._xlws.FILTER(IF(ISNUMBER(227:227), COLUMN(227:227)), ISNUMBER(227:227)),
  _xlpm.elos, INDEX(226:226,1,_xlpm.colj),
  _xlpm.diffscale, Constantes!$B$2,
  IF(Q227="",
    "",
    SUM(1/(1+POWER(10,-(Q226-_xlpm.elos)/_xlpm.diffscale)))-0.5)
)</f>
        <v/>
      </c>
      <c r="R228" cm="1">
        <f t="array" ref="R228">_xlfn.LET(
  _xlpm.colj, _xlfn._xlws.FILTER(IF(ISNUMBER(227:227), COLUMN(227:227)), ISNUMBER(227:227)),
  _xlpm.elos, INDEX(226:226,1,_xlpm.colj),
  _xlpm.diffscale, Constantes!$B$2,
  IF(R227="",
    "",
    SUM(1/(1+POWER(10,-(R226-_xlpm.elos)/_xlpm.diffscale)))-0.5)
)</f>
        <v>1.9196800234009888</v>
      </c>
      <c r="S228" cm="1">
        <f t="array" ref="S228">_xlfn.LET(
  _xlpm.colj, _xlfn._xlws.FILTER(IF(ISNUMBER(227:227), COLUMN(227:227)), ISNUMBER(227:227)),
  _xlpm.elos, INDEX(226:226,1,_xlpm.colj),
  _xlpm.diffscale, Constantes!$B$2,
  IF(S227="",
    "",
    SUM(1/(1+POWER(10,-(S226-_xlpm.elos)/_xlpm.diffscale)))-0.5)
)</f>
        <v>0.5850075827695127</v>
      </c>
      <c r="T228" t="str" cm="1">
        <f t="array" ref="T228">_xlfn.LET(
  _xlpm.colj, _xlfn._xlws.FILTER(IF(ISNUMBER(227:227), COLUMN(227:227)), ISNUMBER(227:227)),
  _xlpm.elos, INDEX(226:226,1,_xlpm.colj),
  _xlpm.diffscale, Constantes!$B$2,
  IF(T227="",
    "",
    SUM(1/(1+POWER(10,-(T226-_xlpm.elos)/_xlpm.diffscale)))-0.5)
)</f>
        <v/>
      </c>
      <c r="U228" t="str" cm="1">
        <f t="array" ref="U228">_xlfn.LET(
  _xlpm.colj, _xlfn._xlws.FILTER(IF(ISNUMBER(227:227), COLUMN(227:227)), ISNUMBER(227:227)),
  _xlpm.elos, INDEX(226:226,1,_xlpm.colj),
  _xlpm.diffscale, Constantes!$B$2,
  IF(U227="",
    "",
    SUM(1/(1+POWER(10,-(U226-_xlpm.elos)/_xlpm.diffscale)))-0.5)
)</f>
        <v/>
      </c>
      <c r="V228" t="str" cm="1">
        <f t="array" ref="V228">_xlfn.LET(
  _xlpm.colj, _xlfn._xlws.FILTER(IF(ISNUMBER(227:227), COLUMN(227:227)), ISNUMBER(227:227)),
  _xlpm.elos, INDEX(226:226,1,_xlpm.colj),
  _xlpm.diffscale, Constantes!$B$2,
  IF(V227="",
    "",
    SUM(1/(1+POWER(10,-(V226-_xlpm.elos)/_xlpm.diffscale)))-0.5)
)</f>
        <v/>
      </c>
      <c r="W228" t="str" cm="1">
        <f t="array" ref="W228">_xlfn.LET(
  _xlpm.colj, _xlfn._xlws.FILTER(IF(ISNUMBER(227:227), COLUMN(227:227)), ISNUMBER(227:227)),
  _xlpm.elos, INDEX(226:226,1,_xlpm.colj),
  _xlpm.diffscale, Constantes!$B$2,
  IF(W227="",
    "",
    SUM(1/(1+POWER(10,-(W226-_xlpm.elos)/_xlpm.diffscale)))-0.5)
)</f>
        <v/>
      </c>
      <c r="X228" t="str" cm="1">
        <f t="array" ref="X228">_xlfn.LET(
  _xlpm.colj, _xlfn._xlws.FILTER(IF(ISNUMBER(227:227), COLUMN(227:227)), ISNUMBER(227:227)),
  _xlpm.elos, INDEX(226:226,1,_xlpm.colj),
  _xlpm.diffscale, Constantes!$B$2,
  IF(X227="",
    "",
    SUM(1/(1+POWER(10,-(X226-_xlpm.elos)/_xlpm.diffscale)))-0.5)
)</f>
        <v/>
      </c>
      <c r="Y228" t="str" cm="1">
        <f t="array" ref="Y228">_xlfn.LET(
  _xlpm.colj, _xlfn._xlws.FILTER(IF(ISNUMBER(227:227), COLUMN(227:227)), ISNUMBER(227:227)),
  _xlpm.elos, INDEX(226:226,1,_xlpm.colj),
  _xlpm.diffscale, Constantes!$B$2,
  IF(Y227="",
    "",
    SUM(1/(1+POWER(10,-(Y226-_xlpm.elos)/_xlpm.diffscale)))-0.5)
)</f>
        <v/>
      </c>
      <c r="Z228" t="str" cm="1">
        <f t="array" ref="Z228">_xlfn.LET(
  _xlpm.colj, _xlfn._xlws.FILTER(IF(ISNUMBER(227:227), COLUMN(227:227)), ISNUMBER(227:227)),
  _xlpm.elos, INDEX(226:226,1,_xlpm.colj),
  _xlpm.diffscale, Constantes!$B$2,
  IF(Z227="",
    "",
    SUM(1/(1+POWER(10,-(Z226-_xlpm.elos)/_xlpm.diffscale)))-0.5)
)</f>
        <v/>
      </c>
      <c r="AA228" t="str" cm="1">
        <f t="array" ref="AA228">_xlfn.LET(
  _xlpm.colj, _xlfn._xlws.FILTER(IF(ISNUMBER(227:227), COLUMN(227:227)), ISNUMBER(227:227)),
  _xlpm.elos, INDEX(226:226,1,_xlpm.colj),
  _xlpm.diffscale, Constantes!$B$2,
  IF(AA227="",
    "",
    SUM(1/(1+POWER(10,-(AA226-_xlpm.elos)/_xlpm.diffscale)))-0.5)
)</f>
        <v/>
      </c>
      <c r="AB228" t="str" cm="1">
        <f t="array" ref="AB228">_xlfn.LET(
  _xlpm.colj, _xlfn._xlws.FILTER(IF(ISNUMBER(227:227), COLUMN(227:227)), ISNUMBER(227:227)),
  _xlpm.elos, INDEX(226:226,1,_xlpm.colj),
  _xlpm.diffscale, Constantes!$B$2,
  IF(AB227="",
    "",
    SUM(1/(1+POWER(10,-(AB226-_xlpm.elos)/_xlpm.diffscale)))-0.5)
)</f>
        <v/>
      </c>
      <c r="AC228" cm="1">
        <f t="array" ref="AC228">_xlfn.LET(
  _xlpm.colj, _xlfn._xlws.FILTER(IF(ISNUMBER(227:227), COLUMN(227:227)), ISNUMBER(227:227)),
  _xlpm.elos, INDEX(226:226,1,_xlpm.colj),
  _xlpm.diffscale, Constantes!$B$2,
  IF(AC227="",
    "",
    SUM(1/(1+POWER(10,-(AC226-_xlpm.elos)/_xlpm.diffscale)))-0.5)
)</f>
        <v>1.7137980733439511</v>
      </c>
      <c r="AD228" t="str" cm="1">
        <f t="array" ref="AD228">_xlfn.LET(
  _xlpm.colj, _xlfn._xlws.FILTER(IF(ISNUMBER(227:227), COLUMN(227:227)), ISNUMBER(227:227)),
  _xlpm.elos, INDEX(226:226,1,_xlpm.colj),
  _xlpm.diffscale, Constantes!$B$2,
  IF(AD227="",
    "",
    SUM(1/(1+POWER(10,-(AD226-_xlpm.elos)/_xlpm.diffscale)))-0.5)
)</f>
        <v/>
      </c>
      <c r="AE228" t="str" cm="1">
        <f t="array" ref="AE228">_xlfn.LET(
  _xlpm.colj, _xlfn._xlws.FILTER(IF(ISNUMBER(227:227), COLUMN(227:227)), ISNUMBER(227:227)),
  _xlpm.elos, INDEX(226:226,1,_xlpm.colj),
  _xlpm.diffscale, Constantes!$B$2,
  IF(AE227="",
    "",
    SUM(1/(1+POWER(10,-(AE226-_xlpm.elos)/_xlpm.diffscale)))-0.5)
)</f>
        <v/>
      </c>
      <c r="AF228" t="str" cm="1">
        <f t="array" ref="AF228">_xlfn.LET(
  _xlpm.colj, _xlfn._xlws.FILTER(IF(ISNUMBER(227:227), COLUMN(227:227)), ISNUMBER(227:227)),
  _xlpm.elos, INDEX(226:226,1,_xlpm.colj),
  _xlpm.diffscale, Constantes!$B$2,
  IF(AF227="",
    "",
    SUM(1/(1+POWER(10,-(AF226-_xlpm.elos)/_xlpm.diffscale)))-0.5)
)</f>
        <v/>
      </c>
      <c r="AG228" t="str" cm="1">
        <f t="array" ref="AG228">_xlfn.LET(
  _xlpm.colj, _xlfn._xlws.FILTER(IF(ISNUMBER(227:227), COLUMN(227:227)), ISNUMBER(227:227)),
  _xlpm.elos, INDEX(226:226,1,_xlpm.colj),
  _xlpm.diffscale, Constantes!$B$2,
  IF(AG227="",
    "",
    SUM(1/(1+POWER(10,-(AG226-_xlpm.elos)/_xlpm.diffscale)))-0.5)
)</f>
        <v/>
      </c>
      <c r="AH228" t="str" cm="1">
        <f t="array" ref="AH228">_xlfn.LET(
  _xlpm.colj, _xlfn._xlws.FILTER(IF(ISNUMBER(227:227), COLUMN(227:227)), ISNUMBER(227:227)),
  _xlpm.elos, INDEX(226:226,1,_xlpm.colj),
  _xlpm.diffscale, Constantes!$B$2,
  IF(AH227="",
    "",
    SUM(1/(1+POWER(10,-(AH226-_xlpm.elos)/_xlpm.diffscale)))-0.5)
)</f>
        <v/>
      </c>
      <c r="AI228" t="str" cm="1">
        <f t="array" ref="AI228">_xlfn.LET(
  _xlpm.colj, _xlfn._xlws.FILTER(IF(ISNUMBER(227:227), COLUMN(227:227)), ISNUMBER(227:227)),
  _xlpm.elos, INDEX(226:226,1,_xlpm.colj),
  _xlpm.diffscale, Constantes!$B$2,
  IF(AI227="",
    "",
    SUM(1/(1+POWER(10,-(AI226-_xlpm.elos)/_xlpm.diffscale)))-0.5)
)</f>
        <v/>
      </c>
      <c r="AJ228" t="str" cm="1">
        <f t="array" ref="AJ228">_xlfn.LET(
  _xlpm.colj, _xlfn._xlws.FILTER(IF(ISNUMBER(227:227), COLUMN(227:227)), ISNUMBER(227:227)),
  _xlpm.elos, INDEX(226:226,1,_xlpm.colj),
  _xlpm.diffscale, Constantes!$B$2,
  IF(AJ227="",
    "",
    SUM(1/(1+POWER(10,-(AJ226-_xlpm.elos)/_xlpm.diffscale)))-0.5)
)</f>
        <v/>
      </c>
      <c r="AK228" t="str" cm="1">
        <f t="array" ref="AK228">_xlfn.LET(
  _xlpm.colj, _xlfn._xlws.FILTER(IF(ISNUMBER(227:227), COLUMN(227:227)), ISNUMBER(227:227)),
  _xlpm.elos, INDEX(226:226,1,_xlpm.colj),
  _xlpm.diffscale, Constantes!$B$2,
  IF(AK227="",
    "",
    SUM(1/(1+POWER(10,-(AK226-_xlpm.elos)/_xlpm.diffscale)))-0.5)
)</f>
        <v/>
      </c>
      <c r="AL228" t="str" cm="1">
        <f t="array" ref="AL228">_xlfn.LET(
  _xlpm.colj, _xlfn._xlws.FILTER(IF(ISNUMBER(227:227), COLUMN(227:227)), ISNUMBER(227:227)),
  _xlpm.elos, INDEX(226:226,1,_xlpm.colj),
  _xlpm.diffscale, Constantes!$B$2,
  IF(AL227="",
    "",
    SUM(1/(1+POWER(10,-(AL226-_xlpm.elos)/_xlpm.diffscale)))-0.5)
)</f>
        <v/>
      </c>
      <c r="AM228" t="str" cm="1">
        <f t="array" ref="AM228">_xlfn.LET(
  _xlpm.colj, _xlfn._xlws.FILTER(IF(ISNUMBER(227:227), COLUMN(227:227)), ISNUMBER(227:227)),
  _xlpm.elos, INDEX(226:226,1,_xlpm.colj),
  _xlpm.diffscale, Constantes!$B$2,
  IF(AM227="",
    "",
    SUM(1/(1+POWER(10,-(AM226-_xlpm.elos)/_xlpm.diffscale)))-0.5)
)</f>
        <v/>
      </c>
    </row>
    <row r="229" spans="1:39" x14ac:dyDescent="0.25">
      <c r="A229" t="s">
        <v>22</v>
      </c>
      <c r="D229" cm="1">
        <f t="array" ref="D229">_xlfn.LET(
  _xlpm.K, Constantes!$B$3,
  _xlpm.Knewgain, Constantes!$B$4,
  _xlpm.Knewscale, Constantes!$B$5,
  _xlpm.ptstables, INDEX(D:D, _xlfn.SEQUENCE(COUNTA($C$2:$C229), 1, 3, 4)),
  _xlpm.nbparties, COUNTA(_xlfn._xlws.FILTER(_xlpm.ptstables, _xlpm.ptstables &lt;&gt; "")),
  _xlpm.coef, _xlpm.K + _xlpm.Knewgain / (_xlpm.Knewscale + _xlpm.nbparties),
  IF(D227="",
    "",
    _xlpm.coef * (D227-D228))
)</f>
        <v>-18.235334144662783</v>
      </c>
      <c r="E229" t="str" cm="1">
        <f t="array" ref="E229">_xlfn.LET(
  _xlpm.K, Constantes!$B$3,
  _xlpm.Knewgain, Constantes!$B$4,
  _xlpm.Knewscale, Constantes!$B$5,
  _xlpm.ptstables, INDEX(E:E, _xlfn.SEQUENCE(COUNTA($C$2:$C229), 1, 3, 4)),
  _xlpm.nbparties, COUNTA(_xlfn._xlws.FILTER(_xlpm.ptstables, _xlpm.ptstables &lt;&gt; "")),
  _xlpm.coef, _xlpm.K + _xlpm.Knewgain / (_xlpm.Knewscale + _xlpm.nbparties),
  IF(E227="",
    "",
    _xlpm.coef * (E227-E228))
)</f>
        <v/>
      </c>
      <c r="F229" t="str" cm="1">
        <f t="array" ref="F229">_xlfn.LET(
  _xlpm.K, Constantes!$B$3,
  _xlpm.Knewgain, Constantes!$B$4,
  _xlpm.Knewscale, Constantes!$B$5,
  _xlpm.ptstables, INDEX(F:F, _xlfn.SEQUENCE(COUNTA($C$2:$C229), 1, 3, 4)),
  _xlpm.nbparties, COUNTA(_xlfn._xlws.FILTER(_xlpm.ptstables, _xlpm.ptstables &lt;&gt; "")),
  _xlpm.coef, _xlpm.K + _xlpm.Knewgain / (_xlpm.Knewscale + _xlpm.nbparties),
  IF(F227="",
    "",
    _xlpm.coef * (F227-F228))
)</f>
        <v/>
      </c>
      <c r="G229" t="str" cm="1">
        <f t="array" ref="G229">_xlfn.LET(
  _xlpm.K, Constantes!$B$3,
  _xlpm.Knewgain, Constantes!$B$4,
  _xlpm.Knewscale, Constantes!$B$5,
  _xlpm.ptstables, INDEX(G:G, _xlfn.SEQUENCE(COUNTA($C$2:$C229), 1, 3, 4)),
  _xlpm.nbparties, COUNTA(_xlfn._xlws.FILTER(_xlpm.ptstables, _xlpm.ptstables &lt;&gt; "")),
  _xlpm.coef, _xlpm.K + _xlpm.Knewgain / (_xlpm.Knewscale + _xlpm.nbparties),
  IF(G227="",
    "",
    _xlpm.coef * (G227-G228))
)</f>
        <v/>
      </c>
      <c r="H229" t="str" cm="1">
        <f t="array" ref="H229">_xlfn.LET(
  _xlpm.K, Constantes!$B$3,
  _xlpm.Knewgain, Constantes!$B$4,
  _xlpm.Knewscale, Constantes!$B$5,
  _xlpm.ptstables, INDEX(H:H, _xlfn.SEQUENCE(COUNTA($C$2:$C229), 1, 3, 4)),
  _xlpm.nbparties, COUNTA(_xlfn._xlws.FILTER(_xlpm.ptstables, _xlpm.ptstables &lt;&gt; "")),
  _xlpm.coef, _xlpm.K + _xlpm.Knewgain / (_xlpm.Knewscale + _xlpm.nbparties),
  IF(H227="",
    "",
    _xlpm.coef * (H227-H228))
)</f>
        <v/>
      </c>
      <c r="I229" t="str" cm="1">
        <f t="array" ref="I229">_xlfn.LET(
  _xlpm.K, Constantes!$B$3,
  _xlpm.Knewgain, Constantes!$B$4,
  _xlpm.Knewscale, Constantes!$B$5,
  _xlpm.ptstables, INDEX(I:I, _xlfn.SEQUENCE(COUNTA($C$2:$C229), 1, 3, 4)),
  _xlpm.nbparties, COUNTA(_xlfn._xlws.FILTER(_xlpm.ptstables, _xlpm.ptstables &lt;&gt; "")),
  _xlpm.coef, _xlpm.K + _xlpm.Knewgain / (_xlpm.Knewscale + _xlpm.nbparties),
  IF(I227="",
    "",
    _xlpm.coef * (I227-I228))
)</f>
        <v/>
      </c>
      <c r="J229" t="str" cm="1">
        <f t="array" ref="J229">_xlfn.LET(
  _xlpm.K, Constantes!$B$3,
  _xlpm.Knewgain, Constantes!$B$4,
  _xlpm.Knewscale, Constantes!$B$5,
  _xlpm.ptstables, INDEX(J:J, _xlfn.SEQUENCE(COUNTA($C$2:$C229), 1, 3, 4)),
  _xlpm.nbparties, COUNTA(_xlfn._xlws.FILTER(_xlpm.ptstables, _xlpm.ptstables &lt;&gt; "")),
  _xlpm.coef, _xlpm.K + _xlpm.Knewgain / (_xlpm.Knewscale + _xlpm.nbparties),
  IF(J227="",
    "",
    _xlpm.coef * (J227-J228))
)</f>
        <v/>
      </c>
      <c r="K229" t="str" cm="1">
        <f t="array" ref="K229">_xlfn.LET(
  _xlpm.K, Constantes!$B$3,
  _xlpm.Knewgain, Constantes!$B$4,
  _xlpm.Knewscale, Constantes!$B$5,
  _xlpm.ptstables, INDEX(K:K, _xlfn.SEQUENCE(COUNTA($C$2:$C229), 1, 3, 4)),
  _xlpm.nbparties, COUNTA(_xlfn._xlws.FILTER(_xlpm.ptstables, _xlpm.ptstables &lt;&gt; "")),
  _xlpm.coef, _xlpm.K + _xlpm.Knewgain / (_xlpm.Knewscale + _xlpm.nbparties),
  IF(K227="",
    "",
    _xlpm.coef * (K227-K228))
)</f>
        <v/>
      </c>
      <c r="L229" t="str" cm="1">
        <f t="array" ref="L229">_xlfn.LET(
  _xlpm.K, Constantes!$B$3,
  _xlpm.Knewgain, Constantes!$B$4,
  _xlpm.Knewscale, Constantes!$B$5,
  _xlpm.ptstables, INDEX(L:L, _xlfn.SEQUENCE(COUNTA($C$2:$C229), 1, 3, 4)),
  _xlpm.nbparties, COUNTA(_xlfn._xlws.FILTER(_xlpm.ptstables, _xlpm.ptstables &lt;&gt; "")),
  _xlpm.coef, _xlpm.K + _xlpm.Knewgain / (_xlpm.Knewscale + _xlpm.nbparties),
  IF(L227="",
    "",
    _xlpm.coef * (L227-L228))
)</f>
        <v/>
      </c>
      <c r="M229" t="str" cm="1">
        <f t="array" ref="M229">_xlfn.LET(
  _xlpm.K, Constantes!$B$3,
  _xlpm.Knewgain, Constantes!$B$4,
  _xlpm.Knewscale, Constantes!$B$5,
  _xlpm.ptstables, INDEX(M:M, _xlfn.SEQUENCE(COUNTA($C$2:$C229), 1, 3, 4)),
  _xlpm.nbparties, COUNTA(_xlfn._xlws.FILTER(_xlpm.ptstables, _xlpm.ptstables &lt;&gt; "")),
  _xlpm.coef, _xlpm.K + _xlpm.Knewgain / (_xlpm.Knewscale + _xlpm.nbparties),
  IF(M227="",
    "",
    _xlpm.coef * (M227-M228))
)</f>
        <v/>
      </c>
      <c r="N229" t="str" cm="1">
        <f t="array" ref="N229">_xlfn.LET(
  _xlpm.K, Constantes!$B$3,
  _xlpm.Knewgain, Constantes!$B$4,
  _xlpm.Knewscale, Constantes!$B$5,
  _xlpm.ptstables, INDEX(N:N, _xlfn.SEQUENCE(COUNTA($C$2:$C229), 1, 3, 4)),
  _xlpm.nbparties, COUNTA(_xlfn._xlws.FILTER(_xlpm.ptstables, _xlpm.ptstables &lt;&gt; "")),
  _xlpm.coef, _xlpm.K + _xlpm.Knewgain / (_xlpm.Knewscale + _xlpm.nbparties),
  IF(N227="",
    "",
    _xlpm.coef * (N227-N228))
)</f>
        <v/>
      </c>
      <c r="O229" t="str" cm="1">
        <f t="array" ref="O229">_xlfn.LET(
  _xlpm.K, Constantes!$B$3,
  _xlpm.Knewgain, Constantes!$B$4,
  _xlpm.Knewscale, Constantes!$B$5,
  _xlpm.ptstables, INDEX(O:O, _xlfn.SEQUENCE(COUNTA($C$2:$C229), 1, 3, 4)),
  _xlpm.nbparties, COUNTA(_xlfn._xlws.FILTER(_xlpm.ptstables, _xlpm.ptstables &lt;&gt; "")),
  _xlpm.coef, _xlpm.K + _xlpm.Knewgain / (_xlpm.Knewscale + _xlpm.nbparties),
  IF(O227="",
    "",
    _xlpm.coef * (O227-O228))
)</f>
        <v/>
      </c>
      <c r="P229" t="str" cm="1">
        <f t="array" ref="P229">_xlfn.LET(
  _xlpm.K, Constantes!$B$3,
  _xlpm.Knewgain, Constantes!$B$4,
  _xlpm.Knewscale, Constantes!$B$5,
  _xlpm.ptstables, INDEX(P:P, _xlfn.SEQUENCE(COUNTA($C$2:$C229), 1, 3, 4)),
  _xlpm.nbparties, COUNTA(_xlfn._xlws.FILTER(_xlpm.ptstables, _xlpm.ptstables &lt;&gt; "")),
  _xlpm.coef, _xlpm.K + _xlpm.Knewgain / (_xlpm.Knewscale + _xlpm.nbparties),
  IF(P227="",
    "",
    _xlpm.coef * (P227-P228))
)</f>
        <v/>
      </c>
      <c r="Q229" t="str" cm="1">
        <f t="array" ref="Q229">_xlfn.LET(
  _xlpm.K, Constantes!$B$3,
  _xlpm.Knewgain, Constantes!$B$4,
  _xlpm.Knewscale, Constantes!$B$5,
  _xlpm.ptstables, INDEX(Q:Q, _xlfn.SEQUENCE(COUNTA($C$2:$C229), 1, 3, 4)),
  _xlpm.nbparties, COUNTA(_xlfn._xlws.FILTER(_xlpm.ptstables, _xlpm.ptstables &lt;&gt; "")),
  _xlpm.coef, _xlpm.K + _xlpm.Knewgain / (_xlpm.Knewscale + _xlpm.nbparties),
  IF(Q227="",
    "",
    _xlpm.coef * (Q227-Q228))
)</f>
        <v/>
      </c>
      <c r="R229" cm="1">
        <f t="array" ref="R229">_xlfn.LET(
  _xlpm.K, Constantes!$B$3,
  _xlpm.Knewgain, Constantes!$B$4,
  _xlpm.Knewscale, Constantes!$B$5,
  _xlpm.ptstables, INDEX(R:R, _xlfn.SEQUENCE(COUNTA($C$2:$C229), 1, 3, 4)),
  _xlpm.nbparties, COUNTA(_xlfn._xlws.FILTER(_xlpm.ptstables, _xlpm.ptstables &lt;&gt; "")),
  _xlpm.coef, _xlpm.K + _xlpm.Knewgain / (_xlpm.Knewscale + _xlpm.nbparties),
  IF(R227="",
    "",
    _xlpm.coef * (R227-R228))
)</f>
        <v>-44.792533879356405</v>
      </c>
      <c r="S229" cm="1">
        <f t="array" ref="S229">_xlfn.LET(
  _xlpm.K, Constantes!$B$3,
  _xlpm.Knewgain, Constantes!$B$4,
  _xlpm.Knewscale, Constantes!$B$5,
  _xlpm.ptstables, INDEX(S:S, _xlfn.SEQUENCE(COUNTA($C$2:$C229), 1, 3, 4)),
  _xlpm.nbparties, COUNTA(_xlfn._xlws.FILTER(_xlpm.ptstables, _xlpm.ptstables &lt;&gt; "")),
  _xlpm.coef, _xlpm.K + _xlpm.Knewgain / (_xlpm.Knewscale + _xlpm.nbparties),
  IF(S227="",
    "",
    _xlpm.coef * (S227-S228))
)</f>
        <v>56.349823068711366</v>
      </c>
      <c r="T229" t="str" cm="1">
        <f t="array" ref="T229">_xlfn.LET(
  _xlpm.K, Constantes!$B$3,
  _xlpm.Knewgain, Constantes!$B$4,
  _xlpm.Knewscale, Constantes!$B$5,
  _xlpm.ptstables, INDEX(T:T, _xlfn.SEQUENCE(COUNTA($C$2:$C229), 1, 3, 4)),
  _xlpm.nbparties, COUNTA(_xlfn._xlws.FILTER(_xlpm.ptstables, _xlpm.ptstables &lt;&gt; "")),
  _xlpm.coef, _xlpm.K + _xlpm.Knewgain / (_xlpm.Knewscale + _xlpm.nbparties),
  IF(T227="",
    "",
    _xlpm.coef * (T227-T228))
)</f>
        <v/>
      </c>
      <c r="U229" t="str" cm="1">
        <f t="array" ref="U229">_xlfn.LET(
  _xlpm.K, Constantes!$B$3,
  _xlpm.Knewgain, Constantes!$B$4,
  _xlpm.Knewscale, Constantes!$B$5,
  _xlpm.ptstables, INDEX(U:U, _xlfn.SEQUENCE(COUNTA($C$2:$C229), 1, 3, 4)),
  _xlpm.nbparties, COUNTA(_xlfn._xlws.FILTER(_xlpm.ptstables, _xlpm.ptstables &lt;&gt; "")),
  _xlpm.coef, _xlpm.K + _xlpm.Knewgain / (_xlpm.Knewscale + _xlpm.nbparties),
  IF(U227="",
    "",
    _xlpm.coef * (U227-U228))
)</f>
        <v/>
      </c>
      <c r="V229" t="str" cm="1">
        <f t="array" ref="V229">_xlfn.LET(
  _xlpm.K, Constantes!$B$3,
  _xlpm.Knewgain, Constantes!$B$4,
  _xlpm.Knewscale, Constantes!$B$5,
  _xlpm.ptstables, INDEX(V:V, _xlfn.SEQUENCE(COUNTA($C$2:$C229), 1, 3, 4)),
  _xlpm.nbparties, COUNTA(_xlfn._xlws.FILTER(_xlpm.ptstables, _xlpm.ptstables &lt;&gt; "")),
  _xlpm.coef, _xlpm.K + _xlpm.Knewgain / (_xlpm.Knewscale + _xlpm.nbparties),
  IF(V227="",
    "",
    _xlpm.coef * (V227-V228))
)</f>
        <v/>
      </c>
      <c r="W229" t="str" cm="1">
        <f t="array" ref="W229">_xlfn.LET(
  _xlpm.K, Constantes!$B$3,
  _xlpm.Knewgain, Constantes!$B$4,
  _xlpm.Knewscale, Constantes!$B$5,
  _xlpm.ptstables, INDEX(W:W, _xlfn.SEQUENCE(COUNTA($C$2:$C229), 1, 3, 4)),
  _xlpm.nbparties, COUNTA(_xlfn._xlws.FILTER(_xlpm.ptstables, _xlpm.ptstables &lt;&gt; "")),
  _xlpm.coef, _xlpm.K + _xlpm.Knewgain / (_xlpm.Knewscale + _xlpm.nbparties),
  IF(W227="",
    "",
    _xlpm.coef * (W227-W228))
)</f>
        <v/>
      </c>
      <c r="X229" t="str" cm="1">
        <f t="array" ref="X229">_xlfn.LET(
  _xlpm.K, Constantes!$B$3,
  _xlpm.Knewgain, Constantes!$B$4,
  _xlpm.Knewscale, Constantes!$B$5,
  _xlpm.ptstables, INDEX(X:X, _xlfn.SEQUENCE(COUNTA($C$2:$C229), 1, 3, 4)),
  _xlpm.nbparties, COUNTA(_xlfn._xlws.FILTER(_xlpm.ptstables, _xlpm.ptstables &lt;&gt; "")),
  _xlpm.coef, _xlpm.K + _xlpm.Knewgain / (_xlpm.Knewscale + _xlpm.nbparties),
  IF(X227="",
    "",
    _xlpm.coef * (X227-X228))
)</f>
        <v/>
      </c>
      <c r="Y229" t="str" cm="1">
        <f t="array" ref="Y229">_xlfn.LET(
  _xlpm.K, Constantes!$B$3,
  _xlpm.Knewgain, Constantes!$B$4,
  _xlpm.Knewscale, Constantes!$B$5,
  _xlpm.ptstables, INDEX(Y:Y, _xlfn.SEQUENCE(COUNTA($C$2:$C229), 1, 3, 4)),
  _xlpm.nbparties, COUNTA(_xlfn._xlws.FILTER(_xlpm.ptstables, _xlpm.ptstables &lt;&gt; "")),
  _xlpm.coef, _xlpm.K + _xlpm.Knewgain / (_xlpm.Knewscale + _xlpm.nbparties),
  IF(Y227="",
    "",
    _xlpm.coef * (Y227-Y228))
)</f>
        <v/>
      </c>
      <c r="Z229" t="str" cm="1">
        <f t="array" ref="Z229">_xlfn.LET(
  _xlpm.K, Constantes!$B$3,
  _xlpm.Knewgain, Constantes!$B$4,
  _xlpm.Knewscale, Constantes!$B$5,
  _xlpm.ptstables, INDEX(Z:Z, _xlfn.SEQUENCE(COUNTA($C$2:$C229), 1, 3, 4)),
  _xlpm.nbparties, COUNTA(_xlfn._xlws.FILTER(_xlpm.ptstables, _xlpm.ptstables &lt;&gt; "")),
  _xlpm.coef, _xlpm.K + _xlpm.Knewgain / (_xlpm.Knewscale + _xlpm.nbparties),
  IF(Z227="",
    "",
    _xlpm.coef * (Z227-Z228))
)</f>
        <v/>
      </c>
      <c r="AA229" t="str" cm="1">
        <f t="array" ref="AA229">_xlfn.LET(
  _xlpm.K, Constantes!$B$3,
  _xlpm.Knewgain, Constantes!$B$4,
  _xlpm.Knewscale, Constantes!$B$5,
  _xlpm.ptstables, INDEX(AA:AA, _xlfn.SEQUENCE(COUNTA($C$2:$C229), 1, 3, 4)),
  _xlpm.nbparties, COUNTA(_xlfn._xlws.FILTER(_xlpm.ptstables, _xlpm.ptstables &lt;&gt; "")),
  _xlpm.coef, _xlpm.K + _xlpm.Knewgain / (_xlpm.Knewscale + _xlpm.nbparties),
  IF(AA227="",
    "",
    _xlpm.coef * (AA227-AA228))
)</f>
        <v/>
      </c>
      <c r="AB229" t="str" cm="1">
        <f t="array" ref="AB229">_xlfn.LET(
  _xlpm.K, Constantes!$B$3,
  _xlpm.Knewgain, Constantes!$B$4,
  _xlpm.Knewscale, Constantes!$B$5,
  _xlpm.ptstables, INDEX(AB:AB, _xlfn.SEQUENCE(COUNTA($C$2:$C229), 1, 3, 4)),
  _xlpm.nbparties, COUNTA(_xlfn._xlws.FILTER(_xlpm.ptstables, _xlpm.ptstables &lt;&gt; "")),
  _xlpm.coef, _xlpm.K + _xlpm.Knewgain / (_xlpm.Knewscale + _xlpm.nbparties),
  IF(AB227="",
    "",
    _xlpm.coef * (AB227-AB228))
)</f>
        <v/>
      </c>
      <c r="AC229" cm="1">
        <f t="array" ref="AC229">_xlfn.LET(
  _xlpm.K, Constantes!$B$3,
  _xlpm.Knewgain, Constantes!$B$4,
  _xlpm.Knewscale, Constantes!$B$5,
  _xlpm.ptstables, INDEX(AC:AC, _xlfn.SEQUENCE(COUNTA($C$2:$C229), 1, 3, 4)),
  _xlpm.nbparties, COUNTA(_xlfn._xlws.FILTER(_xlpm.ptstables, _xlpm.ptstables &lt;&gt; "")),
  _xlpm.coef, _xlpm.K + _xlpm.Knewgain / (_xlpm.Knewscale + _xlpm.nbparties),
  IF(AC227="",
    "",
    _xlpm.coef * (AC227-AC228))
)</f>
        <v>8.1090545885880534</v>
      </c>
      <c r="AD229" t="str" cm="1">
        <f t="array" ref="AD229">_xlfn.LET(
  _xlpm.K, Constantes!$B$3,
  _xlpm.Knewgain, Constantes!$B$4,
  _xlpm.Knewscale, Constantes!$B$5,
  _xlpm.ptstables, INDEX(AD:AD, _xlfn.SEQUENCE(COUNTA($C$2:$C229), 1, 3, 4)),
  _xlpm.nbparties, COUNTA(_xlfn._xlws.FILTER(_xlpm.ptstables, _xlpm.ptstables &lt;&gt; "")),
  _xlpm.coef, _xlpm.K + _xlpm.Knewgain / (_xlpm.Knewscale + _xlpm.nbparties),
  IF(AD227="",
    "",
    _xlpm.coef * (AD227-AD228))
)</f>
        <v/>
      </c>
      <c r="AE229" t="str" cm="1">
        <f t="array" ref="AE229">_xlfn.LET(
  _xlpm.K, Constantes!$B$3,
  _xlpm.Knewgain, Constantes!$B$4,
  _xlpm.Knewscale, Constantes!$B$5,
  _xlpm.ptstables, INDEX(AE:AE, _xlfn.SEQUENCE(COUNTA($C$2:$C229), 1, 3, 4)),
  _xlpm.nbparties, COUNTA(_xlfn._xlws.FILTER(_xlpm.ptstables, _xlpm.ptstables &lt;&gt; "")),
  _xlpm.coef, _xlpm.K + _xlpm.Knewgain / (_xlpm.Knewscale + _xlpm.nbparties),
  IF(AE227="",
    "",
    _xlpm.coef * (AE227-AE228))
)</f>
        <v/>
      </c>
      <c r="AF229" t="str" cm="1">
        <f t="array" ref="AF229">_xlfn.LET(
  _xlpm.K, Constantes!$B$3,
  _xlpm.Knewgain, Constantes!$B$4,
  _xlpm.Knewscale, Constantes!$B$5,
  _xlpm.ptstables, INDEX(AF:AF, _xlfn.SEQUENCE(COUNTA($C$2:$C229), 1, 3, 4)),
  _xlpm.nbparties, COUNTA(_xlfn._xlws.FILTER(_xlpm.ptstables, _xlpm.ptstables &lt;&gt; "")),
  _xlpm.coef, _xlpm.K + _xlpm.Knewgain / (_xlpm.Knewscale + _xlpm.nbparties),
  IF(AF227="",
    "",
    _xlpm.coef * (AF227-AF228))
)</f>
        <v/>
      </c>
      <c r="AG229" t="str" cm="1">
        <f t="array" ref="AG229">_xlfn.LET(
  _xlpm.K, Constantes!$B$3,
  _xlpm.Knewgain, Constantes!$B$4,
  _xlpm.Knewscale, Constantes!$B$5,
  _xlpm.ptstables, INDEX(AG:AG, _xlfn.SEQUENCE(COUNTA($C$2:$C229), 1, 3, 4)),
  _xlpm.nbparties, COUNTA(_xlfn._xlws.FILTER(_xlpm.ptstables, _xlpm.ptstables &lt;&gt; "")),
  _xlpm.coef, _xlpm.K + _xlpm.Knewgain / (_xlpm.Knewscale + _xlpm.nbparties),
  IF(AG227="",
    "",
    _xlpm.coef * (AG227-AG228))
)</f>
        <v/>
      </c>
      <c r="AH229" t="str" cm="1">
        <f t="array" ref="AH229">_xlfn.LET(
  _xlpm.K, Constantes!$B$3,
  _xlpm.Knewgain, Constantes!$B$4,
  _xlpm.Knewscale, Constantes!$B$5,
  _xlpm.ptstables, INDEX(AH:AH, _xlfn.SEQUENCE(COUNTA($C$2:$C229), 1, 3, 4)),
  _xlpm.nbparties, COUNTA(_xlfn._xlws.FILTER(_xlpm.ptstables, _xlpm.ptstables &lt;&gt; "")),
  _xlpm.coef, _xlpm.K + _xlpm.Knewgain / (_xlpm.Knewscale + _xlpm.nbparties),
  IF(AH227="",
    "",
    _xlpm.coef * (AH227-AH228))
)</f>
        <v/>
      </c>
      <c r="AI229" t="str" cm="1">
        <f t="array" ref="AI229">_xlfn.LET(
  _xlpm.K, Constantes!$B$3,
  _xlpm.Knewgain, Constantes!$B$4,
  _xlpm.Knewscale, Constantes!$B$5,
  _xlpm.ptstables, INDEX(AI:AI, _xlfn.SEQUENCE(COUNTA($C$2:$C229), 1, 3, 4)),
  _xlpm.nbparties, COUNTA(_xlfn._xlws.FILTER(_xlpm.ptstables, _xlpm.ptstables &lt;&gt; "")),
  _xlpm.coef, _xlpm.K + _xlpm.Knewgain / (_xlpm.Knewscale + _xlpm.nbparties),
  IF(AI227="",
    "",
    _xlpm.coef * (AI227-AI228))
)</f>
        <v/>
      </c>
      <c r="AJ229" t="str" cm="1">
        <f t="array" ref="AJ229">_xlfn.LET(
  _xlpm.K, Constantes!$B$3,
  _xlpm.Knewgain, Constantes!$B$4,
  _xlpm.Knewscale, Constantes!$B$5,
  _xlpm.ptstables, INDEX(AJ:AJ, _xlfn.SEQUENCE(COUNTA($C$2:$C229), 1, 3, 4)),
  _xlpm.nbparties, COUNTA(_xlfn._xlws.FILTER(_xlpm.ptstables, _xlpm.ptstables &lt;&gt; "")),
  _xlpm.coef, _xlpm.K + _xlpm.Knewgain / (_xlpm.Knewscale + _xlpm.nbparties),
  IF(AJ227="",
    "",
    _xlpm.coef * (AJ227-AJ228))
)</f>
        <v/>
      </c>
      <c r="AK229" t="str" cm="1">
        <f t="array" ref="AK229">_xlfn.LET(
  _xlpm.K, Constantes!$B$3,
  _xlpm.Knewgain, Constantes!$B$4,
  _xlpm.Knewscale, Constantes!$B$5,
  _xlpm.ptstables, INDEX(AK:AK, _xlfn.SEQUENCE(COUNTA($C$2:$C229), 1, 3, 4)),
  _xlpm.nbparties, COUNTA(_xlfn._xlws.FILTER(_xlpm.ptstables, _xlpm.ptstables &lt;&gt; "")),
  _xlpm.coef, _xlpm.K + _xlpm.Knewgain / (_xlpm.Knewscale + _xlpm.nbparties),
  IF(AK227="",
    "",
    _xlpm.coef * (AK227-AK228))
)</f>
        <v/>
      </c>
      <c r="AL229" t="str" cm="1">
        <f t="array" ref="AL229">_xlfn.LET(
  _xlpm.K, Constantes!$B$3,
  _xlpm.Knewgain, Constantes!$B$4,
  _xlpm.Knewscale, Constantes!$B$5,
  _xlpm.ptstables, INDEX(AL:AL, _xlfn.SEQUENCE(COUNTA($C$2:$C229), 1, 3, 4)),
  _xlpm.nbparties, COUNTA(_xlfn._xlws.FILTER(_xlpm.ptstables, _xlpm.ptstables &lt;&gt; "")),
  _xlpm.coef, _xlpm.K + _xlpm.Knewgain / (_xlpm.Knewscale + _xlpm.nbparties),
  IF(AL227="",
    "",
    _xlpm.coef * (AL227-AL228))
)</f>
        <v/>
      </c>
      <c r="AM229" t="str" cm="1">
        <f t="array" ref="AM229">_xlfn.LET(
  _xlpm.K, Constantes!$B$3,
  _xlpm.Knewgain, Constantes!$B$4,
  _xlpm.Knewscale, Constantes!$B$5,
  _xlpm.ptstables, INDEX(AM:AM, _xlfn.SEQUENCE(COUNTA($C$2:$C229), 1, 3, 4)),
  _xlpm.nbparties, COUNTA(_xlfn._xlws.FILTER(_xlpm.ptstables, _xlpm.ptstables &lt;&gt; "")),
  _xlpm.coef, _xlpm.K + _xlpm.Knewgain / (_xlpm.Knewscale + _xlpm.nbparties),
  IF(AM227="",
    "",
    _xlpm.coef * (AM227-AM228))
)</f>
        <v/>
      </c>
    </row>
    <row r="230" spans="1:39" x14ac:dyDescent="0.25">
      <c r="A230" t="s">
        <v>14</v>
      </c>
      <c r="B230" t="str" cm="1">
        <f t="array" ref="B23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60</v>
      </c>
      <c r="C230" s="2" cm="1">
        <f t="array" ref="C230">IF(B230="","",
  INDEX(Donnees!F:F, MATCH(B230, Donnees!F:F, 0)+1))</f>
        <v>45939.773043981484</v>
      </c>
      <c r="D230">
        <f t="shared" ref="D230:AM230" si="65">D226+IF(D229="",0,D229)</f>
        <v>1080.5073798720127</v>
      </c>
      <c r="E230">
        <f t="shared" si="65"/>
        <v>1150.8581509866578</v>
      </c>
      <c r="F230">
        <f t="shared" si="65"/>
        <v>840.07622072834204</v>
      </c>
      <c r="G230">
        <f t="shared" si="65"/>
        <v>1057.7305578219223</v>
      </c>
      <c r="H230">
        <f t="shared" si="65"/>
        <v>1041.4828877801035</v>
      </c>
      <c r="I230">
        <f t="shared" si="65"/>
        <v>960.57774210047694</v>
      </c>
      <c r="J230">
        <f t="shared" si="65"/>
        <v>938.49433816478961</v>
      </c>
      <c r="K230">
        <f t="shared" si="65"/>
        <v>957.39471433630956</v>
      </c>
      <c r="L230">
        <f t="shared" si="65"/>
        <v>766.95119884458973</v>
      </c>
      <c r="M230">
        <f t="shared" si="65"/>
        <v>913.41986361738122</v>
      </c>
      <c r="N230">
        <f t="shared" si="65"/>
        <v>905.23376280700177</v>
      </c>
      <c r="O230">
        <f t="shared" si="65"/>
        <v>980.22411339123312</v>
      </c>
      <c r="P230">
        <f t="shared" si="65"/>
        <v>1044.694691960626</v>
      </c>
      <c r="Q230">
        <f t="shared" si="65"/>
        <v>1063.0038761407025</v>
      </c>
      <c r="R230">
        <f t="shared" si="65"/>
        <v>1080.636938748263</v>
      </c>
      <c r="S230">
        <f t="shared" si="65"/>
        <v>912.90205356391152</v>
      </c>
      <c r="T230">
        <f t="shared" si="65"/>
        <v>1135.2782658680615</v>
      </c>
      <c r="U230">
        <f t="shared" si="65"/>
        <v>1128.9847071955464</v>
      </c>
      <c r="V230">
        <f t="shared" si="65"/>
        <v>983.1120575372413</v>
      </c>
      <c r="W230">
        <f t="shared" si="65"/>
        <v>936.79085942937002</v>
      </c>
      <c r="X230">
        <f t="shared" si="65"/>
        <v>814.38475747458392</v>
      </c>
      <c r="Y230">
        <f t="shared" si="65"/>
        <v>959.91987155343315</v>
      </c>
      <c r="Z230">
        <f t="shared" si="65"/>
        <v>991.11904139672549</v>
      </c>
      <c r="AA230">
        <f t="shared" si="65"/>
        <v>982.43589116819533</v>
      </c>
      <c r="AB230">
        <f t="shared" si="65"/>
        <v>988.35669729544747</v>
      </c>
      <c r="AC230">
        <f t="shared" si="65"/>
        <v>1093.929067390565</v>
      </c>
      <c r="AD230">
        <f t="shared" si="65"/>
        <v>1073.9096023401294</v>
      </c>
      <c r="AE230">
        <f t="shared" si="65"/>
        <v>1011.415</v>
      </c>
      <c r="AF230">
        <f t="shared" si="65"/>
        <v>1031.1199999999999</v>
      </c>
      <c r="AG230">
        <f t="shared" si="65"/>
        <v>1001.0350000000001</v>
      </c>
      <c r="AH230">
        <f t="shared" si="65"/>
        <v>994.44</v>
      </c>
      <c r="AI230">
        <f t="shared" si="65"/>
        <v>1000</v>
      </c>
      <c r="AJ230">
        <f t="shared" si="65"/>
        <v>957.2</v>
      </c>
      <c r="AK230">
        <f t="shared" si="65"/>
        <v>1000</v>
      </c>
      <c r="AL230">
        <f t="shared" si="65"/>
        <v>1055.9299999999998</v>
      </c>
      <c r="AM230">
        <f t="shared" si="65"/>
        <v>1000</v>
      </c>
    </row>
    <row r="231" spans="1:39" x14ac:dyDescent="0.25">
      <c r="A231" t="s">
        <v>21</v>
      </c>
      <c r="D231" t="str" cm="1">
        <f t="array" ref="D231">IFERROR(
  _xlfn.LET(
    _xlpm.ligpartie, MATCH($B230, Donnees!$F:$F, 0),
    _xlpm.joueurs, INDEX(Donnees!$A:$Z, _xlpm.ligpartie+1, _xlfn.SEQUENCE(1, 4, 2)),
    INDEX(
      Donnees!$A:$Z,
      _xlpm.ligpartie + 3,
      MATCH(D$1, _xlpm.joueurs, 0) + 1
    )
  ), ""
)</f>
        <v/>
      </c>
      <c r="E231" t="str" cm="1">
        <f t="array" ref="E231">IFERROR(
  _xlfn.LET(
    _xlpm.ligpartie, MATCH($B230, Donnees!$F:$F, 0),
    _xlpm.joueurs, INDEX(Donnees!$A:$Z, _xlpm.ligpartie+1, _xlfn.SEQUENCE(1, 4, 2)),
    INDEX(
      Donnees!$A:$Z,
      _xlpm.ligpartie + 3,
      MATCH(E$1, _xlpm.joueurs, 0) + 1
    )
  ), ""
)</f>
        <v/>
      </c>
      <c r="F231" t="str" cm="1">
        <f t="array" ref="F231">IFERROR(
  _xlfn.LET(
    _xlpm.ligpartie, MATCH($B230, Donnees!$F:$F, 0),
    _xlpm.joueurs, INDEX(Donnees!$A:$Z, _xlpm.ligpartie+1, _xlfn.SEQUENCE(1, 4, 2)),
    INDEX(
      Donnees!$A:$Z,
      _xlpm.ligpartie + 3,
      MATCH(F$1, _xlpm.joueurs, 0) + 1
    )
  ), ""
)</f>
        <v/>
      </c>
      <c r="G231" t="str" cm="1">
        <f t="array" ref="G231">IFERROR(
  _xlfn.LET(
    _xlpm.ligpartie, MATCH($B230, Donnees!$F:$F, 0),
    _xlpm.joueurs, INDEX(Donnees!$A:$Z, _xlpm.ligpartie+1, _xlfn.SEQUENCE(1, 4, 2)),
    INDEX(
      Donnees!$A:$Z,
      _xlpm.ligpartie + 3,
      MATCH(G$1, _xlpm.joueurs, 0) + 1
    )
  ), ""
)</f>
        <v/>
      </c>
      <c r="H231" t="str" cm="1">
        <f t="array" ref="H231">IFERROR(
  _xlfn.LET(
    _xlpm.ligpartie, MATCH($B230, Donnees!$F:$F, 0),
    _xlpm.joueurs, INDEX(Donnees!$A:$Z, _xlpm.ligpartie+1, _xlfn.SEQUENCE(1, 4, 2)),
    INDEX(
      Donnees!$A:$Z,
      _xlpm.ligpartie + 3,
      MATCH(H$1, _xlpm.joueurs, 0) + 1
    )
  ), ""
)</f>
        <v/>
      </c>
      <c r="I231" t="str" cm="1">
        <f t="array" ref="I231">IFERROR(
  _xlfn.LET(
    _xlpm.ligpartie, MATCH($B230, Donnees!$F:$F, 0),
    _xlpm.joueurs, INDEX(Donnees!$A:$Z, _xlpm.ligpartie+1, _xlfn.SEQUENCE(1, 4, 2)),
    INDEX(
      Donnees!$A:$Z,
      _xlpm.ligpartie + 3,
      MATCH(I$1, _xlpm.joueurs, 0) + 1
    )
  ), ""
)</f>
        <v/>
      </c>
      <c r="J231" t="str" cm="1">
        <f t="array" ref="J231">IFERROR(
  _xlfn.LET(
    _xlpm.ligpartie, MATCH($B230, Donnees!$F:$F, 0),
    _xlpm.joueurs, INDEX(Donnees!$A:$Z, _xlpm.ligpartie+1, _xlfn.SEQUENCE(1, 4, 2)),
    INDEX(
      Donnees!$A:$Z,
      _xlpm.ligpartie + 3,
      MATCH(J$1, _xlpm.joueurs, 0) + 1
    )
  ), ""
)</f>
        <v/>
      </c>
      <c r="K231" t="str" cm="1">
        <f t="array" ref="K231">IFERROR(
  _xlfn.LET(
    _xlpm.ligpartie, MATCH($B230, Donnees!$F:$F, 0),
    _xlpm.joueurs, INDEX(Donnees!$A:$Z, _xlpm.ligpartie+1, _xlfn.SEQUENCE(1, 4, 2)),
    INDEX(
      Donnees!$A:$Z,
      _xlpm.ligpartie + 3,
      MATCH(K$1, _xlpm.joueurs, 0) + 1
    )
  ), ""
)</f>
        <v/>
      </c>
      <c r="L231" t="str" cm="1">
        <f t="array" ref="L231">IFERROR(
  _xlfn.LET(
    _xlpm.ligpartie, MATCH($B230, Donnees!$F:$F, 0),
    _xlpm.joueurs, INDEX(Donnees!$A:$Z, _xlpm.ligpartie+1, _xlfn.SEQUENCE(1, 4, 2)),
    INDEX(
      Donnees!$A:$Z,
      _xlpm.ligpartie + 3,
      MATCH(L$1, _xlpm.joueurs, 0) + 1
    )
  ), ""
)</f>
        <v/>
      </c>
      <c r="M231" t="str" cm="1">
        <f t="array" ref="M231">IFERROR(
  _xlfn.LET(
    _xlpm.ligpartie, MATCH($B230, Donnees!$F:$F, 0),
    _xlpm.joueurs, INDEX(Donnees!$A:$Z, _xlpm.ligpartie+1, _xlfn.SEQUENCE(1, 4, 2)),
    INDEX(
      Donnees!$A:$Z,
      _xlpm.ligpartie + 3,
      MATCH(M$1, _xlpm.joueurs, 0) + 1
    )
  ), ""
)</f>
        <v/>
      </c>
      <c r="N231" t="str" cm="1">
        <f t="array" ref="N231">IFERROR(
  _xlfn.LET(
    _xlpm.ligpartie, MATCH($B230, Donnees!$F:$F, 0),
    _xlpm.joueurs, INDEX(Donnees!$A:$Z, _xlpm.ligpartie+1, _xlfn.SEQUENCE(1, 4, 2)),
    INDEX(
      Donnees!$A:$Z,
      _xlpm.ligpartie + 3,
      MATCH(N$1, _xlpm.joueurs, 0) + 1
    )
  ), ""
)</f>
        <v/>
      </c>
      <c r="O231" t="str" cm="1">
        <f t="array" ref="O231">IFERROR(
  _xlfn.LET(
    _xlpm.ligpartie, MATCH($B230, Donnees!$F:$F, 0),
    _xlpm.joueurs, INDEX(Donnees!$A:$Z, _xlpm.ligpartie+1, _xlfn.SEQUENCE(1, 4, 2)),
    INDEX(
      Donnees!$A:$Z,
      _xlpm.ligpartie + 3,
      MATCH(O$1, _xlpm.joueurs, 0) + 1
    )
  ), ""
)</f>
        <v/>
      </c>
      <c r="P231" t="str" cm="1">
        <f t="array" ref="P231">IFERROR(
  _xlfn.LET(
    _xlpm.ligpartie, MATCH($B230, Donnees!$F:$F, 0),
    _xlpm.joueurs, INDEX(Donnees!$A:$Z, _xlpm.ligpartie+1, _xlfn.SEQUENCE(1, 4, 2)),
    INDEX(
      Donnees!$A:$Z,
      _xlpm.ligpartie + 3,
      MATCH(P$1, _xlpm.joueurs, 0) + 1
    )
  ), ""
)</f>
        <v/>
      </c>
      <c r="Q231" cm="1">
        <f t="array" ref="Q231">IFERROR(
  _xlfn.LET(
    _xlpm.ligpartie, MATCH($B230, Donnees!$F:$F, 0),
    _xlpm.joueurs, INDEX(Donnees!$A:$Z, _xlpm.ligpartie+1, _xlfn.SEQUENCE(1, 4, 2)),
    INDEX(
      Donnees!$A:$Z,
      _xlpm.ligpartie + 3,
      MATCH(Q$1, _xlpm.joueurs, 0) + 1
    )
  ), ""
)</f>
        <v>3</v>
      </c>
      <c r="R231" t="str" cm="1">
        <f t="array" ref="R231">IFERROR(
  _xlfn.LET(
    _xlpm.ligpartie, MATCH($B230, Donnees!$F:$F, 0),
    _xlpm.joueurs, INDEX(Donnees!$A:$Z, _xlpm.ligpartie+1, _xlfn.SEQUENCE(1, 4, 2)),
    INDEX(
      Donnees!$A:$Z,
      _xlpm.ligpartie + 3,
      MATCH(R$1, _xlpm.joueurs, 0) + 1
    )
  ), ""
)</f>
        <v/>
      </c>
      <c r="S231" t="str" cm="1">
        <f t="array" ref="S231">IFERROR(
  _xlfn.LET(
    _xlpm.ligpartie, MATCH($B230, Donnees!$F:$F, 0),
    _xlpm.joueurs, INDEX(Donnees!$A:$Z, _xlpm.ligpartie+1, _xlfn.SEQUENCE(1, 4, 2)),
    INDEX(
      Donnees!$A:$Z,
      _xlpm.ligpartie + 3,
      MATCH(S$1, _xlpm.joueurs, 0) + 1
    )
  ), ""
)</f>
        <v/>
      </c>
      <c r="T231" t="str" cm="1">
        <f t="array" ref="T231">IFERROR(
  _xlfn.LET(
    _xlpm.ligpartie, MATCH($B230, Donnees!$F:$F, 0),
    _xlpm.joueurs, INDEX(Donnees!$A:$Z, _xlpm.ligpartie+1, _xlfn.SEQUENCE(1, 4, 2)),
    INDEX(
      Donnees!$A:$Z,
      _xlpm.ligpartie + 3,
      MATCH(T$1, _xlpm.joueurs, 0) + 1
    )
  ), ""
)</f>
        <v/>
      </c>
      <c r="U231" cm="1">
        <f t="array" ref="U231">IFERROR(
  _xlfn.LET(
    _xlpm.ligpartie, MATCH($B230, Donnees!$F:$F, 0),
    _xlpm.joueurs, INDEX(Donnees!$A:$Z, _xlpm.ligpartie+1, _xlfn.SEQUENCE(1, 4, 2)),
    INDEX(
      Donnees!$A:$Z,
      _xlpm.ligpartie + 3,
      MATCH(U$1, _xlpm.joueurs, 0) + 1
    )
  ), ""
)</f>
        <v>2</v>
      </c>
      <c r="V231" t="str" cm="1">
        <f t="array" ref="V231">IFERROR(
  _xlfn.LET(
    _xlpm.ligpartie, MATCH($B230, Donnees!$F:$F, 0),
    _xlpm.joueurs, INDEX(Donnees!$A:$Z, _xlpm.ligpartie+1, _xlfn.SEQUENCE(1, 4, 2)),
    INDEX(
      Donnees!$A:$Z,
      _xlpm.ligpartie + 3,
      MATCH(V$1, _xlpm.joueurs, 0) + 1
    )
  ), ""
)</f>
        <v/>
      </c>
      <c r="W231" t="str" cm="1">
        <f t="array" ref="W231">IFERROR(
  _xlfn.LET(
    _xlpm.ligpartie, MATCH($B230, Donnees!$F:$F, 0),
    _xlpm.joueurs, INDEX(Donnees!$A:$Z, _xlpm.ligpartie+1, _xlfn.SEQUENCE(1, 4, 2)),
    INDEX(
      Donnees!$A:$Z,
      _xlpm.ligpartie + 3,
      MATCH(W$1, _xlpm.joueurs, 0) + 1
    )
  ), ""
)</f>
        <v/>
      </c>
      <c r="X231" t="str" cm="1">
        <f t="array" ref="X231">IFERROR(
  _xlfn.LET(
    _xlpm.ligpartie, MATCH($B230, Donnees!$F:$F, 0),
    _xlpm.joueurs, INDEX(Donnees!$A:$Z, _xlpm.ligpartie+1, _xlfn.SEQUENCE(1, 4, 2)),
    INDEX(
      Donnees!$A:$Z,
      _xlpm.ligpartie + 3,
      MATCH(X$1, _xlpm.joueurs, 0) + 1
    )
  ), ""
)</f>
        <v/>
      </c>
      <c r="Y231" t="str" cm="1">
        <f t="array" ref="Y231">IFERROR(
  _xlfn.LET(
    _xlpm.ligpartie, MATCH($B230, Donnees!$F:$F, 0),
    _xlpm.joueurs, INDEX(Donnees!$A:$Z, _xlpm.ligpartie+1, _xlfn.SEQUENCE(1, 4, 2)),
    INDEX(
      Donnees!$A:$Z,
      _xlpm.ligpartie + 3,
      MATCH(Y$1, _xlpm.joueurs, 0) + 1
    )
  ), ""
)</f>
        <v/>
      </c>
      <c r="Z231" t="str" cm="1">
        <f t="array" ref="Z231">IFERROR(
  _xlfn.LET(
    _xlpm.ligpartie, MATCH($B230, Donnees!$F:$F, 0),
    _xlpm.joueurs, INDEX(Donnees!$A:$Z, _xlpm.ligpartie+1, _xlfn.SEQUENCE(1, 4, 2)),
    INDEX(
      Donnees!$A:$Z,
      _xlpm.ligpartie + 3,
      MATCH(Z$1, _xlpm.joueurs, 0) + 1
    )
  ), ""
)</f>
        <v/>
      </c>
      <c r="AA231" cm="1">
        <f t="array" ref="AA231">IFERROR(
  _xlfn.LET(
    _xlpm.ligpartie, MATCH($B230, Donnees!$F:$F, 0),
    _xlpm.joueurs, INDEX(Donnees!$A:$Z, _xlpm.ligpartie+1, _xlfn.SEQUENCE(1, 4, 2)),
    INDEX(
      Donnees!$A:$Z,
      _xlpm.ligpartie + 3,
      MATCH(AA$1, _xlpm.joueurs, 0) + 1
    )
  ), ""
)</f>
        <v>0</v>
      </c>
      <c r="AB231" t="str" cm="1">
        <f t="array" ref="AB231">IFERROR(
  _xlfn.LET(
    _xlpm.ligpartie, MATCH($B230, Donnees!$F:$F, 0),
    _xlpm.joueurs, INDEX(Donnees!$A:$Z, _xlpm.ligpartie+1, _xlfn.SEQUENCE(1, 4, 2)),
    INDEX(
      Donnees!$A:$Z,
      _xlpm.ligpartie + 3,
      MATCH(AB$1, _xlpm.joueurs, 0) + 1
    )
  ), ""
)</f>
        <v/>
      </c>
      <c r="AC231" cm="1">
        <f t="array" ref="AC231">IFERROR(
  _xlfn.LET(
    _xlpm.ligpartie, MATCH($B230, Donnees!$F:$F, 0),
    _xlpm.joueurs, INDEX(Donnees!$A:$Z, _xlpm.ligpartie+1, _xlfn.SEQUENCE(1, 4, 2)),
    INDEX(
      Donnees!$A:$Z,
      _xlpm.ligpartie + 3,
      MATCH(AC$1, _xlpm.joueurs, 0) + 1
    )
  ), ""
)</f>
        <v>1</v>
      </c>
      <c r="AD231" t="str" cm="1">
        <f t="array" ref="AD231">IFERROR(
  _xlfn.LET(
    _xlpm.ligpartie, MATCH($B230, Donnees!$F:$F, 0),
    _xlpm.joueurs, INDEX(Donnees!$A:$Z, _xlpm.ligpartie+1, _xlfn.SEQUENCE(1, 4, 2)),
    INDEX(
      Donnees!$A:$Z,
      _xlpm.ligpartie + 3,
      MATCH(AD$1, _xlpm.joueurs, 0) + 1
    )
  ), ""
)</f>
        <v/>
      </c>
      <c r="AE231" t="str" cm="1">
        <f t="array" ref="AE231">IFERROR(
  _xlfn.LET(
    _xlpm.ligpartie, MATCH($B230, Donnees!$F:$F, 0),
    _xlpm.joueurs, INDEX(Donnees!$A:$Z, _xlpm.ligpartie+1, _xlfn.SEQUENCE(1, 4, 2)),
    INDEX(
      Donnees!$A:$Z,
      _xlpm.ligpartie + 3,
      MATCH(AE$1, _xlpm.joueurs, 0) + 1
    )
  ), ""
)</f>
        <v/>
      </c>
      <c r="AF231" t="str" cm="1">
        <f t="array" ref="AF231">IFERROR(
  _xlfn.LET(
    _xlpm.ligpartie, MATCH($B230, Donnees!$F:$F, 0),
    _xlpm.joueurs, INDEX(Donnees!$A:$Z, _xlpm.ligpartie+1, _xlfn.SEQUENCE(1, 4, 2)),
    INDEX(
      Donnees!$A:$Z,
      _xlpm.ligpartie + 3,
      MATCH(AF$1, _xlpm.joueurs, 0) + 1
    )
  ), ""
)</f>
        <v/>
      </c>
      <c r="AG231" t="str" cm="1">
        <f t="array" ref="AG231">IFERROR(
  _xlfn.LET(
    _xlpm.ligpartie, MATCH($B230, Donnees!$F:$F, 0),
    _xlpm.joueurs, INDEX(Donnees!$A:$Z, _xlpm.ligpartie+1, _xlfn.SEQUENCE(1, 4, 2)),
    INDEX(
      Donnees!$A:$Z,
      _xlpm.ligpartie + 3,
      MATCH(AG$1, _xlpm.joueurs, 0) + 1
    )
  ), ""
)</f>
        <v/>
      </c>
      <c r="AH231" t="str" cm="1">
        <f t="array" ref="AH231">IFERROR(
  _xlfn.LET(
    _xlpm.ligpartie, MATCH($B230, Donnees!$F:$F, 0),
    _xlpm.joueurs, INDEX(Donnees!$A:$Z, _xlpm.ligpartie+1, _xlfn.SEQUENCE(1, 4, 2)),
    INDEX(
      Donnees!$A:$Z,
      _xlpm.ligpartie + 3,
      MATCH(AH$1, _xlpm.joueurs, 0) + 1
    )
  ), ""
)</f>
        <v/>
      </c>
      <c r="AI231" t="str" cm="1">
        <f t="array" ref="AI231">IFERROR(
  _xlfn.LET(
    _xlpm.ligpartie, MATCH($B230, Donnees!$F:$F, 0),
    _xlpm.joueurs, INDEX(Donnees!$A:$Z, _xlpm.ligpartie+1, _xlfn.SEQUENCE(1, 4, 2)),
    INDEX(
      Donnees!$A:$Z,
      _xlpm.ligpartie + 3,
      MATCH(AI$1, _xlpm.joueurs, 0) + 1
    )
  ), ""
)</f>
        <v/>
      </c>
      <c r="AJ231" t="str" cm="1">
        <f t="array" ref="AJ231">IFERROR(
  _xlfn.LET(
    _xlpm.ligpartie, MATCH($B230, Donnees!$F:$F, 0),
    _xlpm.joueurs, INDEX(Donnees!$A:$Z, _xlpm.ligpartie+1, _xlfn.SEQUENCE(1, 4, 2)),
    INDEX(
      Donnees!$A:$Z,
      _xlpm.ligpartie + 3,
      MATCH(AJ$1, _xlpm.joueurs, 0) + 1
    )
  ), ""
)</f>
        <v/>
      </c>
      <c r="AK231" t="str" cm="1">
        <f t="array" ref="AK231">IFERROR(
  _xlfn.LET(
    _xlpm.ligpartie, MATCH($B230, Donnees!$F:$F, 0),
    _xlpm.joueurs, INDEX(Donnees!$A:$Z, _xlpm.ligpartie+1, _xlfn.SEQUENCE(1, 4, 2)),
    INDEX(
      Donnees!$A:$Z,
      _xlpm.ligpartie + 3,
      MATCH(AK$1, _xlpm.joueurs, 0) + 1
    )
  ), ""
)</f>
        <v/>
      </c>
      <c r="AL231" t="str" cm="1">
        <f t="array" ref="AL231">IFERROR(
  _xlfn.LET(
    _xlpm.ligpartie, MATCH($B230, Donnees!$F:$F, 0),
    _xlpm.joueurs, INDEX(Donnees!$A:$Z, _xlpm.ligpartie+1, _xlfn.SEQUENCE(1, 4, 2)),
    INDEX(
      Donnees!$A:$Z,
      _xlpm.ligpartie + 3,
      MATCH(AL$1, _xlpm.joueurs, 0) + 1
    )
  ), ""
)</f>
        <v/>
      </c>
      <c r="AM231" t="str" cm="1">
        <f t="array" ref="AM231">IFERROR(
  _xlfn.LET(
    _xlpm.ligpartie, MATCH($B230, Donnees!$F:$F, 0),
    _xlpm.joueurs, INDEX(Donnees!$A:$Z, _xlpm.ligpartie+1, _xlfn.SEQUENCE(1, 4, 2)),
    INDEX(
      Donnees!$A:$Z,
      _xlpm.ligpartie + 3,
      MATCH(AM$1, _xlpm.joueurs, 0) + 1
    )
  ), ""
)</f>
        <v/>
      </c>
    </row>
    <row r="232" spans="1:39" x14ac:dyDescent="0.25">
      <c r="A232" t="s">
        <v>20</v>
      </c>
      <c r="D232" t="str" cm="1">
        <f t="array" ref="D232">_xlfn.LET(
  _xlpm.colj, _xlfn._xlws.FILTER(IF(ISNUMBER(231:231), COLUMN(231:231)), ISNUMBER(231:231)),
  _xlpm.elos, INDEX(230:230,1,_xlpm.colj),
  _xlpm.diffscale, Constantes!$B$2,
  IF(D231="",
    "",
    SUM(1/(1+POWER(10,-(D230-_xlpm.elos)/_xlpm.diffscale)))-0.5)
)</f>
        <v/>
      </c>
      <c r="E232" t="str" cm="1">
        <f t="array" ref="E232">_xlfn.LET(
  _xlpm.colj, _xlfn._xlws.FILTER(IF(ISNUMBER(231:231), COLUMN(231:231)), ISNUMBER(231:231)),
  _xlpm.elos, INDEX(230:230,1,_xlpm.colj),
  _xlpm.diffscale, Constantes!$B$2,
  IF(E231="",
    "",
    SUM(1/(1+POWER(10,-(E230-_xlpm.elos)/_xlpm.diffscale)))-0.5)
)</f>
        <v/>
      </c>
      <c r="F232" t="str" cm="1">
        <f t="array" ref="F232">_xlfn.LET(
  _xlpm.colj, _xlfn._xlws.FILTER(IF(ISNUMBER(231:231), COLUMN(231:231)), ISNUMBER(231:231)),
  _xlpm.elos, INDEX(230:230,1,_xlpm.colj),
  _xlpm.diffscale, Constantes!$B$2,
  IF(F231="",
    "",
    SUM(1/(1+POWER(10,-(F230-_xlpm.elos)/_xlpm.diffscale)))-0.5)
)</f>
        <v/>
      </c>
      <c r="G232" t="str" cm="1">
        <f t="array" ref="G232">_xlfn.LET(
  _xlpm.colj, _xlfn._xlws.FILTER(IF(ISNUMBER(231:231), COLUMN(231:231)), ISNUMBER(231:231)),
  _xlpm.elos, INDEX(230:230,1,_xlpm.colj),
  _xlpm.diffscale, Constantes!$B$2,
  IF(G231="",
    "",
    SUM(1/(1+POWER(10,-(G230-_xlpm.elos)/_xlpm.diffscale)))-0.5)
)</f>
        <v/>
      </c>
      <c r="H232" t="str" cm="1">
        <f t="array" ref="H232">_xlfn.LET(
  _xlpm.colj, _xlfn._xlws.FILTER(IF(ISNUMBER(231:231), COLUMN(231:231)), ISNUMBER(231:231)),
  _xlpm.elos, INDEX(230:230,1,_xlpm.colj),
  _xlpm.diffscale, Constantes!$B$2,
  IF(H231="",
    "",
    SUM(1/(1+POWER(10,-(H230-_xlpm.elos)/_xlpm.diffscale)))-0.5)
)</f>
        <v/>
      </c>
      <c r="I232" t="str" cm="1">
        <f t="array" ref="I232">_xlfn.LET(
  _xlpm.colj, _xlfn._xlws.FILTER(IF(ISNUMBER(231:231), COLUMN(231:231)), ISNUMBER(231:231)),
  _xlpm.elos, INDEX(230:230,1,_xlpm.colj),
  _xlpm.diffscale, Constantes!$B$2,
  IF(I231="",
    "",
    SUM(1/(1+POWER(10,-(I230-_xlpm.elos)/_xlpm.diffscale)))-0.5)
)</f>
        <v/>
      </c>
      <c r="J232" t="str" cm="1">
        <f t="array" ref="J232">_xlfn.LET(
  _xlpm.colj, _xlfn._xlws.FILTER(IF(ISNUMBER(231:231), COLUMN(231:231)), ISNUMBER(231:231)),
  _xlpm.elos, INDEX(230:230,1,_xlpm.colj),
  _xlpm.diffscale, Constantes!$B$2,
  IF(J231="",
    "",
    SUM(1/(1+POWER(10,-(J230-_xlpm.elos)/_xlpm.diffscale)))-0.5)
)</f>
        <v/>
      </c>
      <c r="K232" t="str" cm="1">
        <f t="array" ref="K232">_xlfn.LET(
  _xlpm.colj, _xlfn._xlws.FILTER(IF(ISNUMBER(231:231), COLUMN(231:231)), ISNUMBER(231:231)),
  _xlpm.elos, INDEX(230:230,1,_xlpm.colj),
  _xlpm.diffscale, Constantes!$B$2,
  IF(K231="",
    "",
    SUM(1/(1+POWER(10,-(K230-_xlpm.elos)/_xlpm.diffscale)))-0.5)
)</f>
        <v/>
      </c>
      <c r="L232" t="str" cm="1">
        <f t="array" ref="L232">_xlfn.LET(
  _xlpm.colj, _xlfn._xlws.FILTER(IF(ISNUMBER(231:231), COLUMN(231:231)), ISNUMBER(231:231)),
  _xlpm.elos, INDEX(230:230,1,_xlpm.colj),
  _xlpm.diffscale, Constantes!$B$2,
  IF(L231="",
    "",
    SUM(1/(1+POWER(10,-(L230-_xlpm.elos)/_xlpm.diffscale)))-0.5)
)</f>
        <v/>
      </c>
      <c r="M232" t="str" cm="1">
        <f t="array" ref="M232">_xlfn.LET(
  _xlpm.colj, _xlfn._xlws.FILTER(IF(ISNUMBER(231:231), COLUMN(231:231)), ISNUMBER(231:231)),
  _xlpm.elos, INDEX(230:230,1,_xlpm.colj),
  _xlpm.diffscale, Constantes!$B$2,
  IF(M231="",
    "",
    SUM(1/(1+POWER(10,-(M230-_xlpm.elos)/_xlpm.diffscale)))-0.5)
)</f>
        <v/>
      </c>
      <c r="N232" t="str" cm="1">
        <f t="array" ref="N232">_xlfn.LET(
  _xlpm.colj, _xlfn._xlws.FILTER(IF(ISNUMBER(231:231), COLUMN(231:231)), ISNUMBER(231:231)),
  _xlpm.elos, INDEX(230:230,1,_xlpm.colj),
  _xlpm.diffscale, Constantes!$B$2,
  IF(N231="",
    "",
    SUM(1/(1+POWER(10,-(N230-_xlpm.elos)/_xlpm.diffscale)))-0.5)
)</f>
        <v/>
      </c>
      <c r="O232" t="str" cm="1">
        <f t="array" ref="O232">_xlfn.LET(
  _xlpm.colj, _xlfn._xlws.FILTER(IF(ISNUMBER(231:231), COLUMN(231:231)), ISNUMBER(231:231)),
  _xlpm.elos, INDEX(230:230,1,_xlpm.colj),
  _xlpm.diffscale, Constantes!$B$2,
  IF(O231="",
    "",
    SUM(1/(1+POWER(10,-(O230-_xlpm.elos)/_xlpm.diffscale)))-0.5)
)</f>
        <v/>
      </c>
      <c r="P232" t="str" cm="1">
        <f t="array" ref="P232">_xlfn.LET(
  _xlpm.colj, _xlfn._xlws.FILTER(IF(ISNUMBER(231:231), COLUMN(231:231)), ISNUMBER(231:231)),
  _xlpm.elos, INDEX(230:230,1,_xlpm.colj),
  _xlpm.diffscale, Constantes!$B$2,
  IF(P231="",
    "",
    SUM(1/(1+POWER(10,-(P230-_xlpm.elos)/_xlpm.diffscale)))-0.5)
)</f>
        <v/>
      </c>
      <c r="Q232" cm="1">
        <f t="array" ref="Q232">_xlfn.LET(
  _xlpm.colj, _xlfn._xlws.FILTER(IF(ISNUMBER(231:231), COLUMN(231:231)), ISNUMBER(231:231)),
  _xlpm.elos, INDEX(230:230,1,_xlpm.colj),
  _xlpm.diffscale, Constantes!$B$2,
  IF(Q231="",
    "",
    SUM(1/(1+POWER(10,-(Q230-_xlpm.elos)/_xlpm.diffscale)))-0.5)
)</f>
        <v>1.4756955424931191</v>
      </c>
      <c r="R232" t="str" cm="1">
        <f t="array" ref="R232">_xlfn.LET(
  _xlpm.colj, _xlfn._xlws.FILTER(IF(ISNUMBER(231:231), COLUMN(231:231)), ISNUMBER(231:231)),
  _xlpm.elos, INDEX(230:230,1,_xlpm.colj),
  _xlpm.diffscale, Constantes!$B$2,
  IF(R231="",
    "",
    SUM(1/(1+POWER(10,-(R230-_xlpm.elos)/_xlpm.diffscale)))-0.5)
)</f>
        <v/>
      </c>
      <c r="S232" t="str" cm="1">
        <f t="array" ref="S232">_xlfn.LET(
  _xlpm.colj, _xlfn._xlws.FILTER(IF(ISNUMBER(231:231), COLUMN(231:231)), ISNUMBER(231:231)),
  _xlpm.elos, INDEX(230:230,1,_xlpm.colj),
  _xlpm.diffscale, Constantes!$B$2,
  IF(S231="",
    "",
    SUM(1/(1+POWER(10,-(S230-_xlpm.elos)/_xlpm.diffscale)))-0.5)
)</f>
        <v/>
      </c>
      <c r="T232" t="str" cm="1">
        <f t="array" ref="T232">_xlfn.LET(
  _xlpm.colj, _xlfn._xlws.FILTER(IF(ISNUMBER(231:231), COLUMN(231:231)), ISNUMBER(231:231)),
  _xlpm.elos, INDEX(230:230,1,_xlpm.colj),
  _xlpm.diffscale, Constantes!$B$2,
  IF(T231="",
    "",
    SUM(1/(1+POWER(10,-(T230-_xlpm.elos)/_xlpm.diffscale)))-0.5)
)</f>
        <v/>
      </c>
      <c r="U232" cm="1">
        <f t="array" ref="U232">_xlfn.LET(
  _xlpm.colj, _xlfn._xlws.FILTER(IF(ISNUMBER(231:231), COLUMN(231:231)), ISNUMBER(231:231)),
  _xlpm.elos, INDEX(230:230,1,_xlpm.colj),
  _xlpm.diffscale, Constantes!$B$2,
  IF(U231="",
    "",
    SUM(1/(1+POWER(10,-(U230-_xlpm.elos)/_xlpm.diffscale)))-0.5)
)</f>
        <v>1.8433308515220492</v>
      </c>
      <c r="V232" t="str" cm="1">
        <f t="array" ref="V232">_xlfn.LET(
  _xlpm.colj, _xlfn._xlws.FILTER(IF(ISNUMBER(231:231), COLUMN(231:231)), ISNUMBER(231:231)),
  _xlpm.elos, INDEX(230:230,1,_xlpm.colj),
  _xlpm.diffscale, Constantes!$B$2,
  IF(V231="",
    "",
    SUM(1/(1+POWER(10,-(V230-_xlpm.elos)/_xlpm.diffscale)))-0.5)
)</f>
        <v/>
      </c>
      <c r="W232" t="str" cm="1">
        <f t="array" ref="W232">_xlfn.LET(
  _xlpm.colj, _xlfn._xlws.FILTER(IF(ISNUMBER(231:231), COLUMN(231:231)), ISNUMBER(231:231)),
  _xlpm.elos, INDEX(230:230,1,_xlpm.colj),
  _xlpm.diffscale, Constantes!$B$2,
  IF(W231="",
    "",
    SUM(1/(1+POWER(10,-(W230-_xlpm.elos)/_xlpm.diffscale)))-0.5)
)</f>
        <v/>
      </c>
      <c r="X232" t="str" cm="1">
        <f t="array" ref="X232">_xlfn.LET(
  _xlpm.colj, _xlfn._xlws.FILTER(IF(ISNUMBER(231:231), COLUMN(231:231)), ISNUMBER(231:231)),
  _xlpm.elos, INDEX(230:230,1,_xlpm.colj),
  _xlpm.diffscale, Constantes!$B$2,
  IF(X231="",
    "",
    SUM(1/(1+POWER(10,-(X230-_xlpm.elos)/_xlpm.diffscale)))-0.5)
)</f>
        <v/>
      </c>
      <c r="Y232" t="str" cm="1">
        <f t="array" ref="Y232">_xlfn.LET(
  _xlpm.colj, _xlfn._xlws.FILTER(IF(ISNUMBER(231:231), COLUMN(231:231)), ISNUMBER(231:231)),
  _xlpm.elos, INDEX(230:230,1,_xlpm.colj),
  _xlpm.diffscale, Constantes!$B$2,
  IF(Y231="",
    "",
    SUM(1/(1+POWER(10,-(Y230-_xlpm.elos)/_xlpm.diffscale)))-0.5)
)</f>
        <v/>
      </c>
      <c r="Z232" t="str" cm="1">
        <f t="array" ref="Z232">_xlfn.LET(
  _xlpm.colj, _xlfn._xlws.FILTER(IF(ISNUMBER(231:231), COLUMN(231:231)), ISNUMBER(231:231)),
  _xlpm.elos, INDEX(230:230,1,_xlpm.colj),
  _xlpm.diffscale, Constantes!$B$2,
  IF(Z231="",
    "",
    SUM(1/(1+POWER(10,-(Z230-_xlpm.elos)/_xlpm.diffscale)))-0.5)
)</f>
        <v/>
      </c>
      <c r="AA232" cm="1">
        <f t="array" ref="AA232">_xlfn.LET(
  _xlpm.colj, _xlfn._xlws.FILTER(IF(ISNUMBER(231:231), COLUMN(231:231)), ISNUMBER(231:231)),
  _xlpm.elos, INDEX(230:230,1,_xlpm.colj),
  _xlpm.diffscale, Constantes!$B$2,
  IF(AA231="",
    "",
    SUM(1/(1+POWER(10,-(AA230-_xlpm.elos)/_xlpm.diffscale)))-0.5)
)</f>
        <v>1.0317027917107524</v>
      </c>
      <c r="AB232" t="str" cm="1">
        <f t="array" ref="AB232">_xlfn.LET(
  _xlpm.colj, _xlfn._xlws.FILTER(IF(ISNUMBER(231:231), COLUMN(231:231)), ISNUMBER(231:231)),
  _xlpm.elos, INDEX(230:230,1,_xlpm.colj),
  _xlpm.diffscale, Constantes!$B$2,
  IF(AB231="",
    "",
    SUM(1/(1+POWER(10,-(AB230-_xlpm.elos)/_xlpm.diffscale)))-0.5)
)</f>
        <v/>
      </c>
      <c r="AC232" cm="1">
        <f t="array" ref="AC232">_xlfn.LET(
  _xlpm.colj, _xlfn._xlws.FILTER(IF(ISNUMBER(231:231), COLUMN(231:231)), ISNUMBER(231:231)),
  _xlpm.elos, INDEX(230:230,1,_xlpm.colj),
  _xlpm.diffscale, Constantes!$B$2,
  IF(AC231="",
    "",
    SUM(1/(1+POWER(10,-(AC230-_xlpm.elos)/_xlpm.diffscale)))-0.5)
)</f>
        <v>1.6492708142740793</v>
      </c>
      <c r="AD232" t="str" cm="1">
        <f t="array" ref="AD232">_xlfn.LET(
  _xlpm.colj, _xlfn._xlws.FILTER(IF(ISNUMBER(231:231), COLUMN(231:231)), ISNUMBER(231:231)),
  _xlpm.elos, INDEX(230:230,1,_xlpm.colj),
  _xlpm.diffscale, Constantes!$B$2,
  IF(AD231="",
    "",
    SUM(1/(1+POWER(10,-(AD230-_xlpm.elos)/_xlpm.diffscale)))-0.5)
)</f>
        <v/>
      </c>
      <c r="AE232" t="str" cm="1">
        <f t="array" ref="AE232">_xlfn.LET(
  _xlpm.colj, _xlfn._xlws.FILTER(IF(ISNUMBER(231:231), COLUMN(231:231)), ISNUMBER(231:231)),
  _xlpm.elos, INDEX(230:230,1,_xlpm.colj),
  _xlpm.diffscale, Constantes!$B$2,
  IF(AE231="",
    "",
    SUM(1/(1+POWER(10,-(AE230-_xlpm.elos)/_xlpm.diffscale)))-0.5)
)</f>
        <v/>
      </c>
      <c r="AF232" t="str" cm="1">
        <f t="array" ref="AF232">_xlfn.LET(
  _xlpm.colj, _xlfn._xlws.FILTER(IF(ISNUMBER(231:231), COLUMN(231:231)), ISNUMBER(231:231)),
  _xlpm.elos, INDEX(230:230,1,_xlpm.colj),
  _xlpm.diffscale, Constantes!$B$2,
  IF(AF231="",
    "",
    SUM(1/(1+POWER(10,-(AF230-_xlpm.elos)/_xlpm.diffscale)))-0.5)
)</f>
        <v/>
      </c>
      <c r="AG232" t="str" cm="1">
        <f t="array" ref="AG232">_xlfn.LET(
  _xlpm.colj, _xlfn._xlws.FILTER(IF(ISNUMBER(231:231), COLUMN(231:231)), ISNUMBER(231:231)),
  _xlpm.elos, INDEX(230:230,1,_xlpm.colj),
  _xlpm.diffscale, Constantes!$B$2,
  IF(AG231="",
    "",
    SUM(1/(1+POWER(10,-(AG230-_xlpm.elos)/_xlpm.diffscale)))-0.5)
)</f>
        <v/>
      </c>
      <c r="AH232" t="str" cm="1">
        <f t="array" ref="AH232">_xlfn.LET(
  _xlpm.colj, _xlfn._xlws.FILTER(IF(ISNUMBER(231:231), COLUMN(231:231)), ISNUMBER(231:231)),
  _xlpm.elos, INDEX(230:230,1,_xlpm.colj),
  _xlpm.diffscale, Constantes!$B$2,
  IF(AH231="",
    "",
    SUM(1/(1+POWER(10,-(AH230-_xlpm.elos)/_xlpm.diffscale)))-0.5)
)</f>
        <v/>
      </c>
      <c r="AI232" t="str" cm="1">
        <f t="array" ref="AI232">_xlfn.LET(
  _xlpm.colj, _xlfn._xlws.FILTER(IF(ISNUMBER(231:231), COLUMN(231:231)), ISNUMBER(231:231)),
  _xlpm.elos, INDEX(230:230,1,_xlpm.colj),
  _xlpm.diffscale, Constantes!$B$2,
  IF(AI231="",
    "",
    SUM(1/(1+POWER(10,-(AI230-_xlpm.elos)/_xlpm.diffscale)))-0.5)
)</f>
        <v/>
      </c>
      <c r="AJ232" t="str" cm="1">
        <f t="array" ref="AJ232">_xlfn.LET(
  _xlpm.colj, _xlfn._xlws.FILTER(IF(ISNUMBER(231:231), COLUMN(231:231)), ISNUMBER(231:231)),
  _xlpm.elos, INDEX(230:230,1,_xlpm.colj),
  _xlpm.diffscale, Constantes!$B$2,
  IF(AJ231="",
    "",
    SUM(1/(1+POWER(10,-(AJ230-_xlpm.elos)/_xlpm.diffscale)))-0.5)
)</f>
        <v/>
      </c>
      <c r="AK232" t="str" cm="1">
        <f t="array" ref="AK232">_xlfn.LET(
  _xlpm.colj, _xlfn._xlws.FILTER(IF(ISNUMBER(231:231), COLUMN(231:231)), ISNUMBER(231:231)),
  _xlpm.elos, INDEX(230:230,1,_xlpm.colj),
  _xlpm.diffscale, Constantes!$B$2,
  IF(AK231="",
    "",
    SUM(1/(1+POWER(10,-(AK230-_xlpm.elos)/_xlpm.diffscale)))-0.5)
)</f>
        <v/>
      </c>
      <c r="AL232" t="str" cm="1">
        <f t="array" ref="AL232">_xlfn.LET(
  _xlpm.colj, _xlfn._xlws.FILTER(IF(ISNUMBER(231:231), COLUMN(231:231)), ISNUMBER(231:231)),
  _xlpm.elos, INDEX(230:230,1,_xlpm.colj),
  _xlpm.diffscale, Constantes!$B$2,
  IF(AL231="",
    "",
    SUM(1/(1+POWER(10,-(AL230-_xlpm.elos)/_xlpm.diffscale)))-0.5)
)</f>
        <v/>
      </c>
      <c r="AM232" t="str" cm="1">
        <f t="array" ref="AM232">_xlfn.LET(
  _xlpm.colj, _xlfn._xlws.FILTER(IF(ISNUMBER(231:231), COLUMN(231:231)), ISNUMBER(231:231)),
  _xlpm.elos, INDEX(230:230,1,_xlpm.colj),
  _xlpm.diffscale, Constantes!$B$2,
  IF(AM231="",
    "",
    SUM(1/(1+POWER(10,-(AM230-_xlpm.elos)/_xlpm.diffscale)))-0.5)
)</f>
        <v/>
      </c>
    </row>
    <row r="233" spans="1:39" x14ac:dyDescent="0.25">
      <c r="A233" t="s">
        <v>22</v>
      </c>
      <c r="D233" t="str" cm="1">
        <f t="array" ref="D233">_xlfn.LET(
  _xlpm.K, Constantes!$B$3,
  _xlpm.Knewgain, Constantes!$B$4,
  _xlpm.Knewscale, Constantes!$B$5,
  _xlpm.ptstables, INDEX(D:D, _xlfn.SEQUENCE(COUNTA($C$2:$C233), 1, 3, 4)),
  _xlpm.nbparties, COUNTA(_xlfn._xlws.FILTER(_xlpm.ptstables, _xlpm.ptstables &lt;&gt; "")),
  _xlpm.coef, _xlpm.K + _xlpm.Knewgain / (_xlpm.Knewscale + _xlpm.nbparties),
  IF(D231="",
    "",
    _xlpm.coef * (D231-D232))
)</f>
        <v/>
      </c>
      <c r="E233" t="str" cm="1">
        <f t="array" ref="E233">_xlfn.LET(
  _xlpm.K, Constantes!$B$3,
  _xlpm.Knewgain, Constantes!$B$4,
  _xlpm.Knewscale, Constantes!$B$5,
  _xlpm.ptstables, INDEX(E:E, _xlfn.SEQUENCE(COUNTA($C$2:$C233), 1, 3, 4)),
  _xlpm.nbparties, COUNTA(_xlfn._xlws.FILTER(_xlpm.ptstables, _xlpm.ptstables &lt;&gt; "")),
  _xlpm.coef, _xlpm.K + _xlpm.Knewgain / (_xlpm.Knewscale + _xlpm.nbparties),
  IF(E231="",
    "",
    _xlpm.coef * (E231-E232))
)</f>
        <v/>
      </c>
      <c r="F233" t="str" cm="1">
        <f t="array" ref="F233">_xlfn.LET(
  _xlpm.K, Constantes!$B$3,
  _xlpm.Knewgain, Constantes!$B$4,
  _xlpm.Knewscale, Constantes!$B$5,
  _xlpm.ptstables, INDEX(F:F, _xlfn.SEQUENCE(COUNTA($C$2:$C233), 1, 3, 4)),
  _xlpm.nbparties, COUNTA(_xlfn._xlws.FILTER(_xlpm.ptstables, _xlpm.ptstables &lt;&gt; "")),
  _xlpm.coef, _xlpm.K + _xlpm.Knewgain / (_xlpm.Knewscale + _xlpm.nbparties),
  IF(F231="",
    "",
    _xlpm.coef * (F231-F232))
)</f>
        <v/>
      </c>
      <c r="G233" t="str" cm="1">
        <f t="array" ref="G233">_xlfn.LET(
  _xlpm.K, Constantes!$B$3,
  _xlpm.Knewgain, Constantes!$B$4,
  _xlpm.Knewscale, Constantes!$B$5,
  _xlpm.ptstables, INDEX(G:G, _xlfn.SEQUENCE(COUNTA($C$2:$C233), 1, 3, 4)),
  _xlpm.nbparties, COUNTA(_xlfn._xlws.FILTER(_xlpm.ptstables, _xlpm.ptstables &lt;&gt; "")),
  _xlpm.coef, _xlpm.K + _xlpm.Knewgain / (_xlpm.Knewscale + _xlpm.nbparties),
  IF(G231="",
    "",
    _xlpm.coef * (G231-G232))
)</f>
        <v/>
      </c>
      <c r="H233" t="str" cm="1">
        <f t="array" ref="H233">_xlfn.LET(
  _xlpm.K, Constantes!$B$3,
  _xlpm.Knewgain, Constantes!$B$4,
  _xlpm.Knewscale, Constantes!$B$5,
  _xlpm.ptstables, INDEX(H:H, _xlfn.SEQUENCE(COUNTA($C$2:$C233), 1, 3, 4)),
  _xlpm.nbparties, COUNTA(_xlfn._xlws.FILTER(_xlpm.ptstables, _xlpm.ptstables &lt;&gt; "")),
  _xlpm.coef, _xlpm.K + _xlpm.Knewgain / (_xlpm.Knewscale + _xlpm.nbparties),
  IF(H231="",
    "",
    _xlpm.coef * (H231-H232))
)</f>
        <v/>
      </c>
      <c r="I233" t="str" cm="1">
        <f t="array" ref="I233">_xlfn.LET(
  _xlpm.K, Constantes!$B$3,
  _xlpm.Knewgain, Constantes!$B$4,
  _xlpm.Knewscale, Constantes!$B$5,
  _xlpm.ptstables, INDEX(I:I, _xlfn.SEQUENCE(COUNTA($C$2:$C233), 1, 3, 4)),
  _xlpm.nbparties, COUNTA(_xlfn._xlws.FILTER(_xlpm.ptstables, _xlpm.ptstables &lt;&gt; "")),
  _xlpm.coef, _xlpm.K + _xlpm.Knewgain / (_xlpm.Knewscale + _xlpm.nbparties),
  IF(I231="",
    "",
    _xlpm.coef * (I231-I232))
)</f>
        <v/>
      </c>
      <c r="J233" t="str" cm="1">
        <f t="array" ref="J233">_xlfn.LET(
  _xlpm.K, Constantes!$B$3,
  _xlpm.Knewgain, Constantes!$B$4,
  _xlpm.Knewscale, Constantes!$B$5,
  _xlpm.ptstables, INDEX(J:J, _xlfn.SEQUENCE(COUNTA($C$2:$C233), 1, 3, 4)),
  _xlpm.nbparties, COUNTA(_xlfn._xlws.FILTER(_xlpm.ptstables, _xlpm.ptstables &lt;&gt; "")),
  _xlpm.coef, _xlpm.K + _xlpm.Knewgain / (_xlpm.Knewscale + _xlpm.nbparties),
  IF(J231="",
    "",
    _xlpm.coef * (J231-J232))
)</f>
        <v/>
      </c>
      <c r="K233" t="str" cm="1">
        <f t="array" ref="K233">_xlfn.LET(
  _xlpm.K, Constantes!$B$3,
  _xlpm.Knewgain, Constantes!$B$4,
  _xlpm.Knewscale, Constantes!$B$5,
  _xlpm.ptstables, INDEX(K:K, _xlfn.SEQUENCE(COUNTA($C$2:$C233), 1, 3, 4)),
  _xlpm.nbparties, COUNTA(_xlfn._xlws.FILTER(_xlpm.ptstables, _xlpm.ptstables &lt;&gt; "")),
  _xlpm.coef, _xlpm.K + _xlpm.Knewgain / (_xlpm.Knewscale + _xlpm.nbparties),
  IF(K231="",
    "",
    _xlpm.coef * (K231-K232))
)</f>
        <v/>
      </c>
      <c r="L233" t="str" cm="1">
        <f t="array" ref="L233">_xlfn.LET(
  _xlpm.K, Constantes!$B$3,
  _xlpm.Knewgain, Constantes!$B$4,
  _xlpm.Knewscale, Constantes!$B$5,
  _xlpm.ptstables, INDEX(L:L, _xlfn.SEQUENCE(COUNTA($C$2:$C233), 1, 3, 4)),
  _xlpm.nbparties, COUNTA(_xlfn._xlws.FILTER(_xlpm.ptstables, _xlpm.ptstables &lt;&gt; "")),
  _xlpm.coef, _xlpm.K + _xlpm.Knewgain / (_xlpm.Knewscale + _xlpm.nbparties),
  IF(L231="",
    "",
    _xlpm.coef * (L231-L232))
)</f>
        <v/>
      </c>
      <c r="M233" t="str" cm="1">
        <f t="array" ref="M233">_xlfn.LET(
  _xlpm.K, Constantes!$B$3,
  _xlpm.Knewgain, Constantes!$B$4,
  _xlpm.Knewscale, Constantes!$B$5,
  _xlpm.ptstables, INDEX(M:M, _xlfn.SEQUENCE(COUNTA($C$2:$C233), 1, 3, 4)),
  _xlpm.nbparties, COUNTA(_xlfn._xlws.FILTER(_xlpm.ptstables, _xlpm.ptstables &lt;&gt; "")),
  _xlpm.coef, _xlpm.K + _xlpm.Knewgain / (_xlpm.Knewscale + _xlpm.nbparties),
  IF(M231="",
    "",
    _xlpm.coef * (M231-M232))
)</f>
        <v/>
      </c>
      <c r="N233" t="str" cm="1">
        <f t="array" ref="N233">_xlfn.LET(
  _xlpm.K, Constantes!$B$3,
  _xlpm.Knewgain, Constantes!$B$4,
  _xlpm.Knewscale, Constantes!$B$5,
  _xlpm.ptstables, INDEX(N:N, _xlfn.SEQUENCE(COUNTA($C$2:$C233), 1, 3, 4)),
  _xlpm.nbparties, COUNTA(_xlfn._xlws.FILTER(_xlpm.ptstables, _xlpm.ptstables &lt;&gt; "")),
  _xlpm.coef, _xlpm.K + _xlpm.Knewgain / (_xlpm.Knewscale + _xlpm.nbparties),
  IF(N231="",
    "",
    _xlpm.coef * (N231-N232))
)</f>
        <v/>
      </c>
      <c r="O233" t="str" cm="1">
        <f t="array" ref="O233">_xlfn.LET(
  _xlpm.K, Constantes!$B$3,
  _xlpm.Knewgain, Constantes!$B$4,
  _xlpm.Knewscale, Constantes!$B$5,
  _xlpm.ptstables, INDEX(O:O, _xlfn.SEQUENCE(COUNTA($C$2:$C233), 1, 3, 4)),
  _xlpm.nbparties, COUNTA(_xlfn._xlws.FILTER(_xlpm.ptstables, _xlpm.ptstables &lt;&gt; "")),
  _xlpm.coef, _xlpm.K + _xlpm.Knewgain / (_xlpm.Knewscale + _xlpm.nbparties),
  IF(O231="",
    "",
    _xlpm.coef * (O231-O232))
)</f>
        <v/>
      </c>
      <c r="P233" t="str" cm="1">
        <f t="array" ref="P233">_xlfn.LET(
  _xlpm.K, Constantes!$B$3,
  _xlpm.Knewgain, Constantes!$B$4,
  _xlpm.Knewscale, Constantes!$B$5,
  _xlpm.ptstables, INDEX(P:P, _xlfn.SEQUENCE(COUNTA($C$2:$C233), 1, 3, 4)),
  _xlpm.nbparties, COUNTA(_xlfn._xlws.FILTER(_xlpm.ptstables, _xlpm.ptstables &lt;&gt; "")),
  _xlpm.coef, _xlpm.K + _xlpm.Knewgain / (_xlpm.Knewscale + _xlpm.nbparties),
  IF(P231="",
    "",
    _xlpm.coef * (P231-P232))
)</f>
        <v/>
      </c>
      <c r="Q233" cm="1">
        <f t="array" ref="Q233">_xlfn.LET(
  _xlpm.K, Constantes!$B$3,
  _xlpm.Knewgain, Constantes!$B$4,
  _xlpm.Knewscale, Constantes!$B$5,
  _xlpm.ptstables, INDEX(Q:Q, _xlfn.SEQUENCE(COUNTA($C$2:$C233), 1, 3, 4)),
  _xlpm.nbparties, COUNTA(_xlfn._xlws.FILTER(_xlpm.ptstables, _xlpm.ptstables &lt;&gt; "")),
  _xlpm.coef, _xlpm.K + _xlpm.Knewgain / (_xlpm.Knewscale + _xlpm.nbparties),
  IF(Q231="",
    "",
    _xlpm.coef * (Q231-Q232))
)</f>
        <v>35.249540579846624</v>
      </c>
      <c r="R233" t="str" cm="1">
        <f t="array" ref="R233">_xlfn.LET(
  _xlpm.K, Constantes!$B$3,
  _xlpm.Knewgain, Constantes!$B$4,
  _xlpm.Knewscale, Constantes!$B$5,
  _xlpm.ptstables, INDEX(R:R, _xlfn.SEQUENCE(COUNTA($C$2:$C233), 1, 3, 4)),
  _xlpm.nbparties, COUNTA(_xlfn._xlws.FILTER(_xlpm.ptstables, _xlpm.ptstables &lt;&gt; "")),
  _xlpm.coef, _xlpm.K + _xlpm.Knewgain / (_xlpm.Knewscale + _xlpm.nbparties),
  IF(R231="",
    "",
    _xlpm.coef * (R231-R232))
)</f>
        <v/>
      </c>
      <c r="S233" t="str" cm="1">
        <f t="array" ref="S233">_xlfn.LET(
  _xlpm.K, Constantes!$B$3,
  _xlpm.Knewgain, Constantes!$B$4,
  _xlpm.Knewscale, Constantes!$B$5,
  _xlpm.ptstables, INDEX(S:S, _xlfn.SEQUENCE(COUNTA($C$2:$C233), 1, 3, 4)),
  _xlpm.nbparties, COUNTA(_xlfn._xlws.FILTER(_xlpm.ptstables, _xlpm.ptstables &lt;&gt; "")),
  _xlpm.coef, _xlpm.K + _xlpm.Knewgain / (_xlpm.Knewscale + _xlpm.nbparties),
  IF(S231="",
    "",
    _xlpm.coef * (S231-S232))
)</f>
        <v/>
      </c>
      <c r="T233" t="str" cm="1">
        <f t="array" ref="T233">_xlfn.LET(
  _xlpm.K, Constantes!$B$3,
  _xlpm.Knewgain, Constantes!$B$4,
  _xlpm.Knewscale, Constantes!$B$5,
  _xlpm.ptstables, INDEX(T:T, _xlfn.SEQUENCE(COUNTA($C$2:$C233), 1, 3, 4)),
  _xlpm.nbparties, COUNTA(_xlfn._xlws.FILTER(_xlpm.ptstables, _xlpm.ptstables &lt;&gt; "")),
  _xlpm.coef, _xlpm.K + _xlpm.Knewgain / (_xlpm.Knewscale + _xlpm.nbparties),
  IF(T231="",
    "",
    _xlpm.coef * (T231-T232))
)</f>
        <v/>
      </c>
      <c r="U233" cm="1">
        <f t="array" ref="U233">_xlfn.LET(
  _xlpm.K, Constantes!$B$3,
  _xlpm.Knewgain, Constantes!$B$4,
  _xlpm.Knewscale, Constantes!$B$5,
  _xlpm.ptstables, INDEX(U:U, _xlfn.SEQUENCE(COUNTA($C$2:$C233), 1, 3, 4)),
  _xlpm.nbparties, COUNTA(_xlfn._xlws.FILTER(_xlpm.ptstables, _xlpm.ptstables &lt;&gt; "")),
  _xlpm.coef, _xlpm.K + _xlpm.Knewgain / (_xlpm.Knewscale + _xlpm.nbparties),
  IF(U231="",
    "",
    _xlpm.coef * (U231-U232))
)</f>
        <v>3.5456702023957281</v>
      </c>
      <c r="V233" t="str" cm="1">
        <f t="array" ref="V233">_xlfn.LET(
  _xlpm.K, Constantes!$B$3,
  _xlpm.Knewgain, Constantes!$B$4,
  _xlpm.Knewscale, Constantes!$B$5,
  _xlpm.ptstables, INDEX(V:V, _xlfn.SEQUENCE(COUNTA($C$2:$C233), 1, 3, 4)),
  _xlpm.nbparties, COUNTA(_xlfn._xlws.FILTER(_xlpm.ptstables, _xlpm.ptstables &lt;&gt; "")),
  _xlpm.coef, _xlpm.K + _xlpm.Knewgain / (_xlpm.Knewscale + _xlpm.nbparties),
  IF(V231="",
    "",
    _xlpm.coef * (V231-V232))
)</f>
        <v/>
      </c>
      <c r="W233" t="str" cm="1">
        <f t="array" ref="W233">_xlfn.LET(
  _xlpm.K, Constantes!$B$3,
  _xlpm.Knewgain, Constantes!$B$4,
  _xlpm.Knewscale, Constantes!$B$5,
  _xlpm.ptstables, INDEX(W:W, _xlfn.SEQUENCE(COUNTA($C$2:$C233), 1, 3, 4)),
  _xlpm.nbparties, COUNTA(_xlfn._xlws.FILTER(_xlpm.ptstables, _xlpm.ptstables &lt;&gt; "")),
  _xlpm.coef, _xlpm.K + _xlpm.Knewgain / (_xlpm.Knewscale + _xlpm.nbparties),
  IF(W231="",
    "",
    _xlpm.coef * (W231-W232))
)</f>
        <v/>
      </c>
      <c r="X233" t="str" cm="1">
        <f t="array" ref="X233">_xlfn.LET(
  _xlpm.K, Constantes!$B$3,
  _xlpm.Knewgain, Constantes!$B$4,
  _xlpm.Knewscale, Constantes!$B$5,
  _xlpm.ptstables, INDEX(X:X, _xlfn.SEQUENCE(COUNTA($C$2:$C233), 1, 3, 4)),
  _xlpm.nbparties, COUNTA(_xlfn._xlws.FILTER(_xlpm.ptstables, _xlpm.ptstables &lt;&gt; "")),
  _xlpm.coef, _xlpm.K + _xlpm.Knewgain / (_xlpm.Knewscale + _xlpm.nbparties),
  IF(X231="",
    "",
    _xlpm.coef * (X231-X232))
)</f>
        <v/>
      </c>
      <c r="Y233" t="str" cm="1">
        <f t="array" ref="Y233">_xlfn.LET(
  _xlpm.K, Constantes!$B$3,
  _xlpm.Knewgain, Constantes!$B$4,
  _xlpm.Knewscale, Constantes!$B$5,
  _xlpm.ptstables, INDEX(Y:Y, _xlfn.SEQUENCE(COUNTA($C$2:$C233), 1, 3, 4)),
  _xlpm.nbparties, COUNTA(_xlfn._xlws.FILTER(_xlpm.ptstables, _xlpm.ptstables &lt;&gt; "")),
  _xlpm.coef, _xlpm.K + _xlpm.Knewgain / (_xlpm.Knewscale + _xlpm.nbparties),
  IF(Y231="",
    "",
    _xlpm.coef * (Y231-Y232))
)</f>
        <v/>
      </c>
      <c r="Z233" t="str" cm="1">
        <f t="array" ref="Z233">_xlfn.LET(
  _xlpm.K, Constantes!$B$3,
  _xlpm.Knewgain, Constantes!$B$4,
  _xlpm.Knewscale, Constantes!$B$5,
  _xlpm.ptstables, INDEX(Z:Z, _xlfn.SEQUENCE(COUNTA($C$2:$C233), 1, 3, 4)),
  _xlpm.nbparties, COUNTA(_xlfn._xlws.FILTER(_xlpm.ptstables, _xlpm.ptstables &lt;&gt; "")),
  _xlpm.coef, _xlpm.K + _xlpm.Knewgain / (_xlpm.Knewscale + _xlpm.nbparties),
  IF(Z231="",
    "",
    _xlpm.coef * (Z231-Z232))
)</f>
        <v/>
      </c>
      <c r="AA233" cm="1">
        <f t="array" ref="AA233">_xlfn.LET(
  _xlpm.K, Constantes!$B$3,
  _xlpm.Knewgain, Constantes!$B$4,
  _xlpm.Knewscale, Constantes!$B$5,
  _xlpm.ptstables, INDEX(AA:AA, _xlfn.SEQUENCE(COUNTA($C$2:$C233), 1, 3, 4)),
  _xlpm.nbparties, COUNTA(_xlfn._xlws.FILTER(_xlpm.ptstables, _xlpm.ptstables &lt;&gt; "")),
  _xlpm.coef, _xlpm.K + _xlpm.Knewgain / (_xlpm.Knewscale + _xlpm.nbparties),
  IF(AA231="",
    "",
    _xlpm.coef * (AA231-AA232))
)</f>
        <v>-29.231579098471322</v>
      </c>
      <c r="AB233" t="str" cm="1">
        <f t="array" ref="AB233">_xlfn.LET(
  _xlpm.K, Constantes!$B$3,
  _xlpm.Knewgain, Constantes!$B$4,
  _xlpm.Knewscale, Constantes!$B$5,
  _xlpm.ptstables, INDEX(AB:AB, _xlfn.SEQUENCE(COUNTA($C$2:$C233), 1, 3, 4)),
  _xlpm.nbparties, COUNTA(_xlfn._xlws.FILTER(_xlpm.ptstables, _xlpm.ptstables &lt;&gt; "")),
  _xlpm.coef, _xlpm.K + _xlpm.Knewgain / (_xlpm.Knewscale + _xlpm.nbparties),
  IF(AB231="",
    "",
    _xlpm.coef * (AB231-AB232))
)</f>
        <v/>
      </c>
      <c r="AC233" cm="1">
        <f t="array" ref="AC233">_xlfn.LET(
  _xlpm.K, Constantes!$B$3,
  _xlpm.Knewgain, Constantes!$B$4,
  _xlpm.Knewscale, Constantes!$B$5,
  _xlpm.ptstables, INDEX(AC:AC, _xlfn.SEQUENCE(COUNTA($C$2:$C233), 1, 3, 4)),
  _xlpm.nbparties, COUNTA(_xlfn._xlws.FILTER(_xlpm.ptstables, _xlpm.ptstables &lt;&gt; "")),
  _xlpm.coef, _xlpm.K + _xlpm.Knewgain / (_xlpm.Knewscale + _xlpm.nbparties),
  IF(AC231="",
    "",
    _xlpm.coef * (AC231-AC232))
)</f>
        <v>-17.623064958867865</v>
      </c>
      <c r="AD233" t="str" cm="1">
        <f t="array" ref="AD233">_xlfn.LET(
  _xlpm.K, Constantes!$B$3,
  _xlpm.Knewgain, Constantes!$B$4,
  _xlpm.Knewscale, Constantes!$B$5,
  _xlpm.ptstables, INDEX(AD:AD, _xlfn.SEQUENCE(COUNTA($C$2:$C233), 1, 3, 4)),
  _xlpm.nbparties, COUNTA(_xlfn._xlws.FILTER(_xlpm.ptstables, _xlpm.ptstables &lt;&gt; "")),
  _xlpm.coef, _xlpm.K + _xlpm.Knewgain / (_xlpm.Knewscale + _xlpm.nbparties),
  IF(AD231="",
    "",
    _xlpm.coef * (AD231-AD232))
)</f>
        <v/>
      </c>
      <c r="AE233" t="str" cm="1">
        <f t="array" ref="AE233">_xlfn.LET(
  _xlpm.K, Constantes!$B$3,
  _xlpm.Knewgain, Constantes!$B$4,
  _xlpm.Knewscale, Constantes!$B$5,
  _xlpm.ptstables, INDEX(AE:AE, _xlfn.SEQUENCE(COUNTA($C$2:$C233), 1, 3, 4)),
  _xlpm.nbparties, COUNTA(_xlfn._xlws.FILTER(_xlpm.ptstables, _xlpm.ptstables &lt;&gt; "")),
  _xlpm.coef, _xlpm.K + _xlpm.Knewgain / (_xlpm.Knewscale + _xlpm.nbparties),
  IF(AE231="",
    "",
    _xlpm.coef * (AE231-AE232))
)</f>
        <v/>
      </c>
      <c r="AF233" t="str" cm="1">
        <f t="array" ref="AF233">_xlfn.LET(
  _xlpm.K, Constantes!$B$3,
  _xlpm.Knewgain, Constantes!$B$4,
  _xlpm.Knewscale, Constantes!$B$5,
  _xlpm.ptstables, INDEX(AF:AF, _xlfn.SEQUENCE(COUNTA($C$2:$C233), 1, 3, 4)),
  _xlpm.nbparties, COUNTA(_xlfn._xlws.FILTER(_xlpm.ptstables, _xlpm.ptstables &lt;&gt; "")),
  _xlpm.coef, _xlpm.K + _xlpm.Knewgain / (_xlpm.Knewscale + _xlpm.nbparties),
  IF(AF231="",
    "",
    _xlpm.coef * (AF231-AF232))
)</f>
        <v/>
      </c>
      <c r="AG233" t="str" cm="1">
        <f t="array" ref="AG233">_xlfn.LET(
  _xlpm.K, Constantes!$B$3,
  _xlpm.Knewgain, Constantes!$B$4,
  _xlpm.Knewscale, Constantes!$B$5,
  _xlpm.ptstables, INDEX(AG:AG, _xlfn.SEQUENCE(COUNTA($C$2:$C233), 1, 3, 4)),
  _xlpm.nbparties, COUNTA(_xlfn._xlws.FILTER(_xlpm.ptstables, _xlpm.ptstables &lt;&gt; "")),
  _xlpm.coef, _xlpm.K + _xlpm.Knewgain / (_xlpm.Knewscale + _xlpm.nbparties),
  IF(AG231="",
    "",
    _xlpm.coef * (AG231-AG232))
)</f>
        <v/>
      </c>
      <c r="AH233" t="str" cm="1">
        <f t="array" ref="AH233">_xlfn.LET(
  _xlpm.K, Constantes!$B$3,
  _xlpm.Knewgain, Constantes!$B$4,
  _xlpm.Knewscale, Constantes!$B$5,
  _xlpm.ptstables, INDEX(AH:AH, _xlfn.SEQUENCE(COUNTA($C$2:$C233), 1, 3, 4)),
  _xlpm.nbparties, COUNTA(_xlfn._xlws.FILTER(_xlpm.ptstables, _xlpm.ptstables &lt;&gt; "")),
  _xlpm.coef, _xlpm.K + _xlpm.Knewgain / (_xlpm.Knewscale + _xlpm.nbparties),
  IF(AH231="",
    "",
    _xlpm.coef * (AH231-AH232))
)</f>
        <v/>
      </c>
      <c r="AI233" t="str" cm="1">
        <f t="array" ref="AI233">_xlfn.LET(
  _xlpm.K, Constantes!$B$3,
  _xlpm.Knewgain, Constantes!$B$4,
  _xlpm.Knewscale, Constantes!$B$5,
  _xlpm.ptstables, INDEX(AI:AI, _xlfn.SEQUENCE(COUNTA($C$2:$C233), 1, 3, 4)),
  _xlpm.nbparties, COUNTA(_xlfn._xlws.FILTER(_xlpm.ptstables, _xlpm.ptstables &lt;&gt; "")),
  _xlpm.coef, _xlpm.K + _xlpm.Knewgain / (_xlpm.Knewscale + _xlpm.nbparties),
  IF(AI231="",
    "",
    _xlpm.coef * (AI231-AI232))
)</f>
        <v/>
      </c>
      <c r="AJ233" t="str" cm="1">
        <f t="array" ref="AJ233">_xlfn.LET(
  _xlpm.K, Constantes!$B$3,
  _xlpm.Knewgain, Constantes!$B$4,
  _xlpm.Knewscale, Constantes!$B$5,
  _xlpm.ptstables, INDEX(AJ:AJ, _xlfn.SEQUENCE(COUNTA($C$2:$C233), 1, 3, 4)),
  _xlpm.nbparties, COUNTA(_xlfn._xlws.FILTER(_xlpm.ptstables, _xlpm.ptstables &lt;&gt; "")),
  _xlpm.coef, _xlpm.K + _xlpm.Knewgain / (_xlpm.Knewscale + _xlpm.nbparties),
  IF(AJ231="",
    "",
    _xlpm.coef * (AJ231-AJ232))
)</f>
        <v/>
      </c>
      <c r="AK233" t="str" cm="1">
        <f t="array" ref="AK233">_xlfn.LET(
  _xlpm.K, Constantes!$B$3,
  _xlpm.Knewgain, Constantes!$B$4,
  _xlpm.Knewscale, Constantes!$B$5,
  _xlpm.ptstables, INDEX(AK:AK, _xlfn.SEQUENCE(COUNTA($C$2:$C233), 1, 3, 4)),
  _xlpm.nbparties, COUNTA(_xlfn._xlws.FILTER(_xlpm.ptstables, _xlpm.ptstables &lt;&gt; "")),
  _xlpm.coef, _xlpm.K + _xlpm.Knewgain / (_xlpm.Knewscale + _xlpm.nbparties),
  IF(AK231="",
    "",
    _xlpm.coef * (AK231-AK232))
)</f>
        <v/>
      </c>
      <c r="AL233" t="str" cm="1">
        <f t="array" ref="AL233">_xlfn.LET(
  _xlpm.K, Constantes!$B$3,
  _xlpm.Knewgain, Constantes!$B$4,
  _xlpm.Knewscale, Constantes!$B$5,
  _xlpm.ptstables, INDEX(AL:AL, _xlfn.SEQUENCE(COUNTA($C$2:$C233), 1, 3, 4)),
  _xlpm.nbparties, COUNTA(_xlfn._xlws.FILTER(_xlpm.ptstables, _xlpm.ptstables &lt;&gt; "")),
  _xlpm.coef, _xlpm.K + _xlpm.Knewgain / (_xlpm.Knewscale + _xlpm.nbparties),
  IF(AL231="",
    "",
    _xlpm.coef * (AL231-AL232))
)</f>
        <v/>
      </c>
      <c r="AM233" t="str" cm="1">
        <f t="array" ref="AM233">_xlfn.LET(
  _xlpm.K, Constantes!$B$3,
  _xlpm.Knewgain, Constantes!$B$4,
  _xlpm.Knewscale, Constantes!$B$5,
  _xlpm.ptstables, INDEX(AM:AM, _xlfn.SEQUENCE(COUNTA($C$2:$C233), 1, 3, 4)),
  _xlpm.nbparties, COUNTA(_xlfn._xlws.FILTER(_xlpm.ptstables, _xlpm.ptstables &lt;&gt; "")),
  _xlpm.coef, _xlpm.K + _xlpm.Knewgain / (_xlpm.Knewscale + _xlpm.nbparties),
  IF(AM231="",
    "",
    _xlpm.coef * (AM231-AM232))
)</f>
        <v/>
      </c>
    </row>
    <row r="234" spans="1:39" x14ac:dyDescent="0.25">
      <c r="A234" t="s">
        <v>14</v>
      </c>
      <c r="B234" t="str" cm="1">
        <f t="array" ref="B23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58</v>
      </c>
      <c r="C234" s="2" cm="1">
        <f t="array" ref="C234">IF(B234="","",
  INDEX(Donnees!F:F, MATCH(B234, Donnees!F:F, 0)+1))</f>
        <v>45939.83798611111</v>
      </c>
      <c r="D234">
        <f t="shared" ref="D234:AM234" si="66">D230+IF(D233="",0,D233)</f>
        <v>1080.5073798720127</v>
      </c>
      <c r="E234">
        <f t="shared" si="66"/>
        <v>1150.8581509866578</v>
      </c>
      <c r="F234">
        <f t="shared" si="66"/>
        <v>840.07622072834204</v>
      </c>
      <c r="G234">
        <f t="shared" si="66"/>
        <v>1057.7305578219223</v>
      </c>
      <c r="H234">
        <f t="shared" si="66"/>
        <v>1041.4828877801035</v>
      </c>
      <c r="I234">
        <f t="shared" si="66"/>
        <v>960.57774210047694</v>
      </c>
      <c r="J234">
        <f t="shared" si="66"/>
        <v>938.49433816478961</v>
      </c>
      <c r="K234">
        <f t="shared" si="66"/>
        <v>957.39471433630956</v>
      </c>
      <c r="L234">
        <f t="shared" si="66"/>
        <v>766.95119884458973</v>
      </c>
      <c r="M234">
        <f t="shared" si="66"/>
        <v>913.41986361738122</v>
      </c>
      <c r="N234">
        <f t="shared" si="66"/>
        <v>905.23376280700177</v>
      </c>
      <c r="O234">
        <f t="shared" si="66"/>
        <v>980.22411339123312</v>
      </c>
      <c r="P234">
        <f t="shared" si="66"/>
        <v>1044.694691960626</v>
      </c>
      <c r="Q234">
        <f t="shared" si="66"/>
        <v>1098.253416720549</v>
      </c>
      <c r="R234">
        <f t="shared" si="66"/>
        <v>1080.636938748263</v>
      </c>
      <c r="S234">
        <f t="shared" si="66"/>
        <v>912.90205356391152</v>
      </c>
      <c r="T234">
        <f t="shared" si="66"/>
        <v>1135.2782658680615</v>
      </c>
      <c r="U234">
        <f t="shared" si="66"/>
        <v>1132.5303773979422</v>
      </c>
      <c r="V234">
        <f t="shared" si="66"/>
        <v>983.1120575372413</v>
      </c>
      <c r="W234">
        <f t="shared" si="66"/>
        <v>936.79085942937002</v>
      </c>
      <c r="X234">
        <f t="shared" si="66"/>
        <v>814.38475747458392</v>
      </c>
      <c r="Y234">
        <f t="shared" si="66"/>
        <v>959.91987155343315</v>
      </c>
      <c r="Z234">
        <f t="shared" si="66"/>
        <v>991.11904139672549</v>
      </c>
      <c r="AA234">
        <f t="shared" si="66"/>
        <v>953.20431206972398</v>
      </c>
      <c r="AB234">
        <f t="shared" si="66"/>
        <v>988.35669729544747</v>
      </c>
      <c r="AC234">
        <f t="shared" si="66"/>
        <v>1076.3060024316972</v>
      </c>
      <c r="AD234">
        <f t="shared" si="66"/>
        <v>1073.9096023401294</v>
      </c>
      <c r="AE234">
        <f t="shared" si="66"/>
        <v>1011.415</v>
      </c>
      <c r="AF234">
        <f t="shared" si="66"/>
        <v>1031.1199999999999</v>
      </c>
      <c r="AG234">
        <f t="shared" si="66"/>
        <v>1001.0350000000001</v>
      </c>
      <c r="AH234">
        <f t="shared" si="66"/>
        <v>994.44</v>
      </c>
      <c r="AI234">
        <f t="shared" si="66"/>
        <v>1000</v>
      </c>
      <c r="AJ234">
        <f t="shared" si="66"/>
        <v>957.2</v>
      </c>
      <c r="AK234">
        <f t="shared" si="66"/>
        <v>1000</v>
      </c>
      <c r="AL234">
        <f t="shared" si="66"/>
        <v>1055.9299999999998</v>
      </c>
      <c r="AM234">
        <f t="shared" si="66"/>
        <v>1000</v>
      </c>
    </row>
    <row r="235" spans="1:39" x14ac:dyDescent="0.25">
      <c r="A235" t="s">
        <v>21</v>
      </c>
      <c r="D235" t="str" cm="1">
        <f t="array" ref="D235">IFERROR(
  _xlfn.LET(
    _xlpm.ligpartie, MATCH($B234, Donnees!$F:$F, 0),
    _xlpm.joueurs, INDEX(Donnees!$A:$Z, _xlpm.ligpartie+1, _xlfn.SEQUENCE(1, 4, 2)),
    INDEX(
      Donnees!$A:$Z,
      _xlpm.ligpartie + 3,
      MATCH(D$1, _xlpm.joueurs, 0) + 1
    )
  ), ""
)</f>
        <v/>
      </c>
      <c r="E235" t="str" cm="1">
        <f t="array" ref="E235">IFERROR(
  _xlfn.LET(
    _xlpm.ligpartie, MATCH($B234, Donnees!$F:$F, 0),
    _xlpm.joueurs, INDEX(Donnees!$A:$Z, _xlpm.ligpartie+1, _xlfn.SEQUENCE(1, 4, 2)),
    INDEX(
      Donnees!$A:$Z,
      _xlpm.ligpartie + 3,
      MATCH(E$1, _xlpm.joueurs, 0) + 1
    )
  ), ""
)</f>
        <v/>
      </c>
      <c r="F235" t="str" cm="1">
        <f t="array" ref="F235">IFERROR(
  _xlfn.LET(
    _xlpm.ligpartie, MATCH($B234, Donnees!$F:$F, 0),
    _xlpm.joueurs, INDEX(Donnees!$A:$Z, _xlpm.ligpartie+1, _xlfn.SEQUENCE(1, 4, 2)),
    INDEX(
      Donnees!$A:$Z,
      _xlpm.ligpartie + 3,
      MATCH(F$1, _xlpm.joueurs, 0) + 1
    )
  ), ""
)</f>
        <v/>
      </c>
      <c r="G235" t="str" cm="1">
        <f t="array" ref="G235">IFERROR(
  _xlfn.LET(
    _xlpm.ligpartie, MATCH($B234, Donnees!$F:$F, 0),
    _xlpm.joueurs, INDEX(Donnees!$A:$Z, _xlpm.ligpartie+1, _xlfn.SEQUENCE(1, 4, 2)),
    INDEX(
      Donnees!$A:$Z,
      _xlpm.ligpartie + 3,
      MATCH(G$1, _xlpm.joueurs, 0) + 1
    )
  ), ""
)</f>
        <v/>
      </c>
      <c r="H235" t="str" cm="1">
        <f t="array" ref="H235">IFERROR(
  _xlfn.LET(
    _xlpm.ligpartie, MATCH($B234, Donnees!$F:$F, 0),
    _xlpm.joueurs, INDEX(Donnees!$A:$Z, _xlpm.ligpartie+1, _xlfn.SEQUENCE(1, 4, 2)),
    INDEX(
      Donnees!$A:$Z,
      _xlpm.ligpartie + 3,
      MATCH(H$1, _xlpm.joueurs, 0) + 1
    )
  ), ""
)</f>
        <v/>
      </c>
      <c r="I235" t="str" cm="1">
        <f t="array" ref="I235">IFERROR(
  _xlfn.LET(
    _xlpm.ligpartie, MATCH($B234, Donnees!$F:$F, 0),
    _xlpm.joueurs, INDEX(Donnees!$A:$Z, _xlpm.ligpartie+1, _xlfn.SEQUENCE(1, 4, 2)),
    INDEX(
      Donnees!$A:$Z,
      _xlpm.ligpartie + 3,
      MATCH(I$1, _xlpm.joueurs, 0) + 1
    )
  ), ""
)</f>
        <v/>
      </c>
      <c r="J235" cm="1">
        <f t="array" ref="J235">IFERROR(
  _xlfn.LET(
    _xlpm.ligpartie, MATCH($B234, Donnees!$F:$F, 0),
    _xlpm.joueurs, INDEX(Donnees!$A:$Z, _xlpm.ligpartie+1, _xlfn.SEQUENCE(1, 4, 2)),
    INDEX(
      Donnees!$A:$Z,
      _xlpm.ligpartie + 3,
      MATCH(J$1, _xlpm.joueurs, 0) + 1
    )
  ), ""
)</f>
        <v>2</v>
      </c>
      <c r="K235" t="str" cm="1">
        <f t="array" ref="K235">IFERROR(
  _xlfn.LET(
    _xlpm.ligpartie, MATCH($B234, Donnees!$F:$F, 0),
    _xlpm.joueurs, INDEX(Donnees!$A:$Z, _xlpm.ligpartie+1, _xlfn.SEQUENCE(1, 4, 2)),
    INDEX(
      Donnees!$A:$Z,
      _xlpm.ligpartie + 3,
      MATCH(K$1, _xlpm.joueurs, 0) + 1
    )
  ), ""
)</f>
        <v/>
      </c>
      <c r="L235" t="str" cm="1">
        <f t="array" ref="L235">IFERROR(
  _xlfn.LET(
    _xlpm.ligpartie, MATCH($B234, Donnees!$F:$F, 0),
    _xlpm.joueurs, INDEX(Donnees!$A:$Z, _xlpm.ligpartie+1, _xlfn.SEQUENCE(1, 4, 2)),
    INDEX(
      Donnees!$A:$Z,
      _xlpm.ligpartie + 3,
      MATCH(L$1, _xlpm.joueurs, 0) + 1
    )
  ), ""
)</f>
        <v/>
      </c>
      <c r="M235" t="str" cm="1">
        <f t="array" ref="M235">IFERROR(
  _xlfn.LET(
    _xlpm.ligpartie, MATCH($B234, Donnees!$F:$F, 0),
    _xlpm.joueurs, INDEX(Donnees!$A:$Z, _xlpm.ligpartie+1, _xlfn.SEQUENCE(1, 4, 2)),
    INDEX(
      Donnees!$A:$Z,
      _xlpm.ligpartie + 3,
      MATCH(M$1, _xlpm.joueurs, 0) + 1
    )
  ), ""
)</f>
        <v/>
      </c>
      <c r="N235" t="str" cm="1">
        <f t="array" ref="N235">IFERROR(
  _xlfn.LET(
    _xlpm.ligpartie, MATCH($B234, Donnees!$F:$F, 0),
    _xlpm.joueurs, INDEX(Donnees!$A:$Z, _xlpm.ligpartie+1, _xlfn.SEQUENCE(1, 4, 2)),
    INDEX(
      Donnees!$A:$Z,
      _xlpm.ligpartie + 3,
      MATCH(N$1, _xlpm.joueurs, 0) + 1
    )
  ), ""
)</f>
        <v/>
      </c>
      <c r="O235" t="str" cm="1">
        <f t="array" ref="O235">IFERROR(
  _xlfn.LET(
    _xlpm.ligpartie, MATCH($B234, Donnees!$F:$F, 0),
    _xlpm.joueurs, INDEX(Donnees!$A:$Z, _xlpm.ligpartie+1, _xlfn.SEQUENCE(1, 4, 2)),
    INDEX(
      Donnees!$A:$Z,
      _xlpm.ligpartie + 3,
      MATCH(O$1, _xlpm.joueurs, 0) + 1
    )
  ), ""
)</f>
        <v/>
      </c>
      <c r="P235" t="str" cm="1">
        <f t="array" ref="P235">IFERROR(
  _xlfn.LET(
    _xlpm.ligpartie, MATCH($B234, Donnees!$F:$F, 0),
    _xlpm.joueurs, INDEX(Donnees!$A:$Z, _xlpm.ligpartie+1, _xlfn.SEQUENCE(1, 4, 2)),
    INDEX(
      Donnees!$A:$Z,
      _xlpm.ligpartie + 3,
      MATCH(P$1, _xlpm.joueurs, 0) + 1
    )
  ), ""
)</f>
        <v/>
      </c>
      <c r="Q235" t="str" cm="1">
        <f t="array" ref="Q235">IFERROR(
  _xlfn.LET(
    _xlpm.ligpartie, MATCH($B234, Donnees!$F:$F, 0),
    _xlpm.joueurs, INDEX(Donnees!$A:$Z, _xlpm.ligpartie+1, _xlfn.SEQUENCE(1, 4, 2)),
    INDEX(
      Donnees!$A:$Z,
      _xlpm.ligpartie + 3,
      MATCH(Q$1, _xlpm.joueurs, 0) + 1
    )
  ), ""
)</f>
        <v/>
      </c>
      <c r="R235" t="str" cm="1">
        <f t="array" ref="R235">IFERROR(
  _xlfn.LET(
    _xlpm.ligpartie, MATCH($B234, Donnees!$F:$F, 0),
    _xlpm.joueurs, INDEX(Donnees!$A:$Z, _xlpm.ligpartie+1, _xlfn.SEQUENCE(1, 4, 2)),
    INDEX(
      Donnees!$A:$Z,
      _xlpm.ligpartie + 3,
      MATCH(R$1, _xlpm.joueurs, 0) + 1
    )
  ), ""
)</f>
        <v/>
      </c>
      <c r="S235" t="str" cm="1">
        <f t="array" ref="S235">IFERROR(
  _xlfn.LET(
    _xlpm.ligpartie, MATCH($B234, Donnees!$F:$F, 0),
    _xlpm.joueurs, INDEX(Donnees!$A:$Z, _xlpm.ligpartie+1, _xlfn.SEQUENCE(1, 4, 2)),
    INDEX(
      Donnees!$A:$Z,
      _xlpm.ligpartie + 3,
      MATCH(S$1, _xlpm.joueurs, 0) + 1
    )
  ), ""
)</f>
        <v/>
      </c>
      <c r="T235" t="str" cm="1">
        <f t="array" ref="T235">IFERROR(
  _xlfn.LET(
    _xlpm.ligpartie, MATCH($B234, Donnees!$F:$F, 0),
    _xlpm.joueurs, INDEX(Donnees!$A:$Z, _xlpm.ligpartie+1, _xlfn.SEQUENCE(1, 4, 2)),
    INDEX(
      Donnees!$A:$Z,
      _xlpm.ligpartie + 3,
      MATCH(T$1, _xlpm.joueurs, 0) + 1
    )
  ), ""
)</f>
        <v/>
      </c>
      <c r="U235" t="str" cm="1">
        <f t="array" ref="U235">IFERROR(
  _xlfn.LET(
    _xlpm.ligpartie, MATCH($B234, Donnees!$F:$F, 0),
    _xlpm.joueurs, INDEX(Donnees!$A:$Z, _xlpm.ligpartie+1, _xlfn.SEQUENCE(1, 4, 2)),
    INDEX(
      Donnees!$A:$Z,
      _xlpm.ligpartie + 3,
      MATCH(U$1, _xlpm.joueurs, 0) + 1
    )
  ), ""
)</f>
        <v/>
      </c>
      <c r="V235" t="str" cm="1">
        <f t="array" ref="V235">IFERROR(
  _xlfn.LET(
    _xlpm.ligpartie, MATCH($B234, Donnees!$F:$F, 0),
    _xlpm.joueurs, INDEX(Donnees!$A:$Z, _xlpm.ligpartie+1, _xlfn.SEQUENCE(1, 4, 2)),
    INDEX(
      Donnees!$A:$Z,
      _xlpm.ligpartie + 3,
      MATCH(V$1, _xlpm.joueurs, 0) + 1
    )
  ), ""
)</f>
        <v/>
      </c>
      <c r="W235" t="str" cm="1">
        <f t="array" ref="W235">IFERROR(
  _xlfn.LET(
    _xlpm.ligpartie, MATCH($B234, Donnees!$F:$F, 0),
    _xlpm.joueurs, INDEX(Donnees!$A:$Z, _xlpm.ligpartie+1, _xlfn.SEQUENCE(1, 4, 2)),
    INDEX(
      Donnees!$A:$Z,
      _xlpm.ligpartie + 3,
      MATCH(W$1, _xlpm.joueurs, 0) + 1
    )
  ), ""
)</f>
        <v/>
      </c>
      <c r="X235" t="str" cm="1">
        <f t="array" ref="X235">IFERROR(
  _xlfn.LET(
    _xlpm.ligpartie, MATCH($B234, Donnees!$F:$F, 0),
    _xlpm.joueurs, INDEX(Donnees!$A:$Z, _xlpm.ligpartie+1, _xlfn.SEQUENCE(1, 4, 2)),
    INDEX(
      Donnees!$A:$Z,
      _xlpm.ligpartie + 3,
      MATCH(X$1, _xlpm.joueurs, 0) + 1
    )
  ), ""
)</f>
        <v/>
      </c>
      <c r="Y235" t="str" cm="1">
        <f t="array" ref="Y235">IFERROR(
  _xlfn.LET(
    _xlpm.ligpartie, MATCH($B234, Donnees!$F:$F, 0),
    _xlpm.joueurs, INDEX(Donnees!$A:$Z, _xlpm.ligpartie+1, _xlfn.SEQUENCE(1, 4, 2)),
    INDEX(
      Donnees!$A:$Z,
      _xlpm.ligpartie + 3,
      MATCH(Y$1, _xlpm.joueurs, 0) + 1
    )
  ), ""
)</f>
        <v/>
      </c>
      <c r="Z235" t="str" cm="1">
        <f t="array" ref="Z235">IFERROR(
  _xlfn.LET(
    _xlpm.ligpartie, MATCH($B234, Donnees!$F:$F, 0),
    _xlpm.joueurs, INDEX(Donnees!$A:$Z, _xlpm.ligpartie+1, _xlfn.SEQUENCE(1, 4, 2)),
    INDEX(
      Donnees!$A:$Z,
      _xlpm.ligpartie + 3,
      MATCH(Z$1, _xlpm.joueurs, 0) + 1
    )
  ), ""
)</f>
        <v/>
      </c>
      <c r="AA235" t="str" cm="1">
        <f t="array" ref="AA235">IFERROR(
  _xlfn.LET(
    _xlpm.ligpartie, MATCH($B234, Donnees!$F:$F, 0),
    _xlpm.joueurs, INDEX(Donnees!$A:$Z, _xlpm.ligpartie+1, _xlfn.SEQUENCE(1, 4, 2)),
    INDEX(
      Donnees!$A:$Z,
      _xlpm.ligpartie + 3,
      MATCH(AA$1, _xlpm.joueurs, 0) + 1
    )
  ), ""
)</f>
        <v/>
      </c>
      <c r="AB235" t="str" cm="1">
        <f t="array" ref="AB235">IFERROR(
  _xlfn.LET(
    _xlpm.ligpartie, MATCH($B234, Donnees!$F:$F, 0),
    _xlpm.joueurs, INDEX(Donnees!$A:$Z, _xlpm.ligpartie+1, _xlfn.SEQUENCE(1, 4, 2)),
    INDEX(
      Donnees!$A:$Z,
      _xlpm.ligpartie + 3,
      MATCH(AB$1, _xlpm.joueurs, 0) + 1
    )
  ), ""
)</f>
        <v/>
      </c>
      <c r="AC235" t="str" cm="1">
        <f t="array" ref="AC235">IFERROR(
  _xlfn.LET(
    _xlpm.ligpartie, MATCH($B234, Donnees!$F:$F, 0),
    _xlpm.joueurs, INDEX(Donnees!$A:$Z, _xlpm.ligpartie+1, _xlfn.SEQUENCE(1, 4, 2)),
    INDEX(
      Donnees!$A:$Z,
      _xlpm.ligpartie + 3,
      MATCH(AC$1, _xlpm.joueurs, 0) + 1
    )
  ), ""
)</f>
        <v/>
      </c>
      <c r="AD235" t="str" cm="1">
        <f t="array" ref="AD235">IFERROR(
  _xlfn.LET(
    _xlpm.ligpartie, MATCH($B234, Donnees!$F:$F, 0),
    _xlpm.joueurs, INDEX(Donnees!$A:$Z, _xlpm.ligpartie+1, _xlfn.SEQUENCE(1, 4, 2)),
    INDEX(
      Donnees!$A:$Z,
      _xlpm.ligpartie + 3,
      MATCH(AD$1, _xlpm.joueurs, 0) + 1
    )
  ), ""
)</f>
        <v/>
      </c>
      <c r="AE235" cm="1">
        <f t="array" ref="AE235">IFERROR(
  _xlfn.LET(
    _xlpm.ligpartie, MATCH($B234, Donnees!$F:$F, 0),
    _xlpm.joueurs, INDEX(Donnees!$A:$Z, _xlpm.ligpartie+1, _xlfn.SEQUENCE(1, 4, 2)),
    INDEX(
      Donnees!$A:$Z,
      _xlpm.ligpartie + 3,
      MATCH(AE$1, _xlpm.joueurs, 0) + 1
    )
  ), ""
)</f>
        <v>1</v>
      </c>
      <c r="AF235" cm="1">
        <f t="array" ref="AF235">IFERROR(
  _xlfn.LET(
    _xlpm.ligpartie, MATCH($B234, Donnees!$F:$F, 0),
    _xlpm.joueurs, INDEX(Donnees!$A:$Z, _xlpm.ligpartie+1, _xlfn.SEQUENCE(1, 4, 2)),
    INDEX(
      Donnees!$A:$Z,
      _xlpm.ligpartie + 3,
      MATCH(AF$1, _xlpm.joueurs, 0) + 1
    )
  ), ""
)</f>
        <v>3</v>
      </c>
      <c r="AG235" cm="1">
        <f t="array" ref="AG235">IFERROR(
  _xlfn.LET(
    _xlpm.ligpartie, MATCH($B234, Donnees!$F:$F, 0),
    _xlpm.joueurs, INDEX(Donnees!$A:$Z, _xlpm.ligpartie+1, _xlfn.SEQUENCE(1, 4, 2)),
    INDEX(
      Donnees!$A:$Z,
      _xlpm.ligpartie + 3,
      MATCH(AG$1, _xlpm.joueurs, 0) + 1
    )
  ), ""
)</f>
        <v>0</v>
      </c>
      <c r="AH235" t="str" cm="1">
        <f t="array" ref="AH235">IFERROR(
  _xlfn.LET(
    _xlpm.ligpartie, MATCH($B234, Donnees!$F:$F, 0),
    _xlpm.joueurs, INDEX(Donnees!$A:$Z, _xlpm.ligpartie+1, _xlfn.SEQUENCE(1, 4, 2)),
    INDEX(
      Donnees!$A:$Z,
      _xlpm.ligpartie + 3,
      MATCH(AH$1, _xlpm.joueurs, 0) + 1
    )
  ), ""
)</f>
        <v/>
      </c>
      <c r="AI235" t="str" cm="1">
        <f t="array" ref="AI235">IFERROR(
  _xlfn.LET(
    _xlpm.ligpartie, MATCH($B234, Donnees!$F:$F, 0),
    _xlpm.joueurs, INDEX(Donnees!$A:$Z, _xlpm.ligpartie+1, _xlfn.SEQUENCE(1, 4, 2)),
    INDEX(
      Donnees!$A:$Z,
      _xlpm.ligpartie + 3,
      MATCH(AI$1, _xlpm.joueurs, 0) + 1
    )
  ), ""
)</f>
        <v/>
      </c>
      <c r="AJ235" t="str" cm="1">
        <f t="array" ref="AJ235">IFERROR(
  _xlfn.LET(
    _xlpm.ligpartie, MATCH($B234, Donnees!$F:$F, 0),
    _xlpm.joueurs, INDEX(Donnees!$A:$Z, _xlpm.ligpartie+1, _xlfn.SEQUENCE(1, 4, 2)),
    INDEX(
      Donnees!$A:$Z,
      _xlpm.ligpartie + 3,
      MATCH(AJ$1, _xlpm.joueurs, 0) + 1
    )
  ), ""
)</f>
        <v/>
      </c>
      <c r="AK235" t="str" cm="1">
        <f t="array" ref="AK235">IFERROR(
  _xlfn.LET(
    _xlpm.ligpartie, MATCH($B234, Donnees!$F:$F, 0),
    _xlpm.joueurs, INDEX(Donnees!$A:$Z, _xlpm.ligpartie+1, _xlfn.SEQUENCE(1, 4, 2)),
    INDEX(
      Donnees!$A:$Z,
      _xlpm.ligpartie + 3,
      MATCH(AK$1, _xlpm.joueurs, 0) + 1
    )
  ), ""
)</f>
        <v/>
      </c>
      <c r="AL235" t="str" cm="1">
        <f t="array" ref="AL235">IFERROR(
  _xlfn.LET(
    _xlpm.ligpartie, MATCH($B234, Donnees!$F:$F, 0),
    _xlpm.joueurs, INDEX(Donnees!$A:$Z, _xlpm.ligpartie+1, _xlfn.SEQUENCE(1, 4, 2)),
    INDEX(
      Donnees!$A:$Z,
      _xlpm.ligpartie + 3,
      MATCH(AL$1, _xlpm.joueurs, 0) + 1
    )
  ), ""
)</f>
        <v/>
      </c>
      <c r="AM235" t="str" cm="1">
        <f t="array" ref="AM235">IFERROR(
  _xlfn.LET(
    _xlpm.ligpartie, MATCH($B234, Donnees!$F:$F, 0),
    _xlpm.joueurs, INDEX(Donnees!$A:$Z, _xlpm.ligpartie+1, _xlfn.SEQUENCE(1, 4, 2)),
    INDEX(
      Donnees!$A:$Z,
      _xlpm.ligpartie + 3,
      MATCH(AM$1, _xlpm.joueurs, 0) + 1
    )
  ), ""
)</f>
        <v/>
      </c>
    </row>
    <row r="236" spans="1:39" x14ac:dyDescent="0.25">
      <c r="A236" t="s">
        <v>20</v>
      </c>
      <c r="D236" t="str" cm="1">
        <f t="array" ref="D236">_xlfn.LET(
  _xlpm.colj, _xlfn._xlws.FILTER(IF(ISNUMBER(235:235), COLUMN(235:235)), ISNUMBER(235:235)),
  _xlpm.elos, INDEX(234:234,1,_xlpm.colj),
  _xlpm.diffscale, Constantes!$B$2,
  IF(D235="",
    "",
    SUM(1/(1+POWER(10,-(D234-_xlpm.elos)/_xlpm.diffscale)))-0.5)
)</f>
        <v/>
      </c>
      <c r="E236" t="str" cm="1">
        <f t="array" ref="E236">_xlfn.LET(
  _xlpm.colj, _xlfn._xlws.FILTER(IF(ISNUMBER(235:235), COLUMN(235:235)), ISNUMBER(235:235)),
  _xlpm.elos, INDEX(234:234,1,_xlpm.colj),
  _xlpm.diffscale, Constantes!$B$2,
  IF(E235="",
    "",
    SUM(1/(1+POWER(10,-(E234-_xlpm.elos)/_xlpm.diffscale)))-0.5)
)</f>
        <v/>
      </c>
      <c r="F236" t="str" cm="1">
        <f t="array" ref="F236">_xlfn.LET(
  _xlpm.colj, _xlfn._xlws.FILTER(IF(ISNUMBER(235:235), COLUMN(235:235)), ISNUMBER(235:235)),
  _xlpm.elos, INDEX(234:234,1,_xlpm.colj),
  _xlpm.diffscale, Constantes!$B$2,
  IF(F235="",
    "",
    SUM(1/(1+POWER(10,-(F234-_xlpm.elos)/_xlpm.diffscale)))-0.5)
)</f>
        <v/>
      </c>
      <c r="G236" t="str" cm="1">
        <f t="array" ref="G236">_xlfn.LET(
  _xlpm.colj, _xlfn._xlws.FILTER(IF(ISNUMBER(235:235), COLUMN(235:235)), ISNUMBER(235:235)),
  _xlpm.elos, INDEX(234:234,1,_xlpm.colj),
  _xlpm.diffscale, Constantes!$B$2,
  IF(G235="",
    "",
    SUM(1/(1+POWER(10,-(G234-_xlpm.elos)/_xlpm.diffscale)))-0.5)
)</f>
        <v/>
      </c>
      <c r="H236" t="str" cm="1">
        <f t="array" ref="H236">_xlfn.LET(
  _xlpm.colj, _xlfn._xlws.FILTER(IF(ISNUMBER(235:235), COLUMN(235:235)), ISNUMBER(235:235)),
  _xlpm.elos, INDEX(234:234,1,_xlpm.colj),
  _xlpm.diffscale, Constantes!$B$2,
  IF(H235="",
    "",
    SUM(1/(1+POWER(10,-(H234-_xlpm.elos)/_xlpm.diffscale)))-0.5)
)</f>
        <v/>
      </c>
      <c r="I236" t="str" cm="1">
        <f t="array" ref="I236">_xlfn.LET(
  _xlpm.colj, _xlfn._xlws.FILTER(IF(ISNUMBER(235:235), COLUMN(235:235)), ISNUMBER(235:235)),
  _xlpm.elos, INDEX(234:234,1,_xlpm.colj),
  _xlpm.diffscale, Constantes!$B$2,
  IF(I235="",
    "",
    SUM(1/(1+POWER(10,-(I234-_xlpm.elos)/_xlpm.diffscale)))-0.5)
)</f>
        <v/>
      </c>
      <c r="J236" cm="1">
        <f t="array" ref="J236">_xlfn.LET(
  _xlpm.colj, _xlfn._xlws.FILTER(IF(ISNUMBER(235:235), COLUMN(235:235)), ISNUMBER(235:235)),
  _xlpm.elos, INDEX(234:234,1,_xlpm.colj),
  _xlpm.diffscale, Constantes!$B$2,
  IF(J235="",
    "",
    SUM(1/(1+POWER(10,-(J234-_xlpm.elos)/_xlpm.diffscale)))-0.5)
)</f>
        <v>1.1773011303241057</v>
      </c>
      <c r="K236" t="str" cm="1">
        <f t="array" ref="K236">_xlfn.LET(
  _xlpm.colj, _xlfn._xlws.FILTER(IF(ISNUMBER(235:235), COLUMN(235:235)), ISNUMBER(235:235)),
  _xlpm.elos, INDEX(234:234,1,_xlpm.colj),
  _xlpm.diffscale, Constantes!$B$2,
  IF(K235="",
    "",
    SUM(1/(1+POWER(10,-(K234-_xlpm.elos)/_xlpm.diffscale)))-0.5)
)</f>
        <v/>
      </c>
      <c r="L236" t="str" cm="1">
        <f t="array" ref="L236">_xlfn.LET(
  _xlpm.colj, _xlfn._xlws.FILTER(IF(ISNUMBER(235:235), COLUMN(235:235)), ISNUMBER(235:235)),
  _xlpm.elos, INDEX(234:234,1,_xlpm.colj),
  _xlpm.diffscale, Constantes!$B$2,
  IF(L235="",
    "",
    SUM(1/(1+POWER(10,-(L234-_xlpm.elos)/_xlpm.diffscale)))-0.5)
)</f>
        <v/>
      </c>
      <c r="M236" t="str" cm="1">
        <f t="array" ref="M236">_xlfn.LET(
  _xlpm.colj, _xlfn._xlws.FILTER(IF(ISNUMBER(235:235), COLUMN(235:235)), ISNUMBER(235:235)),
  _xlpm.elos, INDEX(234:234,1,_xlpm.colj),
  _xlpm.diffscale, Constantes!$B$2,
  IF(M235="",
    "",
    SUM(1/(1+POWER(10,-(M234-_xlpm.elos)/_xlpm.diffscale)))-0.5)
)</f>
        <v/>
      </c>
      <c r="N236" t="str" cm="1">
        <f t="array" ref="N236">_xlfn.LET(
  _xlpm.colj, _xlfn._xlws.FILTER(IF(ISNUMBER(235:235), COLUMN(235:235)), ISNUMBER(235:235)),
  _xlpm.elos, INDEX(234:234,1,_xlpm.colj),
  _xlpm.diffscale, Constantes!$B$2,
  IF(N235="",
    "",
    SUM(1/(1+POWER(10,-(N234-_xlpm.elos)/_xlpm.diffscale)))-0.5)
)</f>
        <v/>
      </c>
      <c r="O236" t="str" cm="1">
        <f t="array" ref="O236">_xlfn.LET(
  _xlpm.colj, _xlfn._xlws.FILTER(IF(ISNUMBER(235:235), COLUMN(235:235)), ISNUMBER(235:235)),
  _xlpm.elos, INDEX(234:234,1,_xlpm.colj),
  _xlpm.diffscale, Constantes!$B$2,
  IF(O235="",
    "",
    SUM(1/(1+POWER(10,-(O234-_xlpm.elos)/_xlpm.diffscale)))-0.5)
)</f>
        <v/>
      </c>
      <c r="P236" t="str" cm="1">
        <f t="array" ref="P236">_xlfn.LET(
  _xlpm.colj, _xlfn._xlws.FILTER(IF(ISNUMBER(235:235), COLUMN(235:235)), ISNUMBER(235:235)),
  _xlpm.elos, INDEX(234:234,1,_xlpm.colj),
  _xlpm.diffscale, Constantes!$B$2,
  IF(P235="",
    "",
    SUM(1/(1+POWER(10,-(P234-_xlpm.elos)/_xlpm.diffscale)))-0.5)
)</f>
        <v/>
      </c>
      <c r="Q236" t="str" cm="1">
        <f t="array" ref="Q236">_xlfn.LET(
  _xlpm.colj, _xlfn._xlws.FILTER(IF(ISNUMBER(235:235), COLUMN(235:235)), ISNUMBER(235:235)),
  _xlpm.elos, INDEX(234:234,1,_xlpm.colj),
  _xlpm.diffscale, Constantes!$B$2,
  IF(Q235="",
    "",
    SUM(1/(1+POWER(10,-(Q234-_xlpm.elos)/_xlpm.diffscale)))-0.5)
)</f>
        <v/>
      </c>
      <c r="R236" t="str" cm="1">
        <f t="array" ref="R236">_xlfn.LET(
  _xlpm.colj, _xlfn._xlws.FILTER(IF(ISNUMBER(235:235), COLUMN(235:235)), ISNUMBER(235:235)),
  _xlpm.elos, INDEX(234:234,1,_xlpm.colj),
  _xlpm.diffscale, Constantes!$B$2,
  IF(R235="",
    "",
    SUM(1/(1+POWER(10,-(R234-_xlpm.elos)/_xlpm.diffscale)))-0.5)
)</f>
        <v/>
      </c>
      <c r="S236" t="str" cm="1">
        <f t="array" ref="S236">_xlfn.LET(
  _xlpm.colj, _xlfn._xlws.FILTER(IF(ISNUMBER(235:235), COLUMN(235:235)), ISNUMBER(235:235)),
  _xlpm.elos, INDEX(234:234,1,_xlpm.colj),
  _xlpm.diffscale, Constantes!$B$2,
  IF(S235="",
    "",
    SUM(1/(1+POWER(10,-(S234-_xlpm.elos)/_xlpm.diffscale)))-0.5)
)</f>
        <v/>
      </c>
      <c r="T236" t="str" cm="1">
        <f t="array" ref="T236">_xlfn.LET(
  _xlpm.colj, _xlfn._xlws.FILTER(IF(ISNUMBER(235:235), COLUMN(235:235)), ISNUMBER(235:235)),
  _xlpm.elos, INDEX(234:234,1,_xlpm.colj),
  _xlpm.diffscale, Constantes!$B$2,
  IF(T235="",
    "",
    SUM(1/(1+POWER(10,-(T234-_xlpm.elos)/_xlpm.diffscale)))-0.5)
)</f>
        <v/>
      </c>
      <c r="U236" t="str" cm="1">
        <f t="array" ref="U236">_xlfn.LET(
  _xlpm.colj, _xlfn._xlws.FILTER(IF(ISNUMBER(235:235), COLUMN(235:235)), ISNUMBER(235:235)),
  _xlpm.elos, INDEX(234:234,1,_xlpm.colj),
  _xlpm.diffscale, Constantes!$B$2,
  IF(U235="",
    "",
    SUM(1/(1+POWER(10,-(U234-_xlpm.elos)/_xlpm.diffscale)))-0.5)
)</f>
        <v/>
      </c>
      <c r="V236" t="str" cm="1">
        <f t="array" ref="V236">_xlfn.LET(
  _xlpm.colj, _xlfn._xlws.FILTER(IF(ISNUMBER(235:235), COLUMN(235:235)), ISNUMBER(235:235)),
  _xlpm.elos, INDEX(234:234,1,_xlpm.colj),
  _xlpm.diffscale, Constantes!$B$2,
  IF(V235="",
    "",
    SUM(1/(1+POWER(10,-(V234-_xlpm.elos)/_xlpm.diffscale)))-0.5)
)</f>
        <v/>
      </c>
      <c r="W236" t="str" cm="1">
        <f t="array" ref="W236">_xlfn.LET(
  _xlpm.colj, _xlfn._xlws.FILTER(IF(ISNUMBER(235:235), COLUMN(235:235)), ISNUMBER(235:235)),
  _xlpm.elos, INDEX(234:234,1,_xlpm.colj),
  _xlpm.diffscale, Constantes!$B$2,
  IF(W235="",
    "",
    SUM(1/(1+POWER(10,-(W234-_xlpm.elos)/_xlpm.diffscale)))-0.5)
)</f>
        <v/>
      </c>
      <c r="X236" t="str" cm="1">
        <f t="array" ref="X236">_xlfn.LET(
  _xlpm.colj, _xlfn._xlws.FILTER(IF(ISNUMBER(235:235), COLUMN(235:235)), ISNUMBER(235:235)),
  _xlpm.elos, INDEX(234:234,1,_xlpm.colj),
  _xlpm.diffscale, Constantes!$B$2,
  IF(X235="",
    "",
    SUM(1/(1+POWER(10,-(X234-_xlpm.elos)/_xlpm.diffscale)))-0.5)
)</f>
        <v/>
      </c>
      <c r="Y236" t="str" cm="1">
        <f t="array" ref="Y236">_xlfn.LET(
  _xlpm.colj, _xlfn._xlws.FILTER(IF(ISNUMBER(235:235), COLUMN(235:235)), ISNUMBER(235:235)),
  _xlpm.elos, INDEX(234:234,1,_xlpm.colj),
  _xlpm.diffscale, Constantes!$B$2,
  IF(Y235="",
    "",
    SUM(1/(1+POWER(10,-(Y234-_xlpm.elos)/_xlpm.diffscale)))-0.5)
)</f>
        <v/>
      </c>
      <c r="Z236" t="str" cm="1">
        <f t="array" ref="Z236">_xlfn.LET(
  _xlpm.colj, _xlfn._xlws.FILTER(IF(ISNUMBER(235:235), COLUMN(235:235)), ISNUMBER(235:235)),
  _xlpm.elos, INDEX(234:234,1,_xlpm.colj),
  _xlpm.diffscale, Constantes!$B$2,
  IF(Z235="",
    "",
    SUM(1/(1+POWER(10,-(Z234-_xlpm.elos)/_xlpm.diffscale)))-0.5)
)</f>
        <v/>
      </c>
      <c r="AA236" t="str" cm="1">
        <f t="array" ref="AA236">_xlfn.LET(
  _xlpm.colj, _xlfn._xlws.FILTER(IF(ISNUMBER(235:235), COLUMN(235:235)), ISNUMBER(235:235)),
  _xlpm.elos, INDEX(234:234,1,_xlpm.colj),
  _xlpm.diffscale, Constantes!$B$2,
  IF(AA235="",
    "",
    SUM(1/(1+POWER(10,-(AA234-_xlpm.elos)/_xlpm.diffscale)))-0.5)
)</f>
        <v/>
      </c>
      <c r="AB236" t="str" cm="1">
        <f t="array" ref="AB236">_xlfn.LET(
  _xlpm.colj, _xlfn._xlws.FILTER(IF(ISNUMBER(235:235), COLUMN(235:235)), ISNUMBER(235:235)),
  _xlpm.elos, INDEX(234:234,1,_xlpm.colj),
  _xlpm.diffscale, Constantes!$B$2,
  IF(AB235="",
    "",
    SUM(1/(1+POWER(10,-(AB234-_xlpm.elos)/_xlpm.diffscale)))-0.5)
)</f>
        <v/>
      </c>
      <c r="AC236" t="str" cm="1">
        <f t="array" ref="AC236">_xlfn.LET(
  _xlpm.colj, _xlfn._xlws.FILTER(IF(ISNUMBER(235:235), COLUMN(235:235)), ISNUMBER(235:235)),
  _xlpm.elos, INDEX(234:234,1,_xlpm.colj),
  _xlpm.diffscale, Constantes!$B$2,
  IF(AC235="",
    "",
    SUM(1/(1+POWER(10,-(AC234-_xlpm.elos)/_xlpm.diffscale)))-0.5)
)</f>
        <v/>
      </c>
      <c r="AD236" t="str" cm="1">
        <f t="array" ref="AD236">_xlfn.LET(
  _xlpm.colj, _xlfn._xlws.FILTER(IF(ISNUMBER(235:235), COLUMN(235:235)), ISNUMBER(235:235)),
  _xlpm.elos, INDEX(234:234,1,_xlpm.colj),
  _xlpm.diffscale, Constantes!$B$2,
  IF(AD235="",
    "",
    SUM(1/(1+POWER(10,-(AD234-_xlpm.elos)/_xlpm.diffscale)))-0.5)
)</f>
        <v/>
      </c>
      <c r="AE236" cm="1">
        <f t="array" ref="AE236">_xlfn.LET(
  _xlpm.colj, _xlfn._xlws.FILTER(IF(ISNUMBER(235:235), COLUMN(235:235)), ISNUMBER(235:235)),
  _xlpm.elos, INDEX(234:234,1,_xlpm.colj),
  _xlpm.diffscale, Constantes!$B$2,
  IF(AE235="",
    "",
    SUM(1/(1+POWER(10,-(AE234-_xlpm.elos)/_xlpm.diffscale)))-0.5)
)</f>
        <v>1.5900332023917532</v>
      </c>
      <c r="AF236" cm="1">
        <f t="array" ref="AF236">_xlfn.LET(
  _xlpm.colj, _xlfn._xlws.FILTER(IF(ISNUMBER(235:235), COLUMN(235:235)), ISNUMBER(235:235)),
  _xlpm.elos, INDEX(234:234,1,_xlpm.colj),
  _xlpm.diffscale, Constantes!$B$2,
  IF(AF235="",
    "",
    SUM(1/(1+POWER(10,-(AF234-_xlpm.elos)/_xlpm.diffscale)))-0.5)
)</f>
        <v>1.7017435736375091</v>
      </c>
      <c r="AG236" cm="1">
        <f t="array" ref="AG236">_xlfn.LET(
  _xlpm.colj, _xlfn._xlws.FILTER(IF(ISNUMBER(235:235), COLUMN(235:235)), ISNUMBER(235:235)),
  _xlpm.elos, INDEX(234:234,1,_xlpm.colj),
  _xlpm.diffscale, Constantes!$B$2,
  IF(AG235="",
    "",
    SUM(1/(1+POWER(10,-(AG234-_xlpm.elos)/_xlpm.diffscale)))-0.5)
)</f>
        <v>1.5309220936466326</v>
      </c>
      <c r="AH236" t="str" cm="1">
        <f t="array" ref="AH236">_xlfn.LET(
  _xlpm.colj, _xlfn._xlws.FILTER(IF(ISNUMBER(235:235), COLUMN(235:235)), ISNUMBER(235:235)),
  _xlpm.elos, INDEX(234:234,1,_xlpm.colj),
  _xlpm.diffscale, Constantes!$B$2,
  IF(AH235="",
    "",
    SUM(1/(1+POWER(10,-(AH234-_xlpm.elos)/_xlpm.diffscale)))-0.5)
)</f>
        <v/>
      </c>
      <c r="AI236" t="str" cm="1">
        <f t="array" ref="AI236">_xlfn.LET(
  _xlpm.colj, _xlfn._xlws.FILTER(IF(ISNUMBER(235:235), COLUMN(235:235)), ISNUMBER(235:235)),
  _xlpm.elos, INDEX(234:234,1,_xlpm.colj),
  _xlpm.diffscale, Constantes!$B$2,
  IF(AI235="",
    "",
    SUM(1/(1+POWER(10,-(AI234-_xlpm.elos)/_xlpm.diffscale)))-0.5)
)</f>
        <v/>
      </c>
      <c r="AJ236" t="str" cm="1">
        <f t="array" ref="AJ236">_xlfn.LET(
  _xlpm.colj, _xlfn._xlws.FILTER(IF(ISNUMBER(235:235), COLUMN(235:235)), ISNUMBER(235:235)),
  _xlpm.elos, INDEX(234:234,1,_xlpm.colj),
  _xlpm.diffscale, Constantes!$B$2,
  IF(AJ235="",
    "",
    SUM(1/(1+POWER(10,-(AJ234-_xlpm.elos)/_xlpm.diffscale)))-0.5)
)</f>
        <v/>
      </c>
      <c r="AK236" t="str" cm="1">
        <f t="array" ref="AK236">_xlfn.LET(
  _xlpm.colj, _xlfn._xlws.FILTER(IF(ISNUMBER(235:235), COLUMN(235:235)), ISNUMBER(235:235)),
  _xlpm.elos, INDEX(234:234,1,_xlpm.colj),
  _xlpm.diffscale, Constantes!$B$2,
  IF(AK235="",
    "",
    SUM(1/(1+POWER(10,-(AK234-_xlpm.elos)/_xlpm.diffscale)))-0.5)
)</f>
        <v/>
      </c>
      <c r="AL236" t="str" cm="1">
        <f t="array" ref="AL236">_xlfn.LET(
  _xlpm.colj, _xlfn._xlws.FILTER(IF(ISNUMBER(235:235), COLUMN(235:235)), ISNUMBER(235:235)),
  _xlpm.elos, INDEX(234:234,1,_xlpm.colj),
  _xlpm.diffscale, Constantes!$B$2,
  IF(AL235="",
    "",
    SUM(1/(1+POWER(10,-(AL234-_xlpm.elos)/_xlpm.diffscale)))-0.5)
)</f>
        <v/>
      </c>
      <c r="AM236" t="str" cm="1">
        <f t="array" ref="AM236">_xlfn.LET(
  _xlpm.colj, _xlfn._xlws.FILTER(IF(ISNUMBER(235:235), COLUMN(235:235)), ISNUMBER(235:235)),
  _xlpm.elos, INDEX(234:234,1,_xlpm.colj),
  _xlpm.diffscale, Constantes!$B$2,
  IF(AM235="",
    "",
    SUM(1/(1+POWER(10,-(AM234-_xlpm.elos)/_xlpm.diffscale)))-0.5)
)</f>
        <v/>
      </c>
    </row>
    <row r="237" spans="1:39" x14ac:dyDescent="0.25">
      <c r="A237" t="s">
        <v>22</v>
      </c>
      <c r="D237" t="str" cm="1">
        <f t="array" ref="D237">_xlfn.LET(
  _xlpm.K, Constantes!$B$3,
  _xlpm.Knewgain, Constantes!$B$4,
  _xlpm.Knewscale, Constantes!$B$5,
  _xlpm.ptstables, INDEX(D:D, _xlfn.SEQUENCE(COUNTA($C$2:$C237), 1, 3, 4)),
  _xlpm.nbparties, COUNTA(_xlfn._xlws.FILTER(_xlpm.ptstables, _xlpm.ptstables &lt;&gt; "")),
  _xlpm.coef, _xlpm.K + _xlpm.Knewgain / (_xlpm.Knewscale + _xlpm.nbparties),
  IF(D235="",
    "",
    _xlpm.coef * (D235-D236))
)</f>
        <v/>
      </c>
      <c r="E237" t="str" cm="1">
        <f t="array" ref="E237">_xlfn.LET(
  _xlpm.K, Constantes!$B$3,
  _xlpm.Knewgain, Constantes!$B$4,
  _xlpm.Knewscale, Constantes!$B$5,
  _xlpm.ptstables, INDEX(E:E, _xlfn.SEQUENCE(COUNTA($C$2:$C237), 1, 3, 4)),
  _xlpm.nbparties, COUNTA(_xlfn._xlws.FILTER(_xlpm.ptstables, _xlpm.ptstables &lt;&gt; "")),
  _xlpm.coef, _xlpm.K + _xlpm.Knewgain / (_xlpm.Knewscale + _xlpm.nbparties),
  IF(E235="",
    "",
    _xlpm.coef * (E235-E236))
)</f>
        <v/>
      </c>
      <c r="F237" t="str" cm="1">
        <f t="array" ref="F237">_xlfn.LET(
  _xlpm.K, Constantes!$B$3,
  _xlpm.Knewgain, Constantes!$B$4,
  _xlpm.Knewscale, Constantes!$B$5,
  _xlpm.ptstables, INDEX(F:F, _xlfn.SEQUENCE(COUNTA($C$2:$C237), 1, 3, 4)),
  _xlpm.nbparties, COUNTA(_xlfn._xlws.FILTER(_xlpm.ptstables, _xlpm.ptstables &lt;&gt; "")),
  _xlpm.coef, _xlpm.K + _xlpm.Knewgain / (_xlpm.Knewscale + _xlpm.nbparties),
  IF(F235="",
    "",
    _xlpm.coef * (F235-F236))
)</f>
        <v/>
      </c>
      <c r="G237" t="str" cm="1">
        <f t="array" ref="G237">_xlfn.LET(
  _xlpm.K, Constantes!$B$3,
  _xlpm.Knewgain, Constantes!$B$4,
  _xlpm.Knewscale, Constantes!$B$5,
  _xlpm.ptstables, INDEX(G:G, _xlfn.SEQUENCE(COUNTA($C$2:$C237), 1, 3, 4)),
  _xlpm.nbparties, COUNTA(_xlfn._xlws.FILTER(_xlpm.ptstables, _xlpm.ptstables &lt;&gt; "")),
  _xlpm.coef, _xlpm.K + _xlpm.Knewgain / (_xlpm.Knewscale + _xlpm.nbparties),
  IF(G235="",
    "",
    _xlpm.coef * (G235-G236))
)</f>
        <v/>
      </c>
      <c r="H237" t="str" cm="1">
        <f t="array" ref="H237">_xlfn.LET(
  _xlpm.K, Constantes!$B$3,
  _xlpm.Knewgain, Constantes!$B$4,
  _xlpm.Knewscale, Constantes!$B$5,
  _xlpm.ptstables, INDEX(H:H, _xlfn.SEQUENCE(COUNTA($C$2:$C237), 1, 3, 4)),
  _xlpm.nbparties, COUNTA(_xlfn._xlws.FILTER(_xlpm.ptstables, _xlpm.ptstables &lt;&gt; "")),
  _xlpm.coef, _xlpm.K + _xlpm.Knewgain / (_xlpm.Knewscale + _xlpm.nbparties),
  IF(H235="",
    "",
    _xlpm.coef * (H235-H236))
)</f>
        <v/>
      </c>
      <c r="I237" t="str" cm="1">
        <f t="array" ref="I237">_xlfn.LET(
  _xlpm.K, Constantes!$B$3,
  _xlpm.Knewgain, Constantes!$B$4,
  _xlpm.Knewscale, Constantes!$B$5,
  _xlpm.ptstables, INDEX(I:I, _xlfn.SEQUENCE(COUNTA($C$2:$C237), 1, 3, 4)),
  _xlpm.nbparties, COUNTA(_xlfn._xlws.FILTER(_xlpm.ptstables, _xlpm.ptstables &lt;&gt; "")),
  _xlpm.coef, _xlpm.K + _xlpm.Knewgain / (_xlpm.Knewscale + _xlpm.nbparties),
  IF(I235="",
    "",
    _xlpm.coef * (I235-I236))
)</f>
        <v/>
      </c>
      <c r="J237" cm="1">
        <f t="array" ref="J237">_xlfn.LET(
  _xlpm.K, Constantes!$B$3,
  _xlpm.Knewgain, Constantes!$B$4,
  _xlpm.Knewscale, Constantes!$B$5,
  _xlpm.ptstables, INDEX(J:J, _xlfn.SEQUENCE(COUNTA($C$2:$C237), 1, 3, 4)),
  _xlpm.nbparties, COUNTA(_xlfn._xlws.FILTER(_xlpm.ptstables, _xlpm.ptstables &lt;&gt; "")),
  _xlpm.coef, _xlpm.K + _xlpm.Knewgain / (_xlpm.Knewscale + _xlpm.nbparties),
  IF(J235="",
    "",
    _xlpm.coef * (J235-J236))
)</f>
        <v>26.737713264466567</v>
      </c>
      <c r="K237" t="str" cm="1">
        <f t="array" ref="K237">_xlfn.LET(
  _xlpm.K, Constantes!$B$3,
  _xlpm.Knewgain, Constantes!$B$4,
  _xlpm.Knewscale, Constantes!$B$5,
  _xlpm.ptstables, INDEX(K:K, _xlfn.SEQUENCE(COUNTA($C$2:$C237), 1, 3, 4)),
  _xlpm.nbparties, COUNTA(_xlfn._xlws.FILTER(_xlpm.ptstables, _xlpm.ptstables &lt;&gt; "")),
  _xlpm.coef, _xlpm.K + _xlpm.Knewgain / (_xlpm.Knewscale + _xlpm.nbparties),
  IF(K235="",
    "",
    _xlpm.coef * (K235-K236))
)</f>
        <v/>
      </c>
      <c r="L237" t="str" cm="1">
        <f t="array" ref="L237">_xlfn.LET(
  _xlpm.K, Constantes!$B$3,
  _xlpm.Knewgain, Constantes!$B$4,
  _xlpm.Knewscale, Constantes!$B$5,
  _xlpm.ptstables, INDEX(L:L, _xlfn.SEQUENCE(COUNTA($C$2:$C237), 1, 3, 4)),
  _xlpm.nbparties, COUNTA(_xlfn._xlws.FILTER(_xlpm.ptstables, _xlpm.ptstables &lt;&gt; "")),
  _xlpm.coef, _xlpm.K + _xlpm.Knewgain / (_xlpm.Knewscale + _xlpm.nbparties),
  IF(L235="",
    "",
    _xlpm.coef * (L235-L236))
)</f>
        <v/>
      </c>
      <c r="M237" t="str" cm="1">
        <f t="array" ref="M237">_xlfn.LET(
  _xlpm.K, Constantes!$B$3,
  _xlpm.Knewgain, Constantes!$B$4,
  _xlpm.Knewscale, Constantes!$B$5,
  _xlpm.ptstables, INDEX(M:M, _xlfn.SEQUENCE(COUNTA($C$2:$C237), 1, 3, 4)),
  _xlpm.nbparties, COUNTA(_xlfn._xlws.FILTER(_xlpm.ptstables, _xlpm.ptstables &lt;&gt; "")),
  _xlpm.coef, _xlpm.K + _xlpm.Knewgain / (_xlpm.Knewscale + _xlpm.nbparties),
  IF(M235="",
    "",
    _xlpm.coef * (M235-M236))
)</f>
        <v/>
      </c>
      <c r="N237" t="str" cm="1">
        <f t="array" ref="N237">_xlfn.LET(
  _xlpm.K, Constantes!$B$3,
  _xlpm.Knewgain, Constantes!$B$4,
  _xlpm.Knewscale, Constantes!$B$5,
  _xlpm.ptstables, INDEX(N:N, _xlfn.SEQUENCE(COUNTA($C$2:$C237), 1, 3, 4)),
  _xlpm.nbparties, COUNTA(_xlfn._xlws.FILTER(_xlpm.ptstables, _xlpm.ptstables &lt;&gt; "")),
  _xlpm.coef, _xlpm.K + _xlpm.Knewgain / (_xlpm.Knewscale + _xlpm.nbparties),
  IF(N235="",
    "",
    _xlpm.coef * (N235-N236))
)</f>
        <v/>
      </c>
      <c r="O237" t="str" cm="1">
        <f t="array" ref="O237">_xlfn.LET(
  _xlpm.K, Constantes!$B$3,
  _xlpm.Knewgain, Constantes!$B$4,
  _xlpm.Knewscale, Constantes!$B$5,
  _xlpm.ptstables, INDEX(O:O, _xlfn.SEQUENCE(COUNTA($C$2:$C237), 1, 3, 4)),
  _xlpm.nbparties, COUNTA(_xlfn._xlws.FILTER(_xlpm.ptstables, _xlpm.ptstables &lt;&gt; "")),
  _xlpm.coef, _xlpm.K + _xlpm.Knewgain / (_xlpm.Knewscale + _xlpm.nbparties),
  IF(O235="",
    "",
    _xlpm.coef * (O235-O236))
)</f>
        <v/>
      </c>
      <c r="P237" t="str" cm="1">
        <f t="array" ref="P237">_xlfn.LET(
  _xlpm.K, Constantes!$B$3,
  _xlpm.Knewgain, Constantes!$B$4,
  _xlpm.Knewscale, Constantes!$B$5,
  _xlpm.ptstables, INDEX(P:P, _xlfn.SEQUENCE(COUNTA($C$2:$C237), 1, 3, 4)),
  _xlpm.nbparties, COUNTA(_xlfn._xlws.FILTER(_xlpm.ptstables, _xlpm.ptstables &lt;&gt; "")),
  _xlpm.coef, _xlpm.K + _xlpm.Knewgain / (_xlpm.Knewscale + _xlpm.nbparties),
  IF(P235="",
    "",
    _xlpm.coef * (P235-P236))
)</f>
        <v/>
      </c>
      <c r="Q237" t="str" cm="1">
        <f t="array" ref="Q237">_xlfn.LET(
  _xlpm.K, Constantes!$B$3,
  _xlpm.Knewgain, Constantes!$B$4,
  _xlpm.Knewscale, Constantes!$B$5,
  _xlpm.ptstables, INDEX(Q:Q, _xlfn.SEQUENCE(COUNTA($C$2:$C237), 1, 3, 4)),
  _xlpm.nbparties, COUNTA(_xlfn._xlws.FILTER(_xlpm.ptstables, _xlpm.ptstables &lt;&gt; "")),
  _xlpm.coef, _xlpm.K + _xlpm.Knewgain / (_xlpm.Knewscale + _xlpm.nbparties),
  IF(Q235="",
    "",
    _xlpm.coef * (Q235-Q236))
)</f>
        <v/>
      </c>
      <c r="R237" t="str" cm="1">
        <f t="array" ref="R237">_xlfn.LET(
  _xlpm.K, Constantes!$B$3,
  _xlpm.Knewgain, Constantes!$B$4,
  _xlpm.Knewscale, Constantes!$B$5,
  _xlpm.ptstables, INDEX(R:R, _xlfn.SEQUENCE(COUNTA($C$2:$C237), 1, 3, 4)),
  _xlpm.nbparties, COUNTA(_xlfn._xlws.FILTER(_xlpm.ptstables, _xlpm.ptstables &lt;&gt; "")),
  _xlpm.coef, _xlpm.K + _xlpm.Knewgain / (_xlpm.Knewscale + _xlpm.nbparties),
  IF(R235="",
    "",
    _xlpm.coef * (R235-R236))
)</f>
        <v/>
      </c>
      <c r="S237" t="str" cm="1">
        <f t="array" ref="S237">_xlfn.LET(
  _xlpm.K, Constantes!$B$3,
  _xlpm.Knewgain, Constantes!$B$4,
  _xlpm.Knewscale, Constantes!$B$5,
  _xlpm.ptstables, INDEX(S:S, _xlfn.SEQUENCE(COUNTA($C$2:$C237), 1, 3, 4)),
  _xlpm.nbparties, COUNTA(_xlfn._xlws.FILTER(_xlpm.ptstables, _xlpm.ptstables &lt;&gt; "")),
  _xlpm.coef, _xlpm.K + _xlpm.Knewgain / (_xlpm.Knewscale + _xlpm.nbparties),
  IF(S235="",
    "",
    _xlpm.coef * (S235-S236))
)</f>
        <v/>
      </c>
      <c r="T237" t="str" cm="1">
        <f t="array" ref="T237">_xlfn.LET(
  _xlpm.K, Constantes!$B$3,
  _xlpm.Knewgain, Constantes!$B$4,
  _xlpm.Knewscale, Constantes!$B$5,
  _xlpm.ptstables, INDEX(T:T, _xlfn.SEQUENCE(COUNTA($C$2:$C237), 1, 3, 4)),
  _xlpm.nbparties, COUNTA(_xlfn._xlws.FILTER(_xlpm.ptstables, _xlpm.ptstables &lt;&gt; "")),
  _xlpm.coef, _xlpm.K + _xlpm.Knewgain / (_xlpm.Knewscale + _xlpm.nbparties),
  IF(T235="",
    "",
    _xlpm.coef * (T235-T236))
)</f>
        <v/>
      </c>
      <c r="U237" t="str" cm="1">
        <f t="array" ref="U237">_xlfn.LET(
  _xlpm.K, Constantes!$B$3,
  _xlpm.Knewgain, Constantes!$B$4,
  _xlpm.Knewscale, Constantes!$B$5,
  _xlpm.ptstables, INDEX(U:U, _xlfn.SEQUENCE(COUNTA($C$2:$C237), 1, 3, 4)),
  _xlpm.nbparties, COUNTA(_xlfn._xlws.FILTER(_xlpm.ptstables, _xlpm.ptstables &lt;&gt; "")),
  _xlpm.coef, _xlpm.K + _xlpm.Knewgain / (_xlpm.Knewscale + _xlpm.nbparties),
  IF(U235="",
    "",
    _xlpm.coef * (U235-U236))
)</f>
        <v/>
      </c>
      <c r="V237" t="str" cm="1">
        <f t="array" ref="V237">_xlfn.LET(
  _xlpm.K, Constantes!$B$3,
  _xlpm.Knewgain, Constantes!$B$4,
  _xlpm.Knewscale, Constantes!$B$5,
  _xlpm.ptstables, INDEX(V:V, _xlfn.SEQUENCE(COUNTA($C$2:$C237), 1, 3, 4)),
  _xlpm.nbparties, COUNTA(_xlfn._xlws.FILTER(_xlpm.ptstables, _xlpm.ptstables &lt;&gt; "")),
  _xlpm.coef, _xlpm.K + _xlpm.Knewgain / (_xlpm.Knewscale + _xlpm.nbparties),
  IF(V235="",
    "",
    _xlpm.coef * (V235-V236))
)</f>
        <v/>
      </c>
      <c r="W237" t="str" cm="1">
        <f t="array" ref="W237">_xlfn.LET(
  _xlpm.K, Constantes!$B$3,
  _xlpm.Knewgain, Constantes!$B$4,
  _xlpm.Knewscale, Constantes!$B$5,
  _xlpm.ptstables, INDEX(W:W, _xlfn.SEQUENCE(COUNTA($C$2:$C237), 1, 3, 4)),
  _xlpm.nbparties, COUNTA(_xlfn._xlws.FILTER(_xlpm.ptstables, _xlpm.ptstables &lt;&gt; "")),
  _xlpm.coef, _xlpm.K + _xlpm.Knewgain / (_xlpm.Knewscale + _xlpm.nbparties),
  IF(W235="",
    "",
    _xlpm.coef * (W235-W236))
)</f>
        <v/>
      </c>
      <c r="X237" t="str" cm="1">
        <f t="array" ref="X237">_xlfn.LET(
  _xlpm.K, Constantes!$B$3,
  _xlpm.Knewgain, Constantes!$B$4,
  _xlpm.Knewscale, Constantes!$B$5,
  _xlpm.ptstables, INDEX(X:X, _xlfn.SEQUENCE(COUNTA($C$2:$C237), 1, 3, 4)),
  _xlpm.nbparties, COUNTA(_xlfn._xlws.FILTER(_xlpm.ptstables, _xlpm.ptstables &lt;&gt; "")),
  _xlpm.coef, _xlpm.K + _xlpm.Knewgain / (_xlpm.Knewscale + _xlpm.nbparties),
  IF(X235="",
    "",
    _xlpm.coef * (X235-X236))
)</f>
        <v/>
      </c>
      <c r="Y237" t="str" cm="1">
        <f t="array" ref="Y237">_xlfn.LET(
  _xlpm.K, Constantes!$B$3,
  _xlpm.Knewgain, Constantes!$B$4,
  _xlpm.Knewscale, Constantes!$B$5,
  _xlpm.ptstables, INDEX(Y:Y, _xlfn.SEQUENCE(COUNTA($C$2:$C237), 1, 3, 4)),
  _xlpm.nbparties, COUNTA(_xlfn._xlws.FILTER(_xlpm.ptstables, _xlpm.ptstables &lt;&gt; "")),
  _xlpm.coef, _xlpm.K + _xlpm.Knewgain / (_xlpm.Knewscale + _xlpm.nbparties),
  IF(Y235="",
    "",
    _xlpm.coef * (Y235-Y236))
)</f>
        <v/>
      </c>
      <c r="Z237" t="str" cm="1">
        <f t="array" ref="Z237">_xlfn.LET(
  _xlpm.K, Constantes!$B$3,
  _xlpm.Knewgain, Constantes!$B$4,
  _xlpm.Knewscale, Constantes!$B$5,
  _xlpm.ptstables, INDEX(Z:Z, _xlfn.SEQUENCE(COUNTA($C$2:$C237), 1, 3, 4)),
  _xlpm.nbparties, COUNTA(_xlfn._xlws.FILTER(_xlpm.ptstables, _xlpm.ptstables &lt;&gt; "")),
  _xlpm.coef, _xlpm.K + _xlpm.Knewgain / (_xlpm.Knewscale + _xlpm.nbparties),
  IF(Z235="",
    "",
    _xlpm.coef * (Z235-Z236))
)</f>
        <v/>
      </c>
      <c r="AA237" t="str" cm="1">
        <f t="array" ref="AA237">_xlfn.LET(
  _xlpm.K, Constantes!$B$3,
  _xlpm.Knewgain, Constantes!$B$4,
  _xlpm.Knewscale, Constantes!$B$5,
  _xlpm.ptstables, INDEX(AA:AA, _xlfn.SEQUENCE(COUNTA($C$2:$C237), 1, 3, 4)),
  _xlpm.nbparties, COUNTA(_xlfn._xlws.FILTER(_xlpm.ptstables, _xlpm.ptstables &lt;&gt; "")),
  _xlpm.coef, _xlpm.K + _xlpm.Knewgain / (_xlpm.Knewscale + _xlpm.nbparties),
  IF(AA235="",
    "",
    _xlpm.coef * (AA235-AA236))
)</f>
        <v/>
      </c>
      <c r="AB237" t="str" cm="1">
        <f t="array" ref="AB237">_xlfn.LET(
  _xlpm.K, Constantes!$B$3,
  _xlpm.Knewgain, Constantes!$B$4,
  _xlpm.Knewscale, Constantes!$B$5,
  _xlpm.ptstables, INDEX(AB:AB, _xlfn.SEQUENCE(COUNTA($C$2:$C237), 1, 3, 4)),
  _xlpm.nbparties, COUNTA(_xlfn._xlws.FILTER(_xlpm.ptstables, _xlpm.ptstables &lt;&gt; "")),
  _xlpm.coef, _xlpm.K + _xlpm.Knewgain / (_xlpm.Knewscale + _xlpm.nbparties),
  IF(AB235="",
    "",
    _xlpm.coef * (AB235-AB236))
)</f>
        <v/>
      </c>
      <c r="AC237" t="str" cm="1">
        <f t="array" ref="AC237">_xlfn.LET(
  _xlpm.K, Constantes!$B$3,
  _xlpm.Knewgain, Constantes!$B$4,
  _xlpm.Knewscale, Constantes!$B$5,
  _xlpm.ptstables, INDEX(AC:AC, _xlfn.SEQUENCE(COUNTA($C$2:$C237), 1, 3, 4)),
  _xlpm.nbparties, COUNTA(_xlfn._xlws.FILTER(_xlpm.ptstables, _xlpm.ptstables &lt;&gt; "")),
  _xlpm.coef, _xlpm.K + _xlpm.Knewgain / (_xlpm.Knewscale + _xlpm.nbparties),
  IF(AC235="",
    "",
    _xlpm.coef * (AC235-AC236))
)</f>
        <v/>
      </c>
      <c r="AD237" t="str" cm="1">
        <f t="array" ref="AD237">_xlfn.LET(
  _xlpm.K, Constantes!$B$3,
  _xlpm.Knewgain, Constantes!$B$4,
  _xlpm.Knewscale, Constantes!$B$5,
  _xlpm.ptstables, INDEX(AD:AD, _xlfn.SEQUENCE(COUNTA($C$2:$C237), 1, 3, 4)),
  _xlpm.nbparties, COUNTA(_xlfn._xlws.FILTER(_xlpm.ptstables, _xlpm.ptstables &lt;&gt; "")),
  _xlpm.coef, _xlpm.K + _xlpm.Knewgain / (_xlpm.Knewscale + _xlpm.nbparties),
  IF(AD235="",
    "",
    _xlpm.coef * (AD235-AD236))
)</f>
        <v/>
      </c>
      <c r="AE237" cm="1">
        <f t="array" ref="AE237">_xlfn.LET(
  _xlpm.K, Constantes!$B$3,
  _xlpm.Knewgain, Constantes!$B$4,
  _xlpm.Knewscale, Constantes!$B$5,
  _xlpm.ptstables, INDEX(AE:AE, _xlfn.SEQUENCE(COUNTA($C$2:$C237), 1, 3, 4)),
  _xlpm.nbparties, COUNTA(_xlfn._xlws.FILTER(_xlpm.ptstables, _xlpm.ptstables &lt;&gt; "")),
  _xlpm.coef, _xlpm.K + _xlpm.Knewgain / (_xlpm.Knewscale + _xlpm.nbparties),
  IF(AE235="",
    "",
    _xlpm.coef * (AE235-AE236))
)</f>
        <v>-26.551494107628891</v>
      </c>
      <c r="AF237" cm="1">
        <f t="array" ref="AF237">_xlfn.LET(
  _xlpm.K, Constantes!$B$3,
  _xlpm.Knewgain, Constantes!$B$4,
  _xlpm.Knewscale, Constantes!$B$5,
  _xlpm.ptstables, INDEX(AF:AF, _xlfn.SEQUENCE(COUNTA($C$2:$C237), 1, 3, 4)),
  _xlpm.nbparties, COUNTA(_xlfn._xlws.FILTER(_xlpm.ptstables, _xlpm.ptstables &lt;&gt; "")),
  _xlpm.coef, _xlpm.K + _xlpm.Knewgain / (_xlpm.Knewscale + _xlpm.nbparties),
  IF(AF235="",
    "",
    _xlpm.coef * (AF235-AF236))
)</f>
        <v>58.421539186312096</v>
      </c>
      <c r="AG237" cm="1">
        <f t="array" ref="AG237">_xlfn.LET(
  _xlpm.K, Constantes!$B$3,
  _xlpm.Knewgain, Constantes!$B$4,
  _xlpm.Knewscale, Constantes!$B$5,
  _xlpm.ptstables, INDEX(AG:AG, _xlfn.SEQUENCE(COUNTA($C$2:$C237), 1, 3, 4)),
  _xlpm.nbparties, COUNTA(_xlfn._xlws.FILTER(_xlpm.ptstables, _xlpm.ptstables &lt;&gt; "")),
  _xlpm.coef, _xlpm.K + _xlpm.Knewgain / (_xlpm.Knewscale + _xlpm.nbparties),
  IF(AG235="",
    "",
    _xlpm.coef * (AG235-AG236))
)</f>
        <v>-68.891494214098472</v>
      </c>
      <c r="AH237" t="str" cm="1">
        <f t="array" ref="AH237">_xlfn.LET(
  _xlpm.K, Constantes!$B$3,
  _xlpm.Knewgain, Constantes!$B$4,
  _xlpm.Knewscale, Constantes!$B$5,
  _xlpm.ptstables, INDEX(AH:AH, _xlfn.SEQUENCE(COUNTA($C$2:$C237), 1, 3, 4)),
  _xlpm.nbparties, COUNTA(_xlfn._xlws.FILTER(_xlpm.ptstables, _xlpm.ptstables &lt;&gt; "")),
  _xlpm.coef, _xlpm.K + _xlpm.Knewgain / (_xlpm.Knewscale + _xlpm.nbparties),
  IF(AH235="",
    "",
    _xlpm.coef * (AH235-AH236))
)</f>
        <v/>
      </c>
      <c r="AI237" t="str" cm="1">
        <f t="array" ref="AI237">_xlfn.LET(
  _xlpm.K, Constantes!$B$3,
  _xlpm.Knewgain, Constantes!$B$4,
  _xlpm.Knewscale, Constantes!$B$5,
  _xlpm.ptstables, INDEX(AI:AI, _xlfn.SEQUENCE(COUNTA($C$2:$C237), 1, 3, 4)),
  _xlpm.nbparties, COUNTA(_xlfn._xlws.FILTER(_xlpm.ptstables, _xlpm.ptstables &lt;&gt; "")),
  _xlpm.coef, _xlpm.K + _xlpm.Knewgain / (_xlpm.Knewscale + _xlpm.nbparties),
  IF(AI235="",
    "",
    _xlpm.coef * (AI235-AI236))
)</f>
        <v/>
      </c>
      <c r="AJ237" t="str" cm="1">
        <f t="array" ref="AJ237">_xlfn.LET(
  _xlpm.K, Constantes!$B$3,
  _xlpm.Knewgain, Constantes!$B$4,
  _xlpm.Knewscale, Constantes!$B$5,
  _xlpm.ptstables, INDEX(AJ:AJ, _xlfn.SEQUENCE(COUNTA($C$2:$C237), 1, 3, 4)),
  _xlpm.nbparties, COUNTA(_xlfn._xlws.FILTER(_xlpm.ptstables, _xlpm.ptstables &lt;&gt; "")),
  _xlpm.coef, _xlpm.K + _xlpm.Knewgain / (_xlpm.Knewscale + _xlpm.nbparties),
  IF(AJ235="",
    "",
    _xlpm.coef * (AJ235-AJ236))
)</f>
        <v/>
      </c>
      <c r="AK237" t="str" cm="1">
        <f t="array" ref="AK237">_xlfn.LET(
  _xlpm.K, Constantes!$B$3,
  _xlpm.Knewgain, Constantes!$B$4,
  _xlpm.Knewscale, Constantes!$B$5,
  _xlpm.ptstables, INDEX(AK:AK, _xlfn.SEQUENCE(COUNTA($C$2:$C237), 1, 3, 4)),
  _xlpm.nbparties, COUNTA(_xlfn._xlws.FILTER(_xlpm.ptstables, _xlpm.ptstables &lt;&gt; "")),
  _xlpm.coef, _xlpm.K + _xlpm.Knewgain / (_xlpm.Knewscale + _xlpm.nbparties),
  IF(AK235="",
    "",
    _xlpm.coef * (AK235-AK236))
)</f>
        <v/>
      </c>
      <c r="AL237" t="str" cm="1">
        <f t="array" ref="AL237">_xlfn.LET(
  _xlpm.K, Constantes!$B$3,
  _xlpm.Knewgain, Constantes!$B$4,
  _xlpm.Knewscale, Constantes!$B$5,
  _xlpm.ptstables, INDEX(AL:AL, _xlfn.SEQUENCE(COUNTA($C$2:$C237), 1, 3, 4)),
  _xlpm.nbparties, COUNTA(_xlfn._xlws.FILTER(_xlpm.ptstables, _xlpm.ptstables &lt;&gt; "")),
  _xlpm.coef, _xlpm.K + _xlpm.Knewgain / (_xlpm.Knewscale + _xlpm.nbparties),
  IF(AL235="",
    "",
    _xlpm.coef * (AL235-AL236))
)</f>
        <v/>
      </c>
      <c r="AM237" t="str" cm="1">
        <f t="array" ref="AM237">_xlfn.LET(
  _xlpm.K, Constantes!$B$3,
  _xlpm.Knewgain, Constantes!$B$4,
  _xlpm.Knewscale, Constantes!$B$5,
  _xlpm.ptstables, INDEX(AM:AM, _xlfn.SEQUENCE(COUNTA($C$2:$C237), 1, 3, 4)),
  _xlpm.nbparties, COUNTA(_xlfn._xlws.FILTER(_xlpm.ptstables, _xlpm.ptstables &lt;&gt; "")),
  _xlpm.coef, _xlpm.K + _xlpm.Knewgain / (_xlpm.Knewscale + _xlpm.nbparties),
  IF(AM235="",
    "",
    _xlpm.coef * (AM235-AM236))
)</f>
        <v/>
      </c>
    </row>
    <row r="238" spans="1:39" x14ac:dyDescent="0.25">
      <c r="A238" t="s">
        <v>14</v>
      </c>
      <c r="B238" t="str" cm="1">
        <f t="array" ref="B23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61</v>
      </c>
      <c r="C238" s="2" cm="1">
        <f t="array" ref="C238">IF(B238="","",
  INDEX(Donnees!F:F, MATCH(B238, Donnees!F:F, 0)+1))</f>
        <v>45939.871932870374</v>
      </c>
      <c r="D238">
        <f t="shared" ref="D238:AM238" si="67">D234+IF(D237="",0,D237)</f>
        <v>1080.5073798720127</v>
      </c>
      <c r="E238">
        <f t="shared" si="67"/>
        <v>1150.8581509866578</v>
      </c>
      <c r="F238">
        <f t="shared" si="67"/>
        <v>840.07622072834204</v>
      </c>
      <c r="G238">
        <f t="shared" si="67"/>
        <v>1057.7305578219223</v>
      </c>
      <c r="H238">
        <f t="shared" si="67"/>
        <v>1041.4828877801035</v>
      </c>
      <c r="I238">
        <f t="shared" si="67"/>
        <v>960.57774210047694</v>
      </c>
      <c r="J238">
        <f t="shared" si="67"/>
        <v>965.23205142925622</v>
      </c>
      <c r="K238">
        <f t="shared" si="67"/>
        <v>957.39471433630956</v>
      </c>
      <c r="L238">
        <f t="shared" si="67"/>
        <v>766.95119884458973</v>
      </c>
      <c r="M238">
        <f t="shared" si="67"/>
        <v>913.41986361738122</v>
      </c>
      <c r="N238">
        <f t="shared" si="67"/>
        <v>905.23376280700177</v>
      </c>
      <c r="O238">
        <f t="shared" si="67"/>
        <v>980.22411339123312</v>
      </c>
      <c r="P238">
        <f t="shared" si="67"/>
        <v>1044.694691960626</v>
      </c>
      <c r="Q238">
        <f t="shared" si="67"/>
        <v>1098.253416720549</v>
      </c>
      <c r="R238">
        <f t="shared" si="67"/>
        <v>1080.636938748263</v>
      </c>
      <c r="S238">
        <f t="shared" si="67"/>
        <v>912.90205356391152</v>
      </c>
      <c r="T238">
        <f t="shared" si="67"/>
        <v>1135.2782658680615</v>
      </c>
      <c r="U238">
        <f t="shared" si="67"/>
        <v>1132.5303773979422</v>
      </c>
      <c r="V238">
        <f t="shared" si="67"/>
        <v>983.1120575372413</v>
      </c>
      <c r="W238">
        <f t="shared" si="67"/>
        <v>936.79085942937002</v>
      </c>
      <c r="X238">
        <f t="shared" si="67"/>
        <v>814.38475747458392</v>
      </c>
      <c r="Y238">
        <f t="shared" si="67"/>
        <v>959.91987155343315</v>
      </c>
      <c r="Z238">
        <f t="shared" si="67"/>
        <v>991.11904139672549</v>
      </c>
      <c r="AA238">
        <f t="shared" si="67"/>
        <v>953.20431206972398</v>
      </c>
      <c r="AB238">
        <f t="shared" si="67"/>
        <v>988.35669729544747</v>
      </c>
      <c r="AC238">
        <f t="shared" si="67"/>
        <v>1076.3060024316972</v>
      </c>
      <c r="AD238">
        <f t="shared" si="67"/>
        <v>1073.9096023401294</v>
      </c>
      <c r="AE238">
        <f t="shared" si="67"/>
        <v>984.86350589237111</v>
      </c>
      <c r="AF238">
        <f t="shared" si="67"/>
        <v>1089.5415391863121</v>
      </c>
      <c r="AG238">
        <f t="shared" si="67"/>
        <v>932.14350578590165</v>
      </c>
      <c r="AH238">
        <f t="shared" si="67"/>
        <v>994.44</v>
      </c>
      <c r="AI238">
        <f t="shared" si="67"/>
        <v>1000</v>
      </c>
      <c r="AJ238">
        <f t="shared" si="67"/>
        <v>957.2</v>
      </c>
      <c r="AK238">
        <f t="shared" si="67"/>
        <v>1000</v>
      </c>
      <c r="AL238">
        <f t="shared" si="67"/>
        <v>1055.9299999999998</v>
      </c>
      <c r="AM238">
        <f t="shared" si="67"/>
        <v>1000</v>
      </c>
    </row>
    <row r="239" spans="1:39" x14ac:dyDescent="0.25">
      <c r="A239" t="s">
        <v>21</v>
      </c>
      <c r="D239" t="str" cm="1">
        <f t="array" ref="D239">IFERROR(
  _xlfn.LET(
    _xlpm.ligpartie, MATCH($B238, Donnees!$F:$F, 0),
    _xlpm.joueurs, INDEX(Donnees!$A:$Z, _xlpm.ligpartie+1, _xlfn.SEQUENCE(1, 4, 2)),
    INDEX(
      Donnees!$A:$Z,
      _xlpm.ligpartie + 3,
      MATCH(D$1, _xlpm.joueurs, 0) + 1
    )
  ), ""
)</f>
        <v/>
      </c>
      <c r="E239" t="str" cm="1">
        <f t="array" ref="E239">IFERROR(
  _xlfn.LET(
    _xlpm.ligpartie, MATCH($B238, Donnees!$F:$F, 0),
    _xlpm.joueurs, INDEX(Donnees!$A:$Z, _xlpm.ligpartie+1, _xlfn.SEQUENCE(1, 4, 2)),
    INDEX(
      Donnees!$A:$Z,
      _xlpm.ligpartie + 3,
      MATCH(E$1, _xlpm.joueurs, 0) + 1
    )
  ), ""
)</f>
        <v/>
      </c>
      <c r="F239" t="str" cm="1">
        <f t="array" ref="F239">IFERROR(
  _xlfn.LET(
    _xlpm.ligpartie, MATCH($B238, Donnees!$F:$F, 0),
    _xlpm.joueurs, INDEX(Donnees!$A:$Z, _xlpm.ligpartie+1, _xlfn.SEQUENCE(1, 4, 2)),
    INDEX(
      Donnees!$A:$Z,
      _xlpm.ligpartie + 3,
      MATCH(F$1, _xlpm.joueurs, 0) + 1
    )
  ), ""
)</f>
        <v/>
      </c>
      <c r="G239" cm="1">
        <f t="array" ref="G239">IFERROR(
  _xlfn.LET(
    _xlpm.ligpartie, MATCH($B238, Donnees!$F:$F, 0),
    _xlpm.joueurs, INDEX(Donnees!$A:$Z, _xlpm.ligpartie+1, _xlfn.SEQUENCE(1, 4, 2)),
    INDEX(
      Donnees!$A:$Z,
      _xlpm.ligpartie + 3,
      MATCH(G$1, _xlpm.joueurs, 0) + 1
    )
  ), ""
)</f>
        <v>3</v>
      </c>
      <c r="H239" t="str" cm="1">
        <f t="array" ref="H239">IFERROR(
  _xlfn.LET(
    _xlpm.ligpartie, MATCH($B238, Donnees!$F:$F, 0),
    _xlpm.joueurs, INDEX(Donnees!$A:$Z, _xlpm.ligpartie+1, _xlfn.SEQUENCE(1, 4, 2)),
    INDEX(
      Donnees!$A:$Z,
      _xlpm.ligpartie + 3,
      MATCH(H$1, _xlpm.joueurs, 0) + 1
    )
  ), ""
)</f>
        <v/>
      </c>
      <c r="I239" t="str" cm="1">
        <f t="array" ref="I239">IFERROR(
  _xlfn.LET(
    _xlpm.ligpartie, MATCH($B238, Donnees!$F:$F, 0),
    _xlpm.joueurs, INDEX(Donnees!$A:$Z, _xlpm.ligpartie+1, _xlfn.SEQUENCE(1, 4, 2)),
    INDEX(
      Donnees!$A:$Z,
      _xlpm.ligpartie + 3,
      MATCH(I$1, _xlpm.joueurs, 0) + 1
    )
  ), ""
)</f>
        <v/>
      </c>
      <c r="J239" t="str" cm="1">
        <f t="array" ref="J239">IFERROR(
  _xlfn.LET(
    _xlpm.ligpartie, MATCH($B238, Donnees!$F:$F, 0),
    _xlpm.joueurs, INDEX(Donnees!$A:$Z, _xlpm.ligpartie+1, _xlfn.SEQUENCE(1, 4, 2)),
    INDEX(
      Donnees!$A:$Z,
      _xlpm.ligpartie + 3,
      MATCH(J$1, _xlpm.joueurs, 0) + 1
    )
  ), ""
)</f>
        <v/>
      </c>
      <c r="K239" t="str" cm="1">
        <f t="array" ref="K239">IFERROR(
  _xlfn.LET(
    _xlpm.ligpartie, MATCH($B238, Donnees!$F:$F, 0),
    _xlpm.joueurs, INDEX(Donnees!$A:$Z, _xlpm.ligpartie+1, _xlfn.SEQUENCE(1, 4, 2)),
    INDEX(
      Donnees!$A:$Z,
      _xlpm.ligpartie + 3,
      MATCH(K$1, _xlpm.joueurs, 0) + 1
    )
  ), ""
)</f>
        <v/>
      </c>
      <c r="L239" t="str" cm="1">
        <f t="array" ref="L239">IFERROR(
  _xlfn.LET(
    _xlpm.ligpartie, MATCH($B238, Donnees!$F:$F, 0),
    _xlpm.joueurs, INDEX(Donnees!$A:$Z, _xlpm.ligpartie+1, _xlfn.SEQUENCE(1, 4, 2)),
    INDEX(
      Donnees!$A:$Z,
      _xlpm.ligpartie + 3,
      MATCH(L$1, _xlpm.joueurs, 0) + 1
    )
  ), ""
)</f>
        <v/>
      </c>
      <c r="M239" t="str" cm="1">
        <f t="array" ref="M239">IFERROR(
  _xlfn.LET(
    _xlpm.ligpartie, MATCH($B238, Donnees!$F:$F, 0),
    _xlpm.joueurs, INDEX(Donnees!$A:$Z, _xlpm.ligpartie+1, _xlfn.SEQUENCE(1, 4, 2)),
    INDEX(
      Donnees!$A:$Z,
      _xlpm.ligpartie + 3,
      MATCH(M$1, _xlpm.joueurs, 0) + 1
    )
  ), ""
)</f>
        <v/>
      </c>
      <c r="N239" t="str" cm="1">
        <f t="array" ref="N239">IFERROR(
  _xlfn.LET(
    _xlpm.ligpartie, MATCH($B238, Donnees!$F:$F, 0),
    _xlpm.joueurs, INDEX(Donnees!$A:$Z, _xlpm.ligpartie+1, _xlfn.SEQUENCE(1, 4, 2)),
    INDEX(
      Donnees!$A:$Z,
      _xlpm.ligpartie + 3,
      MATCH(N$1, _xlpm.joueurs, 0) + 1
    )
  ), ""
)</f>
        <v/>
      </c>
      <c r="O239" t="str" cm="1">
        <f t="array" ref="O239">IFERROR(
  _xlfn.LET(
    _xlpm.ligpartie, MATCH($B238, Donnees!$F:$F, 0),
    _xlpm.joueurs, INDEX(Donnees!$A:$Z, _xlpm.ligpartie+1, _xlfn.SEQUENCE(1, 4, 2)),
    INDEX(
      Donnees!$A:$Z,
      _xlpm.ligpartie + 3,
      MATCH(O$1, _xlpm.joueurs, 0) + 1
    )
  ), ""
)</f>
        <v/>
      </c>
      <c r="P239" t="str" cm="1">
        <f t="array" ref="P239">IFERROR(
  _xlfn.LET(
    _xlpm.ligpartie, MATCH($B238, Donnees!$F:$F, 0),
    _xlpm.joueurs, INDEX(Donnees!$A:$Z, _xlpm.ligpartie+1, _xlfn.SEQUENCE(1, 4, 2)),
    INDEX(
      Donnees!$A:$Z,
      _xlpm.ligpartie + 3,
      MATCH(P$1, _xlpm.joueurs, 0) + 1
    )
  ), ""
)</f>
        <v/>
      </c>
      <c r="Q239" cm="1">
        <f t="array" ref="Q239">IFERROR(
  _xlfn.LET(
    _xlpm.ligpartie, MATCH($B238, Donnees!$F:$F, 0),
    _xlpm.joueurs, INDEX(Donnees!$A:$Z, _xlpm.ligpartie+1, _xlfn.SEQUENCE(1, 4, 2)),
    INDEX(
      Donnees!$A:$Z,
      _xlpm.ligpartie + 3,
      MATCH(Q$1, _xlpm.joueurs, 0) + 1
    )
  ), ""
)</f>
        <v>2</v>
      </c>
      <c r="R239" t="str" cm="1">
        <f t="array" ref="R239">IFERROR(
  _xlfn.LET(
    _xlpm.ligpartie, MATCH($B238, Donnees!$F:$F, 0),
    _xlpm.joueurs, INDEX(Donnees!$A:$Z, _xlpm.ligpartie+1, _xlfn.SEQUENCE(1, 4, 2)),
    INDEX(
      Donnees!$A:$Z,
      _xlpm.ligpartie + 3,
      MATCH(R$1, _xlpm.joueurs, 0) + 1
    )
  ), ""
)</f>
        <v/>
      </c>
      <c r="S239" t="str" cm="1">
        <f t="array" ref="S239">IFERROR(
  _xlfn.LET(
    _xlpm.ligpartie, MATCH($B238, Donnees!$F:$F, 0),
    _xlpm.joueurs, INDEX(Donnees!$A:$Z, _xlpm.ligpartie+1, _xlfn.SEQUENCE(1, 4, 2)),
    INDEX(
      Donnees!$A:$Z,
      _xlpm.ligpartie + 3,
      MATCH(S$1, _xlpm.joueurs, 0) + 1
    )
  ), ""
)</f>
        <v/>
      </c>
      <c r="T239" t="str" cm="1">
        <f t="array" ref="T239">IFERROR(
  _xlfn.LET(
    _xlpm.ligpartie, MATCH($B238, Donnees!$F:$F, 0),
    _xlpm.joueurs, INDEX(Donnees!$A:$Z, _xlpm.ligpartie+1, _xlfn.SEQUENCE(1, 4, 2)),
    INDEX(
      Donnees!$A:$Z,
      _xlpm.ligpartie + 3,
      MATCH(T$1, _xlpm.joueurs, 0) + 1
    )
  ), ""
)</f>
        <v/>
      </c>
      <c r="U239" cm="1">
        <f t="array" ref="U239">IFERROR(
  _xlfn.LET(
    _xlpm.ligpartie, MATCH($B238, Donnees!$F:$F, 0),
    _xlpm.joueurs, INDEX(Donnees!$A:$Z, _xlpm.ligpartie+1, _xlfn.SEQUENCE(1, 4, 2)),
    INDEX(
      Donnees!$A:$Z,
      _xlpm.ligpartie + 3,
      MATCH(U$1, _xlpm.joueurs, 0) + 1
    )
  ), ""
)</f>
        <v>1</v>
      </c>
      <c r="V239" t="str" cm="1">
        <f t="array" ref="V239">IFERROR(
  _xlfn.LET(
    _xlpm.ligpartie, MATCH($B238, Donnees!$F:$F, 0),
    _xlpm.joueurs, INDEX(Donnees!$A:$Z, _xlpm.ligpartie+1, _xlfn.SEQUENCE(1, 4, 2)),
    INDEX(
      Donnees!$A:$Z,
      _xlpm.ligpartie + 3,
      MATCH(V$1, _xlpm.joueurs, 0) + 1
    )
  ), ""
)</f>
        <v/>
      </c>
      <c r="W239" t="str" cm="1">
        <f t="array" ref="W239">IFERROR(
  _xlfn.LET(
    _xlpm.ligpartie, MATCH($B238, Donnees!$F:$F, 0),
    _xlpm.joueurs, INDEX(Donnees!$A:$Z, _xlpm.ligpartie+1, _xlfn.SEQUENCE(1, 4, 2)),
    INDEX(
      Donnees!$A:$Z,
      _xlpm.ligpartie + 3,
      MATCH(W$1, _xlpm.joueurs, 0) + 1
    )
  ), ""
)</f>
        <v/>
      </c>
      <c r="X239" t="str" cm="1">
        <f t="array" ref="X239">IFERROR(
  _xlfn.LET(
    _xlpm.ligpartie, MATCH($B238, Donnees!$F:$F, 0),
    _xlpm.joueurs, INDEX(Donnees!$A:$Z, _xlpm.ligpartie+1, _xlfn.SEQUENCE(1, 4, 2)),
    INDEX(
      Donnees!$A:$Z,
      _xlpm.ligpartie + 3,
      MATCH(X$1, _xlpm.joueurs, 0) + 1
    )
  ), ""
)</f>
        <v/>
      </c>
      <c r="Y239" t="str" cm="1">
        <f t="array" ref="Y239">IFERROR(
  _xlfn.LET(
    _xlpm.ligpartie, MATCH($B238, Donnees!$F:$F, 0),
    _xlpm.joueurs, INDEX(Donnees!$A:$Z, _xlpm.ligpartie+1, _xlfn.SEQUENCE(1, 4, 2)),
    INDEX(
      Donnees!$A:$Z,
      _xlpm.ligpartie + 3,
      MATCH(Y$1, _xlpm.joueurs, 0) + 1
    )
  ), ""
)</f>
        <v/>
      </c>
      <c r="Z239" t="str" cm="1">
        <f t="array" ref="Z239">IFERROR(
  _xlfn.LET(
    _xlpm.ligpartie, MATCH($B238, Donnees!$F:$F, 0),
    _xlpm.joueurs, INDEX(Donnees!$A:$Z, _xlpm.ligpartie+1, _xlfn.SEQUENCE(1, 4, 2)),
    INDEX(
      Donnees!$A:$Z,
      _xlpm.ligpartie + 3,
      MATCH(Z$1, _xlpm.joueurs, 0) + 1
    )
  ), ""
)</f>
        <v/>
      </c>
      <c r="AA239" t="str" cm="1">
        <f t="array" ref="AA239">IFERROR(
  _xlfn.LET(
    _xlpm.ligpartie, MATCH($B238, Donnees!$F:$F, 0),
    _xlpm.joueurs, INDEX(Donnees!$A:$Z, _xlpm.ligpartie+1, _xlfn.SEQUENCE(1, 4, 2)),
    INDEX(
      Donnees!$A:$Z,
      _xlpm.ligpartie + 3,
      MATCH(AA$1, _xlpm.joueurs, 0) + 1
    )
  ), ""
)</f>
        <v/>
      </c>
      <c r="AB239" t="str" cm="1">
        <f t="array" ref="AB239">IFERROR(
  _xlfn.LET(
    _xlpm.ligpartie, MATCH($B238, Donnees!$F:$F, 0),
    _xlpm.joueurs, INDEX(Donnees!$A:$Z, _xlpm.ligpartie+1, _xlfn.SEQUENCE(1, 4, 2)),
    INDEX(
      Donnees!$A:$Z,
      _xlpm.ligpartie + 3,
      MATCH(AB$1, _xlpm.joueurs, 0) + 1
    )
  ), ""
)</f>
        <v/>
      </c>
      <c r="AC239" cm="1">
        <f t="array" ref="AC239">IFERROR(
  _xlfn.LET(
    _xlpm.ligpartie, MATCH($B238, Donnees!$F:$F, 0),
    _xlpm.joueurs, INDEX(Donnees!$A:$Z, _xlpm.ligpartie+1, _xlfn.SEQUENCE(1, 4, 2)),
    INDEX(
      Donnees!$A:$Z,
      _xlpm.ligpartie + 3,
      MATCH(AC$1, _xlpm.joueurs, 0) + 1
    )
  ), ""
)</f>
        <v>0</v>
      </c>
      <c r="AD239" t="str" cm="1">
        <f t="array" ref="AD239">IFERROR(
  _xlfn.LET(
    _xlpm.ligpartie, MATCH($B238, Donnees!$F:$F, 0),
    _xlpm.joueurs, INDEX(Donnees!$A:$Z, _xlpm.ligpartie+1, _xlfn.SEQUENCE(1, 4, 2)),
    INDEX(
      Donnees!$A:$Z,
      _xlpm.ligpartie + 3,
      MATCH(AD$1, _xlpm.joueurs, 0) + 1
    )
  ), ""
)</f>
        <v/>
      </c>
      <c r="AE239" t="str" cm="1">
        <f t="array" ref="AE239">IFERROR(
  _xlfn.LET(
    _xlpm.ligpartie, MATCH($B238, Donnees!$F:$F, 0),
    _xlpm.joueurs, INDEX(Donnees!$A:$Z, _xlpm.ligpartie+1, _xlfn.SEQUENCE(1, 4, 2)),
    INDEX(
      Donnees!$A:$Z,
      _xlpm.ligpartie + 3,
      MATCH(AE$1, _xlpm.joueurs, 0) + 1
    )
  ), ""
)</f>
        <v/>
      </c>
      <c r="AF239" t="str" cm="1">
        <f t="array" ref="AF239">IFERROR(
  _xlfn.LET(
    _xlpm.ligpartie, MATCH($B238, Donnees!$F:$F, 0),
    _xlpm.joueurs, INDEX(Donnees!$A:$Z, _xlpm.ligpartie+1, _xlfn.SEQUENCE(1, 4, 2)),
    INDEX(
      Donnees!$A:$Z,
      _xlpm.ligpartie + 3,
      MATCH(AF$1, _xlpm.joueurs, 0) + 1
    )
  ), ""
)</f>
        <v/>
      </c>
      <c r="AG239" t="str" cm="1">
        <f t="array" ref="AG239">IFERROR(
  _xlfn.LET(
    _xlpm.ligpartie, MATCH($B238, Donnees!$F:$F, 0),
    _xlpm.joueurs, INDEX(Donnees!$A:$Z, _xlpm.ligpartie+1, _xlfn.SEQUENCE(1, 4, 2)),
    INDEX(
      Donnees!$A:$Z,
      _xlpm.ligpartie + 3,
      MATCH(AG$1, _xlpm.joueurs, 0) + 1
    )
  ), ""
)</f>
        <v/>
      </c>
      <c r="AH239" t="str" cm="1">
        <f t="array" ref="AH239">IFERROR(
  _xlfn.LET(
    _xlpm.ligpartie, MATCH($B238, Donnees!$F:$F, 0),
    _xlpm.joueurs, INDEX(Donnees!$A:$Z, _xlpm.ligpartie+1, _xlfn.SEQUENCE(1, 4, 2)),
    INDEX(
      Donnees!$A:$Z,
      _xlpm.ligpartie + 3,
      MATCH(AH$1, _xlpm.joueurs, 0) + 1
    )
  ), ""
)</f>
        <v/>
      </c>
      <c r="AI239" t="str" cm="1">
        <f t="array" ref="AI239">IFERROR(
  _xlfn.LET(
    _xlpm.ligpartie, MATCH($B238, Donnees!$F:$F, 0),
    _xlpm.joueurs, INDEX(Donnees!$A:$Z, _xlpm.ligpartie+1, _xlfn.SEQUENCE(1, 4, 2)),
    INDEX(
      Donnees!$A:$Z,
      _xlpm.ligpartie + 3,
      MATCH(AI$1, _xlpm.joueurs, 0) + 1
    )
  ), ""
)</f>
        <v/>
      </c>
      <c r="AJ239" t="str" cm="1">
        <f t="array" ref="AJ239">IFERROR(
  _xlfn.LET(
    _xlpm.ligpartie, MATCH($B238, Donnees!$F:$F, 0),
    _xlpm.joueurs, INDEX(Donnees!$A:$Z, _xlpm.ligpartie+1, _xlfn.SEQUENCE(1, 4, 2)),
    INDEX(
      Donnees!$A:$Z,
      _xlpm.ligpartie + 3,
      MATCH(AJ$1, _xlpm.joueurs, 0) + 1
    )
  ), ""
)</f>
        <v/>
      </c>
      <c r="AK239" t="str" cm="1">
        <f t="array" ref="AK239">IFERROR(
  _xlfn.LET(
    _xlpm.ligpartie, MATCH($B238, Donnees!$F:$F, 0),
    _xlpm.joueurs, INDEX(Donnees!$A:$Z, _xlpm.ligpartie+1, _xlfn.SEQUENCE(1, 4, 2)),
    INDEX(
      Donnees!$A:$Z,
      _xlpm.ligpartie + 3,
      MATCH(AK$1, _xlpm.joueurs, 0) + 1
    )
  ), ""
)</f>
        <v/>
      </c>
      <c r="AL239" t="str" cm="1">
        <f t="array" ref="AL239">IFERROR(
  _xlfn.LET(
    _xlpm.ligpartie, MATCH($B238, Donnees!$F:$F, 0),
    _xlpm.joueurs, INDEX(Donnees!$A:$Z, _xlpm.ligpartie+1, _xlfn.SEQUENCE(1, 4, 2)),
    INDEX(
      Donnees!$A:$Z,
      _xlpm.ligpartie + 3,
      MATCH(AL$1, _xlpm.joueurs, 0) + 1
    )
  ), ""
)</f>
        <v/>
      </c>
      <c r="AM239" t="str" cm="1">
        <f t="array" ref="AM239">IFERROR(
  _xlfn.LET(
    _xlpm.ligpartie, MATCH($B238, Donnees!$F:$F, 0),
    _xlpm.joueurs, INDEX(Donnees!$A:$Z, _xlpm.ligpartie+1, _xlfn.SEQUENCE(1, 4, 2)),
    INDEX(
      Donnees!$A:$Z,
      _xlpm.ligpartie + 3,
      MATCH(AM$1, _xlpm.joueurs, 0) + 1
    )
  ), ""
)</f>
        <v/>
      </c>
    </row>
    <row r="240" spans="1:39" x14ac:dyDescent="0.25">
      <c r="A240" t="s">
        <v>20</v>
      </c>
      <c r="D240" t="str" cm="1">
        <f t="array" ref="D240">_xlfn.LET(
  _xlpm.colj, _xlfn._xlws.FILTER(IF(ISNUMBER(239:239), COLUMN(239:239)), ISNUMBER(239:239)),
  _xlpm.elos, INDEX(238:238,1,_xlpm.colj),
  _xlpm.diffscale, Constantes!$B$2,
  IF(D239="",
    "",
    SUM(1/(1+POWER(10,-(D238-_xlpm.elos)/_xlpm.diffscale)))-0.5)
)</f>
        <v/>
      </c>
      <c r="E240" t="str" cm="1">
        <f t="array" ref="E240">_xlfn.LET(
  _xlpm.colj, _xlfn._xlws.FILTER(IF(ISNUMBER(239:239), COLUMN(239:239)), ISNUMBER(239:239)),
  _xlpm.elos, INDEX(238:238,1,_xlpm.colj),
  _xlpm.diffscale, Constantes!$B$2,
  IF(E239="",
    "",
    SUM(1/(1+POWER(10,-(E238-_xlpm.elos)/_xlpm.diffscale)))-0.5)
)</f>
        <v/>
      </c>
      <c r="F240" t="str" cm="1">
        <f t="array" ref="F240">_xlfn.LET(
  _xlpm.colj, _xlfn._xlws.FILTER(IF(ISNUMBER(239:239), COLUMN(239:239)), ISNUMBER(239:239)),
  _xlpm.elos, INDEX(238:238,1,_xlpm.colj),
  _xlpm.diffscale, Constantes!$B$2,
  IF(F239="",
    "",
    SUM(1/(1+POWER(10,-(F238-_xlpm.elos)/_xlpm.diffscale)))-0.5)
)</f>
        <v/>
      </c>
      <c r="G240" cm="1">
        <f t="array" ref="G240">_xlfn.LET(
  _xlpm.colj, _xlfn._xlws.FILTER(IF(ISNUMBER(239:239), COLUMN(239:239)), ISNUMBER(239:239)),
  _xlpm.elos, INDEX(238:238,1,_xlpm.colj),
  _xlpm.diffscale, Constantes!$B$2,
  IF(G239="",
    "",
    SUM(1/(1+POWER(10,-(G238-_xlpm.elos)/_xlpm.diffscale)))-0.5)
)</f>
        <v>1.309226429313433</v>
      </c>
      <c r="H240" t="str" cm="1">
        <f t="array" ref="H240">_xlfn.LET(
  _xlpm.colj, _xlfn._xlws.FILTER(IF(ISNUMBER(239:239), COLUMN(239:239)), ISNUMBER(239:239)),
  _xlpm.elos, INDEX(238:238,1,_xlpm.colj),
  _xlpm.diffscale, Constantes!$B$2,
  IF(H239="",
    "",
    SUM(1/(1+POWER(10,-(H238-_xlpm.elos)/_xlpm.diffscale)))-0.5)
)</f>
        <v/>
      </c>
      <c r="I240" t="str" cm="1">
        <f t="array" ref="I240">_xlfn.LET(
  _xlpm.colj, _xlfn._xlws.FILTER(IF(ISNUMBER(239:239), COLUMN(239:239)), ISNUMBER(239:239)),
  _xlpm.elos, INDEX(238:238,1,_xlpm.colj),
  _xlpm.diffscale, Constantes!$B$2,
  IF(I239="",
    "",
    SUM(1/(1+POWER(10,-(I238-_xlpm.elos)/_xlpm.diffscale)))-0.5)
)</f>
        <v/>
      </c>
      <c r="J240" t="str" cm="1">
        <f t="array" ref="J240">_xlfn.LET(
  _xlpm.colj, _xlfn._xlws.FILTER(IF(ISNUMBER(239:239), COLUMN(239:239)), ISNUMBER(239:239)),
  _xlpm.elos, INDEX(238:238,1,_xlpm.colj),
  _xlpm.diffscale, Constantes!$B$2,
  IF(J239="",
    "",
    SUM(1/(1+POWER(10,-(J238-_xlpm.elos)/_xlpm.diffscale)))-0.5)
)</f>
        <v/>
      </c>
      <c r="K240" t="str" cm="1">
        <f t="array" ref="K240">_xlfn.LET(
  _xlpm.colj, _xlfn._xlws.FILTER(IF(ISNUMBER(239:239), COLUMN(239:239)), ISNUMBER(239:239)),
  _xlpm.elos, INDEX(238:238,1,_xlpm.colj),
  _xlpm.diffscale, Constantes!$B$2,
  IF(K239="",
    "",
    SUM(1/(1+POWER(10,-(K238-_xlpm.elos)/_xlpm.diffscale)))-0.5)
)</f>
        <v/>
      </c>
      <c r="L240" t="str" cm="1">
        <f t="array" ref="L240">_xlfn.LET(
  _xlpm.colj, _xlfn._xlws.FILTER(IF(ISNUMBER(239:239), COLUMN(239:239)), ISNUMBER(239:239)),
  _xlpm.elos, INDEX(238:238,1,_xlpm.colj),
  _xlpm.diffscale, Constantes!$B$2,
  IF(L239="",
    "",
    SUM(1/(1+POWER(10,-(L238-_xlpm.elos)/_xlpm.diffscale)))-0.5)
)</f>
        <v/>
      </c>
      <c r="M240" t="str" cm="1">
        <f t="array" ref="M240">_xlfn.LET(
  _xlpm.colj, _xlfn._xlws.FILTER(IF(ISNUMBER(239:239), COLUMN(239:239)), ISNUMBER(239:239)),
  _xlpm.elos, INDEX(238:238,1,_xlpm.colj),
  _xlpm.diffscale, Constantes!$B$2,
  IF(M239="",
    "",
    SUM(1/(1+POWER(10,-(M238-_xlpm.elos)/_xlpm.diffscale)))-0.5)
)</f>
        <v/>
      </c>
      <c r="N240" t="str" cm="1">
        <f t="array" ref="N240">_xlfn.LET(
  _xlpm.colj, _xlfn._xlws.FILTER(IF(ISNUMBER(239:239), COLUMN(239:239)), ISNUMBER(239:239)),
  _xlpm.elos, INDEX(238:238,1,_xlpm.colj),
  _xlpm.diffscale, Constantes!$B$2,
  IF(N239="",
    "",
    SUM(1/(1+POWER(10,-(N238-_xlpm.elos)/_xlpm.diffscale)))-0.5)
)</f>
        <v/>
      </c>
      <c r="O240" t="str" cm="1">
        <f t="array" ref="O240">_xlfn.LET(
  _xlpm.colj, _xlfn._xlws.FILTER(IF(ISNUMBER(239:239), COLUMN(239:239)), ISNUMBER(239:239)),
  _xlpm.elos, INDEX(238:238,1,_xlpm.colj),
  _xlpm.diffscale, Constantes!$B$2,
  IF(O239="",
    "",
    SUM(1/(1+POWER(10,-(O238-_xlpm.elos)/_xlpm.diffscale)))-0.5)
)</f>
        <v/>
      </c>
      <c r="P240" t="str" cm="1">
        <f t="array" ref="P240">_xlfn.LET(
  _xlpm.colj, _xlfn._xlws.FILTER(IF(ISNUMBER(239:239), COLUMN(239:239)), ISNUMBER(239:239)),
  _xlpm.elos, INDEX(238:238,1,_xlpm.colj),
  _xlpm.diffscale, Constantes!$B$2,
  IF(P239="",
    "",
    SUM(1/(1+POWER(10,-(P238-_xlpm.elos)/_xlpm.diffscale)))-0.5)
)</f>
        <v/>
      </c>
      <c r="Q240" cm="1">
        <f t="array" ref="Q240">_xlfn.LET(
  _xlpm.colj, _xlfn._xlws.FILTER(IF(ISNUMBER(239:239), COLUMN(239:239)), ISNUMBER(239:239)),
  _xlpm.elos, INDEX(238:238,1,_xlpm.colj),
  _xlpm.diffscale, Constantes!$B$2,
  IF(Q239="",
    "",
    SUM(1/(1+POWER(10,-(Q238-_xlpm.elos)/_xlpm.diffscale)))-0.5)
)</f>
        <v>1.5404279055001564</v>
      </c>
      <c r="R240" t="str" cm="1">
        <f t="array" ref="R240">_xlfn.LET(
  _xlpm.colj, _xlfn._xlws.FILTER(IF(ISNUMBER(239:239), COLUMN(239:239)), ISNUMBER(239:239)),
  _xlpm.elos, INDEX(238:238,1,_xlpm.colj),
  _xlpm.diffscale, Constantes!$B$2,
  IF(R239="",
    "",
    SUM(1/(1+POWER(10,-(R238-_xlpm.elos)/_xlpm.diffscale)))-0.5)
)</f>
        <v/>
      </c>
      <c r="S240" t="str" cm="1">
        <f t="array" ref="S240">_xlfn.LET(
  _xlpm.colj, _xlfn._xlws.FILTER(IF(ISNUMBER(239:239), COLUMN(239:239)), ISNUMBER(239:239)),
  _xlpm.elos, INDEX(238:238,1,_xlpm.colj),
  _xlpm.diffscale, Constantes!$B$2,
  IF(S239="",
    "",
    SUM(1/(1+POWER(10,-(S238-_xlpm.elos)/_xlpm.diffscale)))-0.5)
)</f>
        <v/>
      </c>
      <c r="T240" t="str" cm="1">
        <f t="array" ref="T240">_xlfn.LET(
  _xlpm.colj, _xlfn._xlws.FILTER(IF(ISNUMBER(239:239), COLUMN(239:239)), ISNUMBER(239:239)),
  _xlpm.elos, INDEX(238:238,1,_xlpm.colj),
  _xlpm.diffscale, Constantes!$B$2,
  IF(T239="",
    "",
    SUM(1/(1+POWER(10,-(T238-_xlpm.elos)/_xlpm.diffscale)))-0.5)
)</f>
        <v/>
      </c>
      <c r="U240" cm="1">
        <f t="array" ref="U240">_xlfn.LET(
  _xlpm.colj, _xlfn._xlws.FILTER(IF(ISNUMBER(239:239), COLUMN(239:239)), ISNUMBER(239:239)),
  _xlpm.elos, INDEX(238:238,1,_xlpm.colj),
  _xlpm.diffscale, Constantes!$B$2,
  IF(U239="",
    "",
    SUM(1/(1+POWER(10,-(U238-_xlpm.elos)/_xlpm.diffscale)))-0.5)
)</f>
        <v>1.7353961999011527</v>
      </c>
      <c r="V240" t="str" cm="1">
        <f t="array" ref="V240">_xlfn.LET(
  _xlpm.colj, _xlfn._xlws.FILTER(IF(ISNUMBER(239:239), COLUMN(239:239)), ISNUMBER(239:239)),
  _xlpm.elos, INDEX(238:238,1,_xlpm.colj),
  _xlpm.diffscale, Constantes!$B$2,
  IF(V239="",
    "",
    SUM(1/(1+POWER(10,-(V238-_xlpm.elos)/_xlpm.diffscale)))-0.5)
)</f>
        <v/>
      </c>
      <c r="W240" t="str" cm="1">
        <f t="array" ref="W240">_xlfn.LET(
  _xlpm.colj, _xlfn._xlws.FILTER(IF(ISNUMBER(239:239), COLUMN(239:239)), ISNUMBER(239:239)),
  _xlpm.elos, INDEX(238:238,1,_xlpm.colj),
  _xlpm.diffscale, Constantes!$B$2,
  IF(W239="",
    "",
    SUM(1/(1+POWER(10,-(W238-_xlpm.elos)/_xlpm.diffscale)))-0.5)
)</f>
        <v/>
      </c>
      <c r="X240" t="str" cm="1">
        <f t="array" ref="X240">_xlfn.LET(
  _xlpm.colj, _xlfn._xlws.FILTER(IF(ISNUMBER(239:239), COLUMN(239:239)), ISNUMBER(239:239)),
  _xlpm.elos, INDEX(238:238,1,_xlpm.colj),
  _xlpm.diffscale, Constantes!$B$2,
  IF(X239="",
    "",
    SUM(1/(1+POWER(10,-(X238-_xlpm.elos)/_xlpm.diffscale)))-0.5)
)</f>
        <v/>
      </c>
      <c r="Y240" t="str" cm="1">
        <f t="array" ref="Y240">_xlfn.LET(
  _xlpm.colj, _xlfn._xlws.FILTER(IF(ISNUMBER(239:239), COLUMN(239:239)), ISNUMBER(239:239)),
  _xlpm.elos, INDEX(238:238,1,_xlpm.colj),
  _xlpm.diffscale, Constantes!$B$2,
  IF(Y239="",
    "",
    SUM(1/(1+POWER(10,-(Y238-_xlpm.elos)/_xlpm.diffscale)))-0.5)
)</f>
        <v/>
      </c>
      <c r="Z240" t="str" cm="1">
        <f t="array" ref="Z240">_xlfn.LET(
  _xlpm.colj, _xlfn._xlws.FILTER(IF(ISNUMBER(239:239), COLUMN(239:239)), ISNUMBER(239:239)),
  _xlpm.elos, INDEX(238:238,1,_xlpm.colj),
  _xlpm.diffscale, Constantes!$B$2,
  IF(Z239="",
    "",
    SUM(1/(1+POWER(10,-(Z238-_xlpm.elos)/_xlpm.diffscale)))-0.5)
)</f>
        <v/>
      </c>
      <c r="AA240" t="str" cm="1">
        <f t="array" ref="AA240">_xlfn.LET(
  _xlpm.colj, _xlfn._xlws.FILTER(IF(ISNUMBER(239:239), COLUMN(239:239)), ISNUMBER(239:239)),
  _xlpm.elos, INDEX(238:238,1,_xlpm.colj),
  _xlpm.diffscale, Constantes!$B$2,
  IF(AA239="",
    "",
    SUM(1/(1+POWER(10,-(AA238-_xlpm.elos)/_xlpm.diffscale)))-0.5)
)</f>
        <v/>
      </c>
      <c r="AB240" t="str" cm="1">
        <f t="array" ref="AB240">_xlfn.LET(
  _xlpm.colj, _xlfn._xlws.FILTER(IF(ISNUMBER(239:239), COLUMN(239:239)), ISNUMBER(239:239)),
  _xlpm.elos, INDEX(238:238,1,_xlpm.colj),
  _xlpm.diffscale, Constantes!$B$2,
  IF(AB239="",
    "",
    SUM(1/(1+POWER(10,-(AB238-_xlpm.elos)/_xlpm.diffscale)))-0.5)
)</f>
        <v/>
      </c>
      <c r="AC240" cm="1">
        <f t="array" ref="AC240">_xlfn.LET(
  _xlpm.colj, _xlfn._xlws.FILTER(IF(ISNUMBER(239:239), COLUMN(239:239)), ISNUMBER(239:239)),
  _xlpm.elos, INDEX(238:238,1,_xlpm.colj),
  _xlpm.diffscale, Constantes!$B$2,
  IF(AC239="",
    "",
    SUM(1/(1+POWER(10,-(AC238-_xlpm.elos)/_xlpm.diffscale)))-0.5)
)</f>
        <v>1.4149494652852577</v>
      </c>
      <c r="AD240" t="str" cm="1">
        <f t="array" ref="AD240">_xlfn.LET(
  _xlpm.colj, _xlfn._xlws.FILTER(IF(ISNUMBER(239:239), COLUMN(239:239)), ISNUMBER(239:239)),
  _xlpm.elos, INDEX(238:238,1,_xlpm.colj),
  _xlpm.diffscale, Constantes!$B$2,
  IF(AD239="",
    "",
    SUM(1/(1+POWER(10,-(AD238-_xlpm.elos)/_xlpm.diffscale)))-0.5)
)</f>
        <v/>
      </c>
      <c r="AE240" t="str" cm="1">
        <f t="array" ref="AE240">_xlfn.LET(
  _xlpm.colj, _xlfn._xlws.FILTER(IF(ISNUMBER(239:239), COLUMN(239:239)), ISNUMBER(239:239)),
  _xlpm.elos, INDEX(238:238,1,_xlpm.colj),
  _xlpm.diffscale, Constantes!$B$2,
  IF(AE239="",
    "",
    SUM(1/(1+POWER(10,-(AE238-_xlpm.elos)/_xlpm.diffscale)))-0.5)
)</f>
        <v/>
      </c>
      <c r="AF240" t="str" cm="1">
        <f t="array" ref="AF240">_xlfn.LET(
  _xlpm.colj, _xlfn._xlws.FILTER(IF(ISNUMBER(239:239), COLUMN(239:239)), ISNUMBER(239:239)),
  _xlpm.elos, INDEX(238:238,1,_xlpm.colj),
  _xlpm.diffscale, Constantes!$B$2,
  IF(AF239="",
    "",
    SUM(1/(1+POWER(10,-(AF238-_xlpm.elos)/_xlpm.diffscale)))-0.5)
)</f>
        <v/>
      </c>
      <c r="AG240" t="str" cm="1">
        <f t="array" ref="AG240">_xlfn.LET(
  _xlpm.colj, _xlfn._xlws.FILTER(IF(ISNUMBER(239:239), COLUMN(239:239)), ISNUMBER(239:239)),
  _xlpm.elos, INDEX(238:238,1,_xlpm.colj),
  _xlpm.diffscale, Constantes!$B$2,
  IF(AG239="",
    "",
    SUM(1/(1+POWER(10,-(AG238-_xlpm.elos)/_xlpm.diffscale)))-0.5)
)</f>
        <v/>
      </c>
      <c r="AH240" t="str" cm="1">
        <f t="array" ref="AH240">_xlfn.LET(
  _xlpm.colj, _xlfn._xlws.FILTER(IF(ISNUMBER(239:239), COLUMN(239:239)), ISNUMBER(239:239)),
  _xlpm.elos, INDEX(238:238,1,_xlpm.colj),
  _xlpm.diffscale, Constantes!$B$2,
  IF(AH239="",
    "",
    SUM(1/(1+POWER(10,-(AH238-_xlpm.elos)/_xlpm.diffscale)))-0.5)
)</f>
        <v/>
      </c>
      <c r="AI240" t="str" cm="1">
        <f t="array" ref="AI240">_xlfn.LET(
  _xlpm.colj, _xlfn._xlws.FILTER(IF(ISNUMBER(239:239), COLUMN(239:239)), ISNUMBER(239:239)),
  _xlpm.elos, INDEX(238:238,1,_xlpm.colj),
  _xlpm.diffscale, Constantes!$B$2,
  IF(AI239="",
    "",
    SUM(1/(1+POWER(10,-(AI238-_xlpm.elos)/_xlpm.diffscale)))-0.5)
)</f>
        <v/>
      </c>
      <c r="AJ240" t="str" cm="1">
        <f t="array" ref="AJ240">_xlfn.LET(
  _xlpm.colj, _xlfn._xlws.FILTER(IF(ISNUMBER(239:239), COLUMN(239:239)), ISNUMBER(239:239)),
  _xlpm.elos, INDEX(238:238,1,_xlpm.colj),
  _xlpm.diffscale, Constantes!$B$2,
  IF(AJ239="",
    "",
    SUM(1/(1+POWER(10,-(AJ238-_xlpm.elos)/_xlpm.diffscale)))-0.5)
)</f>
        <v/>
      </c>
      <c r="AK240" t="str" cm="1">
        <f t="array" ref="AK240">_xlfn.LET(
  _xlpm.colj, _xlfn._xlws.FILTER(IF(ISNUMBER(239:239), COLUMN(239:239)), ISNUMBER(239:239)),
  _xlpm.elos, INDEX(238:238,1,_xlpm.colj),
  _xlpm.diffscale, Constantes!$B$2,
  IF(AK239="",
    "",
    SUM(1/(1+POWER(10,-(AK238-_xlpm.elos)/_xlpm.diffscale)))-0.5)
)</f>
        <v/>
      </c>
      <c r="AL240" t="str" cm="1">
        <f t="array" ref="AL240">_xlfn.LET(
  _xlpm.colj, _xlfn._xlws.FILTER(IF(ISNUMBER(239:239), COLUMN(239:239)), ISNUMBER(239:239)),
  _xlpm.elos, INDEX(238:238,1,_xlpm.colj),
  _xlpm.diffscale, Constantes!$B$2,
  IF(AL239="",
    "",
    SUM(1/(1+POWER(10,-(AL238-_xlpm.elos)/_xlpm.diffscale)))-0.5)
)</f>
        <v/>
      </c>
      <c r="AM240" t="str" cm="1">
        <f t="array" ref="AM240">_xlfn.LET(
  _xlpm.colj, _xlfn._xlws.FILTER(IF(ISNUMBER(239:239), COLUMN(239:239)), ISNUMBER(239:239)),
  _xlpm.elos, INDEX(238:238,1,_xlpm.colj),
  _xlpm.diffscale, Constantes!$B$2,
  IF(AM239="",
    "",
    SUM(1/(1+POWER(10,-(AM238-_xlpm.elos)/_xlpm.diffscale)))-0.5)
)</f>
        <v/>
      </c>
    </row>
    <row r="241" spans="1:39" x14ac:dyDescent="0.25">
      <c r="A241" t="s">
        <v>22</v>
      </c>
      <c r="D241" t="str" cm="1">
        <f t="array" ref="D241">_xlfn.LET(
  _xlpm.K, Constantes!$B$3,
  _xlpm.Knewgain, Constantes!$B$4,
  _xlpm.Knewscale, Constantes!$B$5,
  _xlpm.ptstables, INDEX(D:D, _xlfn.SEQUENCE(COUNTA($C$2:$C241), 1, 3, 4)),
  _xlpm.nbparties, COUNTA(_xlfn._xlws.FILTER(_xlpm.ptstables, _xlpm.ptstables &lt;&gt; "")),
  _xlpm.coef, _xlpm.K + _xlpm.Knewgain / (_xlpm.Knewscale + _xlpm.nbparties),
  IF(D239="",
    "",
    _xlpm.coef * (D239-D240))
)</f>
        <v/>
      </c>
      <c r="E241" t="str" cm="1">
        <f t="array" ref="E241">_xlfn.LET(
  _xlpm.K, Constantes!$B$3,
  _xlpm.Knewgain, Constantes!$B$4,
  _xlpm.Knewscale, Constantes!$B$5,
  _xlpm.ptstables, INDEX(E:E, _xlfn.SEQUENCE(COUNTA($C$2:$C241), 1, 3, 4)),
  _xlpm.nbparties, COUNTA(_xlfn._xlws.FILTER(_xlpm.ptstables, _xlpm.ptstables &lt;&gt; "")),
  _xlpm.coef, _xlpm.K + _xlpm.Knewgain / (_xlpm.Knewscale + _xlpm.nbparties),
  IF(E239="",
    "",
    _xlpm.coef * (E239-E240))
)</f>
        <v/>
      </c>
      <c r="F241" t="str" cm="1">
        <f t="array" ref="F241">_xlfn.LET(
  _xlpm.K, Constantes!$B$3,
  _xlpm.Knewgain, Constantes!$B$4,
  _xlpm.Knewscale, Constantes!$B$5,
  _xlpm.ptstables, INDEX(F:F, _xlfn.SEQUENCE(COUNTA($C$2:$C241), 1, 3, 4)),
  _xlpm.nbparties, COUNTA(_xlfn._xlws.FILTER(_xlpm.ptstables, _xlpm.ptstables &lt;&gt; "")),
  _xlpm.coef, _xlpm.K + _xlpm.Knewgain / (_xlpm.Knewscale + _xlpm.nbparties),
  IF(F239="",
    "",
    _xlpm.coef * (F239-F240))
)</f>
        <v/>
      </c>
      <c r="G241" cm="1">
        <f t="array" ref="G241">_xlfn.LET(
  _xlpm.K, Constantes!$B$3,
  _xlpm.Knewgain, Constantes!$B$4,
  _xlpm.Knewscale, Constantes!$B$5,
  _xlpm.ptstables, INDEX(G:G, _xlfn.SEQUENCE(COUNTA($C$2:$C241), 1, 3, 4)),
  _xlpm.nbparties, COUNTA(_xlfn._xlws.FILTER(_xlpm.ptstables, _xlpm.ptstables &lt;&gt; "")),
  _xlpm.coef, _xlpm.K + _xlpm.Knewgain / (_xlpm.Knewscale + _xlpm.nbparties),
  IF(G239="",
    "",
    _xlpm.coef * (G239-G240))
)</f>
        <v>37.658138619837175</v>
      </c>
      <c r="H241" t="str" cm="1">
        <f t="array" ref="H241">_xlfn.LET(
  _xlpm.K, Constantes!$B$3,
  _xlpm.Knewgain, Constantes!$B$4,
  _xlpm.Knewscale, Constantes!$B$5,
  _xlpm.ptstables, INDEX(H:H, _xlfn.SEQUENCE(COUNTA($C$2:$C241), 1, 3, 4)),
  _xlpm.nbparties, COUNTA(_xlfn._xlws.FILTER(_xlpm.ptstables, _xlpm.ptstables &lt;&gt; "")),
  _xlpm.coef, _xlpm.K + _xlpm.Knewgain / (_xlpm.Knewscale + _xlpm.nbparties),
  IF(H239="",
    "",
    _xlpm.coef * (H239-H240))
)</f>
        <v/>
      </c>
      <c r="I241" t="str" cm="1">
        <f t="array" ref="I241">_xlfn.LET(
  _xlpm.K, Constantes!$B$3,
  _xlpm.Knewgain, Constantes!$B$4,
  _xlpm.Knewscale, Constantes!$B$5,
  _xlpm.ptstables, INDEX(I:I, _xlfn.SEQUENCE(COUNTA($C$2:$C241), 1, 3, 4)),
  _xlpm.nbparties, COUNTA(_xlfn._xlws.FILTER(_xlpm.ptstables, _xlpm.ptstables &lt;&gt; "")),
  _xlpm.coef, _xlpm.K + _xlpm.Knewgain / (_xlpm.Knewscale + _xlpm.nbparties),
  IF(I239="",
    "",
    _xlpm.coef * (I239-I240))
)</f>
        <v/>
      </c>
      <c r="J241" t="str" cm="1">
        <f t="array" ref="J241">_xlfn.LET(
  _xlpm.K, Constantes!$B$3,
  _xlpm.Knewgain, Constantes!$B$4,
  _xlpm.Knewscale, Constantes!$B$5,
  _xlpm.ptstables, INDEX(J:J, _xlfn.SEQUENCE(COUNTA($C$2:$C241), 1, 3, 4)),
  _xlpm.nbparties, COUNTA(_xlfn._xlws.FILTER(_xlpm.ptstables, _xlpm.ptstables &lt;&gt; "")),
  _xlpm.coef, _xlpm.K + _xlpm.Knewgain / (_xlpm.Knewscale + _xlpm.nbparties),
  IF(J239="",
    "",
    _xlpm.coef * (J239-J240))
)</f>
        <v/>
      </c>
      <c r="K241" t="str" cm="1">
        <f t="array" ref="K241">_xlfn.LET(
  _xlpm.K, Constantes!$B$3,
  _xlpm.Knewgain, Constantes!$B$4,
  _xlpm.Knewscale, Constantes!$B$5,
  _xlpm.ptstables, INDEX(K:K, _xlfn.SEQUENCE(COUNTA($C$2:$C241), 1, 3, 4)),
  _xlpm.nbparties, COUNTA(_xlfn._xlws.FILTER(_xlpm.ptstables, _xlpm.ptstables &lt;&gt; "")),
  _xlpm.coef, _xlpm.K + _xlpm.Knewgain / (_xlpm.Knewscale + _xlpm.nbparties),
  IF(K239="",
    "",
    _xlpm.coef * (K239-K240))
)</f>
        <v/>
      </c>
      <c r="L241" t="str" cm="1">
        <f t="array" ref="L241">_xlfn.LET(
  _xlpm.K, Constantes!$B$3,
  _xlpm.Knewgain, Constantes!$B$4,
  _xlpm.Knewscale, Constantes!$B$5,
  _xlpm.ptstables, INDEX(L:L, _xlfn.SEQUENCE(COUNTA($C$2:$C241), 1, 3, 4)),
  _xlpm.nbparties, COUNTA(_xlfn._xlws.FILTER(_xlpm.ptstables, _xlpm.ptstables &lt;&gt; "")),
  _xlpm.coef, _xlpm.K + _xlpm.Knewgain / (_xlpm.Knewscale + _xlpm.nbparties),
  IF(L239="",
    "",
    _xlpm.coef * (L239-L240))
)</f>
        <v/>
      </c>
      <c r="M241" t="str" cm="1">
        <f t="array" ref="M241">_xlfn.LET(
  _xlpm.K, Constantes!$B$3,
  _xlpm.Knewgain, Constantes!$B$4,
  _xlpm.Knewscale, Constantes!$B$5,
  _xlpm.ptstables, INDEX(M:M, _xlfn.SEQUENCE(COUNTA($C$2:$C241), 1, 3, 4)),
  _xlpm.nbparties, COUNTA(_xlfn._xlws.FILTER(_xlpm.ptstables, _xlpm.ptstables &lt;&gt; "")),
  _xlpm.coef, _xlpm.K + _xlpm.Knewgain / (_xlpm.Knewscale + _xlpm.nbparties),
  IF(M239="",
    "",
    _xlpm.coef * (M239-M240))
)</f>
        <v/>
      </c>
      <c r="N241" t="str" cm="1">
        <f t="array" ref="N241">_xlfn.LET(
  _xlpm.K, Constantes!$B$3,
  _xlpm.Knewgain, Constantes!$B$4,
  _xlpm.Knewscale, Constantes!$B$5,
  _xlpm.ptstables, INDEX(N:N, _xlfn.SEQUENCE(COUNTA($C$2:$C241), 1, 3, 4)),
  _xlpm.nbparties, COUNTA(_xlfn._xlws.FILTER(_xlpm.ptstables, _xlpm.ptstables &lt;&gt; "")),
  _xlpm.coef, _xlpm.K + _xlpm.Knewgain / (_xlpm.Knewscale + _xlpm.nbparties),
  IF(N239="",
    "",
    _xlpm.coef * (N239-N240))
)</f>
        <v/>
      </c>
      <c r="O241" t="str" cm="1">
        <f t="array" ref="O241">_xlfn.LET(
  _xlpm.K, Constantes!$B$3,
  _xlpm.Knewgain, Constantes!$B$4,
  _xlpm.Knewscale, Constantes!$B$5,
  _xlpm.ptstables, INDEX(O:O, _xlfn.SEQUENCE(COUNTA($C$2:$C241), 1, 3, 4)),
  _xlpm.nbparties, COUNTA(_xlfn._xlws.FILTER(_xlpm.ptstables, _xlpm.ptstables &lt;&gt; "")),
  _xlpm.coef, _xlpm.K + _xlpm.Knewgain / (_xlpm.Knewscale + _xlpm.nbparties),
  IF(O239="",
    "",
    _xlpm.coef * (O239-O240))
)</f>
        <v/>
      </c>
      <c r="P241" t="str" cm="1">
        <f t="array" ref="P241">_xlfn.LET(
  _xlpm.K, Constantes!$B$3,
  _xlpm.Knewgain, Constantes!$B$4,
  _xlpm.Knewscale, Constantes!$B$5,
  _xlpm.ptstables, INDEX(P:P, _xlfn.SEQUENCE(COUNTA($C$2:$C241), 1, 3, 4)),
  _xlpm.nbparties, COUNTA(_xlfn._xlws.FILTER(_xlpm.ptstables, _xlpm.ptstables &lt;&gt; "")),
  _xlpm.coef, _xlpm.K + _xlpm.Knewgain / (_xlpm.Knewscale + _xlpm.nbparties),
  IF(P239="",
    "",
    _xlpm.coef * (P239-P240))
)</f>
        <v/>
      </c>
      <c r="Q241" cm="1">
        <f t="array" ref="Q241">_xlfn.LET(
  _xlpm.K, Constantes!$B$3,
  _xlpm.Knewgain, Constantes!$B$4,
  _xlpm.Knewscale, Constantes!$B$5,
  _xlpm.ptstables, INDEX(Q:Q, _xlfn.SEQUENCE(COUNTA($C$2:$C241), 1, 3, 4)),
  _xlpm.nbparties, COUNTA(_xlfn._xlws.FILTER(_xlpm.ptstables, _xlpm.ptstables &lt;&gt; "")),
  _xlpm.coef, _xlpm.K + _xlpm.Knewgain / (_xlpm.Knewscale + _xlpm.nbparties),
  IF(Q239="",
    "",
    _xlpm.coef * (Q239-Q240))
)</f>
        <v>10.543124520878765</v>
      </c>
      <c r="R241" t="str" cm="1">
        <f t="array" ref="R241">_xlfn.LET(
  _xlpm.K, Constantes!$B$3,
  _xlpm.Knewgain, Constantes!$B$4,
  _xlpm.Knewscale, Constantes!$B$5,
  _xlpm.ptstables, INDEX(R:R, _xlfn.SEQUENCE(COUNTA($C$2:$C241), 1, 3, 4)),
  _xlpm.nbparties, COUNTA(_xlfn._xlws.FILTER(_xlpm.ptstables, _xlpm.ptstables &lt;&gt; "")),
  _xlpm.coef, _xlpm.K + _xlpm.Knewgain / (_xlpm.Knewscale + _xlpm.nbparties),
  IF(R239="",
    "",
    _xlpm.coef * (R239-R240))
)</f>
        <v/>
      </c>
      <c r="S241" t="str" cm="1">
        <f t="array" ref="S241">_xlfn.LET(
  _xlpm.K, Constantes!$B$3,
  _xlpm.Knewgain, Constantes!$B$4,
  _xlpm.Knewscale, Constantes!$B$5,
  _xlpm.ptstables, INDEX(S:S, _xlfn.SEQUENCE(COUNTA($C$2:$C241), 1, 3, 4)),
  _xlpm.nbparties, COUNTA(_xlfn._xlws.FILTER(_xlpm.ptstables, _xlpm.ptstables &lt;&gt; "")),
  _xlpm.coef, _xlpm.K + _xlpm.Knewgain / (_xlpm.Knewscale + _xlpm.nbparties),
  IF(S239="",
    "",
    _xlpm.coef * (S239-S240))
)</f>
        <v/>
      </c>
      <c r="T241" t="str" cm="1">
        <f t="array" ref="T241">_xlfn.LET(
  _xlpm.K, Constantes!$B$3,
  _xlpm.Knewgain, Constantes!$B$4,
  _xlpm.Knewscale, Constantes!$B$5,
  _xlpm.ptstables, INDEX(T:T, _xlfn.SEQUENCE(COUNTA($C$2:$C241), 1, 3, 4)),
  _xlpm.nbparties, COUNTA(_xlfn._xlws.FILTER(_xlpm.ptstables, _xlpm.ptstables &lt;&gt; "")),
  _xlpm.coef, _xlpm.K + _xlpm.Knewgain / (_xlpm.Knewscale + _xlpm.nbparties),
  IF(T239="",
    "",
    _xlpm.coef * (T239-T240))
)</f>
        <v/>
      </c>
      <c r="U241" cm="1">
        <f t="array" ref="U241">_xlfn.LET(
  _xlpm.K, Constantes!$B$3,
  _xlpm.Knewgain, Constantes!$B$4,
  _xlpm.Knewscale, Constantes!$B$5,
  _xlpm.ptstables, INDEX(U:U, _xlfn.SEQUENCE(COUNTA($C$2:$C241), 1, 3, 4)),
  _xlpm.nbparties, COUNTA(_xlfn._xlws.FILTER(_xlpm.ptstables, _xlpm.ptstables &lt;&gt; "")),
  _xlpm.coef, _xlpm.K + _xlpm.Knewgain / (_xlpm.Knewscale + _xlpm.nbparties),
  IF(U239="",
    "",
    _xlpm.coef * (U239-U240))
)</f>
        <v>-16.546414497775935</v>
      </c>
      <c r="V241" t="str" cm="1">
        <f t="array" ref="V241">_xlfn.LET(
  _xlpm.K, Constantes!$B$3,
  _xlpm.Knewgain, Constantes!$B$4,
  _xlpm.Knewscale, Constantes!$B$5,
  _xlpm.ptstables, INDEX(V:V, _xlfn.SEQUENCE(COUNTA($C$2:$C241), 1, 3, 4)),
  _xlpm.nbparties, COUNTA(_xlfn._xlws.FILTER(_xlpm.ptstables, _xlpm.ptstables &lt;&gt; "")),
  _xlpm.coef, _xlpm.K + _xlpm.Knewgain / (_xlpm.Knewscale + _xlpm.nbparties),
  IF(V239="",
    "",
    _xlpm.coef * (V239-V240))
)</f>
        <v/>
      </c>
      <c r="W241" t="str" cm="1">
        <f t="array" ref="W241">_xlfn.LET(
  _xlpm.K, Constantes!$B$3,
  _xlpm.Knewgain, Constantes!$B$4,
  _xlpm.Knewscale, Constantes!$B$5,
  _xlpm.ptstables, INDEX(W:W, _xlfn.SEQUENCE(COUNTA($C$2:$C241), 1, 3, 4)),
  _xlpm.nbparties, COUNTA(_xlfn._xlws.FILTER(_xlpm.ptstables, _xlpm.ptstables &lt;&gt; "")),
  _xlpm.coef, _xlpm.K + _xlpm.Knewgain / (_xlpm.Knewscale + _xlpm.nbparties),
  IF(W239="",
    "",
    _xlpm.coef * (W239-W240))
)</f>
        <v/>
      </c>
      <c r="X241" t="str" cm="1">
        <f t="array" ref="X241">_xlfn.LET(
  _xlpm.K, Constantes!$B$3,
  _xlpm.Knewgain, Constantes!$B$4,
  _xlpm.Knewscale, Constantes!$B$5,
  _xlpm.ptstables, INDEX(X:X, _xlfn.SEQUENCE(COUNTA($C$2:$C241), 1, 3, 4)),
  _xlpm.nbparties, COUNTA(_xlfn._xlws.FILTER(_xlpm.ptstables, _xlpm.ptstables &lt;&gt; "")),
  _xlpm.coef, _xlpm.K + _xlpm.Knewgain / (_xlpm.Knewscale + _xlpm.nbparties),
  IF(X239="",
    "",
    _xlpm.coef * (X239-X240))
)</f>
        <v/>
      </c>
      <c r="Y241" t="str" cm="1">
        <f t="array" ref="Y241">_xlfn.LET(
  _xlpm.K, Constantes!$B$3,
  _xlpm.Knewgain, Constantes!$B$4,
  _xlpm.Knewscale, Constantes!$B$5,
  _xlpm.ptstables, INDEX(Y:Y, _xlfn.SEQUENCE(COUNTA($C$2:$C241), 1, 3, 4)),
  _xlpm.nbparties, COUNTA(_xlfn._xlws.FILTER(_xlpm.ptstables, _xlpm.ptstables &lt;&gt; "")),
  _xlpm.coef, _xlpm.K + _xlpm.Knewgain / (_xlpm.Knewscale + _xlpm.nbparties),
  IF(Y239="",
    "",
    _xlpm.coef * (Y239-Y240))
)</f>
        <v/>
      </c>
      <c r="Z241" t="str" cm="1">
        <f t="array" ref="Z241">_xlfn.LET(
  _xlpm.K, Constantes!$B$3,
  _xlpm.Knewgain, Constantes!$B$4,
  _xlpm.Knewscale, Constantes!$B$5,
  _xlpm.ptstables, INDEX(Z:Z, _xlfn.SEQUENCE(COUNTA($C$2:$C241), 1, 3, 4)),
  _xlpm.nbparties, COUNTA(_xlfn._xlws.FILTER(_xlpm.ptstables, _xlpm.ptstables &lt;&gt; "")),
  _xlpm.coef, _xlpm.K + _xlpm.Knewgain / (_xlpm.Knewscale + _xlpm.nbparties),
  IF(Z239="",
    "",
    _xlpm.coef * (Z239-Z240))
)</f>
        <v/>
      </c>
      <c r="AA241" t="str" cm="1">
        <f t="array" ref="AA241">_xlfn.LET(
  _xlpm.K, Constantes!$B$3,
  _xlpm.Knewgain, Constantes!$B$4,
  _xlpm.Knewscale, Constantes!$B$5,
  _xlpm.ptstables, INDEX(AA:AA, _xlfn.SEQUENCE(COUNTA($C$2:$C241), 1, 3, 4)),
  _xlpm.nbparties, COUNTA(_xlfn._xlws.FILTER(_xlpm.ptstables, _xlpm.ptstables &lt;&gt; "")),
  _xlpm.coef, _xlpm.K + _xlpm.Knewgain / (_xlpm.Knewscale + _xlpm.nbparties),
  IF(AA239="",
    "",
    _xlpm.coef * (AA239-AA240))
)</f>
        <v/>
      </c>
      <c r="AB241" t="str" cm="1">
        <f t="array" ref="AB241">_xlfn.LET(
  _xlpm.K, Constantes!$B$3,
  _xlpm.Knewgain, Constantes!$B$4,
  _xlpm.Knewscale, Constantes!$B$5,
  _xlpm.ptstables, INDEX(AB:AB, _xlfn.SEQUENCE(COUNTA($C$2:$C241), 1, 3, 4)),
  _xlpm.nbparties, COUNTA(_xlfn._xlws.FILTER(_xlpm.ptstables, _xlpm.ptstables &lt;&gt; "")),
  _xlpm.coef, _xlpm.K + _xlpm.Knewgain / (_xlpm.Knewscale + _xlpm.nbparties),
  IF(AB239="",
    "",
    _xlpm.coef * (AB239-AB240))
)</f>
        <v/>
      </c>
      <c r="AC241" cm="1">
        <f t="array" ref="AC241">_xlfn.LET(
  _xlpm.K, Constantes!$B$3,
  _xlpm.Knewgain, Constantes!$B$4,
  _xlpm.Knewscale, Constantes!$B$5,
  _xlpm.ptstables, INDEX(AC:AC, _xlfn.SEQUENCE(COUNTA($C$2:$C241), 1, 3, 4)),
  _xlpm.nbparties, COUNTA(_xlfn._xlws.FILTER(_xlpm.ptstables, _xlpm.ptstables &lt;&gt; "")),
  _xlpm.coef, _xlpm.K + _xlpm.Knewgain / (_xlpm.Knewscale + _xlpm.nbparties),
  IF(AC239="",
    "",
    _xlpm.coef * (AC239-AC240))
)</f>
        <v>-37.142423463738012</v>
      </c>
      <c r="AD241" t="str" cm="1">
        <f t="array" ref="AD241">_xlfn.LET(
  _xlpm.K, Constantes!$B$3,
  _xlpm.Knewgain, Constantes!$B$4,
  _xlpm.Knewscale, Constantes!$B$5,
  _xlpm.ptstables, INDEX(AD:AD, _xlfn.SEQUENCE(COUNTA($C$2:$C241), 1, 3, 4)),
  _xlpm.nbparties, COUNTA(_xlfn._xlws.FILTER(_xlpm.ptstables, _xlpm.ptstables &lt;&gt; "")),
  _xlpm.coef, _xlpm.K + _xlpm.Knewgain / (_xlpm.Knewscale + _xlpm.nbparties),
  IF(AD239="",
    "",
    _xlpm.coef * (AD239-AD240))
)</f>
        <v/>
      </c>
      <c r="AE241" t="str" cm="1">
        <f t="array" ref="AE241">_xlfn.LET(
  _xlpm.K, Constantes!$B$3,
  _xlpm.Knewgain, Constantes!$B$4,
  _xlpm.Knewscale, Constantes!$B$5,
  _xlpm.ptstables, INDEX(AE:AE, _xlfn.SEQUENCE(COUNTA($C$2:$C241), 1, 3, 4)),
  _xlpm.nbparties, COUNTA(_xlfn._xlws.FILTER(_xlpm.ptstables, _xlpm.ptstables &lt;&gt; "")),
  _xlpm.coef, _xlpm.K + _xlpm.Knewgain / (_xlpm.Knewscale + _xlpm.nbparties),
  IF(AE239="",
    "",
    _xlpm.coef * (AE239-AE240))
)</f>
        <v/>
      </c>
      <c r="AF241" t="str" cm="1">
        <f t="array" ref="AF241">_xlfn.LET(
  _xlpm.K, Constantes!$B$3,
  _xlpm.Knewgain, Constantes!$B$4,
  _xlpm.Knewscale, Constantes!$B$5,
  _xlpm.ptstables, INDEX(AF:AF, _xlfn.SEQUENCE(COUNTA($C$2:$C241), 1, 3, 4)),
  _xlpm.nbparties, COUNTA(_xlfn._xlws.FILTER(_xlpm.ptstables, _xlpm.ptstables &lt;&gt; "")),
  _xlpm.coef, _xlpm.K + _xlpm.Knewgain / (_xlpm.Knewscale + _xlpm.nbparties),
  IF(AF239="",
    "",
    _xlpm.coef * (AF239-AF240))
)</f>
        <v/>
      </c>
      <c r="AG241" t="str" cm="1">
        <f t="array" ref="AG241">_xlfn.LET(
  _xlpm.K, Constantes!$B$3,
  _xlpm.Knewgain, Constantes!$B$4,
  _xlpm.Knewscale, Constantes!$B$5,
  _xlpm.ptstables, INDEX(AG:AG, _xlfn.SEQUENCE(COUNTA($C$2:$C241), 1, 3, 4)),
  _xlpm.nbparties, COUNTA(_xlfn._xlws.FILTER(_xlpm.ptstables, _xlpm.ptstables &lt;&gt; "")),
  _xlpm.coef, _xlpm.K + _xlpm.Knewgain / (_xlpm.Knewscale + _xlpm.nbparties),
  IF(AG239="",
    "",
    _xlpm.coef * (AG239-AG240))
)</f>
        <v/>
      </c>
      <c r="AH241" t="str" cm="1">
        <f t="array" ref="AH241">_xlfn.LET(
  _xlpm.K, Constantes!$B$3,
  _xlpm.Knewgain, Constantes!$B$4,
  _xlpm.Knewscale, Constantes!$B$5,
  _xlpm.ptstables, INDEX(AH:AH, _xlfn.SEQUENCE(COUNTA($C$2:$C241), 1, 3, 4)),
  _xlpm.nbparties, COUNTA(_xlfn._xlws.FILTER(_xlpm.ptstables, _xlpm.ptstables &lt;&gt; "")),
  _xlpm.coef, _xlpm.K + _xlpm.Knewgain / (_xlpm.Knewscale + _xlpm.nbparties),
  IF(AH239="",
    "",
    _xlpm.coef * (AH239-AH240))
)</f>
        <v/>
      </c>
      <c r="AI241" t="str" cm="1">
        <f t="array" ref="AI241">_xlfn.LET(
  _xlpm.K, Constantes!$B$3,
  _xlpm.Knewgain, Constantes!$B$4,
  _xlpm.Knewscale, Constantes!$B$5,
  _xlpm.ptstables, INDEX(AI:AI, _xlfn.SEQUENCE(COUNTA($C$2:$C241), 1, 3, 4)),
  _xlpm.nbparties, COUNTA(_xlfn._xlws.FILTER(_xlpm.ptstables, _xlpm.ptstables &lt;&gt; "")),
  _xlpm.coef, _xlpm.K + _xlpm.Knewgain / (_xlpm.Knewscale + _xlpm.nbparties),
  IF(AI239="",
    "",
    _xlpm.coef * (AI239-AI240))
)</f>
        <v/>
      </c>
      <c r="AJ241" t="str" cm="1">
        <f t="array" ref="AJ241">_xlfn.LET(
  _xlpm.K, Constantes!$B$3,
  _xlpm.Knewgain, Constantes!$B$4,
  _xlpm.Knewscale, Constantes!$B$5,
  _xlpm.ptstables, INDEX(AJ:AJ, _xlfn.SEQUENCE(COUNTA($C$2:$C241), 1, 3, 4)),
  _xlpm.nbparties, COUNTA(_xlfn._xlws.FILTER(_xlpm.ptstables, _xlpm.ptstables &lt;&gt; "")),
  _xlpm.coef, _xlpm.K + _xlpm.Knewgain / (_xlpm.Knewscale + _xlpm.nbparties),
  IF(AJ239="",
    "",
    _xlpm.coef * (AJ239-AJ240))
)</f>
        <v/>
      </c>
      <c r="AK241" t="str" cm="1">
        <f t="array" ref="AK241">_xlfn.LET(
  _xlpm.K, Constantes!$B$3,
  _xlpm.Knewgain, Constantes!$B$4,
  _xlpm.Knewscale, Constantes!$B$5,
  _xlpm.ptstables, INDEX(AK:AK, _xlfn.SEQUENCE(COUNTA($C$2:$C241), 1, 3, 4)),
  _xlpm.nbparties, COUNTA(_xlfn._xlws.FILTER(_xlpm.ptstables, _xlpm.ptstables &lt;&gt; "")),
  _xlpm.coef, _xlpm.K + _xlpm.Knewgain / (_xlpm.Knewscale + _xlpm.nbparties),
  IF(AK239="",
    "",
    _xlpm.coef * (AK239-AK240))
)</f>
        <v/>
      </c>
      <c r="AL241" t="str" cm="1">
        <f t="array" ref="AL241">_xlfn.LET(
  _xlpm.K, Constantes!$B$3,
  _xlpm.Knewgain, Constantes!$B$4,
  _xlpm.Knewscale, Constantes!$B$5,
  _xlpm.ptstables, INDEX(AL:AL, _xlfn.SEQUENCE(COUNTA($C$2:$C241), 1, 3, 4)),
  _xlpm.nbparties, COUNTA(_xlfn._xlws.FILTER(_xlpm.ptstables, _xlpm.ptstables &lt;&gt; "")),
  _xlpm.coef, _xlpm.K + _xlpm.Knewgain / (_xlpm.Knewscale + _xlpm.nbparties),
  IF(AL239="",
    "",
    _xlpm.coef * (AL239-AL240))
)</f>
        <v/>
      </c>
      <c r="AM241" t="str" cm="1">
        <f t="array" ref="AM241">_xlfn.LET(
  _xlpm.K, Constantes!$B$3,
  _xlpm.Knewgain, Constantes!$B$4,
  _xlpm.Knewscale, Constantes!$B$5,
  _xlpm.ptstables, INDEX(AM:AM, _xlfn.SEQUENCE(COUNTA($C$2:$C241), 1, 3, 4)),
  _xlpm.nbparties, COUNTA(_xlfn._xlws.FILTER(_xlpm.ptstables, _xlpm.ptstables &lt;&gt; "")),
  _xlpm.coef, _xlpm.K + _xlpm.Knewgain / (_xlpm.Knewscale + _xlpm.nbparties),
  IF(AM239="",
    "",
    _xlpm.coef * (AM239-AM240))
)</f>
        <v/>
      </c>
    </row>
    <row r="242" spans="1:39" x14ac:dyDescent="0.25">
      <c r="A242" t="s">
        <v>14</v>
      </c>
      <c r="B242" t="str" cm="1">
        <f t="array" ref="B24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59</v>
      </c>
      <c r="C242" s="2" cm="1">
        <f t="array" ref="C242">IF(B242="","",
  INDEX(Donnees!F:F, MATCH(B242, Donnees!F:F, 0)+1))</f>
        <v>45939.939386574071</v>
      </c>
      <c r="D242">
        <f t="shared" ref="D242:AM242" si="68">D238+IF(D241="",0,D241)</f>
        <v>1080.5073798720127</v>
      </c>
      <c r="E242">
        <f t="shared" si="68"/>
        <v>1150.8581509866578</v>
      </c>
      <c r="F242">
        <f t="shared" si="68"/>
        <v>840.07622072834204</v>
      </c>
      <c r="G242">
        <f t="shared" si="68"/>
        <v>1095.3886964417595</v>
      </c>
      <c r="H242">
        <f t="shared" si="68"/>
        <v>1041.4828877801035</v>
      </c>
      <c r="I242">
        <f t="shared" si="68"/>
        <v>960.57774210047694</v>
      </c>
      <c r="J242">
        <f t="shared" si="68"/>
        <v>965.23205142925622</v>
      </c>
      <c r="K242">
        <f t="shared" si="68"/>
        <v>957.39471433630956</v>
      </c>
      <c r="L242">
        <f t="shared" si="68"/>
        <v>766.95119884458973</v>
      </c>
      <c r="M242">
        <f t="shared" si="68"/>
        <v>913.41986361738122</v>
      </c>
      <c r="N242">
        <f t="shared" si="68"/>
        <v>905.23376280700177</v>
      </c>
      <c r="O242">
        <f t="shared" si="68"/>
        <v>980.22411339123312</v>
      </c>
      <c r="P242">
        <f t="shared" si="68"/>
        <v>1044.694691960626</v>
      </c>
      <c r="Q242">
        <f t="shared" si="68"/>
        <v>1108.7965412414278</v>
      </c>
      <c r="R242">
        <f t="shared" si="68"/>
        <v>1080.636938748263</v>
      </c>
      <c r="S242">
        <f t="shared" si="68"/>
        <v>912.90205356391152</v>
      </c>
      <c r="T242">
        <f t="shared" si="68"/>
        <v>1135.2782658680615</v>
      </c>
      <c r="U242">
        <f t="shared" si="68"/>
        <v>1115.9839629001663</v>
      </c>
      <c r="V242">
        <f t="shared" si="68"/>
        <v>983.1120575372413</v>
      </c>
      <c r="W242">
        <f t="shared" si="68"/>
        <v>936.79085942937002</v>
      </c>
      <c r="X242">
        <f t="shared" si="68"/>
        <v>814.38475747458392</v>
      </c>
      <c r="Y242">
        <f t="shared" si="68"/>
        <v>959.91987155343315</v>
      </c>
      <c r="Z242">
        <f t="shared" si="68"/>
        <v>991.11904139672549</v>
      </c>
      <c r="AA242">
        <f t="shared" si="68"/>
        <v>953.20431206972398</v>
      </c>
      <c r="AB242">
        <f t="shared" si="68"/>
        <v>988.35669729544747</v>
      </c>
      <c r="AC242">
        <f t="shared" si="68"/>
        <v>1039.1635789679592</v>
      </c>
      <c r="AD242">
        <f t="shared" si="68"/>
        <v>1073.9096023401294</v>
      </c>
      <c r="AE242">
        <f t="shared" si="68"/>
        <v>984.86350589237111</v>
      </c>
      <c r="AF242">
        <f t="shared" si="68"/>
        <v>1089.5415391863121</v>
      </c>
      <c r="AG242">
        <f t="shared" si="68"/>
        <v>932.14350578590165</v>
      </c>
      <c r="AH242">
        <f t="shared" si="68"/>
        <v>994.44</v>
      </c>
      <c r="AI242">
        <f t="shared" si="68"/>
        <v>1000</v>
      </c>
      <c r="AJ242">
        <f t="shared" si="68"/>
        <v>957.2</v>
      </c>
      <c r="AK242">
        <f t="shared" si="68"/>
        <v>1000</v>
      </c>
      <c r="AL242">
        <f t="shared" si="68"/>
        <v>1055.9299999999998</v>
      </c>
      <c r="AM242">
        <f t="shared" si="68"/>
        <v>1000</v>
      </c>
    </row>
    <row r="243" spans="1:39" x14ac:dyDescent="0.25">
      <c r="A243" t="s">
        <v>21</v>
      </c>
      <c r="D243" t="str" cm="1">
        <f t="array" ref="D243">IFERROR(
  _xlfn.LET(
    _xlpm.ligpartie, MATCH($B242, Donnees!$F:$F, 0),
    _xlpm.joueurs, INDEX(Donnees!$A:$Z, _xlpm.ligpartie+1, _xlfn.SEQUENCE(1, 4, 2)),
    INDEX(
      Donnees!$A:$Z,
      _xlpm.ligpartie + 3,
      MATCH(D$1, _xlpm.joueurs, 0) + 1
    )
  ), ""
)</f>
        <v/>
      </c>
      <c r="E243" t="str" cm="1">
        <f t="array" ref="E243">IFERROR(
  _xlfn.LET(
    _xlpm.ligpartie, MATCH($B242, Donnees!$F:$F, 0),
    _xlpm.joueurs, INDEX(Donnees!$A:$Z, _xlpm.ligpartie+1, _xlfn.SEQUENCE(1, 4, 2)),
    INDEX(
      Donnees!$A:$Z,
      _xlpm.ligpartie + 3,
      MATCH(E$1, _xlpm.joueurs, 0) + 1
    )
  ), ""
)</f>
        <v/>
      </c>
      <c r="F243" t="str" cm="1">
        <f t="array" ref="F243">IFERROR(
  _xlfn.LET(
    _xlpm.ligpartie, MATCH($B242, Donnees!$F:$F, 0),
    _xlpm.joueurs, INDEX(Donnees!$A:$Z, _xlpm.ligpartie+1, _xlfn.SEQUENCE(1, 4, 2)),
    INDEX(
      Donnees!$A:$Z,
      _xlpm.ligpartie + 3,
      MATCH(F$1, _xlpm.joueurs, 0) + 1
    )
  ), ""
)</f>
        <v/>
      </c>
      <c r="G243" t="str" cm="1">
        <f t="array" ref="G243">IFERROR(
  _xlfn.LET(
    _xlpm.ligpartie, MATCH($B242, Donnees!$F:$F, 0),
    _xlpm.joueurs, INDEX(Donnees!$A:$Z, _xlpm.ligpartie+1, _xlfn.SEQUENCE(1, 4, 2)),
    INDEX(
      Donnees!$A:$Z,
      _xlpm.ligpartie + 3,
      MATCH(G$1, _xlpm.joueurs, 0) + 1
    )
  ), ""
)</f>
        <v/>
      </c>
      <c r="H243" t="str" cm="1">
        <f t="array" ref="H243">IFERROR(
  _xlfn.LET(
    _xlpm.ligpartie, MATCH($B242, Donnees!$F:$F, 0),
    _xlpm.joueurs, INDEX(Donnees!$A:$Z, _xlpm.ligpartie+1, _xlfn.SEQUENCE(1, 4, 2)),
    INDEX(
      Donnees!$A:$Z,
      _xlpm.ligpartie + 3,
      MATCH(H$1, _xlpm.joueurs, 0) + 1
    )
  ), ""
)</f>
        <v/>
      </c>
      <c r="I243" t="str" cm="1">
        <f t="array" ref="I243">IFERROR(
  _xlfn.LET(
    _xlpm.ligpartie, MATCH($B242, Donnees!$F:$F, 0),
    _xlpm.joueurs, INDEX(Donnees!$A:$Z, _xlpm.ligpartie+1, _xlfn.SEQUENCE(1, 4, 2)),
    INDEX(
      Donnees!$A:$Z,
      _xlpm.ligpartie + 3,
      MATCH(I$1, _xlpm.joueurs, 0) + 1
    )
  ), ""
)</f>
        <v/>
      </c>
      <c r="J243" cm="1">
        <f t="array" ref="J243">IFERROR(
  _xlfn.LET(
    _xlpm.ligpartie, MATCH($B242, Donnees!$F:$F, 0),
    _xlpm.joueurs, INDEX(Donnees!$A:$Z, _xlpm.ligpartie+1, _xlfn.SEQUENCE(1, 4, 2)),
    INDEX(
      Donnees!$A:$Z,
      _xlpm.ligpartie + 3,
      MATCH(J$1, _xlpm.joueurs, 0) + 1
    )
  ), ""
)</f>
        <v>3</v>
      </c>
      <c r="K243" t="str" cm="1">
        <f t="array" ref="K243">IFERROR(
  _xlfn.LET(
    _xlpm.ligpartie, MATCH($B242, Donnees!$F:$F, 0),
    _xlpm.joueurs, INDEX(Donnees!$A:$Z, _xlpm.ligpartie+1, _xlfn.SEQUENCE(1, 4, 2)),
    INDEX(
      Donnees!$A:$Z,
      _xlpm.ligpartie + 3,
      MATCH(K$1, _xlpm.joueurs, 0) + 1
    )
  ), ""
)</f>
        <v/>
      </c>
      <c r="L243" t="str" cm="1">
        <f t="array" ref="L243">IFERROR(
  _xlfn.LET(
    _xlpm.ligpartie, MATCH($B242, Donnees!$F:$F, 0),
    _xlpm.joueurs, INDEX(Donnees!$A:$Z, _xlpm.ligpartie+1, _xlfn.SEQUENCE(1, 4, 2)),
    INDEX(
      Donnees!$A:$Z,
      _xlpm.ligpartie + 3,
      MATCH(L$1, _xlpm.joueurs, 0) + 1
    )
  ), ""
)</f>
        <v/>
      </c>
      <c r="M243" t="str" cm="1">
        <f t="array" ref="M243">IFERROR(
  _xlfn.LET(
    _xlpm.ligpartie, MATCH($B242, Donnees!$F:$F, 0),
    _xlpm.joueurs, INDEX(Donnees!$A:$Z, _xlpm.ligpartie+1, _xlfn.SEQUENCE(1, 4, 2)),
    INDEX(
      Donnees!$A:$Z,
      _xlpm.ligpartie + 3,
      MATCH(M$1, _xlpm.joueurs, 0) + 1
    )
  ), ""
)</f>
        <v/>
      </c>
      <c r="N243" t="str" cm="1">
        <f t="array" ref="N243">IFERROR(
  _xlfn.LET(
    _xlpm.ligpartie, MATCH($B242, Donnees!$F:$F, 0),
    _xlpm.joueurs, INDEX(Donnees!$A:$Z, _xlpm.ligpartie+1, _xlfn.SEQUENCE(1, 4, 2)),
    INDEX(
      Donnees!$A:$Z,
      _xlpm.ligpartie + 3,
      MATCH(N$1, _xlpm.joueurs, 0) + 1
    )
  ), ""
)</f>
        <v/>
      </c>
      <c r="O243" t="str" cm="1">
        <f t="array" ref="O243">IFERROR(
  _xlfn.LET(
    _xlpm.ligpartie, MATCH($B242, Donnees!$F:$F, 0),
    _xlpm.joueurs, INDEX(Donnees!$A:$Z, _xlpm.ligpartie+1, _xlfn.SEQUENCE(1, 4, 2)),
    INDEX(
      Donnees!$A:$Z,
      _xlpm.ligpartie + 3,
      MATCH(O$1, _xlpm.joueurs, 0) + 1
    )
  ), ""
)</f>
        <v/>
      </c>
      <c r="P243" t="str" cm="1">
        <f t="array" ref="P243">IFERROR(
  _xlfn.LET(
    _xlpm.ligpartie, MATCH($B242, Donnees!$F:$F, 0),
    _xlpm.joueurs, INDEX(Donnees!$A:$Z, _xlpm.ligpartie+1, _xlfn.SEQUENCE(1, 4, 2)),
    INDEX(
      Donnees!$A:$Z,
      _xlpm.ligpartie + 3,
      MATCH(P$1, _xlpm.joueurs, 0) + 1
    )
  ), ""
)</f>
        <v/>
      </c>
      <c r="Q243" t="str" cm="1">
        <f t="array" ref="Q243">IFERROR(
  _xlfn.LET(
    _xlpm.ligpartie, MATCH($B242, Donnees!$F:$F, 0),
    _xlpm.joueurs, INDEX(Donnees!$A:$Z, _xlpm.ligpartie+1, _xlfn.SEQUENCE(1, 4, 2)),
    INDEX(
      Donnees!$A:$Z,
      _xlpm.ligpartie + 3,
      MATCH(Q$1, _xlpm.joueurs, 0) + 1
    )
  ), ""
)</f>
        <v/>
      </c>
      <c r="R243" t="str" cm="1">
        <f t="array" ref="R243">IFERROR(
  _xlfn.LET(
    _xlpm.ligpartie, MATCH($B242, Donnees!$F:$F, 0),
    _xlpm.joueurs, INDEX(Donnees!$A:$Z, _xlpm.ligpartie+1, _xlfn.SEQUENCE(1, 4, 2)),
    INDEX(
      Donnees!$A:$Z,
      _xlpm.ligpartie + 3,
      MATCH(R$1, _xlpm.joueurs, 0) + 1
    )
  ), ""
)</f>
        <v/>
      </c>
      <c r="S243" t="str" cm="1">
        <f t="array" ref="S243">IFERROR(
  _xlfn.LET(
    _xlpm.ligpartie, MATCH($B242, Donnees!$F:$F, 0),
    _xlpm.joueurs, INDEX(Donnees!$A:$Z, _xlpm.ligpartie+1, _xlfn.SEQUENCE(1, 4, 2)),
    INDEX(
      Donnees!$A:$Z,
      _xlpm.ligpartie + 3,
      MATCH(S$1, _xlpm.joueurs, 0) + 1
    )
  ), ""
)</f>
        <v/>
      </c>
      <c r="T243" t="str" cm="1">
        <f t="array" ref="T243">IFERROR(
  _xlfn.LET(
    _xlpm.ligpartie, MATCH($B242, Donnees!$F:$F, 0),
    _xlpm.joueurs, INDEX(Donnees!$A:$Z, _xlpm.ligpartie+1, _xlfn.SEQUENCE(1, 4, 2)),
    INDEX(
      Donnees!$A:$Z,
      _xlpm.ligpartie + 3,
      MATCH(T$1, _xlpm.joueurs, 0) + 1
    )
  ), ""
)</f>
        <v/>
      </c>
      <c r="U243" t="str" cm="1">
        <f t="array" ref="U243">IFERROR(
  _xlfn.LET(
    _xlpm.ligpartie, MATCH($B242, Donnees!$F:$F, 0),
    _xlpm.joueurs, INDEX(Donnees!$A:$Z, _xlpm.ligpartie+1, _xlfn.SEQUENCE(1, 4, 2)),
    INDEX(
      Donnees!$A:$Z,
      _xlpm.ligpartie + 3,
      MATCH(U$1, _xlpm.joueurs, 0) + 1
    )
  ), ""
)</f>
        <v/>
      </c>
      <c r="V243" t="str" cm="1">
        <f t="array" ref="V243">IFERROR(
  _xlfn.LET(
    _xlpm.ligpartie, MATCH($B242, Donnees!$F:$F, 0),
    _xlpm.joueurs, INDEX(Donnees!$A:$Z, _xlpm.ligpartie+1, _xlfn.SEQUENCE(1, 4, 2)),
    INDEX(
      Donnees!$A:$Z,
      _xlpm.ligpartie + 3,
      MATCH(V$1, _xlpm.joueurs, 0) + 1
    )
  ), ""
)</f>
        <v/>
      </c>
      <c r="W243" t="str" cm="1">
        <f t="array" ref="W243">IFERROR(
  _xlfn.LET(
    _xlpm.ligpartie, MATCH($B242, Donnees!$F:$F, 0),
    _xlpm.joueurs, INDEX(Donnees!$A:$Z, _xlpm.ligpartie+1, _xlfn.SEQUENCE(1, 4, 2)),
    INDEX(
      Donnees!$A:$Z,
      _xlpm.ligpartie + 3,
      MATCH(W$1, _xlpm.joueurs, 0) + 1
    )
  ), ""
)</f>
        <v/>
      </c>
      <c r="X243" t="str" cm="1">
        <f t="array" ref="X243">IFERROR(
  _xlfn.LET(
    _xlpm.ligpartie, MATCH($B242, Donnees!$F:$F, 0),
    _xlpm.joueurs, INDEX(Donnees!$A:$Z, _xlpm.ligpartie+1, _xlfn.SEQUENCE(1, 4, 2)),
    INDEX(
      Donnees!$A:$Z,
      _xlpm.ligpartie + 3,
      MATCH(X$1, _xlpm.joueurs, 0) + 1
    )
  ), ""
)</f>
        <v/>
      </c>
      <c r="Y243" t="str" cm="1">
        <f t="array" ref="Y243">IFERROR(
  _xlfn.LET(
    _xlpm.ligpartie, MATCH($B242, Donnees!$F:$F, 0),
    _xlpm.joueurs, INDEX(Donnees!$A:$Z, _xlpm.ligpartie+1, _xlfn.SEQUENCE(1, 4, 2)),
    INDEX(
      Donnees!$A:$Z,
      _xlpm.ligpartie + 3,
      MATCH(Y$1, _xlpm.joueurs, 0) + 1
    )
  ), ""
)</f>
        <v/>
      </c>
      <c r="Z243" t="str" cm="1">
        <f t="array" ref="Z243">IFERROR(
  _xlfn.LET(
    _xlpm.ligpartie, MATCH($B242, Donnees!$F:$F, 0),
    _xlpm.joueurs, INDEX(Donnees!$A:$Z, _xlpm.ligpartie+1, _xlfn.SEQUENCE(1, 4, 2)),
    INDEX(
      Donnees!$A:$Z,
      _xlpm.ligpartie + 3,
      MATCH(Z$1, _xlpm.joueurs, 0) + 1
    )
  ), ""
)</f>
        <v/>
      </c>
      <c r="AA243" t="str" cm="1">
        <f t="array" ref="AA243">IFERROR(
  _xlfn.LET(
    _xlpm.ligpartie, MATCH($B242, Donnees!$F:$F, 0),
    _xlpm.joueurs, INDEX(Donnees!$A:$Z, _xlpm.ligpartie+1, _xlfn.SEQUENCE(1, 4, 2)),
    INDEX(
      Donnees!$A:$Z,
      _xlpm.ligpartie + 3,
      MATCH(AA$1, _xlpm.joueurs, 0) + 1
    )
  ), ""
)</f>
        <v/>
      </c>
      <c r="AB243" t="str" cm="1">
        <f t="array" ref="AB243">IFERROR(
  _xlfn.LET(
    _xlpm.ligpartie, MATCH($B242, Donnees!$F:$F, 0),
    _xlpm.joueurs, INDEX(Donnees!$A:$Z, _xlpm.ligpartie+1, _xlfn.SEQUENCE(1, 4, 2)),
    INDEX(
      Donnees!$A:$Z,
      _xlpm.ligpartie + 3,
      MATCH(AB$1, _xlpm.joueurs, 0) + 1
    )
  ), ""
)</f>
        <v/>
      </c>
      <c r="AC243" t="str" cm="1">
        <f t="array" ref="AC243">IFERROR(
  _xlfn.LET(
    _xlpm.ligpartie, MATCH($B242, Donnees!$F:$F, 0),
    _xlpm.joueurs, INDEX(Donnees!$A:$Z, _xlpm.ligpartie+1, _xlfn.SEQUENCE(1, 4, 2)),
    INDEX(
      Donnees!$A:$Z,
      _xlpm.ligpartie + 3,
      MATCH(AC$1, _xlpm.joueurs, 0) + 1
    )
  ), ""
)</f>
        <v/>
      </c>
      <c r="AD243" t="str" cm="1">
        <f t="array" ref="AD243">IFERROR(
  _xlfn.LET(
    _xlpm.ligpartie, MATCH($B242, Donnees!$F:$F, 0),
    _xlpm.joueurs, INDEX(Donnees!$A:$Z, _xlpm.ligpartie+1, _xlfn.SEQUENCE(1, 4, 2)),
    INDEX(
      Donnees!$A:$Z,
      _xlpm.ligpartie + 3,
      MATCH(AD$1, _xlpm.joueurs, 0) + 1
    )
  ), ""
)</f>
        <v/>
      </c>
      <c r="AE243" cm="1">
        <f t="array" ref="AE243">IFERROR(
  _xlfn.LET(
    _xlpm.ligpartie, MATCH($B242, Donnees!$F:$F, 0),
    _xlpm.joueurs, INDEX(Donnees!$A:$Z, _xlpm.ligpartie+1, _xlfn.SEQUENCE(1, 4, 2)),
    INDEX(
      Donnees!$A:$Z,
      _xlpm.ligpartie + 3,
      MATCH(AE$1, _xlpm.joueurs, 0) + 1
    )
  ), ""
)</f>
        <v>1</v>
      </c>
      <c r="AF243" t="str" cm="1">
        <f t="array" ref="AF243">IFERROR(
  _xlfn.LET(
    _xlpm.ligpartie, MATCH($B242, Donnees!$F:$F, 0),
    _xlpm.joueurs, INDEX(Donnees!$A:$Z, _xlpm.ligpartie+1, _xlfn.SEQUENCE(1, 4, 2)),
    INDEX(
      Donnees!$A:$Z,
      _xlpm.ligpartie + 3,
      MATCH(AF$1, _xlpm.joueurs, 0) + 1
    )
  ), ""
)</f>
        <v/>
      </c>
      <c r="AG243" cm="1">
        <f t="array" ref="AG243">IFERROR(
  _xlfn.LET(
    _xlpm.ligpartie, MATCH($B242, Donnees!$F:$F, 0),
    _xlpm.joueurs, INDEX(Donnees!$A:$Z, _xlpm.ligpartie+1, _xlfn.SEQUENCE(1, 4, 2)),
    INDEX(
      Donnees!$A:$Z,
      _xlpm.ligpartie + 3,
      MATCH(AG$1, _xlpm.joueurs, 0) + 1
    )
  ), ""
)</f>
        <v>2</v>
      </c>
      <c r="AH243" cm="1">
        <f t="array" ref="AH243">IFERROR(
  _xlfn.LET(
    _xlpm.ligpartie, MATCH($B242, Donnees!$F:$F, 0),
    _xlpm.joueurs, INDEX(Donnees!$A:$Z, _xlpm.ligpartie+1, _xlfn.SEQUENCE(1, 4, 2)),
    INDEX(
      Donnees!$A:$Z,
      _xlpm.ligpartie + 3,
      MATCH(AH$1, _xlpm.joueurs, 0) + 1
    )
  ), ""
)</f>
        <v>0</v>
      </c>
      <c r="AI243" t="str" cm="1">
        <f t="array" ref="AI243">IFERROR(
  _xlfn.LET(
    _xlpm.ligpartie, MATCH($B242, Donnees!$F:$F, 0),
    _xlpm.joueurs, INDEX(Donnees!$A:$Z, _xlpm.ligpartie+1, _xlfn.SEQUENCE(1, 4, 2)),
    INDEX(
      Donnees!$A:$Z,
      _xlpm.ligpartie + 3,
      MATCH(AI$1, _xlpm.joueurs, 0) + 1
    )
  ), ""
)</f>
        <v/>
      </c>
      <c r="AJ243" t="str" cm="1">
        <f t="array" ref="AJ243">IFERROR(
  _xlfn.LET(
    _xlpm.ligpartie, MATCH($B242, Donnees!$F:$F, 0),
    _xlpm.joueurs, INDEX(Donnees!$A:$Z, _xlpm.ligpartie+1, _xlfn.SEQUENCE(1, 4, 2)),
    INDEX(
      Donnees!$A:$Z,
      _xlpm.ligpartie + 3,
      MATCH(AJ$1, _xlpm.joueurs, 0) + 1
    )
  ), ""
)</f>
        <v/>
      </c>
      <c r="AK243" t="str" cm="1">
        <f t="array" ref="AK243">IFERROR(
  _xlfn.LET(
    _xlpm.ligpartie, MATCH($B242, Donnees!$F:$F, 0),
    _xlpm.joueurs, INDEX(Donnees!$A:$Z, _xlpm.ligpartie+1, _xlfn.SEQUENCE(1, 4, 2)),
    INDEX(
      Donnees!$A:$Z,
      _xlpm.ligpartie + 3,
      MATCH(AK$1, _xlpm.joueurs, 0) + 1
    )
  ), ""
)</f>
        <v/>
      </c>
      <c r="AL243" t="str" cm="1">
        <f t="array" ref="AL243">IFERROR(
  _xlfn.LET(
    _xlpm.ligpartie, MATCH($B242, Donnees!$F:$F, 0),
    _xlpm.joueurs, INDEX(Donnees!$A:$Z, _xlpm.ligpartie+1, _xlfn.SEQUENCE(1, 4, 2)),
    INDEX(
      Donnees!$A:$Z,
      _xlpm.ligpartie + 3,
      MATCH(AL$1, _xlpm.joueurs, 0) + 1
    )
  ), ""
)</f>
        <v/>
      </c>
      <c r="AM243" t="str" cm="1">
        <f t="array" ref="AM243">IFERROR(
  _xlfn.LET(
    _xlpm.ligpartie, MATCH($B242, Donnees!$F:$F, 0),
    _xlpm.joueurs, INDEX(Donnees!$A:$Z, _xlpm.ligpartie+1, _xlfn.SEQUENCE(1, 4, 2)),
    INDEX(
      Donnees!$A:$Z,
      _xlpm.ligpartie + 3,
      MATCH(AM$1, _xlpm.joueurs, 0) + 1
    )
  ), ""
)</f>
        <v/>
      </c>
    </row>
    <row r="244" spans="1:39" x14ac:dyDescent="0.25">
      <c r="A244" t="s">
        <v>20</v>
      </c>
      <c r="D244" t="str" cm="1">
        <f t="array" ref="D244">_xlfn.LET(
  _xlpm.colj, _xlfn._xlws.FILTER(IF(ISNUMBER(243:243), COLUMN(243:243)), ISNUMBER(243:243)),
  _xlpm.elos, INDEX(242:242,1,_xlpm.colj),
  _xlpm.diffscale, Constantes!$B$2,
  IF(D243="",
    "",
    SUM(1/(1+POWER(10,-(D242-_xlpm.elos)/_xlpm.diffscale)))-0.5)
)</f>
        <v/>
      </c>
      <c r="E244" t="str" cm="1">
        <f t="array" ref="E244">_xlfn.LET(
  _xlpm.colj, _xlfn._xlws.FILTER(IF(ISNUMBER(243:243), COLUMN(243:243)), ISNUMBER(243:243)),
  _xlpm.elos, INDEX(242:242,1,_xlpm.colj),
  _xlpm.diffscale, Constantes!$B$2,
  IF(E243="",
    "",
    SUM(1/(1+POWER(10,-(E242-_xlpm.elos)/_xlpm.diffscale)))-0.5)
)</f>
        <v/>
      </c>
      <c r="F244" t="str" cm="1">
        <f t="array" ref="F244">_xlfn.LET(
  _xlpm.colj, _xlfn._xlws.FILTER(IF(ISNUMBER(243:243), COLUMN(243:243)), ISNUMBER(243:243)),
  _xlpm.elos, INDEX(242:242,1,_xlpm.colj),
  _xlpm.diffscale, Constantes!$B$2,
  IF(F243="",
    "",
    SUM(1/(1+POWER(10,-(F242-_xlpm.elos)/_xlpm.diffscale)))-0.5)
)</f>
        <v/>
      </c>
      <c r="G244" t="str" cm="1">
        <f t="array" ref="G244">_xlfn.LET(
  _xlpm.colj, _xlfn._xlws.FILTER(IF(ISNUMBER(243:243), COLUMN(243:243)), ISNUMBER(243:243)),
  _xlpm.elos, INDEX(242:242,1,_xlpm.colj),
  _xlpm.diffscale, Constantes!$B$2,
  IF(G243="",
    "",
    SUM(1/(1+POWER(10,-(G242-_xlpm.elos)/_xlpm.diffscale)))-0.5)
)</f>
        <v/>
      </c>
      <c r="H244" t="str" cm="1">
        <f t="array" ref="H244">_xlfn.LET(
  _xlpm.colj, _xlfn._xlws.FILTER(IF(ISNUMBER(243:243), COLUMN(243:243)), ISNUMBER(243:243)),
  _xlpm.elos, INDEX(242:242,1,_xlpm.colj),
  _xlpm.diffscale, Constantes!$B$2,
  IF(H243="",
    "",
    SUM(1/(1+POWER(10,-(H242-_xlpm.elos)/_xlpm.diffscale)))-0.5)
)</f>
        <v/>
      </c>
      <c r="I244" t="str" cm="1">
        <f t="array" ref="I244">_xlfn.LET(
  _xlpm.colj, _xlfn._xlws.FILTER(IF(ISNUMBER(243:243), COLUMN(243:243)), ISNUMBER(243:243)),
  _xlpm.elos, INDEX(242:242,1,_xlpm.colj),
  _xlpm.diffscale, Constantes!$B$2,
  IF(I243="",
    "",
    SUM(1/(1+POWER(10,-(I242-_xlpm.elos)/_xlpm.diffscale)))-0.5)
)</f>
        <v/>
      </c>
      <c r="J244" cm="1">
        <f t="array" ref="J244">_xlfn.LET(
  _xlpm.colj, _xlfn._xlws.FILTER(IF(ISNUMBER(243:243), COLUMN(243:243)), ISNUMBER(243:243)),
  _xlpm.elos, INDEX(242:242,1,_xlpm.colj),
  _xlpm.diffscale, Constantes!$B$2,
  IF(J243="",
    "",
    SUM(1/(1+POWER(10,-(J242-_xlpm.elos)/_xlpm.diffscale)))-0.5)
)</f>
        <v>1.4773180192942319</v>
      </c>
      <c r="K244" t="str" cm="1">
        <f t="array" ref="K244">_xlfn.LET(
  _xlpm.colj, _xlfn._xlws.FILTER(IF(ISNUMBER(243:243), COLUMN(243:243)), ISNUMBER(243:243)),
  _xlpm.elos, INDEX(242:242,1,_xlpm.colj),
  _xlpm.diffscale, Constantes!$B$2,
  IF(K243="",
    "",
    SUM(1/(1+POWER(10,-(K242-_xlpm.elos)/_xlpm.diffscale)))-0.5)
)</f>
        <v/>
      </c>
      <c r="L244" t="str" cm="1">
        <f t="array" ref="L244">_xlfn.LET(
  _xlpm.colj, _xlfn._xlws.FILTER(IF(ISNUMBER(243:243), COLUMN(243:243)), ISNUMBER(243:243)),
  _xlpm.elos, INDEX(242:242,1,_xlpm.colj),
  _xlpm.diffscale, Constantes!$B$2,
  IF(L243="",
    "",
    SUM(1/(1+POWER(10,-(L242-_xlpm.elos)/_xlpm.diffscale)))-0.5)
)</f>
        <v/>
      </c>
      <c r="M244" t="str" cm="1">
        <f t="array" ref="M244">_xlfn.LET(
  _xlpm.colj, _xlfn._xlws.FILTER(IF(ISNUMBER(243:243), COLUMN(243:243)), ISNUMBER(243:243)),
  _xlpm.elos, INDEX(242:242,1,_xlpm.colj),
  _xlpm.diffscale, Constantes!$B$2,
  IF(M243="",
    "",
    SUM(1/(1+POWER(10,-(M242-_xlpm.elos)/_xlpm.diffscale)))-0.5)
)</f>
        <v/>
      </c>
      <c r="N244" t="str" cm="1">
        <f t="array" ref="N244">_xlfn.LET(
  _xlpm.colj, _xlfn._xlws.FILTER(IF(ISNUMBER(243:243), COLUMN(243:243)), ISNUMBER(243:243)),
  _xlpm.elos, INDEX(242:242,1,_xlpm.colj),
  _xlpm.diffscale, Constantes!$B$2,
  IF(N243="",
    "",
    SUM(1/(1+POWER(10,-(N242-_xlpm.elos)/_xlpm.diffscale)))-0.5)
)</f>
        <v/>
      </c>
      <c r="O244" t="str" cm="1">
        <f t="array" ref="O244">_xlfn.LET(
  _xlpm.colj, _xlfn._xlws.FILTER(IF(ISNUMBER(243:243), COLUMN(243:243)), ISNUMBER(243:243)),
  _xlpm.elos, INDEX(242:242,1,_xlpm.colj),
  _xlpm.diffscale, Constantes!$B$2,
  IF(O243="",
    "",
    SUM(1/(1+POWER(10,-(O242-_xlpm.elos)/_xlpm.diffscale)))-0.5)
)</f>
        <v/>
      </c>
      <c r="P244" t="str" cm="1">
        <f t="array" ref="P244">_xlfn.LET(
  _xlpm.colj, _xlfn._xlws.FILTER(IF(ISNUMBER(243:243), COLUMN(243:243)), ISNUMBER(243:243)),
  _xlpm.elos, INDEX(242:242,1,_xlpm.colj),
  _xlpm.diffscale, Constantes!$B$2,
  IF(P243="",
    "",
    SUM(1/(1+POWER(10,-(P242-_xlpm.elos)/_xlpm.diffscale)))-0.5)
)</f>
        <v/>
      </c>
      <c r="Q244" t="str" cm="1">
        <f t="array" ref="Q244">_xlfn.LET(
  _xlpm.colj, _xlfn._xlws.FILTER(IF(ISNUMBER(243:243), COLUMN(243:243)), ISNUMBER(243:243)),
  _xlpm.elos, INDEX(242:242,1,_xlpm.colj),
  _xlpm.diffscale, Constantes!$B$2,
  IF(Q243="",
    "",
    SUM(1/(1+POWER(10,-(Q242-_xlpm.elos)/_xlpm.diffscale)))-0.5)
)</f>
        <v/>
      </c>
      <c r="R244" t="str" cm="1">
        <f t="array" ref="R244">_xlfn.LET(
  _xlpm.colj, _xlfn._xlws.FILTER(IF(ISNUMBER(243:243), COLUMN(243:243)), ISNUMBER(243:243)),
  _xlpm.elos, INDEX(242:242,1,_xlpm.colj),
  _xlpm.diffscale, Constantes!$B$2,
  IF(R243="",
    "",
    SUM(1/(1+POWER(10,-(R242-_xlpm.elos)/_xlpm.diffscale)))-0.5)
)</f>
        <v/>
      </c>
      <c r="S244" t="str" cm="1">
        <f t="array" ref="S244">_xlfn.LET(
  _xlpm.colj, _xlfn._xlws.FILTER(IF(ISNUMBER(243:243), COLUMN(243:243)), ISNUMBER(243:243)),
  _xlpm.elos, INDEX(242:242,1,_xlpm.colj),
  _xlpm.diffscale, Constantes!$B$2,
  IF(S243="",
    "",
    SUM(1/(1+POWER(10,-(S242-_xlpm.elos)/_xlpm.diffscale)))-0.5)
)</f>
        <v/>
      </c>
      <c r="T244" t="str" cm="1">
        <f t="array" ref="T244">_xlfn.LET(
  _xlpm.colj, _xlfn._xlws.FILTER(IF(ISNUMBER(243:243), COLUMN(243:243)), ISNUMBER(243:243)),
  _xlpm.elos, INDEX(242:242,1,_xlpm.colj),
  _xlpm.diffscale, Constantes!$B$2,
  IF(T243="",
    "",
    SUM(1/(1+POWER(10,-(T242-_xlpm.elos)/_xlpm.diffscale)))-0.5)
)</f>
        <v/>
      </c>
      <c r="U244" t="str" cm="1">
        <f t="array" ref="U244">_xlfn.LET(
  _xlpm.colj, _xlfn._xlws.FILTER(IF(ISNUMBER(243:243), COLUMN(243:243)), ISNUMBER(243:243)),
  _xlpm.elos, INDEX(242:242,1,_xlpm.colj),
  _xlpm.diffscale, Constantes!$B$2,
  IF(U243="",
    "",
    SUM(1/(1+POWER(10,-(U242-_xlpm.elos)/_xlpm.diffscale)))-0.5)
)</f>
        <v/>
      </c>
      <c r="V244" t="str" cm="1">
        <f t="array" ref="V244">_xlfn.LET(
  _xlpm.colj, _xlfn._xlws.FILTER(IF(ISNUMBER(243:243), COLUMN(243:243)), ISNUMBER(243:243)),
  _xlpm.elos, INDEX(242:242,1,_xlpm.colj),
  _xlpm.diffscale, Constantes!$B$2,
  IF(V243="",
    "",
    SUM(1/(1+POWER(10,-(V242-_xlpm.elos)/_xlpm.diffscale)))-0.5)
)</f>
        <v/>
      </c>
      <c r="W244" t="str" cm="1">
        <f t="array" ref="W244">_xlfn.LET(
  _xlpm.colj, _xlfn._xlws.FILTER(IF(ISNUMBER(243:243), COLUMN(243:243)), ISNUMBER(243:243)),
  _xlpm.elos, INDEX(242:242,1,_xlpm.colj),
  _xlpm.diffscale, Constantes!$B$2,
  IF(W243="",
    "",
    SUM(1/(1+POWER(10,-(W242-_xlpm.elos)/_xlpm.diffscale)))-0.5)
)</f>
        <v/>
      </c>
      <c r="X244" t="str" cm="1">
        <f t="array" ref="X244">_xlfn.LET(
  _xlpm.colj, _xlfn._xlws.FILTER(IF(ISNUMBER(243:243), COLUMN(243:243)), ISNUMBER(243:243)),
  _xlpm.elos, INDEX(242:242,1,_xlpm.colj),
  _xlpm.diffscale, Constantes!$B$2,
  IF(X243="",
    "",
    SUM(1/(1+POWER(10,-(X242-_xlpm.elos)/_xlpm.diffscale)))-0.5)
)</f>
        <v/>
      </c>
      <c r="Y244" t="str" cm="1">
        <f t="array" ref="Y244">_xlfn.LET(
  _xlpm.colj, _xlfn._xlws.FILTER(IF(ISNUMBER(243:243), COLUMN(243:243)), ISNUMBER(243:243)),
  _xlpm.elos, INDEX(242:242,1,_xlpm.colj),
  _xlpm.diffscale, Constantes!$B$2,
  IF(Y243="",
    "",
    SUM(1/(1+POWER(10,-(Y242-_xlpm.elos)/_xlpm.diffscale)))-0.5)
)</f>
        <v/>
      </c>
      <c r="Z244" t="str" cm="1">
        <f t="array" ref="Z244">_xlfn.LET(
  _xlpm.colj, _xlfn._xlws.FILTER(IF(ISNUMBER(243:243), COLUMN(243:243)), ISNUMBER(243:243)),
  _xlpm.elos, INDEX(242:242,1,_xlpm.colj),
  _xlpm.diffscale, Constantes!$B$2,
  IF(Z243="",
    "",
    SUM(1/(1+POWER(10,-(Z242-_xlpm.elos)/_xlpm.diffscale)))-0.5)
)</f>
        <v/>
      </c>
      <c r="AA244" t="str" cm="1">
        <f t="array" ref="AA244">_xlfn.LET(
  _xlpm.colj, _xlfn._xlws.FILTER(IF(ISNUMBER(243:243), COLUMN(243:243)), ISNUMBER(243:243)),
  _xlpm.elos, INDEX(242:242,1,_xlpm.colj),
  _xlpm.diffscale, Constantes!$B$2,
  IF(AA243="",
    "",
    SUM(1/(1+POWER(10,-(AA242-_xlpm.elos)/_xlpm.diffscale)))-0.5)
)</f>
        <v/>
      </c>
      <c r="AB244" t="str" cm="1">
        <f t="array" ref="AB244">_xlfn.LET(
  _xlpm.colj, _xlfn._xlws.FILTER(IF(ISNUMBER(243:243), COLUMN(243:243)), ISNUMBER(243:243)),
  _xlpm.elos, INDEX(242:242,1,_xlpm.colj),
  _xlpm.diffscale, Constantes!$B$2,
  IF(AB243="",
    "",
    SUM(1/(1+POWER(10,-(AB242-_xlpm.elos)/_xlpm.diffscale)))-0.5)
)</f>
        <v/>
      </c>
      <c r="AC244" t="str" cm="1">
        <f t="array" ref="AC244">_xlfn.LET(
  _xlpm.colj, _xlfn._xlws.FILTER(IF(ISNUMBER(243:243), COLUMN(243:243)), ISNUMBER(243:243)),
  _xlpm.elos, INDEX(242:242,1,_xlpm.colj),
  _xlpm.diffscale, Constantes!$B$2,
  IF(AC243="",
    "",
    SUM(1/(1+POWER(10,-(AC242-_xlpm.elos)/_xlpm.diffscale)))-0.5)
)</f>
        <v/>
      </c>
      <c r="AD244" t="str" cm="1">
        <f t="array" ref="AD244">_xlfn.LET(
  _xlpm.colj, _xlfn._xlws.FILTER(IF(ISNUMBER(243:243), COLUMN(243:243)), ISNUMBER(243:243)),
  _xlpm.elos, INDEX(242:242,1,_xlpm.colj),
  _xlpm.diffscale, Constantes!$B$2,
  IF(AD243="",
    "",
    SUM(1/(1+POWER(10,-(AD242-_xlpm.elos)/_xlpm.diffscale)))-0.5)
)</f>
        <v/>
      </c>
      <c r="AE244" cm="1">
        <f t="array" ref="AE244">_xlfn.LET(
  _xlpm.colj, _xlfn._xlws.FILTER(IF(ISNUMBER(243:243), COLUMN(243:243)), ISNUMBER(243:243)),
  _xlpm.elos, INDEX(242:242,1,_xlpm.colj),
  _xlpm.diffscale, Constantes!$B$2,
  IF(AE243="",
    "",
    SUM(1/(1+POWER(10,-(AE242-_xlpm.elos)/_xlpm.diffscale)))-0.5)
)</f>
        <v>1.5897368975191482</v>
      </c>
      <c r="AF244" t="str" cm="1">
        <f t="array" ref="AF244">_xlfn.LET(
  _xlpm.colj, _xlfn._xlws.FILTER(IF(ISNUMBER(243:243), COLUMN(243:243)), ISNUMBER(243:243)),
  _xlpm.elos, INDEX(242:242,1,_xlpm.colj),
  _xlpm.diffscale, Constantes!$B$2,
  IF(AF243="",
    "",
    SUM(1/(1+POWER(10,-(AF242-_xlpm.elos)/_xlpm.diffscale)))-0.5)
)</f>
        <v/>
      </c>
      <c r="AG244" cm="1">
        <f t="array" ref="AG244">_xlfn.LET(
  _xlpm.colj, _xlfn._xlws.FILTER(IF(ISNUMBER(243:243), COLUMN(243:243)), ISNUMBER(243:243)),
  _xlpm.elos, INDEX(242:242,1,_xlpm.colj),
  _xlpm.diffscale, Constantes!$B$2,
  IF(AG243="",
    "",
    SUM(1/(1+POWER(10,-(AG242-_xlpm.elos)/_xlpm.diffscale)))-0.5)
)</f>
        <v>1.2885287202596305</v>
      </c>
      <c r="AH244" cm="1">
        <f t="array" ref="AH244">_xlfn.LET(
  _xlpm.colj, _xlfn._xlws.FILTER(IF(ISNUMBER(243:243), COLUMN(243:243)), ISNUMBER(243:243)),
  _xlpm.elos, INDEX(242:242,1,_xlpm.colj),
  _xlpm.diffscale, Constantes!$B$2,
  IF(AH243="",
    "",
    SUM(1/(1+POWER(10,-(AH242-_xlpm.elos)/_xlpm.diffscale)))-0.5)
)</f>
        <v>1.6444163629269894</v>
      </c>
      <c r="AI244" t="str" cm="1">
        <f t="array" ref="AI244">_xlfn.LET(
  _xlpm.colj, _xlfn._xlws.FILTER(IF(ISNUMBER(243:243), COLUMN(243:243)), ISNUMBER(243:243)),
  _xlpm.elos, INDEX(242:242,1,_xlpm.colj),
  _xlpm.diffscale, Constantes!$B$2,
  IF(AI243="",
    "",
    SUM(1/(1+POWER(10,-(AI242-_xlpm.elos)/_xlpm.diffscale)))-0.5)
)</f>
        <v/>
      </c>
      <c r="AJ244" t="str" cm="1">
        <f t="array" ref="AJ244">_xlfn.LET(
  _xlpm.colj, _xlfn._xlws.FILTER(IF(ISNUMBER(243:243), COLUMN(243:243)), ISNUMBER(243:243)),
  _xlpm.elos, INDEX(242:242,1,_xlpm.colj),
  _xlpm.diffscale, Constantes!$B$2,
  IF(AJ243="",
    "",
    SUM(1/(1+POWER(10,-(AJ242-_xlpm.elos)/_xlpm.diffscale)))-0.5)
)</f>
        <v/>
      </c>
      <c r="AK244" t="str" cm="1">
        <f t="array" ref="AK244">_xlfn.LET(
  _xlpm.colj, _xlfn._xlws.FILTER(IF(ISNUMBER(243:243), COLUMN(243:243)), ISNUMBER(243:243)),
  _xlpm.elos, INDEX(242:242,1,_xlpm.colj),
  _xlpm.diffscale, Constantes!$B$2,
  IF(AK243="",
    "",
    SUM(1/(1+POWER(10,-(AK242-_xlpm.elos)/_xlpm.diffscale)))-0.5)
)</f>
        <v/>
      </c>
      <c r="AL244" t="str" cm="1">
        <f t="array" ref="AL244">_xlfn.LET(
  _xlpm.colj, _xlfn._xlws.FILTER(IF(ISNUMBER(243:243), COLUMN(243:243)), ISNUMBER(243:243)),
  _xlpm.elos, INDEX(242:242,1,_xlpm.colj),
  _xlpm.diffscale, Constantes!$B$2,
  IF(AL243="",
    "",
    SUM(1/(1+POWER(10,-(AL242-_xlpm.elos)/_xlpm.diffscale)))-0.5)
)</f>
        <v/>
      </c>
      <c r="AM244" t="str" cm="1">
        <f t="array" ref="AM244">_xlfn.LET(
  _xlpm.colj, _xlfn._xlws.FILTER(IF(ISNUMBER(243:243), COLUMN(243:243)), ISNUMBER(243:243)),
  _xlpm.elos, INDEX(242:242,1,_xlpm.colj),
  _xlpm.diffscale, Constantes!$B$2,
  IF(AM243="",
    "",
    SUM(1/(1+POWER(10,-(AM242-_xlpm.elos)/_xlpm.diffscale)))-0.5)
)</f>
        <v/>
      </c>
    </row>
    <row r="245" spans="1:39" x14ac:dyDescent="0.25">
      <c r="A245" t="s">
        <v>22</v>
      </c>
      <c r="D245" t="str" cm="1">
        <f t="array" ref="D245">_xlfn.LET(
  _xlpm.K, Constantes!$B$3,
  _xlpm.Knewgain, Constantes!$B$4,
  _xlpm.Knewscale, Constantes!$B$5,
  _xlpm.ptstables, INDEX(D:D, _xlfn.SEQUENCE(COUNTA($C$2:$C245), 1, 3, 4)),
  _xlpm.nbparties, COUNTA(_xlfn._xlws.FILTER(_xlpm.ptstables, _xlpm.ptstables &lt;&gt; "")),
  _xlpm.coef, _xlpm.K + _xlpm.Knewgain / (_xlpm.Knewscale + _xlpm.nbparties),
  IF(D243="",
    "",
    _xlpm.coef * (D243-D244))
)</f>
        <v/>
      </c>
      <c r="E245" t="str" cm="1">
        <f t="array" ref="E245">_xlfn.LET(
  _xlpm.K, Constantes!$B$3,
  _xlpm.Knewgain, Constantes!$B$4,
  _xlpm.Knewscale, Constantes!$B$5,
  _xlpm.ptstables, INDEX(E:E, _xlfn.SEQUENCE(COUNTA($C$2:$C245), 1, 3, 4)),
  _xlpm.nbparties, COUNTA(_xlfn._xlws.FILTER(_xlpm.ptstables, _xlpm.ptstables &lt;&gt; "")),
  _xlpm.coef, _xlpm.K + _xlpm.Knewgain / (_xlpm.Knewscale + _xlpm.nbparties),
  IF(E243="",
    "",
    _xlpm.coef * (E243-E244))
)</f>
        <v/>
      </c>
      <c r="F245" t="str" cm="1">
        <f t="array" ref="F245">_xlfn.LET(
  _xlpm.K, Constantes!$B$3,
  _xlpm.Knewgain, Constantes!$B$4,
  _xlpm.Knewscale, Constantes!$B$5,
  _xlpm.ptstables, INDEX(F:F, _xlfn.SEQUENCE(COUNTA($C$2:$C245), 1, 3, 4)),
  _xlpm.nbparties, COUNTA(_xlfn._xlws.FILTER(_xlpm.ptstables, _xlpm.ptstables &lt;&gt; "")),
  _xlpm.coef, _xlpm.K + _xlpm.Knewgain / (_xlpm.Knewscale + _xlpm.nbparties),
  IF(F243="",
    "",
    _xlpm.coef * (F243-F244))
)</f>
        <v/>
      </c>
      <c r="G245" t="str" cm="1">
        <f t="array" ref="G245">_xlfn.LET(
  _xlpm.K, Constantes!$B$3,
  _xlpm.Knewgain, Constantes!$B$4,
  _xlpm.Knewscale, Constantes!$B$5,
  _xlpm.ptstables, INDEX(G:G, _xlfn.SEQUENCE(COUNTA($C$2:$C245), 1, 3, 4)),
  _xlpm.nbparties, COUNTA(_xlfn._xlws.FILTER(_xlpm.ptstables, _xlpm.ptstables &lt;&gt; "")),
  _xlpm.coef, _xlpm.K + _xlpm.Knewgain / (_xlpm.Knewscale + _xlpm.nbparties),
  IF(G243="",
    "",
    _xlpm.coef * (G243-G244))
)</f>
        <v/>
      </c>
      <c r="H245" t="str" cm="1">
        <f t="array" ref="H245">_xlfn.LET(
  _xlpm.K, Constantes!$B$3,
  _xlpm.Knewgain, Constantes!$B$4,
  _xlpm.Knewscale, Constantes!$B$5,
  _xlpm.ptstables, INDEX(H:H, _xlfn.SEQUENCE(COUNTA($C$2:$C245), 1, 3, 4)),
  _xlpm.nbparties, COUNTA(_xlfn._xlws.FILTER(_xlpm.ptstables, _xlpm.ptstables &lt;&gt; "")),
  _xlpm.coef, _xlpm.K + _xlpm.Knewgain / (_xlpm.Knewscale + _xlpm.nbparties),
  IF(H243="",
    "",
    _xlpm.coef * (H243-H244))
)</f>
        <v/>
      </c>
      <c r="I245" t="str" cm="1">
        <f t="array" ref="I245">_xlfn.LET(
  _xlpm.K, Constantes!$B$3,
  _xlpm.Knewgain, Constantes!$B$4,
  _xlpm.Knewscale, Constantes!$B$5,
  _xlpm.ptstables, INDEX(I:I, _xlfn.SEQUENCE(COUNTA($C$2:$C245), 1, 3, 4)),
  _xlpm.nbparties, COUNTA(_xlfn._xlws.FILTER(_xlpm.ptstables, _xlpm.ptstables &lt;&gt; "")),
  _xlpm.coef, _xlpm.K + _xlpm.Knewgain / (_xlpm.Knewscale + _xlpm.nbparties),
  IF(I243="",
    "",
    _xlpm.coef * (I243-I244))
)</f>
        <v/>
      </c>
      <c r="J245" cm="1">
        <f t="array" ref="J245">_xlfn.LET(
  _xlpm.K, Constantes!$B$3,
  _xlpm.Knewgain, Constantes!$B$4,
  _xlpm.Knewscale, Constantes!$B$5,
  _xlpm.ptstables, INDEX(J:J, _xlfn.SEQUENCE(COUNTA($C$2:$C245), 1, 3, 4)),
  _xlpm.nbparties, COUNTA(_xlfn._xlws.FILTER(_xlpm.ptstables, _xlpm.ptstables &lt;&gt; "")),
  _xlpm.coef, _xlpm.K + _xlpm.Knewgain / (_xlpm.Knewscale + _xlpm.nbparties),
  IF(J243="",
    "",
    _xlpm.coef * (J243-J244))
)</f>
        <v>45.68045942117304</v>
      </c>
      <c r="K245" t="str" cm="1">
        <f t="array" ref="K245">_xlfn.LET(
  _xlpm.K, Constantes!$B$3,
  _xlpm.Knewgain, Constantes!$B$4,
  _xlpm.Knewscale, Constantes!$B$5,
  _xlpm.ptstables, INDEX(K:K, _xlfn.SEQUENCE(COUNTA($C$2:$C245), 1, 3, 4)),
  _xlpm.nbparties, COUNTA(_xlfn._xlws.FILTER(_xlpm.ptstables, _xlpm.ptstables &lt;&gt; "")),
  _xlpm.coef, _xlpm.K + _xlpm.Knewgain / (_xlpm.Knewscale + _xlpm.nbparties),
  IF(K243="",
    "",
    _xlpm.coef * (K243-K244))
)</f>
        <v/>
      </c>
      <c r="L245" t="str" cm="1">
        <f t="array" ref="L245">_xlfn.LET(
  _xlpm.K, Constantes!$B$3,
  _xlpm.Knewgain, Constantes!$B$4,
  _xlpm.Knewscale, Constantes!$B$5,
  _xlpm.ptstables, INDEX(L:L, _xlfn.SEQUENCE(COUNTA($C$2:$C245), 1, 3, 4)),
  _xlpm.nbparties, COUNTA(_xlfn._xlws.FILTER(_xlpm.ptstables, _xlpm.ptstables &lt;&gt; "")),
  _xlpm.coef, _xlpm.K + _xlpm.Knewgain / (_xlpm.Knewscale + _xlpm.nbparties),
  IF(L243="",
    "",
    _xlpm.coef * (L243-L244))
)</f>
        <v/>
      </c>
      <c r="M245" t="str" cm="1">
        <f t="array" ref="M245">_xlfn.LET(
  _xlpm.K, Constantes!$B$3,
  _xlpm.Knewgain, Constantes!$B$4,
  _xlpm.Knewscale, Constantes!$B$5,
  _xlpm.ptstables, INDEX(M:M, _xlfn.SEQUENCE(COUNTA($C$2:$C245), 1, 3, 4)),
  _xlpm.nbparties, COUNTA(_xlfn._xlws.FILTER(_xlpm.ptstables, _xlpm.ptstables &lt;&gt; "")),
  _xlpm.coef, _xlpm.K + _xlpm.Knewgain / (_xlpm.Knewscale + _xlpm.nbparties),
  IF(M243="",
    "",
    _xlpm.coef * (M243-M244))
)</f>
        <v/>
      </c>
      <c r="N245" t="str" cm="1">
        <f t="array" ref="N245">_xlfn.LET(
  _xlpm.K, Constantes!$B$3,
  _xlpm.Knewgain, Constantes!$B$4,
  _xlpm.Knewscale, Constantes!$B$5,
  _xlpm.ptstables, INDEX(N:N, _xlfn.SEQUENCE(COUNTA($C$2:$C245), 1, 3, 4)),
  _xlpm.nbparties, COUNTA(_xlfn._xlws.FILTER(_xlpm.ptstables, _xlpm.ptstables &lt;&gt; "")),
  _xlpm.coef, _xlpm.K + _xlpm.Knewgain / (_xlpm.Knewscale + _xlpm.nbparties),
  IF(N243="",
    "",
    _xlpm.coef * (N243-N244))
)</f>
        <v/>
      </c>
      <c r="O245" t="str" cm="1">
        <f t="array" ref="O245">_xlfn.LET(
  _xlpm.K, Constantes!$B$3,
  _xlpm.Knewgain, Constantes!$B$4,
  _xlpm.Knewscale, Constantes!$B$5,
  _xlpm.ptstables, INDEX(O:O, _xlfn.SEQUENCE(COUNTA($C$2:$C245), 1, 3, 4)),
  _xlpm.nbparties, COUNTA(_xlfn._xlws.FILTER(_xlpm.ptstables, _xlpm.ptstables &lt;&gt; "")),
  _xlpm.coef, _xlpm.K + _xlpm.Knewgain / (_xlpm.Knewscale + _xlpm.nbparties),
  IF(O243="",
    "",
    _xlpm.coef * (O243-O244))
)</f>
        <v/>
      </c>
      <c r="P245" t="str" cm="1">
        <f t="array" ref="P245">_xlfn.LET(
  _xlpm.K, Constantes!$B$3,
  _xlpm.Knewgain, Constantes!$B$4,
  _xlpm.Knewscale, Constantes!$B$5,
  _xlpm.ptstables, INDEX(P:P, _xlfn.SEQUENCE(COUNTA($C$2:$C245), 1, 3, 4)),
  _xlpm.nbparties, COUNTA(_xlfn._xlws.FILTER(_xlpm.ptstables, _xlpm.ptstables &lt;&gt; "")),
  _xlpm.coef, _xlpm.K + _xlpm.Knewgain / (_xlpm.Knewscale + _xlpm.nbparties),
  IF(P243="",
    "",
    _xlpm.coef * (P243-P244))
)</f>
        <v/>
      </c>
      <c r="Q245" t="str" cm="1">
        <f t="array" ref="Q245">_xlfn.LET(
  _xlpm.K, Constantes!$B$3,
  _xlpm.Knewgain, Constantes!$B$4,
  _xlpm.Knewscale, Constantes!$B$5,
  _xlpm.ptstables, INDEX(Q:Q, _xlfn.SEQUENCE(COUNTA($C$2:$C245), 1, 3, 4)),
  _xlpm.nbparties, COUNTA(_xlfn._xlws.FILTER(_xlpm.ptstables, _xlpm.ptstables &lt;&gt; "")),
  _xlpm.coef, _xlpm.K + _xlpm.Knewgain / (_xlpm.Knewscale + _xlpm.nbparties),
  IF(Q243="",
    "",
    _xlpm.coef * (Q243-Q244))
)</f>
        <v/>
      </c>
      <c r="R245" t="str" cm="1">
        <f t="array" ref="R245">_xlfn.LET(
  _xlpm.K, Constantes!$B$3,
  _xlpm.Knewgain, Constantes!$B$4,
  _xlpm.Knewscale, Constantes!$B$5,
  _xlpm.ptstables, INDEX(R:R, _xlfn.SEQUENCE(COUNTA($C$2:$C245), 1, 3, 4)),
  _xlpm.nbparties, COUNTA(_xlfn._xlws.FILTER(_xlpm.ptstables, _xlpm.ptstables &lt;&gt; "")),
  _xlpm.coef, _xlpm.K + _xlpm.Knewgain / (_xlpm.Knewscale + _xlpm.nbparties),
  IF(R243="",
    "",
    _xlpm.coef * (R243-R244))
)</f>
        <v/>
      </c>
      <c r="S245" t="str" cm="1">
        <f t="array" ref="S245">_xlfn.LET(
  _xlpm.K, Constantes!$B$3,
  _xlpm.Knewgain, Constantes!$B$4,
  _xlpm.Knewscale, Constantes!$B$5,
  _xlpm.ptstables, INDEX(S:S, _xlfn.SEQUENCE(COUNTA($C$2:$C245), 1, 3, 4)),
  _xlpm.nbparties, COUNTA(_xlfn._xlws.FILTER(_xlpm.ptstables, _xlpm.ptstables &lt;&gt; "")),
  _xlpm.coef, _xlpm.K + _xlpm.Knewgain / (_xlpm.Knewscale + _xlpm.nbparties),
  IF(S243="",
    "",
    _xlpm.coef * (S243-S244))
)</f>
        <v/>
      </c>
      <c r="T245" t="str" cm="1">
        <f t="array" ref="T245">_xlfn.LET(
  _xlpm.K, Constantes!$B$3,
  _xlpm.Knewgain, Constantes!$B$4,
  _xlpm.Knewscale, Constantes!$B$5,
  _xlpm.ptstables, INDEX(T:T, _xlfn.SEQUENCE(COUNTA($C$2:$C245), 1, 3, 4)),
  _xlpm.nbparties, COUNTA(_xlfn._xlws.FILTER(_xlpm.ptstables, _xlpm.ptstables &lt;&gt; "")),
  _xlpm.coef, _xlpm.K + _xlpm.Knewgain / (_xlpm.Knewscale + _xlpm.nbparties),
  IF(T243="",
    "",
    _xlpm.coef * (T243-T244))
)</f>
        <v/>
      </c>
      <c r="U245" t="str" cm="1">
        <f t="array" ref="U245">_xlfn.LET(
  _xlpm.K, Constantes!$B$3,
  _xlpm.Knewgain, Constantes!$B$4,
  _xlpm.Knewscale, Constantes!$B$5,
  _xlpm.ptstables, INDEX(U:U, _xlfn.SEQUENCE(COUNTA($C$2:$C245), 1, 3, 4)),
  _xlpm.nbparties, COUNTA(_xlfn._xlws.FILTER(_xlpm.ptstables, _xlpm.ptstables &lt;&gt; "")),
  _xlpm.coef, _xlpm.K + _xlpm.Knewgain / (_xlpm.Knewscale + _xlpm.nbparties),
  IF(U243="",
    "",
    _xlpm.coef * (U243-U244))
)</f>
        <v/>
      </c>
      <c r="V245" t="str" cm="1">
        <f t="array" ref="V245">_xlfn.LET(
  _xlpm.K, Constantes!$B$3,
  _xlpm.Knewgain, Constantes!$B$4,
  _xlpm.Knewscale, Constantes!$B$5,
  _xlpm.ptstables, INDEX(V:V, _xlfn.SEQUENCE(COUNTA($C$2:$C245), 1, 3, 4)),
  _xlpm.nbparties, COUNTA(_xlfn._xlws.FILTER(_xlpm.ptstables, _xlpm.ptstables &lt;&gt; "")),
  _xlpm.coef, _xlpm.K + _xlpm.Knewgain / (_xlpm.Knewscale + _xlpm.nbparties),
  IF(V243="",
    "",
    _xlpm.coef * (V243-V244))
)</f>
        <v/>
      </c>
      <c r="W245" t="str" cm="1">
        <f t="array" ref="W245">_xlfn.LET(
  _xlpm.K, Constantes!$B$3,
  _xlpm.Knewgain, Constantes!$B$4,
  _xlpm.Knewscale, Constantes!$B$5,
  _xlpm.ptstables, INDEX(W:W, _xlfn.SEQUENCE(COUNTA($C$2:$C245), 1, 3, 4)),
  _xlpm.nbparties, COUNTA(_xlfn._xlws.FILTER(_xlpm.ptstables, _xlpm.ptstables &lt;&gt; "")),
  _xlpm.coef, _xlpm.K + _xlpm.Knewgain / (_xlpm.Knewscale + _xlpm.nbparties),
  IF(W243="",
    "",
    _xlpm.coef * (W243-W244))
)</f>
        <v/>
      </c>
      <c r="X245" t="str" cm="1">
        <f t="array" ref="X245">_xlfn.LET(
  _xlpm.K, Constantes!$B$3,
  _xlpm.Knewgain, Constantes!$B$4,
  _xlpm.Knewscale, Constantes!$B$5,
  _xlpm.ptstables, INDEX(X:X, _xlfn.SEQUENCE(COUNTA($C$2:$C245), 1, 3, 4)),
  _xlpm.nbparties, COUNTA(_xlfn._xlws.FILTER(_xlpm.ptstables, _xlpm.ptstables &lt;&gt; "")),
  _xlpm.coef, _xlpm.K + _xlpm.Knewgain / (_xlpm.Knewscale + _xlpm.nbparties),
  IF(X243="",
    "",
    _xlpm.coef * (X243-X244))
)</f>
        <v/>
      </c>
      <c r="Y245" t="str" cm="1">
        <f t="array" ref="Y245">_xlfn.LET(
  _xlpm.K, Constantes!$B$3,
  _xlpm.Knewgain, Constantes!$B$4,
  _xlpm.Knewscale, Constantes!$B$5,
  _xlpm.ptstables, INDEX(Y:Y, _xlfn.SEQUENCE(COUNTA($C$2:$C245), 1, 3, 4)),
  _xlpm.nbparties, COUNTA(_xlfn._xlws.FILTER(_xlpm.ptstables, _xlpm.ptstables &lt;&gt; "")),
  _xlpm.coef, _xlpm.K + _xlpm.Knewgain / (_xlpm.Knewscale + _xlpm.nbparties),
  IF(Y243="",
    "",
    _xlpm.coef * (Y243-Y244))
)</f>
        <v/>
      </c>
      <c r="Z245" t="str" cm="1">
        <f t="array" ref="Z245">_xlfn.LET(
  _xlpm.K, Constantes!$B$3,
  _xlpm.Knewgain, Constantes!$B$4,
  _xlpm.Knewscale, Constantes!$B$5,
  _xlpm.ptstables, INDEX(Z:Z, _xlfn.SEQUENCE(COUNTA($C$2:$C245), 1, 3, 4)),
  _xlpm.nbparties, COUNTA(_xlfn._xlws.FILTER(_xlpm.ptstables, _xlpm.ptstables &lt;&gt; "")),
  _xlpm.coef, _xlpm.K + _xlpm.Knewgain / (_xlpm.Knewscale + _xlpm.nbparties),
  IF(Z243="",
    "",
    _xlpm.coef * (Z243-Z244))
)</f>
        <v/>
      </c>
      <c r="AA245" t="str" cm="1">
        <f t="array" ref="AA245">_xlfn.LET(
  _xlpm.K, Constantes!$B$3,
  _xlpm.Knewgain, Constantes!$B$4,
  _xlpm.Knewscale, Constantes!$B$5,
  _xlpm.ptstables, INDEX(AA:AA, _xlfn.SEQUENCE(COUNTA($C$2:$C245), 1, 3, 4)),
  _xlpm.nbparties, COUNTA(_xlfn._xlws.FILTER(_xlpm.ptstables, _xlpm.ptstables &lt;&gt; "")),
  _xlpm.coef, _xlpm.K + _xlpm.Knewgain / (_xlpm.Knewscale + _xlpm.nbparties),
  IF(AA243="",
    "",
    _xlpm.coef * (AA243-AA244))
)</f>
        <v/>
      </c>
      <c r="AB245" t="str" cm="1">
        <f t="array" ref="AB245">_xlfn.LET(
  _xlpm.K, Constantes!$B$3,
  _xlpm.Knewgain, Constantes!$B$4,
  _xlpm.Knewscale, Constantes!$B$5,
  _xlpm.ptstables, INDEX(AB:AB, _xlfn.SEQUENCE(COUNTA($C$2:$C245), 1, 3, 4)),
  _xlpm.nbparties, COUNTA(_xlfn._xlws.FILTER(_xlpm.ptstables, _xlpm.ptstables &lt;&gt; "")),
  _xlpm.coef, _xlpm.K + _xlpm.Knewgain / (_xlpm.Knewscale + _xlpm.nbparties),
  IF(AB243="",
    "",
    _xlpm.coef * (AB243-AB244))
)</f>
        <v/>
      </c>
      <c r="AC245" t="str" cm="1">
        <f t="array" ref="AC245">_xlfn.LET(
  _xlpm.K, Constantes!$B$3,
  _xlpm.Knewgain, Constantes!$B$4,
  _xlpm.Knewscale, Constantes!$B$5,
  _xlpm.ptstables, INDEX(AC:AC, _xlfn.SEQUENCE(COUNTA($C$2:$C245), 1, 3, 4)),
  _xlpm.nbparties, COUNTA(_xlfn._xlws.FILTER(_xlpm.ptstables, _xlpm.ptstables &lt;&gt; "")),
  _xlpm.coef, _xlpm.K + _xlpm.Knewgain / (_xlpm.Knewscale + _xlpm.nbparties),
  IF(AC243="",
    "",
    _xlpm.coef * (AC243-AC244))
)</f>
        <v/>
      </c>
      <c r="AD245" t="str" cm="1">
        <f t="array" ref="AD245">_xlfn.LET(
  _xlpm.K, Constantes!$B$3,
  _xlpm.Knewgain, Constantes!$B$4,
  _xlpm.Knewscale, Constantes!$B$5,
  _xlpm.ptstables, INDEX(AD:AD, _xlfn.SEQUENCE(COUNTA($C$2:$C245), 1, 3, 4)),
  _xlpm.nbparties, COUNTA(_xlfn._xlws.FILTER(_xlpm.ptstables, _xlpm.ptstables &lt;&gt; "")),
  _xlpm.coef, _xlpm.K + _xlpm.Knewgain / (_xlpm.Knewscale + _xlpm.nbparties),
  IF(AD243="",
    "",
    _xlpm.coef * (AD243-AD244))
)</f>
        <v/>
      </c>
      <c r="AE245" cm="1">
        <f t="array" ref="AE245">_xlfn.LET(
  _xlpm.K, Constantes!$B$3,
  _xlpm.Knewgain, Constantes!$B$4,
  _xlpm.Knewscale, Constantes!$B$5,
  _xlpm.ptstables, INDEX(AE:AE, _xlfn.SEQUENCE(COUNTA($C$2:$C245), 1, 3, 4)),
  _xlpm.nbparties, COUNTA(_xlfn._xlws.FILTER(_xlpm.ptstables, _xlpm.ptstables &lt;&gt; "")),
  _xlpm.coef, _xlpm.K + _xlpm.Knewgain / (_xlpm.Knewscale + _xlpm.nbparties),
  IF(AE243="",
    "",
    _xlpm.coef * (AE243-AE244))
)</f>
        <v>-21.62368624236877</v>
      </c>
      <c r="AF245" t="str" cm="1">
        <f t="array" ref="AF245">_xlfn.LET(
  _xlpm.K, Constantes!$B$3,
  _xlpm.Knewgain, Constantes!$B$4,
  _xlpm.Knewscale, Constantes!$B$5,
  _xlpm.ptstables, INDEX(AF:AF, _xlfn.SEQUENCE(COUNTA($C$2:$C245), 1, 3, 4)),
  _xlpm.nbparties, COUNTA(_xlfn._xlws.FILTER(_xlpm.ptstables, _xlpm.ptstables &lt;&gt; "")),
  _xlpm.coef, _xlpm.K + _xlpm.Knewgain / (_xlpm.Knewscale + _xlpm.nbparties),
  IF(AF243="",
    "",
    _xlpm.coef * (AF243-AF244))
)</f>
        <v/>
      </c>
      <c r="AG245" cm="1">
        <f t="array" ref="AG245">_xlfn.LET(
  _xlpm.K, Constantes!$B$3,
  _xlpm.Knewgain, Constantes!$B$4,
  _xlpm.Knewscale, Constantes!$B$5,
  _xlpm.ptstables, INDEX(AG:AG, _xlfn.SEQUENCE(COUNTA($C$2:$C245), 1, 3, 4)),
  _xlpm.nbparties, COUNTA(_xlfn._xlws.FILTER(_xlpm.ptstables, _xlpm.ptstables &lt;&gt; "")),
  _xlpm.coef, _xlpm.K + _xlpm.Knewgain / (_xlpm.Knewscale + _xlpm.nbparties),
  IF(AG243="",
    "",
    _xlpm.coef * (AG243-AG244))
)</f>
        <v>26.087280257146887</v>
      </c>
      <c r="AH245" cm="1">
        <f t="array" ref="AH245">_xlfn.LET(
  _xlpm.K, Constantes!$B$3,
  _xlpm.Knewgain, Constantes!$B$4,
  _xlpm.Knewscale, Constantes!$B$5,
  _xlpm.ptstables, INDEX(AH:AH, _xlfn.SEQUENCE(COUNTA($C$2:$C245), 1, 3, 4)),
  _xlpm.nbparties, COUNTA(_xlfn._xlws.FILTER(_xlpm.ptstables, _xlpm.ptstables &lt;&gt; "")),
  _xlpm.coef, _xlpm.K + _xlpm.Knewgain / (_xlpm.Knewscale + _xlpm.nbparties),
  IF(AH243="",
    "",
    _xlpm.coef * (AH243-AH244))
)</f>
        <v>-73.998736331714525</v>
      </c>
      <c r="AI245" t="str" cm="1">
        <f t="array" ref="AI245">_xlfn.LET(
  _xlpm.K, Constantes!$B$3,
  _xlpm.Knewgain, Constantes!$B$4,
  _xlpm.Knewscale, Constantes!$B$5,
  _xlpm.ptstables, INDEX(AI:AI, _xlfn.SEQUENCE(COUNTA($C$2:$C245), 1, 3, 4)),
  _xlpm.nbparties, COUNTA(_xlfn._xlws.FILTER(_xlpm.ptstables, _xlpm.ptstables &lt;&gt; "")),
  _xlpm.coef, _xlpm.K + _xlpm.Knewgain / (_xlpm.Knewscale + _xlpm.nbparties),
  IF(AI243="",
    "",
    _xlpm.coef * (AI243-AI244))
)</f>
        <v/>
      </c>
      <c r="AJ245" t="str" cm="1">
        <f t="array" ref="AJ245">_xlfn.LET(
  _xlpm.K, Constantes!$B$3,
  _xlpm.Knewgain, Constantes!$B$4,
  _xlpm.Knewscale, Constantes!$B$5,
  _xlpm.ptstables, INDEX(AJ:AJ, _xlfn.SEQUENCE(COUNTA($C$2:$C245), 1, 3, 4)),
  _xlpm.nbparties, COUNTA(_xlfn._xlws.FILTER(_xlpm.ptstables, _xlpm.ptstables &lt;&gt; "")),
  _xlpm.coef, _xlpm.K + _xlpm.Knewgain / (_xlpm.Knewscale + _xlpm.nbparties),
  IF(AJ243="",
    "",
    _xlpm.coef * (AJ243-AJ244))
)</f>
        <v/>
      </c>
      <c r="AK245" t="str" cm="1">
        <f t="array" ref="AK245">_xlfn.LET(
  _xlpm.K, Constantes!$B$3,
  _xlpm.Knewgain, Constantes!$B$4,
  _xlpm.Knewscale, Constantes!$B$5,
  _xlpm.ptstables, INDEX(AK:AK, _xlfn.SEQUENCE(COUNTA($C$2:$C245), 1, 3, 4)),
  _xlpm.nbparties, COUNTA(_xlfn._xlws.FILTER(_xlpm.ptstables, _xlpm.ptstables &lt;&gt; "")),
  _xlpm.coef, _xlpm.K + _xlpm.Knewgain / (_xlpm.Knewscale + _xlpm.nbparties),
  IF(AK243="",
    "",
    _xlpm.coef * (AK243-AK244))
)</f>
        <v/>
      </c>
      <c r="AL245" t="str" cm="1">
        <f t="array" ref="AL245">_xlfn.LET(
  _xlpm.K, Constantes!$B$3,
  _xlpm.Knewgain, Constantes!$B$4,
  _xlpm.Knewscale, Constantes!$B$5,
  _xlpm.ptstables, INDEX(AL:AL, _xlfn.SEQUENCE(COUNTA($C$2:$C245), 1, 3, 4)),
  _xlpm.nbparties, COUNTA(_xlfn._xlws.FILTER(_xlpm.ptstables, _xlpm.ptstables &lt;&gt; "")),
  _xlpm.coef, _xlpm.K + _xlpm.Knewgain / (_xlpm.Knewscale + _xlpm.nbparties),
  IF(AL243="",
    "",
    _xlpm.coef * (AL243-AL244))
)</f>
        <v/>
      </c>
      <c r="AM245" t="str" cm="1">
        <f t="array" ref="AM245">_xlfn.LET(
  _xlpm.K, Constantes!$B$3,
  _xlpm.Knewgain, Constantes!$B$4,
  _xlpm.Knewscale, Constantes!$B$5,
  _xlpm.ptstables, INDEX(AM:AM, _xlfn.SEQUENCE(COUNTA($C$2:$C245), 1, 3, 4)),
  _xlpm.nbparties, COUNTA(_xlfn._xlws.FILTER(_xlpm.ptstables, _xlpm.ptstables &lt;&gt; "")),
  _xlpm.coef, _xlpm.K + _xlpm.Knewgain / (_xlpm.Knewscale + _xlpm.nbparties),
  IF(AM243="",
    "",
    _xlpm.coef * (AM243-AM244))
)</f>
        <v/>
      </c>
    </row>
    <row r="246" spans="1:39" x14ac:dyDescent="0.25">
      <c r="A246" t="s">
        <v>14</v>
      </c>
      <c r="B246" t="str" cm="1">
        <f t="array" ref="B24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72</v>
      </c>
      <c r="C246" s="2" cm="1">
        <f t="array" ref="C246">IF(B246="","",
  INDEX(Donnees!F:F, MATCH(B246, Donnees!F:F, 0)+1))</f>
        <v>45941.593055555553</v>
      </c>
      <c r="D246">
        <f t="shared" ref="D246:AM246" si="69">D242+IF(D245="",0,D245)</f>
        <v>1080.5073798720127</v>
      </c>
      <c r="E246">
        <f t="shared" si="69"/>
        <v>1150.8581509866578</v>
      </c>
      <c r="F246">
        <f t="shared" si="69"/>
        <v>840.07622072834204</v>
      </c>
      <c r="G246">
        <f t="shared" si="69"/>
        <v>1095.3886964417595</v>
      </c>
      <c r="H246">
        <f t="shared" si="69"/>
        <v>1041.4828877801035</v>
      </c>
      <c r="I246">
        <f t="shared" si="69"/>
        <v>960.57774210047694</v>
      </c>
      <c r="J246">
        <f t="shared" si="69"/>
        <v>1010.9125108504293</v>
      </c>
      <c r="K246">
        <f t="shared" si="69"/>
        <v>957.39471433630956</v>
      </c>
      <c r="L246">
        <f t="shared" si="69"/>
        <v>766.95119884458973</v>
      </c>
      <c r="M246">
        <f t="shared" si="69"/>
        <v>913.41986361738122</v>
      </c>
      <c r="N246">
        <f t="shared" si="69"/>
        <v>905.23376280700177</v>
      </c>
      <c r="O246">
        <f t="shared" si="69"/>
        <v>980.22411339123312</v>
      </c>
      <c r="P246">
        <f t="shared" si="69"/>
        <v>1044.694691960626</v>
      </c>
      <c r="Q246">
        <f t="shared" si="69"/>
        <v>1108.7965412414278</v>
      </c>
      <c r="R246">
        <f t="shared" si="69"/>
        <v>1080.636938748263</v>
      </c>
      <c r="S246">
        <f t="shared" si="69"/>
        <v>912.90205356391152</v>
      </c>
      <c r="T246">
        <f t="shared" si="69"/>
        <v>1135.2782658680615</v>
      </c>
      <c r="U246">
        <f t="shared" si="69"/>
        <v>1115.9839629001663</v>
      </c>
      <c r="V246">
        <f t="shared" si="69"/>
        <v>983.1120575372413</v>
      </c>
      <c r="W246">
        <f t="shared" si="69"/>
        <v>936.79085942937002</v>
      </c>
      <c r="X246">
        <f t="shared" si="69"/>
        <v>814.38475747458392</v>
      </c>
      <c r="Y246">
        <f t="shared" si="69"/>
        <v>959.91987155343315</v>
      </c>
      <c r="Z246">
        <f t="shared" si="69"/>
        <v>991.11904139672549</v>
      </c>
      <c r="AA246">
        <f t="shared" si="69"/>
        <v>953.20431206972398</v>
      </c>
      <c r="AB246">
        <f t="shared" si="69"/>
        <v>988.35669729544747</v>
      </c>
      <c r="AC246">
        <f t="shared" si="69"/>
        <v>1039.1635789679592</v>
      </c>
      <c r="AD246">
        <f t="shared" si="69"/>
        <v>1073.9096023401294</v>
      </c>
      <c r="AE246">
        <f t="shared" si="69"/>
        <v>963.23981965000235</v>
      </c>
      <c r="AF246">
        <f t="shared" si="69"/>
        <v>1089.5415391863121</v>
      </c>
      <c r="AG246">
        <f t="shared" si="69"/>
        <v>958.23078604304851</v>
      </c>
      <c r="AH246">
        <f t="shared" si="69"/>
        <v>920.4412636682855</v>
      </c>
      <c r="AI246">
        <f t="shared" si="69"/>
        <v>1000</v>
      </c>
      <c r="AJ246">
        <f t="shared" si="69"/>
        <v>957.2</v>
      </c>
      <c r="AK246">
        <f t="shared" si="69"/>
        <v>1000</v>
      </c>
      <c r="AL246">
        <f t="shared" si="69"/>
        <v>1055.9299999999998</v>
      </c>
      <c r="AM246">
        <f t="shared" si="69"/>
        <v>1000</v>
      </c>
    </row>
    <row r="247" spans="1:39" x14ac:dyDescent="0.25">
      <c r="A247" t="s">
        <v>21</v>
      </c>
      <c r="D247" t="str" cm="1">
        <f t="array" ref="D247">IFERROR(
  _xlfn.LET(
    _xlpm.ligpartie, MATCH($B246, Donnees!$F:$F, 0),
    _xlpm.joueurs, INDEX(Donnees!$A:$Z, _xlpm.ligpartie+1, _xlfn.SEQUENCE(1, 4, 2)),
    INDEX(
      Donnees!$A:$Z,
      _xlpm.ligpartie + 3,
      MATCH(D$1, _xlpm.joueurs, 0) + 1
    )
  ), ""
)</f>
        <v/>
      </c>
      <c r="E247" t="str" cm="1">
        <f t="array" ref="E247">IFERROR(
  _xlfn.LET(
    _xlpm.ligpartie, MATCH($B246, Donnees!$F:$F, 0),
    _xlpm.joueurs, INDEX(Donnees!$A:$Z, _xlpm.ligpartie+1, _xlfn.SEQUENCE(1, 4, 2)),
    INDEX(
      Donnees!$A:$Z,
      _xlpm.ligpartie + 3,
      MATCH(E$1, _xlpm.joueurs, 0) + 1
    )
  ), ""
)</f>
        <v/>
      </c>
      <c r="F247" t="str" cm="1">
        <f t="array" ref="F247">IFERROR(
  _xlfn.LET(
    _xlpm.ligpartie, MATCH($B246, Donnees!$F:$F, 0),
    _xlpm.joueurs, INDEX(Donnees!$A:$Z, _xlpm.ligpartie+1, _xlfn.SEQUENCE(1, 4, 2)),
    INDEX(
      Donnees!$A:$Z,
      _xlpm.ligpartie + 3,
      MATCH(F$1, _xlpm.joueurs, 0) + 1
    )
  ), ""
)</f>
        <v/>
      </c>
      <c r="G247" t="str" cm="1">
        <f t="array" ref="G247">IFERROR(
  _xlfn.LET(
    _xlpm.ligpartie, MATCH($B246, Donnees!$F:$F, 0),
    _xlpm.joueurs, INDEX(Donnees!$A:$Z, _xlpm.ligpartie+1, _xlfn.SEQUENCE(1, 4, 2)),
    INDEX(
      Donnees!$A:$Z,
      _xlpm.ligpartie + 3,
      MATCH(G$1, _xlpm.joueurs, 0) + 1
    )
  ), ""
)</f>
        <v/>
      </c>
      <c r="H247" t="str" cm="1">
        <f t="array" ref="H247">IFERROR(
  _xlfn.LET(
    _xlpm.ligpartie, MATCH($B246, Donnees!$F:$F, 0),
    _xlpm.joueurs, INDEX(Donnees!$A:$Z, _xlpm.ligpartie+1, _xlfn.SEQUENCE(1, 4, 2)),
    INDEX(
      Donnees!$A:$Z,
      _xlpm.ligpartie + 3,
      MATCH(H$1, _xlpm.joueurs, 0) + 1
    )
  ), ""
)</f>
        <v/>
      </c>
      <c r="I247" t="str" cm="1">
        <f t="array" ref="I247">IFERROR(
  _xlfn.LET(
    _xlpm.ligpartie, MATCH($B246, Donnees!$F:$F, 0),
    _xlpm.joueurs, INDEX(Donnees!$A:$Z, _xlpm.ligpartie+1, _xlfn.SEQUENCE(1, 4, 2)),
    INDEX(
      Donnees!$A:$Z,
      _xlpm.ligpartie + 3,
      MATCH(I$1, _xlpm.joueurs, 0) + 1
    )
  ), ""
)</f>
        <v/>
      </c>
      <c r="J247" t="str" cm="1">
        <f t="array" ref="J247">IFERROR(
  _xlfn.LET(
    _xlpm.ligpartie, MATCH($B246, Donnees!$F:$F, 0),
    _xlpm.joueurs, INDEX(Donnees!$A:$Z, _xlpm.ligpartie+1, _xlfn.SEQUENCE(1, 4, 2)),
    INDEX(
      Donnees!$A:$Z,
      _xlpm.ligpartie + 3,
      MATCH(J$1, _xlpm.joueurs, 0) + 1
    )
  ), ""
)</f>
        <v/>
      </c>
      <c r="K247" cm="1">
        <f t="array" ref="K247">IFERROR(
  _xlfn.LET(
    _xlpm.ligpartie, MATCH($B246, Donnees!$F:$F, 0),
    _xlpm.joueurs, INDEX(Donnees!$A:$Z, _xlpm.ligpartie+1, _xlfn.SEQUENCE(1, 4, 2)),
    INDEX(
      Donnees!$A:$Z,
      _xlpm.ligpartie + 3,
      MATCH(K$1, _xlpm.joueurs, 0) + 1
    )
  ), ""
)</f>
        <v>3</v>
      </c>
      <c r="L247" t="str" cm="1">
        <f t="array" ref="L247">IFERROR(
  _xlfn.LET(
    _xlpm.ligpartie, MATCH($B246, Donnees!$F:$F, 0),
    _xlpm.joueurs, INDEX(Donnees!$A:$Z, _xlpm.ligpartie+1, _xlfn.SEQUENCE(1, 4, 2)),
    INDEX(
      Donnees!$A:$Z,
      _xlpm.ligpartie + 3,
      MATCH(L$1, _xlpm.joueurs, 0) + 1
    )
  ), ""
)</f>
        <v/>
      </c>
      <c r="M247" t="str" cm="1">
        <f t="array" ref="M247">IFERROR(
  _xlfn.LET(
    _xlpm.ligpartie, MATCH($B246, Donnees!$F:$F, 0),
    _xlpm.joueurs, INDEX(Donnees!$A:$Z, _xlpm.ligpartie+1, _xlfn.SEQUENCE(1, 4, 2)),
    INDEX(
      Donnees!$A:$Z,
      _xlpm.ligpartie + 3,
      MATCH(M$1, _xlpm.joueurs, 0) + 1
    )
  ), ""
)</f>
        <v/>
      </c>
      <c r="N247" cm="1">
        <f t="array" ref="N247">IFERROR(
  _xlfn.LET(
    _xlpm.ligpartie, MATCH($B246, Donnees!$F:$F, 0),
    _xlpm.joueurs, INDEX(Donnees!$A:$Z, _xlpm.ligpartie+1, _xlfn.SEQUENCE(1, 4, 2)),
    INDEX(
      Donnees!$A:$Z,
      _xlpm.ligpartie + 3,
      MATCH(N$1, _xlpm.joueurs, 0) + 1
    )
  ), ""
)</f>
        <v>1</v>
      </c>
      <c r="O247" t="str" cm="1">
        <f t="array" ref="O247">IFERROR(
  _xlfn.LET(
    _xlpm.ligpartie, MATCH($B246, Donnees!$F:$F, 0),
    _xlpm.joueurs, INDEX(Donnees!$A:$Z, _xlpm.ligpartie+1, _xlfn.SEQUENCE(1, 4, 2)),
    INDEX(
      Donnees!$A:$Z,
      _xlpm.ligpartie + 3,
      MATCH(O$1, _xlpm.joueurs, 0) + 1
    )
  ), ""
)</f>
        <v/>
      </c>
      <c r="P247" t="str" cm="1">
        <f t="array" ref="P247">IFERROR(
  _xlfn.LET(
    _xlpm.ligpartie, MATCH($B246, Donnees!$F:$F, 0),
    _xlpm.joueurs, INDEX(Donnees!$A:$Z, _xlpm.ligpartie+1, _xlfn.SEQUENCE(1, 4, 2)),
    INDEX(
      Donnees!$A:$Z,
      _xlpm.ligpartie + 3,
      MATCH(P$1, _xlpm.joueurs, 0) + 1
    )
  ), ""
)</f>
        <v/>
      </c>
      <c r="Q247" t="str" cm="1">
        <f t="array" ref="Q247">IFERROR(
  _xlfn.LET(
    _xlpm.ligpartie, MATCH($B246, Donnees!$F:$F, 0),
    _xlpm.joueurs, INDEX(Donnees!$A:$Z, _xlpm.ligpartie+1, _xlfn.SEQUENCE(1, 4, 2)),
    INDEX(
      Donnees!$A:$Z,
      _xlpm.ligpartie + 3,
      MATCH(Q$1, _xlpm.joueurs, 0) + 1
    )
  ), ""
)</f>
        <v/>
      </c>
      <c r="R247" t="str" cm="1">
        <f t="array" ref="R247">IFERROR(
  _xlfn.LET(
    _xlpm.ligpartie, MATCH($B246, Donnees!$F:$F, 0),
    _xlpm.joueurs, INDEX(Donnees!$A:$Z, _xlpm.ligpartie+1, _xlfn.SEQUENCE(1, 4, 2)),
    INDEX(
      Donnees!$A:$Z,
      _xlpm.ligpartie + 3,
      MATCH(R$1, _xlpm.joueurs, 0) + 1
    )
  ), ""
)</f>
        <v/>
      </c>
      <c r="S247" t="str" cm="1">
        <f t="array" ref="S247">IFERROR(
  _xlfn.LET(
    _xlpm.ligpartie, MATCH($B246, Donnees!$F:$F, 0),
    _xlpm.joueurs, INDEX(Donnees!$A:$Z, _xlpm.ligpartie+1, _xlfn.SEQUENCE(1, 4, 2)),
    INDEX(
      Donnees!$A:$Z,
      _xlpm.ligpartie + 3,
      MATCH(S$1, _xlpm.joueurs, 0) + 1
    )
  ), ""
)</f>
        <v/>
      </c>
      <c r="T247" t="str" cm="1">
        <f t="array" ref="T247">IFERROR(
  _xlfn.LET(
    _xlpm.ligpartie, MATCH($B246, Donnees!$F:$F, 0),
    _xlpm.joueurs, INDEX(Donnees!$A:$Z, _xlpm.ligpartie+1, _xlfn.SEQUENCE(1, 4, 2)),
    INDEX(
      Donnees!$A:$Z,
      _xlpm.ligpartie + 3,
      MATCH(T$1, _xlpm.joueurs, 0) + 1
    )
  ), ""
)</f>
        <v/>
      </c>
      <c r="U247" t="str" cm="1">
        <f t="array" ref="U247">IFERROR(
  _xlfn.LET(
    _xlpm.ligpartie, MATCH($B246, Donnees!$F:$F, 0),
    _xlpm.joueurs, INDEX(Donnees!$A:$Z, _xlpm.ligpartie+1, _xlfn.SEQUENCE(1, 4, 2)),
    INDEX(
      Donnees!$A:$Z,
      _xlpm.ligpartie + 3,
      MATCH(U$1, _xlpm.joueurs, 0) + 1
    )
  ), ""
)</f>
        <v/>
      </c>
      <c r="V247" cm="1">
        <f t="array" ref="V247">IFERROR(
  _xlfn.LET(
    _xlpm.ligpartie, MATCH($B246, Donnees!$F:$F, 0),
    _xlpm.joueurs, INDEX(Donnees!$A:$Z, _xlpm.ligpartie+1, _xlfn.SEQUENCE(1, 4, 2)),
    INDEX(
      Donnees!$A:$Z,
      _xlpm.ligpartie + 3,
      MATCH(V$1, _xlpm.joueurs, 0) + 1
    )
  ), ""
)</f>
        <v>0</v>
      </c>
      <c r="W247" t="str" cm="1">
        <f t="array" ref="W247">IFERROR(
  _xlfn.LET(
    _xlpm.ligpartie, MATCH($B246, Donnees!$F:$F, 0),
    _xlpm.joueurs, INDEX(Donnees!$A:$Z, _xlpm.ligpartie+1, _xlfn.SEQUENCE(1, 4, 2)),
    INDEX(
      Donnees!$A:$Z,
      _xlpm.ligpartie + 3,
      MATCH(W$1, _xlpm.joueurs, 0) + 1
    )
  ), ""
)</f>
        <v/>
      </c>
      <c r="X247" t="str" cm="1">
        <f t="array" ref="X247">IFERROR(
  _xlfn.LET(
    _xlpm.ligpartie, MATCH($B246, Donnees!$F:$F, 0),
    _xlpm.joueurs, INDEX(Donnees!$A:$Z, _xlpm.ligpartie+1, _xlfn.SEQUENCE(1, 4, 2)),
    INDEX(
      Donnees!$A:$Z,
      _xlpm.ligpartie + 3,
      MATCH(X$1, _xlpm.joueurs, 0) + 1
    )
  ), ""
)</f>
        <v/>
      </c>
      <c r="Y247" t="str" cm="1">
        <f t="array" ref="Y247">IFERROR(
  _xlfn.LET(
    _xlpm.ligpartie, MATCH($B246, Donnees!$F:$F, 0),
    _xlpm.joueurs, INDEX(Donnees!$A:$Z, _xlpm.ligpartie+1, _xlfn.SEQUENCE(1, 4, 2)),
    INDEX(
      Donnees!$A:$Z,
      _xlpm.ligpartie + 3,
      MATCH(Y$1, _xlpm.joueurs, 0) + 1
    )
  ), ""
)</f>
        <v/>
      </c>
      <c r="Z247" t="str" cm="1">
        <f t="array" ref="Z247">IFERROR(
  _xlfn.LET(
    _xlpm.ligpartie, MATCH($B246, Donnees!$F:$F, 0),
    _xlpm.joueurs, INDEX(Donnees!$A:$Z, _xlpm.ligpartie+1, _xlfn.SEQUENCE(1, 4, 2)),
    INDEX(
      Donnees!$A:$Z,
      _xlpm.ligpartie + 3,
      MATCH(Z$1, _xlpm.joueurs, 0) + 1
    )
  ), ""
)</f>
        <v/>
      </c>
      <c r="AA247" cm="1">
        <f t="array" ref="AA247">IFERROR(
  _xlfn.LET(
    _xlpm.ligpartie, MATCH($B246, Donnees!$F:$F, 0),
    _xlpm.joueurs, INDEX(Donnees!$A:$Z, _xlpm.ligpartie+1, _xlfn.SEQUENCE(1, 4, 2)),
    INDEX(
      Donnees!$A:$Z,
      _xlpm.ligpartie + 3,
      MATCH(AA$1, _xlpm.joueurs, 0) + 1
    )
  ), ""
)</f>
        <v>2</v>
      </c>
      <c r="AB247" t="str" cm="1">
        <f t="array" ref="AB247">IFERROR(
  _xlfn.LET(
    _xlpm.ligpartie, MATCH($B246, Donnees!$F:$F, 0),
    _xlpm.joueurs, INDEX(Donnees!$A:$Z, _xlpm.ligpartie+1, _xlfn.SEQUENCE(1, 4, 2)),
    INDEX(
      Donnees!$A:$Z,
      _xlpm.ligpartie + 3,
      MATCH(AB$1, _xlpm.joueurs, 0) + 1
    )
  ), ""
)</f>
        <v/>
      </c>
      <c r="AC247" t="str" cm="1">
        <f t="array" ref="AC247">IFERROR(
  _xlfn.LET(
    _xlpm.ligpartie, MATCH($B246, Donnees!$F:$F, 0),
    _xlpm.joueurs, INDEX(Donnees!$A:$Z, _xlpm.ligpartie+1, _xlfn.SEQUENCE(1, 4, 2)),
    INDEX(
      Donnees!$A:$Z,
      _xlpm.ligpartie + 3,
      MATCH(AC$1, _xlpm.joueurs, 0) + 1
    )
  ), ""
)</f>
        <v/>
      </c>
      <c r="AD247" t="str" cm="1">
        <f t="array" ref="AD247">IFERROR(
  _xlfn.LET(
    _xlpm.ligpartie, MATCH($B246, Donnees!$F:$F, 0),
    _xlpm.joueurs, INDEX(Donnees!$A:$Z, _xlpm.ligpartie+1, _xlfn.SEQUENCE(1, 4, 2)),
    INDEX(
      Donnees!$A:$Z,
      _xlpm.ligpartie + 3,
      MATCH(AD$1, _xlpm.joueurs, 0) + 1
    )
  ), ""
)</f>
        <v/>
      </c>
      <c r="AE247" t="str" cm="1">
        <f t="array" ref="AE247">IFERROR(
  _xlfn.LET(
    _xlpm.ligpartie, MATCH($B246, Donnees!$F:$F, 0),
    _xlpm.joueurs, INDEX(Donnees!$A:$Z, _xlpm.ligpartie+1, _xlfn.SEQUENCE(1, 4, 2)),
    INDEX(
      Donnees!$A:$Z,
      _xlpm.ligpartie + 3,
      MATCH(AE$1, _xlpm.joueurs, 0) + 1
    )
  ), ""
)</f>
        <v/>
      </c>
      <c r="AF247" t="str" cm="1">
        <f t="array" ref="AF247">IFERROR(
  _xlfn.LET(
    _xlpm.ligpartie, MATCH($B246, Donnees!$F:$F, 0),
    _xlpm.joueurs, INDEX(Donnees!$A:$Z, _xlpm.ligpartie+1, _xlfn.SEQUENCE(1, 4, 2)),
    INDEX(
      Donnees!$A:$Z,
      _xlpm.ligpartie + 3,
      MATCH(AF$1, _xlpm.joueurs, 0) + 1
    )
  ), ""
)</f>
        <v/>
      </c>
      <c r="AG247" t="str" cm="1">
        <f t="array" ref="AG247">IFERROR(
  _xlfn.LET(
    _xlpm.ligpartie, MATCH($B246, Donnees!$F:$F, 0),
    _xlpm.joueurs, INDEX(Donnees!$A:$Z, _xlpm.ligpartie+1, _xlfn.SEQUENCE(1, 4, 2)),
    INDEX(
      Donnees!$A:$Z,
      _xlpm.ligpartie + 3,
      MATCH(AG$1, _xlpm.joueurs, 0) + 1
    )
  ), ""
)</f>
        <v/>
      </c>
      <c r="AH247" t="str" cm="1">
        <f t="array" ref="AH247">IFERROR(
  _xlfn.LET(
    _xlpm.ligpartie, MATCH($B246, Donnees!$F:$F, 0),
    _xlpm.joueurs, INDEX(Donnees!$A:$Z, _xlpm.ligpartie+1, _xlfn.SEQUENCE(1, 4, 2)),
    INDEX(
      Donnees!$A:$Z,
      _xlpm.ligpartie + 3,
      MATCH(AH$1, _xlpm.joueurs, 0) + 1
    )
  ), ""
)</f>
        <v/>
      </c>
      <c r="AI247" t="str" cm="1">
        <f t="array" ref="AI247">IFERROR(
  _xlfn.LET(
    _xlpm.ligpartie, MATCH($B246, Donnees!$F:$F, 0),
    _xlpm.joueurs, INDEX(Donnees!$A:$Z, _xlpm.ligpartie+1, _xlfn.SEQUENCE(1, 4, 2)),
    INDEX(
      Donnees!$A:$Z,
      _xlpm.ligpartie + 3,
      MATCH(AI$1, _xlpm.joueurs, 0) + 1
    )
  ), ""
)</f>
        <v/>
      </c>
      <c r="AJ247" t="str" cm="1">
        <f t="array" ref="AJ247">IFERROR(
  _xlfn.LET(
    _xlpm.ligpartie, MATCH($B246, Donnees!$F:$F, 0),
    _xlpm.joueurs, INDEX(Donnees!$A:$Z, _xlpm.ligpartie+1, _xlfn.SEQUENCE(1, 4, 2)),
    INDEX(
      Donnees!$A:$Z,
      _xlpm.ligpartie + 3,
      MATCH(AJ$1, _xlpm.joueurs, 0) + 1
    )
  ), ""
)</f>
        <v/>
      </c>
      <c r="AK247" t="str" cm="1">
        <f t="array" ref="AK247">IFERROR(
  _xlfn.LET(
    _xlpm.ligpartie, MATCH($B246, Donnees!$F:$F, 0),
    _xlpm.joueurs, INDEX(Donnees!$A:$Z, _xlpm.ligpartie+1, _xlfn.SEQUENCE(1, 4, 2)),
    INDEX(
      Donnees!$A:$Z,
      _xlpm.ligpartie + 3,
      MATCH(AK$1, _xlpm.joueurs, 0) + 1
    )
  ), ""
)</f>
        <v/>
      </c>
      <c r="AL247" t="str" cm="1">
        <f t="array" ref="AL247">IFERROR(
  _xlfn.LET(
    _xlpm.ligpartie, MATCH($B246, Donnees!$F:$F, 0),
    _xlpm.joueurs, INDEX(Donnees!$A:$Z, _xlpm.ligpartie+1, _xlfn.SEQUENCE(1, 4, 2)),
    INDEX(
      Donnees!$A:$Z,
      _xlpm.ligpartie + 3,
      MATCH(AL$1, _xlpm.joueurs, 0) + 1
    )
  ), ""
)</f>
        <v/>
      </c>
      <c r="AM247" t="str" cm="1">
        <f t="array" ref="AM247">IFERROR(
  _xlfn.LET(
    _xlpm.ligpartie, MATCH($B246, Donnees!$F:$F, 0),
    _xlpm.joueurs, INDEX(Donnees!$A:$Z, _xlpm.ligpartie+1, _xlfn.SEQUENCE(1, 4, 2)),
    INDEX(
      Donnees!$A:$Z,
      _xlpm.ligpartie + 3,
      MATCH(AM$1, _xlpm.joueurs, 0) + 1
    )
  ), ""
)</f>
        <v/>
      </c>
    </row>
    <row r="248" spans="1:39" x14ac:dyDescent="0.25">
      <c r="A248" t="s">
        <v>20</v>
      </c>
      <c r="D248" t="str" cm="1">
        <f t="array" ref="D248">_xlfn.LET(
  _xlpm.colj, _xlfn._xlws.FILTER(IF(ISNUMBER(247:247), COLUMN(247:247)), ISNUMBER(247:247)),
  _xlpm.elos, INDEX(246:246,1,_xlpm.colj),
  _xlpm.diffscale, Constantes!$B$2,
  IF(D247="",
    "",
    SUM(1/(1+POWER(10,-(D246-_xlpm.elos)/_xlpm.diffscale)))-0.5)
)</f>
        <v/>
      </c>
      <c r="E248" t="str" cm="1">
        <f t="array" ref="E248">_xlfn.LET(
  _xlpm.colj, _xlfn._xlws.FILTER(IF(ISNUMBER(247:247), COLUMN(247:247)), ISNUMBER(247:247)),
  _xlpm.elos, INDEX(246:246,1,_xlpm.colj),
  _xlpm.diffscale, Constantes!$B$2,
  IF(E247="",
    "",
    SUM(1/(1+POWER(10,-(E246-_xlpm.elos)/_xlpm.diffscale)))-0.5)
)</f>
        <v/>
      </c>
      <c r="F248" t="str" cm="1">
        <f t="array" ref="F248">_xlfn.LET(
  _xlpm.colj, _xlfn._xlws.FILTER(IF(ISNUMBER(247:247), COLUMN(247:247)), ISNUMBER(247:247)),
  _xlpm.elos, INDEX(246:246,1,_xlpm.colj),
  _xlpm.diffscale, Constantes!$B$2,
  IF(F247="",
    "",
    SUM(1/(1+POWER(10,-(F246-_xlpm.elos)/_xlpm.diffscale)))-0.5)
)</f>
        <v/>
      </c>
      <c r="G248" t="str" cm="1">
        <f t="array" ref="G248">_xlfn.LET(
  _xlpm.colj, _xlfn._xlws.FILTER(IF(ISNUMBER(247:247), COLUMN(247:247)), ISNUMBER(247:247)),
  _xlpm.elos, INDEX(246:246,1,_xlpm.colj),
  _xlpm.diffscale, Constantes!$B$2,
  IF(G247="",
    "",
    SUM(1/(1+POWER(10,-(G246-_xlpm.elos)/_xlpm.diffscale)))-0.5)
)</f>
        <v/>
      </c>
      <c r="H248" t="str" cm="1">
        <f t="array" ref="H248">_xlfn.LET(
  _xlpm.colj, _xlfn._xlws.FILTER(IF(ISNUMBER(247:247), COLUMN(247:247)), ISNUMBER(247:247)),
  _xlpm.elos, INDEX(246:246,1,_xlpm.colj),
  _xlpm.diffscale, Constantes!$B$2,
  IF(H247="",
    "",
    SUM(1/(1+POWER(10,-(H246-_xlpm.elos)/_xlpm.diffscale)))-0.5)
)</f>
        <v/>
      </c>
      <c r="I248" t="str" cm="1">
        <f t="array" ref="I248">_xlfn.LET(
  _xlpm.colj, _xlfn._xlws.FILTER(IF(ISNUMBER(247:247), COLUMN(247:247)), ISNUMBER(247:247)),
  _xlpm.elos, INDEX(246:246,1,_xlpm.colj),
  _xlpm.diffscale, Constantes!$B$2,
  IF(I247="",
    "",
    SUM(1/(1+POWER(10,-(I246-_xlpm.elos)/_xlpm.diffscale)))-0.5)
)</f>
        <v/>
      </c>
      <c r="J248" t="str" cm="1">
        <f t="array" ref="J248">_xlfn.LET(
  _xlpm.colj, _xlfn._xlws.FILTER(IF(ISNUMBER(247:247), COLUMN(247:247)), ISNUMBER(247:247)),
  _xlpm.elos, INDEX(246:246,1,_xlpm.colj),
  _xlpm.diffscale, Constantes!$B$2,
  IF(J247="",
    "",
    SUM(1/(1+POWER(10,-(J246-_xlpm.elos)/_xlpm.diffscale)))-0.5)
)</f>
        <v/>
      </c>
      <c r="K248" cm="1">
        <f t="array" ref="K248">_xlfn.LET(
  _xlpm.colj, _xlfn._xlws.FILTER(IF(ISNUMBER(247:247), COLUMN(247:247)), ISNUMBER(247:247)),
  _xlpm.elos, INDEX(246:246,1,_xlpm.colj),
  _xlpm.diffscale, Constantes!$B$2,
  IF(K247="",
    "",
    SUM(1/(1+POWER(10,-(K246-_xlpm.elos)/_xlpm.diffscale)))-0.5)
)</f>
        <v>1.5435940987146037</v>
      </c>
      <c r="L248" t="str" cm="1">
        <f t="array" ref="L248">_xlfn.LET(
  _xlpm.colj, _xlfn._xlws.FILTER(IF(ISNUMBER(247:247), COLUMN(247:247)), ISNUMBER(247:247)),
  _xlpm.elos, INDEX(246:246,1,_xlpm.colj),
  _xlpm.diffscale, Constantes!$B$2,
  IF(L247="",
    "",
    SUM(1/(1+POWER(10,-(L246-_xlpm.elos)/_xlpm.diffscale)))-0.5)
)</f>
        <v/>
      </c>
      <c r="M248" t="str" cm="1">
        <f t="array" ref="M248">_xlfn.LET(
  _xlpm.colj, _xlfn._xlws.FILTER(IF(ISNUMBER(247:247), COLUMN(247:247)), ISNUMBER(247:247)),
  _xlpm.elos, INDEX(246:246,1,_xlpm.colj),
  _xlpm.diffscale, Constantes!$B$2,
  IF(M247="",
    "",
    SUM(1/(1+POWER(10,-(M246-_xlpm.elos)/_xlpm.diffscale)))-0.5)
)</f>
        <v/>
      </c>
      <c r="N248" cm="1">
        <f t="array" ref="N248">_xlfn.LET(
  _xlpm.colj, _xlfn._xlws.FILTER(IF(ISNUMBER(247:247), COLUMN(247:247)), ISNUMBER(247:247)),
  _xlpm.elos, INDEX(246:246,1,_xlpm.colj),
  _xlpm.diffscale, Constantes!$B$2,
  IF(N247="",
    "",
    SUM(1/(1+POWER(10,-(N246-_xlpm.elos)/_xlpm.diffscale)))-0.5)
)</f>
        <v>1.2466576884440872</v>
      </c>
      <c r="O248" t="str" cm="1">
        <f t="array" ref="O248">_xlfn.LET(
  _xlpm.colj, _xlfn._xlws.FILTER(IF(ISNUMBER(247:247), COLUMN(247:247)), ISNUMBER(247:247)),
  _xlpm.elos, INDEX(246:246,1,_xlpm.colj),
  _xlpm.diffscale, Constantes!$B$2,
  IF(O247="",
    "",
    SUM(1/(1+POWER(10,-(O246-_xlpm.elos)/_xlpm.diffscale)))-0.5)
)</f>
        <v/>
      </c>
      <c r="P248" t="str" cm="1">
        <f t="array" ref="P248">_xlfn.LET(
  _xlpm.colj, _xlfn._xlws.FILTER(IF(ISNUMBER(247:247), COLUMN(247:247)), ISNUMBER(247:247)),
  _xlpm.elos, INDEX(246:246,1,_xlpm.colj),
  _xlpm.diffscale, Constantes!$B$2,
  IF(P247="",
    "",
    SUM(1/(1+POWER(10,-(P246-_xlpm.elos)/_xlpm.diffscale)))-0.5)
)</f>
        <v/>
      </c>
      <c r="Q248" t="str" cm="1">
        <f t="array" ref="Q248">_xlfn.LET(
  _xlpm.colj, _xlfn._xlws.FILTER(IF(ISNUMBER(247:247), COLUMN(247:247)), ISNUMBER(247:247)),
  _xlpm.elos, INDEX(246:246,1,_xlpm.colj),
  _xlpm.diffscale, Constantes!$B$2,
  IF(Q247="",
    "",
    SUM(1/(1+POWER(10,-(Q246-_xlpm.elos)/_xlpm.diffscale)))-0.5)
)</f>
        <v/>
      </c>
      <c r="R248" t="str" cm="1">
        <f t="array" ref="R248">_xlfn.LET(
  _xlpm.colj, _xlfn._xlws.FILTER(IF(ISNUMBER(247:247), COLUMN(247:247)), ISNUMBER(247:247)),
  _xlpm.elos, INDEX(246:246,1,_xlpm.colj),
  _xlpm.diffscale, Constantes!$B$2,
  IF(R247="",
    "",
    SUM(1/(1+POWER(10,-(R246-_xlpm.elos)/_xlpm.diffscale)))-0.5)
)</f>
        <v/>
      </c>
      <c r="S248" t="str" cm="1">
        <f t="array" ref="S248">_xlfn.LET(
  _xlpm.colj, _xlfn._xlws.FILTER(IF(ISNUMBER(247:247), COLUMN(247:247)), ISNUMBER(247:247)),
  _xlpm.elos, INDEX(246:246,1,_xlpm.colj),
  _xlpm.diffscale, Constantes!$B$2,
  IF(S247="",
    "",
    SUM(1/(1+POWER(10,-(S246-_xlpm.elos)/_xlpm.diffscale)))-0.5)
)</f>
        <v/>
      </c>
      <c r="T248" t="str" cm="1">
        <f t="array" ref="T248">_xlfn.LET(
  _xlpm.colj, _xlfn._xlws.FILTER(IF(ISNUMBER(247:247), COLUMN(247:247)), ISNUMBER(247:247)),
  _xlpm.elos, INDEX(246:246,1,_xlpm.colj),
  _xlpm.diffscale, Constantes!$B$2,
  IF(T247="",
    "",
    SUM(1/(1+POWER(10,-(T246-_xlpm.elos)/_xlpm.diffscale)))-0.5)
)</f>
        <v/>
      </c>
      <c r="U248" t="str" cm="1">
        <f t="array" ref="U248">_xlfn.LET(
  _xlpm.colj, _xlfn._xlws.FILTER(IF(ISNUMBER(247:247), COLUMN(247:247)), ISNUMBER(247:247)),
  _xlpm.elos, INDEX(246:246,1,_xlpm.colj),
  _xlpm.diffscale, Constantes!$B$2,
  IF(U247="",
    "",
    SUM(1/(1+POWER(10,-(U246-_xlpm.elos)/_xlpm.diffscale)))-0.5)
)</f>
        <v/>
      </c>
      <c r="V248" cm="1">
        <f t="array" ref="V248">_xlfn.LET(
  _xlpm.colj, _xlfn._xlws.FILTER(IF(ISNUMBER(247:247), COLUMN(247:247)), ISNUMBER(247:247)),
  _xlpm.elos, INDEX(246:246,1,_xlpm.colj),
  _xlpm.diffscale, Constantes!$B$2,
  IF(V247="",
    "",
    SUM(1/(1+POWER(10,-(V246-_xlpm.elos)/_xlpm.diffscale)))-0.5)
)</f>
        <v>1.6901132959474934</v>
      </c>
      <c r="W248" t="str" cm="1">
        <f t="array" ref="W248">_xlfn.LET(
  _xlpm.colj, _xlfn._xlws.FILTER(IF(ISNUMBER(247:247), COLUMN(247:247)), ISNUMBER(247:247)),
  _xlpm.elos, INDEX(246:246,1,_xlpm.colj),
  _xlpm.diffscale, Constantes!$B$2,
  IF(W247="",
    "",
    SUM(1/(1+POWER(10,-(W246-_xlpm.elos)/_xlpm.diffscale)))-0.5)
)</f>
        <v/>
      </c>
      <c r="X248" t="str" cm="1">
        <f t="array" ref="X248">_xlfn.LET(
  _xlpm.colj, _xlfn._xlws.FILTER(IF(ISNUMBER(247:247), COLUMN(247:247)), ISNUMBER(247:247)),
  _xlpm.elos, INDEX(246:246,1,_xlpm.colj),
  _xlpm.diffscale, Constantes!$B$2,
  IF(X247="",
    "",
    SUM(1/(1+POWER(10,-(X246-_xlpm.elos)/_xlpm.diffscale)))-0.5)
)</f>
        <v/>
      </c>
      <c r="Y248" t="str" cm="1">
        <f t="array" ref="Y248">_xlfn.LET(
  _xlpm.colj, _xlfn._xlws.FILTER(IF(ISNUMBER(247:247), COLUMN(247:247)), ISNUMBER(247:247)),
  _xlpm.elos, INDEX(246:246,1,_xlpm.colj),
  _xlpm.diffscale, Constantes!$B$2,
  IF(Y247="",
    "",
    SUM(1/(1+POWER(10,-(Y246-_xlpm.elos)/_xlpm.diffscale)))-0.5)
)</f>
        <v/>
      </c>
      <c r="Z248" t="str" cm="1">
        <f t="array" ref="Z248">_xlfn.LET(
  _xlpm.colj, _xlfn._xlws.FILTER(IF(ISNUMBER(247:247), COLUMN(247:247)), ISNUMBER(247:247)),
  _xlpm.elos, INDEX(246:246,1,_xlpm.colj),
  _xlpm.diffscale, Constantes!$B$2,
  IF(Z247="",
    "",
    SUM(1/(1+POWER(10,-(Z246-_xlpm.elos)/_xlpm.diffscale)))-0.5)
)</f>
        <v/>
      </c>
      <c r="AA248" cm="1">
        <f t="array" ref="AA248">_xlfn.LET(
  _xlpm.colj, _xlfn._xlws.FILTER(IF(ISNUMBER(247:247), COLUMN(247:247)), ISNUMBER(247:247)),
  _xlpm.elos, INDEX(246:246,1,_xlpm.colj),
  _xlpm.diffscale, Constantes!$B$2,
  IF(AA247="",
    "",
    SUM(1/(1+POWER(10,-(AA246-_xlpm.elos)/_xlpm.diffscale)))-0.5)
)</f>
        <v>1.5196349168938159</v>
      </c>
      <c r="AB248" t="str" cm="1">
        <f t="array" ref="AB248">_xlfn.LET(
  _xlpm.colj, _xlfn._xlws.FILTER(IF(ISNUMBER(247:247), COLUMN(247:247)), ISNUMBER(247:247)),
  _xlpm.elos, INDEX(246:246,1,_xlpm.colj),
  _xlpm.diffscale, Constantes!$B$2,
  IF(AB247="",
    "",
    SUM(1/(1+POWER(10,-(AB246-_xlpm.elos)/_xlpm.diffscale)))-0.5)
)</f>
        <v/>
      </c>
      <c r="AC248" t="str" cm="1">
        <f t="array" ref="AC248">_xlfn.LET(
  _xlpm.colj, _xlfn._xlws.FILTER(IF(ISNUMBER(247:247), COLUMN(247:247)), ISNUMBER(247:247)),
  _xlpm.elos, INDEX(246:246,1,_xlpm.colj),
  _xlpm.diffscale, Constantes!$B$2,
  IF(AC247="",
    "",
    SUM(1/(1+POWER(10,-(AC246-_xlpm.elos)/_xlpm.diffscale)))-0.5)
)</f>
        <v/>
      </c>
      <c r="AD248" t="str" cm="1">
        <f t="array" ref="AD248">_xlfn.LET(
  _xlpm.colj, _xlfn._xlws.FILTER(IF(ISNUMBER(247:247), COLUMN(247:247)), ISNUMBER(247:247)),
  _xlpm.elos, INDEX(246:246,1,_xlpm.colj),
  _xlpm.diffscale, Constantes!$B$2,
  IF(AD247="",
    "",
    SUM(1/(1+POWER(10,-(AD246-_xlpm.elos)/_xlpm.diffscale)))-0.5)
)</f>
        <v/>
      </c>
      <c r="AE248" t="str" cm="1">
        <f t="array" ref="AE248">_xlfn.LET(
  _xlpm.colj, _xlfn._xlws.FILTER(IF(ISNUMBER(247:247), COLUMN(247:247)), ISNUMBER(247:247)),
  _xlpm.elos, INDEX(246:246,1,_xlpm.colj),
  _xlpm.diffscale, Constantes!$B$2,
  IF(AE247="",
    "",
    SUM(1/(1+POWER(10,-(AE246-_xlpm.elos)/_xlpm.diffscale)))-0.5)
)</f>
        <v/>
      </c>
      <c r="AF248" t="str" cm="1">
        <f t="array" ref="AF248">_xlfn.LET(
  _xlpm.colj, _xlfn._xlws.FILTER(IF(ISNUMBER(247:247), COLUMN(247:247)), ISNUMBER(247:247)),
  _xlpm.elos, INDEX(246:246,1,_xlpm.colj),
  _xlpm.diffscale, Constantes!$B$2,
  IF(AF247="",
    "",
    SUM(1/(1+POWER(10,-(AF246-_xlpm.elos)/_xlpm.diffscale)))-0.5)
)</f>
        <v/>
      </c>
      <c r="AG248" t="str" cm="1">
        <f t="array" ref="AG248">_xlfn.LET(
  _xlpm.colj, _xlfn._xlws.FILTER(IF(ISNUMBER(247:247), COLUMN(247:247)), ISNUMBER(247:247)),
  _xlpm.elos, INDEX(246:246,1,_xlpm.colj),
  _xlpm.diffscale, Constantes!$B$2,
  IF(AG247="",
    "",
    SUM(1/(1+POWER(10,-(AG246-_xlpm.elos)/_xlpm.diffscale)))-0.5)
)</f>
        <v/>
      </c>
      <c r="AH248" t="str" cm="1">
        <f t="array" ref="AH248">_xlfn.LET(
  _xlpm.colj, _xlfn._xlws.FILTER(IF(ISNUMBER(247:247), COLUMN(247:247)), ISNUMBER(247:247)),
  _xlpm.elos, INDEX(246:246,1,_xlpm.colj),
  _xlpm.diffscale, Constantes!$B$2,
  IF(AH247="",
    "",
    SUM(1/(1+POWER(10,-(AH246-_xlpm.elos)/_xlpm.diffscale)))-0.5)
)</f>
        <v/>
      </c>
      <c r="AI248" t="str" cm="1">
        <f t="array" ref="AI248">_xlfn.LET(
  _xlpm.colj, _xlfn._xlws.FILTER(IF(ISNUMBER(247:247), COLUMN(247:247)), ISNUMBER(247:247)),
  _xlpm.elos, INDEX(246:246,1,_xlpm.colj),
  _xlpm.diffscale, Constantes!$B$2,
  IF(AI247="",
    "",
    SUM(1/(1+POWER(10,-(AI246-_xlpm.elos)/_xlpm.diffscale)))-0.5)
)</f>
        <v/>
      </c>
      <c r="AJ248" t="str" cm="1">
        <f t="array" ref="AJ248">_xlfn.LET(
  _xlpm.colj, _xlfn._xlws.FILTER(IF(ISNUMBER(247:247), COLUMN(247:247)), ISNUMBER(247:247)),
  _xlpm.elos, INDEX(246:246,1,_xlpm.colj),
  _xlpm.diffscale, Constantes!$B$2,
  IF(AJ247="",
    "",
    SUM(1/(1+POWER(10,-(AJ246-_xlpm.elos)/_xlpm.diffscale)))-0.5)
)</f>
        <v/>
      </c>
      <c r="AK248" t="str" cm="1">
        <f t="array" ref="AK248">_xlfn.LET(
  _xlpm.colj, _xlfn._xlws.FILTER(IF(ISNUMBER(247:247), COLUMN(247:247)), ISNUMBER(247:247)),
  _xlpm.elos, INDEX(246:246,1,_xlpm.colj),
  _xlpm.diffscale, Constantes!$B$2,
  IF(AK247="",
    "",
    SUM(1/(1+POWER(10,-(AK246-_xlpm.elos)/_xlpm.diffscale)))-0.5)
)</f>
        <v/>
      </c>
      <c r="AL248" t="str" cm="1">
        <f t="array" ref="AL248">_xlfn.LET(
  _xlpm.colj, _xlfn._xlws.FILTER(IF(ISNUMBER(247:247), COLUMN(247:247)), ISNUMBER(247:247)),
  _xlpm.elos, INDEX(246:246,1,_xlpm.colj),
  _xlpm.diffscale, Constantes!$B$2,
  IF(AL247="",
    "",
    SUM(1/(1+POWER(10,-(AL246-_xlpm.elos)/_xlpm.diffscale)))-0.5)
)</f>
        <v/>
      </c>
      <c r="AM248" t="str" cm="1">
        <f t="array" ref="AM248">_xlfn.LET(
  _xlpm.colj, _xlfn._xlws.FILTER(IF(ISNUMBER(247:247), COLUMN(247:247)), ISNUMBER(247:247)),
  _xlpm.elos, INDEX(246:246,1,_xlpm.colj),
  _xlpm.diffscale, Constantes!$B$2,
  IF(AM247="",
    "",
    SUM(1/(1+POWER(10,-(AM246-_xlpm.elos)/_xlpm.diffscale)))-0.5)
)</f>
        <v/>
      </c>
    </row>
    <row r="249" spans="1:39" x14ac:dyDescent="0.25">
      <c r="A249" t="s">
        <v>22</v>
      </c>
      <c r="D249" t="str" cm="1">
        <f t="array" ref="D249">_xlfn.LET(
  _xlpm.K, Constantes!$B$3,
  _xlpm.Knewgain, Constantes!$B$4,
  _xlpm.Knewscale, Constantes!$B$5,
  _xlpm.ptstables, INDEX(D:D, _xlfn.SEQUENCE(COUNTA($C$2:$C249), 1, 3, 4)),
  _xlpm.nbparties, COUNTA(_xlfn._xlws.FILTER(_xlpm.ptstables, _xlpm.ptstables &lt;&gt; "")),
  _xlpm.coef, _xlpm.K + _xlpm.Knewgain / (_xlpm.Knewscale + _xlpm.nbparties),
  IF(D247="",
    "",
    _xlpm.coef * (D247-D248))
)</f>
        <v/>
      </c>
      <c r="E249" t="str" cm="1">
        <f t="array" ref="E249">_xlfn.LET(
  _xlpm.K, Constantes!$B$3,
  _xlpm.Knewgain, Constantes!$B$4,
  _xlpm.Knewscale, Constantes!$B$5,
  _xlpm.ptstables, INDEX(E:E, _xlfn.SEQUENCE(COUNTA($C$2:$C249), 1, 3, 4)),
  _xlpm.nbparties, COUNTA(_xlfn._xlws.FILTER(_xlpm.ptstables, _xlpm.ptstables &lt;&gt; "")),
  _xlpm.coef, _xlpm.K + _xlpm.Knewgain / (_xlpm.Knewscale + _xlpm.nbparties),
  IF(E247="",
    "",
    _xlpm.coef * (E247-E248))
)</f>
        <v/>
      </c>
      <c r="F249" t="str" cm="1">
        <f t="array" ref="F249">_xlfn.LET(
  _xlpm.K, Constantes!$B$3,
  _xlpm.Knewgain, Constantes!$B$4,
  _xlpm.Knewscale, Constantes!$B$5,
  _xlpm.ptstables, INDEX(F:F, _xlfn.SEQUENCE(COUNTA($C$2:$C249), 1, 3, 4)),
  _xlpm.nbparties, COUNTA(_xlfn._xlws.FILTER(_xlpm.ptstables, _xlpm.ptstables &lt;&gt; "")),
  _xlpm.coef, _xlpm.K + _xlpm.Knewgain / (_xlpm.Knewscale + _xlpm.nbparties),
  IF(F247="",
    "",
    _xlpm.coef * (F247-F248))
)</f>
        <v/>
      </c>
      <c r="G249" t="str" cm="1">
        <f t="array" ref="G249">_xlfn.LET(
  _xlpm.K, Constantes!$B$3,
  _xlpm.Knewgain, Constantes!$B$4,
  _xlpm.Knewscale, Constantes!$B$5,
  _xlpm.ptstables, INDEX(G:G, _xlfn.SEQUENCE(COUNTA($C$2:$C249), 1, 3, 4)),
  _xlpm.nbparties, COUNTA(_xlfn._xlws.FILTER(_xlpm.ptstables, _xlpm.ptstables &lt;&gt; "")),
  _xlpm.coef, _xlpm.K + _xlpm.Knewgain / (_xlpm.Knewscale + _xlpm.nbparties),
  IF(G247="",
    "",
    _xlpm.coef * (G247-G248))
)</f>
        <v/>
      </c>
      <c r="H249" t="str" cm="1">
        <f t="array" ref="H249">_xlfn.LET(
  _xlpm.K, Constantes!$B$3,
  _xlpm.Knewgain, Constantes!$B$4,
  _xlpm.Knewscale, Constantes!$B$5,
  _xlpm.ptstables, INDEX(H:H, _xlfn.SEQUENCE(COUNTA($C$2:$C249), 1, 3, 4)),
  _xlpm.nbparties, COUNTA(_xlfn._xlws.FILTER(_xlpm.ptstables, _xlpm.ptstables &lt;&gt; "")),
  _xlpm.coef, _xlpm.K + _xlpm.Knewgain / (_xlpm.Knewscale + _xlpm.nbparties),
  IF(H247="",
    "",
    _xlpm.coef * (H247-H248))
)</f>
        <v/>
      </c>
      <c r="I249" t="str" cm="1">
        <f t="array" ref="I249">_xlfn.LET(
  _xlpm.K, Constantes!$B$3,
  _xlpm.Knewgain, Constantes!$B$4,
  _xlpm.Knewscale, Constantes!$B$5,
  _xlpm.ptstables, INDEX(I:I, _xlfn.SEQUENCE(COUNTA($C$2:$C249), 1, 3, 4)),
  _xlpm.nbparties, COUNTA(_xlfn._xlws.FILTER(_xlpm.ptstables, _xlpm.ptstables &lt;&gt; "")),
  _xlpm.coef, _xlpm.K + _xlpm.Knewgain / (_xlpm.Knewscale + _xlpm.nbparties),
  IF(I247="",
    "",
    _xlpm.coef * (I247-I248))
)</f>
        <v/>
      </c>
      <c r="J249" t="str" cm="1">
        <f t="array" ref="J249">_xlfn.LET(
  _xlpm.K, Constantes!$B$3,
  _xlpm.Knewgain, Constantes!$B$4,
  _xlpm.Knewscale, Constantes!$B$5,
  _xlpm.ptstables, INDEX(J:J, _xlfn.SEQUENCE(COUNTA($C$2:$C249), 1, 3, 4)),
  _xlpm.nbparties, COUNTA(_xlfn._xlws.FILTER(_xlpm.ptstables, _xlpm.ptstables &lt;&gt; "")),
  _xlpm.coef, _xlpm.K + _xlpm.Knewgain / (_xlpm.Knewscale + _xlpm.nbparties),
  IF(J247="",
    "",
    _xlpm.coef * (J247-J248))
)</f>
        <v/>
      </c>
      <c r="K249" cm="1">
        <f t="array" ref="K249">_xlfn.LET(
  _xlpm.K, Constantes!$B$3,
  _xlpm.Knewgain, Constantes!$B$4,
  _xlpm.Knewscale, Constantes!$B$5,
  _xlpm.ptstables, INDEX(K:K, _xlfn.SEQUENCE(COUNTA($C$2:$C249), 1, 3, 4)),
  _xlpm.nbparties, COUNTA(_xlfn._xlws.FILTER(_xlpm.ptstables, _xlpm.ptstables &lt;&gt; "")),
  _xlpm.coef, _xlpm.K + _xlpm.Knewgain / (_xlpm.Knewscale + _xlpm.nbparties),
  IF(K247="",
    "",
    _xlpm.coef * (K247-K248))
)</f>
        <v>38.230654908741649</v>
      </c>
      <c r="L249" t="str" cm="1">
        <f t="array" ref="L249">_xlfn.LET(
  _xlpm.K, Constantes!$B$3,
  _xlpm.Knewgain, Constantes!$B$4,
  _xlpm.Knewscale, Constantes!$B$5,
  _xlpm.ptstables, INDEX(L:L, _xlfn.SEQUENCE(COUNTA($C$2:$C249), 1, 3, 4)),
  _xlpm.nbparties, COUNTA(_xlfn._xlws.FILTER(_xlpm.ptstables, _xlpm.ptstables &lt;&gt; "")),
  _xlpm.coef, _xlpm.K + _xlpm.Knewgain / (_xlpm.Knewscale + _xlpm.nbparties),
  IF(L247="",
    "",
    _xlpm.coef * (L247-L248))
)</f>
        <v/>
      </c>
      <c r="M249" t="str" cm="1">
        <f t="array" ref="M249">_xlfn.LET(
  _xlpm.K, Constantes!$B$3,
  _xlpm.Knewgain, Constantes!$B$4,
  _xlpm.Knewscale, Constantes!$B$5,
  _xlpm.ptstables, INDEX(M:M, _xlfn.SEQUENCE(COUNTA($C$2:$C249), 1, 3, 4)),
  _xlpm.nbparties, COUNTA(_xlfn._xlws.FILTER(_xlpm.ptstables, _xlpm.ptstables &lt;&gt; "")),
  _xlpm.coef, _xlpm.K + _xlpm.Knewgain / (_xlpm.Knewscale + _xlpm.nbparties),
  IF(M247="",
    "",
    _xlpm.coef * (M247-M248))
)</f>
        <v/>
      </c>
      <c r="N249" cm="1">
        <f t="array" ref="N249">_xlfn.LET(
  _xlpm.K, Constantes!$B$3,
  _xlpm.Knewgain, Constantes!$B$4,
  _xlpm.Knewscale, Constantes!$B$5,
  _xlpm.ptstables, INDEX(N:N, _xlfn.SEQUENCE(COUNTA($C$2:$C249), 1, 3, 4)),
  _xlpm.nbparties, COUNTA(_xlfn._xlws.FILTER(_xlpm.ptstables, _xlpm.ptstables &lt;&gt; "")),
  _xlpm.coef, _xlpm.K + _xlpm.Knewgain / (_xlpm.Knewscale + _xlpm.nbparties),
  IF(N247="",
    "",
    _xlpm.coef * (N247-N248))
)</f>
        <v>-5.9608941373987738</v>
      </c>
      <c r="O249" t="str" cm="1">
        <f t="array" ref="O249">_xlfn.LET(
  _xlpm.K, Constantes!$B$3,
  _xlpm.Knewgain, Constantes!$B$4,
  _xlpm.Knewscale, Constantes!$B$5,
  _xlpm.ptstables, INDEX(O:O, _xlfn.SEQUENCE(COUNTA($C$2:$C249), 1, 3, 4)),
  _xlpm.nbparties, COUNTA(_xlfn._xlws.FILTER(_xlpm.ptstables, _xlpm.ptstables &lt;&gt; "")),
  _xlpm.coef, _xlpm.K + _xlpm.Knewgain / (_xlpm.Knewscale + _xlpm.nbparties),
  IF(O247="",
    "",
    _xlpm.coef * (O247-O248))
)</f>
        <v/>
      </c>
      <c r="P249" t="str" cm="1">
        <f t="array" ref="P249">_xlfn.LET(
  _xlpm.K, Constantes!$B$3,
  _xlpm.Knewgain, Constantes!$B$4,
  _xlpm.Knewscale, Constantes!$B$5,
  _xlpm.ptstables, INDEX(P:P, _xlfn.SEQUENCE(COUNTA($C$2:$C249), 1, 3, 4)),
  _xlpm.nbparties, COUNTA(_xlfn._xlws.FILTER(_xlpm.ptstables, _xlpm.ptstables &lt;&gt; "")),
  _xlpm.coef, _xlpm.K + _xlpm.Knewgain / (_xlpm.Knewscale + _xlpm.nbparties),
  IF(P247="",
    "",
    _xlpm.coef * (P247-P248))
)</f>
        <v/>
      </c>
      <c r="Q249" t="str" cm="1">
        <f t="array" ref="Q249">_xlfn.LET(
  _xlpm.K, Constantes!$B$3,
  _xlpm.Knewgain, Constantes!$B$4,
  _xlpm.Knewscale, Constantes!$B$5,
  _xlpm.ptstables, INDEX(Q:Q, _xlfn.SEQUENCE(COUNTA($C$2:$C249), 1, 3, 4)),
  _xlpm.nbparties, COUNTA(_xlfn._xlws.FILTER(_xlpm.ptstables, _xlpm.ptstables &lt;&gt; "")),
  _xlpm.coef, _xlpm.K + _xlpm.Knewgain / (_xlpm.Knewscale + _xlpm.nbparties),
  IF(Q247="",
    "",
    _xlpm.coef * (Q247-Q248))
)</f>
        <v/>
      </c>
      <c r="R249" t="str" cm="1">
        <f t="array" ref="R249">_xlfn.LET(
  _xlpm.K, Constantes!$B$3,
  _xlpm.Knewgain, Constantes!$B$4,
  _xlpm.Knewscale, Constantes!$B$5,
  _xlpm.ptstables, INDEX(R:R, _xlfn.SEQUENCE(COUNTA($C$2:$C249), 1, 3, 4)),
  _xlpm.nbparties, COUNTA(_xlfn._xlws.FILTER(_xlpm.ptstables, _xlpm.ptstables &lt;&gt; "")),
  _xlpm.coef, _xlpm.K + _xlpm.Knewgain / (_xlpm.Knewscale + _xlpm.nbparties),
  IF(R247="",
    "",
    _xlpm.coef * (R247-R248))
)</f>
        <v/>
      </c>
      <c r="S249" t="str" cm="1">
        <f t="array" ref="S249">_xlfn.LET(
  _xlpm.K, Constantes!$B$3,
  _xlpm.Knewgain, Constantes!$B$4,
  _xlpm.Knewscale, Constantes!$B$5,
  _xlpm.ptstables, INDEX(S:S, _xlfn.SEQUENCE(COUNTA($C$2:$C249), 1, 3, 4)),
  _xlpm.nbparties, COUNTA(_xlfn._xlws.FILTER(_xlpm.ptstables, _xlpm.ptstables &lt;&gt; "")),
  _xlpm.coef, _xlpm.K + _xlpm.Knewgain / (_xlpm.Knewscale + _xlpm.nbparties),
  IF(S247="",
    "",
    _xlpm.coef * (S247-S248))
)</f>
        <v/>
      </c>
      <c r="T249" t="str" cm="1">
        <f t="array" ref="T249">_xlfn.LET(
  _xlpm.K, Constantes!$B$3,
  _xlpm.Knewgain, Constantes!$B$4,
  _xlpm.Knewscale, Constantes!$B$5,
  _xlpm.ptstables, INDEX(T:T, _xlfn.SEQUENCE(COUNTA($C$2:$C249), 1, 3, 4)),
  _xlpm.nbparties, COUNTA(_xlfn._xlws.FILTER(_xlpm.ptstables, _xlpm.ptstables &lt;&gt; "")),
  _xlpm.coef, _xlpm.K + _xlpm.Knewgain / (_xlpm.Knewscale + _xlpm.nbparties),
  IF(T247="",
    "",
    _xlpm.coef * (T247-T248))
)</f>
        <v/>
      </c>
      <c r="U249" t="str" cm="1">
        <f t="array" ref="U249">_xlfn.LET(
  _xlpm.K, Constantes!$B$3,
  _xlpm.Knewgain, Constantes!$B$4,
  _xlpm.Knewscale, Constantes!$B$5,
  _xlpm.ptstables, INDEX(U:U, _xlfn.SEQUENCE(COUNTA($C$2:$C249), 1, 3, 4)),
  _xlpm.nbparties, COUNTA(_xlfn._xlws.FILTER(_xlpm.ptstables, _xlpm.ptstables &lt;&gt; "")),
  _xlpm.coef, _xlpm.K + _xlpm.Knewgain / (_xlpm.Knewscale + _xlpm.nbparties),
  IF(U247="",
    "",
    _xlpm.coef * (U247-U248))
)</f>
        <v/>
      </c>
      <c r="V249" cm="1">
        <f t="array" ref="V249">_xlfn.LET(
  _xlpm.K, Constantes!$B$3,
  _xlpm.Knewgain, Constantes!$B$4,
  _xlpm.Knewscale, Constantes!$B$5,
  _xlpm.ptstables, INDEX(V:V, _xlfn.SEQUENCE(COUNTA($C$2:$C249), 1, 3, 4)),
  _xlpm.nbparties, COUNTA(_xlfn._xlws.FILTER(_xlpm.ptstables, _xlpm.ptstables &lt;&gt; "")),
  _xlpm.coef, _xlpm.K + _xlpm.Knewgain / (_xlpm.Knewscale + _xlpm.nbparties),
  IF(V247="",
    "",
    _xlpm.coef * (V247-V248))
)</f>
        <v>-45.87450374714625</v>
      </c>
      <c r="W249" t="str" cm="1">
        <f t="array" ref="W249">_xlfn.LET(
  _xlpm.K, Constantes!$B$3,
  _xlpm.Knewgain, Constantes!$B$4,
  _xlpm.Knewscale, Constantes!$B$5,
  _xlpm.ptstables, INDEX(W:W, _xlfn.SEQUENCE(COUNTA($C$2:$C249), 1, 3, 4)),
  _xlpm.nbparties, COUNTA(_xlfn._xlws.FILTER(_xlpm.ptstables, _xlpm.ptstables &lt;&gt; "")),
  _xlpm.coef, _xlpm.K + _xlpm.Knewgain / (_xlpm.Knewscale + _xlpm.nbparties),
  IF(W247="",
    "",
    _xlpm.coef * (W247-W248))
)</f>
        <v/>
      </c>
      <c r="X249" t="str" cm="1">
        <f t="array" ref="X249">_xlfn.LET(
  _xlpm.K, Constantes!$B$3,
  _xlpm.Knewgain, Constantes!$B$4,
  _xlpm.Knewscale, Constantes!$B$5,
  _xlpm.ptstables, INDEX(X:X, _xlfn.SEQUENCE(COUNTA($C$2:$C249), 1, 3, 4)),
  _xlpm.nbparties, COUNTA(_xlfn._xlws.FILTER(_xlpm.ptstables, _xlpm.ptstables &lt;&gt; "")),
  _xlpm.coef, _xlpm.K + _xlpm.Knewgain / (_xlpm.Knewscale + _xlpm.nbparties),
  IF(X247="",
    "",
    _xlpm.coef * (X247-X248))
)</f>
        <v/>
      </c>
      <c r="Y249" t="str" cm="1">
        <f t="array" ref="Y249">_xlfn.LET(
  _xlpm.K, Constantes!$B$3,
  _xlpm.Knewgain, Constantes!$B$4,
  _xlpm.Knewscale, Constantes!$B$5,
  _xlpm.ptstables, INDEX(Y:Y, _xlfn.SEQUENCE(COUNTA($C$2:$C249), 1, 3, 4)),
  _xlpm.nbparties, COUNTA(_xlfn._xlws.FILTER(_xlpm.ptstables, _xlpm.ptstables &lt;&gt; "")),
  _xlpm.coef, _xlpm.K + _xlpm.Knewgain / (_xlpm.Knewscale + _xlpm.nbparties),
  IF(Y247="",
    "",
    _xlpm.coef * (Y247-Y248))
)</f>
        <v/>
      </c>
      <c r="Z249" t="str" cm="1">
        <f t="array" ref="Z249">_xlfn.LET(
  _xlpm.K, Constantes!$B$3,
  _xlpm.Knewgain, Constantes!$B$4,
  _xlpm.Knewscale, Constantes!$B$5,
  _xlpm.ptstables, INDEX(Z:Z, _xlfn.SEQUENCE(COUNTA($C$2:$C249), 1, 3, 4)),
  _xlpm.nbparties, COUNTA(_xlfn._xlws.FILTER(_xlpm.ptstables, _xlpm.ptstables &lt;&gt; "")),
  _xlpm.coef, _xlpm.K + _xlpm.Knewgain / (_xlpm.Knewscale + _xlpm.nbparties),
  IF(Z247="",
    "",
    _xlpm.coef * (Z247-Z248))
)</f>
        <v/>
      </c>
      <c r="AA249" cm="1">
        <f t="array" ref="AA249">_xlfn.LET(
  _xlpm.K, Constantes!$B$3,
  _xlpm.Knewgain, Constantes!$B$4,
  _xlpm.Knewscale, Constantes!$B$5,
  _xlpm.ptstables, INDEX(AA:AA, _xlfn.SEQUENCE(COUNTA($C$2:$C249), 1, 3, 4)),
  _xlpm.nbparties, COUNTA(_xlfn._xlws.FILTER(_xlpm.ptstables, _xlpm.ptstables &lt;&gt; "")),
  _xlpm.coef, _xlpm.K + _xlpm.Knewgain / (_xlpm.Knewscale + _xlpm.nbparties),
  IF(AA247="",
    "",
    _xlpm.coef * (AA247-AA248))
)</f>
        <v>13.038480827167854</v>
      </c>
      <c r="AB249" t="str" cm="1">
        <f t="array" ref="AB249">_xlfn.LET(
  _xlpm.K, Constantes!$B$3,
  _xlpm.Knewgain, Constantes!$B$4,
  _xlpm.Knewscale, Constantes!$B$5,
  _xlpm.ptstables, INDEX(AB:AB, _xlfn.SEQUENCE(COUNTA($C$2:$C249), 1, 3, 4)),
  _xlpm.nbparties, COUNTA(_xlfn._xlws.FILTER(_xlpm.ptstables, _xlpm.ptstables &lt;&gt; "")),
  _xlpm.coef, _xlpm.K + _xlpm.Knewgain / (_xlpm.Knewscale + _xlpm.nbparties),
  IF(AB247="",
    "",
    _xlpm.coef * (AB247-AB248))
)</f>
        <v/>
      </c>
      <c r="AC249" t="str" cm="1">
        <f t="array" ref="AC249">_xlfn.LET(
  _xlpm.K, Constantes!$B$3,
  _xlpm.Knewgain, Constantes!$B$4,
  _xlpm.Knewscale, Constantes!$B$5,
  _xlpm.ptstables, INDEX(AC:AC, _xlfn.SEQUENCE(COUNTA($C$2:$C249), 1, 3, 4)),
  _xlpm.nbparties, COUNTA(_xlfn._xlws.FILTER(_xlpm.ptstables, _xlpm.ptstables &lt;&gt; "")),
  _xlpm.coef, _xlpm.K + _xlpm.Knewgain / (_xlpm.Knewscale + _xlpm.nbparties),
  IF(AC247="",
    "",
    _xlpm.coef * (AC247-AC248))
)</f>
        <v/>
      </c>
      <c r="AD249" t="str" cm="1">
        <f t="array" ref="AD249">_xlfn.LET(
  _xlpm.K, Constantes!$B$3,
  _xlpm.Knewgain, Constantes!$B$4,
  _xlpm.Knewscale, Constantes!$B$5,
  _xlpm.ptstables, INDEX(AD:AD, _xlfn.SEQUENCE(COUNTA($C$2:$C249), 1, 3, 4)),
  _xlpm.nbparties, COUNTA(_xlfn._xlws.FILTER(_xlpm.ptstables, _xlpm.ptstables &lt;&gt; "")),
  _xlpm.coef, _xlpm.K + _xlpm.Knewgain / (_xlpm.Knewscale + _xlpm.nbparties),
  IF(AD247="",
    "",
    _xlpm.coef * (AD247-AD248))
)</f>
        <v/>
      </c>
      <c r="AE249" t="str" cm="1">
        <f t="array" ref="AE249">_xlfn.LET(
  _xlpm.K, Constantes!$B$3,
  _xlpm.Knewgain, Constantes!$B$4,
  _xlpm.Knewscale, Constantes!$B$5,
  _xlpm.ptstables, INDEX(AE:AE, _xlfn.SEQUENCE(COUNTA($C$2:$C249), 1, 3, 4)),
  _xlpm.nbparties, COUNTA(_xlfn._xlws.FILTER(_xlpm.ptstables, _xlpm.ptstables &lt;&gt; "")),
  _xlpm.coef, _xlpm.K + _xlpm.Knewgain / (_xlpm.Knewscale + _xlpm.nbparties),
  IF(AE247="",
    "",
    _xlpm.coef * (AE247-AE248))
)</f>
        <v/>
      </c>
      <c r="AF249" t="str" cm="1">
        <f t="array" ref="AF249">_xlfn.LET(
  _xlpm.K, Constantes!$B$3,
  _xlpm.Knewgain, Constantes!$B$4,
  _xlpm.Knewscale, Constantes!$B$5,
  _xlpm.ptstables, INDEX(AF:AF, _xlfn.SEQUENCE(COUNTA($C$2:$C249), 1, 3, 4)),
  _xlpm.nbparties, COUNTA(_xlfn._xlws.FILTER(_xlpm.ptstables, _xlpm.ptstables &lt;&gt; "")),
  _xlpm.coef, _xlpm.K + _xlpm.Knewgain / (_xlpm.Knewscale + _xlpm.nbparties),
  IF(AF247="",
    "",
    _xlpm.coef * (AF247-AF248))
)</f>
        <v/>
      </c>
      <c r="AG249" t="str" cm="1">
        <f t="array" ref="AG249">_xlfn.LET(
  _xlpm.K, Constantes!$B$3,
  _xlpm.Knewgain, Constantes!$B$4,
  _xlpm.Knewscale, Constantes!$B$5,
  _xlpm.ptstables, INDEX(AG:AG, _xlfn.SEQUENCE(COUNTA($C$2:$C249), 1, 3, 4)),
  _xlpm.nbparties, COUNTA(_xlfn._xlws.FILTER(_xlpm.ptstables, _xlpm.ptstables &lt;&gt; "")),
  _xlpm.coef, _xlpm.K + _xlpm.Knewgain / (_xlpm.Knewscale + _xlpm.nbparties),
  IF(AG247="",
    "",
    _xlpm.coef * (AG247-AG248))
)</f>
        <v/>
      </c>
      <c r="AH249" t="str" cm="1">
        <f t="array" ref="AH249">_xlfn.LET(
  _xlpm.K, Constantes!$B$3,
  _xlpm.Knewgain, Constantes!$B$4,
  _xlpm.Knewscale, Constantes!$B$5,
  _xlpm.ptstables, INDEX(AH:AH, _xlfn.SEQUENCE(COUNTA($C$2:$C249), 1, 3, 4)),
  _xlpm.nbparties, COUNTA(_xlfn._xlws.FILTER(_xlpm.ptstables, _xlpm.ptstables &lt;&gt; "")),
  _xlpm.coef, _xlpm.K + _xlpm.Knewgain / (_xlpm.Knewscale + _xlpm.nbparties),
  IF(AH247="",
    "",
    _xlpm.coef * (AH247-AH248))
)</f>
        <v/>
      </c>
      <c r="AI249" t="str" cm="1">
        <f t="array" ref="AI249">_xlfn.LET(
  _xlpm.K, Constantes!$B$3,
  _xlpm.Knewgain, Constantes!$B$4,
  _xlpm.Knewscale, Constantes!$B$5,
  _xlpm.ptstables, INDEX(AI:AI, _xlfn.SEQUENCE(COUNTA($C$2:$C249), 1, 3, 4)),
  _xlpm.nbparties, COUNTA(_xlfn._xlws.FILTER(_xlpm.ptstables, _xlpm.ptstables &lt;&gt; "")),
  _xlpm.coef, _xlpm.K + _xlpm.Knewgain / (_xlpm.Knewscale + _xlpm.nbparties),
  IF(AI247="",
    "",
    _xlpm.coef * (AI247-AI248))
)</f>
        <v/>
      </c>
      <c r="AJ249" t="str" cm="1">
        <f t="array" ref="AJ249">_xlfn.LET(
  _xlpm.K, Constantes!$B$3,
  _xlpm.Knewgain, Constantes!$B$4,
  _xlpm.Knewscale, Constantes!$B$5,
  _xlpm.ptstables, INDEX(AJ:AJ, _xlfn.SEQUENCE(COUNTA($C$2:$C249), 1, 3, 4)),
  _xlpm.nbparties, COUNTA(_xlfn._xlws.FILTER(_xlpm.ptstables, _xlpm.ptstables &lt;&gt; "")),
  _xlpm.coef, _xlpm.K + _xlpm.Knewgain / (_xlpm.Knewscale + _xlpm.nbparties),
  IF(AJ247="",
    "",
    _xlpm.coef * (AJ247-AJ248))
)</f>
        <v/>
      </c>
      <c r="AK249" t="str" cm="1">
        <f t="array" ref="AK249">_xlfn.LET(
  _xlpm.K, Constantes!$B$3,
  _xlpm.Knewgain, Constantes!$B$4,
  _xlpm.Knewscale, Constantes!$B$5,
  _xlpm.ptstables, INDEX(AK:AK, _xlfn.SEQUENCE(COUNTA($C$2:$C249), 1, 3, 4)),
  _xlpm.nbparties, COUNTA(_xlfn._xlws.FILTER(_xlpm.ptstables, _xlpm.ptstables &lt;&gt; "")),
  _xlpm.coef, _xlpm.K + _xlpm.Knewgain / (_xlpm.Knewscale + _xlpm.nbparties),
  IF(AK247="",
    "",
    _xlpm.coef * (AK247-AK248))
)</f>
        <v/>
      </c>
      <c r="AL249" t="str" cm="1">
        <f t="array" ref="AL249">_xlfn.LET(
  _xlpm.K, Constantes!$B$3,
  _xlpm.Knewgain, Constantes!$B$4,
  _xlpm.Knewscale, Constantes!$B$5,
  _xlpm.ptstables, INDEX(AL:AL, _xlfn.SEQUENCE(COUNTA($C$2:$C249), 1, 3, 4)),
  _xlpm.nbparties, COUNTA(_xlfn._xlws.FILTER(_xlpm.ptstables, _xlpm.ptstables &lt;&gt; "")),
  _xlpm.coef, _xlpm.K + _xlpm.Knewgain / (_xlpm.Knewscale + _xlpm.nbparties),
  IF(AL247="",
    "",
    _xlpm.coef * (AL247-AL248))
)</f>
        <v/>
      </c>
      <c r="AM249" t="str" cm="1">
        <f t="array" ref="AM249">_xlfn.LET(
  _xlpm.K, Constantes!$B$3,
  _xlpm.Knewgain, Constantes!$B$4,
  _xlpm.Knewscale, Constantes!$B$5,
  _xlpm.ptstables, INDEX(AM:AM, _xlfn.SEQUENCE(COUNTA($C$2:$C249), 1, 3, 4)),
  _xlpm.nbparties, COUNTA(_xlfn._xlws.FILTER(_xlpm.ptstables, _xlpm.ptstables &lt;&gt; "")),
  _xlpm.coef, _xlpm.K + _xlpm.Knewgain / (_xlpm.Knewscale + _xlpm.nbparties),
  IF(AM247="",
    "",
    _xlpm.coef * (AM247-AM248))
)</f>
        <v/>
      </c>
    </row>
    <row r="250" spans="1:39" x14ac:dyDescent="0.25">
      <c r="A250" t="s">
        <v>14</v>
      </c>
      <c r="B250" t="str" cm="1">
        <f t="array" ref="B25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63</v>
      </c>
      <c r="C250" s="2" cm="1">
        <f t="array" ref="C250">IF(B250="","",
  INDEX(Donnees!F:F, MATCH(B250, Donnees!F:F, 0)+1))</f>
        <v>45941.593541666669</v>
      </c>
      <c r="D250">
        <f t="shared" ref="D250:AM250" si="70">D246+IF(D249="",0,D249)</f>
        <v>1080.5073798720127</v>
      </c>
      <c r="E250">
        <f t="shared" si="70"/>
        <v>1150.8581509866578</v>
      </c>
      <c r="F250">
        <f t="shared" si="70"/>
        <v>840.07622072834204</v>
      </c>
      <c r="G250">
        <f t="shared" si="70"/>
        <v>1095.3886964417595</v>
      </c>
      <c r="H250">
        <f t="shared" si="70"/>
        <v>1041.4828877801035</v>
      </c>
      <c r="I250">
        <f t="shared" si="70"/>
        <v>960.57774210047694</v>
      </c>
      <c r="J250">
        <f t="shared" si="70"/>
        <v>1010.9125108504293</v>
      </c>
      <c r="K250">
        <f t="shared" si="70"/>
        <v>995.62536924505116</v>
      </c>
      <c r="L250">
        <f t="shared" si="70"/>
        <v>766.95119884458973</v>
      </c>
      <c r="M250">
        <f t="shared" si="70"/>
        <v>913.41986361738122</v>
      </c>
      <c r="N250">
        <f t="shared" si="70"/>
        <v>899.27286866960299</v>
      </c>
      <c r="O250">
        <f t="shared" si="70"/>
        <v>980.22411339123312</v>
      </c>
      <c r="P250">
        <f t="shared" si="70"/>
        <v>1044.694691960626</v>
      </c>
      <c r="Q250">
        <f t="shared" si="70"/>
        <v>1108.7965412414278</v>
      </c>
      <c r="R250">
        <f t="shared" si="70"/>
        <v>1080.636938748263</v>
      </c>
      <c r="S250">
        <f t="shared" si="70"/>
        <v>912.90205356391152</v>
      </c>
      <c r="T250">
        <f t="shared" si="70"/>
        <v>1135.2782658680615</v>
      </c>
      <c r="U250">
        <f t="shared" si="70"/>
        <v>1115.9839629001663</v>
      </c>
      <c r="V250">
        <f t="shared" si="70"/>
        <v>937.23755379009503</v>
      </c>
      <c r="W250">
        <f t="shared" si="70"/>
        <v>936.79085942937002</v>
      </c>
      <c r="X250">
        <f t="shared" si="70"/>
        <v>814.38475747458392</v>
      </c>
      <c r="Y250">
        <f t="shared" si="70"/>
        <v>959.91987155343315</v>
      </c>
      <c r="Z250">
        <f t="shared" si="70"/>
        <v>991.11904139672549</v>
      </c>
      <c r="AA250">
        <f t="shared" si="70"/>
        <v>966.24279289689184</v>
      </c>
      <c r="AB250">
        <f t="shared" si="70"/>
        <v>988.35669729544747</v>
      </c>
      <c r="AC250">
        <f t="shared" si="70"/>
        <v>1039.1635789679592</v>
      </c>
      <c r="AD250">
        <f t="shared" si="70"/>
        <v>1073.9096023401294</v>
      </c>
      <c r="AE250">
        <f t="shared" si="70"/>
        <v>963.23981965000235</v>
      </c>
      <c r="AF250">
        <f t="shared" si="70"/>
        <v>1089.5415391863121</v>
      </c>
      <c r="AG250">
        <f t="shared" si="70"/>
        <v>958.23078604304851</v>
      </c>
      <c r="AH250">
        <f t="shared" si="70"/>
        <v>920.4412636682855</v>
      </c>
      <c r="AI250">
        <f t="shared" si="70"/>
        <v>1000</v>
      </c>
      <c r="AJ250">
        <f t="shared" si="70"/>
        <v>957.2</v>
      </c>
      <c r="AK250">
        <f t="shared" si="70"/>
        <v>1000</v>
      </c>
      <c r="AL250">
        <f t="shared" si="70"/>
        <v>1055.9299999999998</v>
      </c>
      <c r="AM250">
        <f t="shared" si="70"/>
        <v>1000</v>
      </c>
    </row>
    <row r="251" spans="1:39" x14ac:dyDescent="0.25">
      <c r="A251" t="s">
        <v>21</v>
      </c>
      <c r="D251" t="str" cm="1">
        <f t="array" ref="D251">IFERROR(
  _xlfn.LET(
    _xlpm.ligpartie, MATCH($B250, Donnees!$F:$F, 0),
    _xlpm.joueurs, INDEX(Donnees!$A:$Z, _xlpm.ligpartie+1, _xlfn.SEQUENCE(1, 4, 2)),
    INDEX(
      Donnees!$A:$Z,
      _xlpm.ligpartie + 3,
      MATCH(D$1, _xlpm.joueurs, 0) + 1
    )
  ), ""
)</f>
        <v/>
      </c>
      <c r="E251" t="str" cm="1">
        <f t="array" ref="E251">IFERROR(
  _xlfn.LET(
    _xlpm.ligpartie, MATCH($B250, Donnees!$F:$F, 0),
    _xlpm.joueurs, INDEX(Donnees!$A:$Z, _xlpm.ligpartie+1, _xlfn.SEQUENCE(1, 4, 2)),
    INDEX(
      Donnees!$A:$Z,
      _xlpm.ligpartie + 3,
      MATCH(E$1, _xlpm.joueurs, 0) + 1
    )
  ), ""
)</f>
        <v/>
      </c>
      <c r="F251" cm="1">
        <f t="array" ref="F251">IFERROR(
  _xlfn.LET(
    _xlpm.ligpartie, MATCH($B250, Donnees!$F:$F, 0),
    _xlpm.joueurs, INDEX(Donnees!$A:$Z, _xlpm.ligpartie+1, _xlfn.SEQUENCE(1, 4, 2)),
    INDEX(
      Donnees!$A:$Z,
      _xlpm.ligpartie + 3,
      MATCH(F$1, _xlpm.joueurs, 0) + 1
    )
  ), ""
)</f>
        <v>1</v>
      </c>
      <c r="G251" cm="1">
        <f t="array" ref="G251">IFERROR(
  _xlfn.LET(
    _xlpm.ligpartie, MATCH($B250, Donnees!$F:$F, 0),
    _xlpm.joueurs, INDEX(Donnees!$A:$Z, _xlpm.ligpartie+1, _xlfn.SEQUENCE(1, 4, 2)),
    INDEX(
      Donnees!$A:$Z,
      _xlpm.ligpartie + 3,
      MATCH(G$1, _xlpm.joueurs, 0) + 1
    )
  ), ""
)</f>
        <v>3</v>
      </c>
      <c r="H251" t="str" cm="1">
        <f t="array" ref="H251">IFERROR(
  _xlfn.LET(
    _xlpm.ligpartie, MATCH($B250, Donnees!$F:$F, 0),
    _xlpm.joueurs, INDEX(Donnees!$A:$Z, _xlpm.ligpartie+1, _xlfn.SEQUENCE(1, 4, 2)),
    INDEX(
      Donnees!$A:$Z,
      _xlpm.ligpartie + 3,
      MATCH(H$1, _xlpm.joueurs, 0) + 1
    )
  ), ""
)</f>
        <v/>
      </c>
      <c r="I251" cm="1">
        <f t="array" ref="I251">IFERROR(
  _xlfn.LET(
    _xlpm.ligpartie, MATCH($B250, Donnees!$F:$F, 0),
    _xlpm.joueurs, INDEX(Donnees!$A:$Z, _xlpm.ligpartie+1, _xlfn.SEQUENCE(1, 4, 2)),
    INDEX(
      Donnees!$A:$Z,
      _xlpm.ligpartie + 3,
      MATCH(I$1, _xlpm.joueurs, 0) + 1
    )
  ), ""
)</f>
        <v>0</v>
      </c>
      <c r="J251" t="str" cm="1">
        <f t="array" ref="J251">IFERROR(
  _xlfn.LET(
    _xlpm.ligpartie, MATCH($B250, Donnees!$F:$F, 0),
    _xlpm.joueurs, INDEX(Donnees!$A:$Z, _xlpm.ligpartie+1, _xlfn.SEQUENCE(1, 4, 2)),
    INDEX(
      Donnees!$A:$Z,
      _xlpm.ligpartie + 3,
      MATCH(J$1, _xlpm.joueurs, 0) + 1
    )
  ), ""
)</f>
        <v/>
      </c>
      <c r="K251" t="str" cm="1">
        <f t="array" ref="K251">IFERROR(
  _xlfn.LET(
    _xlpm.ligpartie, MATCH($B250, Donnees!$F:$F, 0),
    _xlpm.joueurs, INDEX(Donnees!$A:$Z, _xlpm.ligpartie+1, _xlfn.SEQUENCE(1, 4, 2)),
    INDEX(
      Donnees!$A:$Z,
      _xlpm.ligpartie + 3,
      MATCH(K$1, _xlpm.joueurs, 0) + 1
    )
  ), ""
)</f>
        <v/>
      </c>
      <c r="L251" t="str" cm="1">
        <f t="array" ref="L251">IFERROR(
  _xlfn.LET(
    _xlpm.ligpartie, MATCH($B250, Donnees!$F:$F, 0),
    _xlpm.joueurs, INDEX(Donnees!$A:$Z, _xlpm.ligpartie+1, _xlfn.SEQUENCE(1, 4, 2)),
    INDEX(
      Donnees!$A:$Z,
      _xlpm.ligpartie + 3,
      MATCH(L$1, _xlpm.joueurs, 0) + 1
    )
  ), ""
)</f>
        <v/>
      </c>
      <c r="M251" t="str" cm="1">
        <f t="array" ref="M251">IFERROR(
  _xlfn.LET(
    _xlpm.ligpartie, MATCH($B250, Donnees!$F:$F, 0),
    _xlpm.joueurs, INDEX(Donnees!$A:$Z, _xlpm.ligpartie+1, _xlfn.SEQUENCE(1, 4, 2)),
    INDEX(
      Donnees!$A:$Z,
      _xlpm.ligpartie + 3,
      MATCH(M$1, _xlpm.joueurs, 0) + 1
    )
  ), ""
)</f>
        <v/>
      </c>
      <c r="N251" t="str" cm="1">
        <f t="array" ref="N251">IFERROR(
  _xlfn.LET(
    _xlpm.ligpartie, MATCH($B250, Donnees!$F:$F, 0),
    _xlpm.joueurs, INDEX(Donnees!$A:$Z, _xlpm.ligpartie+1, _xlfn.SEQUENCE(1, 4, 2)),
    INDEX(
      Donnees!$A:$Z,
      _xlpm.ligpartie + 3,
      MATCH(N$1, _xlpm.joueurs, 0) + 1
    )
  ), ""
)</f>
        <v/>
      </c>
      <c r="O251" t="str" cm="1">
        <f t="array" ref="O251">IFERROR(
  _xlfn.LET(
    _xlpm.ligpartie, MATCH($B250, Donnees!$F:$F, 0),
    _xlpm.joueurs, INDEX(Donnees!$A:$Z, _xlpm.ligpartie+1, _xlfn.SEQUENCE(1, 4, 2)),
    INDEX(
      Donnees!$A:$Z,
      _xlpm.ligpartie + 3,
      MATCH(O$1, _xlpm.joueurs, 0) + 1
    )
  ), ""
)</f>
        <v/>
      </c>
      <c r="P251" t="str" cm="1">
        <f t="array" ref="P251">IFERROR(
  _xlfn.LET(
    _xlpm.ligpartie, MATCH($B250, Donnees!$F:$F, 0),
    _xlpm.joueurs, INDEX(Donnees!$A:$Z, _xlpm.ligpartie+1, _xlfn.SEQUENCE(1, 4, 2)),
    INDEX(
      Donnees!$A:$Z,
      _xlpm.ligpartie + 3,
      MATCH(P$1, _xlpm.joueurs, 0) + 1
    )
  ), ""
)</f>
        <v/>
      </c>
      <c r="Q251" t="str" cm="1">
        <f t="array" ref="Q251">IFERROR(
  _xlfn.LET(
    _xlpm.ligpartie, MATCH($B250, Donnees!$F:$F, 0),
    _xlpm.joueurs, INDEX(Donnees!$A:$Z, _xlpm.ligpartie+1, _xlfn.SEQUENCE(1, 4, 2)),
    INDEX(
      Donnees!$A:$Z,
      _xlpm.ligpartie + 3,
      MATCH(Q$1, _xlpm.joueurs, 0) + 1
    )
  ), ""
)</f>
        <v/>
      </c>
      <c r="R251" t="str" cm="1">
        <f t="array" ref="R251">IFERROR(
  _xlfn.LET(
    _xlpm.ligpartie, MATCH($B250, Donnees!$F:$F, 0),
    _xlpm.joueurs, INDEX(Donnees!$A:$Z, _xlpm.ligpartie+1, _xlfn.SEQUENCE(1, 4, 2)),
    INDEX(
      Donnees!$A:$Z,
      _xlpm.ligpartie + 3,
      MATCH(R$1, _xlpm.joueurs, 0) + 1
    )
  ), ""
)</f>
        <v/>
      </c>
      <c r="S251" t="str" cm="1">
        <f t="array" ref="S251">IFERROR(
  _xlfn.LET(
    _xlpm.ligpartie, MATCH($B250, Donnees!$F:$F, 0),
    _xlpm.joueurs, INDEX(Donnees!$A:$Z, _xlpm.ligpartie+1, _xlfn.SEQUENCE(1, 4, 2)),
    INDEX(
      Donnees!$A:$Z,
      _xlpm.ligpartie + 3,
      MATCH(S$1, _xlpm.joueurs, 0) + 1
    )
  ), ""
)</f>
        <v/>
      </c>
      <c r="T251" cm="1">
        <f t="array" ref="T251">IFERROR(
  _xlfn.LET(
    _xlpm.ligpartie, MATCH($B250, Donnees!$F:$F, 0),
    _xlpm.joueurs, INDEX(Donnees!$A:$Z, _xlpm.ligpartie+1, _xlfn.SEQUENCE(1, 4, 2)),
    INDEX(
      Donnees!$A:$Z,
      _xlpm.ligpartie + 3,
      MATCH(T$1, _xlpm.joueurs, 0) + 1
    )
  ), ""
)</f>
        <v>2</v>
      </c>
      <c r="U251" t="str" cm="1">
        <f t="array" ref="U251">IFERROR(
  _xlfn.LET(
    _xlpm.ligpartie, MATCH($B250, Donnees!$F:$F, 0),
    _xlpm.joueurs, INDEX(Donnees!$A:$Z, _xlpm.ligpartie+1, _xlfn.SEQUENCE(1, 4, 2)),
    INDEX(
      Donnees!$A:$Z,
      _xlpm.ligpartie + 3,
      MATCH(U$1, _xlpm.joueurs, 0) + 1
    )
  ), ""
)</f>
        <v/>
      </c>
      <c r="V251" t="str" cm="1">
        <f t="array" ref="V251">IFERROR(
  _xlfn.LET(
    _xlpm.ligpartie, MATCH($B250, Donnees!$F:$F, 0),
    _xlpm.joueurs, INDEX(Donnees!$A:$Z, _xlpm.ligpartie+1, _xlfn.SEQUENCE(1, 4, 2)),
    INDEX(
      Donnees!$A:$Z,
      _xlpm.ligpartie + 3,
      MATCH(V$1, _xlpm.joueurs, 0) + 1
    )
  ), ""
)</f>
        <v/>
      </c>
      <c r="W251" t="str" cm="1">
        <f t="array" ref="W251">IFERROR(
  _xlfn.LET(
    _xlpm.ligpartie, MATCH($B250, Donnees!$F:$F, 0),
    _xlpm.joueurs, INDEX(Donnees!$A:$Z, _xlpm.ligpartie+1, _xlfn.SEQUENCE(1, 4, 2)),
    INDEX(
      Donnees!$A:$Z,
      _xlpm.ligpartie + 3,
      MATCH(W$1, _xlpm.joueurs, 0) + 1
    )
  ), ""
)</f>
        <v/>
      </c>
      <c r="X251" t="str" cm="1">
        <f t="array" ref="X251">IFERROR(
  _xlfn.LET(
    _xlpm.ligpartie, MATCH($B250, Donnees!$F:$F, 0),
    _xlpm.joueurs, INDEX(Donnees!$A:$Z, _xlpm.ligpartie+1, _xlfn.SEQUENCE(1, 4, 2)),
    INDEX(
      Donnees!$A:$Z,
      _xlpm.ligpartie + 3,
      MATCH(X$1, _xlpm.joueurs, 0) + 1
    )
  ), ""
)</f>
        <v/>
      </c>
      <c r="Y251" t="str" cm="1">
        <f t="array" ref="Y251">IFERROR(
  _xlfn.LET(
    _xlpm.ligpartie, MATCH($B250, Donnees!$F:$F, 0),
    _xlpm.joueurs, INDEX(Donnees!$A:$Z, _xlpm.ligpartie+1, _xlfn.SEQUENCE(1, 4, 2)),
    INDEX(
      Donnees!$A:$Z,
      _xlpm.ligpartie + 3,
      MATCH(Y$1, _xlpm.joueurs, 0) + 1
    )
  ), ""
)</f>
        <v/>
      </c>
      <c r="Z251" t="str" cm="1">
        <f t="array" ref="Z251">IFERROR(
  _xlfn.LET(
    _xlpm.ligpartie, MATCH($B250, Donnees!$F:$F, 0),
    _xlpm.joueurs, INDEX(Donnees!$A:$Z, _xlpm.ligpartie+1, _xlfn.SEQUENCE(1, 4, 2)),
    INDEX(
      Donnees!$A:$Z,
      _xlpm.ligpartie + 3,
      MATCH(Z$1, _xlpm.joueurs, 0) + 1
    )
  ), ""
)</f>
        <v/>
      </c>
      <c r="AA251" t="str" cm="1">
        <f t="array" ref="AA251">IFERROR(
  _xlfn.LET(
    _xlpm.ligpartie, MATCH($B250, Donnees!$F:$F, 0),
    _xlpm.joueurs, INDEX(Donnees!$A:$Z, _xlpm.ligpartie+1, _xlfn.SEQUENCE(1, 4, 2)),
    INDEX(
      Donnees!$A:$Z,
      _xlpm.ligpartie + 3,
      MATCH(AA$1, _xlpm.joueurs, 0) + 1
    )
  ), ""
)</f>
        <v/>
      </c>
      <c r="AB251" t="str" cm="1">
        <f t="array" ref="AB251">IFERROR(
  _xlfn.LET(
    _xlpm.ligpartie, MATCH($B250, Donnees!$F:$F, 0),
    _xlpm.joueurs, INDEX(Donnees!$A:$Z, _xlpm.ligpartie+1, _xlfn.SEQUENCE(1, 4, 2)),
    INDEX(
      Donnees!$A:$Z,
      _xlpm.ligpartie + 3,
      MATCH(AB$1, _xlpm.joueurs, 0) + 1
    )
  ), ""
)</f>
        <v/>
      </c>
      <c r="AC251" t="str" cm="1">
        <f t="array" ref="AC251">IFERROR(
  _xlfn.LET(
    _xlpm.ligpartie, MATCH($B250, Donnees!$F:$F, 0),
    _xlpm.joueurs, INDEX(Donnees!$A:$Z, _xlpm.ligpartie+1, _xlfn.SEQUENCE(1, 4, 2)),
    INDEX(
      Donnees!$A:$Z,
      _xlpm.ligpartie + 3,
      MATCH(AC$1, _xlpm.joueurs, 0) + 1
    )
  ), ""
)</f>
        <v/>
      </c>
      <c r="AD251" t="str" cm="1">
        <f t="array" ref="AD251">IFERROR(
  _xlfn.LET(
    _xlpm.ligpartie, MATCH($B250, Donnees!$F:$F, 0),
    _xlpm.joueurs, INDEX(Donnees!$A:$Z, _xlpm.ligpartie+1, _xlfn.SEQUENCE(1, 4, 2)),
    INDEX(
      Donnees!$A:$Z,
      _xlpm.ligpartie + 3,
      MATCH(AD$1, _xlpm.joueurs, 0) + 1
    )
  ), ""
)</f>
        <v/>
      </c>
      <c r="AE251" t="str" cm="1">
        <f t="array" ref="AE251">IFERROR(
  _xlfn.LET(
    _xlpm.ligpartie, MATCH($B250, Donnees!$F:$F, 0),
    _xlpm.joueurs, INDEX(Donnees!$A:$Z, _xlpm.ligpartie+1, _xlfn.SEQUENCE(1, 4, 2)),
    INDEX(
      Donnees!$A:$Z,
      _xlpm.ligpartie + 3,
      MATCH(AE$1, _xlpm.joueurs, 0) + 1
    )
  ), ""
)</f>
        <v/>
      </c>
      <c r="AF251" t="str" cm="1">
        <f t="array" ref="AF251">IFERROR(
  _xlfn.LET(
    _xlpm.ligpartie, MATCH($B250, Donnees!$F:$F, 0),
    _xlpm.joueurs, INDEX(Donnees!$A:$Z, _xlpm.ligpartie+1, _xlfn.SEQUENCE(1, 4, 2)),
    INDEX(
      Donnees!$A:$Z,
      _xlpm.ligpartie + 3,
      MATCH(AF$1, _xlpm.joueurs, 0) + 1
    )
  ), ""
)</f>
        <v/>
      </c>
      <c r="AG251" t="str" cm="1">
        <f t="array" ref="AG251">IFERROR(
  _xlfn.LET(
    _xlpm.ligpartie, MATCH($B250, Donnees!$F:$F, 0),
    _xlpm.joueurs, INDEX(Donnees!$A:$Z, _xlpm.ligpartie+1, _xlfn.SEQUENCE(1, 4, 2)),
    INDEX(
      Donnees!$A:$Z,
      _xlpm.ligpartie + 3,
      MATCH(AG$1, _xlpm.joueurs, 0) + 1
    )
  ), ""
)</f>
        <v/>
      </c>
      <c r="AH251" t="str" cm="1">
        <f t="array" ref="AH251">IFERROR(
  _xlfn.LET(
    _xlpm.ligpartie, MATCH($B250, Donnees!$F:$F, 0),
    _xlpm.joueurs, INDEX(Donnees!$A:$Z, _xlpm.ligpartie+1, _xlfn.SEQUENCE(1, 4, 2)),
    INDEX(
      Donnees!$A:$Z,
      _xlpm.ligpartie + 3,
      MATCH(AH$1, _xlpm.joueurs, 0) + 1
    )
  ), ""
)</f>
        <v/>
      </c>
      <c r="AI251" t="str" cm="1">
        <f t="array" ref="AI251">IFERROR(
  _xlfn.LET(
    _xlpm.ligpartie, MATCH($B250, Donnees!$F:$F, 0),
    _xlpm.joueurs, INDEX(Donnees!$A:$Z, _xlpm.ligpartie+1, _xlfn.SEQUENCE(1, 4, 2)),
    INDEX(
      Donnees!$A:$Z,
      _xlpm.ligpartie + 3,
      MATCH(AI$1, _xlpm.joueurs, 0) + 1
    )
  ), ""
)</f>
        <v/>
      </c>
      <c r="AJ251" t="str" cm="1">
        <f t="array" ref="AJ251">IFERROR(
  _xlfn.LET(
    _xlpm.ligpartie, MATCH($B250, Donnees!$F:$F, 0),
    _xlpm.joueurs, INDEX(Donnees!$A:$Z, _xlpm.ligpartie+1, _xlfn.SEQUENCE(1, 4, 2)),
    INDEX(
      Donnees!$A:$Z,
      _xlpm.ligpartie + 3,
      MATCH(AJ$1, _xlpm.joueurs, 0) + 1
    )
  ), ""
)</f>
        <v/>
      </c>
      <c r="AK251" t="str" cm="1">
        <f t="array" ref="AK251">IFERROR(
  _xlfn.LET(
    _xlpm.ligpartie, MATCH($B250, Donnees!$F:$F, 0),
    _xlpm.joueurs, INDEX(Donnees!$A:$Z, _xlpm.ligpartie+1, _xlfn.SEQUENCE(1, 4, 2)),
    INDEX(
      Donnees!$A:$Z,
      _xlpm.ligpartie + 3,
      MATCH(AK$1, _xlpm.joueurs, 0) + 1
    )
  ), ""
)</f>
        <v/>
      </c>
      <c r="AL251" t="str" cm="1">
        <f t="array" ref="AL251">IFERROR(
  _xlfn.LET(
    _xlpm.ligpartie, MATCH($B250, Donnees!$F:$F, 0),
    _xlpm.joueurs, INDEX(Donnees!$A:$Z, _xlpm.ligpartie+1, _xlfn.SEQUENCE(1, 4, 2)),
    INDEX(
      Donnees!$A:$Z,
      _xlpm.ligpartie + 3,
      MATCH(AL$1, _xlpm.joueurs, 0) + 1
    )
  ), ""
)</f>
        <v/>
      </c>
      <c r="AM251" t="str" cm="1">
        <f t="array" ref="AM251">IFERROR(
  _xlfn.LET(
    _xlpm.ligpartie, MATCH($B250, Donnees!$F:$F, 0),
    _xlpm.joueurs, INDEX(Donnees!$A:$Z, _xlpm.ligpartie+1, _xlfn.SEQUENCE(1, 4, 2)),
    INDEX(
      Donnees!$A:$Z,
      _xlpm.ligpartie + 3,
      MATCH(AM$1, _xlpm.joueurs, 0) + 1
    )
  ), ""
)</f>
        <v/>
      </c>
    </row>
    <row r="252" spans="1:39" x14ac:dyDescent="0.25">
      <c r="A252" t="s">
        <v>20</v>
      </c>
      <c r="D252" t="str" cm="1">
        <f t="array" ref="D252">_xlfn.LET(
  _xlpm.colj, _xlfn._xlws.FILTER(IF(ISNUMBER(251:251), COLUMN(251:251)), ISNUMBER(251:251)),
  _xlpm.elos, INDEX(250:250,1,_xlpm.colj),
  _xlpm.diffscale, Constantes!$B$2,
  IF(D251="",
    "",
    SUM(1/(1+POWER(10,-(D250-_xlpm.elos)/_xlpm.diffscale)))-0.5)
)</f>
        <v/>
      </c>
      <c r="E252" t="str" cm="1">
        <f t="array" ref="E252">_xlfn.LET(
  _xlpm.colj, _xlfn._xlws.FILTER(IF(ISNUMBER(251:251), COLUMN(251:251)), ISNUMBER(251:251)),
  _xlpm.elos, INDEX(250:250,1,_xlpm.colj),
  _xlpm.diffscale, Constantes!$B$2,
  IF(E251="",
    "",
    SUM(1/(1+POWER(10,-(E250-_xlpm.elos)/_xlpm.diffscale)))-0.5)
)</f>
        <v/>
      </c>
      <c r="F252" cm="1">
        <f t="array" ref="F252">_xlfn.LET(
  _xlpm.colj, _xlfn._xlws.FILTER(IF(ISNUMBER(251:251), COLUMN(251:251)), ISNUMBER(251:251)),
  _xlpm.elos, INDEX(250:250,1,_xlpm.colj),
  _xlpm.diffscale, Constantes!$B$2,
  IF(F251="",
    "",
    SUM(1/(1+POWER(10,-(F250-_xlpm.elos)/_xlpm.diffscale)))-0.5)
)</f>
        <v>0.67476168843871753</v>
      </c>
      <c r="G252" cm="1">
        <f t="array" ref="G252">_xlfn.LET(
  _xlpm.colj, _xlfn._xlws.FILTER(IF(ISNUMBER(251:251), COLUMN(251:251)), ISNUMBER(251:251)),
  _xlpm.elos, INDEX(250:250,1,_xlpm.colj),
  _xlpm.diffscale, Constantes!$B$2,
  IF(G251="",
    "",
    SUM(1/(1+POWER(10,-(G250-_xlpm.elos)/_xlpm.diffscale)))-0.5)
)</f>
        <v>1.940681267681911</v>
      </c>
      <c r="H252" t="str" cm="1">
        <f t="array" ref="H252">_xlfn.LET(
  _xlpm.colj, _xlfn._xlws.FILTER(IF(ISNUMBER(251:251), COLUMN(251:251)), ISNUMBER(251:251)),
  _xlpm.elos, INDEX(250:250,1,_xlpm.colj),
  _xlpm.diffscale, Constantes!$B$2,
  IF(H251="",
    "",
    SUM(1/(1+POWER(10,-(H250-_xlpm.elos)/_xlpm.diffscale)))-0.5)
)</f>
        <v/>
      </c>
      <c r="I252" cm="1">
        <f t="array" ref="I252">_xlfn.LET(
  _xlpm.colj, _xlfn._xlws.FILTER(IF(ISNUMBER(251:251), COLUMN(251:251)), ISNUMBER(251:251)),
  _xlpm.elos, INDEX(250:250,1,_xlpm.colj),
  _xlpm.diffscale, Constantes!$B$2,
  IF(I251="",
    "",
    SUM(1/(1+POWER(10,-(I250-_xlpm.elos)/_xlpm.diffscale)))-0.5)
)</f>
        <v>1.249787035912989</v>
      </c>
      <c r="J252" t="str" cm="1">
        <f t="array" ref="J252">_xlfn.LET(
  _xlpm.colj, _xlfn._xlws.FILTER(IF(ISNUMBER(251:251), COLUMN(251:251)), ISNUMBER(251:251)),
  _xlpm.elos, INDEX(250:250,1,_xlpm.colj),
  _xlpm.diffscale, Constantes!$B$2,
  IF(J251="",
    "",
    SUM(1/(1+POWER(10,-(J250-_xlpm.elos)/_xlpm.diffscale)))-0.5)
)</f>
        <v/>
      </c>
      <c r="K252" t="str" cm="1">
        <f t="array" ref="K252">_xlfn.LET(
  _xlpm.colj, _xlfn._xlws.FILTER(IF(ISNUMBER(251:251), COLUMN(251:251)), ISNUMBER(251:251)),
  _xlpm.elos, INDEX(250:250,1,_xlpm.colj),
  _xlpm.diffscale, Constantes!$B$2,
  IF(K251="",
    "",
    SUM(1/(1+POWER(10,-(K250-_xlpm.elos)/_xlpm.diffscale)))-0.5)
)</f>
        <v/>
      </c>
      <c r="L252" t="str" cm="1">
        <f t="array" ref="L252">_xlfn.LET(
  _xlpm.colj, _xlfn._xlws.FILTER(IF(ISNUMBER(251:251), COLUMN(251:251)), ISNUMBER(251:251)),
  _xlpm.elos, INDEX(250:250,1,_xlpm.colj),
  _xlpm.diffscale, Constantes!$B$2,
  IF(L251="",
    "",
    SUM(1/(1+POWER(10,-(L250-_xlpm.elos)/_xlpm.diffscale)))-0.5)
)</f>
        <v/>
      </c>
      <c r="M252" t="str" cm="1">
        <f t="array" ref="M252">_xlfn.LET(
  _xlpm.colj, _xlfn._xlws.FILTER(IF(ISNUMBER(251:251), COLUMN(251:251)), ISNUMBER(251:251)),
  _xlpm.elos, INDEX(250:250,1,_xlpm.colj),
  _xlpm.diffscale, Constantes!$B$2,
  IF(M251="",
    "",
    SUM(1/(1+POWER(10,-(M250-_xlpm.elos)/_xlpm.diffscale)))-0.5)
)</f>
        <v/>
      </c>
      <c r="N252" t="str" cm="1">
        <f t="array" ref="N252">_xlfn.LET(
  _xlpm.colj, _xlfn._xlws.FILTER(IF(ISNUMBER(251:251), COLUMN(251:251)), ISNUMBER(251:251)),
  _xlpm.elos, INDEX(250:250,1,_xlpm.colj),
  _xlpm.diffscale, Constantes!$B$2,
  IF(N251="",
    "",
    SUM(1/(1+POWER(10,-(N250-_xlpm.elos)/_xlpm.diffscale)))-0.5)
)</f>
        <v/>
      </c>
      <c r="O252" t="str" cm="1">
        <f t="array" ref="O252">_xlfn.LET(
  _xlpm.colj, _xlfn._xlws.FILTER(IF(ISNUMBER(251:251), COLUMN(251:251)), ISNUMBER(251:251)),
  _xlpm.elos, INDEX(250:250,1,_xlpm.colj),
  _xlpm.diffscale, Constantes!$B$2,
  IF(O251="",
    "",
    SUM(1/(1+POWER(10,-(O250-_xlpm.elos)/_xlpm.diffscale)))-0.5)
)</f>
        <v/>
      </c>
      <c r="P252" t="str" cm="1">
        <f t="array" ref="P252">_xlfn.LET(
  _xlpm.colj, _xlfn._xlws.FILTER(IF(ISNUMBER(251:251), COLUMN(251:251)), ISNUMBER(251:251)),
  _xlpm.elos, INDEX(250:250,1,_xlpm.colj),
  _xlpm.diffscale, Constantes!$B$2,
  IF(P251="",
    "",
    SUM(1/(1+POWER(10,-(P250-_xlpm.elos)/_xlpm.diffscale)))-0.5)
)</f>
        <v/>
      </c>
      <c r="Q252" t="str" cm="1">
        <f t="array" ref="Q252">_xlfn.LET(
  _xlpm.colj, _xlfn._xlws.FILTER(IF(ISNUMBER(251:251), COLUMN(251:251)), ISNUMBER(251:251)),
  _xlpm.elos, INDEX(250:250,1,_xlpm.colj),
  _xlpm.diffscale, Constantes!$B$2,
  IF(Q251="",
    "",
    SUM(1/(1+POWER(10,-(Q250-_xlpm.elos)/_xlpm.diffscale)))-0.5)
)</f>
        <v/>
      </c>
      <c r="R252" t="str" cm="1">
        <f t="array" ref="R252">_xlfn.LET(
  _xlpm.colj, _xlfn._xlws.FILTER(IF(ISNUMBER(251:251), COLUMN(251:251)), ISNUMBER(251:251)),
  _xlpm.elos, INDEX(250:250,1,_xlpm.colj),
  _xlpm.diffscale, Constantes!$B$2,
  IF(R251="",
    "",
    SUM(1/(1+POWER(10,-(R250-_xlpm.elos)/_xlpm.diffscale)))-0.5)
)</f>
        <v/>
      </c>
      <c r="S252" t="str" cm="1">
        <f t="array" ref="S252">_xlfn.LET(
  _xlpm.colj, _xlfn._xlws.FILTER(IF(ISNUMBER(251:251), COLUMN(251:251)), ISNUMBER(251:251)),
  _xlpm.elos, INDEX(250:250,1,_xlpm.colj),
  _xlpm.diffscale, Constantes!$B$2,
  IF(S251="",
    "",
    SUM(1/(1+POWER(10,-(S250-_xlpm.elos)/_xlpm.diffscale)))-0.5)
)</f>
        <v/>
      </c>
      <c r="T252" cm="1">
        <f t="array" ref="T252">_xlfn.LET(
  _xlpm.colj, _xlfn._xlws.FILTER(IF(ISNUMBER(251:251), COLUMN(251:251)), ISNUMBER(251:251)),
  _xlpm.elos, INDEX(250:250,1,_xlpm.colj),
  _xlpm.diffscale, Constantes!$B$2,
  IF(T251="",
    "",
    SUM(1/(1+POWER(10,-(T250-_xlpm.elos)/_xlpm.diffscale)))-0.5)
)</f>
        <v>2.1347700079663823</v>
      </c>
      <c r="U252" t="str" cm="1">
        <f t="array" ref="U252">_xlfn.LET(
  _xlpm.colj, _xlfn._xlws.FILTER(IF(ISNUMBER(251:251), COLUMN(251:251)), ISNUMBER(251:251)),
  _xlpm.elos, INDEX(250:250,1,_xlpm.colj),
  _xlpm.diffscale, Constantes!$B$2,
  IF(U251="",
    "",
    SUM(1/(1+POWER(10,-(U250-_xlpm.elos)/_xlpm.diffscale)))-0.5)
)</f>
        <v/>
      </c>
      <c r="V252" t="str" cm="1">
        <f t="array" ref="V252">_xlfn.LET(
  _xlpm.colj, _xlfn._xlws.FILTER(IF(ISNUMBER(251:251), COLUMN(251:251)), ISNUMBER(251:251)),
  _xlpm.elos, INDEX(250:250,1,_xlpm.colj),
  _xlpm.diffscale, Constantes!$B$2,
  IF(V251="",
    "",
    SUM(1/(1+POWER(10,-(V250-_xlpm.elos)/_xlpm.diffscale)))-0.5)
)</f>
        <v/>
      </c>
      <c r="W252" t="str" cm="1">
        <f t="array" ref="W252">_xlfn.LET(
  _xlpm.colj, _xlfn._xlws.FILTER(IF(ISNUMBER(251:251), COLUMN(251:251)), ISNUMBER(251:251)),
  _xlpm.elos, INDEX(250:250,1,_xlpm.colj),
  _xlpm.diffscale, Constantes!$B$2,
  IF(W251="",
    "",
    SUM(1/(1+POWER(10,-(W250-_xlpm.elos)/_xlpm.diffscale)))-0.5)
)</f>
        <v/>
      </c>
      <c r="X252" t="str" cm="1">
        <f t="array" ref="X252">_xlfn.LET(
  _xlpm.colj, _xlfn._xlws.FILTER(IF(ISNUMBER(251:251), COLUMN(251:251)), ISNUMBER(251:251)),
  _xlpm.elos, INDEX(250:250,1,_xlpm.colj),
  _xlpm.diffscale, Constantes!$B$2,
  IF(X251="",
    "",
    SUM(1/(1+POWER(10,-(X250-_xlpm.elos)/_xlpm.diffscale)))-0.5)
)</f>
        <v/>
      </c>
      <c r="Y252" t="str" cm="1">
        <f t="array" ref="Y252">_xlfn.LET(
  _xlpm.colj, _xlfn._xlws.FILTER(IF(ISNUMBER(251:251), COLUMN(251:251)), ISNUMBER(251:251)),
  _xlpm.elos, INDEX(250:250,1,_xlpm.colj),
  _xlpm.diffscale, Constantes!$B$2,
  IF(Y251="",
    "",
    SUM(1/(1+POWER(10,-(Y250-_xlpm.elos)/_xlpm.diffscale)))-0.5)
)</f>
        <v/>
      </c>
      <c r="Z252" t="str" cm="1">
        <f t="array" ref="Z252">_xlfn.LET(
  _xlpm.colj, _xlfn._xlws.FILTER(IF(ISNUMBER(251:251), COLUMN(251:251)), ISNUMBER(251:251)),
  _xlpm.elos, INDEX(250:250,1,_xlpm.colj),
  _xlpm.diffscale, Constantes!$B$2,
  IF(Z251="",
    "",
    SUM(1/(1+POWER(10,-(Z250-_xlpm.elos)/_xlpm.diffscale)))-0.5)
)</f>
        <v/>
      </c>
      <c r="AA252" t="str" cm="1">
        <f t="array" ref="AA252">_xlfn.LET(
  _xlpm.colj, _xlfn._xlws.FILTER(IF(ISNUMBER(251:251), COLUMN(251:251)), ISNUMBER(251:251)),
  _xlpm.elos, INDEX(250:250,1,_xlpm.colj),
  _xlpm.diffscale, Constantes!$B$2,
  IF(AA251="",
    "",
    SUM(1/(1+POWER(10,-(AA250-_xlpm.elos)/_xlpm.diffscale)))-0.5)
)</f>
        <v/>
      </c>
      <c r="AB252" t="str" cm="1">
        <f t="array" ref="AB252">_xlfn.LET(
  _xlpm.colj, _xlfn._xlws.FILTER(IF(ISNUMBER(251:251), COLUMN(251:251)), ISNUMBER(251:251)),
  _xlpm.elos, INDEX(250:250,1,_xlpm.colj),
  _xlpm.diffscale, Constantes!$B$2,
  IF(AB251="",
    "",
    SUM(1/(1+POWER(10,-(AB250-_xlpm.elos)/_xlpm.diffscale)))-0.5)
)</f>
        <v/>
      </c>
      <c r="AC252" t="str" cm="1">
        <f t="array" ref="AC252">_xlfn.LET(
  _xlpm.colj, _xlfn._xlws.FILTER(IF(ISNUMBER(251:251), COLUMN(251:251)), ISNUMBER(251:251)),
  _xlpm.elos, INDEX(250:250,1,_xlpm.colj),
  _xlpm.diffscale, Constantes!$B$2,
  IF(AC251="",
    "",
    SUM(1/(1+POWER(10,-(AC250-_xlpm.elos)/_xlpm.diffscale)))-0.5)
)</f>
        <v/>
      </c>
      <c r="AD252" t="str" cm="1">
        <f t="array" ref="AD252">_xlfn.LET(
  _xlpm.colj, _xlfn._xlws.FILTER(IF(ISNUMBER(251:251), COLUMN(251:251)), ISNUMBER(251:251)),
  _xlpm.elos, INDEX(250:250,1,_xlpm.colj),
  _xlpm.diffscale, Constantes!$B$2,
  IF(AD251="",
    "",
    SUM(1/(1+POWER(10,-(AD250-_xlpm.elos)/_xlpm.diffscale)))-0.5)
)</f>
        <v/>
      </c>
      <c r="AE252" t="str" cm="1">
        <f t="array" ref="AE252">_xlfn.LET(
  _xlpm.colj, _xlfn._xlws.FILTER(IF(ISNUMBER(251:251), COLUMN(251:251)), ISNUMBER(251:251)),
  _xlpm.elos, INDEX(250:250,1,_xlpm.colj),
  _xlpm.diffscale, Constantes!$B$2,
  IF(AE251="",
    "",
    SUM(1/(1+POWER(10,-(AE250-_xlpm.elos)/_xlpm.diffscale)))-0.5)
)</f>
        <v/>
      </c>
      <c r="AF252" t="str" cm="1">
        <f t="array" ref="AF252">_xlfn.LET(
  _xlpm.colj, _xlfn._xlws.FILTER(IF(ISNUMBER(251:251), COLUMN(251:251)), ISNUMBER(251:251)),
  _xlpm.elos, INDEX(250:250,1,_xlpm.colj),
  _xlpm.diffscale, Constantes!$B$2,
  IF(AF251="",
    "",
    SUM(1/(1+POWER(10,-(AF250-_xlpm.elos)/_xlpm.diffscale)))-0.5)
)</f>
        <v/>
      </c>
      <c r="AG252" t="str" cm="1">
        <f t="array" ref="AG252">_xlfn.LET(
  _xlpm.colj, _xlfn._xlws.FILTER(IF(ISNUMBER(251:251), COLUMN(251:251)), ISNUMBER(251:251)),
  _xlpm.elos, INDEX(250:250,1,_xlpm.colj),
  _xlpm.diffscale, Constantes!$B$2,
  IF(AG251="",
    "",
    SUM(1/(1+POWER(10,-(AG250-_xlpm.elos)/_xlpm.diffscale)))-0.5)
)</f>
        <v/>
      </c>
      <c r="AH252" t="str" cm="1">
        <f t="array" ref="AH252">_xlfn.LET(
  _xlpm.colj, _xlfn._xlws.FILTER(IF(ISNUMBER(251:251), COLUMN(251:251)), ISNUMBER(251:251)),
  _xlpm.elos, INDEX(250:250,1,_xlpm.colj),
  _xlpm.diffscale, Constantes!$B$2,
  IF(AH251="",
    "",
    SUM(1/(1+POWER(10,-(AH250-_xlpm.elos)/_xlpm.diffscale)))-0.5)
)</f>
        <v/>
      </c>
      <c r="AI252" t="str" cm="1">
        <f t="array" ref="AI252">_xlfn.LET(
  _xlpm.colj, _xlfn._xlws.FILTER(IF(ISNUMBER(251:251), COLUMN(251:251)), ISNUMBER(251:251)),
  _xlpm.elos, INDEX(250:250,1,_xlpm.colj),
  _xlpm.diffscale, Constantes!$B$2,
  IF(AI251="",
    "",
    SUM(1/(1+POWER(10,-(AI250-_xlpm.elos)/_xlpm.diffscale)))-0.5)
)</f>
        <v/>
      </c>
      <c r="AJ252" t="str" cm="1">
        <f t="array" ref="AJ252">_xlfn.LET(
  _xlpm.colj, _xlfn._xlws.FILTER(IF(ISNUMBER(251:251), COLUMN(251:251)), ISNUMBER(251:251)),
  _xlpm.elos, INDEX(250:250,1,_xlpm.colj),
  _xlpm.diffscale, Constantes!$B$2,
  IF(AJ251="",
    "",
    SUM(1/(1+POWER(10,-(AJ250-_xlpm.elos)/_xlpm.diffscale)))-0.5)
)</f>
        <v/>
      </c>
      <c r="AK252" t="str" cm="1">
        <f t="array" ref="AK252">_xlfn.LET(
  _xlpm.colj, _xlfn._xlws.FILTER(IF(ISNUMBER(251:251), COLUMN(251:251)), ISNUMBER(251:251)),
  _xlpm.elos, INDEX(250:250,1,_xlpm.colj),
  _xlpm.diffscale, Constantes!$B$2,
  IF(AK251="",
    "",
    SUM(1/(1+POWER(10,-(AK250-_xlpm.elos)/_xlpm.diffscale)))-0.5)
)</f>
        <v/>
      </c>
      <c r="AL252" t="str" cm="1">
        <f t="array" ref="AL252">_xlfn.LET(
  _xlpm.colj, _xlfn._xlws.FILTER(IF(ISNUMBER(251:251), COLUMN(251:251)), ISNUMBER(251:251)),
  _xlpm.elos, INDEX(250:250,1,_xlpm.colj),
  _xlpm.diffscale, Constantes!$B$2,
  IF(AL251="",
    "",
    SUM(1/(1+POWER(10,-(AL250-_xlpm.elos)/_xlpm.diffscale)))-0.5)
)</f>
        <v/>
      </c>
      <c r="AM252" t="str" cm="1">
        <f t="array" ref="AM252">_xlfn.LET(
  _xlpm.colj, _xlfn._xlws.FILTER(IF(ISNUMBER(251:251), COLUMN(251:251)), ISNUMBER(251:251)),
  _xlpm.elos, INDEX(250:250,1,_xlpm.colj),
  _xlpm.diffscale, Constantes!$B$2,
  IF(AM251="",
    "",
    SUM(1/(1+POWER(10,-(AM250-_xlpm.elos)/_xlpm.diffscale)))-0.5)
)</f>
        <v/>
      </c>
    </row>
    <row r="253" spans="1:39" x14ac:dyDescent="0.25">
      <c r="A253" t="s">
        <v>22</v>
      </c>
      <c r="D253" t="str" cm="1">
        <f t="array" ref="D253">_xlfn.LET(
  _xlpm.K, Constantes!$B$3,
  _xlpm.Knewgain, Constantes!$B$4,
  _xlpm.Knewscale, Constantes!$B$5,
  _xlpm.ptstables, INDEX(D:D, _xlfn.SEQUENCE(COUNTA($C$2:$C253), 1, 3, 4)),
  _xlpm.nbparties, COUNTA(_xlfn._xlws.FILTER(_xlpm.ptstables, _xlpm.ptstables &lt;&gt; "")),
  _xlpm.coef, _xlpm.K + _xlpm.Knewgain / (_xlpm.Knewscale + _xlpm.nbparties),
  IF(D251="",
    "",
    _xlpm.coef * (D251-D252))
)</f>
        <v/>
      </c>
      <c r="E253" t="str" cm="1">
        <f t="array" ref="E253">_xlfn.LET(
  _xlpm.K, Constantes!$B$3,
  _xlpm.Knewgain, Constantes!$B$4,
  _xlpm.Knewscale, Constantes!$B$5,
  _xlpm.ptstables, INDEX(E:E, _xlfn.SEQUENCE(COUNTA($C$2:$C253), 1, 3, 4)),
  _xlpm.nbparties, COUNTA(_xlfn._xlws.FILTER(_xlpm.ptstables, _xlpm.ptstables &lt;&gt; "")),
  _xlpm.coef, _xlpm.K + _xlpm.Knewgain / (_xlpm.Knewscale + _xlpm.nbparties),
  IF(E251="",
    "",
    _xlpm.coef * (E251-E252))
)</f>
        <v/>
      </c>
      <c r="F253" cm="1">
        <f t="array" ref="F253">_xlfn.LET(
  _xlpm.K, Constantes!$B$3,
  _xlpm.Knewgain, Constantes!$B$4,
  _xlpm.Knewscale, Constantes!$B$5,
  _xlpm.ptstables, INDEX(F:F, _xlfn.SEQUENCE(COUNTA($C$2:$C253), 1, 3, 4)),
  _xlpm.nbparties, COUNTA(_xlfn._xlws.FILTER(_xlpm.ptstables, _xlpm.ptstables &lt;&gt; "")),
  _xlpm.coef, _xlpm.K + _xlpm.Knewgain / (_xlpm.Knewscale + _xlpm.nbparties),
  IF(F251="",
    "",
    _xlpm.coef * (F251-F252))
)</f>
        <v>7.4082059855625451</v>
      </c>
      <c r="G253" cm="1">
        <f t="array" ref="G253">_xlfn.LET(
  _xlpm.K, Constantes!$B$3,
  _xlpm.Knewgain, Constantes!$B$4,
  _xlpm.Knewscale, Constantes!$B$5,
  _xlpm.ptstables, INDEX(G:G, _xlfn.SEQUENCE(COUNTA($C$2:$C253), 1, 3, 4)),
  _xlpm.nbparties, COUNTA(_xlfn._xlws.FILTER(_xlpm.ptstables, _xlpm.ptstables &lt;&gt; "")),
  _xlpm.coef, _xlpm.K + _xlpm.Knewgain / (_xlpm.Knewscale + _xlpm.nbparties),
  IF(G251="",
    "",
    _xlpm.coef * (G251-G252))
)</f>
        <v>23.489241455748932</v>
      </c>
      <c r="H253" t="str" cm="1">
        <f t="array" ref="H253">_xlfn.LET(
  _xlpm.K, Constantes!$B$3,
  _xlpm.Knewgain, Constantes!$B$4,
  _xlpm.Knewscale, Constantes!$B$5,
  _xlpm.ptstables, INDEX(H:H, _xlfn.SEQUENCE(COUNTA($C$2:$C253), 1, 3, 4)),
  _xlpm.nbparties, COUNTA(_xlfn._xlws.FILTER(_xlpm.ptstables, _xlpm.ptstables &lt;&gt; "")),
  _xlpm.coef, _xlpm.K + _xlpm.Knewgain / (_xlpm.Knewscale + _xlpm.nbparties),
  IF(H251="",
    "",
    _xlpm.coef * (H251-H252))
)</f>
        <v/>
      </c>
      <c r="I253" cm="1">
        <f t="array" ref="I253">_xlfn.LET(
  _xlpm.K, Constantes!$B$3,
  _xlpm.Knewgain, Constantes!$B$4,
  _xlpm.Knewscale, Constantes!$B$5,
  _xlpm.ptstables, INDEX(I:I, _xlfn.SEQUENCE(COUNTA($C$2:$C253), 1, 3, 4)),
  _xlpm.nbparties, COUNTA(_xlfn._xlws.FILTER(_xlpm.ptstables, _xlpm.ptstables &lt;&gt; "")),
  _xlpm.coef, _xlpm.K + _xlpm.Knewgain / (_xlpm.Knewscale + _xlpm.nbparties),
  IF(I251="",
    "",
    _xlpm.coef * (I251-I252))
)</f>
        <v>-30.676590881500641</v>
      </c>
      <c r="J253" t="str" cm="1">
        <f t="array" ref="J253">_xlfn.LET(
  _xlpm.K, Constantes!$B$3,
  _xlpm.Knewgain, Constantes!$B$4,
  _xlpm.Knewscale, Constantes!$B$5,
  _xlpm.ptstables, INDEX(J:J, _xlfn.SEQUENCE(COUNTA($C$2:$C253), 1, 3, 4)),
  _xlpm.nbparties, COUNTA(_xlfn._xlws.FILTER(_xlpm.ptstables, _xlpm.ptstables &lt;&gt; "")),
  _xlpm.coef, _xlpm.K + _xlpm.Knewgain / (_xlpm.Knewscale + _xlpm.nbparties),
  IF(J251="",
    "",
    _xlpm.coef * (J251-J252))
)</f>
        <v/>
      </c>
      <c r="K253" t="str" cm="1">
        <f t="array" ref="K253">_xlfn.LET(
  _xlpm.K, Constantes!$B$3,
  _xlpm.Knewgain, Constantes!$B$4,
  _xlpm.Knewscale, Constantes!$B$5,
  _xlpm.ptstables, INDEX(K:K, _xlfn.SEQUENCE(COUNTA($C$2:$C253), 1, 3, 4)),
  _xlpm.nbparties, COUNTA(_xlfn._xlws.FILTER(_xlpm.ptstables, _xlpm.ptstables &lt;&gt; "")),
  _xlpm.coef, _xlpm.K + _xlpm.Knewgain / (_xlpm.Knewscale + _xlpm.nbparties),
  IF(K251="",
    "",
    _xlpm.coef * (K251-K252))
)</f>
        <v/>
      </c>
      <c r="L253" t="str" cm="1">
        <f t="array" ref="L253">_xlfn.LET(
  _xlpm.K, Constantes!$B$3,
  _xlpm.Knewgain, Constantes!$B$4,
  _xlpm.Knewscale, Constantes!$B$5,
  _xlpm.ptstables, INDEX(L:L, _xlfn.SEQUENCE(COUNTA($C$2:$C253), 1, 3, 4)),
  _xlpm.nbparties, COUNTA(_xlfn._xlws.FILTER(_xlpm.ptstables, _xlpm.ptstables &lt;&gt; "")),
  _xlpm.coef, _xlpm.K + _xlpm.Knewgain / (_xlpm.Knewscale + _xlpm.nbparties),
  IF(L251="",
    "",
    _xlpm.coef * (L251-L252))
)</f>
        <v/>
      </c>
      <c r="M253" t="str" cm="1">
        <f t="array" ref="M253">_xlfn.LET(
  _xlpm.K, Constantes!$B$3,
  _xlpm.Knewgain, Constantes!$B$4,
  _xlpm.Knewscale, Constantes!$B$5,
  _xlpm.ptstables, INDEX(M:M, _xlfn.SEQUENCE(COUNTA($C$2:$C253), 1, 3, 4)),
  _xlpm.nbparties, COUNTA(_xlfn._xlws.FILTER(_xlpm.ptstables, _xlpm.ptstables &lt;&gt; "")),
  _xlpm.coef, _xlpm.K + _xlpm.Knewgain / (_xlpm.Knewscale + _xlpm.nbparties),
  IF(M251="",
    "",
    _xlpm.coef * (M251-M252))
)</f>
        <v/>
      </c>
      <c r="N253" t="str" cm="1">
        <f t="array" ref="N253">_xlfn.LET(
  _xlpm.K, Constantes!$B$3,
  _xlpm.Knewgain, Constantes!$B$4,
  _xlpm.Knewscale, Constantes!$B$5,
  _xlpm.ptstables, INDEX(N:N, _xlfn.SEQUENCE(COUNTA($C$2:$C253), 1, 3, 4)),
  _xlpm.nbparties, COUNTA(_xlfn._xlws.FILTER(_xlpm.ptstables, _xlpm.ptstables &lt;&gt; "")),
  _xlpm.coef, _xlpm.K + _xlpm.Knewgain / (_xlpm.Knewscale + _xlpm.nbparties),
  IF(N251="",
    "",
    _xlpm.coef * (N251-N252))
)</f>
        <v/>
      </c>
      <c r="O253" t="str" cm="1">
        <f t="array" ref="O253">_xlfn.LET(
  _xlpm.K, Constantes!$B$3,
  _xlpm.Knewgain, Constantes!$B$4,
  _xlpm.Knewscale, Constantes!$B$5,
  _xlpm.ptstables, INDEX(O:O, _xlfn.SEQUENCE(COUNTA($C$2:$C253), 1, 3, 4)),
  _xlpm.nbparties, COUNTA(_xlfn._xlws.FILTER(_xlpm.ptstables, _xlpm.ptstables &lt;&gt; "")),
  _xlpm.coef, _xlpm.K + _xlpm.Knewgain / (_xlpm.Knewscale + _xlpm.nbparties),
  IF(O251="",
    "",
    _xlpm.coef * (O251-O252))
)</f>
        <v/>
      </c>
      <c r="P253" t="str" cm="1">
        <f t="array" ref="P253">_xlfn.LET(
  _xlpm.K, Constantes!$B$3,
  _xlpm.Knewgain, Constantes!$B$4,
  _xlpm.Knewscale, Constantes!$B$5,
  _xlpm.ptstables, INDEX(P:P, _xlfn.SEQUENCE(COUNTA($C$2:$C253), 1, 3, 4)),
  _xlpm.nbparties, COUNTA(_xlfn._xlws.FILTER(_xlpm.ptstables, _xlpm.ptstables &lt;&gt; "")),
  _xlpm.coef, _xlpm.K + _xlpm.Knewgain / (_xlpm.Knewscale + _xlpm.nbparties),
  IF(P251="",
    "",
    _xlpm.coef * (P251-P252))
)</f>
        <v/>
      </c>
      <c r="Q253" t="str" cm="1">
        <f t="array" ref="Q253">_xlfn.LET(
  _xlpm.K, Constantes!$B$3,
  _xlpm.Knewgain, Constantes!$B$4,
  _xlpm.Knewscale, Constantes!$B$5,
  _xlpm.ptstables, INDEX(Q:Q, _xlfn.SEQUENCE(COUNTA($C$2:$C253), 1, 3, 4)),
  _xlpm.nbparties, COUNTA(_xlfn._xlws.FILTER(_xlpm.ptstables, _xlpm.ptstables &lt;&gt; "")),
  _xlpm.coef, _xlpm.K + _xlpm.Knewgain / (_xlpm.Knewscale + _xlpm.nbparties),
  IF(Q251="",
    "",
    _xlpm.coef * (Q251-Q252))
)</f>
        <v/>
      </c>
      <c r="R253" t="str" cm="1">
        <f t="array" ref="R253">_xlfn.LET(
  _xlpm.K, Constantes!$B$3,
  _xlpm.Knewgain, Constantes!$B$4,
  _xlpm.Knewscale, Constantes!$B$5,
  _xlpm.ptstables, INDEX(R:R, _xlfn.SEQUENCE(COUNTA($C$2:$C253), 1, 3, 4)),
  _xlpm.nbparties, COUNTA(_xlfn._xlws.FILTER(_xlpm.ptstables, _xlpm.ptstables &lt;&gt; "")),
  _xlpm.coef, _xlpm.K + _xlpm.Knewgain / (_xlpm.Knewscale + _xlpm.nbparties),
  IF(R251="",
    "",
    _xlpm.coef * (R251-R252))
)</f>
        <v/>
      </c>
      <c r="S253" t="str" cm="1">
        <f t="array" ref="S253">_xlfn.LET(
  _xlpm.K, Constantes!$B$3,
  _xlpm.Knewgain, Constantes!$B$4,
  _xlpm.Knewscale, Constantes!$B$5,
  _xlpm.ptstables, INDEX(S:S, _xlfn.SEQUENCE(COUNTA($C$2:$C253), 1, 3, 4)),
  _xlpm.nbparties, COUNTA(_xlfn._xlws.FILTER(_xlpm.ptstables, _xlpm.ptstables &lt;&gt; "")),
  _xlpm.coef, _xlpm.K + _xlpm.Knewgain / (_xlpm.Knewscale + _xlpm.nbparties),
  IF(S251="",
    "",
    _xlpm.coef * (S251-S252))
)</f>
        <v/>
      </c>
      <c r="T253" cm="1">
        <f t="array" ref="T253">_xlfn.LET(
  _xlpm.K, Constantes!$B$3,
  _xlpm.Knewgain, Constantes!$B$4,
  _xlpm.Knewscale, Constantes!$B$5,
  _xlpm.ptstables, INDEX(T:T, _xlfn.SEQUENCE(COUNTA($C$2:$C253), 1, 3, 4)),
  _xlpm.nbparties, COUNTA(_xlfn._xlws.FILTER(_xlpm.ptstables, _xlpm.ptstables &lt;&gt; "")),
  _xlpm.coef, _xlpm.K + _xlpm.Knewgain / (_xlpm.Knewscale + _xlpm.nbparties),
  IF(T251="",
    "",
    _xlpm.coef * (T251-T252))
)</f>
        <v>-3.8184835590474981</v>
      </c>
      <c r="U253" t="str" cm="1">
        <f t="array" ref="U253">_xlfn.LET(
  _xlpm.K, Constantes!$B$3,
  _xlpm.Knewgain, Constantes!$B$4,
  _xlpm.Knewscale, Constantes!$B$5,
  _xlpm.ptstables, INDEX(U:U, _xlfn.SEQUENCE(COUNTA($C$2:$C253), 1, 3, 4)),
  _xlpm.nbparties, COUNTA(_xlfn._xlws.FILTER(_xlpm.ptstables, _xlpm.ptstables &lt;&gt; "")),
  _xlpm.coef, _xlpm.K + _xlpm.Knewgain / (_xlpm.Knewscale + _xlpm.nbparties),
  IF(U251="",
    "",
    _xlpm.coef * (U251-U252))
)</f>
        <v/>
      </c>
      <c r="V253" t="str" cm="1">
        <f t="array" ref="V253">_xlfn.LET(
  _xlpm.K, Constantes!$B$3,
  _xlpm.Knewgain, Constantes!$B$4,
  _xlpm.Knewscale, Constantes!$B$5,
  _xlpm.ptstables, INDEX(V:V, _xlfn.SEQUENCE(COUNTA($C$2:$C253), 1, 3, 4)),
  _xlpm.nbparties, COUNTA(_xlfn._xlws.FILTER(_xlpm.ptstables, _xlpm.ptstables &lt;&gt; "")),
  _xlpm.coef, _xlpm.K + _xlpm.Knewgain / (_xlpm.Knewscale + _xlpm.nbparties),
  IF(V251="",
    "",
    _xlpm.coef * (V251-V252))
)</f>
        <v/>
      </c>
      <c r="W253" t="str" cm="1">
        <f t="array" ref="W253">_xlfn.LET(
  _xlpm.K, Constantes!$B$3,
  _xlpm.Knewgain, Constantes!$B$4,
  _xlpm.Knewscale, Constantes!$B$5,
  _xlpm.ptstables, INDEX(W:W, _xlfn.SEQUENCE(COUNTA($C$2:$C253), 1, 3, 4)),
  _xlpm.nbparties, COUNTA(_xlfn._xlws.FILTER(_xlpm.ptstables, _xlpm.ptstables &lt;&gt; "")),
  _xlpm.coef, _xlpm.K + _xlpm.Knewgain / (_xlpm.Knewscale + _xlpm.nbparties),
  IF(W251="",
    "",
    _xlpm.coef * (W251-W252))
)</f>
        <v/>
      </c>
      <c r="X253" t="str" cm="1">
        <f t="array" ref="X253">_xlfn.LET(
  _xlpm.K, Constantes!$B$3,
  _xlpm.Knewgain, Constantes!$B$4,
  _xlpm.Knewscale, Constantes!$B$5,
  _xlpm.ptstables, INDEX(X:X, _xlfn.SEQUENCE(COUNTA($C$2:$C253), 1, 3, 4)),
  _xlpm.nbparties, COUNTA(_xlfn._xlws.FILTER(_xlpm.ptstables, _xlpm.ptstables &lt;&gt; "")),
  _xlpm.coef, _xlpm.K + _xlpm.Knewgain / (_xlpm.Knewscale + _xlpm.nbparties),
  IF(X251="",
    "",
    _xlpm.coef * (X251-X252))
)</f>
        <v/>
      </c>
      <c r="Y253" t="str" cm="1">
        <f t="array" ref="Y253">_xlfn.LET(
  _xlpm.K, Constantes!$B$3,
  _xlpm.Knewgain, Constantes!$B$4,
  _xlpm.Knewscale, Constantes!$B$5,
  _xlpm.ptstables, INDEX(Y:Y, _xlfn.SEQUENCE(COUNTA($C$2:$C253), 1, 3, 4)),
  _xlpm.nbparties, COUNTA(_xlfn._xlws.FILTER(_xlpm.ptstables, _xlpm.ptstables &lt;&gt; "")),
  _xlpm.coef, _xlpm.K + _xlpm.Knewgain / (_xlpm.Knewscale + _xlpm.nbparties),
  IF(Y251="",
    "",
    _xlpm.coef * (Y251-Y252))
)</f>
        <v/>
      </c>
      <c r="Z253" t="str" cm="1">
        <f t="array" ref="Z253">_xlfn.LET(
  _xlpm.K, Constantes!$B$3,
  _xlpm.Knewgain, Constantes!$B$4,
  _xlpm.Knewscale, Constantes!$B$5,
  _xlpm.ptstables, INDEX(Z:Z, _xlfn.SEQUENCE(COUNTA($C$2:$C253), 1, 3, 4)),
  _xlpm.nbparties, COUNTA(_xlfn._xlws.FILTER(_xlpm.ptstables, _xlpm.ptstables &lt;&gt; "")),
  _xlpm.coef, _xlpm.K + _xlpm.Knewgain / (_xlpm.Knewscale + _xlpm.nbparties),
  IF(Z251="",
    "",
    _xlpm.coef * (Z251-Z252))
)</f>
        <v/>
      </c>
      <c r="AA253" t="str" cm="1">
        <f t="array" ref="AA253">_xlfn.LET(
  _xlpm.K, Constantes!$B$3,
  _xlpm.Knewgain, Constantes!$B$4,
  _xlpm.Knewscale, Constantes!$B$5,
  _xlpm.ptstables, INDEX(AA:AA, _xlfn.SEQUENCE(COUNTA($C$2:$C253), 1, 3, 4)),
  _xlpm.nbparties, COUNTA(_xlfn._xlws.FILTER(_xlpm.ptstables, _xlpm.ptstables &lt;&gt; "")),
  _xlpm.coef, _xlpm.K + _xlpm.Knewgain / (_xlpm.Knewscale + _xlpm.nbparties),
  IF(AA251="",
    "",
    _xlpm.coef * (AA251-AA252))
)</f>
        <v/>
      </c>
      <c r="AB253" t="str" cm="1">
        <f t="array" ref="AB253">_xlfn.LET(
  _xlpm.K, Constantes!$B$3,
  _xlpm.Knewgain, Constantes!$B$4,
  _xlpm.Knewscale, Constantes!$B$5,
  _xlpm.ptstables, INDEX(AB:AB, _xlfn.SEQUENCE(COUNTA($C$2:$C253), 1, 3, 4)),
  _xlpm.nbparties, COUNTA(_xlfn._xlws.FILTER(_xlpm.ptstables, _xlpm.ptstables &lt;&gt; "")),
  _xlpm.coef, _xlpm.K + _xlpm.Knewgain / (_xlpm.Knewscale + _xlpm.nbparties),
  IF(AB251="",
    "",
    _xlpm.coef * (AB251-AB252))
)</f>
        <v/>
      </c>
      <c r="AC253" t="str" cm="1">
        <f t="array" ref="AC253">_xlfn.LET(
  _xlpm.K, Constantes!$B$3,
  _xlpm.Knewgain, Constantes!$B$4,
  _xlpm.Knewscale, Constantes!$B$5,
  _xlpm.ptstables, INDEX(AC:AC, _xlfn.SEQUENCE(COUNTA($C$2:$C253), 1, 3, 4)),
  _xlpm.nbparties, COUNTA(_xlfn._xlws.FILTER(_xlpm.ptstables, _xlpm.ptstables &lt;&gt; "")),
  _xlpm.coef, _xlpm.K + _xlpm.Knewgain / (_xlpm.Knewscale + _xlpm.nbparties),
  IF(AC251="",
    "",
    _xlpm.coef * (AC251-AC252))
)</f>
        <v/>
      </c>
      <c r="AD253" t="str" cm="1">
        <f t="array" ref="AD253">_xlfn.LET(
  _xlpm.K, Constantes!$B$3,
  _xlpm.Knewgain, Constantes!$B$4,
  _xlpm.Knewscale, Constantes!$B$5,
  _xlpm.ptstables, INDEX(AD:AD, _xlfn.SEQUENCE(COUNTA($C$2:$C253), 1, 3, 4)),
  _xlpm.nbparties, COUNTA(_xlfn._xlws.FILTER(_xlpm.ptstables, _xlpm.ptstables &lt;&gt; "")),
  _xlpm.coef, _xlpm.K + _xlpm.Knewgain / (_xlpm.Knewscale + _xlpm.nbparties),
  IF(AD251="",
    "",
    _xlpm.coef * (AD251-AD252))
)</f>
        <v/>
      </c>
      <c r="AE253" t="str" cm="1">
        <f t="array" ref="AE253">_xlfn.LET(
  _xlpm.K, Constantes!$B$3,
  _xlpm.Knewgain, Constantes!$B$4,
  _xlpm.Knewscale, Constantes!$B$5,
  _xlpm.ptstables, INDEX(AE:AE, _xlfn.SEQUENCE(COUNTA($C$2:$C253), 1, 3, 4)),
  _xlpm.nbparties, COUNTA(_xlfn._xlws.FILTER(_xlpm.ptstables, _xlpm.ptstables &lt;&gt; "")),
  _xlpm.coef, _xlpm.K + _xlpm.Knewgain / (_xlpm.Knewscale + _xlpm.nbparties),
  IF(AE251="",
    "",
    _xlpm.coef * (AE251-AE252))
)</f>
        <v/>
      </c>
      <c r="AF253" t="str" cm="1">
        <f t="array" ref="AF253">_xlfn.LET(
  _xlpm.K, Constantes!$B$3,
  _xlpm.Knewgain, Constantes!$B$4,
  _xlpm.Knewscale, Constantes!$B$5,
  _xlpm.ptstables, INDEX(AF:AF, _xlfn.SEQUENCE(COUNTA($C$2:$C253), 1, 3, 4)),
  _xlpm.nbparties, COUNTA(_xlfn._xlws.FILTER(_xlpm.ptstables, _xlpm.ptstables &lt;&gt; "")),
  _xlpm.coef, _xlpm.K + _xlpm.Knewgain / (_xlpm.Knewscale + _xlpm.nbparties),
  IF(AF251="",
    "",
    _xlpm.coef * (AF251-AF252))
)</f>
        <v/>
      </c>
      <c r="AG253" t="str" cm="1">
        <f t="array" ref="AG253">_xlfn.LET(
  _xlpm.K, Constantes!$B$3,
  _xlpm.Knewgain, Constantes!$B$4,
  _xlpm.Knewscale, Constantes!$B$5,
  _xlpm.ptstables, INDEX(AG:AG, _xlfn.SEQUENCE(COUNTA($C$2:$C253), 1, 3, 4)),
  _xlpm.nbparties, COUNTA(_xlfn._xlws.FILTER(_xlpm.ptstables, _xlpm.ptstables &lt;&gt; "")),
  _xlpm.coef, _xlpm.K + _xlpm.Knewgain / (_xlpm.Knewscale + _xlpm.nbparties),
  IF(AG251="",
    "",
    _xlpm.coef * (AG251-AG252))
)</f>
        <v/>
      </c>
      <c r="AH253" t="str" cm="1">
        <f t="array" ref="AH253">_xlfn.LET(
  _xlpm.K, Constantes!$B$3,
  _xlpm.Knewgain, Constantes!$B$4,
  _xlpm.Knewscale, Constantes!$B$5,
  _xlpm.ptstables, INDEX(AH:AH, _xlfn.SEQUENCE(COUNTA($C$2:$C253), 1, 3, 4)),
  _xlpm.nbparties, COUNTA(_xlfn._xlws.FILTER(_xlpm.ptstables, _xlpm.ptstables &lt;&gt; "")),
  _xlpm.coef, _xlpm.K + _xlpm.Knewgain / (_xlpm.Knewscale + _xlpm.nbparties),
  IF(AH251="",
    "",
    _xlpm.coef * (AH251-AH252))
)</f>
        <v/>
      </c>
      <c r="AI253" t="str" cm="1">
        <f t="array" ref="AI253">_xlfn.LET(
  _xlpm.K, Constantes!$B$3,
  _xlpm.Knewgain, Constantes!$B$4,
  _xlpm.Knewscale, Constantes!$B$5,
  _xlpm.ptstables, INDEX(AI:AI, _xlfn.SEQUENCE(COUNTA($C$2:$C253), 1, 3, 4)),
  _xlpm.nbparties, COUNTA(_xlfn._xlws.FILTER(_xlpm.ptstables, _xlpm.ptstables &lt;&gt; "")),
  _xlpm.coef, _xlpm.K + _xlpm.Knewgain / (_xlpm.Knewscale + _xlpm.nbparties),
  IF(AI251="",
    "",
    _xlpm.coef * (AI251-AI252))
)</f>
        <v/>
      </c>
      <c r="AJ253" t="str" cm="1">
        <f t="array" ref="AJ253">_xlfn.LET(
  _xlpm.K, Constantes!$B$3,
  _xlpm.Knewgain, Constantes!$B$4,
  _xlpm.Knewscale, Constantes!$B$5,
  _xlpm.ptstables, INDEX(AJ:AJ, _xlfn.SEQUENCE(COUNTA($C$2:$C253), 1, 3, 4)),
  _xlpm.nbparties, COUNTA(_xlfn._xlws.FILTER(_xlpm.ptstables, _xlpm.ptstables &lt;&gt; "")),
  _xlpm.coef, _xlpm.K + _xlpm.Knewgain / (_xlpm.Knewscale + _xlpm.nbparties),
  IF(AJ251="",
    "",
    _xlpm.coef * (AJ251-AJ252))
)</f>
        <v/>
      </c>
      <c r="AK253" t="str" cm="1">
        <f t="array" ref="AK253">_xlfn.LET(
  _xlpm.K, Constantes!$B$3,
  _xlpm.Knewgain, Constantes!$B$4,
  _xlpm.Knewscale, Constantes!$B$5,
  _xlpm.ptstables, INDEX(AK:AK, _xlfn.SEQUENCE(COUNTA($C$2:$C253), 1, 3, 4)),
  _xlpm.nbparties, COUNTA(_xlfn._xlws.FILTER(_xlpm.ptstables, _xlpm.ptstables &lt;&gt; "")),
  _xlpm.coef, _xlpm.K + _xlpm.Knewgain / (_xlpm.Knewscale + _xlpm.nbparties),
  IF(AK251="",
    "",
    _xlpm.coef * (AK251-AK252))
)</f>
        <v/>
      </c>
      <c r="AL253" t="str" cm="1">
        <f t="array" ref="AL253">_xlfn.LET(
  _xlpm.K, Constantes!$B$3,
  _xlpm.Knewgain, Constantes!$B$4,
  _xlpm.Knewscale, Constantes!$B$5,
  _xlpm.ptstables, INDEX(AL:AL, _xlfn.SEQUENCE(COUNTA($C$2:$C253), 1, 3, 4)),
  _xlpm.nbparties, COUNTA(_xlfn._xlws.FILTER(_xlpm.ptstables, _xlpm.ptstables &lt;&gt; "")),
  _xlpm.coef, _xlpm.K + _xlpm.Knewgain / (_xlpm.Knewscale + _xlpm.nbparties),
  IF(AL251="",
    "",
    _xlpm.coef * (AL251-AL252))
)</f>
        <v/>
      </c>
      <c r="AM253" t="str" cm="1">
        <f t="array" ref="AM253">_xlfn.LET(
  _xlpm.K, Constantes!$B$3,
  _xlpm.Knewgain, Constantes!$B$4,
  _xlpm.Knewscale, Constantes!$B$5,
  _xlpm.ptstables, INDEX(AM:AM, _xlfn.SEQUENCE(COUNTA($C$2:$C253), 1, 3, 4)),
  _xlpm.nbparties, COUNTA(_xlfn._xlws.FILTER(_xlpm.ptstables, _xlpm.ptstables &lt;&gt; "")),
  _xlpm.coef, _xlpm.K + _xlpm.Knewgain / (_xlpm.Knewscale + _xlpm.nbparties),
  IF(AM251="",
    "",
    _xlpm.coef * (AM251-AM252))
)</f>
        <v/>
      </c>
    </row>
    <row r="254" spans="1:39" x14ac:dyDescent="0.25">
      <c r="A254" t="s">
        <v>14</v>
      </c>
      <c r="B254" t="str" cm="1">
        <f t="array" ref="B25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62</v>
      </c>
      <c r="C254" s="2" cm="1">
        <f t="array" ref="C254">IF(B254="","",
  INDEX(Donnees!F:F, MATCH(B254, Donnees!F:F, 0)+1))</f>
        <v>45941.594247685185</v>
      </c>
      <c r="D254">
        <f t="shared" ref="D254:AM254" si="71">D250+IF(D253="",0,D253)</f>
        <v>1080.5073798720127</v>
      </c>
      <c r="E254">
        <f t="shared" si="71"/>
        <v>1150.8581509866578</v>
      </c>
      <c r="F254">
        <f t="shared" si="71"/>
        <v>847.48442671390455</v>
      </c>
      <c r="G254">
        <f t="shared" si="71"/>
        <v>1118.8779378975084</v>
      </c>
      <c r="H254">
        <f t="shared" si="71"/>
        <v>1041.4828877801035</v>
      </c>
      <c r="I254">
        <f t="shared" si="71"/>
        <v>929.90115121897634</v>
      </c>
      <c r="J254">
        <f t="shared" si="71"/>
        <v>1010.9125108504293</v>
      </c>
      <c r="K254">
        <f t="shared" si="71"/>
        <v>995.62536924505116</v>
      </c>
      <c r="L254">
        <f t="shared" si="71"/>
        <v>766.95119884458973</v>
      </c>
      <c r="M254">
        <f t="shared" si="71"/>
        <v>913.41986361738122</v>
      </c>
      <c r="N254">
        <f t="shared" si="71"/>
        <v>899.27286866960299</v>
      </c>
      <c r="O254">
        <f t="shared" si="71"/>
        <v>980.22411339123312</v>
      </c>
      <c r="P254">
        <f t="shared" si="71"/>
        <v>1044.694691960626</v>
      </c>
      <c r="Q254">
        <f t="shared" si="71"/>
        <v>1108.7965412414278</v>
      </c>
      <c r="R254">
        <f t="shared" si="71"/>
        <v>1080.636938748263</v>
      </c>
      <c r="S254">
        <f t="shared" si="71"/>
        <v>912.90205356391152</v>
      </c>
      <c r="T254">
        <f t="shared" si="71"/>
        <v>1131.4597823090139</v>
      </c>
      <c r="U254">
        <f t="shared" si="71"/>
        <v>1115.9839629001663</v>
      </c>
      <c r="V254">
        <f t="shared" si="71"/>
        <v>937.23755379009503</v>
      </c>
      <c r="W254">
        <f t="shared" si="71"/>
        <v>936.79085942937002</v>
      </c>
      <c r="X254">
        <f t="shared" si="71"/>
        <v>814.38475747458392</v>
      </c>
      <c r="Y254">
        <f t="shared" si="71"/>
        <v>959.91987155343315</v>
      </c>
      <c r="Z254">
        <f t="shared" si="71"/>
        <v>991.11904139672549</v>
      </c>
      <c r="AA254">
        <f t="shared" si="71"/>
        <v>966.24279289689184</v>
      </c>
      <c r="AB254">
        <f t="shared" si="71"/>
        <v>988.35669729544747</v>
      </c>
      <c r="AC254">
        <f t="shared" si="71"/>
        <v>1039.1635789679592</v>
      </c>
      <c r="AD254">
        <f t="shared" si="71"/>
        <v>1073.9096023401294</v>
      </c>
      <c r="AE254">
        <f t="shared" si="71"/>
        <v>963.23981965000235</v>
      </c>
      <c r="AF254">
        <f t="shared" si="71"/>
        <v>1089.5415391863121</v>
      </c>
      <c r="AG254">
        <f t="shared" si="71"/>
        <v>958.23078604304851</v>
      </c>
      <c r="AH254">
        <f t="shared" si="71"/>
        <v>920.4412636682855</v>
      </c>
      <c r="AI254">
        <f t="shared" si="71"/>
        <v>1000</v>
      </c>
      <c r="AJ254">
        <f t="shared" si="71"/>
        <v>957.2</v>
      </c>
      <c r="AK254">
        <f t="shared" si="71"/>
        <v>1000</v>
      </c>
      <c r="AL254">
        <f t="shared" si="71"/>
        <v>1055.9299999999998</v>
      </c>
      <c r="AM254">
        <f t="shared" si="71"/>
        <v>1000</v>
      </c>
    </row>
    <row r="255" spans="1:39" x14ac:dyDescent="0.25">
      <c r="A255" t="s">
        <v>21</v>
      </c>
      <c r="D255" cm="1">
        <f t="array" ref="D255">IFERROR(
  _xlfn.LET(
    _xlpm.ligpartie, MATCH($B254, Donnees!$F:$F, 0),
    _xlpm.joueurs, INDEX(Donnees!$A:$Z, _xlpm.ligpartie+1, _xlfn.SEQUENCE(1, 4, 2)),
    INDEX(
      Donnees!$A:$Z,
      _xlpm.ligpartie + 3,
      MATCH(D$1, _xlpm.joueurs, 0) + 1
    )
  ), ""
)</f>
        <v>0</v>
      </c>
      <c r="E255" t="str" cm="1">
        <f t="array" ref="E255">IFERROR(
  _xlfn.LET(
    _xlpm.ligpartie, MATCH($B254, Donnees!$F:$F, 0),
    _xlpm.joueurs, INDEX(Donnees!$A:$Z, _xlpm.ligpartie+1, _xlfn.SEQUENCE(1, 4, 2)),
    INDEX(
      Donnees!$A:$Z,
      _xlpm.ligpartie + 3,
      MATCH(E$1, _xlpm.joueurs, 0) + 1
    )
  ), ""
)</f>
        <v/>
      </c>
      <c r="F255" t="str" cm="1">
        <f t="array" ref="F255">IFERROR(
  _xlfn.LET(
    _xlpm.ligpartie, MATCH($B254, Donnees!$F:$F, 0),
    _xlpm.joueurs, INDEX(Donnees!$A:$Z, _xlpm.ligpartie+1, _xlfn.SEQUENCE(1, 4, 2)),
    INDEX(
      Donnees!$A:$Z,
      _xlpm.ligpartie + 3,
      MATCH(F$1, _xlpm.joueurs, 0) + 1
    )
  ), ""
)</f>
        <v/>
      </c>
      <c r="G255" t="str" cm="1">
        <f t="array" ref="G255">IFERROR(
  _xlfn.LET(
    _xlpm.ligpartie, MATCH($B254, Donnees!$F:$F, 0),
    _xlpm.joueurs, INDEX(Donnees!$A:$Z, _xlpm.ligpartie+1, _xlfn.SEQUENCE(1, 4, 2)),
    INDEX(
      Donnees!$A:$Z,
      _xlpm.ligpartie + 3,
      MATCH(G$1, _xlpm.joueurs, 0) + 1
    )
  ), ""
)</f>
        <v/>
      </c>
      <c r="H255" t="str" cm="1">
        <f t="array" ref="H255">IFERROR(
  _xlfn.LET(
    _xlpm.ligpartie, MATCH($B254, Donnees!$F:$F, 0),
    _xlpm.joueurs, INDEX(Donnees!$A:$Z, _xlpm.ligpartie+1, _xlfn.SEQUENCE(1, 4, 2)),
    INDEX(
      Donnees!$A:$Z,
      _xlpm.ligpartie + 3,
      MATCH(H$1, _xlpm.joueurs, 0) + 1
    )
  ), ""
)</f>
        <v/>
      </c>
      <c r="I255" t="str" cm="1">
        <f t="array" ref="I255">IFERROR(
  _xlfn.LET(
    _xlpm.ligpartie, MATCH($B254, Donnees!$F:$F, 0),
    _xlpm.joueurs, INDEX(Donnees!$A:$Z, _xlpm.ligpartie+1, _xlfn.SEQUENCE(1, 4, 2)),
    INDEX(
      Donnees!$A:$Z,
      _xlpm.ligpartie + 3,
      MATCH(I$1, _xlpm.joueurs, 0) + 1
    )
  ), ""
)</f>
        <v/>
      </c>
      <c r="J255" t="str" cm="1">
        <f t="array" ref="J255">IFERROR(
  _xlfn.LET(
    _xlpm.ligpartie, MATCH($B254, Donnees!$F:$F, 0),
    _xlpm.joueurs, INDEX(Donnees!$A:$Z, _xlpm.ligpartie+1, _xlfn.SEQUENCE(1, 4, 2)),
    INDEX(
      Donnees!$A:$Z,
      _xlpm.ligpartie + 3,
      MATCH(J$1, _xlpm.joueurs, 0) + 1
    )
  ), ""
)</f>
        <v/>
      </c>
      <c r="K255" t="str" cm="1">
        <f t="array" ref="K255">IFERROR(
  _xlfn.LET(
    _xlpm.ligpartie, MATCH($B254, Donnees!$F:$F, 0),
    _xlpm.joueurs, INDEX(Donnees!$A:$Z, _xlpm.ligpartie+1, _xlfn.SEQUENCE(1, 4, 2)),
    INDEX(
      Donnees!$A:$Z,
      _xlpm.ligpartie + 3,
      MATCH(K$1, _xlpm.joueurs, 0) + 1
    )
  ), ""
)</f>
        <v/>
      </c>
      <c r="L255" t="str" cm="1">
        <f t="array" ref="L255">IFERROR(
  _xlfn.LET(
    _xlpm.ligpartie, MATCH($B254, Donnees!$F:$F, 0),
    _xlpm.joueurs, INDEX(Donnees!$A:$Z, _xlpm.ligpartie+1, _xlfn.SEQUENCE(1, 4, 2)),
    INDEX(
      Donnees!$A:$Z,
      _xlpm.ligpartie + 3,
      MATCH(L$1, _xlpm.joueurs, 0) + 1
    )
  ), ""
)</f>
        <v/>
      </c>
      <c r="M255" t="str" cm="1">
        <f t="array" ref="M255">IFERROR(
  _xlfn.LET(
    _xlpm.ligpartie, MATCH($B254, Donnees!$F:$F, 0),
    _xlpm.joueurs, INDEX(Donnees!$A:$Z, _xlpm.ligpartie+1, _xlfn.SEQUENCE(1, 4, 2)),
    INDEX(
      Donnees!$A:$Z,
      _xlpm.ligpartie + 3,
      MATCH(M$1, _xlpm.joueurs, 0) + 1
    )
  ), ""
)</f>
        <v/>
      </c>
      <c r="N255" t="str" cm="1">
        <f t="array" ref="N255">IFERROR(
  _xlfn.LET(
    _xlpm.ligpartie, MATCH($B254, Donnees!$F:$F, 0),
    _xlpm.joueurs, INDEX(Donnees!$A:$Z, _xlpm.ligpartie+1, _xlfn.SEQUENCE(1, 4, 2)),
    INDEX(
      Donnees!$A:$Z,
      _xlpm.ligpartie + 3,
      MATCH(N$1, _xlpm.joueurs, 0) + 1
    )
  ), ""
)</f>
        <v/>
      </c>
      <c r="O255" t="str" cm="1">
        <f t="array" ref="O255">IFERROR(
  _xlfn.LET(
    _xlpm.ligpartie, MATCH($B254, Donnees!$F:$F, 0),
    _xlpm.joueurs, INDEX(Donnees!$A:$Z, _xlpm.ligpartie+1, _xlfn.SEQUENCE(1, 4, 2)),
    INDEX(
      Donnees!$A:$Z,
      _xlpm.ligpartie + 3,
      MATCH(O$1, _xlpm.joueurs, 0) + 1
    )
  ), ""
)</f>
        <v/>
      </c>
      <c r="P255" t="str" cm="1">
        <f t="array" ref="P255">IFERROR(
  _xlfn.LET(
    _xlpm.ligpartie, MATCH($B254, Donnees!$F:$F, 0),
    _xlpm.joueurs, INDEX(Donnees!$A:$Z, _xlpm.ligpartie+1, _xlfn.SEQUENCE(1, 4, 2)),
    INDEX(
      Donnees!$A:$Z,
      _xlpm.ligpartie + 3,
      MATCH(P$1, _xlpm.joueurs, 0) + 1
    )
  ), ""
)</f>
        <v/>
      </c>
      <c r="Q255" t="str" cm="1">
        <f t="array" ref="Q255">IFERROR(
  _xlfn.LET(
    _xlpm.ligpartie, MATCH($B254, Donnees!$F:$F, 0),
    _xlpm.joueurs, INDEX(Donnees!$A:$Z, _xlpm.ligpartie+1, _xlfn.SEQUENCE(1, 4, 2)),
    INDEX(
      Donnees!$A:$Z,
      _xlpm.ligpartie + 3,
      MATCH(Q$1, _xlpm.joueurs, 0) + 1
    )
  ), ""
)</f>
        <v/>
      </c>
      <c r="R255" cm="1">
        <f t="array" ref="R255">IFERROR(
  _xlfn.LET(
    _xlpm.ligpartie, MATCH($B254, Donnees!$F:$F, 0),
    _xlpm.joueurs, INDEX(Donnees!$A:$Z, _xlpm.ligpartie+1, _xlfn.SEQUENCE(1, 4, 2)),
    INDEX(
      Donnees!$A:$Z,
      _xlpm.ligpartie + 3,
      MATCH(R$1, _xlpm.joueurs, 0) + 1
    )
  ), ""
)</f>
        <v>2</v>
      </c>
      <c r="S255" cm="1">
        <f t="array" ref="S255">IFERROR(
  _xlfn.LET(
    _xlpm.ligpartie, MATCH($B254, Donnees!$F:$F, 0),
    _xlpm.joueurs, INDEX(Donnees!$A:$Z, _xlpm.ligpartie+1, _xlfn.SEQUENCE(1, 4, 2)),
    INDEX(
      Donnees!$A:$Z,
      _xlpm.ligpartie + 3,
      MATCH(S$1, _xlpm.joueurs, 0) + 1
    )
  ), ""
)</f>
        <v>3</v>
      </c>
      <c r="T255" t="str" cm="1">
        <f t="array" ref="T255">IFERROR(
  _xlfn.LET(
    _xlpm.ligpartie, MATCH($B254, Donnees!$F:$F, 0),
    _xlpm.joueurs, INDEX(Donnees!$A:$Z, _xlpm.ligpartie+1, _xlfn.SEQUENCE(1, 4, 2)),
    INDEX(
      Donnees!$A:$Z,
      _xlpm.ligpartie + 3,
      MATCH(T$1, _xlpm.joueurs, 0) + 1
    )
  ), ""
)</f>
        <v/>
      </c>
      <c r="U255" t="str" cm="1">
        <f t="array" ref="U255">IFERROR(
  _xlfn.LET(
    _xlpm.ligpartie, MATCH($B254, Donnees!$F:$F, 0),
    _xlpm.joueurs, INDEX(Donnees!$A:$Z, _xlpm.ligpartie+1, _xlfn.SEQUENCE(1, 4, 2)),
    INDEX(
      Donnees!$A:$Z,
      _xlpm.ligpartie + 3,
      MATCH(U$1, _xlpm.joueurs, 0) + 1
    )
  ), ""
)</f>
        <v/>
      </c>
      <c r="V255" t="str" cm="1">
        <f t="array" ref="V255">IFERROR(
  _xlfn.LET(
    _xlpm.ligpartie, MATCH($B254, Donnees!$F:$F, 0),
    _xlpm.joueurs, INDEX(Donnees!$A:$Z, _xlpm.ligpartie+1, _xlfn.SEQUENCE(1, 4, 2)),
    INDEX(
      Donnees!$A:$Z,
      _xlpm.ligpartie + 3,
      MATCH(V$1, _xlpm.joueurs, 0) + 1
    )
  ), ""
)</f>
        <v/>
      </c>
      <c r="W255" t="str" cm="1">
        <f t="array" ref="W255">IFERROR(
  _xlfn.LET(
    _xlpm.ligpartie, MATCH($B254, Donnees!$F:$F, 0),
    _xlpm.joueurs, INDEX(Donnees!$A:$Z, _xlpm.ligpartie+1, _xlfn.SEQUENCE(1, 4, 2)),
    INDEX(
      Donnees!$A:$Z,
      _xlpm.ligpartie + 3,
      MATCH(W$1, _xlpm.joueurs, 0) + 1
    )
  ), ""
)</f>
        <v/>
      </c>
      <c r="X255" cm="1">
        <f t="array" ref="X255">IFERROR(
  _xlfn.LET(
    _xlpm.ligpartie, MATCH($B254, Donnees!$F:$F, 0),
    _xlpm.joueurs, INDEX(Donnees!$A:$Z, _xlpm.ligpartie+1, _xlfn.SEQUENCE(1, 4, 2)),
    INDEX(
      Donnees!$A:$Z,
      _xlpm.ligpartie + 3,
      MATCH(X$1, _xlpm.joueurs, 0) + 1
    )
  ), ""
)</f>
        <v>1</v>
      </c>
      <c r="Y255" t="str" cm="1">
        <f t="array" ref="Y255">IFERROR(
  _xlfn.LET(
    _xlpm.ligpartie, MATCH($B254, Donnees!$F:$F, 0),
    _xlpm.joueurs, INDEX(Donnees!$A:$Z, _xlpm.ligpartie+1, _xlfn.SEQUENCE(1, 4, 2)),
    INDEX(
      Donnees!$A:$Z,
      _xlpm.ligpartie + 3,
      MATCH(Y$1, _xlpm.joueurs, 0) + 1
    )
  ), ""
)</f>
        <v/>
      </c>
      <c r="Z255" t="str" cm="1">
        <f t="array" ref="Z255">IFERROR(
  _xlfn.LET(
    _xlpm.ligpartie, MATCH($B254, Donnees!$F:$F, 0),
    _xlpm.joueurs, INDEX(Donnees!$A:$Z, _xlpm.ligpartie+1, _xlfn.SEQUENCE(1, 4, 2)),
    INDEX(
      Donnees!$A:$Z,
      _xlpm.ligpartie + 3,
      MATCH(Z$1, _xlpm.joueurs, 0) + 1
    )
  ), ""
)</f>
        <v/>
      </c>
      <c r="AA255" t="str" cm="1">
        <f t="array" ref="AA255">IFERROR(
  _xlfn.LET(
    _xlpm.ligpartie, MATCH($B254, Donnees!$F:$F, 0),
    _xlpm.joueurs, INDEX(Donnees!$A:$Z, _xlpm.ligpartie+1, _xlfn.SEQUENCE(1, 4, 2)),
    INDEX(
      Donnees!$A:$Z,
      _xlpm.ligpartie + 3,
      MATCH(AA$1, _xlpm.joueurs, 0) + 1
    )
  ), ""
)</f>
        <v/>
      </c>
      <c r="AB255" t="str" cm="1">
        <f t="array" ref="AB255">IFERROR(
  _xlfn.LET(
    _xlpm.ligpartie, MATCH($B254, Donnees!$F:$F, 0),
    _xlpm.joueurs, INDEX(Donnees!$A:$Z, _xlpm.ligpartie+1, _xlfn.SEQUENCE(1, 4, 2)),
    INDEX(
      Donnees!$A:$Z,
      _xlpm.ligpartie + 3,
      MATCH(AB$1, _xlpm.joueurs, 0) + 1
    )
  ), ""
)</f>
        <v/>
      </c>
      <c r="AC255" t="str" cm="1">
        <f t="array" ref="AC255">IFERROR(
  _xlfn.LET(
    _xlpm.ligpartie, MATCH($B254, Donnees!$F:$F, 0),
    _xlpm.joueurs, INDEX(Donnees!$A:$Z, _xlpm.ligpartie+1, _xlfn.SEQUENCE(1, 4, 2)),
    INDEX(
      Donnees!$A:$Z,
      _xlpm.ligpartie + 3,
      MATCH(AC$1, _xlpm.joueurs, 0) + 1
    )
  ), ""
)</f>
        <v/>
      </c>
      <c r="AD255" t="str" cm="1">
        <f t="array" ref="AD255">IFERROR(
  _xlfn.LET(
    _xlpm.ligpartie, MATCH($B254, Donnees!$F:$F, 0),
    _xlpm.joueurs, INDEX(Donnees!$A:$Z, _xlpm.ligpartie+1, _xlfn.SEQUENCE(1, 4, 2)),
    INDEX(
      Donnees!$A:$Z,
      _xlpm.ligpartie + 3,
      MATCH(AD$1, _xlpm.joueurs, 0) + 1
    )
  ), ""
)</f>
        <v/>
      </c>
      <c r="AE255" t="str" cm="1">
        <f t="array" ref="AE255">IFERROR(
  _xlfn.LET(
    _xlpm.ligpartie, MATCH($B254, Donnees!$F:$F, 0),
    _xlpm.joueurs, INDEX(Donnees!$A:$Z, _xlpm.ligpartie+1, _xlfn.SEQUENCE(1, 4, 2)),
    INDEX(
      Donnees!$A:$Z,
      _xlpm.ligpartie + 3,
      MATCH(AE$1, _xlpm.joueurs, 0) + 1
    )
  ), ""
)</f>
        <v/>
      </c>
      <c r="AF255" t="str" cm="1">
        <f t="array" ref="AF255">IFERROR(
  _xlfn.LET(
    _xlpm.ligpartie, MATCH($B254, Donnees!$F:$F, 0),
    _xlpm.joueurs, INDEX(Donnees!$A:$Z, _xlpm.ligpartie+1, _xlfn.SEQUENCE(1, 4, 2)),
    INDEX(
      Donnees!$A:$Z,
      _xlpm.ligpartie + 3,
      MATCH(AF$1, _xlpm.joueurs, 0) + 1
    )
  ), ""
)</f>
        <v/>
      </c>
      <c r="AG255" t="str" cm="1">
        <f t="array" ref="AG255">IFERROR(
  _xlfn.LET(
    _xlpm.ligpartie, MATCH($B254, Donnees!$F:$F, 0),
    _xlpm.joueurs, INDEX(Donnees!$A:$Z, _xlpm.ligpartie+1, _xlfn.SEQUENCE(1, 4, 2)),
    INDEX(
      Donnees!$A:$Z,
      _xlpm.ligpartie + 3,
      MATCH(AG$1, _xlpm.joueurs, 0) + 1
    )
  ), ""
)</f>
        <v/>
      </c>
      <c r="AH255" t="str" cm="1">
        <f t="array" ref="AH255">IFERROR(
  _xlfn.LET(
    _xlpm.ligpartie, MATCH($B254, Donnees!$F:$F, 0),
    _xlpm.joueurs, INDEX(Donnees!$A:$Z, _xlpm.ligpartie+1, _xlfn.SEQUENCE(1, 4, 2)),
    INDEX(
      Donnees!$A:$Z,
      _xlpm.ligpartie + 3,
      MATCH(AH$1, _xlpm.joueurs, 0) + 1
    )
  ), ""
)</f>
        <v/>
      </c>
      <c r="AI255" t="str" cm="1">
        <f t="array" ref="AI255">IFERROR(
  _xlfn.LET(
    _xlpm.ligpartie, MATCH($B254, Donnees!$F:$F, 0),
    _xlpm.joueurs, INDEX(Donnees!$A:$Z, _xlpm.ligpartie+1, _xlfn.SEQUENCE(1, 4, 2)),
    INDEX(
      Donnees!$A:$Z,
      _xlpm.ligpartie + 3,
      MATCH(AI$1, _xlpm.joueurs, 0) + 1
    )
  ), ""
)</f>
        <v/>
      </c>
      <c r="AJ255" t="str" cm="1">
        <f t="array" ref="AJ255">IFERROR(
  _xlfn.LET(
    _xlpm.ligpartie, MATCH($B254, Donnees!$F:$F, 0),
    _xlpm.joueurs, INDEX(Donnees!$A:$Z, _xlpm.ligpartie+1, _xlfn.SEQUENCE(1, 4, 2)),
    INDEX(
      Donnees!$A:$Z,
      _xlpm.ligpartie + 3,
      MATCH(AJ$1, _xlpm.joueurs, 0) + 1
    )
  ), ""
)</f>
        <v/>
      </c>
      <c r="AK255" t="str" cm="1">
        <f t="array" ref="AK255">IFERROR(
  _xlfn.LET(
    _xlpm.ligpartie, MATCH($B254, Donnees!$F:$F, 0),
    _xlpm.joueurs, INDEX(Donnees!$A:$Z, _xlpm.ligpartie+1, _xlfn.SEQUENCE(1, 4, 2)),
    INDEX(
      Donnees!$A:$Z,
      _xlpm.ligpartie + 3,
      MATCH(AK$1, _xlpm.joueurs, 0) + 1
    )
  ), ""
)</f>
        <v/>
      </c>
      <c r="AL255" t="str" cm="1">
        <f t="array" ref="AL255">IFERROR(
  _xlfn.LET(
    _xlpm.ligpartie, MATCH($B254, Donnees!$F:$F, 0),
    _xlpm.joueurs, INDEX(Donnees!$A:$Z, _xlpm.ligpartie+1, _xlfn.SEQUENCE(1, 4, 2)),
    INDEX(
      Donnees!$A:$Z,
      _xlpm.ligpartie + 3,
      MATCH(AL$1, _xlpm.joueurs, 0) + 1
    )
  ), ""
)</f>
        <v/>
      </c>
      <c r="AM255" t="str" cm="1">
        <f t="array" ref="AM255">IFERROR(
  _xlfn.LET(
    _xlpm.ligpartie, MATCH($B254, Donnees!$F:$F, 0),
    _xlpm.joueurs, INDEX(Donnees!$A:$Z, _xlpm.ligpartie+1, _xlfn.SEQUENCE(1, 4, 2)),
    INDEX(
      Donnees!$A:$Z,
      _xlpm.ligpartie + 3,
      MATCH(AM$1, _xlpm.joueurs, 0) + 1
    )
  ), ""
)</f>
        <v/>
      </c>
    </row>
    <row r="256" spans="1:39" x14ac:dyDescent="0.25">
      <c r="A256" t="s">
        <v>20</v>
      </c>
      <c r="D256" cm="1">
        <f t="array" ref="D256">_xlfn.LET(
  _xlpm.colj, _xlfn._xlws.FILTER(IF(ISNUMBER(255:255), COLUMN(255:255)), ISNUMBER(255:255)),
  _xlpm.elos, INDEX(254:254,1,_xlpm.colj),
  _xlpm.diffscale, Constantes!$B$2,
  IF(D255="",
    "",
    SUM(1/(1+POWER(10,-(D254-_xlpm.elos)/_xlpm.diffscale)))-0.5)
)</f>
        <v>2.0461859088770691</v>
      </c>
      <c r="E256" t="str" cm="1">
        <f t="array" ref="E256">_xlfn.LET(
  _xlpm.colj, _xlfn._xlws.FILTER(IF(ISNUMBER(255:255), COLUMN(255:255)), ISNUMBER(255:255)),
  _xlpm.elos, INDEX(254:254,1,_xlpm.colj),
  _xlpm.diffscale, Constantes!$B$2,
  IF(E255="",
    "",
    SUM(1/(1+POWER(10,-(E254-_xlpm.elos)/_xlpm.diffscale)))-0.5)
)</f>
        <v/>
      </c>
      <c r="F256" t="str" cm="1">
        <f t="array" ref="F256">_xlfn.LET(
  _xlpm.colj, _xlfn._xlws.FILTER(IF(ISNUMBER(255:255), COLUMN(255:255)), ISNUMBER(255:255)),
  _xlpm.elos, INDEX(254:254,1,_xlpm.colj),
  _xlpm.diffscale, Constantes!$B$2,
  IF(F255="",
    "",
    SUM(1/(1+POWER(10,-(F254-_xlpm.elos)/_xlpm.diffscale)))-0.5)
)</f>
        <v/>
      </c>
      <c r="G256" t="str" cm="1">
        <f t="array" ref="G256">_xlfn.LET(
  _xlpm.colj, _xlfn._xlws.FILTER(IF(ISNUMBER(255:255), COLUMN(255:255)), ISNUMBER(255:255)),
  _xlpm.elos, INDEX(254:254,1,_xlpm.colj),
  _xlpm.diffscale, Constantes!$B$2,
  IF(G255="",
    "",
    SUM(1/(1+POWER(10,-(G254-_xlpm.elos)/_xlpm.diffscale)))-0.5)
)</f>
        <v/>
      </c>
      <c r="H256" t="str" cm="1">
        <f t="array" ref="H256">_xlfn.LET(
  _xlpm.colj, _xlfn._xlws.FILTER(IF(ISNUMBER(255:255), COLUMN(255:255)), ISNUMBER(255:255)),
  _xlpm.elos, INDEX(254:254,1,_xlpm.colj),
  _xlpm.diffscale, Constantes!$B$2,
  IF(H255="",
    "",
    SUM(1/(1+POWER(10,-(H254-_xlpm.elos)/_xlpm.diffscale)))-0.5)
)</f>
        <v/>
      </c>
      <c r="I256" t="str" cm="1">
        <f t="array" ref="I256">_xlfn.LET(
  _xlpm.colj, _xlfn._xlws.FILTER(IF(ISNUMBER(255:255), COLUMN(255:255)), ISNUMBER(255:255)),
  _xlpm.elos, INDEX(254:254,1,_xlpm.colj),
  _xlpm.diffscale, Constantes!$B$2,
  IF(I255="",
    "",
    SUM(1/(1+POWER(10,-(I254-_xlpm.elos)/_xlpm.diffscale)))-0.5)
)</f>
        <v/>
      </c>
      <c r="J256" t="str" cm="1">
        <f t="array" ref="J256">_xlfn.LET(
  _xlpm.colj, _xlfn._xlws.FILTER(IF(ISNUMBER(255:255), COLUMN(255:255)), ISNUMBER(255:255)),
  _xlpm.elos, INDEX(254:254,1,_xlpm.colj),
  _xlpm.diffscale, Constantes!$B$2,
  IF(J255="",
    "",
    SUM(1/(1+POWER(10,-(J254-_xlpm.elos)/_xlpm.diffscale)))-0.5)
)</f>
        <v/>
      </c>
      <c r="K256" t="str" cm="1">
        <f t="array" ref="K256">_xlfn.LET(
  _xlpm.colj, _xlfn._xlws.FILTER(IF(ISNUMBER(255:255), COLUMN(255:255)), ISNUMBER(255:255)),
  _xlpm.elos, INDEX(254:254,1,_xlpm.colj),
  _xlpm.diffscale, Constantes!$B$2,
  IF(K255="",
    "",
    SUM(1/(1+POWER(10,-(K254-_xlpm.elos)/_xlpm.diffscale)))-0.5)
)</f>
        <v/>
      </c>
      <c r="L256" t="str" cm="1">
        <f t="array" ref="L256">_xlfn.LET(
  _xlpm.colj, _xlfn._xlws.FILTER(IF(ISNUMBER(255:255), COLUMN(255:255)), ISNUMBER(255:255)),
  _xlpm.elos, INDEX(254:254,1,_xlpm.colj),
  _xlpm.diffscale, Constantes!$B$2,
  IF(L255="",
    "",
    SUM(1/(1+POWER(10,-(L254-_xlpm.elos)/_xlpm.diffscale)))-0.5)
)</f>
        <v/>
      </c>
      <c r="M256" t="str" cm="1">
        <f t="array" ref="M256">_xlfn.LET(
  _xlpm.colj, _xlfn._xlws.FILTER(IF(ISNUMBER(255:255), COLUMN(255:255)), ISNUMBER(255:255)),
  _xlpm.elos, INDEX(254:254,1,_xlpm.colj),
  _xlpm.diffscale, Constantes!$B$2,
  IF(M255="",
    "",
    SUM(1/(1+POWER(10,-(M254-_xlpm.elos)/_xlpm.diffscale)))-0.5)
)</f>
        <v/>
      </c>
      <c r="N256" t="str" cm="1">
        <f t="array" ref="N256">_xlfn.LET(
  _xlpm.colj, _xlfn._xlws.FILTER(IF(ISNUMBER(255:255), COLUMN(255:255)), ISNUMBER(255:255)),
  _xlpm.elos, INDEX(254:254,1,_xlpm.colj),
  _xlpm.diffscale, Constantes!$B$2,
  IF(N255="",
    "",
    SUM(1/(1+POWER(10,-(N254-_xlpm.elos)/_xlpm.diffscale)))-0.5)
)</f>
        <v/>
      </c>
      <c r="O256" t="str" cm="1">
        <f t="array" ref="O256">_xlfn.LET(
  _xlpm.colj, _xlfn._xlws.FILTER(IF(ISNUMBER(255:255), COLUMN(255:255)), ISNUMBER(255:255)),
  _xlpm.elos, INDEX(254:254,1,_xlpm.colj),
  _xlpm.diffscale, Constantes!$B$2,
  IF(O255="",
    "",
    SUM(1/(1+POWER(10,-(O254-_xlpm.elos)/_xlpm.diffscale)))-0.5)
)</f>
        <v/>
      </c>
      <c r="P256" t="str" cm="1">
        <f t="array" ref="P256">_xlfn.LET(
  _xlpm.colj, _xlfn._xlws.FILTER(IF(ISNUMBER(255:255), COLUMN(255:255)), ISNUMBER(255:255)),
  _xlpm.elos, INDEX(254:254,1,_xlpm.colj),
  _xlpm.diffscale, Constantes!$B$2,
  IF(P255="",
    "",
    SUM(1/(1+POWER(10,-(P254-_xlpm.elos)/_xlpm.diffscale)))-0.5)
)</f>
        <v/>
      </c>
      <c r="Q256" t="str" cm="1">
        <f t="array" ref="Q256">_xlfn.LET(
  _xlpm.colj, _xlfn._xlws.FILTER(IF(ISNUMBER(255:255), COLUMN(255:255)), ISNUMBER(255:255)),
  _xlpm.elos, INDEX(254:254,1,_xlpm.colj),
  _xlpm.diffscale, Constantes!$B$2,
  IF(Q255="",
    "",
    SUM(1/(1+POWER(10,-(Q254-_xlpm.elos)/_xlpm.diffscale)))-0.5)
)</f>
        <v/>
      </c>
      <c r="R256" cm="1">
        <f t="array" ref="R256">_xlfn.LET(
  _xlpm.colj, _xlfn._xlws.FILTER(IF(ISNUMBER(255:255), COLUMN(255:255)), ISNUMBER(255:255)),
  _xlpm.elos, INDEX(254:254,1,_xlpm.colj),
  _xlpm.diffscale, Constantes!$B$2,
  IF(R255="",
    "",
    SUM(1/(1+POWER(10,-(R254-_xlpm.elos)/_xlpm.diffscale)))-0.5)
)</f>
        <v>2.0468167431396611</v>
      </c>
      <c r="S256" cm="1">
        <f t="array" ref="S256">_xlfn.LET(
  _xlpm.colj, _xlfn._xlws.FILTER(IF(ISNUMBER(255:255), COLUMN(255:255)), ISNUMBER(255:255)),
  _xlpm.elos, INDEX(254:254,1,_xlpm.colj),
  _xlpm.diffscale, Constantes!$B$2,
  IF(S255="",
    "",
    SUM(1/(1+POWER(10,-(S254-_xlpm.elos)/_xlpm.diffscale)))-0.5)
)</f>
        <v>1.1897781938202634</v>
      </c>
      <c r="T256" t="str" cm="1">
        <f t="array" ref="T256">_xlfn.LET(
  _xlpm.colj, _xlfn._xlws.FILTER(IF(ISNUMBER(255:255), COLUMN(255:255)), ISNUMBER(255:255)),
  _xlpm.elos, INDEX(254:254,1,_xlpm.colj),
  _xlpm.diffscale, Constantes!$B$2,
  IF(T255="",
    "",
    SUM(1/(1+POWER(10,-(T254-_xlpm.elos)/_xlpm.diffscale)))-0.5)
)</f>
        <v/>
      </c>
      <c r="U256" t="str" cm="1">
        <f t="array" ref="U256">_xlfn.LET(
  _xlpm.colj, _xlfn._xlws.FILTER(IF(ISNUMBER(255:255), COLUMN(255:255)), ISNUMBER(255:255)),
  _xlpm.elos, INDEX(254:254,1,_xlpm.colj),
  _xlpm.diffscale, Constantes!$B$2,
  IF(U255="",
    "",
    SUM(1/(1+POWER(10,-(U254-_xlpm.elos)/_xlpm.diffscale)))-0.5)
)</f>
        <v/>
      </c>
      <c r="V256" t="str" cm="1">
        <f t="array" ref="V256">_xlfn.LET(
  _xlpm.colj, _xlfn._xlws.FILTER(IF(ISNUMBER(255:255), COLUMN(255:255)), ISNUMBER(255:255)),
  _xlpm.elos, INDEX(254:254,1,_xlpm.colj),
  _xlpm.diffscale, Constantes!$B$2,
  IF(V255="",
    "",
    SUM(1/(1+POWER(10,-(V254-_xlpm.elos)/_xlpm.diffscale)))-0.5)
)</f>
        <v/>
      </c>
      <c r="W256" t="str" cm="1">
        <f t="array" ref="W256">_xlfn.LET(
  _xlpm.colj, _xlfn._xlws.FILTER(IF(ISNUMBER(255:255), COLUMN(255:255)), ISNUMBER(255:255)),
  _xlpm.elos, INDEX(254:254,1,_xlpm.colj),
  _xlpm.diffscale, Constantes!$B$2,
  IF(W255="",
    "",
    SUM(1/(1+POWER(10,-(W254-_xlpm.elos)/_xlpm.diffscale)))-0.5)
)</f>
        <v/>
      </c>
      <c r="X256" cm="1">
        <f t="array" ref="X256">_xlfn.LET(
  _xlpm.colj, _xlfn._xlws.FILTER(IF(ISNUMBER(255:255), COLUMN(255:255)), ISNUMBER(255:255)),
  _xlpm.elos, INDEX(254:254,1,_xlpm.colj),
  _xlpm.diffscale, Constantes!$B$2,
  IF(X255="",
    "",
    SUM(1/(1+POWER(10,-(X254-_xlpm.elos)/_xlpm.diffscale)))-0.5)
)</f>
        <v>0.71721915416300619</v>
      </c>
      <c r="Y256" t="str" cm="1">
        <f t="array" ref="Y256">_xlfn.LET(
  _xlpm.colj, _xlfn._xlws.FILTER(IF(ISNUMBER(255:255), COLUMN(255:255)), ISNUMBER(255:255)),
  _xlpm.elos, INDEX(254:254,1,_xlpm.colj),
  _xlpm.diffscale, Constantes!$B$2,
  IF(Y255="",
    "",
    SUM(1/(1+POWER(10,-(Y254-_xlpm.elos)/_xlpm.diffscale)))-0.5)
)</f>
        <v/>
      </c>
      <c r="Z256" t="str" cm="1">
        <f t="array" ref="Z256">_xlfn.LET(
  _xlpm.colj, _xlfn._xlws.FILTER(IF(ISNUMBER(255:255), COLUMN(255:255)), ISNUMBER(255:255)),
  _xlpm.elos, INDEX(254:254,1,_xlpm.colj),
  _xlpm.diffscale, Constantes!$B$2,
  IF(Z255="",
    "",
    SUM(1/(1+POWER(10,-(Z254-_xlpm.elos)/_xlpm.diffscale)))-0.5)
)</f>
        <v/>
      </c>
      <c r="AA256" t="str" cm="1">
        <f t="array" ref="AA256">_xlfn.LET(
  _xlpm.colj, _xlfn._xlws.FILTER(IF(ISNUMBER(255:255), COLUMN(255:255)), ISNUMBER(255:255)),
  _xlpm.elos, INDEX(254:254,1,_xlpm.colj),
  _xlpm.diffscale, Constantes!$B$2,
  IF(AA255="",
    "",
    SUM(1/(1+POWER(10,-(AA254-_xlpm.elos)/_xlpm.diffscale)))-0.5)
)</f>
        <v/>
      </c>
      <c r="AB256" t="str" cm="1">
        <f t="array" ref="AB256">_xlfn.LET(
  _xlpm.colj, _xlfn._xlws.FILTER(IF(ISNUMBER(255:255), COLUMN(255:255)), ISNUMBER(255:255)),
  _xlpm.elos, INDEX(254:254,1,_xlpm.colj),
  _xlpm.diffscale, Constantes!$B$2,
  IF(AB255="",
    "",
    SUM(1/(1+POWER(10,-(AB254-_xlpm.elos)/_xlpm.diffscale)))-0.5)
)</f>
        <v/>
      </c>
      <c r="AC256" t="str" cm="1">
        <f t="array" ref="AC256">_xlfn.LET(
  _xlpm.colj, _xlfn._xlws.FILTER(IF(ISNUMBER(255:255), COLUMN(255:255)), ISNUMBER(255:255)),
  _xlpm.elos, INDEX(254:254,1,_xlpm.colj),
  _xlpm.diffscale, Constantes!$B$2,
  IF(AC255="",
    "",
    SUM(1/(1+POWER(10,-(AC254-_xlpm.elos)/_xlpm.diffscale)))-0.5)
)</f>
        <v/>
      </c>
      <c r="AD256" t="str" cm="1">
        <f t="array" ref="AD256">_xlfn.LET(
  _xlpm.colj, _xlfn._xlws.FILTER(IF(ISNUMBER(255:255), COLUMN(255:255)), ISNUMBER(255:255)),
  _xlpm.elos, INDEX(254:254,1,_xlpm.colj),
  _xlpm.diffscale, Constantes!$B$2,
  IF(AD255="",
    "",
    SUM(1/(1+POWER(10,-(AD254-_xlpm.elos)/_xlpm.diffscale)))-0.5)
)</f>
        <v/>
      </c>
      <c r="AE256" t="str" cm="1">
        <f t="array" ref="AE256">_xlfn.LET(
  _xlpm.colj, _xlfn._xlws.FILTER(IF(ISNUMBER(255:255), COLUMN(255:255)), ISNUMBER(255:255)),
  _xlpm.elos, INDEX(254:254,1,_xlpm.colj),
  _xlpm.diffscale, Constantes!$B$2,
  IF(AE255="",
    "",
    SUM(1/(1+POWER(10,-(AE254-_xlpm.elos)/_xlpm.diffscale)))-0.5)
)</f>
        <v/>
      </c>
      <c r="AF256" t="str" cm="1">
        <f t="array" ref="AF256">_xlfn.LET(
  _xlpm.colj, _xlfn._xlws.FILTER(IF(ISNUMBER(255:255), COLUMN(255:255)), ISNUMBER(255:255)),
  _xlpm.elos, INDEX(254:254,1,_xlpm.colj),
  _xlpm.diffscale, Constantes!$B$2,
  IF(AF255="",
    "",
    SUM(1/(1+POWER(10,-(AF254-_xlpm.elos)/_xlpm.diffscale)))-0.5)
)</f>
        <v/>
      </c>
      <c r="AG256" t="str" cm="1">
        <f t="array" ref="AG256">_xlfn.LET(
  _xlpm.colj, _xlfn._xlws.FILTER(IF(ISNUMBER(255:255), COLUMN(255:255)), ISNUMBER(255:255)),
  _xlpm.elos, INDEX(254:254,1,_xlpm.colj),
  _xlpm.diffscale, Constantes!$B$2,
  IF(AG255="",
    "",
    SUM(1/(1+POWER(10,-(AG254-_xlpm.elos)/_xlpm.diffscale)))-0.5)
)</f>
        <v/>
      </c>
      <c r="AH256" t="str" cm="1">
        <f t="array" ref="AH256">_xlfn.LET(
  _xlpm.colj, _xlfn._xlws.FILTER(IF(ISNUMBER(255:255), COLUMN(255:255)), ISNUMBER(255:255)),
  _xlpm.elos, INDEX(254:254,1,_xlpm.colj),
  _xlpm.diffscale, Constantes!$B$2,
  IF(AH255="",
    "",
    SUM(1/(1+POWER(10,-(AH254-_xlpm.elos)/_xlpm.diffscale)))-0.5)
)</f>
        <v/>
      </c>
      <c r="AI256" t="str" cm="1">
        <f t="array" ref="AI256">_xlfn.LET(
  _xlpm.colj, _xlfn._xlws.FILTER(IF(ISNUMBER(255:255), COLUMN(255:255)), ISNUMBER(255:255)),
  _xlpm.elos, INDEX(254:254,1,_xlpm.colj),
  _xlpm.diffscale, Constantes!$B$2,
  IF(AI255="",
    "",
    SUM(1/(1+POWER(10,-(AI254-_xlpm.elos)/_xlpm.diffscale)))-0.5)
)</f>
        <v/>
      </c>
      <c r="AJ256" t="str" cm="1">
        <f t="array" ref="AJ256">_xlfn.LET(
  _xlpm.colj, _xlfn._xlws.FILTER(IF(ISNUMBER(255:255), COLUMN(255:255)), ISNUMBER(255:255)),
  _xlpm.elos, INDEX(254:254,1,_xlpm.colj),
  _xlpm.diffscale, Constantes!$B$2,
  IF(AJ255="",
    "",
    SUM(1/(1+POWER(10,-(AJ254-_xlpm.elos)/_xlpm.diffscale)))-0.5)
)</f>
        <v/>
      </c>
      <c r="AK256" t="str" cm="1">
        <f t="array" ref="AK256">_xlfn.LET(
  _xlpm.colj, _xlfn._xlws.FILTER(IF(ISNUMBER(255:255), COLUMN(255:255)), ISNUMBER(255:255)),
  _xlpm.elos, INDEX(254:254,1,_xlpm.colj),
  _xlpm.diffscale, Constantes!$B$2,
  IF(AK255="",
    "",
    SUM(1/(1+POWER(10,-(AK254-_xlpm.elos)/_xlpm.diffscale)))-0.5)
)</f>
        <v/>
      </c>
      <c r="AL256" t="str" cm="1">
        <f t="array" ref="AL256">_xlfn.LET(
  _xlpm.colj, _xlfn._xlws.FILTER(IF(ISNUMBER(255:255), COLUMN(255:255)), ISNUMBER(255:255)),
  _xlpm.elos, INDEX(254:254,1,_xlpm.colj),
  _xlpm.diffscale, Constantes!$B$2,
  IF(AL255="",
    "",
    SUM(1/(1+POWER(10,-(AL254-_xlpm.elos)/_xlpm.diffscale)))-0.5)
)</f>
        <v/>
      </c>
      <c r="AM256" t="str" cm="1">
        <f t="array" ref="AM256">_xlfn.LET(
  _xlpm.colj, _xlfn._xlws.FILTER(IF(ISNUMBER(255:255), COLUMN(255:255)), ISNUMBER(255:255)),
  _xlpm.elos, INDEX(254:254,1,_xlpm.colj),
  _xlpm.diffscale, Constantes!$B$2,
  IF(AM255="",
    "",
    SUM(1/(1+POWER(10,-(AM254-_xlpm.elos)/_xlpm.diffscale)))-0.5)
)</f>
        <v/>
      </c>
    </row>
    <row r="257" spans="1:39" x14ac:dyDescent="0.25">
      <c r="A257" t="s">
        <v>22</v>
      </c>
      <c r="D257" cm="1">
        <f t="array" ref="D257">_xlfn.LET(
  _xlpm.K, Constantes!$B$3,
  _xlpm.Knewgain, Constantes!$B$4,
  _xlpm.Knewscale, Constantes!$B$5,
  _xlpm.ptstables, INDEX(D:D, _xlfn.SEQUENCE(COUNTA($C$2:$C257), 1, 3, 4)),
  _xlpm.nbparties, COUNTA(_xlfn._xlws.FILTER(_xlpm.ptstables, _xlpm.ptstables &lt;&gt; "")),
  _xlpm.coef, _xlpm.K + _xlpm.Knewgain / (_xlpm.Knewscale + _xlpm.nbparties),
  IF(D255="",
    "",
    _xlpm.coef * (D255-D256))
)</f>
        <v>-47.318049142782222</v>
      </c>
      <c r="E257" t="str" cm="1">
        <f t="array" ref="E257">_xlfn.LET(
  _xlpm.K, Constantes!$B$3,
  _xlpm.Knewgain, Constantes!$B$4,
  _xlpm.Knewscale, Constantes!$B$5,
  _xlpm.ptstables, INDEX(E:E, _xlfn.SEQUENCE(COUNTA($C$2:$C257), 1, 3, 4)),
  _xlpm.nbparties, COUNTA(_xlfn._xlws.FILTER(_xlpm.ptstables, _xlpm.ptstables &lt;&gt; "")),
  _xlpm.coef, _xlpm.K + _xlpm.Knewgain / (_xlpm.Knewscale + _xlpm.nbparties),
  IF(E255="",
    "",
    _xlpm.coef * (E255-E256))
)</f>
        <v/>
      </c>
      <c r="F257" t="str" cm="1">
        <f t="array" ref="F257">_xlfn.LET(
  _xlpm.K, Constantes!$B$3,
  _xlpm.Knewgain, Constantes!$B$4,
  _xlpm.Knewscale, Constantes!$B$5,
  _xlpm.ptstables, INDEX(F:F, _xlfn.SEQUENCE(COUNTA($C$2:$C257), 1, 3, 4)),
  _xlpm.nbparties, COUNTA(_xlfn._xlws.FILTER(_xlpm.ptstables, _xlpm.ptstables &lt;&gt; "")),
  _xlpm.coef, _xlpm.K + _xlpm.Knewgain / (_xlpm.Knewscale + _xlpm.nbparties),
  IF(F255="",
    "",
    _xlpm.coef * (F255-F256))
)</f>
        <v/>
      </c>
      <c r="G257" t="str" cm="1">
        <f t="array" ref="G257">_xlfn.LET(
  _xlpm.K, Constantes!$B$3,
  _xlpm.Knewgain, Constantes!$B$4,
  _xlpm.Knewscale, Constantes!$B$5,
  _xlpm.ptstables, INDEX(G:G, _xlfn.SEQUENCE(COUNTA($C$2:$C257), 1, 3, 4)),
  _xlpm.nbparties, COUNTA(_xlfn._xlws.FILTER(_xlpm.ptstables, _xlpm.ptstables &lt;&gt; "")),
  _xlpm.coef, _xlpm.K + _xlpm.Knewgain / (_xlpm.Knewscale + _xlpm.nbparties),
  IF(G255="",
    "",
    _xlpm.coef * (G255-G256))
)</f>
        <v/>
      </c>
      <c r="H257" t="str" cm="1">
        <f t="array" ref="H257">_xlfn.LET(
  _xlpm.K, Constantes!$B$3,
  _xlpm.Knewgain, Constantes!$B$4,
  _xlpm.Knewscale, Constantes!$B$5,
  _xlpm.ptstables, INDEX(H:H, _xlfn.SEQUENCE(COUNTA($C$2:$C257), 1, 3, 4)),
  _xlpm.nbparties, COUNTA(_xlfn._xlws.FILTER(_xlpm.ptstables, _xlpm.ptstables &lt;&gt; "")),
  _xlpm.coef, _xlpm.K + _xlpm.Knewgain / (_xlpm.Knewscale + _xlpm.nbparties),
  IF(H255="",
    "",
    _xlpm.coef * (H255-H256))
)</f>
        <v/>
      </c>
      <c r="I257" t="str" cm="1">
        <f t="array" ref="I257">_xlfn.LET(
  _xlpm.K, Constantes!$B$3,
  _xlpm.Knewgain, Constantes!$B$4,
  _xlpm.Knewscale, Constantes!$B$5,
  _xlpm.ptstables, INDEX(I:I, _xlfn.SEQUENCE(COUNTA($C$2:$C257), 1, 3, 4)),
  _xlpm.nbparties, COUNTA(_xlfn._xlws.FILTER(_xlpm.ptstables, _xlpm.ptstables &lt;&gt; "")),
  _xlpm.coef, _xlpm.K + _xlpm.Knewgain / (_xlpm.Knewscale + _xlpm.nbparties),
  IF(I255="",
    "",
    _xlpm.coef * (I255-I256))
)</f>
        <v/>
      </c>
      <c r="J257" t="str" cm="1">
        <f t="array" ref="J257">_xlfn.LET(
  _xlpm.K, Constantes!$B$3,
  _xlpm.Knewgain, Constantes!$B$4,
  _xlpm.Knewscale, Constantes!$B$5,
  _xlpm.ptstables, INDEX(J:J, _xlfn.SEQUENCE(COUNTA($C$2:$C257), 1, 3, 4)),
  _xlpm.nbparties, COUNTA(_xlfn._xlws.FILTER(_xlpm.ptstables, _xlpm.ptstables &lt;&gt; "")),
  _xlpm.coef, _xlpm.K + _xlpm.Knewgain / (_xlpm.Knewscale + _xlpm.nbparties),
  IF(J255="",
    "",
    _xlpm.coef * (J255-J256))
)</f>
        <v/>
      </c>
      <c r="K257" t="str" cm="1">
        <f t="array" ref="K257">_xlfn.LET(
  _xlpm.K, Constantes!$B$3,
  _xlpm.Knewgain, Constantes!$B$4,
  _xlpm.Knewscale, Constantes!$B$5,
  _xlpm.ptstables, INDEX(K:K, _xlfn.SEQUENCE(COUNTA($C$2:$C257), 1, 3, 4)),
  _xlpm.nbparties, COUNTA(_xlfn._xlws.FILTER(_xlpm.ptstables, _xlpm.ptstables &lt;&gt; "")),
  _xlpm.coef, _xlpm.K + _xlpm.Knewgain / (_xlpm.Knewscale + _xlpm.nbparties),
  IF(K255="",
    "",
    _xlpm.coef * (K255-K256))
)</f>
        <v/>
      </c>
      <c r="L257" t="str" cm="1">
        <f t="array" ref="L257">_xlfn.LET(
  _xlpm.K, Constantes!$B$3,
  _xlpm.Knewgain, Constantes!$B$4,
  _xlpm.Knewscale, Constantes!$B$5,
  _xlpm.ptstables, INDEX(L:L, _xlfn.SEQUENCE(COUNTA($C$2:$C257), 1, 3, 4)),
  _xlpm.nbparties, COUNTA(_xlfn._xlws.FILTER(_xlpm.ptstables, _xlpm.ptstables &lt;&gt; "")),
  _xlpm.coef, _xlpm.K + _xlpm.Knewgain / (_xlpm.Knewscale + _xlpm.nbparties),
  IF(L255="",
    "",
    _xlpm.coef * (L255-L256))
)</f>
        <v/>
      </c>
      <c r="M257" t="str" cm="1">
        <f t="array" ref="M257">_xlfn.LET(
  _xlpm.K, Constantes!$B$3,
  _xlpm.Knewgain, Constantes!$B$4,
  _xlpm.Knewscale, Constantes!$B$5,
  _xlpm.ptstables, INDEX(M:M, _xlfn.SEQUENCE(COUNTA($C$2:$C257), 1, 3, 4)),
  _xlpm.nbparties, COUNTA(_xlfn._xlws.FILTER(_xlpm.ptstables, _xlpm.ptstables &lt;&gt; "")),
  _xlpm.coef, _xlpm.K + _xlpm.Knewgain / (_xlpm.Knewscale + _xlpm.nbparties),
  IF(M255="",
    "",
    _xlpm.coef * (M255-M256))
)</f>
        <v/>
      </c>
      <c r="N257" t="str" cm="1">
        <f t="array" ref="N257">_xlfn.LET(
  _xlpm.K, Constantes!$B$3,
  _xlpm.Knewgain, Constantes!$B$4,
  _xlpm.Knewscale, Constantes!$B$5,
  _xlpm.ptstables, INDEX(N:N, _xlfn.SEQUENCE(COUNTA($C$2:$C257), 1, 3, 4)),
  _xlpm.nbparties, COUNTA(_xlfn._xlws.FILTER(_xlpm.ptstables, _xlpm.ptstables &lt;&gt; "")),
  _xlpm.coef, _xlpm.K + _xlpm.Knewgain / (_xlpm.Knewscale + _xlpm.nbparties),
  IF(N255="",
    "",
    _xlpm.coef * (N255-N256))
)</f>
        <v/>
      </c>
      <c r="O257" t="str" cm="1">
        <f t="array" ref="O257">_xlfn.LET(
  _xlpm.K, Constantes!$B$3,
  _xlpm.Knewgain, Constantes!$B$4,
  _xlpm.Knewscale, Constantes!$B$5,
  _xlpm.ptstables, INDEX(O:O, _xlfn.SEQUENCE(COUNTA($C$2:$C257), 1, 3, 4)),
  _xlpm.nbparties, COUNTA(_xlfn._xlws.FILTER(_xlpm.ptstables, _xlpm.ptstables &lt;&gt; "")),
  _xlpm.coef, _xlpm.K + _xlpm.Knewgain / (_xlpm.Knewscale + _xlpm.nbparties),
  IF(O255="",
    "",
    _xlpm.coef * (O255-O256))
)</f>
        <v/>
      </c>
      <c r="P257" t="str" cm="1">
        <f t="array" ref="P257">_xlfn.LET(
  _xlpm.K, Constantes!$B$3,
  _xlpm.Knewgain, Constantes!$B$4,
  _xlpm.Knewscale, Constantes!$B$5,
  _xlpm.ptstables, INDEX(P:P, _xlfn.SEQUENCE(COUNTA($C$2:$C257), 1, 3, 4)),
  _xlpm.nbparties, COUNTA(_xlfn._xlws.FILTER(_xlpm.ptstables, _xlpm.ptstables &lt;&gt; "")),
  _xlpm.coef, _xlpm.K + _xlpm.Knewgain / (_xlpm.Knewscale + _xlpm.nbparties),
  IF(P255="",
    "",
    _xlpm.coef * (P255-P256))
)</f>
        <v/>
      </c>
      <c r="Q257" t="str" cm="1">
        <f t="array" ref="Q257">_xlfn.LET(
  _xlpm.K, Constantes!$B$3,
  _xlpm.Knewgain, Constantes!$B$4,
  _xlpm.Knewscale, Constantes!$B$5,
  _xlpm.ptstables, INDEX(Q:Q, _xlfn.SEQUENCE(COUNTA($C$2:$C257), 1, 3, 4)),
  _xlpm.nbparties, COUNTA(_xlfn._xlws.FILTER(_xlpm.ptstables, _xlpm.ptstables &lt;&gt; "")),
  _xlpm.coef, _xlpm.K + _xlpm.Knewgain / (_xlpm.Knewscale + _xlpm.nbparties),
  IF(Q255="",
    "",
    _xlpm.coef * (Q255-Q256))
)</f>
        <v/>
      </c>
      <c r="R257" cm="1">
        <f t="array" ref="R257">_xlfn.LET(
  _xlpm.K, Constantes!$B$3,
  _xlpm.Knewgain, Constantes!$B$4,
  _xlpm.Knewscale, Constantes!$B$5,
  _xlpm.ptstables, INDEX(R:R, _xlfn.SEQUENCE(COUNTA($C$2:$C257), 1, 3, 4)),
  _xlpm.nbparties, COUNTA(_xlfn._xlws.FILTER(_xlpm.ptstables, _xlpm.ptstables &lt;&gt; "")),
  _xlpm.coef, _xlpm.K + _xlpm.Knewgain / (_xlpm.Knewscale + _xlpm.nbparties),
  IF(R255="",
    "",
    _xlpm.coef * (R255-R256))
)</f>
        <v>-1.0826371851046632</v>
      </c>
      <c r="S257" cm="1">
        <f t="array" ref="S257">_xlfn.LET(
  _xlpm.K, Constantes!$B$3,
  _xlpm.Knewgain, Constantes!$B$4,
  _xlpm.Knewscale, Constantes!$B$5,
  _xlpm.ptstables, INDEX(S:S, _xlfn.SEQUENCE(COUNTA($C$2:$C257), 1, 3, 4)),
  _xlpm.nbparties, COUNTA(_xlfn._xlws.FILTER(_xlpm.ptstables, _xlpm.ptstables &lt;&gt; "")),
  _xlpm.coef, _xlpm.K + _xlpm.Knewgain / (_xlpm.Knewscale + _xlpm.nbparties),
  IF(S255="",
    "",
    _xlpm.coef * (S255-S256))
)</f>
        <v>41.861379267906408</v>
      </c>
      <c r="T257" t="str" cm="1">
        <f t="array" ref="T257">_xlfn.LET(
  _xlpm.K, Constantes!$B$3,
  _xlpm.Knewgain, Constantes!$B$4,
  _xlpm.Knewscale, Constantes!$B$5,
  _xlpm.ptstables, INDEX(T:T, _xlfn.SEQUENCE(COUNTA($C$2:$C257), 1, 3, 4)),
  _xlpm.nbparties, COUNTA(_xlfn._xlws.FILTER(_xlpm.ptstables, _xlpm.ptstables &lt;&gt; "")),
  _xlpm.coef, _xlpm.K + _xlpm.Knewgain / (_xlpm.Knewscale + _xlpm.nbparties),
  IF(T255="",
    "",
    _xlpm.coef * (T255-T256))
)</f>
        <v/>
      </c>
      <c r="U257" t="str" cm="1">
        <f t="array" ref="U257">_xlfn.LET(
  _xlpm.K, Constantes!$B$3,
  _xlpm.Knewgain, Constantes!$B$4,
  _xlpm.Knewscale, Constantes!$B$5,
  _xlpm.ptstables, INDEX(U:U, _xlfn.SEQUENCE(COUNTA($C$2:$C257), 1, 3, 4)),
  _xlpm.nbparties, COUNTA(_xlfn._xlws.FILTER(_xlpm.ptstables, _xlpm.ptstables &lt;&gt; "")),
  _xlpm.coef, _xlpm.K + _xlpm.Knewgain / (_xlpm.Knewscale + _xlpm.nbparties),
  IF(U255="",
    "",
    _xlpm.coef * (U255-U256))
)</f>
        <v/>
      </c>
      <c r="V257" t="str" cm="1">
        <f t="array" ref="V257">_xlfn.LET(
  _xlpm.K, Constantes!$B$3,
  _xlpm.Knewgain, Constantes!$B$4,
  _xlpm.Knewscale, Constantes!$B$5,
  _xlpm.ptstables, INDEX(V:V, _xlfn.SEQUENCE(COUNTA($C$2:$C257), 1, 3, 4)),
  _xlpm.nbparties, COUNTA(_xlfn._xlws.FILTER(_xlpm.ptstables, _xlpm.ptstables &lt;&gt; "")),
  _xlpm.coef, _xlpm.K + _xlpm.Knewgain / (_xlpm.Knewscale + _xlpm.nbparties),
  IF(V255="",
    "",
    _xlpm.coef * (V255-V256))
)</f>
        <v/>
      </c>
      <c r="W257" t="str" cm="1">
        <f t="array" ref="W257">_xlfn.LET(
  _xlpm.K, Constantes!$B$3,
  _xlpm.Knewgain, Constantes!$B$4,
  _xlpm.Knewscale, Constantes!$B$5,
  _xlpm.ptstables, INDEX(W:W, _xlfn.SEQUENCE(COUNTA($C$2:$C257), 1, 3, 4)),
  _xlpm.nbparties, COUNTA(_xlfn._xlws.FILTER(_xlpm.ptstables, _xlpm.ptstables &lt;&gt; "")),
  _xlpm.coef, _xlpm.K + _xlpm.Knewgain / (_xlpm.Knewscale + _xlpm.nbparties),
  IF(W255="",
    "",
    _xlpm.coef * (W255-W256))
)</f>
        <v/>
      </c>
      <c r="X257" cm="1">
        <f t="array" ref="X257">_xlfn.LET(
  _xlpm.K, Constantes!$B$3,
  _xlpm.Knewgain, Constantes!$B$4,
  _xlpm.Knewscale, Constantes!$B$5,
  _xlpm.ptstables, INDEX(X:X, _xlfn.SEQUENCE(COUNTA($C$2:$C257), 1, 3, 4)),
  _xlpm.nbparties, COUNTA(_xlfn._xlws.FILTER(_xlpm.ptstables, _xlpm.ptstables &lt;&gt; "")),
  _xlpm.coef, _xlpm.K + _xlpm.Knewgain / (_xlpm.Knewscale + _xlpm.nbparties),
  IF(X255="",
    "",
    _xlpm.coef * (X255-X256))
)</f>
        <v>6.8338704410606841</v>
      </c>
      <c r="Y257" t="str" cm="1">
        <f t="array" ref="Y257">_xlfn.LET(
  _xlpm.K, Constantes!$B$3,
  _xlpm.Knewgain, Constantes!$B$4,
  _xlpm.Knewscale, Constantes!$B$5,
  _xlpm.ptstables, INDEX(Y:Y, _xlfn.SEQUENCE(COUNTA($C$2:$C257), 1, 3, 4)),
  _xlpm.nbparties, COUNTA(_xlfn._xlws.FILTER(_xlpm.ptstables, _xlpm.ptstables &lt;&gt; "")),
  _xlpm.coef, _xlpm.K + _xlpm.Knewgain / (_xlpm.Knewscale + _xlpm.nbparties),
  IF(Y255="",
    "",
    _xlpm.coef * (Y255-Y256))
)</f>
        <v/>
      </c>
      <c r="Z257" t="str" cm="1">
        <f t="array" ref="Z257">_xlfn.LET(
  _xlpm.K, Constantes!$B$3,
  _xlpm.Knewgain, Constantes!$B$4,
  _xlpm.Knewscale, Constantes!$B$5,
  _xlpm.ptstables, INDEX(Z:Z, _xlfn.SEQUENCE(COUNTA($C$2:$C257), 1, 3, 4)),
  _xlpm.nbparties, COUNTA(_xlfn._xlws.FILTER(_xlpm.ptstables, _xlpm.ptstables &lt;&gt; "")),
  _xlpm.coef, _xlpm.K + _xlpm.Knewgain / (_xlpm.Knewscale + _xlpm.nbparties),
  IF(Z255="",
    "",
    _xlpm.coef * (Z255-Z256))
)</f>
        <v/>
      </c>
      <c r="AA257" t="str" cm="1">
        <f t="array" ref="AA257">_xlfn.LET(
  _xlpm.K, Constantes!$B$3,
  _xlpm.Knewgain, Constantes!$B$4,
  _xlpm.Knewscale, Constantes!$B$5,
  _xlpm.ptstables, INDEX(AA:AA, _xlfn.SEQUENCE(COUNTA($C$2:$C257), 1, 3, 4)),
  _xlpm.nbparties, COUNTA(_xlfn._xlws.FILTER(_xlpm.ptstables, _xlpm.ptstables &lt;&gt; "")),
  _xlpm.coef, _xlpm.K + _xlpm.Knewgain / (_xlpm.Knewscale + _xlpm.nbparties),
  IF(AA255="",
    "",
    _xlpm.coef * (AA255-AA256))
)</f>
        <v/>
      </c>
      <c r="AB257" t="str" cm="1">
        <f t="array" ref="AB257">_xlfn.LET(
  _xlpm.K, Constantes!$B$3,
  _xlpm.Knewgain, Constantes!$B$4,
  _xlpm.Knewscale, Constantes!$B$5,
  _xlpm.ptstables, INDEX(AB:AB, _xlfn.SEQUENCE(COUNTA($C$2:$C257), 1, 3, 4)),
  _xlpm.nbparties, COUNTA(_xlfn._xlws.FILTER(_xlpm.ptstables, _xlpm.ptstables &lt;&gt; "")),
  _xlpm.coef, _xlpm.K + _xlpm.Knewgain / (_xlpm.Knewscale + _xlpm.nbparties),
  IF(AB255="",
    "",
    _xlpm.coef * (AB255-AB256))
)</f>
        <v/>
      </c>
      <c r="AC257" t="str" cm="1">
        <f t="array" ref="AC257">_xlfn.LET(
  _xlpm.K, Constantes!$B$3,
  _xlpm.Knewgain, Constantes!$B$4,
  _xlpm.Knewscale, Constantes!$B$5,
  _xlpm.ptstables, INDEX(AC:AC, _xlfn.SEQUENCE(COUNTA($C$2:$C257), 1, 3, 4)),
  _xlpm.nbparties, COUNTA(_xlfn._xlws.FILTER(_xlpm.ptstables, _xlpm.ptstables &lt;&gt; "")),
  _xlpm.coef, _xlpm.K + _xlpm.Knewgain / (_xlpm.Knewscale + _xlpm.nbparties),
  IF(AC255="",
    "",
    _xlpm.coef * (AC255-AC256))
)</f>
        <v/>
      </c>
      <c r="AD257" t="str" cm="1">
        <f t="array" ref="AD257">_xlfn.LET(
  _xlpm.K, Constantes!$B$3,
  _xlpm.Knewgain, Constantes!$B$4,
  _xlpm.Knewscale, Constantes!$B$5,
  _xlpm.ptstables, INDEX(AD:AD, _xlfn.SEQUENCE(COUNTA($C$2:$C257), 1, 3, 4)),
  _xlpm.nbparties, COUNTA(_xlfn._xlws.FILTER(_xlpm.ptstables, _xlpm.ptstables &lt;&gt; "")),
  _xlpm.coef, _xlpm.K + _xlpm.Knewgain / (_xlpm.Knewscale + _xlpm.nbparties),
  IF(AD255="",
    "",
    _xlpm.coef * (AD255-AD256))
)</f>
        <v/>
      </c>
      <c r="AE257" t="str" cm="1">
        <f t="array" ref="AE257">_xlfn.LET(
  _xlpm.K, Constantes!$B$3,
  _xlpm.Knewgain, Constantes!$B$4,
  _xlpm.Knewscale, Constantes!$B$5,
  _xlpm.ptstables, INDEX(AE:AE, _xlfn.SEQUENCE(COUNTA($C$2:$C257), 1, 3, 4)),
  _xlpm.nbparties, COUNTA(_xlfn._xlws.FILTER(_xlpm.ptstables, _xlpm.ptstables &lt;&gt; "")),
  _xlpm.coef, _xlpm.K + _xlpm.Knewgain / (_xlpm.Knewscale + _xlpm.nbparties),
  IF(AE255="",
    "",
    _xlpm.coef * (AE255-AE256))
)</f>
        <v/>
      </c>
      <c r="AF257" t="str" cm="1">
        <f t="array" ref="AF257">_xlfn.LET(
  _xlpm.K, Constantes!$B$3,
  _xlpm.Knewgain, Constantes!$B$4,
  _xlpm.Knewscale, Constantes!$B$5,
  _xlpm.ptstables, INDEX(AF:AF, _xlfn.SEQUENCE(COUNTA($C$2:$C257), 1, 3, 4)),
  _xlpm.nbparties, COUNTA(_xlfn._xlws.FILTER(_xlpm.ptstables, _xlpm.ptstables &lt;&gt; "")),
  _xlpm.coef, _xlpm.K + _xlpm.Knewgain / (_xlpm.Knewscale + _xlpm.nbparties),
  IF(AF255="",
    "",
    _xlpm.coef * (AF255-AF256))
)</f>
        <v/>
      </c>
      <c r="AG257" t="str" cm="1">
        <f t="array" ref="AG257">_xlfn.LET(
  _xlpm.K, Constantes!$B$3,
  _xlpm.Knewgain, Constantes!$B$4,
  _xlpm.Knewscale, Constantes!$B$5,
  _xlpm.ptstables, INDEX(AG:AG, _xlfn.SEQUENCE(COUNTA($C$2:$C257), 1, 3, 4)),
  _xlpm.nbparties, COUNTA(_xlfn._xlws.FILTER(_xlpm.ptstables, _xlpm.ptstables &lt;&gt; "")),
  _xlpm.coef, _xlpm.K + _xlpm.Knewgain / (_xlpm.Knewscale + _xlpm.nbparties),
  IF(AG255="",
    "",
    _xlpm.coef * (AG255-AG256))
)</f>
        <v/>
      </c>
      <c r="AH257" t="str" cm="1">
        <f t="array" ref="AH257">_xlfn.LET(
  _xlpm.K, Constantes!$B$3,
  _xlpm.Knewgain, Constantes!$B$4,
  _xlpm.Knewscale, Constantes!$B$5,
  _xlpm.ptstables, INDEX(AH:AH, _xlfn.SEQUENCE(COUNTA($C$2:$C257), 1, 3, 4)),
  _xlpm.nbparties, COUNTA(_xlfn._xlws.FILTER(_xlpm.ptstables, _xlpm.ptstables &lt;&gt; "")),
  _xlpm.coef, _xlpm.K + _xlpm.Knewgain / (_xlpm.Knewscale + _xlpm.nbparties),
  IF(AH255="",
    "",
    _xlpm.coef * (AH255-AH256))
)</f>
        <v/>
      </c>
      <c r="AI257" t="str" cm="1">
        <f t="array" ref="AI257">_xlfn.LET(
  _xlpm.K, Constantes!$B$3,
  _xlpm.Knewgain, Constantes!$B$4,
  _xlpm.Knewscale, Constantes!$B$5,
  _xlpm.ptstables, INDEX(AI:AI, _xlfn.SEQUENCE(COUNTA($C$2:$C257), 1, 3, 4)),
  _xlpm.nbparties, COUNTA(_xlfn._xlws.FILTER(_xlpm.ptstables, _xlpm.ptstables &lt;&gt; "")),
  _xlpm.coef, _xlpm.K + _xlpm.Knewgain / (_xlpm.Knewscale + _xlpm.nbparties),
  IF(AI255="",
    "",
    _xlpm.coef * (AI255-AI256))
)</f>
        <v/>
      </c>
      <c r="AJ257" t="str" cm="1">
        <f t="array" ref="AJ257">_xlfn.LET(
  _xlpm.K, Constantes!$B$3,
  _xlpm.Knewgain, Constantes!$B$4,
  _xlpm.Knewscale, Constantes!$B$5,
  _xlpm.ptstables, INDEX(AJ:AJ, _xlfn.SEQUENCE(COUNTA($C$2:$C257), 1, 3, 4)),
  _xlpm.nbparties, COUNTA(_xlfn._xlws.FILTER(_xlpm.ptstables, _xlpm.ptstables &lt;&gt; "")),
  _xlpm.coef, _xlpm.K + _xlpm.Knewgain / (_xlpm.Knewscale + _xlpm.nbparties),
  IF(AJ255="",
    "",
    _xlpm.coef * (AJ255-AJ256))
)</f>
        <v/>
      </c>
      <c r="AK257" t="str" cm="1">
        <f t="array" ref="AK257">_xlfn.LET(
  _xlpm.K, Constantes!$B$3,
  _xlpm.Knewgain, Constantes!$B$4,
  _xlpm.Knewscale, Constantes!$B$5,
  _xlpm.ptstables, INDEX(AK:AK, _xlfn.SEQUENCE(COUNTA($C$2:$C257), 1, 3, 4)),
  _xlpm.nbparties, COUNTA(_xlfn._xlws.FILTER(_xlpm.ptstables, _xlpm.ptstables &lt;&gt; "")),
  _xlpm.coef, _xlpm.K + _xlpm.Knewgain / (_xlpm.Knewscale + _xlpm.nbparties),
  IF(AK255="",
    "",
    _xlpm.coef * (AK255-AK256))
)</f>
        <v/>
      </c>
      <c r="AL257" t="str" cm="1">
        <f t="array" ref="AL257">_xlfn.LET(
  _xlpm.K, Constantes!$B$3,
  _xlpm.Knewgain, Constantes!$B$4,
  _xlpm.Knewscale, Constantes!$B$5,
  _xlpm.ptstables, INDEX(AL:AL, _xlfn.SEQUENCE(COUNTA($C$2:$C257), 1, 3, 4)),
  _xlpm.nbparties, COUNTA(_xlfn._xlws.FILTER(_xlpm.ptstables, _xlpm.ptstables &lt;&gt; "")),
  _xlpm.coef, _xlpm.K + _xlpm.Knewgain / (_xlpm.Knewscale + _xlpm.nbparties),
  IF(AL255="",
    "",
    _xlpm.coef * (AL255-AL256))
)</f>
        <v/>
      </c>
      <c r="AM257" t="str" cm="1">
        <f t="array" ref="AM257">_xlfn.LET(
  _xlpm.K, Constantes!$B$3,
  _xlpm.Knewgain, Constantes!$B$4,
  _xlpm.Knewscale, Constantes!$B$5,
  _xlpm.ptstables, INDEX(AM:AM, _xlfn.SEQUENCE(COUNTA($C$2:$C257), 1, 3, 4)),
  _xlpm.nbparties, COUNTA(_xlfn._xlws.FILTER(_xlpm.ptstables, _xlpm.ptstables &lt;&gt; "")),
  _xlpm.coef, _xlpm.K + _xlpm.Knewgain / (_xlpm.Knewscale + _xlpm.nbparties),
  IF(AM255="",
    "",
    _xlpm.coef * (AM255-AM256))
)</f>
        <v/>
      </c>
    </row>
    <row r="258" spans="1:39" x14ac:dyDescent="0.25">
      <c r="A258" t="s">
        <v>14</v>
      </c>
      <c r="B258" t="str" cm="1">
        <f t="array" ref="B25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64</v>
      </c>
      <c r="C258" s="2" cm="1">
        <f t="array" ref="C258">IF(B258="","",
  INDEX(Donnees!F:F, MATCH(B258, Donnees!F:F, 0)+1))</f>
        <v>45941.594351851854</v>
      </c>
      <c r="D258">
        <f t="shared" ref="D258:AM258" si="72">D254+IF(D257="",0,D257)</f>
        <v>1033.1893307292305</v>
      </c>
      <c r="E258">
        <f t="shared" si="72"/>
        <v>1150.8581509866578</v>
      </c>
      <c r="F258">
        <f t="shared" si="72"/>
        <v>847.48442671390455</v>
      </c>
      <c r="G258">
        <f t="shared" si="72"/>
        <v>1118.8779378975084</v>
      </c>
      <c r="H258">
        <f t="shared" si="72"/>
        <v>1041.4828877801035</v>
      </c>
      <c r="I258">
        <f t="shared" si="72"/>
        <v>929.90115121897634</v>
      </c>
      <c r="J258">
        <f t="shared" si="72"/>
        <v>1010.9125108504293</v>
      </c>
      <c r="K258">
        <f t="shared" si="72"/>
        <v>995.62536924505116</v>
      </c>
      <c r="L258">
        <f t="shared" si="72"/>
        <v>766.95119884458973</v>
      </c>
      <c r="M258">
        <f t="shared" si="72"/>
        <v>913.41986361738122</v>
      </c>
      <c r="N258">
        <f t="shared" si="72"/>
        <v>899.27286866960299</v>
      </c>
      <c r="O258">
        <f t="shared" si="72"/>
        <v>980.22411339123312</v>
      </c>
      <c r="P258">
        <f t="shared" si="72"/>
        <v>1044.694691960626</v>
      </c>
      <c r="Q258">
        <f t="shared" si="72"/>
        <v>1108.7965412414278</v>
      </c>
      <c r="R258">
        <f t="shared" si="72"/>
        <v>1079.5543015631583</v>
      </c>
      <c r="S258">
        <f t="shared" si="72"/>
        <v>954.76343283181791</v>
      </c>
      <c r="T258">
        <f t="shared" si="72"/>
        <v>1131.4597823090139</v>
      </c>
      <c r="U258">
        <f t="shared" si="72"/>
        <v>1115.9839629001663</v>
      </c>
      <c r="V258">
        <f t="shared" si="72"/>
        <v>937.23755379009503</v>
      </c>
      <c r="W258">
        <f t="shared" si="72"/>
        <v>936.79085942937002</v>
      </c>
      <c r="X258">
        <f t="shared" si="72"/>
        <v>821.21862791564456</v>
      </c>
      <c r="Y258">
        <f t="shared" si="72"/>
        <v>959.91987155343315</v>
      </c>
      <c r="Z258">
        <f t="shared" si="72"/>
        <v>991.11904139672549</v>
      </c>
      <c r="AA258">
        <f t="shared" si="72"/>
        <v>966.24279289689184</v>
      </c>
      <c r="AB258">
        <f t="shared" si="72"/>
        <v>988.35669729544747</v>
      </c>
      <c r="AC258">
        <f t="shared" si="72"/>
        <v>1039.1635789679592</v>
      </c>
      <c r="AD258">
        <f t="shared" si="72"/>
        <v>1073.9096023401294</v>
      </c>
      <c r="AE258">
        <f t="shared" si="72"/>
        <v>963.23981965000235</v>
      </c>
      <c r="AF258">
        <f t="shared" si="72"/>
        <v>1089.5415391863121</v>
      </c>
      <c r="AG258">
        <f t="shared" si="72"/>
        <v>958.23078604304851</v>
      </c>
      <c r="AH258">
        <f t="shared" si="72"/>
        <v>920.4412636682855</v>
      </c>
      <c r="AI258">
        <f t="shared" si="72"/>
        <v>1000</v>
      </c>
      <c r="AJ258">
        <f t="shared" si="72"/>
        <v>957.2</v>
      </c>
      <c r="AK258">
        <f t="shared" si="72"/>
        <v>1000</v>
      </c>
      <c r="AL258">
        <f t="shared" si="72"/>
        <v>1055.9299999999998</v>
      </c>
      <c r="AM258">
        <f t="shared" si="72"/>
        <v>1000</v>
      </c>
    </row>
    <row r="259" spans="1:39" x14ac:dyDescent="0.25">
      <c r="A259" t="s">
        <v>21</v>
      </c>
      <c r="D259" t="str" cm="1">
        <f t="array" ref="D259">IFERROR(
  _xlfn.LET(
    _xlpm.ligpartie, MATCH($B258, Donnees!$F:$F, 0),
    _xlpm.joueurs, INDEX(Donnees!$A:$Z, _xlpm.ligpartie+1, _xlfn.SEQUENCE(1, 4, 2)),
    INDEX(
      Donnees!$A:$Z,
      _xlpm.ligpartie + 3,
      MATCH(D$1, _xlpm.joueurs, 0) + 1
    )
  ), ""
)</f>
        <v/>
      </c>
      <c r="E259" t="str" cm="1">
        <f t="array" ref="E259">IFERROR(
  _xlfn.LET(
    _xlpm.ligpartie, MATCH($B258, Donnees!$F:$F, 0),
    _xlpm.joueurs, INDEX(Donnees!$A:$Z, _xlpm.ligpartie+1, _xlfn.SEQUENCE(1, 4, 2)),
    INDEX(
      Donnees!$A:$Z,
      _xlpm.ligpartie + 3,
      MATCH(E$1, _xlpm.joueurs, 0) + 1
    )
  ), ""
)</f>
        <v/>
      </c>
      <c r="F259" t="str" cm="1">
        <f t="array" ref="F259">IFERROR(
  _xlfn.LET(
    _xlpm.ligpartie, MATCH($B258, Donnees!$F:$F, 0),
    _xlpm.joueurs, INDEX(Donnees!$A:$Z, _xlpm.ligpartie+1, _xlfn.SEQUENCE(1, 4, 2)),
    INDEX(
      Donnees!$A:$Z,
      _xlpm.ligpartie + 3,
      MATCH(F$1, _xlpm.joueurs, 0) + 1
    )
  ), ""
)</f>
        <v/>
      </c>
      <c r="G259" t="str" cm="1">
        <f t="array" ref="G259">IFERROR(
  _xlfn.LET(
    _xlpm.ligpartie, MATCH($B258, Donnees!$F:$F, 0),
    _xlpm.joueurs, INDEX(Donnees!$A:$Z, _xlpm.ligpartie+1, _xlfn.SEQUENCE(1, 4, 2)),
    INDEX(
      Donnees!$A:$Z,
      _xlpm.ligpartie + 3,
      MATCH(G$1, _xlpm.joueurs, 0) + 1
    )
  ), ""
)</f>
        <v/>
      </c>
      <c r="H259" t="str" cm="1">
        <f t="array" ref="H259">IFERROR(
  _xlfn.LET(
    _xlpm.ligpartie, MATCH($B258, Donnees!$F:$F, 0),
    _xlpm.joueurs, INDEX(Donnees!$A:$Z, _xlpm.ligpartie+1, _xlfn.SEQUENCE(1, 4, 2)),
    INDEX(
      Donnees!$A:$Z,
      _xlpm.ligpartie + 3,
      MATCH(H$1, _xlpm.joueurs, 0) + 1
    )
  ), ""
)</f>
        <v/>
      </c>
      <c r="I259" t="str" cm="1">
        <f t="array" ref="I259">IFERROR(
  _xlfn.LET(
    _xlpm.ligpartie, MATCH($B258, Donnees!$F:$F, 0),
    _xlpm.joueurs, INDEX(Donnees!$A:$Z, _xlpm.ligpartie+1, _xlfn.SEQUENCE(1, 4, 2)),
    INDEX(
      Donnees!$A:$Z,
      _xlpm.ligpartie + 3,
      MATCH(I$1, _xlpm.joueurs, 0) + 1
    )
  ), ""
)</f>
        <v/>
      </c>
      <c r="J259" t="str" cm="1">
        <f t="array" ref="J259">IFERROR(
  _xlfn.LET(
    _xlpm.ligpartie, MATCH($B258, Donnees!$F:$F, 0),
    _xlpm.joueurs, INDEX(Donnees!$A:$Z, _xlpm.ligpartie+1, _xlfn.SEQUENCE(1, 4, 2)),
    INDEX(
      Donnees!$A:$Z,
      _xlpm.ligpartie + 3,
      MATCH(J$1, _xlpm.joueurs, 0) + 1
    )
  ), ""
)</f>
        <v/>
      </c>
      <c r="K259" t="str" cm="1">
        <f t="array" ref="K259">IFERROR(
  _xlfn.LET(
    _xlpm.ligpartie, MATCH($B258, Donnees!$F:$F, 0),
    _xlpm.joueurs, INDEX(Donnees!$A:$Z, _xlpm.ligpartie+1, _xlfn.SEQUENCE(1, 4, 2)),
    INDEX(
      Donnees!$A:$Z,
      _xlpm.ligpartie + 3,
      MATCH(K$1, _xlpm.joueurs, 0) + 1
    )
  ), ""
)</f>
        <v/>
      </c>
      <c r="L259" t="str" cm="1">
        <f t="array" ref="L259">IFERROR(
  _xlfn.LET(
    _xlpm.ligpartie, MATCH($B258, Donnees!$F:$F, 0),
    _xlpm.joueurs, INDEX(Donnees!$A:$Z, _xlpm.ligpartie+1, _xlfn.SEQUENCE(1, 4, 2)),
    INDEX(
      Donnees!$A:$Z,
      _xlpm.ligpartie + 3,
      MATCH(L$1, _xlpm.joueurs, 0) + 1
    )
  ), ""
)</f>
        <v/>
      </c>
      <c r="M259" t="str" cm="1">
        <f t="array" ref="M259">IFERROR(
  _xlfn.LET(
    _xlpm.ligpartie, MATCH($B258, Donnees!$F:$F, 0),
    _xlpm.joueurs, INDEX(Donnees!$A:$Z, _xlpm.ligpartie+1, _xlfn.SEQUENCE(1, 4, 2)),
    INDEX(
      Donnees!$A:$Z,
      _xlpm.ligpartie + 3,
      MATCH(M$1, _xlpm.joueurs, 0) + 1
    )
  ), ""
)</f>
        <v/>
      </c>
      <c r="N259" t="str" cm="1">
        <f t="array" ref="N259">IFERROR(
  _xlfn.LET(
    _xlpm.ligpartie, MATCH($B258, Donnees!$F:$F, 0),
    _xlpm.joueurs, INDEX(Donnees!$A:$Z, _xlpm.ligpartie+1, _xlfn.SEQUENCE(1, 4, 2)),
    INDEX(
      Donnees!$A:$Z,
      _xlpm.ligpartie + 3,
      MATCH(N$1, _xlpm.joueurs, 0) + 1
    )
  ), ""
)</f>
        <v/>
      </c>
      <c r="O259" cm="1">
        <f t="array" ref="O259">IFERROR(
  _xlfn.LET(
    _xlpm.ligpartie, MATCH($B258, Donnees!$F:$F, 0),
    _xlpm.joueurs, INDEX(Donnees!$A:$Z, _xlpm.ligpartie+1, _xlfn.SEQUENCE(1, 4, 2)),
    INDEX(
      Donnees!$A:$Z,
      _xlpm.ligpartie + 3,
      MATCH(O$1, _xlpm.joueurs, 0) + 1
    )
  ), ""
)</f>
        <v>2</v>
      </c>
      <c r="P259" t="str" cm="1">
        <f t="array" ref="P259">IFERROR(
  _xlfn.LET(
    _xlpm.ligpartie, MATCH($B258, Donnees!$F:$F, 0),
    _xlpm.joueurs, INDEX(Donnees!$A:$Z, _xlpm.ligpartie+1, _xlfn.SEQUENCE(1, 4, 2)),
    INDEX(
      Donnees!$A:$Z,
      _xlpm.ligpartie + 3,
      MATCH(P$1, _xlpm.joueurs, 0) + 1
    )
  ), ""
)</f>
        <v/>
      </c>
      <c r="Q259" t="str" cm="1">
        <f t="array" ref="Q259">IFERROR(
  _xlfn.LET(
    _xlpm.ligpartie, MATCH($B258, Donnees!$F:$F, 0),
    _xlpm.joueurs, INDEX(Donnees!$A:$Z, _xlpm.ligpartie+1, _xlfn.SEQUENCE(1, 4, 2)),
    INDEX(
      Donnees!$A:$Z,
      _xlpm.ligpartie + 3,
      MATCH(Q$1, _xlpm.joueurs, 0) + 1
    )
  ), ""
)</f>
        <v/>
      </c>
      <c r="R259" t="str" cm="1">
        <f t="array" ref="R259">IFERROR(
  _xlfn.LET(
    _xlpm.ligpartie, MATCH($B258, Donnees!$F:$F, 0),
    _xlpm.joueurs, INDEX(Donnees!$A:$Z, _xlpm.ligpartie+1, _xlfn.SEQUENCE(1, 4, 2)),
    INDEX(
      Donnees!$A:$Z,
      _xlpm.ligpartie + 3,
      MATCH(R$1, _xlpm.joueurs, 0) + 1
    )
  ), ""
)</f>
        <v/>
      </c>
      <c r="S259" t="str" cm="1">
        <f t="array" ref="S259">IFERROR(
  _xlfn.LET(
    _xlpm.ligpartie, MATCH($B258, Donnees!$F:$F, 0),
    _xlpm.joueurs, INDEX(Donnees!$A:$Z, _xlpm.ligpartie+1, _xlfn.SEQUENCE(1, 4, 2)),
    INDEX(
      Donnees!$A:$Z,
      _xlpm.ligpartie + 3,
      MATCH(S$1, _xlpm.joueurs, 0) + 1
    )
  ), ""
)</f>
        <v/>
      </c>
      <c r="T259" t="str" cm="1">
        <f t="array" ref="T259">IFERROR(
  _xlfn.LET(
    _xlpm.ligpartie, MATCH($B258, Donnees!$F:$F, 0),
    _xlpm.joueurs, INDEX(Donnees!$A:$Z, _xlpm.ligpartie+1, _xlfn.SEQUENCE(1, 4, 2)),
    INDEX(
      Donnees!$A:$Z,
      _xlpm.ligpartie + 3,
      MATCH(T$1, _xlpm.joueurs, 0) + 1
    )
  ), ""
)</f>
        <v/>
      </c>
      <c r="U259" cm="1">
        <f t="array" ref="U259">IFERROR(
  _xlfn.LET(
    _xlpm.ligpartie, MATCH($B258, Donnees!$F:$F, 0),
    _xlpm.joueurs, INDEX(Donnees!$A:$Z, _xlpm.ligpartie+1, _xlfn.SEQUENCE(1, 4, 2)),
    INDEX(
      Donnees!$A:$Z,
      _xlpm.ligpartie + 3,
      MATCH(U$1, _xlpm.joueurs, 0) + 1
    )
  ), ""
)</f>
        <v>3</v>
      </c>
      <c r="V259" t="str" cm="1">
        <f t="array" ref="V259">IFERROR(
  _xlfn.LET(
    _xlpm.ligpartie, MATCH($B258, Donnees!$F:$F, 0),
    _xlpm.joueurs, INDEX(Donnees!$A:$Z, _xlpm.ligpartie+1, _xlfn.SEQUENCE(1, 4, 2)),
    INDEX(
      Donnees!$A:$Z,
      _xlpm.ligpartie + 3,
      MATCH(V$1, _xlpm.joueurs, 0) + 1
    )
  ), ""
)</f>
        <v/>
      </c>
      <c r="W259" t="str" cm="1">
        <f t="array" ref="W259">IFERROR(
  _xlfn.LET(
    _xlpm.ligpartie, MATCH($B258, Donnees!$F:$F, 0),
    _xlpm.joueurs, INDEX(Donnees!$A:$Z, _xlpm.ligpartie+1, _xlfn.SEQUENCE(1, 4, 2)),
    INDEX(
      Donnees!$A:$Z,
      _xlpm.ligpartie + 3,
      MATCH(W$1, _xlpm.joueurs, 0) + 1
    )
  ), ""
)</f>
        <v/>
      </c>
      <c r="X259" t="str" cm="1">
        <f t="array" ref="X259">IFERROR(
  _xlfn.LET(
    _xlpm.ligpartie, MATCH($B258, Donnees!$F:$F, 0),
    _xlpm.joueurs, INDEX(Donnees!$A:$Z, _xlpm.ligpartie+1, _xlfn.SEQUENCE(1, 4, 2)),
    INDEX(
      Donnees!$A:$Z,
      _xlpm.ligpartie + 3,
      MATCH(X$1, _xlpm.joueurs, 0) + 1
    )
  ), ""
)</f>
        <v/>
      </c>
      <c r="Y259" cm="1">
        <f t="array" ref="Y259">IFERROR(
  _xlfn.LET(
    _xlpm.ligpartie, MATCH($B258, Donnees!$F:$F, 0),
    _xlpm.joueurs, INDEX(Donnees!$A:$Z, _xlpm.ligpartie+1, _xlfn.SEQUENCE(1, 4, 2)),
    INDEX(
      Donnees!$A:$Z,
      _xlpm.ligpartie + 3,
      MATCH(Y$1, _xlpm.joueurs, 0) + 1
    )
  ), ""
)</f>
        <v>0</v>
      </c>
      <c r="Z259" t="str" cm="1">
        <f t="array" ref="Z259">IFERROR(
  _xlfn.LET(
    _xlpm.ligpartie, MATCH($B258, Donnees!$F:$F, 0),
    _xlpm.joueurs, INDEX(Donnees!$A:$Z, _xlpm.ligpartie+1, _xlfn.SEQUENCE(1, 4, 2)),
    INDEX(
      Donnees!$A:$Z,
      _xlpm.ligpartie + 3,
      MATCH(Z$1, _xlpm.joueurs, 0) + 1
    )
  ), ""
)</f>
        <v/>
      </c>
      <c r="AA259" t="str" cm="1">
        <f t="array" ref="AA259">IFERROR(
  _xlfn.LET(
    _xlpm.ligpartie, MATCH($B258, Donnees!$F:$F, 0),
    _xlpm.joueurs, INDEX(Donnees!$A:$Z, _xlpm.ligpartie+1, _xlfn.SEQUENCE(1, 4, 2)),
    INDEX(
      Donnees!$A:$Z,
      _xlpm.ligpartie + 3,
      MATCH(AA$1, _xlpm.joueurs, 0) + 1
    )
  ), ""
)</f>
        <v/>
      </c>
      <c r="AB259" t="str" cm="1">
        <f t="array" ref="AB259">IFERROR(
  _xlfn.LET(
    _xlpm.ligpartie, MATCH($B258, Donnees!$F:$F, 0),
    _xlpm.joueurs, INDEX(Donnees!$A:$Z, _xlpm.ligpartie+1, _xlfn.SEQUENCE(1, 4, 2)),
    INDEX(
      Donnees!$A:$Z,
      _xlpm.ligpartie + 3,
      MATCH(AB$1, _xlpm.joueurs, 0) + 1
    )
  ), ""
)</f>
        <v/>
      </c>
      <c r="AC259" t="str" cm="1">
        <f t="array" ref="AC259">IFERROR(
  _xlfn.LET(
    _xlpm.ligpartie, MATCH($B258, Donnees!$F:$F, 0),
    _xlpm.joueurs, INDEX(Donnees!$A:$Z, _xlpm.ligpartie+1, _xlfn.SEQUENCE(1, 4, 2)),
    INDEX(
      Donnees!$A:$Z,
      _xlpm.ligpartie + 3,
      MATCH(AC$1, _xlpm.joueurs, 0) + 1
    )
  ), ""
)</f>
        <v/>
      </c>
      <c r="AD259" t="str" cm="1">
        <f t="array" ref="AD259">IFERROR(
  _xlfn.LET(
    _xlpm.ligpartie, MATCH($B258, Donnees!$F:$F, 0),
    _xlpm.joueurs, INDEX(Donnees!$A:$Z, _xlpm.ligpartie+1, _xlfn.SEQUENCE(1, 4, 2)),
    INDEX(
      Donnees!$A:$Z,
      _xlpm.ligpartie + 3,
      MATCH(AD$1, _xlpm.joueurs, 0) + 1
    )
  ), ""
)</f>
        <v/>
      </c>
      <c r="AE259" t="str" cm="1">
        <f t="array" ref="AE259">IFERROR(
  _xlfn.LET(
    _xlpm.ligpartie, MATCH($B258, Donnees!$F:$F, 0),
    _xlpm.joueurs, INDEX(Donnees!$A:$Z, _xlpm.ligpartie+1, _xlfn.SEQUENCE(1, 4, 2)),
    INDEX(
      Donnees!$A:$Z,
      _xlpm.ligpartie + 3,
      MATCH(AE$1, _xlpm.joueurs, 0) + 1
    )
  ), ""
)</f>
        <v/>
      </c>
      <c r="AF259" t="str" cm="1">
        <f t="array" ref="AF259">IFERROR(
  _xlfn.LET(
    _xlpm.ligpartie, MATCH($B258, Donnees!$F:$F, 0),
    _xlpm.joueurs, INDEX(Donnees!$A:$Z, _xlpm.ligpartie+1, _xlfn.SEQUENCE(1, 4, 2)),
    INDEX(
      Donnees!$A:$Z,
      _xlpm.ligpartie + 3,
      MATCH(AF$1, _xlpm.joueurs, 0) + 1
    )
  ), ""
)</f>
        <v/>
      </c>
      <c r="AG259" t="str" cm="1">
        <f t="array" ref="AG259">IFERROR(
  _xlfn.LET(
    _xlpm.ligpartie, MATCH($B258, Donnees!$F:$F, 0),
    _xlpm.joueurs, INDEX(Donnees!$A:$Z, _xlpm.ligpartie+1, _xlfn.SEQUENCE(1, 4, 2)),
    INDEX(
      Donnees!$A:$Z,
      _xlpm.ligpartie + 3,
      MATCH(AG$1, _xlpm.joueurs, 0) + 1
    )
  ), ""
)</f>
        <v/>
      </c>
      <c r="AH259" t="str" cm="1">
        <f t="array" ref="AH259">IFERROR(
  _xlfn.LET(
    _xlpm.ligpartie, MATCH($B258, Donnees!$F:$F, 0),
    _xlpm.joueurs, INDEX(Donnees!$A:$Z, _xlpm.ligpartie+1, _xlfn.SEQUENCE(1, 4, 2)),
    INDEX(
      Donnees!$A:$Z,
      _xlpm.ligpartie + 3,
      MATCH(AH$1, _xlpm.joueurs, 0) + 1
    )
  ), ""
)</f>
        <v/>
      </c>
      <c r="AI259" cm="1">
        <f t="array" ref="AI259">IFERROR(
  _xlfn.LET(
    _xlpm.ligpartie, MATCH($B258, Donnees!$F:$F, 0),
    _xlpm.joueurs, INDEX(Donnees!$A:$Z, _xlpm.ligpartie+1, _xlfn.SEQUENCE(1, 4, 2)),
    INDEX(
      Donnees!$A:$Z,
      _xlpm.ligpartie + 3,
      MATCH(AI$1, _xlpm.joueurs, 0) + 1
    )
  ), ""
)</f>
        <v>1</v>
      </c>
      <c r="AJ259" t="str" cm="1">
        <f t="array" ref="AJ259">IFERROR(
  _xlfn.LET(
    _xlpm.ligpartie, MATCH($B258, Donnees!$F:$F, 0),
    _xlpm.joueurs, INDEX(Donnees!$A:$Z, _xlpm.ligpartie+1, _xlfn.SEQUENCE(1, 4, 2)),
    INDEX(
      Donnees!$A:$Z,
      _xlpm.ligpartie + 3,
      MATCH(AJ$1, _xlpm.joueurs, 0) + 1
    )
  ), ""
)</f>
        <v/>
      </c>
      <c r="AK259" t="str" cm="1">
        <f t="array" ref="AK259">IFERROR(
  _xlfn.LET(
    _xlpm.ligpartie, MATCH($B258, Donnees!$F:$F, 0),
    _xlpm.joueurs, INDEX(Donnees!$A:$Z, _xlpm.ligpartie+1, _xlfn.SEQUENCE(1, 4, 2)),
    INDEX(
      Donnees!$A:$Z,
      _xlpm.ligpartie + 3,
      MATCH(AK$1, _xlpm.joueurs, 0) + 1
    )
  ), ""
)</f>
        <v/>
      </c>
      <c r="AL259" t="str" cm="1">
        <f t="array" ref="AL259">IFERROR(
  _xlfn.LET(
    _xlpm.ligpartie, MATCH($B258, Donnees!$F:$F, 0),
    _xlpm.joueurs, INDEX(Donnees!$A:$Z, _xlpm.ligpartie+1, _xlfn.SEQUENCE(1, 4, 2)),
    INDEX(
      Donnees!$A:$Z,
      _xlpm.ligpartie + 3,
      MATCH(AL$1, _xlpm.joueurs, 0) + 1
    )
  ), ""
)</f>
        <v/>
      </c>
      <c r="AM259" t="str" cm="1">
        <f t="array" ref="AM259">IFERROR(
  _xlfn.LET(
    _xlpm.ligpartie, MATCH($B258, Donnees!$F:$F, 0),
    _xlpm.joueurs, INDEX(Donnees!$A:$Z, _xlpm.ligpartie+1, _xlfn.SEQUENCE(1, 4, 2)),
    INDEX(
      Donnees!$A:$Z,
      _xlpm.ligpartie + 3,
      MATCH(AM$1, _xlpm.joueurs, 0) + 1
    )
  ), ""
)</f>
        <v/>
      </c>
    </row>
    <row r="260" spans="1:39" x14ac:dyDescent="0.25">
      <c r="A260" t="s">
        <v>20</v>
      </c>
      <c r="D260" t="str" cm="1">
        <f t="array" ref="D260">_xlfn.LET(
  _xlpm.colj, _xlfn._xlws.FILTER(IF(ISNUMBER(259:259), COLUMN(259:259)), ISNUMBER(259:259)),
  _xlpm.elos, INDEX(258:258,1,_xlpm.colj),
  _xlpm.diffscale, Constantes!$B$2,
  IF(D259="",
    "",
    SUM(1/(1+POWER(10,-(D258-_xlpm.elos)/_xlpm.diffscale)))-0.5)
)</f>
        <v/>
      </c>
      <c r="E260" t="str" cm="1">
        <f t="array" ref="E260">_xlfn.LET(
  _xlpm.colj, _xlfn._xlws.FILTER(IF(ISNUMBER(259:259), COLUMN(259:259)), ISNUMBER(259:259)),
  _xlpm.elos, INDEX(258:258,1,_xlpm.colj),
  _xlpm.diffscale, Constantes!$B$2,
  IF(E259="",
    "",
    SUM(1/(1+POWER(10,-(E258-_xlpm.elos)/_xlpm.diffscale)))-0.5)
)</f>
        <v/>
      </c>
      <c r="F260" t="str" cm="1">
        <f t="array" ref="F260">_xlfn.LET(
  _xlpm.colj, _xlfn._xlws.FILTER(IF(ISNUMBER(259:259), COLUMN(259:259)), ISNUMBER(259:259)),
  _xlpm.elos, INDEX(258:258,1,_xlpm.colj),
  _xlpm.diffscale, Constantes!$B$2,
  IF(F259="",
    "",
    SUM(1/(1+POWER(10,-(F258-_xlpm.elos)/_xlpm.diffscale)))-0.5)
)</f>
        <v/>
      </c>
      <c r="G260" t="str" cm="1">
        <f t="array" ref="G260">_xlfn.LET(
  _xlpm.colj, _xlfn._xlws.FILTER(IF(ISNUMBER(259:259), COLUMN(259:259)), ISNUMBER(259:259)),
  _xlpm.elos, INDEX(258:258,1,_xlpm.colj),
  _xlpm.diffscale, Constantes!$B$2,
  IF(G259="",
    "",
    SUM(1/(1+POWER(10,-(G258-_xlpm.elos)/_xlpm.diffscale)))-0.5)
)</f>
        <v/>
      </c>
      <c r="H260" t="str" cm="1">
        <f t="array" ref="H260">_xlfn.LET(
  _xlpm.colj, _xlfn._xlws.FILTER(IF(ISNUMBER(259:259), COLUMN(259:259)), ISNUMBER(259:259)),
  _xlpm.elos, INDEX(258:258,1,_xlpm.colj),
  _xlpm.diffscale, Constantes!$B$2,
  IF(H259="",
    "",
    SUM(1/(1+POWER(10,-(H258-_xlpm.elos)/_xlpm.diffscale)))-0.5)
)</f>
        <v/>
      </c>
      <c r="I260" t="str" cm="1">
        <f t="array" ref="I260">_xlfn.LET(
  _xlpm.colj, _xlfn._xlws.FILTER(IF(ISNUMBER(259:259), COLUMN(259:259)), ISNUMBER(259:259)),
  _xlpm.elos, INDEX(258:258,1,_xlpm.colj),
  _xlpm.diffscale, Constantes!$B$2,
  IF(I259="",
    "",
    SUM(1/(1+POWER(10,-(I258-_xlpm.elos)/_xlpm.diffscale)))-0.5)
)</f>
        <v/>
      </c>
      <c r="J260" t="str" cm="1">
        <f t="array" ref="J260">_xlfn.LET(
  _xlpm.colj, _xlfn._xlws.FILTER(IF(ISNUMBER(259:259), COLUMN(259:259)), ISNUMBER(259:259)),
  _xlpm.elos, INDEX(258:258,1,_xlpm.colj),
  _xlpm.diffscale, Constantes!$B$2,
  IF(J259="",
    "",
    SUM(1/(1+POWER(10,-(J258-_xlpm.elos)/_xlpm.diffscale)))-0.5)
)</f>
        <v/>
      </c>
      <c r="K260" t="str" cm="1">
        <f t="array" ref="K260">_xlfn.LET(
  _xlpm.colj, _xlfn._xlws.FILTER(IF(ISNUMBER(259:259), COLUMN(259:259)), ISNUMBER(259:259)),
  _xlpm.elos, INDEX(258:258,1,_xlpm.colj),
  _xlpm.diffscale, Constantes!$B$2,
  IF(K259="",
    "",
    SUM(1/(1+POWER(10,-(K258-_xlpm.elos)/_xlpm.diffscale)))-0.5)
)</f>
        <v/>
      </c>
      <c r="L260" t="str" cm="1">
        <f t="array" ref="L260">_xlfn.LET(
  _xlpm.colj, _xlfn._xlws.FILTER(IF(ISNUMBER(259:259), COLUMN(259:259)), ISNUMBER(259:259)),
  _xlpm.elos, INDEX(258:258,1,_xlpm.colj),
  _xlpm.diffscale, Constantes!$B$2,
  IF(L259="",
    "",
    SUM(1/(1+POWER(10,-(L258-_xlpm.elos)/_xlpm.diffscale)))-0.5)
)</f>
        <v/>
      </c>
      <c r="M260" t="str" cm="1">
        <f t="array" ref="M260">_xlfn.LET(
  _xlpm.colj, _xlfn._xlws.FILTER(IF(ISNUMBER(259:259), COLUMN(259:259)), ISNUMBER(259:259)),
  _xlpm.elos, INDEX(258:258,1,_xlpm.colj),
  _xlpm.diffscale, Constantes!$B$2,
  IF(M259="",
    "",
    SUM(1/(1+POWER(10,-(M258-_xlpm.elos)/_xlpm.diffscale)))-0.5)
)</f>
        <v/>
      </c>
      <c r="N260" t="str" cm="1">
        <f t="array" ref="N260">_xlfn.LET(
  _xlpm.colj, _xlfn._xlws.FILTER(IF(ISNUMBER(259:259), COLUMN(259:259)), ISNUMBER(259:259)),
  _xlpm.elos, INDEX(258:258,1,_xlpm.colj),
  _xlpm.diffscale, Constantes!$B$2,
  IF(N259="",
    "",
    SUM(1/(1+POWER(10,-(N258-_xlpm.elos)/_xlpm.diffscale)))-0.5)
)</f>
        <v/>
      </c>
      <c r="O260" cm="1">
        <f t="array" ref="O260">_xlfn.LET(
  _xlpm.colj, _xlfn._xlws.FILTER(IF(ISNUMBER(259:259), COLUMN(259:259)), ISNUMBER(259:259)),
  _xlpm.elos, INDEX(258:258,1,_xlpm.colj),
  _xlpm.diffscale, Constantes!$B$2,
  IF(O259="",
    "",
    SUM(1/(1+POWER(10,-(O258-_xlpm.elos)/_xlpm.diffscale)))-0.5)
)</f>
        <v>1.3147552826713629</v>
      </c>
      <c r="P260" t="str" cm="1">
        <f t="array" ref="P260">_xlfn.LET(
  _xlpm.colj, _xlfn._xlws.FILTER(IF(ISNUMBER(259:259), COLUMN(259:259)), ISNUMBER(259:259)),
  _xlpm.elos, INDEX(258:258,1,_xlpm.colj),
  _xlpm.diffscale, Constantes!$B$2,
  IF(P259="",
    "",
    SUM(1/(1+POWER(10,-(P258-_xlpm.elos)/_xlpm.diffscale)))-0.5)
)</f>
        <v/>
      </c>
      <c r="Q260" t="str" cm="1">
        <f t="array" ref="Q260">_xlfn.LET(
  _xlpm.colj, _xlfn._xlws.FILTER(IF(ISNUMBER(259:259), COLUMN(259:259)), ISNUMBER(259:259)),
  _xlpm.elos, INDEX(258:258,1,_xlpm.colj),
  _xlpm.diffscale, Constantes!$B$2,
  IF(Q259="",
    "",
    SUM(1/(1+POWER(10,-(Q258-_xlpm.elos)/_xlpm.diffscale)))-0.5)
)</f>
        <v/>
      </c>
      <c r="R260" t="str" cm="1">
        <f t="array" ref="R260">_xlfn.LET(
  _xlpm.colj, _xlfn._xlws.FILTER(IF(ISNUMBER(259:259), COLUMN(259:259)), ISNUMBER(259:259)),
  _xlpm.elos, INDEX(258:258,1,_xlpm.colj),
  _xlpm.diffscale, Constantes!$B$2,
  IF(R259="",
    "",
    SUM(1/(1+POWER(10,-(R258-_xlpm.elos)/_xlpm.diffscale)))-0.5)
)</f>
        <v/>
      </c>
      <c r="S260" t="str" cm="1">
        <f t="array" ref="S260">_xlfn.LET(
  _xlpm.colj, _xlfn._xlws.FILTER(IF(ISNUMBER(259:259), COLUMN(259:259)), ISNUMBER(259:259)),
  _xlpm.elos, INDEX(258:258,1,_xlpm.colj),
  _xlpm.diffscale, Constantes!$B$2,
  IF(S259="",
    "",
    SUM(1/(1+POWER(10,-(S258-_xlpm.elos)/_xlpm.diffscale)))-0.5)
)</f>
        <v/>
      </c>
      <c r="T260" t="str" cm="1">
        <f t="array" ref="T260">_xlfn.LET(
  _xlpm.colj, _xlfn._xlws.FILTER(IF(ISNUMBER(259:259), COLUMN(259:259)), ISNUMBER(259:259)),
  _xlpm.elos, INDEX(258:258,1,_xlpm.colj),
  _xlpm.diffscale, Constantes!$B$2,
  IF(T259="",
    "",
    SUM(1/(1+POWER(10,-(T258-_xlpm.elos)/_xlpm.diffscale)))-0.5)
)</f>
        <v/>
      </c>
      <c r="U260" cm="1">
        <f t="array" ref="U260">_xlfn.LET(
  _xlpm.colj, _xlfn._xlws.FILTER(IF(ISNUMBER(259:259), COLUMN(259:259)), ISNUMBER(259:259)),
  _xlpm.elos, INDEX(258:258,1,_xlpm.colj),
  _xlpm.diffscale, Constantes!$B$2,
  IF(U259="",
    "",
    SUM(1/(1+POWER(10,-(U258-_xlpm.elos)/_xlpm.diffscale)))-0.5)
)</f>
        <v>2.0575968493081818</v>
      </c>
      <c r="V260" t="str" cm="1">
        <f t="array" ref="V260">_xlfn.LET(
  _xlpm.colj, _xlfn._xlws.FILTER(IF(ISNUMBER(259:259), COLUMN(259:259)), ISNUMBER(259:259)),
  _xlpm.elos, INDEX(258:258,1,_xlpm.colj),
  _xlpm.diffscale, Constantes!$B$2,
  IF(V259="",
    "",
    SUM(1/(1+POWER(10,-(V258-_xlpm.elos)/_xlpm.diffscale)))-0.5)
)</f>
        <v/>
      </c>
      <c r="W260" t="str" cm="1">
        <f t="array" ref="W260">_xlfn.LET(
  _xlpm.colj, _xlfn._xlws.FILTER(IF(ISNUMBER(259:259), COLUMN(259:259)), ISNUMBER(259:259)),
  _xlpm.elos, INDEX(258:258,1,_xlpm.colj),
  _xlpm.diffscale, Constantes!$B$2,
  IF(W259="",
    "",
    SUM(1/(1+POWER(10,-(W258-_xlpm.elos)/_xlpm.diffscale)))-0.5)
)</f>
        <v/>
      </c>
      <c r="X260" t="str" cm="1">
        <f t="array" ref="X260">_xlfn.LET(
  _xlpm.colj, _xlfn._xlws.FILTER(IF(ISNUMBER(259:259), COLUMN(259:259)), ISNUMBER(259:259)),
  _xlpm.elos, INDEX(258:258,1,_xlpm.colj),
  _xlpm.diffscale, Constantes!$B$2,
  IF(X259="",
    "",
    SUM(1/(1+POWER(10,-(X258-_xlpm.elos)/_xlpm.diffscale)))-0.5)
)</f>
        <v/>
      </c>
      <c r="Y260" cm="1">
        <f t="array" ref="Y260">_xlfn.LET(
  _xlpm.colj, _xlfn._xlws.FILTER(IF(ISNUMBER(259:259), COLUMN(259:259)), ISNUMBER(259:259)),
  _xlpm.elos, INDEX(258:258,1,_xlpm.colj),
  _xlpm.diffscale, Constantes!$B$2,
  IF(Y259="",
    "",
    SUM(1/(1+POWER(10,-(Y258-_xlpm.elos)/_xlpm.diffscale)))-0.5)
)</f>
        <v>1.2027717495285692</v>
      </c>
      <c r="Z260" t="str" cm="1">
        <f t="array" ref="Z260">_xlfn.LET(
  _xlpm.colj, _xlfn._xlws.FILTER(IF(ISNUMBER(259:259), COLUMN(259:259)), ISNUMBER(259:259)),
  _xlpm.elos, INDEX(258:258,1,_xlpm.colj),
  _xlpm.diffscale, Constantes!$B$2,
  IF(Z259="",
    "",
    SUM(1/(1+POWER(10,-(Z258-_xlpm.elos)/_xlpm.diffscale)))-0.5)
)</f>
        <v/>
      </c>
      <c r="AA260" t="str" cm="1">
        <f t="array" ref="AA260">_xlfn.LET(
  _xlpm.colj, _xlfn._xlws.FILTER(IF(ISNUMBER(259:259), COLUMN(259:259)), ISNUMBER(259:259)),
  _xlpm.elos, INDEX(258:258,1,_xlpm.colj),
  _xlpm.diffscale, Constantes!$B$2,
  IF(AA259="",
    "",
    SUM(1/(1+POWER(10,-(AA258-_xlpm.elos)/_xlpm.diffscale)))-0.5)
)</f>
        <v/>
      </c>
      <c r="AB260" t="str" cm="1">
        <f t="array" ref="AB260">_xlfn.LET(
  _xlpm.colj, _xlfn._xlws.FILTER(IF(ISNUMBER(259:259), COLUMN(259:259)), ISNUMBER(259:259)),
  _xlpm.elos, INDEX(258:258,1,_xlpm.colj),
  _xlpm.diffscale, Constantes!$B$2,
  IF(AB259="",
    "",
    SUM(1/(1+POWER(10,-(AB258-_xlpm.elos)/_xlpm.diffscale)))-0.5)
)</f>
        <v/>
      </c>
      <c r="AC260" t="str" cm="1">
        <f t="array" ref="AC260">_xlfn.LET(
  _xlpm.colj, _xlfn._xlws.FILTER(IF(ISNUMBER(259:259), COLUMN(259:259)), ISNUMBER(259:259)),
  _xlpm.elos, INDEX(258:258,1,_xlpm.colj),
  _xlpm.diffscale, Constantes!$B$2,
  IF(AC259="",
    "",
    SUM(1/(1+POWER(10,-(AC258-_xlpm.elos)/_xlpm.diffscale)))-0.5)
)</f>
        <v/>
      </c>
      <c r="AD260" t="str" cm="1">
        <f t="array" ref="AD260">_xlfn.LET(
  _xlpm.colj, _xlfn._xlws.FILTER(IF(ISNUMBER(259:259), COLUMN(259:259)), ISNUMBER(259:259)),
  _xlpm.elos, INDEX(258:258,1,_xlpm.colj),
  _xlpm.diffscale, Constantes!$B$2,
  IF(AD259="",
    "",
    SUM(1/(1+POWER(10,-(AD258-_xlpm.elos)/_xlpm.diffscale)))-0.5)
)</f>
        <v/>
      </c>
      <c r="AE260" t="str" cm="1">
        <f t="array" ref="AE260">_xlfn.LET(
  _xlpm.colj, _xlfn._xlws.FILTER(IF(ISNUMBER(259:259), COLUMN(259:259)), ISNUMBER(259:259)),
  _xlpm.elos, INDEX(258:258,1,_xlpm.colj),
  _xlpm.diffscale, Constantes!$B$2,
  IF(AE259="",
    "",
    SUM(1/(1+POWER(10,-(AE258-_xlpm.elos)/_xlpm.diffscale)))-0.5)
)</f>
        <v/>
      </c>
      <c r="AF260" t="str" cm="1">
        <f t="array" ref="AF260">_xlfn.LET(
  _xlpm.colj, _xlfn._xlws.FILTER(IF(ISNUMBER(259:259), COLUMN(259:259)), ISNUMBER(259:259)),
  _xlpm.elos, INDEX(258:258,1,_xlpm.colj),
  _xlpm.diffscale, Constantes!$B$2,
  IF(AF259="",
    "",
    SUM(1/(1+POWER(10,-(AF258-_xlpm.elos)/_xlpm.diffscale)))-0.5)
)</f>
        <v/>
      </c>
      <c r="AG260" t="str" cm="1">
        <f t="array" ref="AG260">_xlfn.LET(
  _xlpm.colj, _xlfn._xlws.FILTER(IF(ISNUMBER(259:259), COLUMN(259:259)), ISNUMBER(259:259)),
  _xlpm.elos, INDEX(258:258,1,_xlpm.colj),
  _xlpm.diffscale, Constantes!$B$2,
  IF(AG259="",
    "",
    SUM(1/(1+POWER(10,-(AG258-_xlpm.elos)/_xlpm.diffscale)))-0.5)
)</f>
        <v/>
      </c>
      <c r="AH260" t="str" cm="1">
        <f t="array" ref="AH260">_xlfn.LET(
  _xlpm.colj, _xlfn._xlws.FILTER(IF(ISNUMBER(259:259), COLUMN(259:259)), ISNUMBER(259:259)),
  _xlpm.elos, INDEX(258:258,1,_xlpm.colj),
  _xlpm.diffscale, Constantes!$B$2,
  IF(AH259="",
    "",
    SUM(1/(1+POWER(10,-(AH258-_xlpm.elos)/_xlpm.diffscale)))-0.5)
)</f>
        <v/>
      </c>
      <c r="AI260" cm="1">
        <f t="array" ref="AI260">_xlfn.LET(
  _xlpm.colj, _xlfn._xlws.FILTER(IF(ISNUMBER(259:259), COLUMN(259:259)), ISNUMBER(259:259)),
  _xlpm.elos, INDEX(258:258,1,_xlpm.colj),
  _xlpm.diffscale, Constantes!$B$2,
  IF(AI259="",
    "",
    SUM(1/(1+POWER(10,-(AI258-_xlpm.elos)/_xlpm.diffscale)))-0.5)
)</f>
        <v>1.4248761184918859</v>
      </c>
      <c r="AJ260" t="str" cm="1">
        <f t="array" ref="AJ260">_xlfn.LET(
  _xlpm.colj, _xlfn._xlws.FILTER(IF(ISNUMBER(259:259), COLUMN(259:259)), ISNUMBER(259:259)),
  _xlpm.elos, INDEX(258:258,1,_xlpm.colj),
  _xlpm.diffscale, Constantes!$B$2,
  IF(AJ259="",
    "",
    SUM(1/(1+POWER(10,-(AJ258-_xlpm.elos)/_xlpm.diffscale)))-0.5)
)</f>
        <v/>
      </c>
      <c r="AK260" t="str" cm="1">
        <f t="array" ref="AK260">_xlfn.LET(
  _xlpm.colj, _xlfn._xlws.FILTER(IF(ISNUMBER(259:259), COLUMN(259:259)), ISNUMBER(259:259)),
  _xlpm.elos, INDEX(258:258,1,_xlpm.colj),
  _xlpm.diffscale, Constantes!$B$2,
  IF(AK259="",
    "",
    SUM(1/(1+POWER(10,-(AK258-_xlpm.elos)/_xlpm.diffscale)))-0.5)
)</f>
        <v/>
      </c>
      <c r="AL260" t="str" cm="1">
        <f t="array" ref="AL260">_xlfn.LET(
  _xlpm.colj, _xlfn._xlws.FILTER(IF(ISNUMBER(259:259), COLUMN(259:259)), ISNUMBER(259:259)),
  _xlpm.elos, INDEX(258:258,1,_xlpm.colj),
  _xlpm.diffscale, Constantes!$B$2,
  IF(AL259="",
    "",
    SUM(1/(1+POWER(10,-(AL258-_xlpm.elos)/_xlpm.diffscale)))-0.5)
)</f>
        <v/>
      </c>
      <c r="AM260" t="str" cm="1">
        <f t="array" ref="AM260">_xlfn.LET(
  _xlpm.colj, _xlfn._xlws.FILTER(IF(ISNUMBER(259:259), COLUMN(259:259)), ISNUMBER(259:259)),
  _xlpm.elos, INDEX(258:258,1,_xlpm.colj),
  _xlpm.diffscale, Constantes!$B$2,
  IF(AM259="",
    "",
    SUM(1/(1+POWER(10,-(AM258-_xlpm.elos)/_xlpm.diffscale)))-0.5)
)</f>
        <v/>
      </c>
    </row>
    <row r="261" spans="1:39" x14ac:dyDescent="0.25">
      <c r="A261" t="s">
        <v>22</v>
      </c>
      <c r="D261" t="str" cm="1">
        <f t="array" ref="D261">_xlfn.LET(
  _xlpm.K, Constantes!$B$3,
  _xlpm.Knewgain, Constantes!$B$4,
  _xlpm.Knewscale, Constantes!$B$5,
  _xlpm.ptstables, INDEX(D:D, _xlfn.SEQUENCE(COUNTA($C$2:$C261), 1, 3, 4)),
  _xlpm.nbparties, COUNTA(_xlfn._xlws.FILTER(_xlpm.ptstables, _xlpm.ptstables &lt;&gt; "")),
  _xlpm.coef, _xlpm.K + _xlpm.Knewgain / (_xlpm.Knewscale + _xlpm.nbparties),
  IF(D259="",
    "",
    _xlpm.coef * (D259-D260))
)</f>
        <v/>
      </c>
      <c r="E261" t="str" cm="1">
        <f t="array" ref="E261">_xlfn.LET(
  _xlpm.K, Constantes!$B$3,
  _xlpm.Knewgain, Constantes!$B$4,
  _xlpm.Knewscale, Constantes!$B$5,
  _xlpm.ptstables, INDEX(E:E, _xlfn.SEQUENCE(COUNTA($C$2:$C261), 1, 3, 4)),
  _xlpm.nbparties, COUNTA(_xlfn._xlws.FILTER(_xlpm.ptstables, _xlpm.ptstables &lt;&gt; "")),
  _xlpm.coef, _xlpm.K + _xlpm.Knewgain / (_xlpm.Knewscale + _xlpm.nbparties),
  IF(E259="",
    "",
    _xlpm.coef * (E259-E260))
)</f>
        <v/>
      </c>
      <c r="F261" t="str" cm="1">
        <f t="array" ref="F261">_xlfn.LET(
  _xlpm.K, Constantes!$B$3,
  _xlpm.Knewgain, Constantes!$B$4,
  _xlpm.Knewscale, Constantes!$B$5,
  _xlpm.ptstables, INDEX(F:F, _xlfn.SEQUENCE(COUNTA($C$2:$C261), 1, 3, 4)),
  _xlpm.nbparties, COUNTA(_xlfn._xlws.FILTER(_xlpm.ptstables, _xlpm.ptstables &lt;&gt; "")),
  _xlpm.coef, _xlpm.K + _xlpm.Knewgain / (_xlpm.Knewscale + _xlpm.nbparties),
  IF(F259="",
    "",
    _xlpm.coef * (F259-F260))
)</f>
        <v/>
      </c>
      <c r="G261" t="str" cm="1">
        <f t="array" ref="G261">_xlfn.LET(
  _xlpm.K, Constantes!$B$3,
  _xlpm.Knewgain, Constantes!$B$4,
  _xlpm.Knewscale, Constantes!$B$5,
  _xlpm.ptstables, INDEX(G:G, _xlfn.SEQUENCE(COUNTA($C$2:$C261), 1, 3, 4)),
  _xlpm.nbparties, COUNTA(_xlfn._xlws.FILTER(_xlpm.ptstables, _xlpm.ptstables &lt;&gt; "")),
  _xlpm.coef, _xlpm.K + _xlpm.Knewgain / (_xlpm.Knewscale + _xlpm.nbparties),
  IF(G259="",
    "",
    _xlpm.coef * (G259-G260))
)</f>
        <v/>
      </c>
      <c r="H261" t="str" cm="1">
        <f t="array" ref="H261">_xlfn.LET(
  _xlpm.K, Constantes!$B$3,
  _xlpm.Knewgain, Constantes!$B$4,
  _xlpm.Knewscale, Constantes!$B$5,
  _xlpm.ptstables, INDEX(H:H, _xlfn.SEQUENCE(COUNTA($C$2:$C261), 1, 3, 4)),
  _xlpm.nbparties, COUNTA(_xlfn._xlws.FILTER(_xlpm.ptstables, _xlpm.ptstables &lt;&gt; "")),
  _xlpm.coef, _xlpm.K + _xlpm.Knewgain / (_xlpm.Knewscale + _xlpm.nbparties),
  IF(H259="",
    "",
    _xlpm.coef * (H259-H260))
)</f>
        <v/>
      </c>
      <c r="I261" t="str" cm="1">
        <f t="array" ref="I261">_xlfn.LET(
  _xlpm.K, Constantes!$B$3,
  _xlpm.Knewgain, Constantes!$B$4,
  _xlpm.Knewscale, Constantes!$B$5,
  _xlpm.ptstables, INDEX(I:I, _xlfn.SEQUENCE(COUNTA($C$2:$C261), 1, 3, 4)),
  _xlpm.nbparties, COUNTA(_xlfn._xlws.FILTER(_xlpm.ptstables, _xlpm.ptstables &lt;&gt; "")),
  _xlpm.coef, _xlpm.K + _xlpm.Knewgain / (_xlpm.Knewscale + _xlpm.nbparties),
  IF(I259="",
    "",
    _xlpm.coef * (I259-I260))
)</f>
        <v/>
      </c>
      <c r="J261" t="str" cm="1">
        <f t="array" ref="J261">_xlfn.LET(
  _xlpm.K, Constantes!$B$3,
  _xlpm.Knewgain, Constantes!$B$4,
  _xlpm.Knewscale, Constantes!$B$5,
  _xlpm.ptstables, INDEX(J:J, _xlfn.SEQUENCE(COUNTA($C$2:$C261), 1, 3, 4)),
  _xlpm.nbparties, COUNTA(_xlfn._xlws.FILTER(_xlpm.ptstables, _xlpm.ptstables &lt;&gt; "")),
  _xlpm.coef, _xlpm.K + _xlpm.Knewgain / (_xlpm.Knewscale + _xlpm.nbparties),
  IF(J259="",
    "",
    _xlpm.coef * (J259-J260))
)</f>
        <v/>
      </c>
      <c r="K261" t="str" cm="1">
        <f t="array" ref="K261">_xlfn.LET(
  _xlpm.K, Constantes!$B$3,
  _xlpm.Knewgain, Constantes!$B$4,
  _xlpm.Knewscale, Constantes!$B$5,
  _xlpm.ptstables, INDEX(K:K, _xlfn.SEQUENCE(COUNTA($C$2:$C261), 1, 3, 4)),
  _xlpm.nbparties, COUNTA(_xlfn._xlws.FILTER(_xlpm.ptstables, _xlpm.ptstables &lt;&gt; "")),
  _xlpm.coef, _xlpm.K + _xlpm.Knewgain / (_xlpm.Knewscale + _xlpm.nbparties),
  IF(K259="",
    "",
    _xlpm.coef * (K259-K260))
)</f>
        <v/>
      </c>
      <c r="L261" t="str" cm="1">
        <f t="array" ref="L261">_xlfn.LET(
  _xlpm.K, Constantes!$B$3,
  _xlpm.Knewgain, Constantes!$B$4,
  _xlpm.Knewscale, Constantes!$B$5,
  _xlpm.ptstables, INDEX(L:L, _xlfn.SEQUENCE(COUNTA($C$2:$C261), 1, 3, 4)),
  _xlpm.nbparties, COUNTA(_xlfn._xlws.FILTER(_xlpm.ptstables, _xlpm.ptstables &lt;&gt; "")),
  _xlpm.coef, _xlpm.K + _xlpm.Knewgain / (_xlpm.Knewscale + _xlpm.nbparties),
  IF(L259="",
    "",
    _xlpm.coef * (L259-L260))
)</f>
        <v/>
      </c>
      <c r="M261" t="str" cm="1">
        <f t="array" ref="M261">_xlfn.LET(
  _xlpm.K, Constantes!$B$3,
  _xlpm.Knewgain, Constantes!$B$4,
  _xlpm.Knewscale, Constantes!$B$5,
  _xlpm.ptstables, INDEX(M:M, _xlfn.SEQUENCE(COUNTA($C$2:$C261), 1, 3, 4)),
  _xlpm.nbparties, COUNTA(_xlfn._xlws.FILTER(_xlpm.ptstables, _xlpm.ptstables &lt;&gt; "")),
  _xlpm.coef, _xlpm.K + _xlpm.Knewgain / (_xlpm.Knewscale + _xlpm.nbparties),
  IF(M259="",
    "",
    _xlpm.coef * (M259-M260))
)</f>
        <v/>
      </c>
      <c r="N261" t="str" cm="1">
        <f t="array" ref="N261">_xlfn.LET(
  _xlpm.K, Constantes!$B$3,
  _xlpm.Knewgain, Constantes!$B$4,
  _xlpm.Knewscale, Constantes!$B$5,
  _xlpm.ptstables, INDEX(N:N, _xlfn.SEQUENCE(COUNTA($C$2:$C261), 1, 3, 4)),
  _xlpm.nbparties, COUNTA(_xlfn._xlws.FILTER(_xlpm.ptstables, _xlpm.ptstables &lt;&gt; "")),
  _xlpm.coef, _xlpm.K + _xlpm.Knewgain / (_xlpm.Knewscale + _xlpm.nbparties),
  IF(N259="",
    "",
    _xlpm.coef * (N259-N260))
)</f>
        <v/>
      </c>
      <c r="O261" cm="1">
        <f t="array" ref="O261">_xlfn.LET(
  _xlpm.K, Constantes!$B$3,
  _xlpm.Knewgain, Constantes!$B$4,
  _xlpm.Knewscale, Constantes!$B$5,
  _xlpm.ptstables, INDEX(O:O, _xlfn.SEQUENCE(COUNTA($C$2:$C261), 1, 3, 4)),
  _xlpm.nbparties, COUNTA(_xlfn._xlws.FILTER(_xlpm.ptstables, _xlpm.ptstables &lt;&gt; "")),
  _xlpm.coef, _xlpm.K + _xlpm.Knewgain / (_xlpm.Knewscale + _xlpm.nbparties),
  IF(O259="",
    "",
    _xlpm.coef * (O259-O260))
)</f>
        <v>17.987673829876723</v>
      </c>
      <c r="P261" t="str" cm="1">
        <f t="array" ref="P261">_xlfn.LET(
  _xlpm.K, Constantes!$B$3,
  _xlpm.Knewgain, Constantes!$B$4,
  _xlpm.Knewscale, Constantes!$B$5,
  _xlpm.ptstables, INDEX(P:P, _xlfn.SEQUENCE(COUNTA($C$2:$C261), 1, 3, 4)),
  _xlpm.nbparties, COUNTA(_xlfn._xlws.FILTER(_xlpm.ptstables, _xlpm.ptstables &lt;&gt; "")),
  _xlpm.coef, _xlpm.K + _xlpm.Knewgain / (_xlpm.Knewscale + _xlpm.nbparties),
  IF(P259="",
    "",
    _xlpm.coef * (P259-P260))
)</f>
        <v/>
      </c>
      <c r="Q261" t="str" cm="1">
        <f t="array" ref="Q261">_xlfn.LET(
  _xlpm.K, Constantes!$B$3,
  _xlpm.Knewgain, Constantes!$B$4,
  _xlpm.Knewscale, Constantes!$B$5,
  _xlpm.ptstables, INDEX(Q:Q, _xlfn.SEQUENCE(COUNTA($C$2:$C261), 1, 3, 4)),
  _xlpm.nbparties, COUNTA(_xlfn._xlws.FILTER(_xlpm.ptstables, _xlpm.ptstables &lt;&gt; "")),
  _xlpm.coef, _xlpm.K + _xlpm.Knewgain / (_xlpm.Knewscale + _xlpm.nbparties),
  IF(Q259="",
    "",
    _xlpm.coef * (Q259-Q260))
)</f>
        <v/>
      </c>
      <c r="R261" t="str" cm="1">
        <f t="array" ref="R261">_xlfn.LET(
  _xlpm.K, Constantes!$B$3,
  _xlpm.Knewgain, Constantes!$B$4,
  _xlpm.Knewscale, Constantes!$B$5,
  _xlpm.ptstables, INDEX(R:R, _xlfn.SEQUENCE(COUNTA($C$2:$C261), 1, 3, 4)),
  _xlpm.nbparties, COUNTA(_xlfn._xlws.FILTER(_xlpm.ptstables, _xlpm.ptstables &lt;&gt; "")),
  _xlpm.coef, _xlpm.K + _xlpm.Knewgain / (_xlpm.Knewscale + _xlpm.nbparties),
  IF(R259="",
    "",
    _xlpm.coef * (R259-R260))
)</f>
        <v/>
      </c>
      <c r="S261" t="str" cm="1">
        <f t="array" ref="S261">_xlfn.LET(
  _xlpm.K, Constantes!$B$3,
  _xlpm.Knewgain, Constantes!$B$4,
  _xlpm.Knewscale, Constantes!$B$5,
  _xlpm.ptstables, INDEX(S:S, _xlfn.SEQUENCE(COUNTA($C$2:$C261), 1, 3, 4)),
  _xlpm.nbparties, COUNTA(_xlfn._xlws.FILTER(_xlpm.ptstables, _xlpm.ptstables &lt;&gt; "")),
  _xlpm.coef, _xlpm.K + _xlpm.Knewgain / (_xlpm.Knewscale + _xlpm.nbparties),
  IF(S259="",
    "",
    _xlpm.coef * (S259-S260))
)</f>
        <v/>
      </c>
      <c r="T261" t="str" cm="1">
        <f t="array" ref="T261">_xlfn.LET(
  _xlpm.K, Constantes!$B$3,
  _xlpm.Knewgain, Constantes!$B$4,
  _xlpm.Knewscale, Constantes!$B$5,
  _xlpm.ptstables, INDEX(T:T, _xlfn.SEQUENCE(COUNTA($C$2:$C261), 1, 3, 4)),
  _xlpm.nbparties, COUNTA(_xlfn._xlws.FILTER(_xlpm.ptstables, _xlpm.ptstables &lt;&gt; "")),
  _xlpm.coef, _xlpm.K + _xlpm.Knewgain / (_xlpm.Knewscale + _xlpm.nbparties),
  IF(T259="",
    "",
    _xlpm.coef * (T259-T260))
)</f>
        <v/>
      </c>
      <c r="U261" cm="1">
        <f t="array" ref="U261">_xlfn.LET(
  _xlpm.K, Constantes!$B$3,
  _xlpm.Knewgain, Constantes!$B$4,
  _xlpm.Knewscale, Constantes!$B$5,
  _xlpm.ptstables, INDEX(U:U, _xlfn.SEQUENCE(COUNTA($C$2:$C261), 1, 3, 4)),
  _xlpm.nbparties, COUNTA(_xlfn._xlws.FILTER(_xlpm.ptstables, _xlpm.ptstables &lt;&gt; "")),
  _xlpm.coef, _xlpm.K + _xlpm.Knewgain / (_xlpm.Knewscale + _xlpm.nbparties),
  IF(U259="",
    "",
    _xlpm.coef * (U259-U260))
)</f>
        <v>21.091880039293073</v>
      </c>
      <c r="V261" t="str" cm="1">
        <f t="array" ref="V261">_xlfn.LET(
  _xlpm.K, Constantes!$B$3,
  _xlpm.Knewgain, Constantes!$B$4,
  _xlpm.Knewscale, Constantes!$B$5,
  _xlpm.ptstables, INDEX(V:V, _xlfn.SEQUENCE(COUNTA($C$2:$C261), 1, 3, 4)),
  _xlpm.nbparties, COUNTA(_xlfn._xlws.FILTER(_xlpm.ptstables, _xlpm.ptstables &lt;&gt; "")),
  _xlpm.coef, _xlpm.K + _xlpm.Knewgain / (_xlpm.Knewscale + _xlpm.nbparties),
  IF(V259="",
    "",
    _xlpm.coef * (V259-V260))
)</f>
        <v/>
      </c>
      <c r="W261" t="str" cm="1">
        <f t="array" ref="W261">_xlfn.LET(
  _xlpm.K, Constantes!$B$3,
  _xlpm.Knewgain, Constantes!$B$4,
  _xlpm.Knewscale, Constantes!$B$5,
  _xlpm.ptstables, INDEX(W:W, _xlfn.SEQUENCE(COUNTA($C$2:$C261), 1, 3, 4)),
  _xlpm.nbparties, COUNTA(_xlfn._xlws.FILTER(_xlpm.ptstables, _xlpm.ptstables &lt;&gt; "")),
  _xlpm.coef, _xlpm.K + _xlpm.Knewgain / (_xlpm.Knewscale + _xlpm.nbparties),
  IF(W259="",
    "",
    _xlpm.coef * (W259-W260))
)</f>
        <v/>
      </c>
      <c r="X261" t="str" cm="1">
        <f t="array" ref="X261">_xlfn.LET(
  _xlpm.K, Constantes!$B$3,
  _xlpm.Knewgain, Constantes!$B$4,
  _xlpm.Knewscale, Constantes!$B$5,
  _xlpm.ptstables, INDEX(X:X, _xlfn.SEQUENCE(COUNTA($C$2:$C261), 1, 3, 4)),
  _xlpm.nbparties, COUNTA(_xlfn._xlws.FILTER(_xlpm.ptstables, _xlpm.ptstables &lt;&gt; "")),
  _xlpm.coef, _xlpm.K + _xlpm.Knewgain / (_xlpm.Knewscale + _xlpm.nbparties),
  IF(X259="",
    "",
    _xlpm.coef * (X259-X260))
)</f>
        <v/>
      </c>
      <c r="Y261" cm="1">
        <f t="array" ref="Y261">_xlfn.LET(
  _xlpm.K, Constantes!$B$3,
  _xlpm.Knewgain, Constantes!$B$4,
  _xlpm.Knewscale, Constantes!$B$5,
  _xlpm.ptstables, INDEX(Y:Y, _xlfn.SEQUENCE(COUNTA($C$2:$C261), 1, 3, 4)),
  _xlpm.nbparties, COUNTA(_xlfn._xlws.FILTER(_xlpm.ptstables, _xlpm.ptstables &lt;&gt; "")),
  _xlpm.coef, _xlpm.K + _xlpm.Knewgain / (_xlpm.Knewscale + _xlpm.nbparties),
  IF(Y259="",
    "",
    _xlpm.coef * (Y259-Y260))
)</f>
        <v>-28.681480181065883</v>
      </c>
      <c r="Z261" t="str" cm="1">
        <f t="array" ref="Z261">_xlfn.LET(
  _xlpm.K, Constantes!$B$3,
  _xlpm.Knewgain, Constantes!$B$4,
  _xlpm.Knewscale, Constantes!$B$5,
  _xlpm.ptstables, INDEX(Z:Z, _xlfn.SEQUENCE(COUNTA($C$2:$C261), 1, 3, 4)),
  _xlpm.nbparties, COUNTA(_xlfn._xlws.FILTER(_xlpm.ptstables, _xlpm.ptstables &lt;&gt; "")),
  _xlpm.coef, _xlpm.K + _xlpm.Knewgain / (_xlpm.Knewscale + _xlpm.nbparties),
  IF(Z259="",
    "",
    _xlpm.coef * (Z259-Z260))
)</f>
        <v/>
      </c>
      <c r="AA261" t="str" cm="1">
        <f t="array" ref="AA261">_xlfn.LET(
  _xlpm.K, Constantes!$B$3,
  _xlpm.Knewgain, Constantes!$B$4,
  _xlpm.Knewscale, Constantes!$B$5,
  _xlpm.ptstables, INDEX(AA:AA, _xlfn.SEQUENCE(COUNTA($C$2:$C261), 1, 3, 4)),
  _xlpm.nbparties, COUNTA(_xlfn._xlws.FILTER(_xlpm.ptstables, _xlpm.ptstables &lt;&gt; "")),
  _xlpm.coef, _xlpm.K + _xlpm.Knewgain / (_xlpm.Knewscale + _xlpm.nbparties),
  IF(AA259="",
    "",
    _xlpm.coef * (AA259-AA260))
)</f>
        <v/>
      </c>
      <c r="AB261" t="str" cm="1">
        <f t="array" ref="AB261">_xlfn.LET(
  _xlpm.K, Constantes!$B$3,
  _xlpm.Knewgain, Constantes!$B$4,
  _xlpm.Knewscale, Constantes!$B$5,
  _xlpm.ptstables, INDEX(AB:AB, _xlfn.SEQUENCE(COUNTA($C$2:$C261), 1, 3, 4)),
  _xlpm.nbparties, COUNTA(_xlfn._xlws.FILTER(_xlpm.ptstables, _xlpm.ptstables &lt;&gt; "")),
  _xlpm.coef, _xlpm.K + _xlpm.Knewgain / (_xlpm.Knewscale + _xlpm.nbparties),
  IF(AB259="",
    "",
    _xlpm.coef * (AB259-AB260))
)</f>
        <v/>
      </c>
      <c r="AC261" t="str" cm="1">
        <f t="array" ref="AC261">_xlfn.LET(
  _xlpm.K, Constantes!$B$3,
  _xlpm.Knewgain, Constantes!$B$4,
  _xlpm.Knewscale, Constantes!$B$5,
  _xlpm.ptstables, INDEX(AC:AC, _xlfn.SEQUENCE(COUNTA($C$2:$C261), 1, 3, 4)),
  _xlpm.nbparties, COUNTA(_xlfn._xlws.FILTER(_xlpm.ptstables, _xlpm.ptstables &lt;&gt; "")),
  _xlpm.coef, _xlpm.K + _xlpm.Knewgain / (_xlpm.Knewscale + _xlpm.nbparties),
  IF(AC259="",
    "",
    _xlpm.coef * (AC259-AC260))
)</f>
        <v/>
      </c>
      <c r="AD261" t="str" cm="1">
        <f t="array" ref="AD261">_xlfn.LET(
  _xlpm.K, Constantes!$B$3,
  _xlpm.Knewgain, Constantes!$B$4,
  _xlpm.Knewscale, Constantes!$B$5,
  _xlpm.ptstables, INDEX(AD:AD, _xlfn.SEQUENCE(COUNTA($C$2:$C261), 1, 3, 4)),
  _xlpm.nbparties, COUNTA(_xlfn._xlws.FILTER(_xlpm.ptstables, _xlpm.ptstables &lt;&gt; "")),
  _xlpm.coef, _xlpm.K + _xlpm.Knewgain / (_xlpm.Knewscale + _xlpm.nbparties),
  IF(AD259="",
    "",
    _xlpm.coef * (AD259-AD260))
)</f>
        <v/>
      </c>
      <c r="AE261" t="str" cm="1">
        <f t="array" ref="AE261">_xlfn.LET(
  _xlpm.K, Constantes!$B$3,
  _xlpm.Knewgain, Constantes!$B$4,
  _xlpm.Knewscale, Constantes!$B$5,
  _xlpm.ptstables, INDEX(AE:AE, _xlfn.SEQUENCE(COUNTA($C$2:$C261), 1, 3, 4)),
  _xlpm.nbparties, COUNTA(_xlfn._xlws.FILTER(_xlpm.ptstables, _xlpm.ptstables &lt;&gt; "")),
  _xlpm.coef, _xlpm.K + _xlpm.Knewgain / (_xlpm.Knewscale + _xlpm.nbparties),
  IF(AE259="",
    "",
    _xlpm.coef * (AE259-AE260))
)</f>
        <v/>
      </c>
      <c r="AF261" t="str" cm="1">
        <f t="array" ref="AF261">_xlfn.LET(
  _xlpm.K, Constantes!$B$3,
  _xlpm.Knewgain, Constantes!$B$4,
  _xlpm.Knewscale, Constantes!$B$5,
  _xlpm.ptstables, INDEX(AF:AF, _xlfn.SEQUENCE(COUNTA($C$2:$C261), 1, 3, 4)),
  _xlpm.nbparties, COUNTA(_xlfn._xlws.FILTER(_xlpm.ptstables, _xlpm.ptstables &lt;&gt; "")),
  _xlpm.coef, _xlpm.K + _xlpm.Knewgain / (_xlpm.Knewscale + _xlpm.nbparties),
  IF(AF259="",
    "",
    _xlpm.coef * (AF259-AF260))
)</f>
        <v/>
      </c>
      <c r="AG261" t="str" cm="1">
        <f t="array" ref="AG261">_xlfn.LET(
  _xlpm.K, Constantes!$B$3,
  _xlpm.Knewgain, Constantes!$B$4,
  _xlpm.Knewscale, Constantes!$B$5,
  _xlpm.ptstables, INDEX(AG:AG, _xlfn.SEQUENCE(COUNTA($C$2:$C261), 1, 3, 4)),
  _xlpm.nbparties, COUNTA(_xlfn._xlws.FILTER(_xlpm.ptstables, _xlpm.ptstables &lt;&gt; "")),
  _xlpm.coef, _xlpm.K + _xlpm.Knewgain / (_xlpm.Knewscale + _xlpm.nbparties),
  IF(AG259="",
    "",
    _xlpm.coef * (AG259-AG260))
)</f>
        <v/>
      </c>
      <c r="AH261" t="str" cm="1">
        <f t="array" ref="AH261">_xlfn.LET(
  _xlpm.K, Constantes!$B$3,
  _xlpm.Knewgain, Constantes!$B$4,
  _xlpm.Knewscale, Constantes!$B$5,
  _xlpm.ptstables, INDEX(AH:AH, _xlfn.SEQUENCE(COUNTA($C$2:$C261), 1, 3, 4)),
  _xlpm.nbparties, COUNTA(_xlfn._xlws.FILTER(_xlpm.ptstables, _xlpm.ptstables &lt;&gt; "")),
  _xlpm.coef, _xlpm.K + _xlpm.Knewgain / (_xlpm.Knewscale + _xlpm.nbparties),
  IF(AH259="",
    "",
    _xlpm.coef * (AH259-AH260))
)</f>
        <v/>
      </c>
      <c r="AI261" cm="1">
        <f t="array" ref="AI261">_xlfn.LET(
  _xlpm.K, Constantes!$B$3,
  _xlpm.Knewgain, Constantes!$B$4,
  _xlpm.Knewscale, Constantes!$B$5,
  _xlpm.ptstables, INDEX(AI:AI, _xlfn.SEQUENCE(COUNTA($C$2:$C261), 1, 3, 4)),
  _xlpm.nbparties, COUNTA(_xlfn._xlws.FILTER(_xlpm.ptstables, _xlpm.ptstables &lt;&gt; "")),
  _xlpm.coef, _xlpm.K + _xlpm.Knewgain / (_xlpm.Knewscale + _xlpm.nbparties),
  IF(AI259="",
    "",
    _xlpm.coef * (AI259-AI260))
)</f>
        <v>-19.119425332134867</v>
      </c>
      <c r="AJ261" t="str" cm="1">
        <f t="array" ref="AJ261">_xlfn.LET(
  _xlpm.K, Constantes!$B$3,
  _xlpm.Knewgain, Constantes!$B$4,
  _xlpm.Knewscale, Constantes!$B$5,
  _xlpm.ptstables, INDEX(AJ:AJ, _xlfn.SEQUENCE(COUNTA($C$2:$C261), 1, 3, 4)),
  _xlpm.nbparties, COUNTA(_xlfn._xlws.FILTER(_xlpm.ptstables, _xlpm.ptstables &lt;&gt; "")),
  _xlpm.coef, _xlpm.K + _xlpm.Knewgain / (_xlpm.Knewscale + _xlpm.nbparties),
  IF(AJ259="",
    "",
    _xlpm.coef * (AJ259-AJ260))
)</f>
        <v/>
      </c>
      <c r="AK261" t="str" cm="1">
        <f t="array" ref="AK261">_xlfn.LET(
  _xlpm.K, Constantes!$B$3,
  _xlpm.Knewgain, Constantes!$B$4,
  _xlpm.Knewscale, Constantes!$B$5,
  _xlpm.ptstables, INDEX(AK:AK, _xlfn.SEQUENCE(COUNTA($C$2:$C261), 1, 3, 4)),
  _xlpm.nbparties, COUNTA(_xlfn._xlws.FILTER(_xlpm.ptstables, _xlpm.ptstables &lt;&gt; "")),
  _xlpm.coef, _xlpm.K + _xlpm.Knewgain / (_xlpm.Knewscale + _xlpm.nbparties),
  IF(AK259="",
    "",
    _xlpm.coef * (AK259-AK260))
)</f>
        <v/>
      </c>
      <c r="AL261" t="str" cm="1">
        <f t="array" ref="AL261">_xlfn.LET(
  _xlpm.K, Constantes!$B$3,
  _xlpm.Knewgain, Constantes!$B$4,
  _xlpm.Knewscale, Constantes!$B$5,
  _xlpm.ptstables, INDEX(AL:AL, _xlfn.SEQUENCE(COUNTA($C$2:$C261), 1, 3, 4)),
  _xlpm.nbparties, COUNTA(_xlfn._xlws.FILTER(_xlpm.ptstables, _xlpm.ptstables &lt;&gt; "")),
  _xlpm.coef, _xlpm.K + _xlpm.Knewgain / (_xlpm.Knewscale + _xlpm.nbparties),
  IF(AL259="",
    "",
    _xlpm.coef * (AL259-AL260))
)</f>
        <v/>
      </c>
      <c r="AM261" t="str" cm="1">
        <f t="array" ref="AM261">_xlfn.LET(
  _xlpm.K, Constantes!$B$3,
  _xlpm.Knewgain, Constantes!$B$4,
  _xlpm.Knewscale, Constantes!$B$5,
  _xlpm.ptstables, INDEX(AM:AM, _xlfn.SEQUENCE(COUNTA($C$2:$C261), 1, 3, 4)),
  _xlpm.nbparties, COUNTA(_xlfn._xlws.FILTER(_xlpm.ptstables, _xlpm.ptstables &lt;&gt; "")),
  _xlpm.coef, _xlpm.K + _xlpm.Knewgain / (_xlpm.Knewscale + _xlpm.nbparties),
  IF(AM259="",
    "",
    _xlpm.coef * (AM259-AM260))
)</f>
        <v/>
      </c>
    </row>
    <row r="262" spans="1:39" x14ac:dyDescent="0.25">
      <c r="A262" t="s">
        <v>14</v>
      </c>
      <c r="B262" t="str" cm="1">
        <f t="array" ref="B26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73</v>
      </c>
      <c r="C262" s="2" cm="1">
        <f t="array" ref="C262">IF(B262="","",
  INDEX(Donnees!F:F, MATCH(B262, Donnees!F:F, 0)+1))</f>
        <v>45941.692361111112</v>
      </c>
      <c r="D262">
        <f t="shared" ref="D262:AM262" si="73">D258+IF(D261="",0,D261)</f>
        <v>1033.1893307292305</v>
      </c>
      <c r="E262">
        <f t="shared" si="73"/>
        <v>1150.8581509866578</v>
      </c>
      <c r="F262">
        <f t="shared" si="73"/>
        <v>847.48442671390455</v>
      </c>
      <c r="G262">
        <f t="shared" si="73"/>
        <v>1118.8779378975084</v>
      </c>
      <c r="H262">
        <f t="shared" si="73"/>
        <v>1041.4828877801035</v>
      </c>
      <c r="I262">
        <f t="shared" si="73"/>
        <v>929.90115121897634</v>
      </c>
      <c r="J262">
        <f t="shared" si="73"/>
        <v>1010.9125108504293</v>
      </c>
      <c r="K262">
        <f t="shared" si="73"/>
        <v>995.62536924505116</v>
      </c>
      <c r="L262">
        <f t="shared" si="73"/>
        <v>766.95119884458973</v>
      </c>
      <c r="M262">
        <f t="shared" si="73"/>
        <v>913.41986361738122</v>
      </c>
      <c r="N262">
        <f t="shared" si="73"/>
        <v>899.27286866960299</v>
      </c>
      <c r="O262">
        <f t="shared" si="73"/>
        <v>998.21178722110983</v>
      </c>
      <c r="P262">
        <f t="shared" si="73"/>
        <v>1044.694691960626</v>
      </c>
      <c r="Q262">
        <f t="shared" si="73"/>
        <v>1108.7965412414278</v>
      </c>
      <c r="R262">
        <f t="shared" si="73"/>
        <v>1079.5543015631583</v>
      </c>
      <c r="S262">
        <f t="shared" si="73"/>
        <v>954.76343283181791</v>
      </c>
      <c r="T262">
        <f t="shared" si="73"/>
        <v>1131.4597823090139</v>
      </c>
      <c r="U262">
        <f t="shared" si="73"/>
        <v>1137.0758429394593</v>
      </c>
      <c r="V262">
        <f t="shared" si="73"/>
        <v>937.23755379009503</v>
      </c>
      <c r="W262">
        <f t="shared" si="73"/>
        <v>936.79085942937002</v>
      </c>
      <c r="X262">
        <f t="shared" si="73"/>
        <v>821.21862791564456</v>
      </c>
      <c r="Y262">
        <f t="shared" si="73"/>
        <v>931.23839137236723</v>
      </c>
      <c r="Z262">
        <f t="shared" si="73"/>
        <v>991.11904139672549</v>
      </c>
      <c r="AA262">
        <f t="shared" si="73"/>
        <v>966.24279289689184</v>
      </c>
      <c r="AB262">
        <f t="shared" si="73"/>
        <v>988.35669729544747</v>
      </c>
      <c r="AC262">
        <f t="shared" si="73"/>
        <v>1039.1635789679592</v>
      </c>
      <c r="AD262">
        <f t="shared" si="73"/>
        <v>1073.9096023401294</v>
      </c>
      <c r="AE262">
        <f t="shared" si="73"/>
        <v>963.23981965000235</v>
      </c>
      <c r="AF262">
        <f t="shared" si="73"/>
        <v>1089.5415391863121</v>
      </c>
      <c r="AG262">
        <f t="shared" si="73"/>
        <v>958.23078604304851</v>
      </c>
      <c r="AH262">
        <f t="shared" si="73"/>
        <v>920.4412636682855</v>
      </c>
      <c r="AI262">
        <f t="shared" si="73"/>
        <v>980.88057466786518</v>
      </c>
      <c r="AJ262">
        <f t="shared" si="73"/>
        <v>957.2</v>
      </c>
      <c r="AK262">
        <f t="shared" si="73"/>
        <v>1000</v>
      </c>
      <c r="AL262">
        <f t="shared" si="73"/>
        <v>1055.9299999999998</v>
      </c>
      <c r="AM262">
        <f t="shared" si="73"/>
        <v>1000</v>
      </c>
    </row>
    <row r="263" spans="1:39" x14ac:dyDescent="0.25">
      <c r="A263" t="s">
        <v>21</v>
      </c>
      <c r="D263" t="str" cm="1">
        <f t="array" ref="D263">IFERROR(
  _xlfn.LET(
    _xlpm.ligpartie, MATCH($B262, Donnees!$F:$F, 0),
    _xlpm.joueurs, INDEX(Donnees!$A:$Z, _xlpm.ligpartie+1, _xlfn.SEQUENCE(1, 4, 2)),
    INDEX(
      Donnees!$A:$Z,
      _xlpm.ligpartie + 3,
      MATCH(D$1, _xlpm.joueurs, 0) + 1
    )
  ), ""
)</f>
        <v/>
      </c>
      <c r="E263" t="str" cm="1">
        <f t="array" ref="E263">IFERROR(
  _xlfn.LET(
    _xlpm.ligpartie, MATCH($B262, Donnees!$F:$F, 0),
    _xlpm.joueurs, INDEX(Donnees!$A:$Z, _xlpm.ligpartie+1, _xlfn.SEQUENCE(1, 4, 2)),
    INDEX(
      Donnees!$A:$Z,
      _xlpm.ligpartie + 3,
      MATCH(E$1, _xlpm.joueurs, 0) + 1
    )
  ), ""
)</f>
        <v/>
      </c>
      <c r="F263" t="str" cm="1">
        <f t="array" ref="F263">IFERROR(
  _xlfn.LET(
    _xlpm.ligpartie, MATCH($B262, Donnees!$F:$F, 0),
    _xlpm.joueurs, INDEX(Donnees!$A:$Z, _xlpm.ligpartie+1, _xlfn.SEQUENCE(1, 4, 2)),
    INDEX(
      Donnees!$A:$Z,
      _xlpm.ligpartie + 3,
      MATCH(F$1, _xlpm.joueurs, 0) + 1
    )
  ), ""
)</f>
        <v/>
      </c>
      <c r="G263" t="str" cm="1">
        <f t="array" ref="G263">IFERROR(
  _xlfn.LET(
    _xlpm.ligpartie, MATCH($B262, Donnees!$F:$F, 0),
    _xlpm.joueurs, INDEX(Donnees!$A:$Z, _xlpm.ligpartie+1, _xlfn.SEQUENCE(1, 4, 2)),
    INDEX(
      Donnees!$A:$Z,
      _xlpm.ligpartie + 3,
      MATCH(G$1, _xlpm.joueurs, 0) + 1
    )
  ), ""
)</f>
        <v/>
      </c>
      <c r="H263" t="str" cm="1">
        <f t="array" ref="H263">IFERROR(
  _xlfn.LET(
    _xlpm.ligpartie, MATCH($B262, Donnees!$F:$F, 0),
    _xlpm.joueurs, INDEX(Donnees!$A:$Z, _xlpm.ligpartie+1, _xlfn.SEQUENCE(1, 4, 2)),
    INDEX(
      Donnees!$A:$Z,
      _xlpm.ligpartie + 3,
      MATCH(H$1, _xlpm.joueurs, 0) + 1
    )
  ), ""
)</f>
        <v/>
      </c>
      <c r="I263" t="str" cm="1">
        <f t="array" ref="I263">IFERROR(
  _xlfn.LET(
    _xlpm.ligpartie, MATCH($B262, Donnees!$F:$F, 0),
    _xlpm.joueurs, INDEX(Donnees!$A:$Z, _xlpm.ligpartie+1, _xlfn.SEQUENCE(1, 4, 2)),
    INDEX(
      Donnees!$A:$Z,
      _xlpm.ligpartie + 3,
      MATCH(I$1, _xlpm.joueurs, 0) + 1
    )
  ), ""
)</f>
        <v/>
      </c>
      <c r="J263" t="str" cm="1">
        <f t="array" ref="J263">IFERROR(
  _xlfn.LET(
    _xlpm.ligpartie, MATCH($B262, Donnees!$F:$F, 0),
    _xlpm.joueurs, INDEX(Donnees!$A:$Z, _xlpm.ligpartie+1, _xlfn.SEQUENCE(1, 4, 2)),
    INDEX(
      Donnees!$A:$Z,
      _xlpm.ligpartie + 3,
      MATCH(J$1, _xlpm.joueurs, 0) + 1
    )
  ), ""
)</f>
        <v/>
      </c>
      <c r="K263" t="str" cm="1">
        <f t="array" ref="K263">IFERROR(
  _xlfn.LET(
    _xlpm.ligpartie, MATCH($B262, Donnees!$F:$F, 0),
    _xlpm.joueurs, INDEX(Donnees!$A:$Z, _xlpm.ligpartie+1, _xlfn.SEQUENCE(1, 4, 2)),
    INDEX(
      Donnees!$A:$Z,
      _xlpm.ligpartie + 3,
      MATCH(K$1, _xlpm.joueurs, 0) + 1
    )
  ), ""
)</f>
        <v/>
      </c>
      <c r="L263" t="str" cm="1">
        <f t="array" ref="L263">IFERROR(
  _xlfn.LET(
    _xlpm.ligpartie, MATCH($B262, Donnees!$F:$F, 0),
    _xlpm.joueurs, INDEX(Donnees!$A:$Z, _xlpm.ligpartie+1, _xlfn.SEQUENCE(1, 4, 2)),
    INDEX(
      Donnees!$A:$Z,
      _xlpm.ligpartie + 3,
      MATCH(L$1, _xlpm.joueurs, 0) + 1
    )
  ), ""
)</f>
        <v/>
      </c>
      <c r="M263" t="str" cm="1">
        <f t="array" ref="M263">IFERROR(
  _xlfn.LET(
    _xlpm.ligpartie, MATCH($B262, Donnees!$F:$F, 0),
    _xlpm.joueurs, INDEX(Donnees!$A:$Z, _xlpm.ligpartie+1, _xlfn.SEQUENCE(1, 4, 2)),
    INDEX(
      Donnees!$A:$Z,
      _xlpm.ligpartie + 3,
      MATCH(M$1, _xlpm.joueurs, 0) + 1
    )
  ), ""
)</f>
        <v/>
      </c>
      <c r="N263" cm="1">
        <f t="array" ref="N263">IFERROR(
  _xlfn.LET(
    _xlpm.ligpartie, MATCH($B262, Donnees!$F:$F, 0),
    _xlpm.joueurs, INDEX(Donnees!$A:$Z, _xlpm.ligpartie+1, _xlfn.SEQUENCE(1, 4, 2)),
    INDEX(
      Donnees!$A:$Z,
      _xlpm.ligpartie + 3,
      MATCH(N$1, _xlpm.joueurs, 0) + 1
    )
  ), ""
)</f>
        <v>1</v>
      </c>
      <c r="O263" t="str" cm="1">
        <f t="array" ref="O263">IFERROR(
  _xlfn.LET(
    _xlpm.ligpartie, MATCH($B262, Donnees!$F:$F, 0),
    _xlpm.joueurs, INDEX(Donnees!$A:$Z, _xlpm.ligpartie+1, _xlfn.SEQUENCE(1, 4, 2)),
    INDEX(
      Donnees!$A:$Z,
      _xlpm.ligpartie + 3,
      MATCH(O$1, _xlpm.joueurs, 0) + 1
    )
  ), ""
)</f>
        <v/>
      </c>
      <c r="P263" t="str" cm="1">
        <f t="array" ref="P263">IFERROR(
  _xlfn.LET(
    _xlpm.ligpartie, MATCH($B262, Donnees!$F:$F, 0),
    _xlpm.joueurs, INDEX(Donnees!$A:$Z, _xlpm.ligpartie+1, _xlfn.SEQUENCE(1, 4, 2)),
    INDEX(
      Donnees!$A:$Z,
      _xlpm.ligpartie + 3,
      MATCH(P$1, _xlpm.joueurs, 0) + 1
    )
  ), ""
)</f>
        <v/>
      </c>
      <c r="Q263" t="str" cm="1">
        <f t="array" ref="Q263">IFERROR(
  _xlfn.LET(
    _xlpm.ligpartie, MATCH($B262, Donnees!$F:$F, 0),
    _xlpm.joueurs, INDEX(Donnees!$A:$Z, _xlpm.ligpartie+1, _xlfn.SEQUENCE(1, 4, 2)),
    INDEX(
      Donnees!$A:$Z,
      _xlpm.ligpartie + 3,
      MATCH(Q$1, _xlpm.joueurs, 0) + 1
    )
  ), ""
)</f>
        <v/>
      </c>
      <c r="R263" t="str" cm="1">
        <f t="array" ref="R263">IFERROR(
  _xlfn.LET(
    _xlpm.ligpartie, MATCH($B262, Donnees!$F:$F, 0),
    _xlpm.joueurs, INDEX(Donnees!$A:$Z, _xlpm.ligpartie+1, _xlfn.SEQUENCE(1, 4, 2)),
    INDEX(
      Donnees!$A:$Z,
      _xlpm.ligpartie + 3,
      MATCH(R$1, _xlpm.joueurs, 0) + 1
    )
  ), ""
)</f>
        <v/>
      </c>
      <c r="S263" cm="1">
        <f t="array" ref="S263">IFERROR(
  _xlfn.LET(
    _xlpm.ligpartie, MATCH($B262, Donnees!$F:$F, 0),
    _xlpm.joueurs, INDEX(Donnees!$A:$Z, _xlpm.ligpartie+1, _xlfn.SEQUENCE(1, 4, 2)),
    INDEX(
      Donnees!$A:$Z,
      _xlpm.ligpartie + 3,
      MATCH(S$1, _xlpm.joueurs, 0) + 1
    )
  ), ""
)</f>
        <v>3</v>
      </c>
      <c r="T263" t="str" cm="1">
        <f t="array" ref="T263">IFERROR(
  _xlfn.LET(
    _xlpm.ligpartie, MATCH($B262, Donnees!$F:$F, 0),
    _xlpm.joueurs, INDEX(Donnees!$A:$Z, _xlpm.ligpartie+1, _xlfn.SEQUENCE(1, 4, 2)),
    INDEX(
      Donnees!$A:$Z,
      _xlpm.ligpartie + 3,
      MATCH(T$1, _xlpm.joueurs, 0) + 1
    )
  ), ""
)</f>
        <v/>
      </c>
      <c r="U263" t="str" cm="1">
        <f t="array" ref="U263">IFERROR(
  _xlfn.LET(
    _xlpm.ligpartie, MATCH($B262, Donnees!$F:$F, 0),
    _xlpm.joueurs, INDEX(Donnees!$A:$Z, _xlpm.ligpartie+1, _xlfn.SEQUENCE(1, 4, 2)),
    INDEX(
      Donnees!$A:$Z,
      _xlpm.ligpartie + 3,
      MATCH(U$1, _xlpm.joueurs, 0) + 1
    )
  ), ""
)</f>
        <v/>
      </c>
      <c r="V263" cm="1">
        <f t="array" ref="V263">IFERROR(
  _xlfn.LET(
    _xlpm.ligpartie, MATCH($B262, Donnees!$F:$F, 0),
    _xlpm.joueurs, INDEX(Donnees!$A:$Z, _xlpm.ligpartie+1, _xlfn.SEQUENCE(1, 4, 2)),
    INDEX(
      Donnees!$A:$Z,
      _xlpm.ligpartie + 3,
      MATCH(V$1, _xlpm.joueurs, 0) + 1
    )
  ), ""
)</f>
        <v>2</v>
      </c>
      <c r="W263" t="str" cm="1">
        <f t="array" ref="W263">IFERROR(
  _xlfn.LET(
    _xlpm.ligpartie, MATCH($B262, Donnees!$F:$F, 0),
    _xlpm.joueurs, INDEX(Donnees!$A:$Z, _xlpm.ligpartie+1, _xlfn.SEQUENCE(1, 4, 2)),
    INDEX(
      Donnees!$A:$Z,
      _xlpm.ligpartie + 3,
      MATCH(W$1, _xlpm.joueurs, 0) + 1
    )
  ), ""
)</f>
        <v/>
      </c>
      <c r="X263" t="str" cm="1">
        <f t="array" ref="X263">IFERROR(
  _xlfn.LET(
    _xlpm.ligpartie, MATCH($B262, Donnees!$F:$F, 0),
    _xlpm.joueurs, INDEX(Donnees!$A:$Z, _xlpm.ligpartie+1, _xlfn.SEQUENCE(1, 4, 2)),
    INDEX(
      Donnees!$A:$Z,
      _xlpm.ligpartie + 3,
      MATCH(X$1, _xlpm.joueurs, 0) + 1
    )
  ), ""
)</f>
        <v/>
      </c>
      <c r="Y263" t="str" cm="1">
        <f t="array" ref="Y263">IFERROR(
  _xlfn.LET(
    _xlpm.ligpartie, MATCH($B262, Donnees!$F:$F, 0),
    _xlpm.joueurs, INDEX(Donnees!$A:$Z, _xlpm.ligpartie+1, _xlfn.SEQUENCE(1, 4, 2)),
    INDEX(
      Donnees!$A:$Z,
      _xlpm.ligpartie + 3,
      MATCH(Y$1, _xlpm.joueurs, 0) + 1
    )
  ), ""
)</f>
        <v/>
      </c>
      <c r="Z263" t="str" cm="1">
        <f t="array" ref="Z263">IFERROR(
  _xlfn.LET(
    _xlpm.ligpartie, MATCH($B262, Donnees!$F:$F, 0),
    _xlpm.joueurs, INDEX(Donnees!$A:$Z, _xlpm.ligpartie+1, _xlfn.SEQUENCE(1, 4, 2)),
    INDEX(
      Donnees!$A:$Z,
      _xlpm.ligpartie + 3,
      MATCH(Z$1, _xlpm.joueurs, 0) + 1
    )
  ), ""
)</f>
        <v/>
      </c>
      <c r="AA263" t="str" cm="1">
        <f t="array" ref="AA263">IFERROR(
  _xlfn.LET(
    _xlpm.ligpartie, MATCH($B262, Donnees!$F:$F, 0),
    _xlpm.joueurs, INDEX(Donnees!$A:$Z, _xlpm.ligpartie+1, _xlfn.SEQUENCE(1, 4, 2)),
    INDEX(
      Donnees!$A:$Z,
      _xlpm.ligpartie + 3,
      MATCH(AA$1, _xlpm.joueurs, 0) + 1
    )
  ), ""
)</f>
        <v/>
      </c>
      <c r="AB263" t="str" cm="1">
        <f t="array" ref="AB263">IFERROR(
  _xlfn.LET(
    _xlpm.ligpartie, MATCH($B262, Donnees!$F:$F, 0),
    _xlpm.joueurs, INDEX(Donnees!$A:$Z, _xlpm.ligpartie+1, _xlfn.SEQUENCE(1, 4, 2)),
    INDEX(
      Donnees!$A:$Z,
      _xlpm.ligpartie + 3,
      MATCH(AB$1, _xlpm.joueurs, 0) + 1
    )
  ), ""
)</f>
        <v/>
      </c>
      <c r="AC263" t="str" cm="1">
        <f t="array" ref="AC263">IFERROR(
  _xlfn.LET(
    _xlpm.ligpartie, MATCH($B262, Donnees!$F:$F, 0),
    _xlpm.joueurs, INDEX(Donnees!$A:$Z, _xlpm.ligpartie+1, _xlfn.SEQUENCE(1, 4, 2)),
    INDEX(
      Donnees!$A:$Z,
      _xlpm.ligpartie + 3,
      MATCH(AC$1, _xlpm.joueurs, 0) + 1
    )
  ), ""
)</f>
        <v/>
      </c>
      <c r="AD263" t="str" cm="1">
        <f t="array" ref="AD263">IFERROR(
  _xlfn.LET(
    _xlpm.ligpartie, MATCH($B262, Donnees!$F:$F, 0),
    _xlpm.joueurs, INDEX(Donnees!$A:$Z, _xlpm.ligpartie+1, _xlfn.SEQUENCE(1, 4, 2)),
    INDEX(
      Donnees!$A:$Z,
      _xlpm.ligpartie + 3,
      MATCH(AD$1, _xlpm.joueurs, 0) + 1
    )
  ), ""
)</f>
        <v/>
      </c>
      <c r="AE263" t="str" cm="1">
        <f t="array" ref="AE263">IFERROR(
  _xlfn.LET(
    _xlpm.ligpartie, MATCH($B262, Donnees!$F:$F, 0),
    _xlpm.joueurs, INDEX(Donnees!$A:$Z, _xlpm.ligpartie+1, _xlfn.SEQUENCE(1, 4, 2)),
    INDEX(
      Donnees!$A:$Z,
      _xlpm.ligpartie + 3,
      MATCH(AE$1, _xlpm.joueurs, 0) + 1
    )
  ), ""
)</f>
        <v/>
      </c>
      <c r="AF263" t="str" cm="1">
        <f t="array" ref="AF263">IFERROR(
  _xlfn.LET(
    _xlpm.ligpartie, MATCH($B262, Donnees!$F:$F, 0),
    _xlpm.joueurs, INDEX(Donnees!$A:$Z, _xlpm.ligpartie+1, _xlfn.SEQUENCE(1, 4, 2)),
    INDEX(
      Donnees!$A:$Z,
      _xlpm.ligpartie + 3,
      MATCH(AF$1, _xlpm.joueurs, 0) + 1
    )
  ), ""
)</f>
        <v/>
      </c>
      <c r="AG263" t="str" cm="1">
        <f t="array" ref="AG263">IFERROR(
  _xlfn.LET(
    _xlpm.ligpartie, MATCH($B262, Donnees!$F:$F, 0),
    _xlpm.joueurs, INDEX(Donnees!$A:$Z, _xlpm.ligpartie+1, _xlfn.SEQUENCE(1, 4, 2)),
    INDEX(
      Donnees!$A:$Z,
      _xlpm.ligpartie + 3,
      MATCH(AG$1, _xlpm.joueurs, 0) + 1
    )
  ), ""
)</f>
        <v/>
      </c>
      <c r="AH263" t="str" cm="1">
        <f t="array" ref="AH263">IFERROR(
  _xlfn.LET(
    _xlpm.ligpartie, MATCH($B262, Donnees!$F:$F, 0),
    _xlpm.joueurs, INDEX(Donnees!$A:$Z, _xlpm.ligpartie+1, _xlfn.SEQUENCE(1, 4, 2)),
    INDEX(
      Donnees!$A:$Z,
      _xlpm.ligpartie + 3,
      MATCH(AH$1, _xlpm.joueurs, 0) + 1
    )
  ), ""
)</f>
        <v/>
      </c>
      <c r="AI263" cm="1">
        <f t="array" ref="AI263">IFERROR(
  _xlfn.LET(
    _xlpm.ligpartie, MATCH($B262, Donnees!$F:$F, 0),
    _xlpm.joueurs, INDEX(Donnees!$A:$Z, _xlpm.ligpartie+1, _xlfn.SEQUENCE(1, 4, 2)),
    INDEX(
      Donnees!$A:$Z,
      _xlpm.ligpartie + 3,
      MATCH(AI$1, _xlpm.joueurs, 0) + 1
    )
  ), ""
)</f>
        <v>0</v>
      </c>
      <c r="AJ263" t="str" cm="1">
        <f t="array" ref="AJ263">IFERROR(
  _xlfn.LET(
    _xlpm.ligpartie, MATCH($B262, Donnees!$F:$F, 0),
    _xlpm.joueurs, INDEX(Donnees!$A:$Z, _xlpm.ligpartie+1, _xlfn.SEQUENCE(1, 4, 2)),
    INDEX(
      Donnees!$A:$Z,
      _xlpm.ligpartie + 3,
      MATCH(AJ$1, _xlpm.joueurs, 0) + 1
    )
  ), ""
)</f>
        <v/>
      </c>
      <c r="AK263" t="str" cm="1">
        <f t="array" ref="AK263">IFERROR(
  _xlfn.LET(
    _xlpm.ligpartie, MATCH($B262, Donnees!$F:$F, 0),
    _xlpm.joueurs, INDEX(Donnees!$A:$Z, _xlpm.ligpartie+1, _xlfn.SEQUENCE(1, 4, 2)),
    INDEX(
      Donnees!$A:$Z,
      _xlpm.ligpartie + 3,
      MATCH(AK$1, _xlpm.joueurs, 0) + 1
    )
  ), ""
)</f>
        <v/>
      </c>
      <c r="AL263" t="str" cm="1">
        <f t="array" ref="AL263">IFERROR(
  _xlfn.LET(
    _xlpm.ligpartie, MATCH($B262, Donnees!$F:$F, 0),
    _xlpm.joueurs, INDEX(Donnees!$A:$Z, _xlpm.ligpartie+1, _xlfn.SEQUENCE(1, 4, 2)),
    INDEX(
      Donnees!$A:$Z,
      _xlpm.ligpartie + 3,
      MATCH(AL$1, _xlpm.joueurs, 0) + 1
    )
  ), ""
)</f>
        <v/>
      </c>
      <c r="AM263" t="str" cm="1">
        <f t="array" ref="AM263">IFERROR(
  _xlfn.LET(
    _xlpm.ligpartie, MATCH($B262, Donnees!$F:$F, 0),
    _xlpm.joueurs, INDEX(Donnees!$A:$Z, _xlpm.ligpartie+1, _xlfn.SEQUENCE(1, 4, 2)),
    INDEX(
      Donnees!$A:$Z,
      _xlpm.ligpartie + 3,
      MATCH(AM$1, _xlpm.joueurs, 0) + 1
    )
  ), ""
)</f>
        <v/>
      </c>
    </row>
    <row r="264" spans="1:39" x14ac:dyDescent="0.25">
      <c r="A264" t="s">
        <v>20</v>
      </c>
      <c r="D264" t="str" cm="1">
        <f t="array" ref="D264">_xlfn.LET(
  _xlpm.colj, _xlfn._xlws.FILTER(IF(ISNUMBER(263:263), COLUMN(263:263)), ISNUMBER(263:263)),
  _xlpm.elos, INDEX(262:262,1,_xlpm.colj),
  _xlpm.diffscale, Constantes!$B$2,
  IF(D263="",
    "",
    SUM(1/(1+POWER(10,-(D262-_xlpm.elos)/_xlpm.diffscale)))-0.5)
)</f>
        <v/>
      </c>
      <c r="E264" t="str" cm="1">
        <f t="array" ref="E264">_xlfn.LET(
  _xlpm.colj, _xlfn._xlws.FILTER(IF(ISNUMBER(263:263), COLUMN(263:263)), ISNUMBER(263:263)),
  _xlpm.elos, INDEX(262:262,1,_xlpm.colj),
  _xlpm.diffscale, Constantes!$B$2,
  IF(E263="",
    "",
    SUM(1/(1+POWER(10,-(E262-_xlpm.elos)/_xlpm.diffscale)))-0.5)
)</f>
        <v/>
      </c>
      <c r="F264" t="str" cm="1">
        <f t="array" ref="F264">_xlfn.LET(
  _xlpm.colj, _xlfn._xlws.FILTER(IF(ISNUMBER(263:263), COLUMN(263:263)), ISNUMBER(263:263)),
  _xlpm.elos, INDEX(262:262,1,_xlpm.colj),
  _xlpm.diffscale, Constantes!$B$2,
  IF(F263="",
    "",
    SUM(1/(1+POWER(10,-(F262-_xlpm.elos)/_xlpm.diffscale)))-0.5)
)</f>
        <v/>
      </c>
      <c r="G264" t="str" cm="1">
        <f t="array" ref="G264">_xlfn.LET(
  _xlpm.colj, _xlfn._xlws.FILTER(IF(ISNUMBER(263:263), COLUMN(263:263)), ISNUMBER(263:263)),
  _xlpm.elos, INDEX(262:262,1,_xlpm.colj),
  _xlpm.diffscale, Constantes!$B$2,
  IF(G263="",
    "",
    SUM(1/(1+POWER(10,-(G262-_xlpm.elos)/_xlpm.diffscale)))-0.5)
)</f>
        <v/>
      </c>
      <c r="H264" t="str" cm="1">
        <f t="array" ref="H264">_xlfn.LET(
  _xlpm.colj, _xlfn._xlws.FILTER(IF(ISNUMBER(263:263), COLUMN(263:263)), ISNUMBER(263:263)),
  _xlpm.elos, INDEX(262:262,1,_xlpm.colj),
  _xlpm.diffscale, Constantes!$B$2,
  IF(H263="",
    "",
    SUM(1/(1+POWER(10,-(H262-_xlpm.elos)/_xlpm.diffscale)))-0.5)
)</f>
        <v/>
      </c>
      <c r="I264" t="str" cm="1">
        <f t="array" ref="I264">_xlfn.LET(
  _xlpm.colj, _xlfn._xlws.FILTER(IF(ISNUMBER(263:263), COLUMN(263:263)), ISNUMBER(263:263)),
  _xlpm.elos, INDEX(262:262,1,_xlpm.colj),
  _xlpm.diffscale, Constantes!$B$2,
  IF(I263="",
    "",
    SUM(1/(1+POWER(10,-(I262-_xlpm.elos)/_xlpm.diffscale)))-0.5)
)</f>
        <v/>
      </c>
      <c r="J264" t="str" cm="1">
        <f t="array" ref="J264">_xlfn.LET(
  _xlpm.colj, _xlfn._xlws.FILTER(IF(ISNUMBER(263:263), COLUMN(263:263)), ISNUMBER(263:263)),
  _xlpm.elos, INDEX(262:262,1,_xlpm.colj),
  _xlpm.diffscale, Constantes!$B$2,
  IF(J263="",
    "",
    SUM(1/(1+POWER(10,-(J262-_xlpm.elos)/_xlpm.diffscale)))-0.5)
)</f>
        <v/>
      </c>
      <c r="K264" t="str" cm="1">
        <f t="array" ref="K264">_xlfn.LET(
  _xlpm.colj, _xlfn._xlws.FILTER(IF(ISNUMBER(263:263), COLUMN(263:263)), ISNUMBER(263:263)),
  _xlpm.elos, INDEX(262:262,1,_xlpm.colj),
  _xlpm.diffscale, Constantes!$B$2,
  IF(K263="",
    "",
    SUM(1/(1+POWER(10,-(K262-_xlpm.elos)/_xlpm.diffscale)))-0.5)
)</f>
        <v/>
      </c>
      <c r="L264" t="str" cm="1">
        <f t="array" ref="L264">_xlfn.LET(
  _xlpm.colj, _xlfn._xlws.FILTER(IF(ISNUMBER(263:263), COLUMN(263:263)), ISNUMBER(263:263)),
  _xlpm.elos, INDEX(262:262,1,_xlpm.colj),
  _xlpm.diffscale, Constantes!$B$2,
  IF(L263="",
    "",
    SUM(1/(1+POWER(10,-(L262-_xlpm.elos)/_xlpm.diffscale)))-0.5)
)</f>
        <v/>
      </c>
      <c r="M264" t="str" cm="1">
        <f t="array" ref="M264">_xlfn.LET(
  _xlpm.colj, _xlfn._xlws.FILTER(IF(ISNUMBER(263:263), COLUMN(263:263)), ISNUMBER(263:263)),
  _xlpm.elos, INDEX(262:262,1,_xlpm.colj),
  _xlpm.diffscale, Constantes!$B$2,
  IF(M263="",
    "",
    SUM(1/(1+POWER(10,-(M262-_xlpm.elos)/_xlpm.diffscale)))-0.5)
)</f>
        <v/>
      </c>
      <c r="N264" cm="1">
        <f t="array" ref="N264">_xlfn.LET(
  _xlpm.colj, _xlfn._xlws.FILTER(IF(ISNUMBER(263:263), COLUMN(263:263)), ISNUMBER(263:263)),
  _xlpm.elos, INDEX(262:262,1,_xlpm.colj),
  _xlpm.diffscale, Constantes!$B$2,
  IF(N263="",
    "",
    SUM(1/(1+POWER(10,-(N262-_xlpm.elos)/_xlpm.diffscale)))-0.5)
)</f>
        <v>1.251065944210022</v>
      </c>
      <c r="O264" t="str" cm="1">
        <f t="array" ref="O264">_xlfn.LET(
  _xlpm.colj, _xlfn._xlws.FILTER(IF(ISNUMBER(263:263), COLUMN(263:263)), ISNUMBER(263:263)),
  _xlpm.elos, INDEX(262:262,1,_xlpm.colj),
  _xlpm.diffscale, Constantes!$B$2,
  IF(O263="",
    "",
    SUM(1/(1+POWER(10,-(O262-_xlpm.elos)/_xlpm.diffscale)))-0.5)
)</f>
        <v/>
      </c>
      <c r="P264" t="str" cm="1">
        <f t="array" ref="P264">_xlfn.LET(
  _xlpm.colj, _xlfn._xlws.FILTER(IF(ISNUMBER(263:263), COLUMN(263:263)), ISNUMBER(263:263)),
  _xlpm.elos, INDEX(262:262,1,_xlpm.colj),
  _xlpm.diffscale, Constantes!$B$2,
  IF(P263="",
    "",
    SUM(1/(1+POWER(10,-(P262-_xlpm.elos)/_xlpm.diffscale)))-0.5)
)</f>
        <v/>
      </c>
      <c r="Q264" t="str" cm="1">
        <f t="array" ref="Q264">_xlfn.LET(
  _xlpm.colj, _xlfn._xlws.FILTER(IF(ISNUMBER(263:263), COLUMN(263:263)), ISNUMBER(263:263)),
  _xlpm.elos, INDEX(262:262,1,_xlpm.colj),
  _xlpm.diffscale, Constantes!$B$2,
  IF(Q263="",
    "",
    SUM(1/(1+POWER(10,-(Q262-_xlpm.elos)/_xlpm.diffscale)))-0.5)
)</f>
        <v/>
      </c>
      <c r="R264" t="str" cm="1">
        <f t="array" ref="R264">_xlfn.LET(
  _xlpm.colj, _xlfn._xlws.FILTER(IF(ISNUMBER(263:263), COLUMN(263:263)), ISNUMBER(263:263)),
  _xlpm.elos, INDEX(262:262,1,_xlpm.colj),
  _xlpm.diffscale, Constantes!$B$2,
  IF(R263="",
    "",
    SUM(1/(1+POWER(10,-(R262-_xlpm.elos)/_xlpm.diffscale)))-0.5)
)</f>
        <v/>
      </c>
      <c r="S264" cm="1">
        <f t="array" ref="S264">_xlfn.LET(
  _xlpm.colj, _xlfn._xlws.FILTER(IF(ISNUMBER(263:263), COLUMN(263:263)), ISNUMBER(263:263)),
  _xlpm.elos, INDEX(262:262,1,_xlpm.colj),
  _xlpm.diffscale, Constantes!$B$2,
  IF(S263="",
    "",
    SUM(1/(1+POWER(10,-(S262-_xlpm.elos)/_xlpm.diffscale)))-0.5)
)</f>
        <v>1.566870621063384</v>
      </c>
      <c r="T264" t="str" cm="1">
        <f t="array" ref="T264">_xlfn.LET(
  _xlpm.colj, _xlfn._xlws.FILTER(IF(ISNUMBER(263:263), COLUMN(263:263)), ISNUMBER(263:263)),
  _xlpm.elos, INDEX(262:262,1,_xlpm.colj),
  _xlpm.diffscale, Constantes!$B$2,
  IF(T263="",
    "",
    SUM(1/(1+POWER(10,-(T262-_xlpm.elos)/_xlpm.diffscale)))-0.5)
)</f>
        <v/>
      </c>
      <c r="U264" t="str" cm="1">
        <f t="array" ref="U264">_xlfn.LET(
  _xlpm.colj, _xlfn._xlws.FILTER(IF(ISNUMBER(263:263), COLUMN(263:263)), ISNUMBER(263:263)),
  _xlpm.elos, INDEX(262:262,1,_xlpm.colj),
  _xlpm.diffscale, Constantes!$B$2,
  IF(U263="",
    "",
    SUM(1/(1+POWER(10,-(U262-_xlpm.elos)/_xlpm.diffscale)))-0.5)
)</f>
        <v/>
      </c>
      <c r="V264" cm="1">
        <f t="array" ref="V264">_xlfn.LET(
  _xlpm.colj, _xlfn._xlws.FILTER(IF(ISNUMBER(263:263), COLUMN(263:263)), ISNUMBER(263:263)),
  _xlpm.elos, INDEX(262:262,1,_xlpm.colj),
  _xlpm.diffscale, Constantes!$B$2,
  IF(V263="",
    "",
    SUM(1/(1+POWER(10,-(V262-_xlpm.elos)/_xlpm.diffscale)))-0.5)
)</f>
        <v>1.4667396772787336</v>
      </c>
      <c r="W264" t="str" cm="1">
        <f t="array" ref="W264">_xlfn.LET(
  _xlpm.colj, _xlfn._xlws.FILTER(IF(ISNUMBER(263:263), COLUMN(263:263)), ISNUMBER(263:263)),
  _xlpm.elos, INDEX(262:262,1,_xlpm.colj),
  _xlpm.diffscale, Constantes!$B$2,
  IF(W263="",
    "",
    SUM(1/(1+POWER(10,-(W262-_xlpm.elos)/_xlpm.diffscale)))-0.5)
)</f>
        <v/>
      </c>
      <c r="X264" t="str" cm="1">
        <f t="array" ref="X264">_xlfn.LET(
  _xlpm.colj, _xlfn._xlws.FILTER(IF(ISNUMBER(263:263), COLUMN(263:263)), ISNUMBER(263:263)),
  _xlpm.elos, INDEX(262:262,1,_xlpm.colj),
  _xlpm.diffscale, Constantes!$B$2,
  IF(X263="",
    "",
    SUM(1/(1+POWER(10,-(X262-_xlpm.elos)/_xlpm.diffscale)))-0.5)
)</f>
        <v/>
      </c>
      <c r="Y264" t="str" cm="1">
        <f t="array" ref="Y264">_xlfn.LET(
  _xlpm.colj, _xlfn._xlws.FILTER(IF(ISNUMBER(263:263), COLUMN(263:263)), ISNUMBER(263:263)),
  _xlpm.elos, INDEX(262:262,1,_xlpm.colj),
  _xlpm.diffscale, Constantes!$B$2,
  IF(Y263="",
    "",
    SUM(1/(1+POWER(10,-(Y262-_xlpm.elos)/_xlpm.diffscale)))-0.5)
)</f>
        <v/>
      </c>
      <c r="Z264" t="str" cm="1">
        <f t="array" ref="Z264">_xlfn.LET(
  _xlpm.colj, _xlfn._xlws.FILTER(IF(ISNUMBER(263:263), COLUMN(263:263)), ISNUMBER(263:263)),
  _xlpm.elos, INDEX(262:262,1,_xlpm.colj),
  _xlpm.diffscale, Constantes!$B$2,
  IF(Z263="",
    "",
    SUM(1/(1+POWER(10,-(Z262-_xlpm.elos)/_xlpm.diffscale)))-0.5)
)</f>
        <v/>
      </c>
      <c r="AA264" t="str" cm="1">
        <f t="array" ref="AA264">_xlfn.LET(
  _xlpm.colj, _xlfn._xlws.FILTER(IF(ISNUMBER(263:263), COLUMN(263:263)), ISNUMBER(263:263)),
  _xlpm.elos, INDEX(262:262,1,_xlpm.colj),
  _xlpm.diffscale, Constantes!$B$2,
  IF(AA263="",
    "",
    SUM(1/(1+POWER(10,-(AA262-_xlpm.elos)/_xlpm.diffscale)))-0.5)
)</f>
        <v/>
      </c>
      <c r="AB264" t="str" cm="1">
        <f t="array" ref="AB264">_xlfn.LET(
  _xlpm.colj, _xlfn._xlws.FILTER(IF(ISNUMBER(263:263), COLUMN(263:263)), ISNUMBER(263:263)),
  _xlpm.elos, INDEX(262:262,1,_xlpm.colj),
  _xlpm.diffscale, Constantes!$B$2,
  IF(AB263="",
    "",
    SUM(1/(1+POWER(10,-(AB262-_xlpm.elos)/_xlpm.diffscale)))-0.5)
)</f>
        <v/>
      </c>
      <c r="AC264" t="str" cm="1">
        <f t="array" ref="AC264">_xlfn.LET(
  _xlpm.colj, _xlfn._xlws.FILTER(IF(ISNUMBER(263:263), COLUMN(263:263)), ISNUMBER(263:263)),
  _xlpm.elos, INDEX(262:262,1,_xlpm.colj),
  _xlpm.diffscale, Constantes!$B$2,
  IF(AC263="",
    "",
    SUM(1/(1+POWER(10,-(AC262-_xlpm.elos)/_xlpm.diffscale)))-0.5)
)</f>
        <v/>
      </c>
      <c r="AD264" t="str" cm="1">
        <f t="array" ref="AD264">_xlfn.LET(
  _xlpm.colj, _xlfn._xlws.FILTER(IF(ISNUMBER(263:263), COLUMN(263:263)), ISNUMBER(263:263)),
  _xlpm.elos, INDEX(262:262,1,_xlpm.colj),
  _xlpm.diffscale, Constantes!$B$2,
  IF(AD263="",
    "",
    SUM(1/(1+POWER(10,-(AD262-_xlpm.elos)/_xlpm.diffscale)))-0.5)
)</f>
        <v/>
      </c>
      <c r="AE264" t="str" cm="1">
        <f t="array" ref="AE264">_xlfn.LET(
  _xlpm.colj, _xlfn._xlws.FILTER(IF(ISNUMBER(263:263), COLUMN(263:263)), ISNUMBER(263:263)),
  _xlpm.elos, INDEX(262:262,1,_xlpm.colj),
  _xlpm.diffscale, Constantes!$B$2,
  IF(AE263="",
    "",
    SUM(1/(1+POWER(10,-(AE262-_xlpm.elos)/_xlpm.diffscale)))-0.5)
)</f>
        <v/>
      </c>
      <c r="AF264" t="str" cm="1">
        <f t="array" ref="AF264">_xlfn.LET(
  _xlpm.colj, _xlfn._xlws.FILTER(IF(ISNUMBER(263:263), COLUMN(263:263)), ISNUMBER(263:263)),
  _xlpm.elos, INDEX(262:262,1,_xlpm.colj),
  _xlpm.diffscale, Constantes!$B$2,
  IF(AF263="",
    "",
    SUM(1/(1+POWER(10,-(AF262-_xlpm.elos)/_xlpm.diffscale)))-0.5)
)</f>
        <v/>
      </c>
      <c r="AG264" t="str" cm="1">
        <f t="array" ref="AG264">_xlfn.LET(
  _xlpm.colj, _xlfn._xlws.FILTER(IF(ISNUMBER(263:263), COLUMN(263:263)), ISNUMBER(263:263)),
  _xlpm.elos, INDEX(262:262,1,_xlpm.colj),
  _xlpm.diffscale, Constantes!$B$2,
  IF(AG263="",
    "",
    SUM(1/(1+POWER(10,-(AG262-_xlpm.elos)/_xlpm.diffscale)))-0.5)
)</f>
        <v/>
      </c>
      <c r="AH264" t="str" cm="1">
        <f t="array" ref="AH264">_xlfn.LET(
  _xlpm.colj, _xlfn._xlws.FILTER(IF(ISNUMBER(263:263), COLUMN(263:263)), ISNUMBER(263:263)),
  _xlpm.elos, INDEX(262:262,1,_xlpm.colj),
  _xlpm.diffscale, Constantes!$B$2,
  IF(AH263="",
    "",
    SUM(1/(1+POWER(10,-(AH262-_xlpm.elos)/_xlpm.diffscale)))-0.5)
)</f>
        <v/>
      </c>
      <c r="AI264" cm="1">
        <f t="array" ref="AI264">_xlfn.LET(
  _xlpm.colj, _xlfn._xlws.FILTER(IF(ISNUMBER(263:263), COLUMN(263:263)), ISNUMBER(263:263)),
  _xlpm.elos, INDEX(262:262,1,_xlpm.colj),
  _xlpm.diffscale, Constantes!$B$2,
  IF(AI263="",
    "",
    SUM(1/(1+POWER(10,-(AI262-_xlpm.elos)/_xlpm.diffscale)))-0.5)
)</f>
        <v>1.7153237574478606</v>
      </c>
      <c r="AJ264" t="str" cm="1">
        <f t="array" ref="AJ264">_xlfn.LET(
  _xlpm.colj, _xlfn._xlws.FILTER(IF(ISNUMBER(263:263), COLUMN(263:263)), ISNUMBER(263:263)),
  _xlpm.elos, INDEX(262:262,1,_xlpm.colj),
  _xlpm.diffscale, Constantes!$B$2,
  IF(AJ263="",
    "",
    SUM(1/(1+POWER(10,-(AJ262-_xlpm.elos)/_xlpm.diffscale)))-0.5)
)</f>
        <v/>
      </c>
      <c r="AK264" t="str" cm="1">
        <f t="array" ref="AK264">_xlfn.LET(
  _xlpm.colj, _xlfn._xlws.FILTER(IF(ISNUMBER(263:263), COLUMN(263:263)), ISNUMBER(263:263)),
  _xlpm.elos, INDEX(262:262,1,_xlpm.colj),
  _xlpm.diffscale, Constantes!$B$2,
  IF(AK263="",
    "",
    SUM(1/(1+POWER(10,-(AK262-_xlpm.elos)/_xlpm.diffscale)))-0.5)
)</f>
        <v/>
      </c>
      <c r="AL264" t="str" cm="1">
        <f t="array" ref="AL264">_xlfn.LET(
  _xlpm.colj, _xlfn._xlws.FILTER(IF(ISNUMBER(263:263), COLUMN(263:263)), ISNUMBER(263:263)),
  _xlpm.elos, INDEX(262:262,1,_xlpm.colj),
  _xlpm.diffscale, Constantes!$B$2,
  IF(AL263="",
    "",
    SUM(1/(1+POWER(10,-(AL262-_xlpm.elos)/_xlpm.diffscale)))-0.5)
)</f>
        <v/>
      </c>
      <c r="AM264" t="str" cm="1">
        <f t="array" ref="AM264">_xlfn.LET(
  _xlpm.colj, _xlfn._xlws.FILTER(IF(ISNUMBER(263:263), COLUMN(263:263)), ISNUMBER(263:263)),
  _xlpm.elos, INDEX(262:262,1,_xlpm.colj),
  _xlpm.diffscale, Constantes!$B$2,
  IF(AM263="",
    "",
    SUM(1/(1+POWER(10,-(AM262-_xlpm.elos)/_xlpm.diffscale)))-0.5)
)</f>
        <v/>
      </c>
    </row>
    <row r="265" spans="1:39" x14ac:dyDescent="0.25">
      <c r="A265" t="s">
        <v>22</v>
      </c>
      <c r="D265" t="str" cm="1">
        <f t="array" ref="D265">_xlfn.LET(
  _xlpm.K, Constantes!$B$3,
  _xlpm.Knewgain, Constantes!$B$4,
  _xlpm.Knewscale, Constantes!$B$5,
  _xlpm.ptstables, INDEX(D:D, _xlfn.SEQUENCE(COUNTA($C$2:$C265), 1, 3, 4)),
  _xlpm.nbparties, COUNTA(_xlfn._xlws.FILTER(_xlpm.ptstables, _xlpm.ptstables &lt;&gt; "")),
  _xlpm.coef, _xlpm.K + _xlpm.Knewgain / (_xlpm.Knewscale + _xlpm.nbparties),
  IF(D263="",
    "",
    _xlpm.coef * (D263-D264))
)</f>
        <v/>
      </c>
      <c r="E265" t="str" cm="1">
        <f t="array" ref="E265">_xlfn.LET(
  _xlpm.K, Constantes!$B$3,
  _xlpm.Knewgain, Constantes!$B$4,
  _xlpm.Knewscale, Constantes!$B$5,
  _xlpm.ptstables, INDEX(E:E, _xlfn.SEQUENCE(COUNTA($C$2:$C265), 1, 3, 4)),
  _xlpm.nbparties, COUNTA(_xlfn._xlws.FILTER(_xlpm.ptstables, _xlpm.ptstables &lt;&gt; "")),
  _xlpm.coef, _xlpm.K + _xlpm.Knewgain / (_xlpm.Knewscale + _xlpm.nbparties),
  IF(E263="",
    "",
    _xlpm.coef * (E263-E264))
)</f>
        <v/>
      </c>
      <c r="F265" t="str" cm="1">
        <f t="array" ref="F265">_xlfn.LET(
  _xlpm.K, Constantes!$B$3,
  _xlpm.Knewgain, Constantes!$B$4,
  _xlpm.Knewscale, Constantes!$B$5,
  _xlpm.ptstables, INDEX(F:F, _xlfn.SEQUENCE(COUNTA($C$2:$C265), 1, 3, 4)),
  _xlpm.nbparties, COUNTA(_xlfn._xlws.FILTER(_xlpm.ptstables, _xlpm.ptstables &lt;&gt; "")),
  _xlpm.coef, _xlpm.K + _xlpm.Knewgain / (_xlpm.Knewscale + _xlpm.nbparties),
  IF(F263="",
    "",
    _xlpm.coef * (F263-F264))
)</f>
        <v/>
      </c>
      <c r="G265" t="str" cm="1">
        <f t="array" ref="G265">_xlfn.LET(
  _xlpm.K, Constantes!$B$3,
  _xlpm.Knewgain, Constantes!$B$4,
  _xlpm.Knewscale, Constantes!$B$5,
  _xlpm.ptstables, INDEX(G:G, _xlfn.SEQUENCE(COUNTA($C$2:$C265), 1, 3, 4)),
  _xlpm.nbparties, COUNTA(_xlfn._xlws.FILTER(_xlpm.ptstables, _xlpm.ptstables &lt;&gt; "")),
  _xlpm.coef, _xlpm.K + _xlpm.Knewgain / (_xlpm.Knewscale + _xlpm.nbparties),
  IF(G263="",
    "",
    _xlpm.coef * (G263-G264))
)</f>
        <v/>
      </c>
      <c r="H265" t="str" cm="1">
        <f t="array" ref="H265">_xlfn.LET(
  _xlpm.K, Constantes!$B$3,
  _xlpm.Knewgain, Constantes!$B$4,
  _xlpm.Knewscale, Constantes!$B$5,
  _xlpm.ptstables, INDEX(H:H, _xlfn.SEQUENCE(COUNTA($C$2:$C265), 1, 3, 4)),
  _xlpm.nbparties, COUNTA(_xlfn._xlws.FILTER(_xlpm.ptstables, _xlpm.ptstables &lt;&gt; "")),
  _xlpm.coef, _xlpm.K + _xlpm.Knewgain / (_xlpm.Knewscale + _xlpm.nbparties),
  IF(H263="",
    "",
    _xlpm.coef * (H263-H264))
)</f>
        <v/>
      </c>
      <c r="I265" t="str" cm="1">
        <f t="array" ref="I265">_xlfn.LET(
  _xlpm.K, Constantes!$B$3,
  _xlpm.Knewgain, Constantes!$B$4,
  _xlpm.Knewscale, Constantes!$B$5,
  _xlpm.ptstables, INDEX(I:I, _xlfn.SEQUENCE(COUNTA($C$2:$C265), 1, 3, 4)),
  _xlpm.nbparties, COUNTA(_xlfn._xlws.FILTER(_xlpm.ptstables, _xlpm.ptstables &lt;&gt; "")),
  _xlpm.coef, _xlpm.K + _xlpm.Knewgain / (_xlpm.Knewscale + _xlpm.nbparties),
  IF(I263="",
    "",
    _xlpm.coef * (I263-I264))
)</f>
        <v/>
      </c>
      <c r="J265" t="str" cm="1">
        <f t="array" ref="J265">_xlfn.LET(
  _xlpm.K, Constantes!$B$3,
  _xlpm.Knewgain, Constantes!$B$4,
  _xlpm.Knewscale, Constantes!$B$5,
  _xlpm.ptstables, INDEX(J:J, _xlfn.SEQUENCE(COUNTA($C$2:$C265), 1, 3, 4)),
  _xlpm.nbparties, COUNTA(_xlfn._xlws.FILTER(_xlpm.ptstables, _xlpm.ptstables &lt;&gt; "")),
  _xlpm.coef, _xlpm.K + _xlpm.Knewgain / (_xlpm.Knewscale + _xlpm.nbparties),
  IF(J263="",
    "",
    _xlpm.coef * (J263-J264))
)</f>
        <v/>
      </c>
      <c r="K265" t="str" cm="1">
        <f t="array" ref="K265">_xlfn.LET(
  _xlpm.K, Constantes!$B$3,
  _xlpm.Knewgain, Constantes!$B$4,
  _xlpm.Knewscale, Constantes!$B$5,
  _xlpm.ptstables, INDEX(K:K, _xlfn.SEQUENCE(COUNTA($C$2:$C265), 1, 3, 4)),
  _xlpm.nbparties, COUNTA(_xlfn._xlws.FILTER(_xlpm.ptstables, _xlpm.ptstables &lt;&gt; "")),
  _xlpm.coef, _xlpm.K + _xlpm.Knewgain / (_xlpm.Knewscale + _xlpm.nbparties),
  IF(K263="",
    "",
    _xlpm.coef * (K263-K264))
)</f>
        <v/>
      </c>
      <c r="L265" t="str" cm="1">
        <f t="array" ref="L265">_xlfn.LET(
  _xlpm.K, Constantes!$B$3,
  _xlpm.Knewgain, Constantes!$B$4,
  _xlpm.Knewscale, Constantes!$B$5,
  _xlpm.ptstables, INDEX(L:L, _xlfn.SEQUENCE(COUNTA($C$2:$C265), 1, 3, 4)),
  _xlpm.nbparties, COUNTA(_xlfn._xlws.FILTER(_xlpm.ptstables, _xlpm.ptstables &lt;&gt; "")),
  _xlpm.coef, _xlpm.K + _xlpm.Knewgain / (_xlpm.Knewscale + _xlpm.nbparties),
  IF(L263="",
    "",
    _xlpm.coef * (L263-L264))
)</f>
        <v/>
      </c>
      <c r="M265" t="str" cm="1">
        <f t="array" ref="M265">_xlfn.LET(
  _xlpm.K, Constantes!$B$3,
  _xlpm.Knewgain, Constantes!$B$4,
  _xlpm.Knewscale, Constantes!$B$5,
  _xlpm.ptstables, INDEX(M:M, _xlfn.SEQUENCE(COUNTA($C$2:$C265), 1, 3, 4)),
  _xlpm.nbparties, COUNTA(_xlfn._xlws.FILTER(_xlpm.ptstables, _xlpm.ptstables &lt;&gt; "")),
  _xlpm.coef, _xlpm.K + _xlpm.Knewgain / (_xlpm.Knewscale + _xlpm.nbparties),
  IF(M263="",
    "",
    _xlpm.coef * (M263-M264))
)</f>
        <v/>
      </c>
      <c r="N265" cm="1">
        <f t="array" ref="N265">_xlfn.LET(
  _xlpm.K, Constantes!$B$3,
  _xlpm.Knewgain, Constantes!$B$4,
  _xlpm.Knewscale, Constantes!$B$5,
  _xlpm.ptstables, INDEX(N:N, _xlfn.SEQUENCE(COUNTA($C$2:$C265), 1, 3, 4)),
  _xlpm.nbparties, COUNTA(_xlfn._xlws.FILTER(_xlpm.ptstables, _xlpm.ptstables &lt;&gt; "")),
  _xlpm.coef, _xlpm.K + _xlpm.Knewgain / (_xlpm.Knewscale + _xlpm.nbparties),
  IF(N263="",
    "",
    _xlpm.coef * (N263-N264))
)</f>
        <v>-5.9869571311620646</v>
      </c>
      <c r="O265" t="str" cm="1">
        <f t="array" ref="O265">_xlfn.LET(
  _xlpm.K, Constantes!$B$3,
  _xlpm.Knewgain, Constantes!$B$4,
  _xlpm.Knewscale, Constantes!$B$5,
  _xlpm.ptstables, INDEX(O:O, _xlfn.SEQUENCE(COUNTA($C$2:$C265), 1, 3, 4)),
  _xlpm.nbparties, COUNTA(_xlfn._xlws.FILTER(_xlpm.ptstables, _xlpm.ptstables &lt;&gt; "")),
  _xlpm.coef, _xlpm.K + _xlpm.Knewgain / (_xlpm.Knewscale + _xlpm.nbparties),
  IF(O263="",
    "",
    _xlpm.coef * (O263-O264))
)</f>
        <v/>
      </c>
      <c r="P265" t="str" cm="1">
        <f t="array" ref="P265">_xlfn.LET(
  _xlpm.K, Constantes!$B$3,
  _xlpm.Knewgain, Constantes!$B$4,
  _xlpm.Knewscale, Constantes!$B$5,
  _xlpm.ptstables, INDEX(P:P, _xlfn.SEQUENCE(COUNTA($C$2:$C265), 1, 3, 4)),
  _xlpm.nbparties, COUNTA(_xlfn._xlws.FILTER(_xlpm.ptstables, _xlpm.ptstables &lt;&gt; "")),
  _xlpm.coef, _xlpm.K + _xlpm.Knewgain / (_xlpm.Knewscale + _xlpm.nbparties),
  IF(P263="",
    "",
    _xlpm.coef * (P263-P264))
)</f>
        <v/>
      </c>
      <c r="Q265" t="str" cm="1">
        <f t="array" ref="Q265">_xlfn.LET(
  _xlpm.K, Constantes!$B$3,
  _xlpm.Knewgain, Constantes!$B$4,
  _xlpm.Knewscale, Constantes!$B$5,
  _xlpm.ptstables, INDEX(Q:Q, _xlfn.SEQUENCE(COUNTA($C$2:$C265), 1, 3, 4)),
  _xlpm.nbparties, COUNTA(_xlfn._xlws.FILTER(_xlpm.ptstables, _xlpm.ptstables &lt;&gt; "")),
  _xlpm.coef, _xlpm.K + _xlpm.Knewgain / (_xlpm.Knewscale + _xlpm.nbparties),
  IF(Q263="",
    "",
    _xlpm.coef * (Q263-Q264))
)</f>
        <v/>
      </c>
      <c r="R265" t="str" cm="1">
        <f t="array" ref="R265">_xlfn.LET(
  _xlpm.K, Constantes!$B$3,
  _xlpm.Knewgain, Constantes!$B$4,
  _xlpm.Knewscale, Constantes!$B$5,
  _xlpm.ptstables, INDEX(R:R, _xlfn.SEQUENCE(COUNTA($C$2:$C265), 1, 3, 4)),
  _xlpm.nbparties, COUNTA(_xlfn._xlws.FILTER(_xlpm.ptstables, _xlpm.ptstables &lt;&gt; "")),
  _xlpm.coef, _xlpm.K + _xlpm.Knewgain / (_xlpm.Knewscale + _xlpm.nbparties),
  IF(R263="",
    "",
    _xlpm.coef * (R263-R264))
)</f>
        <v/>
      </c>
      <c r="S265" cm="1">
        <f t="array" ref="S265">_xlfn.LET(
  _xlpm.K, Constantes!$B$3,
  _xlpm.Knewgain, Constantes!$B$4,
  _xlpm.Knewscale, Constantes!$B$5,
  _xlpm.ptstables, INDEX(S:S, _xlfn.SEQUENCE(COUNTA($C$2:$C265), 1, 3, 4)),
  _xlpm.nbparties, COUNTA(_xlfn._xlws.FILTER(_xlpm.ptstables, _xlpm.ptstables &lt;&gt; "")),
  _xlpm.coef, _xlpm.K + _xlpm.Knewgain / (_xlpm.Knewscale + _xlpm.nbparties),
  IF(S263="",
    "",
    _xlpm.coef * (S263-S264))
)</f>
        <v>32.877673987369427</v>
      </c>
      <c r="T265" t="str" cm="1">
        <f t="array" ref="T265">_xlfn.LET(
  _xlpm.K, Constantes!$B$3,
  _xlpm.Knewgain, Constantes!$B$4,
  _xlpm.Knewscale, Constantes!$B$5,
  _xlpm.ptstables, INDEX(T:T, _xlfn.SEQUENCE(COUNTA($C$2:$C265), 1, 3, 4)),
  _xlpm.nbparties, COUNTA(_xlfn._xlws.FILTER(_xlpm.ptstables, _xlpm.ptstables &lt;&gt; "")),
  _xlpm.coef, _xlpm.K + _xlpm.Knewgain / (_xlpm.Knewscale + _xlpm.nbparties),
  IF(T263="",
    "",
    _xlpm.coef * (T263-T264))
)</f>
        <v/>
      </c>
      <c r="U265" t="str" cm="1">
        <f t="array" ref="U265">_xlfn.LET(
  _xlpm.K, Constantes!$B$3,
  _xlpm.Knewgain, Constantes!$B$4,
  _xlpm.Knewscale, Constantes!$B$5,
  _xlpm.ptstables, INDEX(U:U, _xlfn.SEQUENCE(COUNTA($C$2:$C265), 1, 3, 4)),
  _xlpm.nbparties, COUNTA(_xlfn._xlws.FILTER(_xlpm.ptstables, _xlpm.ptstables &lt;&gt; "")),
  _xlpm.coef, _xlpm.K + _xlpm.Knewgain / (_xlpm.Knewscale + _xlpm.nbparties),
  IF(U263="",
    "",
    _xlpm.coef * (U263-U264))
)</f>
        <v/>
      </c>
      <c r="V265" cm="1">
        <f t="array" ref="V265">_xlfn.LET(
  _xlpm.K, Constantes!$B$3,
  _xlpm.Knewgain, Constantes!$B$4,
  _xlpm.Knewscale, Constantes!$B$5,
  _xlpm.ptstables, INDEX(V:V, _xlfn.SEQUENCE(COUNTA($C$2:$C265), 1, 3, 4)),
  _xlpm.nbparties, COUNTA(_xlfn._xlws.FILTER(_xlpm.ptstables, _xlpm.ptstables &lt;&gt; "")),
  _xlpm.coef, _xlpm.K + _xlpm.Knewgain / (_xlpm.Knewscale + _xlpm.nbparties),
  IF(V263="",
    "",
    _xlpm.coef * (V263-V264))
)</f>
        <v>13.998083471433244</v>
      </c>
      <c r="W265" t="str" cm="1">
        <f t="array" ref="W265">_xlfn.LET(
  _xlpm.K, Constantes!$B$3,
  _xlpm.Knewgain, Constantes!$B$4,
  _xlpm.Knewscale, Constantes!$B$5,
  _xlpm.ptstables, INDEX(W:W, _xlfn.SEQUENCE(COUNTA($C$2:$C265), 1, 3, 4)),
  _xlpm.nbparties, COUNTA(_xlfn._xlws.FILTER(_xlpm.ptstables, _xlpm.ptstables &lt;&gt; "")),
  _xlpm.coef, _xlpm.K + _xlpm.Knewgain / (_xlpm.Knewscale + _xlpm.nbparties),
  IF(W263="",
    "",
    _xlpm.coef * (W263-W264))
)</f>
        <v/>
      </c>
      <c r="X265" t="str" cm="1">
        <f t="array" ref="X265">_xlfn.LET(
  _xlpm.K, Constantes!$B$3,
  _xlpm.Knewgain, Constantes!$B$4,
  _xlpm.Knewscale, Constantes!$B$5,
  _xlpm.ptstables, INDEX(X:X, _xlfn.SEQUENCE(COUNTA($C$2:$C265), 1, 3, 4)),
  _xlpm.nbparties, COUNTA(_xlfn._xlws.FILTER(_xlpm.ptstables, _xlpm.ptstables &lt;&gt; "")),
  _xlpm.coef, _xlpm.K + _xlpm.Knewgain / (_xlpm.Knewscale + _xlpm.nbparties),
  IF(X263="",
    "",
    _xlpm.coef * (X263-X264))
)</f>
        <v/>
      </c>
      <c r="Y265" t="str" cm="1">
        <f t="array" ref="Y265">_xlfn.LET(
  _xlpm.K, Constantes!$B$3,
  _xlpm.Knewgain, Constantes!$B$4,
  _xlpm.Knewscale, Constantes!$B$5,
  _xlpm.ptstables, INDEX(Y:Y, _xlfn.SEQUENCE(COUNTA($C$2:$C265), 1, 3, 4)),
  _xlpm.nbparties, COUNTA(_xlfn._xlws.FILTER(_xlpm.ptstables, _xlpm.ptstables &lt;&gt; "")),
  _xlpm.coef, _xlpm.K + _xlpm.Knewgain / (_xlpm.Knewscale + _xlpm.nbparties),
  IF(Y263="",
    "",
    _xlpm.coef * (Y263-Y264))
)</f>
        <v/>
      </c>
      <c r="Z265" t="str" cm="1">
        <f t="array" ref="Z265">_xlfn.LET(
  _xlpm.K, Constantes!$B$3,
  _xlpm.Knewgain, Constantes!$B$4,
  _xlpm.Knewscale, Constantes!$B$5,
  _xlpm.ptstables, INDEX(Z:Z, _xlfn.SEQUENCE(COUNTA($C$2:$C265), 1, 3, 4)),
  _xlpm.nbparties, COUNTA(_xlfn._xlws.FILTER(_xlpm.ptstables, _xlpm.ptstables &lt;&gt; "")),
  _xlpm.coef, _xlpm.K + _xlpm.Knewgain / (_xlpm.Knewscale + _xlpm.nbparties),
  IF(Z263="",
    "",
    _xlpm.coef * (Z263-Z264))
)</f>
        <v/>
      </c>
      <c r="AA265" t="str" cm="1">
        <f t="array" ref="AA265">_xlfn.LET(
  _xlpm.K, Constantes!$B$3,
  _xlpm.Knewgain, Constantes!$B$4,
  _xlpm.Knewscale, Constantes!$B$5,
  _xlpm.ptstables, INDEX(AA:AA, _xlfn.SEQUENCE(COUNTA($C$2:$C265), 1, 3, 4)),
  _xlpm.nbparties, COUNTA(_xlfn._xlws.FILTER(_xlpm.ptstables, _xlpm.ptstables &lt;&gt; "")),
  _xlpm.coef, _xlpm.K + _xlpm.Knewgain / (_xlpm.Knewscale + _xlpm.nbparties),
  IF(AA263="",
    "",
    _xlpm.coef * (AA263-AA264))
)</f>
        <v/>
      </c>
      <c r="AB265" t="str" cm="1">
        <f t="array" ref="AB265">_xlfn.LET(
  _xlpm.K, Constantes!$B$3,
  _xlpm.Knewgain, Constantes!$B$4,
  _xlpm.Knewscale, Constantes!$B$5,
  _xlpm.ptstables, INDEX(AB:AB, _xlfn.SEQUENCE(COUNTA($C$2:$C265), 1, 3, 4)),
  _xlpm.nbparties, COUNTA(_xlfn._xlws.FILTER(_xlpm.ptstables, _xlpm.ptstables &lt;&gt; "")),
  _xlpm.coef, _xlpm.K + _xlpm.Knewgain / (_xlpm.Knewscale + _xlpm.nbparties),
  IF(AB263="",
    "",
    _xlpm.coef * (AB263-AB264))
)</f>
        <v/>
      </c>
      <c r="AC265" t="str" cm="1">
        <f t="array" ref="AC265">_xlfn.LET(
  _xlpm.K, Constantes!$B$3,
  _xlpm.Knewgain, Constantes!$B$4,
  _xlpm.Knewscale, Constantes!$B$5,
  _xlpm.ptstables, INDEX(AC:AC, _xlfn.SEQUENCE(COUNTA($C$2:$C265), 1, 3, 4)),
  _xlpm.nbparties, COUNTA(_xlfn._xlws.FILTER(_xlpm.ptstables, _xlpm.ptstables &lt;&gt; "")),
  _xlpm.coef, _xlpm.K + _xlpm.Knewgain / (_xlpm.Knewscale + _xlpm.nbparties),
  IF(AC263="",
    "",
    _xlpm.coef * (AC263-AC264))
)</f>
        <v/>
      </c>
      <c r="AD265" t="str" cm="1">
        <f t="array" ref="AD265">_xlfn.LET(
  _xlpm.K, Constantes!$B$3,
  _xlpm.Knewgain, Constantes!$B$4,
  _xlpm.Knewscale, Constantes!$B$5,
  _xlpm.ptstables, INDEX(AD:AD, _xlfn.SEQUENCE(COUNTA($C$2:$C265), 1, 3, 4)),
  _xlpm.nbparties, COUNTA(_xlfn._xlws.FILTER(_xlpm.ptstables, _xlpm.ptstables &lt;&gt; "")),
  _xlpm.coef, _xlpm.K + _xlpm.Knewgain / (_xlpm.Knewscale + _xlpm.nbparties),
  IF(AD263="",
    "",
    _xlpm.coef * (AD263-AD264))
)</f>
        <v/>
      </c>
      <c r="AE265" t="str" cm="1">
        <f t="array" ref="AE265">_xlfn.LET(
  _xlpm.K, Constantes!$B$3,
  _xlpm.Knewgain, Constantes!$B$4,
  _xlpm.Knewscale, Constantes!$B$5,
  _xlpm.ptstables, INDEX(AE:AE, _xlfn.SEQUENCE(COUNTA($C$2:$C265), 1, 3, 4)),
  _xlpm.nbparties, COUNTA(_xlfn._xlws.FILTER(_xlpm.ptstables, _xlpm.ptstables &lt;&gt; "")),
  _xlpm.coef, _xlpm.K + _xlpm.Knewgain / (_xlpm.Knewscale + _xlpm.nbparties),
  IF(AE263="",
    "",
    _xlpm.coef * (AE263-AE264))
)</f>
        <v/>
      </c>
      <c r="AF265" t="str" cm="1">
        <f t="array" ref="AF265">_xlfn.LET(
  _xlpm.K, Constantes!$B$3,
  _xlpm.Knewgain, Constantes!$B$4,
  _xlpm.Knewscale, Constantes!$B$5,
  _xlpm.ptstables, INDEX(AF:AF, _xlfn.SEQUENCE(COUNTA($C$2:$C265), 1, 3, 4)),
  _xlpm.nbparties, COUNTA(_xlfn._xlws.FILTER(_xlpm.ptstables, _xlpm.ptstables &lt;&gt; "")),
  _xlpm.coef, _xlpm.K + _xlpm.Knewgain / (_xlpm.Knewscale + _xlpm.nbparties),
  IF(AF263="",
    "",
    _xlpm.coef * (AF263-AF264))
)</f>
        <v/>
      </c>
      <c r="AG265" t="str" cm="1">
        <f t="array" ref="AG265">_xlfn.LET(
  _xlpm.K, Constantes!$B$3,
  _xlpm.Knewgain, Constantes!$B$4,
  _xlpm.Knewscale, Constantes!$B$5,
  _xlpm.ptstables, INDEX(AG:AG, _xlfn.SEQUENCE(COUNTA($C$2:$C265), 1, 3, 4)),
  _xlpm.nbparties, COUNTA(_xlfn._xlws.FILTER(_xlpm.ptstables, _xlpm.ptstables &lt;&gt; "")),
  _xlpm.coef, _xlpm.K + _xlpm.Knewgain / (_xlpm.Knewscale + _xlpm.nbparties),
  IF(AG263="",
    "",
    _xlpm.coef * (AG263-AG264))
)</f>
        <v/>
      </c>
      <c r="AH265" t="str" cm="1">
        <f t="array" ref="AH265">_xlfn.LET(
  _xlpm.K, Constantes!$B$3,
  _xlpm.Knewgain, Constantes!$B$4,
  _xlpm.Knewscale, Constantes!$B$5,
  _xlpm.ptstables, INDEX(AH:AH, _xlfn.SEQUENCE(COUNTA($C$2:$C265), 1, 3, 4)),
  _xlpm.nbparties, COUNTA(_xlfn._xlws.FILTER(_xlpm.ptstables, _xlpm.ptstables &lt;&gt; "")),
  _xlpm.coef, _xlpm.K + _xlpm.Knewgain / (_xlpm.Knewscale + _xlpm.nbparties),
  IF(AH263="",
    "",
    _xlpm.coef * (AH263-AH264))
)</f>
        <v/>
      </c>
      <c r="AI265" cm="1">
        <f t="array" ref="AI265">_xlfn.LET(
  _xlpm.K, Constantes!$B$3,
  _xlpm.Knewgain, Constantes!$B$4,
  _xlpm.Knewscale, Constantes!$B$5,
  _xlpm.ptstables, INDEX(AI:AI, _xlfn.SEQUENCE(COUNTA($C$2:$C265), 1, 3, 4)),
  _xlpm.nbparties, COUNTA(_xlfn._xlws.FILTER(_xlpm.ptstables, _xlpm.ptstables &lt;&gt; "")),
  _xlpm.coef, _xlpm.K + _xlpm.Knewgain / (_xlpm.Knewscale + _xlpm.nbparties),
  IF(AI263="",
    "",
    _xlpm.coef * (AI263-AI264))
)</f>
        <v>-62.895204439754899</v>
      </c>
      <c r="AJ265" t="str" cm="1">
        <f t="array" ref="AJ265">_xlfn.LET(
  _xlpm.K, Constantes!$B$3,
  _xlpm.Knewgain, Constantes!$B$4,
  _xlpm.Knewscale, Constantes!$B$5,
  _xlpm.ptstables, INDEX(AJ:AJ, _xlfn.SEQUENCE(COUNTA($C$2:$C265), 1, 3, 4)),
  _xlpm.nbparties, COUNTA(_xlfn._xlws.FILTER(_xlpm.ptstables, _xlpm.ptstables &lt;&gt; "")),
  _xlpm.coef, _xlpm.K + _xlpm.Knewgain / (_xlpm.Knewscale + _xlpm.nbparties),
  IF(AJ263="",
    "",
    _xlpm.coef * (AJ263-AJ264))
)</f>
        <v/>
      </c>
      <c r="AK265" t="str" cm="1">
        <f t="array" ref="AK265">_xlfn.LET(
  _xlpm.K, Constantes!$B$3,
  _xlpm.Knewgain, Constantes!$B$4,
  _xlpm.Knewscale, Constantes!$B$5,
  _xlpm.ptstables, INDEX(AK:AK, _xlfn.SEQUENCE(COUNTA($C$2:$C265), 1, 3, 4)),
  _xlpm.nbparties, COUNTA(_xlfn._xlws.FILTER(_xlpm.ptstables, _xlpm.ptstables &lt;&gt; "")),
  _xlpm.coef, _xlpm.K + _xlpm.Knewgain / (_xlpm.Knewscale + _xlpm.nbparties),
  IF(AK263="",
    "",
    _xlpm.coef * (AK263-AK264))
)</f>
        <v/>
      </c>
      <c r="AL265" t="str" cm="1">
        <f t="array" ref="AL265">_xlfn.LET(
  _xlpm.K, Constantes!$B$3,
  _xlpm.Knewgain, Constantes!$B$4,
  _xlpm.Knewscale, Constantes!$B$5,
  _xlpm.ptstables, INDEX(AL:AL, _xlfn.SEQUENCE(COUNTA($C$2:$C265), 1, 3, 4)),
  _xlpm.nbparties, COUNTA(_xlfn._xlws.FILTER(_xlpm.ptstables, _xlpm.ptstables &lt;&gt; "")),
  _xlpm.coef, _xlpm.K + _xlpm.Knewgain / (_xlpm.Knewscale + _xlpm.nbparties),
  IF(AL263="",
    "",
    _xlpm.coef * (AL263-AL264))
)</f>
        <v/>
      </c>
      <c r="AM265" t="str" cm="1">
        <f t="array" ref="AM265">_xlfn.LET(
  _xlpm.K, Constantes!$B$3,
  _xlpm.Knewgain, Constantes!$B$4,
  _xlpm.Knewscale, Constantes!$B$5,
  _xlpm.ptstables, INDEX(AM:AM, _xlfn.SEQUENCE(COUNTA($C$2:$C265), 1, 3, 4)),
  _xlpm.nbparties, COUNTA(_xlfn._xlws.FILTER(_xlpm.ptstables, _xlpm.ptstables &lt;&gt; "")),
  _xlpm.coef, _xlpm.K + _xlpm.Knewgain / (_xlpm.Knewscale + _xlpm.nbparties),
  IF(AM263="",
    "",
    _xlpm.coef * (AM263-AM264))
)</f>
        <v/>
      </c>
    </row>
    <row r="266" spans="1:39" x14ac:dyDescent="0.25">
      <c r="A266" t="s">
        <v>14</v>
      </c>
      <c r="B266" t="str" cm="1">
        <f t="array" ref="B26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66</v>
      </c>
      <c r="C266" s="2" cm="1">
        <f t="array" ref="C266">IF(B266="","",
  INDEX(Donnees!F:F, MATCH(B266, Donnees!F:F, 0)+1))</f>
        <v>45941.692546296297</v>
      </c>
      <c r="D266">
        <f t="shared" ref="D266:AM266" si="74">D262+IF(D265="",0,D265)</f>
        <v>1033.1893307292305</v>
      </c>
      <c r="E266">
        <f t="shared" si="74"/>
        <v>1150.8581509866578</v>
      </c>
      <c r="F266">
        <f t="shared" si="74"/>
        <v>847.48442671390455</v>
      </c>
      <c r="G266">
        <f t="shared" si="74"/>
        <v>1118.8779378975084</v>
      </c>
      <c r="H266">
        <f t="shared" si="74"/>
        <v>1041.4828877801035</v>
      </c>
      <c r="I266">
        <f t="shared" si="74"/>
        <v>929.90115121897634</v>
      </c>
      <c r="J266">
        <f t="shared" si="74"/>
        <v>1010.9125108504293</v>
      </c>
      <c r="K266">
        <f t="shared" si="74"/>
        <v>995.62536924505116</v>
      </c>
      <c r="L266">
        <f t="shared" si="74"/>
        <v>766.95119884458973</v>
      </c>
      <c r="M266">
        <f t="shared" si="74"/>
        <v>913.41986361738122</v>
      </c>
      <c r="N266">
        <f t="shared" si="74"/>
        <v>893.28591153844093</v>
      </c>
      <c r="O266">
        <f t="shared" si="74"/>
        <v>998.21178722110983</v>
      </c>
      <c r="P266">
        <f t="shared" si="74"/>
        <v>1044.694691960626</v>
      </c>
      <c r="Q266">
        <f t="shared" si="74"/>
        <v>1108.7965412414278</v>
      </c>
      <c r="R266">
        <f t="shared" si="74"/>
        <v>1079.5543015631583</v>
      </c>
      <c r="S266">
        <f t="shared" si="74"/>
        <v>987.64110681918737</v>
      </c>
      <c r="T266">
        <f t="shared" si="74"/>
        <v>1131.4597823090139</v>
      </c>
      <c r="U266">
        <f t="shared" si="74"/>
        <v>1137.0758429394593</v>
      </c>
      <c r="V266">
        <f t="shared" si="74"/>
        <v>951.23563726152827</v>
      </c>
      <c r="W266">
        <f t="shared" si="74"/>
        <v>936.79085942937002</v>
      </c>
      <c r="X266">
        <f t="shared" si="74"/>
        <v>821.21862791564456</v>
      </c>
      <c r="Y266">
        <f t="shared" si="74"/>
        <v>931.23839137236723</v>
      </c>
      <c r="Z266">
        <f t="shared" si="74"/>
        <v>991.11904139672549</v>
      </c>
      <c r="AA266">
        <f t="shared" si="74"/>
        <v>966.24279289689184</v>
      </c>
      <c r="AB266">
        <f t="shared" si="74"/>
        <v>988.35669729544747</v>
      </c>
      <c r="AC266">
        <f t="shared" si="74"/>
        <v>1039.1635789679592</v>
      </c>
      <c r="AD266">
        <f t="shared" si="74"/>
        <v>1073.9096023401294</v>
      </c>
      <c r="AE266">
        <f t="shared" si="74"/>
        <v>963.23981965000235</v>
      </c>
      <c r="AF266">
        <f t="shared" si="74"/>
        <v>1089.5415391863121</v>
      </c>
      <c r="AG266">
        <f t="shared" si="74"/>
        <v>958.23078604304851</v>
      </c>
      <c r="AH266">
        <f t="shared" si="74"/>
        <v>920.4412636682855</v>
      </c>
      <c r="AI266">
        <f t="shared" si="74"/>
        <v>917.98537022811024</v>
      </c>
      <c r="AJ266">
        <f t="shared" si="74"/>
        <v>957.2</v>
      </c>
      <c r="AK266">
        <f t="shared" si="74"/>
        <v>1000</v>
      </c>
      <c r="AL266">
        <f t="shared" si="74"/>
        <v>1055.9299999999998</v>
      </c>
      <c r="AM266">
        <f t="shared" si="74"/>
        <v>1000</v>
      </c>
    </row>
    <row r="267" spans="1:39" x14ac:dyDescent="0.25">
      <c r="A267" t="s">
        <v>21</v>
      </c>
      <c r="D267" t="str" cm="1">
        <f t="array" ref="D267">IFERROR(
  _xlfn.LET(
    _xlpm.ligpartie, MATCH($B266, Donnees!$F:$F, 0),
    _xlpm.joueurs, INDEX(Donnees!$A:$Z, _xlpm.ligpartie+1, _xlfn.SEQUENCE(1, 4, 2)),
    INDEX(
      Donnees!$A:$Z,
      _xlpm.ligpartie + 3,
      MATCH(D$1, _xlpm.joueurs, 0) + 1
    )
  ), ""
)</f>
        <v/>
      </c>
      <c r="E267" cm="1">
        <f t="array" ref="E267">IFERROR(
  _xlfn.LET(
    _xlpm.ligpartie, MATCH($B266, Donnees!$F:$F, 0),
    _xlpm.joueurs, INDEX(Donnees!$A:$Z, _xlpm.ligpartie+1, _xlfn.SEQUENCE(1, 4, 2)),
    INDEX(
      Donnees!$A:$Z,
      _xlpm.ligpartie + 3,
      MATCH(E$1, _xlpm.joueurs, 0) + 1
    )
  ), ""
)</f>
        <v>0</v>
      </c>
      <c r="F267" t="str" cm="1">
        <f t="array" ref="F267">IFERROR(
  _xlfn.LET(
    _xlpm.ligpartie, MATCH($B266, Donnees!$F:$F, 0),
    _xlpm.joueurs, INDEX(Donnees!$A:$Z, _xlpm.ligpartie+1, _xlfn.SEQUENCE(1, 4, 2)),
    INDEX(
      Donnees!$A:$Z,
      _xlpm.ligpartie + 3,
      MATCH(F$1, _xlpm.joueurs, 0) + 1
    )
  ), ""
)</f>
        <v/>
      </c>
      <c r="G267" t="str" cm="1">
        <f t="array" ref="G267">IFERROR(
  _xlfn.LET(
    _xlpm.ligpartie, MATCH($B266, Donnees!$F:$F, 0),
    _xlpm.joueurs, INDEX(Donnees!$A:$Z, _xlpm.ligpartie+1, _xlfn.SEQUENCE(1, 4, 2)),
    INDEX(
      Donnees!$A:$Z,
      _xlpm.ligpartie + 3,
      MATCH(G$1, _xlpm.joueurs, 0) + 1
    )
  ), ""
)</f>
        <v/>
      </c>
      <c r="H267" cm="1">
        <f t="array" ref="H267">IFERROR(
  _xlfn.LET(
    _xlpm.ligpartie, MATCH($B266, Donnees!$F:$F, 0),
    _xlpm.joueurs, INDEX(Donnees!$A:$Z, _xlpm.ligpartie+1, _xlfn.SEQUENCE(1, 4, 2)),
    INDEX(
      Donnees!$A:$Z,
      _xlpm.ligpartie + 3,
      MATCH(H$1, _xlpm.joueurs, 0) + 1
    )
  ), ""
)</f>
        <v>3</v>
      </c>
      <c r="I267" t="str" cm="1">
        <f t="array" ref="I267">IFERROR(
  _xlfn.LET(
    _xlpm.ligpartie, MATCH($B266, Donnees!$F:$F, 0),
    _xlpm.joueurs, INDEX(Donnees!$A:$Z, _xlpm.ligpartie+1, _xlfn.SEQUENCE(1, 4, 2)),
    INDEX(
      Donnees!$A:$Z,
      _xlpm.ligpartie + 3,
      MATCH(I$1, _xlpm.joueurs, 0) + 1
    )
  ), ""
)</f>
        <v/>
      </c>
      <c r="J267" t="str" cm="1">
        <f t="array" ref="J267">IFERROR(
  _xlfn.LET(
    _xlpm.ligpartie, MATCH($B266, Donnees!$F:$F, 0),
    _xlpm.joueurs, INDEX(Donnees!$A:$Z, _xlpm.ligpartie+1, _xlfn.SEQUENCE(1, 4, 2)),
    INDEX(
      Donnees!$A:$Z,
      _xlpm.ligpartie + 3,
      MATCH(J$1, _xlpm.joueurs, 0) + 1
    )
  ), ""
)</f>
        <v/>
      </c>
      <c r="K267" cm="1">
        <f t="array" ref="K267">IFERROR(
  _xlfn.LET(
    _xlpm.ligpartie, MATCH($B266, Donnees!$F:$F, 0),
    _xlpm.joueurs, INDEX(Donnees!$A:$Z, _xlpm.ligpartie+1, _xlfn.SEQUENCE(1, 4, 2)),
    INDEX(
      Donnees!$A:$Z,
      _xlpm.ligpartie + 3,
      MATCH(K$1, _xlpm.joueurs, 0) + 1
    )
  ), ""
)</f>
        <v>1</v>
      </c>
      <c r="L267" t="str" cm="1">
        <f t="array" ref="L267">IFERROR(
  _xlfn.LET(
    _xlpm.ligpartie, MATCH($B266, Donnees!$F:$F, 0),
    _xlpm.joueurs, INDEX(Donnees!$A:$Z, _xlpm.ligpartie+1, _xlfn.SEQUENCE(1, 4, 2)),
    INDEX(
      Donnees!$A:$Z,
      _xlpm.ligpartie + 3,
      MATCH(L$1, _xlpm.joueurs, 0) + 1
    )
  ), ""
)</f>
        <v/>
      </c>
      <c r="M267" t="str" cm="1">
        <f t="array" ref="M267">IFERROR(
  _xlfn.LET(
    _xlpm.ligpartie, MATCH($B266, Donnees!$F:$F, 0),
    _xlpm.joueurs, INDEX(Donnees!$A:$Z, _xlpm.ligpartie+1, _xlfn.SEQUENCE(1, 4, 2)),
    INDEX(
      Donnees!$A:$Z,
      _xlpm.ligpartie + 3,
      MATCH(M$1, _xlpm.joueurs, 0) + 1
    )
  ), ""
)</f>
        <v/>
      </c>
      <c r="N267" t="str" cm="1">
        <f t="array" ref="N267">IFERROR(
  _xlfn.LET(
    _xlpm.ligpartie, MATCH($B266, Donnees!$F:$F, 0),
    _xlpm.joueurs, INDEX(Donnees!$A:$Z, _xlpm.ligpartie+1, _xlfn.SEQUENCE(1, 4, 2)),
    INDEX(
      Donnees!$A:$Z,
      _xlpm.ligpartie + 3,
      MATCH(N$1, _xlpm.joueurs, 0) + 1
    )
  ), ""
)</f>
        <v/>
      </c>
      <c r="O267" t="str" cm="1">
        <f t="array" ref="O267">IFERROR(
  _xlfn.LET(
    _xlpm.ligpartie, MATCH($B266, Donnees!$F:$F, 0),
    _xlpm.joueurs, INDEX(Donnees!$A:$Z, _xlpm.ligpartie+1, _xlfn.SEQUENCE(1, 4, 2)),
    INDEX(
      Donnees!$A:$Z,
      _xlpm.ligpartie + 3,
      MATCH(O$1, _xlpm.joueurs, 0) + 1
    )
  ), ""
)</f>
        <v/>
      </c>
      <c r="P267" t="str" cm="1">
        <f t="array" ref="P267">IFERROR(
  _xlfn.LET(
    _xlpm.ligpartie, MATCH($B266, Donnees!$F:$F, 0),
    _xlpm.joueurs, INDEX(Donnees!$A:$Z, _xlpm.ligpartie+1, _xlfn.SEQUENCE(1, 4, 2)),
    INDEX(
      Donnees!$A:$Z,
      _xlpm.ligpartie + 3,
      MATCH(P$1, _xlpm.joueurs, 0) + 1
    )
  ), ""
)</f>
        <v/>
      </c>
      <c r="Q267" cm="1">
        <f t="array" ref="Q267">IFERROR(
  _xlfn.LET(
    _xlpm.ligpartie, MATCH($B266, Donnees!$F:$F, 0),
    _xlpm.joueurs, INDEX(Donnees!$A:$Z, _xlpm.ligpartie+1, _xlfn.SEQUENCE(1, 4, 2)),
    INDEX(
      Donnees!$A:$Z,
      _xlpm.ligpartie + 3,
      MATCH(Q$1, _xlpm.joueurs, 0) + 1
    )
  ), ""
)</f>
        <v>2</v>
      </c>
      <c r="R267" t="str" cm="1">
        <f t="array" ref="R267">IFERROR(
  _xlfn.LET(
    _xlpm.ligpartie, MATCH($B266, Donnees!$F:$F, 0),
    _xlpm.joueurs, INDEX(Donnees!$A:$Z, _xlpm.ligpartie+1, _xlfn.SEQUENCE(1, 4, 2)),
    INDEX(
      Donnees!$A:$Z,
      _xlpm.ligpartie + 3,
      MATCH(R$1, _xlpm.joueurs, 0) + 1
    )
  ), ""
)</f>
        <v/>
      </c>
      <c r="S267" t="str" cm="1">
        <f t="array" ref="S267">IFERROR(
  _xlfn.LET(
    _xlpm.ligpartie, MATCH($B266, Donnees!$F:$F, 0),
    _xlpm.joueurs, INDEX(Donnees!$A:$Z, _xlpm.ligpartie+1, _xlfn.SEQUENCE(1, 4, 2)),
    INDEX(
      Donnees!$A:$Z,
      _xlpm.ligpartie + 3,
      MATCH(S$1, _xlpm.joueurs, 0) + 1
    )
  ), ""
)</f>
        <v/>
      </c>
      <c r="T267" t="str" cm="1">
        <f t="array" ref="T267">IFERROR(
  _xlfn.LET(
    _xlpm.ligpartie, MATCH($B266, Donnees!$F:$F, 0),
    _xlpm.joueurs, INDEX(Donnees!$A:$Z, _xlpm.ligpartie+1, _xlfn.SEQUENCE(1, 4, 2)),
    INDEX(
      Donnees!$A:$Z,
      _xlpm.ligpartie + 3,
      MATCH(T$1, _xlpm.joueurs, 0) + 1
    )
  ), ""
)</f>
        <v/>
      </c>
      <c r="U267" t="str" cm="1">
        <f t="array" ref="U267">IFERROR(
  _xlfn.LET(
    _xlpm.ligpartie, MATCH($B266, Donnees!$F:$F, 0),
    _xlpm.joueurs, INDEX(Donnees!$A:$Z, _xlpm.ligpartie+1, _xlfn.SEQUENCE(1, 4, 2)),
    INDEX(
      Donnees!$A:$Z,
      _xlpm.ligpartie + 3,
      MATCH(U$1, _xlpm.joueurs, 0) + 1
    )
  ), ""
)</f>
        <v/>
      </c>
      <c r="V267" t="str" cm="1">
        <f t="array" ref="V267">IFERROR(
  _xlfn.LET(
    _xlpm.ligpartie, MATCH($B266, Donnees!$F:$F, 0),
    _xlpm.joueurs, INDEX(Donnees!$A:$Z, _xlpm.ligpartie+1, _xlfn.SEQUENCE(1, 4, 2)),
    INDEX(
      Donnees!$A:$Z,
      _xlpm.ligpartie + 3,
      MATCH(V$1, _xlpm.joueurs, 0) + 1
    )
  ), ""
)</f>
        <v/>
      </c>
      <c r="W267" t="str" cm="1">
        <f t="array" ref="W267">IFERROR(
  _xlfn.LET(
    _xlpm.ligpartie, MATCH($B266, Donnees!$F:$F, 0),
    _xlpm.joueurs, INDEX(Donnees!$A:$Z, _xlpm.ligpartie+1, _xlfn.SEQUENCE(1, 4, 2)),
    INDEX(
      Donnees!$A:$Z,
      _xlpm.ligpartie + 3,
      MATCH(W$1, _xlpm.joueurs, 0) + 1
    )
  ), ""
)</f>
        <v/>
      </c>
      <c r="X267" t="str" cm="1">
        <f t="array" ref="X267">IFERROR(
  _xlfn.LET(
    _xlpm.ligpartie, MATCH($B266, Donnees!$F:$F, 0),
    _xlpm.joueurs, INDEX(Donnees!$A:$Z, _xlpm.ligpartie+1, _xlfn.SEQUENCE(1, 4, 2)),
    INDEX(
      Donnees!$A:$Z,
      _xlpm.ligpartie + 3,
      MATCH(X$1, _xlpm.joueurs, 0) + 1
    )
  ), ""
)</f>
        <v/>
      </c>
      <c r="Y267" t="str" cm="1">
        <f t="array" ref="Y267">IFERROR(
  _xlfn.LET(
    _xlpm.ligpartie, MATCH($B266, Donnees!$F:$F, 0),
    _xlpm.joueurs, INDEX(Donnees!$A:$Z, _xlpm.ligpartie+1, _xlfn.SEQUENCE(1, 4, 2)),
    INDEX(
      Donnees!$A:$Z,
      _xlpm.ligpartie + 3,
      MATCH(Y$1, _xlpm.joueurs, 0) + 1
    )
  ), ""
)</f>
        <v/>
      </c>
      <c r="Z267" t="str" cm="1">
        <f t="array" ref="Z267">IFERROR(
  _xlfn.LET(
    _xlpm.ligpartie, MATCH($B266, Donnees!$F:$F, 0),
    _xlpm.joueurs, INDEX(Donnees!$A:$Z, _xlpm.ligpartie+1, _xlfn.SEQUENCE(1, 4, 2)),
    INDEX(
      Donnees!$A:$Z,
      _xlpm.ligpartie + 3,
      MATCH(Z$1, _xlpm.joueurs, 0) + 1
    )
  ), ""
)</f>
        <v/>
      </c>
      <c r="AA267" t="str" cm="1">
        <f t="array" ref="AA267">IFERROR(
  _xlfn.LET(
    _xlpm.ligpartie, MATCH($B266, Donnees!$F:$F, 0),
    _xlpm.joueurs, INDEX(Donnees!$A:$Z, _xlpm.ligpartie+1, _xlfn.SEQUENCE(1, 4, 2)),
    INDEX(
      Donnees!$A:$Z,
      _xlpm.ligpartie + 3,
      MATCH(AA$1, _xlpm.joueurs, 0) + 1
    )
  ), ""
)</f>
        <v/>
      </c>
      <c r="AB267" t="str" cm="1">
        <f t="array" ref="AB267">IFERROR(
  _xlfn.LET(
    _xlpm.ligpartie, MATCH($B266, Donnees!$F:$F, 0),
    _xlpm.joueurs, INDEX(Donnees!$A:$Z, _xlpm.ligpartie+1, _xlfn.SEQUENCE(1, 4, 2)),
    INDEX(
      Donnees!$A:$Z,
      _xlpm.ligpartie + 3,
      MATCH(AB$1, _xlpm.joueurs, 0) + 1
    )
  ), ""
)</f>
        <v/>
      </c>
      <c r="AC267" t="str" cm="1">
        <f t="array" ref="AC267">IFERROR(
  _xlfn.LET(
    _xlpm.ligpartie, MATCH($B266, Donnees!$F:$F, 0),
    _xlpm.joueurs, INDEX(Donnees!$A:$Z, _xlpm.ligpartie+1, _xlfn.SEQUENCE(1, 4, 2)),
    INDEX(
      Donnees!$A:$Z,
      _xlpm.ligpartie + 3,
      MATCH(AC$1, _xlpm.joueurs, 0) + 1
    )
  ), ""
)</f>
        <v/>
      </c>
      <c r="AD267" t="str" cm="1">
        <f t="array" ref="AD267">IFERROR(
  _xlfn.LET(
    _xlpm.ligpartie, MATCH($B266, Donnees!$F:$F, 0),
    _xlpm.joueurs, INDEX(Donnees!$A:$Z, _xlpm.ligpartie+1, _xlfn.SEQUENCE(1, 4, 2)),
    INDEX(
      Donnees!$A:$Z,
      _xlpm.ligpartie + 3,
      MATCH(AD$1, _xlpm.joueurs, 0) + 1
    )
  ), ""
)</f>
        <v/>
      </c>
      <c r="AE267" t="str" cm="1">
        <f t="array" ref="AE267">IFERROR(
  _xlfn.LET(
    _xlpm.ligpartie, MATCH($B266, Donnees!$F:$F, 0),
    _xlpm.joueurs, INDEX(Donnees!$A:$Z, _xlpm.ligpartie+1, _xlfn.SEQUENCE(1, 4, 2)),
    INDEX(
      Donnees!$A:$Z,
      _xlpm.ligpartie + 3,
      MATCH(AE$1, _xlpm.joueurs, 0) + 1
    )
  ), ""
)</f>
        <v/>
      </c>
      <c r="AF267" t="str" cm="1">
        <f t="array" ref="AF267">IFERROR(
  _xlfn.LET(
    _xlpm.ligpartie, MATCH($B266, Donnees!$F:$F, 0),
    _xlpm.joueurs, INDEX(Donnees!$A:$Z, _xlpm.ligpartie+1, _xlfn.SEQUENCE(1, 4, 2)),
    INDEX(
      Donnees!$A:$Z,
      _xlpm.ligpartie + 3,
      MATCH(AF$1, _xlpm.joueurs, 0) + 1
    )
  ), ""
)</f>
        <v/>
      </c>
      <c r="AG267" t="str" cm="1">
        <f t="array" ref="AG267">IFERROR(
  _xlfn.LET(
    _xlpm.ligpartie, MATCH($B266, Donnees!$F:$F, 0),
    _xlpm.joueurs, INDEX(Donnees!$A:$Z, _xlpm.ligpartie+1, _xlfn.SEQUENCE(1, 4, 2)),
    INDEX(
      Donnees!$A:$Z,
      _xlpm.ligpartie + 3,
      MATCH(AG$1, _xlpm.joueurs, 0) + 1
    )
  ), ""
)</f>
        <v/>
      </c>
      <c r="AH267" t="str" cm="1">
        <f t="array" ref="AH267">IFERROR(
  _xlfn.LET(
    _xlpm.ligpartie, MATCH($B266, Donnees!$F:$F, 0),
    _xlpm.joueurs, INDEX(Donnees!$A:$Z, _xlpm.ligpartie+1, _xlfn.SEQUENCE(1, 4, 2)),
    INDEX(
      Donnees!$A:$Z,
      _xlpm.ligpartie + 3,
      MATCH(AH$1, _xlpm.joueurs, 0) + 1
    )
  ), ""
)</f>
        <v/>
      </c>
      <c r="AI267" t="str" cm="1">
        <f t="array" ref="AI267">IFERROR(
  _xlfn.LET(
    _xlpm.ligpartie, MATCH($B266, Donnees!$F:$F, 0),
    _xlpm.joueurs, INDEX(Donnees!$A:$Z, _xlpm.ligpartie+1, _xlfn.SEQUENCE(1, 4, 2)),
    INDEX(
      Donnees!$A:$Z,
      _xlpm.ligpartie + 3,
      MATCH(AI$1, _xlpm.joueurs, 0) + 1
    )
  ), ""
)</f>
        <v/>
      </c>
      <c r="AJ267" t="str" cm="1">
        <f t="array" ref="AJ267">IFERROR(
  _xlfn.LET(
    _xlpm.ligpartie, MATCH($B266, Donnees!$F:$F, 0),
    _xlpm.joueurs, INDEX(Donnees!$A:$Z, _xlpm.ligpartie+1, _xlfn.SEQUENCE(1, 4, 2)),
    INDEX(
      Donnees!$A:$Z,
      _xlpm.ligpartie + 3,
      MATCH(AJ$1, _xlpm.joueurs, 0) + 1
    )
  ), ""
)</f>
        <v/>
      </c>
      <c r="AK267" t="str" cm="1">
        <f t="array" ref="AK267">IFERROR(
  _xlfn.LET(
    _xlpm.ligpartie, MATCH($B266, Donnees!$F:$F, 0),
    _xlpm.joueurs, INDEX(Donnees!$A:$Z, _xlpm.ligpartie+1, _xlfn.SEQUENCE(1, 4, 2)),
    INDEX(
      Donnees!$A:$Z,
      _xlpm.ligpartie + 3,
      MATCH(AK$1, _xlpm.joueurs, 0) + 1
    )
  ), ""
)</f>
        <v/>
      </c>
      <c r="AL267" t="str" cm="1">
        <f t="array" ref="AL267">IFERROR(
  _xlfn.LET(
    _xlpm.ligpartie, MATCH($B266, Donnees!$F:$F, 0),
    _xlpm.joueurs, INDEX(Donnees!$A:$Z, _xlpm.ligpartie+1, _xlfn.SEQUENCE(1, 4, 2)),
    INDEX(
      Donnees!$A:$Z,
      _xlpm.ligpartie + 3,
      MATCH(AL$1, _xlpm.joueurs, 0) + 1
    )
  ), ""
)</f>
        <v/>
      </c>
      <c r="AM267" t="str" cm="1">
        <f t="array" ref="AM267">IFERROR(
  _xlfn.LET(
    _xlpm.ligpartie, MATCH($B266, Donnees!$F:$F, 0),
    _xlpm.joueurs, INDEX(Donnees!$A:$Z, _xlpm.ligpartie+1, _xlfn.SEQUENCE(1, 4, 2)),
    INDEX(
      Donnees!$A:$Z,
      _xlpm.ligpartie + 3,
      MATCH(AM$1, _xlpm.joueurs, 0) + 1
    )
  ), ""
)</f>
        <v/>
      </c>
    </row>
    <row r="268" spans="1:39" x14ac:dyDescent="0.25">
      <c r="A268" t="s">
        <v>20</v>
      </c>
      <c r="D268" t="str" cm="1">
        <f t="array" ref="D268">_xlfn.LET(
  _xlpm.colj, _xlfn._xlws.FILTER(IF(ISNUMBER(267:267), COLUMN(267:267)), ISNUMBER(267:267)),
  _xlpm.elos, INDEX(266:266,1,_xlpm.colj),
  _xlpm.diffscale, Constantes!$B$2,
  IF(D267="",
    "",
    SUM(1/(1+POWER(10,-(D266-_xlpm.elos)/_xlpm.diffscale)))-0.5)
)</f>
        <v/>
      </c>
      <c r="E268" cm="1">
        <f t="array" ref="E268">_xlfn.LET(
  _xlpm.colj, _xlfn._xlws.FILTER(IF(ISNUMBER(267:267), COLUMN(267:267)), ISNUMBER(267:267)),
  _xlpm.elos, INDEX(266:266,1,_xlpm.colj),
  _xlpm.diffscale, Constantes!$B$2,
  IF(E267="",
    "",
    SUM(1/(1+POWER(10,-(E266-_xlpm.elos)/_xlpm.diffscale)))-0.5)
)</f>
        <v>1.922270420165288</v>
      </c>
      <c r="F268" t="str" cm="1">
        <f t="array" ref="F268">_xlfn.LET(
  _xlpm.colj, _xlfn._xlws.FILTER(IF(ISNUMBER(267:267), COLUMN(267:267)), ISNUMBER(267:267)),
  _xlpm.elos, INDEX(266:266,1,_xlpm.colj),
  _xlpm.diffscale, Constantes!$B$2,
  IF(F267="",
    "",
    SUM(1/(1+POWER(10,-(F266-_xlpm.elos)/_xlpm.diffscale)))-0.5)
)</f>
        <v/>
      </c>
      <c r="G268" t="str" cm="1">
        <f t="array" ref="G268">_xlfn.LET(
  _xlpm.colj, _xlfn._xlws.FILTER(IF(ISNUMBER(267:267), COLUMN(267:267)), ISNUMBER(267:267)),
  _xlpm.elos, INDEX(266:266,1,_xlpm.colj),
  _xlpm.diffscale, Constantes!$B$2,
  IF(G267="",
    "",
    SUM(1/(1+POWER(10,-(G266-_xlpm.elos)/_xlpm.diffscale)))-0.5)
)</f>
        <v/>
      </c>
      <c r="H268" cm="1">
        <f t="array" ref="H268">_xlfn.LET(
  _xlpm.colj, _xlfn._xlws.FILTER(IF(ISNUMBER(267:267), COLUMN(267:267)), ISNUMBER(267:267)),
  _xlpm.elos, INDEX(266:266,1,_xlpm.colj),
  _xlpm.diffscale, Constantes!$B$2,
  IF(H267="",
    "",
    SUM(1/(1+POWER(10,-(H266-_xlpm.elos)/_xlpm.diffscale)))-0.5)
)</f>
        <v>1.3175336529435175</v>
      </c>
      <c r="I268" t="str" cm="1">
        <f t="array" ref="I268">_xlfn.LET(
  _xlpm.colj, _xlfn._xlws.FILTER(IF(ISNUMBER(267:267), COLUMN(267:267)), ISNUMBER(267:267)),
  _xlpm.elos, INDEX(266:266,1,_xlpm.colj),
  _xlpm.diffscale, Constantes!$B$2,
  IF(I267="",
    "",
    SUM(1/(1+POWER(10,-(I266-_xlpm.elos)/_xlpm.diffscale)))-0.5)
)</f>
        <v/>
      </c>
      <c r="J268" t="str" cm="1">
        <f t="array" ref="J268">_xlfn.LET(
  _xlpm.colj, _xlfn._xlws.FILTER(IF(ISNUMBER(267:267), COLUMN(267:267)), ISNUMBER(267:267)),
  _xlpm.elos, INDEX(266:266,1,_xlpm.colj),
  _xlpm.diffscale, Constantes!$B$2,
  IF(J267="",
    "",
    SUM(1/(1+POWER(10,-(J266-_xlpm.elos)/_xlpm.diffscale)))-0.5)
)</f>
        <v/>
      </c>
      <c r="K268" cm="1">
        <f t="array" ref="K268">_xlfn.LET(
  _xlpm.colj, _xlfn._xlws.FILTER(IF(ISNUMBER(267:267), COLUMN(267:267)), ISNUMBER(267:267)),
  _xlpm.elos, INDEX(266:266,1,_xlpm.colj),
  _xlpm.diffscale, Constantes!$B$2,
  IF(K267="",
    "",
    SUM(1/(1+POWER(10,-(K266-_xlpm.elos)/_xlpm.diffscale)))-0.5)
)</f>
        <v>1.0674148168315525</v>
      </c>
      <c r="L268" t="str" cm="1">
        <f t="array" ref="L268">_xlfn.LET(
  _xlpm.colj, _xlfn._xlws.FILTER(IF(ISNUMBER(267:267), COLUMN(267:267)), ISNUMBER(267:267)),
  _xlpm.elos, INDEX(266:266,1,_xlpm.colj),
  _xlpm.diffscale, Constantes!$B$2,
  IF(L267="",
    "",
    SUM(1/(1+POWER(10,-(L266-_xlpm.elos)/_xlpm.diffscale)))-0.5)
)</f>
        <v/>
      </c>
      <c r="M268" t="str" cm="1">
        <f t="array" ref="M268">_xlfn.LET(
  _xlpm.colj, _xlfn._xlws.FILTER(IF(ISNUMBER(267:267), COLUMN(267:267)), ISNUMBER(267:267)),
  _xlpm.elos, INDEX(266:266,1,_xlpm.colj),
  _xlpm.diffscale, Constantes!$B$2,
  IF(M267="",
    "",
    SUM(1/(1+POWER(10,-(M266-_xlpm.elos)/_xlpm.diffscale)))-0.5)
)</f>
        <v/>
      </c>
      <c r="N268" t="str" cm="1">
        <f t="array" ref="N268">_xlfn.LET(
  _xlpm.colj, _xlfn._xlws.FILTER(IF(ISNUMBER(267:267), COLUMN(267:267)), ISNUMBER(267:267)),
  _xlpm.elos, INDEX(266:266,1,_xlpm.colj),
  _xlpm.diffscale, Constantes!$B$2,
  IF(N267="",
    "",
    SUM(1/(1+POWER(10,-(N266-_xlpm.elos)/_xlpm.diffscale)))-0.5)
)</f>
        <v/>
      </c>
      <c r="O268" t="str" cm="1">
        <f t="array" ref="O268">_xlfn.LET(
  _xlpm.colj, _xlfn._xlws.FILTER(IF(ISNUMBER(267:267), COLUMN(267:267)), ISNUMBER(267:267)),
  _xlpm.elos, INDEX(266:266,1,_xlpm.colj),
  _xlpm.diffscale, Constantes!$B$2,
  IF(O267="",
    "",
    SUM(1/(1+POWER(10,-(O266-_xlpm.elos)/_xlpm.diffscale)))-0.5)
)</f>
        <v/>
      </c>
      <c r="P268" t="str" cm="1">
        <f t="array" ref="P268">_xlfn.LET(
  _xlpm.colj, _xlfn._xlws.FILTER(IF(ISNUMBER(267:267), COLUMN(267:267)), ISNUMBER(267:267)),
  _xlpm.elos, INDEX(266:266,1,_xlpm.colj),
  _xlpm.diffscale, Constantes!$B$2,
  IF(P267="",
    "",
    SUM(1/(1+POWER(10,-(P266-_xlpm.elos)/_xlpm.diffscale)))-0.5)
)</f>
        <v/>
      </c>
      <c r="Q268" cm="1">
        <f t="array" ref="Q268">_xlfn.LET(
  _xlpm.colj, _xlfn._xlws.FILTER(IF(ISNUMBER(267:267), COLUMN(267:267)), ISNUMBER(267:267)),
  _xlpm.elos, INDEX(266:266,1,_xlpm.colj),
  _xlpm.diffscale, Constantes!$B$2,
  IF(Q267="",
    "",
    SUM(1/(1+POWER(10,-(Q266-_xlpm.elos)/_xlpm.diffscale)))-0.5)
)</f>
        <v>1.6927811100596419</v>
      </c>
      <c r="R268" t="str" cm="1">
        <f t="array" ref="R268">_xlfn.LET(
  _xlpm.colj, _xlfn._xlws.FILTER(IF(ISNUMBER(267:267), COLUMN(267:267)), ISNUMBER(267:267)),
  _xlpm.elos, INDEX(266:266,1,_xlpm.colj),
  _xlpm.diffscale, Constantes!$B$2,
  IF(R267="",
    "",
    SUM(1/(1+POWER(10,-(R266-_xlpm.elos)/_xlpm.diffscale)))-0.5)
)</f>
        <v/>
      </c>
      <c r="S268" t="str" cm="1">
        <f t="array" ref="S268">_xlfn.LET(
  _xlpm.colj, _xlfn._xlws.FILTER(IF(ISNUMBER(267:267), COLUMN(267:267)), ISNUMBER(267:267)),
  _xlpm.elos, INDEX(266:266,1,_xlpm.colj),
  _xlpm.diffscale, Constantes!$B$2,
  IF(S267="",
    "",
    SUM(1/(1+POWER(10,-(S266-_xlpm.elos)/_xlpm.diffscale)))-0.5)
)</f>
        <v/>
      </c>
      <c r="T268" t="str" cm="1">
        <f t="array" ref="T268">_xlfn.LET(
  _xlpm.colj, _xlfn._xlws.FILTER(IF(ISNUMBER(267:267), COLUMN(267:267)), ISNUMBER(267:267)),
  _xlpm.elos, INDEX(266:266,1,_xlpm.colj),
  _xlpm.diffscale, Constantes!$B$2,
  IF(T267="",
    "",
    SUM(1/(1+POWER(10,-(T266-_xlpm.elos)/_xlpm.diffscale)))-0.5)
)</f>
        <v/>
      </c>
      <c r="U268" t="str" cm="1">
        <f t="array" ref="U268">_xlfn.LET(
  _xlpm.colj, _xlfn._xlws.FILTER(IF(ISNUMBER(267:267), COLUMN(267:267)), ISNUMBER(267:267)),
  _xlpm.elos, INDEX(266:266,1,_xlpm.colj),
  _xlpm.diffscale, Constantes!$B$2,
  IF(U267="",
    "",
    SUM(1/(1+POWER(10,-(U266-_xlpm.elos)/_xlpm.diffscale)))-0.5)
)</f>
        <v/>
      </c>
      <c r="V268" t="str" cm="1">
        <f t="array" ref="V268">_xlfn.LET(
  _xlpm.colj, _xlfn._xlws.FILTER(IF(ISNUMBER(267:267), COLUMN(267:267)), ISNUMBER(267:267)),
  _xlpm.elos, INDEX(266:266,1,_xlpm.colj),
  _xlpm.diffscale, Constantes!$B$2,
  IF(V267="",
    "",
    SUM(1/(1+POWER(10,-(V266-_xlpm.elos)/_xlpm.diffscale)))-0.5)
)</f>
        <v/>
      </c>
      <c r="W268" t="str" cm="1">
        <f t="array" ref="W268">_xlfn.LET(
  _xlpm.colj, _xlfn._xlws.FILTER(IF(ISNUMBER(267:267), COLUMN(267:267)), ISNUMBER(267:267)),
  _xlpm.elos, INDEX(266:266,1,_xlpm.colj),
  _xlpm.diffscale, Constantes!$B$2,
  IF(W267="",
    "",
    SUM(1/(1+POWER(10,-(W266-_xlpm.elos)/_xlpm.diffscale)))-0.5)
)</f>
        <v/>
      </c>
      <c r="X268" t="str" cm="1">
        <f t="array" ref="X268">_xlfn.LET(
  _xlpm.colj, _xlfn._xlws.FILTER(IF(ISNUMBER(267:267), COLUMN(267:267)), ISNUMBER(267:267)),
  _xlpm.elos, INDEX(266:266,1,_xlpm.colj),
  _xlpm.diffscale, Constantes!$B$2,
  IF(X267="",
    "",
    SUM(1/(1+POWER(10,-(X266-_xlpm.elos)/_xlpm.diffscale)))-0.5)
)</f>
        <v/>
      </c>
      <c r="Y268" t="str" cm="1">
        <f t="array" ref="Y268">_xlfn.LET(
  _xlpm.colj, _xlfn._xlws.FILTER(IF(ISNUMBER(267:267), COLUMN(267:267)), ISNUMBER(267:267)),
  _xlpm.elos, INDEX(266:266,1,_xlpm.colj),
  _xlpm.diffscale, Constantes!$B$2,
  IF(Y267="",
    "",
    SUM(1/(1+POWER(10,-(Y266-_xlpm.elos)/_xlpm.diffscale)))-0.5)
)</f>
        <v/>
      </c>
      <c r="Z268" t="str" cm="1">
        <f t="array" ref="Z268">_xlfn.LET(
  _xlpm.colj, _xlfn._xlws.FILTER(IF(ISNUMBER(267:267), COLUMN(267:267)), ISNUMBER(267:267)),
  _xlpm.elos, INDEX(266:266,1,_xlpm.colj),
  _xlpm.diffscale, Constantes!$B$2,
  IF(Z267="",
    "",
    SUM(1/(1+POWER(10,-(Z266-_xlpm.elos)/_xlpm.diffscale)))-0.5)
)</f>
        <v/>
      </c>
      <c r="AA268" t="str" cm="1">
        <f t="array" ref="AA268">_xlfn.LET(
  _xlpm.colj, _xlfn._xlws.FILTER(IF(ISNUMBER(267:267), COLUMN(267:267)), ISNUMBER(267:267)),
  _xlpm.elos, INDEX(266:266,1,_xlpm.colj),
  _xlpm.diffscale, Constantes!$B$2,
  IF(AA267="",
    "",
    SUM(1/(1+POWER(10,-(AA266-_xlpm.elos)/_xlpm.diffscale)))-0.5)
)</f>
        <v/>
      </c>
      <c r="AB268" t="str" cm="1">
        <f t="array" ref="AB268">_xlfn.LET(
  _xlpm.colj, _xlfn._xlws.FILTER(IF(ISNUMBER(267:267), COLUMN(267:267)), ISNUMBER(267:267)),
  _xlpm.elos, INDEX(266:266,1,_xlpm.colj),
  _xlpm.diffscale, Constantes!$B$2,
  IF(AB267="",
    "",
    SUM(1/(1+POWER(10,-(AB266-_xlpm.elos)/_xlpm.diffscale)))-0.5)
)</f>
        <v/>
      </c>
      <c r="AC268" t="str" cm="1">
        <f t="array" ref="AC268">_xlfn.LET(
  _xlpm.colj, _xlfn._xlws.FILTER(IF(ISNUMBER(267:267), COLUMN(267:267)), ISNUMBER(267:267)),
  _xlpm.elos, INDEX(266:266,1,_xlpm.colj),
  _xlpm.diffscale, Constantes!$B$2,
  IF(AC267="",
    "",
    SUM(1/(1+POWER(10,-(AC266-_xlpm.elos)/_xlpm.diffscale)))-0.5)
)</f>
        <v/>
      </c>
      <c r="AD268" t="str" cm="1">
        <f t="array" ref="AD268">_xlfn.LET(
  _xlpm.colj, _xlfn._xlws.FILTER(IF(ISNUMBER(267:267), COLUMN(267:267)), ISNUMBER(267:267)),
  _xlpm.elos, INDEX(266:266,1,_xlpm.colj),
  _xlpm.diffscale, Constantes!$B$2,
  IF(AD267="",
    "",
    SUM(1/(1+POWER(10,-(AD266-_xlpm.elos)/_xlpm.diffscale)))-0.5)
)</f>
        <v/>
      </c>
      <c r="AE268" t="str" cm="1">
        <f t="array" ref="AE268">_xlfn.LET(
  _xlpm.colj, _xlfn._xlws.FILTER(IF(ISNUMBER(267:267), COLUMN(267:267)), ISNUMBER(267:267)),
  _xlpm.elos, INDEX(266:266,1,_xlpm.colj),
  _xlpm.diffscale, Constantes!$B$2,
  IF(AE267="",
    "",
    SUM(1/(1+POWER(10,-(AE266-_xlpm.elos)/_xlpm.diffscale)))-0.5)
)</f>
        <v/>
      </c>
      <c r="AF268" t="str" cm="1">
        <f t="array" ref="AF268">_xlfn.LET(
  _xlpm.colj, _xlfn._xlws.FILTER(IF(ISNUMBER(267:267), COLUMN(267:267)), ISNUMBER(267:267)),
  _xlpm.elos, INDEX(266:266,1,_xlpm.colj),
  _xlpm.diffscale, Constantes!$B$2,
  IF(AF267="",
    "",
    SUM(1/(1+POWER(10,-(AF266-_xlpm.elos)/_xlpm.diffscale)))-0.5)
)</f>
        <v/>
      </c>
      <c r="AG268" t="str" cm="1">
        <f t="array" ref="AG268">_xlfn.LET(
  _xlpm.colj, _xlfn._xlws.FILTER(IF(ISNUMBER(267:267), COLUMN(267:267)), ISNUMBER(267:267)),
  _xlpm.elos, INDEX(266:266,1,_xlpm.colj),
  _xlpm.diffscale, Constantes!$B$2,
  IF(AG267="",
    "",
    SUM(1/(1+POWER(10,-(AG266-_xlpm.elos)/_xlpm.diffscale)))-0.5)
)</f>
        <v/>
      </c>
      <c r="AH268" t="str" cm="1">
        <f t="array" ref="AH268">_xlfn.LET(
  _xlpm.colj, _xlfn._xlws.FILTER(IF(ISNUMBER(267:267), COLUMN(267:267)), ISNUMBER(267:267)),
  _xlpm.elos, INDEX(266:266,1,_xlpm.colj),
  _xlpm.diffscale, Constantes!$B$2,
  IF(AH267="",
    "",
    SUM(1/(1+POWER(10,-(AH266-_xlpm.elos)/_xlpm.diffscale)))-0.5)
)</f>
        <v/>
      </c>
      <c r="AI268" t="str" cm="1">
        <f t="array" ref="AI268">_xlfn.LET(
  _xlpm.colj, _xlfn._xlws.FILTER(IF(ISNUMBER(267:267), COLUMN(267:267)), ISNUMBER(267:267)),
  _xlpm.elos, INDEX(266:266,1,_xlpm.colj),
  _xlpm.diffscale, Constantes!$B$2,
  IF(AI267="",
    "",
    SUM(1/(1+POWER(10,-(AI266-_xlpm.elos)/_xlpm.diffscale)))-0.5)
)</f>
        <v/>
      </c>
      <c r="AJ268" t="str" cm="1">
        <f t="array" ref="AJ268">_xlfn.LET(
  _xlpm.colj, _xlfn._xlws.FILTER(IF(ISNUMBER(267:267), COLUMN(267:267)), ISNUMBER(267:267)),
  _xlpm.elos, INDEX(266:266,1,_xlpm.colj),
  _xlpm.diffscale, Constantes!$B$2,
  IF(AJ267="",
    "",
    SUM(1/(1+POWER(10,-(AJ266-_xlpm.elos)/_xlpm.diffscale)))-0.5)
)</f>
        <v/>
      </c>
      <c r="AK268" t="str" cm="1">
        <f t="array" ref="AK268">_xlfn.LET(
  _xlpm.colj, _xlfn._xlws.FILTER(IF(ISNUMBER(267:267), COLUMN(267:267)), ISNUMBER(267:267)),
  _xlpm.elos, INDEX(266:266,1,_xlpm.colj),
  _xlpm.diffscale, Constantes!$B$2,
  IF(AK267="",
    "",
    SUM(1/(1+POWER(10,-(AK266-_xlpm.elos)/_xlpm.diffscale)))-0.5)
)</f>
        <v/>
      </c>
      <c r="AL268" t="str" cm="1">
        <f t="array" ref="AL268">_xlfn.LET(
  _xlpm.colj, _xlfn._xlws.FILTER(IF(ISNUMBER(267:267), COLUMN(267:267)), ISNUMBER(267:267)),
  _xlpm.elos, INDEX(266:266,1,_xlpm.colj),
  _xlpm.diffscale, Constantes!$B$2,
  IF(AL267="",
    "",
    SUM(1/(1+POWER(10,-(AL266-_xlpm.elos)/_xlpm.diffscale)))-0.5)
)</f>
        <v/>
      </c>
      <c r="AM268" t="str" cm="1">
        <f t="array" ref="AM268">_xlfn.LET(
  _xlpm.colj, _xlfn._xlws.FILTER(IF(ISNUMBER(267:267), COLUMN(267:267)), ISNUMBER(267:267)),
  _xlpm.elos, INDEX(266:266,1,_xlpm.colj),
  _xlpm.diffscale, Constantes!$B$2,
  IF(AM267="",
    "",
    SUM(1/(1+POWER(10,-(AM266-_xlpm.elos)/_xlpm.diffscale)))-0.5)
)</f>
        <v/>
      </c>
    </row>
    <row r="269" spans="1:39" x14ac:dyDescent="0.25">
      <c r="A269" t="s">
        <v>22</v>
      </c>
      <c r="D269" t="str" cm="1">
        <f t="array" ref="D269">_xlfn.LET(
  _xlpm.K, Constantes!$B$3,
  _xlpm.Knewgain, Constantes!$B$4,
  _xlpm.Knewscale, Constantes!$B$5,
  _xlpm.ptstables, INDEX(D:D, _xlfn.SEQUENCE(COUNTA($C$2:$C269), 1, 3, 4)),
  _xlpm.nbparties, COUNTA(_xlfn._xlws.FILTER(_xlpm.ptstables, _xlpm.ptstables &lt;&gt; "")),
  _xlpm.coef, _xlpm.K + _xlpm.Knewgain / (_xlpm.Knewscale + _xlpm.nbparties),
  IF(D267="",
    "",
    _xlpm.coef * (D267-D268))
)</f>
        <v/>
      </c>
      <c r="E269" cm="1">
        <f t="array" ref="E269">_xlfn.LET(
  _xlpm.K, Constantes!$B$3,
  _xlpm.Knewgain, Constantes!$B$4,
  _xlpm.Knewscale, Constantes!$B$5,
  _xlpm.ptstables, INDEX(E:E, _xlfn.SEQUENCE(COUNTA($C$2:$C269), 1, 3, 4)),
  _xlpm.nbparties, COUNTA(_xlfn._xlws.FILTER(_xlpm.ptstables, _xlpm.ptstables &lt;&gt; "")),
  _xlpm.coef, _xlpm.K + _xlpm.Knewgain / (_xlpm.Knewscale + _xlpm.nbparties),
  IF(E267="",
    "",
    _xlpm.coef * (E267-E268))
)</f>
        <v>-44.099144933203668</v>
      </c>
      <c r="F269" t="str" cm="1">
        <f t="array" ref="F269">_xlfn.LET(
  _xlpm.K, Constantes!$B$3,
  _xlpm.Knewgain, Constantes!$B$4,
  _xlpm.Knewscale, Constantes!$B$5,
  _xlpm.ptstables, INDEX(F:F, _xlfn.SEQUENCE(COUNTA($C$2:$C269), 1, 3, 4)),
  _xlpm.nbparties, COUNTA(_xlfn._xlws.FILTER(_xlpm.ptstables, _xlpm.ptstables &lt;&gt; "")),
  _xlpm.coef, _xlpm.K + _xlpm.Knewgain / (_xlpm.Knewscale + _xlpm.nbparties),
  IF(F267="",
    "",
    _xlpm.coef * (F267-F268))
)</f>
        <v/>
      </c>
      <c r="G269" t="str" cm="1">
        <f t="array" ref="G269">_xlfn.LET(
  _xlpm.K, Constantes!$B$3,
  _xlpm.Knewgain, Constantes!$B$4,
  _xlpm.Knewscale, Constantes!$B$5,
  _xlpm.ptstables, INDEX(G:G, _xlfn.SEQUENCE(COUNTA($C$2:$C269), 1, 3, 4)),
  _xlpm.nbparties, COUNTA(_xlfn._xlws.FILTER(_xlpm.ptstables, _xlpm.ptstables &lt;&gt; "")),
  _xlpm.coef, _xlpm.K + _xlpm.Knewgain / (_xlpm.Knewscale + _xlpm.nbparties),
  IF(G267="",
    "",
    _xlpm.coef * (G267-G268))
)</f>
        <v/>
      </c>
      <c r="H269" cm="1">
        <f t="array" ref="H269">_xlfn.LET(
  _xlpm.K, Constantes!$B$3,
  _xlpm.Knewgain, Constantes!$B$4,
  _xlpm.Knewscale, Constantes!$B$5,
  _xlpm.ptstables, INDEX(H:H, _xlfn.SEQUENCE(COUNTA($C$2:$C269), 1, 3, 4)),
  _xlpm.nbparties, COUNTA(_xlfn._xlws.FILTER(_xlpm.ptstables, _xlpm.ptstables &lt;&gt; "")),
  _xlpm.coef, _xlpm.K + _xlpm.Knewgain / (_xlpm.Knewscale + _xlpm.nbparties),
  IF(H267="",
    "",
    _xlpm.coef * (H267-H268))
)</f>
        <v>42.061658676412058</v>
      </c>
      <c r="I269" t="str" cm="1">
        <f t="array" ref="I269">_xlfn.LET(
  _xlpm.K, Constantes!$B$3,
  _xlpm.Knewgain, Constantes!$B$4,
  _xlpm.Knewscale, Constantes!$B$5,
  _xlpm.ptstables, INDEX(I:I, _xlfn.SEQUENCE(COUNTA($C$2:$C269), 1, 3, 4)),
  _xlpm.nbparties, COUNTA(_xlfn._xlws.FILTER(_xlpm.ptstables, _xlpm.ptstables &lt;&gt; "")),
  _xlpm.coef, _xlpm.K + _xlpm.Knewgain / (_xlpm.Knewscale + _xlpm.nbparties),
  IF(I267="",
    "",
    _xlpm.coef * (I267-I268))
)</f>
        <v/>
      </c>
      <c r="J269" t="str" cm="1">
        <f t="array" ref="J269">_xlfn.LET(
  _xlpm.K, Constantes!$B$3,
  _xlpm.Knewgain, Constantes!$B$4,
  _xlpm.Knewscale, Constantes!$B$5,
  _xlpm.ptstables, INDEX(J:J, _xlfn.SEQUENCE(COUNTA($C$2:$C269), 1, 3, 4)),
  _xlpm.nbparties, COUNTA(_xlfn._xlws.FILTER(_xlpm.ptstables, _xlpm.ptstables &lt;&gt; "")),
  _xlpm.coef, _xlpm.K + _xlpm.Knewgain / (_xlpm.Knewscale + _xlpm.nbparties),
  IF(J267="",
    "",
    _xlpm.coef * (J267-J268))
)</f>
        <v/>
      </c>
      <c r="K269" cm="1">
        <f t="array" ref="K269">_xlfn.LET(
  _xlpm.K, Constantes!$B$3,
  _xlpm.Knewgain, Constantes!$B$4,
  _xlpm.Knewscale, Constantes!$B$5,
  _xlpm.ptstables, INDEX(K:K, _xlfn.SEQUENCE(COUNTA($C$2:$C269), 1, 3, 4)),
  _xlpm.nbparties, COUNTA(_xlfn._xlws.FILTER(_xlpm.ptstables, _xlpm.ptstables &lt;&gt; "")),
  _xlpm.coef, _xlpm.K + _xlpm.Knewgain / (_xlpm.Knewscale + _xlpm.nbparties),
  IF(K267="",
    "",
    _xlpm.coef * (K267-K268))
)</f>
        <v>-1.7228230968063414</v>
      </c>
      <c r="L269" t="str" cm="1">
        <f t="array" ref="L269">_xlfn.LET(
  _xlpm.K, Constantes!$B$3,
  _xlpm.Knewgain, Constantes!$B$4,
  _xlpm.Knewscale, Constantes!$B$5,
  _xlpm.ptstables, INDEX(L:L, _xlfn.SEQUENCE(COUNTA($C$2:$C269), 1, 3, 4)),
  _xlpm.nbparties, COUNTA(_xlfn._xlws.FILTER(_xlpm.ptstables, _xlpm.ptstables &lt;&gt; "")),
  _xlpm.coef, _xlpm.K + _xlpm.Knewgain / (_xlpm.Knewscale + _xlpm.nbparties),
  IF(L267="",
    "",
    _xlpm.coef * (L267-L268))
)</f>
        <v/>
      </c>
      <c r="M269" t="str" cm="1">
        <f t="array" ref="M269">_xlfn.LET(
  _xlpm.K, Constantes!$B$3,
  _xlpm.Knewgain, Constantes!$B$4,
  _xlpm.Knewscale, Constantes!$B$5,
  _xlpm.ptstables, INDEX(M:M, _xlfn.SEQUENCE(COUNTA($C$2:$C269), 1, 3, 4)),
  _xlpm.nbparties, COUNTA(_xlfn._xlws.FILTER(_xlpm.ptstables, _xlpm.ptstables &lt;&gt; "")),
  _xlpm.coef, _xlpm.K + _xlpm.Knewgain / (_xlpm.Knewscale + _xlpm.nbparties),
  IF(M267="",
    "",
    _xlpm.coef * (M267-M268))
)</f>
        <v/>
      </c>
      <c r="N269" t="str" cm="1">
        <f t="array" ref="N269">_xlfn.LET(
  _xlpm.K, Constantes!$B$3,
  _xlpm.Knewgain, Constantes!$B$4,
  _xlpm.Knewscale, Constantes!$B$5,
  _xlpm.ptstables, INDEX(N:N, _xlfn.SEQUENCE(COUNTA($C$2:$C269), 1, 3, 4)),
  _xlpm.nbparties, COUNTA(_xlfn._xlws.FILTER(_xlpm.ptstables, _xlpm.ptstables &lt;&gt; "")),
  _xlpm.coef, _xlpm.K + _xlpm.Knewgain / (_xlpm.Knewscale + _xlpm.nbparties),
  IF(N267="",
    "",
    _xlpm.coef * (N267-N268))
)</f>
        <v/>
      </c>
      <c r="O269" t="str" cm="1">
        <f t="array" ref="O269">_xlfn.LET(
  _xlpm.K, Constantes!$B$3,
  _xlpm.Knewgain, Constantes!$B$4,
  _xlpm.Knewscale, Constantes!$B$5,
  _xlpm.ptstables, INDEX(O:O, _xlfn.SEQUENCE(COUNTA($C$2:$C269), 1, 3, 4)),
  _xlpm.nbparties, COUNTA(_xlfn._xlws.FILTER(_xlpm.ptstables, _xlpm.ptstables &lt;&gt; "")),
  _xlpm.coef, _xlpm.K + _xlpm.Knewgain / (_xlpm.Knewscale + _xlpm.nbparties),
  IF(O267="",
    "",
    _xlpm.coef * (O267-O268))
)</f>
        <v/>
      </c>
      <c r="P269" t="str" cm="1">
        <f t="array" ref="P269">_xlfn.LET(
  _xlpm.K, Constantes!$B$3,
  _xlpm.Knewgain, Constantes!$B$4,
  _xlpm.Knewscale, Constantes!$B$5,
  _xlpm.ptstables, INDEX(P:P, _xlfn.SEQUENCE(COUNTA($C$2:$C269), 1, 3, 4)),
  _xlpm.nbparties, COUNTA(_xlfn._xlws.FILTER(_xlpm.ptstables, _xlpm.ptstables &lt;&gt; "")),
  _xlpm.coef, _xlpm.K + _xlpm.Knewgain / (_xlpm.Knewscale + _xlpm.nbparties),
  IF(P267="",
    "",
    _xlpm.coef * (P267-P268))
)</f>
        <v/>
      </c>
      <c r="Q269" cm="1">
        <f t="array" ref="Q269">_xlfn.LET(
  _xlpm.K, Constantes!$B$3,
  _xlpm.Knewgain, Constantes!$B$4,
  _xlpm.Knewscale, Constantes!$B$5,
  _xlpm.ptstables, INDEX(Q:Q, _xlfn.SEQUENCE(COUNTA($C$2:$C269), 1, 3, 4)),
  _xlpm.nbparties, COUNTA(_xlfn._xlws.FILTER(_xlpm.ptstables, _xlpm.ptstables &lt;&gt; "")),
  _xlpm.coef, _xlpm.K + _xlpm.Knewgain / (_xlpm.Knewscale + _xlpm.nbparties),
  IF(Q267="",
    "",
    _xlpm.coef * (Q267-Q268))
)</f>
        <v>6.9977636041970452</v>
      </c>
      <c r="R269" t="str" cm="1">
        <f t="array" ref="R269">_xlfn.LET(
  _xlpm.K, Constantes!$B$3,
  _xlpm.Knewgain, Constantes!$B$4,
  _xlpm.Knewscale, Constantes!$B$5,
  _xlpm.ptstables, INDEX(R:R, _xlfn.SEQUENCE(COUNTA($C$2:$C269), 1, 3, 4)),
  _xlpm.nbparties, COUNTA(_xlfn._xlws.FILTER(_xlpm.ptstables, _xlpm.ptstables &lt;&gt; "")),
  _xlpm.coef, _xlpm.K + _xlpm.Knewgain / (_xlpm.Knewscale + _xlpm.nbparties),
  IF(R267="",
    "",
    _xlpm.coef * (R267-R268))
)</f>
        <v/>
      </c>
      <c r="S269" t="str" cm="1">
        <f t="array" ref="S269">_xlfn.LET(
  _xlpm.K, Constantes!$B$3,
  _xlpm.Knewgain, Constantes!$B$4,
  _xlpm.Knewscale, Constantes!$B$5,
  _xlpm.ptstables, INDEX(S:S, _xlfn.SEQUENCE(COUNTA($C$2:$C269), 1, 3, 4)),
  _xlpm.nbparties, COUNTA(_xlfn._xlws.FILTER(_xlpm.ptstables, _xlpm.ptstables &lt;&gt; "")),
  _xlpm.coef, _xlpm.K + _xlpm.Knewgain / (_xlpm.Knewscale + _xlpm.nbparties),
  IF(S267="",
    "",
    _xlpm.coef * (S267-S268))
)</f>
        <v/>
      </c>
      <c r="T269" t="str" cm="1">
        <f t="array" ref="T269">_xlfn.LET(
  _xlpm.K, Constantes!$B$3,
  _xlpm.Knewgain, Constantes!$B$4,
  _xlpm.Knewscale, Constantes!$B$5,
  _xlpm.ptstables, INDEX(T:T, _xlfn.SEQUENCE(COUNTA($C$2:$C269), 1, 3, 4)),
  _xlpm.nbparties, COUNTA(_xlfn._xlws.FILTER(_xlpm.ptstables, _xlpm.ptstables &lt;&gt; "")),
  _xlpm.coef, _xlpm.K + _xlpm.Knewgain / (_xlpm.Knewscale + _xlpm.nbparties),
  IF(T267="",
    "",
    _xlpm.coef * (T267-T268))
)</f>
        <v/>
      </c>
      <c r="U269" t="str" cm="1">
        <f t="array" ref="U269">_xlfn.LET(
  _xlpm.K, Constantes!$B$3,
  _xlpm.Knewgain, Constantes!$B$4,
  _xlpm.Knewscale, Constantes!$B$5,
  _xlpm.ptstables, INDEX(U:U, _xlfn.SEQUENCE(COUNTA($C$2:$C269), 1, 3, 4)),
  _xlpm.nbparties, COUNTA(_xlfn._xlws.FILTER(_xlpm.ptstables, _xlpm.ptstables &lt;&gt; "")),
  _xlpm.coef, _xlpm.K + _xlpm.Knewgain / (_xlpm.Knewscale + _xlpm.nbparties),
  IF(U267="",
    "",
    _xlpm.coef * (U267-U268))
)</f>
        <v/>
      </c>
      <c r="V269" t="str" cm="1">
        <f t="array" ref="V269">_xlfn.LET(
  _xlpm.K, Constantes!$B$3,
  _xlpm.Knewgain, Constantes!$B$4,
  _xlpm.Knewscale, Constantes!$B$5,
  _xlpm.ptstables, INDEX(V:V, _xlfn.SEQUENCE(COUNTA($C$2:$C269), 1, 3, 4)),
  _xlpm.nbparties, COUNTA(_xlfn._xlws.FILTER(_xlpm.ptstables, _xlpm.ptstables &lt;&gt; "")),
  _xlpm.coef, _xlpm.K + _xlpm.Knewgain / (_xlpm.Knewscale + _xlpm.nbparties),
  IF(V267="",
    "",
    _xlpm.coef * (V267-V268))
)</f>
        <v/>
      </c>
      <c r="W269" t="str" cm="1">
        <f t="array" ref="W269">_xlfn.LET(
  _xlpm.K, Constantes!$B$3,
  _xlpm.Knewgain, Constantes!$B$4,
  _xlpm.Knewscale, Constantes!$B$5,
  _xlpm.ptstables, INDEX(W:W, _xlfn.SEQUENCE(COUNTA($C$2:$C269), 1, 3, 4)),
  _xlpm.nbparties, COUNTA(_xlfn._xlws.FILTER(_xlpm.ptstables, _xlpm.ptstables &lt;&gt; "")),
  _xlpm.coef, _xlpm.K + _xlpm.Knewgain / (_xlpm.Knewscale + _xlpm.nbparties),
  IF(W267="",
    "",
    _xlpm.coef * (W267-W268))
)</f>
        <v/>
      </c>
      <c r="X269" t="str" cm="1">
        <f t="array" ref="X269">_xlfn.LET(
  _xlpm.K, Constantes!$B$3,
  _xlpm.Knewgain, Constantes!$B$4,
  _xlpm.Knewscale, Constantes!$B$5,
  _xlpm.ptstables, INDEX(X:X, _xlfn.SEQUENCE(COUNTA($C$2:$C269), 1, 3, 4)),
  _xlpm.nbparties, COUNTA(_xlfn._xlws.FILTER(_xlpm.ptstables, _xlpm.ptstables &lt;&gt; "")),
  _xlpm.coef, _xlpm.K + _xlpm.Knewgain / (_xlpm.Knewscale + _xlpm.nbparties),
  IF(X267="",
    "",
    _xlpm.coef * (X267-X268))
)</f>
        <v/>
      </c>
      <c r="Y269" t="str" cm="1">
        <f t="array" ref="Y269">_xlfn.LET(
  _xlpm.K, Constantes!$B$3,
  _xlpm.Knewgain, Constantes!$B$4,
  _xlpm.Knewscale, Constantes!$B$5,
  _xlpm.ptstables, INDEX(Y:Y, _xlfn.SEQUENCE(COUNTA($C$2:$C269), 1, 3, 4)),
  _xlpm.nbparties, COUNTA(_xlfn._xlws.FILTER(_xlpm.ptstables, _xlpm.ptstables &lt;&gt; "")),
  _xlpm.coef, _xlpm.K + _xlpm.Knewgain / (_xlpm.Knewscale + _xlpm.nbparties),
  IF(Y267="",
    "",
    _xlpm.coef * (Y267-Y268))
)</f>
        <v/>
      </c>
      <c r="Z269" t="str" cm="1">
        <f t="array" ref="Z269">_xlfn.LET(
  _xlpm.K, Constantes!$B$3,
  _xlpm.Knewgain, Constantes!$B$4,
  _xlpm.Knewscale, Constantes!$B$5,
  _xlpm.ptstables, INDEX(Z:Z, _xlfn.SEQUENCE(COUNTA($C$2:$C269), 1, 3, 4)),
  _xlpm.nbparties, COUNTA(_xlfn._xlws.FILTER(_xlpm.ptstables, _xlpm.ptstables &lt;&gt; "")),
  _xlpm.coef, _xlpm.K + _xlpm.Knewgain / (_xlpm.Knewscale + _xlpm.nbparties),
  IF(Z267="",
    "",
    _xlpm.coef * (Z267-Z268))
)</f>
        <v/>
      </c>
      <c r="AA269" t="str" cm="1">
        <f t="array" ref="AA269">_xlfn.LET(
  _xlpm.K, Constantes!$B$3,
  _xlpm.Knewgain, Constantes!$B$4,
  _xlpm.Knewscale, Constantes!$B$5,
  _xlpm.ptstables, INDEX(AA:AA, _xlfn.SEQUENCE(COUNTA($C$2:$C269), 1, 3, 4)),
  _xlpm.nbparties, COUNTA(_xlfn._xlws.FILTER(_xlpm.ptstables, _xlpm.ptstables &lt;&gt; "")),
  _xlpm.coef, _xlpm.K + _xlpm.Knewgain / (_xlpm.Knewscale + _xlpm.nbparties),
  IF(AA267="",
    "",
    _xlpm.coef * (AA267-AA268))
)</f>
        <v/>
      </c>
      <c r="AB269" t="str" cm="1">
        <f t="array" ref="AB269">_xlfn.LET(
  _xlpm.K, Constantes!$B$3,
  _xlpm.Knewgain, Constantes!$B$4,
  _xlpm.Knewscale, Constantes!$B$5,
  _xlpm.ptstables, INDEX(AB:AB, _xlfn.SEQUENCE(COUNTA($C$2:$C269), 1, 3, 4)),
  _xlpm.nbparties, COUNTA(_xlfn._xlws.FILTER(_xlpm.ptstables, _xlpm.ptstables &lt;&gt; "")),
  _xlpm.coef, _xlpm.K + _xlpm.Knewgain / (_xlpm.Knewscale + _xlpm.nbparties),
  IF(AB267="",
    "",
    _xlpm.coef * (AB267-AB268))
)</f>
        <v/>
      </c>
      <c r="AC269" t="str" cm="1">
        <f t="array" ref="AC269">_xlfn.LET(
  _xlpm.K, Constantes!$B$3,
  _xlpm.Knewgain, Constantes!$B$4,
  _xlpm.Knewscale, Constantes!$B$5,
  _xlpm.ptstables, INDEX(AC:AC, _xlfn.SEQUENCE(COUNTA($C$2:$C269), 1, 3, 4)),
  _xlpm.nbparties, COUNTA(_xlfn._xlws.FILTER(_xlpm.ptstables, _xlpm.ptstables &lt;&gt; "")),
  _xlpm.coef, _xlpm.K + _xlpm.Knewgain / (_xlpm.Knewscale + _xlpm.nbparties),
  IF(AC267="",
    "",
    _xlpm.coef * (AC267-AC268))
)</f>
        <v/>
      </c>
      <c r="AD269" t="str" cm="1">
        <f t="array" ref="AD269">_xlfn.LET(
  _xlpm.K, Constantes!$B$3,
  _xlpm.Knewgain, Constantes!$B$4,
  _xlpm.Knewscale, Constantes!$B$5,
  _xlpm.ptstables, INDEX(AD:AD, _xlfn.SEQUENCE(COUNTA($C$2:$C269), 1, 3, 4)),
  _xlpm.nbparties, COUNTA(_xlfn._xlws.FILTER(_xlpm.ptstables, _xlpm.ptstables &lt;&gt; "")),
  _xlpm.coef, _xlpm.K + _xlpm.Knewgain / (_xlpm.Knewscale + _xlpm.nbparties),
  IF(AD267="",
    "",
    _xlpm.coef * (AD267-AD268))
)</f>
        <v/>
      </c>
      <c r="AE269" t="str" cm="1">
        <f t="array" ref="AE269">_xlfn.LET(
  _xlpm.K, Constantes!$B$3,
  _xlpm.Knewgain, Constantes!$B$4,
  _xlpm.Knewscale, Constantes!$B$5,
  _xlpm.ptstables, INDEX(AE:AE, _xlfn.SEQUENCE(COUNTA($C$2:$C269), 1, 3, 4)),
  _xlpm.nbparties, COUNTA(_xlfn._xlws.FILTER(_xlpm.ptstables, _xlpm.ptstables &lt;&gt; "")),
  _xlpm.coef, _xlpm.K + _xlpm.Knewgain / (_xlpm.Knewscale + _xlpm.nbparties),
  IF(AE267="",
    "",
    _xlpm.coef * (AE267-AE268))
)</f>
        <v/>
      </c>
      <c r="AF269" t="str" cm="1">
        <f t="array" ref="AF269">_xlfn.LET(
  _xlpm.K, Constantes!$B$3,
  _xlpm.Knewgain, Constantes!$B$4,
  _xlpm.Knewscale, Constantes!$B$5,
  _xlpm.ptstables, INDEX(AF:AF, _xlfn.SEQUENCE(COUNTA($C$2:$C269), 1, 3, 4)),
  _xlpm.nbparties, COUNTA(_xlfn._xlws.FILTER(_xlpm.ptstables, _xlpm.ptstables &lt;&gt; "")),
  _xlpm.coef, _xlpm.K + _xlpm.Knewgain / (_xlpm.Knewscale + _xlpm.nbparties),
  IF(AF267="",
    "",
    _xlpm.coef * (AF267-AF268))
)</f>
        <v/>
      </c>
      <c r="AG269" t="str" cm="1">
        <f t="array" ref="AG269">_xlfn.LET(
  _xlpm.K, Constantes!$B$3,
  _xlpm.Knewgain, Constantes!$B$4,
  _xlpm.Knewscale, Constantes!$B$5,
  _xlpm.ptstables, INDEX(AG:AG, _xlfn.SEQUENCE(COUNTA($C$2:$C269), 1, 3, 4)),
  _xlpm.nbparties, COUNTA(_xlfn._xlws.FILTER(_xlpm.ptstables, _xlpm.ptstables &lt;&gt; "")),
  _xlpm.coef, _xlpm.K + _xlpm.Knewgain / (_xlpm.Knewscale + _xlpm.nbparties),
  IF(AG267="",
    "",
    _xlpm.coef * (AG267-AG268))
)</f>
        <v/>
      </c>
      <c r="AH269" t="str" cm="1">
        <f t="array" ref="AH269">_xlfn.LET(
  _xlpm.K, Constantes!$B$3,
  _xlpm.Knewgain, Constantes!$B$4,
  _xlpm.Knewscale, Constantes!$B$5,
  _xlpm.ptstables, INDEX(AH:AH, _xlfn.SEQUENCE(COUNTA($C$2:$C269), 1, 3, 4)),
  _xlpm.nbparties, COUNTA(_xlfn._xlws.FILTER(_xlpm.ptstables, _xlpm.ptstables &lt;&gt; "")),
  _xlpm.coef, _xlpm.K + _xlpm.Knewgain / (_xlpm.Knewscale + _xlpm.nbparties),
  IF(AH267="",
    "",
    _xlpm.coef * (AH267-AH268))
)</f>
        <v/>
      </c>
      <c r="AI269" t="str" cm="1">
        <f t="array" ref="AI269">_xlfn.LET(
  _xlpm.K, Constantes!$B$3,
  _xlpm.Knewgain, Constantes!$B$4,
  _xlpm.Knewscale, Constantes!$B$5,
  _xlpm.ptstables, INDEX(AI:AI, _xlfn.SEQUENCE(COUNTA($C$2:$C269), 1, 3, 4)),
  _xlpm.nbparties, COUNTA(_xlfn._xlws.FILTER(_xlpm.ptstables, _xlpm.ptstables &lt;&gt; "")),
  _xlpm.coef, _xlpm.K + _xlpm.Knewgain / (_xlpm.Knewscale + _xlpm.nbparties),
  IF(AI267="",
    "",
    _xlpm.coef * (AI267-AI268))
)</f>
        <v/>
      </c>
      <c r="AJ269" t="str" cm="1">
        <f t="array" ref="AJ269">_xlfn.LET(
  _xlpm.K, Constantes!$B$3,
  _xlpm.Knewgain, Constantes!$B$4,
  _xlpm.Knewscale, Constantes!$B$5,
  _xlpm.ptstables, INDEX(AJ:AJ, _xlfn.SEQUENCE(COUNTA($C$2:$C269), 1, 3, 4)),
  _xlpm.nbparties, COUNTA(_xlfn._xlws.FILTER(_xlpm.ptstables, _xlpm.ptstables &lt;&gt; "")),
  _xlpm.coef, _xlpm.K + _xlpm.Knewgain / (_xlpm.Knewscale + _xlpm.nbparties),
  IF(AJ267="",
    "",
    _xlpm.coef * (AJ267-AJ268))
)</f>
        <v/>
      </c>
      <c r="AK269" t="str" cm="1">
        <f t="array" ref="AK269">_xlfn.LET(
  _xlpm.K, Constantes!$B$3,
  _xlpm.Knewgain, Constantes!$B$4,
  _xlpm.Knewscale, Constantes!$B$5,
  _xlpm.ptstables, INDEX(AK:AK, _xlfn.SEQUENCE(COUNTA($C$2:$C269), 1, 3, 4)),
  _xlpm.nbparties, COUNTA(_xlfn._xlws.FILTER(_xlpm.ptstables, _xlpm.ptstables &lt;&gt; "")),
  _xlpm.coef, _xlpm.K + _xlpm.Knewgain / (_xlpm.Knewscale + _xlpm.nbparties),
  IF(AK267="",
    "",
    _xlpm.coef * (AK267-AK268))
)</f>
        <v/>
      </c>
      <c r="AL269" t="str" cm="1">
        <f t="array" ref="AL269">_xlfn.LET(
  _xlpm.K, Constantes!$B$3,
  _xlpm.Knewgain, Constantes!$B$4,
  _xlpm.Knewscale, Constantes!$B$5,
  _xlpm.ptstables, INDEX(AL:AL, _xlfn.SEQUENCE(COUNTA($C$2:$C269), 1, 3, 4)),
  _xlpm.nbparties, COUNTA(_xlfn._xlws.FILTER(_xlpm.ptstables, _xlpm.ptstables &lt;&gt; "")),
  _xlpm.coef, _xlpm.K + _xlpm.Knewgain / (_xlpm.Knewscale + _xlpm.nbparties),
  IF(AL267="",
    "",
    _xlpm.coef * (AL267-AL268))
)</f>
        <v/>
      </c>
      <c r="AM269" t="str" cm="1">
        <f t="array" ref="AM269">_xlfn.LET(
  _xlpm.K, Constantes!$B$3,
  _xlpm.Knewgain, Constantes!$B$4,
  _xlpm.Knewscale, Constantes!$B$5,
  _xlpm.ptstables, INDEX(AM:AM, _xlfn.SEQUENCE(COUNTA($C$2:$C269), 1, 3, 4)),
  _xlpm.nbparties, COUNTA(_xlfn._xlws.FILTER(_xlpm.ptstables, _xlpm.ptstables &lt;&gt; "")),
  _xlpm.coef, _xlpm.K + _xlpm.Knewgain / (_xlpm.Knewscale + _xlpm.nbparties),
  IF(AM267="",
    "",
    _xlpm.coef * (AM267-AM268))
)</f>
        <v/>
      </c>
    </row>
    <row r="270" spans="1:39" x14ac:dyDescent="0.25">
      <c r="A270" t="s">
        <v>14</v>
      </c>
      <c r="B270" t="str" cm="1">
        <f t="array" ref="B27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65</v>
      </c>
      <c r="C270" s="2" cm="1">
        <f t="array" ref="C270">IF(B270="","",
  INDEX(Donnees!F:F, MATCH(B270, Donnees!F:F, 0)+1))</f>
        <v>45941.69259259259</v>
      </c>
      <c r="D270">
        <f t="shared" ref="D270:AM270" si="75">D266+IF(D269="",0,D269)</f>
        <v>1033.1893307292305</v>
      </c>
      <c r="E270">
        <f t="shared" si="75"/>
        <v>1106.7590060534542</v>
      </c>
      <c r="F270">
        <f t="shared" si="75"/>
        <v>847.48442671390455</v>
      </c>
      <c r="G270">
        <f t="shared" si="75"/>
        <v>1118.8779378975084</v>
      </c>
      <c r="H270">
        <f t="shared" si="75"/>
        <v>1083.5445464565155</v>
      </c>
      <c r="I270">
        <f t="shared" si="75"/>
        <v>929.90115121897634</v>
      </c>
      <c r="J270">
        <f t="shared" si="75"/>
        <v>1010.9125108504293</v>
      </c>
      <c r="K270">
        <f t="shared" si="75"/>
        <v>993.90254614824482</v>
      </c>
      <c r="L270">
        <f t="shared" si="75"/>
        <v>766.95119884458973</v>
      </c>
      <c r="M270">
        <f t="shared" si="75"/>
        <v>913.41986361738122</v>
      </c>
      <c r="N270">
        <f t="shared" si="75"/>
        <v>893.28591153844093</v>
      </c>
      <c r="O270">
        <f t="shared" si="75"/>
        <v>998.21178722110983</v>
      </c>
      <c r="P270">
        <f t="shared" si="75"/>
        <v>1044.694691960626</v>
      </c>
      <c r="Q270">
        <f t="shared" si="75"/>
        <v>1115.7943048456248</v>
      </c>
      <c r="R270">
        <f t="shared" si="75"/>
        <v>1079.5543015631583</v>
      </c>
      <c r="S270">
        <f t="shared" si="75"/>
        <v>987.64110681918737</v>
      </c>
      <c r="T270">
        <f t="shared" si="75"/>
        <v>1131.4597823090139</v>
      </c>
      <c r="U270">
        <f t="shared" si="75"/>
        <v>1137.0758429394593</v>
      </c>
      <c r="V270">
        <f t="shared" si="75"/>
        <v>951.23563726152827</v>
      </c>
      <c r="W270">
        <f t="shared" si="75"/>
        <v>936.79085942937002</v>
      </c>
      <c r="X270">
        <f t="shared" si="75"/>
        <v>821.21862791564456</v>
      </c>
      <c r="Y270">
        <f t="shared" si="75"/>
        <v>931.23839137236723</v>
      </c>
      <c r="Z270">
        <f t="shared" si="75"/>
        <v>991.11904139672549</v>
      </c>
      <c r="AA270">
        <f t="shared" si="75"/>
        <v>966.24279289689184</v>
      </c>
      <c r="AB270">
        <f t="shared" si="75"/>
        <v>988.35669729544747</v>
      </c>
      <c r="AC270">
        <f t="shared" si="75"/>
        <v>1039.1635789679592</v>
      </c>
      <c r="AD270">
        <f t="shared" si="75"/>
        <v>1073.9096023401294</v>
      </c>
      <c r="AE270">
        <f t="shared" si="75"/>
        <v>963.23981965000235</v>
      </c>
      <c r="AF270">
        <f t="shared" si="75"/>
        <v>1089.5415391863121</v>
      </c>
      <c r="AG270">
        <f t="shared" si="75"/>
        <v>958.23078604304851</v>
      </c>
      <c r="AH270">
        <f t="shared" si="75"/>
        <v>920.4412636682855</v>
      </c>
      <c r="AI270">
        <f t="shared" si="75"/>
        <v>917.98537022811024</v>
      </c>
      <c r="AJ270">
        <f t="shared" si="75"/>
        <v>957.2</v>
      </c>
      <c r="AK270">
        <f t="shared" si="75"/>
        <v>1000</v>
      </c>
      <c r="AL270">
        <f t="shared" si="75"/>
        <v>1055.9299999999998</v>
      </c>
      <c r="AM270">
        <f t="shared" si="75"/>
        <v>1000</v>
      </c>
    </row>
    <row r="271" spans="1:39" x14ac:dyDescent="0.25">
      <c r="A271" t="s">
        <v>21</v>
      </c>
      <c r="D271" t="str" cm="1">
        <f t="array" ref="D271">IFERROR(
  _xlfn.LET(
    _xlpm.ligpartie, MATCH($B270, Donnees!$F:$F, 0),
    _xlpm.joueurs, INDEX(Donnees!$A:$Z, _xlpm.ligpartie+1, _xlfn.SEQUENCE(1, 4, 2)),
    INDEX(
      Donnees!$A:$Z,
      _xlpm.ligpartie + 3,
      MATCH(D$1, _xlpm.joueurs, 0) + 1
    )
  ), ""
)</f>
        <v/>
      </c>
      <c r="E271" t="str" cm="1">
        <f t="array" ref="E271">IFERROR(
  _xlfn.LET(
    _xlpm.ligpartie, MATCH($B270, Donnees!$F:$F, 0),
    _xlpm.joueurs, INDEX(Donnees!$A:$Z, _xlpm.ligpartie+1, _xlfn.SEQUENCE(1, 4, 2)),
    INDEX(
      Donnees!$A:$Z,
      _xlpm.ligpartie + 3,
      MATCH(E$1, _xlpm.joueurs, 0) + 1
    )
  ), ""
)</f>
        <v/>
      </c>
      <c r="F271" t="str" cm="1">
        <f t="array" ref="F271">IFERROR(
  _xlfn.LET(
    _xlpm.ligpartie, MATCH($B270, Donnees!$F:$F, 0),
    _xlpm.joueurs, INDEX(Donnees!$A:$Z, _xlpm.ligpartie+1, _xlfn.SEQUENCE(1, 4, 2)),
    INDEX(
      Donnees!$A:$Z,
      _xlpm.ligpartie + 3,
      MATCH(F$1, _xlpm.joueurs, 0) + 1
    )
  ), ""
)</f>
        <v/>
      </c>
      <c r="G271" t="str" cm="1">
        <f t="array" ref="G271">IFERROR(
  _xlfn.LET(
    _xlpm.ligpartie, MATCH($B270, Donnees!$F:$F, 0),
    _xlpm.joueurs, INDEX(Donnees!$A:$Z, _xlpm.ligpartie+1, _xlfn.SEQUENCE(1, 4, 2)),
    INDEX(
      Donnees!$A:$Z,
      _xlpm.ligpartie + 3,
      MATCH(G$1, _xlpm.joueurs, 0) + 1
    )
  ), ""
)</f>
        <v/>
      </c>
      <c r="H271" t="str" cm="1">
        <f t="array" ref="H271">IFERROR(
  _xlfn.LET(
    _xlpm.ligpartie, MATCH($B270, Donnees!$F:$F, 0),
    _xlpm.joueurs, INDEX(Donnees!$A:$Z, _xlpm.ligpartie+1, _xlfn.SEQUENCE(1, 4, 2)),
    INDEX(
      Donnees!$A:$Z,
      _xlpm.ligpartie + 3,
      MATCH(H$1, _xlpm.joueurs, 0) + 1
    )
  ), ""
)</f>
        <v/>
      </c>
      <c r="I271" t="str" cm="1">
        <f t="array" ref="I271">IFERROR(
  _xlfn.LET(
    _xlpm.ligpartie, MATCH($B270, Donnees!$F:$F, 0),
    _xlpm.joueurs, INDEX(Donnees!$A:$Z, _xlpm.ligpartie+1, _xlfn.SEQUENCE(1, 4, 2)),
    INDEX(
      Donnees!$A:$Z,
      _xlpm.ligpartie + 3,
      MATCH(I$1, _xlpm.joueurs, 0) + 1
    )
  ), ""
)</f>
        <v/>
      </c>
      <c r="J271" t="str" cm="1">
        <f t="array" ref="J271">IFERROR(
  _xlfn.LET(
    _xlpm.ligpartie, MATCH($B270, Donnees!$F:$F, 0),
    _xlpm.joueurs, INDEX(Donnees!$A:$Z, _xlpm.ligpartie+1, _xlfn.SEQUENCE(1, 4, 2)),
    INDEX(
      Donnees!$A:$Z,
      _xlpm.ligpartie + 3,
      MATCH(J$1, _xlpm.joueurs, 0) + 1
    )
  ), ""
)</f>
        <v/>
      </c>
      <c r="K271" t="str" cm="1">
        <f t="array" ref="K271">IFERROR(
  _xlfn.LET(
    _xlpm.ligpartie, MATCH($B270, Donnees!$F:$F, 0),
    _xlpm.joueurs, INDEX(Donnees!$A:$Z, _xlpm.ligpartie+1, _xlfn.SEQUENCE(1, 4, 2)),
    INDEX(
      Donnees!$A:$Z,
      _xlpm.ligpartie + 3,
      MATCH(K$1, _xlpm.joueurs, 0) + 1
    )
  ), ""
)</f>
        <v/>
      </c>
      <c r="L271" t="str" cm="1">
        <f t="array" ref="L271">IFERROR(
  _xlfn.LET(
    _xlpm.ligpartie, MATCH($B270, Donnees!$F:$F, 0),
    _xlpm.joueurs, INDEX(Donnees!$A:$Z, _xlpm.ligpartie+1, _xlfn.SEQUENCE(1, 4, 2)),
    INDEX(
      Donnees!$A:$Z,
      _xlpm.ligpartie + 3,
      MATCH(L$1, _xlpm.joueurs, 0) + 1
    )
  ), ""
)</f>
        <v/>
      </c>
      <c r="M271" t="str" cm="1">
        <f t="array" ref="M271">IFERROR(
  _xlfn.LET(
    _xlpm.ligpartie, MATCH($B270, Donnees!$F:$F, 0),
    _xlpm.joueurs, INDEX(Donnees!$A:$Z, _xlpm.ligpartie+1, _xlfn.SEQUENCE(1, 4, 2)),
    INDEX(
      Donnees!$A:$Z,
      _xlpm.ligpartie + 3,
      MATCH(M$1, _xlpm.joueurs, 0) + 1
    )
  ), ""
)</f>
        <v/>
      </c>
      <c r="N271" t="str" cm="1">
        <f t="array" ref="N271">IFERROR(
  _xlfn.LET(
    _xlpm.ligpartie, MATCH($B270, Donnees!$F:$F, 0),
    _xlpm.joueurs, INDEX(Donnees!$A:$Z, _xlpm.ligpartie+1, _xlfn.SEQUENCE(1, 4, 2)),
    INDEX(
      Donnees!$A:$Z,
      _xlpm.ligpartie + 3,
      MATCH(N$1, _xlpm.joueurs, 0) + 1
    )
  ), ""
)</f>
        <v/>
      </c>
      <c r="O271" t="str" cm="1">
        <f t="array" ref="O271">IFERROR(
  _xlfn.LET(
    _xlpm.ligpartie, MATCH($B270, Donnees!$F:$F, 0),
    _xlpm.joueurs, INDEX(Donnees!$A:$Z, _xlpm.ligpartie+1, _xlfn.SEQUENCE(1, 4, 2)),
    INDEX(
      Donnees!$A:$Z,
      _xlpm.ligpartie + 3,
      MATCH(O$1, _xlpm.joueurs, 0) + 1
    )
  ), ""
)</f>
        <v/>
      </c>
      <c r="P271" t="str" cm="1">
        <f t="array" ref="P271">IFERROR(
  _xlfn.LET(
    _xlpm.ligpartie, MATCH($B270, Donnees!$F:$F, 0),
    _xlpm.joueurs, INDEX(Donnees!$A:$Z, _xlpm.ligpartie+1, _xlfn.SEQUENCE(1, 4, 2)),
    INDEX(
      Donnees!$A:$Z,
      _xlpm.ligpartie + 3,
      MATCH(P$1, _xlpm.joueurs, 0) + 1
    )
  ), ""
)</f>
        <v/>
      </c>
      <c r="Q271" t="str" cm="1">
        <f t="array" ref="Q271">IFERROR(
  _xlfn.LET(
    _xlpm.ligpartie, MATCH($B270, Donnees!$F:$F, 0),
    _xlpm.joueurs, INDEX(Donnees!$A:$Z, _xlpm.ligpartie+1, _xlfn.SEQUENCE(1, 4, 2)),
    INDEX(
      Donnees!$A:$Z,
      _xlpm.ligpartie + 3,
      MATCH(Q$1, _xlpm.joueurs, 0) + 1
    )
  ), ""
)</f>
        <v/>
      </c>
      <c r="R271" cm="1">
        <f t="array" ref="R271">IFERROR(
  _xlfn.LET(
    _xlpm.ligpartie, MATCH($B270, Donnees!$F:$F, 0),
    _xlpm.joueurs, INDEX(Donnees!$A:$Z, _xlpm.ligpartie+1, _xlfn.SEQUENCE(1, 4, 2)),
    INDEX(
      Donnees!$A:$Z,
      _xlpm.ligpartie + 3,
      MATCH(R$1, _xlpm.joueurs, 0) + 1
    )
  ), ""
)</f>
        <v>2</v>
      </c>
      <c r="S271" t="str" cm="1">
        <f t="array" ref="S271">IFERROR(
  _xlfn.LET(
    _xlpm.ligpartie, MATCH($B270, Donnees!$F:$F, 0),
    _xlpm.joueurs, INDEX(Donnees!$A:$Z, _xlpm.ligpartie+1, _xlfn.SEQUENCE(1, 4, 2)),
    INDEX(
      Donnees!$A:$Z,
      _xlpm.ligpartie + 3,
      MATCH(S$1, _xlpm.joueurs, 0) + 1
    )
  ), ""
)</f>
        <v/>
      </c>
      <c r="T271" cm="1">
        <f t="array" ref="T271">IFERROR(
  _xlfn.LET(
    _xlpm.ligpartie, MATCH($B270, Donnees!$F:$F, 0),
    _xlpm.joueurs, INDEX(Donnees!$A:$Z, _xlpm.ligpartie+1, _xlfn.SEQUENCE(1, 4, 2)),
    INDEX(
      Donnees!$A:$Z,
      _xlpm.ligpartie + 3,
      MATCH(T$1, _xlpm.joueurs, 0) + 1
    )
  ), ""
)</f>
        <v>3</v>
      </c>
      <c r="U271" t="str" cm="1">
        <f t="array" ref="U271">IFERROR(
  _xlfn.LET(
    _xlpm.ligpartie, MATCH($B270, Donnees!$F:$F, 0),
    _xlpm.joueurs, INDEX(Donnees!$A:$Z, _xlpm.ligpartie+1, _xlfn.SEQUENCE(1, 4, 2)),
    INDEX(
      Donnees!$A:$Z,
      _xlpm.ligpartie + 3,
      MATCH(U$1, _xlpm.joueurs, 0) + 1
    )
  ), ""
)</f>
        <v/>
      </c>
      <c r="V271" t="str" cm="1">
        <f t="array" ref="V271">IFERROR(
  _xlfn.LET(
    _xlpm.ligpartie, MATCH($B270, Donnees!$F:$F, 0),
    _xlpm.joueurs, INDEX(Donnees!$A:$Z, _xlpm.ligpartie+1, _xlfn.SEQUENCE(1, 4, 2)),
    INDEX(
      Donnees!$A:$Z,
      _xlpm.ligpartie + 3,
      MATCH(V$1, _xlpm.joueurs, 0) + 1
    )
  ), ""
)</f>
        <v/>
      </c>
      <c r="W271" t="str" cm="1">
        <f t="array" ref="W271">IFERROR(
  _xlfn.LET(
    _xlpm.ligpartie, MATCH($B270, Donnees!$F:$F, 0),
    _xlpm.joueurs, INDEX(Donnees!$A:$Z, _xlpm.ligpartie+1, _xlfn.SEQUENCE(1, 4, 2)),
    INDEX(
      Donnees!$A:$Z,
      _xlpm.ligpartie + 3,
      MATCH(W$1, _xlpm.joueurs, 0) + 1
    )
  ), ""
)</f>
        <v/>
      </c>
      <c r="X271" cm="1">
        <f t="array" ref="X271">IFERROR(
  _xlfn.LET(
    _xlpm.ligpartie, MATCH($B270, Donnees!$F:$F, 0),
    _xlpm.joueurs, INDEX(Donnees!$A:$Z, _xlpm.ligpartie+1, _xlfn.SEQUENCE(1, 4, 2)),
    INDEX(
      Donnees!$A:$Z,
      _xlpm.ligpartie + 3,
      MATCH(X$1, _xlpm.joueurs, 0) + 1
    )
  ), ""
)</f>
        <v>1</v>
      </c>
      <c r="Y271" cm="1">
        <f t="array" ref="Y271">IFERROR(
  _xlfn.LET(
    _xlpm.ligpartie, MATCH($B270, Donnees!$F:$F, 0),
    _xlpm.joueurs, INDEX(Donnees!$A:$Z, _xlpm.ligpartie+1, _xlfn.SEQUENCE(1, 4, 2)),
    INDEX(
      Donnees!$A:$Z,
      _xlpm.ligpartie + 3,
      MATCH(Y$1, _xlpm.joueurs, 0) + 1
    )
  ), ""
)</f>
        <v>0</v>
      </c>
      <c r="Z271" t="str" cm="1">
        <f t="array" ref="Z271">IFERROR(
  _xlfn.LET(
    _xlpm.ligpartie, MATCH($B270, Donnees!$F:$F, 0),
    _xlpm.joueurs, INDEX(Donnees!$A:$Z, _xlpm.ligpartie+1, _xlfn.SEQUENCE(1, 4, 2)),
    INDEX(
      Donnees!$A:$Z,
      _xlpm.ligpartie + 3,
      MATCH(Z$1, _xlpm.joueurs, 0) + 1
    )
  ), ""
)</f>
        <v/>
      </c>
      <c r="AA271" t="str" cm="1">
        <f t="array" ref="AA271">IFERROR(
  _xlfn.LET(
    _xlpm.ligpartie, MATCH($B270, Donnees!$F:$F, 0),
    _xlpm.joueurs, INDEX(Donnees!$A:$Z, _xlpm.ligpartie+1, _xlfn.SEQUENCE(1, 4, 2)),
    INDEX(
      Donnees!$A:$Z,
      _xlpm.ligpartie + 3,
      MATCH(AA$1, _xlpm.joueurs, 0) + 1
    )
  ), ""
)</f>
        <v/>
      </c>
      <c r="AB271" t="str" cm="1">
        <f t="array" ref="AB271">IFERROR(
  _xlfn.LET(
    _xlpm.ligpartie, MATCH($B270, Donnees!$F:$F, 0),
    _xlpm.joueurs, INDEX(Donnees!$A:$Z, _xlpm.ligpartie+1, _xlfn.SEQUENCE(1, 4, 2)),
    INDEX(
      Donnees!$A:$Z,
      _xlpm.ligpartie + 3,
      MATCH(AB$1, _xlpm.joueurs, 0) + 1
    )
  ), ""
)</f>
        <v/>
      </c>
      <c r="AC271" t="str" cm="1">
        <f t="array" ref="AC271">IFERROR(
  _xlfn.LET(
    _xlpm.ligpartie, MATCH($B270, Donnees!$F:$F, 0),
    _xlpm.joueurs, INDEX(Donnees!$A:$Z, _xlpm.ligpartie+1, _xlfn.SEQUENCE(1, 4, 2)),
    INDEX(
      Donnees!$A:$Z,
      _xlpm.ligpartie + 3,
      MATCH(AC$1, _xlpm.joueurs, 0) + 1
    )
  ), ""
)</f>
        <v/>
      </c>
      <c r="AD271" t="str" cm="1">
        <f t="array" ref="AD271">IFERROR(
  _xlfn.LET(
    _xlpm.ligpartie, MATCH($B270, Donnees!$F:$F, 0),
    _xlpm.joueurs, INDEX(Donnees!$A:$Z, _xlpm.ligpartie+1, _xlfn.SEQUENCE(1, 4, 2)),
    INDEX(
      Donnees!$A:$Z,
      _xlpm.ligpartie + 3,
      MATCH(AD$1, _xlpm.joueurs, 0) + 1
    )
  ), ""
)</f>
        <v/>
      </c>
      <c r="AE271" t="str" cm="1">
        <f t="array" ref="AE271">IFERROR(
  _xlfn.LET(
    _xlpm.ligpartie, MATCH($B270, Donnees!$F:$F, 0),
    _xlpm.joueurs, INDEX(Donnees!$A:$Z, _xlpm.ligpartie+1, _xlfn.SEQUENCE(1, 4, 2)),
    INDEX(
      Donnees!$A:$Z,
      _xlpm.ligpartie + 3,
      MATCH(AE$1, _xlpm.joueurs, 0) + 1
    )
  ), ""
)</f>
        <v/>
      </c>
      <c r="AF271" t="str" cm="1">
        <f t="array" ref="AF271">IFERROR(
  _xlfn.LET(
    _xlpm.ligpartie, MATCH($B270, Donnees!$F:$F, 0),
    _xlpm.joueurs, INDEX(Donnees!$A:$Z, _xlpm.ligpartie+1, _xlfn.SEQUENCE(1, 4, 2)),
    INDEX(
      Donnees!$A:$Z,
      _xlpm.ligpartie + 3,
      MATCH(AF$1, _xlpm.joueurs, 0) + 1
    )
  ), ""
)</f>
        <v/>
      </c>
      <c r="AG271" t="str" cm="1">
        <f t="array" ref="AG271">IFERROR(
  _xlfn.LET(
    _xlpm.ligpartie, MATCH($B270, Donnees!$F:$F, 0),
    _xlpm.joueurs, INDEX(Donnees!$A:$Z, _xlpm.ligpartie+1, _xlfn.SEQUENCE(1, 4, 2)),
    INDEX(
      Donnees!$A:$Z,
      _xlpm.ligpartie + 3,
      MATCH(AG$1, _xlpm.joueurs, 0) + 1
    )
  ), ""
)</f>
        <v/>
      </c>
      <c r="AH271" t="str" cm="1">
        <f t="array" ref="AH271">IFERROR(
  _xlfn.LET(
    _xlpm.ligpartie, MATCH($B270, Donnees!$F:$F, 0),
    _xlpm.joueurs, INDEX(Donnees!$A:$Z, _xlpm.ligpartie+1, _xlfn.SEQUENCE(1, 4, 2)),
    INDEX(
      Donnees!$A:$Z,
      _xlpm.ligpartie + 3,
      MATCH(AH$1, _xlpm.joueurs, 0) + 1
    )
  ), ""
)</f>
        <v/>
      </c>
      <c r="AI271" t="str" cm="1">
        <f t="array" ref="AI271">IFERROR(
  _xlfn.LET(
    _xlpm.ligpartie, MATCH($B270, Donnees!$F:$F, 0),
    _xlpm.joueurs, INDEX(Donnees!$A:$Z, _xlpm.ligpartie+1, _xlfn.SEQUENCE(1, 4, 2)),
    INDEX(
      Donnees!$A:$Z,
      _xlpm.ligpartie + 3,
      MATCH(AI$1, _xlpm.joueurs, 0) + 1
    )
  ), ""
)</f>
        <v/>
      </c>
      <c r="AJ271" t="str" cm="1">
        <f t="array" ref="AJ271">IFERROR(
  _xlfn.LET(
    _xlpm.ligpartie, MATCH($B270, Donnees!$F:$F, 0),
    _xlpm.joueurs, INDEX(Donnees!$A:$Z, _xlpm.ligpartie+1, _xlfn.SEQUENCE(1, 4, 2)),
    INDEX(
      Donnees!$A:$Z,
      _xlpm.ligpartie + 3,
      MATCH(AJ$1, _xlpm.joueurs, 0) + 1
    )
  ), ""
)</f>
        <v/>
      </c>
      <c r="AK271" t="str" cm="1">
        <f t="array" ref="AK271">IFERROR(
  _xlfn.LET(
    _xlpm.ligpartie, MATCH($B270, Donnees!$F:$F, 0),
    _xlpm.joueurs, INDEX(Donnees!$A:$Z, _xlpm.ligpartie+1, _xlfn.SEQUENCE(1, 4, 2)),
    INDEX(
      Donnees!$A:$Z,
      _xlpm.ligpartie + 3,
      MATCH(AK$1, _xlpm.joueurs, 0) + 1
    )
  ), ""
)</f>
        <v/>
      </c>
      <c r="AL271" t="str" cm="1">
        <f t="array" ref="AL271">IFERROR(
  _xlfn.LET(
    _xlpm.ligpartie, MATCH($B270, Donnees!$F:$F, 0),
    _xlpm.joueurs, INDEX(Donnees!$A:$Z, _xlpm.ligpartie+1, _xlfn.SEQUENCE(1, 4, 2)),
    INDEX(
      Donnees!$A:$Z,
      _xlpm.ligpartie + 3,
      MATCH(AL$1, _xlpm.joueurs, 0) + 1
    )
  ), ""
)</f>
        <v/>
      </c>
      <c r="AM271" t="str" cm="1">
        <f t="array" ref="AM271">IFERROR(
  _xlfn.LET(
    _xlpm.ligpartie, MATCH($B270, Donnees!$F:$F, 0),
    _xlpm.joueurs, INDEX(Donnees!$A:$Z, _xlpm.ligpartie+1, _xlfn.SEQUENCE(1, 4, 2)),
    INDEX(
      Donnees!$A:$Z,
      _xlpm.ligpartie + 3,
      MATCH(AM$1, _xlpm.joueurs, 0) + 1
    )
  ), ""
)</f>
        <v/>
      </c>
    </row>
    <row r="272" spans="1:39" x14ac:dyDescent="0.25">
      <c r="A272" t="s">
        <v>20</v>
      </c>
      <c r="D272" t="str" cm="1">
        <f t="array" ref="D272">_xlfn.LET(
  _xlpm.colj, _xlfn._xlws.FILTER(IF(ISNUMBER(271:271), COLUMN(271:271)), ISNUMBER(271:271)),
  _xlpm.elos, INDEX(270:270,1,_xlpm.colj),
  _xlpm.diffscale, Constantes!$B$2,
  IF(D271="",
    "",
    SUM(1/(1+POWER(10,-(D270-_xlpm.elos)/_xlpm.diffscale)))-0.5)
)</f>
        <v/>
      </c>
      <c r="E272" t="str" cm="1">
        <f t="array" ref="E272">_xlfn.LET(
  _xlpm.colj, _xlfn._xlws.FILTER(IF(ISNUMBER(271:271), COLUMN(271:271)), ISNUMBER(271:271)),
  _xlpm.elos, INDEX(270:270,1,_xlpm.colj),
  _xlpm.diffscale, Constantes!$B$2,
  IF(E271="",
    "",
    SUM(1/(1+POWER(10,-(E270-_xlpm.elos)/_xlpm.diffscale)))-0.5)
)</f>
        <v/>
      </c>
      <c r="F272" t="str" cm="1">
        <f t="array" ref="F272">_xlfn.LET(
  _xlpm.colj, _xlfn._xlws.FILTER(IF(ISNUMBER(271:271), COLUMN(271:271)), ISNUMBER(271:271)),
  _xlpm.elos, INDEX(270:270,1,_xlpm.colj),
  _xlpm.diffscale, Constantes!$B$2,
  IF(F271="",
    "",
    SUM(1/(1+POWER(10,-(F270-_xlpm.elos)/_xlpm.diffscale)))-0.5)
)</f>
        <v/>
      </c>
      <c r="G272" t="str" cm="1">
        <f t="array" ref="G272">_xlfn.LET(
  _xlpm.colj, _xlfn._xlws.FILTER(IF(ISNUMBER(271:271), COLUMN(271:271)), ISNUMBER(271:271)),
  _xlpm.elos, INDEX(270:270,1,_xlpm.colj),
  _xlpm.diffscale, Constantes!$B$2,
  IF(G271="",
    "",
    SUM(1/(1+POWER(10,-(G270-_xlpm.elos)/_xlpm.diffscale)))-0.5)
)</f>
        <v/>
      </c>
      <c r="H272" t="str" cm="1">
        <f t="array" ref="H272">_xlfn.LET(
  _xlpm.colj, _xlfn._xlws.FILTER(IF(ISNUMBER(271:271), COLUMN(271:271)), ISNUMBER(271:271)),
  _xlpm.elos, INDEX(270:270,1,_xlpm.colj),
  _xlpm.diffscale, Constantes!$B$2,
  IF(H271="",
    "",
    SUM(1/(1+POWER(10,-(H270-_xlpm.elos)/_xlpm.diffscale)))-0.5)
)</f>
        <v/>
      </c>
      <c r="I272" t="str" cm="1">
        <f t="array" ref="I272">_xlfn.LET(
  _xlpm.colj, _xlfn._xlws.FILTER(IF(ISNUMBER(271:271), COLUMN(271:271)), ISNUMBER(271:271)),
  _xlpm.elos, INDEX(270:270,1,_xlpm.colj),
  _xlpm.diffscale, Constantes!$B$2,
  IF(I271="",
    "",
    SUM(1/(1+POWER(10,-(I270-_xlpm.elos)/_xlpm.diffscale)))-0.5)
)</f>
        <v/>
      </c>
      <c r="J272" t="str" cm="1">
        <f t="array" ref="J272">_xlfn.LET(
  _xlpm.colj, _xlfn._xlws.FILTER(IF(ISNUMBER(271:271), COLUMN(271:271)), ISNUMBER(271:271)),
  _xlpm.elos, INDEX(270:270,1,_xlpm.colj),
  _xlpm.diffscale, Constantes!$B$2,
  IF(J271="",
    "",
    SUM(1/(1+POWER(10,-(J270-_xlpm.elos)/_xlpm.diffscale)))-0.5)
)</f>
        <v/>
      </c>
      <c r="K272" t="str" cm="1">
        <f t="array" ref="K272">_xlfn.LET(
  _xlpm.colj, _xlfn._xlws.FILTER(IF(ISNUMBER(271:271), COLUMN(271:271)), ISNUMBER(271:271)),
  _xlpm.elos, INDEX(270:270,1,_xlpm.colj),
  _xlpm.diffscale, Constantes!$B$2,
  IF(K271="",
    "",
    SUM(1/(1+POWER(10,-(K270-_xlpm.elos)/_xlpm.diffscale)))-0.5)
)</f>
        <v/>
      </c>
      <c r="L272" t="str" cm="1">
        <f t="array" ref="L272">_xlfn.LET(
  _xlpm.colj, _xlfn._xlws.FILTER(IF(ISNUMBER(271:271), COLUMN(271:271)), ISNUMBER(271:271)),
  _xlpm.elos, INDEX(270:270,1,_xlpm.colj),
  _xlpm.diffscale, Constantes!$B$2,
  IF(L271="",
    "",
    SUM(1/(1+POWER(10,-(L270-_xlpm.elos)/_xlpm.diffscale)))-0.5)
)</f>
        <v/>
      </c>
      <c r="M272" t="str" cm="1">
        <f t="array" ref="M272">_xlfn.LET(
  _xlpm.colj, _xlfn._xlws.FILTER(IF(ISNUMBER(271:271), COLUMN(271:271)), ISNUMBER(271:271)),
  _xlpm.elos, INDEX(270:270,1,_xlpm.colj),
  _xlpm.diffscale, Constantes!$B$2,
  IF(M271="",
    "",
    SUM(1/(1+POWER(10,-(M270-_xlpm.elos)/_xlpm.diffscale)))-0.5)
)</f>
        <v/>
      </c>
      <c r="N272" t="str" cm="1">
        <f t="array" ref="N272">_xlfn.LET(
  _xlpm.colj, _xlfn._xlws.FILTER(IF(ISNUMBER(271:271), COLUMN(271:271)), ISNUMBER(271:271)),
  _xlpm.elos, INDEX(270:270,1,_xlpm.colj),
  _xlpm.diffscale, Constantes!$B$2,
  IF(N271="",
    "",
    SUM(1/(1+POWER(10,-(N270-_xlpm.elos)/_xlpm.diffscale)))-0.5)
)</f>
        <v/>
      </c>
      <c r="O272" t="str" cm="1">
        <f t="array" ref="O272">_xlfn.LET(
  _xlpm.colj, _xlfn._xlws.FILTER(IF(ISNUMBER(271:271), COLUMN(271:271)), ISNUMBER(271:271)),
  _xlpm.elos, INDEX(270:270,1,_xlpm.colj),
  _xlpm.diffscale, Constantes!$B$2,
  IF(O271="",
    "",
    SUM(1/(1+POWER(10,-(O270-_xlpm.elos)/_xlpm.diffscale)))-0.5)
)</f>
        <v/>
      </c>
      <c r="P272" t="str" cm="1">
        <f t="array" ref="P272">_xlfn.LET(
  _xlpm.colj, _xlfn._xlws.FILTER(IF(ISNUMBER(271:271), COLUMN(271:271)), ISNUMBER(271:271)),
  _xlpm.elos, INDEX(270:270,1,_xlpm.colj),
  _xlpm.diffscale, Constantes!$B$2,
  IF(P271="",
    "",
    SUM(1/(1+POWER(10,-(P270-_xlpm.elos)/_xlpm.diffscale)))-0.5)
)</f>
        <v/>
      </c>
      <c r="Q272" t="str" cm="1">
        <f t="array" ref="Q272">_xlfn.LET(
  _xlpm.colj, _xlfn._xlws.FILTER(IF(ISNUMBER(271:271), COLUMN(271:271)), ISNUMBER(271:271)),
  _xlpm.elos, INDEX(270:270,1,_xlpm.colj),
  _xlpm.diffscale, Constantes!$B$2,
  IF(Q271="",
    "",
    SUM(1/(1+POWER(10,-(Q270-_xlpm.elos)/_xlpm.diffscale)))-0.5)
)</f>
        <v/>
      </c>
      <c r="R272" cm="1">
        <f t="array" ref="R272">_xlfn.LET(
  _xlpm.colj, _xlfn._xlws.FILTER(IF(ISNUMBER(271:271), COLUMN(271:271)), ISNUMBER(271:271)),
  _xlpm.elos, INDEX(270:270,1,_xlpm.colj),
  _xlpm.diffscale, Constantes!$B$2,
  IF(R271="",
    "",
    SUM(1/(1+POWER(10,-(R270-_xlpm.elos)/_xlpm.diffscale)))-0.5)
)</f>
        <v>1.9428538115823382</v>
      </c>
      <c r="S272" t="str" cm="1">
        <f t="array" ref="S272">_xlfn.LET(
  _xlpm.colj, _xlfn._xlws.FILTER(IF(ISNUMBER(271:271), COLUMN(271:271)), ISNUMBER(271:271)),
  _xlpm.elos, INDEX(270:270,1,_xlpm.colj),
  _xlpm.diffscale, Constantes!$B$2,
  IF(S271="",
    "",
    SUM(1/(1+POWER(10,-(S270-_xlpm.elos)/_xlpm.diffscale)))-0.5)
)</f>
        <v/>
      </c>
      <c r="T272" cm="1">
        <f t="array" ref="T272">_xlfn.LET(
  _xlpm.colj, _xlfn._xlws.FILTER(IF(ISNUMBER(271:271), COLUMN(271:271)), ISNUMBER(271:271)),
  _xlpm.elos, INDEX(270:270,1,_xlpm.colj),
  _xlpm.diffscale, Constantes!$B$2,
  IF(T271="",
    "",
    SUM(1/(1+POWER(10,-(T270-_xlpm.elos)/_xlpm.diffscale)))-0.5)
)</f>
        <v>2.1905494902920433</v>
      </c>
      <c r="U272" t="str" cm="1">
        <f t="array" ref="U272">_xlfn.LET(
  _xlpm.colj, _xlfn._xlws.FILTER(IF(ISNUMBER(271:271), COLUMN(271:271)), ISNUMBER(271:271)),
  _xlpm.elos, INDEX(270:270,1,_xlpm.colj),
  _xlpm.diffscale, Constantes!$B$2,
  IF(U271="",
    "",
    SUM(1/(1+POWER(10,-(U270-_xlpm.elos)/_xlpm.diffscale)))-0.5)
)</f>
        <v/>
      </c>
      <c r="V272" t="str" cm="1">
        <f t="array" ref="V272">_xlfn.LET(
  _xlpm.colj, _xlfn._xlws.FILTER(IF(ISNUMBER(271:271), COLUMN(271:271)), ISNUMBER(271:271)),
  _xlpm.elos, INDEX(270:270,1,_xlpm.colj),
  _xlpm.diffscale, Constantes!$B$2,
  IF(V271="",
    "",
    SUM(1/(1+POWER(10,-(V270-_xlpm.elos)/_xlpm.diffscale)))-0.5)
)</f>
        <v/>
      </c>
      <c r="W272" t="str" cm="1">
        <f t="array" ref="W272">_xlfn.LET(
  _xlpm.colj, _xlfn._xlws.FILTER(IF(ISNUMBER(271:271), COLUMN(271:271)), ISNUMBER(271:271)),
  _xlpm.elos, INDEX(270:270,1,_xlpm.colj),
  _xlpm.diffscale, Constantes!$B$2,
  IF(W271="",
    "",
    SUM(1/(1+POWER(10,-(W270-_xlpm.elos)/_xlpm.diffscale)))-0.5)
)</f>
        <v/>
      </c>
      <c r="X272" cm="1">
        <f t="array" ref="X272">_xlfn.LET(
  _xlpm.colj, _xlfn._xlws.FILTER(IF(ISNUMBER(271:271), COLUMN(271:271)), ISNUMBER(271:271)),
  _xlpm.elos, INDEX(270:270,1,_xlpm.colj),
  _xlpm.diffscale, Constantes!$B$2,
  IF(X271="",
    "",
    SUM(1/(1+POWER(10,-(X270-_xlpm.elos)/_xlpm.diffscale)))-0.5)
)</f>
        <v>0.6746916701009491</v>
      </c>
      <c r="Y272" cm="1">
        <f t="array" ref="Y272">_xlfn.LET(
  _xlpm.colj, _xlfn._xlws.FILTER(IF(ISNUMBER(271:271), COLUMN(271:271)), ISNUMBER(271:271)),
  _xlpm.elos, INDEX(270:270,1,_xlpm.colj),
  _xlpm.diffscale, Constantes!$B$2,
  IF(Y271="",
    "",
    SUM(1/(1+POWER(10,-(Y270-_xlpm.elos)/_xlpm.diffscale)))-0.5)
)</f>
        <v>1.1919050280246695</v>
      </c>
      <c r="Z272" t="str" cm="1">
        <f t="array" ref="Z272">_xlfn.LET(
  _xlpm.colj, _xlfn._xlws.FILTER(IF(ISNUMBER(271:271), COLUMN(271:271)), ISNUMBER(271:271)),
  _xlpm.elos, INDEX(270:270,1,_xlpm.colj),
  _xlpm.diffscale, Constantes!$B$2,
  IF(Z271="",
    "",
    SUM(1/(1+POWER(10,-(Z270-_xlpm.elos)/_xlpm.diffscale)))-0.5)
)</f>
        <v/>
      </c>
      <c r="AA272" t="str" cm="1">
        <f t="array" ref="AA272">_xlfn.LET(
  _xlpm.colj, _xlfn._xlws.FILTER(IF(ISNUMBER(271:271), COLUMN(271:271)), ISNUMBER(271:271)),
  _xlpm.elos, INDEX(270:270,1,_xlpm.colj),
  _xlpm.diffscale, Constantes!$B$2,
  IF(AA271="",
    "",
    SUM(1/(1+POWER(10,-(AA270-_xlpm.elos)/_xlpm.diffscale)))-0.5)
)</f>
        <v/>
      </c>
      <c r="AB272" t="str" cm="1">
        <f t="array" ref="AB272">_xlfn.LET(
  _xlpm.colj, _xlfn._xlws.FILTER(IF(ISNUMBER(271:271), COLUMN(271:271)), ISNUMBER(271:271)),
  _xlpm.elos, INDEX(270:270,1,_xlpm.colj),
  _xlpm.diffscale, Constantes!$B$2,
  IF(AB271="",
    "",
    SUM(1/(1+POWER(10,-(AB270-_xlpm.elos)/_xlpm.diffscale)))-0.5)
)</f>
        <v/>
      </c>
      <c r="AC272" t="str" cm="1">
        <f t="array" ref="AC272">_xlfn.LET(
  _xlpm.colj, _xlfn._xlws.FILTER(IF(ISNUMBER(271:271), COLUMN(271:271)), ISNUMBER(271:271)),
  _xlpm.elos, INDEX(270:270,1,_xlpm.colj),
  _xlpm.diffscale, Constantes!$B$2,
  IF(AC271="",
    "",
    SUM(1/(1+POWER(10,-(AC270-_xlpm.elos)/_xlpm.diffscale)))-0.5)
)</f>
        <v/>
      </c>
      <c r="AD272" t="str" cm="1">
        <f t="array" ref="AD272">_xlfn.LET(
  _xlpm.colj, _xlfn._xlws.FILTER(IF(ISNUMBER(271:271), COLUMN(271:271)), ISNUMBER(271:271)),
  _xlpm.elos, INDEX(270:270,1,_xlpm.colj),
  _xlpm.diffscale, Constantes!$B$2,
  IF(AD271="",
    "",
    SUM(1/(1+POWER(10,-(AD270-_xlpm.elos)/_xlpm.diffscale)))-0.5)
)</f>
        <v/>
      </c>
      <c r="AE272" t="str" cm="1">
        <f t="array" ref="AE272">_xlfn.LET(
  _xlpm.colj, _xlfn._xlws.FILTER(IF(ISNUMBER(271:271), COLUMN(271:271)), ISNUMBER(271:271)),
  _xlpm.elos, INDEX(270:270,1,_xlpm.colj),
  _xlpm.diffscale, Constantes!$B$2,
  IF(AE271="",
    "",
    SUM(1/(1+POWER(10,-(AE270-_xlpm.elos)/_xlpm.diffscale)))-0.5)
)</f>
        <v/>
      </c>
      <c r="AF272" t="str" cm="1">
        <f t="array" ref="AF272">_xlfn.LET(
  _xlpm.colj, _xlfn._xlws.FILTER(IF(ISNUMBER(271:271), COLUMN(271:271)), ISNUMBER(271:271)),
  _xlpm.elos, INDEX(270:270,1,_xlpm.colj),
  _xlpm.diffscale, Constantes!$B$2,
  IF(AF271="",
    "",
    SUM(1/(1+POWER(10,-(AF270-_xlpm.elos)/_xlpm.diffscale)))-0.5)
)</f>
        <v/>
      </c>
      <c r="AG272" t="str" cm="1">
        <f t="array" ref="AG272">_xlfn.LET(
  _xlpm.colj, _xlfn._xlws.FILTER(IF(ISNUMBER(271:271), COLUMN(271:271)), ISNUMBER(271:271)),
  _xlpm.elos, INDEX(270:270,1,_xlpm.colj),
  _xlpm.diffscale, Constantes!$B$2,
  IF(AG271="",
    "",
    SUM(1/(1+POWER(10,-(AG270-_xlpm.elos)/_xlpm.diffscale)))-0.5)
)</f>
        <v/>
      </c>
      <c r="AH272" t="str" cm="1">
        <f t="array" ref="AH272">_xlfn.LET(
  _xlpm.colj, _xlfn._xlws.FILTER(IF(ISNUMBER(271:271), COLUMN(271:271)), ISNUMBER(271:271)),
  _xlpm.elos, INDEX(270:270,1,_xlpm.colj),
  _xlpm.diffscale, Constantes!$B$2,
  IF(AH271="",
    "",
    SUM(1/(1+POWER(10,-(AH270-_xlpm.elos)/_xlpm.diffscale)))-0.5)
)</f>
        <v/>
      </c>
      <c r="AI272" t="str" cm="1">
        <f t="array" ref="AI272">_xlfn.LET(
  _xlpm.colj, _xlfn._xlws.FILTER(IF(ISNUMBER(271:271), COLUMN(271:271)), ISNUMBER(271:271)),
  _xlpm.elos, INDEX(270:270,1,_xlpm.colj),
  _xlpm.diffscale, Constantes!$B$2,
  IF(AI271="",
    "",
    SUM(1/(1+POWER(10,-(AI270-_xlpm.elos)/_xlpm.diffscale)))-0.5)
)</f>
        <v/>
      </c>
      <c r="AJ272" t="str" cm="1">
        <f t="array" ref="AJ272">_xlfn.LET(
  _xlpm.colj, _xlfn._xlws.FILTER(IF(ISNUMBER(271:271), COLUMN(271:271)), ISNUMBER(271:271)),
  _xlpm.elos, INDEX(270:270,1,_xlpm.colj),
  _xlpm.diffscale, Constantes!$B$2,
  IF(AJ271="",
    "",
    SUM(1/(1+POWER(10,-(AJ270-_xlpm.elos)/_xlpm.diffscale)))-0.5)
)</f>
        <v/>
      </c>
      <c r="AK272" t="str" cm="1">
        <f t="array" ref="AK272">_xlfn.LET(
  _xlpm.colj, _xlfn._xlws.FILTER(IF(ISNUMBER(271:271), COLUMN(271:271)), ISNUMBER(271:271)),
  _xlpm.elos, INDEX(270:270,1,_xlpm.colj),
  _xlpm.diffscale, Constantes!$B$2,
  IF(AK271="",
    "",
    SUM(1/(1+POWER(10,-(AK270-_xlpm.elos)/_xlpm.diffscale)))-0.5)
)</f>
        <v/>
      </c>
      <c r="AL272" t="str" cm="1">
        <f t="array" ref="AL272">_xlfn.LET(
  _xlpm.colj, _xlfn._xlws.FILTER(IF(ISNUMBER(271:271), COLUMN(271:271)), ISNUMBER(271:271)),
  _xlpm.elos, INDEX(270:270,1,_xlpm.colj),
  _xlpm.diffscale, Constantes!$B$2,
  IF(AL271="",
    "",
    SUM(1/(1+POWER(10,-(AL270-_xlpm.elos)/_xlpm.diffscale)))-0.5)
)</f>
        <v/>
      </c>
      <c r="AM272" t="str" cm="1">
        <f t="array" ref="AM272">_xlfn.LET(
  _xlpm.colj, _xlfn._xlws.FILTER(IF(ISNUMBER(271:271), COLUMN(271:271)), ISNUMBER(271:271)),
  _xlpm.elos, INDEX(270:270,1,_xlpm.colj),
  _xlpm.diffscale, Constantes!$B$2,
  IF(AM271="",
    "",
    SUM(1/(1+POWER(10,-(AM270-_xlpm.elos)/_xlpm.diffscale)))-0.5)
)</f>
        <v/>
      </c>
    </row>
    <row r="273" spans="1:39" x14ac:dyDescent="0.25">
      <c r="A273" t="s">
        <v>22</v>
      </c>
      <c r="D273" t="str" cm="1">
        <f t="array" ref="D273">_xlfn.LET(
  _xlpm.K, Constantes!$B$3,
  _xlpm.Knewgain, Constantes!$B$4,
  _xlpm.Knewscale, Constantes!$B$5,
  _xlpm.ptstables, INDEX(D:D, _xlfn.SEQUENCE(COUNTA($C$2:$C273), 1, 3, 4)),
  _xlpm.nbparties, COUNTA(_xlfn._xlws.FILTER(_xlpm.ptstables, _xlpm.ptstables &lt;&gt; "")),
  _xlpm.coef, _xlpm.K + _xlpm.Knewgain / (_xlpm.Knewscale + _xlpm.nbparties),
  IF(D271="",
    "",
    _xlpm.coef * (D271-D272))
)</f>
        <v/>
      </c>
      <c r="E273" t="str" cm="1">
        <f t="array" ref="E273">_xlfn.LET(
  _xlpm.K, Constantes!$B$3,
  _xlpm.Knewgain, Constantes!$B$4,
  _xlpm.Knewscale, Constantes!$B$5,
  _xlpm.ptstables, INDEX(E:E, _xlfn.SEQUENCE(COUNTA($C$2:$C273), 1, 3, 4)),
  _xlpm.nbparties, COUNTA(_xlfn._xlws.FILTER(_xlpm.ptstables, _xlpm.ptstables &lt;&gt; "")),
  _xlpm.coef, _xlpm.K + _xlpm.Knewgain / (_xlpm.Knewscale + _xlpm.nbparties),
  IF(E271="",
    "",
    _xlpm.coef * (E271-E272))
)</f>
        <v/>
      </c>
      <c r="F273" t="str" cm="1">
        <f t="array" ref="F273">_xlfn.LET(
  _xlpm.K, Constantes!$B$3,
  _xlpm.Knewgain, Constantes!$B$4,
  _xlpm.Knewscale, Constantes!$B$5,
  _xlpm.ptstables, INDEX(F:F, _xlfn.SEQUENCE(COUNTA($C$2:$C273), 1, 3, 4)),
  _xlpm.nbparties, COUNTA(_xlfn._xlws.FILTER(_xlpm.ptstables, _xlpm.ptstables &lt;&gt; "")),
  _xlpm.coef, _xlpm.K + _xlpm.Knewgain / (_xlpm.Knewscale + _xlpm.nbparties),
  IF(F271="",
    "",
    _xlpm.coef * (F271-F272))
)</f>
        <v/>
      </c>
      <c r="G273" t="str" cm="1">
        <f t="array" ref="G273">_xlfn.LET(
  _xlpm.K, Constantes!$B$3,
  _xlpm.Knewgain, Constantes!$B$4,
  _xlpm.Knewscale, Constantes!$B$5,
  _xlpm.ptstables, INDEX(G:G, _xlfn.SEQUENCE(COUNTA($C$2:$C273), 1, 3, 4)),
  _xlpm.nbparties, COUNTA(_xlfn._xlws.FILTER(_xlpm.ptstables, _xlpm.ptstables &lt;&gt; "")),
  _xlpm.coef, _xlpm.K + _xlpm.Knewgain / (_xlpm.Knewscale + _xlpm.nbparties),
  IF(G271="",
    "",
    _xlpm.coef * (G271-G272))
)</f>
        <v/>
      </c>
      <c r="H273" t="str" cm="1">
        <f t="array" ref="H273">_xlfn.LET(
  _xlpm.K, Constantes!$B$3,
  _xlpm.Knewgain, Constantes!$B$4,
  _xlpm.Knewscale, Constantes!$B$5,
  _xlpm.ptstables, INDEX(H:H, _xlfn.SEQUENCE(COUNTA($C$2:$C273), 1, 3, 4)),
  _xlpm.nbparties, COUNTA(_xlfn._xlws.FILTER(_xlpm.ptstables, _xlpm.ptstables &lt;&gt; "")),
  _xlpm.coef, _xlpm.K + _xlpm.Knewgain / (_xlpm.Knewscale + _xlpm.nbparties),
  IF(H271="",
    "",
    _xlpm.coef * (H271-H272))
)</f>
        <v/>
      </c>
      <c r="I273" t="str" cm="1">
        <f t="array" ref="I273">_xlfn.LET(
  _xlpm.K, Constantes!$B$3,
  _xlpm.Knewgain, Constantes!$B$4,
  _xlpm.Knewscale, Constantes!$B$5,
  _xlpm.ptstables, INDEX(I:I, _xlfn.SEQUENCE(COUNTA($C$2:$C273), 1, 3, 4)),
  _xlpm.nbparties, COUNTA(_xlfn._xlws.FILTER(_xlpm.ptstables, _xlpm.ptstables &lt;&gt; "")),
  _xlpm.coef, _xlpm.K + _xlpm.Knewgain / (_xlpm.Knewscale + _xlpm.nbparties),
  IF(I271="",
    "",
    _xlpm.coef * (I271-I272))
)</f>
        <v/>
      </c>
      <c r="J273" t="str" cm="1">
        <f t="array" ref="J273">_xlfn.LET(
  _xlpm.K, Constantes!$B$3,
  _xlpm.Knewgain, Constantes!$B$4,
  _xlpm.Knewscale, Constantes!$B$5,
  _xlpm.ptstables, INDEX(J:J, _xlfn.SEQUENCE(COUNTA($C$2:$C273), 1, 3, 4)),
  _xlpm.nbparties, COUNTA(_xlfn._xlws.FILTER(_xlpm.ptstables, _xlpm.ptstables &lt;&gt; "")),
  _xlpm.coef, _xlpm.K + _xlpm.Knewgain / (_xlpm.Knewscale + _xlpm.nbparties),
  IF(J271="",
    "",
    _xlpm.coef * (J271-J272))
)</f>
        <v/>
      </c>
      <c r="K273" t="str" cm="1">
        <f t="array" ref="K273">_xlfn.LET(
  _xlpm.K, Constantes!$B$3,
  _xlpm.Knewgain, Constantes!$B$4,
  _xlpm.Knewscale, Constantes!$B$5,
  _xlpm.ptstables, INDEX(K:K, _xlfn.SEQUENCE(COUNTA($C$2:$C273), 1, 3, 4)),
  _xlpm.nbparties, COUNTA(_xlfn._xlws.FILTER(_xlpm.ptstables, _xlpm.ptstables &lt;&gt; "")),
  _xlpm.coef, _xlpm.K + _xlpm.Knewgain / (_xlpm.Knewscale + _xlpm.nbparties),
  IF(K271="",
    "",
    _xlpm.coef * (K271-K272))
)</f>
        <v/>
      </c>
      <c r="L273" t="str" cm="1">
        <f t="array" ref="L273">_xlfn.LET(
  _xlpm.K, Constantes!$B$3,
  _xlpm.Knewgain, Constantes!$B$4,
  _xlpm.Knewscale, Constantes!$B$5,
  _xlpm.ptstables, INDEX(L:L, _xlfn.SEQUENCE(COUNTA($C$2:$C273), 1, 3, 4)),
  _xlpm.nbparties, COUNTA(_xlfn._xlws.FILTER(_xlpm.ptstables, _xlpm.ptstables &lt;&gt; "")),
  _xlpm.coef, _xlpm.K + _xlpm.Knewgain / (_xlpm.Knewscale + _xlpm.nbparties),
  IF(L271="",
    "",
    _xlpm.coef * (L271-L272))
)</f>
        <v/>
      </c>
      <c r="M273" t="str" cm="1">
        <f t="array" ref="M273">_xlfn.LET(
  _xlpm.K, Constantes!$B$3,
  _xlpm.Knewgain, Constantes!$B$4,
  _xlpm.Knewscale, Constantes!$B$5,
  _xlpm.ptstables, INDEX(M:M, _xlfn.SEQUENCE(COUNTA($C$2:$C273), 1, 3, 4)),
  _xlpm.nbparties, COUNTA(_xlfn._xlws.FILTER(_xlpm.ptstables, _xlpm.ptstables &lt;&gt; "")),
  _xlpm.coef, _xlpm.K + _xlpm.Knewgain / (_xlpm.Knewscale + _xlpm.nbparties),
  IF(M271="",
    "",
    _xlpm.coef * (M271-M272))
)</f>
        <v/>
      </c>
      <c r="N273" t="str" cm="1">
        <f t="array" ref="N273">_xlfn.LET(
  _xlpm.K, Constantes!$B$3,
  _xlpm.Knewgain, Constantes!$B$4,
  _xlpm.Knewscale, Constantes!$B$5,
  _xlpm.ptstables, INDEX(N:N, _xlfn.SEQUENCE(COUNTA($C$2:$C273), 1, 3, 4)),
  _xlpm.nbparties, COUNTA(_xlfn._xlws.FILTER(_xlpm.ptstables, _xlpm.ptstables &lt;&gt; "")),
  _xlpm.coef, _xlpm.K + _xlpm.Knewgain / (_xlpm.Knewscale + _xlpm.nbparties),
  IF(N271="",
    "",
    _xlpm.coef * (N271-N272))
)</f>
        <v/>
      </c>
      <c r="O273" t="str" cm="1">
        <f t="array" ref="O273">_xlfn.LET(
  _xlpm.K, Constantes!$B$3,
  _xlpm.Knewgain, Constantes!$B$4,
  _xlpm.Knewscale, Constantes!$B$5,
  _xlpm.ptstables, INDEX(O:O, _xlfn.SEQUENCE(COUNTA($C$2:$C273), 1, 3, 4)),
  _xlpm.nbparties, COUNTA(_xlfn._xlws.FILTER(_xlpm.ptstables, _xlpm.ptstables &lt;&gt; "")),
  _xlpm.coef, _xlpm.K + _xlpm.Knewgain / (_xlpm.Knewscale + _xlpm.nbparties),
  IF(O271="",
    "",
    _xlpm.coef * (O271-O272))
)</f>
        <v/>
      </c>
      <c r="P273" t="str" cm="1">
        <f t="array" ref="P273">_xlfn.LET(
  _xlpm.K, Constantes!$B$3,
  _xlpm.Knewgain, Constantes!$B$4,
  _xlpm.Knewscale, Constantes!$B$5,
  _xlpm.ptstables, INDEX(P:P, _xlfn.SEQUENCE(COUNTA($C$2:$C273), 1, 3, 4)),
  _xlpm.nbparties, COUNTA(_xlfn._xlws.FILTER(_xlpm.ptstables, _xlpm.ptstables &lt;&gt; "")),
  _xlpm.coef, _xlpm.K + _xlpm.Knewgain / (_xlpm.Knewscale + _xlpm.nbparties),
  IF(P271="",
    "",
    _xlpm.coef * (P271-P272))
)</f>
        <v/>
      </c>
      <c r="Q273" t="str" cm="1">
        <f t="array" ref="Q273">_xlfn.LET(
  _xlpm.K, Constantes!$B$3,
  _xlpm.Knewgain, Constantes!$B$4,
  _xlpm.Knewscale, Constantes!$B$5,
  _xlpm.ptstables, INDEX(Q:Q, _xlfn.SEQUENCE(COUNTA($C$2:$C273), 1, 3, 4)),
  _xlpm.nbparties, COUNTA(_xlfn._xlws.FILTER(_xlpm.ptstables, _xlpm.ptstables &lt;&gt; "")),
  _xlpm.coef, _xlpm.K + _xlpm.Knewgain / (_xlpm.Knewscale + _xlpm.nbparties),
  IF(Q271="",
    "",
    _xlpm.coef * (Q271-Q272))
)</f>
        <v/>
      </c>
      <c r="R273" cm="1">
        <f t="array" ref="R273">_xlfn.LET(
  _xlpm.K, Constantes!$B$3,
  _xlpm.Knewgain, Constantes!$B$4,
  _xlpm.Knewscale, Constantes!$B$5,
  _xlpm.ptstables, INDEX(R:R, _xlfn.SEQUENCE(COUNTA($C$2:$C273), 1, 3, 4)),
  _xlpm.nbparties, COUNTA(_xlfn._xlws.FILTER(_xlpm.ptstables, _xlpm.ptstables &lt;&gt; "")),
  _xlpm.coef, _xlpm.K + _xlpm.Knewgain / (_xlpm.Knewscale + _xlpm.nbparties),
  IF(R271="",
    "",
    _xlpm.coef * (R271-R272))
)</f>
        <v>1.3110007931110657</v>
      </c>
      <c r="S273" t="str" cm="1">
        <f t="array" ref="S273">_xlfn.LET(
  _xlpm.K, Constantes!$B$3,
  _xlpm.Knewgain, Constantes!$B$4,
  _xlpm.Knewscale, Constantes!$B$5,
  _xlpm.ptstables, INDEX(S:S, _xlfn.SEQUENCE(COUNTA($C$2:$C273), 1, 3, 4)),
  _xlpm.nbparties, COUNTA(_xlfn._xlws.FILTER(_xlpm.ptstables, _xlpm.ptstables &lt;&gt; "")),
  _xlpm.coef, _xlpm.K + _xlpm.Knewgain / (_xlpm.Knewscale + _xlpm.nbparties),
  IF(S271="",
    "",
    _xlpm.coef * (S271-S272))
)</f>
        <v/>
      </c>
      <c r="T273" cm="1">
        <f t="array" ref="T273">_xlfn.LET(
  _xlpm.K, Constantes!$B$3,
  _xlpm.Knewgain, Constantes!$B$4,
  _xlpm.Knewscale, Constantes!$B$5,
  _xlpm.ptstables, INDEX(T:T, _xlfn.SEQUENCE(COUNTA($C$2:$C273), 1, 3, 4)),
  _xlpm.nbparties, COUNTA(_xlfn._xlws.FILTER(_xlpm.ptstables, _xlpm.ptstables &lt;&gt; "")),
  _xlpm.coef, _xlpm.K + _xlpm.Knewgain / (_xlpm.Knewscale + _xlpm.nbparties),
  IF(T271="",
    "",
    _xlpm.coef * (T271-T272))
)</f>
        <v>21.970799549215968</v>
      </c>
      <c r="U273" t="str" cm="1">
        <f t="array" ref="U273">_xlfn.LET(
  _xlpm.K, Constantes!$B$3,
  _xlpm.Knewgain, Constantes!$B$4,
  _xlpm.Knewscale, Constantes!$B$5,
  _xlpm.ptstables, INDEX(U:U, _xlfn.SEQUENCE(COUNTA($C$2:$C273), 1, 3, 4)),
  _xlpm.nbparties, COUNTA(_xlfn._xlws.FILTER(_xlpm.ptstables, _xlpm.ptstables &lt;&gt; "")),
  _xlpm.coef, _xlpm.K + _xlpm.Knewgain / (_xlpm.Knewscale + _xlpm.nbparties),
  IF(U271="",
    "",
    _xlpm.coef * (U271-U272))
)</f>
        <v/>
      </c>
      <c r="V273" t="str" cm="1">
        <f t="array" ref="V273">_xlfn.LET(
  _xlpm.K, Constantes!$B$3,
  _xlpm.Knewgain, Constantes!$B$4,
  _xlpm.Knewscale, Constantes!$B$5,
  _xlpm.ptstables, INDEX(V:V, _xlfn.SEQUENCE(COUNTA($C$2:$C273), 1, 3, 4)),
  _xlpm.nbparties, COUNTA(_xlfn._xlws.FILTER(_xlpm.ptstables, _xlpm.ptstables &lt;&gt; "")),
  _xlpm.coef, _xlpm.K + _xlpm.Knewgain / (_xlpm.Knewscale + _xlpm.nbparties),
  IF(V271="",
    "",
    _xlpm.coef * (V271-V272))
)</f>
        <v/>
      </c>
      <c r="W273" t="str" cm="1">
        <f t="array" ref="W273">_xlfn.LET(
  _xlpm.K, Constantes!$B$3,
  _xlpm.Knewgain, Constantes!$B$4,
  _xlpm.Knewscale, Constantes!$B$5,
  _xlpm.ptstables, INDEX(W:W, _xlfn.SEQUENCE(COUNTA($C$2:$C273), 1, 3, 4)),
  _xlpm.nbparties, COUNTA(_xlfn._xlws.FILTER(_xlpm.ptstables, _xlpm.ptstables &lt;&gt; "")),
  _xlpm.coef, _xlpm.K + _xlpm.Knewgain / (_xlpm.Knewscale + _xlpm.nbparties),
  IF(W271="",
    "",
    _xlpm.coef * (W271-W272))
)</f>
        <v/>
      </c>
      <c r="X273" cm="1">
        <f t="array" ref="X273">_xlfn.LET(
  _xlpm.K, Constantes!$B$3,
  _xlpm.Knewgain, Constantes!$B$4,
  _xlpm.Knewscale, Constantes!$B$5,
  _xlpm.ptstables, INDEX(X:X, _xlfn.SEQUENCE(COUNTA($C$2:$C273), 1, 3, 4)),
  _xlpm.nbparties, COUNTA(_xlfn._xlws.FILTER(_xlpm.ptstables, _xlpm.ptstables &lt;&gt; "")),
  _xlpm.coef, _xlpm.K + _xlpm.Knewgain / (_xlpm.Knewscale + _xlpm.nbparties),
  IF(X271="",
    "",
    _xlpm.coef * (X271-X272))
)</f>
        <v>7.7573524822081366</v>
      </c>
      <c r="Y273" cm="1">
        <f t="array" ref="Y273">_xlfn.LET(
  _xlpm.K, Constantes!$B$3,
  _xlpm.Knewgain, Constantes!$B$4,
  _xlpm.Knewscale, Constantes!$B$5,
  _xlpm.ptstables, INDEX(Y:Y, _xlfn.SEQUENCE(COUNTA($C$2:$C273), 1, 3, 4)),
  _xlpm.nbparties, COUNTA(_xlfn._xlws.FILTER(_xlpm.ptstables, _xlpm.ptstables &lt;&gt; "")),
  _xlpm.coef, _xlpm.K + _xlpm.Knewgain / (_xlpm.Knewscale + _xlpm.nbparties),
  IF(Y271="",
    "",
    _xlpm.coef * (Y271-Y272))
)</f>
        <v>-28.094904232010069</v>
      </c>
      <c r="Z273" t="str" cm="1">
        <f t="array" ref="Z273">_xlfn.LET(
  _xlpm.K, Constantes!$B$3,
  _xlpm.Knewgain, Constantes!$B$4,
  _xlpm.Knewscale, Constantes!$B$5,
  _xlpm.ptstables, INDEX(Z:Z, _xlfn.SEQUENCE(COUNTA($C$2:$C273), 1, 3, 4)),
  _xlpm.nbparties, COUNTA(_xlfn._xlws.FILTER(_xlpm.ptstables, _xlpm.ptstables &lt;&gt; "")),
  _xlpm.coef, _xlpm.K + _xlpm.Knewgain / (_xlpm.Knewscale + _xlpm.nbparties),
  IF(Z271="",
    "",
    _xlpm.coef * (Z271-Z272))
)</f>
        <v/>
      </c>
      <c r="AA273" t="str" cm="1">
        <f t="array" ref="AA273">_xlfn.LET(
  _xlpm.K, Constantes!$B$3,
  _xlpm.Knewgain, Constantes!$B$4,
  _xlpm.Knewscale, Constantes!$B$5,
  _xlpm.ptstables, INDEX(AA:AA, _xlfn.SEQUENCE(COUNTA($C$2:$C273), 1, 3, 4)),
  _xlpm.nbparties, COUNTA(_xlfn._xlws.FILTER(_xlpm.ptstables, _xlpm.ptstables &lt;&gt; "")),
  _xlpm.coef, _xlpm.K + _xlpm.Knewgain / (_xlpm.Knewscale + _xlpm.nbparties),
  IF(AA271="",
    "",
    _xlpm.coef * (AA271-AA272))
)</f>
        <v/>
      </c>
      <c r="AB273" t="str" cm="1">
        <f t="array" ref="AB273">_xlfn.LET(
  _xlpm.K, Constantes!$B$3,
  _xlpm.Knewgain, Constantes!$B$4,
  _xlpm.Knewscale, Constantes!$B$5,
  _xlpm.ptstables, INDEX(AB:AB, _xlfn.SEQUENCE(COUNTA($C$2:$C273), 1, 3, 4)),
  _xlpm.nbparties, COUNTA(_xlfn._xlws.FILTER(_xlpm.ptstables, _xlpm.ptstables &lt;&gt; "")),
  _xlpm.coef, _xlpm.K + _xlpm.Knewgain / (_xlpm.Knewscale + _xlpm.nbparties),
  IF(AB271="",
    "",
    _xlpm.coef * (AB271-AB272))
)</f>
        <v/>
      </c>
      <c r="AC273" t="str" cm="1">
        <f t="array" ref="AC273">_xlfn.LET(
  _xlpm.K, Constantes!$B$3,
  _xlpm.Knewgain, Constantes!$B$4,
  _xlpm.Knewscale, Constantes!$B$5,
  _xlpm.ptstables, INDEX(AC:AC, _xlfn.SEQUENCE(COUNTA($C$2:$C273), 1, 3, 4)),
  _xlpm.nbparties, COUNTA(_xlfn._xlws.FILTER(_xlpm.ptstables, _xlpm.ptstables &lt;&gt; "")),
  _xlpm.coef, _xlpm.K + _xlpm.Knewgain / (_xlpm.Knewscale + _xlpm.nbparties),
  IF(AC271="",
    "",
    _xlpm.coef * (AC271-AC272))
)</f>
        <v/>
      </c>
      <c r="AD273" t="str" cm="1">
        <f t="array" ref="AD273">_xlfn.LET(
  _xlpm.K, Constantes!$B$3,
  _xlpm.Knewgain, Constantes!$B$4,
  _xlpm.Knewscale, Constantes!$B$5,
  _xlpm.ptstables, INDEX(AD:AD, _xlfn.SEQUENCE(COUNTA($C$2:$C273), 1, 3, 4)),
  _xlpm.nbparties, COUNTA(_xlfn._xlws.FILTER(_xlpm.ptstables, _xlpm.ptstables &lt;&gt; "")),
  _xlpm.coef, _xlpm.K + _xlpm.Knewgain / (_xlpm.Knewscale + _xlpm.nbparties),
  IF(AD271="",
    "",
    _xlpm.coef * (AD271-AD272))
)</f>
        <v/>
      </c>
      <c r="AE273" t="str" cm="1">
        <f t="array" ref="AE273">_xlfn.LET(
  _xlpm.K, Constantes!$B$3,
  _xlpm.Knewgain, Constantes!$B$4,
  _xlpm.Knewscale, Constantes!$B$5,
  _xlpm.ptstables, INDEX(AE:AE, _xlfn.SEQUENCE(COUNTA($C$2:$C273), 1, 3, 4)),
  _xlpm.nbparties, COUNTA(_xlfn._xlws.FILTER(_xlpm.ptstables, _xlpm.ptstables &lt;&gt; "")),
  _xlpm.coef, _xlpm.K + _xlpm.Knewgain / (_xlpm.Knewscale + _xlpm.nbparties),
  IF(AE271="",
    "",
    _xlpm.coef * (AE271-AE272))
)</f>
        <v/>
      </c>
      <c r="AF273" t="str" cm="1">
        <f t="array" ref="AF273">_xlfn.LET(
  _xlpm.K, Constantes!$B$3,
  _xlpm.Knewgain, Constantes!$B$4,
  _xlpm.Knewscale, Constantes!$B$5,
  _xlpm.ptstables, INDEX(AF:AF, _xlfn.SEQUENCE(COUNTA($C$2:$C273), 1, 3, 4)),
  _xlpm.nbparties, COUNTA(_xlfn._xlws.FILTER(_xlpm.ptstables, _xlpm.ptstables &lt;&gt; "")),
  _xlpm.coef, _xlpm.K + _xlpm.Knewgain / (_xlpm.Knewscale + _xlpm.nbparties),
  IF(AF271="",
    "",
    _xlpm.coef * (AF271-AF272))
)</f>
        <v/>
      </c>
      <c r="AG273" t="str" cm="1">
        <f t="array" ref="AG273">_xlfn.LET(
  _xlpm.K, Constantes!$B$3,
  _xlpm.Knewgain, Constantes!$B$4,
  _xlpm.Knewscale, Constantes!$B$5,
  _xlpm.ptstables, INDEX(AG:AG, _xlfn.SEQUENCE(COUNTA($C$2:$C273), 1, 3, 4)),
  _xlpm.nbparties, COUNTA(_xlfn._xlws.FILTER(_xlpm.ptstables, _xlpm.ptstables &lt;&gt; "")),
  _xlpm.coef, _xlpm.K + _xlpm.Knewgain / (_xlpm.Knewscale + _xlpm.nbparties),
  IF(AG271="",
    "",
    _xlpm.coef * (AG271-AG272))
)</f>
        <v/>
      </c>
      <c r="AH273" t="str" cm="1">
        <f t="array" ref="AH273">_xlfn.LET(
  _xlpm.K, Constantes!$B$3,
  _xlpm.Knewgain, Constantes!$B$4,
  _xlpm.Knewscale, Constantes!$B$5,
  _xlpm.ptstables, INDEX(AH:AH, _xlfn.SEQUENCE(COUNTA($C$2:$C273), 1, 3, 4)),
  _xlpm.nbparties, COUNTA(_xlfn._xlws.FILTER(_xlpm.ptstables, _xlpm.ptstables &lt;&gt; "")),
  _xlpm.coef, _xlpm.K + _xlpm.Knewgain / (_xlpm.Knewscale + _xlpm.nbparties),
  IF(AH271="",
    "",
    _xlpm.coef * (AH271-AH272))
)</f>
        <v/>
      </c>
      <c r="AI273" t="str" cm="1">
        <f t="array" ref="AI273">_xlfn.LET(
  _xlpm.K, Constantes!$B$3,
  _xlpm.Knewgain, Constantes!$B$4,
  _xlpm.Knewscale, Constantes!$B$5,
  _xlpm.ptstables, INDEX(AI:AI, _xlfn.SEQUENCE(COUNTA($C$2:$C273), 1, 3, 4)),
  _xlpm.nbparties, COUNTA(_xlfn._xlws.FILTER(_xlpm.ptstables, _xlpm.ptstables &lt;&gt; "")),
  _xlpm.coef, _xlpm.K + _xlpm.Knewgain / (_xlpm.Knewscale + _xlpm.nbparties),
  IF(AI271="",
    "",
    _xlpm.coef * (AI271-AI272))
)</f>
        <v/>
      </c>
      <c r="AJ273" t="str" cm="1">
        <f t="array" ref="AJ273">_xlfn.LET(
  _xlpm.K, Constantes!$B$3,
  _xlpm.Knewgain, Constantes!$B$4,
  _xlpm.Knewscale, Constantes!$B$5,
  _xlpm.ptstables, INDEX(AJ:AJ, _xlfn.SEQUENCE(COUNTA($C$2:$C273), 1, 3, 4)),
  _xlpm.nbparties, COUNTA(_xlfn._xlws.FILTER(_xlpm.ptstables, _xlpm.ptstables &lt;&gt; "")),
  _xlpm.coef, _xlpm.K + _xlpm.Knewgain / (_xlpm.Knewscale + _xlpm.nbparties),
  IF(AJ271="",
    "",
    _xlpm.coef * (AJ271-AJ272))
)</f>
        <v/>
      </c>
      <c r="AK273" t="str" cm="1">
        <f t="array" ref="AK273">_xlfn.LET(
  _xlpm.K, Constantes!$B$3,
  _xlpm.Knewgain, Constantes!$B$4,
  _xlpm.Knewscale, Constantes!$B$5,
  _xlpm.ptstables, INDEX(AK:AK, _xlfn.SEQUENCE(COUNTA($C$2:$C273), 1, 3, 4)),
  _xlpm.nbparties, COUNTA(_xlfn._xlws.FILTER(_xlpm.ptstables, _xlpm.ptstables &lt;&gt; "")),
  _xlpm.coef, _xlpm.K + _xlpm.Knewgain / (_xlpm.Knewscale + _xlpm.nbparties),
  IF(AK271="",
    "",
    _xlpm.coef * (AK271-AK272))
)</f>
        <v/>
      </c>
      <c r="AL273" t="str" cm="1">
        <f t="array" ref="AL273">_xlfn.LET(
  _xlpm.K, Constantes!$B$3,
  _xlpm.Knewgain, Constantes!$B$4,
  _xlpm.Knewscale, Constantes!$B$5,
  _xlpm.ptstables, INDEX(AL:AL, _xlfn.SEQUENCE(COUNTA($C$2:$C273), 1, 3, 4)),
  _xlpm.nbparties, COUNTA(_xlfn._xlws.FILTER(_xlpm.ptstables, _xlpm.ptstables &lt;&gt; "")),
  _xlpm.coef, _xlpm.K + _xlpm.Knewgain / (_xlpm.Knewscale + _xlpm.nbparties),
  IF(AL271="",
    "",
    _xlpm.coef * (AL271-AL272))
)</f>
        <v/>
      </c>
      <c r="AM273" t="str" cm="1">
        <f t="array" ref="AM273">_xlfn.LET(
  _xlpm.K, Constantes!$B$3,
  _xlpm.Knewgain, Constantes!$B$4,
  _xlpm.Knewscale, Constantes!$B$5,
  _xlpm.ptstables, INDEX(AM:AM, _xlfn.SEQUENCE(COUNTA($C$2:$C273), 1, 3, 4)),
  _xlpm.nbparties, COUNTA(_xlfn._xlws.FILTER(_xlpm.ptstables, _xlpm.ptstables &lt;&gt; "")),
  _xlpm.coef, _xlpm.K + _xlpm.Knewgain / (_xlpm.Knewscale + _xlpm.nbparties),
  IF(AM271="",
    "",
    _xlpm.coef * (AM271-AM272))
)</f>
        <v/>
      </c>
    </row>
    <row r="274" spans="1:39" x14ac:dyDescent="0.25">
      <c r="A274" t="s">
        <v>14</v>
      </c>
      <c r="B274" t="str" cm="1">
        <f t="array" ref="B27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67</v>
      </c>
      <c r="C274" s="2" cm="1">
        <f t="array" ref="C274">IF(B274="","",
  INDEX(Donnees!F:F, MATCH(B274, Donnees!F:F, 0)+1))</f>
        <v>45941.826990740738</v>
      </c>
      <c r="D274">
        <f t="shared" ref="D274:AM274" si="76">D270+IF(D273="",0,D273)</f>
        <v>1033.1893307292305</v>
      </c>
      <c r="E274">
        <f t="shared" si="76"/>
        <v>1106.7590060534542</v>
      </c>
      <c r="F274">
        <f t="shared" si="76"/>
        <v>847.48442671390455</v>
      </c>
      <c r="G274">
        <f t="shared" si="76"/>
        <v>1118.8779378975084</v>
      </c>
      <c r="H274">
        <f t="shared" si="76"/>
        <v>1083.5445464565155</v>
      </c>
      <c r="I274">
        <f t="shared" si="76"/>
        <v>929.90115121897634</v>
      </c>
      <c r="J274">
        <f t="shared" si="76"/>
        <v>1010.9125108504293</v>
      </c>
      <c r="K274">
        <f t="shared" si="76"/>
        <v>993.90254614824482</v>
      </c>
      <c r="L274">
        <f t="shared" si="76"/>
        <v>766.95119884458973</v>
      </c>
      <c r="M274">
        <f t="shared" si="76"/>
        <v>913.41986361738122</v>
      </c>
      <c r="N274">
        <f t="shared" si="76"/>
        <v>893.28591153844093</v>
      </c>
      <c r="O274">
        <f t="shared" si="76"/>
        <v>998.21178722110983</v>
      </c>
      <c r="P274">
        <f t="shared" si="76"/>
        <v>1044.694691960626</v>
      </c>
      <c r="Q274">
        <f t="shared" si="76"/>
        <v>1115.7943048456248</v>
      </c>
      <c r="R274">
        <f t="shared" si="76"/>
        <v>1080.8653023562695</v>
      </c>
      <c r="S274">
        <f t="shared" si="76"/>
        <v>987.64110681918737</v>
      </c>
      <c r="T274">
        <f t="shared" si="76"/>
        <v>1153.43058185823</v>
      </c>
      <c r="U274">
        <f t="shared" si="76"/>
        <v>1137.0758429394593</v>
      </c>
      <c r="V274">
        <f t="shared" si="76"/>
        <v>951.23563726152827</v>
      </c>
      <c r="W274">
        <f t="shared" si="76"/>
        <v>936.79085942937002</v>
      </c>
      <c r="X274">
        <f t="shared" si="76"/>
        <v>828.97598039785271</v>
      </c>
      <c r="Y274">
        <f t="shared" si="76"/>
        <v>903.14348714035714</v>
      </c>
      <c r="Z274">
        <f t="shared" si="76"/>
        <v>991.11904139672549</v>
      </c>
      <c r="AA274">
        <f t="shared" si="76"/>
        <v>966.24279289689184</v>
      </c>
      <c r="AB274">
        <f t="shared" si="76"/>
        <v>988.35669729544747</v>
      </c>
      <c r="AC274">
        <f t="shared" si="76"/>
        <v>1039.1635789679592</v>
      </c>
      <c r="AD274">
        <f t="shared" si="76"/>
        <v>1073.9096023401294</v>
      </c>
      <c r="AE274">
        <f t="shared" si="76"/>
        <v>963.23981965000235</v>
      </c>
      <c r="AF274">
        <f t="shared" si="76"/>
        <v>1089.5415391863121</v>
      </c>
      <c r="AG274">
        <f t="shared" si="76"/>
        <v>958.23078604304851</v>
      </c>
      <c r="AH274">
        <f t="shared" si="76"/>
        <v>920.4412636682855</v>
      </c>
      <c r="AI274">
        <f t="shared" si="76"/>
        <v>917.98537022811024</v>
      </c>
      <c r="AJ274">
        <f t="shared" si="76"/>
        <v>957.2</v>
      </c>
      <c r="AK274">
        <f t="shared" si="76"/>
        <v>1000</v>
      </c>
      <c r="AL274">
        <f t="shared" si="76"/>
        <v>1055.9299999999998</v>
      </c>
      <c r="AM274">
        <f t="shared" si="76"/>
        <v>1000</v>
      </c>
    </row>
    <row r="275" spans="1:39" x14ac:dyDescent="0.25">
      <c r="A275" t="s">
        <v>21</v>
      </c>
      <c r="D275" t="str" cm="1">
        <f t="array" ref="D275">IFERROR(
  _xlfn.LET(
    _xlpm.ligpartie, MATCH($B274, Donnees!$F:$F, 0),
    _xlpm.joueurs, INDEX(Donnees!$A:$Z, _xlpm.ligpartie+1, _xlfn.SEQUENCE(1, 4, 2)),
    INDEX(
      Donnees!$A:$Z,
      _xlpm.ligpartie + 3,
      MATCH(D$1, _xlpm.joueurs, 0) + 1
    )
  ), ""
)</f>
        <v/>
      </c>
      <c r="E275" cm="1">
        <f t="array" ref="E275">IFERROR(
  _xlfn.LET(
    _xlpm.ligpartie, MATCH($B274, Donnees!$F:$F, 0),
    _xlpm.joueurs, INDEX(Donnees!$A:$Z, _xlpm.ligpartie+1, _xlfn.SEQUENCE(1, 4, 2)),
    INDEX(
      Donnees!$A:$Z,
      _xlpm.ligpartie + 3,
      MATCH(E$1, _xlpm.joueurs, 0) + 1
    )
  ), ""
)</f>
        <v>0</v>
      </c>
      <c r="F275" t="str" cm="1">
        <f t="array" ref="F275">IFERROR(
  _xlfn.LET(
    _xlpm.ligpartie, MATCH($B274, Donnees!$F:$F, 0),
    _xlpm.joueurs, INDEX(Donnees!$A:$Z, _xlpm.ligpartie+1, _xlfn.SEQUENCE(1, 4, 2)),
    INDEX(
      Donnees!$A:$Z,
      _xlpm.ligpartie + 3,
      MATCH(F$1, _xlpm.joueurs, 0) + 1
    )
  ), ""
)</f>
        <v/>
      </c>
      <c r="G275" t="str" cm="1">
        <f t="array" ref="G275">IFERROR(
  _xlfn.LET(
    _xlpm.ligpartie, MATCH($B274, Donnees!$F:$F, 0),
    _xlpm.joueurs, INDEX(Donnees!$A:$Z, _xlpm.ligpartie+1, _xlfn.SEQUENCE(1, 4, 2)),
    INDEX(
      Donnees!$A:$Z,
      _xlpm.ligpartie + 3,
      MATCH(G$1, _xlpm.joueurs, 0) + 1
    )
  ), ""
)</f>
        <v/>
      </c>
      <c r="H275" t="str" cm="1">
        <f t="array" ref="H275">IFERROR(
  _xlfn.LET(
    _xlpm.ligpartie, MATCH($B274, Donnees!$F:$F, 0),
    _xlpm.joueurs, INDEX(Donnees!$A:$Z, _xlpm.ligpartie+1, _xlfn.SEQUENCE(1, 4, 2)),
    INDEX(
      Donnees!$A:$Z,
      _xlpm.ligpartie + 3,
      MATCH(H$1, _xlpm.joueurs, 0) + 1
    )
  ), ""
)</f>
        <v/>
      </c>
      <c r="I275" t="str" cm="1">
        <f t="array" ref="I275">IFERROR(
  _xlfn.LET(
    _xlpm.ligpartie, MATCH($B274, Donnees!$F:$F, 0),
    _xlpm.joueurs, INDEX(Donnees!$A:$Z, _xlpm.ligpartie+1, _xlfn.SEQUENCE(1, 4, 2)),
    INDEX(
      Donnees!$A:$Z,
      _xlpm.ligpartie + 3,
      MATCH(I$1, _xlpm.joueurs, 0) + 1
    )
  ), ""
)</f>
        <v/>
      </c>
      <c r="J275" t="str" cm="1">
        <f t="array" ref="J275">IFERROR(
  _xlfn.LET(
    _xlpm.ligpartie, MATCH($B274, Donnees!$F:$F, 0),
    _xlpm.joueurs, INDEX(Donnees!$A:$Z, _xlpm.ligpartie+1, _xlfn.SEQUENCE(1, 4, 2)),
    INDEX(
      Donnees!$A:$Z,
      _xlpm.ligpartie + 3,
      MATCH(J$1, _xlpm.joueurs, 0) + 1
    )
  ), ""
)</f>
        <v/>
      </c>
      <c r="K275" t="str" cm="1">
        <f t="array" ref="K275">IFERROR(
  _xlfn.LET(
    _xlpm.ligpartie, MATCH($B274, Donnees!$F:$F, 0),
    _xlpm.joueurs, INDEX(Donnees!$A:$Z, _xlpm.ligpartie+1, _xlfn.SEQUENCE(1, 4, 2)),
    INDEX(
      Donnees!$A:$Z,
      _xlpm.ligpartie + 3,
      MATCH(K$1, _xlpm.joueurs, 0) + 1
    )
  ), ""
)</f>
        <v/>
      </c>
      <c r="L275" t="str" cm="1">
        <f t="array" ref="L275">IFERROR(
  _xlfn.LET(
    _xlpm.ligpartie, MATCH($B274, Donnees!$F:$F, 0),
    _xlpm.joueurs, INDEX(Donnees!$A:$Z, _xlpm.ligpartie+1, _xlfn.SEQUENCE(1, 4, 2)),
    INDEX(
      Donnees!$A:$Z,
      _xlpm.ligpartie + 3,
      MATCH(L$1, _xlpm.joueurs, 0) + 1
    )
  ), ""
)</f>
        <v/>
      </c>
      <c r="M275" t="str" cm="1">
        <f t="array" ref="M275">IFERROR(
  _xlfn.LET(
    _xlpm.ligpartie, MATCH($B274, Donnees!$F:$F, 0),
    _xlpm.joueurs, INDEX(Donnees!$A:$Z, _xlpm.ligpartie+1, _xlfn.SEQUENCE(1, 4, 2)),
    INDEX(
      Donnees!$A:$Z,
      _xlpm.ligpartie + 3,
      MATCH(M$1, _xlpm.joueurs, 0) + 1
    )
  ), ""
)</f>
        <v/>
      </c>
      <c r="N275" t="str" cm="1">
        <f t="array" ref="N275">IFERROR(
  _xlfn.LET(
    _xlpm.ligpartie, MATCH($B274, Donnees!$F:$F, 0),
    _xlpm.joueurs, INDEX(Donnees!$A:$Z, _xlpm.ligpartie+1, _xlfn.SEQUENCE(1, 4, 2)),
    INDEX(
      Donnees!$A:$Z,
      _xlpm.ligpartie + 3,
      MATCH(N$1, _xlpm.joueurs, 0) + 1
    )
  ), ""
)</f>
        <v/>
      </c>
      <c r="O275" t="str" cm="1">
        <f t="array" ref="O275">IFERROR(
  _xlfn.LET(
    _xlpm.ligpartie, MATCH($B274, Donnees!$F:$F, 0),
    _xlpm.joueurs, INDEX(Donnees!$A:$Z, _xlpm.ligpartie+1, _xlfn.SEQUENCE(1, 4, 2)),
    INDEX(
      Donnees!$A:$Z,
      _xlpm.ligpartie + 3,
      MATCH(O$1, _xlpm.joueurs, 0) + 1
    )
  ), ""
)</f>
        <v/>
      </c>
      <c r="P275" t="str" cm="1">
        <f t="array" ref="P275">IFERROR(
  _xlfn.LET(
    _xlpm.ligpartie, MATCH($B274, Donnees!$F:$F, 0),
    _xlpm.joueurs, INDEX(Donnees!$A:$Z, _xlpm.ligpartie+1, _xlfn.SEQUENCE(1, 4, 2)),
    INDEX(
      Donnees!$A:$Z,
      _xlpm.ligpartie + 3,
      MATCH(P$1, _xlpm.joueurs, 0) + 1
    )
  ), ""
)</f>
        <v/>
      </c>
      <c r="Q275" cm="1">
        <f t="array" ref="Q275">IFERROR(
  _xlfn.LET(
    _xlpm.ligpartie, MATCH($B274, Donnees!$F:$F, 0),
    _xlpm.joueurs, INDEX(Donnees!$A:$Z, _xlpm.ligpartie+1, _xlfn.SEQUENCE(1, 4, 2)),
    INDEX(
      Donnees!$A:$Z,
      _xlpm.ligpartie + 3,
      MATCH(Q$1, _xlpm.joueurs, 0) + 1
    )
  ), ""
)</f>
        <v>2</v>
      </c>
      <c r="R275" t="str" cm="1">
        <f t="array" ref="R275">IFERROR(
  _xlfn.LET(
    _xlpm.ligpartie, MATCH($B274, Donnees!$F:$F, 0),
    _xlpm.joueurs, INDEX(Donnees!$A:$Z, _xlpm.ligpartie+1, _xlfn.SEQUENCE(1, 4, 2)),
    INDEX(
      Donnees!$A:$Z,
      _xlpm.ligpartie + 3,
      MATCH(R$1, _xlpm.joueurs, 0) + 1
    )
  ), ""
)</f>
        <v/>
      </c>
      <c r="S275" t="str" cm="1">
        <f t="array" ref="S275">IFERROR(
  _xlfn.LET(
    _xlpm.ligpartie, MATCH($B274, Donnees!$F:$F, 0),
    _xlpm.joueurs, INDEX(Donnees!$A:$Z, _xlpm.ligpartie+1, _xlfn.SEQUENCE(1, 4, 2)),
    INDEX(
      Donnees!$A:$Z,
      _xlpm.ligpartie + 3,
      MATCH(S$1, _xlpm.joueurs, 0) + 1
    )
  ), ""
)</f>
        <v/>
      </c>
      <c r="T275" t="str" cm="1">
        <f t="array" ref="T275">IFERROR(
  _xlfn.LET(
    _xlpm.ligpartie, MATCH($B274, Donnees!$F:$F, 0),
    _xlpm.joueurs, INDEX(Donnees!$A:$Z, _xlpm.ligpartie+1, _xlfn.SEQUENCE(1, 4, 2)),
    INDEX(
      Donnees!$A:$Z,
      _xlpm.ligpartie + 3,
      MATCH(T$1, _xlpm.joueurs, 0) + 1
    )
  ), ""
)</f>
        <v/>
      </c>
      <c r="U275" cm="1">
        <f t="array" ref="U275">IFERROR(
  _xlfn.LET(
    _xlpm.ligpartie, MATCH($B274, Donnees!$F:$F, 0),
    _xlpm.joueurs, INDEX(Donnees!$A:$Z, _xlpm.ligpartie+1, _xlfn.SEQUENCE(1, 4, 2)),
    INDEX(
      Donnees!$A:$Z,
      _xlpm.ligpartie + 3,
      MATCH(U$1, _xlpm.joueurs, 0) + 1
    )
  ), ""
)</f>
        <v>3</v>
      </c>
      <c r="V275" t="str" cm="1">
        <f t="array" ref="V275">IFERROR(
  _xlfn.LET(
    _xlpm.ligpartie, MATCH($B274, Donnees!$F:$F, 0),
    _xlpm.joueurs, INDEX(Donnees!$A:$Z, _xlpm.ligpartie+1, _xlfn.SEQUENCE(1, 4, 2)),
    INDEX(
      Donnees!$A:$Z,
      _xlpm.ligpartie + 3,
      MATCH(V$1, _xlpm.joueurs, 0) + 1
    )
  ), ""
)</f>
        <v/>
      </c>
      <c r="W275" t="str" cm="1">
        <f t="array" ref="W275">IFERROR(
  _xlfn.LET(
    _xlpm.ligpartie, MATCH($B274, Donnees!$F:$F, 0),
    _xlpm.joueurs, INDEX(Donnees!$A:$Z, _xlpm.ligpartie+1, _xlfn.SEQUENCE(1, 4, 2)),
    INDEX(
      Donnees!$A:$Z,
      _xlpm.ligpartie + 3,
      MATCH(W$1, _xlpm.joueurs, 0) + 1
    )
  ), ""
)</f>
        <v/>
      </c>
      <c r="X275" t="str" cm="1">
        <f t="array" ref="X275">IFERROR(
  _xlfn.LET(
    _xlpm.ligpartie, MATCH($B274, Donnees!$F:$F, 0),
    _xlpm.joueurs, INDEX(Donnees!$A:$Z, _xlpm.ligpartie+1, _xlfn.SEQUENCE(1, 4, 2)),
    INDEX(
      Donnees!$A:$Z,
      _xlpm.ligpartie + 3,
      MATCH(X$1, _xlpm.joueurs, 0) + 1
    )
  ), ""
)</f>
        <v/>
      </c>
      <c r="Y275" t="str" cm="1">
        <f t="array" ref="Y275">IFERROR(
  _xlfn.LET(
    _xlpm.ligpartie, MATCH($B274, Donnees!$F:$F, 0),
    _xlpm.joueurs, INDEX(Donnees!$A:$Z, _xlpm.ligpartie+1, _xlfn.SEQUENCE(1, 4, 2)),
    INDEX(
      Donnees!$A:$Z,
      _xlpm.ligpartie + 3,
      MATCH(Y$1, _xlpm.joueurs, 0) + 1
    )
  ), ""
)</f>
        <v/>
      </c>
      <c r="Z275" t="str" cm="1">
        <f t="array" ref="Z275">IFERROR(
  _xlfn.LET(
    _xlpm.ligpartie, MATCH($B274, Donnees!$F:$F, 0),
    _xlpm.joueurs, INDEX(Donnees!$A:$Z, _xlpm.ligpartie+1, _xlfn.SEQUENCE(1, 4, 2)),
    INDEX(
      Donnees!$A:$Z,
      _xlpm.ligpartie + 3,
      MATCH(Z$1, _xlpm.joueurs, 0) + 1
    )
  ), ""
)</f>
        <v/>
      </c>
      <c r="AA275" t="str" cm="1">
        <f t="array" ref="AA275">IFERROR(
  _xlfn.LET(
    _xlpm.ligpartie, MATCH($B274, Donnees!$F:$F, 0),
    _xlpm.joueurs, INDEX(Donnees!$A:$Z, _xlpm.ligpartie+1, _xlfn.SEQUENCE(1, 4, 2)),
    INDEX(
      Donnees!$A:$Z,
      _xlpm.ligpartie + 3,
      MATCH(AA$1, _xlpm.joueurs, 0) + 1
    )
  ), ""
)</f>
        <v/>
      </c>
      <c r="AB275" t="str" cm="1">
        <f t="array" ref="AB275">IFERROR(
  _xlfn.LET(
    _xlpm.ligpartie, MATCH($B274, Donnees!$F:$F, 0),
    _xlpm.joueurs, INDEX(Donnees!$A:$Z, _xlpm.ligpartie+1, _xlfn.SEQUENCE(1, 4, 2)),
    INDEX(
      Donnees!$A:$Z,
      _xlpm.ligpartie + 3,
      MATCH(AB$1, _xlpm.joueurs, 0) + 1
    )
  ), ""
)</f>
        <v/>
      </c>
      <c r="AC275" t="str" cm="1">
        <f t="array" ref="AC275">IFERROR(
  _xlfn.LET(
    _xlpm.ligpartie, MATCH($B274, Donnees!$F:$F, 0),
    _xlpm.joueurs, INDEX(Donnees!$A:$Z, _xlpm.ligpartie+1, _xlfn.SEQUENCE(1, 4, 2)),
    INDEX(
      Donnees!$A:$Z,
      _xlpm.ligpartie + 3,
      MATCH(AC$1, _xlpm.joueurs, 0) + 1
    )
  ), ""
)</f>
        <v/>
      </c>
      <c r="AD275" t="str" cm="1">
        <f t="array" ref="AD275">IFERROR(
  _xlfn.LET(
    _xlpm.ligpartie, MATCH($B274, Donnees!$F:$F, 0),
    _xlpm.joueurs, INDEX(Donnees!$A:$Z, _xlpm.ligpartie+1, _xlfn.SEQUENCE(1, 4, 2)),
    INDEX(
      Donnees!$A:$Z,
      _xlpm.ligpartie + 3,
      MATCH(AD$1, _xlpm.joueurs, 0) + 1
    )
  ), ""
)</f>
        <v/>
      </c>
      <c r="AE275" t="str" cm="1">
        <f t="array" ref="AE275">IFERROR(
  _xlfn.LET(
    _xlpm.ligpartie, MATCH($B274, Donnees!$F:$F, 0),
    _xlpm.joueurs, INDEX(Donnees!$A:$Z, _xlpm.ligpartie+1, _xlfn.SEQUENCE(1, 4, 2)),
    INDEX(
      Donnees!$A:$Z,
      _xlpm.ligpartie + 3,
      MATCH(AE$1, _xlpm.joueurs, 0) + 1
    )
  ), ""
)</f>
        <v/>
      </c>
      <c r="AF275" t="str" cm="1">
        <f t="array" ref="AF275">IFERROR(
  _xlfn.LET(
    _xlpm.ligpartie, MATCH($B274, Donnees!$F:$F, 0),
    _xlpm.joueurs, INDEX(Donnees!$A:$Z, _xlpm.ligpartie+1, _xlfn.SEQUENCE(1, 4, 2)),
    INDEX(
      Donnees!$A:$Z,
      _xlpm.ligpartie + 3,
      MATCH(AF$1, _xlpm.joueurs, 0) + 1
    )
  ), ""
)</f>
        <v/>
      </c>
      <c r="AG275" t="str" cm="1">
        <f t="array" ref="AG275">IFERROR(
  _xlfn.LET(
    _xlpm.ligpartie, MATCH($B274, Donnees!$F:$F, 0),
    _xlpm.joueurs, INDEX(Donnees!$A:$Z, _xlpm.ligpartie+1, _xlfn.SEQUENCE(1, 4, 2)),
    INDEX(
      Donnees!$A:$Z,
      _xlpm.ligpartie + 3,
      MATCH(AG$1, _xlpm.joueurs, 0) + 1
    )
  ), ""
)</f>
        <v/>
      </c>
      <c r="AH275" t="str" cm="1">
        <f t="array" ref="AH275">IFERROR(
  _xlfn.LET(
    _xlpm.ligpartie, MATCH($B274, Donnees!$F:$F, 0),
    _xlpm.joueurs, INDEX(Donnees!$A:$Z, _xlpm.ligpartie+1, _xlfn.SEQUENCE(1, 4, 2)),
    INDEX(
      Donnees!$A:$Z,
      _xlpm.ligpartie + 3,
      MATCH(AH$1, _xlpm.joueurs, 0) + 1
    )
  ), ""
)</f>
        <v/>
      </c>
      <c r="AI275" cm="1">
        <f t="array" ref="AI275">IFERROR(
  _xlfn.LET(
    _xlpm.ligpartie, MATCH($B274, Donnees!$F:$F, 0),
    _xlpm.joueurs, INDEX(Donnees!$A:$Z, _xlpm.ligpartie+1, _xlfn.SEQUENCE(1, 4, 2)),
    INDEX(
      Donnees!$A:$Z,
      _xlpm.ligpartie + 3,
      MATCH(AI$1, _xlpm.joueurs, 0) + 1
    )
  ), ""
)</f>
        <v>1</v>
      </c>
      <c r="AJ275" t="str" cm="1">
        <f t="array" ref="AJ275">IFERROR(
  _xlfn.LET(
    _xlpm.ligpartie, MATCH($B274, Donnees!$F:$F, 0),
    _xlpm.joueurs, INDEX(Donnees!$A:$Z, _xlpm.ligpartie+1, _xlfn.SEQUENCE(1, 4, 2)),
    INDEX(
      Donnees!$A:$Z,
      _xlpm.ligpartie + 3,
      MATCH(AJ$1, _xlpm.joueurs, 0) + 1
    )
  ), ""
)</f>
        <v/>
      </c>
      <c r="AK275" t="str" cm="1">
        <f t="array" ref="AK275">IFERROR(
  _xlfn.LET(
    _xlpm.ligpartie, MATCH($B274, Donnees!$F:$F, 0),
    _xlpm.joueurs, INDEX(Donnees!$A:$Z, _xlpm.ligpartie+1, _xlfn.SEQUENCE(1, 4, 2)),
    INDEX(
      Donnees!$A:$Z,
      _xlpm.ligpartie + 3,
      MATCH(AK$1, _xlpm.joueurs, 0) + 1
    )
  ), ""
)</f>
        <v/>
      </c>
      <c r="AL275" t="str" cm="1">
        <f t="array" ref="AL275">IFERROR(
  _xlfn.LET(
    _xlpm.ligpartie, MATCH($B274, Donnees!$F:$F, 0),
    _xlpm.joueurs, INDEX(Donnees!$A:$Z, _xlpm.ligpartie+1, _xlfn.SEQUENCE(1, 4, 2)),
    INDEX(
      Donnees!$A:$Z,
      _xlpm.ligpartie + 3,
      MATCH(AL$1, _xlpm.joueurs, 0) + 1
    )
  ), ""
)</f>
        <v/>
      </c>
      <c r="AM275" t="str" cm="1">
        <f t="array" ref="AM275">IFERROR(
  _xlfn.LET(
    _xlpm.ligpartie, MATCH($B274, Donnees!$F:$F, 0),
    _xlpm.joueurs, INDEX(Donnees!$A:$Z, _xlpm.ligpartie+1, _xlfn.SEQUENCE(1, 4, 2)),
    INDEX(
      Donnees!$A:$Z,
      _xlpm.ligpartie + 3,
      MATCH(AM$1, _xlpm.joueurs, 0) + 1
    )
  ), ""
)</f>
        <v/>
      </c>
    </row>
    <row r="276" spans="1:39" x14ac:dyDescent="0.25">
      <c r="A276" t="s">
        <v>20</v>
      </c>
      <c r="D276" t="str" cm="1">
        <f t="array" ref="D276">_xlfn.LET(
  _xlpm.colj, _xlfn._xlws.FILTER(IF(ISNUMBER(275:275), COLUMN(275:275)), ISNUMBER(275:275)),
  _xlpm.elos, INDEX(274:274,1,_xlpm.colj),
  _xlpm.diffscale, Constantes!$B$2,
  IF(D275="",
    "",
    SUM(1/(1+POWER(10,-(D274-_xlpm.elos)/_xlpm.diffscale)))-0.5)
)</f>
        <v/>
      </c>
      <c r="E276" cm="1">
        <f t="array" ref="E276">_xlfn.LET(
  _xlpm.colj, _xlfn._xlws.FILTER(IF(ISNUMBER(275:275), COLUMN(275:275)), ISNUMBER(275:275)),
  _xlpm.elos, INDEX(274:274,1,_xlpm.colj),
  _xlpm.diffscale, Constantes!$B$2,
  IF(E275="",
    "",
    SUM(1/(1+POWER(10,-(E274-_xlpm.elos)/_xlpm.diffscale)))-0.5)
)</f>
        <v>1.691234892253632</v>
      </c>
      <c r="F276" t="str" cm="1">
        <f t="array" ref="F276">_xlfn.LET(
  _xlpm.colj, _xlfn._xlws.FILTER(IF(ISNUMBER(275:275), COLUMN(275:275)), ISNUMBER(275:275)),
  _xlpm.elos, INDEX(274:274,1,_xlpm.colj),
  _xlpm.diffscale, Constantes!$B$2,
  IF(F275="",
    "",
    SUM(1/(1+POWER(10,-(F274-_xlpm.elos)/_xlpm.diffscale)))-0.5)
)</f>
        <v/>
      </c>
      <c r="G276" t="str" cm="1">
        <f t="array" ref="G276">_xlfn.LET(
  _xlpm.colj, _xlfn._xlws.FILTER(IF(ISNUMBER(275:275), COLUMN(275:275)), ISNUMBER(275:275)),
  _xlpm.elos, INDEX(274:274,1,_xlpm.colj),
  _xlpm.diffscale, Constantes!$B$2,
  IF(G275="",
    "",
    SUM(1/(1+POWER(10,-(G274-_xlpm.elos)/_xlpm.diffscale)))-0.5)
)</f>
        <v/>
      </c>
      <c r="H276" t="str" cm="1">
        <f t="array" ref="H276">_xlfn.LET(
  _xlpm.colj, _xlfn._xlws.FILTER(IF(ISNUMBER(275:275), COLUMN(275:275)), ISNUMBER(275:275)),
  _xlpm.elos, INDEX(274:274,1,_xlpm.colj),
  _xlpm.diffscale, Constantes!$B$2,
  IF(H275="",
    "",
    SUM(1/(1+POWER(10,-(H274-_xlpm.elos)/_xlpm.diffscale)))-0.5)
)</f>
        <v/>
      </c>
      <c r="I276" t="str" cm="1">
        <f t="array" ref="I276">_xlfn.LET(
  _xlpm.colj, _xlfn._xlws.FILTER(IF(ISNUMBER(275:275), COLUMN(275:275)), ISNUMBER(275:275)),
  _xlpm.elos, INDEX(274:274,1,_xlpm.colj),
  _xlpm.diffscale, Constantes!$B$2,
  IF(I275="",
    "",
    SUM(1/(1+POWER(10,-(I274-_xlpm.elos)/_xlpm.diffscale)))-0.5)
)</f>
        <v/>
      </c>
      <c r="J276" t="str" cm="1">
        <f t="array" ref="J276">_xlfn.LET(
  _xlpm.colj, _xlfn._xlws.FILTER(IF(ISNUMBER(275:275), COLUMN(275:275)), ISNUMBER(275:275)),
  _xlpm.elos, INDEX(274:274,1,_xlpm.colj),
  _xlpm.diffscale, Constantes!$B$2,
  IF(J275="",
    "",
    SUM(1/(1+POWER(10,-(J274-_xlpm.elos)/_xlpm.diffscale)))-0.5)
)</f>
        <v/>
      </c>
      <c r="K276" t="str" cm="1">
        <f t="array" ref="K276">_xlfn.LET(
  _xlpm.colj, _xlfn._xlws.FILTER(IF(ISNUMBER(275:275), COLUMN(275:275)), ISNUMBER(275:275)),
  _xlpm.elos, INDEX(274:274,1,_xlpm.colj),
  _xlpm.diffscale, Constantes!$B$2,
  IF(K275="",
    "",
    SUM(1/(1+POWER(10,-(K274-_xlpm.elos)/_xlpm.diffscale)))-0.5)
)</f>
        <v/>
      </c>
      <c r="L276" t="str" cm="1">
        <f t="array" ref="L276">_xlfn.LET(
  _xlpm.colj, _xlfn._xlws.FILTER(IF(ISNUMBER(275:275), COLUMN(275:275)), ISNUMBER(275:275)),
  _xlpm.elos, INDEX(274:274,1,_xlpm.colj),
  _xlpm.diffscale, Constantes!$B$2,
  IF(L275="",
    "",
    SUM(1/(1+POWER(10,-(L274-_xlpm.elos)/_xlpm.diffscale)))-0.5)
)</f>
        <v/>
      </c>
      <c r="M276" t="str" cm="1">
        <f t="array" ref="M276">_xlfn.LET(
  _xlpm.colj, _xlfn._xlws.FILTER(IF(ISNUMBER(275:275), COLUMN(275:275)), ISNUMBER(275:275)),
  _xlpm.elos, INDEX(274:274,1,_xlpm.colj),
  _xlpm.diffscale, Constantes!$B$2,
  IF(M275="",
    "",
    SUM(1/(1+POWER(10,-(M274-_xlpm.elos)/_xlpm.diffscale)))-0.5)
)</f>
        <v/>
      </c>
      <c r="N276" t="str" cm="1">
        <f t="array" ref="N276">_xlfn.LET(
  _xlpm.colj, _xlfn._xlws.FILTER(IF(ISNUMBER(275:275), COLUMN(275:275)), ISNUMBER(275:275)),
  _xlpm.elos, INDEX(274:274,1,_xlpm.colj),
  _xlpm.diffscale, Constantes!$B$2,
  IF(N275="",
    "",
    SUM(1/(1+POWER(10,-(N274-_xlpm.elos)/_xlpm.diffscale)))-0.5)
)</f>
        <v/>
      </c>
      <c r="O276" t="str" cm="1">
        <f t="array" ref="O276">_xlfn.LET(
  _xlpm.colj, _xlfn._xlws.FILTER(IF(ISNUMBER(275:275), COLUMN(275:275)), ISNUMBER(275:275)),
  _xlpm.elos, INDEX(274:274,1,_xlpm.colj),
  _xlpm.diffscale, Constantes!$B$2,
  IF(O275="",
    "",
    SUM(1/(1+POWER(10,-(O274-_xlpm.elos)/_xlpm.diffscale)))-0.5)
)</f>
        <v/>
      </c>
      <c r="P276" t="str" cm="1">
        <f t="array" ref="P276">_xlfn.LET(
  _xlpm.colj, _xlfn._xlws.FILTER(IF(ISNUMBER(275:275), COLUMN(275:275)), ISNUMBER(275:275)),
  _xlpm.elos, INDEX(274:274,1,_xlpm.colj),
  _xlpm.diffscale, Constantes!$B$2,
  IF(P275="",
    "",
    SUM(1/(1+POWER(10,-(P274-_xlpm.elos)/_xlpm.diffscale)))-0.5)
)</f>
        <v/>
      </c>
      <c r="Q276" cm="1">
        <f t="array" ref="Q276">_xlfn.LET(
  _xlpm.colj, _xlfn._xlws.FILTER(IF(ISNUMBER(275:275), COLUMN(275:275)), ISNUMBER(275:275)),
  _xlpm.elos, INDEX(274:274,1,_xlpm.colj),
  _xlpm.diffscale, Constantes!$B$2,
  IF(Q275="",
    "",
    SUM(1/(1+POWER(10,-(Q274-_xlpm.elos)/_xlpm.diffscale)))-0.5)
)</f>
        <v>1.7398487192341188</v>
      </c>
      <c r="R276" t="str" cm="1">
        <f t="array" ref="R276">_xlfn.LET(
  _xlpm.colj, _xlfn._xlws.FILTER(IF(ISNUMBER(275:275), COLUMN(275:275)), ISNUMBER(275:275)),
  _xlpm.elos, INDEX(274:274,1,_xlpm.colj),
  _xlpm.diffscale, Constantes!$B$2,
  IF(R275="",
    "",
    SUM(1/(1+POWER(10,-(R274-_xlpm.elos)/_xlpm.diffscale)))-0.5)
)</f>
        <v/>
      </c>
      <c r="S276" t="str" cm="1">
        <f t="array" ref="S276">_xlfn.LET(
  _xlpm.colj, _xlfn._xlws.FILTER(IF(ISNUMBER(275:275), COLUMN(275:275)), ISNUMBER(275:275)),
  _xlpm.elos, INDEX(274:274,1,_xlpm.colj),
  _xlpm.diffscale, Constantes!$B$2,
  IF(S275="",
    "",
    SUM(1/(1+POWER(10,-(S274-_xlpm.elos)/_xlpm.diffscale)))-0.5)
)</f>
        <v/>
      </c>
      <c r="T276" t="str" cm="1">
        <f t="array" ref="T276">_xlfn.LET(
  _xlpm.colj, _xlfn._xlws.FILTER(IF(ISNUMBER(275:275), COLUMN(275:275)), ISNUMBER(275:275)),
  _xlpm.elos, INDEX(274:274,1,_xlpm.colj),
  _xlpm.diffscale, Constantes!$B$2,
  IF(T275="",
    "",
    SUM(1/(1+POWER(10,-(T274-_xlpm.elos)/_xlpm.diffscale)))-0.5)
)</f>
        <v/>
      </c>
      <c r="U276" cm="1">
        <f t="array" ref="U276">_xlfn.LET(
  _xlpm.colj, _xlfn._xlws.FILTER(IF(ISNUMBER(275:275), COLUMN(275:275)), ISNUMBER(275:275)),
  _xlpm.elos, INDEX(274:274,1,_xlpm.colj),
  _xlpm.diffscale, Constantes!$B$2,
  IF(U275="",
    "",
    SUM(1/(1+POWER(10,-(U274-_xlpm.elos)/_xlpm.diffscale)))-0.5)
)</f>
        <v>1.8533376157744317</v>
      </c>
      <c r="V276" t="str" cm="1">
        <f t="array" ref="V276">_xlfn.LET(
  _xlpm.colj, _xlfn._xlws.FILTER(IF(ISNUMBER(275:275), COLUMN(275:275)), ISNUMBER(275:275)),
  _xlpm.elos, INDEX(274:274,1,_xlpm.colj),
  _xlpm.diffscale, Constantes!$B$2,
  IF(V275="",
    "",
    SUM(1/(1+POWER(10,-(V274-_xlpm.elos)/_xlpm.diffscale)))-0.5)
)</f>
        <v/>
      </c>
      <c r="W276" t="str" cm="1">
        <f t="array" ref="W276">_xlfn.LET(
  _xlpm.colj, _xlfn._xlws.FILTER(IF(ISNUMBER(275:275), COLUMN(275:275)), ISNUMBER(275:275)),
  _xlpm.elos, INDEX(274:274,1,_xlpm.colj),
  _xlpm.diffscale, Constantes!$B$2,
  IF(W275="",
    "",
    SUM(1/(1+POWER(10,-(W274-_xlpm.elos)/_xlpm.diffscale)))-0.5)
)</f>
        <v/>
      </c>
      <c r="X276" t="str" cm="1">
        <f t="array" ref="X276">_xlfn.LET(
  _xlpm.colj, _xlfn._xlws.FILTER(IF(ISNUMBER(275:275), COLUMN(275:275)), ISNUMBER(275:275)),
  _xlpm.elos, INDEX(274:274,1,_xlpm.colj),
  _xlpm.diffscale, Constantes!$B$2,
  IF(X275="",
    "",
    SUM(1/(1+POWER(10,-(X274-_xlpm.elos)/_xlpm.diffscale)))-0.5)
)</f>
        <v/>
      </c>
      <c r="Y276" t="str" cm="1">
        <f t="array" ref="Y276">_xlfn.LET(
  _xlpm.colj, _xlfn._xlws.FILTER(IF(ISNUMBER(275:275), COLUMN(275:275)), ISNUMBER(275:275)),
  _xlpm.elos, INDEX(274:274,1,_xlpm.colj),
  _xlpm.diffscale, Constantes!$B$2,
  IF(Y275="",
    "",
    SUM(1/(1+POWER(10,-(Y274-_xlpm.elos)/_xlpm.diffscale)))-0.5)
)</f>
        <v/>
      </c>
      <c r="Z276" t="str" cm="1">
        <f t="array" ref="Z276">_xlfn.LET(
  _xlpm.colj, _xlfn._xlws.FILTER(IF(ISNUMBER(275:275), COLUMN(275:275)), ISNUMBER(275:275)),
  _xlpm.elos, INDEX(274:274,1,_xlpm.colj),
  _xlpm.diffscale, Constantes!$B$2,
  IF(Z275="",
    "",
    SUM(1/(1+POWER(10,-(Z274-_xlpm.elos)/_xlpm.diffscale)))-0.5)
)</f>
        <v/>
      </c>
      <c r="AA276" t="str" cm="1">
        <f t="array" ref="AA276">_xlfn.LET(
  _xlpm.colj, _xlfn._xlws.FILTER(IF(ISNUMBER(275:275), COLUMN(275:275)), ISNUMBER(275:275)),
  _xlpm.elos, INDEX(274:274,1,_xlpm.colj),
  _xlpm.diffscale, Constantes!$B$2,
  IF(AA275="",
    "",
    SUM(1/(1+POWER(10,-(AA274-_xlpm.elos)/_xlpm.diffscale)))-0.5)
)</f>
        <v/>
      </c>
      <c r="AB276" t="str" cm="1">
        <f t="array" ref="AB276">_xlfn.LET(
  _xlpm.colj, _xlfn._xlws.FILTER(IF(ISNUMBER(275:275), COLUMN(275:275)), ISNUMBER(275:275)),
  _xlpm.elos, INDEX(274:274,1,_xlpm.colj),
  _xlpm.diffscale, Constantes!$B$2,
  IF(AB275="",
    "",
    SUM(1/(1+POWER(10,-(AB274-_xlpm.elos)/_xlpm.diffscale)))-0.5)
)</f>
        <v/>
      </c>
      <c r="AC276" t="str" cm="1">
        <f t="array" ref="AC276">_xlfn.LET(
  _xlpm.colj, _xlfn._xlws.FILTER(IF(ISNUMBER(275:275), COLUMN(275:275)), ISNUMBER(275:275)),
  _xlpm.elos, INDEX(274:274,1,_xlpm.colj),
  _xlpm.diffscale, Constantes!$B$2,
  IF(AC275="",
    "",
    SUM(1/(1+POWER(10,-(AC274-_xlpm.elos)/_xlpm.diffscale)))-0.5)
)</f>
        <v/>
      </c>
      <c r="AD276" t="str" cm="1">
        <f t="array" ref="AD276">_xlfn.LET(
  _xlpm.colj, _xlfn._xlws.FILTER(IF(ISNUMBER(275:275), COLUMN(275:275)), ISNUMBER(275:275)),
  _xlpm.elos, INDEX(274:274,1,_xlpm.colj),
  _xlpm.diffscale, Constantes!$B$2,
  IF(AD275="",
    "",
    SUM(1/(1+POWER(10,-(AD274-_xlpm.elos)/_xlpm.diffscale)))-0.5)
)</f>
        <v/>
      </c>
      <c r="AE276" t="str" cm="1">
        <f t="array" ref="AE276">_xlfn.LET(
  _xlpm.colj, _xlfn._xlws.FILTER(IF(ISNUMBER(275:275), COLUMN(275:275)), ISNUMBER(275:275)),
  _xlpm.elos, INDEX(274:274,1,_xlpm.colj),
  _xlpm.diffscale, Constantes!$B$2,
  IF(AE275="",
    "",
    SUM(1/(1+POWER(10,-(AE274-_xlpm.elos)/_xlpm.diffscale)))-0.5)
)</f>
        <v/>
      </c>
      <c r="AF276" t="str" cm="1">
        <f t="array" ref="AF276">_xlfn.LET(
  _xlpm.colj, _xlfn._xlws.FILTER(IF(ISNUMBER(275:275), COLUMN(275:275)), ISNUMBER(275:275)),
  _xlpm.elos, INDEX(274:274,1,_xlpm.colj),
  _xlpm.diffscale, Constantes!$B$2,
  IF(AF275="",
    "",
    SUM(1/(1+POWER(10,-(AF274-_xlpm.elos)/_xlpm.diffscale)))-0.5)
)</f>
        <v/>
      </c>
      <c r="AG276" t="str" cm="1">
        <f t="array" ref="AG276">_xlfn.LET(
  _xlpm.colj, _xlfn._xlws.FILTER(IF(ISNUMBER(275:275), COLUMN(275:275)), ISNUMBER(275:275)),
  _xlpm.elos, INDEX(274:274,1,_xlpm.colj),
  _xlpm.diffscale, Constantes!$B$2,
  IF(AG275="",
    "",
    SUM(1/(1+POWER(10,-(AG274-_xlpm.elos)/_xlpm.diffscale)))-0.5)
)</f>
        <v/>
      </c>
      <c r="AH276" t="str" cm="1">
        <f t="array" ref="AH276">_xlfn.LET(
  _xlpm.colj, _xlfn._xlws.FILTER(IF(ISNUMBER(275:275), COLUMN(275:275)), ISNUMBER(275:275)),
  _xlpm.elos, INDEX(274:274,1,_xlpm.colj),
  _xlpm.diffscale, Constantes!$B$2,
  IF(AH275="",
    "",
    SUM(1/(1+POWER(10,-(AH274-_xlpm.elos)/_xlpm.diffscale)))-0.5)
)</f>
        <v/>
      </c>
      <c r="AI276" cm="1">
        <f t="array" ref="AI276">_xlfn.LET(
  _xlpm.colj, _xlfn._xlws.FILTER(IF(ISNUMBER(275:275), COLUMN(275:275)), ISNUMBER(275:275)),
  _xlpm.elos, INDEX(274:274,1,_xlpm.colj),
  _xlpm.diffscale, Constantes!$B$2,
  IF(AI275="",
    "",
    SUM(1/(1+POWER(10,-(AI274-_xlpm.elos)/_xlpm.diffscale)))-0.5)
)</f>
        <v>0.71557877273781734</v>
      </c>
      <c r="AJ276" t="str" cm="1">
        <f t="array" ref="AJ276">_xlfn.LET(
  _xlpm.colj, _xlfn._xlws.FILTER(IF(ISNUMBER(275:275), COLUMN(275:275)), ISNUMBER(275:275)),
  _xlpm.elos, INDEX(274:274,1,_xlpm.colj),
  _xlpm.diffscale, Constantes!$B$2,
  IF(AJ275="",
    "",
    SUM(1/(1+POWER(10,-(AJ274-_xlpm.elos)/_xlpm.diffscale)))-0.5)
)</f>
        <v/>
      </c>
      <c r="AK276" t="str" cm="1">
        <f t="array" ref="AK276">_xlfn.LET(
  _xlpm.colj, _xlfn._xlws.FILTER(IF(ISNUMBER(275:275), COLUMN(275:275)), ISNUMBER(275:275)),
  _xlpm.elos, INDEX(274:274,1,_xlpm.colj),
  _xlpm.diffscale, Constantes!$B$2,
  IF(AK275="",
    "",
    SUM(1/(1+POWER(10,-(AK274-_xlpm.elos)/_xlpm.diffscale)))-0.5)
)</f>
        <v/>
      </c>
      <c r="AL276" t="str" cm="1">
        <f t="array" ref="AL276">_xlfn.LET(
  _xlpm.colj, _xlfn._xlws.FILTER(IF(ISNUMBER(275:275), COLUMN(275:275)), ISNUMBER(275:275)),
  _xlpm.elos, INDEX(274:274,1,_xlpm.colj),
  _xlpm.diffscale, Constantes!$B$2,
  IF(AL275="",
    "",
    SUM(1/(1+POWER(10,-(AL274-_xlpm.elos)/_xlpm.diffscale)))-0.5)
)</f>
        <v/>
      </c>
      <c r="AM276" t="str" cm="1">
        <f t="array" ref="AM276">_xlfn.LET(
  _xlpm.colj, _xlfn._xlws.FILTER(IF(ISNUMBER(275:275), COLUMN(275:275)), ISNUMBER(275:275)),
  _xlpm.elos, INDEX(274:274,1,_xlpm.colj),
  _xlpm.diffscale, Constantes!$B$2,
  IF(AM275="",
    "",
    SUM(1/(1+POWER(10,-(AM274-_xlpm.elos)/_xlpm.diffscale)))-0.5)
)</f>
        <v/>
      </c>
    </row>
    <row r="277" spans="1:39" x14ac:dyDescent="0.25">
      <c r="A277" t="s">
        <v>22</v>
      </c>
      <c r="D277" t="str" cm="1">
        <f t="array" ref="D277">_xlfn.LET(
  _xlpm.K, Constantes!$B$3,
  _xlpm.Knewgain, Constantes!$B$4,
  _xlpm.Knewscale, Constantes!$B$5,
  _xlpm.ptstables, INDEX(D:D, _xlfn.SEQUENCE(COUNTA($C$2:$C277), 1, 3, 4)),
  _xlpm.nbparties, COUNTA(_xlfn._xlws.FILTER(_xlpm.ptstables, _xlpm.ptstables &lt;&gt; "")),
  _xlpm.coef, _xlpm.K + _xlpm.Knewgain / (_xlpm.Knewscale + _xlpm.nbparties),
  IF(D275="",
    "",
    _xlpm.coef * (D275-D276))
)</f>
        <v/>
      </c>
      <c r="E277" cm="1">
        <f t="array" ref="E277">_xlfn.LET(
  _xlpm.K, Constantes!$B$3,
  _xlpm.Knewgain, Constantes!$B$4,
  _xlpm.Knewscale, Constantes!$B$5,
  _xlpm.ptstables, INDEX(E:E, _xlfn.SEQUENCE(COUNTA($C$2:$C277), 1, 3, 4)),
  _xlpm.nbparties, COUNTA(_xlfn._xlws.FILTER(_xlpm.ptstables, _xlpm.ptstables &lt;&gt; "")),
  _xlpm.coef, _xlpm.K + _xlpm.Knewgain / (_xlpm.Knewscale + _xlpm.nbparties),
  IF(E275="",
    "",
    _xlpm.coef * (E275-E276))
)</f>
        <v>-38.522572545777173</v>
      </c>
      <c r="F277" t="str" cm="1">
        <f t="array" ref="F277">_xlfn.LET(
  _xlpm.K, Constantes!$B$3,
  _xlpm.Knewgain, Constantes!$B$4,
  _xlpm.Knewscale, Constantes!$B$5,
  _xlpm.ptstables, INDEX(F:F, _xlfn.SEQUENCE(COUNTA($C$2:$C277), 1, 3, 4)),
  _xlpm.nbparties, COUNTA(_xlfn._xlws.FILTER(_xlpm.ptstables, _xlpm.ptstables &lt;&gt; "")),
  _xlpm.coef, _xlpm.K + _xlpm.Knewgain / (_xlpm.Knewscale + _xlpm.nbparties),
  IF(F275="",
    "",
    _xlpm.coef * (F275-F276))
)</f>
        <v/>
      </c>
      <c r="G277" t="str" cm="1">
        <f t="array" ref="G277">_xlfn.LET(
  _xlpm.K, Constantes!$B$3,
  _xlpm.Knewgain, Constantes!$B$4,
  _xlpm.Knewscale, Constantes!$B$5,
  _xlpm.ptstables, INDEX(G:G, _xlfn.SEQUENCE(COUNTA($C$2:$C277), 1, 3, 4)),
  _xlpm.nbparties, COUNTA(_xlfn._xlws.FILTER(_xlpm.ptstables, _xlpm.ptstables &lt;&gt; "")),
  _xlpm.coef, _xlpm.K + _xlpm.Knewgain / (_xlpm.Knewscale + _xlpm.nbparties),
  IF(G275="",
    "",
    _xlpm.coef * (G275-G276))
)</f>
        <v/>
      </c>
      <c r="H277" t="str" cm="1">
        <f t="array" ref="H277">_xlfn.LET(
  _xlpm.K, Constantes!$B$3,
  _xlpm.Knewgain, Constantes!$B$4,
  _xlpm.Knewscale, Constantes!$B$5,
  _xlpm.ptstables, INDEX(H:H, _xlfn.SEQUENCE(COUNTA($C$2:$C277), 1, 3, 4)),
  _xlpm.nbparties, COUNTA(_xlfn._xlws.FILTER(_xlpm.ptstables, _xlpm.ptstables &lt;&gt; "")),
  _xlpm.coef, _xlpm.K + _xlpm.Knewgain / (_xlpm.Knewscale + _xlpm.nbparties),
  IF(H275="",
    "",
    _xlpm.coef * (H275-H276))
)</f>
        <v/>
      </c>
      <c r="I277" t="str" cm="1">
        <f t="array" ref="I277">_xlfn.LET(
  _xlpm.K, Constantes!$B$3,
  _xlpm.Knewgain, Constantes!$B$4,
  _xlpm.Knewscale, Constantes!$B$5,
  _xlpm.ptstables, INDEX(I:I, _xlfn.SEQUENCE(COUNTA($C$2:$C277), 1, 3, 4)),
  _xlpm.nbparties, COUNTA(_xlfn._xlws.FILTER(_xlpm.ptstables, _xlpm.ptstables &lt;&gt; "")),
  _xlpm.coef, _xlpm.K + _xlpm.Knewgain / (_xlpm.Knewscale + _xlpm.nbparties),
  IF(I275="",
    "",
    _xlpm.coef * (I275-I276))
)</f>
        <v/>
      </c>
      <c r="J277" t="str" cm="1">
        <f t="array" ref="J277">_xlfn.LET(
  _xlpm.K, Constantes!$B$3,
  _xlpm.Knewgain, Constantes!$B$4,
  _xlpm.Knewscale, Constantes!$B$5,
  _xlpm.ptstables, INDEX(J:J, _xlfn.SEQUENCE(COUNTA($C$2:$C277), 1, 3, 4)),
  _xlpm.nbparties, COUNTA(_xlfn._xlws.FILTER(_xlpm.ptstables, _xlpm.ptstables &lt;&gt; "")),
  _xlpm.coef, _xlpm.K + _xlpm.Knewgain / (_xlpm.Knewscale + _xlpm.nbparties),
  IF(J275="",
    "",
    _xlpm.coef * (J275-J276))
)</f>
        <v/>
      </c>
      <c r="K277" t="str" cm="1">
        <f t="array" ref="K277">_xlfn.LET(
  _xlpm.K, Constantes!$B$3,
  _xlpm.Knewgain, Constantes!$B$4,
  _xlpm.Knewscale, Constantes!$B$5,
  _xlpm.ptstables, INDEX(K:K, _xlfn.SEQUENCE(COUNTA($C$2:$C277), 1, 3, 4)),
  _xlpm.nbparties, COUNTA(_xlfn._xlws.FILTER(_xlpm.ptstables, _xlpm.ptstables &lt;&gt; "")),
  _xlpm.coef, _xlpm.K + _xlpm.Knewgain / (_xlpm.Knewscale + _xlpm.nbparties),
  IF(K275="",
    "",
    _xlpm.coef * (K275-K276))
)</f>
        <v/>
      </c>
      <c r="L277" t="str" cm="1">
        <f t="array" ref="L277">_xlfn.LET(
  _xlpm.K, Constantes!$B$3,
  _xlpm.Knewgain, Constantes!$B$4,
  _xlpm.Knewscale, Constantes!$B$5,
  _xlpm.ptstables, INDEX(L:L, _xlfn.SEQUENCE(COUNTA($C$2:$C277), 1, 3, 4)),
  _xlpm.nbparties, COUNTA(_xlfn._xlws.FILTER(_xlpm.ptstables, _xlpm.ptstables &lt;&gt; "")),
  _xlpm.coef, _xlpm.K + _xlpm.Knewgain / (_xlpm.Knewscale + _xlpm.nbparties),
  IF(L275="",
    "",
    _xlpm.coef * (L275-L276))
)</f>
        <v/>
      </c>
      <c r="M277" t="str" cm="1">
        <f t="array" ref="M277">_xlfn.LET(
  _xlpm.K, Constantes!$B$3,
  _xlpm.Knewgain, Constantes!$B$4,
  _xlpm.Knewscale, Constantes!$B$5,
  _xlpm.ptstables, INDEX(M:M, _xlfn.SEQUENCE(COUNTA($C$2:$C277), 1, 3, 4)),
  _xlpm.nbparties, COUNTA(_xlfn._xlws.FILTER(_xlpm.ptstables, _xlpm.ptstables &lt;&gt; "")),
  _xlpm.coef, _xlpm.K + _xlpm.Knewgain / (_xlpm.Knewscale + _xlpm.nbparties),
  IF(M275="",
    "",
    _xlpm.coef * (M275-M276))
)</f>
        <v/>
      </c>
      <c r="N277" t="str" cm="1">
        <f t="array" ref="N277">_xlfn.LET(
  _xlpm.K, Constantes!$B$3,
  _xlpm.Knewgain, Constantes!$B$4,
  _xlpm.Knewscale, Constantes!$B$5,
  _xlpm.ptstables, INDEX(N:N, _xlfn.SEQUENCE(COUNTA($C$2:$C277), 1, 3, 4)),
  _xlpm.nbparties, COUNTA(_xlfn._xlws.FILTER(_xlpm.ptstables, _xlpm.ptstables &lt;&gt; "")),
  _xlpm.coef, _xlpm.K + _xlpm.Knewgain / (_xlpm.Knewscale + _xlpm.nbparties),
  IF(N275="",
    "",
    _xlpm.coef * (N275-N276))
)</f>
        <v/>
      </c>
      <c r="O277" t="str" cm="1">
        <f t="array" ref="O277">_xlfn.LET(
  _xlpm.K, Constantes!$B$3,
  _xlpm.Knewgain, Constantes!$B$4,
  _xlpm.Knewscale, Constantes!$B$5,
  _xlpm.ptstables, INDEX(O:O, _xlfn.SEQUENCE(COUNTA($C$2:$C277), 1, 3, 4)),
  _xlpm.nbparties, COUNTA(_xlfn._xlws.FILTER(_xlpm.ptstables, _xlpm.ptstables &lt;&gt; "")),
  _xlpm.coef, _xlpm.K + _xlpm.Knewgain / (_xlpm.Knewscale + _xlpm.nbparties),
  IF(O275="",
    "",
    _xlpm.coef * (O275-O276))
)</f>
        <v/>
      </c>
      <c r="P277" t="str" cm="1">
        <f t="array" ref="P277">_xlfn.LET(
  _xlpm.K, Constantes!$B$3,
  _xlpm.Knewgain, Constantes!$B$4,
  _xlpm.Knewscale, Constantes!$B$5,
  _xlpm.ptstables, INDEX(P:P, _xlfn.SEQUENCE(COUNTA($C$2:$C277), 1, 3, 4)),
  _xlpm.nbparties, COUNTA(_xlfn._xlws.FILTER(_xlpm.ptstables, _xlpm.ptstables &lt;&gt; "")),
  _xlpm.coef, _xlpm.K + _xlpm.Knewgain / (_xlpm.Knewscale + _xlpm.nbparties),
  IF(P275="",
    "",
    _xlpm.coef * (P275-P276))
)</f>
        <v/>
      </c>
      <c r="Q277" cm="1">
        <f t="array" ref="Q277">_xlfn.LET(
  _xlpm.K, Constantes!$B$3,
  _xlpm.Knewgain, Constantes!$B$4,
  _xlpm.Knewscale, Constantes!$B$5,
  _xlpm.ptstables, INDEX(Q:Q, _xlfn.SEQUENCE(COUNTA($C$2:$C277), 1, 3, 4)),
  _xlpm.nbparties, COUNTA(_xlfn._xlws.FILTER(_xlpm.ptstables, _xlpm.ptstables &lt;&gt; "")),
  _xlpm.coef, _xlpm.K + _xlpm.Knewgain / (_xlpm.Knewscale + _xlpm.nbparties),
  IF(Q275="",
    "",
    _xlpm.coef * (Q275-Q276))
)</f>
        <v>5.8876342489120486</v>
      </c>
      <c r="R277" t="str" cm="1">
        <f t="array" ref="R277">_xlfn.LET(
  _xlpm.K, Constantes!$B$3,
  _xlpm.Knewgain, Constantes!$B$4,
  _xlpm.Knewscale, Constantes!$B$5,
  _xlpm.ptstables, INDEX(R:R, _xlfn.SEQUENCE(COUNTA($C$2:$C277), 1, 3, 4)),
  _xlpm.nbparties, COUNTA(_xlfn._xlws.FILTER(_xlpm.ptstables, _xlpm.ptstables &lt;&gt; "")),
  _xlpm.coef, _xlpm.K + _xlpm.Knewgain / (_xlpm.Knewscale + _xlpm.nbparties),
  IF(R275="",
    "",
    _xlpm.coef * (R275-R276))
)</f>
        <v/>
      </c>
      <c r="S277" t="str" cm="1">
        <f t="array" ref="S277">_xlfn.LET(
  _xlpm.K, Constantes!$B$3,
  _xlpm.Knewgain, Constantes!$B$4,
  _xlpm.Knewscale, Constantes!$B$5,
  _xlpm.ptstables, INDEX(S:S, _xlfn.SEQUENCE(COUNTA($C$2:$C277), 1, 3, 4)),
  _xlpm.nbparties, COUNTA(_xlfn._xlws.FILTER(_xlpm.ptstables, _xlpm.ptstables &lt;&gt; "")),
  _xlpm.coef, _xlpm.K + _xlpm.Knewgain / (_xlpm.Knewscale + _xlpm.nbparties),
  IF(S275="",
    "",
    _xlpm.coef * (S275-S276))
)</f>
        <v/>
      </c>
      <c r="T277" t="str" cm="1">
        <f t="array" ref="T277">_xlfn.LET(
  _xlpm.K, Constantes!$B$3,
  _xlpm.Knewgain, Constantes!$B$4,
  _xlpm.Knewscale, Constantes!$B$5,
  _xlpm.ptstables, INDEX(T:T, _xlfn.SEQUENCE(COUNTA($C$2:$C277), 1, 3, 4)),
  _xlpm.nbparties, COUNTA(_xlfn._xlws.FILTER(_xlpm.ptstables, _xlpm.ptstables &lt;&gt; "")),
  _xlpm.coef, _xlpm.K + _xlpm.Knewgain / (_xlpm.Knewscale + _xlpm.nbparties),
  IF(T275="",
    "",
    _xlpm.coef * (T275-T276))
)</f>
        <v/>
      </c>
      <c r="U277" cm="1">
        <f t="array" ref="U277">_xlfn.LET(
  _xlpm.K, Constantes!$B$3,
  _xlpm.Knewgain, Constantes!$B$4,
  _xlpm.Knewscale, Constantes!$B$5,
  _xlpm.ptstables, INDEX(U:U, _xlfn.SEQUENCE(COUNTA($C$2:$C277), 1, 3, 4)),
  _xlpm.nbparties, COUNTA(_xlfn._xlws.FILTER(_xlpm.ptstables, _xlpm.ptstables &lt;&gt; "")),
  _xlpm.coef, _xlpm.K + _xlpm.Knewgain / (_xlpm.Knewscale + _xlpm.nbparties),
  IF(U275="",
    "",
    _xlpm.coef * (U275-U276))
)</f>
        <v>25.539298557751295</v>
      </c>
      <c r="V277" t="str" cm="1">
        <f t="array" ref="V277">_xlfn.LET(
  _xlpm.K, Constantes!$B$3,
  _xlpm.Knewgain, Constantes!$B$4,
  _xlpm.Knewscale, Constantes!$B$5,
  _xlpm.ptstables, INDEX(V:V, _xlfn.SEQUENCE(COUNTA($C$2:$C277), 1, 3, 4)),
  _xlpm.nbparties, COUNTA(_xlfn._xlws.FILTER(_xlpm.ptstables, _xlpm.ptstables &lt;&gt; "")),
  _xlpm.coef, _xlpm.K + _xlpm.Knewgain / (_xlpm.Knewscale + _xlpm.nbparties),
  IF(V275="",
    "",
    _xlpm.coef * (V275-V276))
)</f>
        <v/>
      </c>
      <c r="W277" t="str" cm="1">
        <f t="array" ref="W277">_xlfn.LET(
  _xlpm.K, Constantes!$B$3,
  _xlpm.Knewgain, Constantes!$B$4,
  _xlpm.Knewscale, Constantes!$B$5,
  _xlpm.ptstables, INDEX(W:W, _xlfn.SEQUENCE(COUNTA($C$2:$C277), 1, 3, 4)),
  _xlpm.nbparties, COUNTA(_xlfn._xlws.FILTER(_xlpm.ptstables, _xlpm.ptstables &lt;&gt; "")),
  _xlpm.coef, _xlpm.K + _xlpm.Knewgain / (_xlpm.Knewscale + _xlpm.nbparties),
  IF(W275="",
    "",
    _xlpm.coef * (W275-W276))
)</f>
        <v/>
      </c>
      <c r="X277" t="str" cm="1">
        <f t="array" ref="X277">_xlfn.LET(
  _xlpm.K, Constantes!$B$3,
  _xlpm.Knewgain, Constantes!$B$4,
  _xlpm.Knewscale, Constantes!$B$5,
  _xlpm.ptstables, INDEX(X:X, _xlfn.SEQUENCE(COUNTA($C$2:$C277), 1, 3, 4)),
  _xlpm.nbparties, COUNTA(_xlfn._xlws.FILTER(_xlpm.ptstables, _xlpm.ptstables &lt;&gt; "")),
  _xlpm.coef, _xlpm.K + _xlpm.Knewgain / (_xlpm.Knewscale + _xlpm.nbparties),
  IF(X275="",
    "",
    _xlpm.coef * (X275-X276))
)</f>
        <v/>
      </c>
      <c r="Y277" t="str" cm="1">
        <f t="array" ref="Y277">_xlfn.LET(
  _xlpm.K, Constantes!$B$3,
  _xlpm.Knewgain, Constantes!$B$4,
  _xlpm.Knewscale, Constantes!$B$5,
  _xlpm.ptstables, INDEX(Y:Y, _xlfn.SEQUENCE(COUNTA($C$2:$C277), 1, 3, 4)),
  _xlpm.nbparties, COUNTA(_xlfn._xlws.FILTER(_xlpm.ptstables, _xlpm.ptstables &lt;&gt; "")),
  _xlpm.coef, _xlpm.K + _xlpm.Knewgain / (_xlpm.Knewscale + _xlpm.nbparties),
  IF(Y275="",
    "",
    _xlpm.coef * (Y275-Y276))
)</f>
        <v/>
      </c>
      <c r="Z277" t="str" cm="1">
        <f t="array" ref="Z277">_xlfn.LET(
  _xlpm.K, Constantes!$B$3,
  _xlpm.Knewgain, Constantes!$B$4,
  _xlpm.Knewscale, Constantes!$B$5,
  _xlpm.ptstables, INDEX(Z:Z, _xlfn.SEQUENCE(COUNTA($C$2:$C277), 1, 3, 4)),
  _xlpm.nbparties, COUNTA(_xlfn._xlws.FILTER(_xlpm.ptstables, _xlpm.ptstables &lt;&gt; "")),
  _xlpm.coef, _xlpm.K + _xlpm.Knewgain / (_xlpm.Knewscale + _xlpm.nbparties),
  IF(Z275="",
    "",
    _xlpm.coef * (Z275-Z276))
)</f>
        <v/>
      </c>
      <c r="AA277" t="str" cm="1">
        <f t="array" ref="AA277">_xlfn.LET(
  _xlpm.K, Constantes!$B$3,
  _xlpm.Knewgain, Constantes!$B$4,
  _xlpm.Knewscale, Constantes!$B$5,
  _xlpm.ptstables, INDEX(AA:AA, _xlfn.SEQUENCE(COUNTA($C$2:$C277), 1, 3, 4)),
  _xlpm.nbparties, COUNTA(_xlfn._xlws.FILTER(_xlpm.ptstables, _xlpm.ptstables &lt;&gt; "")),
  _xlpm.coef, _xlpm.K + _xlpm.Knewgain / (_xlpm.Knewscale + _xlpm.nbparties),
  IF(AA275="",
    "",
    _xlpm.coef * (AA275-AA276))
)</f>
        <v/>
      </c>
      <c r="AB277" t="str" cm="1">
        <f t="array" ref="AB277">_xlfn.LET(
  _xlpm.K, Constantes!$B$3,
  _xlpm.Knewgain, Constantes!$B$4,
  _xlpm.Knewscale, Constantes!$B$5,
  _xlpm.ptstables, INDEX(AB:AB, _xlfn.SEQUENCE(COUNTA($C$2:$C277), 1, 3, 4)),
  _xlpm.nbparties, COUNTA(_xlfn._xlws.FILTER(_xlpm.ptstables, _xlpm.ptstables &lt;&gt; "")),
  _xlpm.coef, _xlpm.K + _xlpm.Knewgain / (_xlpm.Knewscale + _xlpm.nbparties),
  IF(AB275="",
    "",
    _xlpm.coef * (AB275-AB276))
)</f>
        <v/>
      </c>
      <c r="AC277" t="str" cm="1">
        <f t="array" ref="AC277">_xlfn.LET(
  _xlpm.K, Constantes!$B$3,
  _xlpm.Knewgain, Constantes!$B$4,
  _xlpm.Knewscale, Constantes!$B$5,
  _xlpm.ptstables, INDEX(AC:AC, _xlfn.SEQUENCE(COUNTA($C$2:$C277), 1, 3, 4)),
  _xlpm.nbparties, COUNTA(_xlfn._xlws.FILTER(_xlpm.ptstables, _xlpm.ptstables &lt;&gt; "")),
  _xlpm.coef, _xlpm.K + _xlpm.Knewgain / (_xlpm.Knewscale + _xlpm.nbparties),
  IF(AC275="",
    "",
    _xlpm.coef * (AC275-AC276))
)</f>
        <v/>
      </c>
      <c r="AD277" t="str" cm="1">
        <f t="array" ref="AD277">_xlfn.LET(
  _xlpm.K, Constantes!$B$3,
  _xlpm.Knewgain, Constantes!$B$4,
  _xlpm.Knewscale, Constantes!$B$5,
  _xlpm.ptstables, INDEX(AD:AD, _xlfn.SEQUENCE(COUNTA($C$2:$C277), 1, 3, 4)),
  _xlpm.nbparties, COUNTA(_xlfn._xlws.FILTER(_xlpm.ptstables, _xlpm.ptstables &lt;&gt; "")),
  _xlpm.coef, _xlpm.K + _xlpm.Knewgain / (_xlpm.Knewscale + _xlpm.nbparties),
  IF(AD275="",
    "",
    _xlpm.coef * (AD275-AD276))
)</f>
        <v/>
      </c>
      <c r="AE277" t="str" cm="1">
        <f t="array" ref="AE277">_xlfn.LET(
  _xlpm.K, Constantes!$B$3,
  _xlpm.Knewgain, Constantes!$B$4,
  _xlpm.Knewscale, Constantes!$B$5,
  _xlpm.ptstables, INDEX(AE:AE, _xlfn.SEQUENCE(COUNTA($C$2:$C277), 1, 3, 4)),
  _xlpm.nbparties, COUNTA(_xlfn._xlws.FILTER(_xlpm.ptstables, _xlpm.ptstables &lt;&gt; "")),
  _xlpm.coef, _xlpm.K + _xlpm.Knewgain / (_xlpm.Knewscale + _xlpm.nbparties),
  IF(AE275="",
    "",
    _xlpm.coef * (AE275-AE276))
)</f>
        <v/>
      </c>
      <c r="AF277" t="str" cm="1">
        <f t="array" ref="AF277">_xlfn.LET(
  _xlpm.K, Constantes!$B$3,
  _xlpm.Knewgain, Constantes!$B$4,
  _xlpm.Knewscale, Constantes!$B$5,
  _xlpm.ptstables, INDEX(AF:AF, _xlfn.SEQUENCE(COUNTA($C$2:$C277), 1, 3, 4)),
  _xlpm.nbparties, COUNTA(_xlfn._xlws.FILTER(_xlpm.ptstables, _xlpm.ptstables &lt;&gt; "")),
  _xlpm.coef, _xlpm.K + _xlpm.Knewgain / (_xlpm.Knewscale + _xlpm.nbparties),
  IF(AF275="",
    "",
    _xlpm.coef * (AF275-AF276))
)</f>
        <v/>
      </c>
      <c r="AG277" t="str" cm="1">
        <f t="array" ref="AG277">_xlfn.LET(
  _xlpm.K, Constantes!$B$3,
  _xlpm.Knewgain, Constantes!$B$4,
  _xlpm.Knewscale, Constantes!$B$5,
  _xlpm.ptstables, INDEX(AG:AG, _xlfn.SEQUENCE(COUNTA($C$2:$C277), 1, 3, 4)),
  _xlpm.nbparties, COUNTA(_xlfn._xlws.FILTER(_xlpm.ptstables, _xlpm.ptstables &lt;&gt; "")),
  _xlpm.coef, _xlpm.K + _xlpm.Knewgain / (_xlpm.Knewscale + _xlpm.nbparties),
  IF(AG275="",
    "",
    _xlpm.coef * (AG275-AG276))
)</f>
        <v/>
      </c>
      <c r="AH277" t="str" cm="1">
        <f t="array" ref="AH277">_xlfn.LET(
  _xlpm.K, Constantes!$B$3,
  _xlpm.Knewgain, Constantes!$B$4,
  _xlpm.Knewscale, Constantes!$B$5,
  _xlpm.ptstables, INDEX(AH:AH, _xlfn.SEQUENCE(COUNTA($C$2:$C277), 1, 3, 4)),
  _xlpm.nbparties, COUNTA(_xlfn._xlws.FILTER(_xlpm.ptstables, _xlpm.ptstables &lt;&gt; "")),
  _xlpm.coef, _xlpm.K + _xlpm.Knewgain / (_xlpm.Knewscale + _xlpm.nbparties),
  IF(AH275="",
    "",
    _xlpm.coef * (AH275-AH276))
)</f>
        <v/>
      </c>
      <c r="AI277" cm="1">
        <f t="array" ref="AI277">_xlfn.LET(
  _xlpm.K, Constantes!$B$3,
  _xlpm.Knewgain, Constantes!$B$4,
  _xlpm.Knewscale, Constantes!$B$5,
  _xlpm.ptstables, INDEX(AI:AI, _xlfn.SEQUENCE(COUNTA($C$2:$C277), 1, 3, 4)),
  _xlpm.nbparties, COUNTA(_xlfn._xlws.FILTER(_xlpm.ptstables, _xlpm.ptstables &lt;&gt; "")),
  _xlpm.coef, _xlpm.K + _xlpm.Knewgain / (_xlpm.Knewscale + _xlpm.nbparties),
  IF(AI275="",
    "",
    _xlpm.coef * (AI275-AI276))
)</f>
        <v>9.2436898860209364</v>
      </c>
      <c r="AJ277" t="str" cm="1">
        <f t="array" ref="AJ277">_xlfn.LET(
  _xlpm.K, Constantes!$B$3,
  _xlpm.Knewgain, Constantes!$B$4,
  _xlpm.Knewscale, Constantes!$B$5,
  _xlpm.ptstables, INDEX(AJ:AJ, _xlfn.SEQUENCE(COUNTA($C$2:$C277), 1, 3, 4)),
  _xlpm.nbparties, COUNTA(_xlfn._xlws.FILTER(_xlpm.ptstables, _xlpm.ptstables &lt;&gt; "")),
  _xlpm.coef, _xlpm.K + _xlpm.Knewgain / (_xlpm.Knewscale + _xlpm.nbparties),
  IF(AJ275="",
    "",
    _xlpm.coef * (AJ275-AJ276))
)</f>
        <v/>
      </c>
      <c r="AK277" t="str" cm="1">
        <f t="array" ref="AK277">_xlfn.LET(
  _xlpm.K, Constantes!$B$3,
  _xlpm.Knewgain, Constantes!$B$4,
  _xlpm.Knewscale, Constantes!$B$5,
  _xlpm.ptstables, INDEX(AK:AK, _xlfn.SEQUENCE(COUNTA($C$2:$C277), 1, 3, 4)),
  _xlpm.nbparties, COUNTA(_xlfn._xlws.FILTER(_xlpm.ptstables, _xlpm.ptstables &lt;&gt; "")),
  _xlpm.coef, _xlpm.K + _xlpm.Knewgain / (_xlpm.Knewscale + _xlpm.nbparties),
  IF(AK275="",
    "",
    _xlpm.coef * (AK275-AK276))
)</f>
        <v/>
      </c>
      <c r="AL277" t="str" cm="1">
        <f t="array" ref="AL277">_xlfn.LET(
  _xlpm.K, Constantes!$B$3,
  _xlpm.Knewgain, Constantes!$B$4,
  _xlpm.Knewscale, Constantes!$B$5,
  _xlpm.ptstables, INDEX(AL:AL, _xlfn.SEQUENCE(COUNTA($C$2:$C277), 1, 3, 4)),
  _xlpm.nbparties, COUNTA(_xlfn._xlws.FILTER(_xlpm.ptstables, _xlpm.ptstables &lt;&gt; "")),
  _xlpm.coef, _xlpm.K + _xlpm.Knewgain / (_xlpm.Knewscale + _xlpm.nbparties),
  IF(AL275="",
    "",
    _xlpm.coef * (AL275-AL276))
)</f>
        <v/>
      </c>
      <c r="AM277" t="str" cm="1">
        <f t="array" ref="AM277">_xlfn.LET(
  _xlpm.K, Constantes!$B$3,
  _xlpm.Knewgain, Constantes!$B$4,
  _xlpm.Knewscale, Constantes!$B$5,
  _xlpm.ptstables, INDEX(AM:AM, _xlfn.SEQUENCE(COUNTA($C$2:$C277), 1, 3, 4)),
  _xlpm.nbparties, COUNTA(_xlfn._xlws.FILTER(_xlpm.ptstables, _xlpm.ptstables &lt;&gt; "")),
  _xlpm.coef, _xlpm.K + _xlpm.Knewgain / (_xlpm.Knewscale + _xlpm.nbparties),
  IF(AM275="",
    "",
    _xlpm.coef * (AM275-AM276))
)</f>
        <v/>
      </c>
    </row>
    <row r="278" spans="1:39" x14ac:dyDescent="0.25">
      <c r="A278" t="s">
        <v>14</v>
      </c>
      <c r="B278" t="str" cm="1">
        <f t="array" ref="B27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68</v>
      </c>
      <c r="C278" s="2" cm="1">
        <f t="array" ref="C278">IF(B278="","",
  INDEX(Donnees!F:F, MATCH(B278, Donnees!F:F, 0)+1))</f>
        <v>45941.916192129633</v>
      </c>
      <c r="D278">
        <f t="shared" ref="D278:AM278" si="77">D274+IF(D277="",0,D277)</f>
        <v>1033.1893307292305</v>
      </c>
      <c r="E278">
        <f t="shared" si="77"/>
        <v>1068.236433507677</v>
      </c>
      <c r="F278">
        <f t="shared" si="77"/>
        <v>847.48442671390455</v>
      </c>
      <c r="G278">
        <f t="shared" si="77"/>
        <v>1118.8779378975084</v>
      </c>
      <c r="H278">
        <f t="shared" si="77"/>
        <v>1083.5445464565155</v>
      </c>
      <c r="I278">
        <f t="shared" si="77"/>
        <v>929.90115121897634</v>
      </c>
      <c r="J278">
        <f t="shared" si="77"/>
        <v>1010.9125108504293</v>
      </c>
      <c r="K278">
        <f t="shared" si="77"/>
        <v>993.90254614824482</v>
      </c>
      <c r="L278">
        <f t="shared" si="77"/>
        <v>766.95119884458973</v>
      </c>
      <c r="M278">
        <f t="shared" si="77"/>
        <v>913.41986361738122</v>
      </c>
      <c r="N278">
        <f t="shared" si="77"/>
        <v>893.28591153844093</v>
      </c>
      <c r="O278">
        <f t="shared" si="77"/>
        <v>998.21178722110983</v>
      </c>
      <c r="P278">
        <f t="shared" si="77"/>
        <v>1044.694691960626</v>
      </c>
      <c r="Q278">
        <f t="shared" si="77"/>
        <v>1121.6819390945368</v>
      </c>
      <c r="R278">
        <f t="shared" si="77"/>
        <v>1080.8653023562695</v>
      </c>
      <c r="S278">
        <f t="shared" si="77"/>
        <v>987.64110681918737</v>
      </c>
      <c r="T278">
        <f t="shared" si="77"/>
        <v>1153.43058185823</v>
      </c>
      <c r="U278">
        <f t="shared" si="77"/>
        <v>1162.6151414972105</v>
      </c>
      <c r="V278">
        <f t="shared" si="77"/>
        <v>951.23563726152827</v>
      </c>
      <c r="W278">
        <f t="shared" si="77"/>
        <v>936.79085942937002</v>
      </c>
      <c r="X278">
        <f t="shared" si="77"/>
        <v>828.97598039785271</v>
      </c>
      <c r="Y278">
        <f t="shared" si="77"/>
        <v>903.14348714035714</v>
      </c>
      <c r="Z278">
        <f t="shared" si="77"/>
        <v>991.11904139672549</v>
      </c>
      <c r="AA278">
        <f t="shared" si="77"/>
        <v>966.24279289689184</v>
      </c>
      <c r="AB278">
        <f t="shared" si="77"/>
        <v>988.35669729544747</v>
      </c>
      <c r="AC278">
        <f t="shared" si="77"/>
        <v>1039.1635789679592</v>
      </c>
      <c r="AD278">
        <f t="shared" si="77"/>
        <v>1073.9096023401294</v>
      </c>
      <c r="AE278">
        <f t="shared" si="77"/>
        <v>963.23981965000235</v>
      </c>
      <c r="AF278">
        <f t="shared" si="77"/>
        <v>1089.5415391863121</v>
      </c>
      <c r="AG278">
        <f t="shared" si="77"/>
        <v>958.23078604304851</v>
      </c>
      <c r="AH278">
        <f t="shared" si="77"/>
        <v>920.4412636682855</v>
      </c>
      <c r="AI278">
        <f t="shared" si="77"/>
        <v>927.22906011413113</v>
      </c>
      <c r="AJ278">
        <f t="shared" si="77"/>
        <v>957.2</v>
      </c>
      <c r="AK278">
        <f t="shared" si="77"/>
        <v>1000</v>
      </c>
      <c r="AL278">
        <f t="shared" si="77"/>
        <v>1055.9299999999998</v>
      </c>
      <c r="AM278">
        <f t="shared" si="77"/>
        <v>1000</v>
      </c>
    </row>
    <row r="279" spans="1:39" x14ac:dyDescent="0.25">
      <c r="A279" t="s">
        <v>21</v>
      </c>
      <c r="D279" t="str" cm="1">
        <f t="array" ref="D279">IFERROR(
  _xlfn.LET(
    _xlpm.ligpartie, MATCH($B278, Donnees!$F:$F, 0),
    _xlpm.joueurs, INDEX(Donnees!$A:$Z, _xlpm.ligpartie+1, _xlfn.SEQUENCE(1, 4, 2)),
    INDEX(
      Donnees!$A:$Z,
      _xlpm.ligpartie + 3,
      MATCH(D$1, _xlpm.joueurs, 0) + 1
    )
  ), ""
)</f>
        <v/>
      </c>
      <c r="E279" cm="1">
        <f t="array" ref="E279">IFERROR(
  _xlfn.LET(
    _xlpm.ligpartie, MATCH($B278, Donnees!$F:$F, 0),
    _xlpm.joueurs, INDEX(Donnees!$A:$Z, _xlpm.ligpartie+1, _xlfn.SEQUENCE(1, 4, 2)),
    INDEX(
      Donnees!$A:$Z,
      _xlpm.ligpartie + 3,
      MATCH(E$1, _xlpm.joueurs, 0) + 1
    )
  ), ""
)</f>
        <v>2</v>
      </c>
      <c r="F279" t="str" cm="1">
        <f t="array" ref="F279">IFERROR(
  _xlfn.LET(
    _xlpm.ligpartie, MATCH($B278, Donnees!$F:$F, 0),
    _xlpm.joueurs, INDEX(Donnees!$A:$Z, _xlpm.ligpartie+1, _xlfn.SEQUENCE(1, 4, 2)),
    INDEX(
      Donnees!$A:$Z,
      _xlpm.ligpartie + 3,
      MATCH(F$1, _xlpm.joueurs, 0) + 1
    )
  ), ""
)</f>
        <v/>
      </c>
      <c r="G279" t="str" cm="1">
        <f t="array" ref="G279">IFERROR(
  _xlfn.LET(
    _xlpm.ligpartie, MATCH($B278, Donnees!$F:$F, 0),
    _xlpm.joueurs, INDEX(Donnees!$A:$Z, _xlpm.ligpartie+1, _xlfn.SEQUENCE(1, 4, 2)),
    INDEX(
      Donnees!$A:$Z,
      _xlpm.ligpartie + 3,
      MATCH(G$1, _xlpm.joueurs, 0) + 1
    )
  ), ""
)</f>
        <v/>
      </c>
      <c r="H279" t="str" cm="1">
        <f t="array" ref="H279">IFERROR(
  _xlfn.LET(
    _xlpm.ligpartie, MATCH($B278, Donnees!$F:$F, 0),
    _xlpm.joueurs, INDEX(Donnees!$A:$Z, _xlpm.ligpartie+1, _xlfn.SEQUENCE(1, 4, 2)),
    INDEX(
      Donnees!$A:$Z,
      _xlpm.ligpartie + 3,
      MATCH(H$1, _xlpm.joueurs, 0) + 1
    )
  ), ""
)</f>
        <v/>
      </c>
      <c r="I279" t="str" cm="1">
        <f t="array" ref="I279">IFERROR(
  _xlfn.LET(
    _xlpm.ligpartie, MATCH($B278, Donnees!$F:$F, 0),
    _xlpm.joueurs, INDEX(Donnees!$A:$Z, _xlpm.ligpartie+1, _xlfn.SEQUENCE(1, 4, 2)),
    INDEX(
      Donnees!$A:$Z,
      _xlpm.ligpartie + 3,
      MATCH(I$1, _xlpm.joueurs, 0) + 1
    )
  ), ""
)</f>
        <v/>
      </c>
      <c r="J279" t="str" cm="1">
        <f t="array" ref="J279">IFERROR(
  _xlfn.LET(
    _xlpm.ligpartie, MATCH($B278, Donnees!$F:$F, 0),
    _xlpm.joueurs, INDEX(Donnees!$A:$Z, _xlpm.ligpartie+1, _xlfn.SEQUENCE(1, 4, 2)),
    INDEX(
      Donnees!$A:$Z,
      _xlpm.ligpartie + 3,
      MATCH(J$1, _xlpm.joueurs, 0) + 1
    )
  ), ""
)</f>
        <v/>
      </c>
      <c r="K279" t="str" cm="1">
        <f t="array" ref="K279">IFERROR(
  _xlfn.LET(
    _xlpm.ligpartie, MATCH($B278, Donnees!$F:$F, 0),
    _xlpm.joueurs, INDEX(Donnees!$A:$Z, _xlpm.ligpartie+1, _xlfn.SEQUENCE(1, 4, 2)),
    INDEX(
      Donnees!$A:$Z,
      _xlpm.ligpartie + 3,
      MATCH(K$1, _xlpm.joueurs, 0) + 1
    )
  ), ""
)</f>
        <v/>
      </c>
      <c r="L279" t="str" cm="1">
        <f t="array" ref="L279">IFERROR(
  _xlfn.LET(
    _xlpm.ligpartie, MATCH($B278, Donnees!$F:$F, 0),
    _xlpm.joueurs, INDEX(Donnees!$A:$Z, _xlpm.ligpartie+1, _xlfn.SEQUENCE(1, 4, 2)),
    INDEX(
      Donnees!$A:$Z,
      _xlpm.ligpartie + 3,
      MATCH(L$1, _xlpm.joueurs, 0) + 1
    )
  ), ""
)</f>
        <v/>
      </c>
      <c r="M279" t="str" cm="1">
        <f t="array" ref="M279">IFERROR(
  _xlfn.LET(
    _xlpm.ligpartie, MATCH($B278, Donnees!$F:$F, 0),
    _xlpm.joueurs, INDEX(Donnees!$A:$Z, _xlpm.ligpartie+1, _xlfn.SEQUENCE(1, 4, 2)),
    INDEX(
      Donnees!$A:$Z,
      _xlpm.ligpartie + 3,
      MATCH(M$1, _xlpm.joueurs, 0) + 1
    )
  ), ""
)</f>
        <v/>
      </c>
      <c r="N279" t="str" cm="1">
        <f t="array" ref="N279">IFERROR(
  _xlfn.LET(
    _xlpm.ligpartie, MATCH($B278, Donnees!$F:$F, 0),
    _xlpm.joueurs, INDEX(Donnees!$A:$Z, _xlpm.ligpartie+1, _xlfn.SEQUENCE(1, 4, 2)),
    INDEX(
      Donnees!$A:$Z,
      _xlpm.ligpartie + 3,
      MATCH(N$1, _xlpm.joueurs, 0) + 1
    )
  ), ""
)</f>
        <v/>
      </c>
      <c r="O279" t="str" cm="1">
        <f t="array" ref="O279">IFERROR(
  _xlfn.LET(
    _xlpm.ligpartie, MATCH($B278, Donnees!$F:$F, 0),
    _xlpm.joueurs, INDEX(Donnees!$A:$Z, _xlpm.ligpartie+1, _xlfn.SEQUENCE(1, 4, 2)),
    INDEX(
      Donnees!$A:$Z,
      _xlpm.ligpartie + 3,
      MATCH(O$1, _xlpm.joueurs, 0) + 1
    )
  ), ""
)</f>
        <v/>
      </c>
      <c r="P279" t="str" cm="1">
        <f t="array" ref="P279">IFERROR(
  _xlfn.LET(
    _xlpm.ligpartie, MATCH($B278, Donnees!$F:$F, 0),
    _xlpm.joueurs, INDEX(Donnees!$A:$Z, _xlpm.ligpartie+1, _xlfn.SEQUENCE(1, 4, 2)),
    INDEX(
      Donnees!$A:$Z,
      _xlpm.ligpartie + 3,
      MATCH(P$1, _xlpm.joueurs, 0) + 1
    )
  ), ""
)</f>
        <v/>
      </c>
      <c r="Q279" cm="1">
        <f t="array" ref="Q279">IFERROR(
  _xlfn.LET(
    _xlpm.ligpartie, MATCH($B278, Donnees!$F:$F, 0),
    _xlpm.joueurs, INDEX(Donnees!$A:$Z, _xlpm.ligpartie+1, _xlfn.SEQUENCE(1, 4, 2)),
    INDEX(
      Donnees!$A:$Z,
      _xlpm.ligpartie + 3,
      MATCH(Q$1, _xlpm.joueurs, 0) + 1
    )
  ), ""
)</f>
        <v>0</v>
      </c>
      <c r="R279" t="str" cm="1">
        <f t="array" ref="R279">IFERROR(
  _xlfn.LET(
    _xlpm.ligpartie, MATCH($B278, Donnees!$F:$F, 0),
    _xlpm.joueurs, INDEX(Donnees!$A:$Z, _xlpm.ligpartie+1, _xlfn.SEQUENCE(1, 4, 2)),
    INDEX(
      Donnees!$A:$Z,
      _xlpm.ligpartie + 3,
      MATCH(R$1, _xlpm.joueurs, 0) + 1
    )
  ), ""
)</f>
        <v/>
      </c>
      <c r="S279" t="str" cm="1">
        <f t="array" ref="S279">IFERROR(
  _xlfn.LET(
    _xlpm.ligpartie, MATCH($B278, Donnees!$F:$F, 0),
    _xlpm.joueurs, INDEX(Donnees!$A:$Z, _xlpm.ligpartie+1, _xlfn.SEQUENCE(1, 4, 2)),
    INDEX(
      Donnees!$A:$Z,
      _xlpm.ligpartie + 3,
      MATCH(S$1, _xlpm.joueurs, 0) + 1
    )
  ), ""
)</f>
        <v/>
      </c>
      <c r="T279" t="str" cm="1">
        <f t="array" ref="T279">IFERROR(
  _xlfn.LET(
    _xlpm.ligpartie, MATCH($B278, Donnees!$F:$F, 0),
    _xlpm.joueurs, INDEX(Donnees!$A:$Z, _xlpm.ligpartie+1, _xlfn.SEQUENCE(1, 4, 2)),
    INDEX(
      Donnees!$A:$Z,
      _xlpm.ligpartie + 3,
      MATCH(T$1, _xlpm.joueurs, 0) + 1
    )
  ), ""
)</f>
        <v/>
      </c>
      <c r="U279" cm="1">
        <f t="array" ref="U279">IFERROR(
  _xlfn.LET(
    _xlpm.ligpartie, MATCH($B278, Donnees!$F:$F, 0),
    _xlpm.joueurs, INDEX(Donnees!$A:$Z, _xlpm.ligpartie+1, _xlfn.SEQUENCE(1, 4, 2)),
    INDEX(
      Donnees!$A:$Z,
      _xlpm.ligpartie + 3,
      MATCH(U$1, _xlpm.joueurs, 0) + 1
    )
  ), ""
)</f>
        <v>3</v>
      </c>
      <c r="V279" t="str" cm="1">
        <f t="array" ref="V279">IFERROR(
  _xlfn.LET(
    _xlpm.ligpartie, MATCH($B278, Donnees!$F:$F, 0),
    _xlpm.joueurs, INDEX(Donnees!$A:$Z, _xlpm.ligpartie+1, _xlfn.SEQUENCE(1, 4, 2)),
    INDEX(
      Donnees!$A:$Z,
      _xlpm.ligpartie + 3,
      MATCH(V$1, _xlpm.joueurs, 0) + 1
    )
  ), ""
)</f>
        <v/>
      </c>
      <c r="W279" t="str" cm="1">
        <f t="array" ref="W279">IFERROR(
  _xlfn.LET(
    _xlpm.ligpartie, MATCH($B278, Donnees!$F:$F, 0),
    _xlpm.joueurs, INDEX(Donnees!$A:$Z, _xlpm.ligpartie+1, _xlfn.SEQUENCE(1, 4, 2)),
    INDEX(
      Donnees!$A:$Z,
      _xlpm.ligpartie + 3,
      MATCH(W$1, _xlpm.joueurs, 0) + 1
    )
  ), ""
)</f>
        <v/>
      </c>
      <c r="X279" t="str" cm="1">
        <f t="array" ref="X279">IFERROR(
  _xlfn.LET(
    _xlpm.ligpartie, MATCH($B278, Donnees!$F:$F, 0),
    _xlpm.joueurs, INDEX(Donnees!$A:$Z, _xlpm.ligpartie+1, _xlfn.SEQUENCE(1, 4, 2)),
    INDEX(
      Donnees!$A:$Z,
      _xlpm.ligpartie + 3,
      MATCH(X$1, _xlpm.joueurs, 0) + 1
    )
  ), ""
)</f>
        <v/>
      </c>
      <c r="Y279" t="str" cm="1">
        <f t="array" ref="Y279">IFERROR(
  _xlfn.LET(
    _xlpm.ligpartie, MATCH($B278, Donnees!$F:$F, 0),
    _xlpm.joueurs, INDEX(Donnees!$A:$Z, _xlpm.ligpartie+1, _xlfn.SEQUENCE(1, 4, 2)),
    INDEX(
      Donnees!$A:$Z,
      _xlpm.ligpartie + 3,
      MATCH(Y$1, _xlpm.joueurs, 0) + 1
    )
  ), ""
)</f>
        <v/>
      </c>
      <c r="Z279" t="str" cm="1">
        <f t="array" ref="Z279">IFERROR(
  _xlfn.LET(
    _xlpm.ligpartie, MATCH($B278, Donnees!$F:$F, 0),
    _xlpm.joueurs, INDEX(Donnees!$A:$Z, _xlpm.ligpartie+1, _xlfn.SEQUENCE(1, 4, 2)),
    INDEX(
      Donnees!$A:$Z,
      _xlpm.ligpartie + 3,
      MATCH(Z$1, _xlpm.joueurs, 0) + 1
    )
  ), ""
)</f>
        <v/>
      </c>
      <c r="AA279" t="str" cm="1">
        <f t="array" ref="AA279">IFERROR(
  _xlfn.LET(
    _xlpm.ligpartie, MATCH($B278, Donnees!$F:$F, 0),
    _xlpm.joueurs, INDEX(Donnees!$A:$Z, _xlpm.ligpartie+1, _xlfn.SEQUENCE(1, 4, 2)),
    INDEX(
      Donnees!$A:$Z,
      _xlpm.ligpartie + 3,
      MATCH(AA$1, _xlpm.joueurs, 0) + 1
    )
  ), ""
)</f>
        <v/>
      </c>
      <c r="AB279" t="str" cm="1">
        <f t="array" ref="AB279">IFERROR(
  _xlfn.LET(
    _xlpm.ligpartie, MATCH($B278, Donnees!$F:$F, 0),
    _xlpm.joueurs, INDEX(Donnees!$A:$Z, _xlpm.ligpartie+1, _xlfn.SEQUENCE(1, 4, 2)),
    INDEX(
      Donnees!$A:$Z,
      _xlpm.ligpartie + 3,
      MATCH(AB$1, _xlpm.joueurs, 0) + 1
    )
  ), ""
)</f>
        <v/>
      </c>
      <c r="AC279" t="str" cm="1">
        <f t="array" ref="AC279">IFERROR(
  _xlfn.LET(
    _xlpm.ligpartie, MATCH($B278, Donnees!$F:$F, 0),
    _xlpm.joueurs, INDEX(Donnees!$A:$Z, _xlpm.ligpartie+1, _xlfn.SEQUENCE(1, 4, 2)),
    INDEX(
      Donnees!$A:$Z,
      _xlpm.ligpartie + 3,
      MATCH(AC$1, _xlpm.joueurs, 0) + 1
    )
  ), ""
)</f>
        <v/>
      </c>
      <c r="AD279" t="str" cm="1">
        <f t="array" ref="AD279">IFERROR(
  _xlfn.LET(
    _xlpm.ligpartie, MATCH($B278, Donnees!$F:$F, 0),
    _xlpm.joueurs, INDEX(Donnees!$A:$Z, _xlpm.ligpartie+1, _xlfn.SEQUENCE(1, 4, 2)),
    INDEX(
      Donnees!$A:$Z,
      _xlpm.ligpartie + 3,
      MATCH(AD$1, _xlpm.joueurs, 0) + 1
    )
  ), ""
)</f>
        <v/>
      </c>
      <c r="AE279" t="str" cm="1">
        <f t="array" ref="AE279">IFERROR(
  _xlfn.LET(
    _xlpm.ligpartie, MATCH($B278, Donnees!$F:$F, 0),
    _xlpm.joueurs, INDEX(Donnees!$A:$Z, _xlpm.ligpartie+1, _xlfn.SEQUENCE(1, 4, 2)),
    INDEX(
      Donnees!$A:$Z,
      _xlpm.ligpartie + 3,
      MATCH(AE$1, _xlpm.joueurs, 0) + 1
    )
  ), ""
)</f>
        <v/>
      </c>
      <c r="AF279" t="str" cm="1">
        <f t="array" ref="AF279">IFERROR(
  _xlfn.LET(
    _xlpm.ligpartie, MATCH($B278, Donnees!$F:$F, 0),
    _xlpm.joueurs, INDEX(Donnees!$A:$Z, _xlpm.ligpartie+1, _xlfn.SEQUENCE(1, 4, 2)),
    INDEX(
      Donnees!$A:$Z,
      _xlpm.ligpartie + 3,
      MATCH(AF$1, _xlpm.joueurs, 0) + 1
    )
  ), ""
)</f>
        <v/>
      </c>
      <c r="AG279" t="str" cm="1">
        <f t="array" ref="AG279">IFERROR(
  _xlfn.LET(
    _xlpm.ligpartie, MATCH($B278, Donnees!$F:$F, 0),
    _xlpm.joueurs, INDEX(Donnees!$A:$Z, _xlpm.ligpartie+1, _xlfn.SEQUENCE(1, 4, 2)),
    INDEX(
      Donnees!$A:$Z,
      _xlpm.ligpartie + 3,
      MATCH(AG$1, _xlpm.joueurs, 0) + 1
    )
  ), ""
)</f>
        <v/>
      </c>
      <c r="AH279" t="str" cm="1">
        <f t="array" ref="AH279">IFERROR(
  _xlfn.LET(
    _xlpm.ligpartie, MATCH($B278, Donnees!$F:$F, 0),
    _xlpm.joueurs, INDEX(Donnees!$A:$Z, _xlpm.ligpartie+1, _xlfn.SEQUENCE(1, 4, 2)),
    INDEX(
      Donnees!$A:$Z,
      _xlpm.ligpartie + 3,
      MATCH(AH$1, _xlpm.joueurs, 0) + 1
    )
  ), ""
)</f>
        <v/>
      </c>
      <c r="AI279" cm="1">
        <f t="array" ref="AI279">IFERROR(
  _xlfn.LET(
    _xlpm.ligpartie, MATCH($B278, Donnees!$F:$F, 0),
    _xlpm.joueurs, INDEX(Donnees!$A:$Z, _xlpm.ligpartie+1, _xlfn.SEQUENCE(1, 4, 2)),
    INDEX(
      Donnees!$A:$Z,
      _xlpm.ligpartie + 3,
      MATCH(AI$1, _xlpm.joueurs, 0) + 1
    )
  ), ""
)</f>
        <v>1</v>
      </c>
      <c r="AJ279" t="str" cm="1">
        <f t="array" ref="AJ279">IFERROR(
  _xlfn.LET(
    _xlpm.ligpartie, MATCH($B278, Donnees!$F:$F, 0),
    _xlpm.joueurs, INDEX(Donnees!$A:$Z, _xlpm.ligpartie+1, _xlfn.SEQUENCE(1, 4, 2)),
    INDEX(
      Donnees!$A:$Z,
      _xlpm.ligpartie + 3,
      MATCH(AJ$1, _xlpm.joueurs, 0) + 1
    )
  ), ""
)</f>
        <v/>
      </c>
      <c r="AK279" t="str" cm="1">
        <f t="array" ref="AK279">IFERROR(
  _xlfn.LET(
    _xlpm.ligpartie, MATCH($B278, Donnees!$F:$F, 0),
    _xlpm.joueurs, INDEX(Donnees!$A:$Z, _xlpm.ligpartie+1, _xlfn.SEQUENCE(1, 4, 2)),
    INDEX(
      Donnees!$A:$Z,
      _xlpm.ligpartie + 3,
      MATCH(AK$1, _xlpm.joueurs, 0) + 1
    )
  ), ""
)</f>
        <v/>
      </c>
      <c r="AL279" t="str" cm="1">
        <f t="array" ref="AL279">IFERROR(
  _xlfn.LET(
    _xlpm.ligpartie, MATCH($B278, Donnees!$F:$F, 0),
    _xlpm.joueurs, INDEX(Donnees!$A:$Z, _xlpm.ligpartie+1, _xlfn.SEQUENCE(1, 4, 2)),
    INDEX(
      Donnees!$A:$Z,
      _xlpm.ligpartie + 3,
      MATCH(AL$1, _xlpm.joueurs, 0) + 1
    )
  ), ""
)</f>
        <v/>
      </c>
      <c r="AM279" t="str" cm="1">
        <f t="array" ref="AM279">IFERROR(
  _xlfn.LET(
    _xlpm.ligpartie, MATCH($B278, Donnees!$F:$F, 0),
    _xlpm.joueurs, INDEX(Donnees!$A:$Z, _xlpm.ligpartie+1, _xlfn.SEQUENCE(1, 4, 2)),
    INDEX(
      Donnees!$A:$Z,
      _xlpm.ligpartie + 3,
      MATCH(AM$1, _xlpm.joueurs, 0) + 1
    )
  ), ""
)</f>
        <v/>
      </c>
    </row>
    <row r="280" spans="1:39" x14ac:dyDescent="0.25">
      <c r="A280" t="s">
        <v>20</v>
      </c>
      <c r="D280" t="str" cm="1">
        <f t="array" ref="D280">_xlfn.LET(
  _xlpm.colj, _xlfn._xlws.FILTER(IF(ISNUMBER(279:279), COLUMN(279:279)), ISNUMBER(279:279)),
  _xlpm.elos, INDEX(278:278,1,_xlpm.colj),
  _xlpm.diffscale, Constantes!$B$2,
  IF(D279="",
    "",
    SUM(1/(1+POWER(10,-(D278-_xlpm.elos)/_xlpm.diffscale)))-0.5)
)</f>
        <v/>
      </c>
      <c r="E280" cm="1">
        <f t="array" ref="E280">_xlfn.LET(
  _xlpm.colj, _xlfn._xlws.FILTER(IF(ISNUMBER(279:279), COLUMN(279:279)), ISNUMBER(279:279)),
  _xlpm.elos, INDEX(278:278,1,_xlpm.colj),
  _xlpm.diffscale, Constantes!$B$2,
  IF(E279="",
    "",
    SUM(1/(1+POWER(10,-(E278-_xlpm.elos)/_xlpm.diffscale)))-0.5)
)</f>
        <v>1.4835823122381973</v>
      </c>
      <c r="F280" t="str" cm="1">
        <f t="array" ref="F280">_xlfn.LET(
  _xlpm.colj, _xlfn._xlws.FILTER(IF(ISNUMBER(279:279), COLUMN(279:279)), ISNUMBER(279:279)),
  _xlpm.elos, INDEX(278:278,1,_xlpm.colj),
  _xlpm.diffscale, Constantes!$B$2,
  IF(F279="",
    "",
    SUM(1/(1+POWER(10,-(F278-_xlpm.elos)/_xlpm.diffscale)))-0.5)
)</f>
        <v/>
      </c>
      <c r="G280" t="str" cm="1">
        <f t="array" ref="G280">_xlfn.LET(
  _xlpm.colj, _xlfn._xlws.FILTER(IF(ISNUMBER(279:279), COLUMN(279:279)), ISNUMBER(279:279)),
  _xlpm.elos, INDEX(278:278,1,_xlpm.colj),
  _xlpm.diffscale, Constantes!$B$2,
  IF(G279="",
    "",
    SUM(1/(1+POWER(10,-(G278-_xlpm.elos)/_xlpm.diffscale)))-0.5)
)</f>
        <v/>
      </c>
      <c r="H280" t="str" cm="1">
        <f t="array" ref="H280">_xlfn.LET(
  _xlpm.colj, _xlfn._xlws.FILTER(IF(ISNUMBER(279:279), COLUMN(279:279)), ISNUMBER(279:279)),
  _xlpm.elos, INDEX(278:278,1,_xlpm.colj),
  _xlpm.diffscale, Constantes!$B$2,
  IF(H279="",
    "",
    SUM(1/(1+POWER(10,-(H278-_xlpm.elos)/_xlpm.diffscale)))-0.5)
)</f>
        <v/>
      </c>
      <c r="I280" t="str" cm="1">
        <f t="array" ref="I280">_xlfn.LET(
  _xlpm.colj, _xlfn._xlws.FILTER(IF(ISNUMBER(279:279), COLUMN(279:279)), ISNUMBER(279:279)),
  _xlpm.elos, INDEX(278:278,1,_xlpm.colj),
  _xlpm.diffscale, Constantes!$B$2,
  IF(I279="",
    "",
    SUM(1/(1+POWER(10,-(I278-_xlpm.elos)/_xlpm.diffscale)))-0.5)
)</f>
        <v/>
      </c>
      <c r="J280" t="str" cm="1">
        <f t="array" ref="J280">_xlfn.LET(
  _xlpm.colj, _xlfn._xlws.FILTER(IF(ISNUMBER(279:279), COLUMN(279:279)), ISNUMBER(279:279)),
  _xlpm.elos, INDEX(278:278,1,_xlpm.colj),
  _xlpm.diffscale, Constantes!$B$2,
  IF(J279="",
    "",
    SUM(1/(1+POWER(10,-(J278-_xlpm.elos)/_xlpm.diffscale)))-0.5)
)</f>
        <v/>
      </c>
      <c r="K280" t="str" cm="1">
        <f t="array" ref="K280">_xlfn.LET(
  _xlpm.colj, _xlfn._xlws.FILTER(IF(ISNUMBER(279:279), COLUMN(279:279)), ISNUMBER(279:279)),
  _xlpm.elos, INDEX(278:278,1,_xlpm.colj),
  _xlpm.diffscale, Constantes!$B$2,
  IF(K279="",
    "",
    SUM(1/(1+POWER(10,-(K278-_xlpm.elos)/_xlpm.diffscale)))-0.5)
)</f>
        <v/>
      </c>
      <c r="L280" t="str" cm="1">
        <f t="array" ref="L280">_xlfn.LET(
  _xlpm.colj, _xlfn._xlws.FILTER(IF(ISNUMBER(279:279), COLUMN(279:279)), ISNUMBER(279:279)),
  _xlpm.elos, INDEX(278:278,1,_xlpm.colj),
  _xlpm.diffscale, Constantes!$B$2,
  IF(L279="",
    "",
    SUM(1/(1+POWER(10,-(L278-_xlpm.elos)/_xlpm.diffscale)))-0.5)
)</f>
        <v/>
      </c>
      <c r="M280" t="str" cm="1">
        <f t="array" ref="M280">_xlfn.LET(
  _xlpm.colj, _xlfn._xlws.FILTER(IF(ISNUMBER(279:279), COLUMN(279:279)), ISNUMBER(279:279)),
  _xlpm.elos, INDEX(278:278,1,_xlpm.colj),
  _xlpm.diffscale, Constantes!$B$2,
  IF(M279="",
    "",
    SUM(1/(1+POWER(10,-(M278-_xlpm.elos)/_xlpm.diffscale)))-0.5)
)</f>
        <v/>
      </c>
      <c r="N280" t="str" cm="1">
        <f t="array" ref="N280">_xlfn.LET(
  _xlpm.colj, _xlfn._xlws.FILTER(IF(ISNUMBER(279:279), COLUMN(279:279)), ISNUMBER(279:279)),
  _xlpm.elos, INDEX(278:278,1,_xlpm.colj),
  _xlpm.diffscale, Constantes!$B$2,
  IF(N279="",
    "",
    SUM(1/(1+POWER(10,-(N278-_xlpm.elos)/_xlpm.diffscale)))-0.5)
)</f>
        <v/>
      </c>
      <c r="O280" t="str" cm="1">
        <f t="array" ref="O280">_xlfn.LET(
  _xlpm.colj, _xlfn._xlws.FILTER(IF(ISNUMBER(279:279), COLUMN(279:279)), ISNUMBER(279:279)),
  _xlpm.elos, INDEX(278:278,1,_xlpm.colj),
  _xlpm.diffscale, Constantes!$B$2,
  IF(O279="",
    "",
    SUM(1/(1+POWER(10,-(O278-_xlpm.elos)/_xlpm.diffscale)))-0.5)
)</f>
        <v/>
      </c>
      <c r="P280" t="str" cm="1">
        <f t="array" ref="P280">_xlfn.LET(
  _xlpm.colj, _xlfn._xlws.FILTER(IF(ISNUMBER(279:279), COLUMN(279:279)), ISNUMBER(279:279)),
  _xlpm.elos, INDEX(278:278,1,_xlpm.colj),
  _xlpm.diffscale, Constantes!$B$2,
  IF(P279="",
    "",
    SUM(1/(1+POWER(10,-(P278-_xlpm.elos)/_xlpm.diffscale)))-0.5)
)</f>
        <v/>
      </c>
      <c r="Q280" cm="1">
        <f t="array" ref="Q280">_xlfn.LET(
  _xlpm.colj, _xlfn._xlws.FILTER(IF(ISNUMBER(279:279), COLUMN(279:279)), ISNUMBER(279:279)),
  _xlpm.elos, INDEX(278:278,1,_xlpm.colj),
  _xlpm.diffscale, Constantes!$B$2,
  IF(Q279="",
    "",
    SUM(1/(1+POWER(10,-(Q278-_xlpm.elos)/_xlpm.diffscale)))-0.5)
)</f>
        <v>1.7715468325812251</v>
      </c>
      <c r="R280" t="str" cm="1">
        <f t="array" ref="R280">_xlfn.LET(
  _xlpm.colj, _xlfn._xlws.FILTER(IF(ISNUMBER(279:279), COLUMN(279:279)), ISNUMBER(279:279)),
  _xlpm.elos, INDEX(278:278,1,_xlpm.colj),
  _xlpm.diffscale, Constantes!$B$2,
  IF(R279="",
    "",
    SUM(1/(1+POWER(10,-(R278-_xlpm.elos)/_xlpm.diffscale)))-0.5)
)</f>
        <v/>
      </c>
      <c r="S280" t="str" cm="1">
        <f t="array" ref="S280">_xlfn.LET(
  _xlpm.colj, _xlfn._xlws.FILTER(IF(ISNUMBER(279:279), COLUMN(279:279)), ISNUMBER(279:279)),
  _xlpm.elos, INDEX(278:278,1,_xlpm.colj),
  _xlpm.diffscale, Constantes!$B$2,
  IF(S279="",
    "",
    SUM(1/(1+POWER(10,-(S278-_xlpm.elos)/_xlpm.diffscale)))-0.5)
)</f>
        <v/>
      </c>
      <c r="T280" t="str" cm="1">
        <f t="array" ref="T280">_xlfn.LET(
  _xlpm.colj, _xlfn._xlws.FILTER(IF(ISNUMBER(279:279), COLUMN(279:279)), ISNUMBER(279:279)),
  _xlpm.elos, INDEX(278:278,1,_xlpm.colj),
  _xlpm.diffscale, Constantes!$B$2,
  IF(T279="",
    "",
    SUM(1/(1+POWER(10,-(T278-_xlpm.elos)/_xlpm.diffscale)))-0.5)
)</f>
        <v/>
      </c>
      <c r="U280" cm="1">
        <f t="array" ref="U280">_xlfn.LET(
  _xlpm.colj, _xlfn._xlws.FILTER(IF(ISNUMBER(279:279), COLUMN(279:279)), ISNUMBER(279:279)),
  _xlpm.elos, INDEX(278:278,1,_xlpm.colj),
  _xlpm.diffscale, Constantes!$B$2,
  IF(U279="",
    "",
    SUM(1/(1+POWER(10,-(U278-_xlpm.elos)/_xlpm.diffscale)))-0.5)
)</f>
        <v>1.98615784099478</v>
      </c>
      <c r="V280" t="str" cm="1">
        <f t="array" ref="V280">_xlfn.LET(
  _xlpm.colj, _xlfn._xlws.FILTER(IF(ISNUMBER(279:279), COLUMN(279:279)), ISNUMBER(279:279)),
  _xlpm.elos, INDEX(278:278,1,_xlpm.colj),
  _xlpm.diffscale, Constantes!$B$2,
  IF(V279="",
    "",
    SUM(1/(1+POWER(10,-(V278-_xlpm.elos)/_xlpm.diffscale)))-0.5)
)</f>
        <v/>
      </c>
      <c r="W280" t="str" cm="1">
        <f t="array" ref="W280">_xlfn.LET(
  _xlpm.colj, _xlfn._xlws.FILTER(IF(ISNUMBER(279:279), COLUMN(279:279)), ISNUMBER(279:279)),
  _xlpm.elos, INDEX(278:278,1,_xlpm.colj),
  _xlpm.diffscale, Constantes!$B$2,
  IF(W279="",
    "",
    SUM(1/(1+POWER(10,-(W278-_xlpm.elos)/_xlpm.diffscale)))-0.5)
)</f>
        <v/>
      </c>
      <c r="X280" t="str" cm="1">
        <f t="array" ref="X280">_xlfn.LET(
  _xlpm.colj, _xlfn._xlws.FILTER(IF(ISNUMBER(279:279), COLUMN(279:279)), ISNUMBER(279:279)),
  _xlpm.elos, INDEX(278:278,1,_xlpm.colj),
  _xlpm.diffscale, Constantes!$B$2,
  IF(X279="",
    "",
    SUM(1/(1+POWER(10,-(X278-_xlpm.elos)/_xlpm.diffscale)))-0.5)
)</f>
        <v/>
      </c>
      <c r="Y280" t="str" cm="1">
        <f t="array" ref="Y280">_xlfn.LET(
  _xlpm.colj, _xlfn._xlws.FILTER(IF(ISNUMBER(279:279), COLUMN(279:279)), ISNUMBER(279:279)),
  _xlpm.elos, INDEX(278:278,1,_xlpm.colj),
  _xlpm.diffscale, Constantes!$B$2,
  IF(Y279="",
    "",
    SUM(1/(1+POWER(10,-(Y278-_xlpm.elos)/_xlpm.diffscale)))-0.5)
)</f>
        <v/>
      </c>
      <c r="Z280" t="str" cm="1">
        <f t="array" ref="Z280">_xlfn.LET(
  _xlpm.colj, _xlfn._xlws.FILTER(IF(ISNUMBER(279:279), COLUMN(279:279)), ISNUMBER(279:279)),
  _xlpm.elos, INDEX(278:278,1,_xlpm.colj),
  _xlpm.diffscale, Constantes!$B$2,
  IF(Z279="",
    "",
    SUM(1/(1+POWER(10,-(Z278-_xlpm.elos)/_xlpm.diffscale)))-0.5)
)</f>
        <v/>
      </c>
      <c r="AA280" t="str" cm="1">
        <f t="array" ref="AA280">_xlfn.LET(
  _xlpm.colj, _xlfn._xlws.FILTER(IF(ISNUMBER(279:279), COLUMN(279:279)), ISNUMBER(279:279)),
  _xlpm.elos, INDEX(278:278,1,_xlpm.colj),
  _xlpm.diffscale, Constantes!$B$2,
  IF(AA279="",
    "",
    SUM(1/(1+POWER(10,-(AA278-_xlpm.elos)/_xlpm.diffscale)))-0.5)
)</f>
        <v/>
      </c>
      <c r="AB280" t="str" cm="1">
        <f t="array" ref="AB280">_xlfn.LET(
  _xlpm.colj, _xlfn._xlws.FILTER(IF(ISNUMBER(279:279), COLUMN(279:279)), ISNUMBER(279:279)),
  _xlpm.elos, INDEX(278:278,1,_xlpm.colj),
  _xlpm.diffscale, Constantes!$B$2,
  IF(AB279="",
    "",
    SUM(1/(1+POWER(10,-(AB278-_xlpm.elos)/_xlpm.diffscale)))-0.5)
)</f>
        <v/>
      </c>
      <c r="AC280" t="str" cm="1">
        <f t="array" ref="AC280">_xlfn.LET(
  _xlpm.colj, _xlfn._xlws.FILTER(IF(ISNUMBER(279:279), COLUMN(279:279)), ISNUMBER(279:279)),
  _xlpm.elos, INDEX(278:278,1,_xlpm.colj),
  _xlpm.diffscale, Constantes!$B$2,
  IF(AC279="",
    "",
    SUM(1/(1+POWER(10,-(AC278-_xlpm.elos)/_xlpm.diffscale)))-0.5)
)</f>
        <v/>
      </c>
      <c r="AD280" t="str" cm="1">
        <f t="array" ref="AD280">_xlfn.LET(
  _xlpm.colj, _xlfn._xlws.FILTER(IF(ISNUMBER(279:279), COLUMN(279:279)), ISNUMBER(279:279)),
  _xlpm.elos, INDEX(278:278,1,_xlpm.colj),
  _xlpm.diffscale, Constantes!$B$2,
  IF(AD279="",
    "",
    SUM(1/(1+POWER(10,-(AD278-_xlpm.elos)/_xlpm.diffscale)))-0.5)
)</f>
        <v/>
      </c>
      <c r="AE280" t="str" cm="1">
        <f t="array" ref="AE280">_xlfn.LET(
  _xlpm.colj, _xlfn._xlws.FILTER(IF(ISNUMBER(279:279), COLUMN(279:279)), ISNUMBER(279:279)),
  _xlpm.elos, INDEX(278:278,1,_xlpm.colj),
  _xlpm.diffscale, Constantes!$B$2,
  IF(AE279="",
    "",
    SUM(1/(1+POWER(10,-(AE278-_xlpm.elos)/_xlpm.diffscale)))-0.5)
)</f>
        <v/>
      </c>
      <c r="AF280" t="str" cm="1">
        <f t="array" ref="AF280">_xlfn.LET(
  _xlpm.colj, _xlfn._xlws.FILTER(IF(ISNUMBER(279:279), COLUMN(279:279)), ISNUMBER(279:279)),
  _xlpm.elos, INDEX(278:278,1,_xlpm.colj),
  _xlpm.diffscale, Constantes!$B$2,
  IF(AF279="",
    "",
    SUM(1/(1+POWER(10,-(AF278-_xlpm.elos)/_xlpm.diffscale)))-0.5)
)</f>
        <v/>
      </c>
      <c r="AG280" t="str" cm="1">
        <f t="array" ref="AG280">_xlfn.LET(
  _xlpm.colj, _xlfn._xlws.FILTER(IF(ISNUMBER(279:279), COLUMN(279:279)), ISNUMBER(279:279)),
  _xlpm.elos, INDEX(278:278,1,_xlpm.colj),
  _xlpm.diffscale, Constantes!$B$2,
  IF(AG279="",
    "",
    SUM(1/(1+POWER(10,-(AG278-_xlpm.elos)/_xlpm.diffscale)))-0.5)
)</f>
        <v/>
      </c>
      <c r="AH280" t="str" cm="1">
        <f t="array" ref="AH280">_xlfn.LET(
  _xlpm.colj, _xlfn._xlws.FILTER(IF(ISNUMBER(279:279), COLUMN(279:279)), ISNUMBER(279:279)),
  _xlpm.elos, INDEX(278:278,1,_xlpm.colj),
  _xlpm.diffscale, Constantes!$B$2,
  IF(AH279="",
    "",
    SUM(1/(1+POWER(10,-(AH278-_xlpm.elos)/_xlpm.diffscale)))-0.5)
)</f>
        <v/>
      </c>
      <c r="AI280" cm="1">
        <f t="array" ref="AI280">_xlfn.LET(
  _xlpm.colj, _xlfn._xlws.FILTER(IF(ISNUMBER(279:279), COLUMN(279:279)), ISNUMBER(279:279)),
  _xlpm.elos, INDEX(278:278,1,_xlpm.colj),
  _xlpm.diffscale, Constantes!$B$2,
  IF(AI279="",
    "",
    SUM(1/(1+POWER(10,-(AI278-_xlpm.elos)/_xlpm.diffscale)))-0.5)
)</f>
        <v>0.75871301418579806</v>
      </c>
      <c r="AJ280" t="str" cm="1">
        <f t="array" ref="AJ280">_xlfn.LET(
  _xlpm.colj, _xlfn._xlws.FILTER(IF(ISNUMBER(279:279), COLUMN(279:279)), ISNUMBER(279:279)),
  _xlpm.elos, INDEX(278:278,1,_xlpm.colj),
  _xlpm.diffscale, Constantes!$B$2,
  IF(AJ279="",
    "",
    SUM(1/(1+POWER(10,-(AJ278-_xlpm.elos)/_xlpm.diffscale)))-0.5)
)</f>
        <v/>
      </c>
      <c r="AK280" t="str" cm="1">
        <f t="array" ref="AK280">_xlfn.LET(
  _xlpm.colj, _xlfn._xlws.FILTER(IF(ISNUMBER(279:279), COLUMN(279:279)), ISNUMBER(279:279)),
  _xlpm.elos, INDEX(278:278,1,_xlpm.colj),
  _xlpm.diffscale, Constantes!$B$2,
  IF(AK279="",
    "",
    SUM(1/(1+POWER(10,-(AK278-_xlpm.elos)/_xlpm.diffscale)))-0.5)
)</f>
        <v/>
      </c>
      <c r="AL280" t="str" cm="1">
        <f t="array" ref="AL280">_xlfn.LET(
  _xlpm.colj, _xlfn._xlws.FILTER(IF(ISNUMBER(279:279), COLUMN(279:279)), ISNUMBER(279:279)),
  _xlpm.elos, INDEX(278:278,1,_xlpm.colj),
  _xlpm.diffscale, Constantes!$B$2,
  IF(AL279="",
    "",
    SUM(1/(1+POWER(10,-(AL278-_xlpm.elos)/_xlpm.diffscale)))-0.5)
)</f>
        <v/>
      </c>
      <c r="AM280" t="str" cm="1">
        <f t="array" ref="AM280">_xlfn.LET(
  _xlpm.colj, _xlfn._xlws.FILTER(IF(ISNUMBER(279:279), COLUMN(279:279)), ISNUMBER(279:279)),
  _xlpm.elos, INDEX(278:278,1,_xlpm.colj),
  _xlpm.diffscale, Constantes!$B$2,
  IF(AM279="",
    "",
    SUM(1/(1+POWER(10,-(AM278-_xlpm.elos)/_xlpm.diffscale)))-0.5)
)</f>
        <v/>
      </c>
    </row>
    <row r="281" spans="1:39" x14ac:dyDescent="0.25">
      <c r="A281" t="s">
        <v>22</v>
      </c>
      <c r="D281" t="str" cm="1">
        <f t="array" ref="D281">_xlfn.LET(
  _xlpm.K, Constantes!$B$3,
  _xlpm.Knewgain, Constantes!$B$4,
  _xlpm.Knewscale, Constantes!$B$5,
  _xlpm.ptstables, INDEX(D:D, _xlfn.SEQUENCE(COUNTA($C$2:$C281), 1, 3, 4)),
  _xlpm.nbparties, COUNTA(_xlfn._xlws.FILTER(_xlpm.ptstables, _xlpm.ptstables &lt;&gt; "")),
  _xlpm.coef, _xlpm.K + _xlpm.Knewgain / (_xlpm.Knewscale + _xlpm.nbparties),
  IF(D279="",
    "",
    _xlpm.coef * (D279-D280))
)</f>
        <v/>
      </c>
      <c r="E281" cm="1">
        <f t="array" ref="E281">_xlfn.LET(
  _xlpm.K, Constantes!$B$3,
  _xlpm.Knewgain, Constantes!$B$4,
  _xlpm.Knewscale, Constantes!$B$5,
  _xlpm.ptstables, INDEX(E:E, _xlfn.SEQUENCE(COUNTA($C$2:$C281), 1, 3, 4)),
  _xlpm.nbparties, COUNTA(_xlfn._xlws.FILTER(_xlpm.ptstables, _xlpm.ptstables &lt;&gt; "")),
  _xlpm.coef, _xlpm.K + _xlpm.Knewgain / (_xlpm.Knewscale + _xlpm.nbparties),
  IF(E279="",
    "",
    _xlpm.coef * (E279-E280))
)</f>
        <v>11.687347670398694</v>
      </c>
      <c r="F281" t="str" cm="1">
        <f t="array" ref="F281">_xlfn.LET(
  _xlpm.K, Constantes!$B$3,
  _xlpm.Knewgain, Constantes!$B$4,
  _xlpm.Knewscale, Constantes!$B$5,
  _xlpm.ptstables, INDEX(F:F, _xlfn.SEQUENCE(COUNTA($C$2:$C281), 1, 3, 4)),
  _xlpm.nbparties, COUNTA(_xlfn._xlws.FILTER(_xlpm.ptstables, _xlpm.ptstables &lt;&gt; "")),
  _xlpm.coef, _xlpm.K + _xlpm.Knewgain / (_xlpm.Knewscale + _xlpm.nbparties),
  IF(F279="",
    "",
    _xlpm.coef * (F279-F280))
)</f>
        <v/>
      </c>
      <c r="G281" t="str" cm="1">
        <f t="array" ref="G281">_xlfn.LET(
  _xlpm.K, Constantes!$B$3,
  _xlpm.Knewgain, Constantes!$B$4,
  _xlpm.Knewscale, Constantes!$B$5,
  _xlpm.ptstables, INDEX(G:G, _xlfn.SEQUENCE(COUNTA($C$2:$C281), 1, 3, 4)),
  _xlpm.nbparties, COUNTA(_xlfn._xlws.FILTER(_xlpm.ptstables, _xlpm.ptstables &lt;&gt; "")),
  _xlpm.coef, _xlpm.K + _xlpm.Knewgain / (_xlpm.Knewscale + _xlpm.nbparties),
  IF(G279="",
    "",
    _xlpm.coef * (G279-G280))
)</f>
        <v/>
      </c>
      <c r="H281" t="str" cm="1">
        <f t="array" ref="H281">_xlfn.LET(
  _xlpm.K, Constantes!$B$3,
  _xlpm.Knewgain, Constantes!$B$4,
  _xlpm.Knewscale, Constantes!$B$5,
  _xlpm.ptstables, INDEX(H:H, _xlfn.SEQUENCE(COUNTA($C$2:$C281), 1, 3, 4)),
  _xlpm.nbparties, COUNTA(_xlfn._xlws.FILTER(_xlpm.ptstables, _xlpm.ptstables &lt;&gt; "")),
  _xlpm.coef, _xlpm.K + _xlpm.Knewgain / (_xlpm.Knewscale + _xlpm.nbparties),
  IF(H279="",
    "",
    _xlpm.coef * (H279-H280))
)</f>
        <v/>
      </c>
      <c r="I281" t="str" cm="1">
        <f t="array" ref="I281">_xlfn.LET(
  _xlpm.K, Constantes!$B$3,
  _xlpm.Knewgain, Constantes!$B$4,
  _xlpm.Knewscale, Constantes!$B$5,
  _xlpm.ptstables, INDEX(I:I, _xlfn.SEQUENCE(COUNTA($C$2:$C281), 1, 3, 4)),
  _xlpm.nbparties, COUNTA(_xlfn._xlws.FILTER(_xlpm.ptstables, _xlpm.ptstables &lt;&gt; "")),
  _xlpm.coef, _xlpm.K + _xlpm.Knewgain / (_xlpm.Knewscale + _xlpm.nbparties),
  IF(I279="",
    "",
    _xlpm.coef * (I279-I280))
)</f>
        <v/>
      </c>
      <c r="J281" t="str" cm="1">
        <f t="array" ref="J281">_xlfn.LET(
  _xlpm.K, Constantes!$B$3,
  _xlpm.Knewgain, Constantes!$B$4,
  _xlpm.Knewscale, Constantes!$B$5,
  _xlpm.ptstables, INDEX(J:J, _xlfn.SEQUENCE(COUNTA($C$2:$C281), 1, 3, 4)),
  _xlpm.nbparties, COUNTA(_xlfn._xlws.FILTER(_xlpm.ptstables, _xlpm.ptstables &lt;&gt; "")),
  _xlpm.coef, _xlpm.K + _xlpm.Knewgain / (_xlpm.Knewscale + _xlpm.nbparties),
  IF(J279="",
    "",
    _xlpm.coef * (J279-J280))
)</f>
        <v/>
      </c>
      <c r="K281" t="str" cm="1">
        <f t="array" ref="K281">_xlfn.LET(
  _xlpm.K, Constantes!$B$3,
  _xlpm.Knewgain, Constantes!$B$4,
  _xlpm.Knewscale, Constantes!$B$5,
  _xlpm.ptstables, INDEX(K:K, _xlfn.SEQUENCE(COUNTA($C$2:$C281), 1, 3, 4)),
  _xlpm.nbparties, COUNTA(_xlfn._xlws.FILTER(_xlpm.ptstables, _xlpm.ptstables &lt;&gt; "")),
  _xlpm.coef, _xlpm.K + _xlpm.Knewgain / (_xlpm.Knewscale + _xlpm.nbparties),
  IF(K279="",
    "",
    _xlpm.coef * (K279-K280))
)</f>
        <v/>
      </c>
      <c r="L281" t="str" cm="1">
        <f t="array" ref="L281">_xlfn.LET(
  _xlpm.K, Constantes!$B$3,
  _xlpm.Knewgain, Constantes!$B$4,
  _xlpm.Knewscale, Constantes!$B$5,
  _xlpm.ptstables, INDEX(L:L, _xlfn.SEQUENCE(COUNTA($C$2:$C281), 1, 3, 4)),
  _xlpm.nbparties, COUNTA(_xlfn._xlws.FILTER(_xlpm.ptstables, _xlpm.ptstables &lt;&gt; "")),
  _xlpm.coef, _xlpm.K + _xlpm.Knewgain / (_xlpm.Knewscale + _xlpm.nbparties),
  IF(L279="",
    "",
    _xlpm.coef * (L279-L280))
)</f>
        <v/>
      </c>
      <c r="M281" t="str" cm="1">
        <f t="array" ref="M281">_xlfn.LET(
  _xlpm.K, Constantes!$B$3,
  _xlpm.Knewgain, Constantes!$B$4,
  _xlpm.Knewscale, Constantes!$B$5,
  _xlpm.ptstables, INDEX(M:M, _xlfn.SEQUENCE(COUNTA($C$2:$C281), 1, 3, 4)),
  _xlpm.nbparties, COUNTA(_xlfn._xlws.FILTER(_xlpm.ptstables, _xlpm.ptstables &lt;&gt; "")),
  _xlpm.coef, _xlpm.K + _xlpm.Knewgain / (_xlpm.Knewscale + _xlpm.nbparties),
  IF(M279="",
    "",
    _xlpm.coef * (M279-M280))
)</f>
        <v/>
      </c>
      <c r="N281" t="str" cm="1">
        <f t="array" ref="N281">_xlfn.LET(
  _xlpm.K, Constantes!$B$3,
  _xlpm.Knewgain, Constantes!$B$4,
  _xlpm.Knewscale, Constantes!$B$5,
  _xlpm.ptstables, INDEX(N:N, _xlfn.SEQUENCE(COUNTA($C$2:$C281), 1, 3, 4)),
  _xlpm.nbparties, COUNTA(_xlfn._xlws.FILTER(_xlpm.ptstables, _xlpm.ptstables &lt;&gt; "")),
  _xlpm.coef, _xlpm.K + _xlpm.Knewgain / (_xlpm.Knewscale + _xlpm.nbparties),
  IF(N279="",
    "",
    _xlpm.coef * (N279-N280))
)</f>
        <v/>
      </c>
      <c r="O281" t="str" cm="1">
        <f t="array" ref="O281">_xlfn.LET(
  _xlpm.K, Constantes!$B$3,
  _xlpm.Knewgain, Constantes!$B$4,
  _xlpm.Knewscale, Constantes!$B$5,
  _xlpm.ptstables, INDEX(O:O, _xlfn.SEQUENCE(COUNTA($C$2:$C281), 1, 3, 4)),
  _xlpm.nbparties, COUNTA(_xlfn._xlws.FILTER(_xlpm.ptstables, _xlpm.ptstables &lt;&gt; "")),
  _xlpm.coef, _xlpm.K + _xlpm.Knewgain / (_xlpm.Knewscale + _xlpm.nbparties),
  IF(O279="",
    "",
    _xlpm.coef * (O279-O280))
)</f>
        <v/>
      </c>
      <c r="P281" t="str" cm="1">
        <f t="array" ref="P281">_xlfn.LET(
  _xlpm.K, Constantes!$B$3,
  _xlpm.Knewgain, Constantes!$B$4,
  _xlpm.Knewscale, Constantes!$B$5,
  _xlpm.ptstables, INDEX(P:P, _xlfn.SEQUENCE(COUNTA($C$2:$C281), 1, 3, 4)),
  _xlpm.nbparties, COUNTA(_xlfn._xlws.FILTER(_xlpm.ptstables, _xlpm.ptstables &lt;&gt; "")),
  _xlpm.coef, _xlpm.K + _xlpm.Knewgain / (_xlpm.Knewscale + _xlpm.nbparties),
  IF(P279="",
    "",
    _xlpm.coef * (P279-P280))
)</f>
        <v/>
      </c>
      <c r="Q281" cm="1">
        <f t="array" ref="Q281">_xlfn.LET(
  _xlpm.K, Constantes!$B$3,
  _xlpm.Knewgain, Constantes!$B$4,
  _xlpm.Knewscale, Constantes!$B$5,
  _xlpm.ptstables, INDEX(Q:Q, _xlfn.SEQUENCE(COUNTA($C$2:$C281), 1, 3, 4)),
  _xlpm.nbparties, COUNTA(_xlfn._xlws.FILTER(_xlpm.ptstables, _xlpm.ptstables &lt;&gt; "")),
  _xlpm.coef, _xlpm.K + _xlpm.Knewgain / (_xlpm.Knewscale + _xlpm.nbparties),
  IF(Q279="",
    "",
    _xlpm.coef * (Q279-Q280))
)</f>
        <v>-39.859803733077563</v>
      </c>
      <c r="R281" t="str" cm="1">
        <f t="array" ref="R281">_xlfn.LET(
  _xlpm.K, Constantes!$B$3,
  _xlpm.Knewgain, Constantes!$B$4,
  _xlpm.Knewscale, Constantes!$B$5,
  _xlpm.ptstables, INDEX(R:R, _xlfn.SEQUENCE(COUNTA($C$2:$C281), 1, 3, 4)),
  _xlpm.nbparties, COUNTA(_xlfn._xlws.FILTER(_xlpm.ptstables, _xlpm.ptstables &lt;&gt; "")),
  _xlpm.coef, _xlpm.K + _xlpm.Knewgain / (_xlpm.Knewscale + _xlpm.nbparties),
  IF(R279="",
    "",
    _xlpm.coef * (R279-R280))
)</f>
        <v/>
      </c>
      <c r="S281" t="str" cm="1">
        <f t="array" ref="S281">_xlfn.LET(
  _xlpm.K, Constantes!$B$3,
  _xlpm.Knewgain, Constantes!$B$4,
  _xlpm.Knewscale, Constantes!$B$5,
  _xlpm.ptstables, INDEX(S:S, _xlfn.SEQUENCE(COUNTA($C$2:$C281), 1, 3, 4)),
  _xlpm.nbparties, COUNTA(_xlfn._xlws.FILTER(_xlpm.ptstables, _xlpm.ptstables &lt;&gt; "")),
  _xlpm.coef, _xlpm.K + _xlpm.Knewgain / (_xlpm.Knewscale + _xlpm.nbparties),
  IF(S279="",
    "",
    _xlpm.coef * (S279-S280))
)</f>
        <v/>
      </c>
      <c r="T281" t="str" cm="1">
        <f t="array" ref="T281">_xlfn.LET(
  _xlpm.K, Constantes!$B$3,
  _xlpm.Knewgain, Constantes!$B$4,
  _xlpm.Knewscale, Constantes!$B$5,
  _xlpm.ptstables, INDEX(T:T, _xlfn.SEQUENCE(COUNTA($C$2:$C281), 1, 3, 4)),
  _xlpm.nbparties, COUNTA(_xlfn._xlws.FILTER(_xlpm.ptstables, _xlpm.ptstables &lt;&gt; "")),
  _xlpm.coef, _xlpm.K + _xlpm.Knewgain / (_xlpm.Knewscale + _xlpm.nbparties),
  IF(T279="",
    "",
    _xlpm.coef * (T279-T280))
)</f>
        <v/>
      </c>
      <c r="U281" cm="1">
        <f t="array" ref="U281">_xlfn.LET(
  _xlpm.K, Constantes!$B$3,
  _xlpm.Knewgain, Constantes!$B$4,
  _xlpm.Knewscale, Constantes!$B$5,
  _xlpm.ptstables, INDEX(U:U, _xlfn.SEQUENCE(COUNTA($C$2:$C281), 1, 3, 4)),
  _xlpm.nbparties, COUNTA(_xlfn._xlws.FILTER(_xlpm.ptstables, _xlpm.ptstables &lt;&gt; "")),
  _xlpm.coef, _xlpm.K + _xlpm.Knewgain / (_xlpm.Knewscale + _xlpm.nbparties),
  IF(U279="",
    "",
    _xlpm.coef * (U279-U280))
)</f>
        <v>22.480847873594008</v>
      </c>
      <c r="V281" t="str" cm="1">
        <f t="array" ref="V281">_xlfn.LET(
  _xlpm.K, Constantes!$B$3,
  _xlpm.Knewgain, Constantes!$B$4,
  _xlpm.Knewscale, Constantes!$B$5,
  _xlpm.ptstables, INDEX(V:V, _xlfn.SEQUENCE(COUNTA($C$2:$C281), 1, 3, 4)),
  _xlpm.nbparties, COUNTA(_xlfn._xlws.FILTER(_xlpm.ptstables, _xlpm.ptstables &lt;&gt; "")),
  _xlpm.coef, _xlpm.K + _xlpm.Knewgain / (_xlpm.Knewscale + _xlpm.nbparties),
  IF(V279="",
    "",
    _xlpm.coef * (V279-V280))
)</f>
        <v/>
      </c>
      <c r="W281" t="str" cm="1">
        <f t="array" ref="W281">_xlfn.LET(
  _xlpm.K, Constantes!$B$3,
  _xlpm.Knewgain, Constantes!$B$4,
  _xlpm.Knewscale, Constantes!$B$5,
  _xlpm.ptstables, INDEX(W:W, _xlfn.SEQUENCE(COUNTA($C$2:$C281), 1, 3, 4)),
  _xlpm.nbparties, COUNTA(_xlfn._xlws.FILTER(_xlpm.ptstables, _xlpm.ptstables &lt;&gt; "")),
  _xlpm.coef, _xlpm.K + _xlpm.Knewgain / (_xlpm.Knewscale + _xlpm.nbparties),
  IF(W279="",
    "",
    _xlpm.coef * (W279-W280))
)</f>
        <v/>
      </c>
      <c r="X281" t="str" cm="1">
        <f t="array" ref="X281">_xlfn.LET(
  _xlpm.K, Constantes!$B$3,
  _xlpm.Knewgain, Constantes!$B$4,
  _xlpm.Knewscale, Constantes!$B$5,
  _xlpm.ptstables, INDEX(X:X, _xlfn.SEQUENCE(COUNTA($C$2:$C281), 1, 3, 4)),
  _xlpm.nbparties, COUNTA(_xlfn._xlws.FILTER(_xlpm.ptstables, _xlpm.ptstables &lt;&gt; "")),
  _xlpm.coef, _xlpm.K + _xlpm.Knewgain / (_xlpm.Knewscale + _xlpm.nbparties),
  IF(X279="",
    "",
    _xlpm.coef * (X279-X280))
)</f>
        <v/>
      </c>
      <c r="Y281" t="str" cm="1">
        <f t="array" ref="Y281">_xlfn.LET(
  _xlpm.K, Constantes!$B$3,
  _xlpm.Knewgain, Constantes!$B$4,
  _xlpm.Knewscale, Constantes!$B$5,
  _xlpm.ptstables, INDEX(Y:Y, _xlfn.SEQUENCE(COUNTA($C$2:$C281), 1, 3, 4)),
  _xlpm.nbparties, COUNTA(_xlfn._xlws.FILTER(_xlpm.ptstables, _xlpm.ptstables &lt;&gt; "")),
  _xlpm.coef, _xlpm.K + _xlpm.Knewgain / (_xlpm.Knewscale + _xlpm.nbparties),
  IF(Y279="",
    "",
    _xlpm.coef * (Y279-Y280))
)</f>
        <v/>
      </c>
      <c r="Z281" t="str" cm="1">
        <f t="array" ref="Z281">_xlfn.LET(
  _xlpm.K, Constantes!$B$3,
  _xlpm.Knewgain, Constantes!$B$4,
  _xlpm.Knewscale, Constantes!$B$5,
  _xlpm.ptstables, INDEX(Z:Z, _xlfn.SEQUENCE(COUNTA($C$2:$C281), 1, 3, 4)),
  _xlpm.nbparties, COUNTA(_xlfn._xlws.FILTER(_xlpm.ptstables, _xlpm.ptstables &lt;&gt; "")),
  _xlpm.coef, _xlpm.K + _xlpm.Knewgain / (_xlpm.Knewscale + _xlpm.nbparties),
  IF(Z279="",
    "",
    _xlpm.coef * (Z279-Z280))
)</f>
        <v/>
      </c>
      <c r="AA281" t="str" cm="1">
        <f t="array" ref="AA281">_xlfn.LET(
  _xlpm.K, Constantes!$B$3,
  _xlpm.Knewgain, Constantes!$B$4,
  _xlpm.Knewscale, Constantes!$B$5,
  _xlpm.ptstables, INDEX(AA:AA, _xlfn.SEQUENCE(COUNTA($C$2:$C281), 1, 3, 4)),
  _xlpm.nbparties, COUNTA(_xlfn._xlws.FILTER(_xlpm.ptstables, _xlpm.ptstables &lt;&gt; "")),
  _xlpm.coef, _xlpm.K + _xlpm.Knewgain / (_xlpm.Knewscale + _xlpm.nbparties),
  IF(AA279="",
    "",
    _xlpm.coef * (AA279-AA280))
)</f>
        <v/>
      </c>
      <c r="AB281" t="str" cm="1">
        <f t="array" ref="AB281">_xlfn.LET(
  _xlpm.K, Constantes!$B$3,
  _xlpm.Knewgain, Constantes!$B$4,
  _xlpm.Knewscale, Constantes!$B$5,
  _xlpm.ptstables, INDEX(AB:AB, _xlfn.SEQUENCE(COUNTA($C$2:$C281), 1, 3, 4)),
  _xlpm.nbparties, COUNTA(_xlfn._xlws.FILTER(_xlpm.ptstables, _xlpm.ptstables &lt;&gt; "")),
  _xlpm.coef, _xlpm.K + _xlpm.Knewgain / (_xlpm.Knewscale + _xlpm.nbparties),
  IF(AB279="",
    "",
    _xlpm.coef * (AB279-AB280))
)</f>
        <v/>
      </c>
      <c r="AC281" t="str" cm="1">
        <f t="array" ref="AC281">_xlfn.LET(
  _xlpm.K, Constantes!$B$3,
  _xlpm.Knewgain, Constantes!$B$4,
  _xlpm.Knewscale, Constantes!$B$5,
  _xlpm.ptstables, INDEX(AC:AC, _xlfn.SEQUENCE(COUNTA($C$2:$C281), 1, 3, 4)),
  _xlpm.nbparties, COUNTA(_xlfn._xlws.FILTER(_xlpm.ptstables, _xlpm.ptstables &lt;&gt; "")),
  _xlpm.coef, _xlpm.K + _xlpm.Knewgain / (_xlpm.Knewscale + _xlpm.nbparties),
  IF(AC279="",
    "",
    _xlpm.coef * (AC279-AC280))
)</f>
        <v/>
      </c>
      <c r="AD281" t="str" cm="1">
        <f t="array" ref="AD281">_xlfn.LET(
  _xlpm.K, Constantes!$B$3,
  _xlpm.Knewgain, Constantes!$B$4,
  _xlpm.Knewscale, Constantes!$B$5,
  _xlpm.ptstables, INDEX(AD:AD, _xlfn.SEQUENCE(COUNTA($C$2:$C281), 1, 3, 4)),
  _xlpm.nbparties, COUNTA(_xlfn._xlws.FILTER(_xlpm.ptstables, _xlpm.ptstables &lt;&gt; "")),
  _xlpm.coef, _xlpm.K + _xlpm.Knewgain / (_xlpm.Knewscale + _xlpm.nbparties),
  IF(AD279="",
    "",
    _xlpm.coef * (AD279-AD280))
)</f>
        <v/>
      </c>
      <c r="AE281" t="str" cm="1">
        <f t="array" ref="AE281">_xlfn.LET(
  _xlpm.K, Constantes!$B$3,
  _xlpm.Knewgain, Constantes!$B$4,
  _xlpm.Knewscale, Constantes!$B$5,
  _xlpm.ptstables, INDEX(AE:AE, _xlfn.SEQUENCE(COUNTA($C$2:$C281), 1, 3, 4)),
  _xlpm.nbparties, COUNTA(_xlfn._xlws.FILTER(_xlpm.ptstables, _xlpm.ptstables &lt;&gt; "")),
  _xlpm.coef, _xlpm.K + _xlpm.Knewgain / (_xlpm.Knewscale + _xlpm.nbparties),
  IF(AE279="",
    "",
    _xlpm.coef * (AE279-AE280))
)</f>
        <v/>
      </c>
      <c r="AF281" t="str" cm="1">
        <f t="array" ref="AF281">_xlfn.LET(
  _xlpm.K, Constantes!$B$3,
  _xlpm.Knewgain, Constantes!$B$4,
  _xlpm.Knewscale, Constantes!$B$5,
  _xlpm.ptstables, INDEX(AF:AF, _xlfn.SEQUENCE(COUNTA($C$2:$C281), 1, 3, 4)),
  _xlpm.nbparties, COUNTA(_xlfn._xlws.FILTER(_xlpm.ptstables, _xlpm.ptstables &lt;&gt; "")),
  _xlpm.coef, _xlpm.K + _xlpm.Knewgain / (_xlpm.Knewscale + _xlpm.nbparties),
  IF(AF279="",
    "",
    _xlpm.coef * (AF279-AF280))
)</f>
        <v/>
      </c>
      <c r="AG281" t="str" cm="1">
        <f t="array" ref="AG281">_xlfn.LET(
  _xlpm.K, Constantes!$B$3,
  _xlpm.Knewgain, Constantes!$B$4,
  _xlpm.Knewscale, Constantes!$B$5,
  _xlpm.ptstables, INDEX(AG:AG, _xlfn.SEQUENCE(COUNTA($C$2:$C281), 1, 3, 4)),
  _xlpm.nbparties, COUNTA(_xlfn._xlws.FILTER(_xlpm.ptstables, _xlpm.ptstables &lt;&gt; "")),
  _xlpm.coef, _xlpm.K + _xlpm.Knewgain / (_xlpm.Knewscale + _xlpm.nbparties),
  IF(AG279="",
    "",
    _xlpm.coef * (AG279-AG280))
)</f>
        <v/>
      </c>
      <c r="AH281" t="str" cm="1">
        <f t="array" ref="AH281">_xlfn.LET(
  _xlpm.K, Constantes!$B$3,
  _xlpm.Knewgain, Constantes!$B$4,
  _xlpm.Knewscale, Constantes!$B$5,
  _xlpm.ptstables, INDEX(AH:AH, _xlfn.SEQUENCE(COUNTA($C$2:$C281), 1, 3, 4)),
  _xlpm.nbparties, COUNTA(_xlfn._xlws.FILTER(_xlpm.ptstables, _xlpm.ptstables &lt;&gt; "")),
  _xlpm.coef, _xlpm.K + _xlpm.Knewgain / (_xlpm.Knewscale + _xlpm.nbparties),
  IF(AH279="",
    "",
    _xlpm.coef * (AH279-AH280))
)</f>
        <v/>
      </c>
      <c r="AI281" cm="1">
        <f t="array" ref="AI281">_xlfn.LET(
  _xlpm.K, Constantes!$B$3,
  _xlpm.Knewgain, Constantes!$B$4,
  _xlpm.Knewscale, Constantes!$B$5,
  _xlpm.ptstables, INDEX(AI:AI, _xlfn.SEQUENCE(COUNTA($C$2:$C281), 1, 3, 4)),
  _xlpm.nbparties, COUNTA(_xlfn._xlws.FILTER(_xlpm.ptstables, _xlpm.ptstables &lt;&gt; "")),
  _xlpm.coef, _xlpm.K + _xlpm.Knewgain / (_xlpm.Knewscale + _xlpm.nbparties),
  IF(AI279="",
    "",
    _xlpm.coef * (AI279-AI280))
)</f>
        <v>7.2386095744260581</v>
      </c>
      <c r="AJ281" t="str" cm="1">
        <f t="array" ref="AJ281">_xlfn.LET(
  _xlpm.K, Constantes!$B$3,
  _xlpm.Knewgain, Constantes!$B$4,
  _xlpm.Knewscale, Constantes!$B$5,
  _xlpm.ptstables, INDEX(AJ:AJ, _xlfn.SEQUENCE(COUNTA($C$2:$C281), 1, 3, 4)),
  _xlpm.nbparties, COUNTA(_xlfn._xlws.FILTER(_xlpm.ptstables, _xlpm.ptstables &lt;&gt; "")),
  _xlpm.coef, _xlpm.K + _xlpm.Knewgain / (_xlpm.Knewscale + _xlpm.nbparties),
  IF(AJ279="",
    "",
    _xlpm.coef * (AJ279-AJ280))
)</f>
        <v/>
      </c>
      <c r="AK281" t="str" cm="1">
        <f t="array" ref="AK281">_xlfn.LET(
  _xlpm.K, Constantes!$B$3,
  _xlpm.Knewgain, Constantes!$B$4,
  _xlpm.Knewscale, Constantes!$B$5,
  _xlpm.ptstables, INDEX(AK:AK, _xlfn.SEQUENCE(COUNTA($C$2:$C281), 1, 3, 4)),
  _xlpm.nbparties, COUNTA(_xlfn._xlws.FILTER(_xlpm.ptstables, _xlpm.ptstables &lt;&gt; "")),
  _xlpm.coef, _xlpm.K + _xlpm.Knewgain / (_xlpm.Knewscale + _xlpm.nbparties),
  IF(AK279="",
    "",
    _xlpm.coef * (AK279-AK280))
)</f>
        <v/>
      </c>
      <c r="AL281" t="str" cm="1">
        <f t="array" ref="AL281">_xlfn.LET(
  _xlpm.K, Constantes!$B$3,
  _xlpm.Knewgain, Constantes!$B$4,
  _xlpm.Knewscale, Constantes!$B$5,
  _xlpm.ptstables, INDEX(AL:AL, _xlfn.SEQUENCE(COUNTA($C$2:$C281), 1, 3, 4)),
  _xlpm.nbparties, COUNTA(_xlfn._xlws.FILTER(_xlpm.ptstables, _xlpm.ptstables &lt;&gt; "")),
  _xlpm.coef, _xlpm.K + _xlpm.Knewgain / (_xlpm.Knewscale + _xlpm.nbparties),
  IF(AL279="",
    "",
    _xlpm.coef * (AL279-AL280))
)</f>
        <v/>
      </c>
      <c r="AM281" t="str" cm="1">
        <f t="array" ref="AM281">_xlfn.LET(
  _xlpm.K, Constantes!$B$3,
  _xlpm.Knewgain, Constantes!$B$4,
  _xlpm.Knewscale, Constantes!$B$5,
  _xlpm.ptstables, INDEX(AM:AM, _xlfn.SEQUENCE(COUNTA($C$2:$C281), 1, 3, 4)),
  _xlpm.nbparties, COUNTA(_xlfn._xlws.FILTER(_xlpm.ptstables, _xlpm.ptstables &lt;&gt; "")),
  _xlpm.coef, _xlpm.K + _xlpm.Knewgain / (_xlpm.Knewscale + _xlpm.nbparties),
  IF(AM279="",
    "",
    _xlpm.coef * (AM279-AM280))
)</f>
        <v/>
      </c>
    </row>
    <row r="282" spans="1:39" x14ac:dyDescent="0.25">
      <c r="A282" t="s">
        <v>14</v>
      </c>
      <c r="B282" t="str" cm="1">
        <f t="array" ref="B28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69</v>
      </c>
      <c r="C282" s="2" cm="1">
        <f t="array" ref="C282">IF(B282="","",
  INDEX(Donnees!F:F, MATCH(B282, Donnees!F:F, 0)+1))</f>
        <v>45946.619212962964</v>
      </c>
      <c r="D282">
        <f t="shared" ref="D282:AM282" si="78">D278+IF(D281="",0,D281)</f>
        <v>1033.1893307292305</v>
      </c>
      <c r="E282">
        <f t="shared" si="78"/>
        <v>1079.9237811780756</v>
      </c>
      <c r="F282">
        <f t="shared" si="78"/>
        <v>847.48442671390455</v>
      </c>
      <c r="G282">
        <f t="shared" si="78"/>
        <v>1118.8779378975084</v>
      </c>
      <c r="H282">
        <f t="shared" si="78"/>
        <v>1083.5445464565155</v>
      </c>
      <c r="I282">
        <f t="shared" si="78"/>
        <v>929.90115121897634</v>
      </c>
      <c r="J282">
        <f t="shared" si="78"/>
        <v>1010.9125108504293</v>
      </c>
      <c r="K282">
        <f t="shared" si="78"/>
        <v>993.90254614824482</v>
      </c>
      <c r="L282">
        <f t="shared" si="78"/>
        <v>766.95119884458973</v>
      </c>
      <c r="M282">
        <f t="shared" si="78"/>
        <v>913.41986361738122</v>
      </c>
      <c r="N282">
        <f t="shared" si="78"/>
        <v>893.28591153844093</v>
      </c>
      <c r="O282">
        <f t="shared" si="78"/>
        <v>998.21178722110983</v>
      </c>
      <c r="P282">
        <f t="shared" si="78"/>
        <v>1044.694691960626</v>
      </c>
      <c r="Q282">
        <f t="shared" si="78"/>
        <v>1081.8221353614592</v>
      </c>
      <c r="R282">
        <f t="shared" si="78"/>
        <v>1080.8653023562695</v>
      </c>
      <c r="S282">
        <f t="shared" si="78"/>
        <v>987.64110681918737</v>
      </c>
      <c r="T282">
        <f t="shared" si="78"/>
        <v>1153.43058185823</v>
      </c>
      <c r="U282">
        <f t="shared" si="78"/>
        <v>1185.0959893708045</v>
      </c>
      <c r="V282">
        <f t="shared" si="78"/>
        <v>951.23563726152827</v>
      </c>
      <c r="W282">
        <f t="shared" si="78"/>
        <v>936.79085942937002</v>
      </c>
      <c r="X282">
        <f t="shared" si="78"/>
        <v>828.97598039785271</v>
      </c>
      <c r="Y282">
        <f t="shared" si="78"/>
        <v>903.14348714035714</v>
      </c>
      <c r="Z282">
        <f t="shared" si="78"/>
        <v>991.11904139672549</v>
      </c>
      <c r="AA282">
        <f t="shared" si="78"/>
        <v>966.24279289689184</v>
      </c>
      <c r="AB282">
        <f t="shared" si="78"/>
        <v>988.35669729544747</v>
      </c>
      <c r="AC282">
        <f t="shared" si="78"/>
        <v>1039.1635789679592</v>
      </c>
      <c r="AD282">
        <f t="shared" si="78"/>
        <v>1073.9096023401294</v>
      </c>
      <c r="AE282">
        <f t="shared" si="78"/>
        <v>963.23981965000235</v>
      </c>
      <c r="AF282">
        <f t="shared" si="78"/>
        <v>1089.5415391863121</v>
      </c>
      <c r="AG282">
        <f t="shared" si="78"/>
        <v>958.23078604304851</v>
      </c>
      <c r="AH282">
        <f t="shared" si="78"/>
        <v>920.4412636682855</v>
      </c>
      <c r="AI282">
        <f t="shared" si="78"/>
        <v>934.46766968855718</v>
      </c>
      <c r="AJ282">
        <f t="shared" si="78"/>
        <v>957.2</v>
      </c>
      <c r="AK282">
        <f t="shared" si="78"/>
        <v>1000</v>
      </c>
      <c r="AL282">
        <f t="shared" si="78"/>
        <v>1055.9299999999998</v>
      </c>
      <c r="AM282">
        <f t="shared" si="78"/>
        <v>1000</v>
      </c>
    </row>
    <row r="283" spans="1:39" x14ac:dyDescent="0.25">
      <c r="A283" t="s">
        <v>21</v>
      </c>
      <c r="D283" t="str" cm="1">
        <f t="array" ref="D283">IFERROR(
  _xlfn.LET(
    _xlpm.ligpartie, MATCH($B282, Donnees!$F:$F, 0),
    _xlpm.joueurs, INDEX(Donnees!$A:$Z, _xlpm.ligpartie+1, _xlfn.SEQUENCE(1, 4, 2)),
    INDEX(
      Donnees!$A:$Z,
      _xlpm.ligpartie + 3,
      MATCH(D$1, _xlpm.joueurs, 0) + 1
    )
  ), ""
)</f>
        <v/>
      </c>
      <c r="E283" t="str" cm="1">
        <f t="array" ref="E283">IFERROR(
  _xlfn.LET(
    _xlpm.ligpartie, MATCH($B282, Donnees!$F:$F, 0),
    _xlpm.joueurs, INDEX(Donnees!$A:$Z, _xlpm.ligpartie+1, _xlfn.SEQUENCE(1, 4, 2)),
    INDEX(
      Donnees!$A:$Z,
      _xlpm.ligpartie + 3,
      MATCH(E$1, _xlpm.joueurs, 0) + 1
    )
  ), ""
)</f>
        <v/>
      </c>
      <c r="F283" t="str" cm="1">
        <f t="array" ref="F283">IFERROR(
  _xlfn.LET(
    _xlpm.ligpartie, MATCH($B282, Donnees!$F:$F, 0),
    _xlpm.joueurs, INDEX(Donnees!$A:$Z, _xlpm.ligpartie+1, _xlfn.SEQUENCE(1, 4, 2)),
    INDEX(
      Donnees!$A:$Z,
      _xlpm.ligpartie + 3,
      MATCH(F$1, _xlpm.joueurs, 0) + 1
    )
  ), ""
)</f>
        <v/>
      </c>
      <c r="G283" t="str" cm="1">
        <f t="array" ref="G283">IFERROR(
  _xlfn.LET(
    _xlpm.ligpartie, MATCH($B282, Donnees!$F:$F, 0),
    _xlpm.joueurs, INDEX(Donnees!$A:$Z, _xlpm.ligpartie+1, _xlfn.SEQUENCE(1, 4, 2)),
    INDEX(
      Donnees!$A:$Z,
      _xlpm.ligpartie + 3,
      MATCH(G$1, _xlpm.joueurs, 0) + 1
    )
  ), ""
)</f>
        <v/>
      </c>
      <c r="H283" cm="1">
        <f t="array" ref="H283">IFERROR(
  _xlfn.LET(
    _xlpm.ligpartie, MATCH($B282, Donnees!$F:$F, 0),
    _xlpm.joueurs, INDEX(Donnees!$A:$Z, _xlpm.ligpartie+1, _xlfn.SEQUENCE(1, 4, 2)),
    INDEX(
      Donnees!$A:$Z,
      _xlpm.ligpartie + 3,
      MATCH(H$1, _xlpm.joueurs, 0) + 1
    )
  ), ""
)</f>
        <v>3</v>
      </c>
      <c r="I283" t="str" cm="1">
        <f t="array" ref="I283">IFERROR(
  _xlfn.LET(
    _xlpm.ligpartie, MATCH($B282, Donnees!$F:$F, 0),
    _xlpm.joueurs, INDEX(Donnees!$A:$Z, _xlpm.ligpartie+1, _xlfn.SEQUENCE(1, 4, 2)),
    INDEX(
      Donnees!$A:$Z,
      _xlpm.ligpartie + 3,
      MATCH(I$1, _xlpm.joueurs, 0) + 1
    )
  ), ""
)</f>
        <v/>
      </c>
      <c r="J283" t="str" cm="1">
        <f t="array" ref="J283">IFERROR(
  _xlfn.LET(
    _xlpm.ligpartie, MATCH($B282, Donnees!$F:$F, 0),
    _xlpm.joueurs, INDEX(Donnees!$A:$Z, _xlpm.ligpartie+1, _xlfn.SEQUENCE(1, 4, 2)),
    INDEX(
      Donnees!$A:$Z,
      _xlpm.ligpartie + 3,
      MATCH(J$1, _xlpm.joueurs, 0) + 1
    )
  ), ""
)</f>
        <v/>
      </c>
      <c r="K283" t="str" cm="1">
        <f t="array" ref="K283">IFERROR(
  _xlfn.LET(
    _xlpm.ligpartie, MATCH($B282, Donnees!$F:$F, 0),
    _xlpm.joueurs, INDEX(Donnees!$A:$Z, _xlpm.ligpartie+1, _xlfn.SEQUENCE(1, 4, 2)),
    INDEX(
      Donnees!$A:$Z,
      _xlpm.ligpartie + 3,
      MATCH(K$1, _xlpm.joueurs, 0) + 1
    )
  ), ""
)</f>
        <v/>
      </c>
      <c r="L283" t="str" cm="1">
        <f t="array" ref="L283">IFERROR(
  _xlfn.LET(
    _xlpm.ligpartie, MATCH($B282, Donnees!$F:$F, 0),
    _xlpm.joueurs, INDEX(Donnees!$A:$Z, _xlpm.ligpartie+1, _xlfn.SEQUENCE(1, 4, 2)),
    INDEX(
      Donnees!$A:$Z,
      _xlpm.ligpartie + 3,
      MATCH(L$1, _xlpm.joueurs, 0) + 1
    )
  ), ""
)</f>
        <v/>
      </c>
      <c r="M283" t="str" cm="1">
        <f t="array" ref="M283">IFERROR(
  _xlfn.LET(
    _xlpm.ligpartie, MATCH($B282, Donnees!$F:$F, 0),
    _xlpm.joueurs, INDEX(Donnees!$A:$Z, _xlpm.ligpartie+1, _xlfn.SEQUENCE(1, 4, 2)),
    INDEX(
      Donnees!$A:$Z,
      _xlpm.ligpartie + 3,
      MATCH(M$1, _xlpm.joueurs, 0) + 1
    )
  ), ""
)</f>
        <v/>
      </c>
      <c r="N283" t="str" cm="1">
        <f t="array" ref="N283">IFERROR(
  _xlfn.LET(
    _xlpm.ligpartie, MATCH($B282, Donnees!$F:$F, 0),
    _xlpm.joueurs, INDEX(Donnees!$A:$Z, _xlpm.ligpartie+1, _xlfn.SEQUENCE(1, 4, 2)),
    INDEX(
      Donnees!$A:$Z,
      _xlpm.ligpartie + 3,
      MATCH(N$1, _xlpm.joueurs, 0) + 1
    )
  ), ""
)</f>
        <v/>
      </c>
      <c r="O283" t="str" cm="1">
        <f t="array" ref="O283">IFERROR(
  _xlfn.LET(
    _xlpm.ligpartie, MATCH($B282, Donnees!$F:$F, 0),
    _xlpm.joueurs, INDEX(Donnees!$A:$Z, _xlpm.ligpartie+1, _xlfn.SEQUENCE(1, 4, 2)),
    INDEX(
      Donnees!$A:$Z,
      _xlpm.ligpartie + 3,
      MATCH(O$1, _xlpm.joueurs, 0) + 1
    )
  ), ""
)</f>
        <v/>
      </c>
      <c r="P283" t="str" cm="1">
        <f t="array" ref="P283">IFERROR(
  _xlfn.LET(
    _xlpm.ligpartie, MATCH($B282, Donnees!$F:$F, 0),
    _xlpm.joueurs, INDEX(Donnees!$A:$Z, _xlpm.ligpartie+1, _xlfn.SEQUENCE(1, 4, 2)),
    INDEX(
      Donnees!$A:$Z,
      _xlpm.ligpartie + 3,
      MATCH(P$1, _xlpm.joueurs, 0) + 1
    )
  ), ""
)</f>
        <v/>
      </c>
      <c r="Q283" cm="1">
        <f t="array" ref="Q283">IFERROR(
  _xlfn.LET(
    _xlpm.ligpartie, MATCH($B282, Donnees!$F:$F, 0),
    _xlpm.joueurs, INDEX(Donnees!$A:$Z, _xlpm.ligpartie+1, _xlfn.SEQUENCE(1, 4, 2)),
    INDEX(
      Donnees!$A:$Z,
      _xlpm.ligpartie + 3,
      MATCH(Q$1, _xlpm.joueurs, 0) + 1
    )
  ), ""
)</f>
        <v>1</v>
      </c>
      <c r="R283" t="str" cm="1">
        <f t="array" ref="R283">IFERROR(
  _xlfn.LET(
    _xlpm.ligpartie, MATCH($B282, Donnees!$F:$F, 0),
    _xlpm.joueurs, INDEX(Donnees!$A:$Z, _xlpm.ligpartie+1, _xlfn.SEQUENCE(1, 4, 2)),
    INDEX(
      Donnees!$A:$Z,
      _xlpm.ligpartie + 3,
      MATCH(R$1, _xlpm.joueurs, 0) + 1
    )
  ), ""
)</f>
        <v/>
      </c>
      <c r="S283" t="str" cm="1">
        <f t="array" ref="S283">IFERROR(
  _xlfn.LET(
    _xlpm.ligpartie, MATCH($B282, Donnees!$F:$F, 0),
    _xlpm.joueurs, INDEX(Donnees!$A:$Z, _xlpm.ligpartie+1, _xlfn.SEQUENCE(1, 4, 2)),
    INDEX(
      Donnees!$A:$Z,
      _xlpm.ligpartie + 3,
      MATCH(S$1, _xlpm.joueurs, 0) + 1
    )
  ), ""
)</f>
        <v/>
      </c>
      <c r="T283" t="str" cm="1">
        <f t="array" ref="T283">IFERROR(
  _xlfn.LET(
    _xlpm.ligpartie, MATCH($B282, Donnees!$F:$F, 0),
    _xlpm.joueurs, INDEX(Donnees!$A:$Z, _xlpm.ligpartie+1, _xlfn.SEQUENCE(1, 4, 2)),
    INDEX(
      Donnees!$A:$Z,
      _xlpm.ligpartie + 3,
      MATCH(T$1, _xlpm.joueurs, 0) + 1
    )
  ), ""
)</f>
        <v/>
      </c>
      <c r="U283" t="str" cm="1">
        <f t="array" ref="U283">IFERROR(
  _xlfn.LET(
    _xlpm.ligpartie, MATCH($B282, Donnees!$F:$F, 0),
    _xlpm.joueurs, INDEX(Donnees!$A:$Z, _xlpm.ligpartie+1, _xlfn.SEQUENCE(1, 4, 2)),
    INDEX(
      Donnees!$A:$Z,
      _xlpm.ligpartie + 3,
      MATCH(U$1, _xlpm.joueurs, 0) + 1
    )
  ), ""
)</f>
        <v/>
      </c>
      <c r="V283" t="str" cm="1">
        <f t="array" ref="V283">IFERROR(
  _xlfn.LET(
    _xlpm.ligpartie, MATCH($B282, Donnees!$F:$F, 0),
    _xlpm.joueurs, INDEX(Donnees!$A:$Z, _xlpm.ligpartie+1, _xlfn.SEQUENCE(1, 4, 2)),
    INDEX(
      Donnees!$A:$Z,
      _xlpm.ligpartie + 3,
      MATCH(V$1, _xlpm.joueurs, 0) + 1
    )
  ), ""
)</f>
        <v/>
      </c>
      <c r="W283" t="str" cm="1">
        <f t="array" ref="W283">IFERROR(
  _xlfn.LET(
    _xlpm.ligpartie, MATCH($B282, Donnees!$F:$F, 0),
    _xlpm.joueurs, INDEX(Donnees!$A:$Z, _xlpm.ligpartie+1, _xlfn.SEQUENCE(1, 4, 2)),
    INDEX(
      Donnees!$A:$Z,
      _xlpm.ligpartie + 3,
      MATCH(W$1, _xlpm.joueurs, 0) + 1
    )
  ), ""
)</f>
        <v/>
      </c>
      <c r="X283" t="str" cm="1">
        <f t="array" ref="X283">IFERROR(
  _xlfn.LET(
    _xlpm.ligpartie, MATCH($B282, Donnees!$F:$F, 0),
    _xlpm.joueurs, INDEX(Donnees!$A:$Z, _xlpm.ligpartie+1, _xlfn.SEQUENCE(1, 4, 2)),
    INDEX(
      Donnees!$A:$Z,
      _xlpm.ligpartie + 3,
      MATCH(X$1, _xlpm.joueurs, 0) + 1
    )
  ), ""
)</f>
        <v/>
      </c>
      <c r="Y283" t="str" cm="1">
        <f t="array" ref="Y283">IFERROR(
  _xlfn.LET(
    _xlpm.ligpartie, MATCH($B282, Donnees!$F:$F, 0),
    _xlpm.joueurs, INDEX(Donnees!$A:$Z, _xlpm.ligpartie+1, _xlfn.SEQUENCE(1, 4, 2)),
    INDEX(
      Donnees!$A:$Z,
      _xlpm.ligpartie + 3,
      MATCH(Y$1, _xlpm.joueurs, 0) + 1
    )
  ), ""
)</f>
        <v/>
      </c>
      <c r="Z283" t="str" cm="1">
        <f t="array" ref="Z283">IFERROR(
  _xlfn.LET(
    _xlpm.ligpartie, MATCH($B282, Donnees!$F:$F, 0),
    _xlpm.joueurs, INDEX(Donnees!$A:$Z, _xlpm.ligpartie+1, _xlfn.SEQUENCE(1, 4, 2)),
    INDEX(
      Donnees!$A:$Z,
      _xlpm.ligpartie + 3,
      MATCH(Z$1, _xlpm.joueurs, 0) + 1
    )
  ), ""
)</f>
        <v/>
      </c>
      <c r="AA283" t="str" cm="1">
        <f t="array" ref="AA283">IFERROR(
  _xlfn.LET(
    _xlpm.ligpartie, MATCH($B282, Donnees!$F:$F, 0),
    _xlpm.joueurs, INDEX(Donnees!$A:$Z, _xlpm.ligpartie+1, _xlfn.SEQUENCE(1, 4, 2)),
    INDEX(
      Donnees!$A:$Z,
      _xlpm.ligpartie + 3,
      MATCH(AA$1, _xlpm.joueurs, 0) + 1
    )
  ), ""
)</f>
        <v/>
      </c>
      <c r="AB283" t="str" cm="1">
        <f t="array" ref="AB283">IFERROR(
  _xlfn.LET(
    _xlpm.ligpartie, MATCH($B282, Donnees!$F:$F, 0),
    _xlpm.joueurs, INDEX(Donnees!$A:$Z, _xlpm.ligpartie+1, _xlfn.SEQUENCE(1, 4, 2)),
    INDEX(
      Donnees!$A:$Z,
      _xlpm.ligpartie + 3,
      MATCH(AB$1, _xlpm.joueurs, 0) + 1
    )
  ), ""
)</f>
        <v/>
      </c>
      <c r="AC283" cm="1">
        <f t="array" ref="AC283">IFERROR(
  _xlfn.LET(
    _xlpm.ligpartie, MATCH($B282, Donnees!$F:$F, 0),
    _xlpm.joueurs, INDEX(Donnees!$A:$Z, _xlpm.ligpartie+1, _xlfn.SEQUENCE(1, 4, 2)),
    INDEX(
      Donnees!$A:$Z,
      _xlpm.ligpartie + 3,
      MATCH(AC$1, _xlpm.joueurs, 0) + 1
    )
  ), ""
)</f>
        <v>2</v>
      </c>
      <c r="AD283" t="str" cm="1">
        <f t="array" ref="AD283">IFERROR(
  _xlfn.LET(
    _xlpm.ligpartie, MATCH($B282, Donnees!$F:$F, 0),
    _xlpm.joueurs, INDEX(Donnees!$A:$Z, _xlpm.ligpartie+1, _xlfn.SEQUENCE(1, 4, 2)),
    INDEX(
      Donnees!$A:$Z,
      _xlpm.ligpartie + 3,
      MATCH(AD$1, _xlpm.joueurs, 0) + 1
    )
  ), ""
)</f>
        <v/>
      </c>
      <c r="AE283" t="str" cm="1">
        <f t="array" ref="AE283">IFERROR(
  _xlfn.LET(
    _xlpm.ligpartie, MATCH($B282, Donnees!$F:$F, 0),
    _xlpm.joueurs, INDEX(Donnees!$A:$Z, _xlpm.ligpartie+1, _xlfn.SEQUENCE(1, 4, 2)),
    INDEX(
      Donnees!$A:$Z,
      _xlpm.ligpartie + 3,
      MATCH(AE$1, _xlpm.joueurs, 0) + 1
    )
  ), ""
)</f>
        <v/>
      </c>
      <c r="AF283" t="str" cm="1">
        <f t="array" ref="AF283">IFERROR(
  _xlfn.LET(
    _xlpm.ligpartie, MATCH($B282, Donnees!$F:$F, 0),
    _xlpm.joueurs, INDEX(Donnees!$A:$Z, _xlpm.ligpartie+1, _xlfn.SEQUENCE(1, 4, 2)),
    INDEX(
      Donnees!$A:$Z,
      _xlpm.ligpartie + 3,
      MATCH(AF$1, _xlpm.joueurs, 0) + 1
    )
  ), ""
)</f>
        <v/>
      </c>
      <c r="AG283" t="str" cm="1">
        <f t="array" ref="AG283">IFERROR(
  _xlfn.LET(
    _xlpm.ligpartie, MATCH($B282, Donnees!$F:$F, 0),
    _xlpm.joueurs, INDEX(Donnees!$A:$Z, _xlpm.ligpartie+1, _xlfn.SEQUENCE(1, 4, 2)),
    INDEX(
      Donnees!$A:$Z,
      _xlpm.ligpartie + 3,
      MATCH(AG$1, _xlpm.joueurs, 0) + 1
    )
  ), ""
)</f>
        <v/>
      </c>
      <c r="AH283" t="str" cm="1">
        <f t="array" ref="AH283">IFERROR(
  _xlfn.LET(
    _xlpm.ligpartie, MATCH($B282, Donnees!$F:$F, 0),
    _xlpm.joueurs, INDEX(Donnees!$A:$Z, _xlpm.ligpartie+1, _xlfn.SEQUENCE(1, 4, 2)),
    INDEX(
      Donnees!$A:$Z,
      _xlpm.ligpartie + 3,
      MATCH(AH$1, _xlpm.joueurs, 0) + 1
    )
  ), ""
)</f>
        <v/>
      </c>
      <c r="AI283" cm="1">
        <f t="array" ref="AI283">IFERROR(
  _xlfn.LET(
    _xlpm.ligpartie, MATCH($B282, Donnees!$F:$F, 0),
    _xlpm.joueurs, INDEX(Donnees!$A:$Z, _xlpm.ligpartie+1, _xlfn.SEQUENCE(1, 4, 2)),
    INDEX(
      Donnees!$A:$Z,
      _xlpm.ligpartie + 3,
      MATCH(AI$1, _xlpm.joueurs, 0) + 1
    )
  ), ""
)</f>
        <v>0</v>
      </c>
      <c r="AJ283" t="str" cm="1">
        <f t="array" ref="AJ283">IFERROR(
  _xlfn.LET(
    _xlpm.ligpartie, MATCH($B282, Donnees!$F:$F, 0),
    _xlpm.joueurs, INDEX(Donnees!$A:$Z, _xlpm.ligpartie+1, _xlfn.SEQUENCE(1, 4, 2)),
    INDEX(
      Donnees!$A:$Z,
      _xlpm.ligpartie + 3,
      MATCH(AJ$1, _xlpm.joueurs, 0) + 1
    )
  ), ""
)</f>
        <v/>
      </c>
      <c r="AK283" t="str" cm="1">
        <f t="array" ref="AK283">IFERROR(
  _xlfn.LET(
    _xlpm.ligpartie, MATCH($B282, Donnees!$F:$F, 0),
    _xlpm.joueurs, INDEX(Donnees!$A:$Z, _xlpm.ligpartie+1, _xlfn.SEQUENCE(1, 4, 2)),
    INDEX(
      Donnees!$A:$Z,
      _xlpm.ligpartie + 3,
      MATCH(AK$1, _xlpm.joueurs, 0) + 1
    )
  ), ""
)</f>
        <v/>
      </c>
      <c r="AL283" t="str" cm="1">
        <f t="array" ref="AL283">IFERROR(
  _xlfn.LET(
    _xlpm.ligpartie, MATCH($B282, Donnees!$F:$F, 0),
    _xlpm.joueurs, INDEX(Donnees!$A:$Z, _xlpm.ligpartie+1, _xlfn.SEQUENCE(1, 4, 2)),
    INDEX(
      Donnees!$A:$Z,
      _xlpm.ligpartie + 3,
      MATCH(AL$1, _xlpm.joueurs, 0) + 1
    )
  ), ""
)</f>
        <v/>
      </c>
      <c r="AM283" t="str" cm="1">
        <f t="array" ref="AM283">IFERROR(
  _xlfn.LET(
    _xlpm.ligpartie, MATCH($B282, Donnees!$F:$F, 0),
    _xlpm.joueurs, INDEX(Donnees!$A:$Z, _xlpm.ligpartie+1, _xlfn.SEQUENCE(1, 4, 2)),
    INDEX(
      Donnees!$A:$Z,
      _xlpm.ligpartie + 3,
      MATCH(AM$1, _xlpm.joueurs, 0) + 1
    )
  ), ""
)</f>
        <v/>
      </c>
    </row>
    <row r="284" spans="1:39" x14ac:dyDescent="0.25">
      <c r="A284" t="s">
        <v>20</v>
      </c>
      <c r="D284" t="str" cm="1">
        <f t="array" ref="D284">_xlfn.LET(
  _xlpm.colj, _xlfn._xlws.FILTER(IF(ISNUMBER(283:283), COLUMN(283:283)), ISNUMBER(283:283)),
  _xlpm.elos, INDEX(282:282,1,_xlpm.colj),
  _xlpm.diffscale, Constantes!$B$2,
  IF(D283="",
    "",
    SUM(1/(1+POWER(10,-(D282-_xlpm.elos)/_xlpm.diffscale)))-0.5)
)</f>
        <v/>
      </c>
      <c r="E284" t="str" cm="1">
        <f t="array" ref="E284">_xlfn.LET(
  _xlpm.colj, _xlfn._xlws.FILTER(IF(ISNUMBER(283:283), COLUMN(283:283)), ISNUMBER(283:283)),
  _xlpm.elos, INDEX(282:282,1,_xlpm.colj),
  _xlpm.diffscale, Constantes!$B$2,
  IF(E283="",
    "",
    SUM(1/(1+POWER(10,-(E282-_xlpm.elos)/_xlpm.diffscale)))-0.5)
)</f>
        <v/>
      </c>
      <c r="F284" t="str" cm="1">
        <f t="array" ref="F284">_xlfn.LET(
  _xlpm.colj, _xlfn._xlws.FILTER(IF(ISNUMBER(283:283), COLUMN(283:283)), ISNUMBER(283:283)),
  _xlpm.elos, INDEX(282:282,1,_xlpm.colj),
  _xlpm.diffscale, Constantes!$B$2,
  IF(F283="",
    "",
    SUM(1/(1+POWER(10,-(F282-_xlpm.elos)/_xlpm.diffscale)))-0.5)
)</f>
        <v/>
      </c>
      <c r="G284" t="str" cm="1">
        <f t="array" ref="G284">_xlfn.LET(
  _xlpm.colj, _xlfn._xlws.FILTER(IF(ISNUMBER(283:283), COLUMN(283:283)), ISNUMBER(283:283)),
  _xlpm.elos, INDEX(282:282,1,_xlpm.colj),
  _xlpm.diffscale, Constantes!$B$2,
  IF(G283="",
    "",
    SUM(1/(1+POWER(10,-(G282-_xlpm.elos)/_xlpm.diffscale)))-0.5)
)</f>
        <v/>
      </c>
      <c r="H284" cm="1">
        <f t="array" ref="H284">_xlfn.LET(
  _xlpm.colj, _xlfn._xlws.FILTER(IF(ISNUMBER(283:283), COLUMN(283:283)), ISNUMBER(283:283)),
  _xlpm.elos, INDEX(282:282,1,_xlpm.colj),
  _xlpm.diffscale, Constantes!$B$2,
  IF(H283="",
    "",
    SUM(1/(1+POWER(10,-(H282-_xlpm.elos)/_xlpm.diffscale)))-0.5)
)</f>
        <v>1.7682780766536279</v>
      </c>
      <c r="I284" t="str" cm="1">
        <f t="array" ref="I284">_xlfn.LET(
  _xlpm.colj, _xlfn._xlws.FILTER(IF(ISNUMBER(283:283), COLUMN(283:283)), ISNUMBER(283:283)),
  _xlpm.elos, INDEX(282:282,1,_xlpm.colj),
  _xlpm.diffscale, Constantes!$B$2,
  IF(I283="",
    "",
    SUM(1/(1+POWER(10,-(I282-_xlpm.elos)/_xlpm.diffscale)))-0.5)
)</f>
        <v/>
      </c>
      <c r="J284" t="str" cm="1">
        <f t="array" ref="J284">_xlfn.LET(
  _xlpm.colj, _xlfn._xlws.FILTER(IF(ISNUMBER(283:283), COLUMN(283:283)), ISNUMBER(283:283)),
  _xlpm.elos, INDEX(282:282,1,_xlpm.colj),
  _xlpm.diffscale, Constantes!$B$2,
  IF(J283="",
    "",
    SUM(1/(1+POWER(10,-(J282-_xlpm.elos)/_xlpm.diffscale)))-0.5)
)</f>
        <v/>
      </c>
      <c r="K284" t="str" cm="1">
        <f t="array" ref="K284">_xlfn.LET(
  _xlpm.colj, _xlfn._xlws.FILTER(IF(ISNUMBER(283:283), COLUMN(283:283)), ISNUMBER(283:283)),
  _xlpm.elos, INDEX(282:282,1,_xlpm.colj),
  _xlpm.diffscale, Constantes!$B$2,
  IF(K283="",
    "",
    SUM(1/(1+POWER(10,-(K282-_xlpm.elos)/_xlpm.diffscale)))-0.5)
)</f>
        <v/>
      </c>
      <c r="L284" t="str" cm="1">
        <f t="array" ref="L284">_xlfn.LET(
  _xlpm.colj, _xlfn._xlws.FILTER(IF(ISNUMBER(283:283), COLUMN(283:283)), ISNUMBER(283:283)),
  _xlpm.elos, INDEX(282:282,1,_xlpm.colj),
  _xlpm.diffscale, Constantes!$B$2,
  IF(L283="",
    "",
    SUM(1/(1+POWER(10,-(L282-_xlpm.elos)/_xlpm.diffscale)))-0.5)
)</f>
        <v/>
      </c>
      <c r="M284" t="str" cm="1">
        <f t="array" ref="M284">_xlfn.LET(
  _xlpm.colj, _xlfn._xlws.FILTER(IF(ISNUMBER(283:283), COLUMN(283:283)), ISNUMBER(283:283)),
  _xlpm.elos, INDEX(282:282,1,_xlpm.colj),
  _xlpm.diffscale, Constantes!$B$2,
  IF(M283="",
    "",
    SUM(1/(1+POWER(10,-(M282-_xlpm.elos)/_xlpm.diffscale)))-0.5)
)</f>
        <v/>
      </c>
      <c r="N284" t="str" cm="1">
        <f t="array" ref="N284">_xlfn.LET(
  _xlpm.colj, _xlfn._xlws.FILTER(IF(ISNUMBER(283:283), COLUMN(283:283)), ISNUMBER(283:283)),
  _xlpm.elos, INDEX(282:282,1,_xlpm.colj),
  _xlpm.diffscale, Constantes!$B$2,
  IF(N283="",
    "",
    SUM(1/(1+POWER(10,-(N282-_xlpm.elos)/_xlpm.diffscale)))-0.5)
)</f>
        <v/>
      </c>
      <c r="O284" t="str" cm="1">
        <f t="array" ref="O284">_xlfn.LET(
  _xlpm.colj, _xlfn._xlws.FILTER(IF(ISNUMBER(283:283), COLUMN(283:283)), ISNUMBER(283:283)),
  _xlpm.elos, INDEX(282:282,1,_xlpm.colj),
  _xlpm.diffscale, Constantes!$B$2,
  IF(O283="",
    "",
    SUM(1/(1+POWER(10,-(O282-_xlpm.elos)/_xlpm.diffscale)))-0.5)
)</f>
        <v/>
      </c>
      <c r="P284" t="str" cm="1">
        <f t="array" ref="P284">_xlfn.LET(
  _xlpm.colj, _xlfn._xlws.FILTER(IF(ISNUMBER(283:283), COLUMN(283:283)), ISNUMBER(283:283)),
  _xlpm.elos, INDEX(282:282,1,_xlpm.colj),
  _xlpm.diffscale, Constantes!$B$2,
  IF(P283="",
    "",
    SUM(1/(1+POWER(10,-(P282-_xlpm.elos)/_xlpm.diffscale)))-0.5)
)</f>
        <v/>
      </c>
      <c r="Q284" cm="1">
        <f t="array" ref="Q284">_xlfn.LET(
  _xlpm.colj, _xlfn._xlws.FILTER(IF(ISNUMBER(283:283), COLUMN(283:283)), ISNUMBER(283:283)),
  _xlpm.elos, INDEX(282:282,1,_xlpm.colj),
  _xlpm.diffscale, Constantes!$B$2,
  IF(Q283="",
    "",
    SUM(1/(1+POWER(10,-(Q282-_xlpm.elos)/_xlpm.diffscale)))-0.5)
)</f>
        <v>1.7588031405885234</v>
      </c>
      <c r="R284" t="str" cm="1">
        <f t="array" ref="R284">_xlfn.LET(
  _xlpm.colj, _xlfn._xlws.FILTER(IF(ISNUMBER(283:283), COLUMN(283:283)), ISNUMBER(283:283)),
  _xlpm.elos, INDEX(282:282,1,_xlpm.colj),
  _xlpm.diffscale, Constantes!$B$2,
  IF(R283="",
    "",
    SUM(1/(1+POWER(10,-(R282-_xlpm.elos)/_xlpm.diffscale)))-0.5)
)</f>
        <v/>
      </c>
      <c r="S284" t="str" cm="1">
        <f t="array" ref="S284">_xlfn.LET(
  _xlpm.colj, _xlfn._xlws.FILTER(IF(ISNUMBER(283:283), COLUMN(283:283)), ISNUMBER(283:283)),
  _xlpm.elos, INDEX(282:282,1,_xlpm.colj),
  _xlpm.diffscale, Constantes!$B$2,
  IF(S283="",
    "",
    SUM(1/(1+POWER(10,-(S282-_xlpm.elos)/_xlpm.diffscale)))-0.5)
)</f>
        <v/>
      </c>
      <c r="T284" t="str" cm="1">
        <f t="array" ref="T284">_xlfn.LET(
  _xlpm.colj, _xlfn._xlws.FILTER(IF(ISNUMBER(283:283), COLUMN(283:283)), ISNUMBER(283:283)),
  _xlpm.elos, INDEX(282:282,1,_xlpm.colj),
  _xlpm.diffscale, Constantes!$B$2,
  IF(T283="",
    "",
    SUM(1/(1+POWER(10,-(T282-_xlpm.elos)/_xlpm.diffscale)))-0.5)
)</f>
        <v/>
      </c>
      <c r="U284" t="str" cm="1">
        <f t="array" ref="U284">_xlfn.LET(
  _xlpm.colj, _xlfn._xlws.FILTER(IF(ISNUMBER(283:283), COLUMN(283:283)), ISNUMBER(283:283)),
  _xlpm.elos, INDEX(282:282,1,_xlpm.colj),
  _xlpm.diffscale, Constantes!$B$2,
  IF(U283="",
    "",
    SUM(1/(1+POWER(10,-(U282-_xlpm.elos)/_xlpm.diffscale)))-0.5)
)</f>
        <v/>
      </c>
      <c r="V284" t="str" cm="1">
        <f t="array" ref="V284">_xlfn.LET(
  _xlpm.colj, _xlfn._xlws.FILTER(IF(ISNUMBER(283:283), COLUMN(283:283)), ISNUMBER(283:283)),
  _xlpm.elos, INDEX(282:282,1,_xlpm.colj),
  _xlpm.diffscale, Constantes!$B$2,
  IF(V283="",
    "",
    SUM(1/(1+POWER(10,-(V282-_xlpm.elos)/_xlpm.diffscale)))-0.5)
)</f>
        <v/>
      </c>
      <c r="W284" t="str" cm="1">
        <f t="array" ref="W284">_xlfn.LET(
  _xlpm.colj, _xlfn._xlws.FILTER(IF(ISNUMBER(283:283), COLUMN(283:283)), ISNUMBER(283:283)),
  _xlpm.elos, INDEX(282:282,1,_xlpm.colj),
  _xlpm.diffscale, Constantes!$B$2,
  IF(W283="",
    "",
    SUM(1/(1+POWER(10,-(W282-_xlpm.elos)/_xlpm.diffscale)))-0.5)
)</f>
        <v/>
      </c>
      <c r="X284" t="str" cm="1">
        <f t="array" ref="X284">_xlfn.LET(
  _xlpm.colj, _xlfn._xlws.FILTER(IF(ISNUMBER(283:283), COLUMN(283:283)), ISNUMBER(283:283)),
  _xlpm.elos, INDEX(282:282,1,_xlpm.colj),
  _xlpm.diffscale, Constantes!$B$2,
  IF(X283="",
    "",
    SUM(1/(1+POWER(10,-(X282-_xlpm.elos)/_xlpm.diffscale)))-0.5)
)</f>
        <v/>
      </c>
      <c r="Y284" t="str" cm="1">
        <f t="array" ref="Y284">_xlfn.LET(
  _xlpm.colj, _xlfn._xlws.FILTER(IF(ISNUMBER(283:283), COLUMN(283:283)), ISNUMBER(283:283)),
  _xlpm.elos, INDEX(282:282,1,_xlpm.colj),
  _xlpm.diffscale, Constantes!$B$2,
  IF(Y283="",
    "",
    SUM(1/(1+POWER(10,-(Y282-_xlpm.elos)/_xlpm.diffscale)))-0.5)
)</f>
        <v/>
      </c>
      <c r="Z284" t="str" cm="1">
        <f t="array" ref="Z284">_xlfn.LET(
  _xlpm.colj, _xlfn._xlws.FILTER(IF(ISNUMBER(283:283), COLUMN(283:283)), ISNUMBER(283:283)),
  _xlpm.elos, INDEX(282:282,1,_xlpm.colj),
  _xlpm.diffscale, Constantes!$B$2,
  IF(Z283="",
    "",
    SUM(1/(1+POWER(10,-(Z282-_xlpm.elos)/_xlpm.diffscale)))-0.5)
)</f>
        <v/>
      </c>
      <c r="AA284" t="str" cm="1">
        <f t="array" ref="AA284">_xlfn.LET(
  _xlpm.colj, _xlfn._xlws.FILTER(IF(ISNUMBER(283:283), COLUMN(283:283)), ISNUMBER(283:283)),
  _xlpm.elos, INDEX(282:282,1,_xlpm.colj),
  _xlpm.diffscale, Constantes!$B$2,
  IF(AA283="",
    "",
    SUM(1/(1+POWER(10,-(AA282-_xlpm.elos)/_xlpm.diffscale)))-0.5)
)</f>
        <v/>
      </c>
      <c r="AB284" t="str" cm="1">
        <f t="array" ref="AB284">_xlfn.LET(
  _xlpm.colj, _xlfn._xlws.FILTER(IF(ISNUMBER(283:283), COLUMN(283:283)), ISNUMBER(283:283)),
  _xlpm.elos, INDEX(282:282,1,_xlpm.colj),
  _xlpm.diffscale, Constantes!$B$2,
  IF(AB283="",
    "",
    SUM(1/(1+POWER(10,-(AB282-_xlpm.elos)/_xlpm.diffscale)))-0.5)
)</f>
        <v/>
      </c>
      <c r="AC284" cm="1">
        <f t="array" ref="AC284">_xlfn.LET(
  _xlpm.colj, _xlfn._xlws.FILTER(IF(ISNUMBER(283:283), COLUMN(283:283)), ISNUMBER(283:283)),
  _xlpm.elos, INDEX(282:282,1,_xlpm.colj),
  _xlpm.diffscale, Constantes!$B$2,
  IF(AC283="",
    "",
    SUM(1/(1+POWER(10,-(AC282-_xlpm.elos)/_xlpm.diffscale)))-0.5)
)</f>
        <v>1.5216606100767116</v>
      </c>
      <c r="AD284" t="str" cm="1">
        <f t="array" ref="AD284">_xlfn.LET(
  _xlpm.colj, _xlfn._xlws.FILTER(IF(ISNUMBER(283:283), COLUMN(283:283)), ISNUMBER(283:283)),
  _xlpm.elos, INDEX(282:282,1,_xlpm.colj),
  _xlpm.diffscale, Constantes!$B$2,
  IF(AD283="",
    "",
    SUM(1/(1+POWER(10,-(AD282-_xlpm.elos)/_xlpm.diffscale)))-0.5)
)</f>
        <v/>
      </c>
      <c r="AE284" t="str" cm="1">
        <f t="array" ref="AE284">_xlfn.LET(
  _xlpm.colj, _xlfn._xlws.FILTER(IF(ISNUMBER(283:283), COLUMN(283:283)), ISNUMBER(283:283)),
  _xlpm.elos, INDEX(282:282,1,_xlpm.colj),
  _xlpm.diffscale, Constantes!$B$2,
  IF(AE283="",
    "",
    SUM(1/(1+POWER(10,-(AE282-_xlpm.elos)/_xlpm.diffscale)))-0.5)
)</f>
        <v/>
      </c>
      <c r="AF284" t="str" cm="1">
        <f t="array" ref="AF284">_xlfn.LET(
  _xlpm.colj, _xlfn._xlws.FILTER(IF(ISNUMBER(283:283), COLUMN(283:283)), ISNUMBER(283:283)),
  _xlpm.elos, INDEX(282:282,1,_xlpm.colj),
  _xlpm.diffscale, Constantes!$B$2,
  IF(AF283="",
    "",
    SUM(1/(1+POWER(10,-(AF282-_xlpm.elos)/_xlpm.diffscale)))-0.5)
)</f>
        <v/>
      </c>
      <c r="AG284" t="str" cm="1">
        <f t="array" ref="AG284">_xlfn.LET(
  _xlpm.colj, _xlfn._xlws.FILTER(IF(ISNUMBER(283:283), COLUMN(283:283)), ISNUMBER(283:283)),
  _xlpm.elos, INDEX(282:282,1,_xlpm.colj),
  _xlpm.diffscale, Constantes!$B$2,
  IF(AG283="",
    "",
    SUM(1/(1+POWER(10,-(AG282-_xlpm.elos)/_xlpm.diffscale)))-0.5)
)</f>
        <v/>
      </c>
      <c r="AH284" t="str" cm="1">
        <f t="array" ref="AH284">_xlfn.LET(
  _xlpm.colj, _xlfn._xlws.FILTER(IF(ISNUMBER(283:283), COLUMN(283:283)), ISNUMBER(283:283)),
  _xlpm.elos, INDEX(282:282,1,_xlpm.colj),
  _xlpm.diffscale, Constantes!$B$2,
  IF(AH283="",
    "",
    SUM(1/(1+POWER(10,-(AH282-_xlpm.elos)/_xlpm.diffscale)))-0.5)
)</f>
        <v/>
      </c>
      <c r="AI284" cm="1">
        <f t="array" ref="AI284">_xlfn.LET(
  _xlpm.colj, _xlfn._xlws.FILTER(IF(ISNUMBER(283:283), COLUMN(283:283)), ISNUMBER(283:283)),
  _xlpm.elos, INDEX(282:282,1,_xlpm.colj),
  _xlpm.diffscale, Constantes!$B$2,
  IF(AI283="",
    "",
    SUM(1/(1+POWER(10,-(AI282-_xlpm.elos)/_xlpm.diffscale)))-0.5)
)</f>
        <v>0.9512581726811371</v>
      </c>
      <c r="AJ284" t="str" cm="1">
        <f t="array" ref="AJ284">_xlfn.LET(
  _xlpm.colj, _xlfn._xlws.FILTER(IF(ISNUMBER(283:283), COLUMN(283:283)), ISNUMBER(283:283)),
  _xlpm.elos, INDEX(282:282,1,_xlpm.colj),
  _xlpm.diffscale, Constantes!$B$2,
  IF(AJ283="",
    "",
    SUM(1/(1+POWER(10,-(AJ282-_xlpm.elos)/_xlpm.diffscale)))-0.5)
)</f>
        <v/>
      </c>
      <c r="AK284" t="str" cm="1">
        <f t="array" ref="AK284">_xlfn.LET(
  _xlpm.colj, _xlfn._xlws.FILTER(IF(ISNUMBER(283:283), COLUMN(283:283)), ISNUMBER(283:283)),
  _xlpm.elos, INDEX(282:282,1,_xlpm.colj),
  _xlpm.diffscale, Constantes!$B$2,
  IF(AK283="",
    "",
    SUM(1/(1+POWER(10,-(AK282-_xlpm.elos)/_xlpm.diffscale)))-0.5)
)</f>
        <v/>
      </c>
      <c r="AL284" t="str" cm="1">
        <f t="array" ref="AL284">_xlfn.LET(
  _xlpm.colj, _xlfn._xlws.FILTER(IF(ISNUMBER(283:283), COLUMN(283:283)), ISNUMBER(283:283)),
  _xlpm.elos, INDEX(282:282,1,_xlpm.colj),
  _xlpm.diffscale, Constantes!$B$2,
  IF(AL283="",
    "",
    SUM(1/(1+POWER(10,-(AL282-_xlpm.elos)/_xlpm.diffscale)))-0.5)
)</f>
        <v/>
      </c>
      <c r="AM284" t="str" cm="1">
        <f t="array" ref="AM284">_xlfn.LET(
  _xlpm.colj, _xlfn._xlws.FILTER(IF(ISNUMBER(283:283), COLUMN(283:283)), ISNUMBER(283:283)),
  _xlpm.elos, INDEX(282:282,1,_xlpm.colj),
  _xlpm.diffscale, Constantes!$B$2,
  IF(AM283="",
    "",
    SUM(1/(1+POWER(10,-(AM282-_xlpm.elos)/_xlpm.diffscale)))-0.5)
)</f>
        <v/>
      </c>
    </row>
    <row r="285" spans="1:39" x14ac:dyDescent="0.25">
      <c r="A285" t="s">
        <v>22</v>
      </c>
      <c r="D285" t="str" cm="1">
        <f t="array" ref="D285">_xlfn.LET(
  _xlpm.K, Constantes!$B$3,
  _xlpm.Knewgain, Constantes!$B$4,
  _xlpm.Knewscale, Constantes!$B$5,
  _xlpm.ptstables, INDEX(D:D, _xlfn.SEQUENCE(COUNTA($C$2:$C285), 1, 3, 4)),
  _xlpm.nbparties, COUNTA(_xlfn._xlws.FILTER(_xlpm.ptstables, _xlpm.ptstables &lt;&gt; "")),
  _xlpm.coef, _xlpm.K + _xlpm.Knewgain / (_xlpm.Knewscale + _xlpm.nbparties),
  IF(D283="",
    "",
    _xlpm.coef * (D283-D284))
)</f>
        <v/>
      </c>
      <c r="E285" t="str" cm="1">
        <f t="array" ref="E285">_xlfn.LET(
  _xlpm.K, Constantes!$B$3,
  _xlpm.Knewgain, Constantes!$B$4,
  _xlpm.Knewscale, Constantes!$B$5,
  _xlpm.ptstables, INDEX(E:E, _xlfn.SEQUENCE(COUNTA($C$2:$C285), 1, 3, 4)),
  _xlpm.nbparties, COUNTA(_xlfn._xlws.FILTER(_xlpm.ptstables, _xlpm.ptstables &lt;&gt; "")),
  _xlpm.coef, _xlpm.K + _xlpm.Knewgain / (_xlpm.Knewscale + _xlpm.nbparties),
  IF(E283="",
    "",
    _xlpm.coef * (E283-E284))
)</f>
        <v/>
      </c>
      <c r="F285" t="str" cm="1">
        <f t="array" ref="F285">_xlfn.LET(
  _xlpm.K, Constantes!$B$3,
  _xlpm.Knewgain, Constantes!$B$4,
  _xlpm.Knewscale, Constantes!$B$5,
  _xlpm.ptstables, INDEX(F:F, _xlfn.SEQUENCE(COUNTA($C$2:$C285), 1, 3, 4)),
  _xlpm.nbparties, COUNTA(_xlfn._xlws.FILTER(_xlpm.ptstables, _xlpm.ptstables &lt;&gt; "")),
  _xlpm.coef, _xlpm.K + _xlpm.Knewgain / (_xlpm.Knewscale + _xlpm.nbparties),
  IF(F283="",
    "",
    _xlpm.coef * (F283-F284))
)</f>
        <v/>
      </c>
      <c r="G285" t="str" cm="1">
        <f t="array" ref="G285">_xlfn.LET(
  _xlpm.K, Constantes!$B$3,
  _xlpm.Knewgain, Constantes!$B$4,
  _xlpm.Knewscale, Constantes!$B$5,
  _xlpm.ptstables, INDEX(G:G, _xlfn.SEQUENCE(COUNTA($C$2:$C285), 1, 3, 4)),
  _xlpm.nbparties, COUNTA(_xlfn._xlws.FILTER(_xlpm.ptstables, _xlpm.ptstables &lt;&gt; "")),
  _xlpm.coef, _xlpm.K + _xlpm.Knewgain / (_xlpm.Knewscale + _xlpm.nbparties),
  IF(G283="",
    "",
    _xlpm.coef * (G283-G284))
)</f>
        <v/>
      </c>
      <c r="H285" cm="1">
        <f t="array" ref="H285">_xlfn.LET(
  _xlpm.K, Constantes!$B$3,
  _xlpm.Knewgain, Constantes!$B$4,
  _xlpm.Knewscale, Constantes!$B$5,
  _xlpm.ptstables, INDEX(H:H, _xlfn.SEQUENCE(COUNTA($C$2:$C285), 1, 3, 4)),
  _xlpm.nbparties, COUNTA(_xlfn._xlws.FILTER(_xlpm.ptstables, _xlpm.ptstables &lt;&gt; "")),
  _xlpm.coef, _xlpm.K + _xlpm.Knewgain / (_xlpm.Knewscale + _xlpm.nbparties),
  IF(H283="",
    "",
    _xlpm.coef * (H283-H284))
)</f>
        <v>30.233174482138224</v>
      </c>
      <c r="I285" t="str" cm="1">
        <f t="array" ref="I285">_xlfn.LET(
  _xlpm.K, Constantes!$B$3,
  _xlpm.Knewgain, Constantes!$B$4,
  _xlpm.Knewscale, Constantes!$B$5,
  _xlpm.ptstables, INDEX(I:I, _xlfn.SEQUENCE(COUNTA($C$2:$C285), 1, 3, 4)),
  _xlpm.nbparties, COUNTA(_xlfn._xlws.FILTER(_xlpm.ptstables, _xlpm.ptstables &lt;&gt; "")),
  _xlpm.coef, _xlpm.K + _xlpm.Knewgain / (_xlpm.Knewscale + _xlpm.nbparties),
  IF(I283="",
    "",
    _xlpm.coef * (I283-I284))
)</f>
        <v/>
      </c>
      <c r="J285" t="str" cm="1">
        <f t="array" ref="J285">_xlfn.LET(
  _xlpm.K, Constantes!$B$3,
  _xlpm.Knewgain, Constantes!$B$4,
  _xlpm.Knewscale, Constantes!$B$5,
  _xlpm.ptstables, INDEX(J:J, _xlfn.SEQUENCE(COUNTA($C$2:$C285), 1, 3, 4)),
  _xlpm.nbparties, COUNTA(_xlfn._xlws.FILTER(_xlpm.ptstables, _xlpm.ptstables &lt;&gt; "")),
  _xlpm.coef, _xlpm.K + _xlpm.Knewgain / (_xlpm.Knewscale + _xlpm.nbparties),
  IF(J283="",
    "",
    _xlpm.coef * (J283-J284))
)</f>
        <v/>
      </c>
      <c r="K285" t="str" cm="1">
        <f t="array" ref="K285">_xlfn.LET(
  _xlpm.K, Constantes!$B$3,
  _xlpm.Knewgain, Constantes!$B$4,
  _xlpm.Knewscale, Constantes!$B$5,
  _xlpm.ptstables, INDEX(K:K, _xlfn.SEQUENCE(COUNTA($C$2:$C285), 1, 3, 4)),
  _xlpm.nbparties, COUNTA(_xlfn._xlws.FILTER(_xlpm.ptstables, _xlpm.ptstables &lt;&gt; "")),
  _xlpm.coef, _xlpm.K + _xlpm.Knewgain / (_xlpm.Knewscale + _xlpm.nbparties),
  IF(K283="",
    "",
    _xlpm.coef * (K283-K284))
)</f>
        <v/>
      </c>
      <c r="L285" t="str" cm="1">
        <f t="array" ref="L285">_xlfn.LET(
  _xlpm.K, Constantes!$B$3,
  _xlpm.Knewgain, Constantes!$B$4,
  _xlpm.Knewscale, Constantes!$B$5,
  _xlpm.ptstables, INDEX(L:L, _xlfn.SEQUENCE(COUNTA($C$2:$C285), 1, 3, 4)),
  _xlpm.nbparties, COUNTA(_xlfn._xlws.FILTER(_xlpm.ptstables, _xlpm.ptstables &lt;&gt; "")),
  _xlpm.coef, _xlpm.K + _xlpm.Knewgain / (_xlpm.Knewscale + _xlpm.nbparties),
  IF(L283="",
    "",
    _xlpm.coef * (L283-L284))
)</f>
        <v/>
      </c>
      <c r="M285" t="str" cm="1">
        <f t="array" ref="M285">_xlfn.LET(
  _xlpm.K, Constantes!$B$3,
  _xlpm.Knewgain, Constantes!$B$4,
  _xlpm.Knewscale, Constantes!$B$5,
  _xlpm.ptstables, INDEX(M:M, _xlfn.SEQUENCE(COUNTA($C$2:$C285), 1, 3, 4)),
  _xlpm.nbparties, COUNTA(_xlfn._xlws.FILTER(_xlpm.ptstables, _xlpm.ptstables &lt;&gt; "")),
  _xlpm.coef, _xlpm.K + _xlpm.Knewgain / (_xlpm.Knewscale + _xlpm.nbparties),
  IF(M283="",
    "",
    _xlpm.coef * (M283-M284))
)</f>
        <v/>
      </c>
      <c r="N285" t="str" cm="1">
        <f t="array" ref="N285">_xlfn.LET(
  _xlpm.K, Constantes!$B$3,
  _xlpm.Knewgain, Constantes!$B$4,
  _xlpm.Knewscale, Constantes!$B$5,
  _xlpm.ptstables, INDEX(N:N, _xlfn.SEQUENCE(COUNTA($C$2:$C285), 1, 3, 4)),
  _xlpm.nbparties, COUNTA(_xlfn._xlws.FILTER(_xlpm.ptstables, _xlpm.ptstables &lt;&gt; "")),
  _xlpm.coef, _xlpm.K + _xlpm.Knewgain / (_xlpm.Knewscale + _xlpm.nbparties),
  IF(N283="",
    "",
    _xlpm.coef * (N283-N284))
)</f>
        <v/>
      </c>
      <c r="O285" t="str" cm="1">
        <f t="array" ref="O285">_xlfn.LET(
  _xlpm.K, Constantes!$B$3,
  _xlpm.Knewgain, Constantes!$B$4,
  _xlpm.Knewscale, Constantes!$B$5,
  _xlpm.ptstables, INDEX(O:O, _xlfn.SEQUENCE(COUNTA($C$2:$C285), 1, 3, 4)),
  _xlpm.nbparties, COUNTA(_xlfn._xlws.FILTER(_xlpm.ptstables, _xlpm.ptstables &lt;&gt; "")),
  _xlpm.coef, _xlpm.K + _xlpm.Knewgain / (_xlpm.Knewscale + _xlpm.nbparties),
  IF(O283="",
    "",
    _xlpm.coef * (O283-O284))
)</f>
        <v/>
      </c>
      <c r="P285" t="str" cm="1">
        <f t="array" ref="P285">_xlfn.LET(
  _xlpm.K, Constantes!$B$3,
  _xlpm.Knewgain, Constantes!$B$4,
  _xlpm.Knewscale, Constantes!$B$5,
  _xlpm.ptstables, INDEX(P:P, _xlfn.SEQUENCE(COUNTA($C$2:$C285), 1, 3, 4)),
  _xlpm.nbparties, COUNTA(_xlfn._xlws.FILTER(_xlpm.ptstables, _xlpm.ptstables &lt;&gt; "")),
  _xlpm.coef, _xlpm.K + _xlpm.Knewgain / (_xlpm.Knewscale + _xlpm.nbparties),
  IF(P283="",
    "",
    _xlpm.coef * (P283-P284))
)</f>
        <v/>
      </c>
      <c r="Q285" cm="1">
        <f t="array" ref="Q285">_xlfn.LET(
  _xlpm.K, Constantes!$B$3,
  _xlpm.Knewgain, Constantes!$B$4,
  _xlpm.Knewscale, Constantes!$B$5,
  _xlpm.ptstables, INDEX(Q:Q, _xlfn.SEQUENCE(COUNTA($C$2:$C285), 1, 3, 4)),
  _xlpm.nbparties, COUNTA(_xlfn._xlws.FILTER(_xlpm.ptstables, _xlpm.ptstables &lt;&gt; "")),
  _xlpm.coef, _xlpm.K + _xlpm.Knewgain / (_xlpm.Knewscale + _xlpm.nbparties),
  IF(Q283="",
    "",
    _xlpm.coef * (Q283-Q284))
)</f>
        <v>-16.982736956028855</v>
      </c>
      <c r="R285" t="str" cm="1">
        <f t="array" ref="R285">_xlfn.LET(
  _xlpm.K, Constantes!$B$3,
  _xlpm.Knewgain, Constantes!$B$4,
  _xlpm.Knewscale, Constantes!$B$5,
  _xlpm.ptstables, INDEX(R:R, _xlfn.SEQUENCE(COUNTA($C$2:$C285), 1, 3, 4)),
  _xlpm.nbparties, COUNTA(_xlfn._xlws.FILTER(_xlpm.ptstables, _xlpm.ptstables &lt;&gt; "")),
  _xlpm.coef, _xlpm.K + _xlpm.Knewgain / (_xlpm.Knewscale + _xlpm.nbparties),
  IF(R283="",
    "",
    _xlpm.coef * (R283-R284))
)</f>
        <v/>
      </c>
      <c r="S285" t="str" cm="1">
        <f t="array" ref="S285">_xlfn.LET(
  _xlpm.K, Constantes!$B$3,
  _xlpm.Knewgain, Constantes!$B$4,
  _xlpm.Knewscale, Constantes!$B$5,
  _xlpm.ptstables, INDEX(S:S, _xlfn.SEQUENCE(COUNTA($C$2:$C285), 1, 3, 4)),
  _xlpm.nbparties, COUNTA(_xlfn._xlws.FILTER(_xlpm.ptstables, _xlpm.ptstables &lt;&gt; "")),
  _xlpm.coef, _xlpm.K + _xlpm.Knewgain / (_xlpm.Knewscale + _xlpm.nbparties),
  IF(S283="",
    "",
    _xlpm.coef * (S283-S284))
)</f>
        <v/>
      </c>
      <c r="T285" t="str" cm="1">
        <f t="array" ref="T285">_xlfn.LET(
  _xlpm.K, Constantes!$B$3,
  _xlpm.Knewgain, Constantes!$B$4,
  _xlpm.Knewscale, Constantes!$B$5,
  _xlpm.ptstables, INDEX(T:T, _xlfn.SEQUENCE(COUNTA($C$2:$C285), 1, 3, 4)),
  _xlpm.nbparties, COUNTA(_xlfn._xlws.FILTER(_xlpm.ptstables, _xlpm.ptstables &lt;&gt; "")),
  _xlpm.coef, _xlpm.K + _xlpm.Knewgain / (_xlpm.Knewscale + _xlpm.nbparties),
  IF(T283="",
    "",
    _xlpm.coef * (T283-T284))
)</f>
        <v/>
      </c>
      <c r="U285" t="str" cm="1">
        <f t="array" ref="U285">_xlfn.LET(
  _xlpm.K, Constantes!$B$3,
  _xlpm.Knewgain, Constantes!$B$4,
  _xlpm.Knewscale, Constantes!$B$5,
  _xlpm.ptstables, INDEX(U:U, _xlfn.SEQUENCE(COUNTA($C$2:$C285), 1, 3, 4)),
  _xlpm.nbparties, COUNTA(_xlfn._xlws.FILTER(_xlpm.ptstables, _xlpm.ptstables &lt;&gt; "")),
  _xlpm.coef, _xlpm.K + _xlpm.Knewgain / (_xlpm.Knewscale + _xlpm.nbparties),
  IF(U283="",
    "",
    _xlpm.coef * (U283-U284))
)</f>
        <v/>
      </c>
      <c r="V285" t="str" cm="1">
        <f t="array" ref="V285">_xlfn.LET(
  _xlpm.K, Constantes!$B$3,
  _xlpm.Knewgain, Constantes!$B$4,
  _xlpm.Knewscale, Constantes!$B$5,
  _xlpm.ptstables, INDEX(V:V, _xlfn.SEQUENCE(COUNTA($C$2:$C285), 1, 3, 4)),
  _xlpm.nbparties, COUNTA(_xlfn._xlws.FILTER(_xlpm.ptstables, _xlpm.ptstables &lt;&gt; "")),
  _xlpm.coef, _xlpm.K + _xlpm.Knewgain / (_xlpm.Knewscale + _xlpm.nbparties),
  IF(V283="",
    "",
    _xlpm.coef * (V283-V284))
)</f>
        <v/>
      </c>
      <c r="W285" t="str" cm="1">
        <f t="array" ref="W285">_xlfn.LET(
  _xlpm.K, Constantes!$B$3,
  _xlpm.Knewgain, Constantes!$B$4,
  _xlpm.Knewscale, Constantes!$B$5,
  _xlpm.ptstables, INDEX(W:W, _xlfn.SEQUENCE(COUNTA($C$2:$C285), 1, 3, 4)),
  _xlpm.nbparties, COUNTA(_xlfn._xlws.FILTER(_xlpm.ptstables, _xlpm.ptstables &lt;&gt; "")),
  _xlpm.coef, _xlpm.K + _xlpm.Knewgain / (_xlpm.Knewscale + _xlpm.nbparties),
  IF(W283="",
    "",
    _xlpm.coef * (W283-W284))
)</f>
        <v/>
      </c>
      <c r="X285" t="str" cm="1">
        <f t="array" ref="X285">_xlfn.LET(
  _xlpm.K, Constantes!$B$3,
  _xlpm.Knewgain, Constantes!$B$4,
  _xlpm.Knewscale, Constantes!$B$5,
  _xlpm.ptstables, INDEX(X:X, _xlfn.SEQUENCE(COUNTA($C$2:$C285), 1, 3, 4)),
  _xlpm.nbparties, COUNTA(_xlfn._xlws.FILTER(_xlpm.ptstables, _xlpm.ptstables &lt;&gt; "")),
  _xlpm.coef, _xlpm.K + _xlpm.Knewgain / (_xlpm.Knewscale + _xlpm.nbparties),
  IF(X283="",
    "",
    _xlpm.coef * (X283-X284))
)</f>
        <v/>
      </c>
      <c r="Y285" t="str" cm="1">
        <f t="array" ref="Y285">_xlfn.LET(
  _xlpm.K, Constantes!$B$3,
  _xlpm.Knewgain, Constantes!$B$4,
  _xlpm.Knewscale, Constantes!$B$5,
  _xlpm.ptstables, INDEX(Y:Y, _xlfn.SEQUENCE(COUNTA($C$2:$C285), 1, 3, 4)),
  _xlpm.nbparties, COUNTA(_xlfn._xlws.FILTER(_xlpm.ptstables, _xlpm.ptstables &lt;&gt; "")),
  _xlpm.coef, _xlpm.K + _xlpm.Knewgain / (_xlpm.Knewscale + _xlpm.nbparties),
  IF(Y283="",
    "",
    _xlpm.coef * (Y283-Y284))
)</f>
        <v/>
      </c>
      <c r="Z285" t="str" cm="1">
        <f t="array" ref="Z285">_xlfn.LET(
  _xlpm.K, Constantes!$B$3,
  _xlpm.Knewgain, Constantes!$B$4,
  _xlpm.Knewscale, Constantes!$B$5,
  _xlpm.ptstables, INDEX(Z:Z, _xlfn.SEQUENCE(COUNTA($C$2:$C285), 1, 3, 4)),
  _xlpm.nbparties, COUNTA(_xlfn._xlws.FILTER(_xlpm.ptstables, _xlpm.ptstables &lt;&gt; "")),
  _xlpm.coef, _xlpm.K + _xlpm.Knewgain / (_xlpm.Knewscale + _xlpm.nbparties),
  IF(Z283="",
    "",
    _xlpm.coef * (Z283-Z284))
)</f>
        <v/>
      </c>
      <c r="AA285" t="str" cm="1">
        <f t="array" ref="AA285">_xlfn.LET(
  _xlpm.K, Constantes!$B$3,
  _xlpm.Knewgain, Constantes!$B$4,
  _xlpm.Knewscale, Constantes!$B$5,
  _xlpm.ptstables, INDEX(AA:AA, _xlfn.SEQUENCE(COUNTA($C$2:$C285), 1, 3, 4)),
  _xlpm.nbparties, COUNTA(_xlfn._xlws.FILTER(_xlpm.ptstables, _xlpm.ptstables &lt;&gt; "")),
  _xlpm.coef, _xlpm.K + _xlpm.Knewgain / (_xlpm.Knewscale + _xlpm.nbparties),
  IF(AA283="",
    "",
    _xlpm.coef * (AA283-AA284))
)</f>
        <v/>
      </c>
      <c r="AB285" t="str" cm="1">
        <f t="array" ref="AB285">_xlfn.LET(
  _xlpm.K, Constantes!$B$3,
  _xlpm.Knewgain, Constantes!$B$4,
  _xlpm.Knewscale, Constantes!$B$5,
  _xlpm.ptstables, INDEX(AB:AB, _xlfn.SEQUENCE(COUNTA($C$2:$C285), 1, 3, 4)),
  _xlpm.nbparties, COUNTA(_xlfn._xlws.FILTER(_xlpm.ptstables, _xlpm.ptstables &lt;&gt; "")),
  _xlpm.coef, _xlpm.K + _xlpm.Knewgain / (_xlpm.Knewscale + _xlpm.nbparties),
  IF(AB283="",
    "",
    _xlpm.coef * (AB283-AB284))
)</f>
        <v/>
      </c>
      <c r="AC285" cm="1">
        <f t="array" ref="AC285">_xlfn.LET(
  _xlpm.K, Constantes!$B$3,
  _xlpm.Knewgain, Constantes!$B$4,
  _xlpm.Knewscale, Constantes!$B$5,
  _xlpm.ptstables, INDEX(AC:AC, _xlfn.SEQUENCE(COUNTA($C$2:$C285), 1, 3, 4)),
  _xlpm.nbparties, COUNTA(_xlfn._xlws.FILTER(_xlpm.ptstables, _xlpm.ptstables &lt;&gt; "")),
  _xlpm.coef, _xlpm.K + _xlpm.Knewgain / (_xlpm.Knewscale + _xlpm.nbparties),
  IF(AC283="",
    "",
    _xlpm.coef * (AC283-AC284))
)</f>
        <v>12.224228853595148</v>
      </c>
      <c r="AD285" t="str" cm="1">
        <f t="array" ref="AD285">_xlfn.LET(
  _xlpm.K, Constantes!$B$3,
  _xlpm.Knewgain, Constantes!$B$4,
  _xlpm.Knewscale, Constantes!$B$5,
  _xlpm.ptstables, INDEX(AD:AD, _xlfn.SEQUENCE(COUNTA($C$2:$C285), 1, 3, 4)),
  _xlpm.nbparties, COUNTA(_xlfn._xlws.FILTER(_xlpm.ptstables, _xlpm.ptstables &lt;&gt; "")),
  _xlpm.coef, _xlpm.K + _xlpm.Knewgain / (_xlpm.Knewscale + _xlpm.nbparties),
  IF(AD283="",
    "",
    _xlpm.coef * (AD283-AD284))
)</f>
        <v/>
      </c>
      <c r="AE285" t="str" cm="1">
        <f t="array" ref="AE285">_xlfn.LET(
  _xlpm.K, Constantes!$B$3,
  _xlpm.Knewgain, Constantes!$B$4,
  _xlpm.Knewscale, Constantes!$B$5,
  _xlpm.ptstables, INDEX(AE:AE, _xlfn.SEQUENCE(COUNTA($C$2:$C285), 1, 3, 4)),
  _xlpm.nbparties, COUNTA(_xlfn._xlws.FILTER(_xlpm.ptstables, _xlpm.ptstables &lt;&gt; "")),
  _xlpm.coef, _xlpm.K + _xlpm.Knewgain / (_xlpm.Knewscale + _xlpm.nbparties),
  IF(AE283="",
    "",
    _xlpm.coef * (AE283-AE284))
)</f>
        <v/>
      </c>
      <c r="AF285" t="str" cm="1">
        <f t="array" ref="AF285">_xlfn.LET(
  _xlpm.K, Constantes!$B$3,
  _xlpm.Knewgain, Constantes!$B$4,
  _xlpm.Knewscale, Constantes!$B$5,
  _xlpm.ptstables, INDEX(AF:AF, _xlfn.SEQUENCE(COUNTA($C$2:$C285), 1, 3, 4)),
  _xlpm.nbparties, COUNTA(_xlfn._xlws.FILTER(_xlpm.ptstables, _xlpm.ptstables &lt;&gt; "")),
  _xlpm.coef, _xlpm.K + _xlpm.Knewgain / (_xlpm.Knewscale + _xlpm.nbparties),
  IF(AF283="",
    "",
    _xlpm.coef * (AF283-AF284))
)</f>
        <v/>
      </c>
      <c r="AG285" t="str" cm="1">
        <f t="array" ref="AG285">_xlfn.LET(
  _xlpm.K, Constantes!$B$3,
  _xlpm.Knewgain, Constantes!$B$4,
  _xlpm.Knewscale, Constantes!$B$5,
  _xlpm.ptstables, INDEX(AG:AG, _xlfn.SEQUENCE(COUNTA($C$2:$C285), 1, 3, 4)),
  _xlpm.nbparties, COUNTA(_xlfn._xlws.FILTER(_xlpm.ptstables, _xlpm.ptstables &lt;&gt; "")),
  _xlpm.coef, _xlpm.K + _xlpm.Knewgain / (_xlpm.Knewscale + _xlpm.nbparties),
  IF(AG283="",
    "",
    _xlpm.coef * (AG283-AG284))
)</f>
        <v/>
      </c>
      <c r="AH285" t="str" cm="1">
        <f t="array" ref="AH285">_xlfn.LET(
  _xlpm.K, Constantes!$B$3,
  _xlpm.Knewgain, Constantes!$B$4,
  _xlpm.Knewscale, Constantes!$B$5,
  _xlpm.ptstables, INDEX(AH:AH, _xlfn.SEQUENCE(COUNTA($C$2:$C285), 1, 3, 4)),
  _xlpm.nbparties, COUNTA(_xlfn._xlws.FILTER(_xlpm.ptstables, _xlpm.ptstables &lt;&gt; "")),
  _xlpm.coef, _xlpm.K + _xlpm.Knewgain / (_xlpm.Knewscale + _xlpm.nbparties),
  IF(AH283="",
    "",
    _xlpm.coef * (AH283-AH284))
)</f>
        <v/>
      </c>
      <c r="AI285" cm="1">
        <f t="array" ref="AI285">_xlfn.LET(
  _xlpm.K, Constantes!$B$3,
  _xlpm.Knewgain, Constantes!$B$4,
  _xlpm.Knewscale, Constantes!$B$5,
  _xlpm.ptstables, INDEX(AI:AI, _xlfn.SEQUENCE(COUNTA($C$2:$C285), 1, 3, 4)),
  _xlpm.nbparties, COUNTA(_xlfn._xlws.FILTER(_xlpm.ptstables, _xlpm.ptstables &lt;&gt; "")),
  _xlpm.coef, _xlpm.K + _xlpm.Knewgain / (_xlpm.Knewscale + _xlpm.nbparties),
  IF(AI283="",
    "",
    _xlpm.coef * (AI283-AI284))
)</f>
        <v>-26.95231489263222</v>
      </c>
      <c r="AJ285" t="str" cm="1">
        <f t="array" ref="AJ285">_xlfn.LET(
  _xlpm.K, Constantes!$B$3,
  _xlpm.Knewgain, Constantes!$B$4,
  _xlpm.Knewscale, Constantes!$B$5,
  _xlpm.ptstables, INDEX(AJ:AJ, _xlfn.SEQUENCE(COUNTA($C$2:$C285), 1, 3, 4)),
  _xlpm.nbparties, COUNTA(_xlfn._xlws.FILTER(_xlpm.ptstables, _xlpm.ptstables &lt;&gt; "")),
  _xlpm.coef, _xlpm.K + _xlpm.Knewgain / (_xlpm.Knewscale + _xlpm.nbparties),
  IF(AJ283="",
    "",
    _xlpm.coef * (AJ283-AJ284))
)</f>
        <v/>
      </c>
      <c r="AK285" t="str" cm="1">
        <f t="array" ref="AK285">_xlfn.LET(
  _xlpm.K, Constantes!$B$3,
  _xlpm.Knewgain, Constantes!$B$4,
  _xlpm.Knewscale, Constantes!$B$5,
  _xlpm.ptstables, INDEX(AK:AK, _xlfn.SEQUENCE(COUNTA($C$2:$C285), 1, 3, 4)),
  _xlpm.nbparties, COUNTA(_xlfn._xlws.FILTER(_xlpm.ptstables, _xlpm.ptstables &lt;&gt; "")),
  _xlpm.coef, _xlpm.K + _xlpm.Knewgain / (_xlpm.Knewscale + _xlpm.nbparties),
  IF(AK283="",
    "",
    _xlpm.coef * (AK283-AK284))
)</f>
        <v/>
      </c>
      <c r="AL285" t="str" cm="1">
        <f t="array" ref="AL285">_xlfn.LET(
  _xlpm.K, Constantes!$B$3,
  _xlpm.Knewgain, Constantes!$B$4,
  _xlpm.Knewscale, Constantes!$B$5,
  _xlpm.ptstables, INDEX(AL:AL, _xlfn.SEQUENCE(COUNTA($C$2:$C285), 1, 3, 4)),
  _xlpm.nbparties, COUNTA(_xlfn._xlws.FILTER(_xlpm.ptstables, _xlpm.ptstables &lt;&gt; "")),
  _xlpm.coef, _xlpm.K + _xlpm.Knewgain / (_xlpm.Knewscale + _xlpm.nbparties),
  IF(AL283="",
    "",
    _xlpm.coef * (AL283-AL284))
)</f>
        <v/>
      </c>
      <c r="AM285" t="str" cm="1">
        <f t="array" ref="AM285">_xlfn.LET(
  _xlpm.K, Constantes!$B$3,
  _xlpm.Knewgain, Constantes!$B$4,
  _xlpm.Knewscale, Constantes!$B$5,
  _xlpm.ptstables, INDEX(AM:AM, _xlfn.SEQUENCE(COUNTA($C$2:$C285), 1, 3, 4)),
  _xlpm.nbparties, COUNTA(_xlfn._xlws.FILTER(_xlpm.ptstables, _xlpm.ptstables &lt;&gt; "")),
  _xlpm.coef, _xlpm.K + _xlpm.Knewgain / (_xlpm.Knewscale + _xlpm.nbparties),
  IF(AM283="",
    "",
    _xlpm.coef * (AM283-AM284))
)</f>
        <v/>
      </c>
    </row>
    <row r="286" spans="1:39" x14ac:dyDescent="0.25">
      <c r="A286" t="s">
        <v>14</v>
      </c>
      <c r="B286" t="str" cm="1">
        <f t="array" ref="B28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70</v>
      </c>
      <c r="C286" s="2" cm="1">
        <f t="array" ref="C286">IF(B286="","",
  INDEX(Donnees!F:F, MATCH(B286, Donnees!F:F, 0)+1))</f>
        <v>45946.733159722222</v>
      </c>
      <c r="D286">
        <f t="shared" ref="D286:AM286" si="79">D282+IF(D285="",0,D285)</f>
        <v>1033.1893307292305</v>
      </c>
      <c r="E286">
        <f t="shared" si="79"/>
        <v>1079.9237811780756</v>
      </c>
      <c r="F286">
        <f t="shared" si="79"/>
        <v>847.48442671390455</v>
      </c>
      <c r="G286">
        <f t="shared" si="79"/>
        <v>1118.8779378975084</v>
      </c>
      <c r="H286">
        <f t="shared" si="79"/>
        <v>1113.7777209386536</v>
      </c>
      <c r="I286">
        <f t="shared" si="79"/>
        <v>929.90115121897634</v>
      </c>
      <c r="J286">
        <f t="shared" si="79"/>
        <v>1010.9125108504293</v>
      </c>
      <c r="K286">
        <f t="shared" si="79"/>
        <v>993.90254614824482</v>
      </c>
      <c r="L286">
        <f t="shared" si="79"/>
        <v>766.95119884458973</v>
      </c>
      <c r="M286">
        <f t="shared" si="79"/>
        <v>913.41986361738122</v>
      </c>
      <c r="N286">
        <f t="shared" si="79"/>
        <v>893.28591153844093</v>
      </c>
      <c r="O286">
        <f t="shared" si="79"/>
        <v>998.21178722110983</v>
      </c>
      <c r="P286">
        <f t="shared" si="79"/>
        <v>1044.694691960626</v>
      </c>
      <c r="Q286">
        <f t="shared" si="79"/>
        <v>1064.8393984054303</v>
      </c>
      <c r="R286">
        <f t="shared" si="79"/>
        <v>1080.8653023562695</v>
      </c>
      <c r="S286">
        <f t="shared" si="79"/>
        <v>987.64110681918737</v>
      </c>
      <c r="T286">
        <f t="shared" si="79"/>
        <v>1153.43058185823</v>
      </c>
      <c r="U286">
        <f t="shared" si="79"/>
        <v>1185.0959893708045</v>
      </c>
      <c r="V286">
        <f t="shared" si="79"/>
        <v>951.23563726152827</v>
      </c>
      <c r="W286">
        <f t="shared" si="79"/>
        <v>936.79085942937002</v>
      </c>
      <c r="X286">
        <f t="shared" si="79"/>
        <v>828.97598039785271</v>
      </c>
      <c r="Y286">
        <f t="shared" si="79"/>
        <v>903.14348714035714</v>
      </c>
      <c r="Z286">
        <f t="shared" si="79"/>
        <v>991.11904139672549</v>
      </c>
      <c r="AA286">
        <f t="shared" si="79"/>
        <v>966.24279289689184</v>
      </c>
      <c r="AB286">
        <f t="shared" si="79"/>
        <v>988.35669729544747</v>
      </c>
      <c r="AC286">
        <f t="shared" si="79"/>
        <v>1051.3878078215544</v>
      </c>
      <c r="AD286">
        <f t="shared" si="79"/>
        <v>1073.9096023401294</v>
      </c>
      <c r="AE286">
        <f t="shared" si="79"/>
        <v>963.23981965000235</v>
      </c>
      <c r="AF286">
        <f t="shared" si="79"/>
        <v>1089.5415391863121</v>
      </c>
      <c r="AG286">
        <f t="shared" si="79"/>
        <v>958.23078604304851</v>
      </c>
      <c r="AH286">
        <f t="shared" si="79"/>
        <v>920.4412636682855</v>
      </c>
      <c r="AI286">
        <f t="shared" si="79"/>
        <v>907.51535479592496</v>
      </c>
      <c r="AJ286">
        <f t="shared" si="79"/>
        <v>957.2</v>
      </c>
      <c r="AK286">
        <f t="shared" si="79"/>
        <v>1000</v>
      </c>
      <c r="AL286">
        <f t="shared" si="79"/>
        <v>1055.9299999999998</v>
      </c>
      <c r="AM286">
        <f t="shared" si="79"/>
        <v>1000</v>
      </c>
    </row>
    <row r="287" spans="1:39" x14ac:dyDescent="0.25">
      <c r="A287" t="s">
        <v>21</v>
      </c>
      <c r="D287" t="str" cm="1">
        <f t="array" ref="D287">IFERROR(
  _xlfn.LET(
    _xlpm.ligpartie, MATCH($B286, Donnees!$F:$F, 0),
    _xlpm.joueurs, INDEX(Donnees!$A:$Z, _xlpm.ligpartie+1, _xlfn.SEQUENCE(1, 4, 2)),
    INDEX(
      Donnees!$A:$Z,
      _xlpm.ligpartie + 3,
      MATCH(D$1, _xlpm.joueurs, 0) + 1
    )
  ), ""
)</f>
        <v/>
      </c>
      <c r="E287" t="str" cm="1">
        <f t="array" ref="E287">IFERROR(
  _xlfn.LET(
    _xlpm.ligpartie, MATCH($B286, Donnees!$F:$F, 0),
    _xlpm.joueurs, INDEX(Donnees!$A:$Z, _xlpm.ligpartie+1, _xlfn.SEQUENCE(1, 4, 2)),
    INDEX(
      Donnees!$A:$Z,
      _xlpm.ligpartie + 3,
      MATCH(E$1, _xlpm.joueurs, 0) + 1
    )
  ), ""
)</f>
        <v/>
      </c>
      <c r="F287" t="str" cm="1">
        <f t="array" ref="F287">IFERROR(
  _xlfn.LET(
    _xlpm.ligpartie, MATCH($B286, Donnees!$F:$F, 0),
    _xlpm.joueurs, INDEX(Donnees!$A:$Z, _xlpm.ligpartie+1, _xlfn.SEQUENCE(1, 4, 2)),
    INDEX(
      Donnees!$A:$Z,
      _xlpm.ligpartie + 3,
      MATCH(F$1, _xlpm.joueurs, 0) + 1
    )
  ), ""
)</f>
        <v/>
      </c>
      <c r="G287" t="str" cm="1">
        <f t="array" ref="G287">IFERROR(
  _xlfn.LET(
    _xlpm.ligpartie, MATCH($B286, Donnees!$F:$F, 0),
    _xlpm.joueurs, INDEX(Donnees!$A:$Z, _xlpm.ligpartie+1, _xlfn.SEQUENCE(1, 4, 2)),
    INDEX(
      Donnees!$A:$Z,
      _xlpm.ligpartie + 3,
      MATCH(G$1, _xlpm.joueurs, 0) + 1
    )
  ), ""
)</f>
        <v/>
      </c>
      <c r="H287" cm="1">
        <f t="array" ref="H287">IFERROR(
  _xlfn.LET(
    _xlpm.ligpartie, MATCH($B286, Donnees!$F:$F, 0),
    _xlpm.joueurs, INDEX(Donnees!$A:$Z, _xlpm.ligpartie+1, _xlfn.SEQUENCE(1, 4, 2)),
    INDEX(
      Donnees!$A:$Z,
      _xlpm.ligpartie + 3,
      MATCH(H$1, _xlpm.joueurs, 0) + 1
    )
  ), ""
)</f>
        <v>3</v>
      </c>
      <c r="I287" t="str" cm="1">
        <f t="array" ref="I287">IFERROR(
  _xlfn.LET(
    _xlpm.ligpartie, MATCH($B286, Donnees!$F:$F, 0),
    _xlpm.joueurs, INDEX(Donnees!$A:$Z, _xlpm.ligpartie+1, _xlfn.SEQUENCE(1, 4, 2)),
    INDEX(
      Donnees!$A:$Z,
      _xlpm.ligpartie + 3,
      MATCH(I$1, _xlpm.joueurs, 0) + 1
    )
  ), ""
)</f>
        <v/>
      </c>
      <c r="J287" t="str" cm="1">
        <f t="array" ref="J287">IFERROR(
  _xlfn.LET(
    _xlpm.ligpartie, MATCH($B286, Donnees!$F:$F, 0),
    _xlpm.joueurs, INDEX(Donnees!$A:$Z, _xlpm.ligpartie+1, _xlfn.SEQUENCE(1, 4, 2)),
    INDEX(
      Donnees!$A:$Z,
      _xlpm.ligpartie + 3,
      MATCH(J$1, _xlpm.joueurs, 0) + 1
    )
  ), ""
)</f>
        <v/>
      </c>
      <c r="K287" t="str" cm="1">
        <f t="array" ref="K287">IFERROR(
  _xlfn.LET(
    _xlpm.ligpartie, MATCH($B286, Donnees!$F:$F, 0),
    _xlpm.joueurs, INDEX(Donnees!$A:$Z, _xlpm.ligpartie+1, _xlfn.SEQUENCE(1, 4, 2)),
    INDEX(
      Donnees!$A:$Z,
      _xlpm.ligpartie + 3,
      MATCH(K$1, _xlpm.joueurs, 0) + 1
    )
  ), ""
)</f>
        <v/>
      </c>
      <c r="L287" t="str" cm="1">
        <f t="array" ref="L287">IFERROR(
  _xlfn.LET(
    _xlpm.ligpartie, MATCH($B286, Donnees!$F:$F, 0),
    _xlpm.joueurs, INDEX(Donnees!$A:$Z, _xlpm.ligpartie+1, _xlfn.SEQUENCE(1, 4, 2)),
    INDEX(
      Donnees!$A:$Z,
      _xlpm.ligpartie + 3,
      MATCH(L$1, _xlpm.joueurs, 0) + 1
    )
  ), ""
)</f>
        <v/>
      </c>
      <c r="M287" t="str" cm="1">
        <f t="array" ref="M287">IFERROR(
  _xlfn.LET(
    _xlpm.ligpartie, MATCH($B286, Donnees!$F:$F, 0),
    _xlpm.joueurs, INDEX(Donnees!$A:$Z, _xlpm.ligpartie+1, _xlfn.SEQUENCE(1, 4, 2)),
    INDEX(
      Donnees!$A:$Z,
      _xlpm.ligpartie + 3,
      MATCH(M$1, _xlpm.joueurs, 0) + 1
    )
  ), ""
)</f>
        <v/>
      </c>
      <c r="N287" t="str" cm="1">
        <f t="array" ref="N287">IFERROR(
  _xlfn.LET(
    _xlpm.ligpartie, MATCH($B286, Donnees!$F:$F, 0),
    _xlpm.joueurs, INDEX(Donnees!$A:$Z, _xlpm.ligpartie+1, _xlfn.SEQUENCE(1, 4, 2)),
    INDEX(
      Donnees!$A:$Z,
      _xlpm.ligpartie + 3,
      MATCH(N$1, _xlpm.joueurs, 0) + 1
    )
  ), ""
)</f>
        <v/>
      </c>
      <c r="O287" t="str" cm="1">
        <f t="array" ref="O287">IFERROR(
  _xlfn.LET(
    _xlpm.ligpartie, MATCH($B286, Donnees!$F:$F, 0),
    _xlpm.joueurs, INDEX(Donnees!$A:$Z, _xlpm.ligpartie+1, _xlfn.SEQUENCE(1, 4, 2)),
    INDEX(
      Donnees!$A:$Z,
      _xlpm.ligpartie + 3,
      MATCH(O$1, _xlpm.joueurs, 0) + 1
    )
  ), ""
)</f>
        <v/>
      </c>
      <c r="P287" t="str" cm="1">
        <f t="array" ref="P287">IFERROR(
  _xlfn.LET(
    _xlpm.ligpartie, MATCH($B286, Donnees!$F:$F, 0),
    _xlpm.joueurs, INDEX(Donnees!$A:$Z, _xlpm.ligpartie+1, _xlfn.SEQUENCE(1, 4, 2)),
    INDEX(
      Donnees!$A:$Z,
      _xlpm.ligpartie + 3,
      MATCH(P$1, _xlpm.joueurs, 0) + 1
    )
  ), ""
)</f>
        <v/>
      </c>
      <c r="Q287" cm="1">
        <f t="array" ref="Q287">IFERROR(
  _xlfn.LET(
    _xlpm.ligpartie, MATCH($B286, Donnees!$F:$F, 0),
    _xlpm.joueurs, INDEX(Donnees!$A:$Z, _xlpm.ligpartie+1, _xlfn.SEQUENCE(1, 4, 2)),
    INDEX(
      Donnees!$A:$Z,
      _xlpm.ligpartie + 3,
      MATCH(Q$1, _xlpm.joueurs, 0) + 1
    )
  ), ""
)</f>
        <v>1</v>
      </c>
      <c r="R287" t="str" cm="1">
        <f t="array" ref="R287">IFERROR(
  _xlfn.LET(
    _xlpm.ligpartie, MATCH($B286, Donnees!$F:$F, 0),
    _xlpm.joueurs, INDEX(Donnees!$A:$Z, _xlpm.ligpartie+1, _xlfn.SEQUENCE(1, 4, 2)),
    INDEX(
      Donnees!$A:$Z,
      _xlpm.ligpartie + 3,
      MATCH(R$1, _xlpm.joueurs, 0) + 1
    )
  ), ""
)</f>
        <v/>
      </c>
      <c r="S287" t="str" cm="1">
        <f t="array" ref="S287">IFERROR(
  _xlfn.LET(
    _xlpm.ligpartie, MATCH($B286, Donnees!$F:$F, 0),
    _xlpm.joueurs, INDEX(Donnees!$A:$Z, _xlpm.ligpartie+1, _xlfn.SEQUENCE(1, 4, 2)),
    INDEX(
      Donnees!$A:$Z,
      _xlpm.ligpartie + 3,
      MATCH(S$1, _xlpm.joueurs, 0) + 1
    )
  ), ""
)</f>
        <v/>
      </c>
      <c r="T287" t="str" cm="1">
        <f t="array" ref="T287">IFERROR(
  _xlfn.LET(
    _xlpm.ligpartie, MATCH($B286, Donnees!$F:$F, 0),
    _xlpm.joueurs, INDEX(Donnees!$A:$Z, _xlpm.ligpartie+1, _xlfn.SEQUENCE(1, 4, 2)),
    INDEX(
      Donnees!$A:$Z,
      _xlpm.ligpartie + 3,
      MATCH(T$1, _xlpm.joueurs, 0) + 1
    )
  ), ""
)</f>
        <v/>
      </c>
      <c r="U287" t="str" cm="1">
        <f t="array" ref="U287">IFERROR(
  _xlfn.LET(
    _xlpm.ligpartie, MATCH($B286, Donnees!$F:$F, 0),
    _xlpm.joueurs, INDEX(Donnees!$A:$Z, _xlpm.ligpartie+1, _xlfn.SEQUENCE(1, 4, 2)),
    INDEX(
      Donnees!$A:$Z,
      _xlpm.ligpartie + 3,
      MATCH(U$1, _xlpm.joueurs, 0) + 1
    )
  ), ""
)</f>
        <v/>
      </c>
      <c r="V287" t="str" cm="1">
        <f t="array" ref="V287">IFERROR(
  _xlfn.LET(
    _xlpm.ligpartie, MATCH($B286, Donnees!$F:$F, 0),
    _xlpm.joueurs, INDEX(Donnees!$A:$Z, _xlpm.ligpartie+1, _xlfn.SEQUENCE(1, 4, 2)),
    INDEX(
      Donnees!$A:$Z,
      _xlpm.ligpartie + 3,
      MATCH(V$1, _xlpm.joueurs, 0) + 1
    )
  ), ""
)</f>
        <v/>
      </c>
      <c r="W287" t="str" cm="1">
        <f t="array" ref="W287">IFERROR(
  _xlfn.LET(
    _xlpm.ligpartie, MATCH($B286, Donnees!$F:$F, 0),
    _xlpm.joueurs, INDEX(Donnees!$A:$Z, _xlpm.ligpartie+1, _xlfn.SEQUENCE(1, 4, 2)),
    INDEX(
      Donnees!$A:$Z,
      _xlpm.ligpartie + 3,
      MATCH(W$1, _xlpm.joueurs, 0) + 1
    )
  ), ""
)</f>
        <v/>
      </c>
      <c r="X287" t="str" cm="1">
        <f t="array" ref="X287">IFERROR(
  _xlfn.LET(
    _xlpm.ligpartie, MATCH($B286, Donnees!$F:$F, 0),
    _xlpm.joueurs, INDEX(Donnees!$A:$Z, _xlpm.ligpartie+1, _xlfn.SEQUENCE(1, 4, 2)),
    INDEX(
      Donnees!$A:$Z,
      _xlpm.ligpartie + 3,
      MATCH(X$1, _xlpm.joueurs, 0) + 1
    )
  ), ""
)</f>
        <v/>
      </c>
      <c r="Y287" t="str" cm="1">
        <f t="array" ref="Y287">IFERROR(
  _xlfn.LET(
    _xlpm.ligpartie, MATCH($B286, Donnees!$F:$F, 0),
    _xlpm.joueurs, INDEX(Donnees!$A:$Z, _xlpm.ligpartie+1, _xlfn.SEQUENCE(1, 4, 2)),
    INDEX(
      Donnees!$A:$Z,
      _xlpm.ligpartie + 3,
      MATCH(Y$1, _xlpm.joueurs, 0) + 1
    )
  ), ""
)</f>
        <v/>
      </c>
      <c r="Z287" t="str" cm="1">
        <f t="array" ref="Z287">IFERROR(
  _xlfn.LET(
    _xlpm.ligpartie, MATCH($B286, Donnees!$F:$F, 0),
    _xlpm.joueurs, INDEX(Donnees!$A:$Z, _xlpm.ligpartie+1, _xlfn.SEQUENCE(1, 4, 2)),
    INDEX(
      Donnees!$A:$Z,
      _xlpm.ligpartie + 3,
      MATCH(Z$1, _xlpm.joueurs, 0) + 1
    )
  ), ""
)</f>
        <v/>
      </c>
      <c r="AA287" t="str" cm="1">
        <f t="array" ref="AA287">IFERROR(
  _xlfn.LET(
    _xlpm.ligpartie, MATCH($B286, Donnees!$F:$F, 0),
    _xlpm.joueurs, INDEX(Donnees!$A:$Z, _xlpm.ligpartie+1, _xlfn.SEQUENCE(1, 4, 2)),
    INDEX(
      Donnees!$A:$Z,
      _xlpm.ligpartie + 3,
      MATCH(AA$1, _xlpm.joueurs, 0) + 1
    )
  ), ""
)</f>
        <v/>
      </c>
      <c r="AB287" t="str" cm="1">
        <f t="array" ref="AB287">IFERROR(
  _xlfn.LET(
    _xlpm.ligpartie, MATCH($B286, Donnees!$F:$F, 0),
    _xlpm.joueurs, INDEX(Donnees!$A:$Z, _xlpm.ligpartie+1, _xlfn.SEQUENCE(1, 4, 2)),
    INDEX(
      Donnees!$A:$Z,
      _xlpm.ligpartie + 3,
      MATCH(AB$1, _xlpm.joueurs, 0) + 1
    )
  ), ""
)</f>
        <v/>
      </c>
      <c r="AC287" cm="1">
        <f t="array" ref="AC287">IFERROR(
  _xlfn.LET(
    _xlpm.ligpartie, MATCH($B286, Donnees!$F:$F, 0),
    _xlpm.joueurs, INDEX(Donnees!$A:$Z, _xlpm.ligpartie+1, _xlfn.SEQUENCE(1, 4, 2)),
    INDEX(
      Donnees!$A:$Z,
      _xlpm.ligpartie + 3,
      MATCH(AC$1, _xlpm.joueurs, 0) + 1
    )
  ), ""
)</f>
        <v>2</v>
      </c>
      <c r="AD287" t="str" cm="1">
        <f t="array" ref="AD287">IFERROR(
  _xlfn.LET(
    _xlpm.ligpartie, MATCH($B286, Donnees!$F:$F, 0),
    _xlpm.joueurs, INDEX(Donnees!$A:$Z, _xlpm.ligpartie+1, _xlfn.SEQUENCE(1, 4, 2)),
    INDEX(
      Donnees!$A:$Z,
      _xlpm.ligpartie + 3,
      MATCH(AD$1, _xlpm.joueurs, 0) + 1
    )
  ), ""
)</f>
        <v/>
      </c>
      <c r="AE287" t="str" cm="1">
        <f t="array" ref="AE287">IFERROR(
  _xlfn.LET(
    _xlpm.ligpartie, MATCH($B286, Donnees!$F:$F, 0),
    _xlpm.joueurs, INDEX(Donnees!$A:$Z, _xlpm.ligpartie+1, _xlfn.SEQUENCE(1, 4, 2)),
    INDEX(
      Donnees!$A:$Z,
      _xlpm.ligpartie + 3,
      MATCH(AE$1, _xlpm.joueurs, 0) + 1
    )
  ), ""
)</f>
        <v/>
      </c>
      <c r="AF287" t="str" cm="1">
        <f t="array" ref="AF287">IFERROR(
  _xlfn.LET(
    _xlpm.ligpartie, MATCH($B286, Donnees!$F:$F, 0),
    _xlpm.joueurs, INDEX(Donnees!$A:$Z, _xlpm.ligpartie+1, _xlfn.SEQUENCE(1, 4, 2)),
    INDEX(
      Donnees!$A:$Z,
      _xlpm.ligpartie + 3,
      MATCH(AF$1, _xlpm.joueurs, 0) + 1
    )
  ), ""
)</f>
        <v/>
      </c>
      <c r="AG287" t="str" cm="1">
        <f t="array" ref="AG287">IFERROR(
  _xlfn.LET(
    _xlpm.ligpartie, MATCH($B286, Donnees!$F:$F, 0),
    _xlpm.joueurs, INDEX(Donnees!$A:$Z, _xlpm.ligpartie+1, _xlfn.SEQUENCE(1, 4, 2)),
    INDEX(
      Donnees!$A:$Z,
      _xlpm.ligpartie + 3,
      MATCH(AG$1, _xlpm.joueurs, 0) + 1
    )
  ), ""
)</f>
        <v/>
      </c>
      <c r="AH287" t="str" cm="1">
        <f t="array" ref="AH287">IFERROR(
  _xlfn.LET(
    _xlpm.ligpartie, MATCH($B286, Donnees!$F:$F, 0),
    _xlpm.joueurs, INDEX(Donnees!$A:$Z, _xlpm.ligpartie+1, _xlfn.SEQUENCE(1, 4, 2)),
    INDEX(
      Donnees!$A:$Z,
      _xlpm.ligpartie + 3,
      MATCH(AH$1, _xlpm.joueurs, 0) + 1
    )
  ), ""
)</f>
        <v/>
      </c>
      <c r="AI287" cm="1">
        <f t="array" ref="AI287">IFERROR(
  _xlfn.LET(
    _xlpm.ligpartie, MATCH($B286, Donnees!$F:$F, 0),
    _xlpm.joueurs, INDEX(Donnees!$A:$Z, _xlpm.ligpartie+1, _xlfn.SEQUENCE(1, 4, 2)),
    INDEX(
      Donnees!$A:$Z,
      _xlpm.ligpartie + 3,
      MATCH(AI$1, _xlpm.joueurs, 0) + 1
    )
  ), ""
)</f>
        <v>0</v>
      </c>
      <c r="AJ287" t="str" cm="1">
        <f t="array" ref="AJ287">IFERROR(
  _xlfn.LET(
    _xlpm.ligpartie, MATCH($B286, Donnees!$F:$F, 0),
    _xlpm.joueurs, INDEX(Donnees!$A:$Z, _xlpm.ligpartie+1, _xlfn.SEQUENCE(1, 4, 2)),
    INDEX(
      Donnees!$A:$Z,
      _xlpm.ligpartie + 3,
      MATCH(AJ$1, _xlpm.joueurs, 0) + 1
    )
  ), ""
)</f>
        <v/>
      </c>
      <c r="AK287" t="str" cm="1">
        <f t="array" ref="AK287">IFERROR(
  _xlfn.LET(
    _xlpm.ligpartie, MATCH($B286, Donnees!$F:$F, 0),
    _xlpm.joueurs, INDEX(Donnees!$A:$Z, _xlpm.ligpartie+1, _xlfn.SEQUENCE(1, 4, 2)),
    INDEX(
      Donnees!$A:$Z,
      _xlpm.ligpartie + 3,
      MATCH(AK$1, _xlpm.joueurs, 0) + 1
    )
  ), ""
)</f>
        <v/>
      </c>
      <c r="AL287" t="str" cm="1">
        <f t="array" ref="AL287">IFERROR(
  _xlfn.LET(
    _xlpm.ligpartie, MATCH($B286, Donnees!$F:$F, 0),
    _xlpm.joueurs, INDEX(Donnees!$A:$Z, _xlpm.ligpartie+1, _xlfn.SEQUENCE(1, 4, 2)),
    INDEX(
      Donnees!$A:$Z,
      _xlpm.ligpartie + 3,
      MATCH(AL$1, _xlpm.joueurs, 0) + 1
    )
  ), ""
)</f>
        <v/>
      </c>
      <c r="AM287" t="str" cm="1">
        <f t="array" ref="AM287">IFERROR(
  _xlfn.LET(
    _xlpm.ligpartie, MATCH($B286, Donnees!$F:$F, 0),
    _xlpm.joueurs, INDEX(Donnees!$A:$Z, _xlpm.ligpartie+1, _xlfn.SEQUENCE(1, 4, 2)),
    INDEX(
      Donnees!$A:$Z,
      _xlpm.ligpartie + 3,
      MATCH(AM$1, _xlpm.joueurs, 0) + 1
    )
  ), ""
)</f>
        <v/>
      </c>
    </row>
    <row r="288" spans="1:39" x14ac:dyDescent="0.25">
      <c r="A288" t="s">
        <v>20</v>
      </c>
      <c r="D288" t="str" cm="1">
        <f t="array" ref="D288">_xlfn.LET(
  _xlpm.colj, _xlfn._xlws.FILTER(IF(ISNUMBER(287:287), COLUMN(287:287)), ISNUMBER(287:287)),
  _xlpm.elos, INDEX(286:286,1,_xlpm.colj),
  _xlpm.diffscale, Constantes!$B$2,
  IF(D287="",
    "",
    SUM(1/(1+POWER(10,-(D286-_xlpm.elos)/_xlpm.diffscale)))-0.5)
)</f>
        <v/>
      </c>
      <c r="E288" t="str" cm="1">
        <f t="array" ref="E288">_xlfn.LET(
  _xlpm.colj, _xlfn._xlws.FILTER(IF(ISNUMBER(287:287), COLUMN(287:287)), ISNUMBER(287:287)),
  _xlpm.elos, INDEX(286:286,1,_xlpm.colj),
  _xlpm.diffscale, Constantes!$B$2,
  IF(E287="",
    "",
    SUM(1/(1+POWER(10,-(E286-_xlpm.elos)/_xlpm.diffscale)))-0.5)
)</f>
        <v/>
      </c>
      <c r="F288" t="str" cm="1">
        <f t="array" ref="F288">_xlfn.LET(
  _xlpm.colj, _xlfn._xlws.FILTER(IF(ISNUMBER(287:287), COLUMN(287:287)), ISNUMBER(287:287)),
  _xlpm.elos, INDEX(286:286,1,_xlpm.colj),
  _xlpm.diffscale, Constantes!$B$2,
  IF(F287="",
    "",
    SUM(1/(1+POWER(10,-(F286-_xlpm.elos)/_xlpm.diffscale)))-0.5)
)</f>
        <v/>
      </c>
      <c r="G288" t="str" cm="1">
        <f t="array" ref="G288">_xlfn.LET(
  _xlpm.colj, _xlfn._xlws.FILTER(IF(ISNUMBER(287:287), COLUMN(287:287)), ISNUMBER(287:287)),
  _xlpm.elos, INDEX(286:286,1,_xlpm.colj),
  _xlpm.diffscale, Constantes!$B$2,
  IF(G287="",
    "",
    SUM(1/(1+POWER(10,-(G286-_xlpm.elos)/_xlpm.diffscale)))-0.5)
)</f>
        <v/>
      </c>
      <c r="H288" cm="1">
        <f t="array" ref="H288">_xlfn.LET(
  _xlpm.colj, _xlfn._xlws.FILTER(IF(ISNUMBER(287:287), COLUMN(287:287)), ISNUMBER(287:287)),
  _xlpm.elos, INDEX(286:286,1,_xlpm.colj),
  _xlpm.diffscale, Constantes!$B$2,
  IF(H287="",
    "",
    SUM(1/(1+POWER(10,-(H286-_xlpm.elos)/_xlpm.diffscale)))-0.5)
)</f>
        <v>1.9250645791206811</v>
      </c>
      <c r="I288" t="str" cm="1">
        <f t="array" ref="I288">_xlfn.LET(
  _xlpm.colj, _xlfn._xlws.FILTER(IF(ISNUMBER(287:287), COLUMN(287:287)), ISNUMBER(287:287)),
  _xlpm.elos, INDEX(286:286,1,_xlpm.colj),
  _xlpm.diffscale, Constantes!$B$2,
  IF(I287="",
    "",
    SUM(1/(1+POWER(10,-(I286-_xlpm.elos)/_xlpm.diffscale)))-0.5)
)</f>
        <v/>
      </c>
      <c r="J288" t="str" cm="1">
        <f t="array" ref="J288">_xlfn.LET(
  _xlpm.colj, _xlfn._xlws.FILTER(IF(ISNUMBER(287:287), COLUMN(287:287)), ISNUMBER(287:287)),
  _xlpm.elos, INDEX(286:286,1,_xlpm.colj),
  _xlpm.diffscale, Constantes!$B$2,
  IF(J287="",
    "",
    SUM(1/(1+POWER(10,-(J286-_xlpm.elos)/_xlpm.diffscale)))-0.5)
)</f>
        <v/>
      </c>
      <c r="K288" t="str" cm="1">
        <f t="array" ref="K288">_xlfn.LET(
  _xlpm.colj, _xlfn._xlws.FILTER(IF(ISNUMBER(287:287), COLUMN(287:287)), ISNUMBER(287:287)),
  _xlpm.elos, INDEX(286:286,1,_xlpm.colj),
  _xlpm.diffscale, Constantes!$B$2,
  IF(K287="",
    "",
    SUM(1/(1+POWER(10,-(K286-_xlpm.elos)/_xlpm.diffscale)))-0.5)
)</f>
        <v/>
      </c>
      <c r="L288" t="str" cm="1">
        <f t="array" ref="L288">_xlfn.LET(
  _xlpm.colj, _xlfn._xlws.FILTER(IF(ISNUMBER(287:287), COLUMN(287:287)), ISNUMBER(287:287)),
  _xlpm.elos, INDEX(286:286,1,_xlpm.colj),
  _xlpm.diffscale, Constantes!$B$2,
  IF(L287="",
    "",
    SUM(1/(1+POWER(10,-(L286-_xlpm.elos)/_xlpm.diffscale)))-0.5)
)</f>
        <v/>
      </c>
      <c r="M288" t="str" cm="1">
        <f t="array" ref="M288">_xlfn.LET(
  _xlpm.colj, _xlfn._xlws.FILTER(IF(ISNUMBER(287:287), COLUMN(287:287)), ISNUMBER(287:287)),
  _xlpm.elos, INDEX(286:286,1,_xlpm.colj),
  _xlpm.diffscale, Constantes!$B$2,
  IF(M287="",
    "",
    SUM(1/(1+POWER(10,-(M286-_xlpm.elos)/_xlpm.diffscale)))-0.5)
)</f>
        <v/>
      </c>
      <c r="N288" t="str" cm="1">
        <f t="array" ref="N288">_xlfn.LET(
  _xlpm.colj, _xlfn._xlws.FILTER(IF(ISNUMBER(287:287), COLUMN(287:287)), ISNUMBER(287:287)),
  _xlpm.elos, INDEX(286:286,1,_xlpm.colj),
  _xlpm.diffscale, Constantes!$B$2,
  IF(N287="",
    "",
    SUM(1/(1+POWER(10,-(N286-_xlpm.elos)/_xlpm.diffscale)))-0.5)
)</f>
        <v/>
      </c>
      <c r="O288" t="str" cm="1">
        <f t="array" ref="O288">_xlfn.LET(
  _xlpm.colj, _xlfn._xlws.FILTER(IF(ISNUMBER(287:287), COLUMN(287:287)), ISNUMBER(287:287)),
  _xlpm.elos, INDEX(286:286,1,_xlpm.colj),
  _xlpm.diffscale, Constantes!$B$2,
  IF(O287="",
    "",
    SUM(1/(1+POWER(10,-(O286-_xlpm.elos)/_xlpm.diffscale)))-0.5)
)</f>
        <v/>
      </c>
      <c r="P288" t="str" cm="1">
        <f t="array" ref="P288">_xlfn.LET(
  _xlpm.colj, _xlfn._xlws.FILTER(IF(ISNUMBER(287:287), COLUMN(287:287)), ISNUMBER(287:287)),
  _xlpm.elos, INDEX(286:286,1,_xlpm.colj),
  _xlpm.diffscale, Constantes!$B$2,
  IF(P287="",
    "",
    SUM(1/(1+POWER(10,-(P286-_xlpm.elos)/_xlpm.diffscale)))-0.5)
)</f>
        <v/>
      </c>
      <c r="Q288" cm="1">
        <f t="array" ref="Q288">_xlfn.LET(
  _xlpm.colj, _xlfn._xlws.FILTER(IF(ISNUMBER(287:287), COLUMN(287:287)), ISNUMBER(287:287)),
  _xlpm.elos, INDEX(286:286,1,_xlpm.colj),
  _xlpm.diffscale, Constantes!$B$2,
  IF(Q287="",
    "",
    SUM(1/(1+POWER(10,-(Q286-_xlpm.elos)/_xlpm.diffscale)))-0.5)
)</f>
        <v>1.6614880179682214</v>
      </c>
      <c r="R288" t="str" cm="1">
        <f t="array" ref="R288">_xlfn.LET(
  _xlpm.colj, _xlfn._xlws.FILTER(IF(ISNUMBER(287:287), COLUMN(287:287)), ISNUMBER(287:287)),
  _xlpm.elos, INDEX(286:286,1,_xlpm.colj),
  _xlpm.diffscale, Constantes!$B$2,
  IF(R287="",
    "",
    SUM(1/(1+POWER(10,-(R286-_xlpm.elos)/_xlpm.diffscale)))-0.5)
)</f>
        <v/>
      </c>
      <c r="S288" t="str" cm="1">
        <f t="array" ref="S288">_xlfn.LET(
  _xlpm.colj, _xlfn._xlws.FILTER(IF(ISNUMBER(287:287), COLUMN(287:287)), ISNUMBER(287:287)),
  _xlpm.elos, INDEX(286:286,1,_xlpm.colj),
  _xlpm.diffscale, Constantes!$B$2,
  IF(S287="",
    "",
    SUM(1/(1+POWER(10,-(S286-_xlpm.elos)/_xlpm.diffscale)))-0.5)
)</f>
        <v/>
      </c>
      <c r="T288" t="str" cm="1">
        <f t="array" ref="T288">_xlfn.LET(
  _xlpm.colj, _xlfn._xlws.FILTER(IF(ISNUMBER(287:287), COLUMN(287:287)), ISNUMBER(287:287)),
  _xlpm.elos, INDEX(286:286,1,_xlpm.colj),
  _xlpm.diffscale, Constantes!$B$2,
  IF(T287="",
    "",
    SUM(1/(1+POWER(10,-(T286-_xlpm.elos)/_xlpm.diffscale)))-0.5)
)</f>
        <v/>
      </c>
      <c r="U288" t="str" cm="1">
        <f t="array" ref="U288">_xlfn.LET(
  _xlpm.colj, _xlfn._xlws.FILTER(IF(ISNUMBER(287:287), COLUMN(287:287)), ISNUMBER(287:287)),
  _xlpm.elos, INDEX(286:286,1,_xlpm.colj),
  _xlpm.diffscale, Constantes!$B$2,
  IF(U287="",
    "",
    SUM(1/(1+POWER(10,-(U286-_xlpm.elos)/_xlpm.diffscale)))-0.5)
)</f>
        <v/>
      </c>
      <c r="V288" t="str" cm="1">
        <f t="array" ref="V288">_xlfn.LET(
  _xlpm.colj, _xlfn._xlws.FILTER(IF(ISNUMBER(287:287), COLUMN(287:287)), ISNUMBER(287:287)),
  _xlpm.elos, INDEX(286:286,1,_xlpm.colj),
  _xlpm.diffscale, Constantes!$B$2,
  IF(V287="",
    "",
    SUM(1/(1+POWER(10,-(V286-_xlpm.elos)/_xlpm.diffscale)))-0.5)
)</f>
        <v/>
      </c>
      <c r="W288" t="str" cm="1">
        <f t="array" ref="W288">_xlfn.LET(
  _xlpm.colj, _xlfn._xlws.FILTER(IF(ISNUMBER(287:287), COLUMN(287:287)), ISNUMBER(287:287)),
  _xlpm.elos, INDEX(286:286,1,_xlpm.colj),
  _xlpm.diffscale, Constantes!$B$2,
  IF(W287="",
    "",
    SUM(1/(1+POWER(10,-(W286-_xlpm.elos)/_xlpm.diffscale)))-0.5)
)</f>
        <v/>
      </c>
      <c r="X288" t="str" cm="1">
        <f t="array" ref="X288">_xlfn.LET(
  _xlpm.colj, _xlfn._xlws.FILTER(IF(ISNUMBER(287:287), COLUMN(287:287)), ISNUMBER(287:287)),
  _xlpm.elos, INDEX(286:286,1,_xlpm.colj),
  _xlpm.diffscale, Constantes!$B$2,
  IF(X287="",
    "",
    SUM(1/(1+POWER(10,-(X286-_xlpm.elos)/_xlpm.diffscale)))-0.5)
)</f>
        <v/>
      </c>
      <c r="Y288" t="str" cm="1">
        <f t="array" ref="Y288">_xlfn.LET(
  _xlpm.colj, _xlfn._xlws.FILTER(IF(ISNUMBER(287:287), COLUMN(287:287)), ISNUMBER(287:287)),
  _xlpm.elos, INDEX(286:286,1,_xlpm.colj),
  _xlpm.diffscale, Constantes!$B$2,
  IF(Y287="",
    "",
    SUM(1/(1+POWER(10,-(Y286-_xlpm.elos)/_xlpm.diffscale)))-0.5)
)</f>
        <v/>
      </c>
      <c r="Z288" t="str" cm="1">
        <f t="array" ref="Z288">_xlfn.LET(
  _xlpm.colj, _xlfn._xlws.FILTER(IF(ISNUMBER(287:287), COLUMN(287:287)), ISNUMBER(287:287)),
  _xlpm.elos, INDEX(286:286,1,_xlpm.colj),
  _xlpm.diffscale, Constantes!$B$2,
  IF(Z287="",
    "",
    SUM(1/(1+POWER(10,-(Z286-_xlpm.elos)/_xlpm.diffscale)))-0.5)
)</f>
        <v/>
      </c>
      <c r="AA288" t="str" cm="1">
        <f t="array" ref="AA288">_xlfn.LET(
  _xlpm.colj, _xlfn._xlws.FILTER(IF(ISNUMBER(287:287), COLUMN(287:287)), ISNUMBER(287:287)),
  _xlpm.elos, INDEX(286:286,1,_xlpm.colj),
  _xlpm.diffscale, Constantes!$B$2,
  IF(AA287="",
    "",
    SUM(1/(1+POWER(10,-(AA286-_xlpm.elos)/_xlpm.diffscale)))-0.5)
)</f>
        <v/>
      </c>
      <c r="AB288" t="str" cm="1">
        <f t="array" ref="AB288">_xlfn.LET(
  _xlpm.colj, _xlfn._xlws.FILTER(IF(ISNUMBER(287:287), COLUMN(287:287)), ISNUMBER(287:287)),
  _xlpm.elos, INDEX(286:286,1,_xlpm.colj),
  _xlpm.diffscale, Constantes!$B$2,
  IF(AB287="",
    "",
    SUM(1/(1+POWER(10,-(AB286-_xlpm.elos)/_xlpm.diffscale)))-0.5)
)</f>
        <v/>
      </c>
      <c r="AC288" cm="1">
        <f t="array" ref="AC288">_xlfn.LET(
  _xlpm.colj, _xlfn._xlws.FILTER(IF(ISNUMBER(287:287), COLUMN(287:287)), ISNUMBER(287:287)),
  _xlpm.elos, INDEX(286:286,1,_xlpm.colj),
  _xlpm.diffscale, Constantes!$B$2,
  IF(AC287="",
    "",
    SUM(1/(1+POWER(10,-(AC286-_xlpm.elos)/_xlpm.diffscale)))-0.5)
)</f>
        <v>1.5877912102707197</v>
      </c>
      <c r="AD288" t="str" cm="1">
        <f t="array" ref="AD288">_xlfn.LET(
  _xlpm.colj, _xlfn._xlws.FILTER(IF(ISNUMBER(287:287), COLUMN(287:287)), ISNUMBER(287:287)),
  _xlpm.elos, INDEX(286:286,1,_xlpm.colj),
  _xlpm.diffscale, Constantes!$B$2,
  IF(AD287="",
    "",
    SUM(1/(1+POWER(10,-(AD286-_xlpm.elos)/_xlpm.diffscale)))-0.5)
)</f>
        <v/>
      </c>
      <c r="AE288" t="str" cm="1">
        <f t="array" ref="AE288">_xlfn.LET(
  _xlpm.colj, _xlfn._xlws.FILTER(IF(ISNUMBER(287:287), COLUMN(287:287)), ISNUMBER(287:287)),
  _xlpm.elos, INDEX(286:286,1,_xlpm.colj),
  _xlpm.diffscale, Constantes!$B$2,
  IF(AE287="",
    "",
    SUM(1/(1+POWER(10,-(AE286-_xlpm.elos)/_xlpm.diffscale)))-0.5)
)</f>
        <v/>
      </c>
      <c r="AF288" t="str" cm="1">
        <f t="array" ref="AF288">_xlfn.LET(
  _xlpm.colj, _xlfn._xlws.FILTER(IF(ISNUMBER(287:287), COLUMN(287:287)), ISNUMBER(287:287)),
  _xlpm.elos, INDEX(286:286,1,_xlpm.colj),
  _xlpm.diffscale, Constantes!$B$2,
  IF(AF287="",
    "",
    SUM(1/(1+POWER(10,-(AF286-_xlpm.elos)/_xlpm.diffscale)))-0.5)
)</f>
        <v/>
      </c>
      <c r="AG288" t="str" cm="1">
        <f t="array" ref="AG288">_xlfn.LET(
  _xlpm.colj, _xlfn._xlws.FILTER(IF(ISNUMBER(287:287), COLUMN(287:287)), ISNUMBER(287:287)),
  _xlpm.elos, INDEX(286:286,1,_xlpm.colj),
  _xlpm.diffscale, Constantes!$B$2,
  IF(AG287="",
    "",
    SUM(1/(1+POWER(10,-(AG286-_xlpm.elos)/_xlpm.diffscale)))-0.5)
)</f>
        <v/>
      </c>
      <c r="AH288" t="str" cm="1">
        <f t="array" ref="AH288">_xlfn.LET(
  _xlpm.colj, _xlfn._xlws.FILTER(IF(ISNUMBER(287:287), COLUMN(287:287)), ISNUMBER(287:287)),
  _xlpm.elos, INDEX(286:286,1,_xlpm.colj),
  _xlpm.diffscale, Constantes!$B$2,
  IF(AH287="",
    "",
    SUM(1/(1+POWER(10,-(AH286-_xlpm.elos)/_xlpm.diffscale)))-0.5)
)</f>
        <v/>
      </c>
      <c r="AI288" cm="1">
        <f t="array" ref="AI288">_xlfn.LET(
  _xlpm.colj, _xlfn._xlws.FILTER(IF(ISNUMBER(287:287), COLUMN(287:287)), ISNUMBER(287:287)),
  _xlpm.elos, INDEX(286:286,1,_xlpm.colj),
  _xlpm.diffscale, Constantes!$B$2,
  IF(AI287="",
    "",
    SUM(1/(1+POWER(10,-(AI286-_xlpm.elos)/_xlpm.diffscale)))-0.5)
)</f>
        <v>0.82565619264037804</v>
      </c>
      <c r="AJ288" t="str" cm="1">
        <f t="array" ref="AJ288">_xlfn.LET(
  _xlpm.colj, _xlfn._xlws.FILTER(IF(ISNUMBER(287:287), COLUMN(287:287)), ISNUMBER(287:287)),
  _xlpm.elos, INDEX(286:286,1,_xlpm.colj),
  _xlpm.diffscale, Constantes!$B$2,
  IF(AJ287="",
    "",
    SUM(1/(1+POWER(10,-(AJ286-_xlpm.elos)/_xlpm.diffscale)))-0.5)
)</f>
        <v/>
      </c>
      <c r="AK288" t="str" cm="1">
        <f t="array" ref="AK288">_xlfn.LET(
  _xlpm.colj, _xlfn._xlws.FILTER(IF(ISNUMBER(287:287), COLUMN(287:287)), ISNUMBER(287:287)),
  _xlpm.elos, INDEX(286:286,1,_xlpm.colj),
  _xlpm.diffscale, Constantes!$B$2,
  IF(AK287="",
    "",
    SUM(1/(1+POWER(10,-(AK286-_xlpm.elos)/_xlpm.diffscale)))-0.5)
)</f>
        <v/>
      </c>
      <c r="AL288" t="str" cm="1">
        <f t="array" ref="AL288">_xlfn.LET(
  _xlpm.colj, _xlfn._xlws.FILTER(IF(ISNUMBER(287:287), COLUMN(287:287)), ISNUMBER(287:287)),
  _xlpm.elos, INDEX(286:286,1,_xlpm.colj),
  _xlpm.diffscale, Constantes!$B$2,
  IF(AL287="",
    "",
    SUM(1/(1+POWER(10,-(AL286-_xlpm.elos)/_xlpm.diffscale)))-0.5)
)</f>
        <v/>
      </c>
      <c r="AM288" t="str" cm="1">
        <f t="array" ref="AM288">_xlfn.LET(
  _xlpm.colj, _xlfn._xlws.FILTER(IF(ISNUMBER(287:287), COLUMN(287:287)), ISNUMBER(287:287)),
  _xlpm.elos, INDEX(286:286,1,_xlpm.colj),
  _xlpm.diffscale, Constantes!$B$2,
  IF(AM287="",
    "",
    SUM(1/(1+POWER(10,-(AM286-_xlpm.elos)/_xlpm.diffscale)))-0.5)
)</f>
        <v/>
      </c>
    </row>
    <row r="289" spans="1:39" x14ac:dyDescent="0.25">
      <c r="A289" t="s">
        <v>22</v>
      </c>
      <c r="D289" t="str" cm="1">
        <f t="array" ref="D289">_xlfn.LET(
  _xlpm.K, Constantes!$B$3,
  _xlpm.Knewgain, Constantes!$B$4,
  _xlpm.Knewscale, Constantes!$B$5,
  _xlpm.ptstables, INDEX(D:D, _xlfn.SEQUENCE(COUNTA($C$2:$C289), 1, 3, 4)),
  _xlpm.nbparties, COUNTA(_xlfn._xlws.FILTER(_xlpm.ptstables, _xlpm.ptstables &lt;&gt; "")),
  _xlpm.coef, _xlpm.K + _xlpm.Knewgain / (_xlpm.Knewscale + _xlpm.nbparties),
  IF(D287="",
    "",
    _xlpm.coef * (D287-D288))
)</f>
        <v/>
      </c>
      <c r="E289" t="str" cm="1">
        <f t="array" ref="E289">_xlfn.LET(
  _xlpm.K, Constantes!$B$3,
  _xlpm.Knewgain, Constantes!$B$4,
  _xlpm.Knewscale, Constantes!$B$5,
  _xlpm.ptstables, INDEX(E:E, _xlfn.SEQUENCE(COUNTA($C$2:$C289), 1, 3, 4)),
  _xlpm.nbparties, COUNTA(_xlfn._xlws.FILTER(_xlpm.ptstables, _xlpm.ptstables &lt;&gt; "")),
  _xlpm.coef, _xlpm.K + _xlpm.Knewgain / (_xlpm.Knewscale + _xlpm.nbparties),
  IF(E287="",
    "",
    _xlpm.coef * (E287-E288))
)</f>
        <v/>
      </c>
      <c r="F289" t="str" cm="1">
        <f t="array" ref="F289">_xlfn.LET(
  _xlpm.K, Constantes!$B$3,
  _xlpm.Knewgain, Constantes!$B$4,
  _xlpm.Knewscale, Constantes!$B$5,
  _xlpm.ptstables, INDEX(F:F, _xlfn.SEQUENCE(COUNTA($C$2:$C289), 1, 3, 4)),
  _xlpm.nbparties, COUNTA(_xlfn._xlws.FILTER(_xlpm.ptstables, _xlpm.ptstables &lt;&gt; "")),
  _xlpm.coef, _xlpm.K + _xlpm.Knewgain / (_xlpm.Knewscale + _xlpm.nbparties),
  IF(F287="",
    "",
    _xlpm.coef * (F287-F288))
)</f>
        <v/>
      </c>
      <c r="G289" t="str" cm="1">
        <f t="array" ref="G289">_xlfn.LET(
  _xlpm.K, Constantes!$B$3,
  _xlpm.Knewgain, Constantes!$B$4,
  _xlpm.Knewscale, Constantes!$B$5,
  _xlpm.ptstables, INDEX(G:G, _xlfn.SEQUENCE(COUNTA($C$2:$C289), 1, 3, 4)),
  _xlpm.nbparties, COUNTA(_xlfn._xlws.FILTER(_xlpm.ptstables, _xlpm.ptstables &lt;&gt; "")),
  _xlpm.coef, _xlpm.K + _xlpm.Knewgain / (_xlpm.Knewscale + _xlpm.nbparties),
  IF(G287="",
    "",
    _xlpm.coef * (G287-G288))
)</f>
        <v/>
      </c>
      <c r="H289" cm="1">
        <f t="array" ref="H289">_xlfn.LET(
  _xlpm.K, Constantes!$B$3,
  _xlpm.Knewgain, Constantes!$B$4,
  _xlpm.Knewscale, Constantes!$B$5,
  _xlpm.ptstables, INDEX(H:H, _xlfn.SEQUENCE(COUNTA($C$2:$C289), 1, 3, 4)),
  _xlpm.nbparties, COUNTA(_xlfn._xlws.FILTER(_xlpm.ptstables, _xlpm.ptstables &lt;&gt; "")),
  _xlpm.coef, _xlpm.K + _xlpm.Knewgain / (_xlpm.Knewscale + _xlpm.nbparties),
  IF(H287="",
    "",
    _xlpm.coef * (H287-H288))
)</f>
        <v>25.977606004583542</v>
      </c>
      <c r="I289" t="str" cm="1">
        <f t="array" ref="I289">_xlfn.LET(
  _xlpm.K, Constantes!$B$3,
  _xlpm.Knewgain, Constantes!$B$4,
  _xlpm.Knewscale, Constantes!$B$5,
  _xlpm.ptstables, INDEX(I:I, _xlfn.SEQUENCE(COUNTA($C$2:$C289), 1, 3, 4)),
  _xlpm.nbparties, COUNTA(_xlfn._xlws.FILTER(_xlpm.ptstables, _xlpm.ptstables &lt;&gt; "")),
  _xlpm.coef, _xlpm.K + _xlpm.Knewgain / (_xlpm.Knewscale + _xlpm.nbparties),
  IF(I287="",
    "",
    _xlpm.coef * (I287-I288))
)</f>
        <v/>
      </c>
      <c r="J289" t="str" cm="1">
        <f t="array" ref="J289">_xlfn.LET(
  _xlpm.K, Constantes!$B$3,
  _xlpm.Knewgain, Constantes!$B$4,
  _xlpm.Knewscale, Constantes!$B$5,
  _xlpm.ptstables, INDEX(J:J, _xlfn.SEQUENCE(COUNTA($C$2:$C289), 1, 3, 4)),
  _xlpm.nbparties, COUNTA(_xlfn._xlws.FILTER(_xlpm.ptstables, _xlpm.ptstables &lt;&gt; "")),
  _xlpm.coef, _xlpm.K + _xlpm.Knewgain / (_xlpm.Knewscale + _xlpm.nbparties),
  IF(J287="",
    "",
    _xlpm.coef * (J287-J288))
)</f>
        <v/>
      </c>
      <c r="K289" t="str" cm="1">
        <f t="array" ref="K289">_xlfn.LET(
  _xlpm.K, Constantes!$B$3,
  _xlpm.Knewgain, Constantes!$B$4,
  _xlpm.Knewscale, Constantes!$B$5,
  _xlpm.ptstables, INDEX(K:K, _xlfn.SEQUENCE(COUNTA($C$2:$C289), 1, 3, 4)),
  _xlpm.nbparties, COUNTA(_xlfn._xlws.FILTER(_xlpm.ptstables, _xlpm.ptstables &lt;&gt; "")),
  _xlpm.coef, _xlpm.K + _xlpm.Knewgain / (_xlpm.Knewscale + _xlpm.nbparties),
  IF(K287="",
    "",
    _xlpm.coef * (K287-K288))
)</f>
        <v/>
      </c>
      <c r="L289" t="str" cm="1">
        <f t="array" ref="L289">_xlfn.LET(
  _xlpm.K, Constantes!$B$3,
  _xlpm.Knewgain, Constantes!$B$4,
  _xlpm.Knewscale, Constantes!$B$5,
  _xlpm.ptstables, INDEX(L:L, _xlfn.SEQUENCE(COUNTA($C$2:$C289), 1, 3, 4)),
  _xlpm.nbparties, COUNTA(_xlfn._xlws.FILTER(_xlpm.ptstables, _xlpm.ptstables &lt;&gt; "")),
  _xlpm.coef, _xlpm.K + _xlpm.Knewgain / (_xlpm.Knewscale + _xlpm.nbparties),
  IF(L287="",
    "",
    _xlpm.coef * (L287-L288))
)</f>
        <v/>
      </c>
      <c r="M289" t="str" cm="1">
        <f t="array" ref="M289">_xlfn.LET(
  _xlpm.K, Constantes!$B$3,
  _xlpm.Knewgain, Constantes!$B$4,
  _xlpm.Knewscale, Constantes!$B$5,
  _xlpm.ptstables, INDEX(M:M, _xlfn.SEQUENCE(COUNTA($C$2:$C289), 1, 3, 4)),
  _xlpm.nbparties, COUNTA(_xlfn._xlws.FILTER(_xlpm.ptstables, _xlpm.ptstables &lt;&gt; "")),
  _xlpm.coef, _xlpm.K + _xlpm.Knewgain / (_xlpm.Knewscale + _xlpm.nbparties),
  IF(M287="",
    "",
    _xlpm.coef * (M287-M288))
)</f>
        <v/>
      </c>
      <c r="N289" t="str" cm="1">
        <f t="array" ref="N289">_xlfn.LET(
  _xlpm.K, Constantes!$B$3,
  _xlpm.Knewgain, Constantes!$B$4,
  _xlpm.Knewscale, Constantes!$B$5,
  _xlpm.ptstables, INDEX(N:N, _xlfn.SEQUENCE(COUNTA($C$2:$C289), 1, 3, 4)),
  _xlpm.nbparties, COUNTA(_xlfn._xlws.FILTER(_xlpm.ptstables, _xlpm.ptstables &lt;&gt; "")),
  _xlpm.coef, _xlpm.K + _xlpm.Knewgain / (_xlpm.Knewscale + _xlpm.nbparties),
  IF(N287="",
    "",
    _xlpm.coef * (N287-N288))
)</f>
        <v/>
      </c>
      <c r="O289" t="str" cm="1">
        <f t="array" ref="O289">_xlfn.LET(
  _xlpm.K, Constantes!$B$3,
  _xlpm.Knewgain, Constantes!$B$4,
  _xlpm.Knewscale, Constantes!$B$5,
  _xlpm.ptstables, INDEX(O:O, _xlfn.SEQUENCE(COUNTA($C$2:$C289), 1, 3, 4)),
  _xlpm.nbparties, COUNTA(_xlfn._xlws.FILTER(_xlpm.ptstables, _xlpm.ptstables &lt;&gt; "")),
  _xlpm.coef, _xlpm.K + _xlpm.Knewgain / (_xlpm.Knewscale + _xlpm.nbparties),
  IF(O287="",
    "",
    _xlpm.coef * (O287-O288))
)</f>
        <v/>
      </c>
      <c r="P289" t="str" cm="1">
        <f t="array" ref="P289">_xlfn.LET(
  _xlpm.K, Constantes!$B$3,
  _xlpm.Knewgain, Constantes!$B$4,
  _xlpm.Knewscale, Constantes!$B$5,
  _xlpm.ptstables, INDEX(P:P, _xlfn.SEQUENCE(COUNTA($C$2:$C289), 1, 3, 4)),
  _xlpm.nbparties, COUNTA(_xlfn._xlws.FILTER(_xlpm.ptstables, _xlpm.ptstables &lt;&gt; "")),
  _xlpm.coef, _xlpm.K + _xlpm.Knewgain / (_xlpm.Knewscale + _xlpm.nbparties),
  IF(P287="",
    "",
    _xlpm.coef * (P287-P288))
)</f>
        <v/>
      </c>
      <c r="Q289" cm="1">
        <f t="array" ref="Q289">_xlfn.LET(
  _xlpm.K, Constantes!$B$3,
  _xlpm.Knewgain, Constantes!$B$4,
  _xlpm.Knewscale, Constantes!$B$5,
  _xlpm.ptstables, INDEX(Q:Q, _xlfn.SEQUENCE(COUNTA($C$2:$C289), 1, 3, 4)),
  _xlpm.nbparties, COUNTA(_xlfn._xlws.FILTER(_xlpm.ptstables, _xlpm.ptstables &lt;&gt; "")),
  _xlpm.coef, _xlpm.K + _xlpm.Knewgain / (_xlpm.Knewscale + _xlpm.nbparties),
  IF(Q287="",
    "",
    _xlpm.coef * (Q287-Q288))
)</f>
        <v>-14.733142218383113</v>
      </c>
      <c r="R289" t="str" cm="1">
        <f t="array" ref="R289">_xlfn.LET(
  _xlpm.K, Constantes!$B$3,
  _xlpm.Knewgain, Constantes!$B$4,
  _xlpm.Knewscale, Constantes!$B$5,
  _xlpm.ptstables, INDEX(R:R, _xlfn.SEQUENCE(COUNTA($C$2:$C289), 1, 3, 4)),
  _xlpm.nbparties, COUNTA(_xlfn._xlws.FILTER(_xlpm.ptstables, _xlpm.ptstables &lt;&gt; "")),
  _xlpm.coef, _xlpm.K + _xlpm.Knewgain / (_xlpm.Knewscale + _xlpm.nbparties),
  IF(R287="",
    "",
    _xlpm.coef * (R287-R288))
)</f>
        <v/>
      </c>
      <c r="S289" t="str" cm="1">
        <f t="array" ref="S289">_xlfn.LET(
  _xlpm.K, Constantes!$B$3,
  _xlpm.Knewgain, Constantes!$B$4,
  _xlpm.Knewscale, Constantes!$B$5,
  _xlpm.ptstables, INDEX(S:S, _xlfn.SEQUENCE(COUNTA($C$2:$C289), 1, 3, 4)),
  _xlpm.nbparties, COUNTA(_xlfn._xlws.FILTER(_xlpm.ptstables, _xlpm.ptstables &lt;&gt; "")),
  _xlpm.coef, _xlpm.K + _xlpm.Knewgain / (_xlpm.Knewscale + _xlpm.nbparties),
  IF(S287="",
    "",
    _xlpm.coef * (S287-S288))
)</f>
        <v/>
      </c>
      <c r="T289" t="str" cm="1">
        <f t="array" ref="T289">_xlfn.LET(
  _xlpm.K, Constantes!$B$3,
  _xlpm.Knewgain, Constantes!$B$4,
  _xlpm.Knewscale, Constantes!$B$5,
  _xlpm.ptstables, INDEX(T:T, _xlfn.SEQUENCE(COUNTA($C$2:$C289), 1, 3, 4)),
  _xlpm.nbparties, COUNTA(_xlfn._xlws.FILTER(_xlpm.ptstables, _xlpm.ptstables &lt;&gt; "")),
  _xlpm.coef, _xlpm.K + _xlpm.Knewgain / (_xlpm.Knewscale + _xlpm.nbparties),
  IF(T287="",
    "",
    _xlpm.coef * (T287-T288))
)</f>
        <v/>
      </c>
      <c r="U289" t="str" cm="1">
        <f t="array" ref="U289">_xlfn.LET(
  _xlpm.K, Constantes!$B$3,
  _xlpm.Knewgain, Constantes!$B$4,
  _xlpm.Knewscale, Constantes!$B$5,
  _xlpm.ptstables, INDEX(U:U, _xlfn.SEQUENCE(COUNTA($C$2:$C289), 1, 3, 4)),
  _xlpm.nbparties, COUNTA(_xlfn._xlws.FILTER(_xlpm.ptstables, _xlpm.ptstables &lt;&gt; "")),
  _xlpm.coef, _xlpm.K + _xlpm.Knewgain / (_xlpm.Knewscale + _xlpm.nbparties),
  IF(U287="",
    "",
    _xlpm.coef * (U287-U288))
)</f>
        <v/>
      </c>
      <c r="V289" t="str" cm="1">
        <f t="array" ref="V289">_xlfn.LET(
  _xlpm.K, Constantes!$B$3,
  _xlpm.Knewgain, Constantes!$B$4,
  _xlpm.Knewscale, Constantes!$B$5,
  _xlpm.ptstables, INDEX(V:V, _xlfn.SEQUENCE(COUNTA($C$2:$C289), 1, 3, 4)),
  _xlpm.nbparties, COUNTA(_xlfn._xlws.FILTER(_xlpm.ptstables, _xlpm.ptstables &lt;&gt; "")),
  _xlpm.coef, _xlpm.K + _xlpm.Knewgain / (_xlpm.Knewscale + _xlpm.nbparties),
  IF(V287="",
    "",
    _xlpm.coef * (V287-V288))
)</f>
        <v/>
      </c>
      <c r="W289" t="str" cm="1">
        <f t="array" ref="W289">_xlfn.LET(
  _xlpm.K, Constantes!$B$3,
  _xlpm.Knewgain, Constantes!$B$4,
  _xlpm.Knewscale, Constantes!$B$5,
  _xlpm.ptstables, INDEX(W:W, _xlfn.SEQUENCE(COUNTA($C$2:$C289), 1, 3, 4)),
  _xlpm.nbparties, COUNTA(_xlfn._xlws.FILTER(_xlpm.ptstables, _xlpm.ptstables &lt;&gt; "")),
  _xlpm.coef, _xlpm.K + _xlpm.Knewgain / (_xlpm.Knewscale + _xlpm.nbparties),
  IF(W287="",
    "",
    _xlpm.coef * (W287-W288))
)</f>
        <v/>
      </c>
      <c r="X289" t="str" cm="1">
        <f t="array" ref="X289">_xlfn.LET(
  _xlpm.K, Constantes!$B$3,
  _xlpm.Knewgain, Constantes!$B$4,
  _xlpm.Knewscale, Constantes!$B$5,
  _xlpm.ptstables, INDEX(X:X, _xlfn.SEQUENCE(COUNTA($C$2:$C289), 1, 3, 4)),
  _xlpm.nbparties, COUNTA(_xlfn._xlws.FILTER(_xlpm.ptstables, _xlpm.ptstables &lt;&gt; "")),
  _xlpm.coef, _xlpm.K + _xlpm.Knewgain / (_xlpm.Knewscale + _xlpm.nbparties),
  IF(X287="",
    "",
    _xlpm.coef * (X287-X288))
)</f>
        <v/>
      </c>
      <c r="Y289" t="str" cm="1">
        <f t="array" ref="Y289">_xlfn.LET(
  _xlpm.K, Constantes!$B$3,
  _xlpm.Knewgain, Constantes!$B$4,
  _xlpm.Knewscale, Constantes!$B$5,
  _xlpm.ptstables, INDEX(Y:Y, _xlfn.SEQUENCE(COUNTA($C$2:$C289), 1, 3, 4)),
  _xlpm.nbparties, COUNTA(_xlfn._xlws.FILTER(_xlpm.ptstables, _xlpm.ptstables &lt;&gt; "")),
  _xlpm.coef, _xlpm.K + _xlpm.Knewgain / (_xlpm.Knewscale + _xlpm.nbparties),
  IF(Y287="",
    "",
    _xlpm.coef * (Y287-Y288))
)</f>
        <v/>
      </c>
      <c r="Z289" t="str" cm="1">
        <f t="array" ref="Z289">_xlfn.LET(
  _xlpm.K, Constantes!$B$3,
  _xlpm.Knewgain, Constantes!$B$4,
  _xlpm.Knewscale, Constantes!$B$5,
  _xlpm.ptstables, INDEX(Z:Z, _xlfn.SEQUENCE(COUNTA($C$2:$C289), 1, 3, 4)),
  _xlpm.nbparties, COUNTA(_xlfn._xlws.FILTER(_xlpm.ptstables, _xlpm.ptstables &lt;&gt; "")),
  _xlpm.coef, _xlpm.K + _xlpm.Knewgain / (_xlpm.Knewscale + _xlpm.nbparties),
  IF(Z287="",
    "",
    _xlpm.coef * (Z287-Z288))
)</f>
        <v/>
      </c>
      <c r="AA289" t="str" cm="1">
        <f t="array" ref="AA289">_xlfn.LET(
  _xlpm.K, Constantes!$B$3,
  _xlpm.Knewgain, Constantes!$B$4,
  _xlpm.Knewscale, Constantes!$B$5,
  _xlpm.ptstables, INDEX(AA:AA, _xlfn.SEQUENCE(COUNTA($C$2:$C289), 1, 3, 4)),
  _xlpm.nbparties, COUNTA(_xlfn._xlws.FILTER(_xlpm.ptstables, _xlpm.ptstables &lt;&gt; "")),
  _xlpm.coef, _xlpm.K + _xlpm.Knewgain / (_xlpm.Knewscale + _xlpm.nbparties),
  IF(AA287="",
    "",
    _xlpm.coef * (AA287-AA288))
)</f>
        <v/>
      </c>
      <c r="AB289" t="str" cm="1">
        <f t="array" ref="AB289">_xlfn.LET(
  _xlpm.K, Constantes!$B$3,
  _xlpm.Knewgain, Constantes!$B$4,
  _xlpm.Knewscale, Constantes!$B$5,
  _xlpm.ptstables, INDEX(AB:AB, _xlfn.SEQUENCE(COUNTA($C$2:$C289), 1, 3, 4)),
  _xlpm.nbparties, COUNTA(_xlfn._xlws.FILTER(_xlpm.ptstables, _xlpm.ptstables &lt;&gt; "")),
  _xlpm.coef, _xlpm.K + _xlpm.Knewgain / (_xlpm.Knewscale + _xlpm.nbparties),
  IF(AB287="",
    "",
    _xlpm.coef * (AB287-AB288))
)</f>
        <v/>
      </c>
      <c r="AC289" cm="1">
        <f t="array" ref="AC289">_xlfn.LET(
  _xlpm.K, Constantes!$B$3,
  _xlpm.Knewgain, Constantes!$B$4,
  _xlpm.Knewscale, Constantes!$B$5,
  _xlpm.ptstables, INDEX(AC:AC, _xlfn.SEQUENCE(COUNTA($C$2:$C289), 1, 3, 4)),
  _xlpm.nbparties, COUNTA(_xlfn._xlws.FILTER(_xlpm.ptstables, _xlpm.ptstables &lt;&gt; "")),
  _xlpm.coef, _xlpm.K + _xlpm.Knewgain / (_xlpm.Knewscale + _xlpm.nbparties),
  IF(AC287="",
    "",
    _xlpm.coef * (AC287-AC288))
)</f>
        <v>10.305219743232009</v>
      </c>
      <c r="AD289" t="str" cm="1">
        <f t="array" ref="AD289">_xlfn.LET(
  _xlpm.K, Constantes!$B$3,
  _xlpm.Knewgain, Constantes!$B$4,
  _xlpm.Knewscale, Constantes!$B$5,
  _xlpm.ptstables, INDEX(AD:AD, _xlfn.SEQUENCE(COUNTA($C$2:$C289), 1, 3, 4)),
  _xlpm.nbparties, COUNTA(_xlfn._xlws.FILTER(_xlpm.ptstables, _xlpm.ptstables &lt;&gt; "")),
  _xlpm.coef, _xlpm.K + _xlpm.Knewgain / (_xlpm.Knewscale + _xlpm.nbparties),
  IF(AD287="",
    "",
    _xlpm.coef * (AD287-AD288))
)</f>
        <v/>
      </c>
      <c r="AE289" t="str" cm="1">
        <f t="array" ref="AE289">_xlfn.LET(
  _xlpm.K, Constantes!$B$3,
  _xlpm.Knewgain, Constantes!$B$4,
  _xlpm.Knewscale, Constantes!$B$5,
  _xlpm.ptstables, INDEX(AE:AE, _xlfn.SEQUENCE(COUNTA($C$2:$C289), 1, 3, 4)),
  _xlpm.nbparties, COUNTA(_xlfn._xlws.FILTER(_xlpm.ptstables, _xlpm.ptstables &lt;&gt; "")),
  _xlpm.coef, _xlpm.K + _xlpm.Knewgain / (_xlpm.Knewscale + _xlpm.nbparties),
  IF(AE287="",
    "",
    _xlpm.coef * (AE287-AE288))
)</f>
        <v/>
      </c>
      <c r="AF289" t="str" cm="1">
        <f t="array" ref="AF289">_xlfn.LET(
  _xlpm.K, Constantes!$B$3,
  _xlpm.Knewgain, Constantes!$B$4,
  _xlpm.Knewscale, Constantes!$B$5,
  _xlpm.ptstables, INDEX(AF:AF, _xlfn.SEQUENCE(COUNTA($C$2:$C289), 1, 3, 4)),
  _xlpm.nbparties, COUNTA(_xlfn._xlws.FILTER(_xlpm.ptstables, _xlpm.ptstables &lt;&gt; "")),
  _xlpm.coef, _xlpm.K + _xlpm.Knewgain / (_xlpm.Knewscale + _xlpm.nbparties),
  IF(AF287="",
    "",
    _xlpm.coef * (AF287-AF288))
)</f>
        <v/>
      </c>
      <c r="AG289" t="str" cm="1">
        <f t="array" ref="AG289">_xlfn.LET(
  _xlpm.K, Constantes!$B$3,
  _xlpm.Knewgain, Constantes!$B$4,
  _xlpm.Knewscale, Constantes!$B$5,
  _xlpm.ptstables, INDEX(AG:AG, _xlfn.SEQUENCE(COUNTA($C$2:$C289), 1, 3, 4)),
  _xlpm.nbparties, COUNTA(_xlfn._xlws.FILTER(_xlpm.ptstables, _xlpm.ptstables &lt;&gt; "")),
  _xlpm.coef, _xlpm.K + _xlpm.Knewgain / (_xlpm.Knewscale + _xlpm.nbparties),
  IF(AG287="",
    "",
    _xlpm.coef * (AG287-AG288))
)</f>
        <v/>
      </c>
      <c r="AH289" t="str" cm="1">
        <f t="array" ref="AH289">_xlfn.LET(
  _xlpm.K, Constantes!$B$3,
  _xlpm.Knewgain, Constantes!$B$4,
  _xlpm.Knewscale, Constantes!$B$5,
  _xlpm.ptstables, INDEX(AH:AH, _xlfn.SEQUENCE(COUNTA($C$2:$C289), 1, 3, 4)),
  _xlpm.nbparties, COUNTA(_xlfn._xlws.FILTER(_xlpm.ptstables, _xlpm.ptstables &lt;&gt; "")),
  _xlpm.coef, _xlpm.K + _xlpm.Knewgain / (_xlpm.Knewscale + _xlpm.nbparties),
  IF(AH287="",
    "",
    _xlpm.coef * (AH287-AH288))
)</f>
        <v/>
      </c>
      <c r="AI289" cm="1">
        <f t="array" ref="AI289">_xlfn.LET(
  _xlpm.K, Constantes!$B$3,
  _xlpm.Knewgain, Constantes!$B$4,
  _xlpm.Knewscale, Constantes!$B$5,
  _xlpm.ptstables, INDEX(AI:AI, _xlfn.SEQUENCE(COUNTA($C$2:$C289), 1, 3, 4)),
  _xlpm.nbparties, COUNTA(_xlfn._xlws.FILTER(_xlpm.ptstables, _xlpm.ptstables &lt;&gt; "")),
  _xlpm.coef, _xlpm.K + _xlpm.Knewgain / (_xlpm.Knewscale + _xlpm.nbparties),
  IF(AI287="",
    "",
    _xlpm.coef * (AI287-AI288))
)</f>
        <v>-22.41066808595312</v>
      </c>
      <c r="AJ289" t="str" cm="1">
        <f t="array" ref="AJ289">_xlfn.LET(
  _xlpm.K, Constantes!$B$3,
  _xlpm.Knewgain, Constantes!$B$4,
  _xlpm.Knewscale, Constantes!$B$5,
  _xlpm.ptstables, INDEX(AJ:AJ, _xlfn.SEQUENCE(COUNTA($C$2:$C289), 1, 3, 4)),
  _xlpm.nbparties, COUNTA(_xlfn._xlws.FILTER(_xlpm.ptstables, _xlpm.ptstables &lt;&gt; "")),
  _xlpm.coef, _xlpm.K + _xlpm.Knewgain / (_xlpm.Knewscale + _xlpm.nbparties),
  IF(AJ287="",
    "",
    _xlpm.coef * (AJ287-AJ288))
)</f>
        <v/>
      </c>
      <c r="AK289" t="str" cm="1">
        <f t="array" ref="AK289">_xlfn.LET(
  _xlpm.K, Constantes!$B$3,
  _xlpm.Knewgain, Constantes!$B$4,
  _xlpm.Knewscale, Constantes!$B$5,
  _xlpm.ptstables, INDEX(AK:AK, _xlfn.SEQUENCE(COUNTA($C$2:$C289), 1, 3, 4)),
  _xlpm.nbparties, COUNTA(_xlfn._xlws.FILTER(_xlpm.ptstables, _xlpm.ptstables &lt;&gt; "")),
  _xlpm.coef, _xlpm.K + _xlpm.Knewgain / (_xlpm.Knewscale + _xlpm.nbparties),
  IF(AK287="",
    "",
    _xlpm.coef * (AK287-AK288))
)</f>
        <v/>
      </c>
      <c r="AL289" t="str" cm="1">
        <f t="array" ref="AL289">_xlfn.LET(
  _xlpm.K, Constantes!$B$3,
  _xlpm.Knewgain, Constantes!$B$4,
  _xlpm.Knewscale, Constantes!$B$5,
  _xlpm.ptstables, INDEX(AL:AL, _xlfn.SEQUENCE(COUNTA($C$2:$C289), 1, 3, 4)),
  _xlpm.nbparties, COUNTA(_xlfn._xlws.FILTER(_xlpm.ptstables, _xlpm.ptstables &lt;&gt; "")),
  _xlpm.coef, _xlpm.K + _xlpm.Knewgain / (_xlpm.Knewscale + _xlpm.nbparties),
  IF(AL287="",
    "",
    _xlpm.coef * (AL287-AL288))
)</f>
        <v/>
      </c>
      <c r="AM289" t="str" cm="1">
        <f t="array" ref="AM289">_xlfn.LET(
  _xlpm.K, Constantes!$B$3,
  _xlpm.Knewgain, Constantes!$B$4,
  _xlpm.Knewscale, Constantes!$B$5,
  _xlpm.ptstables, INDEX(AM:AM, _xlfn.SEQUENCE(COUNTA($C$2:$C289), 1, 3, 4)),
  _xlpm.nbparties, COUNTA(_xlfn._xlws.FILTER(_xlpm.ptstables, _xlpm.ptstables &lt;&gt; "")),
  _xlpm.coef, _xlpm.K + _xlpm.Knewgain / (_xlpm.Knewscale + _xlpm.nbparties),
  IF(AM287="",
    "",
    _xlpm.coef * (AM287-AM288))
)</f>
        <v/>
      </c>
    </row>
    <row r="290" spans="1:39" x14ac:dyDescent="0.25">
      <c r="A290" t="s">
        <v>14</v>
      </c>
      <c r="B290" t="str" cm="1">
        <f t="array" ref="B29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71</v>
      </c>
      <c r="C290" s="2" cm="1">
        <f t="array" ref="C290">IF(B290="","",
  INDEX(Donnees!F:F, MATCH(B290, Donnees!F:F, 0)+1))</f>
        <v>45946.789652777778</v>
      </c>
      <c r="D290">
        <f t="shared" ref="D290:AM290" si="80">D286+IF(D289="",0,D289)</f>
        <v>1033.1893307292305</v>
      </c>
      <c r="E290">
        <f t="shared" si="80"/>
        <v>1079.9237811780756</v>
      </c>
      <c r="F290">
        <f t="shared" si="80"/>
        <v>847.48442671390455</v>
      </c>
      <c r="G290">
        <f t="shared" si="80"/>
        <v>1118.8779378975084</v>
      </c>
      <c r="H290">
        <f t="shared" si="80"/>
        <v>1139.7553269432372</v>
      </c>
      <c r="I290">
        <f t="shared" si="80"/>
        <v>929.90115121897634</v>
      </c>
      <c r="J290">
        <f t="shared" si="80"/>
        <v>1010.9125108504293</v>
      </c>
      <c r="K290">
        <f t="shared" si="80"/>
        <v>993.90254614824482</v>
      </c>
      <c r="L290">
        <f t="shared" si="80"/>
        <v>766.95119884458973</v>
      </c>
      <c r="M290">
        <f t="shared" si="80"/>
        <v>913.41986361738122</v>
      </c>
      <c r="N290">
        <f t="shared" si="80"/>
        <v>893.28591153844093</v>
      </c>
      <c r="O290">
        <f t="shared" si="80"/>
        <v>998.21178722110983</v>
      </c>
      <c r="P290">
        <f t="shared" si="80"/>
        <v>1044.694691960626</v>
      </c>
      <c r="Q290">
        <f t="shared" si="80"/>
        <v>1050.1062561870472</v>
      </c>
      <c r="R290">
        <f t="shared" si="80"/>
        <v>1080.8653023562695</v>
      </c>
      <c r="S290">
        <f t="shared" si="80"/>
        <v>987.64110681918737</v>
      </c>
      <c r="T290">
        <f t="shared" si="80"/>
        <v>1153.43058185823</v>
      </c>
      <c r="U290">
        <f t="shared" si="80"/>
        <v>1185.0959893708045</v>
      </c>
      <c r="V290">
        <f t="shared" si="80"/>
        <v>951.23563726152827</v>
      </c>
      <c r="W290">
        <f t="shared" si="80"/>
        <v>936.79085942937002</v>
      </c>
      <c r="X290">
        <f t="shared" si="80"/>
        <v>828.97598039785271</v>
      </c>
      <c r="Y290">
        <f t="shared" si="80"/>
        <v>903.14348714035714</v>
      </c>
      <c r="Z290">
        <f t="shared" si="80"/>
        <v>991.11904139672549</v>
      </c>
      <c r="AA290">
        <f t="shared" si="80"/>
        <v>966.24279289689184</v>
      </c>
      <c r="AB290">
        <f t="shared" si="80"/>
        <v>988.35669729544747</v>
      </c>
      <c r="AC290">
        <f t="shared" si="80"/>
        <v>1061.6930275647865</v>
      </c>
      <c r="AD290">
        <f t="shared" si="80"/>
        <v>1073.9096023401294</v>
      </c>
      <c r="AE290">
        <f t="shared" si="80"/>
        <v>963.23981965000235</v>
      </c>
      <c r="AF290">
        <f t="shared" si="80"/>
        <v>1089.5415391863121</v>
      </c>
      <c r="AG290">
        <f t="shared" si="80"/>
        <v>958.23078604304851</v>
      </c>
      <c r="AH290">
        <f t="shared" si="80"/>
        <v>920.4412636682855</v>
      </c>
      <c r="AI290">
        <f t="shared" si="80"/>
        <v>885.10468670997182</v>
      </c>
      <c r="AJ290">
        <f t="shared" si="80"/>
        <v>957.2</v>
      </c>
      <c r="AK290">
        <f t="shared" si="80"/>
        <v>1000</v>
      </c>
      <c r="AL290">
        <f t="shared" si="80"/>
        <v>1055.9299999999998</v>
      </c>
      <c r="AM290">
        <f t="shared" si="80"/>
        <v>1000</v>
      </c>
    </row>
    <row r="291" spans="1:39" x14ac:dyDescent="0.25">
      <c r="A291" t="s">
        <v>21</v>
      </c>
      <c r="D291" t="str" cm="1">
        <f t="array" ref="D291">IFERROR(
  _xlfn.LET(
    _xlpm.ligpartie, MATCH($B290, Donnees!$F:$F, 0),
    _xlpm.joueurs, INDEX(Donnees!$A:$Z, _xlpm.ligpartie+1, _xlfn.SEQUENCE(1, 4, 2)),
    INDEX(
      Donnees!$A:$Z,
      _xlpm.ligpartie + 3,
      MATCH(D$1, _xlpm.joueurs, 0) + 1
    )
  ), ""
)</f>
        <v/>
      </c>
      <c r="E291" t="str" cm="1">
        <f t="array" ref="E291">IFERROR(
  _xlfn.LET(
    _xlpm.ligpartie, MATCH($B290, Donnees!$F:$F, 0),
    _xlpm.joueurs, INDEX(Donnees!$A:$Z, _xlpm.ligpartie+1, _xlfn.SEQUENCE(1, 4, 2)),
    INDEX(
      Donnees!$A:$Z,
      _xlpm.ligpartie + 3,
      MATCH(E$1, _xlpm.joueurs, 0) + 1
    )
  ), ""
)</f>
        <v/>
      </c>
      <c r="F291" t="str" cm="1">
        <f t="array" ref="F291">IFERROR(
  _xlfn.LET(
    _xlpm.ligpartie, MATCH($B290, Donnees!$F:$F, 0),
    _xlpm.joueurs, INDEX(Donnees!$A:$Z, _xlpm.ligpartie+1, _xlfn.SEQUENCE(1, 4, 2)),
    INDEX(
      Donnees!$A:$Z,
      _xlpm.ligpartie + 3,
      MATCH(F$1, _xlpm.joueurs, 0) + 1
    )
  ), ""
)</f>
        <v/>
      </c>
      <c r="G291" t="str" cm="1">
        <f t="array" ref="G291">IFERROR(
  _xlfn.LET(
    _xlpm.ligpartie, MATCH($B290, Donnees!$F:$F, 0),
    _xlpm.joueurs, INDEX(Donnees!$A:$Z, _xlpm.ligpartie+1, _xlfn.SEQUENCE(1, 4, 2)),
    INDEX(
      Donnees!$A:$Z,
      _xlpm.ligpartie + 3,
      MATCH(G$1, _xlpm.joueurs, 0) + 1
    )
  ), ""
)</f>
        <v/>
      </c>
      <c r="H291" t="str" cm="1">
        <f t="array" ref="H291">IFERROR(
  _xlfn.LET(
    _xlpm.ligpartie, MATCH($B290, Donnees!$F:$F, 0),
    _xlpm.joueurs, INDEX(Donnees!$A:$Z, _xlpm.ligpartie+1, _xlfn.SEQUENCE(1, 4, 2)),
    INDEX(
      Donnees!$A:$Z,
      _xlpm.ligpartie + 3,
      MATCH(H$1, _xlpm.joueurs, 0) + 1
    )
  ), ""
)</f>
        <v/>
      </c>
      <c r="I291" t="str" cm="1">
        <f t="array" ref="I291">IFERROR(
  _xlfn.LET(
    _xlpm.ligpartie, MATCH($B290, Donnees!$F:$F, 0),
    _xlpm.joueurs, INDEX(Donnees!$A:$Z, _xlpm.ligpartie+1, _xlfn.SEQUENCE(1, 4, 2)),
    INDEX(
      Donnees!$A:$Z,
      _xlpm.ligpartie + 3,
      MATCH(I$1, _xlpm.joueurs, 0) + 1
    )
  ), ""
)</f>
        <v/>
      </c>
      <c r="J291" t="str" cm="1">
        <f t="array" ref="J291">IFERROR(
  _xlfn.LET(
    _xlpm.ligpartie, MATCH($B290, Donnees!$F:$F, 0),
    _xlpm.joueurs, INDEX(Donnees!$A:$Z, _xlpm.ligpartie+1, _xlfn.SEQUENCE(1, 4, 2)),
    INDEX(
      Donnees!$A:$Z,
      _xlpm.ligpartie + 3,
      MATCH(J$1, _xlpm.joueurs, 0) + 1
    )
  ), ""
)</f>
        <v/>
      </c>
      <c r="K291" t="str" cm="1">
        <f t="array" ref="K291">IFERROR(
  _xlfn.LET(
    _xlpm.ligpartie, MATCH($B290, Donnees!$F:$F, 0),
    _xlpm.joueurs, INDEX(Donnees!$A:$Z, _xlpm.ligpartie+1, _xlfn.SEQUENCE(1, 4, 2)),
    INDEX(
      Donnees!$A:$Z,
      _xlpm.ligpartie + 3,
      MATCH(K$1, _xlpm.joueurs, 0) + 1
    )
  ), ""
)</f>
        <v/>
      </c>
      <c r="L291" t="str" cm="1">
        <f t="array" ref="L291">IFERROR(
  _xlfn.LET(
    _xlpm.ligpartie, MATCH($B290, Donnees!$F:$F, 0),
    _xlpm.joueurs, INDEX(Donnees!$A:$Z, _xlpm.ligpartie+1, _xlfn.SEQUENCE(1, 4, 2)),
    INDEX(
      Donnees!$A:$Z,
      _xlpm.ligpartie + 3,
      MATCH(L$1, _xlpm.joueurs, 0) + 1
    )
  ), ""
)</f>
        <v/>
      </c>
      <c r="M291" t="str" cm="1">
        <f t="array" ref="M291">IFERROR(
  _xlfn.LET(
    _xlpm.ligpartie, MATCH($B290, Donnees!$F:$F, 0),
    _xlpm.joueurs, INDEX(Donnees!$A:$Z, _xlpm.ligpartie+1, _xlfn.SEQUENCE(1, 4, 2)),
    INDEX(
      Donnees!$A:$Z,
      _xlpm.ligpartie + 3,
      MATCH(M$1, _xlpm.joueurs, 0) + 1
    )
  ), ""
)</f>
        <v/>
      </c>
      <c r="N291" t="str" cm="1">
        <f t="array" ref="N291">IFERROR(
  _xlfn.LET(
    _xlpm.ligpartie, MATCH($B290, Donnees!$F:$F, 0),
    _xlpm.joueurs, INDEX(Donnees!$A:$Z, _xlpm.ligpartie+1, _xlfn.SEQUENCE(1, 4, 2)),
    INDEX(
      Donnees!$A:$Z,
      _xlpm.ligpartie + 3,
      MATCH(N$1, _xlpm.joueurs, 0) + 1
    )
  ), ""
)</f>
        <v/>
      </c>
      <c r="O291" t="str" cm="1">
        <f t="array" ref="O291">IFERROR(
  _xlfn.LET(
    _xlpm.ligpartie, MATCH($B290, Donnees!$F:$F, 0),
    _xlpm.joueurs, INDEX(Donnees!$A:$Z, _xlpm.ligpartie+1, _xlfn.SEQUENCE(1, 4, 2)),
    INDEX(
      Donnees!$A:$Z,
      _xlpm.ligpartie + 3,
      MATCH(O$1, _xlpm.joueurs, 0) + 1
    )
  ), ""
)</f>
        <v/>
      </c>
      <c r="P291" t="str" cm="1">
        <f t="array" ref="P291">IFERROR(
  _xlfn.LET(
    _xlpm.ligpartie, MATCH($B290, Donnees!$F:$F, 0),
    _xlpm.joueurs, INDEX(Donnees!$A:$Z, _xlpm.ligpartie+1, _xlfn.SEQUENCE(1, 4, 2)),
    INDEX(
      Donnees!$A:$Z,
      _xlpm.ligpartie + 3,
      MATCH(P$1, _xlpm.joueurs, 0) + 1
    )
  ), ""
)</f>
        <v/>
      </c>
      <c r="Q291" t="str" cm="1">
        <f t="array" ref="Q291">IFERROR(
  _xlfn.LET(
    _xlpm.ligpartie, MATCH($B290, Donnees!$F:$F, 0),
    _xlpm.joueurs, INDEX(Donnees!$A:$Z, _xlpm.ligpartie+1, _xlfn.SEQUENCE(1, 4, 2)),
    INDEX(
      Donnees!$A:$Z,
      _xlpm.ligpartie + 3,
      MATCH(Q$1, _xlpm.joueurs, 0) + 1
    )
  ), ""
)</f>
        <v/>
      </c>
      <c r="R291" t="str" cm="1">
        <f t="array" ref="R291">IFERROR(
  _xlfn.LET(
    _xlpm.ligpartie, MATCH($B290, Donnees!$F:$F, 0),
    _xlpm.joueurs, INDEX(Donnees!$A:$Z, _xlpm.ligpartie+1, _xlfn.SEQUENCE(1, 4, 2)),
    INDEX(
      Donnees!$A:$Z,
      _xlpm.ligpartie + 3,
      MATCH(R$1, _xlpm.joueurs, 0) + 1
    )
  ), ""
)</f>
        <v/>
      </c>
      <c r="S291" t="str" cm="1">
        <f t="array" ref="S291">IFERROR(
  _xlfn.LET(
    _xlpm.ligpartie, MATCH($B290, Donnees!$F:$F, 0),
    _xlpm.joueurs, INDEX(Donnees!$A:$Z, _xlpm.ligpartie+1, _xlfn.SEQUENCE(1, 4, 2)),
    INDEX(
      Donnees!$A:$Z,
      _xlpm.ligpartie + 3,
      MATCH(S$1, _xlpm.joueurs, 0) + 1
    )
  ), ""
)</f>
        <v/>
      </c>
      <c r="T291" t="str" cm="1">
        <f t="array" ref="T291">IFERROR(
  _xlfn.LET(
    _xlpm.ligpartie, MATCH($B290, Donnees!$F:$F, 0),
    _xlpm.joueurs, INDEX(Donnees!$A:$Z, _xlpm.ligpartie+1, _xlfn.SEQUENCE(1, 4, 2)),
    INDEX(
      Donnees!$A:$Z,
      _xlpm.ligpartie + 3,
      MATCH(T$1, _xlpm.joueurs, 0) + 1
    )
  ), ""
)</f>
        <v/>
      </c>
      <c r="U291" t="str" cm="1">
        <f t="array" ref="U291">IFERROR(
  _xlfn.LET(
    _xlpm.ligpartie, MATCH($B290, Donnees!$F:$F, 0),
    _xlpm.joueurs, INDEX(Donnees!$A:$Z, _xlpm.ligpartie+1, _xlfn.SEQUENCE(1, 4, 2)),
    INDEX(
      Donnees!$A:$Z,
      _xlpm.ligpartie + 3,
      MATCH(U$1, _xlpm.joueurs, 0) + 1
    )
  ), ""
)</f>
        <v/>
      </c>
      <c r="V291" t="str" cm="1">
        <f t="array" ref="V291">IFERROR(
  _xlfn.LET(
    _xlpm.ligpartie, MATCH($B290, Donnees!$F:$F, 0),
    _xlpm.joueurs, INDEX(Donnees!$A:$Z, _xlpm.ligpartie+1, _xlfn.SEQUENCE(1, 4, 2)),
    INDEX(
      Donnees!$A:$Z,
      _xlpm.ligpartie + 3,
      MATCH(V$1, _xlpm.joueurs, 0) + 1
    )
  ), ""
)</f>
        <v/>
      </c>
      <c r="W291" t="str" cm="1">
        <f t="array" ref="W291">IFERROR(
  _xlfn.LET(
    _xlpm.ligpartie, MATCH($B290, Donnees!$F:$F, 0),
    _xlpm.joueurs, INDEX(Donnees!$A:$Z, _xlpm.ligpartie+1, _xlfn.SEQUENCE(1, 4, 2)),
    INDEX(
      Donnees!$A:$Z,
      _xlpm.ligpartie + 3,
      MATCH(W$1, _xlpm.joueurs, 0) + 1
    )
  ), ""
)</f>
        <v/>
      </c>
      <c r="X291" t="str" cm="1">
        <f t="array" ref="X291">IFERROR(
  _xlfn.LET(
    _xlpm.ligpartie, MATCH($B290, Donnees!$F:$F, 0),
    _xlpm.joueurs, INDEX(Donnees!$A:$Z, _xlpm.ligpartie+1, _xlfn.SEQUENCE(1, 4, 2)),
    INDEX(
      Donnees!$A:$Z,
      _xlpm.ligpartie + 3,
      MATCH(X$1, _xlpm.joueurs, 0) + 1
    )
  ), ""
)</f>
        <v/>
      </c>
      <c r="Y291" t="str" cm="1">
        <f t="array" ref="Y291">IFERROR(
  _xlfn.LET(
    _xlpm.ligpartie, MATCH($B290, Donnees!$F:$F, 0),
    _xlpm.joueurs, INDEX(Donnees!$A:$Z, _xlpm.ligpartie+1, _xlfn.SEQUENCE(1, 4, 2)),
    INDEX(
      Donnees!$A:$Z,
      _xlpm.ligpartie + 3,
      MATCH(Y$1, _xlpm.joueurs, 0) + 1
    )
  ), ""
)</f>
        <v/>
      </c>
      <c r="Z291" t="str" cm="1">
        <f t="array" ref="Z291">IFERROR(
  _xlfn.LET(
    _xlpm.ligpartie, MATCH($B290, Donnees!$F:$F, 0),
    _xlpm.joueurs, INDEX(Donnees!$A:$Z, _xlpm.ligpartie+1, _xlfn.SEQUENCE(1, 4, 2)),
    INDEX(
      Donnees!$A:$Z,
      _xlpm.ligpartie + 3,
      MATCH(Z$1, _xlpm.joueurs, 0) + 1
    )
  ), ""
)</f>
        <v/>
      </c>
      <c r="AA291" t="str" cm="1">
        <f t="array" ref="AA291">IFERROR(
  _xlfn.LET(
    _xlpm.ligpartie, MATCH($B290, Donnees!$F:$F, 0),
    _xlpm.joueurs, INDEX(Donnees!$A:$Z, _xlpm.ligpartie+1, _xlfn.SEQUENCE(1, 4, 2)),
    INDEX(
      Donnees!$A:$Z,
      _xlpm.ligpartie + 3,
      MATCH(AA$1, _xlpm.joueurs, 0) + 1
    )
  ), ""
)</f>
        <v/>
      </c>
      <c r="AB291" t="str" cm="1">
        <f t="array" ref="AB291">IFERROR(
  _xlfn.LET(
    _xlpm.ligpartie, MATCH($B290, Donnees!$F:$F, 0),
    _xlpm.joueurs, INDEX(Donnees!$A:$Z, _xlpm.ligpartie+1, _xlfn.SEQUENCE(1, 4, 2)),
    INDEX(
      Donnees!$A:$Z,
      _xlpm.ligpartie + 3,
      MATCH(AB$1, _xlpm.joueurs, 0) + 1
    )
  ), ""
)</f>
        <v/>
      </c>
      <c r="AC291" t="str" cm="1">
        <f t="array" ref="AC291">IFERROR(
  _xlfn.LET(
    _xlpm.ligpartie, MATCH($B290, Donnees!$F:$F, 0),
    _xlpm.joueurs, INDEX(Donnees!$A:$Z, _xlpm.ligpartie+1, _xlfn.SEQUENCE(1, 4, 2)),
    INDEX(
      Donnees!$A:$Z,
      _xlpm.ligpartie + 3,
      MATCH(AC$1, _xlpm.joueurs, 0) + 1
    )
  ), ""
)</f>
        <v/>
      </c>
      <c r="AD291" t="str" cm="1">
        <f t="array" ref="AD291">IFERROR(
  _xlfn.LET(
    _xlpm.ligpartie, MATCH($B290, Donnees!$F:$F, 0),
    _xlpm.joueurs, INDEX(Donnees!$A:$Z, _xlpm.ligpartie+1, _xlfn.SEQUENCE(1, 4, 2)),
    INDEX(
      Donnees!$A:$Z,
      _xlpm.ligpartie + 3,
      MATCH(AD$1, _xlpm.joueurs, 0) + 1
    )
  ), ""
)</f>
        <v/>
      </c>
      <c r="AE291" t="str" cm="1">
        <f t="array" ref="AE291">IFERROR(
  _xlfn.LET(
    _xlpm.ligpartie, MATCH($B290, Donnees!$F:$F, 0),
    _xlpm.joueurs, INDEX(Donnees!$A:$Z, _xlpm.ligpartie+1, _xlfn.SEQUENCE(1, 4, 2)),
    INDEX(
      Donnees!$A:$Z,
      _xlpm.ligpartie + 3,
      MATCH(AE$1, _xlpm.joueurs, 0) + 1
    )
  ), ""
)</f>
        <v/>
      </c>
      <c r="AF291" cm="1">
        <f t="array" ref="AF291">IFERROR(
  _xlfn.LET(
    _xlpm.ligpartie, MATCH($B290, Donnees!$F:$F, 0),
    _xlpm.joueurs, INDEX(Donnees!$A:$Z, _xlpm.ligpartie+1, _xlfn.SEQUENCE(1, 4, 2)),
    INDEX(
      Donnees!$A:$Z,
      _xlpm.ligpartie + 3,
      MATCH(AF$1, _xlpm.joueurs, 0) + 1
    )
  ), ""
)</f>
        <v>2</v>
      </c>
      <c r="AG291" t="str" cm="1">
        <f t="array" ref="AG291">IFERROR(
  _xlfn.LET(
    _xlpm.ligpartie, MATCH($B290, Donnees!$F:$F, 0),
    _xlpm.joueurs, INDEX(Donnees!$A:$Z, _xlpm.ligpartie+1, _xlfn.SEQUENCE(1, 4, 2)),
    INDEX(
      Donnees!$A:$Z,
      _xlpm.ligpartie + 3,
      MATCH(AG$1, _xlpm.joueurs, 0) + 1
    )
  ), ""
)</f>
        <v/>
      </c>
      <c r="AH291" t="str" cm="1">
        <f t="array" ref="AH291">IFERROR(
  _xlfn.LET(
    _xlpm.ligpartie, MATCH($B290, Donnees!$F:$F, 0),
    _xlpm.joueurs, INDEX(Donnees!$A:$Z, _xlpm.ligpartie+1, _xlfn.SEQUENCE(1, 4, 2)),
    INDEX(
      Donnees!$A:$Z,
      _xlpm.ligpartie + 3,
      MATCH(AH$1, _xlpm.joueurs, 0) + 1
    )
  ), ""
)</f>
        <v/>
      </c>
      <c r="AI291" t="str" cm="1">
        <f t="array" ref="AI291">IFERROR(
  _xlfn.LET(
    _xlpm.ligpartie, MATCH($B290, Donnees!$F:$F, 0),
    _xlpm.joueurs, INDEX(Donnees!$A:$Z, _xlpm.ligpartie+1, _xlfn.SEQUENCE(1, 4, 2)),
    INDEX(
      Donnees!$A:$Z,
      _xlpm.ligpartie + 3,
      MATCH(AI$1, _xlpm.joueurs, 0) + 1
    )
  ), ""
)</f>
        <v/>
      </c>
      <c r="AJ291" cm="1">
        <f t="array" ref="AJ291">IFERROR(
  _xlfn.LET(
    _xlpm.ligpartie, MATCH($B290, Donnees!$F:$F, 0),
    _xlpm.joueurs, INDEX(Donnees!$A:$Z, _xlpm.ligpartie+1, _xlfn.SEQUENCE(1, 4, 2)),
    INDEX(
      Donnees!$A:$Z,
      _xlpm.ligpartie + 3,
      MATCH(AJ$1, _xlpm.joueurs, 0) + 1
    )
  ), ""
)</f>
        <v>0</v>
      </c>
      <c r="AK291" cm="1">
        <f t="array" ref="AK291">IFERROR(
  _xlfn.LET(
    _xlpm.ligpartie, MATCH($B290, Donnees!$F:$F, 0),
    _xlpm.joueurs, INDEX(Donnees!$A:$Z, _xlpm.ligpartie+1, _xlfn.SEQUENCE(1, 4, 2)),
    INDEX(
      Donnees!$A:$Z,
      _xlpm.ligpartie + 3,
      MATCH(AK$1, _xlpm.joueurs, 0) + 1
    )
  ), ""
)</f>
        <v>3</v>
      </c>
      <c r="AL291" cm="1">
        <f t="array" ref="AL291">IFERROR(
  _xlfn.LET(
    _xlpm.ligpartie, MATCH($B290, Donnees!$F:$F, 0),
    _xlpm.joueurs, INDEX(Donnees!$A:$Z, _xlpm.ligpartie+1, _xlfn.SEQUENCE(1, 4, 2)),
    INDEX(
      Donnees!$A:$Z,
      _xlpm.ligpartie + 3,
      MATCH(AL$1, _xlpm.joueurs, 0) + 1
    )
  ), ""
)</f>
        <v>1</v>
      </c>
      <c r="AM291" t="str" cm="1">
        <f t="array" ref="AM291">IFERROR(
  _xlfn.LET(
    _xlpm.ligpartie, MATCH($B290, Donnees!$F:$F, 0),
    _xlpm.joueurs, INDEX(Donnees!$A:$Z, _xlpm.ligpartie+1, _xlfn.SEQUENCE(1, 4, 2)),
    INDEX(
      Donnees!$A:$Z,
      _xlpm.ligpartie + 3,
      MATCH(AM$1, _xlpm.joueurs, 0) + 1
    )
  ), ""
)</f>
        <v/>
      </c>
    </row>
    <row r="292" spans="1:39" x14ac:dyDescent="0.25">
      <c r="A292" t="s">
        <v>20</v>
      </c>
      <c r="D292" t="str" cm="1">
        <f t="array" ref="D292">_xlfn.LET(
  _xlpm.colj, _xlfn._xlws.FILTER(IF(ISNUMBER(291:291), COLUMN(291:291)), ISNUMBER(291:291)),
  _xlpm.elos, INDEX(290:290,1,_xlpm.colj),
  _xlpm.diffscale, Constantes!$B$2,
  IF(D291="",
    "",
    SUM(1/(1+POWER(10,-(D290-_xlpm.elos)/_xlpm.diffscale)))-0.5)
)</f>
        <v/>
      </c>
      <c r="E292" t="str" cm="1">
        <f t="array" ref="E292">_xlfn.LET(
  _xlpm.colj, _xlfn._xlws.FILTER(IF(ISNUMBER(291:291), COLUMN(291:291)), ISNUMBER(291:291)),
  _xlpm.elos, INDEX(290:290,1,_xlpm.colj),
  _xlpm.diffscale, Constantes!$B$2,
  IF(E291="",
    "",
    SUM(1/(1+POWER(10,-(E290-_xlpm.elos)/_xlpm.diffscale)))-0.5)
)</f>
        <v/>
      </c>
      <c r="F292" t="str" cm="1">
        <f t="array" ref="F292">_xlfn.LET(
  _xlpm.colj, _xlfn._xlws.FILTER(IF(ISNUMBER(291:291), COLUMN(291:291)), ISNUMBER(291:291)),
  _xlpm.elos, INDEX(290:290,1,_xlpm.colj),
  _xlpm.diffscale, Constantes!$B$2,
  IF(F291="",
    "",
    SUM(1/(1+POWER(10,-(F290-_xlpm.elos)/_xlpm.diffscale)))-0.5)
)</f>
        <v/>
      </c>
      <c r="G292" t="str" cm="1">
        <f t="array" ref="G292">_xlfn.LET(
  _xlpm.colj, _xlfn._xlws.FILTER(IF(ISNUMBER(291:291), COLUMN(291:291)), ISNUMBER(291:291)),
  _xlpm.elos, INDEX(290:290,1,_xlpm.colj),
  _xlpm.diffscale, Constantes!$B$2,
  IF(G291="",
    "",
    SUM(1/(1+POWER(10,-(G290-_xlpm.elos)/_xlpm.diffscale)))-0.5)
)</f>
        <v/>
      </c>
      <c r="H292" t="str" cm="1">
        <f t="array" ref="H292">_xlfn.LET(
  _xlpm.colj, _xlfn._xlws.FILTER(IF(ISNUMBER(291:291), COLUMN(291:291)), ISNUMBER(291:291)),
  _xlpm.elos, INDEX(290:290,1,_xlpm.colj),
  _xlpm.diffscale, Constantes!$B$2,
  IF(H291="",
    "",
    SUM(1/(1+POWER(10,-(H290-_xlpm.elos)/_xlpm.diffscale)))-0.5)
)</f>
        <v/>
      </c>
      <c r="I292" t="str" cm="1">
        <f t="array" ref="I292">_xlfn.LET(
  _xlpm.colj, _xlfn._xlws.FILTER(IF(ISNUMBER(291:291), COLUMN(291:291)), ISNUMBER(291:291)),
  _xlpm.elos, INDEX(290:290,1,_xlpm.colj),
  _xlpm.diffscale, Constantes!$B$2,
  IF(I291="",
    "",
    SUM(1/(1+POWER(10,-(I290-_xlpm.elos)/_xlpm.diffscale)))-0.5)
)</f>
        <v/>
      </c>
      <c r="J292" t="str" cm="1">
        <f t="array" ref="J292">_xlfn.LET(
  _xlpm.colj, _xlfn._xlws.FILTER(IF(ISNUMBER(291:291), COLUMN(291:291)), ISNUMBER(291:291)),
  _xlpm.elos, INDEX(290:290,1,_xlpm.colj),
  _xlpm.diffscale, Constantes!$B$2,
  IF(J291="",
    "",
    SUM(1/(1+POWER(10,-(J290-_xlpm.elos)/_xlpm.diffscale)))-0.5)
)</f>
        <v/>
      </c>
      <c r="K292" t="str" cm="1">
        <f t="array" ref="K292">_xlfn.LET(
  _xlpm.colj, _xlfn._xlws.FILTER(IF(ISNUMBER(291:291), COLUMN(291:291)), ISNUMBER(291:291)),
  _xlpm.elos, INDEX(290:290,1,_xlpm.colj),
  _xlpm.diffscale, Constantes!$B$2,
  IF(K291="",
    "",
    SUM(1/(1+POWER(10,-(K290-_xlpm.elos)/_xlpm.diffscale)))-0.5)
)</f>
        <v/>
      </c>
      <c r="L292" t="str" cm="1">
        <f t="array" ref="L292">_xlfn.LET(
  _xlpm.colj, _xlfn._xlws.FILTER(IF(ISNUMBER(291:291), COLUMN(291:291)), ISNUMBER(291:291)),
  _xlpm.elos, INDEX(290:290,1,_xlpm.colj),
  _xlpm.diffscale, Constantes!$B$2,
  IF(L291="",
    "",
    SUM(1/(1+POWER(10,-(L290-_xlpm.elos)/_xlpm.diffscale)))-0.5)
)</f>
        <v/>
      </c>
      <c r="M292" t="str" cm="1">
        <f t="array" ref="M292">_xlfn.LET(
  _xlpm.colj, _xlfn._xlws.FILTER(IF(ISNUMBER(291:291), COLUMN(291:291)), ISNUMBER(291:291)),
  _xlpm.elos, INDEX(290:290,1,_xlpm.colj),
  _xlpm.diffscale, Constantes!$B$2,
  IF(M291="",
    "",
    SUM(1/(1+POWER(10,-(M290-_xlpm.elos)/_xlpm.diffscale)))-0.5)
)</f>
        <v/>
      </c>
      <c r="N292" t="str" cm="1">
        <f t="array" ref="N292">_xlfn.LET(
  _xlpm.colj, _xlfn._xlws.FILTER(IF(ISNUMBER(291:291), COLUMN(291:291)), ISNUMBER(291:291)),
  _xlpm.elos, INDEX(290:290,1,_xlpm.colj),
  _xlpm.diffscale, Constantes!$B$2,
  IF(N291="",
    "",
    SUM(1/(1+POWER(10,-(N290-_xlpm.elos)/_xlpm.diffscale)))-0.5)
)</f>
        <v/>
      </c>
      <c r="O292" t="str" cm="1">
        <f t="array" ref="O292">_xlfn.LET(
  _xlpm.colj, _xlfn._xlws.FILTER(IF(ISNUMBER(291:291), COLUMN(291:291)), ISNUMBER(291:291)),
  _xlpm.elos, INDEX(290:290,1,_xlpm.colj),
  _xlpm.diffscale, Constantes!$B$2,
  IF(O291="",
    "",
    SUM(1/(1+POWER(10,-(O290-_xlpm.elos)/_xlpm.diffscale)))-0.5)
)</f>
        <v/>
      </c>
      <c r="P292" t="str" cm="1">
        <f t="array" ref="P292">_xlfn.LET(
  _xlpm.colj, _xlfn._xlws.FILTER(IF(ISNUMBER(291:291), COLUMN(291:291)), ISNUMBER(291:291)),
  _xlpm.elos, INDEX(290:290,1,_xlpm.colj),
  _xlpm.diffscale, Constantes!$B$2,
  IF(P291="",
    "",
    SUM(1/(1+POWER(10,-(P290-_xlpm.elos)/_xlpm.diffscale)))-0.5)
)</f>
        <v/>
      </c>
      <c r="Q292" t="str" cm="1">
        <f t="array" ref="Q292">_xlfn.LET(
  _xlpm.colj, _xlfn._xlws.FILTER(IF(ISNUMBER(291:291), COLUMN(291:291)), ISNUMBER(291:291)),
  _xlpm.elos, INDEX(290:290,1,_xlpm.colj),
  _xlpm.diffscale, Constantes!$B$2,
  IF(Q291="",
    "",
    SUM(1/(1+POWER(10,-(Q290-_xlpm.elos)/_xlpm.diffscale)))-0.5)
)</f>
        <v/>
      </c>
      <c r="R292" t="str" cm="1">
        <f t="array" ref="R292">_xlfn.LET(
  _xlpm.colj, _xlfn._xlws.FILTER(IF(ISNUMBER(291:291), COLUMN(291:291)), ISNUMBER(291:291)),
  _xlpm.elos, INDEX(290:290,1,_xlpm.colj),
  _xlpm.diffscale, Constantes!$B$2,
  IF(R291="",
    "",
    SUM(1/(1+POWER(10,-(R290-_xlpm.elos)/_xlpm.diffscale)))-0.5)
)</f>
        <v/>
      </c>
      <c r="S292" t="str" cm="1">
        <f t="array" ref="S292">_xlfn.LET(
  _xlpm.colj, _xlfn._xlws.FILTER(IF(ISNUMBER(291:291), COLUMN(291:291)), ISNUMBER(291:291)),
  _xlpm.elos, INDEX(290:290,1,_xlpm.colj),
  _xlpm.diffscale, Constantes!$B$2,
  IF(S291="",
    "",
    SUM(1/(1+POWER(10,-(S290-_xlpm.elos)/_xlpm.diffscale)))-0.5)
)</f>
        <v/>
      </c>
      <c r="T292" t="str" cm="1">
        <f t="array" ref="T292">_xlfn.LET(
  _xlpm.colj, _xlfn._xlws.FILTER(IF(ISNUMBER(291:291), COLUMN(291:291)), ISNUMBER(291:291)),
  _xlpm.elos, INDEX(290:290,1,_xlpm.colj),
  _xlpm.diffscale, Constantes!$B$2,
  IF(T291="",
    "",
    SUM(1/(1+POWER(10,-(T290-_xlpm.elos)/_xlpm.diffscale)))-0.5)
)</f>
        <v/>
      </c>
      <c r="U292" t="str" cm="1">
        <f t="array" ref="U292">_xlfn.LET(
  _xlpm.colj, _xlfn._xlws.FILTER(IF(ISNUMBER(291:291), COLUMN(291:291)), ISNUMBER(291:291)),
  _xlpm.elos, INDEX(290:290,1,_xlpm.colj),
  _xlpm.diffscale, Constantes!$B$2,
  IF(U291="",
    "",
    SUM(1/(1+POWER(10,-(U290-_xlpm.elos)/_xlpm.diffscale)))-0.5)
)</f>
        <v/>
      </c>
      <c r="V292" t="str" cm="1">
        <f t="array" ref="V292">_xlfn.LET(
  _xlpm.colj, _xlfn._xlws.FILTER(IF(ISNUMBER(291:291), COLUMN(291:291)), ISNUMBER(291:291)),
  _xlpm.elos, INDEX(290:290,1,_xlpm.colj),
  _xlpm.diffscale, Constantes!$B$2,
  IF(V291="",
    "",
    SUM(1/(1+POWER(10,-(V290-_xlpm.elos)/_xlpm.diffscale)))-0.5)
)</f>
        <v/>
      </c>
      <c r="W292" t="str" cm="1">
        <f t="array" ref="W292">_xlfn.LET(
  _xlpm.colj, _xlfn._xlws.FILTER(IF(ISNUMBER(291:291), COLUMN(291:291)), ISNUMBER(291:291)),
  _xlpm.elos, INDEX(290:290,1,_xlpm.colj),
  _xlpm.diffscale, Constantes!$B$2,
  IF(W291="",
    "",
    SUM(1/(1+POWER(10,-(W290-_xlpm.elos)/_xlpm.diffscale)))-0.5)
)</f>
        <v/>
      </c>
      <c r="X292" t="str" cm="1">
        <f t="array" ref="X292">_xlfn.LET(
  _xlpm.colj, _xlfn._xlws.FILTER(IF(ISNUMBER(291:291), COLUMN(291:291)), ISNUMBER(291:291)),
  _xlpm.elos, INDEX(290:290,1,_xlpm.colj),
  _xlpm.diffscale, Constantes!$B$2,
  IF(X291="",
    "",
    SUM(1/(1+POWER(10,-(X290-_xlpm.elos)/_xlpm.diffscale)))-0.5)
)</f>
        <v/>
      </c>
      <c r="Y292" t="str" cm="1">
        <f t="array" ref="Y292">_xlfn.LET(
  _xlpm.colj, _xlfn._xlws.FILTER(IF(ISNUMBER(291:291), COLUMN(291:291)), ISNUMBER(291:291)),
  _xlpm.elos, INDEX(290:290,1,_xlpm.colj),
  _xlpm.diffscale, Constantes!$B$2,
  IF(Y291="",
    "",
    SUM(1/(1+POWER(10,-(Y290-_xlpm.elos)/_xlpm.diffscale)))-0.5)
)</f>
        <v/>
      </c>
      <c r="Z292" t="str" cm="1">
        <f t="array" ref="Z292">_xlfn.LET(
  _xlpm.colj, _xlfn._xlws.FILTER(IF(ISNUMBER(291:291), COLUMN(291:291)), ISNUMBER(291:291)),
  _xlpm.elos, INDEX(290:290,1,_xlpm.colj),
  _xlpm.diffscale, Constantes!$B$2,
  IF(Z291="",
    "",
    SUM(1/(1+POWER(10,-(Z290-_xlpm.elos)/_xlpm.diffscale)))-0.5)
)</f>
        <v/>
      </c>
      <c r="AA292" t="str" cm="1">
        <f t="array" ref="AA292">_xlfn.LET(
  _xlpm.colj, _xlfn._xlws.FILTER(IF(ISNUMBER(291:291), COLUMN(291:291)), ISNUMBER(291:291)),
  _xlpm.elos, INDEX(290:290,1,_xlpm.colj),
  _xlpm.diffscale, Constantes!$B$2,
  IF(AA291="",
    "",
    SUM(1/(1+POWER(10,-(AA290-_xlpm.elos)/_xlpm.diffscale)))-0.5)
)</f>
        <v/>
      </c>
      <c r="AB292" t="str" cm="1">
        <f t="array" ref="AB292">_xlfn.LET(
  _xlpm.colj, _xlfn._xlws.FILTER(IF(ISNUMBER(291:291), COLUMN(291:291)), ISNUMBER(291:291)),
  _xlpm.elos, INDEX(290:290,1,_xlpm.colj),
  _xlpm.diffscale, Constantes!$B$2,
  IF(AB291="",
    "",
    SUM(1/(1+POWER(10,-(AB290-_xlpm.elos)/_xlpm.diffscale)))-0.5)
)</f>
        <v/>
      </c>
      <c r="AC292" t="str" cm="1">
        <f t="array" ref="AC292">_xlfn.LET(
  _xlpm.colj, _xlfn._xlws.FILTER(IF(ISNUMBER(291:291), COLUMN(291:291)), ISNUMBER(291:291)),
  _xlpm.elos, INDEX(290:290,1,_xlpm.colj),
  _xlpm.diffscale, Constantes!$B$2,
  IF(AC291="",
    "",
    SUM(1/(1+POWER(10,-(AC290-_xlpm.elos)/_xlpm.diffscale)))-0.5)
)</f>
        <v/>
      </c>
      <c r="AD292" t="str" cm="1">
        <f t="array" ref="AD292">_xlfn.LET(
  _xlpm.colj, _xlfn._xlws.FILTER(IF(ISNUMBER(291:291), COLUMN(291:291)), ISNUMBER(291:291)),
  _xlpm.elos, INDEX(290:290,1,_xlpm.colj),
  _xlpm.diffscale, Constantes!$B$2,
  IF(AD291="",
    "",
    SUM(1/(1+POWER(10,-(AD290-_xlpm.elos)/_xlpm.diffscale)))-0.5)
)</f>
        <v/>
      </c>
      <c r="AE292" t="str" cm="1">
        <f t="array" ref="AE292">_xlfn.LET(
  _xlpm.colj, _xlfn._xlws.FILTER(IF(ISNUMBER(291:291), COLUMN(291:291)), ISNUMBER(291:291)),
  _xlpm.elos, INDEX(290:290,1,_xlpm.colj),
  _xlpm.diffscale, Constantes!$B$2,
  IF(AE291="",
    "",
    SUM(1/(1+POWER(10,-(AE290-_xlpm.elos)/_xlpm.diffscale)))-0.5)
)</f>
        <v/>
      </c>
      <c r="AF292" cm="1">
        <f t="array" ref="AF292">_xlfn.LET(
  _xlpm.colj, _xlfn._xlws.FILTER(IF(ISNUMBER(291:291), COLUMN(291:291)), ISNUMBER(291:291)),
  _xlpm.elos, INDEX(290:290,1,_xlpm.colj),
  _xlpm.diffscale, Constantes!$B$2,
  IF(AF291="",
    "",
    SUM(1/(1+POWER(10,-(AF290-_xlpm.elos)/_xlpm.diffscale)))-0.5)
)</f>
        <v>1.8560505754917189</v>
      </c>
      <c r="AG292" t="str" cm="1">
        <f t="array" ref="AG292">_xlfn.LET(
  _xlpm.colj, _xlfn._xlws.FILTER(IF(ISNUMBER(291:291), COLUMN(291:291)), ISNUMBER(291:291)),
  _xlpm.elos, INDEX(290:290,1,_xlpm.colj),
  _xlpm.diffscale, Constantes!$B$2,
  IF(AG291="",
    "",
    SUM(1/(1+POWER(10,-(AG290-_xlpm.elos)/_xlpm.diffscale)))-0.5)
)</f>
        <v/>
      </c>
      <c r="AH292" t="str" cm="1">
        <f t="array" ref="AH292">_xlfn.LET(
  _xlpm.colj, _xlfn._xlws.FILTER(IF(ISNUMBER(291:291), COLUMN(291:291)), ISNUMBER(291:291)),
  _xlpm.elos, INDEX(290:290,1,_xlpm.colj),
  _xlpm.diffscale, Constantes!$B$2,
  IF(AH291="",
    "",
    SUM(1/(1+POWER(10,-(AH290-_xlpm.elos)/_xlpm.diffscale)))-0.5)
)</f>
        <v/>
      </c>
      <c r="AI292" t="str" cm="1">
        <f t="array" ref="AI292">_xlfn.LET(
  _xlpm.colj, _xlfn._xlws.FILTER(IF(ISNUMBER(291:291), COLUMN(291:291)), ISNUMBER(291:291)),
  _xlpm.elos, INDEX(290:290,1,_xlpm.colj),
  _xlpm.diffscale, Constantes!$B$2,
  IF(AI291="",
    "",
    SUM(1/(1+POWER(10,-(AI290-_xlpm.elos)/_xlpm.diffscale)))-0.5)
)</f>
        <v/>
      </c>
      <c r="AJ292" cm="1">
        <f t="array" ref="AJ292">_xlfn.LET(
  _xlpm.colj, _xlfn._xlws.FILTER(IF(ISNUMBER(291:291), COLUMN(291:291)), ISNUMBER(291:291)),
  _xlpm.elos, INDEX(290:290,1,_xlpm.colj),
  _xlpm.diffscale, Constantes!$B$2,
  IF(AJ291="",
    "",
    SUM(1/(1+POWER(10,-(AJ290-_xlpm.elos)/_xlpm.diffscale)))-0.5)
)</f>
        <v>1.1185879551303488</v>
      </c>
      <c r="AK292" cm="1">
        <f t="array" ref="AK292">_xlfn.LET(
  _xlpm.colj, _xlfn._xlws.FILTER(IF(ISNUMBER(291:291), COLUMN(291:291)), ISNUMBER(291:291)),
  _xlpm.elos, INDEX(290:290,1,_xlpm.colj),
  _xlpm.diffscale, Constantes!$B$2,
  IF(AK291="",
    "",
    SUM(1/(1+POWER(10,-(AK290-_xlpm.elos)/_xlpm.diffscale)))-0.5)
)</f>
        <v>1.3554014062067632</v>
      </c>
      <c r="AL292" cm="1">
        <f t="array" ref="AL292">_xlfn.LET(
  _xlpm.colj, _xlfn._xlws.FILTER(IF(ISNUMBER(291:291), COLUMN(291:291)), ISNUMBER(291:291)),
  _xlpm.elos, INDEX(290:290,1,_xlpm.colj),
  _xlpm.diffscale, Constantes!$B$2,
  IF(AL291="",
    "",
    SUM(1/(1+POWER(10,-(AL290-_xlpm.elos)/_xlpm.diffscale)))-0.5)
)</f>
        <v>1.6699600631711684</v>
      </c>
      <c r="AM292" t="str" cm="1">
        <f t="array" ref="AM292">_xlfn.LET(
  _xlpm.colj, _xlfn._xlws.FILTER(IF(ISNUMBER(291:291), COLUMN(291:291)), ISNUMBER(291:291)),
  _xlpm.elos, INDEX(290:290,1,_xlpm.colj),
  _xlpm.diffscale, Constantes!$B$2,
  IF(AM291="",
    "",
    SUM(1/(1+POWER(10,-(AM290-_xlpm.elos)/_xlpm.diffscale)))-0.5)
)</f>
        <v/>
      </c>
    </row>
    <row r="293" spans="1:39" x14ac:dyDescent="0.25">
      <c r="A293" t="s">
        <v>22</v>
      </c>
      <c r="D293" t="str" cm="1">
        <f t="array" ref="D293">_xlfn.LET(
  _xlpm.K, Constantes!$B$3,
  _xlpm.Knewgain, Constantes!$B$4,
  _xlpm.Knewscale, Constantes!$B$5,
  _xlpm.ptstables, INDEX(D:D, _xlfn.SEQUENCE(COUNTA($C$2:$C293), 1, 3, 4)),
  _xlpm.nbparties, COUNTA(_xlfn._xlws.FILTER(_xlpm.ptstables, _xlpm.ptstables &lt;&gt; "")),
  _xlpm.coef, _xlpm.K + _xlpm.Knewgain / (_xlpm.Knewscale + _xlpm.nbparties),
  IF(D291="",
    "",
    _xlpm.coef * (D291-D292))
)</f>
        <v/>
      </c>
      <c r="E293" t="str" cm="1">
        <f t="array" ref="E293">_xlfn.LET(
  _xlpm.K, Constantes!$B$3,
  _xlpm.Knewgain, Constantes!$B$4,
  _xlpm.Knewscale, Constantes!$B$5,
  _xlpm.ptstables, INDEX(E:E, _xlfn.SEQUENCE(COUNTA($C$2:$C293), 1, 3, 4)),
  _xlpm.nbparties, COUNTA(_xlfn._xlws.FILTER(_xlpm.ptstables, _xlpm.ptstables &lt;&gt; "")),
  _xlpm.coef, _xlpm.K + _xlpm.Knewgain / (_xlpm.Knewscale + _xlpm.nbparties),
  IF(E291="",
    "",
    _xlpm.coef * (E291-E292))
)</f>
        <v/>
      </c>
      <c r="F293" t="str" cm="1">
        <f t="array" ref="F293">_xlfn.LET(
  _xlpm.K, Constantes!$B$3,
  _xlpm.Knewgain, Constantes!$B$4,
  _xlpm.Knewscale, Constantes!$B$5,
  _xlpm.ptstables, INDEX(F:F, _xlfn.SEQUENCE(COUNTA($C$2:$C293), 1, 3, 4)),
  _xlpm.nbparties, COUNTA(_xlfn._xlws.FILTER(_xlpm.ptstables, _xlpm.ptstables &lt;&gt; "")),
  _xlpm.coef, _xlpm.K + _xlpm.Knewgain / (_xlpm.Knewscale + _xlpm.nbparties),
  IF(F291="",
    "",
    _xlpm.coef * (F291-F292))
)</f>
        <v/>
      </c>
      <c r="G293" t="str" cm="1">
        <f t="array" ref="G293">_xlfn.LET(
  _xlpm.K, Constantes!$B$3,
  _xlpm.Knewgain, Constantes!$B$4,
  _xlpm.Knewscale, Constantes!$B$5,
  _xlpm.ptstables, INDEX(G:G, _xlfn.SEQUENCE(COUNTA($C$2:$C293), 1, 3, 4)),
  _xlpm.nbparties, COUNTA(_xlfn._xlws.FILTER(_xlpm.ptstables, _xlpm.ptstables &lt;&gt; "")),
  _xlpm.coef, _xlpm.K + _xlpm.Knewgain / (_xlpm.Knewscale + _xlpm.nbparties),
  IF(G291="",
    "",
    _xlpm.coef * (G291-G292))
)</f>
        <v/>
      </c>
      <c r="H293" t="str" cm="1">
        <f t="array" ref="H293">_xlfn.LET(
  _xlpm.K, Constantes!$B$3,
  _xlpm.Knewgain, Constantes!$B$4,
  _xlpm.Knewscale, Constantes!$B$5,
  _xlpm.ptstables, INDEX(H:H, _xlfn.SEQUENCE(COUNTA($C$2:$C293), 1, 3, 4)),
  _xlpm.nbparties, COUNTA(_xlfn._xlws.FILTER(_xlpm.ptstables, _xlpm.ptstables &lt;&gt; "")),
  _xlpm.coef, _xlpm.K + _xlpm.Knewgain / (_xlpm.Knewscale + _xlpm.nbparties),
  IF(H291="",
    "",
    _xlpm.coef * (H291-H292))
)</f>
        <v/>
      </c>
      <c r="I293" t="str" cm="1">
        <f t="array" ref="I293">_xlfn.LET(
  _xlpm.K, Constantes!$B$3,
  _xlpm.Knewgain, Constantes!$B$4,
  _xlpm.Knewscale, Constantes!$B$5,
  _xlpm.ptstables, INDEX(I:I, _xlfn.SEQUENCE(COUNTA($C$2:$C293), 1, 3, 4)),
  _xlpm.nbparties, COUNTA(_xlfn._xlws.FILTER(_xlpm.ptstables, _xlpm.ptstables &lt;&gt; "")),
  _xlpm.coef, _xlpm.K + _xlpm.Knewgain / (_xlpm.Knewscale + _xlpm.nbparties),
  IF(I291="",
    "",
    _xlpm.coef * (I291-I292))
)</f>
        <v/>
      </c>
      <c r="J293" t="str" cm="1">
        <f t="array" ref="J293">_xlfn.LET(
  _xlpm.K, Constantes!$B$3,
  _xlpm.Knewgain, Constantes!$B$4,
  _xlpm.Knewscale, Constantes!$B$5,
  _xlpm.ptstables, INDEX(J:J, _xlfn.SEQUENCE(COUNTA($C$2:$C293), 1, 3, 4)),
  _xlpm.nbparties, COUNTA(_xlfn._xlws.FILTER(_xlpm.ptstables, _xlpm.ptstables &lt;&gt; "")),
  _xlpm.coef, _xlpm.K + _xlpm.Knewgain / (_xlpm.Knewscale + _xlpm.nbparties),
  IF(J291="",
    "",
    _xlpm.coef * (J291-J292))
)</f>
        <v/>
      </c>
      <c r="K293" t="str" cm="1">
        <f t="array" ref="K293">_xlfn.LET(
  _xlpm.K, Constantes!$B$3,
  _xlpm.Knewgain, Constantes!$B$4,
  _xlpm.Knewscale, Constantes!$B$5,
  _xlpm.ptstables, INDEX(K:K, _xlfn.SEQUENCE(COUNTA($C$2:$C293), 1, 3, 4)),
  _xlpm.nbparties, COUNTA(_xlfn._xlws.FILTER(_xlpm.ptstables, _xlpm.ptstables &lt;&gt; "")),
  _xlpm.coef, _xlpm.K + _xlpm.Knewgain / (_xlpm.Knewscale + _xlpm.nbparties),
  IF(K291="",
    "",
    _xlpm.coef * (K291-K292))
)</f>
        <v/>
      </c>
      <c r="L293" t="str" cm="1">
        <f t="array" ref="L293">_xlfn.LET(
  _xlpm.K, Constantes!$B$3,
  _xlpm.Knewgain, Constantes!$B$4,
  _xlpm.Knewscale, Constantes!$B$5,
  _xlpm.ptstables, INDEX(L:L, _xlfn.SEQUENCE(COUNTA($C$2:$C293), 1, 3, 4)),
  _xlpm.nbparties, COUNTA(_xlfn._xlws.FILTER(_xlpm.ptstables, _xlpm.ptstables &lt;&gt; "")),
  _xlpm.coef, _xlpm.K + _xlpm.Knewgain / (_xlpm.Knewscale + _xlpm.nbparties),
  IF(L291="",
    "",
    _xlpm.coef * (L291-L292))
)</f>
        <v/>
      </c>
      <c r="M293" t="str" cm="1">
        <f t="array" ref="M293">_xlfn.LET(
  _xlpm.K, Constantes!$B$3,
  _xlpm.Knewgain, Constantes!$B$4,
  _xlpm.Knewscale, Constantes!$B$5,
  _xlpm.ptstables, INDEX(M:M, _xlfn.SEQUENCE(COUNTA($C$2:$C293), 1, 3, 4)),
  _xlpm.nbparties, COUNTA(_xlfn._xlws.FILTER(_xlpm.ptstables, _xlpm.ptstables &lt;&gt; "")),
  _xlpm.coef, _xlpm.K + _xlpm.Knewgain / (_xlpm.Knewscale + _xlpm.nbparties),
  IF(M291="",
    "",
    _xlpm.coef * (M291-M292))
)</f>
        <v/>
      </c>
      <c r="N293" t="str" cm="1">
        <f t="array" ref="N293">_xlfn.LET(
  _xlpm.K, Constantes!$B$3,
  _xlpm.Knewgain, Constantes!$B$4,
  _xlpm.Knewscale, Constantes!$B$5,
  _xlpm.ptstables, INDEX(N:N, _xlfn.SEQUENCE(COUNTA($C$2:$C293), 1, 3, 4)),
  _xlpm.nbparties, COUNTA(_xlfn._xlws.FILTER(_xlpm.ptstables, _xlpm.ptstables &lt;&gt; "")),
  _xlpm.coef, _xlpm.K + _xlpm.Knewgain / (_xlpm.Knewscale + _xlpm.nbparties),
  IF(N291="",
    "",
    _xlpm.coef * (N291-N292))
)</f>
        <v/>
      </c>
      <c r="O293" t="str" cm="1">
        <f t="array" ref="O293">_xlfn.LET(
  _xlpm.K, Constantes!$B$3,
  _xlpm.Knewgain, Constantes!$B$4,
  _xlpm.Knewscale, Constantes!$B$5,
  _xlpm.ptstables, INDEX(O:O, _xlfn.SEQUENCE(COUNTA($C$2:$C293), 1, 3, 4)),
  _xlpm.nbparties, COUNTA(_xlfn._xlws.FILTER(_xlpm.ptstables, _xlpm.ptstables &lt;&gt; "")),
  _xlpm.coef, _xlpm.K + _xlpm.Knewgain / (_xlpm.Knewscale + _xlpm.nbparties),
  IF(O291="",
    "",
    _xlpm.coef * (O291-O292))
)</f>
        <v/>
      </c>
      <c r="P293" t="str" cm="1">
        <f t="array" ref="P293">_xlfn.LET(
  _xlpm.K, Constantes!$B$3,
  _xlpm.Knewgain, Constantes!$B$4,
  _xlpm.Knewscale, Constantes!$B$5,
  _xlpm.ptstables, INDEX(P:P, _xlfn.SEQUENCE(COUNTA($C$2:$C293), 1, 3, 4)),
  _xlpm.nbparties, COUNTA(_xlfn._xlws.FILTER(_xlpm.ptstables, _xlpm.ptstables &lt;&gt; "")),
  _xlpm.coef, _xlpm.K + _xlpm.Knewgain / (_xlpm.Knewscale + _xlpm.nbparties),
  IF(P291="",
    "",
    _xlpm.coef * (P291-P292))
)</f>
        <v/>
      </c>
      <c r="Q293" t="str" cm="1">
        <f t="array" ref="Q293">_xlfn.LET(
  _xlpm.K, Constantes!$B$3,
  _xlpm.Knewgain, Constantes!$B$4,
  _xlpm.Knewscale, Constantes!$B$5,
  _xlpm.ptstables, INDEX(Q:Q, _xlfn.SEQUENCE(COUNTA($C$2:$C293), 1, 3, 4)),
  _xlpm.nbparties, COUNTA(_xlfn._xlws.FILTER(_xlpm.ptstables, _xlpm.ptstables &lt;&gt; "")),
  _xlpm.coef, _xlpm.K + _xlpm.Knewgain / (_xlpm.Knewscale + _xlpm.nbparties),
  IF(Q291="",
    "",
    _xlpm.coef * (Q291-Q292))
)</f>
        <v/>
      </c>
      <c r="R293" t="str" cm="1">
        <f t="array" ref="R293">_xlfn.LET(
  _xlpm.K, Constantes!$B$3,
  _xlpm.Knewgain, Constantes!$B$4,
  _xlpm.Knewscale, Constantes!$B$5,
  _xlpm.ptstables, INDEX(R:R, _xlfn.SEQUENCE(COUNTA($C$2:$C293), 1, 3, 4)),
  _xlpm.nbparties, COUNTA(_xlfn._xlws.FILTER(_xlpm.ptstables, _xlpm.ptstables &lt;&gt; "")),
  _xlpm.coef, _xlpm.K + _xlpm.Knewgain / (_xlpm.Knewscale + _xlpm.nbparties),
  IF(R291="",
    "",
    _xlpm.coef * (R291-R292))
)</f>
        <v/>
      </c>
      <c r="S293" t="str" cm="1">
        <f t="array" ref="S293">_xlfn.LET(
  _xlpm.K, Constantes!$B$3,
  _xlpm.Knewgain, Constantes!$B$4,
  _xlpm.Knewscale, Constantes!$B$5,
  _xlpm.ptstables, INDEX(S:S, _xlfn.SEQUENCE(COUNTA($C$2:$C293), 1, 3, 4)),
  _xlpm.nbparties, COUNTA(_xlfn._xlws.FILTER(_xlpm.ptstables, _xlpm.ptstables &lt;&gt; "")),
  _xlpm.coef, _xlpm.K + _xlpm.Knewgain / (_xlpm.Knewscale + _xlpm.nbparties),
  IF(S291="",
    "",
    _xlpm.coef * (S291-S292))
)</f>
        <v/>
      </c>
      <c r="T293" t="str" cm="1">
        <f t="array" ref="T293">_xlfn.LET(
  _xlpm.K, Constantes!$B$3,
  _xlpm.Knewgain, Constantes!$B$4,
  _xlpm.Knewscale, Constantes!$B$5,
  _xlpm.ptstables, INDEX(T:T, _xlfn.SEQUENCE(COUNTA($C$2:$C293), 1, 3, 4)),
  _xlpm.nbparties, COUNTA(_xlfn._xlws.FILTER(_xlpm.ptstables, _xlpm.ptstables &lt;&gt; "")),
  _xlpm.coef, _xlpm.K + _xlpm.Knewgain / (_xlpm.Knewscale + _xlpm.nbparties),
  IF(T291="",
    "",
    _xlpm.coef * (T291-T292))
)</f>
        <v/>
      </c>
      <c r="U293" t="str" cm="1">
        <f t="array" ref="U293">_xlfn.LET(
  _xlpm.K, Constantes!$B$3,
  _xlpm.Knewgain, Constantes!$B$4,
  _xlpm.Knewscale, Constantes!$B$5,
  _xlpm.ptstables, INDEX(U:U, _xlfn.SEQUENCE(COUNTA($C$2:$C293), 1, 3, 4)),
  _xlpm.nbparties, COUNTA(_xlfn._xlws.FILTER(_xlpm.ptstables, _xlpm.ptstables &lt;&gt; "")),
  _xlpm.coef, _xlpm.K + _xlpm.Knewgain / (_xlpm.Knewscale + _xlpm.nbparties),
  IF(U291="",
    "",
    _xlpm.coef * (U291-U292))
)</f>
        <v/>
      </c>
      <c r="V293" t="str" cm="1">
        <f t="array" ref="V293">_xlfn.LET(
  _xlpm.K, Constantes!$B$3,
  _xlpm.Knewgain, Constantes!$B$4,
  _xlpm.Knewscale, Constantes!$B$5,
  _xlpm.ptstables, INDEX(V:V, _xlfn.SEQUENCE(COUNTA($C$2:$C293), 1, 3, 4)),
  _xlpm.nbparties, COUNTA(_xlfn._xlws.FILTER(_xlpm.ptstables, _xlpm.ptstables &lt;&gt; "")),
  _xlpm.coef, _xlpm.K + _xlpm.Knewgain / (_xlpm.Knewscale + _xlpm.nbparties),
  IF(V291="",
    "",
    _xlpm.coef * (V291-V292))
)</f>
        <v/>
      </c>
      <c r="W293" t="str" cm="1">
        <f t="array" ref="W293">_xlfn.LET(
  _xlpm.K, Constantes!$B$3,
  _xlpm.Knewgain, Constantes!$B$4,
  _xlpm.Knewscale, Constantes!$B$5,
  _xlpm.ptstables, INDEX(W:W, _xlfn.SEQUENCE(COUNTA($C$2:$C293), 1, 3, 4)),
  _xlpm.nbparties, COUNTA(_xlfn._xlws.FILTER(_xlpm.ptstables, _xlpm.ptstables &lt;&gt; "")),
  _xlpm.coef, _xlpm.K + _xlpm.Knewgain / (_xlpm.Knewscale + _xlpm.nbparties),
  IF(W291="",
    "",
    _xlpm.coef * (W291-W292))
)</f>
        <v/>
      </c>
      <c r="X293" t="str" cm="1">
        <f t="array" ref="X293">_xlfn.LET(
  _xlpm.K, Constantes!$B$3,
  _xlpm.Knewgain, Constantes!$B$4,
  _xlpm.Knewscale, Constantes!$B$5,
  _xlpm.ptstables, INDEX(X:X, _xlfn.SEQUENCE(COUNTA($C$2:$C293), 1, 3, 4)),
  _xlpm.nbparties, COUNTA(_xlfn._xlws.FILTER(_xlpm.ptstables, _xlpm.ptstables &lt;&gt; "")),
  _xlpm.coef, _xlpm.K + _xlpm.Knewgain / (_xlpm.Knewscale + _xlpm.nbparties),
  IF(X291="",
    "",
    _xlpm.coef * (X291-X292))
)</f>
        <v/>
      </c>
      <c r="Y293" t="str" cm="1">
        <f t="array" ref="Y293">_xlfn.LET(
  _xlpm.K, Constantes!$B$3,
  _xlpm.Knewgain, Constantes!$B$4,
  _xlpm.Knewscale, Constantes!$B$5,
  _xlpm.ptstables, INDEX(Y:Y, _xlfn.SEQUENCE(COUNTA($C$2:$C293), 1, 3, 4)),
  _xlpm.nbparties, COUNTA(_xlfn._xlws.FILTER(_xlpm.ptstables, _xlpm.ptstables &lt;&gt; "")),
  _xlpm.coef, _xlpm.K + _xlpm.Knewgain / (_xlpm.Knewscale + _xlpm.nbparties),
  IF(Y291="",
    "",
    _xlpm.coef * (Y291-Y292))
)</f>
        <v/>
      </c>
      <c r="Z293" t="str" cm="1">
        <f t="array" ref="Z293">_xlfn.LET(
  _xlpm.K, Constantes!$B$3,
  _xlpm.Knewgain, Constantes!$B$4,
  _xlpm.Knewscale, Constantes!$B$5,
  _xlpm.ptstables, INDEX(Z:Z, _xlfn.SEQUENCE(COUNTA($C$2:$C293), 1, 3, 4)),
  _xlpm.nbparties, COUNTA(_xlfn._xlws.FILTER(_xlpm.ptstables, _xlpm.ptstables &lt;&gt; "")),
  _xlpm.coef, _xlpm.K + _xlpm.Knewgain / (_xlpm.Knewscale + _xlpm.nbparties),
  IF(Z291="",
    "",
    _xlpm.coef * (Z291-Z292))
)</f>
        <v/>
      </c>
      <c r="AA293" t="str" cm="1">
        <f t="array" ref="AA293">_xlfn.LET(
  _xlpm.K, Constantes!$B$3,
  _xlpm.Knewgain, Constantes!$B$4,
  _xlpm.Knewscale, Constantes!$B$5,
  _xlpm.ptstables, INDEX(AA:AA, _xlfn.SEQUENCE(COUNTA($C$2:$C293), 1, 3, 4)),
  _xlpm.nbparties, COUNTA(_xlfn._xlws.FILTER(_xlpm.ptstables, _xlpm.ptstables &lt;&gt; "")),
  _xlpm.coef, _xlpm.K + _xlpm.Knewgain / (_xlpm.Knewscale + _xlpm.nbparties),
  IF(AA291="",
    "",
    _xlpm.coef * (AA291-AA292))
)</f>
        <v/>
      </c>
      <c r="AB293" t="str" cm="1">
        <f t="array" ref="AB293">_xlfn.LET(
  _xlpm.K, Constantes!$B$3,
  _xlpm.Knewgain, Constantes!$B$4,
  _xlpm.Knewscale, Constantes!$B$5,
  _xlpm.ptstables, INDEX(AB:AB, _xlfn.SEQUENCE(COUNTA($C$2:$C293), 1, 3, 4)),
  _xlpm.nbparties, COUNTA(_xlfn._xlws.FILTER(_xlpm.ptstables, _xlpm.ptstables &lt;&gt; "")),
  _xlpm.coef, _xlpm.K + _xlpm.Knewgain / (_xlpm.Knewscale + _xlpm.nbparties),
  IF(AB291="",
    "",
    _xlpm.coef * (AB291-AB292))
)</f>
        <v/>
      </c>
      <c r="AC293" t="str" cm="1">
        <f t="array" ref="AC293">_xlfn.LET(
  _xlpm.K, Constantes!$B$3,
  _xlpm.Knewgain, Constantes!$B$4,
  _xlpm.Knewscale, Constantes!$B$5,
  _xlpm.ptstables, INDEX(AC:AC, _xlfn.SEQUENCE(COUNTA($C$2:$C293), 1, 3, 4)),
  _xlpm.nbparties, COUNTA(_xlfn._xlws.FILTER(_xlpm.ptstables, _xlpm.ptstables &lt;&gt; "")),
  _xlpm.coef, _xlpm.K + _xlpm.Knewgain / (_xlpm.Knewscale + _xlpm.nbparties),
  IF(AC291="",
    "",
    _xlpm.coef * (AC291-AC292))
)</f>
        <v/>
      </c>
      <c r="AD293" t="str" cm="1">
        <f t="array" ref="AD293">_xlfn.LET(
  _xlpm.K, Constantes!$B$3,
  _xlpm.Knewgain, Constantes!$B$4,
  _xlpm.Knewscale, Constantes!$B$5,
  _xlpm.ptstables, INDEX(AD:AD, _xlfn.SEQUENCE(COUNTA($C$2:$C293), 1, 3, 4)),
  _xlpm.nbparties, COUNTA(_xlfn._xlws.FILTER(_xlpm.ptstables, _xlpm.ptstables &lt;&gt; "")),
  _xlpm.coef, _xlpm.K + _xlpm.Knewgain / (_xlpm.Knewscale + _xlpm.nbparties),
  IF(AD291="",
    "",
    _xlpm.coef * (AD291-AD292))
)</f>
        <v/>
      </c>
      <c r="AE293" t="str" cm="1">
        <f t="array" ref="AE293">_xlfn.LET(
  _xlpm.K, Constantes!$B$3,
  _xlpm.Knewgain, Constantes!$B$4,
  _xlpm.Knewscale, Constantes!$B$5,
  _xlpm.ptstables, INDEX(AE:AE, _xlfn.SEQUENCE(COUNTA($C$2:$C293), 1, 3, 4)),
  _xlpm.nbparties, COUNTA(_xlfn._xlws.FILTER(_xlpm.ptstables, _xlpm.ptstables &lt;&gt; "")),
  _xlpm.coef, _xlpm.K + _xlpm.Knewgain / (_xlpm.Knewscale + _xlpm.nbparties),
  IF(AE291="",
    "",
    _xlpm.coef * (AE291-AE292))
)</f>
        <v/>
      </c>
      <c r="AF293" cm="1">
        <f t="array" ref="AF293">_xlfn.LET(
  _xlpm.K, Constantes!$B$3,
  _xlpm.Knewgain, Constantes!$B$4,
  _xlpm.Knewscale, Constantes!$B$5,
  _xlpm.ptstables, INDEX(AF:AF, _xlfn.SEQUENCE(COUNTA($C$2:$C293), 1, 3, 4)),
  _xlpm.nbparties, COUNTA(_xlfn._xlws.FILTER(_xlpm.ptstables, _xlpm.ptstables &lt;&gt; "")),
  _xlpm.coef, _xlpm.K + _xlpm.Knewgain / (_xlpm.Knewscale + _xlpm.nbparties),
  IF(AF291="",
    "",
    _xlpm.coef * (AF291-AF292))
)</f>
        <v>5.2781455653036398</v>
      </c>
      <c r="AG293" t="str" cm="1">
        <f t="array" ref="AG293">_xlfn.LET(
  _xlpm.K, Constantes!$B$3,
  _xlpm.Knewgain, Constantes!$B$4,
  _xlpm.Knewscale, Constantes!$B$5,
  _xlpm.ptstables, INDEX(AG:AG, _xlfn.SEQUENCE(COUNTA($C$2:$C293), 1, 3, 4)),
  _xlpm.nbparties, COUNTA(_xlfn._xlws.FILTER(_xlpm.ptstables, _xlpm.ptstables &lt;&gt; "")),
  _xlpm.coef, _xlpm.K + _xlpm.Knewgain / (_xlpm.Knewscale + _xlpm.nbparties),
  IF(AG291="",
    "",
    _xlpm.coef * (AG291-AG292))
)</f>
        <v/>
      </c>
      <c r="AH293" t="str" cm="1">
        <f t="array" ref="AH293">_xlfn.LET(
  _xlpm.K, Constantes!$B$3,
  _xlpm.Knewgain, Constantes!$B$4,
  _xlpm.Knewscale, Constantes!$B$5,
  _xlpm.ptstables, INDEX(AH:AH, _xlfn.SEQUENCE(COUNTA($C$2:$C293), 1, 3, 4)),
  _xlpm.nbparties, COUNTA(_xlfn._xlws.FILTER(_xlpm.ptstables, _xlpm.ptstables &lt;&gt; "")),
  _xlpm.coef, _xlpm.K + _xlpm.Knewgain / (_xlpm.Knewscale + _xlpm.nbparties),
  IF(AH291="",
    "",
    _xlpm.coef * (AH291-AH292))
)</f>
        <v/>
      </c>
      <c r="AI293" t="str" cm="1">
        <f t="array" ref="AI293">_xlfn.LET(
  _xlpm.K, Constantes!$B$3,
  _xlpm.Knewgain, Constantes!$B$4,
  _xlpm.Knewscale, Constantes!$B$5,
  _xlpm.ptstables, INDEX(AI:AI, _xlfn.SEQUENCE(COUNTA($C$2:$C293), 1, 3, 4)),
  _xlpm.nbparties, COUNTA(_xlfn._xlws.FILTER(_xlpm.ptstables, _xlpm.ptstables &lt;&gt; "")),
  _xlpm.coef, _xlpm.K + _xlpm.Knewgain / (_xlpm.Knewscale + _xlpm.nbparties),
  IF(AI291="",
    "",
    _xlpm.coef * (AI291-AI292))
)</f>
        <v/>
      </c>
      <c r="AJ293" cm="1">
        <f t="array" ref="AJ293">_xlfn.LET(
  _xlpm.K, Constantes!$B$3,
  _xlpm.Knewgain, Constantes!$B$4,
  _xlpm.Knewscale, Constantes!$B$5,
  _xlpm.ptstables, INDEX(AJ:AJ, _xlfn.SEQUENCE(COUNTA($C$2:$C293), 1, 3, 4)),
  _xlpm.nbparties, COUNTA(_xlfn._xlws.FILTER(_xlpm.ptstables, _xlpm.ptstables &lt;&gt; "")),
  _xlpm.coef, _xlpm.K + _xlpm.Knewgain / (_xlpm.Knewscale + _xlpm.nbparties),
  IF(AJ291="",
    "",
    _xlpm.coef * (AJ291-AJ292))
)</f>
        <v>-50.336457980865696</v>
      </c>
      <c r="AK293" cm="1">
        <f t="array" ref="AK293">_xlfn.LET(
  _xlpm.K, Constantes!$B$3,
  _xlpm.Knewgain, Constantes!$B$4,
  _xlpm.Knewscale, Constantes!$B$5,
  _xlpm.ptstables, INDEX(AK:AK, _xlfn.SEQUENCE(COUNTA($C$2:$C293), 1, 3, 4)),
  _xlpm.nbparties, COUNTA(_xlfn._xlws.FILTER(_xlpm.ptstables, _xlpm.ptstables &lt;&gt; "")),
  _xlpm.coef, _xlpm.K + _xlpm.Knewgain / (_xlpm.Knewscale + _xlpm.nbparties),
  IF(AK291="",
    "",
    _xlpm.coef * (AK291-AK292))
)</f>
        <v>74.006936720695663</v>
      </c>
      <c r="AL293" cm="1">
        <f t="array" ref="AL293">_xlfn.LET(
  _xlpm.K, Constantes!$B$3,
  _xlpm.Knewgain, Constantes!$B$4,
  _xlpm.Knewscale, Constantes!$B$5,
  _xlpm.ptstables, INDEX(AL:AL, _xlfn.SEQUENCE(COUNTA($C$2:$C293), 1, 3, 4)),
  _xlpm.nbparties, COUNTA(_xlfn._xlws.FILTER(_xlpm.ptstables, _xlpm.ptstables &lt;&gt; "")),
  _xlpm.coef, _xlpm.K + _xlpm.Knewgain / (_xlpm.Knewscale + _xlpm.nbparties),
  IF(AL291="",
    "",
    _xlpm.coef * (AL291-AL292))
)</f>
        <v>-30.148202842702577</v>
      </c>
      <c r="AM293" t="str" cm="1">
        <f t="array" ref="AM293">_xlfn.LET(
  _xlpm.K, Constantes!$B$3,
  _xlpm.Knewgain, Constantes!$B$4,
  _xlpm.Knewscale, Constantes!$B$5,
  _xlpm.ptstables, INDEX(AM:AM, _xlfn.SEQUENCE(COUNTA($C$2:$C293), 1, 3, 4)),
  _xlpm.nbparties, COUNTA(_xlfn._xlws.FILTER(_xlpm.ptstables, _xlpm.ptstables &lt;&gt; "")),
  _xlpm.coef, _xlpm.K + _xlpm.Knewgain / (_xlpm.Knewscale + _xlpm.nbparties),
  IF(AM291="",
    "",
    _xlpm.coef * (AM291-AM292))
)</f>
        <v/>
      </c>
    </row>
    <row r="294" spans="1:39" x14ac:dyDescent="0.25">
      <c r="A294" t="s">
        <v>14</v>
      </c>
      <c r="B294" t="str" cm="1">
        <f t="array" ref="B29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76</v>
      </c>
      <c r="C294" s="2" cm="1">
        <f t="array" ref="C294">IF(B294="","",
  INDEX(Donnees!F:F, MATCH(B294, Donnees!F:F, 0)+1))</f>
        <v>45948.593969907408</v>
      </c>
      <c r="D294">
        <f t="shared" ref="D294:AM294" si="81">D290+IF(D293="",0,D293)</f>
        <v>1033.1893307292305</v>
      </c>
      <c r="E294">
        <f t="shared" si="81"/>
        <v>1079.9237811780756</v>
      </c>
      <c r="F294">
        <f t="shared" si="81"/>
        <v>847.48442671390455</v>
      </c>
      <c r="G294">
        <f t="shared" si="81"/>
        <v>1118.8779378975084</v>
      </c>
      <c r="H294">
        <f t="shared" si="81"/>
        <v>1139.7553269432372</v>
      </c>
      <c r="I294">
        <f t="shared" si="81"/>
        <v>929.90115121897634</v>
      </c>
      <c r="J294">
        <f t="shared" si="81"/>
        <v>1010.9125108504293</v>
      </c>
      <c r="K294">
        <f t="shared" si="81"/>
        <v>993.90254614824482</v>
      </c>
      <c r="L294">
        <f t="shared" si="81"/>
        <v>766.95119884458973</v>
      </c>
      <c r="M294">
        <f t="shared" si="81"/>
        <v>913.41986361738122</v>
      </c>
      <c r="N294">
        <f t="shared" si="81"/>
        <v>893.28591153844093</v>
      </c>
      <c r="O294">
        <f t="shared" si="81"/>
        <v>998.21178722110983</v>
      </c>
      <c r="P294">
        <f t="shared" si="81"/>
        <v>1044.694691960626</v>
      </c>
      <c r="Q294">
        <f t="shared" si="81"/>
        <v>1050.1062561870472</v>
      </c>
      <c r="R294">
        <f t="shared" si="81"/>
        <v>1080.8653023562695</v>
      </c>
      <c r="S294">
        <f t="shared" si="81"/>
        <v>987.64110681918737</v>
      </c>
      <c r="T294">
        <f t="shared" si="81"/>
        <v>1153.43058185823</v>
      </c>
      <c r="U294">
        <f t="shared" si="81"/>
        <v>1185.0959893708045</v>
      </c>
      <c r="V294">
        <f t="shared" si="81"/>
        <v>951.23563726152827</v>
      </c>
      <c r="W294">
        <f t="shared" si="81"/>
        <v>936.79085942937002</v>
      </c>
      <c r="X294">
        <f t="shared" si="81"/>
        <v>828.97598039785271</v>
      </c>
      <c r="Y294">
        <f t="shared" si="81"/>
        <v>903.14348714035714</v>
      </c>
      <c r="Z294">
        <f t="shared" si="81"/>
        <v>991.11904139672549</v>
      </c>
      <c r="AA294">
        <f t="shared" si="81"/>
        <v>966.24279289689184</v>
      </c>
      <c r="AB294">
        <f t="shared" si="81"/>
        <v>988.35669729544747</v>
      </c>
      <c r="AC294">
        <f t="shared" si="81"/>
        <v>1061.6930275647865</v>
      </c>
      <c r="AD294">
        <f t="shared" si="81"/>
        <v>1073.9096023401294</v>
      </c>
      <c r="AE294">
        <f t="shared" si="81"/>
        <v>963.23981965000235</v>
      </c>
      <c r="AF294">
        <f t="shared" si="81"/>
        <v>1094.8196847516158</v>
      </c>
      <c r="AG294">
        <f t="shared" si="81"/>
        <v>958.23078604304851</v>
      </c>
      <c r="AH294">
        <f t="shared" si="81"/>
        <v>920.4412636682855</v>
      </c>
      <c r="AI294">
        <f t="shared" si="81"/>
        <v>885.10468670997182</v>
      </c>
      <c r="AJ294">
        <f t="shared" si="81"/>
        <v>906.86354201913434</v>
      </c>
      <c r="AK294">
        <f t="shared" si="81"/>
        <v>1074.0069367206956</v>
      </c>
      <c r="AL294">
        <f t="shared" si="81"/>
        <v>1025.7817971572972</v>
      </c>
      <c r="AM294">
        <f t="shared" si="81"/>
        <v>1000</v>
      </c>
    </row>
    <row r="295" spans="1:39" x14ac:dyDescent="0.25">
      <c r="A295" t="s">
        <v>21</v>
      </c>
      <c r="D295" t="str" cm="1">
        <f t="array" ref="D295">IFERROR(
  _xlfn.LET(
    _xlpm.ligpartie, MATCH($B294, Donnees!$F:$F, 0),
    _xlpm.joueurs, INDEX(Donnees!$A:$Z, _xlpm.ligpartie+1, _xlfn.SEQUENCE(1, 4, 2)),
    INDEX(
      Donnees!$A:$Z,
      _xlpm.ligpartie + 3,
      MATCH(D$1, _xlpm.joueurs, 0) + 1
    )
  ), ""
)</f>
        <v/>
      </c>
      <c r="E295" t="str" cm="1">
        <f t="array" ref="E295">IFERROR(
  _xlfn.LET(
    _xlpm.ligpartie, MATCH($B294, Donnees!$F:$F, 0),
    _xlpm.joueurs, INDEX(Donnees!$A:$Z, _xlpm.ligpartie+1, _xlfn.SEQUENCE(1, 4, 2)),
    INDEX(
      Donnees!$A:$Z,
      _xlpm.ligpartie + 3,
      MATCH(E$1, _xlpm.joueurs, 0) + 1
    )
  ), ""
)</f>
        <v/>
      </c>
      <c r="F295" cm="1">
        <f t="array" ref="F295">IFERROR(
  _xlfn.LET(
    _xlpm.ligpartie, MATCH($B294, Donnees!$F:$F, 0),
    _xlpm.joueurs, INDEX(Donnees!$A:$Z, _xlpm.ligpartie+1, _xlfn.SEQUENCE(1, 4, 2)),
    INDEX(
      Donnees!$A:$Z,
      _xlpm.ligpartie + 3,
      MATCH(F$1, _xlpm.joueurs, 0) + 1
    )
  ), ""
)</f>
        <v>2</v>
      </c>
      <c r="G295" t="str" cm="1">
        <f t="array" ref="G295">IFERROR(
  _xlfn.LET(
    _xlpm.ligpartie, MATCH($B294, Donnees!$F:$F, 0),
    _xlpm.joueurs, INDEX(Donnees!$A:$Z, _xlpm.ligpartie+1, _xlfn.SEQUENCE(1, 4, 2)),
    INDEX(
      Donnees!$A:$Z,
      _xlpm.ligpartie + 3,
      MATCH(G$1, _xlpm.joueurs, 0) + 1
    )
  ), ""
)</f>
        <v/>
      </c>
      <c r="H295" t="str" cm="1">
        <f t="array" ref="H295">IFERROR(
  _xlfn.LET(
    _xlpm.ligpartie, MATCH($B294, Donnees!$F:$F, 0),
    _xlpm.joueurs, INDEX(Donnees!$A:$Z, _xlpm.ligpartie+1, _xlfn.SEQUENCE(1, 4, 2)),
    INDEX(
      Donnees!$A:$Z,
      _xlpm.ligpartie + 3,
      MATCH(H$1, _xlpm.joueurs, 0) + 1
    )
  ), ""
)</f>
        <v/>
      </c>
      <c r="I295" cm="1">
        <f t="array" ref="I295">IFERROR(
  _xlfn.LET(
    _xlpm.ligpartie, MATCH($B294, Donnees!$F:$F, 0),
    _xlpm.joueurs, INDEX(Donnees!$A:$Z, _xlpm.ligpartie+1, _xlfn.SEQUENCE(1, 4, 2)),
    INDEX(
      Donnees!$A:$Z,
      _xlpm.ligpartie + 3,
      MATCH(I$1, _xlpm.joueurs, 0) + 1
    )
  ), ""
)</f>
        <v>1</v>
      </c>
      <c r="J295" t="str" cm="1">
        <f t="array" ref="J295">IFERROR(
  _xlfn.LET(
    _xlpm.ligpartie, MATCH($B294, Donnees!$F:$F, 0),
    _xlpm.joueurs, INDEX(Donnees!$A:$Z, _xlpm.ligpartie+1, _xlfn.SEQUENCE(1, 4, 2)),
    INDEX(
      Donnees!$A:$Z,
      _xlpm.ligpartie + 3,
      MATCH(J$1, _xlpm.joueurs, 0) + 1
    )
  ), ""
)</f>
        <v/>
      </c>
      <c r="K295" t="str" cm="1">
        <f t="array" ref="K295">IFERROR(
  _xlfn.LET(
    _xlpm.ligpartie, MATCH($B294, Donnees!$F:$F, 0),
    _xlpm.joueurs, INDEX(Donnees!$A:$Z, _xlpm.ligpartie+1, _xlfn.SEQUENCE(1, 4, 2)),
    INDEX(
      Donnees!$A:$Z,
      _xlpm.ligpartie + 3,
      MATCH(K$1, _xlpm.joueurs, 0) + 1
    )
  ), ""
)</f>
        <v/>
      </c>
      <c r="L295" t="str" cm="1">
        <f t="array" ref="L295">IFERROR(
  _xlfn.LET(
    _xlpm.ligpartie, MATCH($B294, Donnees!$F:$F, 0),
    _xlpm.joueurs, INDEX(Donnees!$A:$Z, _xlpm.ligpartie+1, _xlfn.SEQUENCE(1, 4, 2)),
    INDEX(
      Donnees!$A:$Z,
      _xlpm.ligpartie + 3,
      MATCH(L$1, _xlpm.joueurs, 0) + 1
    )
  ), ""
)</f>
        <v/>
      </c>
      <c r="M295" t="str" cm="1">
        <f t="array" ref="M295">IFERROR(
  _xlfn.LET(
    _xlpm.ligpartie, MATCH($B294, Donnees!$F:$F, 0),
    _xlpm.joueurs, INDEX(Donnees!$A:$Z, _xlpm.ligpartie+1, _xlfn.SEQUENCE(1, 4, 2)),
    INDEX(
      Donnees!$A:$Z,
      _xlpm.ligpartie + 3,
      MATCH(M$1, _xlpm.joueurs, 0) + 1
    )
  ), ""
)</f>
        <v/>
      </c>
      <c r="N295" t="str" cm="1">
        <f t="array" ref="N295">IFERROR(
  _xlfn.LET(
    _xlpm.ligpartie, MATCH($B294, Donnees!$F:$F, 0),
    _xlpm.joueurs, INDEX(Donnees!$A:$Z, _xlpm.ligpartie+1, _xlfn.SEQUENCE(1, 4, 2)),
    INDEX(
      Donnees!$A:$Z,
      _xlpm.ligpartie + 3,
      MATCH(N$1, _xlpm.joueurs, 0) + 1
    )
  ), ""
)</f>
        <v/>
      </c>
      <c r="O295" t="str" cm="1">
        <f t="array" ref="O295">IFERROR(
  _xlfn.LET(
    _xlpm.ligpartie, MATCH($B294, Donnees!$F:$F, 0),
    _xlpm.joueurs, INDEX(Donnees!$A:$Z, _xlpm.ligpartie+1, _xlfn.SEQUENCE(1, 4, 2)),
    INDEX(
      Donnees!$A:$Z,
      _xlpm.ligpartie + 3,
      MATCH(O$1, _xlpm.joueurs, 0) + 1
    )
  ), ""
)</f>
        <v/>
      </c>
      <c r="P295" t="str" cm="1">
        <f t="array" ref="P295">IFERROR(
  _xlfn.LET(
    _xlpm.ligpartie, MATCH($B294, Donnees!$F:$F, 0),
    _xlpm.joueurs, INDEX(Donnees!$A:$Z, _xlpm.ligpartie+1, _xlfn.SEQUENCE(1, 4, 2)),
    INDEX(
      Donnees!$A:$Z,
      _xlpm.ligpartie + 3,
      MATCH(P$1, _xlpm.joueurs, 0) + 1
    )
  ), ""
)</f>
        <v/>
      </c>
      <c r="Q295" t="str" cm="1">
        <f t="array" ref="Q295">IFERROR(
  _xlfn.LET(
    _xlpm.ligpartie, MATCH($B294, Donnees!$F:$F, 0),
    _xlpm.joueurs, INDEX(Donnees!$A:$Z, _xlpm.ligpartie+1, _xlfn.SEQUENCE(1, 4, 2)),
    INDEX(
      Donnees!$A:$Z,
      _xlpm.ligpartie + 3,
      MATCH(Q$1, _xlpm.joueurs, 0) + 1
    )
  ), ""
)</f>
        <v/>
      </c>
      <c r="R295" t="str" cm="1">
        <f t="array" ref="R295">IFERROR(
  _xlfn.LET(
    _xlpm.ligpartie, MATCH($B294, Donnees!$F:$F, 0),
    _xlpm.joueurs, INDEX(Donnees!$A:$Z, _xlpm.ligpartie+1, _xlfn.SEQUENCE(1, 4, 2)),
    INDEX(
      Donnees!$A:$Z,
      _xlpm.ligpartie + 3,
      MATCH(R$1, _xlpm.joueurs, 0) + 1
    )
  ), ""
)</f>
        <v/>
      </c>
      <c r="S295" cm="1">
        <f t="array" ref="S295">IFERROR(
  _xlfn.LET(
    _xlpm.ligpartie, MATCH($B294, Donnees!$F:$F, 0),
    _xlpm.joueurs, INDEX(Donnees!$A:$Z, _xlpm.ligpartie+1, _xlfn.SEQUENCE(1, 4, 2)),
    INDEX(
      Donnees!$A:$Z,
      _xlpm.ligpartie + 3,
      MATCH(S$1, _xlpm.joueurs, 0) + 1
    )
  ), ""
)</f>
        <v>0</v>
      </c>
      <c r="T295" t="str" cm="1">
        <f t="array" ref="T295">IFERROR(
  _xlfn.LET(
    _xlpm.ligpartie, MATCH($B294, Donnees!$F:$F, 0),
    _xlpm.joueurs, INDEX(Donnees!$A:$Z, _xlpm.ligpartie+1, _xlfn.SEQUENCE(1, 4, 2)),
    INDEX(
      Donnees!$A:$Z,
      _xlpm.ligpartie + 3,
      MATCH(T$1, _xlpm.joueurs, 0) + 1
    )
  ), ""
)</f>
        <v/>
      </c>
      <c r="U295" t="str" cm="1">
        <f t="array" ref="U295">IFERROR(
  _xlfn.LET(
    _xlpm.ligpartie, MATCH($B294, Donnees!$F:$F, 0),
    _xlpm.joueurs, INDEX(Donnees!$A:$Z, _xlpm.ligpartie+1, _xlfn.SEQUENCE(1, 4, 2)),
    INDEX(
      Donnees!$A:$Z,
      _xlpm.ligpartie + 3,
      MATCH(U$1, _xlpm.joueurs, 0) + 1
    )
  ), ""
)</f>
        <v/>
      </c>
      <c r="V295" t="str" cm="1">
        <f t="array" ref="V295">IFERROR(
  _xlfn.LET(
    _xlpm.ligpartie, MATCH($B294, Donnees!$F:$F, 0),
    _xlpm.joueurs, INDEX(Donnees!$A:$Z, _xlpm.ligpartie+1, _xlfn.SEQUENCE(1, 4, 2)),
    INDEX(
      Donnees!$A:$Z,
      _xlpm.ligpartie + 3,
      MATCH(V$1, _xlpm.joueurs, 0) + 1
    )
  ), ""
)</f>
        <v/>
      </c>
      <c r="W295" t="str" cm="1">
        <f t="array" ref="W295">IFERROR(
  _xlfn.LET(
    _xlpm.ligpartie, MATCH($B294, Donnees!$F:$F, 0),
    _xlpm.joueurs, INDEX(Donnees!$A:$Z, _xlpm.ligpartie+1, _xlfn.SEQUENCE(1, 4, 2)),
    INDEX(
      Donnees!$A:$Z,
      _xlpm.ligpartie + 3,
      MATCH(W$1, _xlpm.joueurs, 0) + 1
    )
  ), ""
)</f>
        <v/>
      </c>
      <c r="X295" t="str" cm="1">
        <f t="array" ref="X295">IFERROR(
  _xlfn.LET(
    _xlpm.ligpartie, MATCH($B294, Donnees!$F:$F, 0),
    _xlpm.joueurs, INDEX(Donnees!$A:$Z, _xlpm.ligpartie+1, _xlfn.SEQUENCE(1, 4, 2)),
    INDEX(
      Donnees!$A:$Z,
      _xlpm.ligpartie + 3,
      MATCH(X$1, _xlpm.joueurs, 0) + 1
    )
  ), ""
)</f>
        <v/>
      </c>
      <c r="Y295" t="str" cm="1">
        <f t="array" ref="Y295">IFERROR(
  _xlfn.LET(
    _xlpm.ligpartie, MATCH($B294, Donnees!$F:$F, 0),
    _xlpm.joueurs, INDEX(Donnees!$A:$Z, _xlpm.ligpartie+1, _xlfn.SEQUENCE(1, 4, 2)),
    INDEX(
      Donnees!$A:$Z,
      _xlpm.ligpartie + 3,
      MATCH(Y$1, _xlpm.joueurs, 0) + 1
    )
  ), ""
)</f>
        <v/>
      </c>
      <c r="Z295" t="str" cm="1">
        <f t="array" ref="Z295">IFERROR(
  _xlfn.LET(
    _xlpm.ligpartie, MATCH($B294, Donnees!$F:$F, 0),
    _xlpm.joueurs, INDEX(Donnees!$A:$Z, _xlpm.ligpartie+1, _xlfn.SEQUENCE(1, 4, 2)),
    INDEX(
      Donnees!$A:$Z,
      _xlpm.ligpartie + 3,
      MATCH(Z$1, _xlpm.joueurs, 0) + 1
    )
  ), ""
)</f>
        <v/>
      </c>
      <c r="AA295" t="str" cm="1">
        <f t="array" ref="AA295">IFERROR(
  _xlfn.LET(
    _xlpm.ligpartie, MATCH($B294, Donnees!$F:$F, 0),
    _xlpm.joueurs, INDEX(Donnees!$A:$Z, _xlpm.ligpartie+1, _xlfn.SEQUENCE(1, 4, 2)),
    INDEX(
      Donnees!$A:$Z,
      _xlpm.ligpartie + 3,
      MATCH(AA$1, _xlpm.joueurs, 0) + 1
    )
  ), ""
)</f>
        <v/>
      </c>
      <c r="AB295" t="str" cm="1">
        <f t="array" ref="AB295">IFERROR(
  _xlfn.LET(
    _xlpm.ligpartie, MATCH($B294, Donnees!$F:$F, 0),
    _xlpm.joueurs, INDEX(Donnees!$A:$Z, _xlpm.ligpartie+1, _xlfn.SEQUENCE(1, 4, 2)),
    INDEX(
      Donnees!$A:$Z,
      _xlpm.ligpartie + 3,
      MATCH(AB$1, _xlpm.joueurs, 0) + 1
    )
  ), ""
)</f>
        <v/>
      </c>
      <c r="AC295" t="str" cm="1">
        <f t="array" ref="AC295">IFERROR(
  _xlfn.LET(
    _xlpm.ligpartie, MATCH($B294, Donnees!$F:$F, 0),
    _xlpm.joueurs, INDEX(Donnees!$A:$Z, _xlpm.ligpartie+1, _xlfn.SEQUENCE(1, 4, 2)),
    INDEX(
      Donnees!$A:$Z,
      _xlpm.ligpartie + 3,
      MATCH(AC$1, _xlpm.joueurs, 0) + 1
    )
  ), ""
)</f>
        <v/>
      </c>
      <c r="AD295" cm="1">
        <f t="array" ref="AD295">IFERROR(
  _xlfn.LET(
    _xlpm.ligpartie, MATCH($B294, Donnees!$F:$F, 0),
    _xlpm.joueurs, INDEX(Donnees!$A:$Z, _xlpm.ligpartie+1, _xlfn.SEQUENCE(1, 4, 2)),
    INDEX(
      Donnees!$A:$Z,
      _xlpm.ligpartie + 3,
      MATCH(AD$1, _xlpm.joueurs, 0) + 1
    )
  ), ""
)</f>
        <v>3</v>
      </c>
      <c r="AE295" t="str" cm="1">
        <f t="array" ref="AE295">IFERROR(
  _xlfn.LET(
    _xlpm.ligpartie, MATCH($B294, Donnees!$F:$F, 0),
    _xlpm.joueurs, INDEX(Donnees!$A:$Z, _xlpm.ligpartie+1, _xlfn.SEQUENCE(1, 4, 2)),
    INDEX(
      Donnees!$A:$Z,
      _xlpm.ligpartie + 3,
      MATCH(AE$1, _xlpm.joueurs, 0) + 1
    )
  ), ""
)</f>
        <v/>
      </c>
      <c r="AF295" t="str" cm="1">
        <f t="array" ref="AF295">IFERROR(
  _xlfn.LET(
    _xlpm.ligpartie, MATCH($B294, Donnees!$F:$F, 0),
    _xlpm.joueurs, INDEX(Donnees!$A:$Z, _xlpm.ligpartie+1, _xlfn.SEQUENCE(1, 4, 2)),
    INDEX(
      Donnees!$A:$Z,
      _xlpm.ligpartie + 3,
      MATCH(AF$1, _xlpm.joueurs, 0) + 1
    )
  ), ""
)</f>
        <v/>
      </c>
      <c r="AG295" t="str" cm="1">
        <f t="array" ref="AG295">IFERROR(
  _xlfn.LET(
    _xlpm.ligpartie, MATCH($B294, Donnees!$F:$F, 0),
    _xlpm.joueurs, INDEX(Donnees!$A:$Z, _xlpm.ligpartie+1, _xlfn.SEQUENCE(1, 4, 2)),
    INDEX(
      Donnees!$A:$Z,
      _xlpm.ligpartie + 3,
      MATCH(AG$1, _xlpm.joueurs, 0) + 1
    )
  ), ""
)</f>
        <v/>
      </c>
      <c r="AH295" t="str" cm="1">
        <f t="array" ref="AH295">IFERROR(
  _xlfn.LET(
    _xlpm.ligpartie, MATCH($B294, Donnees!$F:$F, 0),
    _xlpm.joueurs, INDEX(Donnees!$A:$Z, _xlpm.ligpartie+1, _xlfn.SEQUENCE(1, 4, 2)),
    INDEX(
      Donnees!$A:$Z,
      _xlpm.ligpartie + 3,
      MATCH(AH$1, _xlpm.joueurs, 0) + 1
    )
  ), ""
)</f>
        <v/>
      </c>
      <c r="AI295" t="str" cm="1">
        <f t="array" ref="AI295">IFERROR(
  _xlfn.LET(
    _xlpm.ligpartie, MATCH($B294, Donnees!$F:$F, 0),
    _xlpm.joueurs, INDEX(Donnees!$A:$Z, _xlpm.ligpartie+1, _xlfn.SEQUENCE(1, 4, 2)),
    INDEX(
      Donnees!$A:$Z,
      _xlpm.ligpartie + 3,
      MATCH(AI$1, _xlpm.joueurs, 0) + 1
    )
  ), ""
)</f>
        <v/>
      </c>
      <c r="AJ295" t="str" cm="1">
        <f t="array" ref="AJ295">IFERROR(
  _xlfn.LET(
    _xlpm.ligpartie, MATCH($B294, Donnees!$F:$F, 0),
    _xlpm.joueurs, INDEX(Donnees!$A:$Z, _xlpm.ligpartie+1, _xlfn.SEQUENCE(1, 4, 2)),
    INDEX(
      Donnees!$A:$Z,
      _xlpm.ligpartie + 3,
      MATCH(AJ$1, _xlpm.joueurs, 0) + 1
    )
  ), ""
)</f>
        <v/>
      </c>
      <c r="AK295" t="str" cm="1">
        <f t="array" ref="AK295">IFERROR(
  _xlfn.LET(
    _xlpm.ligpartie, MATCH($B294, Donnees!$F:$F, 0),
    _xlpm.joueurs, INDEX(Donnees!$A:$Z, _xlpm.ligpartie+1, _xlfn.SEQUENCE(1, 4, 2)),
    INDEX(
      Donnees!$A:$Z,
      _xlpm.ligpartie + 3,
      MATCH(AK$1, _xlpm.joueurs, 0) + 1
    )
  ), ""
)</f>
        <v/>
      </c>
      <c r="AL295" t="str" cm="1">
        <f t="array" ref="AL295">IFERROR(
  _xlfn.LET(
    _xlpm.ligpartie, MATCH($B294, Donnees!$F:$F, 0),
    _xlpm.joueurs, INDEX(Donnees!$A:$Z, _xlpm.ligpartie+1, _xlfn.SEQUENCE(1, 4, 2)),
    INDEX(
      Donnees!$A:$Z,
      _xlpm.ligpartie + 3,
      MATCH(AL$1, _xlpm.joueurs, 0) + 1
    )
  ), ""
)</f>
        <v/>
      </c>
      <c r="AM295" t="str" cm="1">
        <f t="array" ref="AM295">IFERROR(
  _xlfn.LET(
    _xlpm.ligpartie, MATCH($B294, Donnees!$F:$F, 0),
    _xlpm.joueurs, INDEX(Donnees!$A:$Z, _xlpm.ligpartie+1, _xlfn.SEQUENCE(1, 4, 2)),
    INDEX(
      Donnees!$A:$Z,
      _xlpm.ligpartie + 3,
      MATCH(AM$1, _xlpm.joueurs, 0) + 1
    )
  ), ""
)</f>
        <v/>
      </c>
    </row>
    <row r="296" spans="1:39" x14ac:dyDescent="0.25">
      <c r="A296" t="s">
        <v>20</v>
      </c>
      <c r="D296" t="str" cm="1">
        <f t="array" ref="D296">_xlfn.LET(
  _xlpm.colj, _xlfn._xlws.FILTER(IF(ISNUMBER(295:295), COLUMN(295:295)), ISNUMBER(295:295)),
  _xlpm.elos, INDEX(294:294,1,_xlpm.colj),
  _xlpm.diffscale, Constantes!$B$2,
  IF(D295="",
    "",
    SUM(1/(1+POWER(10,-(D294-_xlpm.elos)/_xlpm.diffscale)))-0.5)
)</f>
        <v/>
      </c>
      <c r="E296" t="str" cm="1">
        <f t="array" ref="E296">_xlfn.LET(
  _xlpm.colj, _xlfn._xlws.FILTER(IF(ISNUMBER(295:295), COLUMN(295:295)), ISNUMBER(295:295)),
  _xlpm.elos, INDEX(294:294,1,_xlpm.colj),
  _xlpm.diffscale, Constantes!$B$2,
  IF(E295="",
    "",
    SUM(1/(1+POWER(10,-(E294-_xlpm.elos)/_xlpm.diffscale)))-0.5)
)</f>
        <v/>
      </c>
      <c r="F296" cm="1">
        <f t="array" ref="F296">_xlfn.LET(
  _xlpm.colj, _xlfn._xlws.FILTER(IF(ISNUMBER(295:295), COLUMN(295:295)), ISNUMBER(295:295)),
  _xlpm.elos, INDEX(294:294,1,_xlpm.colj),
  _xlpm.diffscale, Constantes!$B$2,
  IF(F295="",
    "",
    SUM(1/(1+POWER(10,-(F294-_xlpm.elos)/_xlpm.diffscale)))-0.5)
)</f>
        <v>0.90573192742997066</v>
      </c>
      <c r="G296" t="str" cm="1">
        <f t="array" ref="G296">_xlfn.LET(
  _xlpm.colj, _xlfn._xlws.FILTER(IF(ISNUMBER(295:295), COLUMN(295:295)), ISNUMBER(295:295)),
  _xlpm.elos, INDEX(294:294,1,_xlpm.colj),
  _xlpm.diffscale, Constantes!$B$2,
  IF(G295="",
    "",
    SUM(1/(1+POWER(10,-(G294-_xlpm.elos)/_xlpm.diffscale)))-0.5)
)</f>
        <v/>
      </c>
      <c r="H296" t="str" cm="1">
        <f t="array" ref="H296">_xlfn.LET(
  _xlpm.colj, _xlfn._xlws.FILTER(IF(ISNUMBER(295:295), COLUMN(295:295)), ISNUMBER(295:295)),
  _xlpm.elos, INDEX(294:294,1,_xlpm.colj),
  _xlpm.diffscale, Constantes!$B$2,
  IF(H295="",
    "",
    SUM(1/(1+POWER(10,-(H294-_xlpm.elos)/_xlpm.diffscale)))-0.5)
)</f>
        <v/>
      </c>
      <c r="I296" cm="1">
        <f t="array" ref="I296">_xlfn.LET(
  _xlpm.colj, _xlfn._xlws.FILTER(IF(ISNUMBER(295:295), COLUMN(295:295)), ISNUMBER(295:295)),
  _xlpm.elos, INDEX(294:294,1,_xlpm.colj),
  _xlpm.diffscale, Constantes!$B$2,
  IF(I295="",
    "",
    SUM(1/(1+POWER(10,-(I294-_xlpm.elos)/_xlpm.diffscale)))-0.5)
)</f>
        <v>1.3379545520317488</v>
      </c>
      <c r="J296" t="str" cm="1">
        <f t="array" ref="J296">_xlfn.LET(
  _xlpm.colj, _xlfn._xlws.FILTER(IF(ISNUMBER(295:295), COLUMN(295:295)), ISNUMBER(295:295)),
  _xlpm.elos, INDEX(294:294,1,_xlpm.colj),
  _xlpm.diffscale, Constantes!$B$2,
  IF(J295="",
    "",
    SUM(1/(1+POWER(10,-(J294-_xlpm.elos)/_xlpm.diffscale)))-0.5)
)</f>
        <v/>
      </c>
      <c r="K296" t="str" cm="1">
        <f t="array" ref="K296">_xlfn.LET(
  _xlpm.colj, _xlfn._xlws.FILTER(IF(ISNUMBER(295:295), COLUMN(295:295)), ISNUMBER(295:295)),
  _xlpm.elos, INDEX(294:294,1,_xlpm.colj),
  _xlpm.diffscale, Constantes!$B$2,
  IF(K295="",
    "",
    SUM(1/(1+POWER(10,-(K294-_xlpm.elos)/_xlpm.diffscale)))-0.5)
)</f>
        <v/>
      </c>
      <c r="L296" t="str" cm="1">
        <f t="array" ref="L296">_xlfn.LET(
  _xlpm.colj, _xlfn._xlws.FILTER(IF(ISNUMBER(295:295), COLUMN(295:295)), ISNUMBER(295:295)),
  _xlpm.elos, INDEX(294:294,1,_xlpm.colj),
  _xlpm.diffscale, Constantes!$B$2,
  IF(L295="",
    "",
    SUM(1/(1+POWER(10,-(L294-_xlpm.elos)/_xlpm.diffscale)))-0.5)
)</f>
        <v/>
      </c>
      <c r="M296" t="str" cm="1">
        <f t="array" ref="M296">_xlfn.LET(
  _xlpm.colj, _xlfn._xlws.FILTER(IF(ISNUMBER(295:295), COLUMN(295:295)), ISNUMBER(295:295)),
  _xlpm.elos, INDEX(294:294,1,_xlpm.colj),
  _xlpm.diffscale, Constantes!$B$2,
  IF(M295="",
    "",
    SUM(1/(1+POWER(10,-(M294-_xlpm.elos)/_xlpm.diffscale)))-0.5)
)</f>
        <v/>
      </c>
      <c r="N296" t="str" cm="1">
        <f t="array" ref="N296">_xlfn.LET(
  _xlpm.colj, _xlfn._xlws.FILTER(IF(ISNUMBER(295:295), COLUMN(295:295)), ISNUMBER(295:295)),
  _xlpm.elos, INDEX(294:294,1,_xlpm.colj),
  _xlpm.diffscale, Constantes!$B$2,
  IF(N295="",
    "",
    SUM(1/(1+POWER(10,-(N294-_xlpm.elos)/_xlpm.diffscale)))-0.5)
)</f>
        <v/>
      </c>
      <c r="O296" t="str" cm="1">
        <f t="array" ref="O296">_xlfn.LET(
  _xlpm.colj, _xlfn._xlws.FILTER(IF(ISNUMBER(295:295), COLUMN(295:295)), ISNUMBER(295:295)),
  _xlpm.elos, INDEX(294:294,1,_xlpm.colj),
  _xlpm.diffscale, Constantes!$B$2,
  IF(O295="",
    "",
    SUM(1/(1+POWER(10,-(O294-_xlpm.elos)/_xlpm.diffscale)))-0.5)
)</f>
        <v/>
      </c>
      <c r="P296" t="str" cm="1">
        <f t="array" ref="P296">_xlfn.LET(
  _xlpm.colj, _xlfn._xlws.FILTER(IF(ISNUMBER(295:295), COLUMN(295:295)), ISNUMBER(295:295)),
  _xlpm.elos, INDEX(294:294,1,_xlpm.colj),
  _xlpm.diffscale, Constantes!$B$2,
  IF(P295="",
    "",
    SUM(1/(1+POWER(10,-(P294-_xlpm.elos)/_xlpm.diffscale)))-0.5)
)</f>
        <v/>
      </c>
      <c r="Q296" t="str" cm="1">
        <f t="array" ref="Q296">_xlfn.LET(
  _xlpm.colj, _xlfn._xlws.FILTER(IF(ISNUMBER(295:295), COLUMN(295:295)), ISNUMBER(295:295)),
  _xlpm.elos, INDEX(294:294,1,_xlpm.colj),
  _xlpm.diffscale, Constantes!$B$2,
  IF(Q295="",
    "",
    SUM(1/(1+POWER(10,-(Q294-_xlpm.elos)/_xlpm.diffscale)))-0.5)
)</f>
        <v/>
      </c>
      <c r="R296" t="str" cm="1">
        <f t="array" ref="R296">_xlfn.LET(
  _xlpm.colj, _xlfn._xlws.FILTER(IF(ISNUMBER(295:295), COLUMN(295:295)), ISNUMBER(295:295)),
  _xlpm.elos, INDEX(294:294,1,_xlpm.colj),
  _xlpm.diffscale, Constantes!$B$2,
  IF(R295="",
    "",
    SUM(1/(1+POWER(10,-(R294-_xlpm.elos)/_xlpm.diffscale)))-0.5)
)</f>
        <v/>
      </c>
      <c r="S296" cm="1">
        <f t="array" ref="S296">_xlfn.LET(
  _xlpm.colj, _xlfn._xlws.FILTER(IF(ISNUMBER(295:295), COLUMN(295:295)), ISNUMBER(295:295)),
  _xlpm.elos, INDEX(294:294,1,_xlpm.colj),
  _xlpm.diffscale, Constantes!$B$2,
  IF(S295="",
    "",
    SUM(1/(1+POWER(10,-(S294-_xlpm.elos)/_xlpm.diffscale)))-0.5)
)</f>
        <v>1.6521061489853786</v>
      </c>
      <c r="T296" t="str" cm="1">
        <f t="array" ref="T296">_xlfn.LET(
  _xlpm.colj, _xlfn._xlws.FILTER(IF(ISNUMBER(295:295), COLUMN(295:295)), ISNUMBER(295:295)),
  _xlpm.elos, INDEX(294:294,1,_xlpm.colj),
  _xlpm.diffscale, Constantes!$B$2,
  IF(T295="",
    "",
    SUM(1/(1+POWER(10,-(T294-_xlpm.elos)/_xlpm.diffscale)))-0.5)
)</f>
        <v/>
      </c>
      <c r="U296" t="str" cm="1">
        <f t="array" ref="U296">_xlfn.LET(
  _xlpm.colj, _xlfn._xlws.FILTER(IF(ISNUMBER(295:295), COLUMN(295:295)), ISNUMBER(295:295)),
  _xlpm.elos, INDEX(294:294,1,_xlpm.colj),
  _xlpm.diffscale, Constantes!$B$2,
  IF(U295="",
    "",
    SUM(1/(1+POWER(10,-(U294-_xlpm.elos)/_xlpm.diffscale)))-0.5)
)</f>
        <v/>
      </c>
      <c r="V296" t="str" cm="1">
        <f t="array" ref="V296">_xlfn.LET(
  _xlpm.colj, _xlfn._xlws.FILTER(IF(ISNUMBER(295:295), COLUMN(295:295)), ISNUMBER(295:295)),
  _xlpm.elos, INDEX(294:294,1,_xlpm.colj),
  _xlpm.diffscale, Constantes!$B$2,
  IF(V295="",
    "",
    SUM(1/(1+POWER(10,-(V294-_xlpm.elos)/_xlpm.diffscale)))-0.5)
)</f>
        <v/>
      </c>
      <c r="W296" t="str" cm="1">
        <f t="array" ref="W296">_xlfn.LET(
  _xlpm.colj, _xlfn._xlws.FILTER(IF(ISNUMBER(295:295), COLUMN(295:295)), ISNUMBER(295:295)),
  _xlpm.elos, INDEX(294:294,1,_xlpm.colj),
  _xlpm.diffscale, Constantes!$B$2,
  IF(W295="",
    "",
    SUM(1/(1+POWER(10,-(W294-_xlpm.elos)/_xlpm.diffscale)))-0.5)
)</f>
        <v/>
      </c>
      <c r="X296" t="str" cm="1">
        <f t="array" ref="X296">_xlfn.LET(
  _xlpm.colj, _xlfn._xlws.FILTER(IF(ISNUMBER(295:295), COLUMN(295:295)), ISNUMBER(295:295)),
  _xlpm.elos, INDEX(294:294,1,_xlpm.colj),
  _xlpm.diffscale, Constantes!$B$2,
  IF(X295="",
    "",
    SUM(1/(1+POWER(10,-(X294-_xlpm.elos)/_xlpm.diffscale)))-0.5)
)</f>
        <v/>
      </c>
      <c r="Y296" t="str" cm="1">
        <f t="array" ref="Y296">_xlfn.LET(
  _xlpm.colj, _xlfn._xlws.FILTER(IF(ISNUMBER(295:295), COLUMN(295:295)), ISNUMBER(295:295)),
  _xlpm.elos, INDEX(294:294,1,_xlpm.colj),
  _xlpm.diffscale, Constantes!$B$2,
  IF(Y295="",
    "",
    SUM(1/(1+POWER(10,-(Y294-_xlpm.elos)/_xlpm.diffscale)))-0.5)
)</f>
        <v/>
      </c>
      <c r="Z296" t="str" cm="1">
        <f t="array" ref="Z296">_xlfn.LET(
  _xlpm.colj, _xlfn._xlws.FILTER(IF(ISNUMBER(295:295), COLUMN(295:295)), ISNUMBER(295:295)),
  _xlpm.elos, INDEX(294:294,1,_xlpm.colj),
  _xlpm.diffscale, Constantes!$B$2,
  IF(Z295="",
    "",
    SUM(1/(1+POWER(10,-(Z294-_xlpm.elos)/_xlpm.diffscale)))-0.5)
)</f>
        <v/>
      </c>
      <c r="AA296" t="str" cm="1">
        <f t="array" ref="AA296">_xlfn.LET(
  _xlpm.colj, _xlfn._xlws.FILTER(IF(ISNUMBER(295:295), COLUMN(295:295)), ISNUMBER(295:295)),
  _xlpm.elos, INDEX(294:294,1,_xlpm.colj),
  _xlpm.diffscale, Constantes!$B$2,
  IF(AA295="",
    "",
    SUM(1/(1+POWER(10,-(AA294-_xlpm.elos)/_xlpm.diffscale)))-0.5)
)</f>
        <v/>
      </c>
      <c r="AB296" t="str" cm="1">
        <f t="array" ref="AB296">_xlfn.LET(
  _xlpm.colj, _xlfn._xlws.FILTER(IF(ISNUMBER(295:295), COLUMN(295:295)), ISNUMBER(295:295)),
  _xlpm.elos, INDEX(294:294,1,_xlpm.colj),
  _xlpm.diffscale, Constantes!$B$2,
  IF(AB295="",
    "",
    SUM(1/(1+POWER(10,-(AB294-_xlpm.elos)/_xlpm.diffscale)))-0.5)
)</f>
        <v/>
      </c>
      <c r="AC296" t="str" cm="1">
        <f t="array" ref="AC296">_xlfn.LET(
  _xlpm.colj, _xlfn._xlws.FILTER(IF(ISNUMBER(295:295), COLUMN(295:295)), ISNUMBER(295:295)),
  _xlpm.elos, INDEX(294:294,1,_xlpm.colj),
  _xlpm.diffscale, Constantes!$B$2,
  IF(AC295="",
    "",
    SUM(1/(1+POWER(10,-(AC294-_xlpm.elos)/_xlpm.diffscale)))-0.5)
)</f>
        <v/>
      </c>
      <c r="AD296" cm="1">
        <f t="array" ref="AD296">_xlfn.LET(
  _xlpm.colj, _xlfn._xlws.FILTER(IF(ISNUMBER(295:295), COLUMN(295:295)), ISNUMBER(295:295)),
  _xlpm.elos, INDEX(294:294,1,_xlpm.colj),
  _xlpm.diffscale, Constantes!$B$2,
  IF(AD295="",
    "",
    SUM(1/(1+POWER(10,-(AD294-_xlpm.elos)/_xlpm.diffscale)))-0.5)
)</f>
        <v>2.1042073715529019</v>
      </c>
      <c r="AE296" t="str" cm="1">
        <f t="array" ref="AE296">_xlfn.LET(
  _xlpm.colj, _xlfn._xlws.FILTER(IF(ISNUMBER(295:295), COLUMN(295:295)), ISNUMBER(295:295)),
  _xlpm.elos, INDEX(294:294,1,_xlpm.colj),
  _xlpm.diffscale, Constantes!$B$2,
  IF(AE295="",
    "",
    SUM(1/(1+POWER(10,-(AE294-_xlpm.elos)/_xlpm.diffscale)))-0.5)
)</f>
        <v/>
      </c>
      <c r="AF296" t="str" cm="1">
        <f t="array" ref="AF296">_xlfn.LET(
  _xlpm.colj, _xlfn._xlws.FILTER(IF(ISNUMBER(295:295), COLUMN(295:295)), ISNUMBER(295:295)),
  _xlpm.elos, INDEX(294:294,1,_xlpm.colj),
  _xlpm.diffscale, Constantes!$B$2,
  IF(AF295="",
    "",
    SUM(1/(1+POWER(10,-(AF294-_xlpm.elos)/_xlpm.diffscale)))-0.5)
)</f>
        <v/>
      </c>
      <c r="AG296" t="str" cm="1">
        <f t="array" ref="AG296">_xlfn.LET(
  _xlpm.colj, _xlfn._xlws.FILTER(IF(ISNUMBER(295:295), COLUMN(295:295)), ISNUMBER(295:295)),
  _xlpm.elos, INDEX(294:294,1,_xlpm.colj),
  _xlpm.diffscale, Constantes!$B$2,
  IF(AG295="",
    "",
    SUM(1/(1+POWER(10,-(AG294-_xlpm.elos)/_xlpm.diffscale)))-0.5)
)</f>
        <v/>
      </c>
      <c r="AH296" t="str" cm="1">
        <f t="array" ref="AH296">_xlfn.LET(
  _xlpm.colj, _xlfn._xlws.FILTER(IF(ISNUMBER(295:295), COLUMN(295:295)), ISNUMBER(295:295)),
  _xlpm.elos, INDEX(294:294,1,_xlpm.colj),
  _xlpm.diffscale, Constantes!$B$2,
  IF(AH295="",
    "",
    SUM(1/(1+POWER(10,-(AH294-_xlpm.elos)/_xlpm.diffscale)))-0.5)
)</f>
        <v/>
      </c>
      <c r="AI296" t="str" cm="1">
        <f t="array" ref="AI296">_xlfn.LET(
  _xlpm.colj, _xlfn._xlws.FILTER(IF(ISNUMBER(295:295), COLUMN(295:295)), ISNUMBER(295:295)),
  _xlpm.elos, INDEX(294:294,1,_xlpm.colj),
  _xlpm.diffscale, Constantes!$B$2,
  IF(AI295="",
    "",
    SUM(1/(1+POWER(10,-(AI294-_xlpm.elos)/_xlpm.diffscale)))-0.5)
)</f>
        <v/>
      </c>
      <c r="AJ296" t="str" cm="1">
        <f t="array" ref="AJ296">_xlfn.LET(
  _xlpm.colj, _xlfn._xlws.FILTER(IF(ISNUMBER(295:295), COLUMN(295:295)), ISNUMBER(295:295)),
  _xlpm.elos, INDEX(294:294,1,_xlpm.colj),
  _xlpm.diffscale, Constantes!$B$2,
  IF(AJ295="",
    "",
    SUM(1/(1+POWER(10,-(AJ294-_xlpm.elos)/_xlpm.diffscale)))-0.5)
)</f>
        <v/>
      </c>
      <c r="AK296" t="str" cm="1">
        <f t="array" ref="AK296">_xlfn.LET(
  _xlpm.colj, _xlfn._xlws.FILTER(IF(ISNUMBER(295:295), COLUMN(295:295)), ISNUMBER(295:295)),
  _xlpm.elos, INDEX(294:294,1,_xlpm.colj),
  _xlpm.diffscale, Constantes!$B$2,
  IF(AK295="",
    "",
    SUM(1/(1+POWER(10,-(AK294-_xlpm.elos)/_xlpm.diffscale)))-0.5)
)</f>
        <v/>
      </c>
      <c r="AL296" t="str" cm="1">
        <f t="array" ref="AL296">_xlfn.LET(
  _xlpm.colj, _xlfn._xlws.FILTER(IF(ISNUMBER(295:295), COLUMN(295:295)), ISNUMBER(295:295)),
  _xlpm.elos, INDEX(294:294,1,_xlpm.colj),
  _xlpm.diffscale, Constantes!$B$2,
  IF(AL295="",
    "",
    SUM(1/(1+POWER(10,-(AL294-_xlpm.elos)/_xlpm.diffscale)))-0.5)
)</f>
        <v/>
      </c>
      <c r="AM296" t="str" cm="1">
        <f t="array" ref="AM296">_xlfn.LET(
  _xlpm.colj, _xlfn._xlws.FILTER(IF(ISNUMBER(295:295), COLUMN(295:295)), ISNUMBER(295:295)),
  _xlpm.elos, INDEX(294:294,1,_xlpm.colj),
  _xlpm.diffscale, Constantes!$B$2,
  IF(AM295="",
    "",
    SUM(1/(1+POWER(10,-(AM294-_xlpm.elos)/_xlpm.diffscale)))-0.5)
)</f>
        <v/>
      </c>
    </row>
    <row r="297" spans="1:39" x14ac:dyDescent="0.25">
      <c r="A297" t="s">
        <v>22</v>
      </c>
      <c r="D297" t="str" cm="1">
        <f t="array" ref="D297">_xlfn.LET(
  _xlpm.K, Constantes!$B$3,
  _xlpm.Knewgain, Constantes!$B$4,
  _xlpm.Knewscale, Constantes!$B$5,
  _xlpm.ptstables, INDEX(D:D, _xlfn.SEQUENCE(COUNTA($C$2:$C297), 1, 3, 4)),
  _xlpm.nbparties, COUNTA(_xlfn._xlws.FILTER(_xlpm.ptstables, _xlpm.ptstables &lt;&gt; "")),
  _xlpm.coef, _xlpm.K + _xlpm.Knewgain / (_xlpm.Knewscale + _xlpm.nbparties),
  IF(D295="",
    "",
    _xlpm.coef * (D295-D296))
)</f>
        <v/>
      </c>
      <c r="E297" t="str" cm="1">
        <f t="array" ref="E297">_xlfn.LET(
  _xlpm.K, Constantes!$B$3,
  _xlpm.Knewgain, Constantes!$B$4,
  _xlpm.Knewscale, Constantes!$B$5,
  _xlpm.ptstables, INDEX(E:E, _xlfn.SEQUENCE(COUNTA($C$2:$C297), 1, 3, 4)),
  _xlpm.nbparties, COUNTA(_xlfn._xlws.FILTER(_xlpm.ptstables, _xlpm.ptstables &lt;&gt; "")),
  _xlpm.coef, _xlpm.K + _xlpm.Knewgain / (_xlpm.Knewscale + _xlpm.nbparties),
  IF(E295="",
    "",
    _xlpm.coef * (E295-E296))
)</f>
        <v/>
      </c>
      <c r="F297" cm="1">
        <f t="array" ref="F297">_xlfn.LET(
  _xlpm.K, Constantes!$B$3,
  _xlpm.Knewgain, Constantes!$B$4,
  _xlpm.Knewscale, Constantes!$B$5,
  _xlpm.ptstables, INDEX(F:F, _xlfn.SEQUENCE(COUNTA($C$2:$C297), 1, 3, 4)),
  _xlpm.nbparties, COUNTA(_xlfn._xlws.FILTER(_xlpm.ptstables, _xlpm.ptstables &lt;&gt; "")),
  _xlpm.coef, _xlpm.K + _xlpm.Knewgain / (_xlpm.Knewscale + _xlpm.nbparties),
  IF(F295="",
    "",
    _xlpm.coef * (F295-F296))
)</f>
        <v>24.765014273953295</v>
      </c>
      <c r="G297" t="str" cm="1">
        <f t="array" ref="G297">_xlfn.LET(
  _xlpm.K, Constantes!$B$3,
  _xlpm.Knewgain, Constantes!$B$4,
  _xlpm.Knewscale, Constantes!$B$5,
  _xlpm.ptstables, INDEX(G:G, _xlfn.SEQUENCE(COUNTA($C$2:$C297), 1, 3, 4)),
  _xlpm.nbparties, COUNTA(_xlfn._xlws.FILTER(_xlpm.ptstables, _xlpm.ptstables &lt;&gt; "")),
  _xlpm.coef, _xlpm.K + _xlpm.Knewgain / (_xlpm.Knewscale + _xlpm.nbparties),
  IF(G295="",
    "",
    _xlpm.coef * (G295-G296))
)</f>
        <v/>
      </c>
      <c r="H297" t="str" cm="1">
        <f t="array" ref="H297">_xlfn.LET(
  _xlpm.K, Constantes!$B$3,
  _xlpm.Knewgain, Constantes!$B$4,
  _xlpm.Knewscale, Constantes!$B$5,
  _xlpm.ptstables, INDEX(H:H, _xlfn.SEQUENCE(COUNTA($C$2:$C297), 1, 3, 4)),
  _xlpm.nbparties, COUNTA(_xlfn._xlws.FILTER(_xlpm.ptstables, _xlpm.ptstables &lt;&gt; "")),
  _xlpm.coef, _xlpm.K + _xlpm.Knewgain / (_xlpm.Knewscale + _xlpm.nbparties),
  IF(H295="",
    "",
    _xlpm.coef * (H295-H296))
)</f>
        <v/>
      </c>
      <c r="I297" cm="1">
        <f t="array" ref="I297">_xlfn.LET(
  _xlpm.K, Constantes!$B$3,
  _xlpm.Knewgain, Constantes!$B$4,
  _xlpm.Knewscale, Constantes!$B$5,
  _xlpm.ptstables, INDEX(I:I, _xlfn.SEQUENCE(COUNTA($C$2:$C297), 1, 3, 4)),
  _xlpm.nbparties, COUNTA(_xlfn._xlws.FILTER(_xlpm.ptstables, _xlpm.ptstables &lt;&gt; "")),
  _xlpm.coef, _xlpm.K + _xlpm.Knewgain / (_xlpm.Knewscale + _xlpm.nbparties),
  IF(I295="",
    "",
    _xlpm.coef * (I295-I296))
)</f>
        <v>-8.1672350074339306</v>
      </c>
      <c r="J297" t="str" cm="1">
        <f t="array" ref="J297">_xlfn.LET(
  _xlpm.K, Constantes!$B$3,
  _xlpm.Knewgain, Constantes!$B$4,
  _xlpm.Knewscale, Constantes!$B$5,
  _xlpm.ptstables, INDEX(J:J, _xlfn.SEQUENCE(COUNTA($C$2:$C297), 1, 3, 4)),
  _xlpm.nbparties, COUNTA(_xlfn._xlws.FILTER(_xlpm.ptstables, _xlpm.ptstables &lt;&gt; "")),
  _xlpm.coef, _xlpm.K + _xlpm.Knewgain / (_xlpm.Knewscale + _xlpm.nbparties),
  IF(J295="",
    "",
    _xlpm.coef * (J295-J296))
)</f>
        <v/>
      </c>
      <c r="K297" t="str" cm="1">
        <f t="array" ref="K297">_xlfn.LET(
  _xlpm.K, Constantes!$B$3,
  _xlpm.Knewgain, Constantes!$B$4,
  _xlpm.Knewscale, Constantes!$B$5,
  _xlpm.ptstables, INDEX(K:K, _xlfn.SEQUENCE(COUNTA($C$2:$C297), 1, 3, 4)),
  _xlpm.nbparties, COUNTA(_xlfn._xlws.FILTER(_xlpm.ptstables, _xlpm.ptstables &lt;&gt; "")),
  _xlpm.coef, _xlpm.K + _xlpm.Knewgain / (_xlpm.Knewscale + _xlpm.nbparties),
  IF(K295="",
    "",
    _xlpm.coef * (K295-K296))
)</f>
        <v/>
      </c>
      <c r="L297" t="str" cm="1">
        <f t="array" ref="L297">_xlfn.LET(
  _xlpm.K, Constantes!$B$3,
  _xlpm.Knewgain, Constantes!$B$4,
  _xlpm.Knewscale, Constantes!$B$5,
  _xlpm.ptstables, INDEX(L:L, _xlfn.SEQUENCE(COUNTA($C$2:$C297), 1, 3, 4)),
  _xlpm.nbparties, COUNTA(_xlfn._xlws.FILTER(_xlpm.ptstables, _xlpm.ptstables &lt;&gt; "")),
  _xlpm.coef, _xlpm.K + _xlpm.Knewgain / (_xlpm.Knewscale + _xlpm.nbparties),
  IF(L295="",
    "",
    _xlpm.coef * (L295-L296))
)</f>
        <v/>
      </c>
      <c r="M297" t="str" cm="1">
        <f t="array" ref="M297">_xlfn.LET(
  _xlpm.K, Constantes!$B$3,
  _xlpm.Knewgain, Constantes!$B$4,
  _xlpm.Knewscale, Constantes!$B$5,
  _xlpm.ptstables, INDEX(M:M, _xlfn.SEQUENCE(COUNTA($C$2:$C297), 1, 3, 4)),
  _xlpm.nbparties, COUNTA(_xlfn._xlws.FILTER(_xlpm.ptstables, _xlpm.ptstables &lt;&gt; "")),
  _xlpm.coef, _xlpm.K + _xlpm.Knewgain / (_xlpm.Knewscale + _xlpm.nbparties),
  IF(M295="",
    "",
    _xlpm.coef * (M295-M296))
)</f>
        <v/>
      </c>
      <c r="N297" t="str" cm="1">
        <f t="array" ref="N297">_xlfn.LET(
  _xlpm.K, Constantes!$B$3,
  _xlpm.Knewgain, Constantes!$B$4,
  _xlpm.Knewscale, Constantes!$B$5,
  _xlpm.ptstables, INDEX(N:N, _xlfn.SEQUENCE(COUNTA($C$2:$C297), 1, 3, 4)),
  _xlpm.nbparties, COUNTA(_xlfn._xlws.FILTER(_xlpm.ptstables, _xlpm.ptstables &lt;&gt; "")),
  _xlpm.coef, _xlpm.K + _xlpm.Knewgain / (_xlpm.Knewscale + _xlpm.nbparties),
  IF(N295="",
    "",
    _xlpm.coef * (N295-N296))
)</f>
        <v/>
      </c>
      <c r="O297" t="str" cm="1">
        <f t="array" ref="O297">_xlfn.LET(
  _xlpm.K, Constantes!$B$3,
  _xlpm.Knewgain, Constantes!$B$4,
  _xlpm.Knewscale, Constantes!$B$5,
  _xlpm.ptstables, INDEX(O:O, _xlfn.SEQUENCE(COUNTA($C$2:$C297), 1, 3, 4)),
  _xlpm.nbparties, COUNTA(_xlfn._xlws.FILTER(_xlpm.ptstables, _xlpm.ptstables &lt;&gt; "")),
  _xlpm.coef, _xlpm.K + _xlpm.Knewgain / (_xlpm.Knewscale + _xlpm.nbparties),
  IF(O295="",
    "",
    _xlpm.coef * (O295-O296))
)</f>
        <v/>
      </c>
      <c r="P297" t="str" cm="1">
        <f t="array" ref="P297">_xlfn.LET(
  _xlpm.K, Constantes!$B$3,
  _xlpm.Knewgain, Constantes!$B$4,
  _xlpm.Knewscale, Constantes!$B$5,
  _xlpm.ptstables, INDEX(P:P, _xlfn.SEQUENCE(COUNTA($C$2:$C297), 1, 3, 4)),
  _xlpm.nbparties, COUNTA(_xlfn._xlws.FILTER(_xlpm.ptstables, _xlpm.ptstables &lt;&gt; "")),
  _xlpm.coef, _xlpm.K + _xlpm.Knewgain / (_xlpm.Knewscale + _xlpm.nbparties),
  IF(P295="",
    "",
    _xlpm.coef * (P295-P296))
)</f>
        <v/>
      </c>
      <c r="Q297" t="str" cm="1">
        <f t="array" ref="Q297">_xlfn.LET(
  _xlpm.K, Constantes!$B$3,
  _xlpm.Knewgain, Constantes!$B$4,
  _xlpm.Knewscale, Constantes!$B$5,
  _xlpm.ptstables, INDEX(Q:Q, _xlfn.SEQUENCE(COUNTA($C$2:$C297), 1, 3, 4)),
  _xlpm.nbparties, COUNTA(_xlfn._xlws.FILTER(_xlpm.ptstables, _xlpm.ptstables &lt;&gt; "")),
  _xlpm.coef, _xlpm.K + _xlpm.Knewgain / (_xlpm.Knewscale + _xlpm.nbparties),
  IF(Q295="",
    "",
    _xlpm.coef * (Q295-Q296))
)</f>
        <v/>
      </c>
      <c r="R297" t="str" cm="1">
        <f t="array" ref="R297">_xlfn.LET(
  _xlpm.K, Constantes!$B$3,
  _xlpm.Knewgain, Constantes!$B$4,
  _xlpm.Knewscale, Constantes!$B$5,
  _xlpm.ptstables, INDEX(R:R, _xlfn.SEQUENCE(COUNTA($C$2:$C297), 1, 3, 4)),
  _xlpm.nbparties, COUNTA(_xlfn._xlws.FILTER(_xlpm.ptstables, _xlpm.ptstables &lt;&gt; "")),
  _xlpm.coef, _xlpm.K + _xlpm.Knewgain / (_xlpm.Knewscale + _xlpm.nbparties),
  IF(R295="",
    "",
    _xlpm.coef * (R295-R296))
)</f>
        <v/>
      </c>
      <c r="S297" cm="1">
        <f t="array" ref="S297">_xlfn.LET(
  _xlpm.K, Constantes!$B$3,
  _xlpm.Knewgain, Constantes!$B$4,
  _xlpm.Knewscale, Constantes!$B$5,
  _xlpm.ptstables, INDEX(S:S, _xlfn.SEQUENCE(COUNTA($C$2:$C297), 1, 3, 4)),
  _xlpm.nbparties, COUNTA(_xlfn._xlws.FILTER(_xlpm.ptstables, _xlpm.ptstables &lt;&gt; "")),
  _xlpm.coef, _xlpm.K + _xlpm.Knewgain / (_xlpm.Knewscale + _xlpm.nbparties),
  IF(S295="",
    "",
    _xlpm.coef * (S295-S296))
)</f>
        <v>-37.631306726889179</v>
      </c>
      <c r="T297" t="str" cm="1">
        <f t="array" ref="T297">_xlfn.LET(
  _xlpm.K, Constantes!$B$3,
  _xlpm.Knewgain, Constantes!$B$4,
  _xlpm.Knewscale, Constantes!$B$5,
  _xlpm.ptstables, INDEX(T:T, _xlfn.SEQUENCE(COUNTA($C$2:$C297), 1, 3, 4)),
  _xlpm.nbparties, COUNTA(_xlfn._xlws.FILTER(_xlpm.ptstables, _xlpm.ptstables &lt;&gt; "")),
  _xlpm.coef, _xlpm.K + _xlpm.Knewgain / (_xlpm.Knewscale + _xlpm.nbparties),
  IF(T295="",
    "",
    _xlpm.coef * (T295-T296))
)</f>
        <v/>
      </c>
      <c r="U297" t="str" cm="1">
        <f t="array" ref="U297">_xlfn.LET(
  _xlpm.K, Constantes!$B$3,
  _xlpm.Knewgain, Constantes!$B$4,
  _xlpm.Knewscale, Constantes!$B$5,
  _xlpm.ptstables, INDEX(U:U, _xlfn.SEQUENCE(COUNTA($C$2:$C297), 1, 3, 4)),
  _xlpm.nbparties, COUNTA(_xlfn._xlws.FILTER(_xlpm.ptstables, _xlpm.ptstables &lt;&gt; "")),
  _xlpm.coef, _xlpm.K + _xlpm.Knewgain / (_xlpm.Knewscale + _xlpm.nbparties),
  IF(U295="",
    "",
    _xlpm.coef * (U295-U296))
)</f>
        <v/>
      </c>
      <c r="V297" t="str" cm="1">
        <f t="array" ref="V297">_xlfn.LET(
  _xlpm.K, Constantes!$B$3,
  _xlpm.Knewgain, Constantes!$B$4,
  _xlpm.Knewscale, Constantes!$B$5,
  _xlpm.ptstables, INDEX(V:V, _xlfn.SEQUENCE(COUNTA($C$2:$C297), 1, 3, 4)),
  _xlpm.nbparties, COUNTA(_xlfn._xlws.FILTER(_xlpm.ptstables, _xlpm.ptstables &lt;&gt; "")),
  _xlpm.coef, _xlpm.K + _xlpm.Knewgain / (_xlpm.Knewscale + _xlpm.nbparties),
  IF(V295="",
    "",
    _xlpm.coef * (V295-V296))
)</f>
        <v/>
      </c>
      <c r="W297" t="str" cm="1">
        <f t="array" ref="W297">_xlfn.LET(
  _xlpm.K, Constantes!$B$3,
  _xlpm.Knewgain, Constantes!$B$4,
  _xlpm.Knewscale, Constantes!$B$5,
  _xlpm.ptstables, INDEX(W:W, _xlfn.SEQUENCE(COUNTA($C$2:$C297), 1, 3, 4)),
  _xlpm.nbparties, COUNTA(_xlfn._xlws.FILTER(_xlpm.ptstables, _xlpm.ptstables &lt;&gt; "")),
  _xlpm.coef, _xlpm.K + _xlpm.Knewgain / (_xlpm.Knewscale + _xlpm.nbparties),
  IF(W295="",
    "",
    _xlpm.coef * (W295-W296))
)</f>
        <v/>
      </c>
      <c r="X297" t="str" cm="1">
        <f t="array" ref="X297">_xlfn.LET(
  _xlpm.K, Constantes!$B$3,
  _xlpm.Knewgain, Constantes!$B$4,
  _xlpm.Knewscale, Constantes!$B$5,
  _xlpm.ptstables, INDEX(X:X, _xlfn.SEQUENCE(COUNTA($C$2:$C297), 1, 3, 4)),
  _xlpm.nbparties, COUNTA(_xlfn._xlws.FILTER(_xlpm.ptstables, _xlpm.ptstables &lt;&gt; "")),
  _xlpm.coef, _xlpm.K + _xlpm.Knewgain / (_xlpm.Knewscale + _xlpm.nbparties),
  IF(X295="",
    "",
    _xlpm.coef * (X295-X296))
)</f>
        <v/>
      </c>
      <c r="Y297" t="str" cm="1">
        <f t="array" ref="Y297">_xlfn.LET(
  _xlpm.K, Constantes!$B$3,
  _xlpm.Knewgain, Constantes!$B$4,
  _xlpm.Knewscale, Constantes!$B$5,
  _xlpm.ptstables, INDEX(Y:Y, _xlfn.SEQUENCE(COUNTA($C$2:$C297), 1, 3, 4)),
  _xlpm.nbparties, COUNTA(_xlfn._xlws.FILTER(_xlpm.ptstables, _xlpm.ptstables &lt;&gt; "")),
  _xlpm.coef, _xlpm.K + _xlpm.Knewgain / (_xlpm.Knewscale + _xlpm.nbparties),
  IF(Y295="",
    "",
    _xlpm.coef * (Y295-Y296))
)</f>
        <v/>
      </c>
      <c r="Z297" t="str" cm="1">
        <f t="array" ref="Z297">_xlfn.LET(
  _xlpm.K, Constantes!$B$3,
  _xlpm.Knewgain, Constantes!$B$4,
  _xlpm.Knewscale, Constantes!$B$5,
  _xlpm.ptstables, INDEX(Z:Z, _xlfn.SEQUENCE(COUNTA($C$2:$C297), 1, 3, 4)),
  _xlpm.nbparties, COUNTA(_xlfn._xlws.FILTER(_xlpm.ptstables, _xlpm.ptstables &lt;&gt; "")),
  _xlpm.coef, _xlpm.K + _xlpm.Knewgain / (_xlpm.Knewscale + _xlpm.nbparties),
  IF(Z295="",
    "",
    _xlpm.coef * (Z295-Z296))
)</f>
        <v/>
      </c>
      <c r="AA297" t="str" cm="1">
        <f t="array" ref="AA297">_xlfn.LET(
  _xlpm.K, Constantes!$B$3,
  _xlpm.Knewgain, Constantes!$B$4,
  _xlpm.Knewscale, Constantes!$B$5,
  _xlpm.ptstables, INDEX(AA:AA, _xlfn.SEQUENCE(COUNTA($C$2:$C297), 1, 3, 4)),
  _xlpm.nbparties, COUNTA(_xlfn._xlws.FILTER(_xlpm.ptstables, _xlpm.ptstables &lt;&gt; "")),
  _xlpm.coef, _xlpm.K + _xlpm.Knewgain / (_xlpm.Knewscale + _xlpm.nbparties),
  IF(AA295="",
    "",
    _xlpm.coef * (AA295-AA296))
)</f>
        <v/>
      </c>
      <c r="AB297" t="str" cm="1">
        <f t="array" ref="AB297">_xlfn.LET(
  _xlpm.K, Constantes!$B$3,
  _xlpm.Knewgain, Constantes!$B$4,
  _xlpm.Knewscale, Constantes!$B$5,
  _xlpm.ptstables, INDEX(AB:AB, _xlfn.SEQUENCE(COUNTA($C$2:$C297), 1, 3, 4)),
  _xlpm.nbparties, COUNTA(_xlfn._xlws.FILTER(_xlpm.ptstables, _xlpm.ptstables &lt;&gt; "")),
  _xlpm.coef, _xlpm.K + _xlpm.Knewgain / (_xlpm.Knewscale + _xlpm.nbparties),
  IF(AB295="",
    "",
    _xlpm.coef * (AB295-AB296))
)</f>
        <v/>
      </c>
      <c r="AC297" t="str" cm="1">
        <f t="array" ref="AC297">_xlfn.LET(
  _xlpm.K, Constantes!$B$3,
  _xlpm.Knewgain, Constantes!$B$4,
  _xlpm.Knewscale, Constantes!$B$5,
  _xlpm.ptstables, INDEX(AC:AC, _xlfn.SEQUENCE(COUNTA($C$2:$C297), 1, 3, 4)),
  _xlpm.nbparties, COUNTA(_xlfn._xlws.FILTER(_xlpm.ptstables, _xlpm.ptstables &lt;&gt; "")),
  _xlpm.coef, _xlpm.K + _xlpm.Knewgain / (_xlpm.Knewscale + _xlpm.nbparties),
  IF(AC295="",
    "",
    _xlpm.coef * (AC295-AC296))
)</f>
        <v/>
      </c>
      <c r="AD297" cm="1">
        <f t="array" ref="AD297">_xlfn.LET(
  _xlpm.K, Constantes!$B$3,
  _xlpm.Knewgain, Constantes!$B$4,
  _xlpm.Knewscale, Constantes!$B$5,
  _xlpm.ptstables, INDEX(AD:AD, _xlfn.SEQUENCE(COUNTA($C$2:$C297), 1, 3, 4)),
  _xlpm.nbparties, COUNTA(_xlfn._xlws.FILTER(_xlpm.ptstables, _xlpm.ptstables &lt;&gt; "")),
  _xlpm.coef, _xlpm.K + _xlpm.Knewgain / (_xlpm.Knewscale + _xlpm.nbparties),
  IF(AD295="",
    "",
    _xlpm.coef * (AD295-AD296))
)</f>
        <v>26.873778853412944</v>
      </c>
      <c r="AE297" t="str" cm="1">
        <f t="array" ref="AE297">_xlfn.LET(
  _xlpm.K, Constantes!$B$3,
  _xlpm.Knewgain, Constantes!$B$4,
  _xlpm.Knewscale, Constantes!$B$5,
  _xlpm.ptstables, INDEX(AE:AE, _xlfn.SEQUENCE(COUNTA($C$2:$C297), 1, 3, 4)),
  _xlpm.nbparties, COUNTA(_xlfn._xlws.FILTER(_xlpm.ptstables, _xlpm.ptstables &lt;&gt; "")),
  _xlpm.coef, _xlpm.K + _xlpm.Knewgain / (_xlpm.Knewscale + _xlpm.nbparties),
  IF(AE295="",
    "",
    _xlpm.coef * (AE295-AE296))
)</f>
        <v/>
      </c>
      <c r="AF297" t="str" cm="1">
        <f t="array" ref="AF297">_xlfn.LET(
  _xlpm.K, Constantes!$B$3,
  _xlpm.Knewgain, Constantes!$B$4,
  _xlpm.Knewscale, Constantes!$B$5,
  _xlpm.ptstables, INDEX(AF:AF, _xlfn.SEQUENCE(COUNTA($C$2:$C297), 1, 3, 4)),
  _xlpm.nbparties, COUNTA(_xlfn._xlws.FILTER(_xlpm.ptstables, _xlpm.ptstables &lt;&gt; "")),
  _xlpm.coef, _xlpm.K + _xlpm.Knewgain / (_xlpm.Knewscale + _xlpm.nbparties),
  IF(AF295="",
    "",
    _xlpm.coef * (AF295-AF296))
)</f>
        <v/>
      </c>
      <c r="AG297" t="str" cm="1">
        <f t="array" ref="AG297">_xlfn.LET(
  _xlpm.K, Constantes!$B$3,
  _xlpm.Knewgain, Constantes!$B$4,
  _xlpm.Knewscale, Constantes!$B$5,
  _xlpm.ptstables, INDEX(AG:AG, _xlfn.SEQUENCE(COUNTA($C$2:$C297), 1, 3, 4)),
  _xlpm.nbparties, COUNTA(_xlfn._xlws.FILTER(_xlpm.ptstables, _xlpm.ptstables &lt;&gt; "")),
  _xlpm.coef, _xlpm.K + _xlpm.Knewgain / (_xlpm.Knewscale + _xlpm.nbparties),
  IF(AG295="",
    "",
    _xlpm.coef * (AG295-AG296))
)</f>
        <v/>
      </c>
      <c r="AH297" t="str" cm="1">
        <f t="array" ref="AH297">_xlfn.LET(
  _xlpm.K, Constantes!$B$3,
  _xlpm.Knewgain, Constantes!$B$4,
  _xlpm.Knewscale, Constantes!$B$5,
  _xlpm.ptstables, INDEX(AH:AH, _xlfn.SEQUENCE(COUNTA($C$2:$C297), 1, 3, 4)),
  _xlpm.nbparties, COUNTA(_xlfn._xlws.FILTER(_xlpm.ptstables, _xlpm.ptstables &lt;&gt; "")),
  _xlpm.coef, _xlpm.K + _xlpm.Knewgain / (_xlpm.Knewscale + _xlpm.nbparties),
  IF(AH295="",
    "",
    _xlpm.coef * (AH295-AH296))
)</f>
        <v/>
      </c>
      <c r="AI297" t="str" cm="1">
        <f t="array" ref="AI297">_xlfn.LET(
  _xlpm.K, Constantes!$B$3,
  _xlpm.Knewgain, Constantes!$B$4,
  _xlpm.Knewscale, Constantes!$B$5,
  _xlpm.ptstables, INDEX(AI:AI, _xlfn.SEQUENCE(COUNTA($C$2:$C297), 1, 3, 4)),
  _xlpm.nbparties, COUNTA(_xlfn._xlws.FILTER(_xlpm.ptstables, _xlpm.ptstables &lt;&gt; "")),
  _xlpm.coef, _xlpm.K + _xlpm.Knewgain / (_xlpm.Knewscale + _xlpm.nbparties),
  IF(AI295="",
    "",
    _xlpm.coef * (AI295-AI296))
)</f>
        <v/>
      </c>
      <c r="AJ297" t="str" cm="1">
        <f t="array" ref="AJ297">_xlfn.LET(
  _xlpm.K, Constantes!$B$3,
  _xlpm.Knewgain, Constantes!$B$4,
  _xlpm.Knewscale, Constantes!$B$5,
  _xlpm.ptstables, INDEX(AJ:AJ, _xlfn.SEQUENCE(COUNTA($C$2:$C297), 1, 3, 4)),
  _xlpm.nbparties, COUNTA(_xlfn._xlws.FILTER(_xlpm.ptstables, _xlpm.ptstables &lt;&gt; "")),
  _xlpm.coef, _xlpm.K + _xlpm.Knewgain / (_xlpm.Knewscale + _xlpm.nbparties),
  IF(AJ295="",
    "",
    _xlpm.coef * (AJ295-AJ296))
)</f>
        <v/>
      </c>
      <c r="AK297" t="str" cm="1">
        <f t="array" ref="AK297">_xlfn.LET(
  _xlpm.K, Constantes!$B$3,
  _xlpm.Knewgain, Constantes!$B$4,
  _xlpm.Knewscale, Constantes!$B$5,
  _xlpm.ptstables, INDEX(AK:AK, _xlfn.SEQUENCE(COUNTA($C$2:$C297), 1, 3, 4)),
  _xlpm.nbparties, COUNTA(_xlfn._xlws.FILTER(_xlpm.ptstables, _xlpm.ptstables &lt;&gt; "")),
  _xlpm.coef, _xlpm.K + _xlpm.Knewgain / (_xlpm.Knewscale + _xlpm.nbparties),
  IF(AK295="",
    "",
    _xlpm.coef * (AK295-AK296))
)</f>
        <v/>
      </c>
      <c r="AL297" t="str" cm="1">
        <f t="array" ref="AL297">_xlfn.LET(
  _xlpm.K, Constantes!$B$3,
  _xlpm.Knewgain, Constantes!$B$4,
  _xlpm.Knewscale, Constantes!$B$5,
  _xlpm.ptstables, INDEX(AL:AL, _xlfn.SEQUENCE(COUNTA($C$2:$C297), 1, 3, 4)),
  _xlpm.nbparties, COUNTA(_xlfn._xlws.FILTER(_xlpm.ptstables, _xlpm.ptstables &lt;&gt; "")),
  _xlpm.coef, _xlpm.K + _xlpm.Knewgain / (_xlpm.Knewscale + _xlpm.nbparties),
  IF(AL295="",
    "",
    _xlpm.coef * (AL295-AL296))
)</f>
        <v/>
      </c>
      <c r="AM297" t="str" cm="1">
        <f t="array" ref="AM297">_xlfn.LET(
  _xlpm.K, Constantes!$B$3,
  _xlpm.Knewgain, Constantes!$B$4,
  _xlpm.Knewscale, Constantes!$B$5,
  _xlpm.ptstables, INDEX(AM:AM, _xlfn.SEQUENCE(COUNTA($C$2:$C297), 1, 3, 4)),
  _xlpm.nbparties, COUNTA(_xlfn._xlws.FILTER(_xlpm.ptstables, _xlpm.ptstables &lt;&gt; "")),
  _xlpm.coef, _xlpm.K + _xlpm.Knewgain / (_xlpm.Knewscale + _xlpm.nbparties),
  IF(AM295="",
    "",
    _xlpm.coef * (AM295-AM296))
)</f>
        <v/>
      </c>
    </row>
    <row r="298" spans="1:39" x14ac:dyDescent="0.25">
      <c r="A298" t="s">
        <v>14</v>
      </c>
      <c r="B298" t="str" cm="1">
        <f t="array" ref="B29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75</v>
      </c>
      <c r="C298" s="2" cm="1">
        <f t="array" ref="C298">IF(B298="","",
  INDEX(Donnees!F:F, MATCH(B298, Donnees!F:F, 0)+1))</f>
        <v>45948.594351851854</v>
      </c>
      <c r="D298">
        <f t="shared" ref="D298:AM298" si="82">D294+IF(D297="",0,D297)</f>
        <v>1033.1893307292305</v>
      </c>
      <c r="E298">
        <f t="shared" si="82"/>
        <v>1079.9237811780756</v>
      </c>
      <c r="F298">
        <f t="shared" si="82"/>
        <v>872.24944098785784</v>
      </c>
      <c r="G298">
        <f t="shared" si="82"/>
        <v>1118.8779378975084</v>
      </c>
      <c r="H298">
        <f t="shared" si="82"/>
        <v>1139.7553269432372</v>
      </c>
      <c r="I298">
        <f t="shared" si="82"/>
        <v>921.73391621154246</v>
      </c>
      <c r="J298">
        <f t="shared" si="82"/>
        <v>1010.9125108504293</v>
      </c>
      <c r="K298">
        <f t="shared" si="82"/>
        <v>993.90254614824482</v>
      </c>
      <c r="L298">
        <f t="shared" si="82"/>
        <v>766.95119884458973</v>
      </c>
      <c r="M298">
        <f t="shared" si="82"/>
        <v>913.41986361738122</v>
      </c>
      <c r="N298">
        <f t="shared" si="82"/>
        <v>893.28591153844093</v>
      </c>
      <c r="O298">
        <f t="shared" si="82"/>
        <v>998.21178722110983</v>
      </c>
      <c r="P298">
        <f t="shared" si="82"/>
        <v>1044.694691960626</v>
      </c>
      <c r="Q298">
        <f t="shared" si="82"/>
        <v>1050.1062561870472</v>
      </c>
      <c r="R298">
        <f t="shared" si="82"/>
        <v>1080.8653023562695</v>
      </c>
      <c r="S298">
        <f t="shared" si="82"/>
        <v>950.00980009229818</v>
      </c>
      <c r="T298">
        <f t="shared" si="82"/>
        <v>1153.43058185823</v>
      </c>
      <c r="U298">
        <f t="shared" si="82"/>
        <v>1185.0959893708045</v>
      </c>
      <c r="V298">
        <f t="shared" si="82"/>
        <v>951.23563726152827</v>
      </c>
      <c r="W298">
        <f t="shared" si="82"/>
        <v>936.79085942937002</v>
      </c>
      <c r="X298">
        <f t="shared" si="82"/>
        <v>828.97598039785271</v>
      </c>
      <c r="Y298">
        <f t="shared" si="82"/>
        <v>903.14348714035714</v>
      </c>
      <c r="Z298">
        <f t="shared" si="82"/>
        <v>991.11904139672549</v>
      </c>
      <c r="AA298">
        <f t="shared" si="82"/>
        <v>966.24279289689184</v>
      </c>
      <c r="AB298">
        <f t="shared" si="82"/>
        <v>988.35669729544747</v>
      </c>
      <c r="AC298">
        <f t="shared" si="82"/>
        <v>1061.6930275647865</v>
      </c>
      <c r="AD298">
        <f t="shared" si="82"/>
        <v>1100.7833811935423</v>
      </c>
      <c r="AE298">
        <f t="shared" si="82"/>
        <v>963.23981965000235</v>
      </c>
      <c r="AF298">
        <f t="shared" si="82"/>
        <v>1094.8196847516158</v>
      </c>
      <c r="AG298">
        <f t="shared" si="82"/>
        <v>958.23078604304851</v>
      </c>
      <c r="AH298">
        <f t="shared" si="82"/>
        <v>920.4412636682855</v>
      </c>
      <c r="AI298">
        <f t="shared" si="82"/>
        <v>885.10468670997182</v>
      </c>
      <c r="AJ298">
        <f t="shared" si="82"/>
        <v>906.86354201913434</v>
      </c>
      <c r="AK298">
        <f t="shared" si="82"/>
        <v>1074.0069367206956</v>
      </c>
      <c r="AL298">
        <f t="shared" si="82"/>
        <v>1025.7817971572972</v>
      </c>
      <c r="AM298">
        <f t="shared" si="82"/>
        <v>1000</v>
      </c>
    </row>
    <row r="299" spans="1:39" x14ac:dyDescent="0.25">
      <c r="A299" t="s">
        <v>21</v>
      </c>
      <c r="D299" cm="1">
        <f t="array" ref="D299">IFERROR(
  _xlfn.LET(
    _xlpm.ligpartie, MATCH($B298, Donnees!$F:$F, 0),
    _xlpm.joueurs, INDEX(Donnees!$A:$Z, _xlpm.ligpartie+1, _xlfn.SEQUENCE(1, 4, 2)),
    INDEX(
      Donnees!$A:$Z,
      _xlpm.ligpartie + 3,
      MATCH(D$1, _xlpm.joueurs, 0) + 1
    )
  ), ""
)</f>
        <v>0</v>
      </c>
      <c r="E299" t="str" cm="1">
        <f t="array" ref="E299">IFERROR(
  _xlfn.LET(
    _xlpm.ligpartie, MATCH($B298, Donnees!$F:$F, 0),
    _xlpm.joueurs, INDEX(Donnees!$A:$Z, _xlpm.ligpartie+1, _xlfn.SEQUENCE(1, 4, 2)),
    INDEX(
      Donnees!$A:$Z,
      _xlpm.ligpartie + 3,
      MATCH(E$1, _xlpm.joueurs, 0) + 1
    )
  ), ""
)</f>
        <v/>
      </c>
      <c r="F299" t="str" cm="1">
        <f t="array" ref="F299">IFERROR(
  _xlfn.LET(
    _xlpm.ligpartie, MATCH($B298, Donnees!$F:$F, 0),
    _xlpm.joueurs, INDEX(Donnees!$A:$Z, _xlpm.ligpartie+1, _xlfn.SEQUENCE(1, 4, 2)),
    INDEX(
      Donnees!$A:$Z,
      _xlpm.ligpartie + 3,
      MATCH(F$1, _xlpm.joueurs, 0) + 1
    )
  ), ""
)</f>
        <v/>
      </c>
      <c r="G299" t="str" cm="1">
        <f t="array" ref="G299">IFERROR(
  _xlfn.LET(
    _xlpm.ligpartie, MATCH($B298, Donnees!$F:$F, 0),
    _xlpm.joueurs, INDEX(Donnees!$A:$Z, _xlpm.ligpartie+1, _xlfn.SEQUENCE(1, 4, 2)),
    INDEX(
      Donnees!$A:$Z,
      _xlpm.ligpartie + 3,
      MATCH(G$1, _xlpm.joueurs, 0) + 1
    )
  ), ""
)</f>
        <v/>
      </c>
      <c r="H299" t="str" cm="1">
        <f t="array" ref="H299">IFERROR(
  _xlfn.LET(
    _xlpm.ligpartie, MATCH($B298, Donnees!$F:$F, 0),
    _xlpm.joueurs, INDEX(Donnees!$A:$Z, _xlpm.ligpartie+1, _xlfn.SEQUENCE(1, 4, 2)),
    INDEX(
      Donnees!$A:$Z,
      _xlpm.ligpartie + 3,
      MATCH(H$1, _xlpm.joueurs, 0) + 1
    )
  ), ""
)</f>
        <v/>
      </c>
      <c r="I299" t="str" cm="1">
        <f t="array" ref="I299">IFERROR(
  _xlfn.LET(
    _xlpm.ligpartie, MATCH($B298, Donnees!$F:$F, 0),
    _xlpm.joueurs, INDEX(Donnees!$A:$Z, _xlpm.ligpartie+1, _xlfn.SEQUENCE(1, 4, 2)),
    INDEX(
      Donnees!$A:$Z,
      _xlpm.ligpartie + 3,
      MATCH(I$1, _xlpm.joueurs, 0) + 1
    )
  ), ""
)</f>
        <v/>
      </c>
      <c r="J299" t="str" cm="1">
        <f t="array" ref="J299">IFERROR(
  _xlfn.LET(
    _xlpm.ligpartie, MATCH($B298, Donnees!$F:$F, 0),
    _xlpm.joueurs, INDEX(Donnees!$A:$Z, _xlpm.ligpartie+1, _xlfn.SEQUENCE(1, 4, 2)),
    INDEX(
      Donnees!$A:$Z,
      _xlpm.ligpartie + 3,
      MATCH(J$1, _xlpm.joueurs, 0) + 1
    )
  ), ""
)</f>
        <v/>
      </c>
      <c r="K299" t="str" cm="1">
        <f t="array" ref="K299">IFERROR(
  _xlfn.LET(
    _xlpm.ligpartie, MATCH($B298, Donnees!$F:$F, 0),
    _xlpm.joueurs, INDEX(Donnees!$A:$Z, _xlpm.ligpartie+1, _xlfn.SEQUENCE(1, 4, 2)),
    INDEX(
      Donnees!$A:$Z,
      _xlpm.ligpartie + 3,
      MATCH(K$1, _xlpm.joueurs, 0) + 1
    )
  ), ""
)</f>
        <v/>
      </c>
      <c r="L299" t="str" cm="1">
        <f t="array" ref="L299">IFERROR(
  _xlfn.LET(
    _xlpm.ligpartie, MATCH($B298, Donnees!$F:$F, 0),
    _xlpm.joueurs, INDEX(Donnees!$A:$Z, _xlpm.ligpartie+1, _xlfn.SEQUENCE(1, 4, 2)),
    INDEX(
      Donnees!$A:$Z,
      _xlpm.ligpartie + 3,
      MATCH(L$1, _xlpm.joueurs, 0) + 1
    )
  ), ""
)</f>
        <v/>
      </c>
      <c r="M299" t="str" cm="1">
        <f t="array" ref="M299">IFERROR(
  _xlfn.LET(
    _xlpm.ligpartie, MATCH($B298, Donnees!$F:$F, 0),
    _xlpm.joueurs, INDEX(Donnees!$A:$Z, _xlpm.ligpartie+1, _xlfn.SEQUENCE(1, 4, 2)),
    INDEX(
      Donnees!$A:$Z,
      _xlpm.ligpartie + 3,
      MATCH(M$1, _xlpm.joueurs, 0) + 1
    )
  ), ""
)</f>
        <v/>
      </c>
      <c r="N299" t="str" cm="1">
        <f t="array" ref="N299">IFERROR(
  _xlfn.LET(
    _xlpm.ligpartie, MATCH($B298, Donnees!$F:$F, 0),
    _xlpm.joueurs, INDEX(Donnees!$A:$Z, _xlpm.ligpartie+1, _xlfn.SEQUENCE(1, 4, 2)),
    INDEX(
      Donnees!$A:$Z,
      _xlpm.ligpartie + 3,
      MATCH(N$1, _xlpm.joueurs, 0) + 1
    )
  ), ""
)</f>
        <v/>
      </c>
      <c r="O299" t="str" cm="1">
        <f t="array" ref="O299">IFERROR(
  _xlfn.LET(
    _xlpm.ligpartie, MATCH($B298, Donnees!$F:$F, 0),
    _xlpm.joueurs, INDEX(Donnees!$A:$Z, _xlpm.ligpartie+1, _xlfn.SEQUENCE(1, 4, 2)),
    INDEX(
      Donnees!$A:$Z,
      _xlpm.ligpartie + 3,
      MATCH(O$1, _xlpm.joueurs, 0) + 1
    )
  ), ""
)</f>
        <v/>
      </c>
      <c r="P299" t="str" cm="1">
        <f t="array" ref="P299">IFERROR(
  _xlfn.LET(
    _xlpm.ligpartie, MATCH($B298, Donnees!$F:$F, 0),
    _xlpm.joueurs, INDEX(Donnees!$A:$Z, _xlpm.ligpartie+1, _xlfn.SEQUENCE(1, 4, 2)),
    INDEX(
      Donnees!$A:$Z,
      _xlpm.ligpartie + 3,
      MATCH(P$1, _xlpm.joueurs, 0) + 1
    )
  ), ""
)</f>
        <v/>
      </c>
      <c r="Q299" t="str" cm="1">
        <f t="array" ref="Q299">IFERROR(
  _xlfn.LET(
    _xlpm.ligpartie, MATCH($B298, Donnees!$F:$F, 0),
    _xlpm.joueurs, INDEX(Donnees!$A:$Z, _xlpm.ligpartie+1, _xlfn.SEQUENCE(1, 4, 2)),
    INDEX(
      Donnees!$A:$Z,
      _xlpm.ligpartie + 3,
      MATCH(Q$1, _xlpm.joueurs, 0) + 1
    )
  ), ""
)</f>
        <v/>
      </c>
      <c r="R299" cm="1">
        <f t="array" ref="R299">IFERROR(
  _xlfn.LET(
    _xlpm.ligpartie, MATCH($B298, Donnees!$F:$F, 0),
    _xlpm.joueurs, INDEX(Donnees!$A:$Z, _xlpm.ligpartie+1, _xlfn.SEQUENCE(1, 4, 2)),
    INDEX(
      Donnees!$A:$Z,
      _xlpm.ligpartie + 3,
      MATCH(R$1, _xlpm.joueurs, 0) + 1
    )
  ), ""
)</f>
        <v>1</v>
      </c>
      <c r="S299" t="str" cm="1">
        <f t="array" ref="S299">IFERROR(
  _xlfn.LET(
    _xlpm.ligpartie, MATCH($B298, Donnees!$F:$F, 0),
    _xlpm.joueurs, INDEX(Donnees!$A:$Z, _xlpm.ligpartie+1, _xlfn.SEQUENCE(1, 4, 2)),
    INDEX(
      Donnees!$A:$Z,
      _xlpm.ligpartie + 3,
      MATCH(S$1, _xlpm.joueurs, 0) + 1
    )
  ), ""
)</f>
        <v/>
      </c>
      <c r="T299" t="str" cm="1">
        <f t="array" ref="T299">IFERROR(
  _xlfn.LET(
    _xlpm.ligpartie, MATCH($B298, Donnees!$F:$F, 0),
    _xlpm.joueurs, INDEX(Donnees!$A:$Z, _xlpm.ligpartie+1, _xlfn.SEQUENCE(1, 4, 2)),
    INDEX(
      Donnees!$A:$Z,
      _xlpm.ligpartie + 3,
      MATCH(T$1, _xlpm.joueurs, 0) + 1
    )
  ), ""
)</f>
        <v/>
      </c>
      <c r="U299" t="str" cm="1">
        <f t="array" ref="U299">IFERROR(
  _xlfn.LET(
    _xlpm.ligpartie, MATCH($B298, Donnees!$F:$F, 0),
    _xlpm.joueurs, INDEX(Donnees!$A:$Z, _xlpm.ligpartie+1, _xlfn.SEQUENCE(1, 4, 2)),
    INDEX(
      Donnees!$A:$Z,
      _xlpm.ligpartie + 3,
      MATCH(U$1, _xlpm.joueurs, 0) + 1
    )
  ), ""
)</f>
        <v/>
      </c>
      <c r="V299" t="str" cm="1">
        <f t="array" ref="V299">IFERROR(
  _xlfn.LET(
    _xlpm.ligpartie, MATCH($B298, Donnees!$F:$F, 0),
    _xlpm.joueurs, INDEX(Donnees!$A:$Z, _xlpm.ligpartie+1, _xlfn.SEQUENCE(1, 4, 2)),
    INDEX(
      Donnees!$A:$Z,
      _xlpm.ligpartie + 3,
      MATCH(V$1, _xlpm.joueurs, 0) + 1
    )
  ), ""
)</f>
        <v/>
      </c>
      <c r="W299" t="str" cm="1">
        <f t="array" ref="W299">IFERROR(
  _xlfn.LET(
    _xlpm.ligpartie, MATCH($B298, Donnees!$F:$F, 0),
    _xlpm.joueurs, INDEX(Donnees!$A:$Z, _xlpm.ligpartie+1, _xlfn.SEQUENCE(1, 4, 2)),
    INDEX(
      Donnees!$A:$Z,
      _xlpm.ligpartie + 3,
      MATCH(W$1, _xlpm.joueurs, 0) + 1
    )
  ), ""
)</f>
        <v/>
      </c>
      <c r="X299" t="str" cm="1">
        <f t="array" ref="X299">IFERROR(
  _xlfn.LET(
    _xlpm.ligpartie, MATCH($B298, Donnees!$F:$F, 0),
    _xlpm.joueurs, INDEX(Donnees!$A:$Z, _xlpm.ligpartie+1, _xlfn.SEQUENCE(1, 4, 2)),
    INDEX(
      Donnees!$A:$Z,
      _xlpm.ligpartie + 3,
      MATCH(X$1, _xlpm.joueurs, 0) + 1
    )
  ), ""
)</f>
        <v/>
      </c>
      <c r="Y299" t="str" cm="1">
        <f t="array" ref="Y299">IFERROR(
  _xlfn.LET(
    _xlpm.ligpartie, MATCH($B298, Donnees!$F:$F, 0),
    _xlpm.joueurs, INDEX(Donnees!$A:$Z, _xlpm.ligpartie+1, _xlfn.SEQUENCE(1, 4, 2)),
    INDEX(
      Donnees!$A:$Z,
      _xlpm.ligpartie + 3,
      MATCH(Y$1, _xlpm.joueurs, 0) + 1
    )
  ), ""
)</f>
        <v/>
      </c>
      <c r="Z299" cm="1">
        <f t="array" ref="Z299">IFERROR(
  _xlfn.LET(
    _xlpm.ligpartie, MATCH($B298, Donnees!$F:$F, 0),
    _xlpm.joueurs, INDEX(Donnees!$A:$Z, _xlpm.ligpartie+1, _xlfn.SEQUENCE(1, 4, 2)),
    INDEX(
      Donnees!$A:$Z,
      _xlpm.ligpartie + 3,
      MATCH(Z$1, _xlpm.joueurs, 0) + 1
    )
  ), ""
)</f>
        <v>2</v>
      </c>
      <c r="AA299" cm="1">
        <f t="array" ref="AA299">IFERROR(
  _xlfn.LET(
    _xlpm.ligpartie, MATCH($B298, Donnees!$F:$F, 0),
    _xlpm.joueurs, INDEX(Donnees!$A:$Z, _xlpm.ligpartie+1, _xlfn.SEQUENCE(1, 4, 2)),
    INDEX(
      Donnees!$A:$Z,
      _xlpm.ligpartie + 3,
      MATCH(AA$1, _xlpm.joueurs, 0) + 1
    )
  ), ""
)</f>
        <v>3</v>
      </c>
      <c r="AB299" t="str" cm="1">
        <f t="array" ref="AB299">IFERROR(
  _xlfn.LET(
    _xlpm.ligpartie, MATCH($B298, Donnees!$F:$F, 0),
    _xlpm.joueurs, INDEX(Donnees!$A:$Z, _xlpm.ligpartie+1, _xlfn.SEQUENCE(1, 4, 2)),
    INDEX(
      Donnees!$A:$Z,
      _xlpm.ligpartie + 3,
      MATCH(AB$1, _xlpm.joueurs, 0) + 1
    )
  ), ""
)</f>
        <v/>
      </c>
      <c r="AC299" t="str" cm="1">
        <f t="array" ref="AC299">IFERROR(
  _xlfn.LET(
    _xlpm.ligpartie, MATCH($B298, Donnees!$F:$F, 0),
    _xlpm.joueurs, INDEX(Donnees!$A:$Z, _xlpm.ligpartie+1, _xlfn.SEQUENCE(1, 4, 2)),
    INDEX(
      Donnees!$A:$Z,
      _xlpm.ligpartie + 3,
      MATCH(AC$1, _xlpm.joueurs, 0) + 1
    )
  ), ""
)</f>
        <v/>
      </c>
      <c r="AD299" t="str" cm="1">
        <f t="array" ref="AD299">IFERROR(
  _xlfn.LET(
    _xlpm.ligpartie, MATCH($B298, Donnees!$F:$F, 0),
    _xlpm.joueurs, INDEX(Donnees!$A:$Z, _xlpm.ligpartie+1, _xlfn.SEQUENCE(1, 4, 2)),
    INDEX(
      Donnees!$A:$Z,
      _xlpm.ligpartie + 3,
      MATCH(AD$1, _xlpm.joueurs, 0) + 1
    )
  ), ""
)</f>
        <v/>
      </c>
      <c r="AE299" t="str" cm="1">
        <f t="array" ref="AE299">IFERROR(
  _xlfn.LET(
    _xlpm.ligpartie, MATCH($B298, Donnees!$F:$F, 0),
    _xlpm.joueurs, INDEX(Donnees!$A:$Z, _xlpm.ligpartie+1, _xlfn.SEQUENCE(1, 4, 2)),
    INDEX(
      Donnees!$A:$Z,
      _xlpm.ligpartie + 3,
      MATCH(AE$1, _xlpm.joueurs, 0) + 1
    )
  ), ""
)</f>
        <v/>
      </c>
      <c r="AF299" t="str" cm="1">
        <f t="array" ref="AF299">IFERROR(
  _xlfn.LET(
    _xlpm.ligpartie, MATCH($B298, Donnees!$F:$F, 0),
    _xlpm.joueurs, INDEX(Donnees!$A:$Z, _xlpm.ligpartie+1, _xlfn.SEQUENCE(1, 4, 2)),
    INDEX(
      Donnees!$A:$Z,
      _xlpm.ligpartie + 3,
      MATCH(AF$1, _xlpm.joueurs, 0) + 1
    )
  ), ""
)</f>
        <v/>
      </c>
      <c r="AG299" t="str" cm="1">
        <f t="array" ref="AG299">IFERROR(
  _xlfn.LET(
    _xlpm.ligpartie, MATCH($B298, Donnees!$F:$F, 0),
    _xlpm.joueurs, INDEX(Donnees!$A:$Z, _xlpm.ligpartie+1, _xlfn.SEQUENCE(1, 4, 2)),
    INDEX(
      Donnees!$A:$Z,
      _xlpm.ligpartie + 3,
      MATCH(AG$1, _xlpm.joueurs, 0) + 1
    )
  ), ""
)</f>
        <v/>
      </c>
      <c r="AH299" t="str" cm="1">
        <f t="array" ref="AH299">IFERROR(
  _xlfn.LET(
    _xlpm.ligpartie, MATCH($B298, Donnees!$F:$F, 0),
    _xlpm.joueurs, INDEX(Donnees!$A:$Z, _xlpm.ligpartie+1, _xlfn.SEQUENCE(1, 4, 2)),
    INDEX(
      Donnees!$A:$Z,
      _xlpm.ligpartie + 3,
      MATCH(AH$1, _xlpm.joueurs, 0) + 1
    )
  ), ""
)</f>
        <v/>
      </c>
      <c r="AI299" t="str" cm="1">
        <f t="array" ref="AI299">IFERROR(
  _xlfn.LET(
    _xlpm.ligpartie, MATCH($B298, Donnees!$F:$F, 0),
    _xlpm.joueurs, INDEX(Donnees!$A:$Z, _xlpm.ligpartie+1, _xlfn.SEQUENCE(1, 4, 2)),
    INDEX(
      Donnees!$A:$Z,
      _xlpm.ligpartie + 3,
      MATCH(AI$1, _xlpm.joueurs, 0) + 1
    )
  ), ""
)</f>
        <v/>
      </c>
      <c r="AJ299" t="str" cm="1">
        <f t="array" ref="AJ299">IFERROR(
  _xlfn.LET(
    _xlpm.ligpartie, MATCH($B298, Donnees!$F:$F, 0),
    _xlpm.joueurs, INDEX(Donnees!$A:$Z, _xlpm.ligpartie+1, _xlfn.SEQUENCE(1, 4, 2)),
    INDEX(
      Donnees!$A:$Z,
      _xlpm.ligpartie + 3,
      MATCH(AJ$1, _xlpm.joueurs, 0) + 1
    )
  ), ""
)</f>
        <v/>
      </c>
      <c r="AK299" t="str" cm="1">
        <f t="array" ref="AK299">IFERROR(
  _xlfn.LET(
    _xlpm.ligpartie, MATCH($B298, Donnees!$F:$F, 0),
    _xlpm.joueurs, INDEX(Donnees!$A:$Z, _xlpm.ligpartie+1, _xlfn.SEQUENCE(1, 4, 2)),
    INDEX(
      Donnees!$A:$Z,
      _xlpm.ligpartie + 3,
      MATCH(AK$1, _xlpm.joueurs, 0) + 1
    )
  ), ""
)</f>
        <v/>
      </c>
      <c r="AL299" t="str" cm="1">
        <f t="array" ref="AL299">IFERROR(
  _xlfn.LET(
    _xlpm.ligpartie, MATCH($B298, Donnees!$F:$F, 0),
    _xlpm.joueurs, INDEX(Donnees!$A:$Z, _xlpm.ligpartie+1, _xlfn.SEQUENCE(1, 4, 2)),
    INDEX(
      Donnees!$A:$Z,
      _xlpm.ligpartie + 3,
      MATCH(AL$1, _xlpm.joueurs, 0) + 1
    )
  ), ""
)</f>
        <v/>
      </c>
      <c r="AM299" t="str" cm="1">
        <f t="array" ref="AM299">IFERROR(
  _xlfn.LET(
    _xlpm.ligpartie, MATCH($B298, Donnees!$F:$F, 0),
    _xlpm.joueurs, INDEX(Donnees!$A:$Z, _xlpm.ligpartie+1, _xlfn.SEQUENCE(1, 4, 2)),
    INDEX(
      Donnees!$A:$Z,
      _xlpm.ligpartie + 3,
      MATCH(AM$1, _xlpm.joueurs, 0) + 1
    )
  ), ""
)</f>
        <v/>
      </c>
    </row>
    <row r="300" spans="1:39" x14ac:dyDescent="0.25">
      <c r="A300" t="s">
        <v>20</v>
      </c>
      <c r="D300" cm="1">
        <f t="array" ref="D300">_xlfn.LET(
  _xlpm.colj, _xlfn._xlws.FILTER(IF(ISNUMBER(299:299), COLUMN(299:299)), ISNUMBER(299:299)),
  _xlpm.elos, INDEX(298:298,1,_xlpm.colj),
  _xlpm.diffscale, Constantes!$B$2,
  IF(D299="",
    "",
    SUM(1/(1+POWER(10,-(D298-_xlpm.elos)/_xlpm.diffscale)))-0.5)
)</f>
        <v>1.5872349167574815</v>
      </c>
      <c r="E300" t="str" cm="1">
        <f t="array" ref="E300">_xlfn.LET(
  _xlpm.colj, _xlfn._xlws.FILTER(IF(ISNUMBER(299:299), COLUMN(299:299)), ISNUMBER(299:299)),
  _xlpm.elos, INDEX(298:298,1,_xlpm.colj),
  _xlpm.diffscale, Constantes!$B$2,
  IF(E299="",
    "",
    SUM(1/(1+POWER(10,-(E298-_xlpm.elos)/_xlpm.diffscale)))-0.5)
)</f>
        <v/>
      </c>
      <c r="F300" t="str" cm="1">
        <f t="array" ref="F300">_xlfn.LET(
  _xlpm.colj, _xlfn._xlws.FILTER(IF(ISNUMBER(299:299), COLUMN(299:299)), ISNUMBER(299:299)),
  _xlpm.elos, INDEX(298:298,1,_xlpm.colj),
  _xlpm.diffscale, Constantes!$B$2,
  IF(F299="",
    "",
    SUM(1/(1+POWER(10,-(F298-_xlpm.elos)/_xlpm.diffscale)))-0.5)
)</f>
        <v/>
      </c>
      <c r="G300" t="str" cm="1">
        <f t="array" ref="G300">_xlfn.LET(
  _xlpm.colj, _xlfn._xlws.FILTER(IF(ISNUMBER(299:299), COLUMN(299:299)), ISNUMBER(299:299)),
  _xlpm.elos, INDEX(298:298,1,_xlpm.colj),
  _xlpm.diffscale, Constantes!$B$2,
  IF(G299="",
    "",
    SUM(1/(1+POWER(10,-(G298-_xlpm.elos)/_xlpm.diffscale)))-0.5)
)</f>
        <v/>
      </c>
      <c r="H300" t="str" cm="1">
        <f t="array" ref="H300">_xlfn.LET(
  _xlpm.colj, _xlfn._xlws.FILTER(IF(ISNUMBER(299:299), COLUMN(299:299)), ISNUMBER(299:299)),
  _xlpm.elos, INDEX(298:298,1,_xlpm.colj),
  _xlpm.diffscale, Constantes!$B$2,
  IF(H299="",
    "",
    SUM(1/(1+POWER(10,-(H298-_xlpm.elos)/_xlpm.diffscale)))-0.5)
)</f>
        <v/>
      </c>
      <c r="I300" t="str" cm="1">
        <f t="array" ref="I300">_xlfn.LET(
  _xlpm.colj, _xlfn._xlws.FILTER(IF(ISNUMBER(299:299), COLUMN(299:299)), ISNUMBER(299:299)),
  _xlpm.elos, INDEX(298:298,1,_xlpm.colj),
  _xlpm.diffscale, Constantes!$B$2,
  IF(I299="",
    "",
    SUM(1/(1+POWER(10,-(I298-_xlpm.elos)/_xlpm.diffscale)))-0.5)
)</f>
        <v/>
      </c>
      <c r="J300" t="str" cm="1">
        <f t="array" ref="J300">_xlfn.LET(
  _xlpm.colj, _xlfn._xlws.FILTER(IF(ISNUMBER(299:299), COLUMN(299:299)), ISNUMBER(299:299)),
  _xlpm.elos, INDEX(298:298,1,_xlpm.colj),
  _xlpm.diffscale, Constantes!$B$2,
  IF(J299="",
    "",
    SUM(1/(1+POWER(10,-(J298-_xlpm.elos)/_xlpm.diffscale)))-0.5)
)</f>
        <v/>
      </c>
      <c r="K300" t="str" cm="1">
        <f t="array" ref="K300">_xlfn.LET(
  _xlpm.colj, _xlfn._xlws.FILTER(IF(ISNUMBER(299:299), COLUMN(299:299)), ISNUMBER(299:299)),
  _xlpm.elos, INDEX(298:298,1,_xlpm.colj),
  _xlpm.diffscale, Constantes!$B$2,
  IF(K299="",
    "",
    SUM(1/(1+POWER(10,-(K298-_xlpm.elos)/_xlpm.diffscale)))-0.5)
)</f>
        <v/>
      </c>
      <c r="L300" t="str" cm="1">
        <f t="array" ref="L300">_xlfn.LET(
  _xlpm.colj, _xlfn._xlws.FILTER(IF(ISNUMBER(299:299), COLUMN(299:299)), ISNUMBER(299:299)),
  _xlpm.elos, INDEX(298:298,1,_xlpm.colj),
  _xlpm.diffscale, Constantes!$B$2,
  IF(L299="",
    "",
    SUM(1/(1+POWER(10,-(L298-_xlpm.elos)/_xlpm.diffscale)))-0.5)
)</f>
        <v/>
      </c>
      <c r="M300" t="str" cm="1">
        <f t="array" ref="M300">_xlfn.LET(
  _xlpm.colj, _xlfn._xlws.FILTER(IF(ISNUMBER(299:299), COLUMN(299:299)), ISNUMBER(299:299)),
  _xlpm.elos, INDEX(298:298,1,_xlpm.colj),
  _xlpm.diffscale, Constantes!$B$2,
  IF(M299="",
    "",
    SUM(1/(1+POWER(10,-(M298-_xlpm.elos)/_xlpm.diffscale)))-0.5)
)</f>
        <v/>
      </c>
      <c r="N300" t="str" cm="1">
        <f t="array" ref="N300">_xlfn.LET(
  _xlpm.colj, _xlfn._xlws.FILTER(IF(ISNUMBER(299:299), COLUMN(299:299)), ISNUMBER(299:299)),
  _xlpm.elos, INDEX(298:298,1,_xlpm.colj),
  _xlpm.diffscale, Constantes!$B$2,
  IF(N299="",
    "",
    SUM(1/(1+POWER(10,-(N298-_xlpm.elos)/_xlpm.diffscale)))-0.5)
)</f>
        <v/>
      </c>
      <c r="O300" t="str" cm="1">
        <f t="array" ref="O300">_xlfn.LET(
  _xlpm.colj, _xlfn._xlws.FILTER(IF(ISNUMBER(299:299), COLUMN(299:299)), ISNUMBER(299:299)),
  _xlpm.elos, INDEX(298:298,1,_xlpm.colj),
  _xlpm.diffscale, Constantes!$B$2,
  IF(O299="",
    "",
    SUM(1/(1+POWER(10,-(O298-_xlpm.elos)/_xlpm.diffscale)))-0.5)
)</f>
        <v/>
      </c>
      <c r="P300" t="str" cm="1">
        <f t="array" ref="P300">_xlfn.LET(
  _xlpm.colj, _xlfn._xlws.FILTER(IF(ISNUMBER(299:299), COLUMN(299:299)), ISNUMBER(299:299)),
  _xlpm.elos, INDEX(298:298,1,_xlpm.colj),
  _xlpm.diffscale, Constantes!$B$2,
  IF(P299="",
    "",
    SUM(1/(1+POWER(10,-(P298-_xlpm.elos)/_xlpm.diffscale)))-0.5)
)</f>
        <v/>
      </c>
      <c r="Q300" t="str" cm="1">
        <f t="array" ref="Q300">_xlfn.LET(
  _xlpm.colj, _xlfn._xlws.FILTER(IF(ISNUMBER(299:299), COLUMN(299:299)), ISNUMBER(299:299)),
  _xlpm.elos, INDEX(298:298,1,_xlpm.colj),
  _xlpm.diffscale, Constantes!$B$2,
  IF(Q299="",
    "",
    SUM(1/(1+POWER(10,-(Q298-_xlpm.elos)/_xlpm.diffscale)))-0.5)
)</f>
        <v/>
      </c>
      <c r="R300" cm="1">
        <f t="array" ref="R300">_xlfn.LET(
  _xlpm.colj, _xlfn._xlws.FILTER(IF(ISNUMBER(299:299), COLUMN(299:299)), ISNUMBER(299:299)),
  _xlpm.elos, INDEX(298:298,1,_xlpm.colj),
  _xlpm.diffscale, Constantes!$B$2,
  IF(R299="",
    "",
    SUM(1/(1+POWER(10,-(R298-_xlpm.elos)/_xlpm.diffscale)))-0.5)
)</f>
        <v>1.8537611119457393</v>
      </c>
      <c r="S300" t="str" cm="1">
        <f t="array" ref="S300">_xlfn.LET(
  _xlpm.colj, _xlfn._xlws.FILTER(IF(ISNUMBER(299:299), COLUMN(299:299)), ISNUMBER(299:299)),
  _xlpm.elos, INDEX(298:298,1,_xlpm.colj),
  _xlpm.diffscale, Constantes!$B$2,
  IF(S299="",
    "",
    SUM(1/(1+POWER(10,-(S298-_xlpm.elos)/_xlpm.diffscale)))-0.5)
)</f>
        <v/>
      </c>
      <c r="T300" t="str" cm="1">
        <f t="array" ref="T300">_xlfn.LET(
  _xlpm.colj, _xlfn._xlws.FILTER(IF(ISNUMBER(299:299), COLUMN(299:299)), ISNUMBER(299:299)),
  _xlpm.elos, INDEX(298:298,1,_xlpm.colj),
  _xlpm.diffscale, Constantes!$B$2,
  IF(T299="",
    "",
    SUM(1/(1+POWER(10,-(T298-_xlpm.elos)/_xlpm.diffscale)))-0.5)
)</f>
        <v/>
      </c>
      <c r="U300" t="str" cm="1">
        <f t="array" ref="U300">_xlfn.LET(
  _xlpm.colj, _xlfn._xlws.FILTER(IF(ISNUMBER(299:299), COLUMN(299:299)), ISNUMBER(299:299)),
  _xlpm.elos, INDEX(298:298,1,_xlpm.colj),
  _xlpm.diffscale, Constantes!$B$2,
  IF(U299="",
    "",
    SUM(1/(1+POWER(10,-(U298-_xlpm.elos)/_xlpm.diffscale)))-0.5)
)</f>
        <v/>
      </c>
      <c r="V300" t="str" cm="1">
        <f t="array" ref="V300">_xlfn.LET(
  _xlpm.colj, _xlfn._xlws.FILTER(IF(ISNUMBER(299:299), COLUMN(299:299)), ISNUMBER(299:299)),
  _xlpm.elos, INDEX(298:298,1,_xlpm.colj),
  _xlpm.diffscale, Constantes!$B$2,
  IF(V299="",
    "",
    SUM(1/(1+POWER(10,-(V298-_xlpm.elos)/_xlpm.diffscale)))-0.5)
)</f>
        <v/>
      </c>
      <c r="W300" t="str" cm="1">
        <f t="array" ref="W300">_xlfn.LET(
  _xlpm.colj, _xlfn._xlws.FILTER(IF(ISNUMBER(299:299), COLUMN(299:299)), ISNUMBER(299:299)),
  _xlpm.elos, INDEX(298:298,1,_xlpm.colj),
  _xlpm.diffscale, Constantes!$B$2,
  IF(W299="",
    "",
    SUM(1/(1+POWER(10,-(W298-_xlpm.elos)/_xlpm.diffscale)))-0.5)
)</f>
        <v/>
      </c>
      <c r="X300" t="str" cm="1">
        <f t="array" ref="X300">_xlfn.LET(
  _xlpm.colj, _xlfn._xlws.FILTER(IF(ISNUMBER(299:299), COLUMN(299:299)), ISNUMBER(299:299)),
  _xlpm.elos, INDEX(298:298,1,_xlpm.colj),
  _xlpm.diffscale, Constantes!$B$2,
  IF(X299="",
    "",
    SUM(1/(1+POWER(10,-(X298-_xlpm.elos)/_xlpm.diffscale)))-0.5)
)</f>
        <v/>
      </c>
      <c r="Y300" t="str" cm="1">
        <f t="array" ref="Y300">_xlfn.LET(
  _xlpm.colj, _xlfn._xlws.FILTER(IF(ISNUMBER(299:299), COLUMN(299:299)), ISNUMBER(299:299)),
  _xlpm.elos, INDEX(298:298,1,_xlpm.colj),
  _xlpm.diffscale, Constantes!$B$2,
  IF(Y299="",
    "",
    SUM(1/(1+POWER(10,-(Y298-_xlpm.elos)/_xlpm.diffscale)))-0.5)
)</f>
        <v/>
      </c>
      <c r="Z300" cm="1">
        <f t="array" ref="Z300">_xlfn.LET(
  _xlpm.colj, _xlfn._xlws.FILTER(IF(ISNUMBER(299:299), COLUMN(299:299)), ISNUMBER(299:299)),
  _xlpm.elos, INDEX(298:298,1,_xlpm.colj),
  _xlpm.diffscale, Constantes!$B$2,
  IF(Z299="",
    "",
    SUM(1/(1+POWER(10,-(Z298-_xlpm.elos)/_xlpm.diffscale)))-0.5)
)</f>
        <v>1.3491316094710224</v>
      </c>
      <c r="AA300" cm="1">
        <f t="array" ref="AA300">_xlfn.LET(
  _xlpm.colj, _xlfn._xlws.FILTER(IF(ISNUMBER(299:299), COLUMN(299:299)), ISNUMBER(299:299)),
  _xlpm.elos, INDEX(298:298,1,_xlpm.colj),
  _xlpm.diffscale, Constantes!$B$2,
  IF(AA299="",
    "",
    SUM(1/(1+POWER(10,-(AA298-_xlpm.elos)/_xlpm.diffscale)))-0.5)
)</f>
        <v>1.2098723618257567</v>
      </c>
      <c r="AB300" t="str" cm="1">
        <f t="array" ref="AB300">_xlfn.LET(
  _xlpm.colj, _xlfn._xlws.FILTER(IF(ISNUMBER(299:299), COLUMN(299:299)), ISNUMBER(299:299)),
  _xlpm.elos, INDEX(298:298,1,_xlpm.colj),
  _xlpm.diffscale, Constantes!$B$2,
  IF(AB299="",
    "",
    SUM(1/(1+POWER(10,-(AB298-_xlpm.elos)/_xlpm.diffscale)))-0.5)
)</f>
        <v/>
      </c>
      <c r="AC300" t="str" cm="1">
        <f t="array" ref="AC300">_xlfn.LET(
  _xlpm.colj, _xlfn._xlws.FILTER(IF(ISNUMBER(299:299), COLUMN(299:299)), ISNUMBER(299:299)),
  _xlpm.elos, INDEX(298:298,1,_xlpm.colj),
  _xlpm.diffscale, Constantes!$B$2,
  IF(AC299="",
    "",
    SUM(1/(1+POWER(10,-(AC298-_xlpm.elos)/_xlpm.diffscale)))-0.5)
)</f>
        <v/>
      </c>
      <c r="AD300" t="str" cm="1">
        <f t="array" ref="AD300">_xlfn.LET(
  _xlpm.colj, _xlfn._xlws.FILTER(IF(ISNUMBER(299:299), COLUMN(299:299)), ISNUMBER(299:299)),
  _xlpm.elos, INDEX(298:298,1,_xlpm.colj),
  _xlpm.diffscale, Constantes!$B$2,
  IF(AD299="",
    "",
    SUM(1/(1+POWER(10,-(AD298-_xlpm.elos)/_xlpm.diffscale)))-0.5)
)</f>
        <v/>
      </c>
      <c r="AE300" t="str" cm="1">
        <f t="array" ref="AE300">_xlfn.LET(
  _xlpm.colj, _xlfn._xlws.FILTER(IF(ISNUMBER(299:299), COLUMN(299:299)), ISNUMBER(299:299)),
  _xlpm.elos, INDEX(298:298,1,_xlpm.colj),
  _xlpm.diffscale, Constantes!$B$2,
  IF(AE299="",
    "",
    SUM(1/(1+POWER(10,-(AE298-_xlpm.elos)/_xlpm.diffscale)))-0.5)
)</f>
        <v/>
      </c>
      <c r="AF300" t="str" cm="1">
        <f t="array" ref="AF300">_xlfn.LET(
  _xlpm.colj, _xlfn._xlws.FILTER(IF(ISNUMBER(299:299), COLUMN(299:299)), ISNUMBER(299:299)),
  _xlpm.elos, INDEX(298:298,1,_xlpm.colj),
  _xlpm.diffscale, Constantes!$B$2,
  IF(AF299="",
    "",
    SUM(1/(1+POWER(10,-(AF298-_xlpm.elos)/_xlpm.diffscale)))-0.5)
)</f>
        <v/>
      </c>
      <c r="AG300" t="str" cm="1">
        <f t="array" ref="AG300">_xlfn.LET(
  _xlpm.colj, _xlfn._xlws.FILTER(IF(ISNUMBER(299:299), COLUMN(299:299)), ISNUMBER(299:299)),
  _xlpm.elos, INDEX(298:298,1,_xlpm.colj),
  _xlpm.diffscale, Constantes!$B$2,
  IF(AG299="",
    "",
    SUM(1/(1+POWER(10,-(AG298-_xlpm.elos)/_xlpm.diffscale)))-0.5)
)</f>
        <v/>
      </c>
      <c r="AH300" t="str" cm="1">
        <f t="array" ref="AH300">_xlfn.LET(
  _xlpm.colj, _xlfn._xlws.FILTER(IF(ISNUMBER(299:299), COLUMN(299:299)), ISNUMBER(299:299)),
  _xlpm.elos, INDEX(298:298,1,_xlpm.colj),
  _xlpm.diffscale, Constantes!$B$2,
  IF(AH299="",
    "",
    SUM(1/(1+POWER(10,-(AH298-_xlpm.elos)/_xlpm.diffscale)))-0.5)
)</f>
        <v/>
      </c>
      <c r="AI300" t="str" cm="1">
        <f t="array" ref="AI300">_xlfn.LET(
  _xlpm.colj, _xlfn._xlws.FILTER(IF(ISNUMBER(299:299), COLUMN(299:299)), ISNUMBER(299:299)),
  _xlpm.elos, INDEX(298:298,1,_xlpm.colj),
  _xlpm.diffscale, Constantes!$B$2,
  IF(AI299="",
    "",
    SUM(1/(1+POWER(10,-(AI298-_xlpm.elos)/_xlpm.diffscale)))-0.5)
)</f>
        <v/>
      </c>
      <c r="AJ300" t="str" cm="1">
        <f t="array" ref="AJ300">_xlfn.LET(
  _xlpm.colj, _xlfn._xlws.FILTER(IF(ISNUMBER(299:299), COLUMN(299:299)), ISNUMBER(299:299)),
  _xlpm.elos, INDEX(298:298,1,_xlpm.colj),
  _xlpm.diffscale, Constantes!$B$2,
  IF(AJ299="",
    "",
    SUM(1/(1+POWER(10,-(AJ298-_xlpm.elos)/_xlpm.diffscale)))-0.5)
)</f>
        <v/>
      </c>
      <c r="AK300" t="str" cm="1">
        <f t="array" ref="AK300">_xlfn.LET(
  _xlpm.colj, _xlfn._xlws.FILTER(IF(ISNUMBER(299:299), COLUMN(299:299)), ISNUMBER(299:299)),
  _xlpm.elos, INDEX(298:298,1,_xlpm.colj),
  _xlpm.diffscale, Constantes!$B$2,
  IF(AK299="",
    "",
    SUM(1/(1+POWER(10,-(AK298-_xlpm.elos)/_xlpm.diffscale)))-0.5)
)</f>
        <v/>
      </c>
      <c r="AL300" t="str" cm="1">
        <f t="array" ref="AL300">_xlfn.LET(
  _xlpm.colj, _xlfn._xlws.FILTER(IF(ISNUMBER(299:299), COLUMN(299:299)), ISNUMBER(299:299)),
  _xlpm.elos, INDEX(298:298,1,_xlpm.colj),
  _xlpm.diffscale, Constantes!$B$2,
  IF(AL299="",
    "",
    SUM(1/(1+POWER(10,-(AL298-_xlpm.elos)/_xlpm.diffscale)))-0.5)
)</f>
        <v/>
      </c>
      <c r="AM300" t="str" cm="1">
        <f t="array" ref="AM300">_xlfn.LET(
  _xlpm.colj, _xlfn._xlws.FILTER(IF(ISNUMBER(299:299), COLUMN(299:299)), ISNUMBER(299:299)),
  _xlpm.elos, INDEX(298:298,1,_xlpm.colj),
  _xlpm.diffscale, Constantes!$B$2,
  IF(AM299="",
    "",
    SUM(1/(1+POWER(10,-(AM298-_xlpm.elos)/_xlpm.diffscale)))-0.5)
)</f>
        <v/>
      </c>
    </row>
    <row r="301" spans="1:39" x14ac:dyDescent="0.25">
      <c r="A301" t="s">
        <v>22</v>
      </c>
      <c r="D301" cm="1">
        <f t="array" ref="D301">_xlfn.LET(
  _xlpm.K, Constantes!$B$3,
  _xlpm.Knewgain, Constantes!$B$4,
  _xlpm.Knewscale, Constantes!$B$5,
  _xlpm.ptstables, INDEX(D:D, _xlfn.SEQUENCE(COUNTA($C$2:$C301), 1, 3, 4)),
  _xlpm.nbparties, COUNTA(_xlfn._xlws.FILTER(_xlpm.ptstables, _xlpm.ptstables &lt;&gt; "")),
  _xlpm.coef, _xlpm.K + _xlpm.Knewgain / (_xlpm.Knewscale + _xlpm.nbparties),
  IF(D299="",
    "",
    _xlpm.coef * (D299-D300))
)</f>
        <v>-36.413036325612815</v>
      </c>
      <c r="E301" t="str" cm="1">
        <f t="array" ref="E301">_xlfn.LET(
  _xlpm.K, Constantes!$B$3,
  _xlpm.Knewgain, Constantes!$B$4,
  _xlpm.Knewscale, Constantes!$B$5,
  _xlpm.ptstables, INDEX(E:E, _xlfn.SEQUENCE(COUNTA($C$2:$C301), 1, 3, 4)),
  _xlpm.nbparties, COUNTA(_xlfn._xlws.FILTER(_xlpm.ptstables, _xlpm.ptstables &lt;&gt; "")),
  _xlpm.coef, _xlpm.K + _xlpm.Knewgain / (_xlpm.Knewscale + _xlpm.nbparties),
  IF(E299="",
    "",
    _xlpm.coef * (E299-E300))
)</f>
        <v/>
      </c>
      <c r="F301" t="str" cm="1">
        <f t="array" ref="F301">_xlfn.LET(
  _xlpm.K, Constantes!$B$3,
  _xlpm.Knewgain, Constantes!$B$4,
  _xlpm.Knewscale, Constantes!$B$5,
  _xlpm.ptstables, INDEX(F:F, _xlfn.SEQUENCE(COUNTA($C$2:$C301), 1, 3, 4)),
  _xlpm.nbparties, COUNTA(_xlfn._xlws.FILTER(_xlpm.ptstables, _xlpm.ptstables &lt;&gt; "")),
  _xlpm.coef, _xlpm.K + _xlpm.Knewgain / (_xlpm.Knewscale + _xlpm.nbparties),
  IF(F299="",
    "",
    _xlpm.coef * (F299-F300))
)</f>
        <v/>
      </c>
      <c r="G301" t="str" cm="1">
        <f t="array" ref="G301">_xlfn.LET(
  _xlpm.K, Constantes!$B$3,
  _xlpm.Knewgain, Constantes!$B$4,
  _xlpm.Knewscale, Constantes!$B$5,
  _xlpm.ptstables, INDEX(G:G, _xlfn.SEQUENCE(COUNTA($C$2:$C301), 1, 3, 4)),
  _xlpm.nbparties, COUNTA(_xlfn._xlws.FILTER(_xlpm.ptstables, _xlpm.ptstables &lt;&gt; "")),
  _xlpm.coef, _xlpm.K + _xlpm.Knewgain / (_xlpm.Knewscale + _xlpm.nbparties),
  IF(G299="",
    "",
    _xlpm.coef * (G299-G300))
)</f>
        <v/>
      </c>
      <c r="H301" t="str" cm="1">
        <f t="array" ref="H301">_xlfn.LET(
  _xlpm.K, Constantes!$B$3,
  _xlpm.Knewgain, Constantes!$B$4,
  _xlpm.Knewscale, Constantes!$B$5,
  _xlpm.ptstables, INDEX(H:H, _xlfn.SEQUENCE(COUNTA($C$2:$C301), 1, 3, 4)),
  _xlpm.nbparties, COUNTA(_xlfn._xlws.FILTER(_xlpm.ptstables, _xlpm.ptstables &lt;&gt; "")),
  _xlpm.coef, _xlpm.K + _xlpm.Knewgain / (_xlpm.Knewscale + _xlpm.nbparties),
  IF(H299="",
    "",
    _xlpm.coef * (H299-H300))
)</f>
        <v/>
      </c>
      <c r="I301" t="str" cm="1">
        <f t="array" ref="I301">_xlfn.LET(
  _xlpm.K, Constantes!$B$3,
  _xlpm.Knewgain, Constantes!$B$4,
  _xlpm.Knewscale, Constantes!$B$5,
  _xlpm.ptstables, INDEX(I:I, _xlfn.SEQUENCE(COUNTA($C$2:$C301), 1, 3, 4)),
  _xlpm.nbparties, COUNTA(_xlfn._xlws.FILTER(_xlpm.ptstables, _xlpm.ptstables &lt;&gt; "")),
  _xlpm.coef, _xlpm.K + _xlpm.Knewgain / (_xlpm.Knewscale + _xlpm.nbparties),
  IF(I299="",
    "",
    _xlpm.coef * (I299-I300))
)</f>
        <v/>
      </c>
      <c r="J301" t="str" cm="1">
        <f t="array" ref="J301">_xlfn.LET(
  _xlpm.K, Constantes!$B$3,
  _xlpm.Knewgain, Constantes!$B$4,
  _xlpm.Knewscale, Constantes!$B$5,
  _xlpm.ptstables, INDEX(J:J, _xlfn.SEQUENCE(COUNTA($C$2:$C301), 1, 3, 4)),
  _xlpm.nbparties, COUNTA(_xlfn._xlws.FILTER(_xlpm.ptstables, _xlpm.ptstables &lt;&gt; "")),
  _xlpm.coef, _xlpm.K + _xlpm.Knewgain / (_xlpm.Knewscale + _xlpm.nbparties),
  IF(J299="",
    "",
    _xlpm.coef * (J299-J300))
)</f>
        <v/>
      </c>
      <c r="K301" t="str" cm="1">
        <f t="array" ref="K301">_xlfn.LET(
  _xlpm.K, Constantes!$B$3,
  _xlpm.Knewgain, Constantes!$B$4,
  _xlpm.Knewscale, Constantes!$B$5,
  _xlpm.ptstables, INDEX(K:K, _xlfn.SEQUENCE(COUNTA($C$2:$C301), 1, 3, 4)),
  _xlpm.nbparties, COUNTA(_xlfn._xlws.FILTER(_xlpm.ptstables, _xlpm.ptstables &lt;&gt; "")),
  _xlpm.coef, _xlpm.K + _xlpm.Knewgain / (_xlpm.Knewscale + _xlpm.nbparties),
  IF(K299="",
    "",
    _xlpm.coef * (K299-K300))
)</f>
        <v/>
      </c>
      <c r="L301" t="str" cm="1">
        <f t="array" ref="L301">_xlfn.LET(
  _xlpm.K, Constantes!$B$3,
  _xlpm.Knewgain, Constantes!$B$4,
  _xlpm.Knewscale, Constantes!$B$5,
  _xlpm.ptstables, INDEX(L:L, _xlfn.SEQUENCE(COUNTA($C$2:$C301), 1, 3, 4)),
  _xlpm.nbparties, COUNTA(_xlfn._xlws.FILTER(_xlpm.ptstables, _xlpm.ptstables &lt;&gt; "")),
  _xlpm.coef, _xlpm.K + _xlpm.Knewgain / (_xlpm.Knewscale + _xlpm.nbparties),
  IF(L299="",
    "",
    _xlpm.coef * (L299-L300))
)</f>
        <v/>
      </c>
      <c r="M301" t="str" cm="1">
        <f t="array" ref="M301">_xlfn.LET(
  _xlpm.K, Constantes!$B$3,
  _xlpm.Knewgain, Constantes!$B$4,
  _xlpm.Knewscale, Constantes!$B$5,
  _xlpm.ptstables, INDEX(M:M, _xlfn.SEQUENCE(COUNTA($C$2:$C301), 1, 3, 4)),
  _xlpm.nbparties, COUNTA(_xlfn._xlws.FILTER(_xlpm.ptstables, _xlpm.ptstables &lt;&gt; "")),
  _xlpm.coef, _xlpm.K + _xlpm.Knewgain / (_xlpm.Knewscale + _xlpm.nbparties),
  IF(M299="",
    "",
    _xlpm.coef * (M299-M300))
)</f>
        <v/>
      </c>
      <c r="N301" t="str" cm="1">
        <f t="array" ref="N301">_xlfn.LET(
  _xlpm.K, Constantes!$B$3,
  _xlpm.Knewgain, Constantes!$B$4,
  _xlpm.Knewscale, Constantes!$B$5,
  _xlpm.ptstables, INDEX(N:N, _xlfn.SEQUENCE(COUNTA($C$2:$C301), 1, 3, 4)),
  _xlpm.nbparties, COUNTA(_xlfn._xlws.FILTER(_xlpm.ptstables, _xlpm.ptstables &lt;&gt; "")),
  _xlpm.coef, _xlpm.K + _xlpm.Knewgain / (_xlpm.Knewscale + _xlpm.nbparties),
  IF(N299="",
    "",
    _xlpm.coef * (N299-N300))
)</f>
        <v/>
      </c>
      <c r="O301" t="str" cm="1">
        <f t="array" ref="O301">_xlfn.LET(
  _xlpm.K, Constantes!$B$3,
  _xlpm.Knewgain, Constantes!$B$4,
  _xlpm.Knewscale, Constantes!$B$5,
  _xlpm.ptstables, INDEX(O:O, _xlfn.SEQUENCE(COUNTA($C$2:$C301), 1, 3, 4)),
  _xlpm.nbparties, COUNTA(_xlfn._xlws.FILTER(_xlpm.ptstables, _xlpm.ptstables &lt;&gt; "")),
  _xlpm.coef, _xlpm.K + _xlpm.Knewgain / (_xlpm.Knewscale + _xlpm.nbparties),
  IF(O299="",
    "",
    _xlpm.coef * (O299-O300))
)</f>
        <v/>
      </c>
      <c r="P301" t="str" cm="1">
        <f t="array" ref="P301">_xlfn.LET(
  _xlpm.K, Constantes!$B$3,
  _xlpm.Knewgain, Constantes!$B$4,
  _xlpm.Knewscale, Constantes!$B$5,
  _xlpm.ptstables, INDEX(P:P, _xlfn.SEQUENCE(COUNTA($C$2:$C301), 1, 3, 4)),
  _xlpm.nbparties, COUNTA(_xlfn._xlws.FILTER(_xlpm.ptstables, _xlpm.ptstables &lt;&gt; "")),
  _xlpm.coef, _xlpm.K + _xlpm.Knewgain / (_xlpm.Knewscale + _xlpm.nbparties),
  IF(P299="",
    "",
    _xlpm.coef * (P299-P300))
)</f>
        <v/>
      </c>
      <c r="Q301" t="str" cm="1">
        <f t="array" ref="Q301">_xlfn.LET(
  _xlpm.K, Constantes!$B$3,
  _xlpm.Knewgain, Constantes!$B$4,
  _xlpm.Knewscale, Constantes!$B$5,
  _xlpm.ptstables, INDEX(Q:Q, _xlfn.SEQUENCE(COUNTA($C$2:$C301), 1, 3, 4)),
  _xlpm.nbparties, COUNTA(_xlfn._xlws.FILTER(_xlpm.ptstables, _xlpm.ptstables &lt;&gt; "")),
  _xlpm.coef, _xlpm.K + _xlpm.Knewgain / (_xlpm.Knewscale + _xlpm.nbparties),
  IF(Q299="",
    "",
    _xlpm.coef * (Q299-Q300))
)</f>
        <v/>
      </c>
      <c r="R301" cm="1">
        <f t="array" ref="R301">_xlfn.LET(
  _xlpm.K, Constantes!$B$3,
  _xlpm.Knewgain, Constantes!$B$4,
  _xlpm.Knewscale, Constantes!$B$5,
  _xlpm.ptstables, INDEX(R:R, _xlfn.SEQUENCE(COUNTA($C$2:$C301), 1, 3, 4)),
  _xlpm.nbparties, COUNTA(_xlfn._xlws.FILTER(_xlpm.ptstables, _xlpm.ptstables &lt;&gt; "")),
  _xlpm.coef, _xlpm.K + _xlpm.Knewgain / (_xlpm.Knewscale + _xlpm.nbparties),
  IF(R299="",
    "",
    _xlpm.coef * (R299-R300))
)</f>
        <v>-19.446780883208508</v>
      </c>
      <c r="S301" t="str" cm="1">
        <f t="array" ref="S301">_xlfn.LET(
  _xlpm.K, Constantes!$B$3,
  _xlpm.Knewgain, Constantes!$B$4,
  _xlpm.Knewscale, Constantes!$B$5,
  _xlpm.ptstables, INDEX(S:S, _xlfn.SEQUENCE(COUNTA($C$2:$C301), 1, 3, 4)),
  _xlpm.nbparties, COUNTA(_xlfn._xlws.FILTER(_xlpm.ptstables, _xlpm.ptstables &lt;&gt; "")),
  _xlpm.coef, _xlpm.K + _xlpm.Knewgain / (_xlpm.Knewscale + _xlpm.nbparties),
  IF(S299="",
    "",
    _xlpm.coef * (S299-S300))
)</f>
        <v/>
      </c>
      <c r="T301" t="str" cm="1">
        <f t="array" ref="T301">_xlfn.LET(
  _xlpm.K, Constantes!$B$3,
  _xlpm.Knewgain, Constantes!$B$4,
  _xlpm.Knewscale, Constantes!$B$5,
  _xlpm.ptstables, INDEX(T:T, _xlfn.SEQUENCE(COUNTA($C$2:$C301), 1, 3, 4)),
  _xlpm.nbparties, COUNTA(_xlfn._xlws.FILTER(_xlpm.ptstables, _xlpm.ptstables &lt;&gt; "")),
  _xlpm.coef, _xlpm.K + _xlpm.Knewgain / (_xlpm.Knewscale + _xlpm.nbparties),
  IF(T299="",
    "",
    _xlpm.coef * (T299-T300))
)</f>
        <v/>
      </c>
      <c r="U301" t="str" cm="1">
        <f t="array" ref="U301">_xlfn.LET(
  _xlpm.K, Constantes!$B$3,
  _xlpm.Knewgain, Constantes!$B$4,
  _xlpm.Knewscale, Constantes!$B$5,
  _xlpm.ptstables, INDEX(U:U, _xlfn.SEQUENCE(COUNTA($C$2:$C301), 1, 3, 4)),
  _xlpm.nbparties, COUNTA(_xlfn._xlws.FILTER(_xlpm.ptstables, _xlpm.ptstables &lt;&gt; "")),
  _xlpm.coef, _xlpm.K + _xlpm.Knewgain / (_xlpm.Knewscale + _xlpm.nbparties),
  IF(U299="",
    "",
    _xlpm.coef * (U299-U300))
)</f>
        <v/>
      </c>
      <c r="V301" t="str" cm="1">
        <f t="array" ref="V301">_xlfn.LET(
  _xlpm.K, Constantes!$B$3,
  _xlpm.Knewgain, Constantes!$B$4,
  _xlpm.Knewscale, Constantes!$B$5,
  _xlpm.ptstables, INDEX(V:V, _xlfn.SEQUENCE(COUNTA($C$2:$C301), 1, 3, 4)),
  _xlpm.nbparties, COUNTA(_xlfn._xlws.FILTER(_xlpm.ptstables, _xlpm.ptstables &lt;&gt; "")),
  _xlpm.coef, _xlpm.K + _xlpm.Knewgain / (_xlpm.Knewscale + _xlpm.nbparties),
  IF(V299="",
    "",
    _xlpm.coef * (V299-V300))
)</f>
        <v/>
      </c>
      <c r="W301" t="str" cm="1">
        <f t="array" ref="W301">_xlfn.LET(
  _xlpm.K, Constantes!$B$3,
  _xlpm.Knewgain, Constantes!$B$4,
  _xlpm.Knewscale, Constantes!$B$5,
  _xlpm.ptstables, INDEX(W:W, _xlfn.SEQUENCE(COUNTA($C$2:$C301), 1, 3, 4)),
  _xlpm.nbparties, COUNTA(_xlfn._xlws.FILTER(_xlpm.ptstables, _xlpm.ptstables &lt;&gt; "")),
  _xlpm.coef, _xlpm.K + _xlpm.Knewgain / (_xlpm.Knewscale + _xlpm.nbparties),
  IF(W299="",
    "",
    _xlpm.coef * (W299-W300))
)</f>
        <v/>
      </c>
      <c r="X301" t="str" cm="1">
        <f t="array" ref="X301">_xlfn.LET(
  _xlpm.K, Constantes!$B$3,
  _xlpm.Knewgain, Constantes!$B$4,
  _xlpm.Knewscale, Constantes!$B$5,
  _xlpm.ptstables, INDEX(X:X, _xlfn.SEQUENCE(COUNTA($C$2:$C301), 1, 3, 4)),
  _xlpm.nbparties, COUNTA(_xlfn._xlws.FILTER(_xlpm.ptstables, _xlpm.ptstables &lt;&gt; "")),
  _xlpm.coef, _xlpm.K + _xlpm.Knewgain / (_xlpm.Knewscale + _xlpm.nbparties),
  IF(X299="",
    "",
    _xlpm.coef * (X299-X300))
)</f>
        <v/>
      </c>
      <c r="Y301" t="str" cm="1">
        <f t="array" ref="Y301">_xlfn.LET(
  _xlpm.K, Constantes!$B$3,
  _xlpm.Knewgain, Constantes!$B$4,
  _xlpm.Knewscale, Constantes!$B$5,
  _xlpm.ptstables, INDEX(Y:Y, _xlfn.SEQUENCE(COUNTA($C$2:$C301), 1, 3, 4)),
  _xlpm.nbparties, COUNTA(_xlfn._xlws.FILTER(_xlpm.ptstables, _xlpm.ptstables &lt;&gt; "")),
  _xlpm.coef, _xlpm.K + _xlpm.Knewgain / (_xlpm.Knewscale + _xlpm.nbparties),
  IF(Y299="",
    "",
    _xlpm.coef * (Y299-Y300))
)</f>
        <v/>
      </c>
      <c r="Z301" cm="1">
        <f t="array" ref="Z301">_xlfn.LET(
  _xlpm.K, Constantes!$B$3,
  _xlpm.Knewgain, Constantes!$B$4,
  _xlpm.Knewscale, Constantes!$B$5,
  _xlpm.ptstables, INDEX(Z:Z, _xlfn.SEQUENCE(COUNTA($C$2:$C301), 1, 3, 4)),
  _xlpm.nbparties, COUNTA(_xlfn._xlws.FILTER(_xlpm.ptstables, _xlpm.ptstables &lt;&gt; "")),
  _xlpm.coef, _xlpm.K + _xlpm.Knewgain / (_xlpm.Knewscale + _xlpm.nbparties),
  IF(Z299="",
    "",
    _xlpm.coef * (Z299-Z300))
)</f>
        <v>23.865174319395848</v>
      </c>
      <c r="AA301" cm="1">
        <f t="array" ref="AA301">_xlfn.LET(
  _xlpm.K, Constantes!$B$3,
  _xlpm.Knewgain, Constantes!$B$4,
  _xlpm.Knewscale, Constantes!$B$5,
  _xlpm.ptstables, INDEX(AA:AA, _xlfn.SEQUENCE(COUNTA($C$2:$C301), 1, 3, 4)),
  _xlpm.nbparties, COUNTA(_xlfn._xlws.FILTER(_xlpm.ptstables, _xlpm.ptstables &lt;&gt; "")),
  _xlpm.coef, _xlpm.K + _xlpm.Knewgain / (_xlpm.Knewscale + _xlpm.nbparties),
  IF(AA299="",
    "",
    _xlpm.coef * (AA299-AA300))
)</f>
        <v>46.990850502073883</v>
      </c>
      <c r="AB301" t="str" cm="1">
        <f t="array" ref="AB301">_xlfn.LET(
  _xlpm.K, Constantes!$B$3,
  _xlpm.Knewgain, Constantes!$B$4,
  _xlpm.Knewscale, Constantes!$B$5,
  _xlpm.ptstables, INDEX(AB:AB, _xlfn.SEQUENCE(COUNTA($C$2:$C301), 1, 3, 4)),
  _xlpm.nbparties, COUNTA(_xlfn._xlws.FILTER(_xlpm.ptstables, _xlpm.ptstables &lt;&gt; "")),
  _xlpm.coef, _xlpm.K + _xlpm.Knewgain / (_xlpm.Knewscale + _xlpm.nbparties),
  IF(AB299="",
    "",
    _xlpm.coef * (AB299-AB300))
)</f>
        <v/>
      </c>
      <c r="AC301" t="str" cm="1">
        <f t="array" ref="AC301">_xlfn.LET(
  _xlpm.K, Constantes!$B$3,
  _xlpm.Knewgain, Constantes!$B$4,
  _xlpm.Knewscale, Constantes!$B$5,
  _xlpm.ptstables, INDEX(AC:AC, _xlfn.SEQUENCE(COUNTA($C$2:$C301), 1, 3, 4)),
  _xlpm.nbparties, COUNTA(_xlfn._xlws.FILTER(_xlpm.ptstables, _xlpm.ptstables &lt;&gt; "")),
  _xlpm.coef, _xlpm.K + _xlpm.Knewgain / (_xlpm.Knewscale + _xlpm.nbparties),
  IF(AC299="",
    "",
    _xlpm.coef * (AC299-AC300))
)</f>
        <v/>
      </c>
      <c r="AD301" t="str" cm="1">
        <f t="array" ref="AD301">_xlfn.LET(
  _xlpm.K, Constantes!$B$3,
  _xlpm.Knewgain, Constantes!$B$4,
  _xlpm.Knewscale, Constantes!$B$5,
  _xlpm.ptstables, INDEX(AD:AD, _xlfn.SEQUENCE(COUNTA($C$2:$C301), 1, 3, 4)),
  _xlpm.nbparties, COUNTA(_xlfn._xlws.FILTER(_xlpm.ptstables, _xlpm.ptstables &lt;&gt; "")),
  _xlpm.coef, _xlpm.K + _xlpm.Knewgain / (_xlpm.Knewscale + _xlpm.nbparties),
  IF(AD299="",
    "",
    _xlpm.coef * (AD299-AD300))
)</f>
        <v/>
      </c>
      <c r="AE301" t="str" cm="1">
        <f t="array" ref="AE301">_xlfn.LET(
  _xlpm.K, Constantes!$B$3,
  _xlpm.Knewgain, Constantes!$B$4,
  _xlpm.Knewscale, Constantes!$B$5,
  _xlpm.ptstables, INDEX(AE:AE, _xlfn.SEQUENCE(COUNTA($C$2:$C301), 1, 3, 4)),
  _xlpm.nbparties, COUNTA(_xlfn._xlws.FILTER(_xlpm.ptstables, _xlpm.ptstables &lt;&gt; "")),
  _xlpm.coef, _xlpm.K + _xlpm.Knewgain / (_xlpm.Knewscale + _xlpm.nbparties),
  IF(AE299="",
    "",
    _xlpm.coef * (AE299-AE300))
)</f>
        <v/>
      </c>
      <c r="AF301" t="str" cm="1">
        <f t="array" ref="AF301">_xlfn.LET(
  _xlpm.K, Constantes!$B$3,
  _xlpm.Knewgain, Constantes!$B$4,
  _xlpm.Knewscale, Constantes!$B$5,
  _xlpm.ptstables, INDEX(AF:AF, _xlfn.SEQUENCE(COUNTA($C$2:$C301), 1, 3, 4)),
  _xlpm.nbparties, COUNTA(_xlfn._xlws.FILTER(_xlpm.ptstables, _xlpm.ptstables &lt;&gt; "")),
  _xlpm.coef, _xlpm.K + _xlpm.Knewgain / (_xlpm.Knewscale + _xlpm.nbparties),
  IF(AF299="",
    "",
    _xlpm.coef * (AF299-AF300))
)</f>
        <v/>
      </c>
      <c r="AG301" t="str" cm="1">
        <f t="array" ref="AG301">_xlfn.LET(
  _xlpm.K, Constantes!$B$3,
  _xlpm.Knewgain, Constantes!$B$4,
  _xlpm.Knewscale, Constantes!$B$5,
  _xlpm.ptstables, INDEX(AG:AG, _xlfn.SEQUENCE(COUNTA($C$2:$C301), 1, 3, 4)),
  _xlpm.nbparties, COUNTA(_xlfn._xlws.FILTER(_xlpm.ptstables, _xlpm.ptstables &lt;&gt; "")),
  _xlpm.coef, _xlpm.K + _xlpm.Knewgain / (_xlpm.Knewscale + _xlpm.nbparties),
  IF(AG299="",
    "",
    _xlpm.coef * (AG299-AG300))
)</f>
        <v/>
      </c>
      <c r="AH301" t="str" cm="1">
        <f t="array" ref="AH301">_xlfn.LET(
  _xlpm.K, Constantes!$B$3,
  _xlpm.Knewgain, Constantes!$B$4,
  _xlpm.Knewscale, Constantes!$B$5,
  _xlpm.ptstables, INDEX(AH:AH, _xlfn.SEQUENCE(COUNTA($C$2:$C301), 1, 3, 4)),
  _xlpm.nbparties, COUNTA(_xlfn._xlws.FILTER(_xlpm.ptstables, _xlpm.ptstables &lt;&gt; "")),
  _xlpm.coef, _xlpm.K + _xlpm.Knewgain / (_xlpm.Knewscale + _xlpm.nbparties),
  IF(AH299="",
    "",
    _xlpm.coef * (AH299-AH300))
)</f>
        <v/>
      </c>
      <c r="AI301" t="str" cm="1">
        <f t="array" ref="AI301">_xlfn.LET(
  _xlpm.K, Constantes!$B$3,
  _xlpm.Knewgain, Constantes!$B$4,
  _xlpm.Knewscale, Constantes!$B$5,
  _xlpm.ptstables, INDEX(AI:AI, _xlfn.SEQUENCE(COUNTA($C$2:$C301), 1, 3, 4)),
  _xlpm.nbparties, COUNTA(_xlfn._xlws.FILTER(_xlpm.ptstables, _xlpm.ptstables &lt;&gt; "")),
  _xlpm.coef, _xlpm.K + _xlpm.Knewgain / (_xlpm.Knewscale + _xlpm.nbparties),
  IF(AI299="",
    "",
    _xlpm.coef * (AI299-AI300))
)</f>
        <v/>
      </c>
      <c r="AJ301" t="str" cm="1">
        <f t="array" ref="AJ301">_xlfn.LET(
  _xlpm.K, Constantes!$B$3,
  _xlpm.Knewgain, Constantes!$B$4,
  _xlpm.Knewscale, Constantes!$B$5,
  _xlpm.ptstables, INDEX(AJ:AJ, _xlfn.SEQUENCE(COUNTA($C$2:$C301), 1, 3, 4)),
  _xlpm.nbparties, COUNTA(_xlfn._xlws.FILTER(_xlpm.ptstables, _xlpm.ptstables &lt;&gt; "")),
  _xlpm.coef, _xlpm.K + _xlpm.Knewgain / (_xlpm.Knewscale + _xlpm.nbparties),
  IF(AJ299="",
    "",
    _xlpm.coef * (AJ299-AJ300))
)</f>
        <v/>
      </c>
      <c r="AK301" t="str" cm="1">
        <f t="array" ref="AK301">_xlfn.LET(
  _xlpm.K, Constantes!$B$3,
  _xlpm.Knewgain, Constantes!$B$4,
  _xlpm.Knewscale, Constantes!$B$5,
  _xlpm.ptstables, INDEX(AK:AK, _xlfn.SEQUENCE(COUNTA($C$2:$C301), 1, 3, 4)),
  _xlpm.nbparties, COUNTA(_xlfn._xlws.FILTER(_xlpm.ptstables, _xlpm.ptstables &lt;&gt; "")),
  _xlpm.coef, _xlpm.K + _xlpm.Knewgain / (_xlpm.Knewscale + _xlpm.nbparties),
  IF(AK299="",
    "",
    _xlpm.coef * (AK299-AK300))
)</f>
        <v/>
      </c>
      <c r="AL301" t="str" cm="1">
        <f t="array" ref="AL301">_xlfn.LET(
  _xlpm.K, Constantes!$B$3,
  _xlpm.Knewgain, Constantes!$B$4,
  _xlpm.Knewscale, Constantes!$B$5,
  _xlpm.ptstables, INDEX(AL:AL, _xlfn.SEQUENCE(COUNTA($C$2:$C301), 1, 3, 4)),
  _xlpm.nbparties, COUNTA(_xlfn._xlws.FILTER(_xlpm.ptstables, _xlpm.ptstables &lt;&gt; "")),
  _xlpm.coef, _xlpm.K + _xlpm.Knewgain / (_xlpm.Knewscale + _xlpm.nbparties),
  IF(AL299="",
    "",
    _xlpm.coef * (AL299-AL300))
)</f>
        <v/>
      </c>
      <c r="AM301" t="str" cm="1">
        <f t="array" ref="AM301">_xlfn.LET(
  _xlpm.K, Constantes!$B$3,
  _xlpm.Knewgain, Constantes!$B$4,
  _xlpm.Knewscale, Constantes!$B$5,
  _xlpm.ptstables, INDEX(AM:AM, _xlfn.SEQUENCE(COUNTA($C$2:$C301), 1, 3, 4)),
  _xlpm.nbparties, COUNTA(_xlfn._xlws.FILTER(_xlpm.ptstables, _xlpm.ptstables &lt;&gt; "")),
  _xlpm.coef, _xlpm.K + _xlpm.Knewgain / (_xlpm.Knewscale + _xlpm.nbparties),
  IF(AM299="",
    "",
    _xlpm.coef * (AM299-AM300))
)</f>
        <v/>
      </c>
    </row>
    <row r="302" spans="1:39" x14ac:dyDescent="0.25">
      <c r="A302" t="s">
        <v>14</v>
      </c>
      <c r="B302" t="str" cm="1">
        <f t="array" ref="B30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77</v>
      </c>
      <c r="C302" s="2" cm="1">
        <f t="array" ref="C302">IF(B302="","",
  INDEX(Donnees!F:F, MATCH(B302, Donnees!F:F, 0)+1))</f>
        <v>45948.594872685186</v>
      </c>
      <c r="D302">
        <f t="shared" ref="D302:AM302" si="83">D298+IF(D301="",0,D301)</f>
        <v>996.77629440361773</v>
      </c>
      <c r="E302">
        <f t="shared" si="83"/>
        <v>1079.9237811780756</v>
      </c>
      <c r="F302">
        <f t="shared" si="83"/>
        <v>872.24944098785784</v>
      </c>
      <c r="G302">
        <f t="shared" si="83"/>
        <v>1118.8779378975084</v>
      </c>
      <c r="H302">
        <f t="shared" si="83"/>
        <v>1139.7553269432372</v>
      </c>
      <c r="I302">
        <f t="shared" si="83"/>
        <v>921.73391621154246</v>
      </c>
      <c r="J302">
        <f t="shared" si="83"/>
        <v>1010.9125108504293</v>
      </c>
      <c r="K302">
        <f t="shared" si="83"/>
        <v>993.90254614824482</v>
      </c>
      <c r="L302">
        <f t="shared" si="83"/>
        <v>766.95119884458973</v>
      </c>
      <c r="M302">
        <f t="shared" si="83"/>
        <v>913.41986361738122</v>
      </c>
      <c r="N302">
        <f t="shared" si="83"/>
        <v>893.28591153844093</v>
      </c>
      <c r="O302">
        <f t="shared" si="83"/>
        <v>998.21178722110983</v>
      </c>
      <c r="P302">
        <f t="shared" si="83"/>
        <v>1044.694691960626</v>
      </c>
      <c r="Q302">
        <f t="shared" si="83"/>
        <v>1050.1062561870472</v>
      </c>
      <c r="R302">
        <f t="shared" si="83"/>
        <v>1061.418521473061</v>
      </c>
      <c r="S302">
        <f t="shared" si="83"/>
        <v>950.00980009229818</v>
      </c>
      <c r="T302">
        <f t="shared" si="83"/>
        <v>1153.43058185823</v>
      </c>
      <c r="U302">
        <f t="shared" si="83"/>
        <v>1185.0959893708045</v>
      </c>
      <c r="V302">
        <f t="shared" si="83"/>
        <v>951.23563726152827</v>
      </c>
      <c r="W302">
        <f t="shared" si="83"/>
        <v>936.79085942937002</v>
      </c>
      <c r="X302">
        <f t="shared" si="83"/>
        <v>828.97598039785271</v>
      </c>
      <c r="Y302">
        <f t="shared" si="83"/>
        <v>903.14348714035714</v>
      </c>
      <c r="Z302">
        <f t="shared" si="83"/>
        <v>1014.9842157161213</v>
      </c>
      <c r="AA302">
        <f t="shared" si="83"/>
        <v>1013.2336433989657</v>
      </c>
      <c r="AB302">
        <f t="shared" si="83"/>
        <v>988.35669729544747</v>
      </c>
      <c r="AC302">
        <f t="shared" si="83"/>
        <v>1061.6930275647865</v>
      </c>
      <c r="AD302">
        <f t="shared" si="83"/>
        <v>1100.7833811935423</v>
      </c>
      <c r="AE302">
        <f t="shared" si="83"/>
        <v>963.23981965000235</v>
      </c>
      <c r="AF302">
        <f t="shared" si="83"/>
        <v>1094.8196847516158</v>
      </c>
      <c r="AG302">
        <f t="shared" si="83"/>
        <v>958.23078604304851</v>
      </c>
      <c r="AH302">
        <f t="shared" si="83"/>
        <v>920.4412636682855</v>
      </c>
      <c r="AI302">
        <f t="shared" si="83"/>
        <v>885.10468670997182</v>
      </c>
      <c r="AJ302">
        <f t="shared" si="83"/>
        <v>906.86354201913434</v>
      </c>
      <c r="AK302">
        <f t="shared" si="83"/>
        <v>1074.0069367206956</v>
      </c>
      <c r="AL302">
        <f t="shared" si="83"/>
        <v>1025.7817971572972</v>
      </c>
      <c r="AM302">
        <f t="shared" si="83"/>
        <v>1000</v>
      </c>
    </row>
    <row r="303" spans="1:39" x14ac:dyDescent="0.25">
      <c r="A303" t="s">
        <v>21</v>
      </c>
      <c r="D303" t="str" cm="1">
        <f t="array" ref="D303">IFERROR(
  _xlfn.LET(
    _xlpm.ligpartie, MATCH($B302, Donnees!$F:$F, 0),
    _xlpm.joueurs, INDEX(Donnees!$A:$Z, _xlpm.ligpartie+1, _xlfn.SEQUENCE(1, 4, 2)),
    INDEX(
      Donnees!$A:$Z,
      _xlpm.ligpartie + 3,
      MATCH(D$1, _xlpm.joueurs, 0) + 1
    )
  ), ""
)</f>
        <v/>
      </c>
      <c r="E303" cm="1">
        <f t="array" ref="E303">IFERROR(
  _xlfn.LET(
    _xlpm.ligpartie, MATCH($B302, Donnees!$F:$F, 0),
    _xlpm.joueurs, INDEX(Donnees!$A:$Z, _xlpm.ligpartie+1, _xlfn.SEQUENCE(1, 4, 2)),
    INDEX(
      Donnees!$A:$Z,
      _xlpm.ligpartie + 3,
      MATCH(E$1, _xlpm.joueurs, 0) + 1
    )
  ), ""
)</f>
        <v>3</v>
      </c>
      <c r="F303" t="str" cm="1">
        <f t="array" ref="F303">IFERROR(
  _xlfn.LET(
    _xlpm.ligpartie, MATCH($B302, Donnees!$F:$F, 0),
    _xlpm.joueurs, INDEX(Donnees!$A:$Z, _xlpm.ligpartie+1, _xlfn.SEQUENCE(1, 4, 2)),
    INDEX(
      Donnees!$A:$Z,
      _xlpm.ligpartie + 3,
      MATCH(F$1, _xlpm.joueurs, 0) + 1
    )
  ), ""
)</f>
        <v/>
      </c>
      <c r="G303" t="str" cm="1">
        <f t="array" ref="G303">IFERROR(
  _xlfn.LET(
    _xlpm.ligpartie, MATCH($B302, Donnees!$F:$F, 0),
    _xlpm.joueurs, INDEX(Donnees!$A:$Z, _xlpm.ligpartie+1, _xlfn.SEQUENCE(1, 4, 2)),
    INDEX(
      Donnees!$A:$Z,
      _xlpm.ligpartie + 3,
      MATCH(G$1, _xlpm.joueurs, 0) + 1
    )
  ), ""
)</f>
        <v/>
      </c>
      <c r="H303" t="str" cm="1">
        <f t="array" ref="H303">IFERROR(
  _xlfn.LET(
    _xlpm.ligpartie, MATCH($B302, Donnees!$F:$F, 0),
    _xlpm.joueurs, INDEX(Donnees!$A:$Z, _xlpm.ligpartie+1, _xlfn.SEQUENCE(1, 4, 2)),
    INDEX(
      Donnees!$A:$Z,
      _xlpm.ligpartie + 3,
      MATCH(H$1, _xlpm.joueurs, 0) + 1
    )
  ), ""
)</f>
        <v/>
      </c>
      <c r="I303" t="str" cm="1">
        <f t="array" ref="I303">IFERROR(
  _xlfn.LET(
    _xlpm.ligpartie, MATCH($B302, Donnees!$F:$F, 0),
    _xlpm.joueurs, INDEX(Donnees!$A:$Z, _xlpm.ligpartie+1, _xlfn.SEQUENCE(1, 4, 2)),
    INDEX(
      Donnees!$A:$Z,
      _xlpm.ligpartie + 3,
      MATCH(I$1, _xlpm.joueurs, 0) + 1
    )
  ), ""
)</f>
        <v/>
      </c>
      <c r="J303" t="str" cm="1">
        <f t="array" ref="J303">IFERROR(
  _xlfn.LET(
    _xlpm.ligpartie, MATCH($B302, Donnees!$F:$F, 0),
    _xlpm.joueurs, INDEX(Donnees!$A:$Z, _xlpm.ligpartie+1, _xlfn.SEQUENCE(1, 4, 2)),
    INDEX(
      Donnees!$A:$Z,
      _xlpm.ligpartie + 3,
      MATCH(J$1, _xlpm.joueurs, 0) + 1
    )
  ), ""
)</f>
        <v/>
      </c>
      <c r="K303" t="str" cm="1">
        <f t="array" ref="K303">IFERROR(
  _xlfn.LET(
    _xlpm.ligpartie, MATCH($B302, Donnees!$F:$F, 0),
    _xlpm.joueurs, INDEX(Donnees!$A:$Z, _xlpm.ligpartie+1, _xlfn.SEQUENCE(1, 4, 2)),
    INDEX(
      Donnees!$A:$Z,
      _xlpm.ligpartie + 3,
      MATCH(K$1, _xlpm.joueurs, 0) + 1
    )
  ), ""
)</f>
        <v/>
      </c>
      <c r="L303" cm="1">
        <f t="array" ref="L303">IFERROR(
  _xlfn.LET(
    _xlpm.ligpartie, MATCH($B302, Donnees!$F:$F, 0),
    _xlpm.joueurs, INDEX(Donnees!$A:$Z, _xlpm.ligpartie+1, _xlfn.SEQUENCE(1, 4, 2)),
    INDEX(
      Donnees!$A:$Z,
      _xlpm.ligpartie + 3,
      MATCH(L$1, _xlpm.joueurs, 0) + 1
    )
  ), ""
)</f>
        <v>2</v>
      </c>
      <c r="M303" t="str" cm="1">
        <f t="array" ref="M303">IFERROR(
  _xlfn.LET(
    _xlpm.ligpartie, MATCH($B302, Donnees!$F:$F, 0),
    _xlpm.joueurs, INDEX(Donnees!$A:$Z, _xlpm.ligpartie+1, _xlfn.SEQUENCE(1, 4, 2)),
    INDEX(
      Donnees!$A:$Z,
      _xlpm.ligpartie + 3,
      MATCH(M$1, _xlpm.joueurs, 0) + 1
    )
  ), ""
)</f>
        <v/>
      </c>
      <c r="N303" cm="1">
        <f t="array" ref="N303">IFERROR(
  _xlfn.LET(
    _xlpm.ligpartie, MATCH($B302, Donnees!$F:$F, 0),
    _xlpm.joueurs, INDEX(Donnees!$A:$Z, _xlpm.ligpartie+1, _xlfn.SEQUENCE(1, 4, 2)),
    INDEX(
      Donnees!$A:$Z,
      _xlpm.ligpartie + 3,
      MATCH(N$1, _xlpm.joueurs, 0) + 1
    )
  ), ""
)</f>
        <v>1</v>
      </c>
      <c r="O303" t="str" cm="1">
        <f t="array" ref="O303">IFERROR(
  _xlfn.LET(
    _xlpm.ligpartie, MATCH($B302, Donnees!$F:$F, 0),
    _xlpm.joueurs, INDEX(Donnees!$A:$Z, _xlpm.ligpartie+1, _xlfn.SEQUENCE(1, 4, 2)),
    INDEX(
      Donnees!$A:$Z,
      _xlpm.ligpartie + 3,
      MATCH(O$1, _xlpm.joueurs, 0) + 1
    )
  ), ""
)</f>
        <v/>
      </c>
      <c r="P303" t="str" cm="1">
        <f t="array" ref="P303">IFERROR(
  _xlfn.LET(
    _xlpm.ligpartie, MATCH($B302, Donnees!$F:$F, 0),
    _xlpm.joueurs, INDEX(Donnees!$A:$Z, _xlpm.ligpartie+1, _xlfn.SEQUENCE(1, 4, 2)),
    INDEX(
      Donnees!$A:$Z,
      _xlpm.ligpartie + 3,
      MATCH(P$1, _xlpm.joueurs, 0) + 1
    )
  ), ""
)</f>
        <v/>
      </c>
      <c r="Q303" t="str" cm="1">
        <f t="array" ref="Q303">IFERROR(
  _xlfn.LET(
    _xlpm.ligpartie, MATCH($B302, Donnees!$F:$F, 0),
    _xlpm.joueurs, INDEX(Donnees!$A:$Z, _xlpm.ligpartie+1, _xlfn.SEQUENCE(1, 4, 2)),
    INDEX(
      Donnees!$A:$Z,
      _xlpm.ligpartie + 3,
      MATCH(Q$1, _xlpm.joueurs, 0) + 1
    )
  ), ""
)</f>
        <v/>
      </c>
      <c r="R303" t="str" cm="1">
        <f t="array" ref="R303">IFERROR(
  _xlfn.LET(
    _xlpm.ligpartie, MATCH($B302, Donnees!$F:$F, 0),
    _xlpm.joueurs, INDEX(Donnees!$A:$Z, _xlpm.ligpartie+1, _xlfn.SEQUENCE(1, 4, 2)),
    INDEX(
      Donnees!$A:$Z,
      _xlpm.ligpartie + 3,
      MATCH(R$1, _xlpm.joueurs, 0) + 1
    )
  ), ""
)</f>
        <v/>
      </c>
      <c r="S303" t="str" cm="1">
        <f t="array" ref="S303">IFERROR(
  _xlfn.LET(
    _xlpm.ligpartie, MATCH($B302, Donnees!$F:$F, 0),
    _xlpm.joueurs, INDEX(Donnees!$A:$Z, _xlpm.ligpartie+1, _xlfn.SEQUENCE(1, 4, 2)),
    INDEX(
      Donnees!$A:$Z,
      _xlpm.ligpartie + 3,
      MATCH(S$1, _xlpm.joueurs, 0) + 1
    )
  ), ""
)</f>
        <v/>
      </c>
      <c r="T303" t="str" cm="1">
        <f t="array" ref="T303">IFERROR(
  _xlfn.LET(
    _xlpm.ligpartie, MATCH($B302, Donnees!$F:$F, 0),
    _xlpm.joueurs, INDEX(Donnees!$A:$Z, _xlpm.ligpartie+1, _xlfn.SEQUENCE(1, 4, 2)),
    INDEX(
      Donnees!$A:$Z,
      _xlpm.ligpartie + 3,
      MATCH(T$1, _xlpm.joueurs, 0) + 1
    )
  ), ""
)</f>
        <v/>
      </c>
      <c r="U303" t="str" cm="1">
        <f t="array" ref="U303">IFERROR(
  _xlfn.LET(
    _xlpm.ligpartie, MATCH($B302, Donnees!$F:$F, 0),
    _xlpm.joueurs, INDEX(Donnees!$A:$Z, _xlpm.ligpartie+1, _xlfn.SEQUENCE(1, 4, 2)),
    INDEX(
      Donnees!$A:$Z,
      _xlpm.ligpartie + 3,
      MATCH(U$1, _xlpm.joueurs, 0) + 1
    )
  ), ""
)</f>
        <v/>
      </c>
      <c r="V303" t="str" cm="1">
        <f t="array" ref="V303">IFERROR(
  _xlfn.LET(
    _xlpm.ligpartie, MATCH($B302, Donnees!$F:$F, 0),
    _xlpm.joueurs, INDEX(Donnees!$A:$Z, _xlpm.ligpartie+1, _xlfn.SEQUENCE(1, 4, 2)),
    INDEX(
      Donnees!$A:$Z,
      _xlpm.ligpartie + 3,
      MATCH(V$1, _xlpm.joueurs, 0) + 1
    )
  ), ""
)</f>
        <v/>
      </c>
      <c r="W303" cm="1">
        <f t="array" ref="W303">IFERROR(
  _xlfn.LET(
    _xlpm.ligpartie, MATCH($B302, Donnees!$F:$F, 0),
    _xlpm.joueurs, INDEX(Donnees!$A:$Z, _xlpm.ligpartie+1, _xlfn.SEQUENCE(1, 4, 2)),
    INDEX(
      Donnees!$A:$Z,
      _xlpm.ligpartie + 3,
      MATCH(W$1, _xlpm.joueurs, 0) + 1
    )
  ), ""
)</f>
        <v>0</v>
      </c>
      <c r="X303" t="str" cm="1">
        <f t="array" ref="X303">IFERROR(
  _xlfn.LET(
    _xlpm.ligpartie, MATCH($B302, Donnees!$F:$F, 0),
    _xlpm.joueurs, INDEX(Donnees!$A:$Z, _xlpm.ligpartie+1, _xlfn.SEQUENCE(1, 4, 2)),
    INDEX(
      Donnees!$A:$Z,
      _xlpm.ligpartie + 3,
      MATCH(X$1, _xlpm.joueurs, 0) + 1
    )
  ), ""
)</f>
        <v/>
      </c>
      <c r="Y303" t="str" cm="1">
        <f t="array" ref="Y303">IFERROR(
  _xlfn.LET(
    _xlpm.ligpartie, MATCH($B302, Donnees!$F:$F, 0),
    _xlpm.joueurs, INDEX(Donnees!$A:$Z, _xlpm.ligpartie+1, _xlfn.SEQUENCE(1, 4, 2)),
    INDEX(
      Donnees!$A:$Z,
      _xlpm.ligpartie + 3,
      MATCH(Y$1, _xlpm.joueurs, 0) + 1
    )
  ), ""
)</f>
        <v/>
      </c>
      <c r="Z303" t="str" cm="1">
        <f t="array" ref="Z303">IFERROR(
  _xlfn.LET(
    _xlpm.ligpartie, MATCH($B302, Donnees!$F:$F, 0),
    _xlpm.joueurs, INDEX(Donnees!$A:$Z, _xlpm.ligpartie+1, _xlfn.SEQUENCE(1, 4, 2)),
    INDEX(
      Donnees!$A:$Z,
      _xlpm.ligpartie + 3,
      MATCH(Z$1, _xlpm.joueurs, 0) + 1
    )
  ), ""
)</f>
        <v/>
      </c>
      <c r="AA303" t="str" cm="1">
        <f t="array" ref="AA303">IFERROR(
  _xlfn.LET(
    _xlpm.ligpartie, MATCH($B302, Donnees!$F:$F, 0),
    _xlpm.joueurs, INDEX(Donnees!$A:$Z, _xlpm.ligpartie+1, _xlfn.SEQUENCE(1, 4, 2)),
    INDEX(
      Donnees!$A:$Z,
      _xlpm.ligpartie + 3,
      MATCH(AA$1, _xlpm.joueurs, 0) + 1
    )
  ), ""
)</f>
        <v/>
      </c>
      <c r="AB303" t="str" cm="1">
        <f t="array" ref="AB303">IFERROR(
  _xlfn.LET(
    _xlpm.ligpartie, MATCH($B302, Donnees!$F:$F, 0),
    _xlpm.joueurs, INDEX(Donnees!$A:$Z, _xlpm.ligpartie+1, _xlfn.SEQUENCE(1, 4, 2)),
    INDEX(
      Donnees!$A:$Z,
      _xlpm.ligpartie + 3,
      MATCH(AB$1, _xlpm.joueurs, 0) + 1
    )
  ), ""
)</f>
        <v/>
      </c>
      <c r="AC303" t="str" cm="1">
        <f t="array" ref="AC303">IFERROR(
  _xlfn.LET(
    _xlpm.ligpartie, MATCH($B302, Donnees!$F:$F, 0),
    _xlpm.joueurs, INDEX(Donnees!$A:$Z, _xlpm.ligpartie+1, _xlfn.SEQUENCE(1, 4, 2)),
    INDEX(
      Donnees!$A:$Z,
      _xlpm.ligpartie + 3,
      MATCH(AC$1, _xlpm.joueurs, 0) + 1
    )
  ), ""
)</f>
        <v/>
      </c>
      <c r="AD303" t="str" cm="1">
        <f t="array" ref="AD303">IFERROR(
  _xlfn.LET(
    _xlpm.ligpartie, MATCH($B302, Donnees!$F:$F, 0),
    _xlpm.joueurs, INDEX(Donnees!$A:$Z, _xlpm.ligpartie+1, _xlfn.SEQUENCE(1, 4, 2)),
    INDEX(
      Donnees!$A:$Z,
      _xlpm.ligpartie + 3,
      MATCH(AD$1, _xlpm.joueurs, 0) + 1
    )
  ), ""
)</f>
        <v/>
      </c>
      <c r="AE303" t="str" cm="1">
        <f t="array" ref="AE303">IFERROR(
  _xlfn.LET(
    _xlpm.ligpartie, MATCH($B302, Donnees!$F:$F, 0),
    _xlpm.joueurs, INDEX(Donnees!$A:$Z, _xlpm.ligpartie+1, _xlfn.SEQUENCE(1, 4, 2)),
    INDEX(
      Donnees!$A:$Z,
      _xlpm.ligpartie + 3,
      MATCH(AE$1, _xlpm.joueurs, 0) + 1
    )
  ), ""
)</f>
        <v/>
      </c>
      <c r="AF303" t="str" cm="1">
        <f t="array" ref="AF303">IFERROR(
  _xlfn.LET(
    _xlpm.ligpartie, MATCH($B302, Donnees!$F:$F, 0),
    _xlpm.joueurs, INDEX(Donnees!$A:$Z, _xlpm.ligpartie+1, _xlfn.SEQUENCE(1, 4, 2)),
    INDEX(
      Donnees!$A:$Z,
      _xlpm.ligpartie + 3,
      MATCH(AF$1, _xlpm.joueurs, 0) + 1
    )
  ), ""
)</f>
        <v/>
      </c>
      <c r="AG303" t="str" cm="1">
        <f t="array" ref="AG303">IFERROR(
  _xlfn.LET(
    _xlpm.ligpartie, MATCH($B302, Donnees!$F:$F, 0),
    _xlpm.joueurs, INDEX(Donnees!$A:$Z, _xlpm.ligpartie+1, _xlfn.SEQUENCE(1, 4, 2)),
    INDEX(
      Donnees!$A:$Z,
      _xlpm.ligpartie + 3,
      MATCH(AG$1, _xlpm.joueurs, 0) + 1
    )
  ), ""
)</f>
        <v/>
      </c>
      <c r="AH303" t="str" cm="1">
        <f t="array" ref="AH303">IFERROR(
  _xlfn.LET(
    _xlpm.ligpartie, MATCH($B302, Donnees!$F:$F, 0),
    _xlpm.joueurs, INDEX(Donnees!$A:$Z, _xlpm.ligpartie+1, _xlfn.SEQUENCE(1, 4, 2)),
    INDEX(
      Donnees!$A:$Z,
      _xlpm.ligpartie + 3,
      MATCH(AH$1, _xlpm.joueurs, 0) + 1
    )
  ), ""
)</f>
        <v/>
      </c>
      <c r="AI303" t="str" cm="1">
        <f t="array" ref="AI303">IFERROR(
  _xlfn.LET(
    _xlpm.ligpartie, MATCH($B302, Donnees!$F:$F, 0),
    _xlpm.joueurs, INDEX(Donnees!$A:$Z, _xlpm.ligpartie+1, _xlfn.SEQUENCE(1, 4, 2)),
    INDEX(
      Donnees!$A:$Z,
      _xlpm.ligpartie + 3,
      MATCH(AI$1, _xlpm.joueurs, 0) + 1
    )
  ), ""
)</f>
        <v/>
      </c>
      <c r="AJ303" t="str" cm="1">
        <f t="array" ref="AJ303">IFERROR(
  _xlfn.LET(
    _xlpm.ligpartie, MATCH($B302, Donnees!$F:$F, 0),
    _xlpm.joueurs, INDEX(Donnees!$A:$Z, _xlpm.ligpartie+1, _xlfn.SEQUENCE(1, 4, 2)),
    INDEX(
      Donnees!$A:$Z,
      _xlpm.ligpartie + 3,
      MATCH(AJ$1, _xlpm.joueurs, 0) + 1
    )
  ), ""
)</f>
        <v/>
      </c>
      <c r="AK303" t="str" cm="1">
        <f t="array" ref="AK303">IFERROR(
  _xlfn.LET(
    _xlpm.ligpartie, MATCH($B302, Donnees!$F:$F, 0),
    _xlpm.joueurs, INDEX(Donnees!$A:$Z, _xlpm.ligpartie+1, _xlfn.SEQUENCE(1, 4, 2)),
    INDEX(
      Donnees!$A:$Z,
      _xlpm.ligpartie + 3,
      MATCH(AK$1, _xlpm.joueurs, 0) + 1
    )
  ), ""
)</f>
        <v/>
      </c>
      <c r="AL303" t="str" cm="1">
        <f t="array" ref="AL303">IFERROR(
  _xlfn.LET(
    _xlpm.ligpartie, MATCH($B302, Donnees!$F:$F, 0),
    _xlpm.joueurs, INDEX(Donnees!$A:$Z, _xlpm.ligpartie+1, _xlfn.SEQUENCE(1, 4, 2)),
    INDEX(
      Donnees!$A:$Z,
      _xlpm.ligpartie + 3,
      MATCH(AL$1, _xlpm.joueurs, 0) + 1
    )
  ), ""
)</f>
        <v/>
      </c>
      <c r="AM303" t="str" cm="1">
        <f t="array" ref="AM303">IFERROR(
  _xlfn.LET(
    _xlpm.ligpartie, MATCH($B302, Donnees!$F:$F, 0),
    _xlpm.joueurs, INDEX(Donnees!$A:$Z, _xlpm.ligpartie+1, _xlfn.SEQUENCE(1, 4, 2)),
    INDEX(
      Donnees!$A:$Z,
      _xlpm.ligpartie + 3,
      MATCH(AM$1, _xlpm.joueurs, 0) + 1
    )
  ), ""
)</f>
        <v/>
      </c>
    </row>
    <row r="304" spans="1:39" x14ac:dyDescent="0.25">
      <c r="A304" t="s">
        <v>20</v>
      </c>
      <c r="D304" t="str" cm="1">
        <f t="array" ref="D304">_xlfn.LET(
  _xlpm.colj, _xlfn._xlws.FILTER(IF(ISNUMBER(303:303), COLUMN(303:303)), ISNUMBER(303:303)),
  _xlpm.elos, INDEX(302:302,1,_xlpm.colj),
  _xlpm.diffscale, Constantes!$B$2,
  IF(D303="",
    "",
    SUM(1/(1+POWER(10,-(D302-_xlpm.elos)/_xlpm.diffscale)))-0.5)
)</f>
        <v/>
      </c>
      <c r="E304" cm="1">
        <f t="array" ref="E304">_xlfn.LET(
  _xlpm.colj, _xlfn._xlws.FILTER(IF(ISNUMBER(303:303), COLUMN(303:303)), ISNUMBER(303:303)),
  _xlpm.elos, INDEX(302:302,1,_xlpm.colj),
  _xlpm.diffscale, Constantes!$B$2,
  IF(E303="",
    "",
    SUM(1/(1+POWER(10,-(E302-_xlpm.elos)/_xlpm.diffscale)))-0.5)
)</f>
        <v>2.2988451533445042</v>
      </c>
      <c r="F304" t="str" cm="1">
        <f t="array" ref="F304">_xlfn.LET(
  _xlpm.colj, _xlfn._xlws.FILTER(IF(ISNUMBER(303:303), COLUMN(303:303)), ISNUMBER(303:303)),
  _xlpm.elos, INDEX(302:302,1,_xlpm.colj),
  _xlpm.diffscale, Constantes!$B$2,
  IF(F303="",
    "",
    SUM(1/(1+POWER(10,-(F302-_xlpm.elos)/_xlpm.diffscale)))-0.5)
)</f>
        <v/>
      </c>
      <c r="G304" t="str" cm="1">
        <f t="array" ref="G304">_xlfn.LET(
  _xlpm.colj, _xlfn._xlws.FILTER(IF(ISNUMBER(303:303), COLUMN(303:303)), ISNUMBER(303:303)),
  _xlpm.elos, INDEX(302:302,1,_xlpm.colj),
  _xlpm.diffscale, Constantes!$B$2,
  IF(G303="",
    "",
    SUM(1/(1+POWER(10,-(G302-_xlpm.elos)/_xlpm.diffscale)))-0.5)
)</f>
        <v/>
      </c>
      <c r="H304" t="str" cm="1">
        <f t="array" ref="H304">_xlfn.LET(
  _xlpm.colj, _xlfn._xlws.FILTER(IF(ISNUMBER(303:303), COLUMN(303:303)), ISNUMBER(303:303)),
  _xlpm.elos, INDEX(302:302,1,_xlpm.colj),
  _xlpm.diffscale, Constantes!$B$2,
  IF(H303="",
    "",
    SUM(1/(1+POWER(10,-(H302-_xlpm.elos)/_xlpm.diffscale)))-0.5)
)</f>
        <v/>
      </c>
      <c r="I304" t="str" cm="1">
        <f t="array" ref="I304">_xlfn.LET(
  _xlpm.colj, _xlfn._xlws.FILTER(IF(ISNUMBER(303:303), COLUMN(303:303)), ISNUMBER(303:303)),
  _xlpm.elos, INDEX(302:302,1,_xlpm.colj),
  _xlpm.diffscale, Constantes!$B$2,
  IF(I303="",
    "",
    SUM(1/(1+POWER(10,-(I302-_xlpm.elos)/_xlpm.diffscale)))-0.5)
)</f>
        <v/>
      </c>
      <c r="J304" t="str" cm="1">
        <f t="array" ref="J304">_xlfn.LET(
  _xlpm.colj, _xlfn._xlws.FILTER(IF(ISNUMBER(303:303), COLUMN(303:303)), ISNUMBER(303:303)),
  _xlpm.elos, INDEX(302:302,1,_xlpm.colj),
  _xlpm.diffscale, Constantes!$B$2,
  IF(J303="",
    "",
    SUM(1/(1+POWER(10,-(J302-_xlpm.elos)/_xlpm.diffscale)))-0.5)
)</f>
        <v/>
      </c>
      <c r="K304" t="str" cm="1">
        <f t="array" ref="K304">_xlfn.LET(
  _xlpm.colj, _xlfn._xlws.FILTER(IF(ISNUMBER(303:303), COLUMN(303:303)), ISNUMBER(303:303)),
  _xlpm.elos, INDEX(302:302,1,_xlpm.colj),
  _xlpm.diffscale, Constantes!$B$2,
  IF(K303="",
    "",
    SUM(1/(1+POWER(10,-(K302-_xlpm.elos)/_xlpm.diffscale)))-0.5)
)</f>
        <v/>
      </c>
      <c r="L304" cm="1">
        <f t="array" ref="L304">_xlfn.LET(
  _xlpm.colj, _xlfn._xlws.FILTER(IF(ISNUMBER(303:303), COLUMN(303:303)), ISNUMBER(303:303)),
  _xlpm.elos, INDEX(302:302,1,_xlpm.colj),
  _xlpm.diffscale, Constantes!$B$2,
  IF(L303="",
    "",
    SUM(1/(1+POWER(10,-(L302-_xlpm.elos)/_xlpm.diffscale)))-0.5)
)</f>
        <v>0.74080825686125884</v>
      </c>
      <c r="M304" t="str" cm="1">
        <f t="array" ref="M304">_xlfn.LET(
  _xlpm.colj, _xlfn._xlws.FILTER(IF(ISNUMBER(303:303), COLUMN(303:303)), ISNUMBER(303:303)),
  _xlpm.elos, INDEX(302:302,1,_xlpm.colj),
  _xlpm.diffscale, Constantes!$B$2,
  IF(M303="",
    "",
    SUM(1/(1+POWER(10,-(M302-_xlpm.elos)/_xlpm.diffscale)))-0.5)
)</f>
        <v/>
      </c>
      <c r="N304" cm="1">
        <f t="array" ref="N304">_xlfn.LET(
  _xlpm.colj, _xlfn._xlws.FILTER(IF(ISNUMBER(303:303), COLUMN(303:303)), ISNUMBER(303:303)),
  _xlpm.elos, INDEX(302:302,1,_xlpm.colj),
  _xlpm.diffscale, Constantes!$B$2,
  IF(N303="",
    "",
    SUM(1/(1+POWER(10,-(N302-_xlpm.elos)/_xlpm.diffscale)))-0.5)
)</f>
        <v>1.3664882528255413</v>
      </c>
      <c r="O304" t="str" cm="1">
        <f t="array" ref="O304">_xlfn.LET(
  _xlpm.colj, _xlfn._xlws.FILTER(IF(ISNUMBER(303:303), COLUMN(303:303)), ISNUMBER(303:303)),
  _xlpm.elos, INDEX(302:302,1,_xlpm.colj),
  _xlpm.diffscale, Constantes!$B$2,
  IF(O303="",
    "",
    SUM(1/(1+POWER(10,-(O302-_xlpm.elos)/_xlpm.diffscale)))-0.5)
)</f>
        <v/>
      </c>
      <c r="P304" t="str" cm="1">
        <f t="array" ref="P304">_xlfn.LET(
  _xlpm.colj, _xlfn._xlws.FILTER(IF(ISNUMBER(303:303), COLUMN(303:303)), ISNUMBER(303:303)),
  _xlpm.elos, INDEX(302:302,1,_xlpm.colj),
  _xlpm.diffscale, Constantes!$B$2,
  IF(P303="",
    "",
    SUM(1/(1+POWER(10,-(P302-_xlpm.elos)/_xlpm.diffscale)))-0.5)
)</f>
        <v/>
      </c>
      <c r="Q304" t="str" cm="1">
        <f t="array" ref="Q304">_xlfn.LET(
  _xlpm.colj, _xlfn._xlws.FILTER(IF(ISNUMBER(303:303), COLUMN(303:303)), ISNUMBER(303:303)),
  _xlpm.elos, INDEX(302:302,1,_xlpm.colj),
  _xlpm.diffscale, Constantes!$B$2,
  IF(Q303="",
    "",
    SUM(1/(1+POWER(10,-(Q302-_xlpm.elos)/_xlpm.diffscale)))-0.5)
)</f>
        <v/>
      </c>
      <c r="R304" t="str" cm="1">
        <f t="array" ref="R304">_xlfn.LET(
  _xlpm.colj, _xlfn._xlws.FILTER(IF(ISNUMBER(303:303), COLUMN(303:303)), ISNUMBER(303:303)),
  _xlpm.elos, INDEX(302:302,1,_xlpm.colj),
  _xlpm.diffscale, Constantes!$B$2,
  IF(R303="",
    "",
    SUM(1/(1+POWER(10,-(R302-_xlpm.elos)/_xlpm.diffscale)))-0.5)
)</f>
        <v/>
      </c>
      <c r="S304" t="str" cm="1">
        <f t="array" ref="S304">_xlfn.LET(
  _xlpm.colj, _xlfn._xlws.FILTER(IF(ISNUMBER(303:303), COLUMN(303:303)), ISNUMBER(303:303)),
  _xlpm.elos, INDEX(302:302,1,_xlpm.colj),
  _xlpm.diffscale, Constantes!$B$2,
  IF(S303="",
    "",
    SUM(1/(1+POWER(10,-(S302-_xlpm.elos)/_xlpm.diffscale)))-0.5)
)</f>
        <v/>
      </c>
      <c r="T304" t="str" cm="1">
        <f t="array" ref="T304">_xlfn.LET(
  _xlpm.colj, _xlfn._xlws.FILTER(IF(ISNUMBER(303:303), COLUMN(303:303)), ISNUMBER(303:303)),
  _xlpm.elos, INDEX(302:302,1,_xlpm.colj),
  _xlpm.diffscale, Constantes!$B$2,
  IF(T303="",
    "",
    SUM(1/(1+POWER(10,-(T302-_xlpm.elos)/_xlpm.diffscale)))-0.5)
)</f>
        <v/>
      </c>
      <c r="U304" t="str" cm="1">
        <f t="array" ref="U304">_xlfn.LET(
  _xlpm.colj, _xlfn._xlws.FILTER(IF(ISNUMBER(303:303), COLUMN(303:303)), ISNUMBER(303:303)),
  _xlpm.elos, INDEX(302:302,1,_xlpm.colj),
  _xlpm.diffscale, Constantes!$B$2,
  IF(U303="",
    "",
    SUM(1/(1+POWER(10,-(U302-_xlpm.elos)/_xlpm.diffscale)))-0.5)
)</f>
        <v/>
      </c>
      <c r="V304" t="str" cm="1">
        <f t="array" ref="V304">_xlfn.LET(
  _xlpm.colj, _xlfn._xlws.FILTER(IF(ISNUMBER(303:303), COLUMN(303:303)), ISNUMBER(303:303)),
  _xlpm.elos, INDEX(302:302,1,_xlpm.colj),
  _xlpm.diffscale, Constantes!$B$2,
  IF(V303="",
    "",
    SUM(1/(1+POWER(10,-(V302-_xlpm.elos)/_xlpm.diffscale)))-0.5)
)</f>
        <v/>
      </c>
      <c r="W304" cm="1">
        <f t="array" ref="W304">_xlfn.LET(
  _xlpm.colj, _xlfn._xlws.FILTER(IF(ISNUMBER(303:303), COLUMN(303:303)), ISNUMBER(303:303)),
  _xlpm.elos, INDEX(302:302,1,_xlpm.colj),
  _xlpm.diffscale, Constantes!$B$2,
  IF(W303="",
    "",
    SUM(1/(1+POWER(10,-(W302-_xlpm.elos)/_xlpm.diffscale)))-0.5)
)</f>
        <v>1.5938583369686956</v>
      </c>
      <c r="X304" t="str" cm="1">
        <f t="array" ref="X304">_xlfn.LET(
  _xlpm.colj, _xlfn._xlws.FILTER(IF(ISNUMBER(303:303), COLUMN(303:303)), ISNUMBER(303:303)),
  _xlpm.elos, INDEX(302:302,1,_xlpm.colj),
  _xlpm.diffscale, Constantes!$B$2,
  IF(X303="",
    "",
    SUM(1/(1+POWER(10,-(X302-_xlpm.elos)/_xlpm.diffscale)))-0.5)
)</f>
        <v/>
      </c>
      <c r="Y304" t="str" cm="1">
        <f t="array" ref="Y304">_xlfn.LET(
  _xlpm.colj, _xlfn._xlws.FILTER(IF(ISNUMBER(303:303), COLUMN(303:303)), ISNUMBER(303:303)),
  _xlpm.elos, INDEX(302:302,1,_xlpm.colj),
  _xlpm.diffscale, Constantes!$B$2,
  IF(Y303="",
    "",
    SUM(1/(1+POWER(10,-(Y302-_xlpm.elos)/_xlpm.diffscale)))-0.5)
)</f>
        <v/>
      </c>
      <c r="Z304" t="str" cm="1">
        <f t="array" ref="Z304">_xlfn.LET(
  _xlpm.colj, _xlfn._xlws.FILTER(IF(ISNUMBER(303:303), COLUMN(303:303)), ISNUMBER(303:303)),
  _xlpm.elos, INDEX(302:302,1,_xlpm.colj),
  _xlpm.diffscale, Constantes!$B$2,
  IF(Z303="",
    "",
    SUM(1/(1+POWER(10,-(Z302-_xlpm.elos)/_xlpm.diffscale)))-0.5)
)</f>
        <v/>
      </c>
      <c r="AA304" t="str" cm="1">
        <f t="array" ref="AA304">_xlfn.LET(
  _xlpm.colj, _xlfn._xlws.FILTER(IF(ISNUMBER(303:303), COLUMN(303:303)), ISNUMBER(303:303)),
  _xlpm.elos, INDEX(302:302,1,_xlpm.colj),
  _xlpm.diffscale, Constantes!$B$2,
  IF(AA303="",
    "",
    SUM(1/(1+POWER(10,-(AA302-_xlpm.elos)/_xlpm.diffscale)))-0.5)
)</f>
        <v/>
      </c>
      <c r="AB304" t="str" cm="1">
        <f t="array" ref="AB304">_xlfn.LET(
  _xlpm.colj, _xlfn._xlws.FILTER(IF(ISNUMBER(303:303), COLUMN(303:303)), ISNUMBER(303:303)),
  _xlpm.elos, INDEX(302:302,1,_xlpm.colj),
  _xlpm.diffscale, Constantes!$B$2,
  IF(AB303="",
    "",
    SUM(1/(1+POWER(10,-(AB302-_xlpm.elos)/_xlpm.diffscale)))-0.5)
)</f>
        <v/>
      </c>
      <c r="AC304" t="str" cm="1">
        <f t="array" ref="AC304">_xlfn.LET(
  _xlpm.colj, _xlfn._xlws.FILTER(IF(ISNUMBER(303:303), COLUMN(303:303)), ISNUMBER(303:303)),
  _xlpm.elos, INDEX(302:302,1,_xlpm.colj),
  _xlpm.diffscale, Constantes!$B$2,
  IF(AC303="",
    "",
    SUM(1/(1+POWER(10,-(AC302-_xlpm.elos)/_xlpm.diffscale)))-0.5)
)</f>
        <v/>
      </c>
      <c r="AD304" t="str" cm="1">
        <f t="array" ref="AD304">_xlfn.LET(
  _xlpm.colj, _xlfn._xlws.FILTER(IF(ISNUMBER(303:303), COLUMN(303:303)), ISNUMBER(303:303)),
  _xlpm.elos, INDEX(302:302,1,_xlpm.colj),
  _xlpm.diffscale, Constantes!$B$2,
  IF(AD303="",
    "",
    SUM(1/(1+POWER(10,-(AD302-_xlpm.elos)/_xlpm.diffscale)))-0.5)
)</f>
        <v/>
      </c>
      <c r="AE304" t="str" cm="1">
        <f t="array" ref="AE304">_xlfn.LET(
  _xlpm.colj, _xlfn._xlws.FILTER(IF(ISNUMBER(303:303), COLUMN(303:303)), ISNUMBER(303:303)),
  _xlpm.elos, INDEX(302:302,1,_xlpm.colj),
  _xlpm.diffscale, Constantes!$B$2,
  IF(AE303="",
    "",
    SUM(1/(1+POWER(10,-(AE302-_xlpm.elos)/_xlpm.diffscale)))-0.5)
)</f>
        <v/>
      </c>
      <c r="AF304" t="str" cm="1">
        <f t="array" ref="AF304">_xlfn.LET(
  _xlpm.colj, _xlfn._xlws.FILTER(IF(ISNUMBER(303:303), COLUMN(303:303)), ISNUMBER(303:303)),
  _xlpm.elos, INDEX(302:302,1,_xlpm.colj),
  _xlpm.diffscale, Constantes!$B$2,
  IF(AF303="",
    "",
    SUM(1/(1+POWER(10,-(AF302-_xlpm.elos)/_xlpm.diffscale)))-0.5)
)</f>
        <v/>
      </c>
      <c r="AG304" t="str" cm="1">
        <f t="array" ref="AG304">_xlfn.LET(
  _xlpm.colj, _xlfn._xlws.FILTER(IF(ISNUMBER(303:303), COLUMN(303:303)), ISNUMBER(303:303)),
  _xlpm.elos, INDEX(302:302,1,_xlpm.colj),
  _xlpm.diffscale, Constantes!$B$2,
  IF(AG303="",
    "",
    SUM(1/(1+POWER(10,-(AG302-_xlpm.elos)/_xlpm.diffscale)))-0.5)
)</f>
        <v/>
      </c>
      <c r="AH304" t="str" cm="1">
        <f t="array" ref="AH304">_xlfn.LET(
  _xlpm.colj, _xlfn._xlws.FILTER(IF(ISNUMBER(303:303), COLUMN(303:303)), ISNUMBER(303:303)),
  _xlpm.elos, INDEX(302:302,1,_xlpm.colj),
  _xlpm.diffscale, Constantes!$B$2,
  IF(AH303="",
    "",
    SUM(1/(1+POWER(10,-(AH302-_xlpm.elos)/_xlpm.diffscale)))-0.5)
)</f>
        <v/>
      </c>
      <c r="AI304" t="str" cm="1">
        <f t="array" ref="AI304">_xlfn.LET(
  _xlpm.colj, _xlfn._xlws.FILTER(IF(ISNUMBER(303:303), COLUMN(303:303)), ISNUMBER(303:303)),
  _xlpm.elos, INDEX(302:302,1,_xlpm.colj),
  _xlpm.diffscale, Constantes!$B$2,
  IF(AI303="",
    "",
    SUM(1/(1+POWER(10,-(AI302-_xlpm.elos)/_xlpm.diffscale)))-0.5)
)</f>
        <v/>
      </c>
      <c r="AJ304" t="str" cm="1">
        <f t="array" ref="AJ304">_xlfn.LET(
  _xlpm.colj, _xlfn._xlws.FILTER(IF(ISNUMBER(303:303), COLUMN(303:303)), ISNUMBER(303:303)),
  _xlpm.elos, INDEX(302:302,1,_xlpm.colj),
  _xlpm.diffscale, Constantes!$B$2,
  IF(AJ303="",
    "",
    SUM(1/(1+POWER(10,-(AJ302-_xlpm.elos)/_xlpm.diffscale)))-0.5)
)</f>
        <v/>
      </c>
      <c r="AK304" t="str" cm="1">
        <f t="array" ref="AK304">_xlfn.LET(
  _xlpm.colj, _xlfn._xlws.FILTER(IF(ISNUMBER(303:303), COLUMN(303:303)), ISNUMBER(303:303)),
  _xlpm.elos, INDEX(302:302,1,_xlpm.colj),
  _xlpm.diffscale, Constantes!$B$2,
  IF(AK303="",
    "",
    SUM(1/(1+POWER(10,-(AK302-_xlpm.elos)/_xlpm.diffscale)))-0.5)
)</f>
        <v/>
      </c>
      <c r="AL304" t="str" cm="1">
        <f t="array" ref="AL304">_xlfn.LET(
  _xlpm.colj, _xlfn._xlws.FILTER(IF(ISNUMBER(303:303), COLUMN(303:303)), ISNUMBER(303:303)),
  _xlpm.elos, INDEX(302:302,1,_xlpm.colj),
  _xlpm.diffscale, Constantes!$B$2,
  IF(AL303="",
    "",
    SUM(1/(1+POWER(10,-(AL302-_xlpm.elos)/_xlpm.diffscale)))-0.5)
)</f>
        <v/>
      </c>
      <c r="AM304" t="str" cm="1">
        <f t="array" ref="AM304">_xlfn.LET(
  _xlpm.colj, _xlfn._xlws.FILTER(IF(ISNUMBER(303:303), COLUMN(303:303)), ISNUMBER(303:303)),
  _xlpm.elos, INDEX(302:302,1,_xlpm.colj),
  _xlpm.diffscale, Constantes!$B$2,
  IF(AM303="",
    "",
    SUM(1/(1+POWER(10,-(AM302-_xlpm.elos)/_xlpm.diffscale)))-0.5)
)</f>
        <v/>
      </c>
    </row>
    <row r="305" spans="1:39" x14ac:dyDescent="0.25">
      <c r="A305" t="s">
        <v>22</v>
      </c>
      <c r="D305" t="str" cm="1">
        <f t="array" ref="D305">_xlfn.LET(
  _xlpm.K, Constantes!$B$3,
  _xlpm.Knewgain, Constantes!$B$4,
  _xlpm.Knewscale, Constantes!$B$5,
  _xlpm.ptstables, INDEX(D:D, _xlfn.SEQUENCE(COUNTA($C$2:$C305), 1, 3, 4)),
  _xlpm.nbparties, COUNTA(_xlfn._xlws.FILTER(_xlpm.ptstables, _xlpm.ptstables &lt;&gt; "")),
  _xlpm.coef, _xlpm.K + _xlpm.Knewgain / (_xlpm.Knewscale + _xlpm.nbparties),
  IF(D303="",
    "",
    _xlpm.coef * (D303-D304))
)</f>
        <v/>
      </c>
      <c r="E305" cm="1">
        <f t="array" ref="E305">_xlfn.LET(
  _xlpm.K, Constantes!$B$3,
  _xlpm.Knewgain, Constantes!$B$4,
  _xlpm.Knewscale, Constantes!$B$5,
  _xlpm.ptstables, INDEX(E:E, _xlfn.SEQUENCE(COUNTA($C$2:$C305), 1, 3, 4)),
  _xlpm.nbparties, COUNTA(_xlfn._xlws.FILTER(_xlpm.ptstables, _xlpm.ptstables &lt;&gt; "")),
  _xlpm.coef, _xlpm.K + _xlpm.Knewgain / (_xlpm.Knewscale + _xlpm.nbparties),
  IF(E303="",
    "",
    _xlpm.coef * (E303-E304))
)</f>
        <v>15.775984049748654</v>
      </c>
      <c r="F305" t="str" cm="1">
        <f t="array" ref="F305">_xlfn.LET(
  _xlpm.K, Constantes!$B$3,
  _xlpm.Knewgain, Constantes!$B$4,
  _xlpm.Knewscale, Constantes!$B$5,
  _xlpm.ptstables, INDEX(F:F, _xlfn.SEQUENCE(COUNTA($C$2:$C305), 1, 3, 4)),
  _xlpm.nbparties, COUNTA(_xlfn._xlws.FILTER(_xlpm.ptstables, _xlpm.ptstables &lt;&gt; "")),
  _xlpm.coef, _xlpm.K + _xlpm.Knewgain / (_xlpm.Knewscale + _xlpm.nbparties),
  IF(F303="",
    "",
    _xlpm.coef * (F303-F304))
)</f>
        <v/>
      </c>
      <c r="G305" t="str" cm="1">
        <f t="array" ref="G305">_xlfn.LET(
  _xlpm.K, Constantes!$B$3,
  _xlpm.Knewgain, Constantes!$B$4,
  _xlpm.Knewscale, Constantes!$B$5,
  _xlpm.ptstables, INDEX(G:G, _xlfn.SEQUENCE(COUNTA($C$2:$C305), 1, 3, 4)),
  _xlpm.nbparties, COUNTA(_xlfn._xlws.FILTER(_xlpm.ptstables, _xlpm.ptstables &lt;&gt; "")),
  _xlpm.coef, _xlpm.K + _xlpm.Knewgain / (_xlpm.Knewscale + _xlpm.nbparties),
  IF(G303="",
    "",
    _xlpm.coef * (G303-G304))
)</f>
        <v/>
      </c>
      <c r="H305" t="str" cm="1">
        <f t="array" ref="H305">_xlfn.LET(
  _xlpm.K, Constantes!$B$3,
  _xlpm.Knewgain, Constantes!$B$4,
  _xlpm.Knewscale, Constantes!$B$5,
  _xlpm.ptstables, INDEX(H:H, _xlfn.SEQUENCE(COUNTA($C$2:$C305), 1, 3, 4)),
  _xlpm.nbparties, COUNTA(_xlfn._xlws.FILTER(_xlpm.ptstables, _xlpm.ptstables &lt;&gt; "")),
  _xlpm.coef, _xlpm.K + _xlpm.Knewgain / (_xlpm.Knewscale + _xlpm.nbparties),
  IF(H303="",
    "",
    _xlpm.coef * (H303-H304))
)</f>
        <v/>
      </c>
      <c r="I305" t="str" cm="1">
        <f t="array" ref="I305">_xlfn.LET(
  _xlpm.K, Constantes!$B$3,
  _xlpm.Knewgain, Constantes!$B$4,
  _xlpm.Knewscale, Constantes!$B$5,
  _xlpm.ptstables, INDEX(I:I, _xlfn.SEQUENCE(COUNTA($C$2:$C305), 1, 3, 4)),
  _xlpm.nbparties, COUNTA(_xlfn._xlws.FILTER(_xlpm.ptstables, _xlpm.ptstables &lt;&gt; "")),
  _xlpm.coef, _xlpm.K + _xlpm.Knewgain / (_xlpm.Knewscale + _xlpm.nbparties),
  IF(I303="",
    "",
    _xlpm.coef * (I303-I304))
)</f>
        <v/>
      </c>
      <c r="J305" t="str" cm="1">
        <f t="array" ref="J305">_xlfn.LET(
  _xlpm.K, Constantes!$B$3,
  _xlpm.Knewgain, Constantes!$B$4,
  _xlpm.Knewscale, Constantes!$B$5,
  _xlpm.ptstables, INDEX(J:J, _xlfn.SEQUENCE(COUNTA($C$2:$C305), 1, 3, 4)),
  _xlpm.nbparties, COUNTA(_xlfn._xlws.FILTER(_xlpm.ptstables, _xlpm.ptstables &lt;&gt; "")),
  _xlpm.coef, _xlpm.K + _xlpm.Knewgain / (_xlpm.Knewscale + _xlpm.nbparties),
  IF(J303="",
    "",
    _xlpm.coef * (J303-J304))
)</f>
        <v/>
      </c>
      <c r="K305" t="str" cm="1">
        <f t="array" ref="K305">_xlfn.LET(
  _xlpm.K, Constantes!$B$3,
  _xlpm.Knewgain, Constantes!$B$4,
  _xlpm.Knewscale, Constantes!$B$5,
  _xlpm.ptstables, INDEX(K:K, _xlfn.SEQUENCE(COUNTA($C$2:$C305), 1, 3, 4)),
  _xlpm.nbparties, COUNTA(_xlfn._xlws.FILTER(_xlpm.ptstables, _xlpm.ptstables &lt;&gt; "")),
  _xlpm.coef, _xlpm.K + _xlpm.Knewgain / (_xlpm.Knewscale + _xlpm.nbparties),
  IF(K303="",
    "",
    _xlpm.coef * (K303-K304))
)</f>
        <v/>
      </c>
      <c r="L305" cm="1">
        <f t="array" ref="L305">_xlfn.LET(
  _xlpm.K, Constantes!$B$3,
  _xlpm.Knewgain, Constantes!$B$4,
  _xlpm.Knewscale, Constantes!$B$5,
  _xlpm.ptstables, INDEX(L:L, _xlfn.SEQUENCE(COUNTA($C$2:$C305), 1, 3, 4)),
  _xlpm.nbparties, COUNTA(_xlfn._xlws.FILTER(_xlpm.ptstables, _xlpm.ptstables &lt;&gt; "")),
  _xlpm.coef, _xlpm.K + _xlpm.Knewgain / (_xlpm.Knewscale + _xlpm.nbparties),
  IF(L303="",
    "",
    _xlpm.coef * (L303-L304))
)</f>
        <v>32.179344546878944</v>
      </c>
      <c r="M305" t="str" cm="1">
        <f t="array" ref="M305">_xlfn.LET(
  _xlpm.K, Constantes!$B$3,
  _xlpm.Knewgain, Constantes!$B$4,
  _xlpm.Knewscale, Constantes!$B$5,
  _xlpm.ptstables, INDEX(M:M, _xlfn.SEQUENCE(COUNTA($C$2:$C305), 1, 3, 4)),
  _xlpm.nbparties, COUNTA(_xlfn._xlws.FILTER(_xlpm.ptstables, _xlpm.ptstables &lt;&gt; "")),
  _xlpm.coef, _xlpm.K + _xlpm.Knewgain / (_xlpm.Knewscale + _xlpm.nbparties),
  IF(M303="",
    "",
    _xlpm.coef * (M303-M304))
)</f>
        <v/>
      </c>
      <c r="N305" cm="1">
        <f t="array" ref="N305">_xlfn.LET(
  _xlpm.K, Constantes!$B$3,
  _xlpm.Knewgain, Constantes!$B$4,
  _xlpm.Knewscale, Constantes!$B$5,
  _xlpm.ptstables, INDEX(N:N, _xlfn.SEQUENCE(COUNTA($C$2:$C305), 1, 3, 4)),
  _xlpm.nbparties, COUNTA(_xlfn._xlws.FILTER(_xlpm.ptstables, _xlpm.ptstables &lt;&gt; "")),
  _xlpm.coef, _xlpm.K + _xlpm.Knewgain / (_xlpm.Knewscale + _xlpm.nbparties),
  IF(N303="",
    "",
    _xlpm.coef * (N303-N304))
)</f>
        <v>-8.6386516737449028</v>
      </c>
      <c r="O305" t="str" cm="1">
        <f t="array" ref="O305">_xlfn.LET(
  _xlpm.K, Constantes!$B$3,
  _xlpm.Knewgain, Constantes!$B$4,
  _xlpm.Knewscale, Constantes!$B$5,
  _xlpm.ptstables, INDEX(O:O, _xlfn.SEQUENCE(COUNTA($C$2:$C305), 1, 3, 4)),
  _xlpm.nbparties, COUNTA(_xlfn._xlws.FILTER(_xlpm.ptstables, _xlpm.ptstables &lt;&gt; "")),
  _xlpm.coef, _xlpm.K + _xlpm.Knewgain / (_xlpm.Knewscale + _xlpm.nbparties),
  IF(O303="",
    "",
    _xlpm.coef * (O303-O304))
)</f>
        <v/>
      </c>
      <c r="P305" t="str" cm="1">
        <f t="array" ref="P305">_xlfn.LET(
  _xlpm.K, Constantes!$B$3,
  _xlpm.Knewgain, Constantes!$B$4,
  _xlpm.Knewscale, Constantes!$B$5,
  _xlpm.ptstables, INDEX(P:P, _xlfn.SEQUENCE(COUNTA($C$2:$C305), 1, 3, 4)),
  _xlpm.nbparties, COUNTA(_xlfn._xlws.FILTER(_xlpm.ptstables, _xlpm.ptstables &lt;&gt; "")),
  _xlpm.coef, _xlpm.K + _xlpm.Knewgain / (_xlpm.Knewscale + _xlpm.nbparties),
  IF(P303="",
    "",
    _xlpm.coef * (P303-P304))
)</f>
        <v/>
      </c>
      <c r="Q305" t="str" cm="1">
        <f t="array" ref="Q305">_xlfn.LET(
  _xlpm.K, Constantes!$B$3,
  _xlpm.Knewgain, Constantes!$B$4,
  _xlpm.Knewscale, Constantes!$B$5,
  _xlpm.ptstables, INDEX(Q:Q, _xlfn.SEQUENCE(COUNTA($C$2:$C305), 1, 3, 4)),
  _xlpm.nbparties, COUNTA(_xlfn._xlws.FILTER(_xlpm.ptstables, _xlpm.ptstables &lt;&gt; "")),
  _xlpm.coef, _xlpm.K + _xlpm.Knewgain / (_xlpm.Knewscale + _xlpm.nbparties),
  IF(Q303="",
    "",
    _xlpm.coef * (Q303-Q304))
)</f>
        <v/>
      </c>
      <c r="R305" t="str" cm="1">
        <f t="array" ref="R305">_xlfn.LET(
  _xlpm.K, Constantes!$B$3,
  _xlpm.Knewgain, Constantes!$B$4,
  _xlpm.Knewscale, Constantes!$B$5,
  _xlpm.ptstables, INDEX(R:R, _xlfn.SEQUENCE(COUNTA($C$2:$C305), 1, 3, 4)),
  _xlpm.nbparties, COUNTA(_xlfn._xlws.FILTER(_xlpm.ptstables, _xlpm.ptstables &lt;&gt; "")),
  _xlpm.coef, _xlpm.K + _xlpm.Knewgain / (_xlpm.Knewscale + _xlpm.nbparties),
  IF(R303="",
    "",
    _xlpm.coef * (R303-R304))
)</f>
        <v/>
      </c>
      <c r="S305" t="str" cm="1">
        <f t="array" ref="S305">_xlfn.LET(
  _xlpm.K, Constantes!$B$3,
  _xlpm.Knewgain, Constantes!$B$4,
  _xlpm.Knewscale, Constantes!$B$5,
  _xlpm.ptstables, INDEX(S:S, _xlfn.SEQUENCE(COUNTA($C$2:$C305), 1, 3, 4)),
  _xlpm.nbparties, COUNTA(_xlfn._xlws.FILTER(_xlpm.ptstables, _xlpm.ptstables &lt;&gt; "")),
  _xlpm.coef, _xlpm.K + _xlpm.Knewgain / (_xlpm.Knewscale + _xlpm.nbparties),
  IF(S303="",
    "",
    _xlpm.coef * (S303-S304))
)</f>
        <v/>
      </c>
      <c r="T305" t="str" cm="1">
        <f t="array" ref="T305">_xlfn.LET(
  _xlpm.K, Constantes!$B$3,
  _xlpm.Knewgain, Constantes!$B$4,
  _xlpm.Knewscale, Constantes!$B$5,
  _xlpm.ptstables, INDEX(T:T, _xlfn.SEQUENCE(COUNTA($C$2:$C305), 1, 3, 4)),
  _xlpm.nbparties, COUNTA(_xlfn._xlws.FILTER(_xlpm.ptstables, _xlpm.ptstables &lt;&gt; "")),
  _xlpm.coef, _xlpm.K + _xlpm.Knewgain / (_xlpm.Knewscale + _xlpm.nbparties),
  IF(T303="",
    "",
    _xlpm.coef * (T303-T304))
)</f>
        <v/>
      </c>
      <c r="U305" t="str" cm="1">
        <f t="array" ref="U305">_xlfn.LET(
  _xlpm.K, Constantes!$B$3,
  _xlpm.Knewgain, Constantes!$B$4,
  _xlpm.Knewscale, Constantes!$B$5,
  _xlpm.ptstables, INDEX(U:U, _xlfn.SEQUENCE(COUNTA($C$2:$C305), 1, 3, 4)),
  _xlpm.nbparties, COUNTA(_xlfn._xlws.FILTER(_xlpm.ptstables, _xlpm.ptstables &lt;&gt; "")),
  _xlpm.coef, _xlpm.K + _xlpm.Knewgain / (_xlpm.Knewscale + _xlpm.nbparties),
  IF(U303="",
    "",
    _xlpm.coef * (U303-U304))
)</f>
        <v/>
      </c>
      <c r="V305" t="str" cm="1">
        <f t="array" ref="V305">_xlfn.LET(
  _xlpm.K, Constantes!$B$3,
  _xlpm.Knewgain, Constantes!$B$4,
  _xlpm.Knewscale, Constantes!$B$5,
  _xlpm.ptstables, INDEX(V:V, _xlfn.SEQUENCE(COUNTA($C$2:$C305), 1, 3, 4)),
  _xlpm.nbparties, COUNTA(_xlfn._xlws.FILTER(_xlpm.ptstables, _xlpm.ptstables &lt;&gt; "")),
  _xlpm.coef, _xlpm.K + _xlpm.Knewgain / (_xlpm.Knewscale + _xlpm.nbparties),
  IF(V303="",
    "",
    _xlpm.coef * (V303-V304))
)</f>
        <v/>
      </c>
      <c r="W305" cm="1">
        <f t="array" ref="W305">_xlfn.LET(
  _xlpm.K, Constantes!$B$3,
  _xlpm.Knewgain, Constantes!$B$4,
  _xlpm.Knewscale, Constantes!$B$5,
  _xlpm.ptstables, INDEX(W:W, _xlfn.SEQUENCE(COUNTA($C$2:$C305), 1, 3, 4)),
  _xlpm.nbparties, COUNTA(_xlfn._xlws.FILTER(_xlpm.ptstables, _xlpm.ptstables &lt;&gt; "")),
  _xlpm.coef, _xlpm.K + _xlpm.Knewgain / (_xlpm.Knewscale + _xlpm.nbparties),
  IF(W303="",
    "",
    _xlpm.coef * (W303-W304))
)</f>
        <v>-58.441472355518847</v>
      </c>
      <c r="X305" t="str" cm="1">
        <f t="array" ref="X305">_xlfn.LET(
  _xlpm.K, Constantes!$B$3,
  _xlpm.Knewgain, Constantes!$B$4,
  _xlpm.Knewscale, Constantes!$B$5,
  _xlpm.ptstables, INDEX(X:X, _xlfn.SEQUENCE(COUNTA($C$2:$C305), 1, 3, 4)),
  _xlpm.nbparties, COUNTA(_xlfn._xlws.FILTER(_xlpm.ptstables, _xlpm.ptstables &lt;&gt; "")),
  _xlpm.coef, _xlpm.K + _xlpm.Knewgain / (_xlpm.Knewscale + _xlpm.nbparties),
  IF(X303="",
    "",
    _xlpm.coef * (X303-X304))
)</f>
        <v/>
      </c>
      <c r="Y305" t="str" cm="1">
        <f t="array" ref="Y305">_xlfn.LET(
  _xlpm.K, Constantes!$B$3,
  _xlpm.Knewgain, Constantes!$B$4,
  _xlpm.Knewscale, Constantes!$B$5,
  _xlpm.ptstables, INDEX(Y:Y, _xlfn.SEQUENCE(COUNTA($C$2:$C305), 1, 3, 4)),
  _xlpm.nbparties, COUNTA(_xlfn._xlws.FILTER(_xlpm.ptstables, _xlpm.ptstables &lt;&gt; "")),
  _xlpm.coef, _xlpm.K + _xlpm.Knewgain / (_xlpm.Knewscale + _xlpm.nbparties),
  IF(Y303="",
    "",
    _xlpm.coef * (Y303-Y304))
)</f>
        <v/>
      </c>
      <c r="Z305" t="str" cm="1">
        <f t="array" ref="Z305">_xlfn.LET(
  _xlpm.K, Constantes!$B$3,
  _xlpm.Knewgain, Constantes!$B$4,
  _xlpm.Knewscale, Constantes!$B$5,
  _xlpm.ptstables, INDEX(Z:Z, _xlfn.SEQUENCE(COUNTA($C$2:$C305), 1, 3, 4)),
  _xlpm.nbparties, COUNTA(_xlfn._xlws.FILTER(_xlpm.ptstables, _xlpm.ptstables &lt;&gt; "")),
  _xlpm.coef, _xlpm.K + _xlpm.Knewgain / (_xlpm.Knewscale + _xlpm.nbparties),
  IF(Z303="",
    "",
    _xlpm.coef * (Z303-Z304))
)</f>
        <v/>
      </c>
      <c r="AA305" t="str" cm="1">
        <f t="array" ref="AA305">_xlfn.LET(
  _xlpm.K, Constantes!$B$3,
  _xlpm.Knewgain, Constantes!$B$4,
  _xlpm.Knewscale, Constantes!$B$5,
  _xlpm.ptstables, INDEX(AA:AA, _xlfn.SEQUENCE(COUNTA($C$2:$C305), 1, 3, 4)),
  _xlpm.nbparties, COUNTA(_xlfn._xlws.FILTER(_xlpm.ptstables, _xlpm.ptstables &lt;&gt; "")),
  _xlpm.coef, _xlpm.K + _xlpm.Knewgain / (_xlpm.Knewscale + _xlpm.nbparties),
  IF(AA303="",
    "",
    _xlpm.coef * (AA303-AA304))
)</f>
        <v/>
      </c>
      <c r="AB305" t="str" cm="1">
        <f t="array" ref="AB305">_xlfn.LET(
  _xlpm.K, Constantes!$B$3,
  _xlpm.Knewgain, Constantes!$B$4,
  _xlpm.Knewscale, Constantes!$B$5,
  _xlpm.ptstables, INDEX(AB:AB, _xlfn.SEQUENCE(COUNTA($C$2:$C305), 1, 3, 4)),
  _xlpm.nbparties, COUNTA(_xlfn._xlws.FILTER(_xlpm.ptstables, _xlpm.ptstables &lt;&gt; "")),
  _xlpm.coef, _xlpm.K + _xlpm.Knewgain / (_xlpm.Knewscale + _xlpm.nbparties),
  IF(AB303="",
    "",
    _xlpm.coef * (AB303-AB304))
)</f>
        <v/>
      </c>
      <c r="AC305" t="str" cm="1">
        <f t="array" ref="AC305">_xlfn.LET(
  _xlpm.K, Constantes!$B$3,
  _xlpm.Knewgain, Constantes!$B$4,
  _xlpm.Knewscale, Constantes!$B$5,
  _xlpm.ptstables, INDEX(AC:AC, _xlfn.SEQUENCE(COUNTA($C$2:$C305), 1, 3, 4)),
  _xlpm.nbparties, COUNTA(_xlfn._xlws.FILTER(_xlpm.ptstables, _xlpm.ptstables &lt;&gt; "")),
  _xlpm.coef, _xlpm.K + _xlpm.Knewgain / (_xlpm.Knewscale + _xlpm.nbparties),
  IF(AC303="",
    "",
    _xlpm.coef * (AC303-AC304))
)</f>
        <v/>
      </c>
      <c r="AD305" t="str" cm="1">
        <f t="array" ref="AD305">_xlfn.LET(
  _xlpm.K, Constantes!$B$3,
  _xlpm.Knewgain, Constantes!$B$4,
  _xlpm.Knewscale, Constantes!$B$5,
  _xlpm.ptstables, INDEX(AD:AD, _xlfn.SEQUENCE(COUNTA($C$2:$C305), 1, 3, 4)),
  _xlpm.nbparties, COUNTA(_xlfn._xlws.FILTER(_xlpm.ptstables, _xlpm.ptstables &lt;&gt; "")),
  _xlpm.coef, _xlpm.K + _xlpm.Knewgain / (_xlpm.Knewscale + _xlpm.nbparties),
  IF(AD303="",
    "",
    _xlpm.coef * (AD303-AD304))
)</f>
        <v/>
      </c>
      <c r="AE305" t="str" cm="1">
        <f t="array" ref="AE305">_xlfn.LET(
  _xlpm.K, Constantes!$B$3,
  _xlpm.Knewgain, Constantes!$B$4,
  _xlpm.Knewscale, Constantes!$B$5,
  _xlpm.ptstables, INDEX(AE:AE, _xlfn.SEQUENCE(COUNTA($C$2:$C305), 1, 3, 4)),
  _xlpm.nbparties, COUNTA(_xlfn._xlws.FILTER(_xlpm.ptstables, _xlpm.ptstables &lt;&gt; "")),
  _xlpm.coef, _xlpm.K + _xlpm.Knewgain / (_xlpm.Knewscale + _xlpm.nbparties),
  IF(AE303="",
    "",
    _xlpm.coef * (AE303-AE304))
)</f>
        <v/>
      </c>
      <c r="AF305" t="str" cm="1">
        <f t="array" ref="AF305">_xlfn.LET(
  _xlpm.K, Constantes!$B$3,
  _xlpm.Knewgain, Constantes!$B$4,
  _xlpm.Knewscale, Constantes!$B$5,
  _xlpm.ptstables, INDEX(AF:AF, _xlfn.SEQUENCE(COUNTA($C$2:$C305), 1, 3, 4)),
  _xlpm.nbparties, COUNTA(_xlfn._xlws.FILTER(_xlpm.ptstables, _xlpm.ptstables &lt;&gt; "")),
  _xlpm.coef, _xlpm.K + _xlpm.Knewgain / (_xlpm.Knewscale + _xlpm.nbparties),
  IF(AF303="",
    "",
    _xlpm.coef * (AF303-AF304))
)</f>
        <v/>
      </c>
      <c r="AG305" t="str" cm="1">
        <f t="array" ref="AG305">_xlfn.LET(
  _xlpm.K, Constantes!$B$3,
  _xlpm.Knewgain, Constantes!$B$4,
  _xlpm.Knewscale, Constantes!$B$5,
  _xlpm.ptstables, INDEX(AG:AG, _xlfn.SEQUENCE(COUNTA($C$2:$C305), 1, 3, 4)),
  _xlpm.nbparties, COUNTA(_xlfn._xlws.FILTER(_xlpm.ptstables, _xlpm.ptstables &lt;&gt; "")),
  _xlpm.coef, _xlpm.K + _xlpm.Knewgain / (_xlpm.Knewscale + _xlpm.nbparties),
  IF(AG303="",
    "",
    _xlpm.coef * (AG303-AG304))
)</f>
        <v/>
      </c>
      <c r="AH305" t="str" cm="1">
        <f t="array" ref="AH305">_xlfn.LET(
  _xlpm.K, Constantes!$B$3,
  _xlpm.Knewgain, Constantes!$B$4,
  _xlpm.Knewscale, Constantes!$B$5,
  _xlpm.ptstables, INDEX(AH:AH, _xlfn.SEQUENCE(COUNTA($C$2:$C305), 1, 3, 4)),
  _xlpm.nbparties, COUNTA(_xlfn._xlws.FILTER(_xlpm.ptstables, _xlpm.ptstables &lt;&gt; "")),
  _xlpm.coef, _xlpm.K + _xlpm.Knewgain / (_xlpm.Knewscale + _xlpm.nbparties),
  IF(AH303="",
    "",
    _xlpm.coef * (AH303-AH304))
)</f>
        <v/>
      </c>
      <c r="AI305" t="str" cm="1">
        <f t="array" ref="AI305">_xlfn.LET(
  _xlpm.K, Constantes!$B$3,
  _xlpm.Knewgain, Constantes!$B$4,
  _xlpm.Knewscale, Constantes!$B$5,
  _xlpm.ptstables, INDEX(AI:AI, _xlfn.SEQUENCE(COUNTA($C$2:$C305), 1, 3, 4)),
  _xlpm.nbparties, COUNTA(_xlfn._xlws.FILTER(_xlpm.ptstables, _xlpm.ptstables &lt;&gt; "")),
  _xlpm.coef, _xlpm.K + _xlpm.Knewgain / (_xlpm.Knewscale + _xlpm.nbparties),
  IF(AI303="",
    "",
    _xlpm.coef * (AI303-AI304))
)</f>
        <v/>
      </c>
      <c r="AJ305" t="str" cm="1">
        <f t="array" ref="AJ305">_xlfn.LET(
  _xlpm.K, Constantes!$B$3,
  _xlpm.Knewgain, Constantes!$B$4,
  _xlpm.Knewscale, Constantes!$B$5,
  _xlpm.ptstables, INDEX(AJ:AJ, _xlfn.SEQUENCE(COUNTA($C$2:$C305), 1, 3, 4)),
  _xlpm.nbparties, COUNTA(_xlfn._xlws.FILTER(_xlpm.ptstables, _xlpm.ptstables &lt;&gt; "")),
  _xlpm.coef, _xlpm.K + _xlpm.Knewgain / (_xlpm.Knewscale + _xlpm.nbparties),
  IF(AJ303="",
    "",
    _xlpm.coef * (AJ303-AJ304))
)</f>
        <v/>
      </c>
      <c r="AK305" t="str" cm="1">
        <f t="array" ref="AK305">_xlfn.LET(
  _xlpm.K, Constantes!$B$3,
  _xlpm.Knewgain, Constantes!$B$4,
  _xlpm.Knewscale, Constantes!$B$5,
  _xlpm.ptstables, INDEX(AK:AK, _xlfn.SEQUENCE(COUNTA($C$2:$C305), 1, 3, 4)),
  _xlpm.nbparties, COUNTA(_xlfn._xlws.FILTER(_xlpm.ptstables, _xlpm.ptstables &lt;&gt; "")),
  _xlpm.coef, _xlpm.K + _xlpm.Knewgain / (_xlpm.Knewscale + _xlpm.nbparties),
  IF(AK303="",
    "",
    _xlpm.coef * (AK303-AK304))
)</f>
        <v/>
      </c>
      <c r="AL305" t="str" cm="1">
        <f t="array" ref="AL305">_xlfn.LET(
  _xlpm.K, Constantes!$B$3,
  _xlpm.Knewgain, Constantes!$B$4,
  _xlpm.Knewscale, Constantes!$B$5,
  _xlpm.ptstables, INDEX(AL:AL, _xlfn.SEQUENCE(COUNTA($C$2:$C305), 1, 3, 4)),
  _xlpm.nbparties, COUNTA(_xlfn._xlws.FILTER(_xlpm.ptstables, _xlpm.ptstables &lt;&gt; "")),
  _xlpm.coef, _xlpm.K + _xlpm.Knewgain / (_xlpm.Knewscale + _xlpm.nbparties),
  IF(AL303="",
    "",
    _xlpm.coef * (AL303-AL304))
)</f>
        <v/>
      </c>
      <c r="AM305" t="str" cm="1">
        <f t="array" ref="AM305">_xlfn.LET(
  _xlpm.K, Constantes!$B$3,
  _xlpm.Knewgain, Constantes!$B$4,
  _xlpm.Knewscale, Constantes!$B$5,
  _xlpm.ptstables, INDEX(AM:AM, _xlfn.SEQUENCE(COUNTA($C$2:$C305), 1, 3, 4)),
  _xlpm.nbparties, COUNTA(_xlfn._xlws.FILTER(_xlpm.ptstables, _xlpm.ptstables &lt;&gt; "")),
  _xlpm.coef, _xlpm.K + _xlpm.Knewgain / (_xlpm.Knewscale + _xlpm.nbparties),
  IF(AM303="",
    "",
    _xlpm.coef * (AM303-AM304))
)</f>
        <v/>
      </c>
    </row>
    <row r="306" spans="1:39" x14ac:dyDescent="0.25">
      <c r="A306" t="s">
        <v>14</v>
      </c>
      <c r="B306" t="str" cm="1">
        <f t="array" ref="B30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74</v>
      </c>
      <c r="C306" s="2" cm="1">
        <f t="array" ref="C306">IF(B306="","",
  INDEX(Donnees!F:F, MATCH(B306, Donnees!F:F, 0)+1))</f>
        <v>45948.62295138889</v>
      </c>
      <c r="D306">
        <f t="shared" ref="D306:AM306" si="84">D302+IF(D305="",0,D305)</f>
        <v>996.77629440361773</v>
      </c>
      <c r="E306">
        <f t="shared" si="84"/>
        <v>1095.6997652278242</v>
      </c>
      <c r="F306">
        <f t="shared" si="84"/>
        <v>872.24944098785784</v>
      </c>
      <c r="G306">
        <f t="shared" si="84"/>
        <v>1118.8779378975084</v>
      </c>
      <c r="H306">
        <f t="shared" si="84"/>
        <v>1139.7553269432372</v>
      </c>
      <c r="I306">
        <f t="shared" si="84"/>
        <v>921.73391621154246</v>
      </c>
      <c r="J306">
        <f t="shared" si="84"/>
        <v>1010.9125108504293</v>
      </c>
      <c r="K306">
        <f t="shared" si="84"/>
        <v>993.90254614824482</v>
      </c>
      <c r="L306">
        <f t="shared" si="84"/>
        <v>799.13054339146868</v>
      </c>
      <c r="M306">
        <f t="shared" si="84"/>
        <v>913.41986361738122</v>
      </c>
      <c r="N306">
        <f t="shared" si="84"/>
        <v>884.64725986469603</v>
      </c>
      <c r="O306">
        <f t="shared" si="84"/>
        <v>998.21178722110983</v>
      </c>
      <c r="P306">
        <f t="shared" si="84"/>
        <v>1044.694691960626</v>
      </c>
      <c r="Q306">
        <f t="shared" si="84"/>
        <v>1050.1062561870472</v>
      </c>
      <c r="R306">
        <f t="shared" si="84"/>
        <v>1061.418521473061</v>
      </c>
      <c r="S306">
        <f t="shared" si="84"/>
        <v>950.00980009229818</v>
      </c>
      <c r="T306">
        <f t="shared" si="84"/>
        <v>1153.43058185823</v>
      </c>
      <c r="U306">
        <f t="shared" si="84"/>
        <v>1185.0959893708045</v>
      </c>
      <c r="V306">
        <f t="shared" si="84"/>
        <v>951.23563726152827</v>
      </c>
      <c r="W306">
        <f t="shared" si="84"/>
        <v>878.34938707385118</v>
      </c>
      <c r="X306">
        <f t="shared" si="84"/>
        <v>828.97598039785271</v>
      </c>
      <c r="Y306">
        <f t="shared" si="84"/>
        <v>903.14348714035714</v>
      </c>
      <c r="Z306">
        <f t="shared" si="84"/>
        <v>1014.9842157161213</v>
      </c>
      <c r="AA306">
        <f t="shared" si="84"/>
        <v>1013.2336433989657</v>
      </c>
      <c r="AB306">
        <f t="shared" si="84"/>
        <v>988.35669729544747</v>
      </c>
      <c r="AC306">
        <f t="shared" si="84"/>
        <v>1061.6930275647865</v>
      </c>
      <c r="AD306">
        <f t="shared" si="84"/>
        <v>1100.7833811935423</v>
      </c>
      <c r="AE306">
        <f t="shared" si="84"/>
        <v>963.23981965000235</v>
      </c>
      <c r="AF306">
        <f t="shared" si="84"/>
        <v>1094.8196847516158</v>
      </c>
      <c r="AG306">
        <f t="shared" si="84"/>
        <v>958.23078604304851</v>
      </c>
      <c r="AH306">
        <f t="shared" si="84"/>
        <v>920.4412636682855</v>
      </c>
      <c r="AI306">
        <f t="shared" si="84"/>
        <v>885.10468670997182</v>
      </c>
      <c r="AJ306">
        <f t="shared" si="84"/>
        <v>906.86354201913434</v>
      </c>
      <c r="AK306">
        <f t="shared" si="84"/>
        <v>1074.0069367206956</v>
      </c>
      <c r="AL306">
        <f t="shared" si="84"/>
        <v>1025.7817971572972</v>
      </c>
      <c r="AM306">
        <f t="shared" si="84"/>
        <v>1000</v>
      </c>
    </row>
    <row r="307" spans="1:39" x14ac:dyDescent="0.25">
      <c r="A307" t="s">
        <v>21</v>
      </c>
      <c r="D307" t="str" cm="1">
        <f t="array" ref="D307">IFERROR(
  _xlfn.LET(
    _xlpm.ligpartie, MATCH($B306, Donnees!$F:$F, 0),
    _xlpm.joueurs, INDEX(Donnees!$A:$Z, _xlpm.ligpartie+1, _xlfn.SEQUENCE(1, 4, 2)),
    INDEX(
      Donnees!$A:$Z,
      _xlpm.ligpartie + 3,
      MATCH(D$1, _xlpm.joueurs, 0) + 1
    )
  ), ""
)</f>
        <v/>
      </c>
      <c r="E307" t="str" cm="1">
        <f t="array" ref="E307">IFERROR(
  _xlfn.LET(
    _xlpm.ligpartie, MATCH($B306, Donnees!$F:$F, 0),
    _xlpm.joueurs, INDEX(Donnees!$A:$Z, _xlpm.ligpartie+1, _xlfn.SEQUENCE(1, 4, 2)),
    INDEX(
      Donnees!$A:$Z,
      _xlpm.ligpartie + 3,
      MATCH(E$1, _xlpm.joueurs, 0) + 1
    )
  ), ""
)</f>
        <v/>
      </c>
      <c r="F307" t="str" cm="1">
        <f t="array" ref="F307">IFERROR(
  _xlfn.LET(
    _xlpm.ligpartie, MATCH($B306, Donnees!$F:$F, 0),
    _xlpm.joueurs, INDEX(Donnees!$A:$Z, _xlpm.ligpartie+1, _xlfn.SEQUENCE(1, 4, 2)),
    INDEX(
      Donnees!$A:$Z,
      _xlpm.ligpartie + 3,
      MATCH(F$1, _xlpm.joueurs, 0) + 1
    )
  ), ""
)</f>
        <v/>
      </c>
      <c r="G307" cm="1">
        <f t="array" ref="G307">IFERROR(
  _xlfn.LET(
    _xlpm.ligpartie, MATCH($B306, Donnees!$F:$F, 0),
    _xlpm.joueurs, INDEX(Donnees!$A:$Z, _xlpm.ligpartie+1, _xlfn.SEQUENCE(1, 4, 2)),
    INDEX(
      Donnees!$A:$Z,
      _xlpm.ligpartie + 3,
      MATCH(G$1, _xlpm.joueurs, 0) + 1
    )
  ), ""
)</f>
        <v>2</v>
      </c>
      <c r="H307" t="str" cm="1">
        <f t="array" ref="H307">IFERROR(
  _xlfn.LET(
    _xlpm.ligpartie, MATCH($B306, Donnees!$F:$F, 0),
    _xlpm.joueurs, INDEX(Donnees!$A:$Z, _xlpm.ligpartie+1, _xlfn.SEQUENCE(1, 4, 2)),
    INDEX(
      Donnees!$A:$Z,
      _xlpm.ligpartie + 3,
      MATCH(H$1, _xlpm.joueurs, 0) + 1
    )
  ), ""
)</f>
        <v/>
      </c>
      <c r="I307" t="str" cm="1">
        <f t="array" ref="I307">IFERROR(
  _xlfn.LET(
    _xlpm.ligpartie, MATCH($B306, Donnees!$F:$F, 0),
    _xlpm.joueurs, INDEX(Donnees!$A:$Z, _xlpm.ligpartie+1, _xlfn.SEQUENCE(1, 4, 2)),
    INDEX(
      Donnees!$A:$Z,
      _xlpm.ligpartie + 3,
      MATCH(I$1, _xlpm.joueurs, 0) + 1
    )
  ), ""
)</f>
        <v/>
      </c>
      <c r="J307" t="str" cm="1">
        <f t="array" ref="J307">IFERROR(
  _xlfn.LET(
    _xlpm.ligpartie, MATCH($B306, Donnees!$F:$F, 0),
    _xlpm.joueurs, INDEX(Donnees!$A:$Z, _xlpm.ligpartie+1, _xlfn.SEQUENCE(1, 4, 2)),
    INDEX(
      Donnees!$A:$Z,
      _xlpm.ligpartie + 3,
      MATCH(J$1, _xlpm.joueurs, 0) + 1
    )
  ), ""
)</f>
        <v/>
      </c>
      <c r="K307" t="str" cm="1">
        <f t="array" ref="K307">IFERROR(
  _xlfn.LET(
    _xlpm.ligpartie, MATCH($B306, Donnees!$F:$F, 0),
    _xlpm.joueurs, INDEX(Donnees!$A:$Z, _xlpm.ligpartie+1, _xlfn.SEQUENCE(1, 4, 2)),
    INDEX(
      Donnees!$A:$Z,
      _xlpm.ligpartie + 3,
      MATCH(K$1, _xlpm.joueurs, 0) + 1
    )
  ), ""
)</f>
        <v/>
      </c>
      <c r="L307" t="str" cm="1">
        <f t="array" ref="L307">IFERROR(
  _xlfn.LET(
    _xlpm.ligpartie, MATCH($B306, Donnees!$F:$F, 0),
    _xlpm.joueurs, INDEX(Donnees!$A:$Z, _xlpm.ligpartie+1, _xlfn.SEQUENCE(1, 4, 2)),
    INDEX(
      Donnees!$A:$Z,
      _xlpm.ligpartie + 3,
      MATCH(L$1, _xlpm.joueurs, 0) + 1
    )
  ), ""
)</f>
        <v/>
      </c>
      <c r="M307" t="str" cm="1">
        <f t="array" ref="M307">IFERROR(
  _xlfn.LET(
    _xlpm.ligpartie, MATCH($B306, Donnees!$F:$F, 0),
    _xlpm.joueurs, INDEX(Donnees!$A:$Z, _xlpm.ligpartie+1, _xlfn.SEQUENCE(1, 4, 2)),
    INDEX(
      Donnees!$A:$Z,
      _xlpm.ligpartie + 3,
      MATCH(M$1, _xlpm.joueurs, 0) + 1
    )
  ), ""
)</f>
        <v/>
      </c>
      <c r="N307" t="str" cm="1">
        <f t="array" ref="N307">IFERROR(
  _xlfn.LET(
    _xlpm.ligpartie, MATCH($B306, Donnees!$F:$F, 0),
    _xlpm.joueurs, INDEX(Donnees!$A:$Z, _xlpm.ligpartie+1, _xlfn.SEQUENCE(1, 4, 2)),
    INDEX(
      Donnees!$A:$Z,
      _xlpm.ligpartie + 3,
      MATCH(N$1, _xlpm.joueurs, 0) + 1
    )
  ), ""
)</f>
        <v/>
      </c>
      <c r="O307" t="str" cm="1">
        <f t="array" ref="O307">IFERROR(
  _xlfn.LET(
    _xlpm.ligpartie, MATCH($B306, Donnees!$F:$F, 0),
    _xlpm.joueurs, INDEX(Donnees!$A:$Z, _xlpm.ligpartie+1, _xlfn.SEQUENCE(1, 4, 2)),
    INDEX(
      Donnees!$A:$Z,
      _xlpm.ligpartie + 3,
      MATCH(O$1, _xlpm.joueurs, 0) + 1
    )
  ), ""
)</f>
        <v/>
      </c>
      <c r="P307" cm="1">
        <f t="array" ref="P307">IFERROR(
  _xlfn.LET(
    _xlpm.ligpartie, MATCH($B306, Donnees!$F:$F, 0),
    _xlpm.joueurs, INDEX(Donnees!$A:$Z, _xlpm.ligpartie+1, _xlfn.SEQUENCE(1, 4, 2)),
    INDEX(
      Donnees!$A:$Z,
      _xlpm.ligpartie + 3,
      MATCH(P$1, _xlpm.joueurs, 0) + 1
    )
  ), ""
)</f>
        <v>0</v>
      </c>
      <c r="Q307" t="str" cm="1">
        <f t="array" ref="Q307">IFERROR(
  _xlfn.LET(
    _xlpm.ligpartie, MATCH($B306, Donnees!$F:$F, 0),
    _xlpm.joueurs, INDEX(Donnees!$A:$Z, _xlpm.ligpartie+1, _xlfn.SEQUENCE(1, 4, 2)),
    INDEX(
      Donnees!$A:$Z,
      _xlpm.ligpartie + 3,
      MATCH(Q$1, _xlpm.joueurs, 0) + 1
    )
  ), ""
)</f>
        <v/>
      </c>
      <c r="R307" t="str" cm="1">
        <f t="array" ref="R307">IFERROR(
  _xlfn.LET(
    _xlpm.ligpartie, MATCH($B306, Donnees!$F:$F, 0),
    _xlpm.joueurs, INDEX(Donnees!$A:$Z, _xlpm.ligpartie+1, _xlfn.SEQUENCE(1, 4, 2)),
    INDEX(
      Donnees!$A:$Z,
      _xlpm.ligpartie + 3,
      MATCH(R$1, _xlpm.joueurs, 0) + 1
    )
  ), ""
)</f>
        <v/>
      </c>
      <c r="S307" t="str" cm="1">
        <f t="array" ref="S307">IFERROR(
  _xlfn.LET(
    _xlpm.ligpartie, MATCH($B306, Donnees!$F:$F, 0),
    _xlpm.joueurs, INDEX(Donnees!$A:$Z, _xlpm.ligpartie+1, _xlfn.SEQUENCE(1, 4, 2)),
    INDEX(
      Donnees!$A:$Z,
      _xlpm.ligpartie + 3,
      MATCH(S$1, _xlpm.joueurs, 0) + 1
    )
  ), ""
)</f>
        <v/>
      </c>
      <c r="T307" t="str" cm="1">
        <f t="array" ref="T307">IFERROR(
  _xlfn.LET(
    _xlpm.ligpartie, MATCH($B306, Donnees!$F:$F, 0),
    _xlpm.joueurs, INDEX(Donnees!$A:$Z, _xlpm.ligpartie+1, _xlfn.SEQUENCE(1, 4, 2)),
    INDEX(
      Donnees!$A:$Z,
      _xlpm.ligpartie + 3,
      MATCH(T$1, _xlpm.joueurs, 0) + 1
    )
  ), ""
)</f>
        <v/>
      </c>
      <c r="U307" t="str" cm="1">
        <f t="array" ref="U307">IFERROR(
  _xlfn.LET(
    _xlpm.ligpartie, MATCH($B306, Donnees!$F:$F, 0),
    _xlpm.joueurs, INDEX(Donnees!$A:$Z, _xlpm.ligpartie+1, _xlfn.SEQUENCE(1, 4, 2)),
    INDEX(
      Donnees!$A:$Z,
      _xlpm.ligpartie + 3,
      MATCH(U$1, _xlpm.joueurs, 0) + 1
    )
  ), ""
)</f>
        <v/>
      </c>
      <c r="V307" t="str" cm="1">
        <f t="array" ref="V307">IFERROR(
  _xlfn.LET(
    _xlpm.ligpartie, MATCH($B306, Donnees!$F:$F, 0),
    _xlpm.joueurs, INDEX(Donnees!$A:$Z, _xlpm.ligpartie+1, _xlfn.SEQUENCE(1, 4, 2)),
    INDEX(
      Donnees!$A:$Z,
      _xlpm.ligpartie + 3,
      MATCH(V$1, _xlpm.joueurs, 0) + 1
    )
  ), ""
)</f>
        <v/>
      </c>
      <c r="W307" t="str" cm="1">
        <f t="array" ref="W307">IFERROR(
  _xlfn.LET(
    _xlpm.ligpartie, MATCH($B306, Donnees!$F:$F, 0),
    _xlpm.joueurs, INDEX(Donnees!$A:$Z, _xlpm.ligpartie+1, _xlfn.SEQUENCE(1, 4, 2)),
    INDEX(
      Donnees!$A:$Z,
      _xlpm.ligpartie + 3,
      MATCH(W$1, _xlpm.joueurs, 0) + 1
    )
  ), ""
)</f>
        <v/>
      </c>
      <c r="X307" t="str" cm="1">
        <f t="array" ref="X307">IFERROR(
  _xlfn.LET(
    _xlpm.ligpartie, MATCH($B306, Donnees!$F:$F, 0),
    _xlpm.joueurs, INDEX(Donnees!$A:$Z, _xlpm.ligpartie+1, _xlfn.SEQUENCE(1, 4, 2)),
    INDEX(
      Donnees!$A:$Z,
      _xlpm.ligpartie + 3,
      MATCH(X$1, _xlpm.joueurs, 0) + 1
    )
  ), ""
)</f>
        <v/>
      </c>
      <c r="Y307" t="str" cm="1">
        <f t="array" ref="Y307">IFERROR(
  _xlfn.LET(
    _xlpm.ligpartie, MATCH($B306, Donnees!$F:$F, 0),
    _xlpm.joueurs, INDEX(Donnees!$A:$Z, _xlpm.ligpartie+1, _xlfn.SEQUENCE(1, 4, 2)),
    INDEX(
      Donnees!$A:$Z,
      _xlpm.ligpartie + 3,
      MATCH(Y$1, _xlpm.joueurs, 0) + 1
    )
  ), ""
)</f>
        <v/>
      </c>
      <c r="Z307" t="str" cm="1">
        <f t="array" ref="Z307">IFERROR(
  _xlfn.LET(
    _xlpm.ligpartie, MATCH($B306, Donnees!$F:$F, 0),
    _xlpm.joueurs, INDEX(Donnees!$A:$Z, _xlpm.ligpartie+1, _xlfn.SEQUENCE(1, 4, 2)),
    INDEX(
      Donnees!$A:$Z,
      _xlpm.ligpartie + 3,
      MATCH(Z$1, _xlpm.joueurs, 0) + 1
    )
  ), ""
)</f>
        <v/>
      </c>
      <c r="AA307" t="str" cm="1">
        <f t="array" ref="AA307">IFERROR(
  _xlfn.LET(
    _xlpm.ligpartie, MATCH($B306, Donnees!$F:$F, 0),
    _xlpm.joueurs, INDEX(Donnees!$A:$Z, _xlpm.ligpartie+1, _xlfn.SEQUENCE(1, 4, 2)),
    INDEX(
      Donnees!$A:$Z,
      _xlpm.ligpartie + 3,
      MATCH(AA$1, _xlpm.joueurs, 0) + 1
    )
  ), ""
)</f>
        <v/>
      </c>
      <c r="AB307" t="str" cm="1">
        <f t="array" ref="AB307">IFERROR(
  _xlfn.LET(
    _xlpm.ligpartie, MATCH($B306, Donnees!$F:$F, 0),
    _xlpm.joueurs, INDEX(Donnees!$A:$Z, _xlpm.ligpartie+1, _xlfn.SEQUENCE(1, 4, 2)),
    INDEX(
      Donnees!$A:$Z,
      _xlpm.ligpartie + 3,
      MATCH(AB$1, _xlpm.joueurs, 0) + 1
    )
  ), ""
)</f>
        <v/>
      </c>
      <c r="AC307" cm="1">
        <f t="array" ref="AC307">IFERROR(
  _xlfn.LET(
    _xlpm.ligpartie, MATCH($B306, Donnees!$F:$F, 0),
    _xlpm.joueurs, INDEX(Donnees!$A:$Z, _xlpm.ligpartie+1, _xlfn.SEQUENCE(1, 4, 2)),
    INDEX(
      Donnees!$A:$Z,
      _xlpm.ligpartie + 3,
      MATCH(AC$1, _xlpm.joueurs, 0) + 1
    )
  ), ""
)</f>
        <v>3</v>
      </c>
      <c r="AD307" t="str" cm="1">
        <f t="array" ref="AD307">IFERROR(
  _xlfn.LET(
    _xlpm.ligpartie, MATCH($B306, Donnees!$F:$F, 0),
    _xlpm.joueurs, INDEX(Donnees!$A:$Z, _xlpm.ligpartie+1, _xlfn.SEQUENCE(1, 4, 2)),
    INDEX(
      Donnees!$A:$Z,
      _xlpm.ligpartie + 3,
      MATCH(AD$1, _xlpm.joueurs, 0) + 1
    )
  ), ""
)</f>
        <v/>
      </c>
      <c r="AE307" t="str" cm="1">
        <f t="array" ref="AE307">IFERROR(
  _xlfn.LET(
    _xlpm.ligpartie, MATCH($B306, Donnees!$F:$F, 0),
    _xlpm.joueurs, INDEX(Donnees!$A:$Z, _xlpm.ligpartie+1, _xlfn.SEQUENCE(1, 4, 2)),
    INDEX(
      Donnees!$A:$Z,
      _xlpm.ligpartie + 3,
      MATCH(AE$1, _xlpm.joueurs, 0) + 1
    )
  ), ""
)</f>
        <v/>
      </c>
      <c r="AF307" t="str" cm="1">
        <f t="array" ref="AF307">IFERROR(
  _xlfn.LET(
    _xlpm.ligpartie, MATCH($B306, Donnees!$F:$F, 0),
    _xlpm.joueurs, INDEX(Donnees!$A:$Z, _xlpm.ligpartie+1, _xlfn.SEQUENCE(1, 4, 2)),
    INDEX(
      Donnees!$A:$Z,
      _xlpm.ligpartie + 3,
      MATCH(AF$1, _xlpm.joueurs, 0) + 1
    )
  ), ""
)</f>
        <v/>
      </c>
      <c r="AG307" t="str" cm="1">
        <f t="array" ref="AG307">IFERROR(
  _xlfn.LET(
    _xlpm.ligpartie, MATCH($B306, Donnees!$F:$F, 0),
    _xlpm.joueurs, INDEX(Donnees!$A:$Z, _xlpm.ligpartie+1, _xlfn.SEQUENCE(1, 4, 2)),
    INDEX(
      Donnees!$A:$Z,
      _xlpm.ligpartie + 3,
      MATCH(AG$1, _xlpm.joueurs, 0) + 1
    )
  ), ""
)</f>
        <v/>
      </c>
      <c r="AH307" t="str" cm="1">
        <f t="array" ref="AH307">IFERROR(
  _xlfn.LET(
    _xlpm.ligpartie, MATCH($B306, Donnees!$F:$F, 0),
    _xlpm.joueurs, INDEX(Donnees!$A:$Z, _xlpm.ligpartie+1, _xlfn.SEQUENCE(1, 4, 2)),
    INDEX(
      Donnees!$A:$Z,
      _xlpm.ligpartie + 3,
      MATCH(AH$1, _xlpm.joueurs, 0) + 1
    )
  ), ""
)</f>
        <v/>
      </c>
      <c r="AI307" cm="1">
        <f t="array" ref="AI307">IFERROR(
  _xlfn.LET(
    _xlpm.ligpartie, MATCH($B306, Donnees!$F:$F, 0),
    _xlpm.joueurs, INDEX(Donnees!$A:$Z, _xlpm.ligpartie+1, _xlfn.SEQUENCE(1, 4, 2)),
    INDEX(
      Donnees!$A:$Z,
      _xlpm.ligpartie + 3,
      MATCH(AI$1, _xlpm.joueurs, 0) + 1
    )
  ), ""
)</f>
        <v>1</v>
      </c>
      <c r="AJ307" t="str" cm="1">
        <f t="array" ref="AJ307">IFERROR(
  _xlfn.LET(
    _xlpm.ligpartie, MATCH($B306, Donnees!$F:$F, 0),
    _xlpm.joueurs, INDEX(Donnees!$A:$Z, _xlpm.ligpartie+1, _xlfn.SEQUENCE(1, 4, 2)),
    INDEX(
      Donnees!$A:$Z,
      _xlpm.ligpartie + 3,
      MATCH(AJ$1, _xlpm.joueurs, 0) + 1
    )
  ), ""
)</f>
        <v/>
      </c>
      <c r="AK307" t="str" cm="1">
        <f t="array" ref="AK307">IFERROR(
  _xlfn.LET(
    _xlpm.ligpartie, MATCH($B306, Donnees!$F:$F, 0),
    _xlpm.joueurs, INDEX(Donnees!$A:$Z, _xlpm.ligpartie+1, _xlfn.SEQUENCE(1, 4, 2)),
    INDEX(
      Donnees!$A:$Z,
      _xlpm.ligpartie + 3,
      MATCH(AK$1, _xlpm.joueurs, 0) + 1
    )
  ), ""
)</f>
        <v/>
      </c>
      <c r="AL307" t="str" cm="1">
        <f t="array" ref="AL307">IFERROR(
  _xlfn.LET(
    _xlpm.ligpartie, MATCH($B306, Donnees!$F:$F, 0),
    _xlpm.joueurs, INDEX(Donnees!$A:$Z, _xlpm.ligpartie+1, _xlfn.SEQUENCE(1, 4, 2)),
    INDEX(
      Donnees!$A:$Z,
      _xlpm.ligpartie + 3,
      MATCH(AL$1, _xlpm.joueurs, 0) + 1
    )
  ), ""
)</f>
        <v/>
      </c>
      <c r="AM307" t="str" cm="1">
        <f t="array" ref="AM307">IFERROR(
  _xlfn.LET(
    _xlpm.ligpartie, MATCH($B306, Donnees!$F:$F, 0),
    _xlpm.joueurs, INDEX(Donnees!$A:$Z, _xlpm.ligpartie+1, _xlfn.SEQUENCE(1, 4, 2)),
    INDEX(
      Donnees!$A:$Z,
      _xlpm.ligpartie + 3,
      MATCH(AM$1, _xlpm.joueurs, 0) + 1
    )
  ), ""
)</f>
        <v/>
      </c>
    </row>
    <row r="308" spans="1:39" x14ac:dyDescent="0.25">
      <c r="A308" t="s">
        <v>20</v>
      </c>
      <c r="D308" t="str" cm="1">
        <f t="array" ref="D308">_xlfn.LET(
  _xlpm.colj, _xlfn._xlws.FILTER(IF(ISNUMBER(307:307), COLUMN(307:307)), ISNUMBER(307:307)),
  _xlpm.elos, INDEX(306:306,1,_xlpm.colj),
  _xlpm.diffscale, Constantes!$B$2,
  IF(D307="",
    "",
    SUM(1/(1+POWER(10,-(D306-_xlpm.elos)/_xlpm.diffscale)))-0.5)
)</f>
        <v/>
      </c>
      <c r="E308" t="str" cm="1">
        <f t="array" ref="E308">_xlfn.LET(
  _xlpm.colj, _xlfn._xlws.FILTER(IF(ISNUMBER(307:307), COLUMN(307:307)), ISNUMBER(307:307)),
  _xlpm.elos, INDEX(306:306,1,_xlpm.colj),
  _xlpm.diffscale, Constantes!$B$2,
  IF(E307="",
    "",
    SUM(1/(1+POWER(10,-(E306-_xlpm.elos)/_xlpm.diffscale)))-0.5)
)</f>
        <v/>
      </c>
      <c r="F308" t="str" cm="1">
        <f t="array" ref="F308">_xlfn.LET(
  _xlpm.colj, _xlfn._xlws.FILTER(IF(ISNUMBER(307:307), COLUMN(307:307)), ISNUMBER(307:307)),
  _xlpm.elos, INDEX(306:306,1,_xlpm.colj),
  _xlpm.diffscale, Constantes!$B$2,
  IF(F307="",
    "",
    SUM(1/(1+POWER(10,-(F306-_xlpm.elos)/_xlpm.diffscale)))-0.5)
)</f>
        <v/>
      </c>
      <c r="G308" cm="1">
        <f t="array" ref="G308">_xlfn.LET(
  _xlpm.colj, _xlfn._xlws.FILTER(IF(ISNUMBER(307:307), COLUMN(307:307)), ISNUMBER(307:307)),
  _xlpm.elos, INDEX(306:306,1,_xlpm.colj),
  _xlpm.diffscale, Constantes!$B$2,
  IF(G307="",
    "",
    SUM(1/(1+POWER(10,-(G306-_xlpm.elos)/_xlpm.diffscale)))-0.5)
)</f>
        <v>1.9801523935853371</v>
      </c>
      <c r="H308" t="str" cm="1">
        <f t="array" ref="H308">_xlfn.LET(
  _xlpm.colj, _xlfn._xlws.FILTER(IF(ISNUMBER(307:307), COLUMN(307:307)), ISNUMBER(307:307)),
  _xlpm.elos, INDEX(306:306,1,_xlpm.colj),
  _xlpm.diffscale, Constantes!$B$2,
  IF(H307="",
    "",
    SUM(1/(1+POWER(10,-(H306-_xlpm.elos)/_xlpm.diffscale)))-0.5)
)</f>
        <v/>
      </c>
      <c r="I308" t="str" cm="1">
        <f t="array" ref="I308">_xlfn.LET(
  _xlpm.colj, _xlfn._xlws.FILTER(IF(ISNUMBER(307:307), COLUMN(307:307)), ISNUMBER(307:307)),
  _xlpm.elos, INDEX(306:306,1,_xlpm.colj),
  _xlpm.diffscale, Constantes!$B$2,
  IF(I307="",
    "",
    SUM(1/(1+POWER(10,-(I306-_xlpm.elos)/_xlpm.diffscale)))-0.5)
)</f>
        <v/>
      </c>
      <c r="J308" t="str" cm="1">
        <f t="array" ref="J308">_xlfn.LET(
  _xlpm.colj, _xlfn._xlws.FILTER(IF(ISNUMBER(307:307), COLUMN(307:307)), ISNUMBER(307:307)),
  _xlpm.elos, INDEX(306:306,1,_xlpm.colj),
  _xlpm.diffscale, Constantes!$B$2,
  IF(J307="",
    "",
    SUM(1/(1+POWER(10,-(J306-_xlpm.elos)/_xlpm.diffscale)))-0.5)
)</f>
        <v/>
      </c>
      <c r="K308" t="str" cm="1">
        <f t="array" ref="K308">_xlfn.LET(
  _xlpm.colj, _xlfn._xlws.FILTER(IF(ISNUMBER(307:307), COLUMN(307:307)), ISNUMBER(307:307)),
  _xlpm.elos, INDEX(306:306,1,_xlpm.colj),
  _xlpm.diffscale, Constantes!$B$2,
  IF(K307="",
    "",
    SUM(1/(1+POWER(10,-(K306-_xlpm.elos)/_xlpm.diffscale)))-0.5)
)</f>
        <v/>
      </c>
      <c r="L308" t="str" cm="1">
        <f t="array" ref="L308">_xlfn.LET(
  _xlpm.colj, _xlfn._xlws.FILTER(IF(ISNUMBER(307:307), COLUMN(307:307)), ISNUMBER(307:307)),
  _xlpm.elos, INDEX(306:306,1,_xlpm.colj),
  _xlpm.diffscale, Constantes!$B$2,
  IF(L307="",
    "",
    SUM(1/(1+POWER(10,-(L306-_xlpm.elos)/_xlpm.diffscale)))-0.5)
)</f>
        <v/>
      </c>
      <c r="M308" t="str" cm="1">
        <f t="array" ref="M308">_xlfn.LET(
  _xlpm.colj, _xlfn._xlws.FILTER(IF(ISNUMBER(307:307), COLUMN(307:307)), ISNUMBER(307:307)),
  _xlpm.elos, INDEX(306:306,1,_xlpm.colj),
  _xlpm.diffscale, Constantes!$B$2,
  IF(M307="",
    "",
    SUM(1/(1+POWER(10,-(M306-_xlpm.elos)/_xlpm.diffscale)))-0.5)
)</f>
        <v/>
      </c>
      <c r="N308" t="str" cm="1">
        <f t="array" ref="N308">_xlfn.LET(
  _xlpm.colj, _xlfn._xlws.FILTER(IF(ISNUMBER(307:307), COLUMN(307:307)), ISNUMBER(307:307)),
  _xlpm.elos, INDEX(306:306,1,_xlpm.colj),
  _xlpm.diffscale, Constantes!$B$2,
  IF(N307="",
    "",
    SUM(1/(1+POWER(10,-(N306-_xlpm.elos)/_xlpm.diffscale)))-0.5)
)</f>
        <v/>
      </c>
      <c r="O308" t="str" cm="1">
        <f t="array" ref="O308">_xlfn.LET(
  _xlpm.colj, _xlfn._xlws.FILTER(IF(ISNUMBER(307:307), COLUMN(307:307)), ISNUMBER(307:307)),
  _xlpm.elos, INDEX(306:306,1,_xlpm.colj),
  _xlpm.diffscale, Constantes!$B$2,
  IF(O307="",
    "",
    SUM(1/(1+POWER(10,-(O306-_xlpm.elos)/_xlpm.diffscale)))-0.5)
)</f>
        <v/>
      </c>
      <c r="P308" cm="1">
        <f t="array" ref="P308">_xlfn.LET(
  _xlpm.colj, _xlfn._xlws.FILTER(IF(ISNUMBER(307:307), COLUMN(307:307)), ISNUMBER(307:307)),
  _xlpm.elos, INDEX(306:306,1,_xlpm.colj),
  _xlpm.diffscale, Constantes!$B$2,
  IF(P307="",
    "",
    SUM(1/(1+POWER(10,-(P306-_xlpm.elos)/_xlpm.diffscale)))-0.5)
)</f>
        <v>1.5851637828999849</v>
      </c>
      <c r="Q308" t="str" cm="1">
        <f t="array" ref="Q308">_xlfn.LET(
  _xlpm.colj, _xlfn._xlws.FILTER(IF(ISNUMBER(307:307), COLUMN(307:307)), ISNUMBER(307:307)),
  _xlpm.elos, INDEX(306:306,1,_xlpm.colj),
  _xlpm.diffscale, Constantes!$B$2,
  IF(Q307="",
    "",
    SUM(1/(1+POWER(10,-(Q306-_xlpm.elos)/_xlpm.diffscale)))-0.5)
)</f>
        <v/>
      </c>
      <c r="R308" t="str" cm="1">
        <f t="array" ref="R308">_xlfn.LET(
  _xlpm.colj, _xlfn._xlws.FILTER(IF(ISNUMBER(307:307), COLUMN(307:307)), ISNUMBER(307:307)),
  _xlpm.elos, INDEX(306:306,1,_xlpm.colj),
  _xlpm.diffscale, Constantes!$B$2,
  IF(R307="",
    "",
    SUM(1/(1+POWER(10,-(R306-_xlpm.elos)/_xlpm.diffscale)))-0.5)
)</f>
        <v/>
      </c>
      <c r="S308" t="str" cm="1">
        <f t="array" ref="S308">_xlfn.LET(
  _xlpm.colj, _xlfn._xlws.FILTER(IF(ISNUMBER(307:307), COLUMN(307:307)), ISNUMBER(307:307)),
  _xlpm.elos, INDEX(306:306,1,_xlpm.colj),
  _xlpm.diffscale, Constantes!$B$2,
  IF(S307="",
    "",
    SUM(1/(1+POWER(10,-(S306-_xlpm.elos)/_xlpm.diffscale)))-0.5)
)</f>
        <v/>
      </c>
      <c r="T308" t="str" cm="1">
        <f t="array" ref="T308">_xlfn.LET(
  _xlpm.colj, _xlfn._xlws.FILTER(IF(ISNUMBER(307:307), COLUMN(307:307)), ISNUMBER(307:307)),
  _xlpm.elos, INDEX(306:306,1,_xlpm.colj),
  _xlpm.diffscale, Constantes!$B$2,
  IF(T307="",
    "",
    SUM(1/(1+POWER(10,-(T306-_xlpm.elos)/_xlpm.diffscale)))-0.5)
)</f>
        <v/>
      </c>
      <c r="U308" t="str" cm="1">
        <f t="array" ref="U308">_xlfn.LET(
  _xlpm.colj, _xlfn._xlws.FILTER(IF(ISNUMBER(307:307), COLUMN(307:307)), ISNUMBER(307:307)),
  _xlpm.elos, INDEX(306:306,1,_xlpm.colj),
  _xlpm.diffscale, Constantes!$B$2,
  IF(U307="",
    "",
    SUM(1/(1+POWER(10,-(U306-_xlpm.elos)/_xlpm.diffscale)))-0.5)
)</f>
        <v/>
      </c>
      <c r="V308" t="str" cm="1">
        <f t="array" ref="V308">_xlfn.LET(
  _xlpm.colj, _xlfn._xlws.FILTER(IF(ISNUMBER(307:307), COLUMN(307:307)), ISNUMBER(307:307)),
  _xlpm.elos, INDEX(306:306,1,_xlpm.colj),
  _xlpm.diffscale, Constantes!$B$2,
  IF(V307="",
    "",
    SUM(1/(1+POWER(10,-(V306-_xlpm.elos)/_xlpm.diffscale)))-0.5)
)</f>
        <v/>
      </c>
      <c r="W308" t="str" cm="1">
        <f t="array" ref="W308">_xlfn.LET(
  _xlpm.colj, _xlfn._xlws.FILTER(IF(ISNUMBER(307:307), COLUMN(307:307)), ISNUMBER(307:307)),
  _xlpm.elos, INDEX(306:306,1,_xlpm.colj),
  _xlpm.diffscale, Constantes!$B$2,
  IF(W307="",
    "",
    SUM(1/(1+POWER(10,-(W306-_xlpm.elos)/_xlpm.diffscale)))-0.5)
)</f>
        <v/>
      </c>
      <c r="X308" t="str" cm="1">
        <f t="array" ref="X308">_xlfn.LET(
  _xlpm.colj, _xlfn._xlws.FILTER(IF(ISNUMBER(307:307), COLUMN(307:307)), ISNUMBER(307:307)),
  _xlpm.elos, INDEX(306:306,1,_xlpm.colj),
  _xlpm.diffscale, Constantes!$B$2,
  IF(X307="",
    "",
    SUM(1/(1+POWER(10,-(X306-_xlpm.elos)/_xlpm.diffscale)))-0.5)
)</f>
        <v/>
      </c>
      <c r="Y308" t="str" cm="1">
        <f t="array" ref="Y308">_xlfn.LET(
  _xlpm.colj, _xlfn._xlws.FILTER(IF(ISNUMBER(307:307), COLUMN(307:307)), ISNUMBER(307:307)),
  _xlpm.elos, INDEX(306:306,1,_xlpm.colj),
  _xlpm.diffscale, Constantes!$B$2,
  IF(Y307="",
    "",
    SUM(1/(1+POWER(10,-(Y306-_xlpm.elos)/_xlpm.diffscale)))-0.5)
)</f>
        <v/>
      </c>
      <c r="Z308" t="str" cm="1">
        <f t="array" ref="Z308">_xlfn.LET(
  _xlpm.colj, _xlfn._xlws.FILTER(IF(ISNUMBER(307:307), COLUMN(307:307)), ISNUMBER(307:307)),
  _xlpm.elos, INDEX(306:306,1,_xlpm.colj),
  _xlpm.diffscale, Constantes!$B$2,
  IF(Z307="",
    "",
    SUM(1/(1+POWER(10,-(Z306-_xlpm.elos)/_xlpm.diffscale)))-0.5)
)</f>
        <v/>
      </c>
      <c r="AA308" t="str" cm="1">
        <f t="array" ref="AA308">_xlfn.LET(
  _xlpm.colj, _xlfn._xlws.FILTER(IF(ISNUMBER(307:307), COLUMN(307:307)), ISNUMBER(307:307)),
  _xlpm.elos, INDEX(306:306,1,_xlpm.colj),
  _xlpm.diffscale, Constantes!$B$2,
  IF(AA307="",
    "",
    SUM(1/(1+POWER(10,-(AA306-_xlpm.elos)/_xlpm.diffscale)))-0.5)
)</f>
        <v/>
      </c>
      <c r="AB308" t="str" cm="1">
        <f t="array" ref="AB308">_xlfn.LET(
  _xlpm.colj, _xlfn._xlws.FILTER(IF(ISNUMBER(307:307), COLUMN(307:307)), ISNUMBER(307:307)),
  _xlpm.elos, INDEX(306:306,1,_xlpm.colj),
  _xlpm.diffscale, Constantes!$B$2,
  IF(AB307="",
    "",
    SUM(1/(1+POWER(10,-(AB306-_xlpm.elos)/_xlpm.diffscale)))-0.5)
)</f>
        <v/>
      </c>
      <c r="AC308" cm="1">
        <f t="array" ref="AC308">_xlfn.LET(
  _xlpm.colj, _xlfn._xlws.FILTER(IF(ISNUMBER(307:307), COLUMN(307:307)), ISNUMBER(307:307)),
  _xlpm.elos, INDEX(306:306,1,_xlpm.colj),
  _xlpm.diffscale, Constantes!$B$2,
  IF(AC307="",
    "",
    SUM(1/(1+POWER(10,-(AC306-_xlpm.elos)/_xlpm.diffscale)))-0.5)
)</f>
        <v>1.6771775477538506</v>
      </c>
      <c r="AD308" t="str" cm="1">
        <f t="array" ref="AD308">_xlfn.LET(
  _xlpm.colj, _xlfn._xlws.FILTER(IF(ISNUMBER(307:307), COLUMN(307:307)), ISNUMBER(307:307)),
  _xlpm.elos, INDEX(306:306,1,_xlpm.colj),
  _xlpm.diffscale, Constantes!$B$2,
  IF(AD307="",
    "",
    SUM(1/(1+POWER(10,-(AD306-_xlpm.elos)/_xlpm.diffscale)))-0.5)
)</f>
        <v/>
      </c>
      <c r="AE308" t="str" cm="1">
        <f t="array" ref="AE308">_xlfn.LET(
  _xlpm.colj, _xlfn._xlws.FILTER(IF(ISNUMBER(307:307), COLUMN(307:307)), ISNUMBER(307:307)),
  _xlpm.elos, INDEX(306:306,1,_xlpm.colj),
  _xlpm.diffscale, Constantes!$B$2,
  IF(AE307="",
    "",
    SUM(1/(1+POWER(10,-(AE306-_xlpm.elos)/_xlpm.diffscale)))-0.5)
)</f>
        <v/>
      </c>
      <c r="AF308" t="str" cm="1">
        <f t="array" ref="AF308">_xlfn.LET(
  _xlpm.colj, _xlfn._xlws.FILTER(IF(ISNUMBER(307:307), COLUMN(307:307)), ISNUMBER(307:307)),
  _xlpm.elos, INDEX(306:306,1,_xlpm.colj),
  _xlpm.diffscale, Constantes!$B$2,
  IF(AF307="",
    "",
    SUM(1/(1+POWER(10,-(AF306-_xlpm.elos)/_xlpm.diffscale)))-0.5)
)</f>
        <v/>
      </c>
      <c r="AG308" t="str" cm="1">
        <f t="array" ref="AG308">_xlfn.LET(
  _xlpm.colj, _xlfn._xlws.FILTER(IF(ISNUMBER(307:307), COLUMN(307:307)), ISNUMBER(307:307)),
  _xlpm.elos, INDEX(306:306,1,_xlpm.colj),
  _xlpm.diffscale, Constantes!$B$2,
  IF(AG307="",
    "",
    SUM(1/(1+POWER(10,-(AG306-_xlpm.elos)/_xlpm.diffscale)))-0.5)
)</f>
        <v/>
      </c>
      <c r="AH308" t="str" cm="1">
        <f t="array" ref="AH308">_xlfn.LET(
  _xlpm.colj, _xlfn._xlws.FILTER(IF(ISNUMBER(307:307), COLUMN(307:307)), ISNUMBER(307:307)),
  _xlpm.elos, INDEX(306:306,1,_xlpm.colj),
  _xlpm.diffscale, Constantes!$B$2,
  IF(AH307="",
    "",
    SUM(1/(1+POWER(10,-(AH306-_xlpm.elos)/_xlpm.diffscale)))-0.5)
)</f>
        <v/>
      </c>
      <c r="AI308" cm="1">
        <f t="array" ref="AI308">_xlfn.LET(
  _xlpm.colj, _xlfn._xlws.FILTER(IF(ISNUMBER(307:307), COLUMN(307:307)), ISNUMBER(307:307)),
  _xlpm.elos, INDEX(306:306,1,_xlpm.colj),
  _xlpm.diffscale, Constantes!$B$2,
  IF(AI307="",
    "",
    SUM(1/(1+POWER(10,-(AI306-_xlpm.elos)/_xlpm.diffscale)))-0.5)
)</f>
        <v>0.7575062757608273</v>
      </c>
      <c r="AJ308" t="str" cm="1">
        <f t="array" ref="AJ308">_xlfn.LET(
  _xlpm.colj, _xlfn._xlws.FILTER(IF(ISNUMBER(307:307), COLUMN(307:307)), ISNUMBER(307:307)),
  _xlpm.elos, INDEX(306:306,1,_xlpm.colj),
  _xlpm.diffscale, Constantes!$B$2,
  IF(AJ307="",
    "",
    SUM(1/(1+POWER(10,-(AJ306-_xlpm.elos)/_xlpm.diffscale)))-0.5)
)</f>
        <v/>
      </c>
      <c r="AK308" t="str" cm="1">
        <f t="array" ref="AK308">_xlfn.LET(
  _xlpm.colj, _xlfn._xlws.FILTER(IF(ISNUMBER(307:307), COLUMN(307:307)), ISNUMBER(307:307)),
  _xlpm.elos, INDEX(306:306,1,_xlpm.colj),
  _xlpm.diffscale, Constantes!$B$2,
  IF(AK307="",
    "",
    SUM(1/(1+POWER(10,-(AK306-_xlpm.elos)/_xlpm.diffscale)))-0.5)
)</f>
        <v/>
      </c>
      <c r="AL308" t="str" cm="1">
        <f t="array" ref="AL308">_xlfn.LET(
  _xlpm.colj, _xlfn._xlws.FILTER(IF(ISNUMBER(307:307), COLUMN(307:307)), ISNUMBER(307:307)),
  _xlpm.elos, INDEX(306:306,1,_xlpm.colj),
  _xlpm.diffscale, Constantes!$B$2,
  IF(AL307="",
    "",
    SUM(1/(1+POWER(10,-(AL306-_xlpm.elos)/_xlpm.diffscale)))-0.5)
)</f>
        <v/>
      </c>
      <c r="AM308" t="str" cm="1">
        <f t="array" ref="AM308">_xlfn.LET(
  _xlpm.colj, _xlfn._xlws.FILTER(IF(ISNUMBER(307:307), COLUMN(307:307)), ISNUMBER(307:307)),
  _xlpm.elos, INDEX(306:306,1,_xlpm.colj),
  _xlpm.diffscale, Constantes!$B$2,
  IF(AM307="",
    "",
    SUM(1/(1+POWER(10,-(AM306-_xlpm.elos)/_xlpm.diffscale)))-0.5)
)</f>
        <v/>
      </c>
    </row>
    <row r="309" spans="1:39" x14ac:dyDescent="0.25">
      <c r="A309" t="s">
        <v>22</v>
      </c>
      <c r="D309" t="str" cm="1">
        <f t="array" ref="D309">_xlfn.LET(
  _xlpm.K, Constantes!$B$3,
  _xlpm.Knewgain, Constantes!$B$4,
  _xlpm.Knewscale, Constantes!$B$5,
  _xlpm.ptstables, INDEX(D:D, _xlfn.SEQUENCE(COUNTA($C$2:$C309), 1, 3, 4)),
  _xlpm.nbparties, COUNTA(_xlfn._xlws.FILTER(_xlpm.ptstables, _xlpm.ptstables &lt;&gt; "")),
  _xlpm.coef, _xlpm.K + _xlpm.Knewgain / (_xlpm.Knewscale + _xlpm.nbparties),
  IF(D307="",
    "",
    _xlpm.coef * (D307-D308))
)</f>
        <v/>
      </c>
      <c r="E309" t="str" cm="1">
        <f t="array" ref="E309">_xlfn.LET(
  _xlpm.K, Constantes!$B$3,
  _xlpm.Knewgain, Constantes!$B$4,
  _xlpm.Knewscale, Constantes!$B$5,
  _xlpm.ptstables, INDEX(E:E, _xlfn.SEQUENCE(COUNTA($C$2:$C309), 1, 3, 4)),
  _xlpm.nbparties, COUNTA(_xlfn._xlws.FILTER(_xlpm.ptstables, _xlpm.ptstables &lt;&gt; "")),
  _xlpm.coef, _xlpm.K + _xlpm.Knewgain / (_xlpm.Knewscale + _xlpm.nbparties),
  IF(E307="",
    "",
    _xlpm.coef * (E307-E308))
)</f>
        <v/>
      </c>
      <c r="F309" t="str" cm="1">
        <f t="array" ref="F309">_xlfn.LET(
  _xlpm.K, Constantes!$B$3,
  _xlpm.Knewgain, Constantes!$B$4,
  _xlpm.Knewscale, Constantes!$B$5,
  _xlpm.ptstables, INDEX(F:F, _xlfn.SEQUENCE(COUNTA($C$2:$C309), 1, 3, 4)),
  _xlpm.nbparties, COUNTA(_xlfn._xlws.FILTER(_xlpm.ptstables, _xlpm.ptstables &lt;&gt; "")),
  _xlpm.coef, _xlpm.K + _xlpm.Knewgain / (_xlpm.Knewscale + _xlpm.nbparties),
  IF(F307="",
    "",
    _xlpm.coef * (F307-F308))
)</f>
        <v/>
      </c>
      <c r="G309" cm="1">
        <f t="array" ref="G309">_xlfn.LET(
  _xlpm.K, Constantes!$B$3,
  _xlpm.Knewgain, Constantes!$B$4,
  _xlpm.Knewscale, Constantes!$B$5,
  _xlpm.ptstables, INDEX(G:G, _xlfn.SEQUENCE(COUNTA($C$2:$C309), 1, 3, 4)),
  _xlpm.nbparties, COUNTA(_xlfn._xlws.FILTER(_xlpm.ptstables, _xlpm.ptstables &lt;&gt; "")),
  _xlpm.coef, _xlpm.K + _xlpm.Knewgain / (_xlpm.Knewscale + _xlpm.nbparties),
  IF(G307="",
    "",
    _xlpm.coef * (G307-G308))
)</f>
        <v>0.43830130832380521</v>
      </c>
      <c r="H309" t="str" cm="1">
        <f t="array" ref="H309">_xlfn.LET(
  _xlpm.K, Constantes!$B$3,
  _xlpm.Knewgain, Constantes!$B$4,
  _xlpm.Knewscale, Constantes!$B$5,
  _xlpm.ptstables, INDEX(H:H, _xlfn.SEQUENCE(COUNTA($C$2:$C309), 1, 3, 4)),
  _xlpm.nbparties, COUNTA(_xlfn._xlws.FILTER(_xlpm.ptstables, _xlpm.ptstables &lt;&gt; "")),
  _xlpm.coef, _xlpm.K + _xlpm.Knewgain / (_xlpm.Knewscale + _xlpm.nbparties),
  IF(H307="",
    "",
    _xlpm.coef * (H307-H308))
)</f>
        <v/>
      </c>
      <c r="I309" t="str" cm="1">
        <f t="array" ref="I309">_xlfn.LET(
  _xlpm.K, Constantes!$B$3,
  _xlpm.Knewgain, Constantes!$B$4,
  _xlpm.Knewscale, Constantes!$B$5,
  _xlpm.ptstables, INDEX(I:I, _xlfn.SEQUENCE(COUNTA($C$2:$C309), 1, 3, 4)),
  _xlpm.nbparties, COUNTA(_xlfn._xlws.FILTER(_xlpm.ptstables, _xlpm.ptstables &lt;&gt; "")),
  _xlpm.coef, _xlpm.K + _xlpm.Knewgain / (_xlpm.Knewscale + _xlpm.nbparties),
  IF(I307="",
    "",
    _xlpm.coef * (I307-I308))
)</f>
        <v/>
      </c>
      <c r="J309" t="str" cm="1">
        <f t="array" ref="J309">_xlfn.LET(
  _xlpm.K, Constantes!$B$3,
  _xlpm.Knewgain, Constantes!$B$4,
  _xlpm.Knewscale, Constantes!$B$5,
  _xlpm.ptstables, INDEX(J:J, _xlfn.SEQUENCE(COUNTA($C$2:$C309), 1, 3, 4)),
  _xlpm.nbparties, COUNTA(_xlfn._xlws.FILTER(_xlpm.ptstables, _xlpm.ptstables &lt;&gt; "")),
  _xlpm.coef, _xlpm.K + _xlpm.Knewgain / (_xlpm.Knewscale + _xlpm.nbparties),
  IF(J307="",
    "",
    _xlpm.coef * (J307-J308))
)</f>
        <v/>
      </c>
      <c r="K309" t="str" cm="1">
        <f t="array" ref="K309">_xlfn.LET(
  _xlpm.K, Constantes!$B$3,
  _xlpm.Knewgain, Constantes!$B$4,
  _xlpm.Knewscale, Constantes!$B$5,
  _xlpm.ptstables, INDEX(K:K, _xlfn.SEQUENCE(COUNTA($C$2:$C309), 1, 3, 4)),
  _xlpm.nbparties, COUNTA(_xlfn._xlws.FILTER(_xlpm.ptstables, _xlpm.ptstables &lt;&gt; "")),
  _xlpm.coef, _xlpm.K + _xlpm.Knewgain / (_xlpm.Knewscale + _xlpm.nbparties),
  IF(K307="",
    "",
    _xlpm.coef * (K307-K308))
)</f>
        <v/>
      </c>
      <c r="L309" t="str" cm="1">
        <f t="array" ref="L309">_xlfn.LET(
  _xlpm.K, Constantes!$B$3,
  _xlpm.Knewgain, Constantes!$B$4,
  _xlpm.Knewscale, Constantes!$B$5,
  _xlpm.ptstables, INDEX(L:L, _xlfn.SEQUENCE(COUNTA($C$2:$C309), 1, 3, 4)),
  _xlpm.nbparties, COUNTA(_xlfn._xlws.FILTER(_xlpm.ptstables, _xlpm.ptstables &lt;&gt; "")),
  _xlpm.coef, _xlpm.K + _xlpm.Knewgain / (_xlpm.Knewscale + _xlpm.nbparties),
  IF(L307="",
    "",
    _xlpm.coef * (L307-L308))
)</f>
        <v/>
      </c>
      <c r="M309" t="str" cm="1">
        <f t="array" ref="M309">_xlfn.LET(
  _xlpm.K, Constantes!$B$3,
  _xlpm.Knewgain, Constantes!$B$4,
  _xlpm.Knewscale, Constantes!$B$5,
  _xlpm.ptstables, INDEX(M:M, _xlfn.SEQUENCE(COUNTA($C$2:$C309), 1, 3, 4)),
  _xlpm.nbparties, COUNTA(_xlfn._xlws.FILTER(_xlpm.ptstables, _xlpm.ptstables &lt;&gt; "")),
  _xlpm.coef, _xlpm.K + _xlpm.Knewgain / (_xlpm.Knewscale + _xlpm.nbparties),
  IF(M307="",
    "",
    _xlpm.coef * (M307-M308))
)</f>
        <v/>
      </c>
      <c r="N309" t="str" cm="1">
        <f t="array" ref="N309">_xlfn.LET(
  _xlpm.K, Constantes!$B$3,
  _xlpm.Knewgain, Constantes!$B$4,
  _xlpm.Knewscale, Constantes!$B$5,
  _xlpm.ptstables, INDEX(N:N, _xlfn.SEQUENCE(COUNTA($C$2:$C309), 1, 3, 4)),
  _xlpm.nbparties, COUNTA(_xlfn._xlws.FILTER(_xlpm.ptstables, _xlpm.ptstables &lt;&gt; "")),
  _xlpm.coef, _xlpm.K + _xlpm.Knewgain / (_xlpm.Knewscale + _xlpm.nbparties),
  IF(N307="",
    "",
    _xlpm.coef * (N307-N308))
)</f>
        <v/>
      </c>
      <c r="O309" t="str" cm="1">
        <f t="array" ref="O309">_xlfn.LET(
  _xlpm.K, Constantes!$B$3,
  _xlpm.Knewgain, Constantes!$B$4,
  _xlpm.Knewscale, Constantes!$B$5,
  _xlpm.ptstables, INDEX(O:O, _xlfn.SEQUENCE(COUNTA($C$2:$C309), 1, 3, 4)),
  _xlpm.nbparties, COUNTA(_xlfn._xlws.FILTER(_xlpm.ptstables, _xlpm.ptstables &lt;&gt; "")),
  _xlpm.coef, _xlpm.K + _xlpm.Knewgain / (_xlpm.Knewscale + _xlpm.nbparties),
  IF(O307="",
    "",
    _xlpm.coef * (O307-O308))
)</f>
        <v/>
      </c>
      <c r="P309" cm="1">
        <f t="array" ref="P309">_xlfn.LET(
  _xlpm.K, Constantes!$B$3,
  _xlpm.Knewgain, Constantes!$B$4,
  _xlpm.Knewscale, Constantes!$B$5,
  _xlpm.ptstables, INDEX(P:P, _xlfn.SEQUENCE(COUNTA($C$2:$C309), 1, 3, 4)),
  _xlpm.nbparties, COUNTA(_xlfn._xlws.FILTER(_xlpm.ptstables, _xlpm.ptstables &lt;&gt; "")),
  _xlpm.coef, _xlpm.K + _xlpm.Knewgain / (_xlpm.Knewscale + _xlpm.nbparties),
  IF(P307="",
    "",
    _xlpm.coef * (P307-P308))
)</f>
        <v>-39.629094572499625</v>
      </c>
      <c r="Q309" t="str" cm="1">
        <f t="array" ref="Q309">_xlfn.LET(
  _xlpm.K, Constantes!$B$3,
  _xlpm.Knewgain, Constantes!$B$4,
  _xlpm.Knewscale, Constantes!$B$5,
  _xlpm.ptstables, INDEX(Q:Q, _xlfn.SEQUENCE(COUNTA($C$2:$C309), 1, 3, 4)),
  _xlpm.nbparties, COUNTA(_xlfn._xlws.FILTER(_xlpm.ptstables, _xlpm.ptstables &lt;&gt; "")),
  _xlpm.coef, _xlpm.K + _xlpm.Knewgain / (_xlpm.Knewscale + _xlpm.nbparties),
  IF(Q307="",
    "",
    _xlpm.coef * (Q307-Q308))
)</f>
        <v/>
      </c>
      <c r="R309" t="str" cm="1">
        <f t="array" ref="R309">_xlfn.LET(
  _xlpm.K, Constantes!$B$3,
  _xlpm.Knewgain, Constantes!$B$4,
  _xlpm.Knewscale, Constantes!$B$5,
  _xlpm.ptstables, INDEX(R:R, _xlfn.SEQUENCE(COUNTA($C$2:$C309), 1, 3, 4)),
  _xlpm.nbparties, COUNTA(_xlfn._xlws.FILTER(_xlpm.ptstables, _xlpm.ptstables &lt;&gt; "")),
  _xlpm.coef, _xlpm.K + _xlpm.Knewgain / (_xlpm.Knewscale + _xlpm.nbparties),
  IF(R307="",
    "",
    _xlpm.coef * (R307-R308))
)</f>
        <v/>
      </c>
      <c r="S309" t="str" cm="1">
        <f t="array" ref="S309">_xlfn.LET(
  _xlpm.K, Constantes!$B$3,
  _xlpm.Knewgain, Constantes!$B$4,
  _xlpm.Knewscale, Constantes!$B$5,
  _xlpm.ptstables, INDEX(S:S, _xlfn.SEQUENCE(COUNTA($C$2:$C309), 1, 3, 4)),
  _xlpm.nbparties, COUNTA(_xlfn._xlws.FILTER(_xlpm.ptstables, _xlpm.ptstables &lt;&gt; "")),
  _xlpm.coef, _xlpm.K + _xlpm.Knewgain / (_xlpm.Knewscale + _xlpm.nbparties),
  IF(S307="",
    "",
    _xlpm.coef * (S307-S308))
)</f>
        <v/>
      </c>
      <c r="T309" t="str" cm="1">
        <f t="array" ref="T309">_xlfn.LET(
  _xlpm.K, Constantes!$B$3,
  _xlpm.Knewgain, Constantes!$B$4,
  _xlpm.Knewscale, Constantes!$B$5,
  _xlpm.ptstables, INDEX(T:T, _xlfn.SEQUENCE(COUNTA($C$2:$C309), 1, 3, 4)),
  _xlpm.nbparties, COUNTA(_xlfn._xlws.FILTER(_xlpm.ptstables, _xlpm.ptstables &lt;&gt; "")),
  _xlpm.coef, _xlpm.K + _xlpm.Knewgain / (_xlpm.Knewscale + _xlpm.nbparties),
  IF(T307="",
    "",
    _xlpm.coef * (T307-T308))
)</f>
        <v/>
      </c>
      <c r="U309" t="str" cm="1">
        <f t="array" ref="U309">_xlfn.LET(
  _xlpm.K, Constantes!$B$3,
  _xlpm.Knewgain, Constantes!$B$4,
  _xlpm.Knewscale, Constantes!$B$5,
  _xlpm.ptstables, INDEX(U:U, _xlfn.SEQUENCE(COUNTA($C$2:$C309), 1, 3, 4)),
  _xlpm.nbparties, COUNTA(_xlfn._xlws.FILTER(_xlpm.ptstables, _xlpm.ptstables &lt;&gt; "")),
  _xlpm.coef, _xlpm.K + _xlpm.Knewgain / (_xlpm.Knewscale + _xlpm.nbparties),
  IF(U307="",
    "",
    _xlpm.coef * (U307-U308))
)</f>
        <v/>
      </c>
      <c r="V309" t="str" cm="1">
        <f t="array" ref="V309">_xlfn.LET(
  _xlpm.K, Constantes!$B$3,
  _xlpm.Knewgain, Constantes!$B$4,
  _xlpm.Knewscale, Constantes!$B$5,
  _xlpm.ptstables, INDEX(V:V, _xlfn.SEQUENCE(COUNTA($C$2:$C309), 1, 3, 4)),
  _xlpm.nbparties, COUNTA(_xlfn._xlws.FILTER(_xlpm.ptstables, _xlpm.ptstables &lt;&gt; "")),
  _xlpm.coef, _xlpm.K + _xlpm.Knewgain / (_xlpm.Knewscale + _xlpm.nbparties),
  IF(V307="",
    "",
    _xlpm.coef * (V307-V308))
)</f>
        <v/>
      </c>
      <c r="W309" t="str" cm="1">
        <f t="array" ref="W309">_xlfn.LET(
  _xlpm.K, Constantes!$B$3,
  _xlpm.Knewgain, Constantes!$B$4,
  _xlpm.Knewscale, Constantes!$B$5,
  _xlpm.ptstables, INDEX(W:W, _xlfn.SEQUENCE(COUNTA($C$2:$C309), 1, 3, 4)),
  _xlpm.nbparties, COUNTA(_xlfn._xlws.FILTER(_xlpm.ptstables, _xlpm.ptstables &lt;&gt; "")),
  _xlpm.coef, _xlpm.K + _xlpm.Knewgain / (_xlpm.Knewscale + _xlpm.nbparties),
  IF(W307="",
    "",
    _xlpm.coef * (W307-W308))
)</f>
        <v/>
      </c>
      <c r="X309" t="str" cm="1">
        <f t="array" ref="X309">_xlfn.LET(
  _xlpm.K, Constantes!$B$3,
  _xlpm.Knewgain, Constantes!$B$4,
  _xlpm.Knewscale, Constantes!$B$5,
  _xlpm.ptstables, INDEX(X:X, _xlfn.SEQUENCE(COUNTA($C$2:$C309), 1, 3, 4)),
  _xlpm.nbparties, COUNTA(_xlfn._xlws.FILTER(_xlpm.ptstables, _xlpm.ptstables &lt;&gt; "")),
  _xlpm.coef, _xlpm.K + _xlpm.Knewgain / (_xlpm.Knewscale + _xlpm.nbparties),
  IF(X307="",
    "",
    _xlpm.coef * (X307-X308))
)</f>
        <v/>
      </c>
      <c r="Y309" t="str" cm="1">
        <f t="array" ref="Y309">_xlfn.LET(
  _xlpm.K, Constantes!$B$3,
  _xlpm.Knewgain, Constantes!$B$4,
  _xlpm.Knewscale, Constantes!$B$5,
  _xlpm.ptstables, INDEX(Y:Y, _xlfn.SEQUENCE(COUNTA($C$2:$C309), 1, 3, 4)),
  _xlpm.nbparties, COUNTA(_xlfn._xlws.FILTER(_xlpm.ptstables, _xlpm.ptstables &lt;&gt; "")),
  _xlpm.coef, _xlpm.K + _xlpm.Knewgain / (_xlpm.Knewscale + _xlpm.nbparties),
  IF(Y307="",
    "",
    _xlpm.coef * (Y307-Y308))
)</f>
        <v/>
      </c>
      <c r="Z309" t="str" cm="1">
        <f t="array" ref="Z309">_xlfn.LET(
  _xlpm.K, Constantes!$B$3,
  _xlpm.Knewgain, Constantes!$B$4,
  _xlpm.Knewscale, Constantes!$B$5,
  _xlpm.ptstables, INDEX(Z:Z, _xlfn.SEQUENCE(COUNTA($C$2:$C309), 1, 3, 4)),
  _xlpm.nbparties, COUNTA(_xlfn._xlws.FILTER(_xlpm.ptstables, _xlpm.ptstables &lt;&gt; "")),
  _xlpm.coef, _xlpm.K + _xlpm.Knewgain / (_xlpm.Knewscale + _xlpm.nbparties),
  IF(Z307="",
    "",
    _xlpm.coef * (Z307-Z308))
)</f>
        <v/>
      </c>
      <c r="AA309" t="str" cm="1">
        <f t="array" ref="AA309">_xlfn.LET(
  _xlpm.K, Constantes!$B$3,
  _xlpm.Knewgain, Constantes!$B$4,
  _xlpm.Knewscale, Constantes!$B$5,
  _xlpm.ptstables, INDEX(AA:AA, _xlfn.SEQUENCE(COUNTA($C$2:$C309), 1, 3, 4)),
  _xlpm.nbparties, COUNTA(_xlfn._xlws.FILTER(_xlpm.ptstables, _xlpm.ptstables &lt;&gt; "")),
  _xlpm.coef, _xlpm.K + _xlpm.Knewgain / (_xlpm.Knewscale + _xlpm.nbparties),
  IF(AA307="",
    "",
    _xlpm.coef * (AA307-AA308))
)</f>
        <v/>
      </c>
      <c r="AB309" t="str" cm="1">
        <f t="array" ref="AB309">_xlfn.LET(
  _xlpm.K, Constantes!$B$3,
  _xlpm.Knewgain, Constantes!$B$4,
  _xlpm.Knewscale, Constantes!$B$5,
  _xlpm.ptstables, INDEX(AB:AB, _xlfn.SEQUENCE(COUNTA($C$2:$C309), 1, 3, 4)),
  _xlpm.nbparties, COUNTA(_xlfn._xlws.FILTER(_xlpm.ptstables, _xlpm.ptstables &lt;&gt; "")),
  _xlpm.coef, _xlpm.K + _xlpm.Knewgain / (_xlpm.Knewscale + _xlpm.nbparties),
  IF(AB307="",
    "",
    _xlpm.coef * (AB307-AB308))
)</f>
        <v/>
      </c>
      <c r="AC309" cm="1">
        <f t="array" ref="AC309">_xlfn.LET(
  _xlpm.K, Constantes!$B$3,
  _xlpm.Knewgain, Constantes!$B$4,
  _xlpm.Knewscale, Constantes!$B$5,
  _xlpm.ptstables, INDEX(AC:AC, _xlfn.SEQUENCE(COUNTA($C$2:$C309), 1, 3, 4)),
  _xlpm.nbparties, COUNTA(_xlfn._xlws.FILTER(_xlpm.ptstables, _xlpm.ptstables &lt;&gt; "")),
  _xlpm.coef, _xlpm.K + _xlpm.Knewgain / (_xlpm.Knewscale + _xlpm.nbparties),
  IF(AC307="",
    "",
    _xlpm.coef * (AC307-AC308))
)</f>
        <v>32.46927837331458</v>
      </c>
      <c r="AD309" t="str" cm="1">
        <f t="array" ref="AD309">_xlfn.LET(
  _xlpm.K, Constantes!$B$3,
  _xlpm.Knewgain, Constantes!$B$4,
  _xlpm.Knewscale, Constantes!$B$5,
  _xlpm.ptstables, INDEX(AD:AD, _xlfn.SEQUENCE(COUNTA($C$2:$C309), 1, 3, 4)),
  _xlpm.nbparties, COUNTA(_xlfn._xlws.FILTER(_xlpm.ptstables, _xlpm.ptstables &lt;&gt; "")),
  _xlpm.coef, _xlpm.K + _xlpm.Knewgain / (_xlpm.Knewscale + _xlpm.nbparties),
  IF(AD307="",
    "",
    _xlpm.coef * (AD307-AD308))
)</f>
        <v/>
      </c>
      <c r="AE309" t="str" cm="1">
        <f t="array" ref="AE309">_xlfn.LET(
  _xlpm.K, Constantes!$B$3,
  _xlpm.Knewgain, Constantes!$B$4,
  _xlpm.Knewscale, Constantes!$B$5,
  _xlpm.ptstables, INDEX(AE:AE, _xlfn.SEQUENCE(COUNTA($C$2:$C309), 1, 3, 4)),
  _xlpm.nbparties, COUNTA(_xlfn._xlws.FILTER(_xlpm.ptstables, _xlpm.ptstables &lt;&gt; "")),
  _xlpm.coef, _xlpm.K + _xlpm.Knewgain / (_xlpm.Knewscale + _xlpm.nbparties),
  IF(AE307="",
    "",
    _xlpm.coef * (AE307-AE308))
)</f>
        <v/>
      </c>
      <c r="AF309" t="str" cm="1">
        <f t="array" ref="AF309">_xlfn.LET(
  _xlpm.K, Constantes!$B$3,
  _xlpm.Knewgain, Constantes!$B$4,
  _xlpm.Knewscale, Constantes!$B$5,
  _xlpm.ptstables, INDEX(AF:AF, _xlfn.SEQUENCE(COUNTA($C$2:$C309), 1, 3, 4)),
  _xlpm.nbparties, COUNTA(_xlfn._xlws.FILTER(_xlpm.ptstables, _xlpm.ptstables &lt;&gt; "")),
  _xlpm.coef, _xlpm.K + _xlpm.Knewgain / (_xlpm.Knewscale + _xlpm.nbparties),
  IF(AF307="",
    "",
    _xlpm.coef * (AF307-AF308))
)</f>
        <v/>
      </c>
      <c r="AG309" t="str" cm="1">
        <f t="array" ref="AG309">_xlfn.LET(
  _xlpm.K, Constantes!$B$3,
  _xlpm.Knewgain, Constantes!$B$4,
  _xlpm.Knewscale, Constantes!$B$5,
  _xlpm.ptstables, INDEX(AG:AG, _xlfn.SEQUENCE(COUNTA($C$2:$C309), 1, 3, 4)),
  _xlpm.nbparties, COUNTA(_xlfn._xlws.FILTER(_xlpm.ptstables, _xlpm.ptstables &lt;&gt; "")),
  _xlpm.coef, _xlpm.K + _xlpm.Knewgain / (_xlpm.Knewscale + _xlpm.nbparties),
  IF(AG307="",
    "",
    _xlpm.coef * (AG307-AG308))
)</f>
        <v/>
      </c>
      <c r="AH309" t="str" cm="1">
        <f t="array" ref="AH309">_xlfn.LET(
  _xlpm.K, Constantes!$B$3,
  _xlpm.Knewgain, Constantes!$B$4,
  _xlpm.Knewscale, Constantes!$B$5,
  _xlpm.ptstables, INDEX(AH:AH, _xlfn.SEQUENCE(COUNTA($C$2:$C309), 1, 3, 4)),
  _xlpm.nbparties, COUNTA(_xlfn._xlws.FILTER(_xlpm.ptstables, _xlpm.ptstables &lt;&gt; "")),
  _xlpm.coef, _xlpm.K + _xlpm.Knewgain / (_xlpm.Knewscale + _xlpm.nbparties),
  IF(AH307="",
    "",
    _xlpm.coef * (AH307-AH308))
)</f>
        <v/>
      </c>
      <c r="AI309" cm="1">
        <f t="array" ref="AI309">_xlfn.LET(
  _xlpm.K, Constantes!$B$3,
  _xlpm.Knewgain, Constantes!$B$4,
  _xlpm.Knewscale, Constantes!$B$5,
  _xlpm.ptstables, INDEX(AI:AI, _xlfn.SEQUENCE(COUNTA($C$2:$C309), 1, 3, 4)),
  _xlpm.nbparties, COUNTA(_xlfn._xlws.FILTER(_xlpm.ptstables, _xlpm.ptstables &lt;&gt; "")),
  _xlpm.coef, _xlpm.K + _xlpm.Knewgain / (_xlpm.Knewscale + _xlpm.nbparties),
  IF(AI307="",
    "",
    _xlpm.coef * (AI307-AI308))
)</f>
        <v>6.3654602612782831</v>
      </c>
      <c r="AJ309" t="str" cm="1">
        <f t="array" ref="AJ309">_xlfn.LET(
  _xlpm.K, Constantes!$B$3,
  _xlpm.Knewgain, Constantes!$B$4,
  _xlpm.Knewscale, Constantes!$B$5,
  _xlpm.ptstables, INDEX(AJ:AJ, _xlfn.SEQUENCE(COUNTA($C$2:$C309), 1, 3, 4)),
  _xlpm.nbparties, COUNTA(_xlfn._xlws.FILTER(_xlpm.ptstables, _xlpm.ptstables &lt;&gt; "")),
  _xlpm.coef, _xlpm.K + _xlpm.Knewgain / (_xlpm.Knewscale + _xlpm.nbparties),
  IF(AJ307="",
    "",
    _xlpm.coef * (AJ307-AJ308))
)</f>
        <v/>
      </c>
      <c r="AK309" t="str" cm="1">
        <f t="array" ref="AK309">_xlfn.LET(
  _xlpm.K, Constantes!$B$3,
  _xlpm.Knewgain, Constantes!$B$4,
  _xlpm.Knewscale, Constantes!$B$5,
  _xlpm.ptstables, INDEX(AK:AK, _xlfn.SEQUENCE(COUNTA($C$2:$C309), 1, 3, 4)),
  _xlpm.nbparties, COUNTA(_xlfn._xlws.FILTER(_xlpm.ptstables, _xlpm.ptstables &lt;&gt; "")),
  _xlpm.coef, _xlpm.K + _xlpm.Knewgain / (_xlpm.Knewscale + _xlpm.nbparties),
  IF(AK307="",
    "",
    _xlpm.coef * (AK307-AK308))
)</f>
        <v/>
      </c>
      <c r="AL309" t="str" cm="1">
        <f t="array" ref="AL309">_xlfn.LET(
  _xlpm.K, Constantes!$B$3,
  _xlpm.Knewgain, Constantes!$B$4,
  _xlpm.Knewscale, Constantes!$B$5,
  _xlpm.ptstables, INDEX(AL:AL, _xlfn.SEQUENCE(COUNTA($C$2:$C309), 1, 3, 4)),
  _xlpm.nbparties, COUNTA(_xlfn._xlws.FILTER(_xlpm.ptstables, _xlpm.ptstables &lt;&gt; "")),
  _xlpm.coef, _xlpm.K + _xlpm.Knewgain / (_xlpm.Knewscale + _xlpm.nbparties),
  IF(AL307="",
    "",
    _xlpm.coef * (AL307-AL308))
)</f>
        <v/>
      </c>
      <c r="AM309" t="str" cm="1">
        <f t="array" ref="AM309">_xlfn.LET(
  _xlpm.K, Constantes!$B$3,
  _xlpm.Knewgain, Constantes!$B$4,
  _xlpm.Knewscale, Constantes!$B$5,
  _xlpm.ptstables, INDEX(AM:AM, _xlfn.SEQUENCE(COUNTA($C$2:$C309), 1, 3, 4)),
  _xlpm.nbparties, COUNTA(_xlfn._xlws.FILTER(_xlpm.ptstables, _xlpm.ptstables &lt;&gt; "")),
  _xlpm.coef, _xlpm.K + _xlpm.Knewgain / (_xlpm.Knewscale + _xlpm.nbparties),
  IF(AM307="",
    "",
    _xlpm.coef * (AM307-AM308))
)</f>
        <v/>
      </c>
    </row>
    <row r="310" spans="1:39" x14ac:dyDescent="0.25">
      <c r="A310" t="s">
        <v>14</v>
      </c>
      <c r="B310" t="str" cm="1">
        <f t="array" ref="B31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80</v>
      </c>
      <c r="C310" s="2" cm="1">
        <f t="array" ref="C310">IF(B310="","",
  INDEX(Donnees!F:F, MATCH(B310, Donnees!F:F, 0)+1))</f>
        <v>45948.697581018518</v>
      </c>
      <c r="D310">
        <f t="shared" ref="D310:AM310" si="85">D306+IF(D309="",0,D309)</f>
        <v>996.77629440361773</v>
      </c>
      <c r="E310">
        <f t="shared" si="85"/>
        <v>1095.6997652278242</v>
      </c>
      <c r="F310">
        <f t="shared" si="85"/>
        <v>872.24944098785784</v>
      </c>
      <c r="G310">
        <f t="shared" si="85"/>
        <v>1119.3162392058323</v>
      </c>
      <c r="H310">
        <f t="shared" si="85"/>
        <v>1139.7553269432372</v>
      </c>
      <c r="I310">
        <f t="shared" si="85"/>
        <v>921.73391621154246</v>
      </c>
      <c r="J310">
        <f t="shared" si="85"/>
        <v>1010.9125108504293</v>
      </c>
      <c r="K310">
        <f t="shared" si="85"/>
        <v>993.90254614824482</v>
      </c>
      <c r="L310">
        <f t="shared" si="85"/>
        <v>799.13054339146868</v>
      </c>
      <c r="M310">
        <f t="shared" si="85"/>
        <v>913.41986361738122</v>
      </c>
      <c r="N310">
        <f t="shared" si="85"/>
        <v>884.64725986469603</v>
      </c>
      <c r="O310">
        <f t="shared" si="85"/>
        <v>998.21178722110983</v>
      </c>
      <c r="P310">
        <f t="shared" si="85"/>
        <v>1005.0655973881263</v>
      </c>
      <c r="Q310">
        <f t="shared" si="85"/>
        <v>1050.1062561870472</v>
      </c>
      <c r="R310">
        <f t="shared" si="85"/>
        <v>1061.418521473061</v>
      </c>
      <c r="S310">
        <f t="shared" si="85"/>
        <v>950.00980009229818</v>
      </c>
      <c r="T310">
        <f t="shared" si="85"/>
        <v>1153.43058185823</v>
      </c>
      <c r="U310">
        <f t="shared" si="85"/>
        <v>1185.0959893708045</v>
      </c>
      <c r="V310">
        <f t="shared" si="85"/>
        <v>951.23563726152827</v>
      </c>
      <c r="W310">
        <f t="shared" si="85"/>
        <v>878.34938707385118</v>
      </c>
      <c r="X310">
        <f t="shared" si="85"/>
        <v>828.97598039785271</v>
      </c>
      <c r="Y310">
        <f t="shared" si="85"/>
        <v>903.14348714035714</v>
      </c>
      <c r="Z310">
        <f t="shared" si="85"/>
        <v>1014.9842157161213</v>
      </c>
      <c r="AA310">
        <f t="shared" si="85"/>
        <v>1013.2336433989657</v>
      </c>
      <c r="AB310">
        <f t="shared" si="85"/>
        <v>988.35669729544747</v>
      </c>
      <c r="AC310">
        <f t="shared" si="85"/>
        <v>1094.1623059381011</v>
      </c>
      <c r="AD310">
        <f t="shared" si="85"/>
        <v>1100.7833811935423</v>
      </c>
      <c r="AE310">
        <f t="shared" si="85"/>
        <v>963.23981965000235</v>
      </c>
      <c r="AF310">
        <f t="shared" si="85"/>
        <v>1094.8196847516158</v>
      </c>
      <c r="AG310">
        <f t="shared" si="85"/>
        <v>958.23078604304851</v>
      </c>
      <c r="AH310">
        <f t="shared" si="85"/>
        <v>920.4412636682855</v>
      </c>
      <c r="AI310">
        <f t="shared" si="85"/>
        <v>891.47014697125007</v>
      </c>
      <c r="AJ310">
        <f t="shared" si="85"/>
        <v>906.86354201913434</v>
      </c>
      <c r="AK310">
        <f t="shared" si="85"/>
        <v>1074.0069367206956</v>
      </c>
      <c r="AL310">
        <f t="shared" si="85"/>
        <v>1025.7817971572972</v>
      </c>
      <c r="AM310">
        <f t="shared" si="85"/>
        <v>1000</v>
      </c>
    </row>
    <row r="311" spans="1:39" x14ac:dyDescent="0.25">
      <c r="A311" t="s">
        <v>21</v>
      </c>
      <c r="D311" t="str" cm="1">
        <f t="array" ref="D311">IFERROR(
  _xlfn.LET(
    _xlpm.ligpartie, MATCH($B310, Donnees!$F:$F, 0),
    _xlpm.joueurs, INDEX(Donnees!$A:$Z, _xlpm.ligpartie+1, _xlfn.SEQUENCE(1, 4, 2)),
    INDEX(
      Donnees!$A:$Z,
      _xlpm.ligpartie + 3,
      MATCH(D$1, _xlpm.joueurs, 0) + 1
    )
  ), ""
)</f>
        <v/>
      </c>
      <c r="E311" t="str" cm="1">
        <f t="array" ref="E311">IFERROR(
  _xlfn.LET(
    _xlpm.ligpartie, MATCH($B310, Donnees!$F:$F, 0),
    _xlpm.joueurs, INDEX(Donnees!$A:$Z, _xlpm.ligpartie+1, _xlfn.SEQUENCE(1, 4, 2)),
    INDEX(
      Donnees!$A:$Z,
      _xlpm.ligpartie + 3,
      MATCH(E$1, _xlpm.joueurs, 0) + 1
    )
  ), ""
)</f>
        <v/>
      </c>
      <c r="F311" t="str" cm="1">
        <f t="array" ref="F311">IFERROR(
  _xlfn.LET(
    _xlpm.ligpartie, MATCH($B310, Donnees!$F:$F, 0),
    _xlpm.joueurs, INDEX(Donnees!$A:$Z, _xlpm.ligpartie+1, _xlfn.SEQUENCE(1, 4, 2)),
    INDEX(
      Donnees!$A:$Z,
      _xlpm.ligpartie + 3,
      MATCH(F$1, _xlpm.joueurs, 0) + 1
    )
  ), ""
)</f>
        <v/>
      </c>
      <c r="G311" t="str" cm="1">
        <f t="array" ref="G311">IFERROR(
  _xlfn.LET(
    _xlpm.ligpartie, MATCH($B310, Donnees!$F:$F, 0),
    _xlpm.joueurs, INDEX(Donnees!$A:$Z, _xlpm.ligpartie+1, _xlfn.SEQUENCE(1, 4, 2)),
    INDEX(
      Donnees!$A:$Z,
      _xlpm.ligpartie + 3,
      MATCH(G$1, _xlpm.joueurs, 0) + 1
    )
  ), ""
)</f>
        <v/>
      </c>
      <c r="H311" t="str" cm="1">
        <f t="array" ref="H311">IFERROR(
  _xlfn.LET(
    _xlpm.ligpartie, MATCH($B310, Donnees!$F:$F, 0),
    _xlpm.joueurs, INDEX(Donnees!$A:$Z, _xlpm.ligpartie+1, _xlfn.SEQUENCE(1, 4, 2)),
    INDEX(
      Donnees!$A:$Z,
      _xlpm.ligpartie + 3,
      MATCH(H$1, _xlpm.joueurs, 0) + 1
    )
  ), ""
)</f>
        <v/>
      </c>
      <c r="I311" t="str" cm="1">
        <f t="array" ref="I311">IFERROR(
  _xlfn.LET(
    _xlpm.ligpartie, MATCH($B310, Donnees!$F:$F, 0),
    _xlpm.joueurs, INDEX(Donnees!$A:$Z, _xlpm.ligpartie+1, _xlfn.SEQUENCE(1, 4, 2)),
    INDEX(
      Donnees!$A:$Z,
      _xlpm.ligpartie + 3,
      MATCH(I$1, _xlpm.joueurs, 0) + 1
    )
  ), ""
)</f>
        <v/>
      </c>
      <c r="J311" t="str" cm="1">
        <f t="array" ref="J311">IFERROR(
  _xlfn.LET(
    _xlpm.ligpartie, MATCH($B310, Donnees!$F:$F, 0),
    _xlpm.joueurs, INDEX(Donnees!$A:$Z, _xlpm.ligpartie+1, _xlfn.SEQUENCE(1, 4, 2)),
    INDEX(
      Donnees!$A:$Z,
      _xlpm.ligpartie + 3,
      MATCH(J$1, _xlpm.joueurs, 0) + 1
    )
  ), ""
)</f>
        <v/>
      </c>
      <c r="K311" t="str" cm="1">
        <f t="array" ref="K311">IFERROR(
  _xlfn.LET(
    _xlpm.ligpartie, MATCH($B310, Donnees!$F:$F, 0),
    _xlpm.joueurs, INDEX(Donnees!$A:$Z, _xlpm.ligpartie+1, _xlfn.SEQUENCE(1, 4, 2)),
    INDEX(
      Donnees!$A:$Z,
      _xlpm.ligpartie + 3,
      MATCH(K$1, _xlpm.joueurs, 0) + 1
    )
  ), ""
)</f>
        <v/>
      </c>
      <c r="L311" t="str" cm="1">
        <f t="array" ref="L311">IFERROR(
  _xlfn.LET(
    _xlpm.ligpartie, MATCH($B310, Donnees!$F:$F, 0),
    _xlpm.joueurs, INDEX(Donnees!$A:$Z, _xlpm.ligpartie+1, _xlfn.SEQUENCE(1, 4, 2)),
    INDEX(
      Donnees!$A:$Z,
      _xlpm.ligpartie + 3,
      MATCH(L$1, _xlpm.joueurs, 0) + 1
    )
  ), ""
)</f>
        <v/>
      </c>
      <c r="M311" t="str" cm="1">
        <f t="array" ref="M311">IFERROR(
  _xlfn.LET(
    _xlpm.ligpartie, MATCH($B310, Donnees!$F:$F, 0),
    _xlpm.joueurs, INDEX(Donnees!$A:$Z, _xlpm.ligpartie+1, _xlfn.SEQUENCE(1, 4, 2)),
    INDEX(
      Donnees!$A:$Z,
      _xlpm.ligpartie + 3,
      MATCH(M$1, _xlpm.joueurs, 0) + 1
    )
  ), ""
)</f>
        <v/>
      </c>
      <c r="N311" t="str" cm="1">
        <f t="array" ref="N311">IFERROR(
  _xlfn.LET(
    _xlpm.ligpartie, MATCH($B310, Donnees!$F:$F, 0),
    _xlpm.joueurs, INDEX(Donnees!$A:$Z, _xlpm.ligpartie+1, _xlfn.SEQUENCE(1, 4, 2)),
    INDEX(
      Donnees!$A:$Z,
      _xlpm.ligpartie + 3,
      MATCH(N$1, _xlpm.joueurs, 0) + 1
    )
  ), ""
)</f>
        <v/>
      </c>
      <c r="O311" t="str" cm="1">
        <f t="array" ref="O311">IFERROR(
  _xlfn.LET(
    _xlpm.ligpartie, MATCH($B310, Donnees!$F:$F, 0),
    _xlpm.joueurs, INDEX(Donnees!$A:$Z, _xlpm.ligpartie+1, _xlfn.SEQUENCE(1, 4, 2)),
    INDEX(
      Donnees!$A:$Z,
      _xlpm.ligpartie + 3,
      MATCH(O$1, _xlpm.joueurs, 0) + 1
    )
  ), ""
)</f>
        <v/>
      </c>
      <c r="P311" t="str" cm="1">
        <f t="array" ref="P311">IFERROR(
  _xlfn.LET(
    _xlpm.ligpartie, MATCH($B310, Donnees!$F:$F, 0),
    _xlpm.joueurs, INDEX(Donnees!$A:$Z, _xlpm.ligpartie+1, _xlfn.SEQUENCE(1, 4, 2)),
    INDEX(
      Donnees!$A:$Z,
      _xlpm.ligpartie + 3,
      MATCH(P$1, _xlpm.joueurs, 0) + 1
    )
  ), ""
)</f>
        <v/>
      </c>
      <c r="Q311" t="str" cm="1">
        <f t="array" ref="Q311">IFERROR(
  _xlfn.LET(
    _xlpm.ligpartie, MATCH($B310, Donnees!$F:$F, 0),
    _xlpm.joueurs, INDEX(Donnees!$A:$Z, _xlpm.ligpartie+1, _xlfn.SEQUENCE(1, 4, 2)),
    INDEX(
      Donnees!$A:$Z,
      _xlpm.ligpartie + 3,
      MATCH(Q$1, _xlpm.joueurs, 0) + 1
    )
  ), ""
)</f>
        <v/>
      </c>
      <c r="R311" t="str" cm="1">
        <f t="array" ref="R311">IFERROR(
  _xlfn.LET(
    _xlpm.ligpartie, MATCH($B310, Donnees!$F:$F, 0),
    _xlpm.joueurs, INDEX(Donnees!$A:$Z, _xlpm.ligpartie+1, _xlfn.SEQUENCE(1, 4, 2)),
    INDEX(
      Donnees!$A:$Z,
      _xlpm.ligpartie + 3,
      MATCH(R$1, _xlpm.joueurs, 0) + 1
    )
  ), ""
)</f>
        <v/>
      </c>
      <c r="S311" t="str" cm="1">
        <f t="array" ref="S311">IFERROR(
  _xlfn.LET(
    _xlpm.ligpartie, MATCH($B310, Donnees!$F:$F, 0),
    _xlpm.joueurs, INDEX(Donnees!$A:$Z, _xlpm.ligpartie+1, _xlfn.SEQUENCE(1, 4, 2)),
    INDEX(
      Donnees!$A:$Z,
      _xlpm.ligpartie + 3,
      MATCH(S$1, _xlpm.joueurs, 0) + 1
    )
  ), ""
)</f>
        <v/>
      </c>
      <c r="T311" t="str" cm="1">
        <f t="array" ref="T311">IFERROR(
  _xlfn.LET(
    _xlpm.ligpartie, MATCH($B310, Donnees!$F:$F, 0),
    _xlpm.joueurs, INDEX(Donnees!$A:$Z, _xlpm.ligpartie+1, _xlfn.SEQUENCE(1, 4, 2)),
    INDEX(
      Donnees!$A:$Z,
      _xlpm.ligpartie + 3,
      MATCH(T$1, _xlpm.joueurs, 0) + 1
    )
  ), ""
)</f>
        <v/>
      </c>
      <c r="U311" cm="1">
        <f t="array" ref="U311">IFERROR(
  _xlfn.LET(
    _xlpm.ligpartie, MATCH($B310, Donnees!$F:$F, 0),
    _xlpm.joueurs, INDEX(Donnees!$A:$Z, _xlpm.ligpartie+1, _xlfn.SEQUENCE(1, 4, 2)),
    INDEX(
      Donnees!$A:$Z,
      _xlpm.ligpartie + 3,
      MATCH(U$1, _xlpm.joueurs, 0) + 1
    )
  ), ""
)</f>
        <v>2</v>
      </c>
      <c r="V311" t="str" cm="1">
        <f t="array" ref="V311">IFERROR(
  _xlfn.LET(
    _xlpm.ligpartie, MATCH($B310, Donnees!$F:$F, 0),
    _xlpm.joueurs, INDEX(Donnees!$A:$Z, _xlpm.ligpartie+1, _xlfn.SEQUENCE(1, 4, 2)),
    INDEX(
      Donnees!$A:$Z,
      _xlpm.ligpartie + 3,
      MATCH(V$1, _xlpm.joueurs, 0) + 1
    )
  ), ""
)</f>
        <v/>
      </c>
      <c r="W311" t="str" cm="1">
        <f t="array" ref="W311">IFERROR(
  _xlfn.LET(
    _xlpm.ligpartie, MATCH($B310, Donnees!$F:$F, 0),
    _xlpm.joueurs, INDEX(Donnees!$A:$Z, _xlpm.ligpartie+1, _xlfn.SEQUENCE(1, 4, 2)),
    INDEX(
      Donnees!$A:$Z,
      _xlpm.ligpartie + 3,
      MATCH(W$1, _xlpm.joueurs, 0) + 1
    )
  ), ""
)</f>
        <v/>
      </c>
      <c r="X311" t="str" cm="1">
        <f t="array" ref="X311">IFERROR(
  _xlfn.LET(
    _xlpm.ligpartie, MATCH($B310, Donnees!$F:$F, 0),
    _xlpm.joueurs, INDEX(Donnees!$A:$Z, _xlpm.ligpartie+1, _xlfn.SEQUENCE(1, 4, 2)),
    INDEX(
      Donnees!$A:$Z,
      _xlpm.ligpartie + 3,
      MATCH(X$1, _xlpm.joueurs, 0) + 1
    )
  ), ""
)</f>
        <v/>
      </c>
      <c r="Y311" t="str" cm="1">
        <f t="array" ref="Y311">IFERROR(
  _xlfn.LET(
    _xlpm.ligpartie, MATCH($B310, Donnees!$F:$F, 0),
    _xlpm.joueurs, INDEX(Donnees!$A:$Z, _xlpm.ligpartie+1, _xlfn.SEQUENCE(1, 4, 2)),
    INDEX(
      Donnees!$A:$Z,
      _xlpm.ligpartie + 3,
      MATCH(Y$1, _xlpm.joueurs, 0) + 1
    )
  ), ""
)</f>
        <v/>
      </c>
      <c r="Z311" cm="1">
        <f t="array" ref="Z311">IFERROR(
  _xlfn.LET(
    _xlpm.ligpartie, MATCH($B310, Donnees!$F:$F, 0),
    _xlpm.joueurs, INDEX(Donnees!$A:$Z, _xlpm.ligpartie+1, _xlfn.SEQUENCE(1, 4, 2)),
    INDEX(
      Donnees!$A:$Z,
      _xlpm.ligpartie + 3,
      MATCH(Z$1, _xlpm.joueurs, 0) + 1
    )
  ), ""
)</f>
        <v>1</v>
      </c>
      <c r="AA311" cm="1">
        <f t="array" ref="AA311">IFERROR(
  _xlfn.LET(
    _xlpm.ligpartie, MATCH($B310, Donnees!$F:$F, 0),
    _xlpm.joueurs, INDEX(Donnees!$A:$Z, _xlpm.ligpartie+1, _xlfn.SEQUENCE(1, 4, 2)),
    INDEX(
      Donnees!$A:$Z,
      _xlpm.ligpartie + 3,
      MATCH(AA$1, _xlpm.joueurs, 0) + 1
    )
  ), ""
)</f>
        <v>0</v>
      </c>
      <c r="AB311" t="str" cm="1">
        <f t="array" ref="AB311">IFERROR(
  _xlfn.LET(
    _xlpm.ligpartie, MATCH($B310, Donnees!$F:$F, 0),
    _xlpm.joueurs, INDEX(Donnees!$A:$Z, _xlpm.ligpartie+1, _xlfn.SEQUENCE(1, 4, 2)),
    INDEX(
      Donnees!$A:$Z,
      _xlpm.ligpartie + 3,
      MATCH(AB$1, _xlpm.joueurs, 0) + 1
    )
  ), ""
)</f>
        <v/>
      </c>
      <c r="AC311" t="str" cm="1">
        <f t="array" ref="AC311">IFERROR(
  _xlfn.LET(
    _xlpm.ligpartie, MATCH($B310, Donnees!$F:$F, 0),
    _xlpm.joueurs, INDEX(Donnees!$A:$Z, _xlpm.ligpartie+1, _xlfn.SEQUENCE(1, 4, 2)),
    INDEX(
      Donnees!$A:$Z,
      _xlpm.ligpartie + 3,
      MATCH(AC$1, _xlpm.joueurs, 0) + 1
    )
  ), ""
)</f>
        <v/>
      </c>
      <c r="AD311" t="str" cm="1">
        <f t="array" ref="AD311">IFERROR(
  _xlfn.LET(
    _xlpm.ligpartie, MATCH($B310, Donnees!$F:$F, 0),
    _xlpm.joueurs, INDEX(Donnees!$A:$Z, _xlpm.ligpartie+1, _xlfn.SEQUENCE(1, 4, 2)),
    INDEX(
      Donnees!$A:$Z,
      _xlpm.ligpartie + 3,
      MATCH(AD$1, _xlpm.joueurs, 0) + 1
    )
  ), ""
)</f>
        <v/>
      </c>
      <c r="AE311" t="str" cm="1">
        <f t="array" ref="AE311">IFERROR(
  _xlfn.LET(
    _xlpm.ligpartie, MATCH($B310, Donnees!$F:$F, 0),
    _xlpm.joueurs, INDEX(Donnees!$A:$Z, _xlpm.ligpartie+1, _xlfn.SEQUENCE(1, 4, 2)),
    INDEX(
      Donnees!$A:$Z,
      _xlpm.ligpartie + 3,
      MATCH(AE$1, _xlpm.joueurs, 0) + 1
    )
  ), ""
)</f>
        <v/>
      </c>
      <c r="AF311" t="str" cm="1">
        <f t="array" ref="AF311">IFERROR(
  _xlfn.LET(
    _xlpm.ligpartie, MATCH($B310, Donnees!$F:$F, 0),
    _xlpm.joueurs, INDEX(Donnees!$A:$Z, _xlpm.ligpartie+1, _xlfn.SEQUENCE(1, 4, 2)),
    INDEX(
      Donnees!$A:$Z,
      _xlpm.ligpartie + 3,
      MATCH(AF$1, _xlpm.joueurs, 0) + 1
    )
  ), ""
)</f>
        <v/>
      </c>
      <c r="AG311" t="str" cm="1">
        <f t="array" ref="AG311">IFERROR(
  _xlfn.LET(
    _xlpm.ligpartie, MATCH($B310, Donnees!$F:$F, 0),
    _xlpm.joueurs, INDEX(Donnees!$A:$Z, _xlpm.ligpartie+1, _xlfn.SEQUENCE(1, 4, 2)),
    INDEX(
      Donnees!$A:$Z,
      _xlpm.ligpartie + 3,
      MATCH(AG$1, _xlpm.joueurs, 0) + 1
    )
  ), ""
)</f>
        <v/>
      </c>
      <c r="AH311" t="str" cm="1">
        <f t="array" ref="AH311">IFERROR(
  _xlfn.LET(
    _xlpm.ligpartie, MATCH($B310, Donnees!$F:$F, 0),
    _xlpm.joueurs, INDEX(Donnees!$A:$Z, _xlpm.ligpartie+1, _xlfn.SEQUENCE(1, 4, 2)),
    INDEX(
      Donnees!$A:$Z,
      _xlpm.ligpartie + 3,
      MATCH(AH$1, _xlpm.joueurs, 0) + 1
    )
  ), ""
)</f>
        <v/>
      </c>
      <c r="AI311" cm="1">
        <f t="array" ref="AI311">IFERROR(
  _xlfn.LET(
    _xlpm.ligpartie, MATCH($B310, Donnees!$F:$F, 0),
    _xlpm.joueurs, INDEX(Donnees!$A:$Z, _xlpm.ligpartie+1, _xlfn.SEQUENCE(1, 4, 2)),
    INDEX(
      Donnees!$A:$Z,
      _xlpm.ligpartie + 3,
      MATCH(AI$1, _xlpm.joueurs, 0) + 1
    )
  ), ""
)</f>
        <v>3</v>
      </c>
      <c r="AJ311" t="str" cm="1">
        <f t="array" ref="AJ311">IFERROR(
  _xlfn.LET(
    _xlpm.ligpartie, MATCH($B310, Donnees!$F:$F, 0),
    _xlpm.joueurs, INDEX(Donnees!$A:$Z, _xlpm.ligpartie+1, _xlfn.SEQUENCE(1, 4, 2)),
    INDEX(
      Donnees!$A:$Z,
      _xlpm.ligpartie + 3,
      MATCH(AJ$1, _xlpm.joueurs, 0) + 1
    )
  ), ""
)</f>
        <v/>
      </c>
      <c r="AK311" t="str" cm="1">
        <f t="array" ref="AK311">IFERROR(
  _xlfn.LET(
    _xlpm.ligpartie, MATCH($B310, Donnees!$F:$F, 0),
    _xlpm.joueurs, INDEX(Donnees!$A:$Z, _xlpm.ligpartie+1, _xlfn.SEQUENCE(1, 4, 2)),
    INDEX(
      Donnees!$A:$Z,
      _xlpm.ligpartie + 3,
      MATCH(AK$1, _xlpm.joueurs, 0) + 1
    )
  ), ""
)</f>
        <v/>
      </c>
      <c r="AL311" t="str" cm="1">
        <f t="array" ref="AL311">IFERROR(
  _xlfn.LET(
    _xlpm.ligpartie, MATCH($B310, Donnees!$F:$F, 0),
    _xlpm.joueurs, INDEX(Donnees!$A:$Z, _xlpm.ligpartie+1, _xlfn.SEQUENCE(1, 4, 2)),
    INDEX(
      Donnees!$A:$Z,
      _xlpm.ligpartie + 3,
      MATCH(AL$1, _xlpm.joueurs, 0) + 1
    )
  ), ""
)</f>
        <v/>
      </c>
      <c r="AM311" t="str" cm="1">
        <f t="array" ref="AM311">IFERROR(
  _xlfn.LET(
    _xlpm.ligpartie, MATCH($B310, Donnees!$F:$F, 0),
    _xlpm.joueurs, INDEX(Donnees!$A:$Z, _xlpm.ligpartie+1, _xlfn.SEQUENCE(1, 4, 2)),
    INDEX(
      Donnees!$A:$Z,
      _xlpm.ligpartie + 3,
      MATCH(AM$1, _xlpm.joueurs, 0) + 1
    )
  ), ""
)</f>
        <v/>
      </c>
    </row>
    <row r="312" spans="1:39" x14ac:dyDescent="0.25">
      <c r="A312" t="s">
        <v>20</v>
      </c>
      <c r="D312" t="str" cm="1">
        <f t="array" ref="D312">_xlfn.LET(
  _xlpm.colj, _xlfn._xlws.FILTER(IF(ISNUMBER(311:311), COLUMN(311:311)), ISNUMBER(311:311)),
  _xlpm.elos, INDEX(310:310,1,_xlpm.colj),
  _xlpm.diffscale, Constantes!$B$2,
  IF(D311="",
    "",
    SUM(1/(1+POWER(10,-(D310-_xlpm.elos)/_xlpm.diffscale)))-0.5)
)</f>
        <v/>
      </c>
      <c r="E312" t="str" cm="1">
        <f t="array" ref="E312">_xlfn.LET(
  _xlpm.colj, _xlfn._xlws.FILTER(IF(ISNUMBER(311:311), COLUMN(311:311)), ISNUMBER(311:311)),
  _xlpm.elos, INDEX(310:310,1,_xlpm.colj),
  _xlpm.diffscale, Constantes!$B$2,
  IF(E311="",
    "",
    SUM(1/(1+POWER(10,-(E310-_xlpm.elos)/_xlpm.diffscale)))-0.5)
)</f>
        <v/>
      </c>
      <c r="F312" t="str" cm="1">
        <f t="array" ref="F312">_xlfn.LET(
  _xlpm.colj, _xlfn._xlws.FILTER(IF(ISNUMBER(311:311), COLUMN(311:311)), ISNUMBER(311:311)),
  _xlpm.elos, INDEX(310:310,1,_xlpm.colj),
  _xlpm.diffscale, Constantes!$B$2,
  IF(F311="",
    "",
    SUM(1/(1+POWER(10,-(F310-_xlpm.elos)/_xlpm.diffscale)))-0.5)
)</f>
        <v/>
      </c>
      <c r="G312" t="str" cm="1">
        <f t="array" ref="G312">_xlfn.LET(
  _xlpm.colj, _xlfn._xlws.FILTER(IF(ISNUMBER(311:311), COLUMN(311:311)), ISNUMBER(311:311)),
  _xlpm.elos, INDEX(310:310,1,_xlpm.colj),
  _xlpm.diffscale, Constantes!$B$2,
  IF(G311="",
    "",
    SUM(1/(1+POWER(10,-(G310-_xlpm.elos)/_xlpm.diffscale)))-0.5)
)</f>
        <v/>
      </c>
      <c r="H312" t="str" cm="1">
        <f t="array" ref="H312">_xlfn.LET(
  _xlpm.colj, _xlfn._xlws.FILTER(IF(ISNUMBER(311:311), COLUMN(311:311)), ISNUMBER(311:311)),
  _xlpm.elos, INDEX(310:310,1,_xlpm.colj),
  _xlpm.diffscale, Constantes!$B$2,
  IF(H311="",
    "",
    SUM(1/(1+POWER(10,-(H310-_xlpm.elos)/_xlpm.diffscale)))-0.5)
)</f>
        <v/>
      </c>
      <c r="I312" t="str" cm="1">
        <f t="array" ref="I312">_xlfn.LET(
  _xlpm.colj, _xlfn._xlws.FILTER(IF(ISNUMBER(311:311), COLUMN(311:311)), ISNUMBER(311:311)),
  _xlpm.elos, INDEX(310:310,1,_xlpm.colj),
  _xlpm.diffscale, Constantes!$B$2,
  IF(I311="",
    "",
    SUM(1/(1+POWER(10,-(I310-_xlpm.elos)/_xlpm.diffscale)))-0.5)
)</f>
        <v/>
      </c>
      <c r="J312" t="str" cm="1">
        <f t="array" ref="J312">_xlfn.LET(
  _xlpm.colj, _xlfn._xlws.FILTER(IF(ISNUMBER(311:311), COLUMN(311:311)), ISNUMBER(311:311)),
  _xlpm.elos, INDEX(310:310,1,_xlpm.colj),
  _xlpm.diffscale, Constantes!$B$2,
  IF(J311="",
    "",
    SUM(1/(1+POWER(10,-(J310-_xlpm.elos)/_xlpm.diffscale)))-0.5)
)</f>
        <v/>
      </c>
      <c r="K312" t="str" cm="1">
        <f t="array" ref="K312">_xlfn.LET(
  _xlpm.colj, _xlfn._xlws.FILTER(IF(ISNUMBER(311:311), COLUMN(311:311)), ISNUMBER(311:311)),
  _xlpm.elos, INDEX(310:310,1,_xlpm.colj),
  _xlpm.diffscale, Constantes!$B$2,
  IF(K311="",
    "",
    SUM(1/(1+POWER(10,-(K310-_xlpm.elos)/_xlpm.diffscale)))-0.5)
)</f>
        <v/>
      </c>
      <c r="L312" t="str" cm="1">
        <f t="array" ref="L312">_xlfn.LET(
  _xlpm.colj, _xlfn._xlws.FILTER(IF(ISNUMBER(311:311), COLUMN(311:311)), ISNUMBER(311:311)),
  _xlpm.elos, INDEX(310:310,1,_xlpm.colj),
  _xlpm.diffscale, Constantes!$B$2,
  IF(L311="",
    "",
    SUM(1/(1+POWER(10,-(L310-_xlpm.elos)/_xlpm.diffscale)))-0.5)
)</f>
        <v/>
      </c>
      <c r="M312" t="str" cm="1">
        <f t="array" ref="M312">_xlfn.LET(
  _xlpm.colj, _xlfn._xlws.FILTER(IF(ISNUMBER(311:311), COLUMN(311:311)), ISNUMBER(311:311)),
  _xlpm.elos, INDEX(310:310,1,_xlpm.colj),
  _xlpm.diffscale, Constantes!$B$2,
  IF(M311="",
    "",
    SUM(1/(1+POWER(10,-(M310-_xlpm.elos)/_xlpm.diffscale)))-0.5)
)</f>
        <v/>
      </c>
      <c r="N312" t="str" cm="1">
        <f t="array" ref="N312">_xlfn.LET(
  _xlpm.colj, _xlfn._xlws.FILTER(IF(ISNUMBER(311:311), COLUMN(311:311)), ISNUMBER(311:311)),
  _xlpm.elos, INDEX(310:310,1,_xlpm.colj),
  _xlpm.diffscale, Constantes!$B$2,
  IF(N311="",
    "",
    SUM(1/(1+POWER(10,-(N310-_xlpm.elos)/_xlpm.diffscale)))-0.5)
)</f>
        <v/>
      </c>
      <c r="O312" t="str" cm="1">
        <f t="array" ref="O312">_xlfn.LET(
  _xlpm.colj, _xlfn._xlws.FILTER(IF(ISNUMBER(311:311), COLUMN(311:311)), ISNUMBER(311:311)),
  _xlpm.elos, INDEX(310:310,1,_xlpm.colj),
  _xlpm.diffscale, Constantes!$B$2,
  IF(O311="",
    "",
    SUM(1/(1+POWER(10,-(O310-_xlpm.elos)/_xlpm.diffscale)))-0.5)
)</f>
        <v/>
      </c>
      <c r="P312" t="str" cm="1">
        <f t="array" ref="P312">_xlfn.LET(
  _xlpm.colj, _xlfn._xlws.FILTER(IF(ISNUMBER(311:311), COLUMN(311:311)), ISNUMBER(311:311)),
  _xlpm.elos, INDEX(310:310,1,_xlpm.colj),
  _xlpm.diffscale, Constantes!$B$2,
  IF(P311="",
    "",
    SUM(1/(1+POWER(10,-(P310-_xlpm.elos)/_xlpm.diffscale)))-0.5)
)</f>
        <v/>
      </c>
      <c r="Q312" t="str" cm="1">
        <f t="array" ref="Q312">_xlfn.LET(
  _xlpm.colj, _xlfn._xlws.FILTER(IF(ISNUMBER(311:311), COLUMN(311:311)), ISNUMBER(311:311)),
  _xlpm.elos, INDEX(310:310,1,_xlpm.colj),
  _xlpm.diffscale, Constantes!$B$2,
  IF(Q311="",
    "",
    SUM(1/(1+POWER(10,-(Q310-_xlpm.elos)/_xlpm.diffscale)))-0.5)
)</f>
        <v/>
      </c>
      <c r="R312" t="str" cm="1">
        <f t="array" ref="R312">_xlfn.LET(
  _xlpm.colj, _xlfn._xlws.FILTER(IF(ISNUMBER(311:311), COLUMN(311:311)), ISNUMBER(311:311)),
  _xlpm.elos, INDEX(310:310,1,_xlpm.colj),
  _xlpm.diffscale, Constantes!$B$2,
  IF(R311="",
    "",
    SUM(1/(1+POWER(10,-(R310-_xlpm.elos)/_xlpm.diffscale)))-0.5)
)</f>
        <v/>
      </c>
      <c r="S312" t="str" cm="1">
        <f t="array" ref="S312">_xlfn.LET(
  _xlpm.colj, _xlfn._xlws.FILTER(IF(ISNUMBER(311:311), COLUMN(311:311)), ISNUMBER(311:311)),
  _xlpm.elos, INDEX(310:310,1,_xlpm.colj),
  _xlpm.diffscale, Constantes!$B$2,
  IF(S311="",
    "",
    SUM(1/(1+POWER(10,-(S310-_xlpm.elos)/_xlpm.diffscale)))-0.5)
)</f>
        <v/>
      </c>
      <c r="T312" t="str" cm="1">
        <f t="array" ref="T312">_xlfn.LET(
  _xlpm.colj, _xlfn._xlws.FILTER(IF(ISNUMBER(311:311), COLUMN(311:311)), ISNUMBER(311:311)),
  _xlpm.elos, INDEX(310:310,1,_xlpm.colj),
  _xlpm.diffscale, Constantes!$B$2,
  IF(T311="",
    "",
    SUM(1/(1+POWER(10,-(T310-_xlpm.elos)/_xlpm.diffscale)))-0.5)
)</f>
        <v/>
      </c>
      <c r="U312" cm="1">
        <f t="array" ref="U312">_xlfn.LET(
  _xlpm.colj, _xlfn._xlws.FILTER(IF(ISNUMBER(311:311), COLUMN(311:311)), ISNUMBER(311:311)),
  _xlpm.elos, INDEX(310:310,1,_xlpm.colj),
  _xlpm.diffscale, Constantes!$B$2,
  IF(U311="",
    "",
    SUM(1/(1+POWER(10,-(U310-_xlpm.elos)/_xlpm.diffscale)))-0.5)
)</f>
        <v>2.3001677695666878</v>
      </c>
      <c r="V312" t="str" cm="1">
        <f t="array" ref="V312">_xlfn.LET(
  _xlpm.colj, _xlfn._xlws.FILTER(IF(ISNUMBER(311:311), COLUMN(311:311)), ISNUMBER(311:311)),
  _xlpm.elos, INDEX(310:310,1,_xlpm.colj),
  _xlpm.diffscale, Constantes!$B$2,
  IF(V311="",
    "",
    SUM(1/(1+POWER(10,-(V310-_xlpm.elos)/_xlpm.diffscale)))-0.5)
)</f>
        <v/>
      </c>
      <c r="W312" t="str" cm="1">
        <f t="array" ref="W312">_xlfn.LET(
  _xlpm.colj, _xlfn._xlws.FILTER(IF(ISNUMBER(311:311), COLUMN(311:311)), ISNUMBER(311:311)),
  _xlpm.elos, INDEX(310:310,1,_xlpm.colj),
  _xlpm.diffscale, Constantes!$B$2,
  IF(W311="",
    "",
    SUM(1/(1+POWER(10,-(W310-_xlpm.elos)/_xlpm.diffscale)))-0.5)
)</f>
        <v/>
      </c>
      <c r="X312" t="str" cm="1">
        <f t="array" ref="X312">_xlfn.LET(
  _xlpm.colj, _xlfn._xlws.FILTER(IF(ISNUMBER(311:311), COLUMN(311:311)), ISNUMBER(311:311)),
  _xlpm.elos, INDEX(310:310,1,_xlpm.colj),
  _xlpm.diffscale, Constantes!$B$2,
  IF(X311="",
    "",
    SUM(1/(1+POWER(10,-(X310-_xlpm.elos)/_xlpm.diffscale)))-0.5)
)</f>
        <v/>
      </c>
      <c r="Y312" t="str" cm="1">
        <f t="array" ref="Y312">_xlfn.LET(
  _xlpm.colj, _xlfn._xlws.FILTER(IF(ISNUMBER(311:311), COLUMN(311:311)), ISNUMBER(311:311)),
  _xlpm.elos, INDEX(310:310,1,_xlpm.colj),
  _xlpm.diffscale, Constantes!$B$2,
  IF(Y311="",
    "",
    SUM(1/(1+POWER(10,-(Y310-_xlpm.elos)/_xlpm.diffscale)))-0.5)
)</f>
        <v/>
      </c>
      <c r="Z312" cm="1">
        <f t="array" ref="Z312">_xlfn.LET(
  _xlpm.colj, _xlfn._xlws.FILTER(IF(ISNUMBER(311:311), COLUMN(311:311)), ISNUMBER(311:311)),
  _xlpm.elos, INDEX(310:310,1,_xlpm.colj),
  _xlpm.diffscale, Constantes!$B$2,
  IF(Z311="",
    "",
    SUM(1/(1+POWER(10,-(Z310-_xlpm.elos)/_xlpm.diffscale)))-0.5)
)</f>
        <v>1.4461844497889889</v>
      </c>
      <c r="AA312" cm="1">
        <f t="array" ref="AA312">_xlfn.LET(
  _xlpm.colj, _xlfn._xlws.FILTER(IF(ISNUMBER(311:311), COLUMN(311:311)), ISNUMBER(311:311)),
  _xlpm.elos, INDEX(310:310,1,_xlpm.colj),
  _xlpm.diffscale, Constantes!$B$2,
  IF(AA311="",
    "",
    SUM(1/(1+POWER(10,-(AA310-_xlpm.elos)/_xlpm.diffscale)))-0.5)
)</f>
        <v>1.4369205911016365</v>
      </c>
      <c r="AB312" t="str" cm="1">
        <f t="array" ref="AB312">_xlfn.LET(
  _xlpm.colj, _xlfn._xlws.FILTER(IF(ISNUMBER(311:311), COLUMN(311:311)), ISNUMBER(311:311)),
  _xlpm.elos, INDEX(310:310,1,_xlpm.colj),
  _xlpm.diffscale, Constantes!$B$2,
  IF(AB311="",
    "",
    SUM(1/(1+POWER(10,-(AB310-_xlpm.elos)/_xlpm.diffscale)))-0.5)
)</f>
        <v/>
      </c>
      <c r="AC312" t="str" cm="1">
        <f t="array" ref="AC312">_xlfn.LET(
  _xlpm.colj, _xlfn._xlws.FILTER(IF(ISNUMBER(311:311), COLUMN(311:311)), ISNUMBER(311:311)),
  _xlpm.elos, INDEX(310:310,1,_xlpm.colj),
  _xlpm.diffscale, Constantes!$B$2,
  IF(AC311="",
    "",
    SUM(1/(1+POWER(10,-(AC310-_xlpm.elos)/_xlpm.diffscale)))-0.5)
)</f>
        <v/>
      </c>
      <c r="AD312" t="str" cm="1">
        <f t="array" ref="AD312">_xlfn.LET(
  _xlpm.colj, _xlfn._xlws.FILTER(IF(ISNUMBER(311:311), COLUMN(311:311)), ISNUMBER(311:311)),
  _xlpm.elos, INDEX(310:310,1,_xlpm.colj),
  _xlpm.diffscale, Constantes!$B$2,
  IF(AD311="",
    "",
    SUM(1/(1+POWER(10,-(AD310-_xlpm.elos)/_xlpm.diffscale)))-0.5)
)</f>
        <v/>
      </c>
      <c r="AE312" t="str" cm="1">
        <f t="array" ref="AE312">_xlfn.LET(
  _xlpm.colj, _xlfn._xlws.FILTER(IF(ISNUMBER(311:311), COLUMN(311:311)), ISNUMBER(311:311)),
  _xlpm.elos, INDEX(310:310,1,_xlpm.colj),
  _xlpm.diffscale, Constantes!$B$2,
  IF(AE311="",
    "",
    SUM(1/(1+POWER(10,-(AE310-_xlpm.elos)/_xlpm.diffscale)))-0.5)
)</f>
        <v/>
      </c>
      <c r="AF312" t="str" cm="1">
        <f t="array" ref="AF312">_xlfn.LET(
  _xlpm.colj, _xlfn._xlws.FILTER(IF(ISNUMBER(311:311), COLUMN(311:311)), ISNUMBER(311:311)),
  _xlpm.elos, INDEX(310:310,1,_xlpm.colj),
  _xlpm.diffscale, Constantes!$B$2,
  IF(AF311="",
    "",
    SUM(1/(1+POWER(10,-(AF310-_xlpm.elos)/_xlpm.diffscale)))-0.5)
)</f>
        <v/>
      </c>
      <c r="AG312" t="str" cm="1">
        <f t="array" ref="AG312">_xlfn.LET(
  _xlpm.colj, _xlfn._xlws.FILTER(IF(ISNUMBER(311:311), COLUMN(311:311)), ISNUMBER(311:311)),
  _xlpm.elos, INDEX(310:310,1,_xlpm.colj),
  _xlpm.diffscale, Constantes!$B$2,
  IF(AG311="",
    "",
    SUM(1/(1+POWER(10,-(AG310-_xlpm.elos)/_xlpm.diffscale)))-0.5)
)</f>
        <v/>
      </c>
      <c r="AH312" t="str" cm="1">
        <f t="array" ref="AH312">_xlfn.LET(
  _xlpm.colj, _xlfn._xlws.FILTER(IF(ISNUMBER(311:311), COLUMN(311:311)), ISNUMBER(311:311)),
  _xlpm.elos, INDEX(310:310,1,_xlpm.colj),
  _xlpm.diffscale, Constantes!$B$2,
  IF(AH311="",
    "",
    SUM(1/(1+POWER(10,-(AH310-_xlpm.elos)/_xlpm.diffscale)))-0.5)
)</f>
        <v/>
      </c>
      <c r="AI312" cm="1">
        <f t="array" ref="AI312">_xlfn.LET(
  _xlpm.colj, _xlfn._xlws.FILTER(IF(ISNUMBER(311:311), COLUMN(311:311)), ISNUMBER(311:311)),
  _xlpm.elos, INDEX(310:310,1,_xlpm.colj),
  _xlpm.diffscale, Constantes!$B$2,
  IF(AI311="",
    "",
    SUM(1/(1+POWER(10,-(AI310-_xlpm.elos)/_xlpm.diffscale)))-0.5)
)</f>
        <v>0.81672718954268642</v>
      </c>
      <c r="AJ312" t="str" cm="1">
        <f t="array" ref="AJ312">_xlfn.LET(
  _xlpm.colj, _xlfn._xlws.FILTER(IF(ISNUMBER(311:311), COLUMN(311:311)), ISNUMBER(311:311)),
  _xlpm.elos, INDEX(310:310,1,_xlpm.colj),
  _xlpm.diffscale, Constantes!$B$2,
  IF(AJ311="",
    "",
    SUM(1/(1+POWER(10,-(AJ310-_xlpm.elos)/_xlpm.diffscale)))-0.5)
)</f>
        <v/>
      </c>
      <c r="AK312" t="str" cm="1">
        <f t="array" ref="AK312">_xlfn.LET(
  _xlpm.colj, _xlfn._xlws.FILTER(IF(ISNUMBER(311:311), COLUMN(311:311)), ISNUMBER(311:311)),
  _xlpm.elos, INDEX(310:310,1,_xlpm.colj),
  _xlpm.diffscale, Constantes!$B$2,
  IF(AK311="",
    "",
    SUM(1/(1+POWER(10,-(AK310-_xlpm.elos)/_xlpm.diffscale)))-0.5)
)</f>
        <v/>
      </c>
      <c r="AL312" t="str" cm="1">
        <f t="array" ref="AL312">_xlfn.LET(
  _xlpm.colj, _xlfn._xlws.FILTER(IF(ISNUMBER(311:311), COLUMN(311:311)), ISNUMBER(311:311)),
  _xlpm.elos, INDEX(310:310,1,_xlpm.colj),
  _xlpm.diffscale, Constantes!$B$2,
  IF(AL311="",
    "",
    SUM(1/(1+POWER(10,-(AL310-_xlpm.elos)/_xlpm.diffscale)))-0.5)
)</f>
        <v/>
      </c>
      <c r="AM312" t="str" cm="1">
        <f t="array" ref="AM312">_xlfn.LET(
  _xlpm.colj, _xlfn._xlws.FILTER(IF(ISNUMBER(311:311), COLUMN(311:311)), ISNUMBER(311:311)),
  _xlpm.elos, INDEX(310:310,1,_xlpm.colj),
  _xlpm.diffscale, Constantes!$B$2,
  IF(AM311="",
    "",
    SUM(1/(1+POWER(10,-(AM310-_xlpm.elos)/_xlpm.diffscale)))-0.5)
)</f>
        <v/>
      </c>
    </row>
    <row r="313" spans="1:39" x14ac:dyDescent="0.25">
      <c r="A313" t="s">
        <v>22</v>
      </c>
      <c r="D313" t="str" cm="1">
        <f t="array" ref="D313">_xlfn.LET(
  _xlpm.K, Constantes!$B$3,
  _xlpm.Knewgain, Constantes!$B$4,
  _xlpm.Knewscale, Constantes!$B$5,
  _xlpm.ptstables, INDEX(D:D, _xlfn.SEQUENCE(COUNTA($C$2:$C313), 1, 3, 4)),
  _xlpm.nbparties, COUNTA(_xlfn._xlws.FILTER(_xlpm.ptstables, _xlpm.ptstables &lt;&gt; "")),
  _xlpm.coef, _xlpm.K + _xlpm.Knewgain / (_xlpm.Knewscale + _xlpm.nbparties),
  IF(D311="",
    "",
    _xlpm.coef * (D311-D312))
)</f>
        <v/>
      </c>
      <c r="E313" t="str" cm="1">
        <f t="array" ref="E313">_xlfn.LET(
  _xlpm.K, Constantes!$B$3,
  _xlpm.Knewgain, Constantes!$B$4,
  _xlpm.Knewscale, Constantes!$B$5,
  _xlpm.ptstables, INDEX(E:E, _xlfn.SEQUENCE(COUNTA($C$2:$C313), 1, 3, 4)),
  _xlpm.nbparties, COUNTA(_xlfn._xlws.FILTER(_xlpm.ptstables, _xlpm.ptstables &lt;&gt; "")),
  _xlpm.coef, _xlpm.K + _xlpm.Knewgain / (_xlpm.Knewscale + _xlpm.nbparties),
  IF(E311="",
    "",
    _xlpm.coef * (E311-E312))
)</f>
        <v/>
      </c>
      <c r="F313" t="str" cm="1">
        <f t="array" ref="F313">_xlfn.LET(
  _xlpm.K, Constantes!$B$3,
  _xlpm.Knewgain, Constantes!$B$4,
  _xlpm.Knewscale, Constantes!$B$5,
  _xlpm.ptstables, INDEX(F:F, _xlfn.SEQUENCE(COUNTA($C$2:$C313), 1, 3, 4)),
  _xlpm.nbparties, COUNTA(_xlfn._xlws.FILTER(_xlpm.ptstables, _xlpm.ptstables &lt;&gt; "")),
  _xlpm.coef, _xlpm.K + _xlpm.Knewgain / (_xlpm.Knewscale + _xlpm.nbparties),
  IF(F311="",
    "",
    _xlpm.coef * (F311-F312))
)</f>
        <v/>
      </c>
      <c r="G313" t="str" cm="1">
        <f t="array" ref="G313">_xlfn.LET(
  _xlpm.K, Constantes!$B$3,
  _xlpm.Knewgain, Constantes!$B$4,
  _xlpm.Knewscale, Constantes!$B$5,
  _xlpm.ptstables, INDEX(G:G, _xlfn.SEQUENCE(COUNTA($C$2:$C313), 1, 3, 4)),
  _xlpm.nbparties, COUNTA(_xlfn._xlws.FILTER(_xlpm.ptstables, _xlpm.ptstables &lt;&gt; "")),
  _xlpm.coef, _xlpm.K + _xlpm.Knewgain / (_xlpm.Knewscale + _xlpm.nbparties),
  IF(G311="",
    "",
    _xlpm.coef * (G311-G312))
)</f>
        <v/>
      </c>
      <c r="H313" t="str" cm="1">
        <f t="array" ref="H313">_xlfn.LET(
  _xlpm.K, Constantes!$B$3,
  _xlpm.Knewgain, Constantes!$B$4,
  _xlpm.Knewscale, Constantes!$B$5,
  _xlpm.ptstables, INDEX(H:H, _xlfn.SEQUENCE(COUNTA($C$2:$C313), 1, 3, 4)),
  _xlpm.nbparties, COUNTA(_xlfn._xlws.FILTER(_xlpm.ptstables, _xlpm.ptstables &lt;&gt; "")),
  _xlpm.coef, _xlpm.K + _xlpm.Knewgain / (_xlpm.Knewscale + _xlpm.nbparties),
  IF(H311="",
    "",
    _xlpm.coef * (H311-H312))
)</f>
        <v/>
      </c>
      <c r="I313" t="str" cm="1">
        <f t="array" ref="I313">_xlfn.LET(
  _xlpm.K, Constantes!$B$3,
  _xlpm.Knewgain, Constantes!$B$4,
  _xlpm.Knewscale, Constantes!$B$5,
  _xlpm.ptstables, INDEX(I:I, _xlfn.SEQUENCE(COUNTA($C$2:$C313), 1, 3, 4)),
  _xlpm.nbparties, COUNTA(_xlfn._xlws.FILTER(_xlpm.ptstables, _xlpm.ptstables &lt;&gt; "")),
  _xlpm.coef, _xlpm.K + _xlpm.Knewgain / (_xlpm.Knewscale + _xlpm.nbparties),
  IF(I311="",
    "",
    _xlpm.coef * (I311-I312))
)</f>
        <v/>
      </c>
      <c r="J313" t="str" cm="1">
        <f t="array" ref="J313">_xlfn.LET(
  _xlpm.K, Constantes!$B$3,
  _xlpm.Knewgain, Constantes!$B$4,
  _xlpm.Knewscale, Constantes!$B$5,
  _xlpm.ptstables, INDEX(J:J, _xlfn.SEQUENCE(COUNTA($C$2:$C313), 1, 3, 4)),
  _xlpm.nbparties, COUNTA(_xlfn._xlws.FILTER(_xlpm.ptstables, _xlpm.ptstables &lt;&gt; "")),
  _xlpm.coef, _xlpm.K + _xlpm.Knewgain / (_xlpm.Knewscale + _xlpm.nbparties),
  IF(J311="",
    "",
    _xlpm.coef * (J311-J312))
)</f>
        <v/>
      </c>
      <c r="K313" t="str" cm="1">
        <f t="array" ref="K313">_xlfn.LET(
  _xlpm.K, Constantes!$B$3,
  _xlpm.Knewgain, Constantes!$B$4,
  _xlpm.Knewscale, Constantes!$B$5,
  _xlpm.ptstables, INDEX(K:K, _xlfn.SEQUENCE(COUNTA($C$2:$C313), 1, 3, 4)),
  _xlpm.nbparties, COUNTA(_xlfn._xlws.FILTER(_xlpm.ptstables, _xlpm.ptstables &lt;&gt; "")),
  _xlpm.coef, _xlpm.K + _xlpm.Knewgain / (_xlpm.Knewscale + _xlpm.nbparties),
  IF(K311="",
    "",
    _xlpm.coef * (K311-K312))
)</f>
        <v/>
      </c>
      <c r="L313" t="str" cm="1">
        <f t="array" ref="L313">_xlfn.LET(
  _xlpm.K, Constantes!$B$3,
  _xlpm.Knewgain, Constantes!$B$4,
  _xlpm.Knewscale, Constantes!$B$5,
  _xlpm.ptstables, INDEX(L:L, _xlfn.SEQUENCE(COUNTA($C$2:$C313), 1, 3, 4)),
  _xlpm.nbparties, COUNTA(_xlfn._xlws.FILTER(_xlpm.ptstables, _xlpm.ptstables &lt;&gt; "")),
  _xlpm.coef, _xlpm.K + _xlpm.Knewgain / (_xlpm.Knewscale + _xlpm.nbparties),
  IF(L311="",
    "",
    _xlpm.coef * (L311-L312))
)</f>
        <v/>
      </c>
      <c r="M313" t="str" cm="1">
        <f t="array" ref="M313">_xlfn.LET(
  _xlpm.K, Constantes!$B$3,
  _xlpm.Knewgain, Constantes!$B$4,
  _xlpm.Knewscale, Constantes!$B$5,
  _xlpm.ptstables, INDEX(M:M, _xlfn.SEQUENCE(COUNTA($C$2:$C313), 1, 3, 4)),
  _xlpm.nbparties, COUNTA(_xlfn._xlws.FILTER(_xlpm.ptstables, _xlpm.ptstables &lt;&gt; "")),
  _xlpm.coef, _xlpm.K + _xlpm.Knewgain / (_xlpm.Knewscale + _xlpm.nbparties),
  IF(M311="",
    "",
    _xlpm.coef * (M311-M312))
)</f>
        <v/>
      </c>
      <c r="N313" t="str" cm="1">
        <f t="array" ref="N313">_xlfn.LET(
  _xlpm.K, Constantes!$B$3,
  _xlpm.Knewgain, Constantes!$B$4,
  _xlpm.Knewscale, Constantes!$B$5,
  _xlpm.ptstables, INDEX(N:N, _xlfn.SEQUENCE(COUNTA($C$2:$C313), 1, 3, 4)),
  _xlpm.nbparties, COUNTA(_xlfn._xlws.FILTER(_xlpm.ptstables, _xlpm.ptstables &lt;&gt; "")),
  _xlpm.coef, _xlpm.K + _xlpm.Knewgain / (_xlpm.Knewscale + _xlpm.nbparties),
  IF(N311="",
    "",
    _xlpm.coef * (N311-N312))
)</f>
        <v/>
      </c>
      <c r="O313" t="str" cm="1">
        <f t="array" ref="O313">_xlfn.LET(
  _xlpm.K, Constantes!$B$3,
  _xlpm.Knewgain, Constantes!$B$4,
  _xlpm.Knewscale, Constantes!$B$5,
  _xlpm.ptstables, INDEX(O:O, _xlfn.SEQUENCE(COUNTA($C$2:$C313), 1, 3, 4)),
  _xlpm.nbparties, COUNTA(_xlfn._xlws.FILTER(_xlpm.ptstables, _xlpm.ptstables &lt;&gt; "")),
  _xlpm.coef, _xlpm.K + _xlpm.Knewgain / (_xlpm.Knewscale + _xlpm.nbparties),
  IF(O311="",
    "",
    _xlpm.coef * (O311-O312))
)</f>
        <v/>
      </c>
      <c r="P313" t="str" cm="1">
        <f t="array" ref="P313">_xlfn.LET(
  _xlpm.K, Constantes!$B$3,
  _xlpm.Knewgain, Constantes!$B$4,
  _xlpm.Knewscale, Constantes!$B$5,
  _xlpm.ptstables, INDEX(P:P, _xlfn.SEQUENCE(COUNTA($C$2:$C313), 1, 3, 4)),
  _xlpm.nbparties, COUNTA(_xlfn._xlws.FILTER(_xlpm.ptstables, _xlpm.ptstables &lt;&gt; "")),
  _xlpm.coef, _xlpm.K + _xlpm.Knewgain / (_xlpm.Knewscale + _xlpm.nbparties),
  IF(P311="",
    "",
    _xlpm.coef * (P311-P312))
)</f>
        <v/>
      </c>
      <c r="Q313" t="str" cm="1">
        <f t="array" ref="Q313">_xlfn.LET(
  _xlpm.K, Constantes!$B$3,
  _xlpm.Knewgain, Constantes!$B$4,
  _xlpm.Knewscale, Constantes!$B$5,
  _xlpm.ptstables, INDEX(Q:Q, _xlfn.SEQUENCE(COUNTA($C$2:$C313), 1, 3, 4)),
  _xlpm.nbparties, COUNTA(_xlfn._xlws.FILTER(_xlpm.ptstables, _xlpm.ptstables &lt;&gt; "")),
  _xlpm.coef, _xlpm.K + _xlpm.Knewgain / (_xlpm.Knewscale + _xlpm.nbparties),
  IF(Q311="",
    "",
    _xlpm.coef * (Q311-Q312))
)</f>
        <v/>
      </c>
      <c r="R313" t="str" cm="1">
        <f t="array" ref="R313">_xlfn.LET(
  _xlpm.K, Constantes!$B$3,
  _xlpm.Knewgain, Constantes!$B$4,
  _xlpm.Knewscale, Constantes!$B$5,
  _xlpm.ptstables, INDEX(R:R, _xlfn.SEQUENCE(COUNTA($C$2:$C313), 1, 3, 4)),
  _xlpm.nbparties, COUNTA(_xlfn._xlws.FILTER(_xlpm.ptstables, _xlpm.ptstables &lt;&gt; "")),
  _xlpm.coef, _xlpm.K + _xlpm.Knewgain / (_xlpm.Knewscale + _xlpm.nbparties),
  IF(R311="",
    "",
    _xlpm.coef * (R311-R312))
)</f>
        <v/>
      </c>
      <c r="S313" t="str" cm="1">
        <f t="array" ref="S313">_xlfn.LET(
  _xlpm.K, Constantes!$B$3,
  _xlpm.Knewgain, Constantes!$B$4,
  _xlpm.Knewscale, Constantes!$B$5,
  _xlpm.ptstables, INDEX(S:S, _xlfn.SEQUENCE(COUNTA($C$2:$C313), 1, 3, 4)),
  _xlpm.nbparties, COUNTA(_xlfn._xlws.FILTER(_xlpm.ptstables, _xlpm.ptstables &lt;&gt; "")),
  _xlpm.coef, _xlpm.K + _xlpm.Knewgain / (_xlpm.Knewscale + _xlpm.nbparties),
  IF(S311="",
    "",
    _xlpm.coef * (S311-S312))
)</f>
        <v/>
      </c>
      <c r="T313" t="str" cm="1">
        <f t="array" ref="T313">_xlfn.LET(
  _xlpm.K, Constantes!$B$3,
  _xlpm.Knewgain, Constantes!$B$4,
  _xlpm.Knewscale, Constantes!$B$5,
  _xlpm.ptstables, INDEX(T:T, _xlfn.SEQUENCE(COUNTA($C$2:$C313), 1, 3, 4)),
  _xlpm.nbparties, COUNTA(_xlfn._xlws.FILTER(_xlpm.ptstables, _xlpm.ptstables &lt;&gt; "")),
  _xlpm.coef, _xlpm.K + _xlpm.Knewgain / (_xlpm.Knewscale + _xlpm.nbparties),
  IF(T311="",
    "",
    _xlpm.coef * (T311-T312))
)</f>
        <v/>
      </c>
      <c r="U313" cm="1">
        <f t="array" ref="U313">_xlfn.LET(
  _xlpm.K, Constantes!$B$3,
  _xlpm.Knewgain, Constantes!$B$4,
  _xlpm.Knewscale, Constantes!$B$5,
  _xlpm.ptstables, INDEX(U:U, _xlfn.SEQUENCE(COUNTA($C$2:$C313), 1, 3, 4)),
  _xlpm.nbparties, COUNTA(_xlfn._xlws.FILTER(_xlpm.ptstables, _xlpm.ptstables &lt;&gt; "")),
  _xlpm.coef, _xlpm.K + _xlpm.Knewgain / (_xlpm.Knewscale + _xlpm.nbparties),
  IF(U311="",
    "",
    _xlpm.coef * (U311-U312))
)</f>
        <v>-6.6287049112643546</v>
      </c>
      <c r="V313" t="str" cm="1">
        <f t="array" ref="V313">_xlfn.LET(
  _xlpm.K, Constantes!$B$3,
  _xlpm.Knewgain, Constantes!$B$4,
  _xlpm.Knewscale, Constantes!$B$5,
  _xlpm.ptstables, INDEX(V:V, _xlfn.SEQUENCE(COUNTA($C$2:$C313), 1, 3, 4)),
  _xlpm.nbparties, COUNTA(_xlfn._xlws.FILTER(_xlpm.ptstables, _xlpm.ptstables &lt;&gt; "")),
  _xlpm.coef, _xlpm.K + _xlpm.Knewgain / (_xlpm.Knewscale + _xlpm.nbparties),
  IF(V311="",
    "",
    _xlpm.coef * (V311-V312))
)</f>
        <v/>
      </c>
      <c r="W313" t="str" cm="1">
        <f t="array" ref="W313">_xlfn.LET(
  _xlpm.K, Constantes!$B$3,
  _xlpm.Knewgain, Constantes!$B$4,
  _xlpm.Knewscale, Constantes!$B$5,
  _xlpm.ptstables, INDEX(W:W, _xlfn.SEQUENCE(COUNTA($C$2:$C313), 1, 3, 4)),
  _xlpm.nbparties, COUNTA(_xlfn._xlws.FILTER(_xlpm.ptstables, _xlpm.ptstables &lt;&gt; "")),
  _xlpm.coef, _xlpm.K + _xlpm.Knewgain / (_xlpm.Knewscale + _xlpm.nbparties),
  IF(W311="",
    "",
    _xlpm.coef * (W311-W312))
)</f>
        <v/>
      </c>
      <c r="X313" t="str" cm="1">
        <f t="array" ref="X313">_xlfn.LET(
  _xlpm.K, Constantes!$B$3,
  _xlpm.Knewgain, Constantes!$B$4,
  _xlpm.Knewscale, Constantes!$B$5,
  _xlpm.ptstables, INDEX(X:X, _xlfn.SEQUENCE(COUNTA($C$2:$C313), 1, 3, 4)),
  _xlpm.nbparties, COUNTA(_xlfn._xlws.FILTER(_xlpm.ptstables, _xlpm.ptstables &lt;&gt; "")),
  _xlpm.coef, _xlpm.K + _xlpm.Knewgain / (_xlpm.Knewscale + _xlpm.nbparties),
  IF(X311="",
    "",
    _xlpm.coef * (X311-X312))
)</f>
        <v/>
      </c>
      <c r="Y313" t="str" cm="1">
        <f t="array" ref="Y313">_xlfn.LET(
  _xlpm.K, Constantes!$B$3,
  _xlpm.Knewgain, Constantes!$B$4,
  _xlpm.Knewscale, Constantes!$B$5,
  _xlpm.ptstables, INDEX(Y:Y, _xlfn.SEQUENCE(COUNTA($C$2:$C313), 1, 3, 4)),
  _xlpm.nbparties, COUNTA(_xlfn._xlws.FILTER(_xlpm.ptstables, _xlpm.ptstables &lt;&gt; "")),
  _xlpm.coef, _xlpm.K + _xlpm.Knewgain / (_xlpm.Knewscale + _xlpm.nbparties),
  IF(Y311="",
    "",
    _xlpm.coef * (Y311-Y312))
)</f>
        <v/>
      </c>
      <c r="Z313" cm="1">
        <f t="array" ref="Z313">_xlfn.LET(
  _xlpm.K, Constantes!$B$3,
  _xlpm.Knewgain, Constantes!$B$4,
  _xlpm.Knewscale, Constantes!$B$5,
  _xlpm.ptstables, INDEX(Z:Z, _xlfn.SEQUENCE(COUNTA($C$2:$C313), 1, 3, 4)),
  _xlpm.nbparties, COUNTA(_xlfn._xlws.FILTER(_xlpm.ptstables, _xlpm.ptstables &lt;&gt; "")),
  _xlpm.coef, _xlpm.K + _xlpm.Knewgain / (_xlpm.Knewscale + _xlpm.nbparties),
  IF(Z311="",
    "",
    _xlpm.coef * (Z311-Z312))
)</f>
        <v>-14.500994618142137</v>
      </c>
      <c r="AA313" cm="1">
        <f t="array" ref="AA313">_xlfn.LET(
  _xlpm.K, Constantes!$B$3,
  _xlpm.Knewgain, Constantes!$B$4,
  _xlpm.Knewscale, Constantes!$B$5,
  _xlpm.ptstables, INDEX(AA:AA, _xlfn.SEQUENCE(COUNTA($C$2:$C313), 1, 3, 4)),
  _xlpm.nbparties, COUNTA(_xlfn._xlws.FILTER(_xlpm.ptstables, _xlpm.ptstables &lt;&gt; "")),
  _xlpm.coef, _xlpm.K + _xlpm.Knewgain / (_xlpm.Knewscale + _xlpm.nbparties),
  IF(AA311="",
    "",
    _xlpm.coef * (AA311-AA312))
)</f>
        <v>-36.7213039948196</v>
      </c>
      <c r="AB313" t="str" cm="1">
        <f t="array" ref="AB313">_xlfn.LET(
  _xlpm.K, Constantes!$B$3,
  _xlpm.Knewgain, Constantes!$B$4,
  _xlpm.Knewscale, Constantes!$B$5,
  _xlpm.ptstables, INDEX(AB:AB, _xlfn.SEQUENCE(COUNTA($C$2:$C313), 1, 3, 4)),
  _xlpm.nbparties, COUNTA(_xlfn._xlws.FILTER(_xlpm.ptstables, _xlpm.ptstables &lt;&gt; "")),
  _xlpm.coef, _xlpm.K + _xlpm.Knewgain / (_xlpm.Knewscale + _xlpm.nbparties),
  IF(AB311="",
    "",
    _xlpm.coef * (AB311-AB312))
)</f>
        <v/>
      </c>
      <c r="AC313" t="str" cm="1">
        <f t="array" ref="AC313">_xlfn.LET(
  _xlpm.K, Constantes!$B$3,
  _xlpm.Knewgain, Constantes!$B$4,
  _xlpm.Knewscale, Constantes!$B$5,
  _xlpm.ptstables, INDEX(AC:AC, _xlfn.SEQUENCE(COUNTA($C$2:$C313), 1, 3, 4)),
  _xlpm.nbparties, COUNTA(_xlfn._xlws.FILTER(_xlpm.ptstables, _xlpm.ptstables &lt;&gt; "")),
  _xlpm.coef, _xlpm.K + _xlpm.Knewgain / (_xlpm.Knewscale + _xlpm.nbparties),
  IF(AC311="",
    "",
    _xlpm.coef * (AC311-AC312))
)</f>
        <v/>
      </c>
      <c r="AD313" t="str" cm="1">
        <f t="array" ref="AD313">_xlfn.LET(
  _xlpm.K, Constantes!$B$3,
  _xlpm.Knewgain, Constantes!$B$4,
  _xlpm.Knewscale, Constantes!$B$5,
  _xlpm.ptstables, INDEX(AD:AD, _xlfn.SEQUENCE(COUNTA($C$2:$C313), 1, 3, 4)),
  _xlpm.nbparties, COUNTA(_xlfn._xlws.FILTER(_xlpm.ptstables, _xlpm.ptstables &lt;&gt; "")),
  _xlpm.coef, _xlpm.K + _xlpm.Knewgain / (_xlpm.Knewscale + _xlpm.nbparties),
  IF(AD311="",
    "",
    _xlpm.coef * (AD311-AD312))
)</f>
        <v/>
      </c>
      <c r="AE313" t="str" cm="1">
        <f t="array" ref="AE313">_xlfn.LET(
  _xlpm.K, Constantes!$B$3,
  _xlpm.Knewgain, Constantes!$B$4,
  _xlpm.Knewscale, Constantes!$B$5,
  _xlpm.ptstables, INDEX(AE:AE, _xlfn.SEQUENCE(COUNTA($C$2:$C313), 1, 3, 4)),
  _xlpm.nbparties, COUNTA(_xlfn._xlws.FILTER(_xlpm.ptstables, _xlpm.ptstables &lt;&gt; "")),
  _xlpm.coef, _xlpm.K + _xlpm.Knewgain / (_xlpm.Knewscale + _xlpm.nbparties),
  IF(AE311="",
    "",
    _xlpm.coef * (AE311-AE312))
)</f>
        <v/>
      </c>
      <c r="AF313" t="str" cm="1">
        <f t="array" ref="AF313">_xlfn.LET(
  _xlpm.K, Constantes!$B$3,
  _xlpm.Knewgain, Constantes!$B$4,
  _xlpm.Knewscale, Constantes!$B$5,
  _xlpm.ptstables, INDEX(AF:AF, _xlfn.SEQUENCE(COUNTA($C$2:$C313), 1, 3, 4)),
  _xlpm.nbparties, COUNTA(_xlfn._xlws.FILTER(_xlpm.ptstables, _xlpm.ptstables &lt;&gt; "")),
  _xlpm.coef, _xlpm.K + _xlpm.Knewgain / (_xlpm.Knewscale + _xlpm.nbparties),
  IF(AF311="",
    "",
    _xlpm.coef * (AF311-AF312))
)</f>
        <v/>
      </c>
      <c r="AG313" t="str" cm="1">
        <f t="array" ref="AG313">_xlfn.LET(
  _xlpm.K, Constantes!$B$3,
  _xlpm.Knewgain, Constantes!$B$4,
  _xlpm.Knewscale, Constantes!$B$5,
  _xlpm.ptstables, INDEX(AG:AG, _xlfn.SEQUENCE(COUNTA($C$2:$C313), 1, 3, 4)),
  _xlpm.nbparties, COUNTA(_xlfn._xlws.FILTER(_xlpm.ptstables, _xlpm.ptstables &lt;&gt; "")),
  _xlpm.coef, _xlpm.K + _xlpm.Knewgain / (_xlpm.Knewscale + _xlpm.nbparties),
  IF(AG311="",
    "",
    _xlpm.coef * (AG311-AG312))
)</f>
        <v/>
      </c>
      <c r="AH313" t="str" cm="1">
        <f t="array" ref="AH313">_xlfn.LET(
  _xlpm.K, Constantes!$B$3,
  _xlpm.Knewgain, Constantes!$B$4,
  _xlpm.Knewscale, Constantes!$B$5,
  _xlpm.ptstables, INDEX(AH:AH, _xlfn.SEQUENCE(COUNTA($C$2:$C313), 1, 3, 4)),
  _xlpm.nbparties, COUNTA(_xlfn._xlws.FILTER(_xlpm.ptstables, _xlpm.ptstables &lt;&gt; "")),
  _xlpm.coef, _xlpm.K + _xlpm.Knewgain / (_xlpm.Knewscale + _xlpm.nbparties),
  IF(AH311="",
    "",
    _xlpm.coef * (AH311-AH312))
)</f>
        <v/>
      </c>
      <c r="AI313" cm="1">
        <f t="array" ref="AI313">_xlfn.LET(
  _xlpm.K, Constantes!$B$3,
  _xlpm.Knewgain, Constantes!$B$4,
  _xlpm.Knewscale, Constantes!$B$5,
  _xlpm.ptstables, INDEX(AI:AI, _xlfn.SEQUENCE(COUNTA($C$2:$C313), 1, 3, 4)),
  _xlpm.nbparties, COUNTA(_xlfn._xlws.FILTER(_xlpm.ptstables, _xlpm.ptstables &lt;&gt; "")),
  _xlpm.coef, _xlpm.K + _xlpm.Knewgain / (_xlpm.Knewscale + _xlpm.nbparties),
  IF(AI311="",
    "",
    _xlpm.coef * (AI311-AI312))
)</f>
        <v>55.794749600575791</v>
      </c>
      <c r="AJ313" t="str" cm="1">
        <f t="array" ref="AJ313">_xlfn.LET(
  _xlpm.K, Constantes!$B$3,
  _xlpm.Knewgain, Constantes!$B$4,
  _xlpm.Knewscale, Constantes!$B$5,
  _xlpm.ptstables, INDEX(AJ:AJ, _xlfn.SEQUENCE(COUNTA($C$2:$C313), 1, 3, 4)),
  _xlpm.nbparties, COUNTA(_xlfn._xlws.FILTER(_xlpm.ptstables, _xlpm.ptstables &lt;&gt; "")),
  _xlpm.coef, _xlpm.K + _xlpm.Knewgain / (_xlpm.Knewscale + _xlpm.nbparties),
  IF(AJ311="",
    "",
    _xlpm.coef * (AJ311-AJ312))
)</f>
        <v/>
      </c>
      <c r="AK313" t="str" cm="1">
        <f t="array" ref="AK313">_xlfn.LET(
  _xlpm.K, Constantes!$B$3,
  _xlpm.Knewgain, Constantes!$B$4,
  _xlpm.Knewscale, Constantes!$B$5,
  _xlpm.ptstables, INDEX(AK:AK, _xlfn.SEQUENCE(COUNTA($C$2:$C313), 1, 3, 4)),
  _xlpm.nbparties, COUNTA(_xlfn._xlws.FILTER(_xlpm.ptstables, _xlpm.ptstables &lt;&gt; "")),
  _xlpm.coef, _xlpm.K + _xlpm.Knewgain / (_xlpm.Knewscale + _xlpm.nbparties),
  IF(AK311="",
    "",
    _xlpm.coef * (AK311-AK312))
)</f>
        <v/>
      </c>
      <c r="AL313" t="str" cm="1">
        <f t="array" ref="AL313">_xlfn.LET(
  _xlpm.K, Constantes!$B$3,
  _xlpm.Knewgain, Constantes!$B$4,
  _xlpm.Knewscale, Constantes!$B$5,
  _xlpm.ptstables, INDEX(AL:AL, _xlfn.SEQUENCE(COUNTA($C$2:$C313), 1, 3, 4)),
  _xlpm.nbparties, COUNTA(_xlfn._xlws.FILTER(_xlpm.ptstables, _xlpm.ptstables &lt;&gt; "")),
  _xlpm.coef, _xlpm.K + _xlpm.Knewgain / (_xlpm.Knewscale + _xlpm.nbparties),
  IF(AL311="",
    "",
    _xlpm.coef * (AL311-AL312))
)</f>
        <v/>
      </c>
      <c r="AM313" t="str" cm="1">
        <f t="array" ref="AM313">_xlfn.LET(
  _xlpm.K, Constantes!$B$3,
  _xlpm.Knewgain, Constantes!$B$4,
  _xlpm.Knewscale, Constantes!$B$5,
  _xlpm.ptstables, INDEX(AM:AM, _xlfn.SEQUENCE(COUNTA($C$2:$C313), 1, 3, 4)),
  _xlpm.nbparties, COUNTA(_xlfn._xlws.FILTER(_xlpm.ptstables, _xlpm.ptstables &lt;&gt; "")),
  _xlpm.coef, _xlpm.K + _xlpm.Knewgain / (_xlpm.Knewscale + _xlpm.nbparties),
  IF(AM311="",
    "",
    _xlpm.coef * (AM311-AM312))
)</f>
        <v/>
      </c>
    </row>
    <row r="314" spans="1:39" x14ac:dyDescent="0.25">
      <c r="A314" t="s">
        <v>14</v>
      </c>
      <c r="B314" t="str" cm="1">
        <f t="array" ref="B31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79</v>
      </c>
      <c r="C314" s="2" cm="1">
        <f t="array" ref="C314">IF(B314="","",
  INDEX(Donnees!F:F, MATCH(B314, Donnees!F:F, 0)+1))</f>
        <v>45948.697592592594</v>
      </c>
      <c r="D314">
        <f t="shared" ref="D314:AM314" si="86">D310+IF(D313="",0,D313)</f>
        <v>996.77629440361773</v>
      </c>
      <c r="E314">
        <f t="shared" si="86"/>
        <v>1095.6997652278242</v>
      </c>
      <c r="F314">
        <f t="shared" si="86"/>
        <v>872.24944098785784</v>
      </c>
      <c r="G314">
        <f t="shared" si="86"/>
        <v>1119.3162392058323</v>
      </c>
      <c r="H314">
        <f t="shared" si="86"/>
        <v>1139.7553269432372</v>
      </c>
      <c r="I314">
        <f t="shared" si="86"/>
        <v>921.73391621154246</v>
      </c>
      <c r="J314">
        <f t="shared" si="86"/>
        <v>1010.9125108504293</v>
      </c>
      <c r="K314">
        <f t="shared" si="86"/>
        <v>993.90254614824482</v>
      </c>
      <c r="L314">
        <f t="shared" si="86"/>
        <v>799.13054339146868</v>
      </c>
      <c r="M314">
        <f t="shared" si="86"/>
        <v>913.41986361738122</v>
      </c>
      <c r="N314">
        <f t="shared" si="86"/>
        <v>884.64725986469603</v>
      </c>
      <c r="O314">
        <f t="shared" si="86"/>
        <v>998.21178722110983</v>
      </c>
      <c r="P314">
        <f t="shared" si="86"/>
        <v>1005.0655973881263</v>
      </c>
      <c r="Q314">
        <f t="shared" si="86"/>
        <v>1050.1062561870472</v>
      </c>
      <c r="R314">
        <f t="shared" si="86"/>
        <v>1061.418521473061</v>
      </c>
      <c r="S314">
        <f t="shared" si="86"/>
        <v>950.00980009229818</v>
      </c>
      <c r="T314">
        <f t="shared" si="86"/>
        <v>1153.43058185823</v>
      </c>
      <c r="U314">
        <f t="shared" si="86"/>
        <v>1178.4672844595402</v>
      </c>
      <c r="V314">
        <f t="shared" si="86"/>
        <v>951.23563726152827</v>
      </c>
      <c r="W314">
        <f t="shared" si="86"/>
        <v>878.34938707385118</v>
      </c>
      <c r="X314">
        <f t="shared" si="86"/>
        <v>828.97598039785271</v>
      </c>
      <c r="Y314">
        <f t="shared" si="86"/>
        <v>903.14348714035714</v>
      </c>
      <c r="Z314">
        <f t="shared" si="86"/>
        <v>1000.4832210979791</v>
      </c>
      <c r="AA314">
        <f t="shared" si="86"/>
        <v>976.51233940414613</v>
      </c>
      <c r="AB314">
        <f t="shared" si="86"/>
        <v>988.35669729544747</v>
      </c>
      <c r="AC314">
        <f t="shared" si="86"/>
        <v>1094.1623059381011</v>
      </c>
      <c r="AD314">
        <f t="shared" si="86"/>
        <v>1100.7833811935423</v>
      </c>
      <c r="AE314">
        <f t="shared" si="86"/>
        <v>963.23981965000235</v>
      </c>
      <c r="AF314">
        <f t="shared" si="86"/>
        <v>1094.8196847516158</v>
      </c>
      <c r="AG314">
        <f t="shared" si="86"/>
        <v>958.23078604304851</v>
      </c>
      <c r="AH314">
        <f t="shared" si="86"/>
        <v>920.4412636682855</v>
      </c>
      <c r="AI314">
        <f t="shared" si="86"/>
        <v>947.26489657182583</v>
      </c>
      <c r="AJ314">
        <f t="shared" si="86"/>
        <v>906.86354201913434</v>
      </c>
      <c r="AK314">
        <f t="shared" si="86"/>
        <v>1074.0069367206956</v>
      </c>
      <c r="AL314">
        <f t="shared" si="86"/>
        <v>1025.7817971572972</v>
      </c>
      <c r="AM314">
        <f t="shared" si="86"/>
        <v>1000</v>
      </c>
    </row>
    <row r="315" spans="1:39" x14ac:dyDescent="0.25">
      <c r="A315" t="s">
        <v>21</v>
      </c>
      <c r="D315" cm="1">
        <f t="array" ref="D315">IFERROR(
  _xlfn.LET(
    _xlpm.ligpartie, MATCH($B314, Donnees!$F:$F, 0),
    _xlpm.joueurs, INDEX(Donnees!$A:$Z, _xlpm.ligpartie+1, _xlfn.SEQUENCE(1, 4, 2)),
    INDEX(
      Donnees!$A:$Z,
      _xlpm.ligpartie + 3,
      MATCH(D$1, _xlpm.joueurs, 0) + 1
    )
  ), ""
)</f>
        <v>2</v>
      </c>
      <c r="E315" t="str" cm="1">
        <f t="array" ref="E315">IFERROR(
  _xlfn.LET(
    _xlpm.ligpartie, MATCH($B314, Donnees!$F:$F, 0),
    _xlpm.joueurs, INDEX(Donnees!$A:$Z, _xlpm.ligpartie+1, _xlfn.SEQUENCE(1, 4, 2)),
    INDEX(
      Donnees!$A:$Z,
      _xlpm.ligpartie + 3,
      MATCH(E$1, _xlpm.joueurs, 0) + 1
    )
  ), ""
)</f>
        <v/>
      </c>
      <c r="F315" t="str" cm="1">
        <f t="array" ref="F315">IFERROR(
  _xlfn.LET(
    _xlpm.ligpartie, MATCH($B314, Donnees!$F:$F, 0),
    _xlpm.joueurs, INDEX(Donnees!$A:$Z, _xlpm.ligpartie+1, _xlfn.SEQUENCE(1, 4, 2)),
    INDEX(
      Donnees!$A:$Z,
      _xlpm.ligpartie + 3,
      MATCH(F$1, _xlpm.joueurs, 0) + 1
    )
  ), ""
)</f>
        <v/>
      </c>
      <c r="G315" t="str" cm="1">
        <f t="array" ref="G315">IFERROR(
  _xlfn.LET(
    _xlpm.ligpartie, MATCH($B314, Donnees!$F:$F, 0),
    _xlpm.joueurs, INDEX(Donnees!$A:$Z, _xlpm.ligpartie+1, _xlfn.SEQUENCE(1, 4, 2)),
    INDEX(
      Donnees!$A:$Z,
      _xlpm.ligpartie + 3,
      MATCH(G$1, _xlpm.joueurs, 0) + 1
    )
  ), ""
)</f>
        <v/>
      </c>
      <c r="H315" t="str" cm="1">
        <f t="array" ref="H315">IFERROR(
  _xlfn.LET(
    _xlpm.ligpartie, MATCH($B314, Donnees!$F:$F, 0),
    _xlpm.joueurs, INDEX(Donnees!$A:$Z, _xlpm.ligpartie+1, _xlfn.SEQUENCE(1, 4, 2)),
    INDEX(
      Donnees!$A:$Z,
      _xlpm.ligpartie + 3,
      MATCH(H$1, _xlpm.joueurs, 0) + 1
    )
  ), ""
)</f>
        <v/>
      </c>
      <c r="I315" t="str" cm="1">
        <f t="array" ref="I315">IFERROR(
  _xlfn.LET(
    _xlpm.ligpartie, MATCH($B314, Donnees!$F:$F, 0),
    _xlpm.joueurs, INDEX(Donnees!$A:$Z, _xlpm.ligpartie+1, _xlfn.SEQUENCE(1, 4, 2)),
    INDEX(
      Donnees!$A:$Z,
      _xlpm.ligpartie + 3,
      MATCH(I$1, _xlpm.joueurs, 0) + 1
    )
  ), ""
)</f>
        <v/>
      </c>
      <c r="J315" t="str" cm="1">
        <f t="array" ref="J315">IFERROR(
  _xlfn.LET(
    _xlpm.ligpartie, MATCH($B314, Donnees!$F:$F, 0),
    _xlpm.joueurs, INDEX(Donnees!$A:$Z, _xlpm.ligpartie+1, _xlfn.SEQUENCE(1, 4, 2)),
    INDEX(
      Donnees!$A:$Z,
      _xlpm.ligpartie + 3,
      MATCH(J$1, _xlpm.joueurs, 0) + 1
    )
  ), ""
)</f>
        <v/>
      </c>
      <c r="K315" t="str" cm="1">
        <f t="array" ref="K315">IFERROR(
  _xlfn.LET(
    _xlpm.ligpartie, MATCH($B314, Donnees!$F:$F, 0),
    _xlpm.joueurs, INDEX(Donnees!$A:$Z, _xlpm.ligpartie+1, _xlfn.SEQUENCE(1, 4, 2)),
    INDEX(
      Donnees!$A:$Z,
      _xlpm.ligpartie + 3,
      MATCH(K$1, _xlpm.joueurs, 0) + 1
    )
  ), ""
)</f>
        <v/>
      </c>
      <c r="L315" t="str" cm="1">
        <f t="array" ref="L315">IFERROR(
  _xlfn.LET(
    _xlpm.ligpartie, MATCH($B314, Donnees!$F:$F, 0),
    _xlpm.joueurs, INDEX(Donnees!$A:$Z, _xlpm.ligpartie+1, _xlfn.SEQUENCE(1, 4, 2)),
    INDEX(
      Donnees!$A:$Z,
      _xlpm.ligpartie + 3,
      MATCH(L$1, _xlpm.joueurs, 0) + 1
    )
  ), ""
)</f>
        <v/>
      </c>
      <c r="M315" t="str" cm="1">
        <f t="array" ref="M315">IFERROR(
  _xlfn.LET(
    _xlpm.ligpartie, MATCH($B314, Donnees!$F:$F, 0),
    _xlpm.joueurs, INDEX(Donnees!$A:$Z, _xlpm.ligpartie+1, _xlfn.SEQUENCE(1, 4, 2)),
    INDEX(
      Donnees!$A:$Z,
      _xlpm.ligpartie + 3,
      MATCH(M$1, _xlpm.joueurs, 0) + 1
    )
  ), ""
)</f>
        <v/>
      </c>
      <c r="N315" t="str" cm="1">
        <f t="array" ref="N315">IFERROR(
  _xlfn.LET(
    _xlpm.ligpartie, MATCH($B314, Donnees!$F:$F, 0),
    _xlpm.joueurs, INDEX(Donnees!$A:$Z, _xlpm.ligpartie+1, _xlfn.SEQUENCE(1, 4, 2)),
    INDEX(
      Donnees!$A:$Z,
      _xlpm.ligpartie + 3,
      MATCH(N$1, _xlpm.joueurs, 0) + 1
    )
  ), ""
)</f>
        <v/>
      </c>
      <c r="O315" t="str" cm="1">
        <f t="array" ref="O315">IFERROR(
  _xlfn.LET(
    _xlpm.ligpartie, MATCH($B314, Donnees!$F:$F, 0),
    _xlpm.joueurs, INDEX(Donnees!$A:$Z, _xlpm.ligpartie+1, _xlfn.SEQUENCE(1, 4, 2)),
    INDEX(
      Donnees!$A:$Z,
      _xlpm.ligpartie + 3,
      MATCH(O$1, _xlpm.joueurs, 0) + 1
    )
  ), ""
)</f>
        <v/>
      </c>
      <c r="P315" cm="1">
        <f t="array" ref="P315">IFERROR(
  _xlfn.LET(
    _xlpm.ligpartie, MATCH($B314, Donnees!$F:$F, 0),
    _xlpm.joueurs, INDEX(Donnees!$A:$Z, _xlpm.ligpartie+1, _xlfn.SEQUENCE(1, 4, 2)),
    INDEX(
      Donnees!$A:$Z,
      _xlpm.ligpartie + 3,
      MATCH(P$1, _xlpm.joueurs, 0) + 1
    )
  ), ""
)</f>
        <v>0</v>
      </c>
      <c r="Q315" t="str" cm="1">
        <f t="array" ref="Q315">IFERROR(
  _xlfn.LET(
    _xlpm.ligpartie, MATCH($B314, Donnees!$F:$F, 0),
    _xlpm.joueurs, INDEX(Donnees!$A:$Z, _xlpm.ligpartie+1, _xlfn.SEQUENCE(1, 4, 2)),
    INDEX(
      Donnees!$A:$Z,
      _xlpm.ligpartie + 3,
      MATCH(Q$1, _xlpm.joueurs, 0) + 1
    )
  ), ""
)</f>
        <v/>
      </c>
      <c r="R315" t="str" cm="1">
        <f t="array" ref="R315">IFERROR(
  _xlfn.LET(
    _xlpm.ligpartie, MATCH($B314, Donnees!$F:$F, 0),
    _xlpm.joueurs, INDEX(Donnees!$A:$Z, _xlpm.ligpartie+1, _xlfn.SEQUENCE(1, 4, 2)),
    INDEX(
      Donnees!$A:$Z,
      _xlpm.ligpartie + 3,
      MATCH(R$1, _xlpm.joueurs, 0) + 1
    )
  ), ""
)</f>
        <v/>
      </c>
      <c r="S315" t="str" cm="1">
        <f t="array" ref="S315">IFERROR(
  _xlfn.LET(
    _xlpm.ligpartie, MATCH($B314, Donnees!$F:$F, 0),
    _xlpm.joueurs, INDEX(Donnees!$A:$Z, _xlpm.ligpartie+1, _xlfn.SEQUENCE(1, 4, 2)),
    INDEX(
      Donnees!$A:$Z,
      _xlpm.ligpartie + 3,
      MATCH(S$1, _xlpm.joueurs, 0) + 1
    )
  ), ""
)</f>
        <v/>
      </c>
      <c r="T315" t="str" cm="1">
        <f t="array" ref="T315">IFERROR(
  _xlfn.LET(
    _xlpm.ligpartie, MATCH($B314, Donnees!$F:$F, 0),
    _xlpm.joueurs, INDEX(Donnees!$A:$Z, _xlpm.ligpartie+1, _xlfn.SEQUENCE(1, 4, 2)),
    INDEX(
      Donnees!$A:$Z,
      _xlpm.ligpartie + 3,
      MATCH(T$1, _xlpm.joueurs, 0) + 1
    )
  ), ""
)</f>
        <v/>
      </c>
      <c r="U315" t="str" cm="1">
        <f t="array" ref="U315">IFERROR(
  _xlfn.LET(
    _xlpm.ligpartie, MATCH($B314, Donnees!$F:$F, 0),
    _xlpm.joueurs, INDEX(Donnees!$A:$Z, _xlpm.ligpartie+1, _xlfn.SEQUENCE(1, 4, 2)),
    INDEX(
      Donnees!$A:$Z,
      _xlpm.ligpartie + 3,
      MATCH(U$1, _xlpm.joueurs, 0) + 1
    )
  ), ""
)</f>
        <v/>
      </c>
      <c r="V315" t="str" cm="1">
        <f t="array" ref="V315">IFERROR(
  _xlfn.LET(
    _xlpm.ligpartie, MATCH($B314, Donnees!$F:$F, 0),
    _xlpm.joueurs, INDEX(Donnees!$A:$Z, _xlpm.ligpartie+1, _xlfn.SEQUENCE(1, 4, 2)),
    INDEX(
      Donnees!$A:$Z,
      _xlpm.ligpartie + 3,
      MATCH(V$1, _xlpm.joueurs, 0) + 1
    )
  ), ""
)</f>
        <v/>
      </c>
      <c r="W315" cm="1">
        <f t="array" ref="W315">IFERROR(
  _xlfn.LET(
    _xlpm.ligpartie, MATCH($B314, Donnees!$F:$F, 0),
    _xlpm.joueurs, INDEX(Donnees!$A:$Z, _xlpm.ligpartie+1, _xlfn.SEQUENCE(1, 4, 2)),
    INDEX(
      Donnees!$A:$Z,
      _xlpm.ligpartie + 3,
      MATCH(W$1, _xlpm.joueurs, 0) + 1
    )
  ), ""
)</f>
        <v>1</v>
      </c>
      <c r="X315" t="str" cm="1">
        <f t="array" ref="X315">IFERROR(
  _xlfn.LET(
    _xlpm.ligpartie, MATCH($B314, Donnees!$F:$F, 0),
    _xlpm.joueurs, INDEX(Donnees!$A:$Z, _xlpm.ligpartie+1, _xlfn.SEQUENCE(1, 4, 2)),
    INDEX(
      Donnees!$A:$Z,
      _xlpm.ligpartie + 3,
      MATCH(X$1, _xlpm.joueurs, 0) + 1
    )
  ), ""
)</f>
        <v/>
      </c>
      <c r="Y315" t="str" cm="1">
        <f t="array" ref="Y315">IFERROR(
  _xlfn.LET(
    _xlpm.ligpartie, MATCH($B314, Donnees!$F:$F, 0),
    _xlpm.joueurs, INDEX(Donnees!$A:$Z, _xlpm.ligpartie+1, _xlfn.SEQUENCE(1, 4, 2)),
    INDEX(
      Donnees!$A:$Z,
      _xlpm.ligpartie + 3,
      MATCH(Y$1, _xlpm.joueurs, 0) + 1
    )
  ), ""
)</f>
        <v/>
      </c>
      <c r="Z315" t="str" cm="1">
        <f t="array" ref="Z315">IFERROR(
  _xlfn.LET(
    _xlpm.ligpartie, MATCH($B314, Donnees!$F:$F, 0),
    _xlpm.joueurs, INDEX(Donnees!$A:$Z, _xlpm.ligpartie+1, _xlfn.SEQUENCE(1, 4, 2)),
    INDEX(
      Donnees!$A:$Z,
      _xlpm.ligpartie + 3,
      MATCH(Z$1, _xlpm.joueurs, 0) + 1
    )
  ), ""
)</f>
        <v/>
      </c>
      <c r="AA315" t="str" cm="1">
        <f t="array" ref="AA315">IFERROR(
  _xlfn.LET(
    _xlpm.ligpartie, MATCH($B314, Donnees!$F:$F, 0),
    _xlpm.joueurs, INDEX(Donnees!$A:$Z, _xlpm.ligpartie+1, _xlfn.SEQUENCE(1, 4, 2)),
    INDEX(
      Donnees!$A:$Z,
      _xlpm.ligpartie + 3,
      MATCH(AA$1, _xlpm.joueurs, 0) + 1
    )
  ), ""
)</f>
        <v/>
      </c>
      <c r="AB315" t="str" cm="1">
        <f t="array" ref="AB315">IFERROR(
  _xlfn.LET(
    _xlpm.ligpartie, MATCH($B314, Donnees!$F:$F, 0),
    _xlpm.joueurs, INDEX(Donnees!$A:$Z, _xlpm.ligpartie+1, _xlfn.SEQUENCE(1, 4, 2)),
    INDEX(
      Donnees!$A:$Z,
      _xlpm.ligpartie + 3,
      MATCH(AB$1, _xlpm.joueurs, 0) + 1
    )
  ), ""
)</f>
        <v/>
      </c>
      <c r="AC315" t="str" cm="1">
        <f t="array" ref="AC315">IFERROR(
  _xlfn.LET(
    _xlpm.ligpartie, MATCH($B314, Donnees!$F:$F, 0),
    _xlpm.joueurs, INDEX(Donnees!$A:$Z, _xlpm.ligpartie+1, _xlfn.SEQUENCE(1, 4, 2)),
    INDEX(
      Donnees!$A:$Z,
      _xlpm.ligpartie + 3,
      MATCH(AC$1, _xlpm.joueurs, 0) + 1
    )
  ), ""
)</f>
        <v/>
      </c>
      <c r="AD315" cm="1">
        <f t="array" ref="AD315">IFERROR(
  _xlfn.LET(
    _xlpm.ligpartie, MATCH($B314, Donnees!$F:$F, 0),
    _xlpm.joueurs, INDEX(Donnees!$A:$Z, _xlpm.ligpartie+1, _xlfn.SEQUENCE(1, 4, 2)),
    INDEX(
      Donnees!$A:$Z,
      _xlpm.ligpartie + 3,
      MATCH(AD$1, _xlpm.joueurs, 0) + 1
    )
  ), ""
)</f>
        <v>3</v>
      </c>
      <c r="AE315" t="str" cm="1">
        <f t="array" ref="AE315">IFERROR(
  _xlfn.LET(
    _xlpm.ligpartie, MATCH($B314, Donnees!$F:$F, 0),
    _xlpm.joueurs, INDEX(Donnees!$A:$Z, _xlpm.ligpartie+1, _xlfn.SEQUENCE(1, 4, 2)),
    INDEX(
      Donnees!$A:$Z,
      _xlpm.ligpartie + 3,
      MATCH(AE$1, _xlpm.joueurs, 0) + 1
    )
  ), ""
)</f>
        <v/>
      </c>
      <c r="AF315" t="str" cm="1">
        <f t="array" ref="AF315">IFERROR(
  _xlfn.LET(
    _xlpm.ligpartie, MATCH($B314, Donnees!$F:$F, 0),
    _xlpm.joueurs, INDEX(Donnees!$A:$Z, _xlpm.ligpartie+1, _xlfn.SEQUENCE(1, 4, 2)),
    INDEX(
      Donnees!$A:$Z,
      _xlpm.ligpartie + 3,
      MATCH(AF$1, _xlpm.joueurs, 0) + 1
    )
  ), ""
)</f>
        <v/>
      </c>
      <c r="AG315" t="str" cm="1">
        <f t="array" ref="AG315">IFERROR(
  _xlfn.LET(
    _xlpm.ligpartie, MATCH($B314, Donnees!$F:$F, 0),
    _xlpm.joueurs, INDEX(Donnees!$A:$Z, _xlpm.ligpartie+1, _xlfn.SEQUENCE(1, 4, 2)),
    INDEX(
      Donnees!$A:$Z,
      _xlpm.ligpartie + 3,
      MATCH(AG$1, _xlpm.joueurs, 0) + 1
    )
  ), ""
)</f>
        <v/>
      </c>
      <c r="AH315" t="str" cm="1">
        <f t="array" ref="AH315">IFERROR(
  _xlfn.LET(
    _xlpm.ligpartie, MATCH($B314, Donnees!$F:$F, 0),
    _xlpm.joueurs, INDEX(Donnees!$A:$Z, _xlpm.ligpartie+1, _xlfn.SEQUENCE(1, 4, 2)),
    INDEX(
      Donnees!$A:$Z,
      _xlpm.ligpartie + 3,
      MATCH(AH$1, _xlpm.joueurs, 0) + 1
    )
  ), ""
)</f>
        <v/>
      </c>
      <c r="AI315" t="str" cm="1">
        <f t="array" ref="AI315">IFERROR(
  _xlfn.LET(
    _xlpm.ligpartie, MATCH($B314, Donnees!$F:$F, 0),
    _xlpm.joueurs, INDEX(Donnees!$A:$Z, _xlpm.ligpartie+1, _xlfn.SEQUENCE(1, 4, 2)),
    INDEX(
      Donnees!$A:$Z,
      _xlpm.ligpartie + 3,
      MATCH(AI$1, _xlpm.joueurs, 0) + 1
    )
  ), ""
)</f>
        <v/>
      </c>
      <c r="AJ315" t="str" cm="1">
        <f t="array" ref="AJ315">IFERROR(
  _xlfn.LET(
    _xlpm.ligpartie, MATCH($B314, Donnees!$F:$F, 0),
    _xlpm.joueurs, INDEX(Donnees!$A:$Z, _xlpm.ligpartie+1, _xlfn.SEQUENCE(1, 4, 2)),
    INDEX(
      Donnees!$A:$Z,
      _xlpm.ligpartie + 3,
      MATCH(AJ$1, _xlpm.joueurs, 0) + 1
    )
  ), ""
)</f>
        <v/>
      </c>
      <c r="AK315" t="str" cm="1">
        <f t="array" ref="AK315">IFERROR(
  _xlfn.LET(
    _xlpm.ligpartie, MATCH($B314, Donnees!$F:$F, 0),
    _xlpm.joueurs, INDEX(Donnees!$A:$Z, _xlpm.ligpartie+1, _xlfn.SEQUENCE(1, 4, 2)),
    INDEX(
      Donnees!$A:$Z,
      _xlpm.ligpartie + 3,
      MATCH(AK$1, _xlpm.joueurs, 0) + 1
    )
  ), ""
)</f>
        <v/>
      </c>
      <c r="AL315" t="str" cm="1">
        <f t="array" ref="AL315">IFERROR(
  _xlfn.LET(
    _xlpm.ligpartie, MATCH($B314, Donnees!$F:$F, 0),
    _xlpm.joueurs, INDEX(Donnees!$A:$Z, _xlpm.ligpartie+1, _xlfn.SEQUENCE(1, 4, 2)),
    INDEX(
      Donnees!$A:$Z,
      _xlpm.ligpartie + 3,
      MATCH(AL$1, _xlpm.joueurs, 0) + 1
    )
  ), ""
)</f>
        <v/>
      </c>
      <c r="AM315" t="str" cm="1">
        <f t="array" ref="AM315">IFERROR(
  _xlfn.LET(
    _xlpm.ligpartie, MATCH($B314, Donnees!$F:$F, 0),
    _xlpm.joueurs, INDEX(Donnees!$A:$Z, _xlpm.ligpartie+1, _xlfn.SEQUENCE(1, 4, 2)),
    INDEX(
      Donnees!$A:$Z,
      _xlpm.ligpartie + 3,
      MATCH(AM$1, _xlpm.joueurs, 0) + 1
    )
  ), ""
)</f>
        <v/>
      </c>
    </row>
    <row r="316" spans="1:39" x14ac:dyDescent="0.25">
      <c r="A316" t="s">
        <v>20</v>
      </c>
      <c r="D316" cm="1">
        <f t="array" ref="D316">_xlfn.LET(
  _xlpm.colj, _xlfn._xlws.FILTER(IF(ISNUMBER(315:315), COLUMN(315:315)), ISNUMBER(315:315)),
  _xlpm.elos, INDEX(314:314,1,_xlpm.colj),
  _xlpm.diffscale, Constantes!$B$2,
  IF(D315="",
    "",
    SUM(1/(1+POWER(10,-(D314-_xlpm.elos)/_xlpm.diffscale)))-0.5)
)</f>
        <v>1.5068337027768703</v>
      </c>
      <c r="E316" t="str" cm="1">
        <f t="array" ref="E316">_xlfn.LET(
  _xlpm.colj, _xlfn._xlws.FILTER(IF(ISNUMBER(315:315), COLUMN(315:315)), ISNUMBER(315:315)),
  _xlpm.elos, INDEX(314:314,1,_xlpm.colj),
  _xlpm.diffscale, Constantes!$B$2,
  IF(E315="",
    "",
    SUM(1/(1+POWER(10,-(E314-_xlpm.elos)/_xlpm.diffscale)))-0.5)
)</f>
        <v/>
      </c>
      <c r="F316" t="str" cm="1">
        <f t="array" ref="F316">_xlfn.LET(
  _xlpm.colj, _xlfn._xlws.FILTER(IF(ISNUMBER(315:315), COLUMN(315:315)), ISNUMBER(315:315)),
  _xlpm.elos, INDEX(314:314,1,_xlpm.colj),
  _xlpm.diffscale, Constantes!$B$2,
  IF(F315="",
    "",
    SUM(1/(1+POWER(10,-(F314-_xlpm.elos)/_xlpm.diffscale)))-0.5)
)</f>
        <v/>
      </c>
      <c r="G316" t="str" cm="1">
        <f t="array" ref="G316">_xlfn.LET(
  _xlpm.colj, _xlfn._xlws.FILTER(IF(ISNUMBER(315:315), COLUMN(315:315)), ISNUMBER(315:315)),
  _xlpm.elos, INDEX(314:314,1,_xlpm.colj),
  _xlpm.diffscale, Constantes!$B$2,
  IF(G315="",
    "",
    SUM(1/(1+POWER(10,-(G314-_xlpm.elos)/_xlpm.diffscale)))-0.5)
)</f>
        <v/>
      </c>
      <c r="H316" t="str" cm="1">
        <f t="array" ref="H316">_xlfn.LET(
  _xlpm.colj, _xlfn._xlws.FILTER(IF(ISNUMBER(315:315), COLUMN(315:315)), ISNUMBER(315:315)),
  _xlpm.elos, INDEX(314:314,1,_xlpm.colj),
  _xlpm.diffscale, Constantes!$B$2,
  IF(H315="",
    "",
    SUM(1/(1+POWER(10,-(H314-_xlpm.elos)/_xlpm.diffscale)))-0.5)
)</f>
        <v/>
      </c>
      <c r="I316" t="str" cm="1">
        <f t="array" ref="I316">_xlfn.LET(
  _xlpm.colj, _xlfn._xlws.FILTER(IF(ISNUMBER(315:315), COLUMN(315:315)), ISNUMBER(315:315)),
  _xlpm.elos, INDEX(314:314,1,_xlpm.colj),
  _xlpm.diffscale, Constantes!$B$2,
  IF(I315="",
    "",
    SUM(1/(1+POWER(10,-(I314-_xlpm.elos)/_xlpm.diffscale)))-0.5)
)</f>
        <v/>
      </c>
      <c r="J316" t="str" cm="1">
        <f t="array" ref="J316">_xlfn.LET(
  _xlpm.colj, _xlfn._xlws.FILTER(IF(ISNUMBER(315:315), COLUMN(315:315)), ISNUMBER(315:315)),
  _xlpm.elos, INDEX(314:314,1,_xlpm.colj),
  _xlpm.diffscale, Constantes!$B$2,
  IF(J315="",
    "",
    SUM(1/(1+POWER(10,-(J314-_xlpm.elos)/_xlpm.diffscale)))-0.5)
)</f>
        <v/>
      </c>
      <c r="K316" t="str" cm="1">
        <f t="array" ref="K316">_xlfn.LET(
  _xlpm.colj, _xlfn._xlws.FILTER(IF(ISNUMBER(315:315), COLUMN(315:315)), ISNUMBER(315:315)),
  _xlpm.elos, INDEX(314:314,1,_xlpm.colj),
  _xlpm.diffscale, Constantes!$B$2,
  IF(K315="",
    "",
    SUM(1/(1+POWER(10,-(K314-_xlpm.elos)/_xlpm.diffscale)))-0.5)
)</f>
        <v/>
      </c>
      <c r="L316" t="str" cm="1">
        <f t="array" ref="L316">_xlfn.LET(
  _xlpm.colj, _xlfn._xlws.FILTER(IF(ISNUMBER(315:315), COLUMN(315:315)), ISNUMBER(315:315)),
  _xlpm.elos, INDEX(314:314,1,_xlpm.colj),
  _xlpm.diffscale, Constantes!$B$2,
  IF(L315="",
    "",
    SUM(1/(1+POWER(10,-(L314-_xlpm.elos)/_xlpm.diffscale)))-0.5)
)</f>
        <v/>
      </c>
      <c r="M316" t="str" cm="1">
        <f t="array" ref="M316">_xlfn.LET(
  _xlpm.colj, _xlfn._xlws.FILTER(IF(ISNUMBER(315:315), COLUMN(315:315)), ISNUMBER(315:315)),
  _xlpm.elos, INDEX(314:314,1,_xlpm.colj),
  _xlpm.diffscale, Constantes!$B$2,
  IF(M315="",
    "",
    SUM(1/(1+POWER(10,-(M314-_xlpm.elos)/_xlpm.diffscale)))-0.5)
)</f>
        <v/>
      </c>
      <c r="N316" t="str" cm="1">
        <f t="array" ref="N316">_xlfn.LET(
  _xlpm.colj, _xlfn._xlws.FILTER(IF(ISNUMBER(315:315), COLUMN(315:315)), ISNUMBER(315:315)),
  _xlpm.elos, INDEX(314:314,1,_xlpm.colj),
  _xlpm.diffscale, Constantes!$B$2,
  IF(N315="",
    "",
    SUM(1/(1+POWER(10,-(N314-_xlpm.elos)/_xlpm.diffscale)))-0.5)
)</f>
        <v/>
      </c>
      <c r="O316" t="str" cm="1">
        <f t="array" ref="O316">_xlfn.LET(
  _xlpm.colj, _xlfn._xlws.FILTER(IF(ISNUMBER(315:315), COLUMN(315:315)), ISNUMBER(315:315)),
  _xlpm.elos, INDEX(314:314,1,_xlpm.colj),
  _xlpm.diffscale, Constantes!$B$2,
  IF(O315="",
    "",
    SUM(1/(1+POWER(10,-(O314-_xlpm.elos)/_xlpm.diffscale)))-0.5)
)</f>
        <v/>
      </c>
      <c r="P316" cm="1">
        <f t="array" ref="P316">_xlfn.LET(
  _xlpm.colj, _xlfn._xlws.FILTER(IF(ISNUMBER(315:315), COLUMN(315:315)), ISNUMBER(315:315)),
  _xlpm.elos, INDEX(314:314,1,_xlpm.colj),
  _xlpm.diffscale, Constantes!$B$2,
  IF(P315="",
    "",
    SUM(1/(1+POWER(10,-(P314-_xlpm.elos)/_xlpm.diffscale)))-0.5)
)</f>
        <v>1.5522421419472714</v>
      </c>
      <c r="Q316" t="str" cm="1">
        <f t="array" ref="Q316">_xlfn.LET(
  _xlpm.colj, _xlfn._xlws.FILTER(IF(ISNUMBER(315:315), COLUMN(315:315)), ISNUMBER(315:315)),
  _xlpm.elos, INDEX(314:314,1,_xlpm.colj),
  _xlpm.diffscale, Constantes!$B$2,
  IF(Q315="",
    "",
    SUM(1/(1+POWER(10,-(Q314-_xlpm.elos)/_xlpm.diffscale)))-0.5)
)</f>
        <v/>
      </c>
      <c r="R316" t="str" cm="1">
        <f t="array" ref="R316">_xlfn.LET(
  _xlpm.colj, _xlfn._xlws.FILTER(IF(ISNUMBER(315:315), COLUMN(315:315)), ISNUMBER(315:315)),
  _xlpm.elos, INDEX(314:314,1,_xlpm.colj),
  _xlpm.diffscale, Constantes!$B$2,
  IF(R315="",
    "",
    SUM(1/(1+POWER(10,-(R314-_xlpm.elos)/_xlpm.diffscale)))-0.5)
)</f>
        <v/>
      </c>
      <c r="S316" t="str" cm="1">
        <f t="array" ref="S316">_xlfn.LET(
  _xlpm.colj, _xlfn._xlws.FILTER(IF(ISNUMBER(315:315), COLUMN(315:315)), ISNUMBER(315:315)),
  _xlpm.elos, INDEX(314:314,1,_xlpm.colj),
  _xlpm.diffscale, Constantes!$B$2,
  IF(S315="",
    "",
    SUM(1/(1+POWER(10,-(S314-_xlpm.elos)/_xlpm.diffscale)))-0.5)
)</f>
        <v/>
      </c>
      <c r="T316" t="str" cm="1">
        <f t="array" ref="T316">_xlfn.LET(
  _xlpm.colj, _xlfn._xlws.FILTER(IF(ISNUMBER(315:315), COLUMN(315:315)), ISNUMBER(315:315)),
  _xlpm.elos, INDEX(314:314,1,_xlpm.colj),
  _xlpm.diffscale, Constantes!$B$2,
  IF(T315="",
    "",
    SUM(1/(1+POWER(10,-(T314-_xlpm.elos)/_xlpm.diffscale)))-0.5)
)</f>
        <v/>
      </c>
      <c r="U316" t="str" cm="1">
        <f t="array" ref="U316">_xlfn.LET(
  _xlpm.colj, _xlfn._xlws.FILTER(IF(ISNUMBER(315:315), COLUMN(315:315)), ISNUMBER(315:315)),
  _xlpm.elos, INDEX(314:314,1,_xlpm.colj),
  _xlpm.diffscale, Constantes!$B$2,
  IF(U315="",
    "",
    SUM(1/(1+POWER(10,-(U314-_xlpm.elos)/_xlpm.diffscale)))-0.5)
)</f>
        <v/>
      </c>
      <c r="V316" t="str" cm="1">
        <f t="array" ref="V316">_xlfn.LET(
  _xlpm.colj, _xlfn._xlws.FILTER(IF(ISNUMBER(315:315), COLUMN(315:315)), ISNUMBER(315:315)),
  _xlpm.elos, INDEX(314:314,1,_xlpm.colj),
  _xlpm.diffscale, Constantes!$B$2,
  IF(V315="",
    "",
    SUM(1/(1+POWER(10,-(V314-_xlpm.elos)/_xlpm.diffscale)))-0.5)
)</f>
        <v/>
      </c>
      <c r="W316" cm="1">
        <f t="array" ref="W316">_xlfn.LET(
  _xlpm.colj, _xlfn._xlws.FILTER(IF(ISNUMBER(315:315), COLUMN(315:315)), ISNUMBER(315:315)),
  _xlpm.elos, INDEX(314:314,1,_xlpm.colj),
  _xlpm.diffscale, Constantes!$B$2,
  IF(W315="",
    "",
    SUM(1/(1+POWER(10,-(W314-_xlpm.elos)/_xlpm.diffscale)))-0.5)
)</f>
        <v>0.87867228871306446</v>
      </c>
      <c r="X316" t="str" cm="1">
        <f t="array" ref="X316">_xlfn.LET(
  _xlpm.colj, _xlfn._xlws.FILTER(IF(ISNUMBER(315:315), COLUMN(315:315)), ISNUMBER(315:315)),
  _xlpm.elos, INDEX(314:314,1,_xlpm.colj),
  _xlpm.diffscale, Constantes!$B$2,
  IF(X315="",
    "",
    SUM(1/(1+POWER(10,-(X314-_xlpm.elos)/_xlpm.diffscale)))-0.5)
)</f>
        <v/>
      </c>
      <c r="Y316" t="str" cm="1">
        <f t="array" ref="Y316">_xlfn.LET(
  _xlpm.colj, _xlfn._xlws.FILTER(IF(ISNUMBER(315:315), COLUMN(315:315)), ISNUMBER(315:315)),
  _xlpm.elos, INDEX(314:314,1,_xlpm.colj),
  _xlpm.diffscale, Constantes!$B$2,
  IF(Y315="",
    "",
    SUM(1/(1+POWER(10,-(Y314-_xlpm.elos)/_xlpm.diffscale)))-0.5)
)</f>
        <v/>
      </c>
      <c r="Z316" t="str" cm="1">
        <f t="array" ref="Z316">_xlfn.LET(
  _xlpm.colj, _xlfn._xlws.FILTER(IF(ISNUMBER(315:315), COLUMN(315:315)), ISNUMBER(315:315)),
  _xlpm.elos, INDEX(314:314,1,_xlpm.colj),
  _xlpm.diffscale, Constantes!$B$2,
  IF(Z315="",
    "",
    SUM(1/(1+POWER(10,-(Z314-_xlpm.elos)/_xlpm.diffscale)))-0.5)
)</f>
        <v/>
      </c>
      <c r="AA316" t="str" cm="1">
        <f t="array" ref="AA316">_xlfn.LET(
  _xlpm.colj, _xlfn._xlws.FILTER(IF(ISNUMBER(315:315), COLUMN(315:315)), ISNUMBER(315:315)),
  _xlpm.elos, INDEX(314:314,1,_xlpm.colj),
  _xlpm.diffscale, Constantes!$B$2,
  IF(AA315="",
    "",
    SUM(1/(1+POWER(10,-(AA314-_xlpm.elos)/_xlpm.diffscale)))-0.5)
)</f>
        <v/>
      </c>
      <c r="AB316" t="str" cm="1">
        <f t="array" ref="AB316">_xlfn.LET(
  _xlpm.colj, _xlfn._xlws.FILTER(IF(ISNUMBER(315:315), COLUMN(315:315)), ISNUMBER(315:315)),
  _xlpm.elos, INDEX(314:314,1,_xlpm.colj),
  _xlpm.diffscale, Constantes!$B$2,
  IF(AB315="",
    "",
    SUM(1/(1+POWER(10,-(AB314-_xlpm.elos)/_xlpm.diffscale)))-0.5)
)</f>
        <v/>
      </c>
      <c r="AC316" t="str" cm="1">
        <f t="array" ref="AC316">_xlfn.LET(
  _xlpm.colj, _xlfn._xlws.FILTER(IF(ISNUMBER(315:315), COLUMN(315:315)), ISNUMBER(315:315)),
  _xlpm.elos, INDEX(314:314,1,_xlpm.colj),
  _xlpm.diffscale, Constantes!$B$2,
  IF(AC315="",
    "",
    SUM(1/(1+POWER(10,-(AC314-_xlpm.elos)/_xlpm.diffscale)))-0.5)
)</f>
        <v/>
      </c>
      <c r="AD316" cm="1">
        <f t="array" ref="AD316">_xlfn.LET(
  _xlpm.colj, _xlfn._xlws.FILTER(IF(ISNUMBER(315:315), COLUMN(315:315)), ISNUMBER(315:315)),
  _xlpm.elos, INDEX(314:314,1,_xlpm.colj),
  _xlpm.diffscale, Constantes!$B$2,
  IF(AD315="",
    "",
    SUM(1/(1+POWER(10,-(AD314-_xlpm.elos)/_xlpm.diffscale)))-0.5)
)</f>
        <v>2.0622518665627942</v>
      </c>
      <c r="AE316" t="str" cm="1">
        <f t="array" ref="AE316">_xlfn.LET(
  _xlpm.colj, _xlfn._xlws.FILTER(IF(ISNUMBER(315:315), COLUMN(315:315)), ISNUMBER(315:315)),
  _xlpm.elos, INDEX(314:314,1,_xlpm.colj),
  _xlpm.diffscale, Constantes!$B$2,
  IF(AE315="",
    "",
    SUM(1/(1+POWER(10,-(AE314-_xlpm.elos)/_xlpm.diffscale)))-0.5)
)</f>
        <v/>
      </c>
      <c r="AF316" t="str" cm="1">
        <f t="array" ref="AF316">_xlfn.LET(
  _xlpm.colj, _xlfn._xlws.FILTER(IF(ISNUMBER(315:315), COLUMN(315:315)), ISNUMBER(315:315)),
  _xlpm.elos, INDEX(314:314,1,_xlpm.colj),
  _xlpm.diffscale, Constantes!$B$2,
  IF(AF315="",
    "",
    SUM(1/(1+POWER(10,-(AF314-_xlpm.elos)/_xlpm.diffscale)))-0.5)
)</f>
        <v/>
      </c>
      <c r="AG316" t="str" cm="1">
        <f t="array" ref="AG316">_xlfn.LET(
  _xlpm.colj, _xlfn._xlws.FILTER(IF(ISNUMBER(315:315), COLUMN(315:315)), ISNUMBER(315:315)),
  _xlpm.elos, INDEX(314:314,1,_xlpm.colj),
  _xlpm.diffscale, Constantes!$B$2,
  IF(AG315="",
    "",
    SUM(1/(1+POWER(10,-(AG314-_xlpm.elos)/_xlpm.diffscale)))-0.5)
)</f>
        <v/>
      </c>
      <c r="AH316" t="str" cm="1">
        <f t="array" ref="AH316">_xlfn.LET(
  _xlpm.colj, _xlfn._xlws.FILTER(IF(ISNUMBER(315:315), COLUMN(315:315)), ISNUMBER(315:315)),
  _xlpm.elos, INDEX(314:314,1,_xlpm.colj),
  _xlpm.diffscale, Constantes!$B$2,
  IF(AH315="",
    "",
    SUM(1/(1+POWER(10,-(AH314-_xlpm.elos)/_xlpm.diffscale)))-0.5)
)</f>
        <v/>
      </c>
      <c r="AI316" t="str" cm="1">
        <f t="array" ref="AI316">_xlfn.LET(
  _xlpm.colj, _xlfn._xlws.FILTER(IF(ISNUMBER(315:315), COLUMN(315:315)), ISNUMBER(315:315)),
  _xlpm.elos, INDEX(314:314,1,_xlpm.colj),
  _xlpm.diffscale, Constantes!$B$2,
  IF(AI315="",
    "",
    SUM(1/(1+POWER(10,-(AI314-_xlpm.elos)/_xlpm.diffscale)))-0.5)
)</f>
        <v/>
      </c>
      <c r="AJ316" t="str" cm="1">
        <f t="array" ref="AJ316">_xlfn.LET(
  _xlpm.colj, _xlfn._xlws.FILTER(IF(ISNUMBER(315:315), COLUMN(315:315)), ISNUMBER(315:315)),
  _xlpm.elos, INDEX(314:314,1,_xlpm.colj),
  _xlpm.diffscale, Constantes!$B$2,
  IF(AJ315="",
    "",
    SUM(1/(1+POWER(10,-(AJ314-_xlpm.elos)/_xlpm.diffscale)))-0.5)
)</f>
        <v/>
      </c>
      <c r="AK316" t="str" cm="1">
        <f t="array" ref="AK316">_xlfn.LET(
  _xlpm.colj, _xlfn._xlws.FILTER(IF(ISNUMBER(315:315), COLUMN(315:315)), ISNUMBER(315:315)),
  _xlpm.elos, INDEX(314:314,1,_xlpm.colj),
  _xlpm.diffscale, Constantes!$B$2,
  IF(AK315="",
    "",
    SUM(1/(1+POWER(10,-(AK314-_xlpm.elos)/_xlpm.diffscale)))-0.5)
)</f>
        <v/>
      </c>
      <c r="AL316" t="str" cm="1">
        <f t="array" ref="AL316">_xlfn.LET(
  _xlpm.colj, _xlfn._xlws.FILTER(IF(ISNUMBER(315:315), COLUMN(315:315)), ISNUMBER(315:315)),
  _xlpm.elos, INDEX(314:314,1,_xlpm.colj),
  _xlpm.diffscale, Constantes!$B$2,
  IF(AL315="",
    "",
    SUM(1/(1+POWER(10,-(AL314-_xlpm.elos)/_xlpm.diffscale)))-0.5)
)</f>
        <v/>
      </c>
      <c r="AM316" t="str" cm="1">
        <f t="array" ref="AM316">_xlfn.LET(
  _xlpm.colj, _xlfn._xlws.FILTER(IF(ISNUMBER(315:315), COLUMN(315:315)), ISNUMBER(315:315)),
  _xlpm.elos, INDEX(314:314,1,_xlpm.colj),
  _xlpm.diffscale, Constantes!$B$2,
  IF(AM315="",
    "",
    SUM(1/(1+POWER(10,-(AM314-_xlpm.elos)/_xlpm.diffscale)))-0.5)
)</f>
        <v/>
      </c>
    </row>
    <row r="317" spans="1:39" x14ac:dyDescent="0.25">
      <c r="A317" t="s">
        <v>22</v>
      </c>
      <c r="D317" cm="1">
        <f t="array" ref="D317">_xlfn.LET(
  _xlpm.K, Constantes!$B$3,
  _xlpm.Knewgain, Constantes!$B$4,
  _xlpm.Knewscale, Constantes!$B$5,
  _xlpm.ptstables, INDEX(D:D, _xlfn.SEQUENCE(COUNTA($C$2:$C317), 1, 3, 4)),
  _xlpm.nbparties, COUNTA(_xlfn._xlws.FILTER(_xlpm.ptstables, _xlpm.ptstables &lt;&gt; "")),
  _xlpm.coef, _xlpm.K + _xlpm.Knewgain / (_xlpm.Knewscale + _xlpm.nbparties),
  IF(D315="",
    "",
    _xlpm.coef * (D315-D316))
)</f>
        <v>11.233232325637953</v>
      </c>
      <c r="E317" t="str" cm="1">
        <f t="array" ref="E317">_xlfn.LET(
  _xlpm.K, Constantes!$B$3,
  _xlpm.Knewgain, Constantes!$B$4,
  _xlpm.Knewscale, Constantes!$B$5,
  _xlpm.ptstables, INDEX(E:E, _xlfn.SEQUENCE(COUNTA($C$2:$C317), 1, 3, 4)),
  _xlpm.nbparties, COUNTA(_xlfn._xlws.FILTER(_xlpm.ptstables, _xlpm.ptstables &lt;&gt; "")),
  _xlpm.coef, _xlpm.K + _xlpm.Knewgain / (_xlpm.Knewscale + _xlpm.nbparties),
  IF(E315="",
    "",
    _xlpm.coef * (E315-E316))
)</f>
        <v/>
      </c>
      <c r="F317" t="str" cm="1">
        <f t="array" ref="F317">_xlfn.LET(
  _xlpm.K, Constantes!$B$3,
  _xlpm.Knewgain, Constantes!$B$4,
  _xlpm.Knewscale, Constantes!$B$5,
  _xlpm.ptstables, INDEX(F:F, _xlfn.SEQUENCE(COUNTA($C$2:$C317), 1, 3, 4)),
  _xlpm.nbparties, COUNTA(_xlfn._xlws.FILTER(_xlpm.ptstables, _xlpm.ptstables &lt;&gt; "")),
  _xlpm.coef, _xlpm.K + _xlpm.Knewgain / (_xlpm.Knewscale + _xlpm.nbparties),
  IF(F315="",
    "",
    _xlpm.coef * (F315-F316))
)</f>
        <v/>
      </c>
      <c r="G317" t="str" cm="1">
        <f t="array" ref="G317">_xlfn.LET(
  _xlpm.K, Constantes!$B$3,
  _xlpm.Knewgain, Constantes!$B$4,
  _xlpm.Knewscale, Constantes!$B$5,
  _xlpm.ptstables, INDEX(G:G, _xlfn.SEQUENCE(COUNTA($C$2:$C317), 1, 3, 4)),
  _xlpm.nbparties, COUNTA(_xlfn._xlws.FILTER(_xlpm.ptstables, _xlpm.ptstables &lt;&gt; "")),
  _xlpm.coef, _xlpm.K + _xlpm.Knewgain / (_xlpm.Knewscale + _xlpm.nbparties),
  IF(G315="",
    "",
    _xlpm.coef * (G315-G316))
)</f>
        <v/>
      </c>
      <c r="H317" t="str" cm="1">
        <f t="array" ref="H317">_xlfn.LET(
  _xlpm.K, Constantes!$B$3,
  _xlpm.Knewgain, Constantes!$B$4,
  _xlpm.Knewscale, Constantes!$B$5,
  _xlpm.ptstables, INDEX(H:H, _xlfn.SEQUENCE(COUNTA($C$2:$C317), 1, 3, 4)),
  _xlpm.nbparties, COUNTA(_xlfn._xlws.FILTER(_xlpm.ptstables, _xlpm.ptstables &lt;&gt; "")),
  _xlpm.coef, _xlpm.K + _xlpm.Knewgain / (_xlpm.Knewscale + _xlpm.nbparties),
  IF(H315="",
    "",
    _xlpm.coef * (H315-H316))
)</f>
        <v/>
      </c>
      <c r="I317" t="str" cm="1">
        <f t="array" ref="I317">_xlfn.LET(
  _xlpm.K, Constantes!$B$3,
  _xlpm.Knewgain, Constantes!$B$4,
  _xlpm.Knewscale, Constantes!$B$5,
  _xlpm.ptstables, INDEX(I:I, _xlfn.SEQUENCE(COUNTA($C$2:$C317), 1, 3, 4)),
  _xlpm.nbparties, COUNTA(_xlfn._xlws.FILTER(_xlpm.ptstables, _xlpm.ptstables &lt;&gt; "")),
  _xlpm.coef, _xlpm.K + _xlpm.Knewgain / (_xlpm.Knewscale + _xlpm.nbparties),
  IF(I315="",
    "",
    _xlpm.coef * (I315-I316))
)</f>
        <v/>
      </c>
      <c r="J317" t="str" cm="1">
        <f t="array" ref="J317">_xlfn.LET(
  _xlpm.K, Constantes!$B$3,
  _xlpm.Knewgain, Constantes!$B$4,
  _xlpm.Knewscale, Constantes!$B$5,
  _xlpm.ptstables, INDEX(J:J, _xlfn.SEQUENCE(COUNTA($C$2:$C317), 1, 3, 4)),
  _xlpm.nbparties, COUNTA(_xlfn._xlws.FILTER(_xlpm.ptstables, _xlpm.ptstables &lt;&gt; "")),
  _xlpm.coef, _xlpm.K + _xlpm.Knewgain / (_xlpm.Knewscale + _xlpm.nbparties),
  IF(J315="",
    "",
    _xlpm.coef * (J315-J316))
)</f>
        <v/>
      </c>
      <c r="K317" t="str" cm="1">
        <f t="array" ref="K317">_xlfn.LET(
  _xlpm.K, Constantes!$B$3,
  _xlpm.Knewgain, Constantes!$B$4,
  _xlpm.Knewscale, Constantes!$B$5,
  _xlpm.ptstables, INDEX(K:K, _xlfn.SEQUENCE(COUNTA($C$2:$C317), 1, 3, 4)),
  _xlpm.nbparties, COUNTA(_xlfn._xlws.FILTER(_xlpm.ptstables, _xlpm.ptstables &lt;&gt; "")),
  _xlpm.coef, _xlpm.K + _xlpm.Knewgain / (_xlpm.Knewscale + _xlpm.nbparties),
  IF(K315="",
    "",
    _xlpm.coef * (K315-K316))
)</f>
        <v/>
      </c>
      <c r="L317" t="str" cm="1">
        <f t="array" ref="L317">_xlfn.LET(
  _xlpm.K, Constantes!$B$3,
  _xlpm.Knewgain, Constantes!$B$4,
  _xlpm.Knewscale, Constantes!$B$5,
  _xlpm.ptstables, INDEX(L:L, _xlfn.SEQUENCE(COUNTA($C$2:$C317), 1, 3, 4)),
  _xlpm.nbparties, COUNTA(_xlfn._xlws.FILTER(_xlpm.ptstables, _xlpm.ptstables &lt;&gt; "")),
  _xlpm.coef, _xlpm.K + _xlpm.Knewgain / (_xlpm.Knewscale + _xlpm.nbparties),
  IF(L315="",
    "",
    _xlpm.coef * (L315-L316))
)</f>
        <v/>
      </c>
      <c r="M317" t="str" cm="1">
        <f t="array" ref="M317">_xlfn.LET(
  _xlpm.K, Constantes!$B$3,
  _xlpm.Knewgain, Constantes!$B$4,
  _xlpm.Knewscale, Constantes!$B$5,
  _xlpm.ptstables, INDEX(M:M, _xlfn.SEQUENCE(COUNTA($C$2:$C317), 1, 3, 4)),
  _xlpm.nbparties, COUNTA(_xlfn._xlws.FILTER(_xlpm.ptstables, _xlpm.ptstables &lt;&gt; "")),
  _xlpm.coef, _xlpm.K + _xlpm.Knewgain / (_xlpm.Knewscale + _xlpm.nbparties),
  IF(M315="",
    "",
    _xlpm.coef * (M315-M316))
)</f>
        <v/>
      </c>
      <c r="N317" t="str" cm="1">
        <f t="array" ref="N317">_xlfn.LET(
  _xlpm.K, Constantes!$B$3,
  _xlpm.Knewgain, Constantes!$B$4,
  _xlpm.Knewscale, Constantes!$B$5,
  _xlpm.ptstables, INDEX(N:N, _xlfn.SEQUENCE(COUNTA($C$2:$C317), 1, 3, 4)),
  _xlpm.nbparties, COUNTA(_xlfn._xlws.FILTER(_xlpm.ptstables, _xlpm.ptstables &lt;&gt; "")),
  _xlpm.coef, _xlpm.K + _xlpm.Knewgain / (_xlpm.Knewscale + _xlpm.nbparties),
  IF(N315="",
    "",
    _xlpm.coef * (N315-N316))
)</f>
        <v/>
      </c>
      <c r="O317" t="str" cm="1">
        <f t="array" ref="O317">_xlfn.LET(
  _xlpm.K, Constantes!$B$3,
  _xlpm.Knewgain, Constantes!$B$4,
  _xlpm.Knewscale, Constantes!$B$5,
  _xlpm.ptstables, INDEX(O:O, _xlfn.SEQUENCE(COUNTA($C$2:$C317), 1, 3, 4)),
  _xlpm.nbparties, COUNTA(_xlfn._xlws.FILTER(_xlpm.ptstables, _xlpm.ptstables &lt;&gt; "")),
  _xlpm.coef, _xlpm.K + _xlpm.Knewgain / (_xlpm.Knewscale + _xlpm.nbparties),
  IF(O315="",
    "",
    _xlpm.coef * (O315-O316))
)</f>
        <v/>
      </c>
      <c r="P317" cm="1">
        <f t="array" ref="P317">_xlfn.LET(
  _xlpm.K, Constantes!$B$3,
  _xlpm.Knewgain, Constantes!$B$4,
  _xlpm.Knewscale, Constantes!$B$5,
  _xlpm.ptstables, INDEX(P:P, _xlfn.SEQUENCE(COUNTA($C$2:$C317), 1, 3, 4)),
  _xlpm.nbparties, COUNTA(_xlfn._xlws.FILTER(_xlpm.ptstables, _xlpm.ptstables &lt;&gt; "")),
  _xlpm.coef, _xlpm.K + _xlpm.Knewgain / (_xlpm.Knewscale + _xlpm.nbparties),
  IF(P315="",
    "",
    _xlpm.coef * (P315-P316))
)</f>
        <v>-38.100488938705752</v>
      </c>
      <c r="Q317" t="str" cm="1">
        <f t="array" ref="Q317">_xlfn.LET(
  _xlpm.K, Constantes!$B$3,
  _xlpm.Knewgain, Constantes!$B$4,
  _xlpm.Knewscale, Constantes!$B$5,
  _xlpm.ptstables, INDEX(Q:Q, _xlfn.SEQUENCE(COUNTA($C$2:$C317), 1, 3, 4)),
  _xlpm.nbparties, COUNTA(_xlfn._xlws.FILTER(_xlpm.ptstables, _xlpm.ptstables &lt;&gt; "")),
  _xlpm.coef, _xlpm.K + _xlpm.Knewgain / (_xlpm.Knewscale + _xlpm.nbparties),
  IF(Q315="",
    "",
    _xlpm.coef * (Q315-Q316))
)</f>
        <v/>
      </c>
      <c r="R317" t="str" cm="1">
        <f t="array" ref="R317">_xlfn.LET(
  _xlpm.K, Constantes!$B$3,
  _xlpm.Knewgain, Constantes!$B$4,
  _xlpm.Knewscale, Constantes!$B$5,
  _xlpm.ptstables, INDEX(R:R, _xlfn.SEQUENCE(COUNTA($C$2:$C317), 1, 3, 4)),
  _xlpm.nbparties, COUNTA(_xlfn._xlws.FILTER(_xlpm.ptstables, _xlpm.ptstables &lt;&gt; "")),
  _xlpm.coef, _xlpm.K + _xlpm.Knewgain / (_xlpm.Knewscale + _xlpm.nbparties),
  IF(R315="",
    "",
    _xlpm.coef * (R315-R316))
)</f>
        <v/>
      </c>
      <c r="S317" t="str" cm="1">
        <f t="array" ref="S317">_xlfn.LET(
  _xlpm.K, Constantes!$B$3,
  _xlpm.Knewgain, Constantes!$B$4,
  _xlpm.Knewscale, Constantes!$B$5,
  _xlpm.ptstables, INDEX(S:S, _xlfn.SEQUENCE(COUNTA($C$2:$C317), 1, 3, 4)),
  _xlpm.nbparties, COUNTA(_xlfn._xlws.FILTER(_xlpm.ptstables, _xlpm.ptstables &lt;&gt; "")),
  _xlpm.coef, _xlpm.K + _xlpm.Knewgain / (_xlpm.Knewscale + _xlpm.nbparties),
  IF(S315="",
    "",
    _xlpm.coef * (S315-S316))
)</f>
        <v/>
      </c>
      <c r="T317" t="str" cm="1">
        <f t="array" ref="T317">_xlfn.LET(
  _xlpm.K, Constantes!$B$3,
  _xlpm.Knewgain, Constantes!$B$4,
  _xlpm.Knewscale, Constantes!$B$5,
  _xlpm.ptstables, INDEX(T:T, _xlfn.SEQUENCE(COUNTA($C$2:$C317), 1, 3, 4)),
  _xlpm.nbparties, COUNTA(_xlfn._xlws.FILTER(_xlpm.ptstables, _xlpm.ptstables &lt;&gt; "")),
  _xlpm.coef, _xlpm.K + _xlpm.Knewgain / (_xlpm.Knewscale + _xlpm.nbparties),
  IF(T315="",
    "",
    _xlpm.coef * (T315-T316))
)</f>
        <v/>
      </c>
      <c r="U317" t="str" cm="1">
        <f t="array" ref="U317">_xlfn.LET(
  _xlpm.K, Constantes!$B$3,
  _xlpm.Knewgain, Constantes!$B$4,
  _xlpm.Knewscale, Constantes!$B$5,
  _xlpm.ptstables, INDEX(U:U, _xlfn.SEQUENCE(COUNTA($C$2:$C317), 1, 3, 4)),
  _xlpm.nbparties, COUNTA(_xlfn._xlws.FILTER(_xlpm.ptstables, _xlpm.ptstables &lt;&gt; "")),
  _xlpm.coef, _xlpm.K + _xlpm.Knewgain / (_xlpm.Knewscale + _xlpm.nbparties),
  IF(U315="",
    "",
    _xlpm.coef * (U315-U316))
)</f>
        <v/>
      </c>
      <c r="V317" t="str" cm="1">
        <f t="array" ref="V317">_xlfn.LET(
  _xlpm.K, Constantes!$B$3,
  _xlpm.Knewgain, Constantes!$B$4,
  _xlpm.Knewscale, Constantes!$B$5,
  _xlpm.ptstables, INDEX(V:V, _xlfn.SEQUENCE(COUNTA($C$2:$C317), 1, 3, 4)),
  _xlpm.nbparties, COUNTA(_xlfn._xlws.FILTER(_xlpm.ptstables, _xlpm.ptstables &lt;&gt; "")),
  _xlpm.coef, _xlpm.K + _xlpm.Knewgain / (_xlpm.Knewscale + _xlpm.nbparties),
  IF(V315="",
    "",
    _xlpm.coef * (V315-V316))
)</f>
        <v/>
      </c>
      <c r="W317" cm="1">
        <f t="array" ref="W317">_xlfn.LET(
  _xlpm.K, Constantes!$B$3,
  _xlpm.Knewgain, Constantes!$B$4,
  _xlpm.Knewscale, Constantes!$B$5,
  _xlpm.ptstables, INDEX(W:W, _xlfn.SEQUENCE(COUNTA($C$2:$C317), 1, 3, 4)),
  _xlpm.nbparties, COUNTA(_xlfn._xlws.FILTER(_xlpm.ptstables, _xlpm.ptstables &lt;&gt; "")),
  _xlpm.coef, _xlpm.K + _xlpm.Knewgain / (_xlpm.Knewscale + _xlpm.nbparties),
  IF(W315="",
    "",
    _xlpm.coef * (W315-W316))
)</f>
        <v>3.9431506168254051</v>
      </c>
      <c r="X317" t="str" cm="1">
        <f t="array" ref="X317">_xlfn.LET(
  _xlpm.K, Constantes!$B$3,
  _xlpm.Knewgain, Constantes!$B$4,
  _xlpm.Knewscale, Constantes!$B$5,
  _xlpm.ptstables, INDEX(X:X, _xlfn.SEQUENCE(COUNTA($C$2:$C317), 1, 3, 4)),
  _xlpm.nbparties, COUNTA(_xlfn._xlws.FILTER(_xlpm.ptstables, _xlpm.ptstables &lt;&gt; "")),
  _xlpm.coef, _xlpm.K + _xlpm.Knewgain / (_xlpm.Knewscale + _xlpm.nbparties),
  IF(X315="",
    "",
    _xlpm.coef * (X315-X316))
)</f>
        <v/>
      </c>
      <c r="Y317" t="str" cm="1">
        <f t="array" ref="Y317">_xlfn.LET(
  _xlpm.K, Constantes!$B$3,
  _xlpm.Knewgain, Constantes!$B$4,
  _xlpm.Knewscale, Constantes!$B$5,
  _xlpm.ptstables, INDEX(Y:Y, _xlfn.SEQUENCE(COUNTA($C$2:$C317), 1, 3, 4)),
  _xlpm.nbparties, COUNTA(_xlfn._xlws.FILTER(_xlpm.ptstables, _xlpm.ptstables &lt;&gt; "")),
  _xlpm.coef, _xlpm.K + _xlpm.Knewgain / (_xlpm.Knewscale + _xlpm.nbparties),
  IF(Y315="",
    "",
    _xlpm.coef * (Y315-Y316))
)</f>
        <v/>
      </c>
      <c r="Z317" t="str" cm="1">
        <f t="array" ref="Z317">_xlfn.LET(
  _xlpm.K, Constantes!$B$3,
  _xlpm.Knewgain, Constantes!$B$4,
  _xlpm.Knewscale, Constantes!$B$5,
  _xlpm.ptstables, INDEX(Z:Z, _xlfn.SEQUENCE(COUNTA($C$2:$C317), 1, 3, 4)),
  _xlpm.nbparties, COUNTA(_xlfn._xlws.FILTER(_xlpm.ptstables, _xlpm.ptstables &lt;&gt; "")),
  _xlpm.coef, _xlpm.K + _xlpm.Knewgain / (_xlpm.Knewscale + _xlpm.nbparties),
  IF(Z315="",
    "",
    _xlpm.coef * (Z315-Z316))
)</f>
        <v/>
      </c>
      <c r="AA317" t="str" cm="1">
        <f t="array" ref="AA317">_xlfn.LET(
  _xlpm.K, Constantes!$B$3,
  _xlpm.Knewgain, Constantes!$B$4,
  _xlpm.Knewscale, Constantes!$B$5,
  _xlpm.ptstables, INDEX(AA:AA, _xlfn.SEQUENCE(COUNTA($C$2:$C317), 1, 3, 4)),
  _xlpm.nbparties, COUNTA(_xlfn._xlws.FILTER(_xlpm.ptstables, _xlpm.ptstables &lt;&gt; "")),
  _xlpm.coef, _xlpm.K + _xlpm.Knewgain / (_xlpm.Knewscale + _xlpm.nbparties),
  IF(AA315="",
    "",
    _xlpm.coef * (AA315-AA316))
)</f>
        <v/>
      </c>
      <c r="AB317" t="str" cm="1">
        <f t="array" ref="AB317">_xlfn.LET(
  _xlpm.K, Constantes!$B$3,
  _xlpm.Knewgain, Constantes!$B$4,
  _xlpm.Knewscale, Constantes!$B$5,
  _xlpm.ptstables, INDEX(AB:AB, _xlfn.SEQUENCE(COUNTA($C$2:$C317), 1, 3, 4)),
  _xlpm.nbparties, COUNTA(_xlfn._xlws.FILTER(_xlpm.ptstables, _xlpm.ptstables &lt;&gt; "")),
  _xlpm.coef, _xlpm.K + _xlpm.Knewgain / (_xlpm.Knewscale + _xlpm.nbparties),
  IF(AB315="",
    "",
    _xlpm.coef * (AB315-AB316))
)</f>
        <v/>
      </c>
      <c r="AC317" t="str" cm="1">
        <f t="array" ref="AC317">_xlfn.LET(
  _xlpm.K, Constantes!$B$3,
  _xlpm.Knewgain, Constantes!$B$4,
  _xlpm.Knewscale, Constantes!$B$5,
  _xlpm.ptstables, INDEX(AC:AC, _xlfn.SEQUENCE(COUNTA($C$2:$C317), 1, 3, 4)),
  _xlpm.nbparties, COUNTA(_xlfn._xlws.FILTER(_xlpm.ptstables, _xlpm.ptstables &lt;&gt; "")),
  _xlpm.coef, _xlpm.K + _xlpm.Knewgain / (_xlpm.Knewscale + _xlpm.nbparties),
  IF(AC315="",
    "",
    _xlpm.coef * (AC315-AC316))
)</f>
        <v/>
      </c>
      <c r="AD317" cm="1">
        <f t="array" ref="AD317">_xlfn.LET(
  _xlpm.K, Constantes!$B$3,
  _xlpm.Knewgain, Constantes!$B$4,
  _xlpm.Knewscale, Constantes!$B$5,
  _xlpm.ptstables, INDEX(AD:AD, _xlfn.SEQUENCE(COUNTA($C$2:$C317), 1, 3, 4)),
  _xlpm.nbparties, COUNTA(_xlfn._xlws.FILTER(_xlpm.ptstables, _xlpm.ptstables &lt;&gt; "")),
  _xlpm.coef, _xlpm.K + _xlpm.Knewgain / (_xlpm.Knewscale + _xlpm.nbparties),
  IF(AD315="",
    "",
    _xlpm.coef * (AD315-AD316))
)</f>
        <v>26.5695304473875</v>
      </c>
      <c r="AE317" t="str" cm="1">
        <f t="array" ref="AE317">_xlfn.LET(
  _xlpm.K, Constantes!$B$3,
  _xlpm.Knewgain, Constantes!$B$4,
  _xlpm.Knewscale, Constantes!$B$5,
  _xlpm.ptstables, INDEX(AE:AE, _xlfn.SEQUENCE(COUNTA($C$2:$C317), 1, 3, 4)),
  _xlpm.nbparties, COUNTA(_xlfn._xlws.FILTER(_xlpm.ptstables, _xlpm.ptstables &lt;&gt; "")),
  _xlpm.coef, _xlpm.K + _xlpm.Knewgain / (_xlpm.Knewscale + _xlpm.nbparties),
  IF(AE315="",
    "",
    _xlpm.coef * (AE315-AE316))
)</f>
        <v/>
      </c>
      <c r="AF317" t="str" cm="1">
        <f t="array" ref="AF317">_xlfn.LET(
  _xlpm.K, Constantes!$B$3,
  _xlpm.Knewgain, Constantes!$B$4,
  _xlpm.Knewscale, Constantes!$B$5,
  _xlpm.ptstables, INDEX(AF:AF, _xlfn.SEQUENCE(COUNTA($C$2:$C317), 1, 3, 4)),
  _xlpm.nbparties, COUNTA(_xlfn._xlws.FILTER(_xlpm.ptstables, _xlpm.ptstables &lt;&gt; "")),
  _xlpm.coef, _xlpm.K + _xlpm.Knewgain / (_xlpm.Knewscale + _xlpm.nbparties),
  IF(AF315="",
    "",
    _xlpm.coef * (AF315-AF316))
)</f>
        <v/>
      </c>
      <c r="AG317" t="str" cm="1">
        <f t="array" ref="AG317">_xlfn.LET(
  _xlpm.K, Constantes!$B$3,
  _xlpm.Knewgain, Constantes!$B$4,
  _xlpm.Knewscale, Constantes!$B$5,
  _xlpm.ptstables, INDEX(AG:AG, _xlfn.SEQUENCE(COUNTA($C$2:$C317), 1, 3, 4)),
  _xlpm.nbparties, COUNTA(_xlfn._xlws.FILTER(_xlpm.ptstables, _xlpm.ptstables &lt;&gt; "")),
  _xlpm.coef, _xlpm.K + _xlpm.Knewgain / (_xlpm.Knewscale + _xlpm.nbparties),
  IF(AG315="",
    "",
    _xlpm.coef * (AG315-AG316))
)</f>
        <v/>
      </c>
      <c r="AH317" t="str" cm="1">
        <f t="array" ref="AH317">_xlfn.LET(
  _xlpm.K, Constantes!$B$3,
  _xlpm.Knewgain, Constantes!$B$4,
  _xlpm.Knewscale, Constantes!$B$5,
  _xlpm.ptstables, INDEX(AH:AH, _xlfn.SEQUENCE(COUNTA($C$2:$C317), 1, 3, 4)),
  _xlpm.nbparties, COUNTA(_xlfn._xlws.FILTER(_xlpm.ptstables, _xlpm.ptstables &lt;&gt; "")),
  _xlpm.coef, _xlpm.K + _xlpm.Knewgain / (_xlpm.Knewscale + _xlpm.nbparties),
  IF(AH315="",
    "",
    _xlpm.coef * (AH315-AH316))
)</f>
        <v/>
      </c>
      <c r="AI317" t="str" cm="1">
        <f t="array" ref="AI317">_xlfn.LET(
  _xlpm.K, Constantes!$B$3,
  _xlpm.Knewgain, Constantes!$B$4,
  _xlpm.Knewscale, Constantes!$B$5,
  _xlpm.ptstables, INDEX(AI:AI, _xlfn.SEQUENCE(COUNTA($C$2:$C317), 1, 3, 4)),
  _xlpm.nbparties, COUNTA(_xlfn._xlws.FILTER(_xlpm.ptstables, _xlpm.ptstables &lt;&gt; "")),
  _xlpm.coef, _xlpm.K + _xlpm.Knewgain / (_xlpm.Knewscale + _xlpm.nbparties),
  IF(AI315="",
    "",
    _xlpm.coef * (AI315-AI316))
)</f>
        <v/>
      </c>
      <c r="AJ317" t="str" cm="1">
        <f t="array" ref="AJ317">_xlfn.LET(
  _xlpm.K, Constantes!$B$3,
  _xlpm.Knewgain, Constantes!$B$4,
  _xlpm.Knewscale, Constantes!$B$5,
  _xlpm.ptstables, INDEX(AJ:AJ, _xlfn.SEQUENCE(COUNTA($C$2:$C317), 1, 3, 4)),
  _xlpm.nbparties, COUNTA(_xlfn._xlws.FILTER(_xlpm.ptstables, _xlpm.ptstables &lt;&gt; "")),
  _xlpm.coef, _xlpm.K + _xlpm.Knewgain / (_xlpm.Knewscale + _xlpm.nbparties),
  IF(AJ315="",
    "",
    _xlpm.coef * (AJ315-AJ316))
)</f>
        <v/>
      </c>
      <c r="AK317" t="str" cm="1">
        <f t="array" ref="AK317">_xlfn.LET(
  _xlpm.K, Constantes!$B$3,
  _xlpm.Knewgain, Constantes!$B$4,
  _xlpm.Knewscale, Constantes!$B$5,
  _xlpm.ptstables, INDEX(AK:AK, _xlfn.SEQUENCE(COUNTA($C$2:$C317), 1, 3, 4)),
  _xlpm.nbparties, COUNTA(_xlfn._xlws.FILTER(_xlpm.ptstables, _xlpm.ptstables &lt;&gt; "")),
  _xlpm.coef, _xlpm.K + _xlpm.Knewgain / (_xlpm.Knewscale + _xlpm.nbparties),
  IF(AK315="",
    "",
    _xlpm.coef * (AK315-AK316))
)</f>
        <v/>
      </c>
      <c r="AL317" t="str" cm="1">
        <f t="array" ref="AL317">_xlfn.LET(
  _xlpm.K, Constantes!$B$3,
  _xlpm.Knewgain, Constantes!$B$4,
  _xlpm.Knewscale, Constantes!$B$5,
  _xlpm.ptstables, INDEX(AL:AL, _xlfn.SEQUENCE(COUNTA($C$2:$C317), 1, 3, 4)),
  _xlpm.nbparties, COUNTA(_xlfn._xlws.FILTER(_xlpm.ptstables, _xlpm.ptstables &lt;&gt; "")),
  _xlpm.coef, _xlpm.K + _xlpm.Knewgain / (_xlpm.Knewscale + _xlpm.nbparties),
  IF(AL315="",
    "",
    _xlpm.coef * (AL315-AL316))
)</f>
        <v/>
      </c>
      <c r="AM317" t="str" cm="1">
        <f t="array" ref="AM317">_xlfn.LET(
  _xlpm.K, Constantes!$B$3,
  _xlpm.Knewgain, Constantes!$B$4,
  _xlpm.Knewscale, Constantes!$B$5,
  _xlpm.ptstables, INDEX(AM:AM, _xlfn.SEQUENCE(COUNTA($C$2:$C317), 1, 3, 4)),
  _xlpm.nbparties, COUNTA(_xlfn._xlws.FILTER(_xlpm.ptstables, _xlpm.ptstables &lt;&gt; "")),
  _xlpm.coef, _xlpm.K + _xlpm.Knewgain / (_xlpm.Knewscale + _xlpm.nbparties),
  IF(AM315="",
    "",
    _xlpm.coef * (AM315-AM316))
)</f>
        <v/>
      </c>
    </row>
    <row r="318" spans="1:39" x14ac:dyDescent="0.25">
      <c r="A318" t="s">
        <v>14</v>
      </c>
      <c r="B318" t="str" cm="1">
        <f t="array" ref="B31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78</v>
      </c>
      <c r="C318" s="2" cm="1">
        <f t="array" ref="C318">IF(B318="","",
  INDEX(Donnees!F:F, MATCH(B318, Donnees!F:F, 0)+1))</f>
        <v>45948.698541666665</v>
      </c>
      <c r="D318">
        <f t="shared" ref="D318:AM318" si="87">D314+IF(D317="",0,D317)</f>
        <v>1008.0095267292556</v>
      </c>
      <c r="E318">
        <f t="shared" si="87"/>
        <v>1095.6997652278242</v>
      </c>
      <c r="F318">
        <f t="shared" si="87"/>
        <v>872.24944098785784</v>
      </c>
      <c r="G318">
        <f t="shared" si="87"/>
        <v>1119.3162392058323</v>
      </c>
      <c r="H318">
        <f t="shared" si="87"/>
        <v>1139.7553269432372</v>
      </c>
      <c r="I318">
        <f t="shared" si="87"/>
        <v>921.73391621154246</v>
      </c>
      <c r="J318">
        <f t="shared" si="87"/>
        <v>1010.9125108504293</v>
      </c>
      <c r="K318">
        <f t="shared" si="87"/>
        <v>993.90254614824482</v>
      </c>
      <c r="L318">
        <f t="shared" si="87"/>
        <v>799.13054339146868</v>
      </c>
      <c r="M318">
        <f t="shared" si="87"/>
        <v>913.41986361738122</v>
      </c>
      <c r="N318">
        <f t="shared" si="87"/>
        <v>884.64725986469603</v>
      </c>
      <c r="O318">
        <f t="shared" si="87"/>
        <v>998.21178722110983</v>
      </c>
      <c r="P318">
        <f t="shared" si="87"/>
        <v>966.96510844942054</v>
      </c>
      <c r="Q318">
        <f t="shared" si="87"/>
        <v>1050.1062561870472</v>
      </c>
      <c r="R318">
        <f t="shared" si="87"/>
        <v>1061.418521473061</v>
      </c>
      <c r="S318">
        <f t="shared" si="87"/>
        <v>950.00980009229818</v>
      </c>
      <c r="T318">
        <f t="shared" si="87"/>
        <v>1153.43058185823</v>
      </c>
      <c r="U318">
        <f t="shared" si="87"/>
        <v>1178.4672844595402</v>
      </c>
      <c r="V318">
        <f t="shared" si="87"/>
        <v>951.23563726152827</v>
      </c>
      <c r="W318">
        <f t="shared" si="87"/>
        <v>882.29253769067657</v>
      </c>
      <c r="X318">
        <f t="shared" si="87"/>
        <v>828.97598039785271</v>
      </c>
      <c r="Y318">
        <f t="shared" si="87"/>
        <v>903.14348714035714</v>
      </c>
      <c r="Z318">
        <f t="shared" si="87"/>
        <v>1000.4832210979791</v>
      </c>
      <c r="AA318">
        <f t="shared" si="87"/>
        <v>976.51233940414613</v>
      </c>
      <c r="AB318">
        <f t="shared" si="87"/>
        <v>988.35669729544747</v>
      </c>
      <c r="AC318">
        <f t="shared" si="87"/>
        <v>1094.1623059381011</v>
      </c>
      <c r="AD318">
        <f t="shared" si="87"/>
        <v>1127.3529116409297</v>
      </c>
      <c r="AE318">
        <f t="shared" si="87"/>
        <v>963.23981965000235</v>
      </c>
      <c r="AF318">
        <f t="shared" si="87"/>
        <v>1094.8196847516158</v>
      </c>
      <c r="AG318">
        <f t="shared" si="87"/>
        <v>958.23078604304851</v>
      </c>
      <c r="AH318">
        <f t="shared" si="87"/>
        <v>920.4412636682855</v>
      </c>
      <c r="AI318">
        <f t="shared" si="87"/>
        <v>947.26489657182583</v>
      </c>
      <c r="AJ318">
        <f t="shared" si="87"/>
        <v>906.86354201913434</v>
      </c>
      <c r="AK318">
        <f t="shared" si="87"/>
        <v>1074.0069367206956</v>
      </c>
      <c r="AL318">
        <f t="shared" si="87"/>
        <v>1025.7817971572972</v>
      </c>
      <c r="AM318">
        <f t="shared" si="87"/>
        <v>1000</v>
      </c>
    </row>
    <row r="319" spans="1:39" x14ac:dyDescent="0.25">
      <c r="A319" t="s">
        <v>21</v>
      </c>
      <c r="D319" t="str" cm="1">
        <f t="array" ref="D319">IFERROR(
  _xlfn.LET(
    _xlpm.ligpartie, MATCH($B318, Donnees!$F:$F, 0),
    _xlpm.joueurs, INDEX(Donnees!$A:$Z, _xlpm.ligpartie+1, _xlfn.SEQUENCE(1, 4, 2)),
    INDEX(
      Donnees!$A:$Z,
      _xlpm.ligpartie + 3,
      MATCH(D$1, _xlpm.joueurs, 0) + 1
    )
  ), ""
)</f>
        <v/>
      </c>
      <c r="E319" t="str" cm="1">
        <f t="array" ref="E319">IFERROR(
  _xlfn.LET(
    _xlpm.ligpartie, MATCH($B318, Donnees!$F:$F, 0),
    _xlpm.joueurs, INDEX(Donnees!$A:$Z, _xlpm.ligpartie+1, _xlfn.SEQUENCE(1, 4, 2)),
    INDEX(
      Donnees!$A:$Z,
      _xlpm.ligpartie + 3,
      MATCH(E$1, _xlpm.joueurs, 0) + 1
    )
  ), ""
)</f>
        <v/>
      </c>
      <c r="F319" t="str" cm="1">
        <f t="array" ref="F319">IFERROR(
  _xlfn.LET(
    _xlpm.ligpartie, MATCH($B318, Donnees!$F:$F, 0),
    _xlpm.joueurs, INDEX(Donnees!$A:$Z, _xlpm.ligpartie+1, _xlfn.SEQUENCE(1, 4, 2)),
    INDEX(
      Donnees!$A:$Z,
      _xlpm.ligpartie + 3,
      MATCH(F$1, _xlpm.joueurs, 0) + 1
    )
  ), ""
)</f>
        <v/>
      </c>
      <c r="G319" t="str" cm="1">
        <f t="array" ref="G319">IFERROR(
  _xlfn.LET(
    _xlpm.ligpartie, MATCH($B318, Donnees!$F:$F, 0),
    _xlpm.joueurs, INDEX(Donnees!$A:$Z, _xlpm.ligpartie+1, _xlfn.SEQUENCE(1, 4, 2)),
    INDEX(
      Donnees!$A:$Z,
      _xlpm.ligpartie + 3,
      MATCH(G$1, _xlpm.joueurs, 0) + 1
    )
  ), ""
)</f>
        <v/>
      </c>
      <c r="H319" t="str" cm="1">
        <f t="array" ref="H319">IFERROR(
  _xlfn.LET(
    _xlpm.ligpartie, MATCH($B318, Donnees!$F:$F, 0),
    _xlpm.joueurs, INDEX(Donnees!$A:$Z, _xlpm.ligpartie+1, _xlfn.SEQUENCE(1, 4, 2)),
    INDEX(
      Donnees!$A:$Z,
      _xlpm.ligpartie + 3,
      MATCH(H$1, _xlpm.joueurs, 0) + 1
    )
  ), ""
)</f>
        <v/>
      </c>
      <c r="I319" t="str" cm="1">
        <f t="array" ref="I319">IFERROR(
  _xlfn.LET(
    _xlpm.ligpartie, MATCH($B318, Donnees!$F:$F, 0),
    _xlpm.joueurs, INDEX(Donnees!$A:$Z, _xlpm.ligpartie+1, _xlfn.SEQUENCE(1, 4, 2)),
    INDEX(
      Donnees!$A:$Z,
      _xlpm.ligpartie + 3,
      MATCH(I$1, _xlpm.joueurs, 0) + 1
    )
  ), ""
)</f>
        <v/>
      </c>
      <c r="J319" t="str" cm="1">
        <f t="array" ref="J319">IFERROR(
  _xlfn.LET(
    _xlpm.ligpartie, MATCH($B318, Donnees!$F:$F, 0),
    _xlpm.joueurs, INDEX(Donnees!$A:$Z, _xlpm.ligpartie+1, _xlfn.SEQUENCE(1, 4, 2)),
    INDEX(
      Donnees!$A:$Z,
      _xlpm.ligpartie + 3,
      MATCH(J$1, _xlpm.joueurs, 0) + 1
    )
  ), ""
)</f>
        <v/>
      </c>
      <c r="K319" t="str" cm="1">
        <f t="array" ref="K319">IFERROR(
  _xlfn.LET(
    _xlpm.ligpartie, MATCH($B318, Donnees!$F:$F, 0),
    _xlpm.joueurs, INDEX(Donnees!$A:$Z, _xlpm.ligpartie+1, _xlfn.SEQUENCE(1, 4, 2)),
    INDEX(
      Donnees!$A:$Z,
      _xlpm.ligpartie + 3,
      MATCH(K$1, _xlpm.joueurs, 0) + 1
    )
  ), ""
)</f>
        <v/>
      </c>
      <c r="L319" t="str" cm="1">
        <f t="array" ref="L319">IFERROR(
  _xlfn.LET(
    _xlpm.ligpartie, MATCH($B318, Donnees!$F:$F, 0),
    _xlpm.joueurs, INDEX(Donnees!$A:$Z, _xlpm.ligpartie+1, _xlfn.SEQUENCE(1, 4, 2)),
    INDEX(
      Donnees!$A:$Z,
      _xlpm.ligpartie + 3,
      MATCH(L$1, _xlpm.joueurs, 0) + 1
    )
  ), ""
)</f>
        <v/>
      </c>
      <c r="M319" t="str" cm="1">
        <f t="array" ref="M319">IFERROR(
  _xlfn.LET(
    _xlpm.ligpartie, MATCH($B318, Donnees!$F:$F, 0),
    _xlpm.joueurs, INDEX(Donnees!$A:$Z, _xlpm.ligpartie+1, _xlfn.SEQUENCE(1, 4, 2)),
    INDEX(
      Donnees!$A:$Z,
      _xlpm.ligpartie + 3,
      MATCH(M$1, _xlpm.joueurs, 0) + 1
    )
  ), ""
)</f>
        <v/>
      </c>
      <c r="N319" t="str" cm="1">
        <f t="array" ref="N319">IFERROR(
  _xlfn.LET(
    _xlpm.ligpartie, MATCH($B318, Donnees!$F:$F, 0),
    _xlpm.joueurs, INDEX(Donnees!$A:$Z, _xlpm.ligpartie+1, _xlfn.SEQUENCE(1, 4, 2)),
    INDEX(
      Donnees!$A:$Z,
      _xlpm.ligpartie + 3,
      MATCH(N$1, _xlpm.joueurs, 0) + 1
    )
  ), ""
)</f>
        <v/>
      </c>
      <c r="O319" t="str" cm="1">
        <f t="array" ref="O319">IFERROR(
  _xlfn.LET(
    _xlpm.ligpartie, MATCH($B318, Donnees!$F:$F, 0),
    _xlpm.joueurs, INDEX(Donnees!$A:$Z, _xlpm.ligpartie+1, _xlfn.SEQUENCE(1, 4, 2)),
    INDEX(
      Donnees!$A:$Z,
      _xlpm.ligpartie + 3,
      MATCH(O$1, _xlpm.joueurs, 0) + 1
    )
  ), ""
)</f>
        <v/>
      </c>
      <c r="P319" t="str" cm="1">
        <f t="array" ref="P319">IFERROR(
  _xlfn.LET(
    _xlpm.ligpartie, MATCH($B318, Donnees!$F:$F, 0),
    _xlpm.joueurs, INDEX(Donnees!$A:$Z, _xlpm.ligpartie+1, _xlfn.SEQUENCE(1, 4, 2)),
    INDEX(
      Donnees!$A:$Z,
      _xlpm.ligpartie + 3,
      MATCH(P$1, _xlpm.joueurs, 0) + 1
    )
  ), ""
)</f>
        <v/>
      </c>
      <c r="Q319" t="str" cm="1">
        <f t="array" ref="Q319">IFERROR(
  _xlfn.LET(
    _xlpm.ligpartie, MATCH($B318, Donnees!$F:$F, 0),
    _xlpm.joueurs, INDEX(Donnees!$A:$Z, _xlpm.ligpartie+1, _xlfn.SEQUENCE(1, 4, 2)),
    INDEX(
      Donnees!$A:$Z,
      _xlpm.ligpartie + 3,
      MATCH(Q$1, _xlpm.joueurs, 0) + 1
    )
  ), ""
)</f>
        <v/>
      </c>
      <c r="R319" cm="1">
        <f t="array" ref="R319">IFERROR(
  _xlfn.LET(
    _xlpm.ligpartie, MATCH($B318, Donnees!$F:$F, 0),
    _xlpm.joueurs, INDEX(Donnees!$A:$Z, _xlpm.ligpartie+1, _xlfn.SEQUENCE(1, 4, 2)),
    INDEX(
      Donnees!$A:$Z,
      _xlpm.ligpartie + 3,
      MATCH(R$1, _xlpm.joueurs, 0) + 1
    )
  ), ""
)</f>
        <v>3</v>
      </c>
      <c r="S319" cm="1">
        <f t="array" ref="S319">IFERROR(
  _xlfn.LET(
    _xlpm.ligpartie, MATCH($B318, Donnees!$F:$F, 0),
    _xlpm.joueurs, INDEX(Donnees!$A:$Z, _xlpm.ligpartie+1, _xlfn.SEQUENCE(1, 4, 2)),
    INDEX(
      Donnees!$A:$Z,
      _xlpm.ligpartie + 3,
      MATCH(S$1, _xlpm.joueurs, 0) + 1
    )
  ), ""
)</f>
        <v>1</v>
      </c>
      <c r="T319" t="str" cm="1">
        <f t="array" ref="T319">IFERROR(
  _xlfn.LET(
    _xlpm.ligpartie, MATCH($B318, Donnees!$F:$F, 0),
    _xlpm.joueurs, INDEX(Donnees!$A:$Z, _xlpm.ligpartie+1, _xlfn.SEQUENCE(1, 4, 2)),
    INDEX(
      Donnees!$A:$Z,
      _xlpm.ligpartie + 3,
      MATCH(T$1, _xlpm.joueurs, 0) + 1
    )
  ), ""
)</f>
        <v/>
      </c>
      <c r="U319" t="str" cm="1">
        <f t="array" ref="U319">IFERROR(
  _xlfn.LET(
    _xlpm.ligpartie, MATCH($B318, Donnees!$F:$F, 0),
    _xlpm.joueurs, INDEX(Donnees!$A:$Z, _xlpm.ligpartie+1, _xlfn.SEQUENCE(1, 4, 2)),
    INDEX(
      Donnees!$A:$Z,
      _xlpm.ligpartie + 3,
      MATCH(U$1, _xlpm.joueurs, 0) + 1
    )
  ), ""
)</f>
        <v/>
      </c>
      <c r="V319" cm="1">
        <f t="array" ref="V319">IFERROR(
  _xlfn.LET(
    _xlpm.ligpartie, MATCH($B318, Donnees!$F:$F, 0),
    _xlpm.joueurs, INDEX(Donnees!$A:$Z, _xlpm.ligpartie+1, _xlfn.SEQUENCE(1, 4, 2)),
    INDEX(
      Donnees!$A:$Z,
      _xlpm.ligpartie + 3,
      MATCH(V$1, _xlpm.joueurs, 0) + 1
    )
  ), ""
)</f>
        <v>2</v>
      </c>
      <c r="W319" t="str" cm="1">
        <f t="array" ref="W319">IFERROR(
  _xlfn.LET(
    _xlpm.ligpartie, MATCH($B318, Donnees!$F:$F, 0),
    _xlpm.joueurs, INDEX(Donnees!$A:$Z, _xlpm.ligpartie+1, _xlfn.SEQUENCE(1, 4, 2)),
    INDEX(
      Donnees!$A:$Z,
      _xlpm.ligpartie + 3,
      MATCH(W$1, _xlpm.joueurs, 0) + 1
    )
  ), ""
)</f>
        <v/>
      </c>
      <c r="X319" t="str" cm="1">
        <f t="array" ref="X319">IFERROR(
  _xlfn.LET(
    _xlpm.ligpartie, MATCH($B318, Donnees!$F:$F, 0),
    _xlpm.joueurs, INDEX(Donnees!$A:$Z, _xlpm.ligpartie+1, _xlfn.SEQUENCE(1, 4, 2)),
    INDEX(
      Donnees!$A:$Z,
      _xlpm.ligpartie + 3,
      MATCH(X$1, _xlpm.joueurs, 0) + 1
    )
  ), ""
)</f>
        <v/>
      </c>
      <c r="Y319" t="str" cm="1">
        <f t="array" ref="Y319">IFERROR(
  _xlfn.LET(
    _xlpm.ligpartie, MATCH($B318, Donnees!$F:$F, 0),
    _xlpm.joueurs, INDEX(Donnees!$A:$Z, _xlpm.ligpartie+1, _xlfn.SEQUENCE(1, 4, 2)),
    INDEX(
      Donnees!$A:$Z,
      _xlpm.ligpartie + 3,
      MATCH(Y$1, _xlpm.joueurs, 0) + 1
    )
  ), ""
)</f>
        <v/>
      </c>
      <c r="Z319" t="str" cm="1">
        <f t="array" ref="Z319">IFERROR(
  _xlfn.LET(
    _xlpm.ligpartie, MATCH($B318, Donnees!$F:$F, 0),
    _xlpm.joueurs, INDEX(Donnees!$A:$Z, _xlpm.ligpartie+1, _xlfn.SEQUENCE(1, 4, 2)),
    INDEX(
      Donnees!$A:$Z,
      _xlpm.ligpartie + 3,
      MATCH(Z$1, _xlpm.joueurs, 0) + 1
    )
  ), ""
)</f>
        <v/>
      </c>
      <c r="AA319" t="str" cm="1">
        <f t="array" ref="AA319">IFERROR(
  _xlfn.LET(
    _xlpm.ligpartie, MATCH($B318, Donnees!$F:$F, 0),
    _xlpm.joueurs, INDEX(Donnees!$A:$Z, _xlpm.ligpartie+1, _xlfn.SEQUENCE(1, 4, 2)),
    INDEX(
      Donnees!$A:$Z,
      _xlpm.ligpartie + 3,
      MATCH(AA$1, _xlpm.joueurs, 0) + 1
    )
  ), ""
)</f>
        <v/>
      </c>
      <c r="AB319" t="str" cm="1">
        <f t="array" ref="AB319">IFERROR(
  _xlfn.LET(
    _xlpm.ligpartie, MATCH($B318, Donnees!$F:$F, 0),
    _xlpm.joueurs, INDEX(Donnees!$A:$Z, _xlpm.ligpartie+1, _xlfn.SEQUENCE(1, 4, 2)),
    INDEX(
      Donnees!$A:$Z,
      _xlpm.ligpartie + 3,
      MATCH(AB$1, _xlpm.joueurs, 0) + 1
    )
  ), ""
)</f>
        <v/>
      </c>
      <c r="AC319" t="str" cm="1">
        <f t="array" ref="AC319">IFERROR(
  _xlfn.LET(
    _xlpm.ligpartie, MATCH($B318, Donnees!$F:$F, 0),
    _xlpm.joueurs, INDEX(Donnees!$A:$Z, _xlpm.ligpartie+1, _xlfn.SEQUENCE(1, 4, 2)),
    INDEX(
      Donnees!$A:$Z,
      _xlpm.ligpartie + 3,
      MATCH(AC$1, _xlpm.joueurs, 0) + 1
    )
  ), ""
)</f>
        <v/>
      </c>
      <c r="AD319" t="str" cm="1">
        <f t="array" ref="AD319">IFERROR(
  _xlfn.LET(
    _xlpm.ligpartie, MATCH($B318, Donnees!$F:$F, 0),
    _xlpm.joueurs, INDEX(Donnees!$A:$Z, _xlpm.ligpartie+1, _xlfn.SEQUENCE(1, 4, 2)),
    INDEX(
      Donnees!$A:$Z,
      _xlpm.ligpartie + 3,
      MATCH(AD$1, _xlpm.joueurs, 0) + 1
    )
  ), ""
)</f>
        <v/>
      </c>
      <c r="AE319" t="str" cm="1">
        <f t="array" ref="AE319">IFERROR(
  _xlfn.LET(
    _xlpm.ligpartie, MATCH($B318, Donnees!$F:$F, 0),
    _xlpm.joueurs, INDEX(Donnees!$A:$Z, _xlpm.ligpartie+1, _xlfn.SEQUENCE(1, 4, 2)),
    INDEX(
      Donnees!$A:$Z,
      _xlpm.ligpartie + 3,
      MATCH(AE$1, _xlpm.joueurs, 0) + 1
    )
  ), ""
)</f>
        <v/>
      </c>
      <c r="AF319" t="str" cm="1">
        <f t="array" ref="AF319">IFERROR(
  _xlfn.LET(
    _xlpm.ligpartie, MATCH($B318, Donnees!$F:$F, 0),
    _xlpm.joueurs, INDEX(Donnees!$A:$Z, _xlpm.ligpartie+1, _xlfn.SEQUENCE(1, 4, 2)),
    INDEX(
      Donnees!$A:$Z,
      _xlpm.ligpartie + 3,
      MATCH(AF$1, _xlpm.joueurs, 0) + 1
    )
  ), ""
)</f>
        <v/>
      </c>
      <c r="AG319" t="str" cm="1">
        <f t="array" ref="AG319">IFERROR(
  _xlfn.LET(
    _xlpm.ligpartie, MATCH($B318, Donnees!$F:$F, 0),
    _xlpm.joueurs, INDEX(Donnees!$A:$Z, _xlpm.ligpartie+1, _xlfn.SEQUENCE(1, 4, 2)),
    INDEX(
      Donnees!$A:$Z,
      _xlpm.ligpartie + 3,
      MATCH(AG$1, _xlpm.joueurs, 0) + 1
    )
  ), ""
)</f>
        <v/>
      </c>
      <c r="AH319" t="str" cm="1">
        <f t="array" ref="AH319">IFERROR(
  _xlfn.LET(
    _xlpm.ligpartie, MATCH($B318, Donnees!$F:$F, 0),
    _xlpm.joueurs, INDEX(Donnees!$A:$Z, _xlpm.ligpartie+1, _xlfn.SEQUENCE(1, 4, 2)),
    INDEX(
      Donnees!$A:$Z,
      _xlpm.ligpartie + 3,
      MATCH(AH$1, _xlpm.joueurs, 0) + 1
    )
  ), ""
)</f>
        <v/>
      </c>
      <c r="AI319" t="str" cm="1">
        <f t="array" ref="AI319">IFERROR(
  _xlfn.LET(
    _xlpm.ligpartie, MATCH($B318, Donnees!$F:$F, 0),
    _xlpm.joueurs, INDEX(Donnees!$A:$Z, _xlpm.ligpartie+1, _xlfn.SEQUENCE(1, 4, 2)),
    INDEX(
      Donnees!$A:$Z,
      _xlpm.ligpartie + 3,
      MATCH(AI$1, _xlpm.joueurs, 0) + 1
    )
  ), ""
)</f>
        <v/>
      </c>
      <c r="AJ319" t="str" cm="1">
        <f t="array" ref="AJ319">IFERROR(
  _xlfn.LET(
    _xlpm.ligpartie, MATCH($B318, Donnees!$F:$F, 0),
    _xlpm.joueurs, INDEX(Donnees!$A:$Z, _xlpm.ligpartie+1, _xlfn.SEQUENCE(1, 4, 2)),
    INDEX(
      Donnees!$A:$Z,
      _xlpm.ligpartie + 3,
      MATCH(AJ$1, _xlpm.joueurs, 0) + 1
    )
  ), ""
)</f>
        <v/>
      </c>
      <c r="AK319" t="str" cm="1">
        <f t="array" ref="AK319">IFERROR(
  _xlfn.LET(
    _xlpm.ligpartie, MATCH($B318, Donnees!$F:$F, 0),
    _xlpm.joueurs, INDEX(Donnees!$A:$Z, _xlpm.ligpartie+1, _xlfn.SEQUENCE(1, 4, 2)),
    INDEX(
      Donnees!$A:$Z,
      _xlpm.ligpartie + 3,
      MATCH(AK$1, _xlpm.joueurs, 0) + 1
    )
  ), ""
)</f>
        <v/>
      </c>
      <c r="AL319" t="str" cm="1">
        <f t="array" ref="AL319">IFERROR(
  _xlfn.LET(
    _xlpm.ligpartie, MATCH($B318, Donnees!$F:$F, 0),
    _xlpm.joueurs, INDEX(Donnees!$A:$Z, _xlpm.ligpartie+1, _xlfn.SEQUENCE(1, 4, 2)),
    INDEX(
      Donnees!$A:$Z,
      _xlpm.ligpartie + 3,
      MATCH(AL$1, _xlpm.joueurs, 0) + 1
    )
  ), ""
)</f>
        <v/>
      </c>
      <c r="AM319" cm="1">
        <f t="array" ref="AM319">IFERROR(
  _xlfn.LET(
    _xlpm.ligpartie, MATCH($B318, Donnees!$F:$F, 0),
    _xlpm.joueurs, INDEX(Donnees!$A:$Z, _xlpm.ligpartie+1, _xlfn.SEQUENCE(1, 4, 2)),
    INDEX(
      Donnees!$A:$Z,
      _xlpm.ligpartie + 3,
      MATCH(AM$1, _xlpm.joueurs, 0) + 1
    )
  ), ""
)</f>
        <v>0</v>
      </c>
    </row>
    <row r="320" spans="1:39" x14ac:dyDescent="0.25">
      <c r="A320" t="s">
        <v>20</v>
      </c>
      <c r="D320" t="str" cm="1">
        <f t="array" ref="D320">_xlfn.LET(
  _xlpm.colj, _xlfn._xlws.FILTER(IF(ISNUMBER(319:319), COLUMN(319:319)), ISNUMBER(319:319)),
  _xlpm.elos, INDEX(318:318,1,_xlpm.colj),
  _xlpm.diffscale, Constantes!$B$2,
  IF(D319="",
    "",
    SUM(1/(1+POWER(10,-(D318-_xlpm.elos)/_xlpm.diffscale)))-0.5)
)</f>
        <v/>
      </c>
      <c r="E320" t="str" cm="1">
        <f t="array" ref="E320">_xlfn.LET(
  _xlpm.colj, _xlfn._xlws.FILTER(IF(ISNUMBER(319:319), COLUMN(319:319)), ISNUMBER(319:319)),
  _xlpm.elos, INDEX(318:318,1,_xlpm.colj),
  _xlpm.diffscale, Constantes!$B$2,
  IF(E319="",
    "",
    SUM(1/(1+POWER(10,-(E318-_xlpm.elos)/_xlpm.diffscale)))-0.5)
)</f>
        <v/>
      </c>
      <c r="F320" t="str" cm="1">
        <f t="array" ref="F320">_xlfn.LET(
  _xlpm.colj, _xlfn._xlws.FILTER(IF(ISNUMBER(319:319), COLUMN(319:319)), ISNUMBER(319:319)),
  _xlpm.elos, INDEX(318:318,1,_xlpm.colj),
  _xlpm.diffscale, Constantes!$B$2,
  IF(F319="",
    "",
    SUM(1/(1+POWER(10,-(F318-_xlpm.elos)/_xlpm.diffscale)))-0.5)
)</f>
        <v/>
      </c>
      <c r="G320" t="str" cm="1">
        <f t="array" ref="G320">_xlfn.LET(
  _xlpm.colj, _xlfn._xlws.FILTER(IF(ISNUMBER(319:319), COLUMN(319:319)), ISNUMBER(319:319)),
  _xlpm.elos, INDEX(318:318,1,_xlpm.colj),
  _xlpm.diffscale, Constantes!$B$2,
  IF(G319="",
    "",
    SUM(1/(1+POWER(10,-(G318-_xlpm.elos)/_xlpm.diffscale)))-0.5)
)</f>
        <v/>
      </c>
      <c r="H320" t="str" cm="1">
        <f t="array" ref="H320">_xlfn.LET(
  _xlpm.colj, _xlfn._xlws.FILTER(IF(ISNUMBER(319:319), COLUMN(319:319)), ISNUMBER(319:319)),
  _xlpm.elos, INDEX(318:318,1,_xlpm.colj),
  _xlpm.diffscale, Constantes!$B$2,
  IF(H319="",
    "",
    SUM(1/(1+POWER(10,-(H318-_xlpm.elos)/_xlpm.diffscale)))-0.5)
)</f>
        <v/>
      </c>
      <c r="I320" t="str" cm="1">
        <f t="array" ref="I320">_xlfn.LET(
  _xlpm.colj, _xlfn._xlws.FILTER(IF(ISNUMBER(319:319), COLUMN(319:319)), ISNUMBER(319:319)),
  _xlpm.elos, INDEX(318:318,1,_xlpm.colj),
  _xlpm.diffscale, Constantes!$B$2,
  IF(I319="",
    "",
    SUM(1/(1+POWER(10,-(I318-_xlpm.elos)/_xlpm.diffscale)))-0.5)
)</f>
        <v/>
      </c>
      <c r="J320" t="str" cm="1">
        <f t="array" ref="J320">_xlfn.LET(
  _xlpm.colj, _xlfn._xlws.FILTER(IF(ISNUMBER(319:319), COLUMN(319:319)), ISNUMBER(319:319)),
  _xlpm.elos, INDEX(318:318,1,_xlpm.colj),
  _xlpm.diffscale, Constantes!$B$2,
  IF(J319="",
    "",
    SUM(1/(1+POWER(10,-(J318-_xlpm.elos)/_xlpm.diffscale)))-0.5)
)</f>
        <v/>
      </c>
      <c r="K320" t="str" cm="1">
        <f t="array" ref="K320">_xlfn.LET(
  _xlpm.colj, _xlfn._xlws.FILTER(IF(ISNUMBER(319:319), COLUMN(319:319)), ISNUMBER(319:319)),
  _xlpm.elos, INDEX(318:318,1,_xlpm.colj),
  _xlpm.diffscale, Constantes!$B$2,
  IF(K319="",
    "",
    SUM(1/(1+POWER(10,-(K318-_xlpm.elos)/_xlpm.diffscale)))-0.5)
)</f>
        <v/>
      </c>
      <c r="L320" t="str" cm="1">
        <f t="array" ref="L320">_xlfn.LET(
  _xlpm.colj, _xlfn._xlws.FILTER(IF(ISNUMBER(319:319), COLUMN(319:319)), ISNUMBER(319:319)),
  _xlpm.elos, INDEX(318:318,1,_xlpm.colj),
  _xlpm.diffscale, Constantes!$B$2,
  IF(L319="",
    "",
    SUM(1/(1+POWER(10,-(L318-_xlpm.elos)/_xlpm.diffscale)))-0.5)
)</f>
        <v/>
      </c>
      <c r="M320" t="str" cm="1">
        <f t="array" ref="M320">_xlfn.LET(
  _xlpm.colj, _xlfn._xlws.FILTER(IF(ISNUMBER(319:319), COLUMN(319:319)), ISNUMBER(319:319)),
  _xlpm.elos, INDEX(318:318,1,_xlpm.colj),
  _xlpm.diffscale, Constantes!$B$2,
  IF(M319="",
    "",
    SUM(1/(1+POWER(10,-(M318-_xlpm.elos)/_xlpm.diffscale)))-0.5)
)</f>
        <v/>
      </c>
      <c r="N320" t="str" cm="1">
        <f t="array" ref="N320">_xlfn.LET(
  _xlpm.colj, _xlfn._xlws.FILTER(IF(ISNUMBER(319:319), COLUMN(319:319)), ISNUMBER(319:319)),
  _xlpm.elos, INDEX(318:318,1,_xlpm.colj),
  _xlpm.diffscale, Constantes!$B$2,
  IF(N319="",
    "",
    SUM(1/(1+POWER(10,-(N318-_xlpm.elos)/_xlpm.diffscale)))-0.5)
)</f>
        <v/>
      </c>
      <c r="O320" t="str" cm="1">
        <f t="array" ref="O320">_xlfn.LET(
  _xlpm.colj, _xlfn._xlws.FILTER(IF(ISNUMBER(319:319), COLUMN(319:319)), ISNUMBER(319:319)),
  _xlpm.elos, INDEX(318:318,1,_xlpm.colj),
  _xlpm.diffscale, Constantes!$B$2,
  IF(O319="",
    "",
    SUM(1/(1+POWER(10,-(O318-_xlpm.elos)/_xlpm.diffscale)))-0.5)
)</f>
        <v/>
      </c>
      <c r="P320" t="str" cm="1">
        <f t="array" ref="P320">_xlfn.LET(
  _xlpm.colj, _xlfn._xlws.FILTER(IF(ISNUMBER(319:319), COLUMN(319:319)), ISNUMBER(319:319)),
  _xlpm.elos, INDEX(318:318,1,_xlpm.colj),
  _xlpm.diffscale, Constantes!$B$2,
  IF(P319="",
    "",
    SUM(1/(1+POWER(10,-(P318-_xlpm.elos)/_xlpm.diffscale)))-0.5)
)</f>
        <v/>
      </c>
      <c r="Q320" t="str" cm="1">
        <f t="array" ref="Q320">_xlfn.LET(
  _xlpm.colj, _xlfn._xlws.FILTER(IF(ISNUMBER(319:319), COLUMN(319:319)), ISNUMBER(319:319)),
  _xlpm.elos, INDEX(318:318,1,_xlpm.colj),
  _xlpm.diffscale, Constantes!$B$2,
  IF(Q319="",
    "",
    SUM(1/(1+POWER(10,-(Q318-_xlpm.elos)/_xlpm.diffscale)))-0.5)
)</f>
        <v/>
      </c>
      <c r="R320" cm="1">
        <f t="array" ref="R320">_xlfn.LET(
  _xlpm.colj, _xlfn._xlws.FILTER(IF(ISNUMBER(319:319), COLUMN(319:319)), ISNUMBER(319:319)),
  _xlpm.elos, INDEX(318:318,1,_xlpm.colj),
  _xlpm.diffscale, Constantes!$B$2,
  IF(R319="",
    "",
    SUM(1/(1+POWER(10,-(R318-_xlpm.elos)/_xlpm.diffscale)))-0.5)
)</f>
        <v>1.8959864383678675</v>
      </c>
      <c r="S320" cm="1">
        <f t="array" ref="S320">_xlfn.LET(
  _xlpm.colj, _xlfn._xlws.FILTER(IF(ISNUMBER(319:319), COLUMN(319:319)), ISNUMBER(319:319)),
  _xlpm.elos, INDEX(318:318,1,_xlpm.colj),
  _xlpm.diffscale, Constantes!$B$2,
  IF(S319="",
    "",
    SUM(1/(1+POWER(10,-(S318-_xlpm.elos)/_xlpm.diffscale)))-0.5)
)</f>
        <v>1.2717347619039721</v>
      </c>
      <c r="T320" t="str" cm="1">
        <f t="array" ref="T320">_xlfn.LET(
  _xlpm.colj, _xlfn._xlws.FILTER(IF(ISNUMBER(319:319), COLUMN(319:319)), ISNUMBER(319:319)),
  _xlpm.elos, INDEX(318:318,1,_xlpm.colj),
  _xlpm.diffscale, Constantes!$B$2,
  IF(T319="",
    "",
    SUM(1/(1+POWER(10,-(T318-_xlpm.elos)/_xlpm.diffscale)))-0.5)
)</f>
        <v/>
      </c>
      <c r="U320" t="str" cm="1">
        <f t="array" ref="U320">_xlfn.LET(
  _xlpm.colj, _xlfn._xlws.FILTER(IF(ISNUMBER(319:319), COLUMN(319:319)), ISNUMBER(319:319)),
  _xlpm.elos, INDEX(318:318,1,_xlpm.colj),
  _xlpm.diffscale, Constantes!$B$2,
  IF(U319="",
    "",
    SUM(1/(1+POWER(10,-(U318-_xlpm.elos)/_xlpm.diffscale)))-0.5)
)</f>
        <v/>
      </c>
      <c r="V320" cm="1">
        <f t="array" ref="V320">_xlfn.LET(
  _xlpm.colj, _xlfn._xlws.FILTER(IF(ISNUMBER(319:319), COLUMN(319:319)), ISNUMBER(319:319)),
  _xlpm.elos, INDEX(318:318,1,_xlpm.colj),
  _xlpm.diffscale, Constantes!$B$2,
  IF(V319="",
    "",
    SUM(1/(1+POWER(10,-(V318-_xlpm.elos)/_xlpm.diffscale)))-0.5)
)</f>
        <v>1.2785881687739495</v>
      </c>
      <c r="W320" t="str" cm="1">
        <f t="array" ref="W320">_xlfn.LET(
  _xlpm.colj, _xlfn._xlws.FILTER(IF(ISNUMBER(319:319), COLUMN(319:319)), ISNUMBER(319:319)),
  _xlpm.elos, INDEX(318:318,1,_xlpm.colj),
  _xlpm.diffscale, Constantes!$B$2,
  IF(W319="",
    "",
    SUM(1/(1+POWER(10,-(W318-_xlpm.elos)/_xlpm.diffscale)))-0.5)
)</f>
        <v/>
      </c>
      <c r="X320" t="str" cm="1">
        <f t="array" ref="X320">_xlfn.LET(
  _xlpm.colj, _xlfn._xlws.FILTER(IF(ISNUMBER(319:319), COLUMN(319:319)), ISNUMBER(319:319)),
  _xlpm.elos, INDEX(318:318,1,_xlpm.colj),
  _xlpm.diffscale, Constantes!$B$2,
  IF(X319="",
    "",
    SUM(1/(1+POWER(10,-(X318-_xlpm.elos)/_xlpm.diffscale)))-0.5)
)</f>
        <v/>
      </c>
      <c r="Y320" t="str" cm="1">
        <f t="array" ref="Y320">_xlfn.LET(
  _xlpm.colj, _xlfn._xlws.FILTER(IF(ISNUMBER(319:319), COLUMN(319:319)), ISNUMBER(319:319)),
  _xlpm.elos, INDEX(318:318,1,_xlpm.colj),
  _xlpm.diffscale, Constantes!$B$2,
  IF(Y319="",
    "",
    SUM(1/(1+POWER(10,-(Y318-_xlpm.elos)/_xlpm.diffscale)))-0.5)
)</f>
        <v/>
      </c>
      <c r="Z320" t="str" cm="1">
        <f t="array" ref="Z320">_xlfn.LET(
  _xlpm.colj, _xlfn._xlws.FILTER(IF(ISNUMBER(319:319), COLUMN(319:319)), ISNUMBER(319:319)),
  _xlpm.elos, INDEX(318:318,1,_xlpm.colj),
  _xlpm.diffscale, Constantes!$B$2,
  IF(Z319="",
    "",
    SUM(1/(1+POWER(10,-(Z318-_xlpm.elos)/_xlpm.diffscale)))-0.5)
)</f>
        <v/>
      </c>
      <c r="AA320" t="str" cm="1">
        <f t="array" ref="AA320">_xlfn.LET(
  _xlpm.colj, _xlfn._xlws.FILTER(IF(ISNUMBER(319:319), COLUMN(319:319)), ISNUMBER(319:319)),
  _xlpm.elos, INDEX(318:318,1,_xlpm.colj),
  _xlpm.diffscale, Constantes!$B$2,
  IF(AA319="",
    "",
    SUM(1/(1+POWER(10,-(AA318-_xlpm.elos)/_xlpm.diffscale)))-0.5)
)</f>
        <v/>
      </c>
      <c r="AB320" t="str" cm="1">
        <f t="array" ref="AB320">_xlfn.LET(
  _xlpm.colj, _xlfn._xlws.FILTER(IF(ISNUMBER(319:319), COLUMN(319:319)), ISNUMBER(319:319)),
  _xlpm.elos, INDEX(318:318,1,_xlpm.colj),
  _xlpm.diffscale, Constantes!$B$2,
  IF(AB319="",
    "",
    SUM(1/(1+POWER(10,-(AB318-_xlpm.elos)/_xlpm.diffscale)))-0.5)
)</f>
        <v/>
      </c>
      <c r="AC320" t="str" cm="1">
        <f t="array" ref="AC320">_xlfn.LET(
  _xlpm.colj, _xlfn._xlws.FILTER(IF(ISNUMBER(319:319), COLUMN(319:319)), ISNUMBER(319:319)),
  _xlpm.elos, INDEX(318:318,1,_xlpm.colj),
  _xlpm.diffscale, Constantes!$B$2,
  IF(AC319="",
    "",
    SUM(1/(1+POWER(10,-(AC318-_xlpm.elos)/_xlpm.diffscale)))-0.5)
)</f>
        <v/>
      </c>
      <c r="AD320" t="str" cm="1">
        <f t="array" ref="AD320">_xlfn.LET(
  _xlpm.colj, _xlfn._xlws.FILTER(IF(ISNUMBER(319:319), COLUMN(319:319)), ISNUMBER(319:319)),
  _xlpm.elos, INDEX(318:318,1,_xlpm.colj),
  _xlpm.diffscale, Constantes!$B$2,
  IF(AD319="",
    "",
    SUM(1/(1+POWER(10,-(AD318-_xlpm.elos)/_xlpm.diffscale)))-0.5)
)</f>
        <v/>
      </c>
      <c r="AE320" t="str" cm="1">
        <f t="array" ref="AE320">_xlfn.LET(
  _xlpm.colj, _xlfn._xlws.FILTER(IF(ISNUMBER(319:319), COLUMN(319:319)), ISNUMBER(319:319)),
  _xlpm.elos, INDEX(318:318,1,_xlpm.colj),
  _xlpm.diffscale, Constantes!$B$2,
  IF(AE319="",
    "",
    SUM(1/(1+POWER(10,-(AE318-_xlpm.elos)/_xlpm.diffscale)))-0.5)
)</f>
        <v/>
      </c>
      <c r="AF320" t="str" cm="1">
        <f t="array" ref="AF320">_xlfn.LET(
  _xlpm.colj, _xlfn._xlws.FILTER(IF(ISNUMBER(319:319), COLUMN(319:319)), ISNUMBER(319:319)),
  _xlpm.elos, INDEX(318:318,1,_xlpm.colj),
  _xlpm.diffscale, Constantes!$B$2,
  IF(AF319="",
    "",
    SUM(1/(1+POWER(10,-(AF318-_xlpm.elos)/_xlpm.diffscale)))-0.5)
)</f>
        <v/>
      </c>
      <c r="AG320" t="str" cm="1">
        <f t="array" ref="AG320">_xlfn.LET(
  _xlpm.colj, _xlfn._xlws.FILTER(IF(ISNUMBER(319:319), COLUMN(319:319)), ISNUMBER(319:319)),
  _xlpm.elos, INDEX(318:318,1,_xlpm.colj),
  _xlpm.diffscale, Constantes!$B$2,
  IF(AG319="",
    "",
    SUM(1/(1+POWER(10,-(AG318-_xlpm.elos)/_xlpm.diffscale)))-0.5)
)</f>
        <v/>
      </c>
      <c r="AH320" t="str" cm="1">
        <f t="array" ref="AH320">_xlfn.LET(
  _xlpm.colj, _xlfn._xlws.FILTER(IF(ISNUMBER(319:319), COLUMN(319:319)), ISNUMBER(319:319)),
  _xlpm.elos, INDEX(318:318,1,_xlpm.colj),
  _xlpm.diffscale, Constantes!$B$2,
  IF(AH319="",
    "",
    SUM(1/(1+POWER(10,-(AH318-_xlpm.elos)/_xlpm.diffscale)))-0.5)
)</f>
        <v/>
      </c>
      <c r="AI320" t="str" cm="1">
        <f t="array" ref="AI320">_xlfn.LET(
  _xlpm.colj, _xlfn._xlws.FILTER(IF(ISNUMBER(319:319), COLUMN(319:319)), ISNUMBER(319:319)),
  _xlpm.elos, INDEX(318:318,1,_xlpm.colj),
  _xlpm.diffscale, Constantes!$B$2,
  IF(AI319="",
    "",
    SUM(1/(1+POWER(10,-(AI318-_xlpm.elos)/_xlpm.diffscale)))-0.5)
)</f>
        <v/>
      </c>
      <c r="AJ320" t="str" cm="1">
        <f t="array" ref="AJ320">_xlfn.LET(
  _xlpm.colj, _xlfn._xlws.FILTER(IF(ISNUMBER(319:319), COLUMN(319:319)), ISNUMBER(319:319)),
  _xlpm.elos, INDEX(318:318,1,_xlpm.colj),
  _xlpm.diffscale, Constantes!$B$2,
  IF(AJ319="",
    "",
    SUM(1/(1+POWER(10,-(AJ318-_xlpm.elos)/_xlpm.diffscale)))-0.5)
)</f>
        <v/>
      </c>
      <c r="AK320" t="str" cm="1">
        <f t="array" ref="AK320">_xlfn.LET(
  _xlpm.colj, _xlfn._xlws.FILTER(IF(ISNUMBER(319:319), COLUMN(319:319)), ISNUMBER(319:319)),
  _xlpm.elos, INDEX(318:318,1,_xlpm.colj),
  _xlpm.diffscale, Constantes!$B$2,
  IF(AK319="",
    "",
    SUM(1/(1+POWER(10,-(AK318-_xlpm.elos)/_xlpm.diffscale)))-0.5)
)</f>
        <v/>
      </c>
      <c r="AL320" t="str" cm="1">
        <f t="array" ref="AL320">_xlfn.LET(
  _xlpm.colj, _xlfn._xlws.FILTER(IF(ISNUMBER(319:319), COLUMN(319:319)), ISNUMBER(319:319)),
  _xlpm.elos, INDEX(318:318,1,_xlpm.colj),
  _xlpm.diffscale, Constantes!$B$2,
  IF(AL319="",
    "",
    SUM(1/(1+POWER(10,-(AL318-_xlpm.elos)/_xlpm.diffscale)))-0.5)
)</f>
        <v/>
      </c>
      <c r="AM320" cm="1">
        <f t="array" ref="AM320">_xlfn.LET(
  _xlpm.colj, _xlfn._xlws.FILTER(IF(ISNUMBER(319:319), COLUMN(319:319)), ISNUMBER(319:319)),
  _xlpm.elos, INDEX(318:318,1,_xlpm.colj),
  _xlpm.diffscale, Constantes!$B$2,
  IF(AM319="",
    "",
    SUM(1/(1+POWER(10,-(AM318-_xlpm.elos)/_xlpm.diffscale)))-0.5)
)</f>
        <v>1.5536906309542111</v>
      </c>
    </row>
    <row r="321" spans="1:39" x14ac:dyDescent="0.25">
      <c r="A321" t="s">
        <v>22</v>
      </c>
      <c r="D321" t="str" cm="1">
        <f t="array" ref="D321">_xlfn.LET(
  _xlpm.K, Constantes!$B$3,
  _xlpm.Knewgain, Constantes!$B$4,
  _xlpm.Knewscale, Constantes!$B$5,
  _xlpm.ptstables, INDEX(D:D, _xlfn.SEQUENCE(COUNTA($C$2:$C321), 1, 3, 4)),
  _xlpm.nbparties, COUNTA(_xlfn._xlws.FILTER(_xlpm.ptstables, _xlpm.ptstables &lt;&gt; "")),
  _xlpm.coef, _xlpm.K + _xlpm.Knewgain / (_xlpm.Knewscale + _xlpm.nbparties),
  IF(D319="",
    "",
    _xlpm.coef * (D319-D320))
)</f>
        <v/>
      </c>
      <c r="E321" t="str" cm="1">
        <f t="array" ref="E321">_xlfn.LET(
  _xlpm.K, Constantes!$B$3,
  _xlpm.Knewgain, Constantes!$B$4,
  _xlpm.Knewscale, Constantes!$B$5,
  _xlpm.ptstables, INDEX(E:E, _xlfn.SEQUENCE(COUNTA($C$2:$C321), 1, 3, 4)),
  _xlpm.nbparties, COUNTA(_xlfn._xlws.FILTER(_xlpm.ptstables, _xlpm.ptstables &lt;&gt; "")),
  _xlpm.coef, _xlpm.K + _xlpm.Knewgain / (_xlpm.Knewscale + _xlpm.nbparties),
  IF(E319="",
    "",
    _xlpm.coef * (E319-E320))
)</f>
        <v/>
      </c>
      <c r="F321" t="str" cm="1">
        <f t="array" ref="F321">_xlfn.LET(
  _xlpm.K, Constantes!$B$3,
  _xlpm.Knewgain, Constantes!$B$4,
  _xlpm.Knewscale, Constantes!$B$5,
  _xlpm.ptstables, INDEX(F:F, _xlfn.SEQUENCE(COUNTA($C$2:$C321), 1, 3, 4)),
  _xlpm.nbparties, COUNTA(_xlfn._xlws.FILTER(_xlpm.ptstables, _xlpm.ptstables &lt;&gt; "")),
  _xlpm.coef, _xlpm.K + _xlpm.Knewgain / (_xlpm.Knewscale + _xlpm.nbparties),
  IF(F319="",
    "",
    _xlpm.coef * (F319-F320))
)</f>
        <v/>
      </c>
      <c r="G321" t="str" cm="1">
        <f t="array" ref="G321">_xlfn.LET(
  _xlpm.K, Constantes!$B$3,
  _xlpm.Knewgain, Constantes!$B$4,
  _xlpm.Knewscale, Constantes!$B$5,
  _xlpm.ptstables, INDEX(G:G, _xlfn.SEQUENCE(COUNTA($C$2:$C321), 1, 3, 4)),
  _xlpm.nbparties, COUNTA(_xlfn._xlws.FILTER(_xlpm.ptstables, _xlpm.ptstables &lt;&gt; "")),
  _xlpm.coef, _xlpm.K + _xlpm.Knewgain / (_xlpm.Knewscale + _xlpm.nbparties),
  IF(G319="",
    "",
    _xlpm.coef * (G319-G320))
)</f>
        <v/>
      </c>
      <c r="H321" t="str" cm="1">
        <f t="array" ref="H321">_xlfn.LET(
  _xlpm.K, Constantes!$B$3,
  _xlpm.Knewgain, Constantes!$B$4,
  _xlpm.Knewscale, Constantes!$B$5,
  _xlpm.ptstables, INDEX(H:H, _xlfn.SEQUENCE(COUNTA($C$2:$C321), 1, 3, 4)),
  _xlpm.nbparties, COUNTA(_xlfn._xlws.FILTER(_xlpm.ptstables, _xlpm.ptstables &lt;&gt; "")),
  _xlpm.coef, _xlpm.K + _xlpm.Knewgain / (_xlpm.Knewscale + _xlpm.nbparties),
  IF(H319="",
    "",
    _xlpm.coef * (H319-H320))
)</f>
        <v/>
      </c>
      <c r="I321" t="str" cm="1">
        <f t="array" ref="I321">_xlfn.LET(
  _xlpm.K, Constantes!$B$3,
  _xlpm.Knewgain, Constantes!$B$4,
  _xlpm.Knewscale, Constantes!$B$5,
  _xlpm.ptstables, INDEX(I:I, _xlfn.SEQUENCE(COUNTA($C$2:$C321), 1, 3, 4)),
  _xlpm.nbparties, COUNTA(_xlfn._xlws.FILTER(_xlpm.ptstables, _xlpm.ptstables &lt;&gt; "")),
  _xlpm.coef, _xlpm.K + _xlpm.Knewgain / (_xlpm.Knewscale + _xlpm.nbparties),
  IF(I319="",
    "",
    _xlpm.coef * (I319-I320))
)</f>
        <v/>
      </c>
      <c r="J321" t="str" cm="1">
        <f t="array" ref="J321">_xlfn.LET(
  _xlpm.K, Constantes!$B$3,
  _xlpm.Knewgain, Constantes!$B$4,
  _xlpm.Knewscale, Constantes!$B$5,
  _xlpm.ptstables, INDEX(J:J, _xlfn.SEQUENCE(COUNTA($C$2:$C321), 1, 3, 4)),
  _xlpm.nbparties, COUNTA(_xlfn._xlws.FILTER(_xlpm.ptstables, _xlpm.ptstables &lt;&gt; "")),
  _xlpm.coef, _xlpm.K + _xlpm.Knewgain / (_xlpm.Knewscale + _xlpm.nbparties),
  IF(J319="",
    "",
    _xlpm.coef * (J319-J320))
)</f>
        <v/>
      </c>
      <c r="K321" t="str" cm="1">
        <f t="array" ref="K321">_xlfn.LET(
  _xlpm.K, Constantes!$B$3,
  _xlpm.Knewgain, Constantes!$B$4,
  _xlpm.Knewscale, Constantes!$B$5,
  _xlpm.ptstables, INDEX(K:K, _xlfn.SEQUENCE(COUNTA($C$2:$C321), 1, 3, 4)),
  _xlpm.nbparties, COUNTA(_xlfn._xlws.FILTER(_xlpm.ptstables, _xlpm.ptstables &lt;&gt; "")),
  _xlpm.coef, _xlpm.K + _xlpm.Knewgain / (_xlpm.Knewscale + _xlpm.nbparties),
  IF(K319="",
    "",
    _xlpm.coef * (K319-K320))
)</f>
        <v/>
      </c>
      <c r="L321" t="str" cm="1">
        <f t="array" ref="L321">_xlfn.LET(
  _xlpm.K, Constantes!$B$3,
  _xlpm.Knewgain, Constantes!$B$4,
  _xlpm.Knewscale, Constantes!$B$5,
  _xlpm.ptstables, INDEX(L:L, _xlfn.SEQUENCE(COUNTA($C$2:$C321), 1, 3, 4)),
  _xlpm.nbparties, COUNTA(_xlfn._xlws.FILTER(_xlpm.ptstables, _xlpm.ptstables &lt;&gt; "")),
  _xlpm.coef, _xlpm.K + _xlpm.Knewgain / (_xlpm.Knewscale + _xlpm.nbparties),
  IF(L319="",
    "",
    _xlpm.coef * (L319-L320))
)</f>
        <v/>
      </c>
      <c r="M321" t="str" cm="1">
        <f t="array" ref="M321">_xlfn.LET(
  _xlpm.K, Constantes!$B$3,
  _xlpm.Knewgain, Constantes!$B$4,
  _xlpm.Knewscale, Constantes!$B$5,
  _xlpm.ptstables, INDEX(M:M, _xlfn.SEQUENCE(COUNTA($C$2:$C321), 1, 3, 4)),
  _xlpm.nbparties, COUNTA(_xlfn._xlws.FILTER(_xlpm.ptstables, _xlpm.ptstables &lt;&gt; "")),
  _xlpm.coef, _xlpm.K + _xlpm.Knewgain / (_xlpm.Knewscale + _xlpm.nbparties),
  IF(M319="",
    "",
    _xlpm.coef * (M319-M320))
)</f>
        <v/>
      </c>
      <c r="N321" t="str" cm="1">
        <f t="array" ref="N321">_xlfn.LET(
  _xlpm.K, Constantes!$B$3,
  _xlpm.Knewgain, Constantes!$B$4,
  _xlpm.Knewscale, Constantes!$B$5,
  _xlpm.ptstables, INDEX(N:N, _xlfn.SEQUENCE(COUNTA($C$2:$C321), 1, 3, 4)),
  _xlpm.nbparties, COUNTA(_xlfn._xlws.FILTER(_xlpm.ptstables, _xlpm.ptstables &lt;&gt; "")),
  _xlpm.coef, _xlpm.K + _xlpm.Knewgain / (_xlpm.Knewscale + _xlpm.nbparties),
  IF(N319="",
    "",
    _xlpm.coef * (N319-N320))
)</f>
        <v/>
      </c>
      <c r="O321" t="str" cm="1">
        <f t="array" ref="O321">_xlfn.LET(
  _xlpm.K, Constantes!$B$3,
  _xlpm.Knewgain, Constantes!$B$4,
  _xlpm.Knewscale, Constantes!$B$5,
  _xlpm.ptstables, INDEX(O:O, _xlfn.SEQUENCE(COUNTA($C$2:$C321), 1, 3, 4)),
  _xlpm.nbparties, COUNTA(_xlfn._xlws.FILTER(_xlpm.ptstables, _xlpm.ptstables &lt;&gt; "")),
  _xlpm.coef, _xlpm.K + _xlpm.Knewgain / (_xlpm.Knewscale + _xlpm.nbparties),
  IF(O319="",
    "",
    _xlpm.coef * (O319-O320))
)</f>
        <v/>
      </c>
      <c r="P321" t="str" cm="1">
        <f t="array" ref="P321">_xlfn.LET(
  _xlpm.K, Constantes!$B$3,
  _xlpm.Knewgain, Constantes!$B$4,
  _xlpm.Knewscale, Constantes!$B$5,
  _xlpm.ptstables, INDEX(P:P, _xlfn.SEQUENCE(COUNTA($C$2:$C321), 1, 3, 4)),
  _xlpm.nbparties, COUNTA(_xlfn._xlws.FILTER(_xlpm.ptstables, _xlpm.ptstables &lt;&gt; "")),
  _xlpm.coef, _xlpm.K + _xlpm.Knewgain / (_xlpm.Knewscale + _xlpm.nbparties),
  IF(P319="",
    "",
    _xlpm.coef * (P319-P320))
)</f>
        <v/>
      </c>
      <c r="Q321" t="str" cm="1">
        <f t="array" ref="Q321">_xlfn.LET(
  _xlpm.K, Constantes!$B$3,
  _xlpm.Knewgain, Constantes!$B$4,
  _xlpm.Knewscale, Constantes!$B$5,
  _xlpm.ptstables, INDEX(Q:Q, _xlfn.SEQUENCE(COUNTA($C$2:$C321), 1, 3, 4)),
  _xlpm.nbparties, COUNTA(_xlfn._xlws.FILTER(_xlpm.ptstables, _xlpm.ptstables &lt;&gt; "")),
  _xlpm.coef, _xlpm.K + _xlpm.Knewgain / (_xlpm.Knewscale + _xlpm.nbparties),
  IF(Q319="",
    "",
    _xlpm.coef * (Q319-Q320))
)</f>
        <v/>
      </c>
      <c r="R321" cm="1">
        <f t="array" ref="R321">_xlfn.LET(
  _xlpm.K, Constantes!$B$3,
  _xlpm.Knewgain, Constantes!$B$4,
  _xlpm.Knewscale, Constantes!$B$5,
  _xlpm.ptstables, INDEX(R:R, _xlfn.SEQUENCE(COUNTA($C$2:$C321), 1, 3, 4)),
  _xlpm.nbparties, COUNTA(_xlfn._xlws.FILTER(_xlpm.ptstables, _xlpm.ptstables &lt;&gt; "")),
  _xlpm.coef, _xlpm.K + _xlpm.Knewgain / (_xlpm.Knewscale + _xlpm.nbparties),
  IF(R319="",
    "",
    _xlpm.coef * (R319-R320))
)</f>
        <v>24.985570079042997</v>
      </c>
      <c r="S321" cm="1">
        <f t="array" ref="S321">_xlfn.LET(
  _xlpm.K, Constantes!$B$3,
  _xlpm.Knewgain, Constantes!$B$4,
  _xlpm.Knewscale, Constantes!$B$5,
  _xlpm.ptstables, INDEX(S:S, _xlfn.SEQUENCE(COUNTA($C$2:$C321), 1, 3, 4)),
  _xlpm.nbparties, COUNTA(_xlfn._xlws.FILTER(_xlpm.ptstables, _xlpm.ptstables &lt;&gt; "")),
  _xlpm.coef, _xlpm.K + _xlpm.Knewgain / (_xlpm.Knewscale + _xlpm.nbparties),
  IF(S319="",
    "",
    _xlpm.coef * (S319-S320))
)</f>
        <v>-6.1497867167741047</v>
      </c>
      <c r="T321" t="str" cm="1">
        <f t="array" ref="T321">_xlfn.LET(
  _xlpm.K, Constantes!$B$3,
  _xlpm.Knewgain, Constantes!$B$4,
  _xlpm.Knewscale, Constantes!$B$5,
  _xlpm.ptstables, INDEX(T:T, _xlfn.SEQUENCE(COUNTA($C$2:$C321), 1, 3, 4)),
  _xlpm.nbparties, COUNTA(_xlfn._xlws.FILTER(_xlpm.ptstables, _xlpm.ptstables &lt;&gt; "")),
  _xlpm.coef, _xlpm.K + _xlpm.Knewgain / (_xlpm.Knewscale + _xlpm.nbparties),
  IF(T319="",
    "",
    _xlpm.coef * (T319-T320))
)</f>
        <v/>
      </c>
      <c r="U321" t="str" cm="1">
        <f t="array" ref="U321">_xlfn.LET(
  _xlpm.K, Constantes!$B$3,
  _xlpm.Knewgain, Constantes!$B$4,
  _xlpm.Knewscale, Constantes!$B$5,
  _xlpm.ptstables, INDEX(U:U, _xlfn.SEQUENCE(COUNTA($C$2:$C321), 1, 3, 4)),
  _xlpm.nbparties, COUNTA(_xlfn._xlws.FILTER(_xlpm.ptstables, _xlpm.ptstables &lt;&gt; "")),
  _xlpm.coef, _xlpm.K + _xlpm.Knewgain / (_xlpm.Knewscale + _xlpm.nbparties),
  IF(U319="",
    "",
    _xlpm.coef * (U319-U320))
)</f>
        <v/>
      </c>
      <c r="V321" cm="1">
        <f t="array" ref="V321">_xlfn.LET(
  _xlpm.K, Constantes!$B$3,
  _xlpm.Knewgain, Constantes!$B$4,
  _xlpm.Knewscale, Constantes!$B$5,
  _xlpm.ptstables, INDEX(V:V, _xlfn.SEQUENCE(COUNTA($C$2:$C321), 1, 3, 4)),
  _xlpm.nbparties, COUNTA(_xlfn._xlws.FILTER(_xlpm.ptstables, _xlpm.ptstables &lt;&gt; "")),
  _xlpm.coef, _xlpm.K + _xlpm.Knewgain / (_xlpm.Knewscale + _xlpm.nbparties),
  IF(V319="",
    "",
    _xlpm.coef * (V319-V320))
)</f>
        <v>18.436080131332403</v>
      </c>
      <c r="W321" t="str" cm="1">
        <f t="array" ref="W321">_xlfn.LET(
  _xlpm.K, Constantes!$B$3,
  _xlpm.Knewgain, Constantes!$B$4,
  _xlpm.Knewscale, Constantes!$B$5,
  _xlpm.ptstables, INDEX(W:W, _xlfn.SEQUENCE(COUNTA($C$2:$C321), 1, 3, 4)),
  _xlpm.nbparties, COUNTA(_xlfn._xlws.FILTER(_xlpm.ptstables, _xlpm.ptstables &lt;&gt; "")),
  _xlpm.coef, _xlpm.K + _xlpm.Knewgain / (_xlpm.Knewscale + _xlpm.nbparties),
  IF(W319="",
    "",
    _xlpm.coef * (W319-W320))
)</f>
        <v/>
      </c>
      <c r="X321" t="str" cm="1">
        <f t="array" ref="X321">_xlfn.LET(
  _xlpm.K, Constantes!$B$3,
  _xlpm.Knewgain, Constantes!$B$4,
  _xlpm.Knewscale, Constantes!$B$5,
  _xlpm.ptstables, INDEX(X:X, _xlfn.SEQUENCE(COUNTA($C$2:$C321), 1, 3, 4)),
  _xlpm.nbparties, COUNTA(_xlfn._xlws.FILTER(_xlpm.ptstables, _xlpm.ptstables &lt;&gt; "")),
  _xlpm.coef, _xlpm.K + _xlpm.Knewgain / (_xlpm.Knewscale + _xlpm.nbparties),
  IF(X319="",
    "",
    _xlpm.coef * (X319-X320))
)</f>
        <v/>
      </c>
      <c r="Y321" t="str" cm="1">
        <f t="array" ref="Y321">_xlfn.LET(
  _xlpm.K, Constantes!$B$3,
  _xlpm.Knewgain, Constantes!$B$4,
  _xlpm.Knewscale, Constantes!$B$5,
  _xlpm.ptstables, INDEX(Y:Y, _xlfn.SEQUENCE(COUNTA($C$2:$C321), 1, 3, 4)),
  _xlpm.nbparties, COUNTA(_xlfn._xlws.FILTER(_xlpm.ptstables, _xlpm.ptstables &lt;&gt; "")),
  _xlpm.coef, _xlpm.K + _xlpm.Knewgain / (_xlpm.Knewscale + _xlpm.nbparties),
  IF(Y319="",
    "",
    _xlpm.coef * (Y319-Y320))
)</f>
        <v/>
      </c>
      <c r="Z321" t="str" cm="1">
        <f t="array" ref="Z321">_xlfn.LET(
  _xlpm.K, Constantes!$B$3,
  _xlpm.Knewgain, Constantes!$B$4,
  _xlpm.Knewscale, Constantes!$B$5,
  _xlpm.ptstables, INDEX(Z:Z, _xlfn.SEQUENCE(COUNTA($C$2:$C321), 1, 3, 4)),
  _xlpm.nbparties, COUNTA(_xlfn._xlws.FILTER(_xlpm.ptstables, _xlpm.ptstables &lt;&gt; "")),
  _xlpm.coef, _xlpm.K + _xlpm.Knewgain / (_xlpm.Knewscale + _xlpm.nbparties),
  IF(Z319="",
    "",
    _xlpm.coef * (Z319-Z320))
)</f>
        <v/>
      </c>
      <c r="AA321" t="str" cm="1">
        <f t="array" ref="AA321">_xlfn.LET(
  _xlpm.K, Constantes!$B$3,
  _xlpm.Knewgain, Constantes!$B$4,
  _xlpm.Knewscale, Constantes!$B$5,
  _xlpm.ptstables, INDEX(AA:AA, _xlfn.SEQUENCE(COUNTA($C$2:$C321), 1, 3, 4)),
  _xlpm.nbparties, COUNTA(_xlfn._xlws.FILTER(_xlpm.ptstables, _xlpm.ptstables &lt;&gt; "")),
  _xlpm.coef, _xlpm.K + _xlpm.Knewgain / (_xlpm.Knewscale + _xlpm.nbparties),
  IF(AA319="",
    "",
    _xlpm.coef * (AA319-AA320))
)</f>
        <v/>
      </c>
      <c r="AB321" t="str" cm="1">
        <f t="array" ref="AB321">_xlfn.LET(
  _xlpm.K, Constantes!$B$3,
  _xlpm.Knewgain, Constantes!$B$4,
  _xlpm.Knewscale, Constantes!$B$5,
  _xlpm.ptstables, INDEX(AB:AB, _xlfn.SEQUENCE(COUNTA($C$2:$C321), 1, 3, 4)),
  _xlpm.nbparties, COUNTA(_xlfn._xlws.FILTER(_xlpm.ptstables, _xlpm.ptstables &lt;&gt; "")),
  _xlpm.coef, _xlpm.K + _xlpm.Knewgain / (_xlpm.Knewscale + _xlpm.nbparties),
  IF(AB319="",
    "",
    _xlpm.coef * (AB319-AB320))
)</f>
        <v/>
      </c>
      <c r="AC321" t="str" cm="1">
        <f t="array" ref="AC321">_xlfn.LET(
  _xlpm.K, Constantes!$B$3,
  _xlpm.Knewgain, Constantes!$B$4,
  _xlpm.Knewscale, Constantes!$B$5,
  _xlpm.ptstables, INDEX(AC:AC, _xlfn.SEQUENCE(COUNTA($C$2:$C321), 1, 3, 4)),
  _xlpm.nbparties, COUNTA(_xlfn._xlws.FILTER(_xlpm.ptstables, _xlpm.ptstables &lt;&gt; "")),
  _xlpm.coef, _xlpm.K + _xlpm.Knewgain / (_xlpm.Knewscale + _xlpm.nbparties),
  IF(AC319="",
    "",
    _xlpm.coef * (AC319-AC320))
)</f>
        <v/>
      </c>
      <c r="AD321" t="str" cm="1">
        <f t="array" ref="AD321">_xlfn.LET(
  _xlpm.K, Constantes!$B$3,
  _xlpm.Knewgain, Constantes!$B$4,
  _xlpm.Knewscale, Constantes!$B$5,
  _xlpm.ptstables, INDEX(AD:AD, _xlfn.SEQUENCE(COUNTA($C$2:$C321), 1, 3, 4)),
  _xlpm.nbparties, COUNTA(_xlfn._xlws.FILTER(_xlpm.ptstables, _xlpm.ptstables &lt;&gt; "")),
  _xlpm.coef, _xlpm.K + _xlpm.Knewgain / (_xlpm.Knewscale + _xlpm.nbparties),
  IF(AD319="",
    "",
    _xlpm.coef * (AD319-AD320))
)</f>
        <v/>
      </c>
      <c r="AE321" t="str" cm="1">
        <f t="array" ref="AE321">_xlfn.LET(
  _xlpm.K, Constantes!$B$3,
  _xlpm.Knewgain, Constantes!$B$4,
  _xlpm.Knewscale, Constantes!$B$5,
  _xlpm.ptstables, INDEX(AE:AE, _xlfn.SEQUENCE(COUNTA($C$2:$C321), 1, 3, 4)),
  _xlpm.nbparties, COUNTA(_xlfn._xlws.FILTER(_xlpm.ptstables, _xlpm.ptstables &lt;&gt; "")),
  _xlpm.coef, _xlpm.K + _xlpm.Knewgain / (_xlpm.Knewscale + _xlpm.nbparties),
  IF(AE319="",
    "",
    _xlpm.coef * (AE319-AE320))
)</f>
        <v/>
      </c>
      <c r="AF321" t="str" cm="1">
        <f t="array" ref="AF321">_xlfn.LET(
  _xlpm.K, Constantes!$B$3,
  _xlpm.Knewgain, Constantes!$B$4,
  _xlpm.Knewscale, Constantes!$B$5,
  _xlpm.ptstables, INDEX(AF:AF, _xlfn.SEQUENCE(COUNTA($C$2:$C321), 1, 3, 4)),
  _xlpm.nbparties, COUNTA(_xlfn._xlws.FILTER(_xlpm.ptstables, _xlpm.ptstables &lt;&gt; "")),
  _xlpm.coef, _xlpm.K + _xlpm.Knewgain / (_xlpm.Knewscale + _xlpm.nbparties),
  IF(AF319="",
    "",
    _xlpm.coef * (AF319-AF320))
)</f>
        <v/>
      </c>
      <c r="AG321" t="str" cm="1">
        <f t="array" ref="AG321">_xlfn.LET(
  _xlpm.K, Constantes!$B$3,
  _xlpm.Knewgain, Constantes!$B$4,
  _xlpm.Knewscale, Constantes!$B$5,
  _xlpm.ptstables, INDEX(AG:AG, _xlfn.SEQUENCE(COUNTA($C$2:$C321), 1, 3, 4)),
  _xlpm.nbparties, COUNTA(_xlfn._xlws.FILTER(_xlpm.ptstables, _xlpm.ptstables &lt;&gt; "")),
  _xlpm.coef, _xlpm.K + _xlpm.Knewgain / (_xlpm.Knewscale + _xlpm.nbparties),
  IF(AG319="",
    "",
    _xlpm.coef * (AG319-AG320))
)</f>
        <v/>
      </c>
      <c r="AH321" t="str" cm="1">
        <f t="array" ref="AH321">_xlfn.LET(
  _xlpm.K, Constantes!$B$3,
  _xlpm.Knewgain, Constantes!$B$4,
  _xlpm.Knewscale, Constantes!$B$5,
  _xlpm.ptstables, INDEX(AH:AH, _xlfn.SEQUENCE(COUNTA($C$2:$C321), 1, 3, 4)),
  _xlpm.nbparties, COUNTA(_xlfn._xlws.FILTER(_xlpm.ptstables, _xlpm.ptstables &lt;&gt; "")),
  _xlpm.coef, _xlpm.K + _xlpm.Knewgain / (_xlpm.Knewscale + _xlpm.nbparties),
  IF(AH319="",
    "",
    _xlpm.coef * (AH319-AH320))
)</f>
        <v/>
      </c>
      <c r="AI321" t="str" cm="1">
        <f t="array" ref="AI321">_xlfn.LET(
  _xlpm.K, Constantes!$B$3,
  _xlpm.Knewgain, Constantes!$B$4,
  _xlpm.Knewscale, Constantes!$B$5,
  _xlpm.ptstables, INDEX(AI:AI, _xlfn.SEQUENCE(COUNTA($C$2:$C321), 1, 3, 4)),
  _xlpm.nbparties, COUNTA(_xlfn._xlws.FILTER(_xlpm.ptstables, _xlpm.ptstables &lt;&gt; "")),
  _xlpm.coef, _xlpm.K + _xlpm.Knewgain / (_xlpm.Knewscale + _xlpm.nbparties),
  IF(AI319="",
    "",
    _xlpm.coef * (AI319-AI320))
)</f>
        <v/>
      </c>
      <c r="AJ321" t="str" cm="1">
        <f t="array" ref="AJ321">_xlfn.LET(
  _xlpm.K, Constantes!$B$3,
  _xlpm.Knewgain, Constantes!$B$4,
  _xlpm.Knewscale, Constantes!$B$5,
  _xlpm.ptstables, INDEX(AJ:AJ, _xlfn.SEQUENCE(COUNTA($C$2:$C321), 1, 3, 4)),
  _xlpm.nbparties, COUNTA(_xlfn._xlws.FILTER(_xlpm.ptstables, _xlpm.ptstables &lt;&gt; "")),
  _xlpm.coef, _xlpm.K + _xlpm.Knewgain / (_xlpm.Knewscale + _xlpm.nbparties),
  IF(AJ319="",
    "",
    _xlpm.coef * (AJ319-AJ320))
)</f>
        <v/>
      </c>
      <c r="AK321" t="str" cm="1">
        <f t="array" ref="AK321">_xlfn.LET(
  _xlpm.K, Constantes!$B$3,
  _xlpm.Knewgain, Constantes!$B$4,
  _xlpm.Knewscale, Constantes!$B$5,
  _xlpm.ptstables, INDEX(AK:AK, _xlfn.SEQUENCE(COUNTA($C$2:$C321), 1, 3, 4)),
  _xlpm.nbparties, COUNTA(_xlfn._xlws.FILTER(_xlpm.ptstables, _xlpm.ptstables &lt;&gt; "")),
  _xlpm.coef, _xlpm.K + _xlpm.Knewgain / (_xlpm.Knewscale + _xlpm.nbparties),
  IF(AK319="",
    "",
    _xlpm.coef * (AK319-AK320))
)</f>
        <v/>
      </c>
      <c r="AL321" t="str" cm="1">
        <f t="array" ref="AL321">_xlfn.LET(
  _xlpm.K, Constantes!$B$3,
  _xlpm.Knewgain, Constantes!$B$4,
  _xlpm.Knewscale, Constantes!$B$5,
  _xlpm.ptstables, INDEX(AL:AL, _xlfn.SEQUENCE(COUNTA($C$2:$C321), 1, 3, 4)),
  _xlpm.nbparties, COUNTA(_xlfn._xlws.FILTER(_xlpm.ptstables, _xlpm.ptstables &lt;&gt; "")),
  _xlpm.coef, _xlpm.K + _xlpm.Knewgain / (_xlpm.Knewscale + _xlpm.nbparties),
  IF(AL319="",
    "",
    _xlpm.coef * (AL319-AL320))
)</f>
        <v/>
      </c>
      <c r="AM321" cm="1">
        <f t="array" ref="AM321">_xlfn.LET(
  _xlpm.K, Constantes!$B$3,
  _xlpm.Knewgain, Constantes!$B$4,
  _xlpm.Knewscale, Constantes!$B$5,
  _xlpm.ptstables, INDEX(AM:AM, _xlfn.SEQUENCE(COUNTA($C$2:$C321), 1, 3, 4)),
  _xlpm.nbparties, COUNTA(_xlfn._xlws.FILTER(_xlpm.ptstables, _xlpm.ptstables &lt;&gt; "")),
  _xlpm.coef, _xlpm.K + _xlpm.Knewgain / (_xlpm.Knewscale + _xlpm.nbparties),
  IF(AM319="",
    "",
    _xlpm.coef * (AM319-AM320))
)</f>
        <v>-69.916078392939497</v>
      </c>
    </row>
    <row r="322" spans="1:39" x14ac:dyDescent="0.25">
      <c r="A322" t="s">
        <v>14</v>
      </c>
      <c r="B322" t="str" cm="1">
        <f t="array" ref="B32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82</v>
      </c>
      <c r="C322" s="2" cm="1">
        <f t="array" ref="C322">IF(B322="","",
  INDEX(Donnees!F:F, MATCH(B322, Donnees!F:F, 0)+1))</f>
        <v>45948.699004629627</v>
      </c>
      <c r="D322">
        <f t="shared" ref="D322:AM322" si="88">D318+IF(D321="",0,D321)</f>
        <v>1008.0095267292556</v>
      </c>
      <c r="E322">
        <f t="shared" si="88"/>
        <v>1095.6997652278242</v>
      </c>
      <c r="F322">
        <f t="shared" si="88"/>
        <v>872.24944098785784</v>
      </c>
      <c r="G322">
        <f t="shared" si="88"/>
        <v>1119.3162392058323</v>
      </c>
      <c r="H322">
        <f t="shared" si="88"/>
        <v>1139.7553269432372</v>
      </c>
      <c r="I322">
        <f t="shared" si="88"/>
        <v>921.73391621154246</v>
      </c>
      <c r="J322">
        <f t="shared" si="88"/>
        <v>1010.9125108504293</v>
      </c>
      <c r="K322">
        <f t="shared" si="88"/>
        <v>993.90254614824482</v>
      </c>
      <c r="L322">
        <f t="shared" si="88"/>
        <v>799.13054339146868</v>
      </c>
      <c r="M322">
        <f t="shared" si="88"/>
        <v>913.41986361738122</v>
      </c>
      <c r="N322">
        <f t="shared" si="88"/>
        <v>884.64725986469603</v>
      </c>
      <c r="O322">
        <f t="shared" si="88"/>
        <v>998.21178722110983</v>
      </c>
      <c r="P322">
        <f t="shared" si="88"/>
        <v>966.96510844942054</v>
      </c>
      <c r="Q322">
        <f t="shared" si="88"/>
        <v>1050.1062561870472</v>
      </c>
      <c r="R322">
        <f t="shared" si="88"/>
        <v>1086.4040915521041</v>
      </c>
      <c r="S322">
        <f t="shared" si="88"/>
        <v>943.86001337552409</v>
      </c>
      <c r="T322">
        <f t="shared" si="88"/>
        <v>1153.43058185823</v>
      </c>
      <c r="U322">
        <f t="shared" si="88"/>
        <v>1178.4672844595402</v>
      </c>
      <c r="V322">
        <f t="shared" si="88"/>
        <v>969.67171739286073</v>
      </c>
      <c r="W322">
        <f t="shared" si="88"/>
        <v>882.29253769067657</v>
      </c>
      <c r="X322">
        <f t="shared" si="88"/>
        <v>828.97598039785271</v>
      </c>
      <c r="Y322">
        <f t="shared" si="88"/>
        <v>903.14348714035714</v>
      </c>
      <c r="Z322">
        <f t="shared" si="88"/>
        <v>1000.4832210979791</v>
      </c>
      <c r="AA322">
        <f t="shared" si="88"/>
        <v>976.51233940414613</v>
      </c>
      <c r="AB322">
        <f t="shared" si="88"/>
        <v>988.35669729544747</v>
      </c>
      <c r="AC322">
        <f t="shared" si="88"/>
        <v>1094.1623059381011</v>
      </c>
      <c r="AD322">
        <f t="shared" si="88"/>
        <v>1127.3529116409297</v>
      </c>
      <c r="AE322">
        <f t="shared" si="88"/>
        <v>963.23981965000235</v>
      </c>
      <c r="AF322">
        <f t="shared" si="88"/>
        <v>1094.8196847516158</v>
      </c>
      <c r="AG322">
        <f t="shared" si="88"/>
        <v>958.23078604304851</v>
      </c>
      <c r="AH322">
        <f t="shared" si="88"/>
        <v>920.4412636682855</v>
      </c>
      <c r="AI322">
        <f t="shared" si="88"/>
        <v>947.26489657182583</v>
      </c>
      <c r="AJ322">
        <f t="shared" si="88"/>
        <v>906.86354201913434</v>
      </c>
      <c r="AK322">
        <f t="shared" si="88"/>
        <v>1074.0069367206956</v>
      </c>
      <c r="AL322">
        <f t="shared" si="88"/>
        <v>1025.7817971572972</v>
      </c>
      <c r="AM322">
        <f t="shared" si="88"/>
        <v>930.08392160706046</v>
      </c>
    </row>
    <row r="323" spans="1:39" x14ac:dyDescent="0.25">
      <c r="A323" t="s">
        <v>21</v>
      </c>
      <c r="D323" t="str" cm="1">
        <f t="array" ref="D323">IFERROR(
  _xlfn.LET(
    _xlpm.ligpartie, MATCH($B322, Donnees!$F:$F, 0),
    _xlpm.joueurs, INDEX(Donnees!$A:$Z, _xlpm.ligpartie+1, _xlfn.SEQUENCE(1, 4, 2)),
    INDEX(
      Donnees!$A:$Z,
      _xlpm.ligpartie + 3,
      MATCH(D$1, _xlpm.joueurs, 0) + 1
    )
  ), ""
)</f>
        <v/>
      </c>
      <c r="E323" t="str" cm="1">
        <f t="array" ref="E323">IFERROR(
  _xlfn.LET(
    _xlpm.ligpartie, MATCH($B322, Donnees!$F:$F, 0),
    _xlpm.joueurs, INDEX(Donnees!$A:$Z, _xlpm.ligpartie+1, _xlfn.SEQUENCE(1, 4, 2)),
    INDEX(
      Donnees!$A:$Z,
      _xlpm.ligpartie + 3,
      MATCH(E$1, _xlpm.joueurs, 0) + 1
    )
  ), ""
)</f>
        <v/>
      </c>
      <c r="F323" cm="1">
        <f t="array" ref="F323">IFERROR(
  _xlfn.LET(
    _xlpm.ligpartie, MATCH($B322, Donnees!$F:$F, 0),
    _xlpm.joueurs, INDEX(Donnees!$A:$Z, _xlpm.ligpartie+1, _xlfn.SEQUENCE(1, 4, 2)),
    INDEX(
      Donnees!$A:$Z,
      _xlpm.ligpartie + 3,
      MATCH(F$1, _xlpm.joueurs, 0) + 1
    )
  ), ""
)</f>
        <v>0</v>
      </c>
      <c r="G323" t="str" cm="1">
        <f t="array" ref="G323">IFERROR(
  _xlfn.LET(
    _xlpm.ligpartie, MATCH($B322, Donnees!$F:$F, 0),
    _xlpm.joueurs, INDEX(Donnees!$A:$Z, _xlpm.ligpartie+1, _xlfn.SEQUENCE(1, 4, 2)),
    INDEX(
      Donnees!$A:$Z,
      _xlpm.ligpartie + 3,
      MATCH(G$1, _xlpm.joueurs, 0) + 1
    )
  ), ""
)</f>
        <v/>
      </c>
      <c r="H323" t="str" cm="1">
        <f t="array" ref="H323">IFERROR(
  _xlfn.LET(
    _xlpm.ligpartie, MATCH($B322, Donnees!$F:$F, 0),
    _xlpm.joueurs, INDEX(Donnees!$A:$Z, _xlpm.ligpartie+1, _xlfn.SEQUENCE(1, 4, 2)),
    INDEX(
      Donnees!$A:$Z,
      _xlpm.ligpartie + 3,
      MATCH(H$1, _xlpm.joueurs, 0) + 1
    )
  ), ""
)</f>
        <v/>
      </c>
      <c r="I323" cm="1">
        <f t="array" ref="I323">IFERROR(
  _xlfn.LET(
    _xlpm.ligpartie, MATCH($B322, Donnees!$F:$F, 0),
    _xlpm.joueurs, INDEX(Donnees!$A:$Z, _xlpm.ligpartie+1, _xlfn.SEQUENCE(1, 4, 2)),
    INDEX(
      Donnees!$A:$Z,
      _xlpm.ligpartie + 3,
      MATCH(I$1, _xlpm.joueurs, 0) + 1
    )
  ), ""
)</f>
        <v>3</v>
      </c>
      <c r="J323" t="str" cm="1">
        <f t="array" ref="J323">IFERROR(
  _xlfn.LET(
    _xlpm.ligpartie, MATCH($B322, Donnees!$F:$F, 0),
    _xlpm.joueurs, INDEX(Donnees!$A:$Z, _xlpm.ligpartie+1, _xlfn.SEQUENCE(1, 4, 2)),
    INDEX(
      Donnees!$A:$Z,
      _xlpm.ligpartie + 3,
      MATCH(J$1, _xlpm.joueurs, 0) + 1
    )
  ), ""
)</f>
        <v/>
      </c>
      <c r="K323" t="str" cm="1">
        <f t="array" ref="K323">IFERROR(
  _xlfn.LET(
    _xlpm.ligpartie, MATCH($B322, Donnees!$F:$F, 0),
    _xlpm.joueurs, INDEX(Donnees!$A:$Z, _xlpm.ligpartie+1, _xlfn.SEQUENCE(1, 4, 2)),
    INDEX(
      Donnees!$A:$Z,
      _xlpm.ligpartie + 3,
      MATCH(K$1, _xlpm.joueurs, 0) + 1
    )
  ), ""
)</f>
        <v/>
      </c>
      <c r="L323" t="str" cm="1">
        <f t="array" ref="L323">IFERROR(
  _xlfn.LET(
    _xlpm.ligpartie, MATCH($B322, Donnees!$F:$F, 0),
    _xlpm.joueurs, INDEX(Donnees!$A:$Z, _xlpm.ligpartie+1, _xlfn.SEQUENCE(1, 4, 2)),
    INDEX(
      Donnees!$A:$Z,
      _xlpm.ligpartie + 3,
      MATCH(L$1, _xlpm.joueurs, 0) + 1
    )
  ), ""
)</f>
        <v/>
      </c>
      <c r="M323" t="str" cm="1">
        <f t="array" ref="M323">IFERROR(
  _xlfn.LET(
    _xlpm.ligpartie, MATCH($B322, Donnees!$F:$F, 0),
    _xlpm.joueurs, INDEX(Donnees!$A:$Z, _xlpm.ligpartie+1, _xlfn.SEQUENCE(1, 4, 2)),
    INDEX(
      Donnees!$A:$Z,
      _xlpm.ligpartie + 3,
      MATCH(M$1, _xlpm.joueurs, 0) + 1
    )
  ), ""
)</f>
        <v/>
      </c>
      <c r="N323" cm="1">
        <f t="array" ref="N323">IFERROR(
  _xlfn.LET(
    _xlpm.ligpartie, MATCH($B322, Donnees!$F:$F, 0),
    _xlpm.joueurs, INDEX(Donnees!$A:$Z, _xlpm.ligpartie+1, _xlfn.SEQUENCE(1, 4, 2)),
    INDEX(
      Donnees!$A:$Z,
      _xlpm.ligpartie + 3,
      MATCH(N$1, _xlpm.joueurs, 0) + 1
    )
  ), ""
)</f>
        <v>2</v>
      </c>
      <c r="O323" t="str" cm="1">
        <f t="array" ref="O323">IFERROR(
  _xlfn.LET(
    _xlpm.ligpartie, MATCH($B322, Donnees!$F:$F, 0),
    _xlpm.joueurs, INDEX(Donnees!$A:$Z, _xlpm.ligpartie+1, _xlfn.SEQUENCE(1, 4, 2)),
    INDEX(
      Donnees!$A:$Z,
      _xlpm.ligpartie + 3,
      MATCH(O$1, _xlpm.joueurs, 0) + 1
    )
  ), ""
)</f>
        <v/>
      </c>
      <c r="P323" t="str" cm="1">
        <f t="array" ref="P323">IFERROR(
  _xlfn.LET(
    _xlpm.ligpartie, MATCH($B322, Donnees!$F:$F, 0),
    _xlpm.joueurs, INDEX(Donnees!$A:$Z, _xlpm.ligpartie+1, _xlfn.SEQUENCE(1, 4, 2)),
    INDEX(
      Donnees!$A:$Z,
      _xlpm.ligpartie + 3,
      MATCH(P$1, _xlpm.joueurs, 0) + 1
    )
  ), ""
)</f>
        <v/>
      </c>
      <c r="Q323" t="str" cm="1">
        <f t="array" ref="Q323">IFERROR(
  _xlfn.LET(
    _xlpm.ligpartie, MATCH($B322, Donnees!$F:$F, 0),
    _xlpm.joueurs, INDEX(Donnees!$A:$Z, _xlpm.ligpartie+1, _xlfn.SEQUENCE(1, 4, 2)),
    INDEX(
      Donnees!$A:$Z,
      _xlpm.ligpartie + 3,
      MATCH(Q$1, _xlpm.joueurs, 0) + 1
    )
  ), ""
)</f>
        <v/>
      </c>
      <c r="R323" t="str" cm="1">
        <f t="array" ref="R323">IFERROR(
  _xlfn.LET(
    _xlpm.ligpartie, MATCH($B322, Donnees!$F:$F, 0),
    _xlpm.joueurs, INDEX(Donnees!$A:$Z, _xlpm.ligpartie+1, _xlfn.SEQUENCE(1, 4, 2)),
    INDEX(
      Donnees!$A:$Z,
      _xlpm.ligpartie + 3,
      MATCH(R$1, _xlpm.joueurs, 0) + 1
    )
  ), ""
)</f>
        <v/>
      </c>
      <c r="S323" t="str" cm="1">
        <f t="array" ref="S323">IFERROR(
  _xlfn.LET(
    _xlpm.ligpartie, MATCH($B322, Donnees!$F:$F, 0),
    _xlpm.joueurs, INDEX(Donnees!$A:$Z, _xlpm.ligpartie+1, _xlfn.SEQUENCE(1, 4, 2)),
    INDEX(
      Donnees!$A:$Z,
      _xlpm.ligpartie + 3,
      MATCH(S$1, _xlpm.joueurs, 0) + 1
    )
  ), ""
)</f>
        <v/>
      </c>
      <c r="T323" t="str" cm="1">
        <f t="array" ref="T323">IFERROR(
  _xlfn.LET(
    _xlpm.ligpartie, MATCH($B322, Donnees!$F:$F, 0),
    _xlpm.joueurs, INDEX(Donnees!$A:$Z, _xlpm.ligpartie+1, _xlfn.SEQUENCE(1, 4, 2)),
    INDEX(
      Donnees!$A:$Z,
      _xlpm.ligpartie + 3,
      MATCH(T$1, _xlpm.joueurs, 0) + 1
    )
  ), ""
)</f>
        <v/>
      </c>
      <c r="U323" t="str" cm="1">
        <f t="array" ref="U323">IFERROR(
  _xlfn.LET(
    _xlpm.ligpartie, MATCH($B322, Donnees!$F:$F, 0),
    _xlpm.joueurs, INDEX(Donnees!$A:$Z, _xlpm.ligpartie+1, _xlfn.SEQUENCE(1, 4, 2)),
    INDEX(
      Donnees!$A:$Z,
      _xlpm.ligpartie + 3,
      MATCH(U$1, _xlpm.joueurs, 0) + 1
    )
  ), ""
)</f>
        <v/>
      </c>
      <c r="V323" t="str" cm="1">
        <f t="array" ref="V323">IFERROR(
  _xlfn.LET(
    _xlpm.ligpartie, MATCH($B322, Donnees!$F:$F, 0),
    _xlpm.joueurs, INDEX(Donnees!$A:$Z, _xlpm.ligpartie+1, _xlfn.SEQUENCE(1, 4, 2)),
    INDEX(
      Donnees!$A:$Z,
      _xlpm.ligpartie + 3,
      MATCH(V$1, _xlpm.joueurs, 0) + 1
    )
  ), ""
)</f>
        <v/>
      </c>
      <c r="W323" t="str" cm="1">
        <f t="array" ref="W323">IFERROR(
  _xlfn.LET(
    _xlpm.ligpartie, MATCH($B322, Donnees!$F:$F, 0),
    _xlpm.joueurs, INDEX(Donnees!$A:$Z, _xlpm.ligpartie+1, _xlfn.SEQUENCE(1, 4, 2)),
    INDEX(
      Donnees!$A:$Z,
      _xlpm.ligpartie + 3,
      MATCH(W$1, _xlpm.joueurs, 0) + 1
    )
  ), ""
)</f>
        <v/>
      </c>
      <c r="X323" t="str" cm="1">
        <f t="array" ref="X323">IFERROR(
  _xlfn.LET(
    _xlpm.ligpartie, MATCH($B322, Donnees!$F:$F, 0),
    _xlpm.joueurs, INDEX(Donnees!$A:$Z, _xlpm.ligpartie+1, _xlfn.SEQUENCE(1, 4, 2)),
    INDEX(
      Donnees!$A:$Z,
      _xlpm.ligpartie + 3,
      MATCH(X$1, _xlpm.joueurs, 0) + 1
    )
  ), ""
)</f>
        <v/>
      </c>
      <c r="Y323" t="str" cm="1">
        <f t="array" ref="Y323">IFERROR(
  _xlfn.LET(
    _xlpm.ligpartie, MATCH($B322, Donnees!$F:$F, 0),
    _xlpm.joueurs, INDEX(Donnees!$A:$Z, _xlpm.ligpartie+1, _xlfn.SEQUENCE(1, 4, 2)),
    INDEX(
      Donnees!$A:$Z,
      _xlpm.ligpartie + 3,
      MATCH(Y$1, _xlpm.joueurs, 0) + 1
    )
  ), ""
)</f>
        <v/>
      </c>
      <c r="Z323" t="str" cm="1">
        <f t="array" ref="Z323">IFERROR(
  _xlfn.LET(
    _xlpm.ligpartie, MATCH($B322, Donnees!$F:$F, 0),
    _xlpm.joueurs, INDEX(Donnees!$A:$Z, _xlpm.ligpartie+1, _xlfn.SEQUENCE(1, 4, 2)),
    INDEX(
      Donnees!$A:$Z,
      _xlpm.ligpartie + 3,
      MATCH(Z$1, _xlpm.joueurs, 0) + 1
    )
  ), ""
)</f>
        <v/>
      </c>
      <c r="AA323" t="str" cm="1">
        <f t="array" ref="AA323">IFERROR(
  _xlfn.LET(
    _xlpm.ligpartie, MATCH($B322, Donnees!$F:$F, 0),
    _xlpm.joueurs, INDEX(Donnees!$A:$Z, _xlpm.ligpartie+1, _xlfn.SEQUENCE(1, 4, 2)),
    INDEX(
      Donnees!$A:$Z,
      _xlpm.ligpartie + 3,
      MATCH(AA$1, _xlpm.joueurs, 0) + 1
    )
  ), ""
)</f>
        <v/>
      </c>
      <c r="AB323" t="str" cm="1">
        <f t="array" ref="AB323">IFERROR(
  _xlfn.LET(
    _xlpm.ligpartie, MATCH($B322, Donnees!$F:$F, 0),
    _xlpm.joueurs, INDEX(Donnees!$A:$Z, _xlpm.ligpartie+1, _xlfn.SEQUENCE(1, 4, 2)),
    INDEX(
      Donnees!$A:$Z,
      _xlpm.ligpartie + 3,
      MATCH(AB$1, _xlpm.joueurs, 0) + 1
    )
  ), ""
)</f>
        <v/>
      </c>
      <c r="AC323" cm="1">
        <f t="array" ref="AC323">IFERROR(
  _xlfn.LET(
    _xlpm.ligpartie, MATCH($B322, Donnees!$F:$F, 0),
    _xlpm.joueurs, INDEX(Donnees!$A:$Z, _xlpm.ligpartie+1, _xlfn.SEQUENCE(1, 4, 2)),
    INDEX(
      Donnees!$A:$Z,
      _xlpm.ligpartie + 3,
      MATCH(AC$1, _xlpm.joueurs, 0) + 1
    )
  ), ""
)</f>
        <v>1</v>
      </c>
      <c r="AD323" t="str" cm="1">
        <f t="array" ref="AD323">IFERROR(
  _xlfn.LET(
    _xlpm.ligpartie, MATCH($B322, Donnees!$F:$F, 0),
    _xlpm.joueurs, INDEX(Donnees!$A:$Z, _xlpm.ligpartie+1, _xlfn.SEQUENCE(1, 4, 2)),
    INDEX(
      Donnees!$A:$Z,
      _xlpm.ligpartie + 3,
      MATCH(AD$1, _xlpm.joueurs, 0) + 1
    )
  ), ""
)</f>
        <v/>
      </c>
      <c r="AE323" t="str" cm="1">
        <f t="array" ref="AE323">IFERROR(
  _xlfn.LET(
    _xlpm.ligpartie, MATCH($B322, Donnees!$F:$F, 0),
    _xlpm.joueurs, INDEX(Donnees!$A:$Z, _xlpm.ligpartie+1, _xlfn.SEQUENCE(1, 4, 2)),
    INDEX(
      Donnees!$A:$Z,
      _xlpm.ligpartie + 3,
      MATCH(AE$1, _xlpm.joueurs, 0) + 1
    )
  ), ""
)</f>
        <v/>
      </c>
      <c r="AF323" t="str" cm="1">
        <f t="array" ref="AF323">IFERROR(
  _xlfn.LET(
    _xlpm.ligpartie, MATCH($B322, Donnees!$F:$F, 0),
    _xlpm.joueurs, INDEX(Donnees!$A:$Z, _xlpm.ligpartie+1, _xlfn.SEQUENCE(1, 4, 2)),
    INDEX(
      Donnees!$A:$Z,
      _xlpm.ligpartie + 3,
      MATCH(AF$1, _xlpm.joueurs, 0) + 1
    )
  ), ""
)</f>
        <v/>
      </c>
      <c r="AG323" t="str" cm="1">
        <f t="array" ref="AG323">IFERROR(
  _xlfn.LET(
    _xlpm.ligpartie, MATCH($B322, Donnees!$F:$F, 0),
    _xlpm.joueurs, INDEX(Donnees!$A:$Z, _xlpm.ligpartie+1, _xlfn.SEQUENCE(1, 4, 2)),
    INDEX(
      Donnees!$A:$Z,
      _xlpm.ligpartie + 3,
      MATCH(AG$1, _xlpm.joueurs, 0) + 1
    )
  ), ""
)</f>
        <v/>
      </c>
      <c r="AH323" t="str" cm="1">
        <f t="array" ref="AH323">IFERROR(
  _xlfn.LET(
    _xlpm.ligpartie, MATCH($B322, Donnees!$F:$F, 0),
    _xlpm.joueurs, INDEX(Donnees!$A:$Z, _xlpm.ligpartie+1, _xlfn.SEQUENCE(1, 4, 2)),
    INDEX(
      Donnees!$A:$Z,
      _xlpm.ligpartie + 3,
      MATCH(AH$1, _xlpm.joueurs, 0) + 1
    )
  ), ""
)</f>
        <v/>
      </c>
      <c r="AI323" t="str" cm="1">
        <f t="array" ref="AI323">IFERROR(
  _xlfn.LET(
    _xlpm.ligpartie, MATCH($B322, Donnees!$F:$F, 0),
    _xlpm.joueurs, INDEX(Donnees!$A:$Z, _xlpm.ligpartie+1, _xlfn.SEQUENCE(1, 4, 2)),
    INDEX(
      Donnees!$A:$Z,
      _xlpm.ligpartie + 3,
      MATCH(AI$1, _xlpm.joueurs, 0) + 1
    )
  ), ""
)</f>
        <v/>
      </c>
      <c r="AJ323" t="str" cm="1">
        <f t="array" ref="AJ323">IFERROR(
  _xlfn.LET(
    _xlpm.ligpartie, MATCH($B322, Donnees!$F:$F, 0),
    _xlpm.joueurs, INDEX(Donnees!$A:$Z, _xlpm.ligpartie+1, _xlfn.SEQUENCE(1, 4, 2)),
    INDEX(
      Donnees!$A:$Z,
      _xlpm.ligpartie + 3,
      MATCH(AJ$1, _xlpm.joueurs, 0) + 1
    )
  ), ""
)</f>
        <v/>
      </c>
      <c r="AK323" t="str" cm="1">
        <f t="array" ref="AK323">IFERROR(
  _xlfn.LET(
    _xlpm.ligpartie, MATCH($B322, Donnees!$F:$F, 0),
    _xlpm.joueurs, INDEX(Donnees!$A:$Z, _xlpm.ligpartie+1, _xlfn.SEQUENCE(1, 4, 2)),
    INDEX(
      Donnees!$A:$Z,
      _xlpm.ligpartie + 3,
      MATCH(AK$1, _xlpm.joueurs, 0) + 1
    )
  ), ""
)</f>
        <v/>
      </c>
      <c r="AL323" t="str" cm="1">
        <f t="array" ref="AL323">IFERROR(
  _xlfn.LET(
    _xlpm.ligpartie, MATCH($B322, Donnees!$F:$F, 0),
    _xlpm.joueurs, INDEX(Donnees!$A:$Z, _xlpm.ligpartie+1, _xlfn.SEQUENCE(1, 4, 2)),
    INDEX(
      Donnees!$A:$Z,
      _xlpm.ligpartie + 3,
      MATCH(AL$1, _xlpm.joueurs, 0) + 1
    )
  ), ""
)</f>
        <v/>
      </c>
      <c r="AM323" t="str" cm="1">
        <f t="array" ref="AM323">IFERROR(
  _xlfn.LET(
    _xlpm.ligpartie, MATCH($B322, Donnees!$F:$F, 0),
    _xlpm.joueurs, INDEX(Donnees!$A:$Z, _xlpm.ligpartie+1, _xlfn.SEQUENCE(1, 4, 2)),
    INDEX(
      Donnees!$A:$Z,
      _xlpm.ligpartie + 3,
      MATCH(AM$1, _xlpm.joueurs, 0) + 1
    )
  ), ""
)</f>
        <v/>
      </c>
    </row>
    <row r="324" spans="1:39" x14ac:dyDescent="0.25">
      <c r="A324" t="s">
        <v>20</v>
      </c>
      <c r="D324" t="str" cm="1">
        <f t="array" ref="D324">_xlfn.LET(
  _xlpm.colj, _xlfn._xlws.FILTER(IF(ISNUMBER(323:323), COLUMN(323:323)), ISNUMBER(323:323)),
  _xlpm.elos, INDEX(322:322,1,_xlpm.colj),
  _xlpm.diffscale, Constantes!$B$2,
  IF(D323="",
    "",
    SUM(1/(1+POWER(10,-(D322-_xlpm.elos)/_xlpm.diffscale)))-0.5)
)</f>
        <v/>
      </c>
      <c r="E324" t="str" cm="1">
        <f t="array" ref="E324">_xlfn.LET(
  _xlpm.colj, _xlfn._xlws.FILTER(IF(ISNUMBER(323:323), COLUMN(323:323)), ISNUMBER(323:323)),
  _xlpm.elos, INDEX(322:322,1,_xlpm.colj),
  _xlpm.diffscale, Constantes!$B$2,
  IF(E323="",
    "",
    SUM(1/(1+POWER(10,-(E322-_xlpm.elos)/_xlpm.diffscale)))-0.5)
)</f>
        <v/>
      </c>
      <c r="F324" cm="1">
        <f t="array" ref="F324">_xlfn.LET(
  _xlpm.colj, _xlfn._xlws.FILTER(IF(ISNUMBER(323:323), COLUMN(323:323)), ISNUMBER(323:323)),
  _xlpm.elos, INDEX(322:322,1,_xlpm.colj),
  _xlpm.diffscale, Constantes!$B$2,
  IF(F323="",
    "",
    SUM(1/(1+POWER(10,-(F322-_xlpm.elos)/_xlpm.diffscale)))-0.5)
)</f>
        <v>1.1294169312283908</v>
      </c>
      <c r="G324" t="str" cm="1">
        <f t="array" ref="G324">_xlfn.LET(
  _xlpm.colj, _xlfn._xlws.FILTER(IF(ISNUMBER(323:323), COLUMN(323:323)), ISNUMBER(323:323)),
  _xlpm.elos, INDEX(322:322,1,_xlpm.colj),
  _xlpm.diffscale, Constantes!$B$2,
  IF(G323="",
    "",
    SUM(1/(1+POWER(10,-(G322-_xlpm.elos)/_xlpm.diffscale)))-0.5)
)</f>
        <v/>
      </c>
      <c r="H324" t="str" cm="1">
        <f t="array" ref="H324">_xlfn.LET(
  _xlpm.colj, _xlfn._xlws.FILTER(IF(ISNUMBER(323:323), COLUMN(323:323)), ISNUMBER(323:323)),
  _xlpm.elos, INDEX(322:322,1,_xlpm.colj),
  _xlpm.diffscale, Constantes!$B$2,
  IF(H323="",
    "",
    SUM(1/(1+POWER(10,-(H322-_xlpm.elos)/_xlpm.diffscale)))-0.5)
)</f>
        <v/>
      </c>
      <c r="I324" cm="1">
        <f t="array" ref="I324">_xlfn.LET(
  _xlpm.colj, _xlfn._xlws.FILTER(IF(ISNUMBER(323:323), COLUMN(323:323)), ISNUMBER(323:323)),
  _xlpm.elos, INDEX(322:322,1,_xlpm.colj),
  _xlpm.diffscale, Constantes!$B$2,
  IF(I323="",
    "",
    SUM(1/(1+POWER(10,-(I322-_xlpm.elos)/_xlpm.diffscale)))-0.5)
)</f>
        <v>1.3943096703932116</v>
      </c>
      <c r="J324" t="str" cm="1">
        <f t="array" ref="J324">_xlfn.LET(
  _xlpm.colj, _xlfn._xlws.FILTER(IF(ISNUMBER(323:323), COLUMN(323:323)), ISNUMBER(323:323)),
  _xlpm.elos, INDEX(322:322,1,_xlpm.colj),
  _xlpm.diffscale, Constantes!$B$2,
  IF(J323="",
    "",
    SUM(1/(1+POWER(10,-(J322-_xlpm.elos)/_xlpm.diffscale)))-0.5)
)</f>
        <v/>
      </c>
      <c r="K324" t="str" cm="1">
        <f t="array" ref="K324">_xlfn.LET(
  _xlpm.colj, _xlfn._xlws.FILTER(IF(ISNUMBER(323:323), COLUMN(323:323)), ISNUMBER(323:323)),
  _xlpm.elos, INDEX(322:322,1,_xlpm.colj),
  _xlpm.diffscale, Constantes!$B$2,
  IF(K323="",
    "",
    SUM(1/(1+POWER(10,-(K322-_xlpm.elos)/_xlpm.diffscale)))-0.5)
)</f>
        <v/>
      </c>
      <c r="L324" t="str" cm="1">
        <f t="array" ref="L324">_xlfn.LET(
  _xlpm.colj, _xlfn._xlws.FILTER(IF(ISNUMBER(323:323), COLUMN(323:323)), ISNUMBER(323:323)),
  _xlpm.elos, INDEX(322:322,1,_xlpm.colj),
  _xlpm.diffscale, Constantes!$B$2,
  IF(L323="",
    "",
    SUM(1/(1+POWER(10,-(L322-_xlpm.elos)/_xlpm.diffscale)))-0.5)
)</f>
        <v/>
      </c>
      <c r="M324" t="str" cm="1">
        <f t="array" ref="M324">_xlfn.LET(
  _xlpm.colj, _xlfn._xlws.FILTER(IF(ISNUMBER(323:323), COLUMN(323:323)), ISNUMBER(323:323)),
  _xlpm.elos, INDEX(322:322,1,_xlpm.colj),
  _xlpm.diffscale, Constantes!$B$2,
  IF(M323="",
    "",
    SUM(1/(1+POWER(10,-(M322-_xlpm.elos)/_xlpm.diffscale)))-0.5)
)</f>
        <v/>
      </c>
      <c r="N324" cm="1">
        <f t="array" ref="N324">_xlfn.LET(
  _xlpm.colj, _xlfn._xlws.FILTER(IF(ISNUMBER(323:323), COLUMN(323:323)), ISNUMBER(323:323)),
  _xlpm.elos, INDEX(322:322,1,_xlpm.colj),
  _xlpm.diffscale, Constantes!$B$2,
  IF(N323="",
    "",
    SUM(1/(1+POWER(10,-(N322-_xlpm.elos)/_xlpm.diffscale)))-0.5)
)</f>
        <v>1.1950620758040544</v>
      </c>
      <c r="O324" t="str" cm="1">
        <f t="array" ref="O324">_xlfn.LET(
  _xlpm.colj, _xlfn._xlws.FILTER(IF(ISNUMBER(323:323), COLUMN(323:323)), ISNUMBER(323:323)),
  _xlpm.elos, INDEX(322:322,1,_xlpm.colj),
  _xlpm.diffscale, Constantes!$B$2,
  IF(O323="",
    "",
    SUM(1/(1+POWER(10,-(O322-_xlpm.elos)/_xlpm.diffscale)))-0.5)
)</f>
        <v/>
      </c>
      <c r="P324" t="str" cm="1">
        <f t="array" ref="P324">_xlfn.LET(
  _xlpm.colj, _xlfn._xlws.FILTER(IF(ISNUMBER(323:323), COLUMN(323:323)), ISNUMBER(323:323)),
  _xlpm.elos, INDEX(322:322,1,_xlpm.colj),
  _xlpm.diffscale, Constantes!$B$2,
  IF(P323="",
    "",
    SUM(1/(1+POWER(10,-(P322-_xlpm.elos)/_xlpm.diffscale)))-0.5)
)</f>
        <v/>
      </c>
      <c r="Q324" t="str" cm="1">
        <f t="array" ref="Q324">_xlfn.LET(
  _xlpm.colj, _xlfn._xlws.FILTER(IF(ISNUMBER(323:323), COLUMN(323:323)), ISNUMBER(323:323)),
  _xlpm.elos, INDEX(322:322,1,_xlpm.colj),
  _xlpm.diffscale, Constantes!$B$2,
  IF(Q323="",
    "",
    SUM(1/(1+POWER(10,-(Q322-_xlpm.elos)/_xlpm.diffscale)))-0.5)
)</f>
        <v/>
      </c>
      <c r="R324" t="str" cm="1">
        <f t="array" ref="R324">_xlfn.LET(
  _xlpm.colj, _xlfn._xlws.FILTER(IF(ISNUMBER(323:323), COLUMN(323:323)), ISNUMBER(323:323)),
  _xlpm.elos, INDEX(322:322,1,_xlpm.colj),
  _xlpm.diffscale, Constantes!$B$2,
  IF(R323="",
    "",
    SUM(1/(1+POWER(10,-(R322-_xlpm.elos)/_xlpm.diffscale)))-0.5)
)</f>
        <v/>
      </c>
      <c r="S324" t="str" cm="1">
        <f t="array" ref="S324">_xlfn.LET(
  _xlpm.colj, _xlfn._xlws.FILTER(IF(ISNUMBER(323:323), COLUMN(323:323)), ISNUMBER(323:323)),
  _xlpm.elos, INDEX(322:322,1,_xlpm.colj),
  _xlpm.diffscale, Constantes!$B$2,
  IF(S323="",
    "",
    SUM(1/(1+POWER(10,-(S322-_xlpm.elos)/_xlpm.diffscale)))-0.5)
)</f>
        <v/>
      </c>
      <c r="T324" t="str" cm="1">
        <f t="array" ref="T324">_xlfn.LET(
  _xlpm.colj, _xlfn._xlws.FILTER(IF(ISNUMBER(323:323), COLUMN(323:323)), ISNUMBER(323:323)),
  _xlpm.elos, INDEX(322:322,1,_xlpm.colj),
  _xlpm.diffscale, Constantes!$B$2,
  IF(T323="",
    "",
    SUM(1/(1+POWER(10,-(T322-_xlpm.elos)/_xlpm.diffscale)))-0.5)
)</f>
        <v/>
      </c>
      <c r="U324" t="str" cm="1">
        <f t="array" ref="U324">_xlfn.LET(
  _xlpm.colj, _xlfn._xlws.FILTER(IF(ISNUMBER(323:323), COLUMN(323:323)), ISNUMBER(323:323)),
  _xlpm.elos, INDEX(322:322,1,_xlpm.colj),
  _xlpm.diffscale, Constantes!$B$2,
  IF(U323="",
    "",
    SUM(1/(1+POWER(10,-(U322-_xlpm.elos)/_xlpm.diffscale)))-0.5)
)</f>
        <v/>
      </c>
      <c r="V324" t="str" cm="1">
        <f t="array" ref="V324">_xlfn.LET(
  _xlpm.colj, _xlfn._xlws.FILTER(IF(ISNUMBER(323:323), COLUMN(323:323)), ISNUMBER(323:323)),
  _xlpm.elos, INDEX(322:322,1,_xlpm.colj),
  _xlpm.diffscale, Constantes!$B$2,
  IF(V323="",
    "",
    SUM(1/(1+POWER(10,-(V322-_xlpm.elos)/_xlpm.diffscale)))-0.5)
)</f>
        <v/>
      </c>
      <c r="W324" t="str" cm="1">
        <f t="array" ref="W324">_xlfn.LET(
  _xlpm.colj, _xlfn._xlws.FILTER(IF(ISNUMBER(323:323), COLUMN(323:323)), ISNUMBER(323:323)),
  _xlpm.elos, INDEX(322:322,1,_xlpm.colj),
  _xlpm.diffscale, Constantes!$B$2,
  IF(W323="",
    "",
    SUM(1/(1+POWER(10,-(W322-_xlpm.elos)/_xlpm.diffscale)))-0.5)
)</f>
        <v/>
      </c>
      <c r="X324" t="str" cm="1">
        <f t="array" ref="X324">_xlfn.LET(
  _xlpm.colj, _xlfn._xlws.FILTER(IF(ISNUMBER(323:323), COLUMN(323:323)), ISNUMBER(323:323)),
  _xlpm.elos, INDEX(322:322,1,_xlpm.colj),
  _xlpm.diffscale, Constantes!$B$2,
  IF(X323="",
    "",
    SUM(1/(1+POWER(10,-(X322-_xlpm.elos)/_xlpm.diffscale)))-0.5)
)</f>
        <v/>
      </c>
      <c r="Y324" t="str" cm="1">
        <f t="array" ref="Y324">_xlfn.LET(
  _xlpm.colj, _xlfn._xlws.FILTER(IF(ISNUMBER(323:323), COLUMN(323:323)), ISNUMBER(323:323)),
  _xlpm.elos, INDEX(322:322,1,_xlpm.colj),
  _xlpm.diffscale, Constantes!$B$2,
  IF(Y323="",
    "",
    SUM(1/(1+POWER(10,-(Y322-_xlpm.elos)/_xlpm.diffscale)))-0.5)
)</f>
        <v/>
      </c>
      <c r="Z324" t="str" cm="1">
        <f t="array" ref="Z324">_xlfn.LET(
  _xlpm.colj, _xlfn._xlws.FILTER(IF(ISNUMBER(323:323), COLUMN(323:323)), ISNUMBER(323:323)),
  _xlpm.elos, INDEX(322:322,1,_xlpm.colj),
  _xlpm.diffscale, Constantes!$B$2,
  IF(Z323="",
    "",
    SUM(1/(1+POWER(10,-(Z322-_xlpm.elos)/_xlpm.diffscale)))-0.5)
)</f>
        <v/>
      </c>
      <c r="AA324" t="str" cm="1">
        <f t="array" ref="AA324">_xlfn.LET(
  _xlpm.colj, _xlfn._xlws.FILTER(IF(ISNUMBER(323:323), COLUMN(323:323)), ISNUMBER(323:323)),
  _xlpm.elos, INDEX(322:322,1,_xlpm.colj),
  _xlpm.diffscale, Constantes!$B$2,
  IF(AA323="",
    "",
    SUM(1/(1+POWER(10,-(AA322-_xlpm.elos)/_xlpm.diffscale)))-0.5)
)</f>
        <v/>
      </c>
      <c r="AB324" t="str" cm="1">
        <f t="array" ref="AB324">_xlfn.LET(
  _xlpm.colj, _xlfn._xlws.FILTER(IF(ISNUMBER(323:323), COLUMN(323:323)), ISNUMBER(323:323)),
  _xlpm.elos, INDEX(322:322,1,_xlpm.colj),
  _xlpm.diffscale, Constantes!$B$2,
  IF(AB323="",
    "",
    SUM(1/(1+POWER(10,-(AB322-_xlpm.elos)/_xlpm.diffscale)))-0.5)
)</f>
        <v/>
      </c>
      <c r="AC324" cm="1">
        <f t="array" ref="AC324">_xlfn.LET(
  _xlpm.colj, _xlfn._xlws.FILTER(IF(ISNUMBER(323:323), COLUMN(323:323)), ISNUMBER(323:323)),
  _xlpm.elos, INDEX(322:322,1,_xlpm.colj),
  _xlpm.diffscale, Constantes!$B$2,
  IF(AC323="",
    "",
    SUM(1/(1+POWER(10,-(AC322-_xlpm.elos)/_xlpm.diffscale)))-0.5)
)</f>
        <v>2.2812113225743431</v>
      </c>
      <c r="AD324" t="str" cm="1">
        <f t="array" ref="AD324">_xlfn.LET(
  _xlpm.colj, _xlfn._xlws.FILTER(IF(ISNUMBER(323:323), COLUMN(323:323)), ISNUMBER(323:323)),
  _xlpm.elos, INDEX(322:322,1,_xlpm.colj),
  _xlpm.diffscale, Constantes!$B$2,
  IF(AD323="",
    "",
    SUM(1/(1+POWER(10,-(AD322-_xlpm.elos)/_xlpm.diffscale)))-0.5)
)</f>
        <v/>
      </c>
      <c r="AE324" t="str" cm="1">
        <f t="array" ref="AE324">_xlfn.LET(
  _xlpm.colj, _xlfn._xlws.FILTER(IF(ISNUMBER(323:323), COLUMN(323:323)), ISNUMBER(323:323)),
  _xlpm.elos, INDEX(322:322,1,_xlpm.colj),
  _xlpm.diffscale, Constantes!$B$2,
  IF(AE323="",
    "",
    SUM(1/(1+POWER(10,-(AE322-_xlpm.elos)/_xlpm.diffscale)))-0.5)
)</f>
        <v/>
      </c>
      <c r="AF324" t="str" cm="1">
        <f t="array" ref="AF324">_xlfn.LET(
  _xlpm.colj, _xlfn._xlws.FILTER(IF(ISNUMBER(323:323), COLUMN(323:323)), ISNUMBER(323:323)),
  _xlpm.elos, INDEX(322:322,1,_xlpm.colj),
  _xlpm.diffscale, Constantes!$B$2,
  IF(AF323="",
    "",
    SUM(1/(1+POWER(10,-(AF322-_xlpm.elos)/_xlpm.diffscale)))-0.5)
)</f>
        <v/>
      </c>
      <c r="AG324" t="str" cm="1">
        <f t="array" ref="AG324">_xlfn.LET(
  _xlpm.colj, _xlfn._xlws.FILTER(IF(ISNUMBER(323:323), COLUMN(323:323)), ISNUMBER(323:323)),
  _xlpm.elos, INDEX(322:322,1,_xlpm.colj),
  _xlpm.diffscale, Constantes!$B$2,
  IF(AG323="",
    "",
    SUM(1/(1+POWER(10,-(AG322-_xlpm.elos)/_xlpm.diffscale)))-0.5)
)</f>
        <v/>
      </c>
      <c r="AH324" t="str" cm="1">
        <f t="array" ref="AH324">_xlfn.LET(
  _xlpm.colj, _xlfn._xlws.FILTER(IF(ISNUMBER(323:323), COLUMN(323:323)), ISNUMBER(323:323)),
  _xlpm.elos, INDEX(322:322,1,_xlpm.colj),
  _xlpm.diffscale, Constantes!$B$2,
  IF(AH323="",
    "",
    SUM(1/(1+POWER(10,-(AH322-_xlpm.elos)/_xlpm.diffscale)))-0.5)
)</f>
        <v/>
      </c>
      <c r="AI324" t="str" cm="1">
        <f t="array" ref="AI324">_xlfn.LET(
  _xlpm.colj, _xlfn._xlws.FILTER(IF(ISNUMBER(323:323), COLUMN(323:323)), ISNUMBER(323:323)),
  _xlpm.elos, INDEX(322:322,1,_xlpm.colj),
  _xlpm.diffscale, Constantes!$B$2,
  IF(AI323="",
    "",
    SUM(1/(1+POWER(10,-(AI322-_xlpm.elos)/_xlpm.diffscale)))-0.5)
)</f>
        <v/>
      </c>
      <c r="AJ324" t="str" cm="1">
        <f t="array" ref="AJ324">_xlfn.LET(
  _xlpm.colj, _xlfn._xlws.FILTER(IF(ISNUMBER(323:323), COLUMN(323:323)), ISNUMBER(323:323)),
  _xlpm.elos, INDEX(322:322,1,_xlpm.colj),
  _xlpm.diffscale, Constantes!$B$2,
  IF(AJ323="",
    "",
    SUM(1/(1+POWER(10,-(AJ322-_xlpm.elos)/_xlpm.diffscale)))-0.5)
)</f>
        <v/>
      </c>
      <c r="AK324" t="str" cm="1">
        <f t="array" ref="AK324">_xlfn.LET(
  _xlpm.colj, _xlfn._xlws.FILTER(IF(ISNUMBER(323:323), COLUMN(323:323)), ISNUMBER(323:323)),
  _xlpm.elos, INDEX(322:322,1,_xlpm.colj),
  _xlpm.diffscale, Constantes!$B$2,
  IF(AK323="",
    "",
    SUM(1/(1+POWER(10,-(AK322-_xlpm.elos)/_xlpm.diffscale)))-0.5)
)</f>
        <v/>
      </c>
      <c r="AL324" t="str" cm="1">
        <f t="array" ref="AL324">_xlfn.LET(
  _xlpm.colj, _xlfn._xlws.FILTER(IF(ISNUMBER(323:323), COLUMN(323:323)), ISNUMBER(323:323)),
  _xlpm.elos, INDEX(322:322,1,_xlpm.colj),
  _xlpm.diffscale, Constantes!$B$2,
  IF(AL323="",
    "",
    SUM(1/(1+POWER(10,-(AL322-_xlpm.elos)/_xlpm.diffscale)))-0.5)
)</f>
        <v/>
      </c>
      <c r="AM324" t="str" cm="1">
        <f t="array" ref="AM324">_xlfn.LET(
  _xlpm.colj, _xlfn._xlws.FILTER(IF(ISNUMBER(323:323), COLUMN(323:323)), ISNUMBER(323:323)),
  _xlpm.elos, INDEX(322:322,1,_xlpm.colj),
  _xlpm.diffscale, Constantes!$B$2,
  IF(AM323="",
    "",
    SUM(1/(1+POWER(10,-(AM322-_xlpm.elos)/_xlpm.diffscale)))-0.5)
)</f>
        <v/>
      </c>
    </row>
    <row r="325" spans="1:39" x14ac:dyDescent="0.25">
      <c r="A325" t="s">
        <v>22</v>
      </c>
      <c r="D325" t="str" cm="1">
        <f t="array" ref="D325">_xlfn.LET(
  _xlpm.K, Constantes!$B$3,
  _xlpm.Knewgain, Constantes!$B$4,
  _xlpm.Knewscale, Constantes!$B$5,
  _xlpm.ptstables, INDEX(D:D, _xlfn.SEQUENCE(COUNTA($C$2:$C325), 1, 3, 4)),
  _xlpm.nbparties, COUNTA(_xlfn._xlws.FILTER(_xlpm.ptstables, _xlpm.ptstables &lt;&gt; "")),
  _xlpm.coef, _xlpm.K + _xlpm.Knewgain / (_xlpm.Knewscale + _xlpm.nbparties),
  IF(D323="",
    "",
    _xlpm.coef * (D323-D324))
)</f>
        <v/>
      </c>
      <c r="E325" t="str" cm="1">
        <f t="array" ref="E325">_xlfn.LET(
  _xlpm.K, Constantes!$B$3,
  _xlpm.Knewgain, Constantes!$B$4,
  _xlpm.Knewscale, Constantes!$B$5,
  _xlpm.ptstables, INDEX(E:E, _xlfn.SEQUENCE(COUNTA($C$2:$C325), 1, 3, 4)),
  _xlpm.nbparties, COUNTA(_xlfn._xlws.FILTER(_xlpm.ptstables, _xlpm.ptstables &lt;&gt; "")),
  _xlpm.coef, _xlpm.K + _xlpm.Knewgain / (_xlpm.Knewscale + _xlpm.nbparties),
  IF(E323="",
    "",
    _xlpm.coef * (E323-E324))
)</f>
        <v/>
      </c>
      <c r="F325" cm="1">
        <f t="array" ref="F325">_xlfn.LET(
  _xlpm.K, Constantes!$B$3,
  _xlpm.Knewgain, Constantes!$B$4,
  _xlpm.Knewscale, Constantes!$B$5,
  _xlpm.ptstables, INDEX(F:F, _xlfn.SEQUENCE(COUNTA($C$2:$C325), 1, 3, 4)),
  _xlpm.nbparties, COUNTA(_xlfn._xlws.FILTER(_xlpm.ptstables, _xlpm.ptstables &lt;&gt; "")),
  _xlpm.coef, _xlpm.K + _xlpm.Knewgain / (_xlpm.Knewscale + _xlpm.nbparties),
  IF(F323="",
    "",
    _xlpm.coef * (F323-F324))
)</f>
        <v>-25.411880952638793</v>
      </c>
      <c r="G325" t="str" cm="1">
        <f t="array" ref="G325">_xlfn.LET(
  _xlpm.K, Constantes!$B$3,
  _xlpm.Knewgain, Constantes!$B$4,
  _xlpm.Knewscale, Constantes!$B$5,
  _xlpm.ptstables, INDEX(G:G, _xlfn.SEQUENCE(COUNTA($C$2:$C325), 1, 3, 4)),
  _xlpm.nbparties, COUNTA(_xlfn._xlws.FILTER(_xlpm.ptstables, _xlpm.ptstables &lt;&gt; "")),
  _xlpm.coef, _xlpm.K + _xlpm.Knewgain / (_xlpm.Knewscale + _xlpm.nbparties),
  IF(G323="",
    "",
    _xlpm.coef * (G323-G324))
)</f>
        <v/>
      </c>
      <c r="H325" t="str" cm="1">
        <f t="array" ref="H325">_xlfn.LET(
  _xlpm.K, Constantes!$B$3,
  _xlpm.Knewgain, Constantes!$B$4,
  _xlpm.Knewscale, Constantes!$B$5,
  _xlpm.ptstables, INDEX(H:H, _xlfn.SEQUENCE(COUNTA($C$2:$C325), 1, 3, 4)),
  _xlpm.nbparties, COUNTA(_xlfn._xlws.FILTER(_xlpm.ptstables, _xlpm.ptstables &lt;&gt; "")),
  _xlpm.coef, _xlpm.K + _xlpm.Knewgain / (_xlpm.Knewscale + _xlpm.nbparties),
  IF(H323="",
    "",
    _xlpm.coef * (H323-H324))
)</f>
        <v/>
      </c>
      <c r="I325" cm="1">
        <f t="array" ref="I325">_xlfn.LET(
  _xlpm.K, Constantes!$B$3,
  _xlpm.Knewgain, Constantes!$B$4,
  _xlpm.Knewscale, Constantes!$B$5,
  _xlpm.ptstables, INDEX(I:I, _xlfn.SEQUENCE(COUNTA($C$2:$C325), 1, 3, 4)),
  _xlpm.nbparties, COUNTA(_xlfn._xlws.FILTER(_xlpm.ptstables, _xlpm.ptstables &lt;&gt; "")),
  _xlpm.coef, _xlpm.K + _xlpm.Knewgain / (_xlpm.Knewscale + _xlpm.nbparties),
  IF(I323="",
    "",
    _xlpm.coef * (I323-I324))
)</f>
        <v>38.289538629084952</v>
      </c>
      <c r="J325" t="str" cm="1">
        <f t="array" ref="J325">_xlfn.LET(
  _xlpm.K, Constantes!$B$3,
  _xlpm.Knewgain, Constantes!$B$4,
  _xlpm.Knewscale, Constantes!$B$5,
  _xlpm.ptstables, INDEX(J:J, _xlfn.SEQUENCE(COUNTA($C$2:$C325), 1, 3, 4)),
  _xlpm.nbparties, COUNTA(_xlfn._xlws.FILTER(_xlpm.ptstables, _xlpm.ptstables &lt;&gt; "")),
  _xlpm.coef, _xlpm.K + _xlpm.Knewgain / (_xlpm.Knewscale + _xlpm.nbparties),
  IF(J323="",
    "",
    _xlpm.coef * (J323-J324))
)</f>
        <v/>
      </c>
      <c r="K325" t="str" cm="1">
        <f t="array" ref="K325">_xlfn.LET(
  _xlpm.K, Constantes!$B$3,
  _xlpm.Knewgain, Constantes!$B$4,
  _xlpm.Knewscale, Constantes!$B$5,
  _xlpm.ptstables, INDEX(K:K, _xlfn.SEQUENCE(COUNTA($C$2:$C325), 1, 3, 4)),
  _xlpm.nbparties, COUNTA(_xlfn._xlws.FILTER(_xlpm.ptstables, _xlpm.ptstables &lt;&gt; "")),
  _xlpm.coef, _xlpm.K + _xlpm.Knewgain / (_xlpm.Knewscale + _xlpm.nbparties),
  IF(K323="",
    "",
    _xlpm.coef * (K323-K324))
)</f>
        <v/>
      </c>
      <c r="L325" t="str" cm="1">
        <f t="array" ref="L325">_xlfn.LET(
  _xlpm.K, Constantes!$B$3,
  _xlpm.Knewgain, Constantes!$B$4,
  _xlpm.Knewscale, Constantes!$B$5,
  _xlpm.ptstables, INDEX(L:L, _xlfn.SEQUENCE(COUNTA($C$2:$C325), 1, 3, 4)),
  _xlpm.nbparties, COUNTA(_xlfn._xlws.FILTER(_xlpm.ptstables, _xlpm.ptstables &lt;&gt; "")),
  _xlpm.coef, _xlpm.K + _xlpm.Knewgain / (_xlpm.Knewscale + _xlpm.nbparties),
  IF(L323="",
    "",
    _xlpm.coef * (L323-L324))
)</f>
        <v/>
      </c>
      <c r="M325" t="str" cm="1">
        <f t="array" ref="M325">_xlfn.LET(
  _xlpm.K, Constantes!$B$3,
  _xlpm.Knewgain, Constantes!$B$4,
  _xlpm.Knewscale, Constantes!$B$5,
  _xlpm.ptstables, INDEX(M:M, _xlfn.SEQUENCE(COUNTA($C$2:$C325), 1, 3, 4)),
  _xlpm.nbparties, COUNTA(_xlfn._xlws.FILTER(_xlpm.ptstables, _xlpm.ptstables &lt;&gt; "")),
  _xlpm.coef, _xlpm.K + _xlpm.Knewgain / (_xlpm.Knewscale + _xlpm.nbparties),
  IF(M323="",
    "",
    _xlpm.coef * (M323-M324))
)</f>
        <v/>
      </c>
      <c r="N325" cm="1">
        <f t="array" ref="N325">_xlfn.LET(
  _xlpm.K, Constantes!$B$3,
  _xlpm.Knewgain, Constantes!$B$4,
  _xlpm.Knewscale, Constantes!$B$5,
  _xlpm.ptstables, INDEX(N:N, _xlfn.SEQUENCE(COUNTA($C$2:$C325), 1, 3, 4)),
  _xlpm.nbparties, COUNTA(_xlfn._xlws.FILTER(_xlpm.ptstables, _xlpm.ptstables &lt;&gt; "")),
  _xlpm.coef, _xlpm.K + _xlpm.Knewgain / (_xlpm.Knewscale + _xlpm.nbparties),
  IF(N323="",
    "",
    _xlpm.coef * (N323-N324))
)</f>
        <v>18.781884897905396</v>
      </c>
      <c r="O325" t="str" cm="1">
        <f t="array" ref="O325">_xlfn.LET(
  _xlpm.K, Constantes!$B$3,
  _xlpm.Knewgain, Constantes!$B$4,
  _xlpm.Knewscale, Constantes!$B$5,
  _xlpm.ptstables, INDEX(O:O, _xlfn.SEQUENCE(COUNTA($C$2:$C325), 1, 3, 4)),
  _xlpm.nbparties, COUNTA(_xlfn._xlws.FILTER(_xlpm.ptstables, _xlpm.ptstables &lt;&gt; "")),
  _xlpm.coef, _xlpm.K + _xlpm.Knewgain / (_xlpm.Knewscale + _xlpm.nbparties),
  IF(O323="",
    "",
    _xlpm.coef * (O323-O324))
)</f>
        <v/>
      </c>
      <c r="P325" t="str" cm="1">
        <f t="array" ref="P325">_xlfn.LET(
  _xlpm.K, Constantes!$B$3,
  _xlpm.Knewgain, Constantes!$B$4,
  _xlpm.Knewscale, Constantes!$B$5,
  _xlpm.ptstables, INDEX(P:P, _xlfn.SEQUENCE(COUNTA($C$2:$C325), 1, 3, 4)),
  _xlpm.nbparties, COUNTA(_xlfn._xlws.FILTER(_xlpm.ptstables, _xlpm.ptstables &lt;&gt; "")),
  _xlpm.coef, _xlpm.K + _xlpm.Knewgain / (_xlpm.Knewscale + _xlpm.nbparties),
  IF(P323="",
    "",
    _xlpm.coef * (P323-P324))
)</f>
        <v/>
      </c>
      <c r="Q325" t="str" cm="1">
        <f t="array" ref="Q325">_xlfn.LET(
  _xlpm.K, Constantes!$B$3,
  _xlpm.Knewgain, Constantes!$B$4,
  _xlpm.Knewscale, Constantes!$B$5,
  _xlpm.ptstables, INDEX(Q:Q, _xlfn.SEQUENCE(COUNTA($C$2:$C325), 1, 3, 4)),
  _xlpm.nbparties, COUNTA(_xlfn._xlws.FILTER(_xlpm.ptstables, _xlpm.ptstables &lt;&gt; "")),
  _xlpm.coef, _xlpm.K + _xlpm.Knewgain / (_xlpm.Knewscale + _xlpm.nbparties),
  IF(Q323="",
    "",
    _xlpm.coef * (Q323-Q324))
)</f>
        <v/>
      </c>
      <c r="R325" t="str" cm="1">
        <f t="array" ref="R325">_xlfn.LET(
  _xlpm.K, Constantes!$B$3,
  _xlpm.Knewgain, Constantes!$B$4,
  _xlpm.Knewscale, Constantes!$B$5,
  _xlpm.ptstables, INDEX(R:R, _xlfn.SEQUENCE(COUNTA($C$2:$C325), 1, 3, 4)),
  _xlpm.nbparties, COUNTA(_xlfn._xlws.FILTER(_xlpm.ptstables, _xlpm.ptstables &lt;&gt; "")),
  _xlpm.coef, _xlpm.K + _xlpm.Knewgain / (_xlpm.Knewscale + _xlpm.nbparties),
  IF(R323="",
    "",
    _xlpm.coef * (R323-R324))
)</f>
        <v/>
      </c>
      <c r="S325" t="str" cm="1">
        <f t="array" ref="S325">_xlfn.LET(
  _xlpm.K, Constantes!$B$3,
  _xlpm.Knewgain, Constantes!$B$4,
  _xlpm.Knewscale, Constantes!$B$5,
  _xlpm.ptstables, INDEX(S:S, _xlfn.SEQUENCE(COUNTA($C$2:$C325), 1, 3, 4)),
  _xlpm.nbparties, COUNTA(_xlfn._xlws.FILTER(_xlpm.ptstables, _xlpm.ptstables &lt;&gt; "")),
  _xlpm.coef, _xlpm.K + _xlpm.Knewgain / (_xlpm.Knewscale + _xlpm.nbparties),
  IF(S323="",
    "",
    _xlpm.coef * (S323-S324))
)</f>
        <v/>
      </c>
      <c r="T325" t="str" cm="1">
        <f t="array" ref="T325">_xlfn.LET(
  _xlpm.K, Constantes!$B$3,
  _xlpm.Knewgain, Constantes!$B$4,
  _xlpm.Knewscale, Constantes!$B$5,
  _xlpm.ptstables, INDEX(T:T, _xlfn.SEQUENCE(COUNTA($C$2:$C325), 1, 3, 4)),
  _xlpm.nbparties, COUNTA(_xlfn._xlws.FILTER(_xlpm.ptstables, _xlpm.ptstables &lt;&gt; "")),
  _xlpm.coef, _xlpm.K + _xlpm.Knewgain / (_xlpm.Knewscale + _xlpm.nbparties),
  IF(T323="",
    "",
    _xlpm.coef * (T323-T324))
)</f>
        <v/>
      </c>
      <c r="U325" t="str" cm="1">
        <f t="array" ref="U325">_xlfn.LET(
  _xlpm.K, Constantes!$B$3,
  _xlpm.Knewgain, Constantes!$B$4,
  _xlpm.Knewscale, Constantes!$B$5,
  _xlpm.ptstables, INDEX(U:U, _xlfn.SEQUENCE(COUNTA($C$2:$C325), 1, 3, 4)),
  _xlpm.nbparties, COUNTA(_xlfn._xlws.FILTER(_xlpm.ptstables, _xlpm.ptstables &lt;&gt; "")),
  _xlpm.coef, _xlpm.K + _xlpm.Knewgain / (_xlpm.Knewscale + _xlpm.nbparties),
  IF(U323="",
    "",
    _xlpm.coef * (U323-U324))
)</f>
        <v/>
      </c>
      <c r="V325" t="str" cm="1">
        <f t="array" ref="V325">_xlfn.LET(
  _xlpm.K, Constantes!$B$3,
  _xlpm.Knewgain, Constantes!$B$4,
  _xlpm.Knewscale, Constantes!$B$5,
  _xlpm.ptstables, INDEX(V:V, _xlfn.SEQUENCE(COUNTA($C$2:$C325), 1, 3, 4)),
  _xlpm.nbparties, COUNTA(_xlfn._xlws.FILTER(_xlpm.ptstables, _xlpm.ptstables &lt;&gt; "")),
  _xlpm.coef, _xlpm.K + _xlpm.Knewgain / (_xlpm.Knewscale + _xlpm.nbparties),
  IF(V323="",
    "",
    _xlpm.coef * (V323-V324))
)</f>
        <v/>
      </c>
      <c r="W325" t="str" cm="1">
        <f t="array" ref="W325">_xlfn.LET(
  _xlpm.K, Constantes!$B$3,
  _xlpm.Knewgain, Constantes!$B$4,
  _xlpm.Knewscale, Constantes!$B$5,
  _xlpm.ptstables, INDEX(W:W, _xlfn.SEQUENCE(COUNTA($C$2:$C325), 1, 3, 4)),
  _xlpm.nbparties, COUNTA(_xlfn._xlws.FILTER(_xlpm.ptstables, _xlpm.ptstables &lt;&gt; "")),
  _xlpm.coef, _xlpm.K + _xlpm.Knewgain / (_xlpm.Knewscale + _xlpm.nbparties),
  IF(W323="",
    "",
    _xlpm.coef * (W323-W324))
)</f>
        <v/>
      </c>
      <c r="X325" t="str" cm="1">
        <f t="array" ref="X325">_xlfn.LET(
  _xlpm.K, Constantes!$B$3,
  _xlpm.Knewgain, Constantes!$B$4,
  _xlpm.Knewscale, Constantes!$B$5,
  _xlpm.ptstables, INDEX(X:X, _xlfn.SEQUENCE(COUNTA($C$2:$C325), 1, 3, 4)),
  _xlpm.nbparties, COUNTA(_xlfn._xlws.FILTER(_xlpm.ptstables, _xlpm.ptstables &lt;&gt; "")),
  _xlpm.coef, _xlpm.K + _xlpm.Knewgain / (_xlpm.Knewscale + _xlpm.nbparties),
  IF(X323="",
    "",
    _xlpm.coef * (X323-X324))
)</f>
        <v/>
      </c>
      <c r="Y325" t="str" cm="1">
        <f t="array" ref="Y325">_xlfn.LET(
  _xlpm.K, Constantes!$B$3,
  _xlpm.Knewgain, Constantes!$B$4,
  _xlpm.Knewscale, Constantes!$B$5,
  _xlpm.ptstables, INDEX(Y:Y, _xlfn.SEQUENCE(COUNTA($C$2:$C325), 1, 3, 4)),
  _xlpm.nbparties, COUNTA(_xlfn._xlws.FILTER(_xlpm.ptstables, _xlpm.ptstables &lt;&gt; "")),
  _xlpm.coef, _xlpm.K + _xlpm.Knewgain / (_xlpm.Knewscale + _xlpm.nbparties),
  IF(Y323="",
    "",
    _xlpm.coef * (Y323-Y324))
)</f>
        <v/>
      </c>
      <c r="Z325" t="str" cm="1">
        <f t="array" ref="Z325">_xlfn.LET(
  _xlpm.K, Constantes!$B$3,
  _xlpm.Knewgain, Constantes!$B$4,
  _xlpm.Knewscale, Constantes!$B$5,
  _xlpm.ptstables, INDEX(Z:Z, _xlfn.SEQUENCE(COUNTA($C$2:$C325), 1, 3, 4)),
  _xlpm.nbparties, COUNTA(_xlfn._xlws.FILTER(_xlpm.ptstables, _xlpm.ptstables &lt;&gt; "")),
  _xlpm.coef, _xlpm.K + _xlpm.Knewgain / (_xlpm.Knewscale + _xlpm.nbparties),
  IF(Z323="",
    "",
    _xlpm.coef * (Z323-Z324))
)</f>
        <v/>
      </c>
      <c r="AA325" t="str" cm="1">
        <f t="array" ref="AA325">_xlfn.LET(
  _xlpm.K, Constantes!$B$3,
  _xlpm.Knewgain, Constantes!$B$4,
  _xlpm.Knewscale, Constantes!$B$5,
  _xlpm.ptstables, INDEX(AA:AA, _xlfn.SEQUENCE(COUNTA($C$2:$C325), 1, 3, 4)),
  _xlpm.nbparties, COUNTA(_xlfn._xlws.FILTER(_xlpm.ptstables, _xlpm.ptstables &lt;&gt; "")),
  _xlpm.coef, _xlpm.K + _xlpm.Knewgain / (_xlpm.Knewscale + _xlpm.nbparties),
  IF(AA323="",
    "",
    _xlpm.coef * (AA323-AA324))
)</f>
        <v/>
      </c>
      <c r="AB325" t="str" cm="1">
        <f t="array" ref="AB325">_xlfn.LET(
  _xlpm.K, Constantes!$B$3,
  _xlpm.Knewgain, Constantes!$B$4,
  _xlpm.Knewscale, Constantes!$B$5,
  _xlpm.ptstables, INDEX(AB:AB, _xlfn.SEQUENCE(COUNTA($C$2:$C325), 1, 3, 4)),
  _xlpm.nbparties, COUNTA(_xlfn._xlws.FILTER(_xlpm.ptstables, _xlpm.ptstables &lt;&gt; "")),
  _xlpm.coef, _xlpm.K + _xlpm.Knewgain / (_xlpm.Knewscale + _xlpm.nbparties),
  IF(AB323="",
    "",
    _xlpm.coef * (AB323-AB324))
)</f>
        <v/>
      </c>
      <c r="AC325" cm="1">
        <f t="array" ref="AC325">_xlfn.LET(
  _xlpm.K, Constantes!$B$3,
  _xlpm.Knewgain, Constantes!$B$4,
  _xlpm.Knewscale, Constantes!$B$5,
  _xlpm.ptstables, INDEX(AC:AC, _xlfn.SEQUENCE(COUNTA($C$2:$C325), 1, 3, 4)),
  _xlpm.nbparties, COUNTA(_xlfn._xlws.FILTER(_xlpm.ptstables, _xlpm.ptstables &lt;&gt; "")),
  _xlpm.coef, _xlpm.K + _xlpm.Knewgain / (_xlpm.Knewscale + _xlpm.nbparties),
  IF(AC323="",
    "",
    _xlpm.coef * (AC323-AC324))
)</f>
        <v>-30.962606962213293</v>
      </c>
      <c r="AD325" t="str" cm="1">
        <f t="array" ref="AD325">_xlfn.LET(
  _xlpm.K, Constantes!$B$3,
  _xlpm.Knewgain, Constantes!$B$4,
  _xlpm.Knewscale, Constantes!$B$5,
  _xlpm.ptstables, INDEX(AD:AD, _xlfn.SEQUENCE(COUNTA($C$2:$C325), 1, 3, 4)),
  _xlpm.nbparties, COUNTA(_xlfn._xlws.FILTER(_xlpm.ptstables, _xlpm.ptstables &lt;&gt; "")),
  _xlpm.coef, _xlpm.K + _xlpm.Knewgain / (_xlpm.Knewscale + _xlpm.nbparties),
  IF(AD323="",
    "",
    _xlpm.coef * (AD323-AD324))
)</f>
        <v/>
      </c>
      <c r="AE325" t="str" cm="1">
        <f t="array" ref="AE325">_xlfn.LET(
  _xlpm.K, Constantes!$B$3,
  _xlpm.Knewgain, Constantes!$B$4,
  _xlpm.Knewscale, Constantes!$B$5,
  _xlpm.ptstables, INDEX(AE:AE, _xlfn.SEQUENCE(COUNTA($C$2:$C325), 1, 3, 4)),
  _xlpm.nbparties, COUNTA(_xlfn._xlws.FILTER(_xlpm.ptstables, _xlpm.ptstables &lt;&gt; "")),
  _xlpm.coef, _xlpm.K + _xlpm.Knewgain / (_xlpm.Knewscale + _xlpm.nbparties),
  IF(AE323="",
    "",
    _xlpm.coef * (AE323-AE324))
)</f>
        <v/>
      </c>
      <c r="AF325" t="str" cm="1">
        <f t="array" ref="AF325">_xlfn.LET(
  _xlpm.K, Constantes!$B$3,
  _xlpm.Knewgain, Constantes!$B$4,
  _xlpm.Knewscale, Constantes!$B$5,
  _xlpm.ptstables, INDEX(AF:AF, _xlfn.SEQUENCE(COUNTA($C$2:$C325), 1, 3, 4)),
  _xlpm.nbparties, COUNTA(_xlfn._xlws.FILTER(_xlpm.ptstables, _xlpm.ptstables &lt;&gt; "")),
  _xlpm.coef, _xlpm.K + _xlpm.Knewgain / (_xlpm.Knewscale + _xlpm.nbparties),
  IF(AF323="",
    "",
    _xlpm.coef * (AF323-AF324))
)</f>
        <v/>
      </c>
      <c r="AG325" t="str" cm="1">
        <f t="array" ref="AG325">_xlfn.LET(
  _xlpm.K, Constantes!$B$3,
  _xlpm.Knewgain, Constantes!$B$4,
  _xlpm.Knewscale, Constantes!$B$5,
  _xlpm.ptstables, INDEX(AG:AG, _xlfn.SEQUENCE(COUNTA($C$2:$C325), 1, 3, 4)),
  _xlpm.nbparties, COUNTA(_xlfn._xlws.FILTER(_xlpm.ptstables, _xlpm.ptstables &lt;&gt; "")),
  _xlpm.coef, _xlpm.K + _xlpm.Knewgain / (_xlpm.Knewscale + _xlpm.nbparties),
  IF(AG323="",
    "",
    _xlpm.coef * (AG323-AG324))
)</f>
        <v/>
      </c>
      <c r="AH325" t="str" cm="1">
        <f t="array" ref="AH325">_xlfn.LET(
  _xlpm.K, Constantes!$B$3,
  _xlpm.Knewgain, Constantes!$B$4,
  _xlpm.Knewscale, Constantes!$B$5,
  _xlpm.ptstables, INDEX(AH:AH, _xlfn.SEQUENCE(COUNTA($C$2:$C325), 1, 3, 4)),
  _xlpm.nbparties, COUNTA(_xlfn._xlws.FILTER(_xlpm.ptstables, _xlpm.ptstables &lt;&gt; "")),
  _xlpm.coef, _xlpm.K + _xlpm.Knewgain / (_xlpm.Knewscale + _xlpm.nbparties),
  IF(AH323="",
    "",
    _xlpm.coef * (AH323-AH324))
)</f>
        <v/>
      </c>
      <c r="AI325" t="str" cm="1">
        <f t="array" ref="AI325">_xlfn.LET(
  _xlpm.K, Constantes!$B$3,
  _xlpm.Knewgain, Constantes!$B$4,
  _xlpm.Knewscale, Constantes!$B$5,
  _xlpm.ptstables, INDEX(AI:AI, _xlfn.SEQUENCE(COUNTA($C$2:$C325), 1, 3, 4)),
  _xlpm.nbparties, COUNTA(_xlfn._xlws.FILTER(_xlpm.ptstables, _xlpm.ptstables &lt;&gt; "")),
  _xlpm.coef, _xlpm.K + _xlpm.Knewgain / (_xlpm.Knewscale + _xlpm.nbparties),
  IF(AI323="",
    "",
    _xlpm.coef * (AI323-AI324))
)</f>
        <v/>
      </c>
      <c r="AJ325" t="str" cm="1">
        <f t="array" ref="AJ325">_xlfn.LET(
  _xlpm.K, Constantes!$B$3,
  _xlpm.Knewgain, Constantes!$B$4,
  _xlpm.Knewscale, Constantes!$B$5,
  _xlpm.ptstables, INDEX(AJ:AJ, _xlfn.SEQUENCE(COUNTA($C$2:$C325), 1, 3, 4)),
  _xlpm.nbparties, COUNTA(_xlfn._xlws.FILTER(_xlpm.ptstables, _xlpm.ptstables &lt;&gt; "")),
  _xlpm.coef, _xlpm.K + _xlpm.Knewgain / (_xlpm.Knewscale + _xlpm.nbparties),
  IF(AJ323="",
    "",
    _xlpm.coef * (AJ323-AJ324))
)</f>
        <v/>
      </c>
      <c r="AK325" t="str" cm="1">
        <f t="array" ref="AK325">_xlfn.LET(
  _xlpm.K, Constantes!$B$3,
  _xlpm.Knewgain, Constantes!$B$4,
  _xlpm.Knewscale, Constantes!$B$5,
  _xlpm.ptstables, INDEX(AK:AK, _xlfn.SEQUENCE(COUNTA($C$2:$C325), 1, 3, 4)),
  _xlpm.nbparties, COUNTA(_xlfn._xlws.FILTER(_xlpm.ptstables, _xlpm.ptstables &lt;&gt; "")),
  _xlpm.coef, _xlpm.K + _xlpm.Knewgain / (_xlpm.Knewscale + _xlpm.nbparties),
  IF(AK323="",
    "",
    _xlpm.coef * (AK323-AK324))
)</f>
        <v/>
      </c>
      <c r="AL325" t="str" cm="1">
        <f t="array" ref="AL325">_xlfn.LET(
  _xlpm.K, Constantes!$B$3,
  _xlpm.Knewgain, Constantes!$B$4,
  _xlpm.Knewscale, Constantes!$B$5,
  _xlpm.ptstables, INDEX(AL:AL, _xlfn.SEQUENCE(COUNTA($C$2:$C325), 1, 3, 4)),
  _xlpm.nbparties, COUNTA(_xlfn._xlws.FILTER(_xlpm.ptstables, _xlpm.ptstables &lt;&gt; "")),
  _xlpm.coef, _xlpm.K + _xlpm.Knewgain / (_xlpm.Knewscale + _xlpm.nbparties),
  IF(AL323="",
    "",
    _xlpm.coef * (AL323-AL324))
)</f>
        <v/>
      </c>
      <c r="AM325" t="str" cm="1">
        <f t="array" ref="AM325">_xlfn.LET(
  _xlpm.K, Constantes!$B$3,
  _xlpm.Knewgain, Constantes!$B$4,
  _xlpm.Knewscale, Constantes!$B$5,
  _xlpm.ptstables, INDEX(AM:AM, _xlfn.SEQUENCE(COUNTA($C$2:$C325), 1, 3, 4)),
  _xlpm.nbparties, COUNTA(_xlfn._xlws.FILTER(_xlpm.ptstables, _xlpm.ptstables &lt;&gt; "")),
  _xlpm.coef, _xlpm.K + _xlpm.Knewgain / (_xlpm.Knewscale + _xlpm.nbparties),
  IF(AM323="",
    "",
    _xlpm.coef * (AM323-AM324))
)</f>
        <v/>
      </c>
    </row>
    <row r="326" spans="1:39" x14ac:dyDescent="0.25">
      <c r="A326" t="s">
        <v>14</v>
      </c>
      <c r="B326" t="str" cm="1">
        <f t="array" ref="B32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81</v>
      </c>
      <c r="C326" s="2" cm="1">
        <f t="array" ref="C326">IF(B326="","",
  INDEX(Donnees!F:F, MATCH(B326, Donnees!F:F, 0)+1))</f>
        <v>45948.703761574077</v>
      </c>
      <c r="D326">
        <f t="shared" ref="D326:AM326" si="89">D322+IF(D325="",0,D325)</f>
        <v>1008.0095267292556</v>
      </c>
      <c r="E326">
        <f t="shared" si="89"/>
        <v>1095.6997652278242</v>
      </c>
      <c r="F326">
        <f t="shared" si="89"/>
        <v>846.8375600352191</v>
      </c>
      <c r="G326">
        <f t="shared" si="89"/>
        <v>1119.3162392058323</v>
      </c>
      <c r="H326">
        <f t="shared" si="89"/>
        <v>1139.7553269432372</v>
      </c>
      <c r="I326">
        <f t="shared" si="89"/>
        <v>960.02345484062744</v>
      </c>
      <c r="J326">
        <f t="shared" si="89"/>
        <v>1010.9125108504293</v>
      </c>
      <c r="K326">
        <f t="shared" si="89"/>
        <v>993.90254614824482</v>
      </c>
      <c r="L326">
        <f t="shared" si="89"/>
        <v>799.13054339146868</v>
      </c>
      <c r="M326">
        <f t="shared" si="89"/>
        <v>913.41986361738122</v>
      </c>
      <c r="N326">
        <f t="shared" si="89"/>
        <v>903.42914476260137</v>
      </c>
      <c r="O326">
        <f t="shared" si="89"/>
        <v>998.21178722110983</v>
      </c>
      <c r="P326">
        <f t="shared" si="89"/>
        <v>966.96510844942054</v>
      </c>
      <c r="Q326">
        <f t="shared" si="89"/>
        <v>1050.1062561870472</v>
      </c>
      <c r="R326">
        <f t="shared" si="89"/>
        <v>1086.4040915521041</v>
      </c>
      <c r="S326">
        <f t="shared" si="89"/>
        <v>943.86001337552409</v>
      </c>
      <c r="T326">
        <f t="shared" si="89"/>
        <v>1153.43058185823</v>
      </c>
      <c r="U326">
        <f t="shared" si="89"/>
        <v>1178.4672844595402</v>
      </c>
      <c r="V326">
        <f t="shared" si="89"/>
        <v>969.67171739286073</v>
      </c>
      <c r="W326">
        <f t="shared" si="89"/>
        <v>882.29253769067657</v>
      </c>
      <c r="X326">
        <f t="shared" si="89"/>
        <v>828.97598039785271</v>
      </c>
      <c r="Y326">
        <f t="shared" si="89"/>
        <v>903.14348714035714</v>
      </c>
      <c r="Z326">
        <f t="shared" si="89"/>
        <v>1000.4832210979791</v>
      </c>
      <c r="AA326">
        <f t="shared" si="89"/>
        <v>976.51233940414613</v>
      </c>
      <c r="AB326">
        <f t="shared" si="89"/>
        <v>988.35669729544747</v>
      </c>
      <c r="AC326">
        <f t="shared" si="89"/>
        <v>1063.1996989758877</v>
      </c>
      <c r="AD326">
        <f t="shared" si="89"/>
        <v>1127.3529116409297</v>
      </c>
      <c r="AE326">
        <f t="shared" si="89"/>
        <v>963.23981965000235</v>
      </c>
      <c r="AF326">
        <f t="shared" si="89"/>
        <v>1094.8196847516158</v>
      </c>
      <c r="AG326">
        <f t="shared" si="89"/>
        <v>958.23078604304851</v>
      </c>
      <c r="AH326">
        <f t="shared" si="89"/>
        <v>920.4412636682855</v>
      </c>
      <c r="AI326">
        <f t="shared" si="89"/>
        <v>947.26489657182583</v>
      </c>
      <c r="AJ326">
        <f t="shared" si="89"/>
        <v>906.86354201913434</v>
      </c>
      <c r="AK326">
        <f t="shared" si="89"/>
        <v>1074.0069367206956</v>
      </c>
      <c r="AL326">
        <f t="shared" si="89"/>
        <v>1025.7817971572972</v>
      </c>
      <c r="AM326">
        <f t="shared" si="89"/>
        <v>930.08392160706046</v>
      </c>
    </row>
    <row r="327" spans="1:39" x14ac:dyDescent="0.25">
      <c r="A327" t="s">
        <v>21</v>
      </c>
      <c r="D327" t="str" cm="1">
        <f t="array" ref="D327">IFERROR(
  _xlfn.LET(
    _xlpm.ligpartie, MATCH($B326, Donnees!$F:$F, 0),
    _xlpm.joueurs, INDEX(Donnees!$A:$Z, _xlpm.ligpartie+1, _xlfn.SEQUENCE(1, 4, 2)),
    INDEX(
      Donnees!$A:$Z,
      _xlpm.ligpartie + 3,
      MATCH(D$1, _xlpm.joueurs, 0) + 1
    )
  ), ""
)</f>
        <v/>
      </c>
      <c r="E327" t="str" cm="1">
        <f t="array" ref="E327">IFERROR(
  _xlfn.LET(
    _xlpm.ligpartie, MATCH($B326, Donnees!$F:$F, 0),
    _xlpm.joueurs, INDEX(Donnees!$A:$Z, _xlpm.ligpartie+1, _xlfn.SEQUENCE(1, 4, 2)),
    INDEX(
      Donnees!$A:$Z,
      _xlpm.ligpartie + 3,
      MATCH(E$1, _xlpm.joueurs, 0) + 1
    )
  ), ""
)</f>
        <v/>
      </c>
      <c r="F327" t="str" cm="1">
        <f t="array" ref="F327">IFERROR(
  _xlfn.LET(
    _xlpm.ligpartie, MATCH($B326, Donnees!$F:$F, 0),
    _xlpm.joueurs, INDEX(Donnees!$A:$Z, _xlpm.ligpartie+1, _xlfn.SEQUENCE(1, 4, 2)),
    INDEX(
      Donnees!$A:$Z,
      _xlpm.ligpartie + 3,
      MATCH(F$1, _xlpm.joueurs, 0) + 1
    )
  ), ""
)</f>
        <v/>
      </c>
      <c r="G327" t="str" cm="1">
        <f t="array" ref="G327">IFERROR(
  _xlfn.LET(
    _xlpm.ligpartie, MATCH($B326, Donnees!$F:$F, 0),
    _xlpm.joueurs, INDEX(Donnees!$A:$Z, _xlpm.ligpartie+1, _xlfn.SEQUENCE(1, 4, 2)),
    INDEX(
      Donnees!$A:$Z,
      _xlpm.ligpartie + 3,
      MATCH(G$1, _xlpm.joueurs, 0) + 1
    )
  ), ""
)</f>
        <v/>
      </c>
      <c r="H327" cm="1">
        <f t="array" ref="H327">IFERROR(
  _xlfn.LET(
    _xlpm.ligpartie, MATCH($B326, Donnees!$F:$F, 0),
    _xlpm.joueurs, INDEX(Donnees!$A:$Z, _xlpm.ligpartie+1, _xlfn.SEQUENCE(1, 4, 2)),
    INDEX(
      Donnees!$A:$Z,
      _xlpm.ligpartie + 3,
      MATCH(H$1, _xlpm.joueurs, 0) + 1
    )
  ), ""
)</f>
        <v>1.5</v>
      </c>
      <c r="I327" t="str" cm="1">
        <f t="array" ref="I327">IFERROR(
  _xlfn.LET(
    _xlpm.ligpartie, MATCH($B326, Donnees!$F:$F, 0),
    _xlpm.joueurs, INDEX(Donnees!$A:$Z, _xlpm.ligpartie+1, _xlfn.SEQUENCE(1, 4, 2)),
    INDEX(
      Donnees!$A:$Z,
      _xlpm.ligpartie + 3,
      MATCH(I$1, _xlpm.joueurs, 0) + 1
    )
  ), ""
)</f>
        <v/>
      </c>
      <c r="J327" t="str" cm="1">
        <f t="array" ref="J327">IFERROR(
  _xlfn.LET(
    _xlpm.ligpartie, MATCH($B326, Donnees!$F:$F, 0),
    _xlpm.joueurs, INDEX(Donnees!$A:$Z, _xlpm.ligpartie+1, _xlfn.SEQUENCE(1, 4, 2)),
    INDEX(
      Donnees!$A:$Z,
      _xlpm.ligpartie + 3,
      MATCH(J$1, _xlpm.joueurs, 0) + 1
    )
  ), ""
)</f>
        <v/>
      </c>
      <c r="K327" t="str" cm="1">
        <f t="array" ref="K327">IFERROR(
  _xlfn.LET(
    _xlpm.ligpartie, MATCH($B326, Donnees!$F:$F, 0),
    _xlpm.joueurs, INDEX(Donnees!$A:$Z, _xlpm.ligpartie+1, _xlfn.SEQUENCE(1, 4, 2)),
    INDEX(
      Donnees!$A:$Z,
      _xlpm.ligpartie + 3,
      MATCH(K$1, _xlpm.joueurs, 0) + 1
    )
  ), ""
)</f>
        <v/>
      </c>
      <c r="L327" cm="1">
        <f t="array" ref="L327">IFERROR(
  _xlfn.LET(
    _xlpm.ligpartie, MATCH($B326, Donnees!$F:$F, 0),
    _xlpm.joueurs, INDEX(Donnees!$A:$Z, _xlpm.ligpartie+1, _xlfn.SEQUENCE(1, 4, 2)),
    INDEX(
      Donnees!$A:$Z,
      _xlpm.ligpartie + 3,
      MATCH(L$1, _xlpm.joueurs, 0) + 1
    )
  ), ""
)</f>
        <v>0</v>
      </c>
      <c r="M327" t="str" cm="1">
        <f t="array" ref="M327">IFERROR(
  _xlfn.LET(
    _xlpm.ligpartie, MATCH($B326, Donnees!$F:$F, 0),
    _xlpm.joueurs, INDEX(Donnees!$A:$Z, _xlpm.ligpartie+1, _xlfn.SEQUENCE(1, 4, 2)),
    INDEX(
      Donnees!$A:$Z,
      _xlpm.ligpartie + 3,
      MATCH(M$1, _xlpm.joueurs, 0) + 1
    )
  ), ""
)</f>
        <v/>
      </c>
      <c r="N327" t="str" cm="1">
        <f t="array" ref="N327">IFERROR(
  _xlfn.LET(
    _xlpm.ligpartie, MATCH($B326, Donnees!$F:$F, 0),
    _xlpm.joueurs, INDEX(Donnees!$A:$Z, _xlpm.ligpartie+1, _xlfn.SEQUENCE(1, 4, 2)),
    INDEX(
      Donnees!$A:$Z,
      _xlpm.ligpartie + 3,
      MATCH(N$1, _xlpm.joueurs, 0) + 1
    )
  ), ""
)</f>
        <v/>
      </c>
      <c r="O327" cm="1">
        <f t="array" ref="O327">IFERROR(
  _xlfn.LET(
    _xlpm.ligpartie, MATCH($B326, Donnees!$F:$F, 0),
    _xlpm.joueurs, INDEX(Donnees!$A:$Z, _xlpm.ligpartie+1, _xlfn.SEQUENCE(1, 4, 2)),
    INDEX(
      Donnees!$A:$Z,
      _xlpm.ligpartie + 3,
      MATCH(O$1, _xlpm.joueurs, 0) + 1
    )
  ), ""
)</f>
        <v>3</v>
      </c>
      <c r="P327" cm="1">
        <f t="array" ref="P327">IFERROR(
  _xlfn.LET(
    _xlpm.ligpartie, MATCH($B326, Donnees!$F:$F, 0),
    _xlpm.joueurs, INDEX(Donnees!$A:$Z, _xlpm.ligpartie+1, _xlfn.SEQUENCE(1, 4, 2)),
    INDEX(
      Donnees!$A:$Z,
      _xlpm.ligpartie + 3,
      MATCH(P$1, _xlpm.joueurs, 0) + 1
    )
  ), ""
)</f>
        <v>1.5</v>
      </c>
      <c r="Q327" t="str" cm="1">
        <f t="array" ref="Q327">IFERROR(
  _xlfn.LET(
    _xlpm.ligpartie, MATCH($B326, Donnees!$F:$F, 0),
    _xlpm.joueurs, INDEX(Donnees!$A:$Z, _xlpm.ligpartie+1, _xlfn.SEQUENCE(1, 4, 2)),
    INDEX(
      Donnees!$A:$Z,
      _xlpm.ligpartie + 3,
      MATCH(Q$1, _xlpm.joueurs, 0) + 1
    )
  ), ""
)</f>
        <v/>
      </c>
      <c r="R327" t="str" cm="1">
        <f t="array" ref="R327">IFERROR(
  _xlfn.LET(
    _xlpm.ligpartie, MATCH($B326, Donnees!$F:$F, 0),
    _xlpm.joueurs, INDEX(Donnees!$A:$Z, _xlpm.ligpartie+1, _xlfn.SEQUENCE(1, 4, 2)),
    INDEX(
      Donnees!$A:$Z,
      _xlpm.ligpartie + 3,
      MATCH(R$1, _xlpm.joueurs, 0) + 1
    )
  ), ""
)</f>
        <v/>
      </c>
      <c r="S327" t="str" cm="1">
        <f t="array" ref="S327">IFERROR(
  _xlfn.LET(
    _xlpm.ligpartie, MATCH($B326, Donnees!$F:$F, 0),
    _xlpm.joueurs, INDEX(Donnees!$A:$Z, _xlpm.ligpartie+1, _xlfn.SEQUENCE(1, 4, 2)),
    INDEX(
      Donnees!$A:$Z,
      _xlpm.ligpartie + 3,
      MATCH(S$1, _xlpm.joueurs, 0) + 1
    )
  ), ""
)</f>
        <v/>
      </c>
      <c r="T327" t="str" cm="1">
        <f t="array" ref="T327">IFERROR(
  _xlfn.LET(
    _xlpm.ligpartie, MATCH($B326, Donnees!$F:$F, 0),
    _xlpm.joueurs, INDEX(Donnees!$A:$Z, _xlpm.ligpartie+1, _xlfn.SEQUENCE(1, 4, 2)),
    INDEX(
      Donnees!$A:$Z,
      _xlpm.ligpartie + 3,
      MATCH(T$1, _xlpm.joueurs, 0) + 1
    )
  ), ""
)</f>
        <v/>
      </c>
      <c r="U327" t="str" cm="1">
        <f t="array" ref="U327">IFERROR(
  _xlfn.LET(
    _xlpm.ligpartie, MATCH($B326, Donnees!$F:$F, 0),
    _xlpm.joueurs, INDEX(Donnees!$A:$Z, _xlpm.ligpartie+1, _xlfn.SEQUENCE(1, 4, 2)),
    INDEX(
      Donnees!$A:$Z,
      _xlpm.ligpartie + 3,
      MATCH(U$1, _xlpm.joueurs, 0) + 1
    )
  ), ""
)</f>
        <v/>
      </c>
      <c r="V327" t="str" cm="1">
        <f t="array" ref="V327">IFERROR(
  _xlfn.LET(
    _xlpm.ligpartie, MATCH($B326, Donnees!$F:$F, 0),
    _xlpm.joueurs, INDEX(Donnees!$A:$Z, _xlpm.ligpartie+1, _xlfn.SEQUENCE(1, 4, 2)),
    INDEX(
      Donnees!$A:$Z,
      _xlpm.ligpartie + 3,
      MATCH(V$1, _xlpm.joueurs, 0) + 1
    )
  ), ""
)</f>
        <v/>
      </c>
      <c r="W327" t="str" cm="1">
        <f t="array" ref="W327">IFERROR(
  _xlfn.LET(
    _xlpm.ligpartie, MATCH($B326, Donnees!$F:$F, 0),
    _xlpm.joueurs, INDEX(Donnees!$A:$Z, _xlpm.ligpartie+1, _xlfn.SEQUENCE(1, 4, 2)),
    INDEX(
      Donnees!$A:$Z,
      _xlpm.ligpartie + 3,
      MATCH(W$1, _xlpm.joueurs, 0) + 1
    )
  ), ""
)</f>
        <v/>
      </c>
      <c r="X327" t="str" cm="1">
        <f t="array" ref="X327">IFERROR(
  _xlfn.LET(
    _xlpm.ligpartie, MATCH($B326, Donnees!$F:$F, 0),
    _xlpm.joueurs, INDEX(Donnees!$A:$Z, _xlpm.ligpartie+1, _xlfn.SEQUENCE(1, 4, 2)),
    INDEX(
      Donnees!$A:$Z,
      _xlpm.ligpartie + 3,
      MATCH(X$1, _xlpm.joueurs, 0) + 1
    )
  ), ""
)</f>
        <v/>
      </c>
      <c r="Y327" t="str" cm="1">
        <f t="array" ref="Y327">IFERROR(
  _xlfn.LET(
    _xlpm.ligpartie, MATCH($B326, Donnees!$F:$F, 0),
    _xlpm.joueurs, INDEX(Donnees!$A:$Z, _xlpm.ligpartie+1, _xlfn.SEQUENCE(1, 4, 2)),
    INDEX(
      Donnees!$A:$Z,
      _xlpm.ligpartie + 3,
      MATCH(Y$1, _xlpm.joueurs, 0) + 1
    )
  ), ""
)</f>
        <v/>
      </c>
      <c r="Z327" t="str" cm="1">
        <f t="array" ref="Z327">IFERROR(
  _xlfn.LET(
    _xlpm.ligpartie, MATCH($B326, Donnees!$F:$F, 0),
    _xlpm.joueurs, INDEX(Donnees!$A:$Z, _xlpm.ligpartie+1, _xlfn.SEQUENCE(1, 4, 2)),
    INDEX(
      Donnees!$A:$Z,
      _xlpm.ligpartie + 3,
      MATCH(Z$1, _xlpm.joueurs, 0) + 1
    )
  ), ""
)</f>
        <v/>
      </c>
      <c r="AA327" t="str" cm="1">
        <f t="array" ref="AA327">IFERROR(
  _xlfn.LET(
    _xlpm.ligpartie, MATCH($B326, Donnees!$F:$F, 0),
    _xlpm.joueurs, INDEX(Donnees!$A:$Z, _xlpm.ligpartie+1, _xlfn.SEQUENCE(1, 4, 2)),
    INDEX(
      Donnees!$A:$Z,
      _xlpm.ligpartie + 3,
      MATCH(AA$1, _xlpm.joueurs, 0) + 1
    )
  ), ""
)</f>
        <v/>
      </c>
      <c r="AB327" t="str" cm="1">
        <f t="array" ref="AB327">IFERROR(
  _xlfn.LET(
    _xlpm.ligpartie, MATCH($B326, Donnees!$F:$F, 0),
    _xlpm.joueurs, INDEX(Donnees!$A:$Z, _xlpm.ligpartie+1, _xlfn.SEQUENCE(1, 4, 2)),
    INDEX(
      Donnees!$A:$Z,
      _xlpm.ligpartie + 3,
      MATCH(AB$1, _xlpm.joueurs, 0) + 1
    )
  ), ""
)</f>
        <v/>
      </c>
      <c r="AC327" t="str" cm="1">
        <f t="array" ref="AC327">IFERROR(
  _xlfn.LET(
    _xlpm.ligpartie, MATCH($B326, Donnees!$F:$F, 0),
    _xlpm.joueurs, INDEX(Donnees!$A:$Z, _xlpm.ligpartie+1, _xlfn.SEQUENCE(1, 4, 2)),
    INDEX(
      Donnees!$A:$Z,
      _xlpm.ligpartie + 3,
      MATCH(AC$1, _xlpm.joueurs, 0) + 1
    )
  ), ""
)</f>
        <v/>
      </c>
      <c r="AD327" t="str" cm="1">
        <f t="array" ref="AD327">IFERROR(
  _xlfn.LET(
    _xlpm.ligpartie, MATCH($B326, Donnees!$F:$F, 0),
    _xlpm.joueurs, INDEX(Donnees!$A:$Z, _xlpm.ligpartie+1, _xlfn.SEQUENCE(1, 4, 2)),
    INDEX(
      Donnees!$A:$Z,
      _xlpm.ligpartie + 3,
      MATCH(AD$1, _xlpm.joueurs, 0) + 1
    )
  ), ""
)</f>
        <v/>
      </c>
      <c r="AE327" t="str" cm="1">
        <f t="array" ref="AE327">IFERROR(
  _xlfn.LET(
    _xlpm.ligpartie, MATCH($B326, Donnees!$F:$F, 0),
    _xlpm.joueurs, INDEX(Donnees!$A:$Z, _xlpm.ligpartie+1, _xlfn.SEQUENCE(1, 4, 2)),
    INDEX(
      Donnees!$A:$Z,
      _xlpm.ligpartie + 3,
      MATCH(AE$1, _xlpm.joueurs, 0) + 1
    )
  ), ""
)</f>
        <v/>
      </c>
      <c r="AF327" t="str" cm="1">
        <f t="array" ref="AF327">IFERROR(
  _xlfn.LET(
    _xlpm.ligpartie, MATCH($B326, Donnees!$F:$F, 0),
    _xlpm.joueurs, INDEX(Donnees!$A:$Z, _xlpm.ligpartie+1, _xlfn.SEQUENCE(1, 4, 2)),
    INDEX(
      Donnees!$A:$Z,
      _xlpm.ligpartie + 3,
      MATCH(AF$1, _xlpm.joueurs, 0) + 1
    )
  ), ""
)</f>
        <v/>
      </c>
      <c r="AG327" t="str" cm="1">
        <f t="array" ref="AG327">IFERROR(
  _xlfn.LET(
    _xlpm.ligpartie, MATCH($B326, Donnees!$F:$F, 0),
    _xlpm.joueurs, INDEX(Donnees!$A:$Z, _xlpm.ligpartie+1, _xlfn.SEQUENCE(1, 4, 2)),
    INDEX(
      Donnees!$A:$Z,
      _xlpm.ligpartie + 3,
      MATCH(AG$1, _xlpm.joueurs, 0) + 1
    )
  ), ""
)</f>
        <v/>
      </c>
      <c r="AH327" t="str" cm="1">
        <f t="array" ref="AH327">IFERROR(
  _xlfn.LET(
    _xlpm.ligpartie, MATCH($B326, Donnees!$F:$F, 0),
    _xlpm.joueurs, INDEX(Donnees!$A:$Z, _xlpm.ligpartie+1, _xlfn.SEQUENCE(1, 4, 2)),
    INDEX(
      Donnees!$A:$Z,
      _xlpm.ligpartie + 3,
      MATCH(AH$1, _xlpm.joueurs, 0) + 1
    )
  ), ""
)</f>
        <v/>
      </c>
      <c r="AI327" t="str" cm="1">
        <f t="array" ref="AI327">IFERROR(
  _xlfn.LET(
    _xlpm.ligpartie, MATCH($B326, Donnees!$F:$F, 0),
    _xlpm.joueurs, INDEX(Donnees!$A:$Z, _xlpm.ligpartie+1, _xlfn.SEQUENCE(1, 4, 2)),
    INDEX(
      Donnees!$A:$Z,
      _xlpm.ligpartie + 3,
      MATCH(AI$1, _xlpm.joueurs, 0) + 1
    )
  ), ""
)</f>
        <v/>
      </c>
      <c r="AJ327" t="str" cm="1">
        <f t="array" ref="AJ327">IFERROR(
  _xlfn.LET(
    _xlpm.ligpartie, MATCH($B326, Donnees!$F:$F, 0),
    _xlpm.joueurs, INDEX(Donnees!$A:$Z, _xlpm.ligpartie+1, _xlfn.SEQUENCE(1, 4, 2)),
    INDEX(
      Donnees!$A:$Z,
      _xlpm.ligpartie + 3,
      MATCH(AJ$1, _xlpm.joueurs, 0) + 1
    )
  ), ""
)</f>
        <v/>
      </c>
      <c r="AK327" t="str" cm="1">
        <f t="array" ref="AK327">IFERROR(
  _xlfn.LET(
    _xlpm.ligpartie, MATCH($B326, Donnees!$F:$F, 0),
    _xlpm.joueurs, INDEX(Donnees!$A:$Z, _xlpm.ligpartie+1, _xlfn.SEQUENCE(1, 4, 2)),
    INDEX(
      Donnees!$A:$Z,
      _xlpm.ligpartie + 3,
      MATCH(AK$1, _xlpm.joueurs, 0) + 1
    )
  ), ""
)</f>
        <v/>
      </c>
      <c r="AL327" t="str" cm="1">
        <f t="array" ref="AL327">IFERROR(
  _xlfn.LET(
    _xlpm.ligpartie, MATCH($B326, Donnees!$F:$F, 0),
    _xlpm.joueurs, INDEX(Donnees!$A:$Z, _xlpm.ligpartie+1, _xlfn.SEQUENCE(1, 4, 2)),
    INDEX(
      Donnees!$A:$Z,
      _xlpm.ligpartie + 3,
      MATCH(AL$1, _xlpm.joueurs, 0) + 1
    )
  ), ""
)</f>
        <v/>
      </c>
      <c r="AM327" t="str" cm="1">
        <f t="array" ref="AM327">IFERROR(
  _xlfn.LET(
    _xlpm.ligpartie, MATCH($B326, Donnees!$F:$F, 0),
    _xlpm.joueurs, INDEX(Donnees!$A:$Z, _xlpm.ligpartie+1, _xlfn.SEQUENCE(1, 4, 2)),
    INDEX(
      Donnees!$A:$Z,
      _xlpm.ligpartie + 3,
      MATCH(AM$1, _xlpm.joueurs, 0) + 1
    )
  ), ""
)</f>
        <v/>
      </c>
    </row>
    <row r="328" spans="1:39" x14ac:dyDescent="0.25">
      <c r="A328" t="s">
        <v>20</v>
      </c>
      <c r="D328" t="str" cm="1">
        <f t="array" ref="D328">_xlfn.LET(
  _xlpm.colj, _xlfn._xlws.FILTER(IF(ISNUMBER(327:327), COLUMN(327:327)), ISNUMBER(327:327)),
  _xlpm.elos, INDEX(326:326,1,_xlpm.colj),
  _xlpm.diffscale, Constantes!$B$2,
  IF(D327="",
    "",
    SUM(1/(1+POWER(10,-(D326-_xlpm.elos)/_xlpm.diffscale)))-0.5)
)</f>
        <v/>
      </c>
      <c r="E328" t="str" cm="1">
        <f t="array" ref="E328">_xlfn.LET(
  _xlpm.colj, _xlfn._xlws.FILTER(IF(ISNUMBER(327:327), COLUMN(327:327)), ISNUMBER(327:327)),
  _xlpm.elos, INDEX(326:326,1,_xlpm.colj),
  _xlpm.diffscale, Constantes!$B$2,
  IF(E327="",
    "",
    SUM(1/(1+POWER(10,-(E326-_xlpm.elos)/_xlpm.diffscale)))-0.5)
)</f>
        <v/>
      </c>
      <c r="F328" t="str" cm="1">
        <f t="array" ref="F328">_xlfn.LET(
  _xlpm.colj, _xlfn._xlws.FILTER(IF(ISNUMBER(327:327), COLUMN(327:327)), ISNUMBER(327:327)),
  _xlpm.elos, INDEX(326:326,1,_xlpm.colj),
  _xlpm.diffscale, Constantes!$B$2,
  IF(F327="",
    "",
    SUM(1/(1+POWER(10,-(F326-_xlpm.elos)/_xlpm.diffscale)))-0.5)
)</f>
        <v/>
      </c>
      <c r="G328" t="str" cm="1">
        <f t="array" ref="G328">_xlfn.LET(
  _xlpm.colj, _xlfn._xlws.FILTER(IF(ISNUMBER(327:327), COLUMN(327:327)), ISNUMBER(327:327)),
  _xlpm.elos, INDEX(326:326,1,_xlpm.colj),
  _xlpm.diffscale, Constantes!$B$2,
  IF(G327="",
    "",
    SUM(1/(1+POWER(10,-(G326-_xlpm.elos)/_xlpm.diffscale)))-0.5)
)</f>
        <v/>
      </c>
      <c r="H328" cm="1">
        <f t="array" ref="H328">_xlfn.LET(
  _xlpm.colj, _xlfn._xlws.FILTER(IF(ISNUMBER(327:327), COLUMN(327:327)), ISNUMBER(327:327)),
  _xlpm.elos, INDEX(326:326,1,_xlpm.colj),
  _xlpm.diffscale, Constantes!$B$2,
  IF(H327="",
    "",
    SUM(1/(1+POWER(10,-(H326-_xlpm.elos)/_xlpm.diffscale)))-0.5)
)</f>
        <v>2.2997556152767489</v>
      </c>
      <c r="I328" t="str" cm="1">
        <f t="array" ref="I328">_xlfn.LET(
  _xlpm.colj, _xlfn._xlws.FILTER(IF(ISNUMBER(327:327), COLUMN(327:327)), ISNUMBER(327:327)),
  _xlpm.elos, INDEX(326:326,1,_xlpm.colj),
  _xlpm.diffscale, Constantes!$B$2,
  IF(I327="",
    "",
    SUM(1/(1+POWER(10,-(I326-_xlpm.elos)/_xlpm.diffscale)))-0.5)
)</f>
        <v/>
      </c>
      <c r="J328" t="str" cm="1">
        <f t="array" ref="J328">_xlfn.LET(
  _xlpm.colj, _xlfn._xlws.FILTER(IF(ISNUMBER(327:327), COLUMN(327:327)), ISNUMBER(327:327)),
  _xlpm.elos, INDEX(326:326,1,_xlpm.colj),
  _xlpm.diffscale, Constantes!$B$2,
  IF(J327="",
    "",
    SUM(1/(1+POWER(10,-(J326-_xlpm.elos)/_xlpm.diffscale)))-0.5)
)</f>
        <v/>
      </c>
      <c r="K328" t="str" cm="1">
        <f t="array" ref="K328">_xlfn.LET(
  _xlpm.colj, _xlfn._xlws.FILTER(IF(ISNUMBER(327:327), COLUMN(327:327)), ISNUMBER(327:327)),
  _xlpm.elos, INDEX(326:326,1,_xlpm.colj),
  _xlpm.diffscale, Constantes!$B$2,
  IF(K327="",
    "",
    SUM(1/(1+POWER(10,-(K326-_xlpm.elos)/_xlpm.diffscale)))-0.5)
)</f>
        <v/>
      </c>
      <c r="L328" cm="1">
        <f t="array" ref="L328">_xlfn.LET(
  _xlpm.colj, _xlfn._xlws.FILTER(IF(ISNUMBER(327:327), COLUMN(327:327)), ISNUMBER(327:327)),
  _xlpm.elos, INDEX(326:326,1,_xlpm.colj),
  _xlpm.diffscale, Constantes!$B$2,
  IF(L327="",
    "",
    SUM(1/(1+POWER(10,-(L326-_xlpm.elos)/_xlpm.diffscale)))-0.5)
)</f>
        <v>0.640252791597691</v>
      </c>
      <c r="M328" t="str" cm="1">
        <f t="array" ref="M328">_xlfn.LET(
  _xlpm.colj, _xlfn._xlws.FILTER(IF(ISNUMBER(327:327), COLUMN(327:327)), ISNUMBER(327:327)),
  _xlpm.elos, INDEX(326:326,1,_xlpm.colj),
  _xlpm.diffscale, Constantes!$B$2,
  IF(M327="",
    "",
    SUM(1/(1+POWER(10,-(M326-_xlpm.elos)/_xlpm.diffscale)))-0.5)
)</f>
        <v/>
      </c>
      <c r="N328" t="str" cm="1">
        <f t="array" ref="N328">_xlfn.LET(
  _xlpm.colj, _xlfn._xlws.FILTER(IF(ISNUMBER(327:327), COLUMN(327:327)), ISNUMBER(327:327)),
  _xlpm.elos, INDEX(326:326,1,_xlpm.colj),
  _xlpm.diffscale, Constantes!$B$2,
  IF(N327="",
    "",
    SUM(1/(1+POWER(10,-(N326-_xlpm.elos)/_xlpm.diffscale)))-0.5)
)</f>
        <v/>
      </c>
      <c r="O328" cm="1">
        <f t="array" ref="O328">_xlfn.LET(
  _xlpm.colj, _xlfn._xlws.FILTER(IF(ISNUMBER(327:327), COLUMN(327:327)), ISNUMBER(327:327)),
  _xlpm.elos, INDEX(326:326,1,_xlpm.colj),
  _xlpm.diffscale, Constantes!$B$2,
  IF(O327="",
    "",
    SUM(1/(1+POWER(10,-(O326-_xlpm.elos)/_xlpm.diffscale)))-0.5)
)</f>
        <v>1.6104976619333171</v>
      </c>
      <c r="P328" cm="1">
        <f t="array" ref="P328">_xlfn.LET(
  _xlpm.colj, _xlfn._xlws.FILTER(IF(ISNUMBER(327:327), COLUMN(327:327)), ISNUMBER(327:327)),
  _xlpm.elos, INDEX(326:326,1,_xlpm.colj),
  _xlpm.diffscale, Constantes!$B$2,
  IF(P327="",
    "",
    SUM(1/(1+POWER(10,-(P326-_xlpm.elos)/_xlpm.diffscale)))-0.5)
)</f>
        <v>1.449493931192243</v>
      </c>
      <c r="Q328" t="str" cm="1">
        <f t="array" ref="Q328">_xlfn.LET(
  _xlpm.colj, _xlfn._xlws.FILTER(IF(ISNUMBER(327:327), COLUMN(327:327)), ISNUMBER(327:327)),
  _xlpm.elos, INDEX(326:326,1,_xlpm.colj),
  _xlpm.diffscale, Constantes!$B$2,
  IF(Q327="",
    "",
    SUM(1/(1+POWER(10,-(Q326-_xlpm.elos)/_xlpm.diffscale)))-0.5)
)</f>
        <v/>
      </c>
      <c r="R328" t="str" cm="1">
        <f t="array" ref="R328">_xlfn.LET(
  _xlpm.colj, _xlfn._xlws.FILTER(IF(ISNUMBER(327:327), COLUMN(327:327)), ISNUMBER(327:327)),
  _xlpm.elos, INDEX(326:326,1,_xlpm.colj),
  _xlpm.diffscale, Constantes!$B$2,
  IF(R327="",
    "",
    SUM(1/(1+POWER(10,-(R326-_xlpm.elos)/_xlpm.diffscale)))-0.5)
)</f>
        <v/>
      </c>
      <c r="S328" t="str" cm="1">
        <f t="array" ref="S328">_xlfn.LET(
  _xlpm.colj, _xlfn._xlws.FILTER(IF(ISNUMBER(327:327), COLUMN(327:327)), ISNUMBER(327:327)),
  _xlpm.elos, INDEX(326:326,1,_xlpm.colj),
  _xlpm.diffscale, Constantes!$B$2,
  IF(S327="",
    "",
    SUM(1/(1+POWER(10,-(S326-_xlpm.elos)/_xlpm.diffscale)))-0.5)
)</f>
        <v/>
      </c>
      <c r="T328" t="str" cm="1">
        <f t="array" ref="T328">_xlfn.LET(
  _xlpm.colj, _xlfn._xlws.FILTER(IF(ISNUMBER(327:327), COLUMN(327:327)), ISNUMBER(327:327)),
  _xlpm.elos, INDEX(326:326,1,_xlpm.colj),
  _xlpm.diffscale, Constantes!$B$2,
  IF(T327="",
    "",
    SUM(1/(1+POWER(10,-(T326-_xlpm.elos)/_xlpm.diffscale)))-0.5)
)</f>
        <v/>
      </c>
      <c r="U328" t="str" cm="1">
        <f t="array" ref="U328">_xlfn.LET(
  _xlpm.colj, _xlfn._xlws.FILTER(IF(ISNUMBER(327:327), COLUMN(327:327)), ISNUMBER(327:327)),
  _xlpm.elos, INDEX(326:326,1,_xlpm.colj),
  _xlpm.diffscale, Constantes!$B$2,
  IF(U327="",
    "",
    SUM(1/(1+POWER(10,-(U326-_xlpm.elos)/_xlpm.diffscale)))-0.5)
)</f>
        <v/>
      </c>
      <c r="V328" t="str" cm="1">
        <f t="array" ref="V328">_xlfn.LET(
  _xlpm.colj, _xlfn._xlws.FILTER(IF(ISNUMBER(327:327), COLUMN(327:327)), ISNUMBER(327:327)),
  _xlpm.elos, INDEX(326:326,1,_xlpm.colj),
  _xlpm.diffscale, Constantes!$B$2,
  IF(V327="",
    "",
    SUM(1/(1+POWER(10,-(V326-_xlpm.elos)/_xlpm.diffscale)))-0.5)
)</f>
        <v/>
      </c>
      <c r="W328" t="str" cm="1">
        <f t="array" ref="W328">_xlfn.LET(
  _xlpm.colj, _xlfn._xlws.FILTER(IF(ISNUMBER(327:327), COLUMN(327:327)), ISNUMBER(327:327)),
  _xlpm.elos, INDEX(326:326,1,_xlpm.colj),
  _xlpm.diffscale, Constantes!$B$2,
  IF(W327="",
    "",
    SUM(1/(1+POWER(10,-(W326-_xlpm.elos)/_xlpm.diffscale)))-0.5)
)</f>
        <v/>
      </c>
      <c r="X328" t="str" cm="1">
        <f t="array" ref="X328">_xlfn.LET(
  _xlpm.colj, _xlfn._xlws.FILTER(IF(ISNUMBER(327:327), COLUMN(327:327)), ISNUMBER(327:327)),
  _xlpm.elos, INDEX(326:326,1,_xlpm.colj),
  _xlpm.diffscale, Constantes!$B$2,
  IF(X327="",
    "",
    SUM(1/(1+POWER(10,-(X326-_xlpm.elos)/_xlpm.diffscale)))-0.5)
)</f>
        <v/>
      </c>
      <c r="Y328" t="str" cm="1">
        <f t="array" ref="Y328">_xlfn.LET(
  _xlpm.colj, _xlfn._xlws.FILTER(IF(ISNUMBER(327:327), COLUMN(327:327)), ISNUMBER(327:327)),
  _xlpm.elos, INDEX(326:326,1,_xlpm.colj),
  _xlpm.diffscale, Constantes!$B$2,
  IF(Y327="",
    "",
    SUM(1/(1+POWER(10,-(Y326-_xlpm.elos)/_xlpm.diffscale)))-0.5)
)</f>
        <v/>
      </c>
      <c r="Z328" t="str" cm="1">
        <f t="array" ref="Z328">_xlfn.LET(
  _xlpm.colj, _xlfn._xlws.FILTER(IF(ISNUMBER(327:327), COLUMN(327:327)), ISNUMBER(327:327)),
  _xlpm.elos, INDEX(326:326,1,_xlpm.colj),
  _xlpm.diffscale, Constantes!$B$2,
  IF(Z327="",
    "",
    SUM(1/(1+POWER(10,-(Z326-_xlpm.elos)/_xlpm.diffscale)))-0.5)
)</f>
        <v/>
      </c>
      <c r="AA328" t="str" cm="1">
        <f t="array" ref="AA328">_xlfn.LET(
  _xlpm.colj, _xlfn._xlws.FILTER(IF(ISNUMBER(327:327), COLUMN(327:327)), ISNUMBER(327:327)),
  _xlpm.elos, INDEX(326:326,1,_xlpm.colj),
  _xlpm.diffscale, Constantes!$B$2,
  IF(AA327="",
    "",
    SUM(1/(1+POWER(10,-(AA326-_xlpm.elos)/_xlpm.diffscale)))-0.5)
)</f>
        <v/>
      </c>
      <c r="AB328" t="str" cm="1">
        <f t="array" ref="AB328">_xlfn.LET(
  _xlpm.colj, _xlfn._xlws.FILTER(IF(ISNUMBER(327:327), COLUMN(327:327)), ISNUMBER(327:327)),
  _xlpm.elos, INDEX(326:326,1,_xlpm.colj),
  _xlpm.diffscale, Constantes!$B$2,
  IF(AB327="",
    "",
    SUM(1/(1+POWER(10,-(AB326-_xlpm.elos)/_xlpm.diffscale)))-0.5)
)</f>
        <v/>
      </c>
      <c r="AC328" t="str" cm="1">
        <f t="array" ref="AC328">_xlfn.LET(
  _xlpm.colj, _xlfn._xlws.FILTER(IF(ISNUMBER(327:327), COLUMN(327:327)), ISNUMBER(327:327)),
  _xlpm.elos, INDEX(326:326,1,_xlpm.colj),
  _xlpm.diffscale, Constantes!$B$2,
  IF(AC327="",
    "",
    SUM(1/(1+POWER(10,-(AC326-_xlpm.elos)/_xlpm.diffscale)))-0.5)
)</f>
        <v/>
      </c>
      <c r="AD328" t="str" cm="1">
        <f t="array" ref="AD328">_xlfn.LET(
  _xlpm.colj, _xlfn._xlws.FILTER(IF(ISNUMBER(327:327), COLUMN(327:327)), ISNUMBER(327:327)),
  _xlpm.elos, INDEX(326:326,1,_xlpm.colj),
  _xlpm.diffscale, Constantes!$B$2,
  IF(AD327="",
    "",
    SUM(1/(1+POWER(10,-(AD326-_xlpm.elos)/_xlpm.diffscale)))-0.5)
)</f>
        <v/>
      </c>
      <c r="AE328" t="str" cm="1">
        <f t="array" ref="AE328">_xlfn.LET(
  _xlpm.colj, _xlfn._xlws.FILTER(IF(ISNUMBER(327:327), COLUMN(327:327)), ISNUMBER(327:327)),
  _xlpm.elos, INDEX(326:326,1,_xlpm.colj),
  _xlpm.diffscale, Constantes!$B$2,
  IF(AE327="",
    "",
    SUM(1/(1+POWER(10,-(AE326-_xlpm.elos)/_xlpm.diffscale)))-0.5)
)</f>
        <v/>
      </c>
      <c r="AF328" t="str" cm="1">
        <f t="array" ref="AF328">_xlfn.LET(
  _xlpm.colj, _xlfn._xlws.FILTER(IF(ISNUMBER(327:327), COLUMN(327:327)), ISNUMBER(327:327)),
  _xlpm.elos, INDEX(326:326,1,_xlpm.colj),
  _xlpm.diffscale, Constantes!$B$2,
  IF(AF327="",
    "",
    SUM(1/(1+POWER(10,-(AF326-_xlpm.elos)/_xlpm.diffscale)))-0.5)
)</f>
        <v/>
      </c>
      <c r="AG328" t="str" cm="1">
        <f t="array" ref="AG328">_xlfn.LET(
  _xlpm.colj, _xlfn._xlws.FILTER(IF(ISNUMBER(327:327), COLUMN(327:327)), ISNUMBER(327:327)),
  _xlpm.elos, INDEX(326:326,1,_xlpm.colj),
  _xlpm.diffscale, Constantes!$B$2,
  IF(AG327="",
    "",
    SUM(1/(1+POWER(10,-(AG326-_xlpm.elos)/_xlpm.diffscale)))-0.5)
)</f>
        <v/>
      </c>
      <c r="AH328" t="str" cm="1">
        <f t="array" ref="AH328">_xlfn.LET(
  _xlpm.colj, _xlfn._xlws.FILTER(IF(ISNUMBER(327:327), COLUMN(327:327)), ISNUMBER(327:327)),
  _xlpm.elos, INDEX(326:326,1,_xlpm.colj),
  _xlpm.diffscale, Constantes!$B$2,
  IF(AH327="",
    "",
    SUM(1/(1+POWER(10,-(AH326-_xlpm.elos)/_xlpm.diffscale)))-0.5)
)</f>
        <v/>
      </c>
      <c r="AI328" t="str" cm="1">
        <f t="array" ref="AI328">_xlfn.LET(
  _xlpm.colj, _xlfn._xlws.FILTER(IF(ISNUMBER(327:327), COLUMN(327:327)), ISNUMBER(327:327)),
  _xlpm.elos, INDEX(326:326,1,_xlpm.colj),
  _xlpm.diffscale, Constantes!$B$2,
  IF(AI327="",
    "",
    SUM(1/(1+POWER(10,-(AI326-_xlpm.elos)/_xlpm.diffscale)))-0.5)
)</f>
        <v/>
      </c>
      <c r="AJ328" t="str" cm="1">
        <f t="array" ref="AJ328">_xlfn.LET(
  _xlpm.colj, _xlfn._xlws.FILTER(IF(ISNUMBER(327:327), COLUMN(327:327)), ISNUMBER(327:327)),
  _xlpm.elos, INDEX(326:326,1,_xlpm.colj),
  _xlpm.diffscale, Constantes!$B$2,
  IF(AJ327="",
    "",
    SUM(1/(1+POWER(10,-(AJ326-_xlpm.elos)/_xlpm.diffscale)))-0.5)
)</f>
        <v/>
      </c>
      <c r="AK328" t="str" cm="1">
        <f t="array" ref="AK328">_xlfn.LET(
  _xlpm.colj, _xlfn._xlws.FILTER(IF(ISNUMBER(327:327), COLUMN(327:327)), ISNUMBER(327:327)),
  _xlpm.elos, INDEX(326:326,1,_xlpm.colj),
  _xlpm.diffscale, Constantes!$B$2,
  IF(AK327="",
    "",
    SUM(1/(1+POWER(10,-(AK326-_xlpm.elos)/_xlpm.diffscale)))-0.5)
)</f>
        <v/>
      </c>
      <c r="AL328" t="str" cm="1">
        <f t="array" ref="AL328">_xlfn.LET(
  _xlpm.colj, _xlfn._xlws.FILTER(IF(ISNUMBER(327:327), COLUMN(327:327)), ISNUMBER(327:327)),
  _xlpm.elos, INDEX(326:326,1,_xlpm.colj),
  _xlpm.diffscale, Constantes!$B$2,
  IF(AL327="",
    "",
    SUM(1/(1+POWER(10,-(AL326-_xlpm.elos)/_xlpm.diffscale)))-0.5)
)</f>
        <v/>
      </c>
      <c r="AM328" t="str" cm="1">
        <f t="array" ref="AM328">_xlfn.LET(
  _xlpm.colj, _xlfn._xlws.FILTER(IF(ISNUMBER(327:327), COLUMN(327:327)), ISNUMBER(327:327)),
  _xlpm.elos, INDEX(326:326,1,_xlpm.colj),
  _xlpm.diffscale, Constantes!$B$2,
  IF(AM327="",
    "",
    SUM(1/(1+POWER(10,-(AM326-_xlpm.elos)/_xlpm.diffscale)))-0.5)
)</f>
        <v/>
      </c>
    </row>
    <row r="329" spans="1:39" x14ac:dyDescent="0.25">
      <c r="A329" t="s">
        <v>22</v>
      </c>
      <c r="D329" t="str" cm="1">
        <f t="array" ref="D329">_xlfn.LET(
  _xlpm.K, Constantes!$B$3,
  _xlpm.Knewgain, Constantes!$B$4,
  _xlpm.Knewscale, Constantes!$B$5,
  _xlpm.ptstables, INDEX(D:D, _xlfn.SEQUENCE(COUNTA($C$2:$C329), 1, 3, 4)),
  _xlpm.nbparties, COUNTA(_xlfn._xlws.FILTER(_xlpm.ptstables, _xlpm.ptstables &lt;&gt; "")),
  _xlpm.coef, _xlpm.K + _xlpm.Knewgain / (_xlpm.Knewscale + _xlpm.nbparties),
  IF(D327="",
    "",
    _xlpm.coef * (D327-D328))
)</f>
        <v/>
      </c>
      <c r="E329" t="str" cm="1">
        <f t="array" ref="E329">_xlfn.LET(
  _xlpm.K, Constantes!$B$3,
  _xlpm.Knewgain, Constantes!$B$4,
  _xlpm.Knewscale, Constantes!$B$5,
  _xlpm.ptstables, INDEX(E:E, _xlfn.SEQUENCE(COUNTA($C$2:$C329), 1, 3, 4)),
  _xlpm.nbparties, COUNTA(_xlfn._xlws.FILTER(_xlpm.ptstables, _xlpm.ptstables &lt;&gt; "")),
  _xlpm.coef, _xlpm.K + _xlpm.Knewgain / (_xlpm.Knewscale + _xlpm.nbparties),
  IF(E327="",
    "",
    _xlpm.coef * (E327-E328))
)</f>
        <v/>
      </c>
      <c r="F329" t="str" cm="1">
        <f t="array" ref="F329">_xlfn.LET(
  _xlpm.K, Constantes!$B$3,
  _xlpm.Knewgain, Constantes!$B$4,
  _xlpm.Knewscale, Constantes!$B$5,
  _xlpm.ptstables, INDEX(F:F, _xlfn.SEQUENCE(COUNTA($C$2:$C329), 1, 3, 4)),
  _xlpm.nbparties, COUNTA(_xlfn._xlws.FILTER(_xlpm.ptstables, _xlpm.ptstables &lt;&gt; "")),
  _xlpm.coef, _xlpm.K + _xlpm.Knewgain / (_xlpm.Knewscale + _xlpm.nbparties),
  IF(F327="",
    "",
    _xlpm.coef * (F327-F328))
)</f>
        <v/>
      </c>
      <c r="G329" t="str" cm="1">
        <f t="array" ref="G329">_xlfn.LET(
  _xlpm.K, Constantes!$B$3,
  _xlpm.Knewgain, Constantes!$B$4,
  _xlpm.Knewscale, Constantes!$B$5,
  _xlpm.ptstables, INDEX(G:G, _xlfn.SEQUENCE(COUNTA($C$2:$C329), 1, 3, 4)),
  _xlpm.nbparties, COUNTA(_xlfn._xlws.FILTER(_xlpm.ptstables, _xlpm.ptstables &lt;&gt; "")),
  _xlpm.coef, _xlpm.K + _xlpm.Knewgain / (_xlpm.Knewscale + _xlpm.nbparties),
  IF(G327="",
    "",
    _xlpm.coef * (G327-G328))
)</f>
        <v/>
      </c>
      <c r="H329" cm="1">
        <f t="array" ref="H329">_xlfn.LET(
  _xlpm.K, Constantes!$B$3,
  _xlpm.Knewgain, Constantes!$B$4,
  _xlpm.Knewscale, Constantes!$B$5,
  _xlpm.ptstables, INDEX(H:H, _xlfn.SEQUENCE(COUNTA($C$2:$C329), 1, 3, 4)),
  _xlpm.nbparties, COUNTA(_xlfn._xlws.FILTER(_xlpm.ptstables, _xlpm.ptstables &lt;&gt; "")),
  _xlpm.coef, _xlpm.K + _xlpm.Knewgain / (_xlpm.Knewscale + _xlpm.nbparties),
  IF(H327="",
    "",
    _xlpm.coef * (H327-H328))
)</f>
        <v>-19.07109544121478</v>
      </c>
      <c r="I329" t="str" cm="1">
        <f t="array" ref="I329">_xlfn.LET(
  _xlpm.K, Constantes!$B$3,
  _xlpm.Knewgain, Constantes!$B$4,
  _xlpm.Knewscale, Constantes!$B$5,
  _xlpm.ptstables, INDEX(I:I, _xlfn.SEQUENCE(COUNTA($C$2:$C329), 1, 3, 4)),
  _xlpm.nbparties, COUNTA(_xlfn._xlws.FILTER(_xlpm.ptstables, _xlpm.ptstables &lt;&gt; "")),
  _xlpm.coef, _xlpm.K + _xlpm.Knewgain / (_xlpm.Knewscale + _xlpm.nbparties),
  IF(I327="",
    "",
    _xlpm.coef * (I327-I328))
)</f>
        <v/>
      </c>
      <c r="J329" t="str" cm="1">
        <f t="array" ref="J329">_xlfn.LET(
  _xlpm.K, Constantes!$B$3,
  _xlpm.Knewgain, Constantes!$B$4,
  _xlpm.Knewscale, Constantes!$B$5,
  _xlpm.ptstables, INDEX(J:J, _xlfn.SEQUENCE(COUNTA($C$2:$C329), 1, 3, 4)),
  _xlpm.nbparties, COUNTA(_xlfn._xlws.FILTER(_xlpm.ptstables, _xlpm.ptstables &lt;&gt; "")),
  _xlpm.coef, _xlpm.K + _xlpm.Knewgain / (_xlpm.Knewscale + _xlpm.nbparties),
  IF(J327="",
    "",
    _xlpm.coef * (J327-J328))
)</f>
        <v/>
      </c>
      <c r="K329" t="str" cm="1">
        <f t="array" ref="K329">_xlfn.LET(
  _xlpm.K, Constantes!$B$3,
  _xlpm.Knewgain, Constantes!$B$4,
  _xlpm.Knewscale, Constantes!$B$5,
  _xlpm.ptstables, INDEX(K:K, _xlfn.SEQUENCE(COUNTA($C$2:$C329), 1, 3, 4)),
  _xlpm.nbparties, COUNTA(_xlfn._xlws.FILTER(_xlpm.ptstables, _xlpm.ptstables &lt;&gt; "")),
  _xlpm.coef, _xlpm.K + _xlpm.Knewgain / (_xlpm.Knewscale + _xlpm.nbparties),
  IF(K327="",
    "",
    _xlpm.coef * (K327-K328))
)</f>
        <v/>
      </c>
      <c r="L329" cm="1">
        <f t="array" ref="L329">_xlfn.LET(
  _xlpm.K, Constantes!$B$3,
  _xlpm.Knewgain, Constantes!$B$4,
  _xlpm.Knewscale, Constantes!$B$5,
  _xlpm.ptstables, INDEX(L:L, _xlfn.SEQUENCE(COUNTA($C$2:$C329), 1, 3, 4)),
  _xlpm.nbparties, COUNTA(_xlfn._xlws.FILTER(_xlpm.ptstables, _xlpm.ptstables &lt;&gt; "")),
  _xlpm.coef, _xlpm.K + _xlpm.Knewgain / (_xlpm.Knewscale + _xlpm.nbparties),
  IF(L327="",
    "",
    _xlpm.coef * (L327-L328))
)</f>
        <v>-16.006319789942275</v>
      </c>
      <c r="M329" t="str" cm="1">
        <f t="array" ref="M329">_xlfn.LET(
  _xlpm.K, Constantes!$B$3,
  _xlpm.Knewgain, Constantes!$B$4,
  _xlpm.Knewscale, Constantes!$B$5,
  _xlpm.ptstables, INDEX(M:M, _xlfn.SEQUENCE(COUNTA($C$2:$C329), 1, 3, 4)),
  _xlpm.nbparties, COUNTA(_xlfn._xlws.FILTER(_xlpm.ptstables, _xlpm.ptstables &lt;&gt; "")),
  _xlpm.coef, _xlpm.K + _xlpm.Knewgain / (_xlpm.Knewscale + _xlpm.nbparties),
  IF(M327="",
    "",
    _xlpm.coef * (M327-M328))
)</f>
        <v/>
      </c>
      <c r="N329" t="str" cm="1">
        <f t="array" ref="N329">_xlfn.LET(
  _xlpm.K, Constantes!$B$3,
  _xlpm.Knewgain, Constantes!$B$4,
  _xlpm.Knewscale, Constantes!$B$5,
  _xlpm.ptstables, INDEX(N:N, _xlfn.SEQUENCE(COUNTA($C$2:$C329), 1, 3, 4)),
  _xlpm.nbparties, COUNTA(_xlfn._xlws.FILTER(_xlpm.ptstables, _xlpm.ptstables &lt;&gt; "")),
  _xlpm.coef, _xlpm.K + _xlpm.Knewgain / (_xlpm.Knewscale + _xlpm.nbparties),
  IF(N327="",
    "",
    _xlpm.coef * (N327-N328))
)</f>
        <v/>
      </c>
      <c r="O329" cm="1">
        <f t="array" ref="O329">_xlfn.LET(
  _xlpm.K, Constantes!$B$3,
  _xlpm.Knewgain, Constantes!$B$4,
  _xlpm.Knewscale, Constantes!$B$5,
  _xlpm.ptstables, INDEX(O:O, _xlfn.SEQUENCE(COUNTA($C$2:$C329), 1, 3, 4)),
  _xlpm.nbparties, COUNTA(_xlfn._xlws.FILTER(_xlpm.ptstables, _xlpm.ptstables &lt;&gt; "")),
  _xlpm.coef, _xlpm.K + _xlpm.Knewgain / (_xlpm.Knewscale + _xlpm.nbparties),
  IF(O327="",
    "",
    _xlpm.coef * (O327-O328))
)</f>
        <v>35.509504195037451</v>
      </c>
      <c r="P329" cm="1">
        <f t="array" ref="P329">_xlfn.LET(
  _xlpm.K, Constantes!$B$3,
  _xlpm.Knewgain, Constantes!$B$4,
  _xlpm.Knewscale, Constantes!$B$5,
  _xlpm.ptstables, INDEX(P:P, _xlfn.SEQUENCE(COUNTA($C$2:$C329), 1, 3, 4)),
  _xlpm.nbparties, COUNTA(_xlfn._xlws.FILTER(_xlpm.ptstables, _xlpm.ptstables &lt;&gt; "")),
  _xlpm.coef, _xlpm.K + _xlpm.Knewgain / (_xlpm.Knewscale + _xlpm.nbparties),
  IF(P327="",
    "",
    _xlpm.coef * (P327-P328))
)</f>
        <v>1.2205633295207938</v>
      </c>
      <c r="Q329" t="str" cm="1">
        <f t="array" ref="Q329">_xlfn.LET(
  _xlpm.K, Constantes!$B$3,
  _xlpm.Knewgain, Constantes!$B$4,
  _xlpm.Knewscale, Constantes!$B$5,
  _xlpm.ptstables, INDEX(Q:Q, _xlfn.SEQUENCE(COUNTA($C$2:$C329), 1, 3, 4)),
  _xlpm.nbparties, COUNTA(_xlfn._xlws.FILTER(_xlpm.ptstables, _xlpm.ptstables &lt;&gt; "")),
  _xlpm.coef, _xlpm.K + _xlpm.Knewgain / (_xlpm.Knewscale + _xlpm.nbparties),
  IF(Q327="",
    "",
    _xlpm.coef * (Q327-Q328))
)</f>
        <v/>
      </c>
      <c r="R329" t="str" cm="1">
        <f t="array" ref="R329">_xlfn.LET(
  _xlpm.K, Constantes!$B$3,
  _xlpm.Knewgain, Constantes!$B$4,
  _xlpm.Knewscale, Constantes!$B$5,
  _xlpm.ptstables, INDEX(R:R, _xlfn.SEQUENCE(COUNTA($C$2:$C329), 1, 3, 4)),
  _xlpm.nbparties, COUNTA(_xlfn._xlws.FILTER(_xlpm.ptstables, _xlpm.ptstables &lt;&gt; "")),
  _xlpm.coef, _xlpm.K + _xlpm.Knewgain / (_xlpm.Knewscale + _xlpm.nbparties),
  IF(R327="",
    "",
    _xlpm.coef * (R327-R328))
)</f>
        <v/>
      </c>
      <c r="S329" t="str" cm="1">
        <f t="array" ref="S329">_xlfn.LET(
  _xlpm.K, Constantes!$B$3,
  _xlpm.Knewgain, Constantes!$B$4,
  _xlpm.Knewscale, Constantes!$B$5,
  _xlpm.ptstables, INDEX(S:S, _xlfn.SEQUENCE(COUNTA($C$2:$C329), 1, 3, 4)),
  _xlpm.nbparties, COUNTA(_xlfn._xlws.FILTER(_xlpm.ptstables, _xlpm.ptstables &lt;&gt; "")),
  _xlpm.coef, _xlpm.K + _xlpm.Knewgain / (_xlpm.Knewscale + _xlpm.nbparties),
  IF(S327="",
    "",
    _xlpm.coef * (S327-S328))
)</f>
        <v/>
      </c>
      <c r="T329" t="str" cm="1">
        <f t="array" ref="T329">_xlfn.LET(
  _xlpm.K, Constantes!$B$3,
  _xlpm.Knewgain, Constantes!$B$4,
  _xlpm.Knewscale, Constantes!$B$5,
  _xlpm.ptstables, INDEX(T:T, _xlfn.SEQUENCE(COUNTA($C$2:$C329), 1, 3, 4)),
  _xlpm.nbparties, COUNTA(_xlfn._xlws.FILTER(_xlpm.ptstables, _xlpm.ptstables &lt;&gt; "")),
  _xlpm.coef, _xlpm.K + _xlpm.Knewgain / (_xlpm.Knewscale + _xlpm.nbparties),
  IF(T327="",
    "",
    _xlpm.coef * (T327-T328))
)</f>
        <v/>
      </c>
      <c r="U329" t="str" cm="1">
        <f t="array" ref="U329">_xlfn.LET(
  _xlpm.K, Constantes!$B$3,
  _xlpm.Knewgain, Constantes!$B$4,
  _xlpm.Knewscale, Constantes!$B$5,
  _xlpm.ptstables, INDEX(U:U, _xlfn.SEQUENCE(COUNTA($C$2:$C329), 1, 3, 4)),
  _xlpm.nbparties, COUNTA(_xlfn._xlws.FILTER(_xlpm.ptstables, _xlpm.ptstables &lt;&gt; "")),
  _xlpm.coef, _xlpm.K + _xlpm.Knewgain / (_xlpm.Knewscale + _xlpm.nbparties),
  IF(U327="",
    "",
    _xlpm.coef * (U327-U328))
)</f>
        <v/>
      </c>
      <c r="V329" t="str" cm="1">
        <f t="array" ref="V329">_xlfn.LET(
  _xlpm.K, Constantes!$B$3,
  _xlpm.Knewgain, Constantes!$B$4,
  _xlpm.Knewscale, Constantes!$B$5,
  _xlpm.ptstables, INDEX(V:V, _xlfn.SEQUENCE(COUNTA($C$2:$C329), 1, 3, 4)),
  _xlpm.nbparties, COUNTA(_xlfn._xlws.FILTER(_xlpm.ptstables, _xlpm.ptstables &lt;&gt; "")),
  _xlpm.coef, _xlpm.K + _xlpm.Knewgain / (_xlpm.Knewscale + _xlpm.nbparties),
  IF(V327="",
    "",
    _xlpm.coef * (V327-V328))
)</f>
        <v/>
      </c>
      <c r="W329" t="str" cm="1">
        <f t="array" ref="W329">_xlfn.LET(
  _xlpm.K, Constantes!$B$3,
  _xlpm.Knewgain, Constantes!$B$4,
  _xlpm.Knewscale, Constantes!$B$5,
  _xlpm.ptstables, INDEX(W:W, _xlfn.SEQUENCE(COUNTA($C$2:$C329), 1, 3, 4)),
  _xlpm.nbparties, COUNTA(_xlfn._xlws.FILTER(_xlpm.ptstables, _xlpm.ptstables &lt;&gt; "")),
  _xlpm.coef, _xlpm.K + _xlpm.Knewgain / (_xlpm.Knewscale + _xlpm.nbparties),
  IF(W327="",
    "",
    _xlpm.coef * (W327-W328))
)</f>
        <v/>
      </c>
      <c r="X329" t="str" cm="1">
        <f t="array" ref="X329">_xlfn.LET(
  _xlpm.K, Constantes!$B$3,
  _xlpm.Knewgain, Constantes!$B$4,
  _xlpm.Knewscale, Constantes!$B$5,
  _xlpm.ptstables, INDEX(X:X, _xlfn.SEQUENCE(COUNTA($C$2:$C329), 1, 3, 4)),
  _xlpm.nbparties, COUNTA(_xlfn._xlws.FILTER(_xlpm.ptstables, _xlpm.ptstables &lt;&gt; "")),
  _xlpm.coef, _xlpm.K + _xlpm.Knewgain / (_xlpm.Knewscale + _xlpm.nbparties),
  IF(X327="",
    "",
    _xlpm.coef * (X327-X328))
)</f>
        <v/>
      </c>
      <c r="Y329" t="str" cm="1">
        <f t="array" ref="Y329">_xlfn.LET(
  _xlpm.K, Constantes!$B$3,
  _xlpm.Knewgain, Constantes!$B$4,
  _xlpm.Knewscale, Constantes!$B$5,
  _xlpm.ptstables, INDEX(Y:Y, _xlfn.SEQUENCE(COUNTA($C$2:$C329), 1, 3, 4)),
  _xlpm.nbparties, COUNTA(_xlfn._xlws.FILTER(_xlpm.ptstables, _xlpm.ptstables &lt;&gt; "")),
  _xlpm.coef, _xlpm.K + _xlpm.Knewgain / (_xlpm.Knewscale + _xlpm.nbparties),
  IF(Y327="",
    "",
    _xlpm.coef * (Y327-Y328))
)</f>
        <v/>
      </c>
      <c r="Z329" t="str" cm="1">
        <f t="array" ref="Z329">_xlfn.LET(
  _xlpm.K, Constantes!$B$3,
  _xlpm.Knewgain, Constantes!$B$4,
  _xlpm.Knewscale, Constantes!$B$5,
  _xlpm.ptstables, INDEX(Z:Z, _xlfn.SEQUENCE(COUNTA($C$2:$C329), 1, 3, 4)),
  _xlpm.nbparties, COUNTA(_xlfn._xlws.FILTER(_xlpm.ptstables, _xlpm.ptstables &lt;&gt; "")),
  _xlpm.coef, _xlpm.K + _xlpm.Knewgain / (_xlpm.Knewscale + _xlpm.nbparties),
  IF(Z327="",
    "",
    _xlpm.coef * (Z327-Z328))
)</f>
        <v/>
      </c>
      <c r="AA329" t="str" cm="1">
        <f t="array" ref="AA329">_xlfn.LET(
  _xlpm.K, Constantes!$B$3,
  _xlpm.Knewgain, Constantes!$B$4,
  _xlpm.Knewscale, Constantes!$B$5,
  _xlpm.ptstables, INDEX(AA:AA, _xlfn.SEQUENCE(COUNTA($C$2:$C329), 1, 3, 4)),
  _xlpm.nbparties, COUNTA(_xlfn._xlws.FILTER(_xlpm.ptstables, _xlpm.ptstables &lt;&gt; "")),
  _xlpm.coef, _xlpm.K + _xlpm.Knewgain / (_xlpm.Knewscale + _xlpm.nbparties),
  IF(AA327="",
    "",
    _xlpm.coef * (AA327-AA328))
)</f>
        <v/>
      </c>
      <c r="AB329" t="str" cm="1">
        <f t="array" ref="AB329">_xlfn.LET(
  _xlpm.K, Constantes!$B$3,
  _xlpm.Knewgain, Constantes!$B$4,
  _xlpm.Knewscale, Constantes!$B$5,
  _xlpm.ptstables, INDEX(AB:AB, _xlfn.SEQUENCE(COUNTA($C$2:$C329), 1, 3, 4)),
  _xlpm.nbparties, COUNTA(_xlfn._xlws.FILTER(_xlpm.ptstables, _xlpm.ptstables &lt;&gt; "")),
  _xlpm.coef, _xlpm.K + _xlpm.Knewgain / (_xlpm.Knewscale + _xlpm.nbparties),
  IF(AB327="",
    "",
    _xlpm.coef * (AB327-AB328))
)</f>
        <v/>
      </c>
      <c r="AC329" t="str" cm="1">
        <f t="array" ref="AC329">_xlfn.LET(
  _xlpm.K, Constantes!$B$3,
  _xlpm.Knewgain, Constantes!$B$4,
  _xlpm.Knewscale, Constantes!$B$5,
  _xlpm.ptstables, INDEX(AC:AC, _xlfn.SEQUENCE(COUNTA($C$2:$C329), 1, 3, 4)),
  _xlpm.nbparties, COUNTA(_xlfn._xlws.FILTER(_xlpm.ptstables, _xlpm.ptstables &lt;&gt; "")),
  _xlpm.coef, _xlpm.K + _xlpm.Knewgain / (_xlpm.Knewscale + _xlpm.nbparties),
  IF(AC327="",
    "",
    _xlpm.coef * (AC327-AC328))
)</f>
        <v/>
      </c>
      <c r="AD329" t="str" cm="1">
        <f t="array" ref="AD329">_xlfn.LET(
  _xlpm.K, Constantes!$B$3,
  _xlpm.Knewgain, Constantes!$B$4,
  _xlpm.Knewscale, Constantes!$B$5,
  _xlpm.ptstables, INDEX(AD:AD, _xlfn.SEQUENCE(COUNTA($C$2:$C329), 1, 3, 4)),
  _xlpm.nbparties, COUNTA(_xlfn._xlws.FILTER(_xlpm.ptstables, _xlpm.ptstables &lt;&gt; "")),
  _xlpm.coef, _xlpm.K + _xlpm.Knewgain / (_xlpm.Knewscale + _xlpm.nbparties),
  IF(AD327="",
    "",
    _xlpm.coef * (AD327-AD328))
)</f>
        <v/>
      </c>
      <c r="AE329" t="str" cm="1">
        <f t="array" ref="AE329">_xlfn.LET(
  _xlpm.K, Constantes!$B$3,
  _xlpm.Knewgain, Constantes!$B$4,
  _xlpm.Knewscale, Constantes!$B$5,
  _xlpm.ptstables, INDEX(AE:AE, _xlfn.SEQUENCE(COUNTA($C$2:$C329), 1, 3, 4)),
  _xlpm.nbparties, COUNTA(_xlfn._xlws.FILTER(_xlpm.ptstables, _xlpm.ptstables &lt;&gt; "")),
  _xlpm.coef, _xlpm.K + _xlpm.Knewgain / (_xlpm.Knewscale + _xlpm.nbparties),
  IF(AE327="",
    "",
    _xlpm.coef * (AE327-AE328))
)</f>
        <v/>
      </c>
      <c r="AF329" t="str" cm="1">
        <f t="array" ref="AF329">_xlfn.LET(
  _xlpm.K, Constantes!$B$3,
  _xlpm.Knewgain, Constantes!$B$4,
  _xlpm.Knewscale, Constantes!$B$5,
  _xlpm.ptstables, INDEX(AF:AF, _xlfn.SEQUENCE(COUNTA($C$2:$C329), 1, 3, 4)),
  _xlpm.nbparties, COUNTA(_xlfn._xlws.FILTER(_xlpm.ptstables, _xlpm.ptstables &lt;&gt; "")),
  _xlpm.coef, _xlpm.K + _xlpm.Knewgain / (_xlpm.Knewscale + _xlpm.nbparties),
  IF(AF327="",
    "",
    _xlpm.coef * (AF327-AF328))
)</f>
        <v/>
      </c>
      <c r="AG329" t="str" cm="1">
        <f t="array" ref="AG329">_xlfn.LET(
  _xlpm.K, Constantes!$B$3,
  _xlpm.Knewgain, Constantes!$B$4,
  _xlpm.Knewscale, Constantes!$B$5,
  _xlpm.ptstables, INDEX(AG:AG, _xlfn.SEQUENCE(COUNTA($C$2:$C329), 1, 3, 4)),
  _xlpm.nbparties, COUNTA(_xlfn._xlws.FILTER(_xlpm.ptstables, _xlpm.ptstables &lt;&gt; "")),
  _xlpm.coef, _xlpm.K + _xlpm.Knewgain / (_xlpm.Knewscale + _xlpm.nbparties),
  IF(AG327="",
    "",
    _xlpm.coef * (AG327-AG328))
)</f>
        <v/>
      </c>
      <c r="AH329" t="str" cm="1">
        <f t="array" ref="AH329">_xlfn.LET(
  _xlpm.K, Constantes!$B$3,
  _xlpm.Knewgain, Constantes!$B$4,
  _xlpm.Knewscale, Constantes!$B$5,
  _xlpm.ptstables, INDEX(AH:AH, _xlfn.SEQUENCE(COUNTA($C$2:$C329), 1, 3, 4)),
  _xlpm.nbparties, COUNTA(_xlfn._xlws.FILTER(_xlpm.ptstables, _xlpm.ptstables &lt;&gt; "")),
  _xlpm.coef, _xlpm.K + _xlpm.Knewgain / (_xlpm.Knewscale + _xlpm.nbparties),
  IF(AH327="",
    "",
    _xlpm.coef * (AH327-AH328))
)</f>
        <v/>
      </c>
      <c r="AI329" t="str" cm="1">
        <f t="array" ref="AI329">_xlfn.LET(
  _xlpm.K, Constantes!$B$3,
  _xlpm.Knewgain, Constantes!$B$4,
  _xlpm.Knewscale, Constantes!$B$5,
  _xlpm.ptstables, INDEX(AI:AI, _xlfn.SEQUENCE(COUNTA($C$2:$C329), 1, 3, 4)),
  _xlpm.nbparties, COUNTA(_xlfn._xlws.FILTER(_xlpm.ptstables, _xlpm.ptstables &lt;&gt; "")),
  _xlpm.coef, _xlpm.K + _xlpm.Knewgain / (_xlpm.Knewscale + _xlpm.nbparties),
  IF(AI327="",
    "",
    _xlpm.coef * (AI327-AI328))
)</f>
        <v/>
      </c>
      <c r="AJ329" t="str" cm="1">
        <f t="array" ref="AJ329">_xlfn.LET(
  _xlpm.K, Constantes!$B$3,
  _xlpm.Knewgain, Constantes!$B$4,
  _xlpm.Knewscale, Constantes!$B$5,
  _xlpm.ptstables, INDEX(AJ:AJ, _xlfn.SEQUENCE(COUNTA($C$2:$C329), 1, 3, 4)),
  _xlpm.nbparties, COUNTA(_xlfn._xlws.FILTER(_xlpm.ptstables, _xlpm.ptstables &lt;&gt; "")),
  _xlpm.coef, _xlpm.K + _xlpm.Knewgain / (_xlpm.Knewscale + _xlpm.nbparties),
  IF(AJ327="",
    "",
    _xlpm.coef * (AJ327-AJ328))
)</f>
        <v/>
      </c>
      <c r="AK329" t="str" cm="1">
        <f t="array" ref="AK329">_xlfn.LET(
  _xlpm.K, Constantes!$B$3,
  _xlpm.Knewgain, Constantes!$B$4,
  _xlpm.Knewscale, Constantes!$B$5,
  _xlpm.ptstables, INDEX(AK:AK, _xlfn.SEQUENCE(COUNTA($C$2:$C329), 1, 3, 4)),
  _xlpm.nbparties, COUNTA(_xlfn._xlws.FILTER(_xlpm.ptstables, _xlpm.ptstables &lt;&gt; "")),
  _xlpm.coef, _xlpm.K + _xlpm.Knewgain / (_xlpm.Knewscale + _xlpm.nbparties),
  IF(AK327="",
    "",
    _xlpm.coef * (AK327-AK328))
)</f>
        <v/>
      </c>
      <c r="AL329" t="str" cm="1">
        <f t="array" ref="AL329">_xlfn.LET(
  _xlpm.K, Constantes!$B$3,
  _xlpm.Knewgain, Constantes!$B$4,
  _xlpm.Knewscale, Constantes!$B$5,
  _xlpm.ptstables, INDEX(AL:AL, _xlfn.SEQUENCE(COUNTA($C$2:$C329), 1, 3, 4)),
  _xlpm.nbparties, COUNTA(_xlfn._xlws.FILTER(_xlpm.ptstables, _xlpm.ptstables &lt;&gt; "")),
  _xlpm.coef, _xlpm.K + _xlpm.Knewgain / (_xlpm.Knewscale + _xlpm.nbparties),
  IF(AL327="",
    "",
    _xlpm.coef * (AL327-AL328))
)</f>
        <v/>
      </c>
      <c r="AM329" t="str" cm="1">
        <f t="array" ref="AM329">_xlfn.LET(
  _xlpm.K, Constantes!$B$3,
  _xlpm.Knewgain, Constantes!$B$4,
  _xlpm.Knewscale, Constantes!$B$5,
  _xlpm.ptstables, INDEX(AM:AM, _xlfn.SEQUENCE(COUNTA($C$2:$C329), 1, 3, 4)),
  _xlpm.nbparties, COUNTA(_xlfn._xlws.FILTER(_xlpm.ptstables, _xlpm.ptstables &lt;&gt; "")),
  _xlpm.coef, _xlpm.K + _xlpm.Knewgain / (_xlpm.Knewscale + _xlpm.nbparties),
  IF(AM327="",
    "",
    _xlpm.coef * (AM327-AM328))
)</f>
        <v/>
      </c>
    </row>
    <row r="330" spans="1:39" x14ac:dyDescent="0.25">
      <c r="A330" t="s">
        <v>14</v>
      </c>
      <c r="B330" t="str" cm="1">
        <f t="array" ref="B33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84</v>
      </c>
      <c r="C330" s="2" cm="1">
        <f t="array" ref="C330">IF(B330="","",
  INDEX(Donnees!F:F, MATCH(B330, Donnees!F:F, 0)+1))</f>
        <v>45948.820451388892</v>
      </c>
      <c r="D330">
        <f t="shared" ref="D330:AM330" si="90">D326+IF(D329="",0,D329)</f>
        <v>1008.0095267292556</v>
      </c>
      <c r="E330">
        <f t="shared" si="90"/>
        <v>1095.6997652278242</v>
      </c>
      <c r="F330">
        <f t="shared" si="90"/>
        <v>846.8375600352191</v>
      </c>
      <c r="G330">
        <f t="shared" si="90"/>
        <v>1119.3162392058323</v>
      </c>
      <c r="H330">
        <f t="shared" si="90"/>
        <v>1120.6842315020224</v>
      </c>
      <c r="I330">
        <f t="shared" si="90"/>
        <v>960.02345484062744</v>
      </c>
      <c r="J330">
        <f t="shared" si="90"/>
        <v>1010.9125108504293</v>
      </c>
      <c r="K330">
        <f t="shared" si="90"/>
        <v>993.90254614824482</v>
      </c>
      <c r="L330">
        <f t="shared" si="90"/>
        <v>783.12422360152641</v>
      </c>
      <c r="M330">
        <f t="shared" si="90"/>
        <v>913.41986361738122</v>
      </c>
      <c r="N330">
        <f t="shared" si="90"/>
        <v>903.42914476260137</v>
      </c>
      <c r="O330">
        <f t="shared" si="90"/>
        <v>1033.7212914161473</v>
      </c>
      <c r="P330">
        <f t="shared" si="90"/>
        <v>968.18567177894136</v>
      </c>
      <c r="Q330">
        <f t="shared" si="90"/>
        <v>1050.1062561870472</v>
      </c>
      <c r="R330">
        <f t="shared" si="90"/>
        <v>1086.4040915521041</v>
      </c>
      <c r="S330">
        <f t="shared" si="90"/>
        <v>943.86001337552409</v>
      </c>
      <c r="T330">
        <f t="shared" si="90"/>
        <v>1153.43058185823</v>
      </c>
      <c r="U330">
        <f t="shared" si="90"/>
        <v>1178.4672844595402</v>
      </c>
      <c r="V330">
        <f t="shared" si="90"/>
        <v>969.67171739286073</v>
      </c>
      <c r="W330">
        <f t="shared" si="90"/>
        <v>882.29253769067657</v>
      </c>
      <c r="X330">
        <f t="shared" si="90"/>
        <v>828.97598039785271</v>
      </c>
      <c r="Y330">
        <f t="shared" si="90"/>
        <v>903.14348714035714</v>
      </c>
      <c r="Z330">
        <f t="shared" si="90"/>
        <v>1000.4832210979791</v>
      </c>
      <c r="AA330">
        <f t="shared" si="90"/>
        <v>976.51233940414613</v>
      </c>
      <c r="AB330">
        <f t="shared" si="90"/>
        <v>988.35669729544747</v>
      </c>
      <c r="AC330">
        <f t="shared" si="90"/>
        <v>1063.1996989758877</v>
      </c>
      <c r="AD330">
        <f t="shared" si="90"/>
        <v>1127.3529116409297</v>
      </c>
      <c r="AE330">
        <f t="shared" si="90"/>
        <v>963.23981965000235</v>
      </c>
      <c r="AF330">
        <f t="shared" si="90"/>
        <v>1094.8196847516158</v>
      </c>
      <c r="AG330">
        <f t="shared" si="90"/>
        <v>958.23078604304851</v>
      </c>
      <c r="AH330">
        <f t="shared" si="90"/>
        <v>920.4412636682855</v>
      </c>
      <c r="AI330">
        <f t="shared" si="90"/>
        <v>947.26489657182583</v>
      </c>
      <c r="AJ330">
        <f t="shared" si="90"/>
        <v>906.86354201913434</v>
      </c>
      <c r="AK330">
        <f t="shared" si="90"/>
        <v>1074.0069367206956</v>
      </c>
      <c r="AL330">
        <f t="shared" si="90"/>
        <v>1025.7817971572972</v>
      </c>
      <c r="AM330">
        <f t="shared" si="90"/>
        <v>930.08392160706046</v>
      </c>
    </row>
    <row r="331" spans="1:39" x14ac:dyDescent="0.25">
      <c r="A331" t="s">
        <v>21</v>
      </c>
      <c r="D331" t="str" cm="1">
        <f t="array" ref="D331">IFERROR(
  _xlfn.LET(
    _xlpm.ligpartie, MATCH($B330, Donnees!$F:$F, 0),
    _xlpm.joueurs, INDEX(Donnees!$A:$Z, _xlpm.ligpartie+1, _xlfn.SEQUENCE(1, 4, 2)),
    INDEX(
      Donnees!$A:$Z,
      _xlpm.ligpartie + 3,
      MATCH(D$1, _xlpm.joueurs, 0) + 1
    )
  ), ""
)</f>
        <v/>
      </c>
      <c r="E331" cm="1">
        <f t="array" ref="E331">IFERROR(
  _xlfn.LET(
    _xlpm.ligpartie, MATCH($B330, Donnees!$F:$F, 0),
    _xlpm.joueurs, INDEX(Donnees!$A:$Z, _xlpm.ligpartie+1, _xlfn.SEQUENCE(1, 4, 2)),
    INDEX(
      Donnees!$A:$Z,
      _xlpm.ligpartie + 3,
      MATCH(E$1, _xlpm.joueurs, 0) + 1
    )
  ), ""
)</f>
        <v>2</v>
      </c>
      <c r="F331" t="str" cm="1">
        <f t="array" ref="F331">IFERROR(
  _xlfn.LET(
    _xlpm.ligpartie, MATCH($B330, Donnees!$F:$F, 0),
    _xlpm.joueurs, INDEX(Donnees!$A:$Z, _xlpm.ligpartie+1, _xlfn.SEQUENCE(1, 4, 2)),
    INDEX(
      Donnees!$A:$Z,
      _xlpm.ligpartie + 3,
      MATCH(F$1, _xlpm.joueurs, 0) + 1
    )
  ), ""
)</f>
        <v/>
      </c>
      <c r="G331" cm="1">
        <f t="array" ref="G331">IFERROR(
  _xlfn.LET(
    _xlpm.ligpartie, MATCH($B330, Donnees!$F:$F, 0),
    _xlpm.joueurs, INDEX(Donnees!$A:$Z, _xlpm.ligpartie+1, _xlfn.SEQUENCE(1, 4, 2)),
    INDEX(
      Donnees!$A:$Z,
      _xlpm.ligpartie + 3,
      MATCH(G$1, _xlpm.joueurs, 0) + 1
    )
  ), ""
)</f>
        <v>1</v>
      </c>
      <c r="H331" t="str" cm="1">
        <f t="array" ref="H331">IFERROR(
  _xlfn.LET(
    _xlpm.ligpartie, MATCH($B330, Donnees!$F:$F, 0),
    _xlpm.joueurs, INDEX(Donnees!$A:$Z, _xlpm.ligpartie+1, _xlfn.SEQUENCE(1, 4, 2)),
    INDEX(
      Donnees!$A:$Z,
      _xlpm.ligpartie + 3,
      MATCH(H$1, _xlpm.joueurs, 0) + 1
    )
  ), ""
)</f>
        <v/>
      </c>
      <c r="I331" t="str" cm="1">
        <f t="array" ref="I331">IFERROR(
  _xlfn.LET(
    _xlpm.ligpartie, MATCH($B330, Donnees!$F:$F, 0),
    _xlpm.joueurs, INDEX(Donnees!$A:$Z, _xlpm.ligpartie+1, _xlfn.SEQUENCE(1, 4, 2)),
    INDEX(
      Donnees!$A:$Z,
      _xlpm.ligpartie + 3,
      MATCH(I$1, _xlpm.joueurs, 0) + 1
    )
  ), ""
)</f>
        <v/>
      </c>
      <c r="J331" t="str" cm="1">
        <f t="array" ref="J331">IFERROR(
  _xlfn.LET(
    _xlpm.ligpartie, MATCH($B330, Donnees!$F:$F, 0),
    _xlpm.joueurs, INDEX(Donnees!$A:$Z, _xlpm.ligpartie+1, _xlfn.SEQUENCE(1, 4, 2)),
    INDEX(
      Donnees!$A:$Z,
      _xlpm.ligpartie + 3,
      MATCH(J$1, _xlpm.joueurs, 0) + 1
    )
  ), ""
)</f>
        <v/>
      </c>
      <c r="K331" t="str" cm="1">
        <f t="array" ref="K331">IFERROR(
  _xlfn.LET(
    _xlpm.ligpartie, MATCH($B330, Donnees!$F:$F, 0),
    _xlpm.joueurs, INDEX(Donnees!$A:$Z, _xlpm.ligpartie+1, _xlfn.SEQUENCE(1, 4, 2)),
    INDEX(
      Donnees!$A:$Z,
      _xlpm.ligpartie + 3,
      MATCH(K$1, _xlpm.joueurs, 0) + 1
    )
  ), ""
)</f>
        <v/>
      </c>
      <c r="L331" t="str" cm="1">
        <f t="array" ref="L331">IFERROR(
  _xlfn.LET(
    _xlpm.ligpartie, MATCH($B330, Donnees!$F:$F, 0),
    _xlpm.joueurs, INDEX(Donnees!$A:$Z, _xlpm.ligpartie+1, _xlfn.SEQUENCE(1, 4, 2)),
    INDEX(
      Donnees!$A:$Z,
      _xlpm.ligpartie + 3,
      MATCH(L$1, _xlpm.joueurs, 0) + 1
    )
  ), ""
)</f>
        <v/>
      </c>
      <c r="M331" t="str" cm="1">
        <f t="array" ref="M331">IFERROR(
  _xlfn.LET(
    _xlpm.ligpartie, MATCH($B330, Donnees!$F:$F, 0),
    _xlpm.joueurs, INDEX(Donnees!$A:$Z, _xlpm.ligpartie+1, _xlfn.SEQUENCE(1, 4, 2)),
    INDEX(
      Donnees!$A:$Z,
      _xlpm.ligpartie + 3,
      MATCH(M$1, _xlpm.joueurs, 0) + 1
    )
  ), ""
)</f>
        <v/>
      </c>
      <c r="N331" t="str" cm="1">
        <f t="array" ref="N331">IFERROR(
  _xlfn.LET(
    _xlpm.ligpartie, MATCH($B330, Donnees!$F:$F, 0),
    _xlpm.joueurs, INDEX(Donnees!$A:$Z, _xlpm.ligpartie+1, _xlfn.SEQUENCE(1, 4, 2)),
    INDEX(
      Donnees!$A:$Z,
      _xlpm.ligpartie + 3,
      MATCH(N$1, _xlpm.joueurs, 0) + 1
    )
  ), ""
)</f>
        <v/>
      </c>
      <c r="O331" t="str" cm="1">
        <f t="array" ref="O331">IFERROR(
  _xlfn.LET(
    _xlpm.ligpartie, MATCH($B330, Donnees!$F:$F, 0),
    _xlpm.joueurs, INDEX(Donnees!$A:$Z, _xlpm.ligpartie+1, _xlfn.SEQUENCE(1, 4, 2)),
    INDEX(
      Donnees!$A:$Z,
      _xlpm.ligpartie + 3,
      MATCH(O$1, _xlpm.joueurs, 0) + 1
    )
  ), ""
)</f>
        <v/>
      </c>
      <c r="P331" cm="1">
        <f t="array" ref="P331">IFERROR(
  _xlfn.LET(
    _xlpm.ligpartie, MATCH($B330, Donnees!$F:$F, 0),
    _xlpm.joueurs, INDEX(Donnees!$A:$Z, _xlpm.ligpartie+1, _xlfn.SEQUENCE(1, 4, 2)),
    INDEX(
      Donnees!$A:$Z,
      _xlpm.ligpartie + 3,
      MATCH(P$1, _xlpm.joueurs, 0) + 1
    )
  ), ""
)</f>
        <v>0</v>
      </c>
      <c r="Q331" t="str" cm="1">
        <f t="array" ref="Q331">IFERROR(
  _xlfn.LET(
    _xlpm.ligpartie, MATCH($B330, Donnees!$F:$F, 0),
    _xlpm.joueurs, INDEX(Donnees!$A:$Z, _xlpm.ligpartie+1, _xlfn.SEQUENCE(1, 4, 2)),
    INDEX(
      Donnees!$A:$Z,
      _xlpm.ligpartie + 3,
      MATCH(Q$1, _xlpm.joueurs, 0) + 1
    )
  ), ""
)</f>
        <v/>
      </c>
      <c r="R331" t="str" cm="1">
        <f t="array" ref="R331">IFERROR(
  _xlfn.LET(
    _xlpm.ligpartie, MATCH($B330, Donnees!$F:$F, 0),
    _xlpm.joueurs, INDEX(Donnees!$A:$Z, _xlpm.ligpartie+1, _xlfn.SEQUENCE(1, 4, 2)),
    INDEX(
      Donnees!$A:$Z,
      _xlpm.ligpartie + 3,
      MATCH(R$1, _xlpm.joueurs, 0) + 1
    )
  ), ""
)</f>
        <v/>
      </c>
      <c r="S331" t="str" cm="1">
        <f t="array" ref="S331">IFERROR(
  _xlfn.LET(
    _xlpm.ligpartie, MATCH($B330, Donnees!$F:$F, 0),
    _xlpm.joueurs, INDEX(Donnees!$A:$Z, _xlpm.ligpartie+1, _xlfn.SEQUENCE(1, 4, 2)),
    INDEX(
      Donnees!$A:$Z,
      _xlpm.ligpartie + 3,
      MATCH(S$1, _xlpm.joueurs, 0) + 1
    )
  ), ""
)</f>
        <v/>
      </c>
      <c r="T331" t="str" cm="1">
        <f t="array" ref="T331">IFERROR(
  _xlfn.LET(
    _xlpm.ligpartie, MATCH($B330, Donnees!$F:$F, 0),
    _xlpm.joueurs, INDEX(Donnees!$A:$Z, _xlpm.ligpartie+1, _xlfn.SEQUENCE(1, 4, 2)),
    INDEX(
      Donnees!$A:$Z,
      _xlpm.ligpartie + 3,
      MATCH(T$1, _xlpm.joueurs, 0) + 1
    )
  ), ""
)</f>
        <v/>
      </c>
      <c r="U331" cm="1">
        <f t="array" ref="U331">IFERROR(
  _xlfn.LET(
    _xlpm.ligpartie, MATCH($B330, Donnees!$F:$F, 0),
    _xlpm.joueurs, INDEX(Donnees!$A:$Z, _xlpm.ligpartie+1, _xlfn.SEQUENCE(1, 4, 2)),
    INDEX(
      Donnees!$A:$Z,
      _xlpm.ligpartie + 3,
      MATCH(U$1, _xlpm.joueurs, 0) + 1
    )
  ), ""
)</f>
        <v>3</v>
      </c>
      <c r="V331" t="str" cm="1">
        <f t="array" ref="V331">IFERROR(
  _xlfn.LET(
    _xlpm.ligpartie, MATCH($B330, Donnees!$F:$F, 0),
    _xlpm.joueurs, INDEX(Donnees!$A:$Z, _xlpm.ligpartie+1, _xlfn.SEQUENCE(1, 4, 2)),
    INDEX(
      Donnees!$A:$Z,
      _xlpm.ligpartie + 3,
      MATCH(V$1, _xlpm.joueurs, 0) + 1
    )
  ), ""
)</f>
        <v/>
      </c>
      <c r="W331" t="str" cm="1">
        <f t="array" ref="W331">IFERROR(
  _xlfn.LET(
    _xlpm.ligpartie, MATCH($B330, Donnees!$F:$F, 0),
    _xlpm.joueurs, INDEX(Donnees!$A:$Z, _xlpm.ligpartie+1, _xlfn.SEQUENCE(1, 4, 2)),
    INDEX(
      Donnees!$A:$Z,
      _xlpm.ligpartie + 3,
      MATCH(W$1, _xlpm.joueurs, 0) + 1
    )
  ), ""
)</f>
        <v/>
      </c>
      <c r="X331" t="str" cm="1">
        <f t="array" ref="X331">IFERROR(
  _xlfn.LET(
    _xlpm.ligpartie, MATCH($B330, Donnees!$F:$F, 0),
    _xlpm.joueurs, INDEX(Donnees!$A:$Z, _xlpm.ligpartie+1, _xlfn.SEQUENCE(1, 4, 2)),
    INDEX(
      Donnees!$A:$Z,
      _xlpm.ligpartie + 3,
      MATCH(X$1, _xlpm.joueurs, 0) + 1
    )
  ), ""
)</f>
        <v/>
      </c>
      <c r="Y331" t="str" cm="1">
        <f t="array" ref="Y331">IFERROR(
  _xlfn.LET(
    _xlpm.ligpartie, MATCH($B330, Donnees!$F:$F, 0),
    _xlpm.joueurs, INDEX(Donnees!$A:$Z, _xlpm.ligpartie+1, _xlfn.SEQUENCE(1, 4, 2)),
    INDEX(
      Donnees!$A:$Z,
      _xlpm.ligpartie + 3,
      MATCH(Y$1, _xlpm.joueurs, 0) + 1
    )
  ), ""
)</f>
        <v/>
      </c>
      <c r="Z331" t="str" cm="1">
        <f t="array" ref="Z331">IFERROR(
  _xlfn.LET(
    _xlpm.ligpartie, MATCH($B330, Donnees!$F:$F, 0),
    _xlpm.joueurs, INDEX(Donnees!$A:$Z, _xlpm.ligpartie+1, _xlfn.SEQUENCE(1, 4, 2)),
    INDEX(
      Donnees!$A:$Z,
      _xlpm.ligpartie + 3,
      MATCH(Z$1, _xlpm.joueurs, 0) + 1
    )
  ), ""
)</f>
        <v/>
      </c>
      <c r="AA331" t="str" cm="1">
        <f t="array" ref="AA331">IFERROR(
  _xlfn.LET(
    _xlpm.ligpartie, MATCH($B330, Donnees!$F:$F, 0),
    _xlpm.joueurs, INDEX(Donnees!$A:$Z, _xlpm.ligpartie+1, _xlfn.SEQUENCE(1, 4, 2)),
    INDEX(
      Donnees!$A:$Z,
      _xlpm.ligpartie + 3,
      MATCH(AA$1, _xlpm.joueurs, 0) + 1
    )
  ), ""
)</f>
        <v/>
      </c>
      <c r="AB331" t="str" cm="1">
        <f t="array" ref="AB331">IFERROR(
  _xlfn.LET(
    _xlpm.ligpartie, MATCH($B330, Donnees!$F:$F, 0),
    _xlpm.joueurs, INDEX(Donnees!$A:$Z, _xlpm.ligpartie+1, _xlfn.SEQUENCE(1, 4, 2)),
    INDEX(
      Donnees!$A:$Z,
      _xlpm.ligpartie + 3,
      MATCH(AB$1, _xlpm.joueurs, 0) + 1
    )
  ), ""
)</f>
        <v/>
      </c>
      <c r="AC331" t="str" cm="1">
        <f t="array" ref="AC331">IFERROR(
  _xlfn.LET(
    _xlpm.ligpartie, MATCH($B330, Donnees!$F:$F, 0),
    _xlpm.joueurs, INDEX(Donnees!$A:$Z, _xlpm.ligpartie+1, _xlfn.SEQUENCE(1, 4, 2)),
    INDEX(
      Donnees!$A:$Z,
      _xlpm.ligpartie + 3,
      MATCH(AC$1, _xlpm.joueurs, 0) + 1
    )
  ), ""
)</f>
        <v/>
      </c>
      <c r="AD331" t="str" cm="1">
        <f t="array" ref="AD331">IFERROR(
  _xlfn.LET(
    _xlpm.ligpartie, MATCH($B330, Donnees!$F:$F, 0),
    _xlpm.joueurs, INDEX(Donnees!$A:$Z, _xlpm.ligpartie+1, _xlfn.SEQUENCE(1, 4, 2)),
    INDEX(
      Donnees!$A:$Z,
      _xlpm.ligpartie + 3,
      MATCH(AD$1, _xlpm.joueurs, 0) + 1
    )
  ), ""
)</f>
        <v/>
      </c>
      <c r="AE331" t="str" cm="1">
        <f t="array" ref="AE331">IFERROR(
  _xlfn.LET(
    _xlpm.ligpartie, MATCH($B330, Donnees!$F:$F, 0),
    _xlpm.joueurs, INDEX(Donnees!$A:$Z, _xlpm.ligpartie+1, _xlfn.SEQUENCE(1, 4, 2)),
    INDEX(
      Donnees!$A:$Z,
      _xlpm.ligpartie + 3,
      MATCH(AE$1, _xlpm.joueurs, 0) + 1
    )
  ), ""
)</f>
        <v/>
      </c>
      <c r="AF331" t="str" cm="1">
        <f t="array" ref="AF331">IFERROR(
  _xlfn.LET(
    _xlpm.ligpartie, MATCH($B330, Donnees!$F:$F, 0),
    _xlpm.joueurs, INDEX(Donnees!$A:$Z, _xlpm.ligpartie+1, _xlfn.SEQUENCE(1, 4, 2)),
    INDEX(
      Donnees!$A:$Z,
      _xlpm.ligpartie + 3,
      MATCH(AF$1, _xlpm.joueurs, 0) + 1
    )
  ), ""
)</f>
        <v/>
      </c>
      <c r="AG331" t="str" cm="1">
        <f t="array" ref="AG331">IFERROR(
  _xlfn.LET(
    _xlpm.ligpartie, MATCH($B330, Donnees!$F:$F, 0),
    _xlpm.joueurs, INDEX(Donnees!$A:$Z, _xlpm.ligpartie+1, _xlfn.SEQUENCE(1, 4, 2)),
    INDEX(
      Donnees!$A:$Z,
      _xlpm.ligpartie + 3,
      MATCH(AG$1, _xlpm.joueurs, 0) + 1
    )
  ), ""
)</f>
        <v/>
      </c>
      <c r="AH331" t="str" cm="1">
        <f t="array" ref="AH331">IFERROR(
  _xlfn.LET(
    _xlpm.ligpartie, MATCH($B330, Donnees!$F:$F, 0),
    _xlpm.joueurs, INDEX(Donnees!$A:$Z, _xlpm.ligpartie+1, _xlfn.SEQUENCE(1, 4, 2)),
    INDEX(
      Donnees!$A:$Z,
      _xlpm.ligpartie + 3,
      MATCH(AH$1, _xlpm.joueurs, 0) + 1
    )
  ), ""
)</f>
        <v/>
      </c>
      <c r="AI331" t="str" cm="1">
        <f t="array" ref="AI331">IFERROR(
  _xlfn.LET(
    _xlpm.ligpartie, MATCH($B330, Donnees!$F:$F, 0),
    _xlpm.joueurs, INDEX(Donnees!$A:$Z, _xlpm.ligpartie+1, _xlfn.SEQUENCE(1, 4, 2)),
    INDEX(
      Donnees!$A:$Z,
      _xlpm.ligpartie + 3,
      MATCH(AI$1, _xlpm.joueurs, 0) + 1
    )
  ), ""
)</f>
        <v/>
      </c>
      <c r="AJ331" t="str" cm="1">
        <f t="array" ref="AJ331">IFERROR(
  _xlfn.LET(
    _xlpm.ligpartie, MATCH($B330, Donnees!$F:$F, 0),
    _xlpm.joueurs, INDEX(Donnees!$A:$Z, _xlpm.ligpartie+1, _xlfn.SEQUENCE(1, 4, 2)),
    INDEX(
      Donnees!$A:$Z,
      _xlpm.ligpartie + 3,
      MATCH(AJ$1, _xlpm.joueurs, 0) + 1
    )
  ), ""
)</f>
        <v/>
      </c>
      <c r="AK331" t="str" cm="1">
        <f t="array" ref="AK331">IFERROR(
  _xlfn.LET(
    _xlpm.ligpartie, MATCH($B330, Donnees!$F:$F, 0),
    _xlpm.joueurs, INDEX(Donnees!$A:$Z, _xlpm.ligpartie+1, _xlfn.SEQUENCE(1, 4, 2)),
    INDEX(
      Donnees!$A:$Z,
      _xlpm.ligpartie + 3,
      MATCH(AK$1, _xlpm.joueurs, 0) + 1
    )
  ), ""
)</f>
        <v/>
      </c>
      <c r="AL331" t="str" cm="1">
        <f t="array" ref="AL331">IFERROR(
  _xlfn.LET(
    _xlpm.ligpartie, MATCH($B330, Donnees!$F:$F, 0),
    _xlpm.joueurs, INDEX(Donnees!$A:$Z, _xlpm.ligpartie+1, _xlfn.SEQUENCE(1, 4, 2)),
    INDEX(
      Donnees!$A:$Z,
      _xlpm.ligpartie + 3,
      MATCH(AL$1, _xlpm.joueurs, 0) + 1
    )
  ), ""
)</f>
        <v/>
      </c>
      <c r="AM331" t="str" cm="1">
        <f t="array" ref="AM331">IFERROR(
  _xlfn.LET(
    _xlpm.ligpartie, MATCH($B330, Donnees!$F:$F, 0),
    _xlpm.joueurs, INDEX(Donnees!$A:$Z, _xlpm.ligpartie+1, _xlfn.SEQUENCE(1, 4, 2)),
    INDEX(
      Donnees!$A:$Z,
      _xlpm.ligpartie + 3,
      MATCH(AM$1, _xlpm.joueurs, 0) + 1
    )
  ), ""
)</f>
        <v/>
      </c>
    </row>
    <row r="332" spans="1:39" x14ac:dyDescent="0.25">
      <c r="A332" t="s">
        <v>20</v>
      </c>
      <c r="D332" t="str" cm="1">
        <f t="array" ref="D332">_xlfn.LET(
  _xlpm.colj, _xlfn._xlws.FILTER(IF(ISNUMBER(331:331), COLUMN(331:331)), ISNUMBER(331:331)),
  _xlpm.elos, INDEX(330:330,1,_xlpm.colj),
  _xlpm.diffscale, Constantes!$B$2,
  IF(D331="",
    "",
    SUM(1/(1+POWER(10,-(D330-_xlpm.elos)/_xlpm.diffscale)))-0.5)
)</f>
        <v/>
      </c>
      <c r="E332" cm="1">
        <f t="array" ref="E332">_xlfn.LET(
  _xlpm.colj, _xlfn._xlws.FILTER(IF(ISNUMBER(331:331), COLUMN(331:331)), ISNUMBER(331:331)),
  _xlpm.elos, INDEX(330:330,1,_xlpm.colj),
  _xlpm.diffscale, Constantes!$B$2,
  IF(E331="",
    "",
    SUM(1/(1+POWER(10,-(E330-_xlpm.elos)/_xlpm.diffscale)))-0.5)
)</f>
        <v>1.5248456375328456</v>
      </c>
      <c r="F332" t="str" cm="1">
        <f t="array" ref="F332">_xlfn.LET(
  _xlpm.colj, _xlfn._xlws.FILTER(IF(ISNUMBER(331:331), COLUMN(331:331)), ISNUMBER(331:331)),
  _xlpm.elos, INDEX(330:330,1,_xlpm.colj),
  _xlpm.diffscale, Constantes!$B$2,
  IF(F331="",
    "",
    SUM(1/(1+POWER(10,-(F330-_xlpm.elos)/_xlpm.diffscale)))-0.5)
)</f>
        <v/>
      </c>
      <c r="G332" cm="1">
        <f t="array" ref="G332">_xlfn.LET(
  _xlpm.colj, _xlfn._xlws.FILTER(IF(ISNUMBER(331:331), COLUMN(331:331)), ISNUMBER(331:331)),
  _xlpm.elos, INDEX(330:330,1,_xlpm.colj),
  _xlpm.diffscale, Constantes!$B$2,
  IF(G331="",
    "",
    SUM(1/(1+POWER(10,-(G330-_xlpm.elos)/_xlpm.diffscale)))-0.5)
)</f>
        <v>1.6543634369014848</v>
      </c>
      <c r="H332" t="str" cm="1">
        <f t="array" ref="H332">_xlfn.LET(
  _xlpm.colj, _xlfn._xlws.FILTER(IF(ISNUMBER(331:331), COLUMN(331:331)), ISNUMBER(331:331)),
  _xlpm.elos, INDEX(330:330,1,_xlpm.colj),
  _xlpm.diffscale, Constantes!$B$2,
  IF(H331="",
    "",
    SUM(1/(1+POWER(10,-(H330-_xlpm.elos)/_xlpm.diffscale)))-0.5)
)</f>
        <v/>
      </c>
      <c r="I332" t="str" cm="1">
        <f t="array" ref="I332">_xlfn.LET(
  _xlpm.colj, _xlfn._xlws.FILTER(IF(ISNUMBER(331:331), COLUMN(331:331)), ISNUMBER(331:331)),
  _xlpm.elos, INDEX(330:330,1,_xlpm.colj),
  _xlpm.diffscale, Constantes!$B$2,
  IF(I331="",
    "",
    SUM(1/(1+POWER(10,-(I330-_xlpm.elos)/_xlpm.diffscale)))-0.5)
)</f>
        <v/>
      </c>
      <c r="J332" t="str" cm="1">
        <f t="array" ref="J332">_xlfn.LET(
  _xlpm.colj, _xlfn._xlws.FILTER(IF(ISNUMBER(331:331), COLUMN(331:331)), ISNUMBER(331:331)),
  _xlpm.elos, INDEX(330:330,1,_xlpm.colj),
  _xlpm.diffscale, Constantes!$B$2,
  IF(J331="",
    "",
    SUM(1/(1+POWER(10,-(J330-_xlpm.elos)/_xlpm.diffscale)))-0.5)
)</f>
        <v/>
      </c>
      <c r="K332" t="str" cm="1">
        <f t="array" ref="K332">_xlfn.LET(
  _xlpm.colj, _xlfn._xlws.FILTER(IF(ISNUMBER(331:331), COLUMN(331:331)), ISNUMBER(331:331)),
  _xlpm.elos, INDEX(330:330,1,_xlpm.colj),
  _xlpm.diffscale, Constantes!$B$2,
  IF(K331="",
    "",
    SUM(1/(1+POWER(10,-(K330-_xlpm.elos)/_xlpm.diffscale)))-0.5)
)</f>
        <v/>
      </c>
      <c r="L332" t="str" cm="1">
        <f t="array" ref="L332">_xlfn.LET(
  _xlpm.colj, _xlfn._xlws.FILTER(IF(ISNUMBER(331:331), COLUMN(331:331)), ISNUMBER(331:331)),
  _xlpm.elos, INDEX(330:330,1,_xlpm.colj),
  _xlpm.diffscale, Constantes!$B$2,
  IF(L331="",
    "",
    SUM(1/(1+POWER(10,-(L330-_xlpm.elos)/_xlpm.diffscale)))-0.5)
)</f>
        <v/>
      </c>
      <c r="M332" t="str" cm="1">
        <f t="array" ref="M332">_xlfn.LET(
  _xlpm.colj, _xlfn._xlws.FILTER(IF(ISNUMBER(331:331), COLUMN(331:331)), ISNUMBER(331:331)),
  _xlpm.elos, INDEX(330:330,1,_xlpm.colj),
  _xlpm.diffscale, Constantes!$B$2,
  IF(M331="",
    "",
    SUM(1/(1+POWER(10,-(M330-_xlpm.elos)/_xlpm.diffscale)))-0.5)
)</f>
        <v/>
      </c>
      <c r="N332" t="str" cm="1">
        <f t="array" ref="N332">_xlfn.LET(
  _xlpm.colj, _xlfn._xlws.FILTER(IF(ISNUMBER(331:331), COLUMN(331:331)), ISNUMBER(331:331)),
  _xlpm.elos, INDEX(330:330,1,_xlpm.colj),
  _xlpm.diffscale, Constantes!$B$2,
  IF(N331="",
    "",
    SUM(1/(1+POWER(10,-(N330-_xlpm.elos)/_xlpm.diffscale)))-0.5)
)</f>
        <v/>
      </c>
      <c r="O332" t="str" cm="1">
        <f t="array" ref="O332">_xlfn.LET(
  _xlpm.colj, _xlfn._xlws.FILTER(IF(ISNUMBER(331:331), COLUMN(331:331)), ISNUMBER(331:331)),
  _xlpm.elos, INDEX(330:330,1,_xlpm.colj),
  _xlpm.diffscale, Constantes!$B$2,
  IF(O331="",
    "",
    SUM(1/(1+POWER(10,-(O330-_xlpm.elos)/_xlpm.diffscale)))-0.5)
)</f>
        <v/>
      </c>
      <c r="P332" cm="1">
        <f t="array" ref="P332">_xlfn.LET(
  _xlpm.colj, _xlfn._xlws.FILTER(IF(ISNUMBER(331:331), COLUMN(331:331)), ISNUMBER(331:331)),
  _xlpm.elos, INDEX(330:330,1,_xlpm.colj),
  _xlpm.diffscale, Constantes!$B$2,
  IF(P331="",
    "",
    SUM(1/(1+POWER(10,-(P330-_xlpm.elos)/_xlpm.diffscale)))-0.5)
)</f>
        <v>0.84918639387969574</v>
      </c>
      <c r="Q332" t="str" cm="1">
        <f t="array" ref="Q332">_xlfn.LET(
  _xlpm.colj, _xlfn._xlws.FILTER(IF(ISNUMBER(331:331), COLUMN(331:331)), ISNUMBER(331:331)),
  _xlpm.elos, INDEX(330:330,1,_xlpm.colj),
  _xlpm.diffscale, Constantes!$B$2,
  IF(Q331="",
    "",
    SUM(1/(1+POWER(10,-(Q330-_xlpm.elos)/_xlpm.diffscale)))-0.5)
)</f>
        <v/>
      </c>
      <c r="R332" t="str" cm="1">
        <f t="array" ref="R332">_xlfn.LET(
  _xlpm.colj, _xlfn._xlws.FILTER(IF(ISNUMBER(331:331), COLUMN(331:331)), ISNUMBER(331:331)),
  _xlpm.elos, INDEX(330:330,1,_xlpm.colj),
  _xlpm.diffscale, Constantes!$B$2,
  IF(R331="",
    "",
    SUM(1/(1+POWER(10,-(R330-_xlpm.elos)/_xlpm.diffscale)))-0.5)
)</f>
        <v/>
      </c>
      <c r="S332" t="str" cm="1">
        <f t="array" ref="S332">_xlfn.LET(
  _xlpm.colj, _xlfn._xlws.FILTER(IF(ISNUMBER(331:331), COLUMN(331:331)), ISNUMBER(331:331)),
  _xlpm.elos, INDEX(330:330,1,_xlpm.colj),
  _xlpm.diffscale, Constantes!$B$2,
  IF(S331="",
    "",
    SUM(1/(1+POWER(10,-(S330-_xlpm.elos)/_xlpm.diffscale)))-0.5)
)</f>
        <v/>
      </c>
      <c r="T332" t="str" cm="1">
        <f t="array" ref="T332">_xlfn.LET(
  _xlpm.colj, _xlfn._xlws.FILTER(IF(ISNUMBER(331:331), COLUMN(331:331)), ISNUMBER(331:331)),
  _xlpm.elos, INDEX(330:330,1,_xlpm.colj),
  _xlpm.diffscale, Constantes!$B$2,
  IF(T331="",
    "",
    SUM(1/(1+POWER(10,-(T330-_xlpm.elos)/_xlpm.diffscale)))-0.5)
)</f>
        <v/>
      </c>
      <c r="U332" cm="1">
        <f t="array" ref="U332">_xlfn.LET(
  _xlpm.colj, _xlfn._xlws.FILTER(IF(ISNUMBER(331:331), COLUMN(331:331)), ISNUMBER(331:331)),
  _xlpm.elos, INDEX(330:330,1,_xlpm.colj),
  _xlpm.diffscale, Constantes!$B$2,
  IF(U331="",
    "",
    SUM(1/(1+POWER(10,-(U330-_xlpm.elos)/_xlpm.diffscale)))-0.5)
)</f>
        <v>1.9716045316859736</v>
      </c>
      <c r="V332" t="str" cm="1">
        <f t="array" ref="V332">_xlfn.LET(
  _xlpm.colj, _xlfn._xlws.FILTER(IF(ISNUMBER(331:331), COLUMN(331:331)), ISNUMBER(331:331)),
  _xlpm.elos, INDEX(330:330,1,_xlpm.colj),
  _xlpm.diffscale, Constantes!$B$2,
  IF(V331="",
    "",
    SUM(1/(1+POWER(10,-(V330-_xlpm.elos)/_xlpm.diffscale)))-0.5)
)</f>
        <v/>
      </c>
      <c r="W332" t="str" cm="1">
        <f t="array" ref="W332">_xlfn.LET(
  _xlpm.colj, _xlfn._xlws.FILTER(IF(ISNUMBER(331:331), COLUMN(331:331)), ISNUMBER(331:331)),
  _xlpm.elos, INDEX(330:330,1,_xlpm.colj),
  _xlpm.diffscale, Constantes!$B$2,
  IF(W331="",
    "",
    SUM(1/(1+POWER(10,-(W330-_xlpm.elos)/_xlpm.diffscale)))-0.5)
)</f>
        <v/>
      </c>
      <c r="X332" t="str" cm="1">
        <f t="array" ref="X332">_xlfn.LET(
  _xlpm.colj, _xlfn._xlws.FILTER(IF(ISNUMBER(331:331), COLUMN(331:331)), ISNUMBER(331:331)),
  _xlpm.elos, INDEX(330:330,1,_xlpm.colj),
  _xlpm.diffscale, Constantes!$B$2,
  IF(X331="",
    "",
    SUM(1/(1+POWER(10,-(X330-_xlpm.elos)/_xlpm.diffscale)))-0.5)
)</f>
        <v/>
      </c>
      <c r="Y332" t="str" cm="1">
        <f t="array" ref="Y332">_xlfn.LET(
  _xlpm.colj, _xlfn._xlws.FILTER(IF(ISNUMBER(331:331), COLUMN(331:331)), ISNUMBER(331:331)),
  _xlpm.elos, INDEX(330:330,1,_xlpm.colj),
  _xlpm.diffscale, Constantes!$B$2,
  IF(Y331="",
    "",
    SUM(1/(1+POWER(10,-(Y330-_xlpm.elos)/_xlpm.diffscale)))-0.5)
)</f>
        <v/>
      </c>
      <c r="Z332" t="str" cm="1">
        <f t="array" ref="Z332">_xlfn.LET(
  _xlpm.colj, _xlfn._xlws.FILTER(IF(ISNUMBER(331:331), COLUMN(331:331)), ISNUMBER(331:331)),
  _xlpm.elos, INDEX(330:330,1,_xlpm.colj),
  _xlpm.diffscale, Constantes!$B$2,
  IF(Z331="",
    "",
    SUM(1/(1+POWER(10,-(Z330-_xlpm.elos)/_xlpm.diffscale)))-0.5)
)</f>
        <v/>
      </c>
      <c r="AA332" t="str" cm="1">
        <f t="array" ref="AA332">_xlfn.LET(
  _xlpm.colj, _xlfn._xlws.FILTER(IF(ISNUMBER(331:331), COLUMN(331:331)), ISNUMBER(331:331)),
  _xlpm.elos, INDEX(330:330,1,_xlpm.colj),
  _xlpm.diffscale, Constantes!$B$2,
  IF(AA331="",
    "",
    SUM(1/(1+POWER(10,-(AA330-_xlpm.elos)/_xlpm.diffscale)))-0.5)
)</f>
        <v/>
      </c>
      <c r="AB332" t="str" cm="1">
        <f t="array" ref="AB332">_xlfn.LET(
  _xlpm.colj, _xlfn._xlws.FILTER(IF(ISNUMBER(331:331), COLUMN(331:331)), ISNUMBER(331:331)),
  _xlpm.elos, INDEX(330:330,1,_xlpm.colj),
  _xlpm.diffscale, Constantes!$B$2,
  IF(AB331="",
    "",
    SUM(1/(1+POWER(10,-(AB330-_xlpm.elos)/_xlpm.diffscale)))-0.5)
)</f>
        <v/>
      </c>
      <c r="AC332" t="str" cm="1">
        <f t="array" ref="AC332">_xlfn.LET(
  _xlpm.colj, _xlfn._xlws.FILTER(IF(ISNUMBER(331:331), COLUMN(331:331)), ISNUMBER(331:331)),
  _xlpm.elos, INDEX(330:330,1,_xlpm.colj),
  _xlpm.diffscale, Constantes!$B$2,
  IF(AC331="",
    "",
    SUM(1/(1+POWER(10,-(AC330-_xlpm.elos)/_xlpm.diffscale)))-0.5)
)</f>
        <v/>
      </c>
      <c r="AD332" t="str" cm="1">
        <f t="array" ref="AD332">_xlfn.LET(
  _xlpm.colj, _xlfn._xlws.FILTER(IF(ISNUMBER(331:331), COLUMN(331:331)), ISNUMBER(331:331)),
  _xlpm.elos, INDEX(330:330,1,_xlpm.colj),
  _xlpm.diffscale, Constantes!$B$2,
  IF(AD331="",
    "",
    SUM(1/(1+POWER(10,-(AD330-_xlpm.elos)/_xlpm.diffscale)))-0.5)
)</f>
        <v/>
      </c>
      <c r="AE332" t="str" cm="1">
        <f t="array" ref="AE332">_xlfn.LET(
  _xlpm.colj, _xlfn._xlws.FILTER(IF(ISNUMBER(331:331), COLUMN(331:331)), ISNUMBER(331:331)),
  _xlpm.elos, INDEX(330:330,1,_xlpm.colj),
  _xlpm.diffscale, Constantes!$B$2,
  IF(AE331="",
    "",
    SUM(1/(1+POWER(10,-(AE330-_xlpm.elos)/_xlpm.diffscale)))-0.5)
)</f>
        <v/>
      </c>
      <c r="AF332" t="str" cm="1">
        <f t="array" ref="AF332">_xlfn.LET(
  _xlpm.colj, _xlfn._xlws.FILTER(IF(ISNUMBER(331:331), COLUMN(331:331)), ISNUMBER(331:331)),
  _xlpm.elos, INDEX(330:330,1,_xlpm.colj),
  _xlpm.diffscale, Constantes!$B$2,
  IF(AF331="",
    "",
    SUM(1/(1+POWER(10,-(AF330-_xlpm.elos)/_xlpm.diffscale)))-0.5)
)</f>
        <v/>
      </c>
      <c r="AG332" t="str" cm="1">
        <f t="array" ref="AG332">_xlfn.LET(
  _xlpm.colj, _xlfn._xlws.FILTER(IF(ISNUMBER(331:331), COLUMN(331:331)), ISNUMBER(331:331)),
  _xlpm.elos, INDEX(330:330,1,_xlpm.colj),
  _xlpm.diffscale, Constantes!$B$2,
  IF(AG331="",
    "",
    SUM(1/(1+POWER(10,-(AG330-_xlpm.elos)/_xlpm.diffscale)))-0.5)
)</f>
        <v/>
      </c>
      <c r="AH332" t="str" cm="1">
        <f t="array" ref="AH332">_xlfn.LET(
  _xlpm.colj, _xlfn._xlws.FILTER(IF(ISNUMBER(331:331), COLUMN(331:331)), ISNUMBER(331:331)),
  _xlpm.elos, INDEX(330:330,1,_xlpm.colj),
  _xlpm.diffscale, Constantes!$B$2,
  IF(AH331="",
    "",
    SUM(1/(1+POWER(10,-(AH330-_xlpm.elos)/_xlpm.diffscale)))-0.5)
)</f>
        <v/>
      </c>
      <c r="AI332" t="str" cm="1">
        <f t="array" ref="AI332">_xlfn.LET(
  _xlpm.colj, _xlfn._xlws.FILTER(IF(ISNUMBER(331:331), COLUMN(331:331)), ISNUMBER(331:331)),
  _xlpm.elos, INDEX(330:330,1,_xlpm.colj),
  _xlpm.diffscale, Constantes!$B$2,
  IF(AI331="",
    "",
    SUM(1/(1+POWER(10,-(AI330-_xlpm.elos)/_xlpm.diffscale)))-0.5)
)</f>
        <v/>
      </c>
      <c r="AJ332" t="str" cm="1">
        <f t="array" ref="AJ332">_xlfn.LET(
  _xlpm.colj, _xlfn._xlws.FILTER(IF(ISNUMBER(331:331), COLUMN(331:331)), ISNUMBER(331:331)),
  _xlpm.elos, INDEX(330:330,1,_xlpm.colj),
  _xlpm.diffscale, Constantes!$B$2,
  IF(AJ331="",
    "",
    SUM(1/(1+POWER(10,-(AJ330-_xlpm.elos)/_xlpm.diffscale)))-0.5)
)</f>
        <v/>
      </c>
      <c r="AK332" t="str" cm="1">
        <f t="array" ref="AK332">_xlfn.LET(
  _xlpm.colj, _xlfn._xlws.FILTER(IF(ISNUMBER(331:331), COLUMN(331:331)), ISNUMBER(331:331)),
  _xlpm.elos, INDEX(330:330,1,_xlpm.colj),
  _xlpm.diffscale, Constantes!$B$2,
  IF(AK331="",
    "",
    SUM(1/(1+POWER(10,-(AK330-_xlpm.elos)/_xlpm.diffscale)))-0.5)
)</f>
        <v/>
      </c>
      <c r="AL332" t="str" cm="1">
        <f t="array" ref="AL332">_xlfn.LET(
  _xlpm.colj, _xlfn._xlws.FILTER(IF(ISNUMBER(331:331), COLUMN(331:331)), ISNUMBER(331:331)),
  _xlpm.elos, INDEX(330:330,1,_xlpm.colj),
  _xlpm.diffscale, Constantes!$B$2,
  IF(AL331="",
    "",
    SUM(1/(1+POWER(10,-(AL330-_xlpm.elos)/_xlpm.diffscale)))-0.5)
)</f>
        <v/>
      </c>
      <c r="AM332" t="str" cm="1">
        <f t="array" ref="AM332">_xlfn.LET(
  _xlpm.colj, _xlfn._xlws.FILTER(IF(ISNUMBER(331:331), COLUMN(331:331)), ISNUMBER(331:331)),
  _xlpm.elos, INDEX(330:330,1,_xlpm.colj),
  _xlpm.diffscale, Constantes!$B$2,
  IF(AM331="",
    "",
    SUM(1/(1+POWER(10,-(AM330-_xlpm.elos)/_xlpm.diffscale)))-0.5)
)</f>
        <v/>
      </c>
    </row>
    <row r="333" spans="1:39" x14ac:dyDescent="0.25">
      <c r="A333" t="s">
        <v>22</v>
      </c>
      <c r="D333" t="str" cm="1">
        <f t="array" ref="D333">_xlfn.LET(
  _xlpm.K, Constantes!$B$3,
  _xlpm.Knewgain, Constantes!$B$4,
  _xlpm.Knewscale, Constantes!$B$5,
  _xlpm.ptstables, INDEX(D:D, _xlfn.SEQUENCE(COUNTA($C$2:$C333), 1, 3, 4)),
  _xlpm.nbparties, COUNTA(_xlfn._xlws.FILTER(_xlpm.ptstables, _xlpm.ptstables &lt;&gt; "")),
  _xlpm.coef, _xlpm.K + _xlpm.Knewgain / (_xlpm.Knewscale + _xlpm.nbparties),
  IF(D331="",
    "",
    _xlpm.coef * (D331-D332))
)</f>
        <v/>
      </c>
      <c r="E333" cm="1">
        <f t="array" ref="E333">_xlfn.LET(
  _xlpm.K, Constantes!$B$3,
  _xlpm.Knewgain, Constantes!$B$4,
  _xlpm.Knewscale, Constantes!$B$5,
  _xlpm.ptstables, INDEX(E:E, _xlfn.SEQUENCE(COUNTA($C$2:$C333), 1, 3, 4)),
  _xlpm.nbparties, COUNTA(_xlfn._xlws.FILTER(_xlpm.ptstables, _xlpm.ptstables &lt;&gt; "")),
  _xlpm.coef, _xlpm.K + _xlpm.Knewgain / (_xlpm.Knewscale + _xlpm.nbparties),
  IF(E331="",
    "",
    _xlpm.coef * (E331-E332))
)</f>
        <v>10.634407159979169</v>
      </c>
      <c r="F333" t="str" cm="1">
        <f t="array" ref="F333">_xlfn.LET(
  _xlpm.K, Constantes!$B$3,
  _xlpm.Knewgain, Constantes!$B$4,
  _xlpm.Knewscale, Constantes!$B$5,
  _xlpm.ptstables, INDEX(F:F, _xlfn.SEQUENCE(COUNTA($C$2:$C333), 1, 3, 4)),
  _xlpm.nbparties, COUNTA(_xlfn._xlws.FILTER(_xlpm.ptstables, _xlpm.ptstables &lt;&gt; "")),
  _xlpm.coef, _xlpm.K + _xlpm.Knewgain / (_xlpm.Knewscale + _xlpm.nbparties),
  IF(F331="",
    "",
    _xlpm.coef * (F331-F332))
)</f>
        <v/>
      </c>
      <c r="G333" cm="1">
        <f t="array" ref="G333">_xlfn.LET(
  _xlpm.K, Constantes!$B$3,
  _xlpm.Knewgain, Constantes!$B$4,
  _xlpm.Knewscale, Constantes!$B$5,
  _xlpm.ptstables, INDEX(G:G, _xlfn.SEQUENCE(COUNTA($C$2:$C333), 1, 3, 4)),
  _xlpm.nbparties, COUNTA(_xlfn._xlws.FILTER(_xlpm.ptstables, _xlpm.ptstables &lt;&gt; "")),
  _xlpm.coef, _xlpm.K + _xlpm.Knewgain / (_xlpm.Knewscale + _xlpm.nbparties),
  IF(G331="",
    "",
    _xlpm.coef * (G331-G332))
)</f>
        <v>-14.395995611832666</v>
      </c>
      <c r="H333" t="str" cm="1">
        <f t="array" ref="H333">_xlfn.LET(
  _xlpm.K, Constantes!$B$3,
  _xlpm.Knewgain, Constantes!$B$4,
  _xlpm.Knewscale, Constantes!$B$5,
  _xlpm.ptstables, INDEX(H:H, _xlfn.SEQUENCE(COUNTA($C$2:$C333), 1, 3, 4)),
  _xlpm.nbparties, COUNTA(_xlfn._xlws.FILTER(_xlpm.ptstables, _xlpm.ptstables &lt;&gt; "")),
  _xlpm.coef, _xlpm.K + _xlpm.Knewgain / (_xlpm.Knewscale + _xlpm.nbparties),
  IF(H331="",
    "",
    _xlpm.coef * (H331-H332))
)</f>
        <v/>
      </c>
      <c r="I333" t="str" cm="1">
        <f t="array" ref="I333">_xlfn.LET(
  _xlpm.K, Constantes!$B$3,
  _xlpm.Knewgain, Constantes!$B$4,
  _xlpm.Knewscale, Constantes!$B$5,
  _xlpm.ptstables, INDEX(I:I, _xlfn.SEQUENCE(COUNTA($C$2:$C333), 1, 3, 4)),
  _xlpm.nbparties, COUNTA(_xlfn._xlws.FILTER(_xlpm.ptstables, _xlpm.ptstables &lt;&gt; "")),
  _xlpm.coef, _xlpm.K + _xlpm.Knewgain / (_xlpm.Knewscale + _xlpm.nbparties),
  IF(I331="",
    "",
    _xlpm.coef * (I331-I332))
)</f>
        <v/>
      </c>
      <c r="J333" t="str" cm="1">
        <f t="array" ref="J333">_xlfn.LET(
  _xlpm.K, Constantes!$B$3,
  _xlpm.Knewgain, Constantes!$B$4,
  _xlpm.Knewscale, Constantes!$B$5,
  _xlpm.ptstables, INDEX(J:J, _xlfn.SEQUENCE(COUNTA($C$2:$C333), 1, 3, 4)),
  _xlpm.nbparties, COUNTA(_xlfn._xlws.FILTER(_xlpm.ptstables, _xlpm.ptstables &lt;&gt; "")),
  _xlpm.coef, _xlpm.K + _xlpm.Knewgain / (_xlpm.Knewscale + _xlpm.nbparties),
  IF(J331="",
    "",
    _xlpm.coef * (J331-J332))
)</f>
        <v/>
      </c>
      <c r="K333" t="str" cm="1">
        <f t="array" ref="K333">_xlfn.LET(
  _xlpm.K, Constantes!$B$3,
  _xlpm.Knewgain, Constantes!$B$4,
  _xlpm.Knewscale, Constantes!$B$5,
  _xlpm.ptstables, INDEX(K:K, _xlfn.SEQUENCE(COUNTA($C$2:$C333), 1, 3, 4)),
  _xlpm.nbparties, COUNTA(_xlfn._xlws.FILTER(_xlpm.ptstables, _xlpm.ptstables &lt;&gt; "")),
  _xlpm.coef, _xlpm.K + _xlpm.Knewgain / (_xlpm.Knewscale + _xlpm.nbparties),
  IF(K331="",
    "",
    _xlpm.coef * (K331-K332))
)</f>
        <v/>
      </c>
      <c r="L333" t="str" cm="1">
        <f t="array" ref="L333">_xlfn.LET(
  _xlpm.K, Constantes!$B$3,
  _xlpm.Knewgain, Constantes!$B$4,
  _xlpm.Knewscale, Constantes!$B$5,
  _xlpm.ptstables, INDEX(L:L, _xlfn.SEQUENCE(COUNTA($C$2:$C333), 1, 3, 4)),
  _xlpm.nbparties, COUNTA(_xlfn._xlws.FILTER(_xlpm.ptstables, _xlpm.ptstables &lt;&gt; "")),
  _xlpm.coef, _xlpm.K + _xlpm.Knewgain / (_xlpm.Knewscale + _xlpm.nbparties),
  IF(L331="",
    "",
    _xlpm.coef * (L331-L332))
)</f>
        <v/>
      </c>
      <c r="M333" t="str" cm="1">
        <f t="array" ref="M333">_xlfn.LET(
  _xlpm.K, Constantes!$B$3,
  _xlpm.Knewgain, Constantes!$B$4,
  _xlpm.Knewscale, Constantes!$B$5,
  _xlpm.ptstables, INDEX(M:M, _xlfn.SEQUENCE(COUNTA($C$2:$C333), 1, 3, 4)),
  _xlpm.nbparties, COUNTA(_xlfn._xlws.FILTER(_xlpm.ptstables, _xlpm.ptstables &lt;&gt; "")),
  _xlpm.coef, _xlpm.K + _xlpm.Knewgain / (_xlpm.Knewscale + _xlpm.nbparties),
  IF(M331="",
    "",
    _xlpm.coef * (M331-M332))
)</f>
        <v/>
      </c>
      <c r="N333" t="str" cm="1">
        <f t="array" ref="N333">_xlfn.LET(
  _xlpm.K, Constantes!$B$3,
  _xlpm.Knewgain, Constantes!$B$4,
  _xlpm.Knewscale, Constantes!$B$5,
  _xlpm.ptstables, INDEX(N:N, _xlfn.SEQUENCE(COUNTA($C$2:$C333), 1, 3, 4)),
  _xlpm.nbparties, COUNTA(_xlfn._xlws.FILTER(_xlpm.ptstables, _xlpm.ptstables &lt;&gt; "")),
  _xlpm.coef, _xlpm.K + _xlpm.Knewgain / (_xlpm.Knewscale + _xlpm.nbparties),
  IF(N331="",
    "",
    _xlpm.coef * (N331-N332))
)</f>
        <v/>
      </c>
      <c r="O333" t="str" cm="1">
        <f t="array" ref="O333">_xlfn.LET(
  _xlpm.K, Constantes!$B$3,
  _xlpm.Knewgain, Constantes!$B$4,
  _xlpm.Knewscale, Constantes!$B$5,
  _xlpm.ptstables, INDEX(O:O, _xlfn.SEQUENCE(COUNTA($C$2:$C333), 1, 3, 4)),
  _xlpm.nbparties, COUNTA(_xlfn._xlws.FILTER(_xlpm.ptstables, _xlpm.ptstables &lt;&gt; "")),
  _xlpm.coef, _xlpm.K + _xlpm.Knewgain / (_xlpm.Knewscale + _xlpm.nbparties),
  IF(O331="",
    "",
    _xlpm.coef * (O331-O332))
)</f>
        <v/>
      </c>
      <c r="P333" cm="1">
        <f t="array" ref="P333">_xlfn.LET(
  _xlpm.K, Constantes!$B$3,
  _xlpm.Knewgain, Constantes!$B$4,
  _xlpm.Knewscale, Constantes!$B$5,
  _xlpm.ptstables, INDEX(P:P, _xlfn.SEQUENCE(COUNTA($C$2:$C333), 1, 3, 4)),
  _xlpm.nbparties, COUNTA(_xlfn._xlws.FILTER(_xlpm.ptstables, _xlpm.ptstables &lt;&gt; "")),
  _xlpm.coef, _xlpm.K + _xlpm.Knewgain / (_xlpm.Knewscale + _xlpm.nbparties),
  IF(P331="",
    "",
    _xlpm.coef * (P331-P332))
)</f>
        <v>-20.249829392515821</v>
      </c>
      <c r="Q333" t="str" cm="1">
        <f t="array" ref="Q333">_xlfn.LET(
  _xlpm.K, Constantes!$B$3,
  _xlpm.Knewgain, Constantes!$B$4,
  _xlpm.Knewscale, Constantes!$B$5,
  _xlpm.ptstables, INDEX(Q:Q, _xlfn.SEQUENCE(COUNTA($C$2:$C333), 1, 3, 4)),
  _xlpm.nbparties, COUNTA(_xlfn._xlws.FILTER(_xlpm.ptstables, _xlpm.ptstables &lt;&gt; "")),
  _xlpm.coef, _xlpm.K + _xlpm.Knewgain / (_xlpm.Knewscale + _xlpm.nbparties),
  IF(Q331="",
    "",
    _xlpm.coef * (Q331-Q332))
)</f>
        <v/>
      </c>
      <c r="R333" t="str" cm="1">
        <f t="array" ref="R333">_xlfn.LET(
  _xlpm.K, Constantes!$B$3,
  _xlpm.Knewgain, Constantes!$B$4,
  _xlpm.Knewscale, Constantes!$B$5,
  _xlpm.ptstables, INDEX(R:R, _xlfn.SEQUENCE(COUNTA($C$2:$C333), 1, 3, 4)),
  _xlpm.nbparties, COUNTA(_xlfn._xlws.FILTER(_xlpm.ptstables, _xlpm.ptstables &lt;&gt; "")),
  _xlpm.coef, _xlpm.K + _xlpm.Knewgain / (_xlpm.Knewscale + _xlpm.nbparties),
  IF(R331="",
    "",
    _xlpm.coef * (R331-R332))
)</f>
        <v/>
      </c>
      <c r="S333" t="str" cm="1">
        <f t="array" ref="S333">_xlfn.LET(
  _xlpm.K, Constantes!$B$3,
  _xlpm.Knewgain, Constantes!$B$4,
  _xlpm.Knewscale, Constantes!$B$5,
  _xlpm.ptstables, INDEX(S:S, _xlfn.SEQUENCE(COUNTA($C$2:$C333), 1, 3, 4)),
  _xlpm.nbparties, COUNTA(_xlfn._xlws.FILTER(_xlpm.ptstables, _xlpm.ptstables &lt;&gt; "")),
  _xlpm.coef, _xlpm.K + _xlpm.Knewgain / (_xlpm.Knewscale + _xlpm.nbparties),
  IF(S331="",
    "",
    _xlpm.coef * (S331-S332))
)</f>
        <v/>
      </c>
      <c r="T333" t="str" cm="1">
        <f t="array" ref="T333">_xlfn.LET(
  _xlpm.K, Constantes!$B$3,
  _xlpm.Knewgain, Constantes!$B$4,
  _xlpm.Knewscale, Constantes!$B$5,
  _xlpm.ptstables, INDEX(T:T, _xlfn.SEQUENCE(COUNTA($C$2:$C333), 1, 3, 4)),
  _xlpm.nbparties, COUNTA(_xlfn._xlws.FILTER(_xlpm.ptstables, _xlpm.ptstables &lt;&gt; "")),
  _xlpm.coef, _xlpm.K + _xlpm.Knewgain / (_xlpm.Knewscale + _xlpm.nbparties),
  IF(T331="",
    "",
    _xlpm.coef * (T331-T332))
)</f>
        <v/>
      </c>
      <c r="U333" cm="1">
        <f t="array" ref="U333">_xlfn.LET(
  _xlpm.K, Constantes!$B$3,
  _xlpm.Knewgain, Constantes!$B$4,
  _xlpm.Knewscale, Constantes!$B$5,
  _xlpm.ptstables, INDEX(U:U, _xlfn.SEQUENCE(COUNTA($C$2:$C333), 1, 3, 4)),
  _xlpm.nbparties, COUNTA(_xlfn._xlws.FILTER(_xlpm.ptstables, _xlpm.ptstables &lt;&gt; "")),
  _xlpm.coef, _xlpm.K + _xlpm.Knewgain / (_xlpm.Knewscale + _xlpm.nbparties),
  IF(U331="",
    "",
    _xlpm.coef * (U331-U332))
)</f>
        <v>22.624700302908579</v>
      </c>
      <c r="V333" t="str" cm="1">
        <f t="array" ref="V333">_xlfn.LET(
  _xlpm.K, Constantes!$B$3,
  _xlpm.Knewgain, Constantes!$B$4,
  _xlpm.Knewscale, Constantes!$B$5,
  _xlpm.ptstables, INDEX(V:V, _xlfn.SEQUENCE(COUNTA($C$2:$C333), 1, 3, 4)),
  _xlpm.nbparties, COUNTA(_xlfn._xlws.FILTER(_xlpm.ptstables, _xlpm.ptstables &lt;&gt; "")),
  _xlpm.coef, _xlpm.K + _xlpm.Knewgain / (_xlpm.Knewscale + _xlpm.nbparties),
  IF(V331="",
    "",
    _xlpm.coef * (V331-V332))
)</f>
        <v/>
      </c>
      <c r="W333" t="str" cm="1">
        <f t="array" ref="W333">_xlfn.LET(
  _xlpm.K, Constantes!$B$3,
  _xlpm.Knewgain, Constantes!$B$4,
  _xlpm.Knewscale, Constantes!$B$5,
  _xlpm.ptstables, INDEX(W:W, _xlfn.SEQUENCE(COUNTA($C$2:$C333), 1, 3, 4)),
  _xlpm.nbparties, COUNTA(_xlfn._xlws.FILTER(_xlpm.ptstables, _xlpm.ptstables &lt;&gt; "")),
  _xlpm.coef, _xlpm.K + _xlpm.Knewgain / (_xlpm.Knewscale + _xlpm.nbparties),
  IF(W331="",
    "",
    _xlpm.coef * (W331-W332))
)</f>
        <v/>
      </c>
      <c r="X333" t="str" cm="1">
        <f t="array" ref="X333">_xlfn.LET(
  _xlpm.K, Constantes!$B$3,
  _xlpm.Knewgain, Constantes!$B$4,
  _xlpm.Knewscale, Constantes!$B$5,
  _xlpm.ptstables, INDEX(X:X, _xlfn.SEQUENCE(COUNTA($C$2:$C333), 1, 3, 4)),
  _xlpm.nbparties, COUNTA(_xlfn._xlws.FILTER(_xlpm.ptstables, _xlpm.ptstables &lt;&gt; "")),
  _xlpm.coef, _xlpm.K + _xlpm.Knewgain / (_xlpm.Knewscale + _xlpm.nbparties),
  IF(X331="",
    "",
    _xlpm.coef * (X331-X332))
)</f>
        <v/>
      </c>
      <c r="Y333" t="str" cm="1">
        <f t="array" ref="Y333">_xlfn.LET(
  _xlpm.K, Constantes!$B$3,
  _xlpm.Knewgain, Constantes!$B$4,
  _xlpm.Knewscale, Constantes!$B$5,
  _xlpm.ptstables, INDEX(Y:Y, _xlfn.SEQUENCE(COUNTA($C$2:$C333), 1, 3, 4)),
  _xlpm.nbparties, COUNTA(_xlfn._xlws.FILTER(_xlpm.ptstables, _xlpm.ptstables &lt;&gt; "")),
  _xlpm.coef, _xlpm.K + _xlpm.Knewgain / (_xlpm.Knewscale + _xlpm.nbparties),
  IF(Y331="",
    "",
    _xlpm.coef * (Y331-Y332))
)</f>
        <v/>
      </c>
      <c r="Z333" t="str" cm="1">
        <f t="array" ref="Z333">_xlfn.LET(
  _xlpm.K, Constantes!$B$3,
  _xlpm.Knewgain, Constantes!$B$4,
  _xlpm.Knewscale, Constantes!$B$5,
  _xlpm.ptstables, INDEX(Z:Z, _xlfn.SEQUENCE(COUNTA($C$2:$C333), 1, 3, 4)),
  _xlpm.nbparties, COUNTA(_xlfn._xlws.FILTER(_xlpm.ptstables, _xlpm.ptstables &lt;&gt; "")),
  _xlpm.coef, _xlpm.K + _xlpm.Knewgain / (_xlpm.Knewscale + _xlpm.nbparties),
  IF(Z331="",
    "",
    _xlpm.coef * (Z331-Z332))
)</f>
        <v/>
      </c>
      <c r="AA333" t="str" cm="1">
        <f t="array" ref="AA333">_xlfn.LET(
  _xlpm.K, Constantes!$B$3,
  _xlpm.Knewgain, Constantes!$B$4,
  _xlpm.Knewscale, Constantes!$B$5,
  _xlpm.ptstables, INDEX(AA:AA, _xlfn.SEQUENCE(COUNTA($C$2:$C333), 1, 3, 4)),
  _xlpm.nbparties, COUNTA(_xlfn._xlws.FILTER(_xlpm.ptstables, _xlpm.ptstables &lt;&gt; "")),
  _xlpm.coef, _xlpm.K + _xlpm.Knewgain / (_xlpm.Knewscale + _xlpm.nbparties),
  IF(AA331="",
    "",
    _xlpm.coef * (AA331-AA332))
)</f>
        <v/>
      </c>
      <c r="AB333" t="str" cm="1">
        <f t="array" ref="AB333">_xlfn.LET(
  _xlpm.K, Constantes!$B$3,
  _xlpm.Knewgain, Constantes!$B$4,
  _xlpm.Knewscale, Constantes!$B$5,
  _xlpm.ptstables, INDEX(AB:AB, _xlfn.SEQUENCE(COUNTA($C$2:$C333), 1, 3, 4)),
  _xlpm.nbparties, COUNTA(_xlfn._xlws.FILTER(_xlpm.ptstables, _xlpm.ptstables &lt;&gt; "")),
  _xlpm.coef, _xlpm.K + _xlpm.Knewgain / (_xlpm.Knewscale + _xlpm.nbparties),
  IF(AB331="",
    "",
    _xlpm.coef * (AB331-AB332))
)</f>
        <v/>
      </c>
      <c r="AC333" t="str" cm="1">
        <f t="array" ref="AC333">_xlfn.LET(
  _xlpm.K, Constantes!$B$3,
  _xlpm.Knewgain, Constantes!$B$4,
  _xlpm.Knewscale, Constantes!$B$5,
  _xlpm.ptstables, INDEX(AC:AC, _xlfn.SEQUENCE(COUNTA($C$2:$C333), 1, 3, 4)),
  _xlpm.nbparties, COUNTA(_xlfn._xlws.FILTER(_xlpm.ptstables, _xlpm.ptstables &lt;&gt; "")),
  _xlpm.coef, _xlpm.K + _xlpm.Knewgain / (_xlpm.Knewscale + _xlpm.nbparties),
  IF(AC331="",
    "",
    _xlpm.coef * (AC331-AC332))
)</f>
        <v/>
      </c>
      <c r="AD333" t="str" cm="1">
        <f t="array" ref="AD333">_xlfn.LET(
  _xlpm.K, Constantes!$B$3,
  _xlpm.Knewgain, Constantes!$B$4,
  _xlpm.Knewscale, Constantes!$B$5,
  _xlpm.ptstables, INDEX(AD:AD, _xlfn.SEQUENCE(COUNTA($C$2:$C333), 1, 3, 4)),
  _xlpm.nbparties, COUNTA(_xlfn._xlws.FILTER(_xlpm.ptstables, _xlpm.ptstables &lt;&gt; "")),
  _xlpm.coef, _xlpm.K + _xlpm.Knewgain / (_xlpm.Knewscale + _xlpm.nbparties),
  IF(AD331="",
    "",
    _xlpm.coef * (AD331-AD332))
)</f>
        <v/>
      </c>
      <c r="AE333" t="str" cm="1">
        <f t="array" ref="AE333">_xlfn.LET(
  _xlpm.K, Constantes!$B$3,
  _xlpm.Knewgain, Constantes!$B$4,
  _xlpm.Knewscale, Constantes!$B$5,
  _xlpm.ptstables, INDEX(AE:AE, _xlfn.SEQUENCE(COUNTA($C$2:$C333), 1, 3, 4)),
  _xlpm.nbparties, COUNTA(_xlfn._xlws.FILTER(_xlpm.ptstables, _xlpm.ptstables &lt;&gt; "")),
  _xlpm.coef, _xlpm.K + _xlpm.Knewgain / (_xlpm.Knewscale + _xlpm.nbparties),
  IF(AE331="",
    "",
    _xlpm.coef * (AE331-AE332))
)</f>
        <v/>
      </c>
      <c r="AF333" t="str" cm="1">
        <f t="array" ref="AF333">_xlfn.LET(
  _xlpm.K, Constantes!$B$3,
  _xlpm.Knewgain, Constantes!$B$4,
  _xlpm.Knewscale, Constantes!$B$5,
  _xlpm.ptstables, INDEX(AF:AF, _xlfn.SEQUENCE(COUNTA($C$2:$C333), 1, 3, 4)),
  _xlpm.nbparties, COUNTA(_xlfn._xlws.FILTER(_xlpm.ptstables, _xlpm.ptstables &lt;&gt; "")),
  _xlpm.coef, _xlpm.K + _xlpm.Knewgain / (_xlpm.Knewscale + _xlpm.nbparties),
  IF(AF331="",
    "",
    _xlpm.coef * (AF331-AF332))
)</f>
        <v/>
      </c>
      <c r="AG333" t="str" cm="1">
        <f t="array" ref="AG333">_xlfn.LET(
  _xlpm.K, Constantes!$B$3,
  _xlpm.Knewgain, Constantes!$B$4,
  _xlpm.Knewscale, Constantes!$B$5,
  _xlpm.ptstables, INDEX(AG:AG, _xlfn.SEQUENCE(COUNTA($C$2:$C333), 1, 3, 4)),
  _xlpm.nbparties, COUNTA(_xlfn._xlws.FILTER(_xlpm.ptstables, _xlpm.ptstables &lt;&gt; "")),
  _xlpm.coef, _xlpm.K + _xlpm.Knewgain / (_xlpm.Knewscale + _xlpm.nbparties),
  IF(AG331="",
    "",
    _xlpm.coef * (AG331-AG332))
)</f>
        <v/>
      </c>
      <c r="AH333" t="str" cm="1">
        <f t="array" ref="AH333">_xlfn.LET(
  _xlpm.K, Constantes!$B$3,
  _xlpm.Knewgain, Constantes!$B$4,
  _xlpm.Knewscale, Constantes!$B$5,
  _xlpm.ptstables, INDEX(AH:AH, _xlfn.SEQUENCE(COUNTA($C$2:$C333), 1, 3, 4)),
  _xlpm.nbparties, COUNTA(_xlfn._xlws.FILTER(_xlpm.ptstables, _xlpm.ptstables &lt;&gt; "")),
  _xlpm.coef, _xlpm.K + _xlpm.Knewgain / (_xlpm.Knewscale + _xlpm.nbparties),
  IF(AH331="",
    "",
    _xlpm.coef * (AH331-AH332))
)</f>
        <v/>
      </c>
      <c r="AI333" t="str" cm="1">
        <f t="array" ref="AI333">_xlfn.LET(
  _xlpm.K, Constantes!$B$3,
  _xlpm.Knewgain, Constantes!$B$4,
  _xlpm.Knewscale, Constantes!$B$5,
  _xlpm.ptstables, INDEX(AI:AI, _xlfn.SEQUENCE(COUNTA($C$2:$C333), 1, 3, 4)),
  _xlpm.nbparties, COUNTA(_xlfn._xlws.FILTER(_xlpm.ptstables, _xlpm.ptstables &lt;&gt; "")),
  _xlpm.coef, _xlpm.K + _xlpm.Knewgain / (_xlpm.Knewscale + _xlpm.nbparties),
  IF(AI331="",
    "",
    _xlpm.coef * (AI331-AI332))
)</f>
        <v/>
      </c>
      <c r="AJ333" t="str" cm="1">
        <f t="array" ref="AJ333">_xlfn.LET(
  _xlpm.K, Constantes!$B$3,
  _xlpm.Knewgain, Constantes!$B$4,
  _xlpm.Knewscale, Constantes!$B$5,
  _xlpm.ptstables, INDEX(AJ:AJ, _xlfn.SEQUENCE(COUNTA($C$2:$C333), 1, 3, 4)),
  _xlpm.nbparties, COUNTA(_xlfn._xlws.FILTER(_xlpm.ptstables, _xlpm.ptstables &lt;&gt; "")),
  _xlpm.coef, _xlpm.K + _xlpm.Knewgain / (_xlpm.Knewscale + _xlpm.nbparties),
  IF(AJ331="",
    "",
    _xlpm.coef * (AJ331-AJ332))
)</f>
        <v/>
      </c>
      <c r="AK333" t="str" cm="1">
        <f t="array" ref="AK333">_xlfn.LET(
  _xlpm.K, Constantes!$B$3,
  _xlpm.Knewgain, Constantes!$B$4,
  _xlpm.Knewscale, Constantes!$B$5,
  _xlpm.ptstables, INDEX(AK:AK, _xlfn.SEQUENCE(COUNTA($C$2:$C333), 1, 3, 4)),
  _xlpm.nbparties, COUNTA(_xlfn._xlws.FILTER(_xlpm.ptstables, _xlpm.ptstables &lt;&gt; "")),
  _xlpm.coef, _xlpm.K + _xlpm.Knewgain / (_xlpm.Knewscale + _xlpm.nbparties),
  IF(AK331="",
    "",
    _xlpm.coef * (AK331-AK332))
)</f>
        <v/>
      </c>
      <c r="AL333" t="str" cm="1">
        <f t="array" ref="AL333">_xlfn.LET(
  _xlpm.K, Constantes!$B$3,
  _xlpm.Knewgain, Constantes!$B$4,
  _xlpm.Knewscale, Constantes!$B$5,
  _xlpm.ptstables, INDEX(AL:AL, _xlfn.SEQUENCE(COUNTA($C$2:$C333), 1, 3, 4)),
  _xlpm.nbparties, COUNTA(_xlfn._xlws.FILTER(_xlpm.ptstables, _xlpm.ptstables &lt;&gt; "")),
  _xlpm.coef, _xlpm.K + _xlpm.Knewgain / (_xlpm.Knewscale + _xlpm.nbparties),
  IF(AL331="",
    "",
    _xlpm.coef * (AL331-AL332))
)</f>
        <v/>
      </c>
      <c r="AM333" t="str" cm="1">
        <f t="array" ref="AM333">_xlfn.LET(
  _xlpm.K, Constantes!$B$3,
  _xlpm.Knewgain, Constantes!$B$4,
  _xlpm.Knewscale, Constantes!$B$5,
  _xlpm.ptstables, INDEX(AM:AM, _xlfn.SEQUENCE(COUNTA($C$2:$C333), 1, 3, 4)),
  _xlpm.nbparties, COUNTA(_xlfn._xlws.FILTER(_xlpm.ptstables, _xlpm.ptstables &lt;&gt; "")),
  _xlpm.coef, _xlpm.K + _xlpm.Knewgain / (_xlpm.Knewscale + _xlpm.nbparties),
  IF(AM331="",
    "",
    _xlpm.coef * (AM331-AM332))
)</f>
        <v/>
      </c>
    </row>
    <row r="334" spans="1:39" x14ac:dyDescent="0.25">
      <c r="A334" t="s">
        <v>14</v>
      </c>
      <c r="B334" t="str" cm="1">
        <f t="array" ref="B33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83</v>
      </c>
      <c r="C334" s="2" cm="1">
        <f t="array" ref="C334">IF(B334="","",
  INDEX(Donnees!F:F, MATCH(B334, Donnees!F:F, 0)+1))</f>
        <v>45948.822048611109</v>
      </c>
      <c r="D334">
        <f t="shared" ref="D334:AM334" si="91">D330+IF(D333="",0,D333)</f>
        <v>1008.0095267292556</v>
      </c>
      <c r="E334">
        <f t="shared" si="91"/>
        <v>1106.3341723878034</v>
      </c>
      <c r="F334">
        <f t="shared" si="91"/>
        <v>846.8375600352191</v>
      </c>
      <c r="G334">
        <f t="shared" si="91"/>
        <v>1104.9202435939997</v>
      </c>
      <c r="H334">
        <f t="shared" si="91"/>
        <v>1120.6842315020224</v>
      </c>
      <c r="I334">
        <f t="shared" si="91"/>
        <v>960.02345484062744</v>
      </c>
      <c r="J334">
        <f t="shared" si="91"/>
        <v>1010.9125108504293</v>
      </c>
      <c r="K334">
        <f t="shared" si="91"/>
        <v>993.90254614824482</v>
      </c>
      <c r="L334">
        <f t="shared" si="91"/>
        <v>783.12422360152641</v>
      </c>
      <c r="M334">
        <f t="shared" si="91"/>
        <v>913.41986361738122</v>
      </c>
      <c r="N334">
        <f t="shared" si="91"/>
        <v>903.42914476260137</v>
      </c>
      <c r="O334">
        <f t="shared" si="91"/>
        <v>1033.7212914161473</v>
      </c>
      <c r="P334">
        <f t="shared" si="91"/>
        <v>947.93584238642552</v>
      </c>
      <c r="Q334">
        <f t="shared" si="91"/>
        <v>1050.1062561870472</v>
      </c>
      <c r="R334">
        <f t="shared" si="91"/>
        <v>1086.4040915521041</v>
      </c>
      <c r="S334">
        <f t="shared" si="91"/>
        <v>943.86001337552409</v>
      </c>
      <c r="T334">
        <f t="shared" si="91"/>
        <v>1153.43058185823</v>
      </c>
      <c r="U334">
        <f t="shared" si="91"/>
        <v>1201.0919847624489</v>
      </c>
      <c r="V334">
        <f t="shared" si="91"/>
        <v>969.67171739286073</v>
      </c>
      <c r="W334">
        <f t="shared" si="91"/>
        <v>882.29253769067657</v>
      </c>
      <c r="X334">
        <f t="shared" si="91"/>
        <v>828.97598039785271</v>
      </c>
      <c r="Y334">
        <f t="shared" si="91"/>
        <v>903.14348714035714</v>
      </c>
      <c r="Z334">
        <f t="shared" si="91"/>
        <v>1000.4832210979791</v>
      </c>
      <c r="AA334">
        <f t="shared" si="91"/>
        <v>976.51233940414613</v>
      </c>
      <c r="AB334">
        <f t="shared" si="91"/>
        <v>988.35669729544747</v>
      </c>
      <c r="AC334">
        <f t="shared" si="91"/>
        <v>1063.1996989758877</v>
      </c>
      <c r="AD334">
        <f t="shared" si="91"/>
        <v>1127.3529116409297</v>
      </c>
      <c r="AE334">
        <f t="shared" si="91"/>
        <v>963.23981965000235</v>
      </c>
      <c r="AF334">
        <f t="shared" si="91"/>
        <v>1094.8196847516158</v>
      </c>
      <c r="AG334">
        <f t="shared" si="91"/>
        <v>958.23078604304851</v>
      </c>
      <c r="AH334">
        <f t="shared" si="91"/>
        <v>920.4412636682855</v>
      </c>
      <c r="AI334">
        <f t="shared" si="91"/>
        <v>947.26489657182583</v>
      </c>
      <c r="AJ334">
        <f t="shared" si="91"/>
        <v>906.86354201913434</v>
      </c>
      <c r="AK334">
        <f t="shared" si="91"/>
        <v>1074.0069367206956</v>
      </c>
      <c r="AL334">
        <f t="shared" si="91"/>
        <v>1025.7817971572972</v>
      </c>
      <c r="AM334">
        <f t="shared" si="91"/>
        <v>930.08392160706046</v>
      </c>
    </row>
    <row r="335" spans="1:39" x14ac:dyDescent="0.25">
      <c r="A335" t="s">
        <v>21</v>
      </c>
      <c r="D335" t="str" cm="1">
        <f t="array" ref="D335">IFERROR(
  _xlfn.LET(
    _xlpm.ligpartie, MATCH($B334, Donnees!$F:$F, 0),
    _xlpm.joueurs, INDEX(Donnees!$A:$Z, _xlpm.ligpartie+1, _xlfn.SEQUENCE(1, 4, 2)),
    INDEX(
      Donnees!$A:$Z,
      _xlpm.ligpartie + 3,
      MATCH(D$1, _xlpm.joueurs, 0) + 1
    )
  ), ""
)</f>
        <v/>
      </c>
      <c r="E335" t="str" cm="1">
        <f t="array" ref="E335">IFERROR(
  _xlfn.LET(
    _xlpm.ligpartie, MATCH($B334, Donnees!$F:$F, 0),
    _xlpm.joueurs, INDEX(Donnees!$A:$Z, _xlpm.ligpartie+1, _xlfn.SEQUENCE(1, 4, 2)),
    INDEX(
      Donnees!$A:$Z,
      _xlpm.ligpartie + 3,
      MATCH(E$1, _xlpm.joueurs, 0) + 1
    )
  ), ""
)</f>
        <v/>
      </c>
      <c r="F335" cm="1">
        <f t="array" ref="F335">IFERROR(
  _xlfn.LET(
    _xlpm.ligpartie, MATCH($B334, Donnees!$F:$F, 0),
    _xlpm.joueurs, INDEX(Donnees!$A:$Z, _xlpm.ligpartie+1, _xlfn.SEQUENCE(1, 4, 2)),
    INDEX(
      Donnees!$A:$Z,
      _xlpm.ligpartie + 3,
      MATCH(F$1, _xlpm.joueurs, 0) + 1
    )
  ), ""
)</f>
        <v>0.5</v>
      </c>
      <c r="G335" t="str" cm="1">
        <f t="array" ref="G335">IFERROR(
  _xlfn.LET(
    _xlpm.ligpartie, MATCH($B334, Donnees!$F:$F, 0),
    _xlpm.joueurs, INDEX(Donnees!$A:$Z, _xlpm.ligpartie+1, _xlfn.SEQUENCE(1, 4, 2)),
    INDEX(
      Donnees!$A:$Z,
      _xlpm.ligpartie + 3,
      MATCH(G$1, _xlpm.joueurs, 0) + 1
    )
  ), ""
)</f>
        <v/>
      </c>
      <c r="H335" t="str" cm="1">
        <f t="array" ref="H335">IFERROR(
  _xlfn.LET(
    _xlpm.ligpartie, MATCH($B334, Donnees!$F:$F, 0),
    _xlpm.joueurs, INDEX(Donnees!$A:$Z, _xlpm.ligpartie+1, _xlfn.SEQUENCE(1, 4, 2)),
    INDEX(
      Donnees!$A:$Z,
      _xlpm.ligpartie + 3,
      MATCH(H$1, _xlpm.joueurs, 0) + 1
    )
  ), ""
)</f>
        <v/>
      </c>
      <c r="I335" t="str" cm="1">
        <f t="array" ref="I335">IFERROR(
  _xlfn.LET(
    _xlpm.ligpartie, MATCH($B334, Donnees!$F:$F, 0),
    _xlpm.joueurs, INDEX(Donnees!$A:$Z, _xlpm.ligpartie+1, _xlfn.SEQUENCE(1, 4, 2)),
    INDEX(
      Donnees!$A:$Z,
      _xlpm.ligpartie + 3,
      MATCH(I$1, _xlpm.joueurs, 0) + 1
    )
  ), ""
)</f>
        <v/>
      </c>
      <c r="J335" t="str" cm="1">
        <f t="array" ref="J335">IFERROR(
  _xlfn.LET(
    _xlpm.ligpartie, MATCH($B334, Donnees!$F:$F, 0),
    _xlpm.joueurs, INDEX(Donnees!$A:$Z, _xlpm.ligpartie+1, _xlfn.SEQUENCE(1, 4, 2)),
    INDEX(
      Donnees!$A:$Z,
      _xlpm.ligpartie + 3,
      MATCH(J$1, _xlpm.joueurs, 0) + 1
    )
  ), ""
)</f>
        <v/>
      </c>
      <c r="K335" t="str" cm="1">
        <f t="array" ref="K335">IFERROR(
  _xlfn.LET(
    _xlpm.ligpartie, MATCH($B334, Donnees!$F:$F, 0),
    _xlpm.joueurs, INDEX(Donnees!$A:$Z, _xlpm.ligpartie+1, _xlfn.SEQUENCE(1, 4, 2)),
    INDEX(
      Donnees!$A:$Z,
      _xlpm.ligpartie + 3,
      MATCH(K$1, _xlpm.joueurs, 0) + 1
    )
  ), ""
)</f>
        <v/>
      </c>
      <c r="L335" t="str" cm="1">
        <f t="array" ref="L335">IFERROR(
  _xlfn.LET(
    _xlpm.ligpartie, MATCH($B334, Donnees!$F:$F, 0),
    _xlpm.joueurs, INDEX(Donnees!$A:$Z, _xlpm.ligpartie+1, _xlfn.SEQUENCE(1, 4, 2)),
    INDEX(
      Donnees!$A:$Z,
      _xlpm.ligpartie + 3,
      MATCH(L$1, _xlpm.joueurs, 0) + 1
    )
  ), ""
)</f>
        <v/>
      </c>
      <c r="M335" t="str" cm="1">
        <f t="array" ref="M335">IFERROR(
  _xlfn.LET(
    _xlpm.ligpartie, MATCH($B334, Donnees!$F:$F, 0),
    _xlpm.joueurs, INDEX(Donnees!$A:$Z, _xlpm.ligpartie+1, _xlfn.SEQUENCE(1, 4, 2)),
    INDEX(
      Donnees!$A:$Z,
      _xlpm.ligpartie + 3,
      MATCH(M$1, _xlpm.joueurs, 0) + 1
    )
  ), ""
)</f>
        <v/>
      </c>
      <c r="N335" t="str" cm="1">
        <f t="array" ref="N335">IFERROR(
  _xlfn.LET(
    _xlpm.ligpartie, MATCH($B334, Donnees!$F:$F, 0),
    _xlpm.joueurs, INDEX(Donnees!$A:$Z, _xlpm.ligpartie+1, _xlfn.SEQUENCE(1, 4, 2)),
    INDEX(
      Donnees!$A:$Z,
      _xlpm.ligpartie + 3,
      MATCH(N$1, _xlpm.joueurs, 0) + 1
    )
  ), ""
)</f>
        <v/>
      </c>
      <c r="O335" t="str" cm="1">
        <f t="array" ref="O335">IFERROR(
  _xlfn.LET(
    _xlpm.ligpartie, MATCH($B334, Donnees!$F:$F, 0),
    _xlpm.joueurs, INDEX(Donnees!$A:$Z, _xlpm.ligpartie+1, _xlfn.SEQUENCE(1, 4, 2)),
    INDEX(
      Donnees!$A:$Z,
      _xlpm.ligpartie + 3,
      MATCH(O$1, _xlpm.joueurs, 0) + 1
    )
  ), ""
)</f>
        <v/>
      </c>
      <c r="P335" t="str" cm="1">
        <f t="array" ref="P335">IFERROR(
  _xlfn.LET(
    _xlpm.ligpartie, MATCH($B334, Donnees!$F:$F, 0),
    _xlpm.joueurs, INDEX(Donnees!$A:$Z, _xlpm.ligpartie+1, _xlfn.SEQUENCE(1, 4, 2)),
    INDEX(
      Donnees!$A:$Z,
      _xlpm.ligpartie + 3,
      MATCH(P$1, _xlpm.joueurs, 0) + 1
    )
  ), ""
)</f>
        <v/>
      </c>
      <c r="Q335" t="str" cm="1">
        <f t="array" ref="Q335">IFERROR(
  _xlfn.LET(
    _xlpm.ligpartie, MATCH($B334, Donnees!$F:$F, 0),
    _xlpm.joueurs, INDEX(Donnees!$A:$Z, _xlpm.ligpartie+1, _xlfn.SEQUENCE(1, 4, 2)),
    INDEX(
      Donnees!$A:$Z,
      _xlpm.ligpartie + 3,
      MATCH(Q$1, _xlpm.joueurs, 0) + 1
    )
  ), ""
)</f>
        <v/>
      </c>
      <c r="R335" cm="1">
        <f t="array" ref="R335">IFERROR(
  _xlfn.LET(
    _xlpm.ligpartie, MATCH($B334, Donnees!$F:$F, 0),
    _xlpm.joueurs, INDEX(Donnees!$A:$Z, _xlpm.ligpartie+1, _xlfn.SEQUENCE(1, 4, 2)),
    INDEX(
      Donnees!$A:$Z,
      _xlpm.ligpartie + 3,
      MATCH(R$1, _xlpm.joueurs, 0) + 1
    )
  ), ""
)</f>
        <v>2</v>
      </c>
      <c r="S335" cm="1">
        <f t="array" ref="S335">IFERROR(
  _xlfn.LET(
    _xlpm.ligpartie, MATCH($B334, Donnees!$F:$F, 0),
    _xlpm.joueurs, INDEX(Donnees!$A:$Z, _xlpm.ligpartie+1, _xlfn.SEQUENCE(1, 4, 2)),
    INDEX(
      Donnees!$A:$Z,
      _xlpm.ligpartie + 3,
      MATCH(S$1, _xlpm.joueurs, 0) + 1
    )
  ), ""
)</f>
        <v>0.5</v>
      </c>
      <c r="T335" t="str" cm="1">
        <f t="array" ref="T335">IFERROR(
  _xlfn.LET(
    _xlpm.ligpartie, MATCH($B334, Donnees!$F:$F, 0),
    _xlpm.joueurs, INDEX(Donnees!$A:$Z, _xlpm.ligpartie+1, _xlfn.SEQUENCE(1, 4, 2)),
    INDEX(
      Donnees!$A:$Z,
      _xlpm.ligpartie + 3,
      MATCH(T$1, _xlpm.joueurs, 0) + 1
    )
  ), ""
)</f>
        <v/>
      </c>
      <c r="U335" t="str" cm="1">
        <f t="array" ref="U335">IFERROR(
  _xlfn.LET(
    _xlpm.ligpartie, MATCH($B334, Donnees!$F:$F, 0),
    _xlpm.joueurs, INDEX(Donnees!$A:$Z, _xlpm.ligpartie+1, _xlfn.SEQUENCE(1, 4, 2)),
    INDEX(
      Donnees!$A:$Z,
      _xlpm.ligpartie + 3,
      MATCH(U$1, _xlpm.joueurs, 0) + 1
    )
  ), ""
)</f>
        <v/>
      </c>
      <c r="V335" t="str" cm="1">
        <f t="array" ref="V335">IFERROR(
  _xlfn.LET(
    _xlpm.ligpartie, MATCH($B334, Donnees!$F:$F, 0),
    _xlpm.joueurs, INDEX(Donnees!$A:$Z, _xlpm.ligpartie+1, _xlfn.SEQUENCE(1, 4, 2)),
    INDEX(
      Donnees!$A:$Z,
      _xlpm.ligpartie + 3,
      MATCH(V$1, _xlpm.joueurs, 0) + 1
    )
  ), ""
)</f>
        <v/>
      </c>
      <c r="W335" t="str" cm="1">
        <f t="array" ref="W335">IFERROR(
  _xlfn.LET(
    _xlpm.ligpartie, MATCH($B334, Donnees!$F:$F, 0),
    _xlpm.joueurs, INDEX(Donnees!$A:$Z, _xlpm.ligpartie+1, _xlfn.SEQUENCE(1, 4, 2)),
    INDEX(
      Donnees!$A:$Z,
      _xlpm.ligpartie + 3,
      MATCH(W$1, _xlpm.joueurs, 0) + 1
    )
  ), ""
)</f>
        <v/>
      </c>
      <c r="X335" t="str" cm="1">
        <f t="array" ref="X335">IFERROR(
  _xlfn.LET(
    _xlpm.ligpartie, MATCH($B334, Donnees!$F:$F, 0),
    _xlpm.joueurs, INDEX(Donnees!$A:$Z, _xlpm.ligpartie+1, _xlfn.SEQUENCE(1, 4, 2)),
    INDEX(
      Donnees!$A:$Z,
      _xlpm.ligpartie + 3,
      MATCH(X$1, _xlpm.joueurs, 0) + 1
    )
  ), ""
)</f>
        <v/>
      </c>
      <c r="Y335" t="str" cm="1">
        <f t="array" ref="Y335">IFERROR(
  _xlfn.LET(
    _xlpm.ligpartie, MATCH($B334, Donnees!$F:$F, 0),
    _xlpm.joueurs, INDEX(Donnees!$A:$Z, _xlpm.ligpartie+1, _xlfn.SEQUENCE(1, 4, 2)),
    INDEX(
      Donnees!$A:$Z,
      _xlpm.ligpartie + 3,
      MATCH(Y$1, _xlpm.joueurs, 0) + 1
    )
  ), ""
)</f>
        <v/>
      </c>
      <c r="Z335" t="str" cm="1">
        <f t="array" ref="Z335">IFERROR(
  _xlfn.LET(
    _xlpm.ligpartie, MATCH($B334, Donnees!$F:$F, 0),
    _xlpm.joueurs, INDEX(Donnees!$A:$Z, _xlpm.ligpartie+1, _xlfn.SEQUENCE(1, 4, 2)),
    INDEX(
      Donnees!$A:$Z,
      _xlpm.ligpartie + 3,
      MATCH(Z$1, _xlpm.joueurs, 0) + 1
    )
  ), ""
)</f>
        <v/>
      </c>
      <c r="AA335" t="str" cm="1">
        <f t="array" ref="AA335">IFERROR(
  _xlfn.LET(
    _xlpm.ligpartie, MATCH($B334, Donnees!$F:$F, 0),
    _xlpm.joueurs, INDEX(Donnees!$A:$Z, _xlpm.ligpartie+1, _xlfn.SEQUENCE(1, 4, 2)),
    INDEX(
      Donnees!$A:$Z,
      _xlpm.ligpartie + 3,
      MATCH(AA$1, _xlpm.joueurs, 0) + 1
    )
  ), ""
)</f>
        <v/>
      </c>
      <c r="AB335" t="str" cm="1">
        <f t="array" ref="AB335">IFERROR(
  _xlfn.LET(
    _xlpm.ligpartie, MATCH($B334, Donnees!$F:$F, 0),
    _xlpm.joueurs, INDEX(Donnees!$A:$Z, _xlpm.ligpartie+1, _xlfn.SEQUENCE(1, 4, 2)),
    INDEX(
      Donnees!$A:$Z,
      _xlpm.ligpartie + 3,
      MATCH(AB$1, _xlpm.joueurs, 0) + 1
    )
  ), ""
)</f>
        <v/>
      </c>
      <c r="AC335" cm="1">
        <f t="array" ref="AC335">IFERROR(
  _xlfn.LET(
    _xlpm.ligpartie, MATCH($B334, Donnees!$F:$F, 0),
    _xlpm.joueurs, INDEX(Donnees!$A:$Z, _xlpm.ligpartie+1, _xlfn.SEQUENCE(1, 4, 2)),
    INDEX(
      Donnees!$A:$Z,
      _xlpm.ligpartie + 3,
      MATCH(AC$1, _xlpm.joueurs, 0) + 1
    )
  ), ""
)</f>
        <v>3</v>
      </c>
      <c r="AD335" t="str" cm="1">
        <f t="array" ref="AD335">IFERROR(
  _xlfn.LET(
    _xlpm.ligpartie, MATCH($B334, Donnees!$F:$F, 0),
    _xlpm.joueurs, INDEX(Donnees!$A:$Z, _xlpm.ligpartie+1, _xlfn.SEQUENCE(1, 4, 2)),
    INDEX(
      Donnees!$A:$Z,
      _xlpm.ligpartie + 3,
      MATCH(AD$1, _xlpm.joueurs, 0) + 1
    )
  ), ""
)</f>
        <v/>
      </c>
      <c r="AE335" t="str" cm="1">
        <f t="array" ref="AE335">IFERROR(
  _xlfn.LET(
    _xlpm.ligpartie, MATCH($B334, Donnees!$F:$F, 0),
    _xlpm.joueurs, INDEX(Donnees!$A:$Z, _xlpm.ligpartie+1, _xlfn.SEQUENCE(1, 4, 2)),
    INDEX(
      Donnees!$A:$Z,
      _xlpm.ligpartie + 3,
      MATCH(AE$1, _xlpm.joueurs, 0) + 1
    )
  ), ""
)</f>
        <v/>
      </c>
      <c r="AF335" t="str" cm="1">
        <f t="array" ref="AF335">IFERROR(
  _xlfn.LET(
    _xlpm.ligpartie, MATCH($B334, Donnees!$F:$F, 0),
    _xlpm.joueurs, INDEX(Donnees!$A:$Z, _xlpm.ligpartie+1, _xlfn.SEQUENCE(1, 4, 2)),
    INDEX(
      Donnees!$A:$Z,
      _xlpm.ligpartie + 3,
      MATCH(AF$1, _xlpm.joueurs, 0) + 1
    )
  ), ""
)</f>
        <v/>
      </c>
      <c r="AG335" t="str" cm="1">
        <f t="array" ref="AG335">IFERROR(
  _xlfn.LET(
    _xlpm.ligpartie, MATCH($B334, Donnees!$F:$F, 0),
    _xlpm.joueurs, INDEX(Donnees!$A:$Z, _xlpm.ligpartie+1, _xlfn.SEQUENCE(1, 4, 2)),
    INDEX(
      Donnees!$A:$Z,
      _xlpm.ligpartie + 3,
      MATCH(AG$1, _xlpm.joueurs, 0) + 1
    )
  ), ""
)</f>
        <v/>
      </c>
      <c r="AH335" t="str" cm="1">
        <f t="array" ref="AH335">IFERROR(
  _xlfn.LET(
    _xlpm.ligpartie, MATCH($B334, Donnees!$F:$F, 0),
    _xlpm.joueurs, INDEX(Donnees!$A:$Z, _xlpm.ligpartie+1, _xlfn.SEQUENCE(1, 4, 2)),
    INDEX(
      Donnees!$A:$Z,
      _xlpm.ligpartie + 3,
      MATCH(AH$1, _xlpm.joueurs, 0) + 1
    )
  ), ""
)</f>
        <v/>
      </c>
      <c r="AI335" t="str" cm="1">
        <f t="array" ref="AI335">IFERROR(
  _xlfn.LET(
    _xlpm.ligpartie, MATCH($B334, Donnees!$F:$F, 0),
    _xlpm.joueurs, INDEX(Donnees!$A:$Z, _xlpm.ligpartie+1, _xlfn.SEQUENCE(1, 4, 2)),
    INDEX(
      Donnees!$A:$Z,
      _xlpm.ligpartie + 3,
      MATCH(AI$1, _xlpm.joueurs, 0) + 1
    )
  ), ""
)</f>
        <v/>
      </c>
      <c r="AJ335" t="str" cm="1">
        <f t="array" ref="AJ335">IFERROR(
  _xlfn.LET(
    _xlpm.ligpartie, MATCH($B334, Donnees!$F:$F, 0),
    _xlpm.joueurs, INDEX(Donnees!$A:$Z, _xlpm.ligpartie+1, _xlfn.SEQUENCE(1, 4, 2)),
    INDEX(
      Donnees!$A:$Z,
      _xlpm.ligpartie + 3,
      MATCH(AJ$1, _xlpm.joueurs, 0) + 1
    )
  ), ""
)</f>
        <v/>
      </c>
      <c r="AK335" t="str" cm="1">
        <f t="array" ref="AK335">IFERROR(
  _xlfn.LET(
    _xlpm.ligpartie, MATCH($B334, Donnees!$F:$F, 0),
    _xlpm.joueurs, INDEX(Donnees!$A:$Z, _xlpm.ligpartie+1, _xlfn.SEQUENCE(1, 4, 2)),
    INDEX(
      Donnees!$A:$Z,
      _xlpm.ligpartie + 3,
      MATCH(AK$1, _xlpm.joueurs, 0) + 1
    )
  ), ""
)</f>
        <v/>
      </c>
      <c r="AL335" t="str" cm="1">
        <f t="array" ref="AL335">IFERROR(
  _xlfn.LET(
    _xlpm.ligpartie, MATCH($B334, Donnees!$F:$F, 0),
    _xlpm.joueurs, INDEX(Donnees!$A:$Z, _xlpm.ligpartie+1, _xlfn.SEQUENCE(1, 4, 2)),
    INDEX(
      Donnees!$A:$Z,
      _xlpm.ligpartie + 3,
      MATCH(AL$1, _xlpm.joueurs, 0) + 1
    )
  ), ""
)</f>
        <v/>
      </c>
      <c r="AM335" t="str" cm="1">
        <f t="array" ref="AM335">IFERROR(
  _xlfn.LET(
    _xlpm.ligpartie, MATCH($B334, Donnees!$F:$F, 0),
    _xlpm.joueurs, INDEX(Donnees!$A:$Z, _xlpm.ligpartie+1, _xlfn.SEQUENCE(1, 4, 2)),
    INDEX(
      Donnees!$A:$Z,
      _xlpm.ligpartie + 3,
      MATCH(AM$1, _xlpm.joueurs, 0) + 1
    )
  ), ""
)</f>
        <v/>
      </c>
    </row>
    <row r="336" spans="1:39" x14ac:dyDescent="0.25">
      <c r="A336" t="s">
        <v>20</v>
      </c>
      <c r="D336" t="str" cm="1">
        <f t="array" ref="D336">_xlfn.LET(
  _xlpm.colj, _xlfn._xlws.FILTER(IF(ISNUMBER(335:335), COLUMN(335:335)), ISNUMBER(335:335)),
  _xlpm.elos, INDEX(334:334,1,_xlpm.colj),
  _xlpm.diffscale, Constantes!$B$2,
  IF(D335="",
    "",
    SUM(1/(1+POWER(10,-(D334-_xlpm.elos)/_xlpm.diffscale)))-0.5)
)</f>
        <v/>
      </c>
      <c r="E336" t="str" cm="1">
        <f t="array" ref="E336">_xlfn.LET(
  _xlpm.colj, _xlfn._xlws.FILTER(IF(ISNUMBER(335:335), COLUMN(335:335)), ISNUMBER(335:335)),
  _xlpm.elos, INDEX(334:334,1,_xlpm.colj),
  _xlpm.diffscale, Constantes!$B$2,
  IF(E335="",
    "",
    SUM(1/(1+POWER(10,-(E334-_xlpm.elos)/_xlpm.diffscale)))-0.5)
)</f>
        <v/>
      </c>
      <c r="F336" cm="1">
        <f t="array" ref="F336">_xlfn.LET(
  _xlpm.colj, _xlfn._xlws.FILTER(IF(ISNUMBER(335:335), COLUMN(335:335)), ISNUMBER(335:335)),
  _xlpm.elos, INDEX(334:334,1,_xlpm.colj),
  _xlpm.diffscale, Constantes!$B$2,
  IF(F335="",
    "",
    SUM(1/(1+POWER(10,-(F334-_xlpm.elos)/_xlpm.diffscale)))-0.5)
)</f>
        <v>0.78853731549052797</v>
      </c>
      <c r="G336" t="str" cm="1">
        <f t="array" ref="G336">_xlfn.LET(
  _xlpm.colj, _xlfn._xlws.FILTER(IF(ISNUMBER(335:335), COLUMN(335:335)), ISNUMBER(335:335)),
  _xlpm.elos, INDEX(334:334,1,_xlpm.colj),
  _xlpm.diffscale, Constantes!$B$2,
  IF(G335="",
    "",
    SUM(1/(1+POWER(10,-(G334-_xlpm.elos)/_xlpm.diffscale)))-0.5)
)</f>
        <v/>
      </c>
      <c r="H336" t="str" cm="1">
        <f t="array" ref="H336">_xlfn.LET(
  _xlpm.colj, _xlfn._xlws.FILTER(IF(ISNUMBER(335:335), COLUMN(335:335)), ISNUMBER(335:335)),
  _xlpm.elos, INDEX(334:334,1,_xlpm.colj),
  _xlpm.diffscale, Constantes!$B$2,
  IF(H335="",
    "",
    SUM(1/(1+POWER(10,-(H334-_xlpm.elos)/_xlpm.diffscale)))-0.5)
)</f>
        <v/>
      </c>
      <c r="I336" t="str" cm="1">
        <f t="array" ref="I336">_xlfn.LET(
  _xlpm.colj, _xlfn._xlws.FILTER(IF(ISNUMBER(335:335), COLUMN(335:335)), ISNUMBER(335:335)),
  _xlpm.elos, INDEX(334:334,1,_xlpm.colj),
  _xlpm.diffscale, Constantes!$B$2,
  IF(I335="",
    "",
    SUM(1/(1+POWER(10,-(I334-_xlpm.elos)/_xlpm.diffscale)))-0.5)
)</f>
        <v/>
      </c>
      <c r="J336" t="str" cm="1">
        <f t="array" ref="J336">_xlfn.LET(
  _xlpm.colj, _xlfn._xlws.FILTER(IF(ISNUMBER(335:335), COLUMN(335:335)), ISNUMBER(335:335)),
  _xlpm.elos, INDEX(334:334,1,_xlpm.colj),
  _xlpm.diffscale, Constantes!$B$2,
  IF(J335="",
    "",
    SUM(1/(1+POWER(10,-(J334-_xlpm.elos)/_xlpm.diffscale)))-0.5)
)</f>
        <v/>
      </c>
      <c r="K336" t="str" cm="1">
        <f t="array" ref="K336">_xlfn.LET(
  _xlpm.colj, _xlfn._xlws.FILTER(IF(ISNUMBER(335:335), COLUMN(335:335)), ISNUMBER(335:335)),
  _xlpm.elos, INDEX(334:334,1,_xlpm.colj),
  _xlpm.diffscale, Constantes!$B$2,
  IF(K335="",
    "",
    SUM(1/(1+POWER(10,-(K334-_xlpm.elos)/_xlpm.diffscale)))-0.5)
)</f>
        <v/>
      </c>
      <c r="L336" t="str" cm="1">
        <f t="array" ref="L336">_xlfn.LET(
  _xlpm.colj, _xlfn._xlws.FILTER(IF(ISNUMBER(335:335), COLUMN(335:335)), ISNUMBER(335:335)),
  _xlpm.elos, INDEX(334:334,1,_xlpm.colj),
  _xlpm.diffscale, Constantes!$B$2,
  IF(L335="",
    "",
    SUM(1/(1+POWER(10,-(L334-_xlpm.elos)/_xlpm.diffscale)))-0.5)
)</f>
        <v/>
      </c>
      <c r="M336" t="str" cm="1">
        <f t="array" ref="M336">_xlfn.LET(
  _xlpm.colj, _xlfn._xlws.FILTER(IF(ISNUMBER(335:335), COLUMN(335:335)), ISNUMBER(335:335)),
  _xlpm.elos, INDEX(334:334,1,_xlpm.colj),
  _xlpm.diffscale, Constantes!$B$2,
  IF(M335="",
    "",
    SUM(1/(1+POWER(10,-(M334-_xlpm.elos)/_xlpm.diffscale)))-0.5)
)</f>
        <v/>
      </c>
      <c r="N336" t="str" cm="1">
        <f t="array" ref="N336">_xlfn.LET(
  _xlpm.colj, _xlfn._xlws.FILTER(IF(ISNUMBER(335:335), COLUMN(335:335)), ISNUMBER(335:335)),
  _xlpm.elos, INDEX(334:334,1,_xlpm.colj),
  _xlpm.diffscale, Constantes!$B$2,
  IF(N335="",
    "",
    SUM(1/(1+POWER(10,-(N334-_xlpm.elos)/_xlpm.diffscale)))-0.5)
)</f>
        <v/>
      </c>
      <c r="O336" t="str" cm="1">
        <f t="array" ref="O336">_xlfn.LET(
  _xlpm.colj, _xlfn._xlws.FILTER(IF(ISNUMBER(335:335), COLUMN(335:335)), ISNUMBER(335:335)),
  _xlpm.elos, INDEX(334:334,1,_xlpm.colj),
  _xlpm.diffscale, Constantes!$B$2,
  IF(O335="",
    "",
    SUM(1/(1+POWER(10,-(O334-_xlpm.elos)/_xlpm.diffscale)))-0.5)
)</f>
        <v/>
      </c>
      <c r="P336" t="str" cm="1">
        <f t="array" ref="P336">_xlfn.LET(
  _xlpm.colj, _xlfn._xlws.FILTER(IF(ISNUMBER(335:335), COLUMN(335:335)), ISNUMBER(335:335)),
  _xlpm.elos, INDEX(334:334,1,_xlpm.colj),
  _xlpm.diffscale, Constantes!$B$2,
  IF(P335="",
    "",
    SUM(1/(1+POWER(10,-(P334-_xlpm.elos)/_xlpm.diffscale)))-0.5)
)</f>
        <v/>
      </c>
      <c r="Q336" t="str" cm="1">
        <f t="array" ref="Q336">_xlfn.LET(
  _xlpm.colj, _xlfn._xlws.FILTER(IF(ISNUMBER(335:335), COLUMN(335:335)), ISNUMBER(335:335)),
  _xlpm.elos, INDEX(334:334,1,_xlpm.colj),
  _xlpm.diffscale, Constantes!$B$2,
  IF(Q335="",
    "",
    SUM(1/(1+POWER(10,-(Q334-_xlpm.elos)/_xlpm.diffscale)))-0.5)
)</f>
        <v/>
      </c>
      <c r="R336" cm="1">
        <f t="array" ref="R336">_xlfn.LET(
  _xlpm.colj, _xlfn._xlws.FILTER(IF(ISNUMBER(335:335), COLUMN(335:335)), ISNUMBER(335:335)),
  _xlpm.elos, INDEX(334:334,1,_xlpm.colj),
  _xlpm.diffscale, Constantes!$B$2,
  IF(R335="",
    "",
    SUM(1/(1+POWER(10,-(R334-_xlpm.elos)/_xlpm.diffscale)))-0.5)
)</f>
        <v>2.0265365663575015</v>
      </c>
      <c r="S336" cm="1">
        <f t="array" ref="S336">_xlfn.LET(
  _xlpm.colj, _xlfn._xlws.FILTER(IF(ISNUMBER(335:335), COLUMN(335:335)), ISNUMBER(335:335)),
  _xlpm.elos, INDEX(334:334,1,_xlpm.colj),
  _xlpm.diffscale, Constantes!$B$2,
  IF(S335="",
    "",
    SUM(1/(1+POWER(10,-(S334-_xlpm.elos)/_xlpm.diffscale)))-0.5)
)</f>
        <v>1.2764602695769507</v>
      </c>
      <c r="T336" t="str" cm="1">
        <f t="array" ref="T336">_xlfn.LET(
  _xlpm.colj, _xlfn._xlws.FILTER(IF(ISNUMBER(335:335), COLUMN(335:335)), ISNUMBER(335:335)),
  _xlpm.elos, INDEX(334:334,1,_xlpm.colj),
  _xlpm.diffscale, Constantes!$B$2,
  IF(T335="",
    "",
    SUM(1/(1+POWER(10,-(T334-_xlpm.elos)/_xlpm.diffscale)))-0.5)
)</f>
        <v/>
      </c>
      <c r="U336" t="str" cm="1">
        <f t="array" ref="U336">_xlfn.LET(
  _xlpm.colj, _xlfn._xlws.FILTER(IF(ISNUMBER(335:335), COLUMN(335:335)), ISNUMBER(335:335)),
  _xlpm.elos, INDEX(334:334,1,_xlpm.colj),
  _xlpm.diffscale, Constantes!$B$2,
  IF(U335="",
    "",
    SUM(1/(1+POWER(10,-(U334-_xlpm.elos)/_xlpm.diffscale)))-0.5)
)</f>
        <v/>
      </c>
      <c r="V336" t="str" cm="1">
        <f t="array" ref="V336">_xlfn.LET(
  _xlpm.colj, _xlfn._xlws.FILTER(IF(ISNUMBER(335:335), COLUMN(335:335)), ISNUMBER(335:335)),
  _xlpm.elos, INDEX(334:334,1,_xlpm.colj),
  _xlpm.diffscale, Constantes!$B$2,
  IF(V335="",
    "",
    SUM(1/(1+POWER(10,-(V334-_xlpm.elos)/_xlpm.diffscale)))-0.5)
)</f>
        <v/>
      </c>
      <c r="W336" t="str" cm="1">
        <f t="array" ref="W336">_xlfn.LET(
  _xlpm.colj, _xlfn._xlws.FILTER(IF(ISNUMBER(335:335), COLUMN(335:335)), ISNUMBER(335:335)),
  _xlpm.elos, INDEX(334:334,1,_xlpm.colj),
  _xlpm.diffscale, Constantes!$B$2,
  IF(W335="",
    "",
    SUM(1/(1+POWER(10,-(W334-_xlpm.elos)/_xlpm.diffscale)))-0.5)
)</f>
        <v/>
      </c>
      <c r="X336" t="str" cm="1">
        <f t="array" ref="X336">_xlfn.LET(
  _xlpm.colj, _xlfn._xlws.FILTER(IF(ISNUMBER(335:335), COLUMN(335:335)), ISNUMBER(335:335)),
  _xlpm.elos, INDEX(334:334,1,_xlpm.colj),
  _xlpm.diffscale, Constantes!$B$2,
  IF(X335="",
    "",
    SUM(1/(1+POWER(10,-(X334-_xlpm.elos)/_xlpm.diffscale)))-0.5)
)</f>
        <v/>
      </c>
      <c r="Y336" t="str" cm="1">
        <f t="array" ref="Y336">_xlfn.LET(
  _xlpm.colj, _xlfn._xlws.FILTER(IF(ISNUMBER(335:335), COLUMN(335:335)), ISNUMBER(335:335)),
  _xlpm.elos, INDEX(334:334,1,_xlpm.colj),
  _xlpm.diffscale, Constantes!$B$2,
  IF(Y335="",
    "",
    SUM(1/(1+POWER(10,-(Y334-_xlpm.elos)/_xlpm.diffscale)))-0.5)
)</f>
        <v/>
      </c>
      <c r="Z336" t="str" cm="1">
        <f t="array" ref="Z336">_xlfn.LET(
  _xlpm.colj, _xlfn._xlws.FILTER(IF(ISNUMBER(335:335), COLUMN(335:335)), ISNUMBER(335:335)),
  _xlpm.elos, INDEX(334:334,1,_xlpm.colj),
  _xlpm.diffscale, Constantes!$B$2,
  IF(Z335="",
    "",
    SUM(1/(1+POWER(10,-(Z334-_xlpm.elos)/_xlpm.diffscale)))-0.5)
)</f>
        <v/>
      </c>
      <c r="AA336" t="str" cm="1">
        <f t="array" ref="AA336">_xlfn.LET(
  _xlpm.colj, _xlfn._xlws.FILTER(IF(ISNUMBER(335:335), COLUMN(335:335)), ISNUMBER(335:335)),
  _xlpm.elos, INDEX(334:334,1,_xlpm.colj),
  _xlpm.diffscale, Constantes!$B$2,
  IF(AA335="",
    "",
    SUM(1/(1+POWER(10,-(AA334-_xlpm.elos)/_xlpm.diffscale)))-0.5)
)</f>
        <v/>
      </c>
      <c r="AB336" t="str" cm="1">
        <f t="array" ref="AB336">_xlfn.LET(
  _xlpm.colj, _xlfn._xlws.FILTER(IF(ISNUMBER(335:335), COLUMN(335:335)), ISNUMBER(335:335)),
  _xlpm.elos, INDEX(334:334,1,_xlpm.colj),
  _xlpm.diffscale, Constantes!$B$2,
  IF(AB335="",
    "",
    SUM(1/(1+POWER(10,-(AB334-_xlpm.elos)/_xlpm.diffscale)))-0.5)
)</f>
        <v/>
      </c>
      <c r="AC336" cm="1">
        <f t="array" ref="AC336">_xlfn.LET(
  _xlpm.colj, _xlfn._xlws.FILTER(IF(ISNUMBER(335:335), COLUMN(335:335)), ISNUMBER(335:335)),
  _xlpm.elos, INDEX(334:334,1,_xlpm.colj),
  _xlpm.diffscale, Constantes!$B$2,
  IF(AC335="",
    "",
    SUM(1/(1+POWER(10,-(AC334-_xlpm.elos)/_xlpm.diffscale)))-0.5)
)</f>
        <v>1.9084658485750201</v>
      </c>
      <c r="AD336" t="str" cm="1">
        <f t="array" ref="AD336">_xlfn.LET(
  _xlpm.colj, _xlfn._xlws.FILTER(IF(ISNUMBER(335:335), COLUMN(335:335)), ISNUMBER(335:335)),
  _xlpm.elos, INDEX(334:334,1,_xlpm.colj),
  _xlpm.diffscale, Constantes!$B$2,
  IF(AD335="",
    "",
    SUM(1/(1+POWER(10,-(AD334-_xlpm.elos)/_xlpm.diffscale)))-0.5)
)</f>
        <v/>
      </c>
      <c r="AE336" t="str" cm="1">
        <f t="array" ref="AE336">_xlfn.LET(
  _xlpm.colj, _xlfn._xlws.FILTER(IF(ISNUMBER(335:335), COLUMN(335:335)), ISNUMBER(335:335)),
  _xlpm.elos, INDEX(334:334,1,_xlpm.colj),
  _xlpm.diffscale, Constantes!$B$2,
  IF(AE335="",
    "",
    SUM(1/(1+POWER(10,-(AE334-_xlpm.elos)/_xlpm.diffscale)))-0.5)
)</f>
        <v/>
      </c>
      <c r="AF336" t="str" cm="1">
        <f t="array" ref="AF336">_xlfn.LET(
  _xlpm.colj, _xlfn._xlws.FILTER(IF(ISNUMBER(335:335), COLUMN(335:335)), ISNUMBER(335:335)),
  _xlpm.elos, INDEX(334:334,1,_xlpm.colj),
  _xlpm.diffscale, Constantes!$B$2,
  IF(AF335="",
    "",
    SUM(1/(1+POWER(10,-(AF334-_xlpm.elos)/_xlpm.diffscale)))-0.5)
)</f>
        <v/>
      </c>
      <c r="AG336" t="str" cm="1">
        <f t="array" ref="AG336">_xlfn.LET(
  _xlpm.colj, _xlfn._xlws.FILTER(IF(ISNUMBER(335:335), COLUMN(335:335)), ISNUMBER(335:335)),
  _xlpm.elos, INDEX(334:334,1,_xlpm.colj),
  _xlpm.diffscale, Constantes!$B$2,
  IF(AG335="",
    "",
    SUM(1/(1+POWER(10,-(AG334-_xlpm.elos)/_xlpm.diffscale)))-0.5)
)</f>
        <v/>
      </c>
      <c r="AH336" t="str" cm="1">
        <f t="array" ref="AH336">_xlfn.LET(
  _xlpm.colj, _xlfn._xlws.FILTER(IF(ISNUMBER(335:335), COLUMN(335:335)), ISNUMBER(335:335)),
  _xlpm.elos, INDEX(334:334,1,_xlpm.colj),
  _xlpm.diffscale, Constantes!$B$2,
  IF(AH335="",
    "",
    SUM(1/(1+POWER(10,-(AH334-_xlpm.elos)/_xlpm.diffscale)))-0.5)
)</f>
        <v/>
      </c>
      <c r="AI336" t="str" cm="1">
        <f t="array" ref="AI336">_xlfn.LET(
  _xlpm.colj, _xlfn._xlws.FILTER(IF(ISNUMBER(335:335), COLUMN(335:335)), ISNUMBER(335:335)),
  _xlpm.elos, INDEX(334:334,1,_xlpm.colj),
  _xlpm.diffscale, Constantes!$B$2,
  IF(AI335="",
    "",
    SUM(1/(1+POWER(10,-(AI334-_xlpm.elos)/_xlpm.diffscale)))-0.5)
)</f>
        <v/>
      </c>
      <c r="AJ336" t="str" cm="1">
        <f t="array" ref="AJ336">_xlfn.LET(
  _xlpm.colj, _xlfn._xlws.FILTER(IF(ISNUMBER(335:335), COLUMN(335:335)), ISNUMBER(335:335)),
  _xlpm.elos, INDEX(334:334,1,_xlpm.colj),
  _xlpm.diffscale, Constantes!$B$2,
  IF(AJ335="",
    "",
    SUM(1/(1+POWER(10,-(AJ334-_xlpm.elos)/_xlpm.diffscale)))-0.5)
)</f>
        <v/>
      </c>
      <c r="AK336" t="str" cm="1">
        <f t="array" ref="AK336">_xlfn.LET(
  _xlpm.colj, _xlfn._xlws.FILTER(IF(ISNUMBER(335:335), COLUMN(335:335)), ISNUMBER(335:335)),
  _xlpm.elos, INDEX(334:334,1,_xlpm.colj),
  _xlpm.diffscale, Constantes!$B$2,
  IF(AK335="",
    "",
    SUM(1/(1+POWER(10,-(AK334-_xlpm.elos)/_xlpm.diffscale)))-0.5)
)</f>
        <v/>
      </c>
      <c r="AL336" t="str" cm="1">
        <f t="array" ref="AL336">_xlfn.LET(
  _xlpm.colj, _xlfn._xlws.FILTER(IF(ISNUMBER(335:335), COLUMN(335:335)), ISNUMBER(335:335)),
  _xlpm.elos, INDEX(334:334,1,_xlpm.colj),
  _xlpm.diffscale, Constantes!$B$2,
  IF(AL335="",
    "",
    SUM(1/(1+POWER(10,-(AL334-_xlpm.elos)/_xlpm.diffscale)))-0.5)
)</f>
        <v/>
      </c>
      <c r="AM336" t="str" cm="1">
        <f t="array" ref="AM336">_xlfn.LET(
  _xlpm.colj, _xlfn._xlws.FILTER(IF(ISNUMBER(335:335), COLUMN(335:335)), ISNUMBER(335:335)),
  _xlpm.elos, INDEX(334:334,1,_xlpm.colj),
  _xlpm.diffscale, Constantes!$B$2,
  IF(AM335="",
    "",
    SUM(1/(1+POWER(10,-(AM334-_xlpm.elos)/_xlpm.diffscale)))-0.5)
)</f>
        <v/>
      </c>
    </row>
    <row r="337" spans="1:39" x14ac:dyDescent="0.25">
      <c r="A337" t="s">
        <v>22</v>
      </c>
      <c r="D337" t="str" cm="1">
        <f t="array" ref="D337">_xlfn.LET(
  _xlpm.K, Constantes!$B$3,
  _xlpm.Knewgain, Constantes!$B$4,
  _xlpm.Knewscale, Constantes!$B$5,
  _xlpm.ptstables, INDEX(D:D, _xlfn.SEQUENCE(COUNTA($C$2:$C337), 1, 3, 4)),
  _xlpm.nbparties, COUNTA(_xlfn._xlws.FILTER(_xlpm.ptstables, _xlpm.ptstables &lt;&gt; "")),
  _xlpm.coef, _xlpm.K + _xlpm.Knewgain / (_xlpm.Knewscale + _xlpm.nbparties),
  IF(D335="",
    "",
    _xlpm.coef * (D335-D336))
)</f>
        <v/>
      </c>
      <c r="E337" t="str" cm="1">
        <f t="array" ref="E337">_xlfn.LET(
  _xlpm.K, Constantes!$B$3,
  _xlpm.Knewgain, Constantes!$B$4,
  _xlpm.Knewscale, Constantes!$B$5,
  _xlpm.ptstables, INDEX(E:E, _xlfn.SEQUENCE(COUNTA($C$2:$C337), 1, 3, 4)),
  _xlpm.nbparties, COUNTA(_xlfn._xlws.FILTER(_xlpm.ptstables, _xlpm.ptstables &lt;&gt; "")),
  _xlpm.coef, _xlpm.K + _xlpm.Knewgain / (_xlpm.Knewscale + _xlpm.nbparties),
  IF(E335="",
    "",
    _xlpm.coef * (E335-E336))
)</f>
        <v/>
      </c>
      <c r="F337" cm="1">
        <f t="array" ref="F337">_xlfn.LET(
  _xlpm.K, Constantes!$B$3,
  _xlpm.Knewgain, Constantes!$B$4,
  _xlpm.Knewscale, Constantes!$B$5,
  _xlpm.ptstables, INDEX(F:F, _xlfn.SEQUENCE(COUNTA($C$2:$C337), 1, 3, 4)),
  _xlpm.nbparties, COUNTA(_xlfn._xlws.FILTER(_xlpm.ptstables, _xlpm.ptstables &lt;&gt; "")),
  _xlpm.coef, _xlpm.K + _xlpm.Knewgain / (_xlpm.Knewscale + _xlpm.nbparties),
  IF(F335="",
    "",
    _xlpm.coef * (F335-F336))
)</f>
        <v>-6.45773991812134</v>
      </c>
      <c r="G337" t="str" cm="1">
        <f t="array" ref="G337">_xlfn.LET(
  _xlpm.K, Constantes!$B$3,
  _xlpm.Knewgain, Constantes!$B$4,
  _xlpm.Knewscale, Constantes!$B$5,
  _xlpm.ptstables, INDEX(G:G, _xlfn.SEQUENCE(COUNTA($C$2:$C337), 1, 3, 4)),
  _xlpm.nbparties, COUNTA(_xlfn._xlws.FILTER(_xlpm.ptstables, _xlpm.ptstables &lt;&gt; "")),
  _xlpm.coef, _xlpm.K + _xlpm.Knewgain / (_xlpm.Knewscale + _xlpm.nbparties),
  IF(G335="",
    "",
    _xlpm.coef * (G335-G336))
)</f>
        <v/>
      </c>
      <c r="H337" t="str" cm="1">
        <f t="array" ref="H337">_xlfn.LET(
  _xlpm.K, Constantes!$B$3,
  _xlpm.Knewgain, Constantes!$B$4,
  _xlpm.Knewscale, Constantes!$B$5,
  _xlpm.ptstables, INDEX(H:H, _xlfn.SEQUENCE(COUNTA($C$2:$C337), 1, 3, 4)),
  _xlpm.nbparties, COUNTA(_xlfn._xlws.FILTER(_xlpm.ptstables, _xlpm.ptstables &lt;&gt; "")),
  _xlpm.coef, _xlpm.K + _xlpm.Knewgain / (_xlpm.Knewscale + _xlpm.nbparties),
  IF(H335="",
    "",
    _xlpm.coef * (H335-H336))
)</f>
        <v/>
      </c>
      <c r="I337" t="str" cm="1">
        <f t="array" ref="I337">_xlfn.LET(
  _xlpm.K, Constantes!$B$3,
  _xlpm.Knewgain, Constantes!$B$4,
  _xlpm.Knewscale, Constantes!$B$5,
  _xlpm.ptstables, INDEX(I:I, _xlfn.SEQUENCE(COUNTA($C$2:$C337), 1, 3, 4)),
  _xlpm.nbparties, COUNTA(_xlfn._xlws.FILTER(_xlpm.ptstables, _xlpm.ptstables &lt;&gt; "")),
  _xlpm.coef, _xlpm.K + _xlpm.Knewgain / (_xlpm.Knewscale + _xlpm.nbparties),
  IF(I335="",
    "",
    _xlpm.coef * (I335-I336))
)</f>
        <v/>
      </c>
      <c r="J337" t="str" cm="1">
        <f t="array" ref="J337">_xlfn.LET(
  _xlpm.K, Constantes!$B$3,
  _xlpm.Knewgain, Constantes!$B$4,
  _xlpm.Knewscale, Constantes!$B$5,
  _xlpm.ptstables, INDEX(J:J, _xlfn.SEQUENCE(COUNTA($C$2:$C337), 1, 3, 4)),
  _xlpm.nbparties, COUNTA(_xlfn._xlws.FILTER(_xlpm.ptstables, _xlpm.ptstables &lt;&gt; "")),
  _xlpm.coef, _xlpm.K + _xlpm.Knewgain / (_xlpm.Knewscale + _xlpm.nbparties),
  IF(J335="",
    "",
    _xlpm.coef * (J335-J336))
)</f>
        <v/>
      </c>
      <c r="K337" t="str" cm="1">
        <f t="array" ref="K337">_xlfn.LET(
  _xlpm.K, Constantes!$B$3,
  _xlpm.Knewgain, Constantes!$B$4,
  _xlpm.Knewscale, Constantes!$B$5,
  _xlpm.ptstables, INDEX(K:K, _xlfn.SEQUENCE(COUNTA($C$2:$C337), 1, 3, 4)),
  _xlpm.nbparties, COUNTA(_xlfn._xlws.FILTER(_xlpm.ptstables, _xlpm.ptstables &lt;&gt; "")),
  _xlpm.coef, _xlpm.K + _xlpm.Knewgain / (_xlpm.Knewscale + _xlpm.nbparties),
  IF(K335="",
    "",
    _xlpm.coef * (K335-K336))
)</f>
        <v/>
      </c>
      <c r="L337" t="str" cm="1">
        <f t="array" ref="L337">_xlfn.LET(
  _xlpm.K, Constantes!$B$3,
  _xlpm.Knewgain, Constantes!$B$4,
  _xlpm.Knewscale, Constantes!$B$5,
  _xlpm.ptstables, INDEX(L:L, _xlfn.SEQUENCE(COUNTA($C$2:$C337), 1, 3, 4)),
  _xlpm.nbparties, COUNTA(_xlfn._xlws.FILTER(_xlpm.ptstables, _xlpm.ptstables &lt;&gt; "")),
  _xlpm.coef, _xlpm.K + _xlpm.Knewgain / (_xlpm.Knewscale + _xlpm.nbparties),
  IF(L335="",
    "",
    _xlpm.coef * (L335-L336))
)</f>
        <v/>
      </c>
      <c r="M337" t="str" cm="1">
        <f t="array" ref="M337">_xlfn.LET(
  _xlpm.K, Constantes!$B$3,
  _xlpm.Knewgain, Constantes!$B$4,
  _xlpm.Knewscale, Constantes!$B$5,
  _xlpm.ptstables, INDEX(M:M, _xlfn.SEQUENCE(COUNTA($C$2:$C337), 1, 3, 4)),
  _xlpm.nbparties, COUNTA(_xlfn._xlws.FILTER(_xlpm.ptstables, _xlpm.ptstables &lt;&gt; "")),
  _xlpm.coef, _xlpm.K + _xlpm.Knewgain / (_xlpm.Knewscale + _xlpm.nbparties),
  IF(M335="",
    "",
    _xlpm.coef * (M335-M336))
)</f>
        <v/>
      </c>
      <c r="N337" t="str" cm="1">
        <f t="array" ref="N337">_xlfn.LET(
  _xlpm.K, Constantes!$B$3,
  _xlpm.Knewgain, Constantes!$B$4,
  _xlpm.Knewscale, Constantes!$B$5,
  _xlpm.ptstables, INDEX(N:N, _xlfn.SEQUENCE(COUNTA($C$2:$C337), 1, 3, 4)),
  _xlpm.nbparties, COUNTA(_xlfn._xlws.FILTER(_xlpm.ptstables, _xlpm.ptstables &lt;&gt; "")),
  _xlpm.coef, _xlpm.K + _xlpm.Knewgain / (_xlpm.Knewscale + _xlpm.nbparties),
  IF(N335="",
    "",
    _xlpm.coef * (N335-N336))
)</f>
        <v/>
      </c>
      <c r="O337" t="str" cm="1">
        <f t="array" ref="O337">_xlfn.LET(
  _xlpm.K, Constantes!$B$3,
  _xlpm.Knewgain, Constantes!$B$4,
  _xlpm.Knewscale, Constantes!$B$5,
  _xlpm.ptstables, INDEX(O:O, _xlfn.SEQUENCE(COUNTA($C$2:$C337), 1, 3, 4)),
  _xlpm.nbparties, COUNTA(_xlfn._xlws.FILTER(_xlpm.ptstables, _xlpm.ptstables &lt;&gt; "")),
  _xlpm.coef, _xlpm.K + _xlpm.Knewgain / (_xlpm.Knewscale + _xlpm.nbparties),
  IF(O335="",
    "",
    _xlpm.coef * (O335-O336))
)</f>
        <v/>
      </c>
      <c r="P337" t="str" cm="1">
        <f t="array" ref="P337">_xlfn.LET(
  _xlpm.K, Constantes!$B$3,
  _xlpm.Knewgain, Constantes!$B$4,
  _xlpm.Knewscale, Constantes!$B$5,
  _xlpm.ptstables, INDEX(P:P, _xlfn.SEQUENCE(COUNTA($C$2:$C337), 1, 3, 4)),
  _xlpm.nbparties, COUNTA(_xlfn._xlws.FILTER(_xlpm.ptstables, _xlpm.ptstables &lt;&gt; "")),
  _xlpm.coef, _xlpm.K + _xlpm.Knewgain / (_xlpm.Knewscale + _xlpm.nbparties),
  IF(P335="",
    "",
    _xlpm.coef * (P335-P336))
)</f>
        <v/>
      </c>
      <c r="Q337" t="str" cm="1">
        <f t="array" ref="Q337">_xlfn.LET(
  _xlpm.K, Constantes!$B$3,
  _xlpm.Knewgain, Constantes!$B$4,
  _xlpm.Knewscale, Constantes!$B$5,
  _xlpm.ptstables, INDEX(Q:Q, _xlfn.SEQUENCE(COUNTA($C$2:$C337), 1, 3, 4)),
  _xlpm.nbparties, COUNTA(_xlfn._xlws.FILTER(_xlpm.ptstables, _xlpm.ptstables &lt;&gt; "")),
  _xlpm.coef, _xlpm.K + _xlpm.Knewgain / (_xlpm.Knewscale + _xlpm.nbparties),
  IF(Q335="",
    "",
    _xlpm.coef * (Q335-Q336))
)</f>
        <v/>
      </c>
      <c r="R337" cm="1">
        <f t="array" ref="R337">_xlfn.LET(
  _xlpm.K, Constantes!$B$3,
  _xlpm.Knewgain, Constantes!$B$4,
  _xlpm.Knewscale, Constantes!$B$5,
  _xlpm.ptstables, INDEX(R:R, _xlfn.SEQUENCE(COUNTA($C$2:$C337), 1, 3, 4)),
  _xlpm.nbparties, COUNTA(_xlfn._xlws.FILTER(_xlpm.ptstables, _xlpm.ptstables &lt;&gt; "")),
  _xlpm.coef, _xlpm.K + _xlpm.Knewgain / (_xlpm.Knewscale + _xlpm.nbparties),
  IF(R335="",
    "",
    _xlpm.coef * (R335-R336))
)</f>
        <v>-0.59707274304378277</v>
      </c>
      <c r="S337" cm="1">
        <f t="array" ref="S337">_xlfn.LET(
  _xlpm.K, Constantes!$B$3,
  _xlpm.Knewgain, Constantes!$B$4,
  _xlpm.Knewscale, Constantes!$B$5,
  _xlpm.ptstables, INDEX(S:S, _xlfn.SEQUENCE(COUNTA($C$2:$C337), 1, 3, 4)),
  _xlpm.nbparties, COUNTA(_xlfn._xlws.FILTER(_xlpm.ptstables, _xlpm.ptstables &lt;&gt; "")),
  _xlpm.coef, _xlpm.K + _xlpm.Knewgain / (_xlpm.Knewscale + _xlpm.nbparties),
  IF(S335="",
    "",
    _xlpm.coef * (S335-S336))
)</f>
        <v>-17.47035606548139</v>
      </c>
      <c r="T337" t="str" cm="1">
        <f t="array" ref="T337">_xlfn.LET(
  _xlpm.K, Constantes!$B$3,
  _xlpm.Knewgain, Constantes!$B$4,
  _xlpm.Knewscale, Constantes!$B$5,
  _xlpm.ptstables, INDEX(T:T, _xlfn.SEQUENCE(COUNTA($C$2:$C337), 1, 3, 4)),
  _xlpm.nbparties, COUNTA(_xlfn._xlws.FILTER(_xlpm.ptstables, _xlpm.ptstables &lt;&gt; "")),
  _xlpm.coef, _xlpm.K + _xlpm.Knewgain / (_xlpm.Knewscale + _xlpm.nbparties),
  IF(T335="",
    "",
    _xlpm.coef * (T335-T336))
)</f>
        <v/>
      </c>
      <c r="U337" t="str" cm="1">
        <f t="array" ref="U337">_xlfn.LET(
  _xlpm.K, Constantes!$B$3,
  _xlpm.Knewgain, Constantes!$B$4,
  _xlpm.Knewscale, Constantes!$B$5,
  _xlpm.ptstables, INDEX(U:U, _xlfn.SEQUENCE(COUNTA($C$2:$C337), 1, 3, 4)),
  _xlpm.nbparties, COUNTA(_xlfn._xlws.FILTER(_xlpm.ptstables, _xlpm.ptstables &lt;&gt; "")),
  _xlpm.coef, _xlpm.K + _xlpm.Knewgain / (_xlpm.Knewscale + _xlpm.nbparties),
  IF(U335="",
    "",
    _xlpm.coef * (U335-U336))
)</f>
        <v/>
      </c>
      <c r="V337" t="str" cm="1">
        <f t="array" ref="V337">_xlfn.LET(
  _xlpm.K, Constantes!$B$3,
  _xlpm.Knewgain, Constantes!$B$4,
  _xlpm.Knewscale, Constantes!$B$5,
  _xlpm.ptstables, INDEX(V:V, _xlfn.SEQUENCE(COUNTA($C$2:$C337), 1, 3, 4)),
  _xlpm.nbparties, COUNTA(_xlfn._xlws.FILTER(_xlpm.ptstables, _xlpm.ptstables &lt;&gt; "")),
  _xlpm.coef, _xlpm.K + _xlpm.Knewgain / (_xlpm.Knewscale + _xlpm.nbparties),
  IF(V335="",
    "",
    _xlpm.coef * (V335-V336))
)</f>
        <v/>
      </c>
      <c r="W337" t="str" cm="1">
        <f t="array" ref="W337">_xlfn.LET(
  _xlpm.K, Constantes!$B$3,
  _xlpm.Knewgain, Constantes!$B$4,
  _xlpm.Knewscale, Constantes!$B$5,
  _xlpm.ptstables, INDEX(W:W, _xlfn.SEQUENCE(COUNTA($C$2:$C337), 1, 3, 4)),
  _xlpm.nbparties, COUNTA(_xlfn._xlws.FILTER(_xlpm.ptstables, _xlpm.ptstables &lt;&gt; "")),
  _xlpm.coef, _xlpm.K + _xlpm.Knewgain / (_xlpm.Knewscale + _xlpm.nbparties),
  IF(W335="",
    "",
    _xlpm.coef * (W335-W336))
)</f>
        <v/>
      </c>
      <c r="X337" t="str" cm="1">
        <f t="array" ref="X337">_xlfn.LET(
  _xlpm.K, Constantes!$B$3,
  _xlpm.Knewgain, Constantes!$B$4,
  _xlpm.Knewscale, Constantes!$B$5,
  _xlpm.ptstables, INDEX(X:X, _xlfn.SEQUENCE(COUNTA($C$2:$C337), 1, 3, 4)),
  _xlpm.nbparties, COUNTA(_xlfn._xlws.FILTER(_xlpm.ptstables, _xlpm.ptstables &lt;&gt; "")),
  _xlpm.coef, _xlpm.K + _xlpm.Knewgain / (_xlpm.Knewscale + _xlpm.nbparties),
  IF(X335="",
    "",
    _xlpm.coef * (X335-X336))
)</f>
        <v/>
      </c>
      <c r="Y337" t="str" cm="1">
        <f t="array" ref="Y337">_xlfn.LET(
  _xlpm.K, Constantes!$B$3,
  _xlpm.Knewgain, Constantes!$B$4,
  _xlpm.Knewscale, Constantes!$B$5,
  _xlpm.ptstables, INDEX(Y:Y, _xlfn.SEQUENCE(COUNTA($C$2:$C337), 1, 3, 4)),
  _xlpm.nbparties, COUNTA(_xlfn._xlws.FILTER(_xlpm.ptstables, _xlpm.ptstables &lt;&gt; "")),
  _xlpm.coef, _xlpm.K + _xlpm.Knewgain / (_xlpm.Knewscale + _xlpm.nbparties),
  IF(Y335="",
    "",
    _xlpm.coef * (Y335-Y336))
)</f>
        <v/>
      </c>
      <c r="Z337" t="str" cm="1">
        <f t="array" ref="Z337">_xlfn.LET(
  _xlpm.K, Constantes!$B$3,
  _xlpm.Knewgain, Constantes!$B$4,
  _xlpm.Knewscale, Constantes!$B$5,
  _xlpm.ptstables, INDEX(Z:Z, _xlfn.SEQUENCE(COUNTA($C$2:$C337), 1, 3, 4)),
  _xlpm.nbparties, COUNTA(_xlfn._xlws.FILTER(_xlpm.ptstables, _xlpm.ptstables &lt;&gt; "")),
  _xlpm.coef, _xlpm.K + _xlpm.Knewgain / (_xlpm.Knewscale + _xlpm.nbparties),
  IF(Z335="",
    "",
    _xlpm.coef * (Z335-Z336))
)</f>
        <v/>
      </c>
      <c r="AA337" t="str" cm="1">
        <f t="array" ref="AA337">_xlfn.LET(
  _xlpm.K, Constantes!$B$3,
  _xlpm.Knewgain, Constantes!$B$4,
  _xlpm.Knewscale, Constantes!$B$5,
  _xlpm.ptstables, INDEX(AA:AA, _xlfn.SEQUENCE(COUNTA($C$2:$C337), 1, 3, 4)),
  _xlpm.nbparties, COUNTA(_xlfn._xlws.FILTER(_xlpm.ptstables, _xlpm.ptstables &lt;&gt; "")),
  _xlpm.coef, _xlpm.K + _xlpm.Knewgain / (_xlpm.Knewscale + _xlpm.nbparties),
  IF(AA335="",
    "",
    _xlpm.coef * (AA335-AA336))
)</f>
        <v/>
      </c>
      <c r="AB337" t="str" cm="1">
        <f t="array" ref="AB337">_xlfn.LET(
  _xlpm.K, Constantes!$B$3,
  _xlpm.Knewgain, Constantes!$B$4,
  _xlpm.Knewscale, Constantes!$B$5,
  _xlpm.ptstables, INDEX(AB:AB, _xlfn.SEQUENCE(COUNTA($C$2:$C337), 1, 3, 4)),
  _xlpm.nbparties, COUNTA(_xlfn._xlws.FILTER(_xlpm.ptstables, _xlpm.ptstables &lt;&gt; "")),
  _xlpm.coef, _xlpm.K + _xlpm.Knewgain / (_xlpm.Knewscale + _xlpm.nbparties),
  IF(AB335="",
    "",
    _xlpm.coef * (AB335-AB336))
)</f>
        <v/>
      </c>
      <c r="AC337" cm="1">
        <f t="array" ref="AC337">_xlfn.LET(
  _xlpm.K, Constantes!$B$3,
  _xlpm.Knewgain, Constantes!$B$4,
  _xlpm.Knewscale, Constantes!$B$5,
  _xlpm.ptstables, INDEX(AC:AC, _xlfn.SEQUENCE(COUNTA($C$2:$C337), 1, 3, 4)),
  _xlpm.nbparties, COUNTA(_xlfn._xlws.FILTER(_xlpm.ptstables, _xlpm.ptstables &lt;&gt; "")),
  _xlpm.coef, _xlpm.K + _xlpm.Knewgain / (_xlpm.Knewscale + _xlpm.nbparties),
  IF(AC335="",
    "",
    _xlpm.coef * (AC335-AC336))
)</f>
        <v>26.028891303211058</v>
      </c>
      <c r="AD337" t="str" cm="1">
        <f t="array" ref="AD337">_xlfn.LET(
  _xlpm.K, Constantes!$B$3,
  _xlpm.Knewgain, Constantes!$B$4,
  _xlpm.Knewscale, Constantes!$B$5,
  _xlpm.ptstables, INDEX(AD:AD, _xlfn.SEQUENCE(COUNTA($C$2:$C337), 1, 3, 4)),
  _xlpm.nbparties, COUNTA(_xlfn._xlws.FILTER(_xlpm.ptstables, _xlpm.ptstables &lt;&gt; "")),
  _xlpm.coef, _xlpm.K + _xlpm.Knewgain / (_xlpm.Knewscale + _xlpm.nbparties),
  IF(AD335="",
    "",
    _xlpm.coef * (AD335-AD336))
)</f>
        <v/>
      </c>
      <c r="AE337" t="str" cm="1">
        <f t="array" ref="AE337">_xlfn.LET(
  _xlpm.K, Constantes!$B$3,
  _xlpm.Knewgain, Constantes!$B$4,
  _xlpm.Knewscale, Constantes!$B$5,
  _xlpm.ptstables, INDEX(AE:AE, _xlfn.SEQUENCE(COUNTA($C$2:$C337), 1, 3, 4)),
  _xlpm.nbparties, COUNTA(_xlfn._xlws.FILTER(_xlpm.ptstables, _xlpm.ptstables &lt;&gt; "")),
  _xlpm.coef, _xlpm.K + _xlpm.Knewgain / (_xlpm.Knewscale + _xlpm.nbparties),
  IF(AE335="",
    "",
    _xlpm.coef * (AE335-AE336))
)</f>
        <v/>
      </c>
      <c r="AF337" t="str" cm="1">
        <f t="array" ref="AF337">_xlfn.LET(
  _xlpm.K, Constantes!$B$3,
  _xlpm.Knewgain, Constantes!$B$4,
  _xlpm.Knewscale, Constantes!$B$5,
  _xlpm.ptstables, INDEX(AF:AF, _xlfn.SEQUENCE(COUNTA($C$2:$C337), 1, 3, 4)),
  _xlpm.nbparties, COUNTA(_xlfn._xlws.FILTER(_xlpm.ptstables, _xlpm.ptstables &lt;&gt; "")),
  _xlpm.coef, _xlpm.K + _xlpm.Knewgain / (_xlpm.Knewscale + _xlpm.nbparties),
  IF(AF335="",
    "",
    _xlpm.coef * (AF335-AF336))
)</f>
        <v/>
      </c>
      <c r="AG337" t="str" cm="1">
        <f t="array" ref="AG337">_xlfn.LET(
  _xlpm.K, Constantes!$B$3,
  _xlpm.Knewgain, Constantes!$B$4,
  _xlpm.Knewscale, Constantes!$B$5,
  _xlpm.ptstables, INDEX(AG:AG, _xlfn.SEQUENCE(COUNTA($C$2:$C337), 1, 3, 4)),
  _xlpm.nbparties, COUNTA(_xlfn._xlws.FILTER(_xlpm.ptstables, _xlpm.ptstables &lt;&gt; "")),
  _xlpm.coef, _xlpm.K + _xlpm.Knewgain / (_xlpm.Knewscale + _xlpm.nbparties),
  IF(AG335="",
    "",
    _xlpm.coef * (AG335-AG336))
)</f>
        <v/>
      </c>
      <c r="AH337" t="str" cm="1">
        <f t="array" ref="AH337">_xlfn.LET(
  _xlpm.K, Constantes!$B$3,
  _xlpm.Knewgain, Constantes!$B$4,
  _xlpm.Knewscale, Constantes!$B$5,
  _xlpm.ptstables, INDEX(AH:AH, _xlfn.SEQUENCE(COUNTA($C$2:$C337), 1, 3, 4)),
  _xlpm.nbparties, COUNTA(_xlfn._xlws.FILTER(_xlpm.ptstables, _xlpm.ptstables &lt;&gt; "")),
  _xlpm.coef, _xlpm.K + _xlpm.Knewgain / (_xlpm.Knewscale + _xlpm.nbparties),
  IF(AH335="",
    "",
    _xlpm.coef * (AH335-AH336))
)</f>
        <v/>
      </c>
      <c r="AI337" t="str" cm="1">
        <f t="array" ref="AI337">_xlfn.LET(
  _xlpm.K, Constantes!$B$3,
  _xlpm.Knewgain, Constantes!$B$4,
  _xlpm.Knewscale, Constantes!$B$5,
  _xlpm.ptstables, INDEX(AI:AI, _xlfn.SEQUENCE(COUNTA($C$2:$C337), 1, 3, 4)),
  _xlpm.nbparties, COUNTA(_xlfn._xlws.FILTER(_xlpm.ptstables, _xlpm.ptstables &lt;&gt; "")),
  _xlpm.coef, _xlpm.K + _xlpm.Knewgain / (_xlpm.Knewscale + _xlpm.nbparties),
  IF(AI335="",
    "",
    _xlpm.coef * (AI335-AI336))
)</f>
        <v/>
      </c>
      <c r="AJ337" t="str" cm="1">
        <f t="array" ref="AJ337">_xlfn.LET(
  _xlpm.K, Constantes!$B$3,
  _xlpm.Knewgain, Constantes!$B$4,
  _xlpm.Knewscale, Constantes!$B$5,
  _xlpm.ptstables, INDEX(AJ:AJ, _xlfn.SEQUENCE(COUNTA($C$2:$C337), 1, 3, 4)),
  _xlpm.nbparties, COUNTA(_xlfn._xlws.FILTER(_xlpm.ptstables, _xlpm.ptstables &lt;&gt; "")),
  _xlpm.coef, _xlpm.K + _xlpm.Knewgain / (_xlpm.Knewscale + _xlpm.nbparties),
  IF(AJ335="",
    "",
    _xlpm.coef * (AJ335-AJ336))
)</f>
        <v/>
      </c>
      <c r="AK337" t="str" cm="1">
        <f t="array" ref="AK337">_xlfn.LET(
  _xlpm.K, Constantes!$B$3,
  _xlpm.Knewgain, Constantes!$B$4,
  _xlpm.Knewscale, Constantes!$B$5,
  _xlpm.ptstables, INDEX(AK:AK, _xlfn.SEQUENCE(COUNTA($C$2:$C337), 1, 3, 4)),
  _xlpm.nbparties, COUNTA(_xlfn._xlws.FILTER(_xlpm.ptstables, _xlpm.ptstables &lt;&gt; "")),
  _xlpm.coef, _xlpm.K + _xlpm.Knewgain / (_xlpm.Knewscale + _xlpm.nbparties),
  IF(AK335="",
    "",
    _xlpm.coef * (AK335-AK336))
)</f>
        <v/>
      </c>
      <c r="AL337" t="str" cm="1">
        <f t="array" ref="AL337">_xlfn.LET(
  _xlpm.K, Constantes!$B$3,
  _xlpm.Knewgain, Constantes!$B$4,
  _xlpm.Knewscale, Constantes!$B$5,
  _xlpm.ptstables, INDEX(AL:AL, _xlfn.SEQUENCE(COUNTA($C$2:$C337), 1, 3, 4)),
  _xlpm.nbparties, COUNTA(_xlfn._xlws.FILTER(_xlpm.ptstables, _xlpm.ptstables &lt;&gt; "")),
  _xlpm.coef, _xlpm.K + _xlpm.Knewgain / (_xlpm.Knewscale + _xlpm.nbparties),
  IF(AL335="",
    "",
    _xlpm.coef * (AL335-AL336))
)</f>
        <v/>
      </c>
      <c r="AM337" t="str" cm="1">
        <f t="array" ref="AM337">_xlfn.LET(
  _xlpm.K, Constantes!$B$3,
  _xlpm.Knewgain, Constantes!$B$4,
  _xlpm.Knewscale, Constantes!$B$5,
  _xlpm.ptstables, INDEX(AM:AM, _xlfn.SEQUENCE(COUNTA($C$2:$C337), 1, 3, 4)),
  _xlpm.nbparties, COUNTA(_xlfn._xlws.FILTER(_xlpm.ptstables, _xlpm.ptstables &lt;&gt; "")),
  _xlpm.coef, _xlpm.K + _xlpm.Knewgain / (_xlpm.Knewscale + _xlpm.nbparties),
  IF(AM335="",
    "",
    _xlpm.coef * (AM335-AM336))
)</f>
        <v/>
      </c>
    </row>
    <row r="338" spans="1:39" x14ac:dyDescent="0.25">
      <c r="A338" t="s">
        <v>14</v>
      </c>
      <c r="B338" t="str" cm="1">
        <f t="array" ref="B33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85</v>
      </c>
      <c r="C338" s="2" cm="1">
        <f t="array" ref="C338">IF(B338="","",
  INDEX(Donnees!F:F, MATCH(B338, Donnees!F:F, 0)+1))</f>
        <v>45948.82304398148</v>
      </c>
      <c r="D338">
        <f t="shared" ref="D338:AM338" si="92">D334+IF(D337="",0,D337)</f>
        <v>1008.0095267292556</v>
      </c>
      <c r="E338">
        <f t="shared" si="92"/>
        <v>1106.3341723878034</v>
      </c>
      <c r="F338">
        <f t="shared" si="92"/>
        <v>840.37982011709778</v>
      </c>
      <c r="G338">
        <f t="shared" si="92"/>
        <v>1104.9202435939997</v>
      </c>
      <c r="H338">
        <f t="shared" si="92"/>
        <v>1120.6842315020224</v>
      </c>
      <c r="I338">
        <f t="shared" si="92"/>
        <v>960.02345484062744</v>
      </c>
      <c r="J338">
        <f t="shared" si="92"/>
        <v>1010.9125108504293</v>
      </c>
      <c r="K338">
        <f t="shared" si="92"/>
        <v>993.90254614824482</v>
      </c>
      <c r="L338">
        <f t="shared" si="92"/>
        <v>783.12422360152641</v>
      </c>
      <c r="M338">
        <f t="shared" si="92"/>
        <v>913.41986361738122</v>
      </c>
      <c r="N338">
        <f t="shared" si="92"/>
        <v>903.42914476260137</v>
      </c>
      <c r="O338">
        <f t="shared" si="92"/>
        <v>1033.7212914161473</v>
      </c>
      <c r="P338">
        <f t="shared" si="92"/>
        <v>947.93584238642552</v>
      </c>
      <c r="Q338">
        <f t="shared" si="92"/>
        <v>1050.1062561870472</v>
      </c>
      <c r="R338">
        <f t="shared" si="92"/>
        <v>1085.8070188090603</v>
      </c>
      <c r="S338">
        <f t="shared" si="92"/>
        <v>926.38965731004271</v>
      </c>
      <c r="T338">
        <f t="shared" si="92"/>
        <v>1153.43058185823</v>
      </c>
      <c r="U338">
        <f t="shared" si="92"/>
        <v>1201.0919847624489</v>
      </c>
      <c r="V338">
        <f t="shared" si="92"/>
        <v>969.67171739286073</v>
      </c>
      <c r="W338">
        <f t="shared" si="92"/>
        <v>882.29253769067657</v>
      </c>
      <c r="X338">
        <f t="shared" si="92"/>
        <v>828.97598039785271</v>
      </c>
      <c r="Y338">
        <f t="shared" si="92"/>
        <v>903.14348714035714</v>
      </c>
      <c r="Z338">
        <f t="shared" si="92"/>
        <v>1000.4832210979791</v>
      </c>
      <c r="AA338">
        <f t="shared" si="92"/>
        <v>976.51233940414613</v>
      </c>
      <c r="AB338">
        <f t="shared" si="92"/>
        <v>988.35669729544747</v>
      </c>
      <c r="AC338">
        <f t="shared" si="92"/>
        <v>1089.2285902790989</v>
      </c>
      <c r="AD338">
        <f t="shared" si="92"/>
        <v>1127.3529116409297</v>
      </c>
      <c r="AE338">
        <f t="shared" si="92"/>
        <v>963.23981965000235</v>
      </c>
      <c r="AF338">
        <f t="shared" si="92"/>
        <v>1094.8196847516158</v>
      </c>
      <c r="AG338">
        <f t="shared" si="92"/>
        <v>958.23078604304851</v>
      </c>
      <c r="AH338">
        <f t="shared" si="92"/>
        <v>920.4412636682855</v>
      </c>
      <c r="AI338">
        <f t="shared" si="92"/>
        <v>947.26489657182583</v>
      </c>
      <c r="AJ338">
        <f t="shared" si="92"/>
        <v>906.86354201913434</v>
      </c>
      <c r="AK338">
        <f t="shared" si="92"/>
        <v>1074.0069367206956</v>
      </c>
      <c r="AL338">
        <f t="shared" si="92"/>
        <v>1025.7817971572972</v>
      </c>
      <c r="AM338">
        <f t="shared" si="92"/>
        <v>930.08392160706046</v>
      </c>
    </row>
    <row r="339" spans="1:39" x14ac:dyDescent="0.25">
      <c r="A339" t="s">
        <v>21</v>
      </c>
      <c r="D339" cm="1">
        <f t="array" ref="D339">IFERROR(
  _xlfn.LET(
    _xlpm.ligpartie, MATCH($B338, Donnees!$F:$F, 0),
    _xlpm.joueurs, INDEX(Donnees!$A:$Z, _xlpm.ligpartie+1, _xlfn.SEQUENCE(1, 4, 2)),
    INDEX(
      Donnees!$A:$Z,
      _xlpm.ligpartie + 3,
      MATCH(D$1, _xlpm.joueurs, 0) + 1
    )
  ), ""
)</f>
        <v>2</v>
      </c>
      <c r="E339" t="str" cm="1">
        <f t="array" ref="E339">IFERROR(
  _xlfn.LET(
    _xlpm.ligpartie, MATCH($B338, Donnees!$F:$F, 0),
    _xlpm.joueurs, INDEX(Donnees!$A:$Z, _xlpm.ligpartie+1, _xlfn.SEQUENCE(1, 4, 2)),
    INDEX(
      Donnees!$A:$Z,
      _xlpm.ligpartie + 3,
      MATCH(E$1, _xlpm.joueurs, 0) + 1
    )
  ), ""
)</f>
        <v/>
      </c>
      <c r="F339" t="str" cm="1">
        <f t="array" ref="F339">IFERROR(
  _xlfn.LET(
    _xlpm.ligpartie, MATCH($B338, Donnees!$F:$F, 0),
    _xlpm.joueurs, INDEX(Donnees!$A:$Z, _xlpm.ligpartie+1, _xlfn.SEQUENCE(1, 4, 2)),
    INDEX(
      Donnees!$A:$Z,
      _xlpm.ligpartie + 3,
      MATCH(F$1, _xlpm.joueurs, 0) + 1
    )
  ), ""
)</f>
        <v/>
      </c>
      <c r="G339" t="str" cm="1">
        <f t="array" ref="G339">IFERROR(
  _xlfn.LET(
    _xlpm.ligpartie, MATCH($B338, Donnees!$F:$F, 0),
    _xlpm.joueurs, INDEX(Donnees!$A:$Z, _xlpm.ligpartie+1, _xlfn.SEQUENCE(1, 4, 2)),
    INDEX(
      Donnees!$A:$Z,
      _xlpm.ligpartie + 3,
      MATCH(G$1, _xlpm.joueurs, 0) + 1
    )
  ), ""
)</f>
        <v/>
      </c>
      <c r="H339" t="str" cm="1">
        <f t="array" ref="H339">IFERROR(
  _xlfn.LET(
    _xlpm.ligpartie, MATCH($B338, Donnees!$F:$F, 0),
    _xlpm.joueurs, INDEX(Donnees!$A:$Z, _xlpm.ligpartie+1, _xlfn.SEQUENCE(1, 4, 2)),
    INDEX(
      Donnees!$A:$Z,
      _xlpm.ligpartie + 3,
      MATCH(H$1, _xlpm.joueurs, 0) + 1
    )
  ), ""
)</f>
        <v/>
      </c>
      <c r="I339" t="str" cm="1">
        <f t="array" ref="I339">IFERROR(
  _xlfn.LET(
    _xlpm.ligpartie, MATCH($B338, Donnees!$F:$F, 0),
    _xlpm.joueurs, INDEX(Donnees!$A:$Z, _xlpm.ligpartie+1, _xlfn.SEQUENCE(1, 4, 2)),
    INDEX(
      Donnees!$A:$Z,
      _xlpm.ligpartie + 3,
      MATCH(I$1, _xlpm.joueurs, 0) + 1
    )
  ), ""
)</f>
        <v/>
      </c>
      <c r="J339" t="str" cm="1">
        <f t="array" ref="J339">IFERROR(
  _xlfn.LET(
    _xlpm.ligpartie, MATCH($B338, Donnees!$F:$F, 0),
    _xlpm.joueurs, INDEX(Donnees!$A:$Z, _xlpm.ligpartie+1, _xlfn.SEQUENCE(1, 4, 2)),
    INDEX(
      Donnees!$A:$Z,
      _xlpm.ligpartie + 3,
      MATCH(J$1, _xlpm.joueurs, 0) + 1
    )
  ), ""
)</f>
        <v/>
      </c>
      <c r="K339" t="str" cm="1">
        <f t="array" ref="K339">IFERROR(
  _xlfn.LET(
    _xlpm.ligpartie, MATCH($B338, Donnees!$F:$F, 0),
    _xlpm.joueurs, INDEX(Donnees!$A:$Z, _xlpm.ligpartie+1, _xlfn.SEQUENCE(1, 4, 2)),
    INDEX(
      Donnees!$A:$Z,
      _xlpm.ligpartie + 3,
      MATCH(K$1, _xlpm.joueurs, 0) + 1
    )
  ), ""
)</f>
        <v/>
      </c>
      <c r="L339" t="str" cm="1">
        <f t="array" ref="L339">IFERROR(
  _xlfn.LET(
    _xlpm.ligpartie, MATCH($B338, Donnees!$F:$F, 0),
    _xlpm.joueurs, INDEX(Donnees!$A:$Z, _xlpm.ligpartie+1, _xlfn.SEQUENCE(1, 4, 2)),
    INDEX(
      Donnees!$A:$Z,
      _xlpm.ligpartie + 3,
      MATCH(L$1, _xlpm.joueurs, 0) + 1
    )
  ), ""
)</f>
        <v/>
      </c>
      <c r="M339" t="str" cm="1">
        <f t="array" ref="M339">IFERROR(
  _xlfn.LET(
    _xlpm.ligpartie, MATCH($B338, Donnees!$F:$F, 0),
    _xlpm.joueurs, INDEX(Donnees!$A:$Z, _xlpm.ligpartie+1, _xlfn.SEQUENCE(1, 4, 2)),
    INDEX(
      Donnees!$A:$Z,
      _xlpm.ligpartie + 3,
      MATCH(M$1, _xlpm.joueurs, 0) + 1
    )
  ), ""
)</f>
        <v/>
      </c>
      <c r="N339" t="str" cm="1">
        <f t="array" ref="N339">IFERROR(
  _xlfn.LET(
    _xlpm.ligpartie, MATCH($B338, Donnees!$F:$F, 0),
    _xlpm.joueurs, INDEX(Donnees!$A:$Z, _xlpm.ligpartie+1, _xlfn.SEQUENCE(1, 4, 2)),
    INDEX(
      Donnees!$A:$Z,
      _xlpm.ligpartie + 3,
      MATCH(N$1, _xlpm.joueurs, 0) + 1
    )
  ), ""
)</f>
        <v/>
      </c>
      <c r="O339" t="str" cm="1">
        <f t="array" ref="O339">IFERROR(
  _xlfn.LET(
    _xlpm.ligpartie, MATCH($B338, Donnees!$F:$F, 0),
    _xlpm.joueurs, INDEX(Donnees!$A:$Z, _xlpm.ligpartie+1, _xlfn.SEQUENCE(1, 4, 2)),
    INDEX(
      Donnees!$A:$Z,
      _xlpm.ligpartie + 3,
      MATCH(O$1, _xlpm.joueurs, 0) + 1
    )
  ), ""
)</f>
        <v/>
      </c>
      <c r="P339" cm="1">
        <f t="array" ref="P339">IFERROR(
  _xlfn.LET(
    _xlpm.ligpartie, MATCH($B338, Donnees!$F:$F, 0),
    _xlpm.joueurs, INDEX(Donnees!$A:$Z, _xlpm.ligpartie+1, _xlfn.SEQUENCE(1, 4, 2)),
    INDEX(
      Donnees!$A:$Z,
      _xlpm.ligpartie + 3,
      MATCH(P$1, _xlpm.joueurs, 0) + 1
    )
  ), ""
)</f>
        <v>3</v>
      </c>
      <c r="Q339" t="str" cm="1">
        <f t="array" ref="Q339">IFERROR(
  _xlfn.LET(
    _xlpm.ligpartie, MATCH($B338, Donnees!$F:$F, 0),
    _xlpm.joueurs, INDEX(Donnees!$A:$Z, _xlpm.ligpartie+1, _xlfn.SEQUENCE(1, 4, 2)),
    INDEX(
      Donnees!$A:$Z,
      _xlpm.ligpartie + 3,
      MATCH(Q$1, _xlpm.joueurs, 0) + 1
    )
  ), ""
)</f>
        <v/>
      </c>
      <c r="R339" t="str" cm="1">
        <f t="array" ref="R339">IFERROR(
  _xlfn.LET(
    _xlpm.ligpartie, MATCH($B338, Donnees!$F:$F, 0),
    _xlpm.joueurs, INDEX(Donnees!$A:$Z, _xlpm.ligpartie+1, _xlfn.SEQUENCE(1, 4, 2)),
    INDEX(
      Donnees!$A:$Z,
      _xlpm.ligpartie + 3,
      MATCH(R$1, _xlpm.joueurs, 0) + 1
    )
  ), ""
)</f>
        <v/>
      </c>
      <c r="S339" t="str" cm="1">
        <f t="array" ref="S339">IFERROR(
  _xlfn.LET(
    _xlpm.ligpartie, MATCH($B338, Donnees!$F:$F, 0),
    _xlpm.joueurs, INDEX(Donnees!$A:$Z, _xlpm.ligpartie+1, _xlfn.SEQUENCE(1, 4, 2)),
    INDEX(
      Donnees!$A:$Z,
      _xlpm.ligpartie + 3,
      MATCH(S$1, _xlpm.joueurs, 0) + 1
    )
  ), ""
)</f>
        <v/>
      </c>
      <c r="T339" t="str" cm="1">
        <f t="array" ref="T339">IFERROR(
  _xlfn.LET(
    _xlpm.ligpartie, MATCH($B338, Donnees!$F:$F, 0),
    _xlpm.joueurs, INDEX(Donnees!$A:$Z, _xlpm.ligpartie+1, _xlfn.SEQUENCE(1, 4, 2)),
    INDEX(
      Donnees!$A:$Z,
      _xlpm.ligpartie + 3,
      MATCH(T$1, _xlpm.joueurs, 0) + 1
    )
  ), ""
)</f>
        <v/>
      </c>
      <c r="U339" t="str" cm="1">
        <f t="array" ref="U339">IFERROR(
  _xlfn.LET(
    _xlpm.ligpartie, MATCH($B338, Donnees!$F:$F, 0),
    _xlpm.joueurs, INDEX(Donnees!$A:$Z, _xlpm.ligpartie+1, _xlfn.SEQUENCE(1, 4, 2)),
    INDEX(
      Donnees!$A:$Z,
      _xlpm.ligpartie + 3,
      MATCH(U$1, _xlpm.joueurs, 0) + 1
    )
  ), ""
)</f>
        <v/>
      </c>
      <c r="V339" t="str" cm="1">
        <f t="array" ref="V339">IFERROR(
  _xlfn.LET(
    _xlpm.ligpartie, MATCH($B338, Donnees!$F:$F, 0),
    _xlpm.joueurs, INDEX(Donnees!$A:$Z, _xlpm.ligpartie+1, _xlfn.SEQUENCE(1, 4, 2)),
    INDEX(
      Donnees!$A:$Z,
      _xlpm.ligpartie + 3,
      MATCH(V$1, _xlpm.joueurs, 0) + 1
    )
  ), ""
)</f>
        <v/>
      </c>
      <c r="W339" t="str" cm="1">
        <f t="array" ref="W339">IFERROR(
  _xlfn.LET(
    _xlpm.ligpartie, MATCH($B338, Donnees!$F:$F, 0),
    _xlpm.joueurs, INDEX(Donnees!$A:$Z, _xlpm.ligpartie+1, _xlfn.SEQUENCE(1, 4, 2)),
    INDEX(
      Donnees!$A:$Z,
      _xlpm.ligpartie + 3,
      MATCH(W$1, _xlpm.joueurs, 0) + 1
    )
  ), ""
)</f>
        <v/>
      </c>
      <c r="X339" t="str" cm="1">
        <f t="array" ref="X339">IFERROR(
  _xlfn.LET(
    _xlpm.ligpartie, MATCH($B338, Donnees!$F:$F, 0),
    _xlpm.joueurs, INDEX(Donnees!$A:$Z, _xlpm.ligpartie+1, _xlfn.SEQUENCE(1, 4, 2)),
    INDEX(
      Donnees!$A:$Z,
      _xlpm.ligpartie + 3,
      MATCH(X$1, _xlpm.joueurs, 0) + 1
    )
  ), ""
)</f>
        <v/>
      </c>
      <c r="Y339" t="str" cm="1">
        <f t="array" ref="Y339">IFERROR(
  _xlfn.LET(
    _xlpm.ligpartie, MATCH($B338, Donnees!$F:$F, 0),
    _xlpm.joueurs, INDEX(Donnees!$A:$Z, _xlpm.ligpartie+1, _xlfn.SEQUENCE(1, 4, 2)),
    INDEX(
      Donnees!$A:$Z,
      _xlpm.ligpartie + 3,
      MATCH(Y$1, _xlpm.joueurs, 0) + 1
    )
  ), ""
)</f>
        <v/>
      </c>
      <c r="Z339" t="str" cm="1">
        <f t="array" ref="Z339">IFERROR(
  _xlfn.LET(
    _xlpm.ligpartie, MATCH($B338, Donnees!$F:$F, 0),
    _xlpm.joueurs, INDEX(Donnees!$A:$Z, _xlpm.ligpartie+1, _xlfn.SEQUENCE(1, 4, 2)),
    INDEX(
      Donnees!$A:$Z,
      _xlpm.ligpartie + 3,
      MATCH(Z$1, _xlpm.joueurs, 0) + 1
    )
  ), ""
)</f>
        <v/>
      </c>
      <c r="AA339" t="str" cm="1">
        <f t="array" ref="AA339">IFERROR(
  _xlfn.LET(
    _xlpm.ligpartie, MATCH($B338, Donnees!$F:$F, 0),
    _xlpm.joueurs, INDEX(Donnees!$A:$Z, _xlpm.ligpartie+1, _xlfn.SEQUENCE(1, 4, 2)),
    INDEX(
      Donnees!$A:$Z,
      _xlpm.ligpartie + 3,
      MATCH(AA$1, _xlpm.joueurs, 0) + 1
    )
  ), ""
)</f>
        <v/>
      </c>
      <c r="AB339" t="str" cm="1">
        <f t="array" ref="AB339">IFERROR(
  _xlfn.LET(
    _xlpm.ligpartie, MATCH($B338, Donnees!$F:$F, 0),
    _xlpm.joueurs, INDEX(Donnees!$A:$Z, _xlpm.ligpartie+1, _xlfn.SEQUENCE(1, 4, 2)),
    INDEX(
      Donnees!$A:$Z,
      _xlpm.ligpartie + 3,
      MATCH(AB$1, _xlpm.joueurs, 0) + 1
    )
  ), ""
)</f>
        <v/>
      </c>
      <c r="AC339" t="str" cm="1">
        <f t="array" ref="AC339">IFERROR(
  _xlfn.LET(
    _xlpm.ligpartie, MATCH($B338, Donnees!$F:$F, 0),
    _xlpm.joueurs, INDEX(Donnees!$A:$Z, _xlpm.ligpartie+1, _xlfn.SEQUENCE(1, 4, 2)),
    INDEX(
      Donnees!$A:$Z,
      _xlpm.ligpartie + 3,
      MATCH(AC$1, _xlpm.joueurs, 0) + 1
    )
  ), ""
)</f>
        <v/>
      </c>
      <c r="AD339" cm="1">
        <f t="array" ref="AD339">IFERROR(
  _xlfn.LET(
    _xlpm.ligpartie, MATCH($B338, Donnees!$F:$F, 0),
    _xlpm.joueurs, INDEX(Donnees!$A:$Z, _xlpm.ligpartie+1, _xlfn.SEQUENCE(1, 4, 2)),
    INDEX(
      Donnees!$A:$Z,
      _xlpm.ligpartie + 3,
      MATCH(AD$1, _xlpm.joueurs, 0) + 1
    )
  ), ""
)</f>
        <v>0</v>
      </c>
      <c r="AE339" t="str" cm="1">
        <f t="array" ref="AE339">IFERROR(
  _xlfn.LET(
    _xlpm.ligpartie, MATCH($B338, Donnees!$F:$F, 0),
    _xlpm.joueurs, INDEX(Donnees!$A:$Z, _xlpm.ligpartie+1, _xlfn.SEQUENCE(1, 4, 2)),
    INDEX(
      Donnees!$A:$Z,
      _xlpm.ligpartie + 3,
      MATCH(AE$1, _xlpm.joueurs, 0) + 1
    )
  ), ""
)</f>
        <v/>
      </c>
      <c r="AF339" t="str" cm="1">
        <f t="array" ref="AF339">IFERROR(
  _xlfn.LET(
    _xlpm.ligpartie, MATCH($B338, Donnees!$F:$F, 0),
    _xlpm.joueurs, INDEX(Donnees!$A:$Z, _xlpm.ligpartie+1, _xlfn.SEQUENCE(1, 4, 2)),
    INDEX(
      Donnees!$A:$Z,
      _xlpm.ligpartie + 3,
      MATCH(AF$1, _xlpm.joueurs, 0) + 1
    )
  ), ""
)</f>
        <v/>
      </c>
      <c r="AG339" t="str" cm="1">
        <f t="array" ref="AG339">IFERROR(
  _xlfn.LET(
    _xlpm.ligpartie, MATCH($B338, Donnees!$F:$F, 0),
    _xlpm.joueurs, INDEX(Donnees!$A:$Z, _xlpm.ligpartie+1, _xlfn.SEQUENCE(1, 4, 2)),
    INDEX(
      Donnees!$A:$Z,
      _xlpm.ligpartie + 3,
      MATCH(AG$1, _xlpm.joueurs, 0) + 1
    )
  ), ""
)</f>
        <v/>
      </c>
      <c r="AH339" t="str" cm="1">
        <f t="array" ref="AH339">IFERROR(
  _xlfn.LET(
    _xlpm.ligpartie, MATCH($B338, Donnees!$F:$F, 0),
    _xlpm.joueurs, INDEX(Donnees!$A:$Z, _xlpm.ligpartie+1, _xlfn.SEQUENCE(1, 4, 2)),
    INDEX(
      Donnees!$A:$Z,
      _xlpm.ligpartie + 3,
      MATCH(AH$1, _xlpm.joueurs, 0) + 1
    )
  ), ""
)</f>
        <v/>
      </c>
      <c r="AI339" cm="1">
        <f t="array" ref="AI339">IFERROR(
  _xlfn.LET(
    _xlpm.ligpartie, MATCH($B338, Donnees!$F:$F, 0),
    _xlpm.joueurs, INDEX(Donnees!$A:$Z, _xlpm.ligpartie+1, _xlfn.SEQUENCE(1, 4, 2)),
    INDEX(
      Donnees!$A:$Z,
      _xlpm.ligpartie + 3,
      MATCH(AI$1, _xlpm.joueurs, 0) + 1
    )
  ), ""
)</f>
        <v>1</v>
      </c>
      <c r="AJ339" t="str" cm="1">
        <f t="array" ref="AJ339">IFERROR(
  _xlfn.LET(
    _xlpm.ligpartie, MATCH($B338, Donnees!$F:$F, 0),
    _xlpm.joueurs, INDEX(Donnees!$A:$Z, _xlpm.ligpartie+1, _xlfn.SEQUENCE(1, 4, 2)),
    INDEX(
      Donnees!$A:$Z,
      _xlpm.ligpartie + 3,
      MATCH(AJ$1, _xlpm.joueurs, 0) + 1
    )
  ), ""
)</f>
        <v/>
      </c>
      <c r="AK339" t="str" cm="1">
        <f t="array" ref="AK339">IFERROR(
  _xlfn.LET(
    _xlpm.ligpartie, MATCH($B338, Donnees!$F:$F, 0),
    _xlpm.joueurs, INDEX(Donnees!$A:$Z, _xlpm.ligpartie+1, _xlfn.SEQUENCE(1, 4, 2)),
    INDEX(
      Donnees!$A:$Z,
      _xlpm.ligpartie + 3,
      MATCH(AK$1, _xlpm.joueurs, 0) + 1
    )
  ), ""
)</f>
        <v/>
      </c>
      <c r="AL339" t="str" cm="1">
        <f t="array" ref="AL339">IFERROR(
  _xlfn.LET(
    _xlpm.ligpartie, MATCH($B338, Donnees!$F:$F, 0),
    _xlpm.joueurs, INDEX(Donnees!$A:$Z, _xlpm.ligpartie+1, _xlfn.SEQUENCE(1, 4, 2)),
    INDEX(
      Donnees!$A:$Z,
      _xlpm.ligpartie + 3,
      MATCH(AL$1, _xlpm.joueurs, 0) + 1
    )
  ), ""
)</f>
        <v/>
      </c>
      <c r="AM339" t="str" cm="1">
        <f t="array" ref="AM339">IFERROR(
  _xlfn.LET(
    _xlpm.ligpartie, MATCH($B338, Donnees!$F:$F, 0),
    _xlpm.joueurs, INDEX(Donnees!$A:$Z, _xlpm.ligpartie+1, _xlfn.SEQUENCE(1, 4, 2)),
    INDEX(
      Donnees!$A:$Z,
      _xlpm.ligpartie + 3,
      MATCH(AM$1, _xlpm.joueurs, 0) + 1
    )
  ), ""
)</f>
        <v/>
      </c>
    </row>
    <row r="340" spans="1:39" x14ac:dyDescent="0.25">
      <c r="A340" t="s">
        <v>20</v>
      </c>
      <c r="D340" cm="1">
        <f t="array" ref="D340">_xlfn.LET(
  _xlpm.colj, _xlfn._xlws.FILTER(IF(ISNUMBER(339:339), COLUMN(339:339)), ISNUMBER(339:339)),
  _xlpm.elos, INDEX(338:338,1,_xlpm.colj),
  _xlpm.diffscale, Constantes!$B$2,
  IF(D339="",
    "",
    SUM(1/(1+POWER(10,-(D338-_xlpm.elos)/_xlpm.diffscale)))-0.5)
)</f>
        <v>1.506841902604438</v>
      </c>
      <c r="E340" t="str" cm="1">
        <f t="array" ref="E340">_xlfn.LET(
  _xlpm.colj, _xlfn._xlws.FILTER(IF(ISNUMBER(339:339), COLUMN(339:339)), ISNUMBER(339:339)),
  _xlpm.elos, INDEX(338:338,1,_xlpm.colj),
  _xlpm.diffscale, Constantes!$B$2,
  IF(E339="",
    "",
    SUM(1/(1+POWER(10,-(E338-_xlpm.elos)/_xlpm.diffscale)))-0.5)
)</f>
        <v/>
      </c>
      <c r="F340" t="str" cm="1">
        <f t="array" ref="F340">_xlfn.LET(
  _xlpm.colj, _xlfn._xlws.FILTER(IF(ISNUMBER(339:339), COLUMN(339:339)), ISNUMBER(339:339)),
  _xlpm.elos, INDEX(338:338,1,_xlpm.colj),
  _xlpm.diffscale, Constantes!$B$2,
  IF(F339="",
    "",
    SUM(1/(1+POWER(10,-(F338-_xlpm.elos)/_xlpm.diffscale)))-0.5)
)</f>
        <v/>
      </c>
      <c r="G340" t="str" cm="1">
        <f t="array" ref="G340">_xlfn.LET(
  _xlpm.colj, _xlfn._xlws.FILTER(IF(ISNUMBER(339:339), COLUMN(339:339)), ISNUMBER(339:339)),
  _xlpm.elos, INDEX(338:338,1,_xlpm.colj),
  _xlpm.diffscale, Constantes!$B$2,
  IF(G339="",
    "",
    SUM(1/(1+POWER(10,-(G338-_xlpm.elos)/_xlpm.diffscale)))-0.5)
)</f>
        <v/>
      </c>
      <c r="H340" t="str" cm="1">
        <f t="array" ref="H340">_xlfn.LET(
  _xlpm.colj, _xlfn._xlws.FILTER(IF(ISNUMBER(339:339), COLUMN(339:339)), ISNUMBER(339:339)),
  _xlpm.elos, INDEX(338:338,1,_xlpm.colj),
  _xlpm.diffscale, Constantes!$B$2,
  IF(H339="",
    "",
    SUM(1/(1+POWER(10,-(H338-_xlpm.elos)/_xlpm.diffscale)))-0.5)
)</f>
        <v/>
      </c>
      <c r="I340" t="str" cm="1">
        <f t="array" ref="I340">_xlfn.LET(
  _xlpm.colj, _xlfn._xlws.FILTER(IF(ISNUMBER(339:339), COLUMN(339:339)), ISNUMBER(339:339)),
  _xlpm.elos, INDEX(338:338,1,_xlpm.colj),
  _xlpm.diffscale, Constantes!$B$2,
  IF(I339="",
    "",
    SUM(1/(1+POWER(10,-(I338-_xlpm.elos)/_xlpm.diffscale)))-0.5)
)</f>
        <v/>
      </c>
      <c r="J340" t="str" cm="1">
        <f t="array" ref="J340">_xlfn.LET(
  _xlpm.colj, _xlfn._xlws.FILTER(IF(ISNUMBER(339:339), COLUMN(339:339)), ISNUMBER(339:339)),
  _xlpm.elos, INDEX(338:338,1,_xlpm.colj),
  _xlpm.diffscale, Constantes!$B$2,
  IF(J339="",
    "",
    SUM(1/(1+POWER(10,-(J338-_xlpm.elos)/_xlpm.diffscale)))-0.5)
)</f>
        <v/>
      </c>
      <c r="K340" t="str" cm="1">
        <f t="array" ref="K340">_xlfn.LET(
  _xlpm.colj, _xlfn._xlws.FILTER(IF(ISNUMBER(339:339), COLUMN(339:339)), ISNUMBER(339:339)),
  _xlpm.elos, INDEX(338:338,1,_xlpm.colj),
  _xlpm.diffscale, Constantes!$B$2,
  IF(K339="",
    "",
    SUM(1/(1+POWER(10,-(K338-_xlpm.elos)/_xlpm.diffscale)))-0.5)
)</f>
        <v/>
      </c>
      <c r="L340" t="str" cm="1">
        <f t="array" ref="L340">_xlfn.LET(
  _xlpm.colj, _xlfn._xlws.FILTER(IF(ISNUMBER(339:339), COLUMN(339:339)), ISNUMBER(339:339)),
  _xlpm.elos, INDEX(338:338,1,_xlpm.colj),
  _xlpm.diffscale, Constantes!$B$2,
  IF(L339="",
    "",
    SUM(1/(1+POWER(10,-(L338-_xlpm.elos)/_xlpm.diffscale)))-0.5)
)</f>
        <v/>
      </c>
      <c r="M340" t="str" cm="1">
        <f t="array" ref="M340">_xlfn.LET(
  _xlpm.colj, _xlfn._xlws.FILTER(IF(ISNUMBER(339:339), COLUMN(339:339)), ISNUMBER(339:339)),
  _xlpm.elos, INDEX(338:338,1,_xlpm.colj),
  _xlpm.diffscale, Constantes!$B$2,
  IF(M339="",
    "",
    SUM(1/(1+POWER(10,-(M338-_xlpm.elos)/_xlpm.diffscale)))-0.5)
)</f>
        <v/>
      </c>
      <c r="N340" t="str" cm="1">
        <f t="array" ref="N340">_xlfn.LET(
  _xlpm.colj, _xlfn._xlws.FILTER(IF(ISNUMBER(339:339), COLUMN(339:339)), ISNUMBER(339:339)),
  _xlpm.elos, INDEX(338:338,1,_xlpm.colj),
  _xlpm.diffscale, Constantes!$B$2,
  IF(N339="",
    "",
    SUM(1/(1+POWER(10,-(N338-_xlpm.elos)/_xlpm.diffscale)))-0.5)
)</f>
        <v/>
      </c>
      <c r="O340" t="str" cm="1">
        <f t="array" ref="O340">_xlfn.LET(
  _xlpm.colj, _xlfn._xlws.FILTER(IF(ISNUMBER(339:339), COLUMN(339:339)), ISNUMBER(339:339)),
  _xlpm.elos, INDEX(338:338,1,_xlpm.colj),
  _xlpm.diffscale, Constantes!$B$2,
  IF(O339="",
    "",
    SUM(1/(1+POWER(10,-(O338-_xlpm.elos)/_xlpm.diffscale)))-0.5)
)</f>
        <v/>
      </c>
      <c r="P340" cm="1">
        <f t="array" ref="P340">_xlfn.LET(
  _xlpm.colj, _xlfn._xlws.FILTER(IF(ISNUMBER(339:339), COLUMN(339:339)), ISNUMBER(339:339)),
  _xlpm.elos, INDEX(338:338,1,_xlpm.colj),
  _xlpm.diffscale, Constantes!$B$2,
  IF(P339="",
    "",
    SUM(1/(1+POWER(10,-(P338-_xlpm.elos)/_xlpm.diffscale)))-0.5)
)</f>
        <v>1.1779040932777156</v>
      </c>
      <c r="Q340" t="str" cm="1">
        <f t="array" ref="Q340">_xlfn.LET(
  _xlpm.colj, _xlfn._xlws.FILTER(IF(ISNUMBER(339:339), COLUMN(339:339)), ISNUMBER(339:339)),
  _xlpm.elos, INDEX(338:338,1,_xlpm.colj),
  _xlpm.diffscale, Constantes!$B$2,
  IF(Q339="",
    "",
    SUM(1/(1+POWER(10,-(Q338-_xlpm.elos)/_xlpm.diffscale)))-0.5)
)</f>
        <v/>
      </c>
      <c r="R340" t="str" cm="1">
        <f t="array" ref="R340">_xlfn.LET(
  _xlpm.colj, _xlfn._xlws.FILTER(IF(ISNUMBER(339:339), COLUMN(339:339)), ISNUMBER(339:339)),
  _xlpm.elos, INDEX(338:338,1,_xlpm.colj),
  _xlpm.diffscale, Constantes!$B$2,
  IF(R339="",
    "",
    SUM(1/(1+POWER(10,-(R338-_xlpm.elos)/_xlpm.diffscale)))-0.5)
)</f>
        <v/>
      </c>
      <c r="S340" t="str" cm="1">
        <f t="array" ref="S340">_xlfn.LET(
  _xlpm.colj, _xlfn._xlws.FILTER(IF(ISNUMBER(339:339), COLUMN(339:339)), ISNUMBER(339:339)),
  _xlpm.elos, INDEX(338:338,1,_xlpm.colj),
  _xlpm.diffscale, Constantes!$B$2,
  IF(S339="",
    "",
    SUM(1/(1+POWER(10,-(S338-_xlpm.elos)/_xlpm.diffscale)))-0.5)
)</f>
        <v/>
      </c>
      <c r="T340" t="str" cm="1">
        <f t="array" ref="T340">_xlfn.LET(
  _xlpm.colj, _xlfn._xlws.FILTER(IF(ISNUMBER(339:339), COLUMN(339:339)), ISNUMBER(339:339)),
  _xlpm.elos, INDEX(338:338,1,_xlpm.colj),
  _xlpm.diffscale, Constantes!$B$2,
  IF(T339="",
    "",
    SUM(1/(1+POWER(10,-(T338-_xlpm.elos)/_xlpm.diffscale)))-0.5)
)</f>
        <v/>
      </c>
      <c r="U340" t="str" cm="1">
        <f t="array" ref="U340">_xlfn.LET(
  _xlpm.colj, _xlfn._xlws.FILTER(IF(ISNUMBER(339:339), COLUMN(339:339)), ISNUMBER(339:339)),
  _xlpm.elos, INDEX(338:338,1,_xlpm.colj),
  _xlpm.diffscale, Constantes!$B$2,
  IF(U339="",
    "",
    SUM(1/(1+POWER(10,-(U338-_xlpm.elos)/_xlpm.diffscale)))-0.5)
)</f>
        <v/>
      </c>
      <c r="V340" t="str" cm="1">
        <f t="array" ref="V340">_xlfn.LET(
  _xlpm.colj, _xlfn._xlws.FILTER(IF(ISNUMBER(339:339), COLUMN(339:339)), ISNUMBER(339:339)),
  _xlpm.elos, INDEX(338:338,1,_xlpm.colj),
  _xlpm.diffscale, Constantes!$B$2,
  IF(V339="",
    "",
    SUM(1/(1+POWER(10,-(V338-_xlpm.elos)/_xlpm.diffscale)))-0.5)
)</f>
        <v/>
      </c>
      <c r="W340" t="str" cm="1">
        <f t="array" ref="W340">_xlfn.LET(
  _xlpm.colj, _xlfn._xlws.FILTER(IF(ISNUMBER(339:339), COLUMN(339:339)), ISNUMBER(339:339)),
  _xlpm.elos, INDEX(338:338,1,_xlpm.colj),
  _xlpm.diffscale, Constantes!$B$2,
  IF(W339="",
    "",
    SUM(1/(1+POWER(10,-(W338-_xlpm.elos)/_xlpm.diffscale)))-0.5)
)</f>
        <v/>
      </c>
      <c r="X340" t="str" cm="1">
        <f t="array" ref="X340">_xlfn.LET(
  _xlpm.colj, _xlfn._xlws.FILTER(IF(ISNUMBER(339:339), COLUMN(339:339)), ISNUMBER(339:339)),
  _xlpm.elos, INDEX(338:338,1,_xlpm.colj),
  _xlpm.diffscale, Constantes!$B$2,
  IF(X339="",
    "",
    SUM(1/(1+POWER(10,-(X338-_xlpm.elos)/_xlpm.diffscale)))-0.5)
)</f>
        <v/>
      </c>
      <c r="Y340" t="str" cm="1">
        <f t="array" ref="Y340">_xlfn.LET(
  _xlpm.colj, _xlfn._xlws.FILTER(IF(ISNUMBER(339:339), COLUMN(339:339)), ISNUMBER(339:339)),
  _xlpm.elos, INDEX(338:338,1,_xlpm.colj),
  _xlpm.diffscale, Constantes!$B$2,
  IF(Y339="",
    "",
    SUM(1/(1+POWER(10,-(Y338-_xlpm.elos)/_xlpm.diffscale)))-0.5)
)</f>
        <v/>
      </c>
      <c r="Z340" t="str" cm="1">
        <f t="array" ref="Z340">_xlfn.LET(
  _xlpm.colj, _xlfn._xlws.FILTER(IF(ISNUMBER(339:339), COLUMN(339:339)), ISNUMBER(339:339)),
  _xlpm.elos, INDEX(338:338,1,_xlpm.colj),
  _xlpm.diffscale, Constantes!$B$2,
  IF(Z339="",
    "",
    SUM(1/(1+POWER(10,-(Z338-_xlpm.elos)/_xlpm.diffscale)))-0.5)
)</f>
        <v/>
      </c>
      <c r="AA340" t="str" cm="1">
        <f t="array" ref="AA340">_xlfn.LET(
  _xlpm.colj, _xlfn._xlws.FILTER(IF(ISNUMBER(339:339), COLUMN(339:339)), ISNUMBER(339:339)),
  _xlpm.elos, INDEX(338:338,1,_xlpm.colj),
  _xlpm.diffscale, Constantes!$B$2,
  IF(AA339="",
    "",
    SUM(1/(1+POWER(10,-(AA338-_xlpm.elos)/_xlpm.diffscale)))-0.5)
)</f>
        <v/>
      </c>
      <c r="AB340" t="str" cm="1">
        <f t="array" ref="AB340">_xlfn.LET(
  _xlpm.colj, _xlfn._xlws.FILTER(IF(ISNUMBER(339:339), COLUMN(339:339)), ISNUMBER(339:339)),
  _xlpm.elos, INDEX(338:338,1,_xlpm.colj),
  _xlpm.diffscale, Constantes!$B$2,
  IF(AB339="",
    "",
    SUM(1/(1+POWER(10,-(AB338-_xlpm.elos)/_xlpm.diffscale)))-0.5)
)</f>
        <v/>
      </c>
      <c r="AC340" t="str" cm="1">
        <f t="array" ref="AC340">_xlfn.LET(
  _xlpm.colj, _xlfn._xlws.FILTER(IF(ISNUMBER(339:339), COLUMN(339:339)), ISNUMBER(339:339)),
  _xlpm.elos, INDEX(338:338,1,_xlpm.colj),
  _xlpm.diffscale, Constantes!$B$2,
  IF(AC339="",
    "",
    SUM(1/(1+POWER(10,-(AC338-_xlpm.elos)/_xlpm.diffscale)))-0.5)
)</f>
        <v/>
      </c>
      <c r="AD340" cm="1">
        <f t="array" ref="AD340">_xlfn.LET(
  _xlpm.colj, _xlfn._xlws.FILTER(IF(ISNUMBER(339:339), COLUMN(339:339)), ISNUMBER(339:339)),
  _xlpm.elos, INDEX(338:338,1,_xlpm.colj),
  _xlpm.diffscale, Constantes!$B$2,
  IF(AD339="",
    "",
    SUM(1/(1+POWER(10,-(AD338-_xlpm.elos)/_xlpm.diffscale)))-0.5)
)</f>
        <v>2.1409651018236611</v>
      </c>
      <c r="AE340" t="str" cm="1">
        <f t="array" ref="AE340">_xlfn.LET(
  _xlpm.colj, _xlfn._xlws.FILTER(IF(ISNUMBER(339:339), COLUMN(339:339)), ISNUMBER(339:339)),
  _xlpm.elos, INDEX(338:338,1,_xlpm.colj),
  _xlpm.diffscale, Constantes!$B$2,
  IF(AE339="",
    "",
    SUM(1/(1+POWER(10,-(AE338-_xlpm.elos)/_xlpm.diffscale)))-0.5)
)</f>
        <v/>
      </c>
      <c r="AF340" t="str" cm="1">
        <f t="array" ref="AF340">_xlfn.LET(
  _xlpm.colj, _xlfn._xlws.FILTER(IF(ISNUMBER(339:339), COLUMN(339:339)), ISNUMBER(339:339)),
  _xlpm.elos, INDEX(338:338,1,_xlpm.colj),
  _xlpm.diffscale, Constantes!$B$2,
  IF(AF339="",
    "",
    SUM(1/(1+POWER(10,-(AF338-_xlpm.elos)/_xlpm.diffscale)))-0.5)
)</f>
        <v/>
      </c>
      <c r="AG340" t="str" cm="1">
        <f t="array" ref="AG340">_xlfn.LET(
  _xlpm.colj, _xlfn._xlws.FILTER(IF(ISNUMBER(339:339), COLUMN(339:339)), ISNUMBER(339:339)),
  _xlpm.elos, INDEX(338:338,1,_xlpm.colj),
  _xlpm.diffscale, Constantes!$B$2,
  IF(AG339="",
    "",
    SUM(1/(1+POWER(10,-(AG338-_xlpm.elos)/_xlpm.diffscale)))-0.5)
)</f>
        <v/>
      </c>
      <c r="AH340" t="str" cm="1">
        <f t="array" ref="AH340">_xlfn.LET(
  _xlpm.colj, _xlfn._xlws.FILTER(IF(ISNUMBER(339:339), COLUMN(339:339)), ISNUMBER(339:339)),
  _xlpm.elos, INDEX(338:338,1,_xlpm.colj),
  _xlpm.diffscale, Constantes!$B$2,
  IF(AH339="",
    "",
    SUM(1/(1+POWER(10,-(AH338-_xlpm.elos)/_xlpm.diffscale)))-0.5)
)</f>
        <v/>
      </c>
      <c r="AI340" cm="1">
        <f t="array" ref="AI340">_xlfn.LET(
  _xlpm.colj, _xlfn._xlws.FILTER(IF(ISNUMBER(339:339), COLUMN(339:339)), ISNUMBER(339:339)),
  _xlpm.elos, INDEX(338:338,1,_xlpm.colj),
  _xlpm.diffscale, Constantes!$B$2,
  IF(AI339="",
    "",
    SUM(1/(1+POWER(10,-(AI338-_xlpm.elos)/_xlpm.diffscale)))-0.5)
)</f>
        <v>1.1742889022941851</v>
      </c>
      <c r="AJ340" t="str" cm="1">
        <f t="array" ref="AJ340">_xlfn.LET(
  _xlpm.colj, _xlfn._xlws.FILTER(IF(ISNUMBER(339:339), COLUMN(339:339)), ISNUMBER(339:339)),
  _xlpm.elos, INDEX(338:338,1,_xlpm.colj),
  _xlpm.diffscale, Constantes!$B$2,
  IF(AJ339="",
    "",
    SUM(1/(1+POWER(10,-(AJ338-_xlpm.elos)/_xlpm.diffscale)))-0.5)
)</f>
        <v/>
      </c>
      <c r="AK340" t="str" cm="1">
        <f t="array" ref="AK340">_xlfn.LET(
  _xlpm.colj, _xlfn._xlws.FILTER(IF(ISNUMBER(339:339), COLUMN(339:339)), ISNUMBER(339:339)),
  _xlpm.elos, INDEX(338:338,1,_xlpm.colj),
  _xlpm.diffscale, Constantes!$B$2,
  IF(AK339="",
    "",
    SUM(1/(1+POWER(10,-(AK338-_xlpm.elos)/_xlpm.diffscale)))-0.5)
)</f>
        <v/>
      </c>
      <c r="AL340" t="str" cm="1">
        <f t="array" ref="AL340">_xlfn.LET(
  _xlpm.colj, _xlfn._xlws.FILTER(IF(ISNUMBER(339:339), COLUMN(339:339)), ISNUMBER(339:339)),
  _xlpm.elos, INDEX(338:338,1,_xlpm.colj),
  _xlpm.diffscale, Constantes!$B$2,
  IF(AL339="",
    "",
    SUM(1/(1+POWER(10,-(AL338-_xlpm.elos)/_xlpm.diffscale)))-0.5)
)</f>
        <v/>
      </c>
      <c r="AM340" t="str" cm="1">
        <f t="array" ref="AM340">_xlfn.LET(
  _xlpm.colj, _xlfn._xlws.FILTER(IF(ISNUMBER(339:339), COLUMN(339:339)), ISNUMBER(339:339)),
  _xlpm.elos, INDEX(338:338,1,_xlpm.colj),
  _xlpm.diffscale, Constantes!$B$2,
  IF(AM339="",
    "",
    SUM(1/(1+POWER(10,-(AM338-_xlpm.elos)/_xlpm.diffscale)))-0.5)
)</f>
        <v/>
      </c>
    </row>
    <row r="341" spans="1:39" x14ac:dyDescent="0.25">
      <c r="A341" t="s">
        <v>22</v>
      </c>
      <c r="D341" cm="1">
        <f t="array" ref="D341">_xlfn.LET(
  _xlpm.K, Constantes!$B$3,
  _xlpm.Knewgain, Constantes!$B$4,
  _xlpm.Knewscale, Constantes!$B$5,
  _xlpm.ptstables, INDEX(D:D, _xlfn.SEQUENCE(COUNTA($C$2:$C341), 1, 3, 4)),
  _xlpm.nbparties, COUNTA(_xlfn._xlws.FILTER(_xlpm.ptstables, _xlpm.ptstables &lt;&gt; "")),
  _xlpm.coef, _xlpm.K + _xlpm.Knewgain / (_xlpm.Knewscale + _xlpm.nbparties),
  IF(D339="",
    "",
    _xlpm.coef * (D339-D340))
)</f>
        <v>11.160946414741668</v>
      </c>
      <c r="E341" t="str" cm="1">
        <f t="array" ref="E341">_xlfn.LET(
  _xlpm.K, Constantes!$B$3,
  _xlpm.Knewgain, Constantes!$B$4,
  _xlpm.Knewscale, Constantes!$B$5,
  _xlpm.ptstables, INDEX(E:E, _xlfn.SEQUENCE(COUNTA($C$2:$C341), 1, 3, 4)),
  _xlpm.nbparties, COUNTA(_xlfn._xlws.FILTER(_xlpm.ptstables, _xlpm.ptstables &lt;&gt; "")),
  _xlpm.coef, _xlpm.K + _xlpm.Knewgain / (_xlpm.Knewscale + _xlpm.nbparties),
  IF(E339="",
    "",
    _xlpm.coef * (E339-E340))
)</f>
        <v/>
      </c>
      <c r="F341" t="str" cm="1">
        <f t="array" ref="F341">_xlfn.LET(
  _xlpm.K, Constantes!$B$3,
  _xlpm.Knewgain, Constantes!$B$4,
  _xlpm.Knewscale, Constantes!$B$5,
  _xlpm.ptstables, INDEX(F:F, _xlfn.SEQUENCE(COUNTA($C$2:$C341), 1, 3, 4)),
  _xlpm.nbparties, COUNTA(_xlfn._xlws.FILTER(_xlpm.ptstables, _xlpm.ptstables &lt;&gt; "")),
  _xlpm.coef, _xlpm.K + _xlpm.Knewgain / (_xlpm.Knewscale + _xlpm.nbparties),
  IF(F339="",
    "",
    _xlpm.coef * (F339-F340))
)</f>
        <v/>
      </c>
      <c r="G341" t="str" cm="1">
        <f t="array" ref="G341">_xlfn.LET(
  _xlpm.K, Constantes!$B$3,
  _xlpm.Knewgain, Constantes!$B$4,
  _xlpm.Knewscale, Constantes!$B$5,
  _xlpm.ptstables, INDEX(G:G, _xlfn.SEQUENCE(COUNTA($C$2:$C341), 1, 3, 4)),
  _xlpm.nbparties, COUNTA(_xlfn._xlws.FILTER(_xlpm.ptstables, _xlpm.ptstables &lt;&gt; "")),
  _xlpm.coef, _xlpm.K + _xlpm.Knewgain / (_xlpm.Knewscale + _xlpm.nbparties),
  IF(G339="",
    "",
    _xlpm.coef * (G339-G340))
)</f>
        <v/>
      </c>
      <c r="H341" t="str" cm="1">
        <f t="array" ref="H341">_xlfn.LET(
  _xlpm.K, Constantes!$B$3,
  _xlpm.Knewgain, Constantes!$B$4,
  _xlpm.Knewscale, Constantes!$B$5,
  _xlpm.ptstables, INDEX(H:H, _xlfn.SEQUENCE(COUNTA($C$2:$C341), 1, 3, 4)),
  _xlpm.nbparties, COUNTA(_xlfn._xlws.FILTER(_xlpm.ptstables, _xlpm.ptstables &lt;&gt; "")),
  _xlpm.coef, _xlpm.K + _xlpm.Knewgain / (_xlpm.Knewscale + _xlpm.nbparties),
  IF(H339="",
    "",
    _xlpm.coef * (H339-H340))
)</f>
        <v/>
      </c>
      <c r="I341" t="str" cm="1">
        <f t="array" ref="I341">_xlfn.LET(
  _xlpm.K, Constantes!$B$3,
  _xlpm.Knewgain, Constantes!$B$4,
  _xlpm.Knewscale, Constantes!$B$5,
  _xlpm.ptstables, INDEX(I:I, _xlfn.SEQUENCE(COUNTA($C$2:$C341), 1, 3, 4)),
  _xlpm.nbparties, COUNTA(_xlfn._xlws.FILTER(_xlpm.ptstables, _xlpm.ptstables &lt;&gt; "")),
  _xlpm.coef, _xlpm.K + _xlpm.Knewgain / (_xlpm.Knewscale + _xlpm.nbparties),
  IF(I339="",
    "",
    _xlpm.coef * (I339-I340))
)</f>
        <v/>
      </c>
      <c r="J341" t="str" cm="1">
        <f t="array" ref="J341">_xlfn.LET(
  _xlpm.K, Constantes!$B$3,
  _xlpm.Knewgain, Constantes!$B$4,
  _xlpm.Knewscale, Constantes!$B$5,
  _xlpm.ptstables, INDEX(J:J, _xlfn.SEQUENCE(COUNTA($C$2:$C341), 1, 3, 4)),
  _xlpm.nbparties, COUNTA(_xlfn._xlws.FILTER(_xlpm.ptstables, _xlpm.ptstables &lt;&gt; "")),
  _xlpm.coef, _xlpm.K + _xlpm.Knewgain / (_xlpm.Knewscale + _xlpm.nbparties),
  IF(J339="",
    "",
    _xlpm.coef * (J339-J340))
)</f>
        <v/>
      </c>
      <c r="K341" t="str" cm="1">
        <f t="array" ref="K341">_xlfn.LET(
  _xlpm.K, Constantes!$B$3,
  _xlpm.Knewgain, Constantes!$B$4,
  _xlpm.Knewscale, Constantes!$B$5,
  _xlpm.ptstables, INDEX(K:K, _xlfn.SEQUENCE(COUNTA($C$2:$C341), 1, 3, 4)),
  _xlpm.nbparties, COUNTA(_xlfn._xlws.FILTER(_xlpm.ptstables, _xlpm.ptstables &lt;&gt; "")),
  _xlpm.coef, _xlpm.K + _xlpm.Knewgain / (_xlpm.Knewscale + _xlpm.nbparties),
  IF(K339="",
    "",
    _xlpm.coef * (K339-K340))
)</f>
        <v/>
      </c>
      <c r="L341" t="str" cm="1">
        <f t="array" ref="L341">_xlfn.LET(
  _xlpm.K, Constantes!$B$3,
  _xlpm.Knewgain, Constantes!$B$4,
  _xlpm.Knewscale, Constantes!$B$5,
  _xlpm.ptstables, INDEX(L:L, _xlfn.SEQUENCE(COUNTA($C$2:$C341), 1, 3, 4)),
  _xlpm.nbparties, COUNTA(_xlfn._xlws.FILTER(_xlpm.ptstables, _xlpm.ptstables &lt;&gt; "")),
  _xlpm.coef, _xlpm.K + _xlpm.Knewgain / (_xlpm.Knewscale + _xlpm.nbparties),
  IF(L339="",
    "",
    _xlpm.coef * (L339-L340))
)</f>
        <v/>
      </c>
      <c r="M341" t="str" cm="1">
        <f t="array" ref="M341">_xlfn.LET(
  _xlpm.K, Constantes!$B$3,
  _xlpm.Knewgain, Constantes!$B$4,
  _xlpm.Knewscale, Constantes!$B$5,
  _xlpm.ptstables, INDEX(M:M, _xlfn.SEQUENCE(COUNTA($C$2:$C341), 1, 3, 4)),
  _xlpm.nbparties, COUNTA(_xlfn._xlws.FILTER(_xlpm.ptstables, _xlpm.ptstables &lt;&gt; "")),
  _xlpm.coef, _xlpm.K + _xlpm.Knewgain / (_xlpm.Knewscale + _xlpm.nbparties),
  IF(M339="",
    "",
    _xlpm.coef * (M339-M340))
)</f>
        <v/>
      </c>
      <c r="N341" t="str" cm="1">
        <f t="array" ref="N341">_xlfn.LET(
  _xlpm.K, Constantes!$B$3,
  _xlpm.Knewgain, Constantes!$B$4,
  _xlpm.Knewscale, Constantes!$B$5,
  _xlpm.ptstables, INDEX(N:N, _xlfn.SEQUENCE(COUNTA($C$2:$C341), 1, 3, 4)),
  _xlpm.nbparties, COUNTA(_xlfn._xlws.FILTER(_xlpm.ptstables, _xlpm.ptstables &lt;&gt; "")),
  _xlpm.coef, _xlpm.K + _xlpm.Knewgain / (_xlpm.Knewscale + _xlpm.nbparties),
  IF(N339="",
    "",
    _xlpm.coef * (N339-N340))
)</f>
        <v/>
      </c>
      <c r="O341" t="str" cm="1">
        <f t="array" ref="O341">_xlfn.LET(
  _xlpm.K, Constantes!$B$3,
  _xlpm.Knewgain, Constantes!$B$4,
  _xlpm.Knewscale, Constantes!$B$5,
  _xlpm.ptstables, INDEX(O:O, _xlfn.SEQUENCE(COUNTA($C$2:$C341), 1, 3, 4)),
  _xlpm.nbparties, COUNTA(_xlfn._xlws.FILTER(_xlpm.ptstables, _xlpm.ptstables &lt;&gt; "")),
  _xlpm.coef, _xlpm.K + _xlpm.Knewgain / (_xlpm.Knewscale + _xlpm.nbparties),
  IF(O339="",
    "",
    _xlpm.coef * (O339-O340))
)</f>
        <v/>
      </c>
      <c r="P341" cm="1">
        <f t="array" ref="P341">_xlfn.LET(
  _xlpm.K, Constantes!$B$3,
  _xlpm.Knewgain, Constantes!$B$4,
  _xlpm.Knewscale, Constantes!$B$5,
  _xlpm.ptstables, INDEX(P:P, _xlfn.SEQUENCE(COUNTA($C$2:$C341), 1, 3, 4)),
  _xlpm.nbparties, COUNTA(_xlfn._xlws.FILTER(_xlpm.ptstables, _xlpm.ptstables &lt;&gt; "")),
  _xlpm.coef, _xlpm.K + _xlpm.Knewgain / (_xlpm.Knewscale + _xlpm.nbparties),
  IF(P339="",
    "",
    _xlpm.coef * (P339-P340))
)</f>
        <v>42.949403515596707</v>
      </c>
      <c r="Q341" t="str" cm="1">
        <f t="array" ref="Q341">_xlfn.LET(
  _xlpm.K, Constantes!$B$3,
  _xlpm.Knewgain, Constantes!$B$4,
  _xlpm.Knewscale, Constantes!$B$5,
  _xlpm.ptstables, INDEX(Q:Q, _xlfn.SEQUENCE(COUNTA($C$2:$C341), 1, 3, 4)),
  _xlpm.nbparties, COUNTA(_xlfn._xlws.FILTER(_xlpm.ptstables, _xlpm.ptstables &lt;&gt; "")),
  _xlpm.coef, _xlpm.K + _xlpm.Knewgain / (_xlpm.Knewscale + _xlpm.nbparties),
  IF(Q339="",
    "",
    _xlpm.coef * (Q339-Q340))
)</f>
        <v/>
      </c>
      <c r="R341" t="str" cm="1">
        <f t="array" ref="R341">_xlfn.LET(
  _xlpm.K, Constantes!$B$3,
  _xlpm.Knewgain, Constantes!$B$4,
  _xlpm.Knewscale, Constantes!$B$5,
  _xlpm.ptstables, INDEX(R:R, _xlfn.SEQUENCE(COUNTA($C$2:$C341), 1, 3, 4)),
  _xlpm.nbparties, COUNTA(_xlfn._xlws.FILTER(_xlpm.ptstables, _xlpm.ptstables &lt;&gt; "")),
  _xlpm.coef, _xlpm.K + _xlpm.Knewgain / (_xlpm.Knewscale + _xlpm.nbparties),
  IF(R339="",
    "",
    _xlpm.coef * (R339-R340))
)</f>
        <v/>
      </c>
      <c r="S341" t="str" cm="1">
        <f t="array" ref="S341">_xlfn.LET(
  _xlpm.K, Constantes!$B$3,
  _xlpm.Knewgain, Constantes!$B$4,
  _xlpm.Knewscale, Constantes!$B$5,
  _xlpm.ptstables, INDEX(S:S, _xlfn.SEQUENCE(COUNTA($C$2:$C341), 1, 3, 4)),
  _xlpm.nbparties, COUNTA(_xlfn._xlws.FILTER(_xlpm.ptstables, _xlpm.ptstables &lt;&gt; "")),
  _xlpm.coef, _xlpm.K + _xlpm.Knewgain / (_xlpm.Knewscale + _xlpm.nbparties),
  IF(S339="",
    "",
    _xlpm.coef * (S339-S340))
)</f>
        <v/>
      </c>
      <c r="T341" t="str" cm="1">
        <f t="array" ref="T341">_xlfn.LET(
  _xlpm.K, Constantes!$B$3,
  _xlpm.Knewgain, Constantes!$B$4,
  _xlpm.Knewscale, Constantes!$B$5,
  _xlpm.ptstables, INDEX(T:T, _xlfn.SEQUENCE(COUNTA($C$2:$C341), 1, 3, 4)),
  _xlpm.nbparties, COUNTA(_xlfn._xlws.FILTER(_xlpm.ptstables, _xlpm.ptstables &lt;&gt; "")),
  _xlpm.coef, _xlpm.K + _xlpm.Knewgain / (_xlpm.Knewscale + _xlpm.nbparties),
  IF(T339="",
    "",
    _xlpm.coef * (T339-T340))
)</f>
        <v/>
      </c>
      <c r="U341" t="str" cm="1">
        <f t="array" ref="U341">_xlfn.LET(
  _xlpm.K, Constantes!$B$3,
  _xlpm.Knewgain, Constantes!$B$4,
  _xlpm.Knewscale, Constantes!$B$5,
  _xlpm.ptstables, INDEX(U:U, _xlfn.SEQUENCE(COUNTA($C$2:$C341), 1, 3, 4)),
  _xlpm.nbparties, COUNTA(_xlfn._xlws.FILTER(_xlpm.ptstables, _xlpm.ptstables &lt;&gt; "")),
  _xlpm.coef, _xlpm.K + _xlpm.Knewgain / (_xlpm.Knewscale + _xlpm.nbparties),
  IF(U339="",
    "",
    _xlpm.coef * (U339-U340))
)</f>
        <v/>
      </c>
      <c r="V341" t="str" cm="1">
        <f t="array" ref="V341">_xlfn.LET(
  _xlpm.K, Constantes!$B$3,
  _xlpm.Knewgain, Constantes!$B$4,
  _xlpm.Knewscale, Constantes!$B$5,
  _xlpm.ptstables, INDEX(V:V, _xlfn.SEQUENCE(COUNTA($C$2:$C341), 1, 3, 4)),
  _xlpm.nbparties, COUNTA(_xlfn._xlws.FILTER(_xlpm.ptstables, _xlpm.ptstables &lt;&gt; "")),
  _xlpm.coef, _xlpm.K + _xlpm.Knewgain / (_xlpm.Knewscale + _xlpm.nbparties),
  IF(V339="",
    "",
    _xlpm.coef * (V339-V340))
)</f>
        <v/>
      </c>
      <c r="W341" t="str" cm="1">
        <f t="array" ref="W341">_xlfn.LET(
  _xlpm.K, Constantes!$B$3,
  _xlpm.Knewgain, Constantes!$B$4,
  _xlpm.Knewscale, Constantes!$B$5,
  _xlpm.ptstables, INDEX(W:W, _xlfn.SEQUENCE(COUNTA($C$2:$C341), 1, 3, 4)),
  _xlpm.nbparties, COUNTA(_xlfn._xlws.FILTER(_xlpm.ptstables, _xlpm.ptstables &lt;&gt; "")),
  _xlpm.coef, _xlpm.K + _xlpm.Knewgain / (_xlpm.Knewscale + _xlpm.nbparties),
  IF(W339="",
    "",
    _xlpm.coef * (W339-W340))
)</f>
        <v/>
      </c>
      <c r="X341" t="str" cm="1">
        <f t="array" ref="X341">_xlfn.LET(
  _xlpm.K, Constantes!$B$3,
  _xlpm.Knewgain, Constantes!$B$4,
  _xlpm.Knewscale, Constantes!$B$5,
  _xlpm.ptstables, INDEX(X:X, _xlfn.SEQUENCE(COUNTA($C$2:$C341), 1, 3, 4)),
  _xlpm.nbparties, COUNTA(_xlfn._xlws.FILTER(_xlpm.ptstables, _xlpm.ptstables &lt;&gt; "")),
  _xlpm.coef, _xlpm.K + _xlpm.Knewgain / (_xlpm.Knewscale + _xlpm.nbparties),
  IF(X339="",
    "",
    _xlpm.coef * (X339-X340))
)</f>
        <v/>
      </c>
      <c r="Y341" t="str" cm="1">
        <f t="array" ref="Y341">_xlfn.LET(
  _xlpm.K, Constantes!$B$3,
  _xlpm.Knewgain, Constantes!$B$4,
  _xlpm.Knewscale, Constantes!$B$5,
  _xlpm.ptstables, INDEX(Y:Y, _xlfn.SEQUENCE(COUNTA($C$2:$C341), 1, 3, 4)),
  _xlpm.nbparties, COUNTA(_xlfn._xlws.FILTER(_xlpm.ptstables, _xlpm.ptstables &lt;&gt; "")),
  _xlpm.coef, _xlpm.K + _xlpm.Knewgain / (_xlpm.Knewscale + _xlpm.nbparties),
  IF(Y339="",
    "",
    _xlpm.coef * (Y339-Y340))
)</f>
        <v/>
      </c>
      <c r="Z341" t="str" cm="1">
        <f t="array" ref="Z341">_xlfn.LET(
  _xlpm.K, Constantes!$B$3,
  _xlpm.Knewgain, Constantes!$B$4,
  _xlpm.Knewscale, Constantes!$B$5,
  _xlpm.ptstables, INDEX(Z:Z, _xlfn.SEQUENCE(COUNTA($C$2:$C341), 1, 3, 4)),
  _xlpm.nbparties, COUNTA(_xlfn._xlws.FILTER(_xlpm.ptstables, _xlpm.ptstables &lt;&gt; "")),
  _xlpm.coef, _xlpm.K + _xlpm.Knewgain / (_xlpm.Knewscale + _xlpm.nbparties),
  IF(Z339="",
    "",
    _xlpm.coef * (Z339-Z340))
)</f>
        <v/>
      </c>
      <c r="AA341" t="str" cm="1">
        <f t="array" ref="AA341">_xlfn.LET(
  _xlpm.K, Constantes!$B$3,
  _xlpm.Knewgain, Constantes!$B$4,
  _xlpm.Knewscale, Constantes!$B$5,
  _xlpm.ptstables, INDEX(AA:AA, _xlfn.SEQUENCE(COUNTA($C$2:$C341), 1, 3, 4)),
  _xlpm.nbparties, COUNTA(_xlfn._xlws.FILTER(_xlpm.ptstables, _xlpm.ptstables &lt;&gt; "")),
  _xlpm.coef, _xlpm.K + _xlpm.Knewgain / (_xlpm.Knewscale + _xlpm.nbparties),
  IF(AA339="",
    "",
    _xlpm.coef * (AA339-AA340))
)</f>
        <v/>
      </c>
      <c r="AB341" t="str" cm="1">
        <f t="array" ref="AB341">_xlfn.LET(
  _xlpm.K, Constantes!$B$3,
  _xlpm.Knewgain, Constantes!$B$4,
  _xlpm.Knewscale, Constantes!$B$5,
  _xlpm.ptstables, INDEX(AB:AB, _xlfn.SEQUENCE(COUNTA($C$2:$C341), 1, 3, 4)),
  _xlpm.nbparties, COUNTA(_xlfn._xlws.FILTER(_xlpm.ptstables, _xlpm.ptstables &lt;&gt; "")),
  _xlpm.coef, _xlpm.K + _xlpm.Knewgain / (_xlpm.Knewscale + _xlpm.nbparties),
  IF(AB339="",
    "",
    _xlpm.coef * (AB339-AB340))
)</f>
        <v/>
      </c>
      <c r="AC341" t="str" cm="1">
        <f t="array" ref="AC341">_xlfn.LET(
  _xlpm.K, Constantes!$B$3,
  _xlpm.Knewgain, Constantes!$B$4,
  _xlpm.Knewscale, Constantes!$B$5,
  _xlpm.ptstables, INDEX(AC:AC, _xlfn.SEQUENCE(COUNTA($C$2:$C341), 1, 3, 4)),
  _xlpm.nbparties, COUNTA(_xlfn._xlws.FILTER(_xlpm.ptstables, _xlpm.ptstables &lt;&gt; "")),
  _xlpm.coef, _xlpm.K + _xlpm.Knewgain / (_xlpm.Knewscale + _xlpm.nbparties),
  IF(AC339="",
    "",
    _xlpm.coef * (AC339-AC340))
)</f>
        <v/>
      </c>
      <c r="AD341" cm="1">
        <f t="array" ref="AD341">_xlfn.LET(
  _xlpm.K, Constantes!$B$3,
  _xlpm.Knewgain, Constantes!$B$4,
  _xlpm.Knewscale, Constantes!$B$5,
  _xlpm.ptstables, INDEX(AD:AD, _xlfn.SEQUENCE(COUNTA($C$2:$C341), 1, 3, 4)),
  _xlpm.nbparties, COUNTA(_xlfn._xlws.FILTER(_xlpm.ptstables, _xlpm.ptstables &lt;&gt; "")),
  _xlpm.coef, _xlpm.K + _xlpm.Knewgain / (_xlpm.Knewscale + _xlpm.nbparties),
  IF(AD339="",
    "",
    _xlpm.coef * (AD339-AD340))
)</f>
        <v>-58.111909906642225</v>
      </c>
      <c r="AE341" t="str" cm="1">
        <f t="array" ref="AE341">_xlfn.LET(
  _xlpm.K, Constantes!$B$3,
  _xlpm.Knewgain, Constantes!$B$4,
  _xlpm.Knewscale, Constantes!$B$5,
  _xlpm.ptstables, INDEX(AE:AE, _xlfn.SEQUENCE(COUNTA($C$2:$C341), 1, 3, 4)),
  _xlpm.nbparties, COUNTA(_xlfn._xlws.FILTER(_xlpm.ptstables, _xlpm.ptstables &lt;&gt; "")),
  _xlpm.coef, _xlpm.K + _xlpm.Knewgain / (_xlpm.Knewscale + _xlpm.nbparties),
  IF(AE339="",
    "",
    _xlpm.coef * (AE339-AE340))
)</f>
        <v/>
      </c>
      <c r="AF341" t="str" cm="1">
        <f t="array" ref="AF341">_xlfn.LET(
  _xlpm.K, Constantes!$B$3,
  _xlpm.Knewgain, Constantes!$B$4,
  _xlpm.Knewscale, Constantes!$B$5,
  _xlpm.ptstables, INDEX(AF:AF, _xlfn.SEQUENCE(COUNTA($C$2:$C341), 1, 3, 4)),
  _xlpm.nbparties, COUNTA(_xlfn._xlws.FILTER(_xlpm.ptstables, _xlpm.ptstables &lt;&gt; "")),
  _xlpm.coef, _xlpm.K + _xlpm.Knewgain / (_xlpm.Knewscale + _xlpm.nbparties),
  IF(AF339="",
    "",
    _xlpm.coef * (AF339-AF340))
)</f>
        <v/>
      </c>
      <c r="AG341" t="str" cm="1">
        <f t="array" ref="AG341">_xlfn.LET(
  _xlpm.K, Constantes!$B$3,
  _xlpm.Knewgain, Constantes!$B$4,
  _xlpm.Knewscale, Constantes!$B$5,
  _xlpm.ptstables, INDEX(AG:AG, _xlfn.SEQUENCE(COUNTA($C$2:$C341), 1, 3, 4)),
  _xlpm.nbparties, COUNTA(_xlfn._xlws.FILTER(_xlpm.ptstables, _xlpm.ptstables &lt;&gt; "")),
  _xlpm.coef, _xlpm.K + _xlpm.Knewgain / (_xlpm.Knewscale + _xlpm.nbparties),
  IF(AG339="",
    "",
    _xlpm.coef * (AG339-AG340))
)</f>
        <v/>
      </c>
      <c r="AH341" t="str" cm="1">
        <f t="array" ref="AH341">_xlfn.LET(
  _xlpm.K, Constantes!$B$3,
  _xlpm.Knewgain, Constantes!$B$4,
  _xlpm.Knewscale, Constantes!$B$5,
  _xlpm.ptstables, INDEX(AH:AH, _xlfn.SEQUENCE(COUNTA($C$2:$C341), 1, 3, 4)),
  _xlpm.nbparties, COUNTA(_xlfn._xlws.FILTER(_xlpm.ptstables, _xlpm.ptstables &lt;&gt; "")),
  _xlpm.coef, _xlpm.K + _xlpm.Knewgain / (_xlpm.Knewscale + _xlpm.nbparties),
  IF(AH339="",
    "",
    _xlpm.coef * (AH339-AH340))
)</f>
        <v/>
      </c>
      <c r="AI341" cm="1">
        <f t="array" ref="AI341">_xlfn.LET(
  _xlpm.K, Constantes!$B$3,
  _xlpm.Knewgain, Constantes!$B$4,
  _xlpm.Knewscale, Constantes!$B$5,
  _xlpm.ptstables, INDEX(AI:AI, _xlfn.SEQUENCE(COUNTA($C$2:$C341), 1, 3, 4)),
  _xlpm.nbparties, COUNTA(_xlfn._xlws.FILTER(_xlpm.ptstables, _xlpm.ptstables &lt;&gt; "")),
  _xlpm.coef, _xlpm.K + _xlpm.Knewgain / (_xlpm.Knewscale + _xlpm.nbparties),
  IF(AI339="",
    "",
    _xlpm.coef * (AI339-AI340))
)</f>
        <v>-4.3572225573546284</v>
      </c>
      <c r="AJ341" t="str" cm="1">
        <f t="array" ref="AJ341">_xlfn.LET(
  _xlpm.K, Constantes!$B$3,
  _xlpm.Knewgain, Constantes!$B$4,
  _xlpm.Knewscale, Constantes!$B$5,
  _xlpm.ptstables, INDEX(AJ:AJ, _xlfn.SEQUENCE(COUNTA($C$2:$C341), 1, 3, 4)),
  _xlpm.nbparties, COUNTA(_xlfn._xlws.FILTER(_xlpm.ptstables, _xlpm.ptstables &lt;&gt; "")),
  _xlpm.coef, _xlpm.K + _xlpm.Knewgain / (_xlpm.Knewscale + _xlpm.nbparties),
  IF(AJ339="",
    "",
    _xlpm.coef * (AJ339-AJ340))
)</f>
        <v/>
      </c>
      <c r="AK341" t="str" cm="1">
        <f t="array" ref="AK341">_xlfn.LET(
  _xlpm.K, Constantes!$B$3,
  _xlpm.Knewgain, Constantes!$B$4,
  _xlpm.Knewscale, Constantes!$B$5,
  _xlpm.ptstables, INDEX(AK:AK, _xlfn.SEQUENCE(COUNTA($C$2:$C341), 1, 3, 4)),
  _xlpm.nbparties, COUNTA(_xlfn._xlws.FILTER(_xlpm.ptstables, _xlpm.ptstables &lt;&gt; "")),
  _xlpm.coef, _xlpm.K + _xlpm.Knewgain / (_xlpm.Knewscale + _xlpm.nbparties),
  IF(AK339="",
    "",
    _xlpm.coef * (AK339-AK340))
)</f>
        <v/>
      </c>
      <c r="AL341" t="str" cm="1">
        <f t="array" ref="AL341">_xlfn.LET(
  _xlpm.K, Constantes!$B$3,
  _xlpm.Knewgain, Constantes!$B$4,
  _xlpm.Knewscale, Constantes!$B$5,
  _xlpm.ptstables, INDEX(AL:AL, _xlfn.SEQUENCE(COUNTA($C$2:$C341), 1, 3, 4)),
  _xlpm.nbparties, COUNTA(_xlfn._xlws.FILTER(_xlpm.ptstables, _xlpm.ptstables &lt;&gt; "")),
  _xlpm.coef, _xlpm.K + _xlpm.Knewgain / (_xlpm.Knewscale + _xlpm.nbparties),
  IF(AL339="",
    "",
    _xlpm.coef * (AL339-AL340))
)</f>
        <v/>
      </c>
      <c r="AM341" t="str" cm="1">
        <f t="array" ref="AM341">_xlfn.LET(
  _xlpm.K, Constantes!$B$3,
  _xlpm.Knewgain, Constantes!$B$4,
  _xlpm.Knewscale, Constantes!$B$5,
  _xlpm.ptstables, INDEX(AM:AM, _xlfn.SEQUENCE(COUNTA($C$2:$C341), 1, 3, 4)),
  _xlpm.nbparties, COUNTA(_xlfn._xlws.FILTER(_xlpm.ptstables, _xlpm.ptstables &lt;&gt; "")),
  _xlpm.coef, _xlpm.K + _xlpm.Knewgain / (_xlpm.Knewscale + _xlpm.nbparties),
  IF(AM339="",
    "",
    _xlpm.coef * (AM339-AM340))
)</f>
        <v/>
      </c>
    </row>
    <row r="342" spans="1:39" x14ac:dyDescent="0.25">
      <c r="A342" t="s">
        <v>14</v>
      </c>
      <c r="B342" t="str" cm="1">
        <f t="array" ref="B34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87</v>
      </c>
      <c r="C342" s="2" cm="1">
        <f t="array" ref="C342">IF(B342="","",
  INDEX(Donnees!F:F, MATCH(B342, Donnees!F:F, 0)+1))</f>
        <v>45948.917488425926</v>
      </c>
      <c r="D342">
        <f t="shared" ref="D342:AM342" si="93">D338+IF(D341="",0,D341)</f>
        <v>1019.1704731439974</v>
      </c>
      <c r="E342">
        <f t="shared" si="93"/>
        <v>1106.3341723878034</v>
      </c>
      <c r="F342">
        <f t="shared" si="93"/>
        <v>840.37982011709778</v>
      </c>
      <c r="G342">
        <f t="shared" si="93"/>
        <v>1104.9202435939997</v>
      </c>
      <c r="H342">
        <f t="shared" si="93"/>
        <v>1120.6842315020224</v>
      </c>
      <c r="I342">
        <f t="shared" si="93"/>
        <v>960.02345484062744</v>
      </c>
      <c r="J342">
        <f t="shared" si="93"/>
        <v>1010.9125108504293</v>
      </c>
      <c r="K342">
        <f t="shared" si="93"/>
        <v>993.90254614824482</v>
      </c>
      <c r="L342">
        <f t="shared" si="93"/>
        <v>783.12422360152641</v>
      </c>
      <c r="M342">
        <f t="shared" si="93"/>
        <v>913.41986361738122</v>
      </c>
      <c r="N342">
        <f t="shared" si="93"/>
        <v>903.42914476260137</v>
      </c>
      <c r="O342">
        <f t="shared" si="93"/>
        <v>1033.7212914161473</v>
      </c>
      <c r="P342">
        <f t="shared" si="93"/>
        <v>990.88524590202223</v>
      </c>
      <c r="Q342">
        <f t="shared" si="93"/>
        <v>1050.1062561870472</v>
      </c>
      <c r="R342">
        <f t="shared" si="93"/>
        <v>1085.8070188090603</v>
      </c>
      <c r="S342">
        <f t="shared" si="93"/>
        <v>926.38965731004271</v>
      </c>
      <c r="T342">
        <f t="shared" si="93"/>
        <v>1153.43058185823</v>
      </c>
      <c r="U342">
        <f t="shared" si="93"/>
        <v>1201.0919847624489</v>
      </c>
      <c r="V342">
        <f t="shared" si="93"/>
        <v>969.67171739286073</v>
      </c>
      <c r="W342">
        <f t="shared" si="93"/>
        <v>882.29253769067657</v>
      </c>
      <c r="X342">
        <f t="shared" si="93"/>
        <v>828.97598039785271</v>
      </c>
      <c r="Y342">
        <f t="shared" si="93"/>
        <v>903.14348714035714</v>
      </c>
      <c r="Z342">
        <f t="shared" si="93"/>
        <v>1000.4832210979791</v>
      </c>
      <c r="AA342">
        <f t="shared" si="93"/>
        <v>976.51233940414613</v>
      </c>
      <c r="AB342">
        <f t="shared" si="93"/>
        <v>988.35669729544747</v>
      </c>
      <c r="AC342">
        <f t="shared" si="93"/>
        <v>1089.2285902790989</v>
      </c>
      <c r="AD342">
        <f t="shared" si="93"/>
        <v>1069.2410017342875</v>
      </c>
      <c r="AE342">
        <f t="shared" si="93"/>
        <v>963.23981965000235</v>
      </c>
      <c r="AF342">
        <f t="shared" si="93"/>
        <v>1094.8196847516158</v>
      </c>
      <c r="AG342">
        <f t="shared" si="93"/>
        <v>958.23078604304851</v>
      </c>
      <c r="AH342">
        <f t="shared" si="93"/>
        <v>920.4412636682855</v>
      </c>
      <c r="AI342">
        <f t="shared" si="93"/>
        <v>942.90767401447124</v>
      </c>
      <c r="AJ342">
        <f t="shared" si="93"/>
        <v>906.86354201913434</v>
      </c>
      <c r="AK342">
        <f t="shared" si="93"/>
        <v>1074.0069367206956</v>
      </c>
      <c r="AL342">
        <f t="shared" si="93"/>
        <v>1025.7817971572972</v>
      </c>
      <c r="AM342">
        <f t="shared" si="93"/>
        <v>930.08392160706046</v>
      </c>
    </row>
    <row r="343" spans="1:39" x14ac:dyDescent="0.25">
      <c r="A343" t="s">
        <v>21</v>
      </c>
      <c r="D343" cm="1">
        <f t="array" ref="D343">IFERROR(
  _xlfn.LET(
    _xlpm.ligpartie, MATCH($B342, Donnees!$F:$F, 0),
    _xlpm.joueurs, INDEX(Donnees!$A:$Z, _xlpm.ligpartie+1, _xlfn.SEQUENCE(1, 4, 2)),
    INDEX(
      Donnees!$A:$Z,
      _xlpm.ligpartie + 3,
      MATCH(D$1, _xlpm.joueurs, 0) + 1
    )
  ), ""
)</f>
        <v>1</v>
      </c>
      <c r="E343" t="str" cm="1">
        <f t="array" ref="E343">IFERROR(
  _xlfn.LET(
    _xlpm.ligpartie, MATCH($B342, Donnees!$F:$F, 0),
    _xlpm.joueurs, INDEX(Donnees!$A:$Z, _xlpm.ligpartie+1, _xlfn.SEQUENCE(1, 4, 2)),
    INDEX(
      Donnees!$A:$Z,
      _xlpm.ligpartie + 3,
      MATCH(E$1, _xlpm.joueurs, 0) + 1
    )
  ), ""
)</f>
        <v/>
      </c>
      <c r="F343" t="str" cm="1">
        <f t="array" ref="F343">IFERROR(
  _xlfn.LET(
    _xlpm.ligpartie, MATCH($B342, Donnees!$F:$F, 0),
    _xlpm.joueurs, INDEX(Donnees!$A:$Z, _xlpm.ligpartie+1, _xlfn.SEQUENCE(1, 4, 2)),
    INDEX(
      Donnees!$A:$Z,
      _xlpm.ligpartie + 3,
      MATCH(F$1, _xlpm.joueurs, 0) + 1
    )
  ), ""
)</f>
        <v/>
      </c>
      <c r="G343" t="str" cm="1">
        <f t="array" ref="G343">IFERROR(
  _xlfn.LET(
    _xlpm.ligpartie, MATCH($B342, Donnees!$F:$F, 0),
    _xlpm.joueurs, INDEX(Donnees!$A:$Z, _xlpm.ligpartie+1, _xlfn.SEQUENCE(1, 4, 2)),
    INDEX(
      Donnees!$A:$Z,
      _xlpm.ligpartie + 3,
      MATCH(G$1, _xlpm.joueurs, 0) + 1
    )
  ), ""
)</f>
        <v/>
      </c>
      <c r="H343" t="str" cm="1">
        <f t="array" ref="H343">IFERROR(
  _xlfn.LET(
    _xlpm.ligpartie, MATCH($B342, Donnees!$F:$F, 0),
    _xlpm.joueurs, INDEX(Donnees!$A:$Z, _xlpm.ligpartie+1, _xlfn.SEQUENCE(1, 4, 2)),
    INDEX(
      Donnees!$A:$Z,
      _xlpm.ligpartie + 3,
      MATCH(H$1, _xlpm.joueurs, 0) + 1
    )
  ), ""
)</f>
        <v/>
      </c>
      <c r="I343" t="str" cm="1">
        <f t="array" ref="I343">IFERROR(
  _xlfn.LET(
    _xlpm.ligpartie, MATCH($B342, Donnees!$F:$F, 0),
    _xlpm.joueurs, INDEX(Donnees!$A:$Z, _xlpm.ligpartie+1, _xlfn.SEQUENCE(1, 4, 2)),
    INDEX(
      Donnees!$A:$Z,
      _xlpm.ligpartie + 3,
      MATCH(I$1, _xlpm.joueurs, 0) + 1
    )
  ), ""
)</f>
        <v/>
      </c>
      <c r="J343" t="str" cm="1">
        <f t="array" ref="J343">IFERROR(
  _xlfn.LET(
    _xlpm.ligpartie, MATCH($B342, Donnees!$F:$F, 0),
    _xlpm.joueurs, INDEX(Donnees!$A:$Z, _xlpm.ligpartie+1, _xlfn.SEQUENCE(1, 4, 2)),
    INDEX(
      Donnees!$A:$Z,
      _xlpm.ligpartie + 3,
      MATCH(J$1, _xlpm.joueurs, 0) + 1
    )
  ), ""
)</f>
        <v/>
      </c>
      <c r="K343" t="str" cm="1">
        <f t="array" ref="K343">IFERROR(
  _xlfn.LET(
    _xlpm.ligpartie, MATCH($B342, Donnees!$F:$F, 0),
    _xlpm.joueurs, INDEX(Donnees!$A:$Z, _xlpm.ligpartie+1, _xlfn.SEQUENCE(1, 4, 2)),
    INDEX(
      Donnees!$A:$Z,
      _xlpm.ligpartie + 3,
      MATCH(K$1, _xlpm.joueurs, 0) + 1
    )
  ), ""
)</f>
        <v/>
      </c>
      <c r="L343" t="str" cm="1">
        <f t="array" ref="L343">IFERROR(
  _xlfn.LET(
    _xlpm.ligpartie, MATCH($B342, Donnees!$F:$F, 0),
    _xlpm.joueurs, INDEX(Donnees!$A:$Z, _xlpm.ligpartie+1, _xlfn.SEQUENCE(1, 4, 2)),
    INDEX(
      Donnees!$A:$Z,
      _xlpm.ligpartie + 3,
      MATCH(L$1, _xlpm.joueurs, 0) + 1
    )
  ), ""
)</f>
        <v/>
      </c>
      <c r="M343" t="str" cm="1">
        <f t="array" ref="M343">IFERROR(
  _xlfn.LET(
    _xlpm.ligpartie, MATCH($B342, Donnees!$F:$F, 0),
    _xlpm.joueurs, INDEX(Donnees!$A:$Z, _xlpm.ligpartie+1, _xlfn.SEQUENCE(1, 4, 2)),
    INDEX(
      Donnees!$A:$Z,
      _xlpm.ligpartie + 3,
      MATCH(M$1, _xlpm.joueurs, 0) + 1
    )
  ), ""
)</f>
        <v/>
      </c>
      <c r="N343" t="str" cm="1">
        <f t="array" ref="N343">IFERROR(
  _xlfn.LET(
    _xlpm.ligpartie, MATCH($B342, Donnees!$F:$F, 0),
    _xlpm.joueurs, INDEX(Donnees!$A:$Z, _xlpm.ligpartie+1, _xlfn.SEQUENCE(1, 4, 2)),
    INDEX(
      Donnees!$A:$Z,
      _xlpm.ligpartie + 3,
      MATCH(N$1, _xlpm.joueurs, 0) + 1
    )
  ), ""
)</f>
        <v/>
      </c>
      <c r="O343" t="str" cm="1">
        <f t="array" ref="O343">IFERROR(
  _xlfn.LET(
    _xlpm.ligpartie, MATCH($B342, Donnees!$F:$F, 0),
    _xlpm.joueurs, INDEX(Donnees!$A:$Z, _xlpm.ligpartie+1, _xlfn.SEQUENCE(1, 4, 2)),
    INDEX(
      Donnees!$A:$Z,
      _xlpm.ligpartie + 3,
      MATCH(O$1, _xlpm.joueurs, 0) + 1
    )
  ), ""
)</f>
        <v/>
      </c>
      <c r="P343" cm="1">
        <f t="array" ref="P343">IFERROR(
  _xlfn.LET(
    _xlpm.ligpartie, MATCH($B342, Donnees!$F:$F, 0),
    _xlpm.joueurs, INDEX(Donnees!$A:$Z, _xlpm.ligpartie+1, _xlfn.SEQUENCE(1, 4, 2)),
    INDEX(
      Donnees!$A:$Z,
      _xlpm.ligpartie + 3,
      MATCH(P$1, _xlpm.joueurs, 0) + 1
    )
  ), ""
)</f>
        <v>2</v>
      </c>
      <c r="Q343" t="str" cm="1">
        <f t="array" ref="Q343">IFERROR(
  _xlfn.LET(
    _xlpm.ligpartie, MATCH($B342, Donnees!$F:$F, 0),
    _xlpm.joueurs, INDEX(Donnees!$A:$Z, _xlpm.ligpartie+1, _xlfn.SEQUENCE(1, 4, 2)),
    INDEX(
      Donnees!$A:$Z,
      _xlpm.ligpartie + 3,
      MATCH(Q$1, _xlpm.joueurs, 0) + 1
    )
  ), ""
)</f>
        <v/>
      </c>
      <c r="R343" t="str" cm="1">
        <f t="array" ref="R343">IFERROR(
  _xlfn.LET(
    _xlpm.ligpartie, MATCH($B342, Donnees!$F:$F, 0),
    _xlpm.joueurs, INDEX(Donnees!$A:$Z, _xlpm.ligpartie+1, _xlfn.SEQUENCE(1, 4, 2)),
    INDEX(
      Donnees!$A:$Z,
      _xlpm.ligpartie + 3,
      MATCH(R$1, _xlpm.joueurs, 0) + 1
    )
  ), ""
)</f>
        <v/>
      </c>
      <c r="S343" t="str" cm="1">
        <f t="array" ref="S343">IFERROR(
  _xlfn.LET(
    _xlpm.ligpartie, MATCH($B342, Donnees!$F:$F, 0),
    _xlpm.joueurs, INDEX(Donnees!$A:$Z, _xlpm.ligpartie+1, _xlfn.SEQUENCE(1, 4, 2)),
    INDEX(
      Donnees!$A:$Z,
      _xlpm.ligpartie + 3,
      MATCH(S$1, _xlpm.joueurs, 0) + 1
    )
  ), ""
)</f>
        <v/>
      </c>
      <c r="T343" t="str" cm="1">
        <f t="array" ref="T343">IFERROR(
  _xlfn.LET(
    _xlpm.ligpartie, MATCH($B342, Donnees!$F:$F, 0),
    _xlpm.joueurs, INDEX(Donnees!$A:$Z, _xlpm.ligpartie+1, _xlfn.SEQUENCE(1, 4, 2)),
    INDEX(
      Donnees!$A:$Z,
      _xlpm.ligpartie + 3,
      MATCH(T$1, _xlpm.joueurs, 0) + 1
    )
  ), ""
)</f>
        <v/>
      </c>
      <c r="U343" cm="1">
        <f t="array" ref="U343">IFERROR(
  _xlfn.LET(
    _xlpm.ligpartie, MATCH($B342, Donnees!$F:$F, 0),
    _xlpm.joueurs, INDEX(Donnees!$A:$Z, _xlpm.ligpartie+1, _xlfn.SEQUENCE(1, 4, 2)),
    INDEX(
      Donnees!$A:$Z,
      _xlpm.ligpartie + 3,
      MATCH(U$1, _xlpm.joueurs, 0) + 1
    )
  ), ""
)</f>
        <v>3</v>
      </c>
      <c r="V343" t="str" cm="1">
        <f t="array" ref="V343">IFERROR(
  _xlfn.LET(
    _xlpm.ligpartie, MATCH($B342, Donnees!$F:$F, 0),
    _xlpm.joueurs, INDEX(Donnees!$A:$Z, _xlpm.ligpartie+1, _xlfn.SEQUENCE(1, 4, 2)),
    INDEX(
      Donnees!$A:$Z,
      _xlpm.ligpartie + 3,
      MATCH(V$1, _xlpm.joueurs, 0) + 1
    )
  ), ""
)</f>
        <v/>
      </c>
      <c r="W343" t="str" cm="1">
        <f t="array" ref="W343">IFERROR(
  _xlfn.LET(
    _xlpm.ligpartie, MATCH($B342, Donnees!$F:$F, 0),
    _xlpm.joueurs, INDEX(Donnees!$A:$Z, _xlpm.ligpartie+1, _xlfn.SEQUENCE(1, 4, 2)),
    INDEX(
      Donnees!$A:$Z,
      _xlpm.ligpartie + 3,
      MATCH(W$1, _xlpm.joueurs, 0) + 1
    )
  ), ""
)</f>
        <v/>
      </c>
      <c r="X343" t="str" cm="1">
        <f t="array" ref="X343">IFERROR(
  _xlfn.LET(
    _xlpm.ligpartie, MATCH($B342, Donnees!$F:$F, 0),
    _xlpm.joueurs, INDEX(Donnees!$A:$Z, _xlpm.ligpartie+1, _xlfn.SEQUENCE(1, 4, 2)),
    INDEX(
      Donnees!$A:$Z,
      _xlpm.ligpartie + 3,
      MATCH(X$1, _xlpm.joueurs, 0) + 1
    )
  ), ""
)</f>
        <v/>
      </c>
      <c r="Y343" t="str" cm="1">
        <f t="array" ref="Y343">IFERROR(
  _xlfn.LET(
    _xlpm.ligpartie, MATCH($B342, Donnees!$F:$F, 0),
    _xlpm.joueurs, INDEX(Donnees!$A:$Z, _xlpm.ligpartie+1, _xlfn.SEQUENCE(1, 4, 2)),
    INDEX(
      Donnees!$A:$Z,
      _xlpm.ligpartie + 3,
      MATCH(Y$1, _xlpm.joueurs, 0) + 1
    )
  ), ""
)</f>
        <v/>
      </c>
      <c r="Z343" t="str" cm="1">
        <f t="array" ref="Z343">IFERROR(
  _xlfn.LET(
    _xlpm.ligpartie, MATCH($B342, Donnees!$F:$F, 0),
    _xlpm.joueurs, INDEX(Donnees!$A:$Z, _xlpm.ligpartie+1, _xlfn.SEQUENCE(1, 4, 2)),
    INDEX(
      Donnees!$A:$Z,
      _xlpm.ligpartie + 3,
      MATCH(Z$1, _xlpm.joueurs, 0) + 1
    )
  ), ""
)</f>
        <v/>
      </c>
      <c r="AA343" t="str" cm="1">
        <f t="array" ref="AA343">IFERROR(
  _xlfn.LET(
    _xlpm.ligpartie, MATCH($B342, Donnees!$F:$F, 0),
    _xlpm.joueurs, INDEX(Donnees!$A:$Z, _xlpm.ligpartie+1, _xlfn.SEQUENCE(1, 4, 2)),
    INDEX(
      Donnees!$A:$Z,
      _xlpm.ligpartie + 3,
      MATCH(AA$1, _xlpm.joueurs, 0) + 1
    )
  ), ""
)</f>
        <v/>
      </c>
      <c r="AB343" t="str" cm="1">
        <f t="array" ref="AB343">IFERROR(
  _xlfn.LET(
    _xlpm.ligpartie, MATCH($B342, Donnees!$F:$F, 0),
    _xlpm.joueurs, INDEX(Donnees!$A:$Z, _xlpm.ligpartie+1, _xlfn.SEQUENCE(1, 4, 2)),
    INDEX(
      Donnees!$A:$Z,
      _xlpm.ligpartie + 3,
      MATCH(AB$1, _xlpm.joueurs, 0) + 1
    )
  ), ""
)</f>
        <v/>
      </c>
      <c r="AC343" cm="1">
        <f t="array" ref="AC343">IFERROR(
  _xlfn.LET(
    _xlpm.ligpartie, MATCH($B342, Donnees!$F:$F, 0),
    _xlpm.joueurs, INDEX(Donnees!$A:$Z, _xlpm.ligpartie+1, _xlfn.SEQUENCE(1, 4, 2)),
    INDEX(
      Donnees!$A:$Z,
      _xlpm.ligpartie + 3,
      MATCH(AC$1, _xlpm.joueurs, 0) + 1
    )
  ), ""
)</f>
        <v>0</v>
      </c>
      <c r="AD343" t="str" cm="1">
        <f t="array" ref="AD343">IFERROR(
  _xlfn.LET(
    _xlpm.ligpartie, MATCH($B342, Donnees!$F:$F, 0),
    _xlpm.joueurs, INDEX(Donnees!$A:$Z, _xlpm.ligpartie+1, _xlfn.SEQUENCE(1, 4, 2)),
    INDEX(
      Donnees!$A:$Z,
      _xlpm.ligpartie + 3,
      MATCH(AD$1, _xlpm.joueurs, 0) + 1
    )
  ), ""
)</f>
        <v/>
      </c>
      <c r="AE343" t="str" cm="1">
        <f t="array" ref="AE343">IFERROR(
  _xlfn.LET(
    _xlpm.ligpartie, MATCH($B342, Donnees!$F:$F, 0),
    _xlpm.joueurs, INDEX(Donnees!$A:$Z, _xlpm.ligpartie+1, _xlfn.SEQUENCE(1, 4, 2)),
    INDEX(
      Donnees!$A:$Z,
      _xlpm.ligpartie + 3,
      MATCH(AE$1, _xlpm.joueurs, 0) + 1
    )
  ), ""
)</f>
        <v/>
      </c>
      <c r="AF343" t="str" cm="1">
        <f t="array" ref="AF343">IFERROR(
  _xlfn.LET(
    _xlpm.ligpartie, MATCH($B342, Donnees!$F:$F, 0),
    _xlpm.joueurs, INDEX(Donnees!$A:$Z, _xlpm.ligpartie+1, _xlfn.SEQUENCE(1, 4, 2)),
    INDEX(
      Donnees!$A:$Z,
      _xlpm.ligpartie + 3,
      MATCH(AF$1, _xlpm.joueurs, 0) + 1
    )
  ), ""
)</f>
        <v/>
      </c>
      <c r="AG343" t="str" cm="1">
        <f t="array" ref="AG343">IFERROR(
  _xlfn.LET(
    _xlpm.ligpartie, MATCH($B342, Donnees!$F:$F, 0),
    _xlpm.joueurs, INDEX(Donnees!$A:$Z, _xlpm.ligpartie+1, _xlfn.SEQUENCE(1, 4, 2)),
    INDEX(
      Donnees!$A:$Z,
      _xlpm.ligpartie + 3,
      MATCH(AG$1, _xlpm.joueurs, 0) + 1
    )
  ), ""
)</f>
        <v/>
      </c>
      <c r="AH343" t="str" cm="1">
        <f t="array" ref="AH343">IFERROR(
  _xlfn.LET(
    _xlpm.ligpartie, MATCH($B342, Donnees!$F:$F, 0),
    _xlpm.joueurs, INDEX(Donnees!$A:$Z, _xlpm.ligpartie+1, _xlfn.SEQUENCE(1, 4, 2)),
    INDEX(
      Donnees!$A:$Z,
      _xlpm.ligpartie + 3,
      MATCH(AH$1, _xlpm.joueurs, 0) + 1
    )
  ), ""
)</f>
        <v/>
      </c>
      <c r="AI343" t="str" cm="1">
        <f t="array" ref="AI343">IFERROR(
  _xlfn.LET(
    _xlpm.ligpartie, MATCH($B342, Donnees!$F:$F, 0),
    _xlpm.joueurs, INDEX(Donnees!$A:$Z, _xlpm.ligpartie+1, _xlfn.SEQUENCE(1, 4, 2)),
    INDEX(
      Donnees!$A:$Z,
      _xlpm.ligpartie + 3,
      MATCH(AI$1, _xlpm.joueurs, 0) + 1
    )
  ), ""
)</f>
        <v/>
      </c>
      <c r="AJ343" t="str" cm="1">
        <f t="array" ref="AJ343">IFERROR(
  _xlfn.LET(
    _xlpm.ligpartie, MATCH($B342, Donnees!$F:$F, 0),
    _xlpm.joueurs, INDEX(Donnees!$A:$Z, _xlpm.ligpartie+1, _xlfn.SEQUENCE(1, 4, 2)),
    INDEX(
      Donnees!$A:$Z,
      _xlpm.ligpartie + 3,
      MATCH(AJ$1, _xlpm.joueurs, 0) + 1
    )
  ), ""
)</f>
        <v/>
      </c>
      <c r="AK343" t="str" cm="1">
        <f t="array" ref="AK343">IFERROR(
  _xlfn.LET(
    _xlpm.ligpartie, MATCH($B342, Donnees!$F:$F, 0),
    _xlpm.joueurs, INDEX(Donnees!$A:$Z, _xlpm.ligpartie+1, _xlfn.SEQUENCE(1, 4, 2)),
    INDEX(
      Donnees!$A:$Z,
      _xlpm.ligpartie + 3,
      MATCH(AK$1, _xlpm.joueurs, 0) + 1
    )
  ), ""
)</f>
        <v/>
      </c>
      <c r="AL343" t="str" cm="1">
        <f t="array" ref="AL343">IFERROR(
  _xlfn.LET(
    _xlpm.ligpartie, MATCH($B342, Donnees!$F:$F, 0),
    _xlpm.joueurs, INDEX(Donnees!$A:$Z, _xlpm.ligpartie+1, _xlfn.SEQUENCE(1, 4, 2)),
    INDEX(
      Donnees!$A:$Z,
      _xlpm.ligpartie + 3,
      MATCH(AL$1, _xlpm.joueurs, 0) + 1
    )
  ), ""
)</f>
        <v/>
      </c>
      <c r="AM343" t="str" cm="1">
        <f t="array" ref="AM343">IFERROR(
  _xlfn.LET(
    _xlpm.ligpartie, MATCH($B342, Donnees!$F:$F, 0),
    _xlpm.joueurs, INDEX(Donnees!$A:$Z, _xlpm.ligpartie+1, _xlfn.SEQUENCE(1, 4, 2)),
    INDEX(
      Donnees!$A:$Z,
      _xlpm.ligpartie + 3,
      MATCH(AM$1, _xlpm.joueurs, 0) + 1
    )
  ), ""
)</f>
        <v/>
      </c>
    </row>
    <row r="344" spans="1:39" x14ac:dyDescent="0.25">
      <c r="A344" t="s">
        <v>20</v>
      </c>
      <c r="D344" cm="1">
        <f t="array" ref="D344">_xlfn.LET(
  _xlpm.colj, _xlfn._xlws.FILTER(IF(ISNUMBER(343:343), COLUMN(343:343)), ISNUMBER(343:343)),
  _xlpm.elos, INDEX(342:342,1,_xlpm.colj),
  _xlpm.diffscale, Constantes!$B$2,
  IF(D343="",
    "",
    SUM(1/(1+POWER(10,-(D342-_xlpm.elos)/_xlpm.diffscale)))-0.5)
)</f>
        <v>1.2008973437139732</v>
      </c>
      <c r="E344" t="str" cm="1">
        <f t="array" ref="E344">_xlfn.LET(
  _xlpm.colj, _xlfn._xlws.FILTER(IF(ISNUMBER(343:343), COLUMN(343:343)), ISNUMBER(343:343)),
  _xlpm.elos, INDEX(342:342,1,_xlpm.colj),
  _xlpm.diffscale, Constantes!$B$2,
  IF(E343="",
    "",
    SUM(1/(1+POWER(10,-(E342-_xlpm.elos)/_xlpm.diffscale)))-0.5)
)</f>
        <v/>
      </c>
      <c r="F344" t="str" cm="1">
        <f t="array" ref="F344">_xlfn.LET(
  _xlpm.colj, _xlfn._xlws.FILTER(IF(ISNUMBER(343:343), COLUMN(343:343)), ISNUMBER(343:343)),
  _xlpm.elos, INDEX(342:342,1,_xlpm.colj),
  _xlpm.diffscale, Constantes!$B$2,
  IF(F343="",
    "",
    SUM(1/(1+POWER(10,-(F342-_xlpm.elos)/_xlpm.diffscale)))-0.5)
)</f>
        <v/>
      </c>
      <c r="G344" t="str" cm="1">
        <f t="array" ref="G344">_xlfn.LET(
  _xlpm.colj, _xlfn._xlws.FILTER(IF(ISNUMBER(343:343), COLUMN(343:343)), ISNUMBER(343:343)),
  _xlpm.elos, INDEX(342:342,1,_xlpm.colj),
  _xlpm.diffscale, Constantes!$B$2,
  IF(G343="",
    "",
    SUM(1/(1+POWER(10,-(G342-_xlpm.elos)/_xlpm.diffscale)))-0.5)
)</f>
        <v/>
      </c>
      <c r="H344" t="str" cm="1">
        <f t="array" ref="H344">_xlfn.LET(
  _xlpm.colj, _xlfn._xlws.FILTER(IF(ISNUMBER(343:343), COLUMN(343:343)), ISNUMBER(343:343)),
  _xlpm.elos, INDEX(342:342,1,_xlpm.colj),
  _xlpm.diffscale, Constantes!$B$2,
  IF(H343="",
    "",
    SUM(1/(1+POWER(10,-(H342-_xlpm.elos)/_xlpm.diffscale)))-0.5)
)</f>
        <v/>
      </c>
      <c r="I344" t="str" cm="1">
        <f t="array" ref="I344">_xlfn.LET(
  _xlpm.colj, _xlfn._xlws.FILTER(IF(ISNUMBER(343:343), COLUMN(343:343)), ISNUMBER(343:343)),
  _xlpm.elos, INDEX(342:342,1,_xlpm.colj),
  _xlpm.diffscale, Constantes!$B$2,
  IF(I343="",
    "",
    SUM(1/(1+POWER(10,-(I342-_xlpm.elos)/_xlpm.diffscale)))-0.5)
)</f>
        <v/>
      </c>
      <c r="J344" t="str" cm="1">
        <f t="array" ref="J344">_xlfn.LET(
  _xlpm.colj, _xlfn._xlws.FILTER(IF(ISNUMBER(343:343), COLUMN(343:343)), ISNUMBER(343:343)),
  _xlpm.elos, INDEX(342:342,1,_xlpm.colj),
  _xlpm.diffscale, Constantes!$B$2,
  IF(J343="",
    "",
    SUM(1/(1+POWER(10,-(J342-_xlpm.elos)/_xlpm.diffscale)))-0.5)
)</f>
        <v/>
      </c>
      <c r="K344" t="str" cm="1">
        <f t="array" ref="K344">_xlfn.LET(
  _xlpm.colj, _xlfn._xlws.FILTER(IF(ISNUMBER(343:343), COLUMN(343:343)), ISNUMBER(343:343)),
  _xlpm.elos, INDEX(342:342,1,_xlpm.colj),
  _xlpm.diffscale, Constantes!$B$2,
  IF(K343="",
    "",
    SUM(1/(1+POWER(10,-(K342-_xlpm.elos)/_xlpm.diffscale)))-0.5)
)</f>
        <v/>
      </c>
      <c r="L344" t="str" cm="1">
        <f t="array" ref="L344">_xlfn.LET(
  _xlpm.colj, _xlfn._xlws.FILTER(IF(ISNUMBER(343:343), COLUMN(343:343)), ISNUMBER(343:343)),
  _xlpm.elos, INDEX(342:342,1,_xlpm.colj),
  _xlpm.diffscale, Constantes!$B$2,
  IF(L343="",
    "",
    SUM(1/(1+POWER(10,-(L342-_xlpm.elos)/_xlpm.diffscale)))-0.5)
)</f>
        <v/>
      </c>
      <c r="M344" t="str" cm="1">
        <f t="array" ref="M344">_xlfn.LET(
  _xlpm.colj, _xlfn._xlws.FILTER(IF(ISNUMBER(343:343), COLUMN(343:343)), ISNUMBER(343:343)),
  _xlpm.elos, INDEX(342:342,1,_xlpm.colj),
  _xlpm.diffscale, Constantes!$B$2,
  IF(M343="",
    "",
    SUM(1/(1+POWER(10,-(M342-_xlpm.elos)/_xlpm.diffscale)))-0.5)
)</f>
        <v/>
      </c>
      <c r="N344" t="str" cm="1">
        <f t="array" ref="N344">_xlfn.LET(
  _xlpm.colj, _xlfn._xlws.FILTER(IF(ISNUMBER(343:343), COLUMN(343:343)), ISNUMBER(343:343)),
  _xlpm.elos, INDEX(342:342,1,_xlpm.colj),
  _xlpm.diffscale, Constantes!$B$2,
  IF(N343="",
    "",
    SUM(1/(1+POWER(10,-(N342-_xlpm.elos)/_xlpm.diffscale)))-0.5)
)</f>
        <v/>
      </c>
      <c r="O344" t="str" cm="1">
        <f t="array" ref="O344">_xlfn.LET(
  _xlpm.colj, _xlfn._xlws.FILTER(IF(ISNUMBER(343:343), COLUMN(343:343)), ISNUMBER(343:343)),
  _xlpm.elos, INDEX(342:342,1,_xlpm.colj),
  _xlpm.diffscale, Constantes!$B$2,
  IF(O343="",
    "",
    SUM(1/(1+POWER(10,-(O342-_xlpm.elos)/_xlpm.diffscale)))-0.5)
)</f>
        <v/>
      </c>
      <c r="P344" cm="1">
        <f t="array" ref="P344">_xlfn.LET(
  _xlpm.colj, _xlfn._xlws.FILTER(IF(ISNUMBER(343:343), COLUMN(343:343)), ISNUMBER(343:343)),
  _xlpm.elos, INDEX(342:342,1,_xlpm.colj),
  _xlpm.diffscale, Constantes!$B$2,
  IF(P343="",
    "",
    SUM(1/(1+POWER(10,-(P342-_xlpm.elos)/_xlpm.diffscale)))-0.5)
)</f>
        <v>1.051211619998895</v>
      </c>
      <c r="Q344" t="str" cm="1">
        <f t="array" ref="Q344">_xlfn.LET(
  _xlpm.colj, _xlfn._xlws.FILTER(IF(ISNUMBER(343:343), COLUMN(343:343)), ISNUMBER(343:343)),
  _xlpm.elos, INDEX(342:342,1,_xlpm.colj),
  _xlpm.diffscale, Constantes!$B$2,
  IF(Q343="",
    "",
    SUM(1/(1+POWER(10,-(Q342-_xlpm.elos)/_xlpm.diffscale)))-0.5)
)</f>
        <v/>
      </c>
      <c r="R344" t="str" cm="1">
        <f t="array" ref="R344">_xlfn.LET(
  _xlpm.colj, _xlfn._xlws.FILTER(IF(ISNUMBER(343:343), COLUMN(343:343)), ISNUMBER(343:343)),
  _xlpm.elos, INDEX(342:342,1,_xlpm.colj),
  _xlpm.diffscale, Constantes!$B$2,
  IF(R343="",
    "",
    SUM(1/(1+POWER(10,-(R342-_xlpm.elos)/_xlpm.diffscale)))-0.5)
)</f>
        <v/>
      </c>
      <c r="S344" t="str" cm="1">
        <f t="array" ref="S344">_xlfn.LET(
  _xlpm.colj, _xlfn._xlws.FILTER(IF(ISNUMBER(343:343), COLUMN(343:343)), ISNUMBER(343:343)),
  _xlpm.elos, INDEX(342:342,1,_xlpm.colj),
  _xlpm.diffscale, Constantes!$B$2,
  IF(S343="",
    "",
    SUM(1/(1+POWER(10,-(S342-_xlpm.elos)/_xlpm.diffscale)))-0.5)
)</f>
        <v/>
      </c>
      <c r="T344" t="str" cm="1">
        <f t="array" ref="T344">_xlfn.LET(
  _xlpm.colj, _xlfn._xlws.FILTER(IF(ISNUMBER(343:343), COLUMN(343:343)), ISNUMBER(343:343)),
  _xlpm.elos, INDEX(342:342,1,_xlpm.colj),
  _xlpm.diffscale, Constantes!$B$2,
  IF(T343="",
    "",
    SUM(1/(1+POWER(10,-(T342-_xlpm.elos)/_xlpm.diffscale)))-0.5)
)</f>
        <v/>
      </c>
      <c r="U344" cm="1">
        <f t="array" ref="U344">_xlfn.LET(
  _xlpm.colj, _xlfn._xlws.FILTER(IF(ISNUMBER(343:343), COLUMN(343:343)), ISNUMBER(343:343)),
  _xlpm.elos, INDEX(342:342,1,_xlpm.colj),
  _xlpm.diffscale, Constantes!$B$2,
  IF(U343="",
    "",
    SUM(1/(1+POWER(10,-(U342-_xlpm.elos)/_xlpm.diffscale)))-0.5)
)</f>
        <v>2.1661918488131042</v>
      </c>
      <c r="V344" t="str" cm="1">
        <f t="array" ref="V344">_xlfn.LET(
  _xlpm.colj, _xlfn._xlws.FILTER(IF(ISNUMBER(343:343), COLUMN(343:343)), ISNUMBER(343:343)),
  _xlpm.elos, INDEX(342:342,1,_xlpm.colj),
  _xlpm.diffscale, Constantes!$B$2,
  IF(V343="",
    "",
    SUM(1/(1+POWER(10,-(V342-_xlpm.elos)/_xlpm.diffscale)))-0.5)
)</f>
        <v/>
      </c>
      <c r="W344" t="str" cm="1">
        <f t="array" ref="W344">_xlfn.LET(
  _xlpm.colj, _xlfn._xlws.FILTER(IF(ISNUMBER(343:343), COLUMN(343:343)), ISNUMBER(343:343)),
  _xlpm.elos, INDEX(342:342,1,_xlpm.colj),
  _xlpm.diffscale, Constantes!$B$2,
  IF(W343="",
    "",
    SUM(1/(1+POWER(10,-(W342-_xlpm.elos)/_xlpm.diffscale)))-0.5)
)</f>
        <v/>
      </c>
      <c r="X344" t="str" cm="1">
        <f t="array" ref="X344">_xlfn.LET(
  _xlpm.colj, _xlfn._xlws.FILTER(IF(ISNUMBER(343:343), COLUMN(343:343)), ISNUMBER(343:343)),
  _xlpm.elos, INDEX(342:342,1,_xlpm.colj),
  _xlpm.diffscale, Constantes!$B$2,
  IF(X343="",
    "",
    SUM(1/(1+POWER(10,-(X342-_xlpm.elos)/_xlpm.diffscale)))-0.5)
)</f>
        <v/>
      </c>
      <c r="Y344" t="str" cm="1">
        <f t="array" ref="Y344">_xlfn.LET(
  _xlpm.colj, _xlfn._xlws.FILTER(IF(ISNUMBER(343:343), COLUMN(343:343)), ISNUMBER(343:343)),
  _xlpm.elos, INDEX(342:342,1,_xlpm.colj),
  _xlpm.diffscale, Constantes!$B$2,
  IF(Y343="",
    "",
    SUM(1/(1+POWER(10,-(Y342-_xlpm.elos)/_xlpm.diffscale)))-0.5)
)</f>
        <v/>
      </c>
      <c r="Z344" t="str" cm="1">
        <f t="array" ref="Z344">_xlfn.LET(
  _xlpm.colj, _xlfn._xlws.FILTER(IF(ISNUMBER(343:343), COLUMN(343:343)), ISNUMBER(343:343)),
  _xlpm.elos, INDEX(342:342,1,_xlpm.colj),
  _xlpm.diffscale, Constantes!$B$2,
  IF(Z343="",
    "",
    SUM(1/(1+POWER(10,-(Z342-_xlpm.elos)/_xlpm.diffscale)))-0.5)
)</f>
        <v/>
      </c>
      <c r="AA344" t="str" cm="1">
        <f t="array" ref="AA344">_xlfn.LET(
  _xlpm.colj, _xlfn._xlws.FILTER(IF(ISNUMBER(343:343), COLUMN(343:343)), ISNUMBER(343:343)),
  _xlpm.elos, INDEX(342:342,1,_xlpm.colj),
  _xlpm.diffscale, Constantes!$B$2,
  IF(AA343="",
    "",
    SUM(1/(1+POWER(10,-(AA342-_xlpm.elos)/_xlpm.diffscale)))-0.5)
)</f>
        <v/>
      </c>
      <c r="AB344" t="str" cm="1">
        <f t="array" ref="AB344">_xlfn.LET(
  _xlpm.colj, _xlfn._xlws.FILTER(IF(ISNUMBER(343:343), COLUMN(343:343)), ISNUMBER(343:343)),
  _xlpm.elos, INDEX(342:342,1,_xlpm.colj),
  _xlpm.diffscale, Constantes!$B$2,
  IF(AB343="",
    "",
    SUM(1/(1+POWER(10,-(AB342-_xlpm.elos)/_xlpm.diffscale)))-0.5)
)</f>
        <v/>
      </c>
      <c r="AC344" cm="1">
        <f t="array" ref="AC344">_xlfn.LET(
  _xlpm.colj, _xlfn._xlws.FILTER(IF(ISNUMBER(343:343), COLUMN(343:343)), ISNUMBER(343:343)),
  _xlpm.elos, INDEX(342:342,1,_xlpm.colj),
  _xlpm.diffscale, Constantes!$B$2,
  IF(AC343="",
    "",
    SUM(1/(1+POWER(10,-(AC342-_xlpm.elos)/_xlpm.diffscale)))-0.5)
)</f>
        <v>1.5816991874740278</v>
      </c>
      <c r="AD344" t="str" cm="1">
        <f t="array" ref="AD344">_xlfn.LET(
  _xlpm.colj, _xlfn._xlws.FILTER(IF(ISNUMBER(343:343), COLUMN(343:343)), ISNUMBER(343:343)),
  _xlpm.elos, INDEX(342:342,1,_xlpm.colj),
  _xlpm.diffscale, Constantes!$B$2,
  IF(AD343="",
    "",
    SUM(1/(1+POWER(10,-(AD342-_xlpm.elos)/_xlpm.diffscale)))-0.5)
)</f>
        <v/>
      </c>
      <c r="AE344" t="str" cm="1">
        <f t="array" ref="AE344">_xlfn.LET(
  _xlpm.colj, _xlfn._xlws.FILTER(IF(ISNUMBER(343:343), COLUMN(343:343)), ISNUMBER(343:343)),
  _xlpm.elos, INDEX(342:342,1,_xlpm.colj),
  _xlpm.diffscale, Constantes!$B$2,
  IF(AE343="",
    "",
    SUM(1/(1+POWER(10,-(AE342-_xlpm.elos)/_xlpm.diffscale)))-0.5)
)</f>
        <v/>
      </c>
      <c r="AF344" t="str" cm="1">
        <f t="array" ref="AF344">_xlfn.LET(
  _xlpm.colj, _xlfn._xlws.FILTER(IF(ISNUMBER(343:343), COLUMN(343:343)), ISNUMBER(343:343)),
  _xlpm.elos, INDEX(342:342,1,_xlpm.colj),
  _xlpm.diffscale, Constantes!$B$2,
  IF(AF343="",
    "",
    SUM(1/(1+POWER(10,-(AF342-_xlpm.elos)/_xlpm.diffscale)))-0.5)
)</f>
        <v/>
      </c>
      <c r="AG344" t="str" cm="1">
        <f t="array" ref="AG344">_xlfn.LET(
  _xlpm.colj, _xlfn._xlws.FILTER(IF(ISNUMBER(343:343), COLUMN(343:343)), ISNUMBER(343:343)),
  _xlpm.elos, INDEX(342:342,1,_xlpm.colj),
  _xlpm.diffscale, Constantes!$B$2,
  IF(AG343="",
    "",
    SUM(1/(1+POWER(10,-(AG342-_xlpm.elos)/_xlpm.diffscale)))-0.5)
)</f>
        <v/>
      </c>
      <c r="AH344" t="str" cm="1">
        <f t="array" ref="AH344">_xlfn.LET(
  _xlpm.colj, _xlfn._xlws.FILTER(IF(ISNUMBER(343:343), COLUMN(343:343)), ISNUMBER(343:343)),
  _xlpm.elos, INDEX(342:342,1,_xlpm.colj),
  _xlpm.diffscale, Constantes!$B$2,
  IF(AH343="",
    "",
    SUM(1/(1+POWER(10,-(AH342-_xlpm.elos)/_xlpm.diffscale)))-0.5)
)</f>
        <v/>
      </c>
      <c r="AI344" t="str" cm="1">
        <f t="array" ref="AI344">_xlfn.LET(
  _xlpm.colj, _xlfn._xlws.FILTER(IF(ISNUMBER(343:343), COLUMN(343:343)), ISNUMBER(343:343)),
  _xlpm.elos, INDEX(342:342,1,_xlpm.colj),
  _xlpm.diffscale, Constantes!$B$2,
  IF(AI343="",
    "",
    SUM(1/(1+POWER(10,-(AI342-_xlpm.elos)/_xlpm.diffscale)))-0.5)
)</f>
        <v/>
      </c>
      <c r="AJ344" t="str" cm="1">
        <f t="array" ref="AJ344">_xlfn.LET(
  _xlpm.colj, _xlfn._xlws.FILTER(IF(ISNUMBER(343:343), COLUMN(343:343)), ISNUMBER(343:343)),
  _xlpm.elos, INDEX(342:342,1,_xlpm.colj),
  _xlpm.diffscale, Constantes!$B$2,
  IF(AJ343="",
    "",
    SUM(1/(1+POWER(10,-(AJ342-_xlpm.elos)/_xlpm.diffscale)))-0.5)
)</f>
        <v/>
      </c>
      <c r="AK344" t="str" cm="1">
        <f t="array" ref="AK344">_xlfn.LET(
  _xlpm.colj, _xlfn._xlws.FILTER(IF(ISNUMBER(343:343), COLUMN(343:343)), ISNUMBER(343:343)),
  _xlpm.elos, INDEX(342:342,1,_xlpm.colj),
  _xlpm.diffscale, Constantes!$B$2,
  IF(AK343="",
    "",
    SUM(1/(1+POWER(10,-(AK342-_xlpm.elos)/_xlpm.diffscale)))-0.5)
)</f>
        <v/>
      </c>
      <c r="AL344" t="str" cm="1">
        <f t="array" ref="AL344">_xlfn.LET(
  _xlpm.colj, _xlfn._xlws.FILTER(IF(ISNUMBER(343:343), COLUMN(343:343)), ISNUMBER(343:343)),
  _xlpm.elos, INDEX(342:342,1,_xlpm.colj),
  _xlpm.diffscale, Constantes!$B$2,
  IF(AL343="",
    "",
    SUM(1/(1+POWER(10,-(AL342-_xlpm.elos)/_xlpm.diffscale)))-0.5)
)</f>
        <v/>
      </c>
      <c r="AM344" t="str" cm="1">
        <f t="array" ref="AM344">_xlfn.LET(
  _xlpm.colj, _xlfn._xlws.FILTER(IF(ISNUMBER(343:343), COLUMN(343:343)), ISNUMBER(343:343)),
  _xlpm.elos, INDEX(342:342,1,_xlpm.colj),
  _xlpm.diffscale, Constantes!$B$2,
  IF(AM343="",
    "",
    SUM(1/(1+POWER(10,-(AM342-_xlpm.elos)/_xlpm.diffscale)))-0.5)
)</f>
        <v/>
      </c>
    </row>
    <row r="345" spans="1:39" x14ac:dyDescent="0.25">
      <c r="A345" t="s">
        <v>22</v>
      </c>
      <c r="D345" cm="1">
        <f t="array" ref="D345">_xlfn.LET(
  _xlpm.K, Constantes!$B$3,
  _xlpm.Knewgain, Constantes!$B$4,
  _xlpm.Knewscale, Constantes!$B$5,
  _xlpm.ptstables, INDEX(D:D, _xlfn.SEQUENCE(COUNTA($C$2:$C345), 1, 3, 4)),
  _xlpm.nbparties, COUNTA(_xlfn._xlws.FILTER(_xlpm.ptstables, _xlpm.ptstables &lt;&gt; "")),
  _xlpm.coef, _xlpm.K + _xlpm.Knewgain / (_xlpm.Knewscale + _xlpm.nbparties),
  IF(D343="",
    "",
    _xlpm.coef * (D343-D344))
)</f>
        <v>-4.5201902335643958</v>
      </c>
      <c r="E345" t="str" cm="1">
        <f t="array" ref="E345">_xlfn.LET(
  _xlpm.K, Constantes!$B$3,
  _xlpm.Knewgain, Constantes!$B$4,
  _xlpm.Knewscale, Constantes!$B$5,
  _xlpm.ptstables, INDEX(E:E, _xlfn.SEQUENCE(COUNTA($C$2:$C345), 1, 3, 4)),
  _xlpm.nbparties, COUNTA(_xlfn._xlws.FILTER(_xlpm.ptstables, _xlpm.ptstables &lt;&gt; "")),
  _xlpm.coef, _xlpm.K + _xlpm.Knewgain / (_xlpm.Knewscale + _xlpm.nbparties),
  IF(E343="",
    "",
    _xlpm.coef * (E343-E344))
)</f>
        <v/>
      </c>
      <c r="F345" t="str" cm="1">
        <f t="array" ref="F345">_xlfn.LET(
  _xlpm.K, Constantes!$B$3,
  _xlpm.Knewgain, Constantes!$B$4,
  _xlpm.Knewscale, Constantes!$B$5,
  _xlpm.ptstables, INDEX(F:F, _xlfn.SEQUENCE(COUNTA($C$2:$C345), 1, 3, 4)),
  _xlpm.nbparties, COUNTA(_xlfn._xlws.FILTER(_xlpm.ptstables, _xlpm.ptstables &lt;&gt; "")),
  _xlpm.coef, _xlpm.K + _xlpm.Knewgain / (_xlpm.Knewscale + _xlpm.nbparties),
  IF(F343="",
    "",
    _xlpm.coef * (F343-F344))
)</f>
        <v/>
      </c>
      <c r="G345" t="str" cm="1">
        <f t="array" ref="G345">_xlfn.LET(
  _xlpm.K, Constantes!$B$3,
  _xlpm.Knewgain, Constantes!$B$4,
  _xlpm.Knewscale, Constantes!$B$5,
  _xlpm.ptstables, INDEX(G:G, _xlfn.SEQUENCE(COUNTA($C$2:$C345), 1, 3, 4)),
  _xlpm.nbparties, COUNTA(_xlfn._xlws.FILTER(_xlpm.ptstables, _xlpm.ptstables &lt;&gt; "")),
  _xlpm.coef, _xlpm.K + _xlpm.Knewgain / (_xlpm.Knewscale + _xlpm.nbparties),
  IF(G343="",
    "",
    _xlpm.coef * (G343-G344))
)</f>
        <v/>
      </c>
      <c r="H345" t="str" cm="1">
        <f t="array" ref="H345">_xlfn.LET(
  _xlpm.K, Constantes!$B$3,
  _xlpm.Knewgain, Constantes!$B$4,
  _xlpm.Knewscale, Constantes!$B$5,
  _xlpm.ptstables, INDEX(H:H, _xlfn.SEQUENCE(COUNTA($C$2:$C345), 1, 3, 4)),
  _xlpm.nbparties, COUNTA(_xlfn._xlws.FILTER(_xlpm.ptstables, _xlpm.ptstables &lt;&gt; "")),
  _xlpm.coef, _xlpm.K + _xlpm.Knewgain / (_xlpm.Knewscale + _xlpm.nbparties),
  IF(H343="",
    "",
    _xlpm.coef * (H343-H344))
)</f>
        <v/>
      </c>
      <c r="I345" t="str" cm="1">
        <f t="array" ref="I345">_xlfn.LET(
  _xlpm.K, Constantes!$B$3,
  _xlpm.Knewgain, Constantes!$B$4,
  _xlpm.Knewscale, Constantes!$B$5,
  _xlpm.ptstables, INDEX(I:I, _xlfn.SEQUENCE(COUNTA($C$2:$C345), 1, 3, 4)),
  _xlpm.nbparties, COUNTA(_xlfn._xlws.FILTER(_xlpm.ptstables, _xlpm.ptstables &lt;&gt; "")),
  _xlpm.coef, _xlpm.K + _xlpm.Knewgain / (_xlpm.Knewscale + _xlpm.nbparties),
  IF(I343="",
    "",
    _xlpm.coef * (I343-I344))
)</f>
        <v/>
      </c>
      <c r="J345" t="str" cm="1">
        <f t="array" ref="J345">_xlfn.LET(
  _xlpm.K, Constantes!$B$3,
  _xlpm.Knewgain, Constantes!$B$4,
  _xlpm.Knewscale, Constantes!$B$5,
  _xlpm.ptstables, INDEX(J:J, _xlfn.SEQUENCE(COUNTA($C$2:$C345), 1, 3, 4)),
  _xlpm.nbparties, COUNTA(_xlfn._xlws.FILTER(_xlpm.ptstables, _xlpm.ptstables &lt;&gt; "")),
  _xlpm.coef, _xlpm.K + _xlpm.Knewgain / (_xlpm.Knewscale + _xlpm.nbparties),
  IF(J343="",
    "",
    _xlpm.coef * (J343-J344))
)</f>
        <v/>
      </c>
      <c r="K345" t="str" cm="1">
        <f t="array" ref="K345">_xlfn.LET(
  _xlpm.K, Constantes!$B$3,
  _xlpm.Knewgain, Constantes!$B$4,
  _xlpm.Knewscale, Constantes!$B$5,
  _xlpm.ptstables, INDEX(K:K, _xlfn.SEQUENCE(COUNTA($C$2:$C345), 1, 3, 4)),
  _xlpm.nbparties, COUNTA(_xlfn._xlws.FILTER(_xlpm.ptstables, _xlpm.ptstables &lt;&gt; "")),
  _xlpm.coef, _xlpm.K + _xlpm.Knewgain / (_xlpm.Knewscale + _xlpm.nbparties),
  IF(K343="",
    "",
    _xlpm.coef * (K343-K344))
)</f>
        <v/>
      </c>
      <c r="L345" t="str" cm="1">
        <f t="array" ref="L345">_xlfn.LET(
  _xlpm.K, Constantes!$B$3,
  _xlpm.Knewgain, Constantes!$B$4,
  _xlpm.Knewscale, Constantes!$B$5,
  _xlpm.ptstables, INDEX(L:L, _xlfn.SEQUENCE(COUNTA($C$2:$C345), 1, 3, 4)),
  _xlpm.nbparties, COUNTA(_xlfn._xlws.FILTER(_xlpm.ptstables, _xlpm.ptstables &lt;&gt; "")),
  _xlpm.coef, _xlpm.K + _xlpm.Knewgain / (_xlpm.Knewscale + _xlpm.nbparties),
  IF(L343="",
    "",
    _xlpm.coef * (L343-L344))
)</f>
        <v/>
      </c>
      <c r="M345" t="str" cm="1">
        <f t="array" ref="M345">_xlfn.LET(
  _xlpm.K, Constantes!$B$3,
  _xlpm.Knewgain, Constantes!$B$4,
  _xlpm.Knewscale, Constantes!$B$5,
  _xlpm.ptstables, INDEX(M:M, _xlfn.SEQUENCE(COUNTA($C$2:$C345), 1, 3, 4)),
  _xlpm.nbparties, COUNTA(_xlfn._xlws.FILTER(_xlpm.ptstables, _xlpm.ptstables &lt;&gt; "")),
  _xlpm.coef, _xlpm.K + _xlpm.Knewgain / (_xlpm.Knewscale + _xlpm.nbparties),
  IF(M343="",
    "",
    _xlpm.coef * (M343-M344))
)</f>
        <v/>
      </c>
      <c r="N345" t="str" cm="1">
        <f t="array" ref="N345">_xlfn.LET(
  _xlpm.K, Constantes!$B$3,
  _xlpm.Knewgain, Constantes!$B$4,
  _xlpm.Knewscale, Constantes!$B$5,
  _xlpm.ptstables, INDEX(N:N, _xlfn.SEQUENCE(COUNTA($C$2:$C345), 1, 3, 4)),
  _xlpm.nbparties, COUNTA(_xlfn._xlws.FILTER(_xlpm.ptstables, _xlpm.ptstables &lt;&gt; "")),
  _xlpm.coef, _xlpm.K + _xlpm.Knewgain / (_xlpm.Knewscale + _xlpm.nbparties),
  IF(N343="",
    "",
    _xlpm.coef * (N343-N344))
)</f>
        <v/>
      </c>
      <c r="O345" t="str" cm="1">
        <f t="array" ref="O345">_xlfn.LET(
  _xlpm.K, Constantes!$B$3,
  _xlpm.Knewgain, Constantes!$B$4,
  _xlpm.Knewscale, Constantes!$B$5,
  _xlpm.ptstables, INDEX(O:O, _xlfn.SEQUENCE(COUNTA($C$2:$C345), 1, 3, 4)),
  _xlpm.nbparties, COUNTA(_xlfn._xlws.FILTER(_xlpm.ptstables, _xlpm.ptstables &lt;&gt; "")),
  _xlpm.coef, _xlpm.K + _xlpm.Knewgain / (_xlpm.Knewscale + _xlpm.nbparties),
  IF(O343="",
    "",
    _xlpm.coef * (O343-O344))
)</f>
        <v/>
      </c>
      <c r="P345" cm="1">
        <f t="array" ref="P345">_xlfn.LET(
  _xlpm.K, Constantes!$B$3,
  _xlpm.Knewgain, Constantes!$B$4,
  _xlpm.Knewscale, Constantes!$B$5,
  _xlpm.ptstables, INDEX(P:P, _xlfn.SEQUENCE(COUNTA($C$2:$C345), 1, 3, 4)),
  _xlpm.nbparties, COUNTA(_xlfn._xlws.FILTER(_xlpm.ptstables, _xlpm.ptstables &lt;&gt; "")),
  _xlpm.coef, _xlpm.K + _xlpm.Knewgain / (_xlpm.Knewscale + _xlpm.nbparties),
  IF(P343="",
    "",
    _xlpm.coef * (P343-P344))
)</f>
        <v>22.138395533359116</v>
      </c>
      <c r="Q345" t="str" cm="1">
        <f t="array" ref="Q345">_xlfn.LET(
  _xlpm.K, Constantes!$B$3,
  _xlpm.Knewgain, Constantes!$B$4,
  _xlpm.Knewscale, Constantes!$B$5,
  _xlpm.ptstables, INDEX(Q:Q, _xlfn.SEQUENCE(COUNTA($C$2:$C345), 1, 3, 4)),
  _xlpm.nbparties, COUNTA(_xlfn._xlws.FILTER(_xlpm.ptstables, _xlpm.ptstables &lt;&gt; "")),
  _xlpm.coef, _xlpm.K + _xlpm.Knewgain / (_xlpm.Knewscale + _xlpm.nbparties),
  IF(Q343="",
    "",
    _xlpm.coef * (Q343-Q344))
)</f>
        <v/>
      </c>
      <c r="R345" t="str" cm="1">
        <f t="array" ref="R345">_xlfn.LET(
  _xlpm.K, Constantes!$B$3,
  _xlpm.Knewgain, Constantes!$B$4,
  _xlpm.Knewscale, Constantes!$B$5,
  _xlpm.ptstables, INDEX(R:R, _xlfn.SEQUENCE(COUNTA($C$2:$C345), 1, 3, 4)),
  _xlpm.nbparties, COUNTA(_xlfn._xlws.FILTER(_xlpm.ptstables, _xlpm.ptstables &lt;&gt; "")),
  _xlpm.coef, _xlpm.K + _xlpm.Knewgain / (_xlpm.Knewscale + _xlpm.nbparties),
  IF(R343="",
    "",
    _xlpm.coef * (R343-R344))
)</f>
        <v/>
      </c>
      <c r="S345" t="str" cm="1">
        <f t="array" ref="S345">_xlfn.LET(
  _xlpm.K, Constantes!$B$3,
  _xlpm.Knewgain, Constantes!$B$4,
  _xlpm.Knewscale, Constantes!$B$5,
  _xlpm.ptstables, INDEX(S:S, _xlfn.SEQUENCE(COUNTA($C$2:$C345), 1, 3, 4)),
  _xlpm.nbparties, COUNTA(_xlfn._xlws.FILTER(_xlpm.ptstables, _xlpm.ptstables &lt;&gt; "")),
  _xlpm.coef, _xlpm.K + _xlpm.Knewgain / (_xlpm.Knewscale + _xlpm.nbparties),
  IF(S343="",
    "",
    _xlpm.coef * (S343-S344))
)</f>
        <v/>
      </c>
      <c r="T345" t="str" cm="1">
        <f t="array" ref="T345">_xlfn.LET(
  _xlpm.K, Constantes!$B$3,
  _xlpm.Knewgain, Constantes!$B$4,
  _xlpm.Knewscale, Constantes!$B$5,
  _xlpm.ptstables, INDEX(T:T, _xlfn.SEQUENCE(COUNTA($C$2:$C345), 1, 3, 4)),
  _xlpm.nbparties, COUNTA(_xlfn._xlws.FILTER(_xlpm.ptstables, _xlpm.ptstables &lt;&gt; "")),
  _xlpm.coef, _xlpm.K + _xlpm.Knewgain / (_xlpm.Knewscale + _xlpm.nbparties),
  IF(T343="",
    "",
    _xlpm.coef * (T343-T344))
)</f>
        <v/>
      </c>
      <c r="U345" cm="1">
        <f t="array" ref="U345">_xlfn.LET(
  _xlpm.K, Constantes!$B$3,
  _xlpm.Knewgain, Constantes!$B$4,
  _xlpm.Knewscale, Constantes!$B$5,
  _xlpm.ptstables, INDEX(U:U, _xlfn.SEQUENCE(COUNTA($C$2:$C345), 1, 3, 4)),
  _xlpm.nbparties, COUNTA(_xlfn._xlws.FILTER(_xlpm.ptstables, _xlpm.ptstables &lt;&gt; "")),
  _xlpm.coef, _xlpm.K + _xlpm.Knewgain / (_xlpm.Knewscale + _xlpm.nbparties),
  IF(U343="",
    "",
    _xlpm.coef * (U343-U344))
)</f>
        <v>18.279640237558869</v>
      </c>
      <c r="V345" t="str" cm="1">
        <f t="array" ref="V345">_xlfn.LET(
  _xlpm.K, Constantes!$B$3,
  _xlpm.Knewgain, Constantes!$B$4,
  _xlpm.Knewscale, Constantes!$B$5,
  _xlpm.ptstables, INDEX(V:V, _xlfn.SEQUENCE(COUNTA($C$2:$C345), 1, 3, 4)),
  _xlpm.nbparties, COUNTA(_xlfn._xlws.FILTER(_xlpm.ptstables, _xlpm.ptstables &lt;&gt; "")),
  _xlpm.coef, _xlpm.K + _xlpm.Knewgain / (_xlpm.Knewscale + _xlpm.nbparties),
  IF(V343="",
    "",
    _xlpm.coef * (V343-V344))
)</f>
        <v/>
      </c>
      <c r="W345" t="str" cm="1">
        <f t="array" ref="W345">_xlfn.LET(
  _xlpm.K, Constantes!$B$3,
  _xlpm.Knewgain, Constantes!$B$4,
  _xlpm.Knewscale, Constantes!$B$5,
  _xlpm.ptstables, INDEX(W:W, _xlfn.SEQUENCE(COUNTA($C$2:$C345), 1, 3, 4)),
  _xlpm.nbparties, COUNTA(_xlfn._xlws.FILTER(_xlpm.ptstables, _xlpm.ptstables &lt;&gt; "")),
  _xlpm.coef, _xlpm.K + _xlpm.Knewgain / (_xlpm.Knewscale + _xlpm.nbparties),
  IF(W343="",
    "",
    _xlpm.coef * (W343-W344))
)</f>
        <v/>
      </c>
      <c r="X345" t="str" cm="1">
        <f t="array" ref="X345">_xlfn.LET(
  _xlpm.K, Constantes!$B$3,
  _xlpm.Knewgain, Constantes!$B$4,
  _xlpm.Knewscale, Constantes!$B$5,
  _xlpm.ptstables, INDEX(X:X, _xlfn.SEQUENCE(COUNTA($C$2:$C345), 1, 3, 4)),
  _xlpm.nbparties, COUNTA(_xlfn._xlws.FILTER(_xlpm.ptstables, _xlpm.ptstables &lt;&gt; "")),
  _xlpm.coef, _xlpm.K + _xlpm.Knewgain / (_xlpm.Knewscale + _xlpm.nbparties),
  IF(X343="",
    "",
    _xlpm.coef * (X343-X344))
)</f>
        <v/>
      </c>
      <c r="Y345" t="str" cm="1">
        <f t="array" ref="Y345">_xlfn.LET(
  _xlpm.K, Constantes!$B$3,
  _xlpm.Knewgain, Constantes!$B$4,
  _xlpm.Knewscale, Constantes!$B$5,
  _xlpm.ptstables, INDEX(Y:Y, _xlfn.SEQUENCE(COUNTA($C$2:$C345), 1, 3, 4)),
  _xlpm.nbparties, COUNTA(_xlfn._xlws.FILTER(_xlpm.ptstables, _xlpm.ptstables &lt;&gt; "")),
  _xlpm.coef, _xlpm.K + _xlpm.Knewgain / (_xlpm.Knewscale + _xlpm.nbparties),
  IF(Y343="",
    "",
    _xlpm.coef * (Y343-Y344))
)</f>
        <v/>
      </c>
      <c r="Z345" t="str" cm="1">
        <f t="array" ref="Z345">_xlfn.LET(
  _xlpm.K, Constantes!$B$3,
  _xlpm.Knewgain, Constantes!$B$4,
  _xlpm.Knewscale, Constantes!$B$5,
  _xlpm.ptstables, INDEX(Z:Z, _xlfn.SEQUENCE(COUNTA($C$2:$C345), 1, 3, 4)),
  _xlpm.nbparties, COUNTA(_xlfn._xlws.FILTER(_xlpm.ptstables, _xlpm.ptstables &lt;&gt; "")),
  _xlpm.coef, _xlpm.K + _xlpm.Knewgain / (_xlpm.Knewscale + _xlpm.nbparties),
  IF(Z343="",
    "",
    _xlpm.coef * (Z343-Z344))
)</f>
        <v/>
      </c>
      <c r="AA345" t="str" cm="1">
        <f t="array" ref="AA345">_xlfn.LET(
  _xlpm.K, Constantes!$B$3,
  _xlpm.Knewgain, Constantes!$B$4,
  _xlpm.Knewscale, Constantes!$B$5,
  _xlpm.ptstables, INDEX(AA:AA, _xlfn.SEQUENCE(COUNTA($C$2:$C345), 1, 3, 4)),
  _xlpm.nbparties, COUNTA(_xlfn._xlws.FILTER(_xlpm.ptstables, _xlpm.ptstables &lt;&gt; "")),
  _xlpm.coef, _xlpm.K + _xlpm.Knewgain / (_xlpm.Knewscale + _xlpm.nbparties),
  IF(AA343="",
    "",
    _xlpm.coef * (AA343-AA344))
)</f>
        <v/>
      </c>
      <c r="AB345" t="str" cm="1">
        <f t="array" ref="AB345">_xlfn.LET(
  _xlpm.K, Constantes!$B$3,
  _xlpm.Knewgain, Constantes!$B$4,
  _xlpm.Knewscale, Constantes!$B$5,
  _xlpm.ptstables, INDEX(AB:AB, _xlfn.SEQUENCE(COUNTA($C$2:$C345), 1, 3, 4)),
  _xlpm.nbparties, COUNTA(_xlfn._xlws.FILTER(_xlpm.ptstables, _xlpm.ptstables &lt;&gt; "")),
  _xlpm.coef, _xlpm.K + _xlpm.Knewgain / (_xlpm.Knewscale + _xlpm.nbparties),
  IF(AB343="",
    "",
    _xlpm.coef * (AB343-AB344))
)</f>
        <v/>
      </c>
      <c r="AC345" cm="1">
        <f t="array" ref="AC345">_xlfn.LET(
  _xlpm.K, Constantes!$B$3,
  _xlpm.Knewgain, Constantes!$B$4,
  _xlpm.Knewscale, Constantes!$B$5,
  _xlpm.ptstables, INDEX(AC:AC, _xlfn.SEQUENCE(COUNTA($C$2:$C345), 1, 3, 4)),
  _xlpm.nbparties, COUNTA(_xlfn._xlws.FILTER(_xlpm.ptstables, _xlpm.ptstables &lt;&gt; "")),
  _xlpm.coef, _xlpm.K + _xlpm.Knewgain / (_xlpm.Knewscale + _xlpm.nbparties),
  IF(AC343="",
    "",
    _xlpm.coef * (AC343-AC344))
)</f>
        <v>-37.282909419030659</v>
      </c>
      <c r="AD345" t="str" cm="1">
        <f t="array" ref="AD345">_xlfn.LET(
  _xlpm.K, Constantes!$B$3,
  _xlpm.Knewgain, Constantes!$B$4,
  _xlpm.Knewscale, Constantes!$B$5,
  _xlpm.ptstables, INDEX(AD:AD, _xlfn.SEQUENCE(COUNTA($C$2:$C345), 1, 3, 4)),
  _xlpm.nbparties, COUNTA(_xlfn._xlws.FILTER(_xlpm.ptstables, _xlpm.ptstables &lt;&gt; "")),
  _xlpm.coef, _xlpm.K + _xlpm.Knewgain / (_xlpm.Knewscale + _xlpm.nbparties),
  IF(AD343="",
    "",
    _xlpm.coef * (AD343-AD344))
)</f>
        <v/>
      </c>
      <c r="AE345" t="str" cm="1">
        <f t="array" ref="AE345">_xlfn.LET(
  _xlpm.K, Constantes!$B$3,
  _xlpm.Knewgain, Constantes!$B$4,
  _xlpm.Knewscale, Constantes!$B$5,
  _xlpm.ptstables, INDEX(AE:AE, _xlfn.SEQUENCE(COUNTA($C$2:$C345), 1, 3, 4)),
  _xlpm.nbparties, COUNTA(_xlfn._xlws.FILTER(_xlpm.ptstables, _xlpm.ptstables &lt;&gt; "")),
  _xlpm.coef, _xlpm.K + _xlpm.Knewgain / (_xlpm.Knewscale + _xlpm.nbparties),
  IF(AE343="",
    "",
    _xlpm.coef * (AE343-AE344))
)</f>
        <v/>
      </c>
      <c r="AF345" t="str" cm="1">
        <f t="array" ref="AF345">_xlfn.LET(
  _xlpm.K, Constantes!$B$3,
  _xlpm.Knewgain, Constantes!$B$4,
  _xlpm.Knewscale, Constantes!$B$5,
  _xlpm.ptstables, INDEX(AF:AF, _xlfn.SEQUENCE(COUNTA($C$2:$C345), 1, 3, 4)),
  _xlpm.nbparties, COUNTA(_xlfn._xlws.FILTER(_xlpm.ptstables, _xlpm.ptstables &lt;&gt; "")),
  _xlpm.coef, _xlpm.K + _xlpm.Knewgain / (_xlpm.Knewscale + _xlpm.nbparties),
  IF(AF343="",
    "",
    _xlpm.coef * (AF343-AF344))
)</f>
        <v/>
      </c>
      <c r="AG345" t="str" cm="1">
        <f t="array" ref="AG345">_xlfn.LET(
  _xlpm.K, Constantes!$B$3,
  _xlpm.Knewgain, Constantes!$B$4,
  _xlpm.Knewscale, Constantes!$B$5,
  _xlpm.ptstables, INDEX(AG:AG, _xlfn.SEQUENCE(COUNTA($C$2:$C345), 1, 3, 4)),
  _xlpm.nbparties, COUNTA(_xlfn._xlws.FILTER(_xlpm.ptstables, _xlpm.ptstables &lt;&gt; "")),
  _xlpm.coef, _xlpm.K + _xlpm.Knewgain / (_xlpm.Knewscale + _xlpm.nbparties),
  IF(AG343="",
    "",
    _xlpm.coef * (AG343-AG344))
)</f>
        <v/>
      </c>
      <c r="AH345" t="str" cm="1">
        <f t="array" ref="AH345">_xlfn.LET(
  _xlpm.K, Constantes!$B$3,
  _xlpm.Knewgain, Constantes!$B$4,
  _xlpm.Knewscale, Constantes!$B$5,
  _xlpm.ptstables, INDEX(AH:AH, _xlfn.SEQUENCE(COUNTA($C$2:$C345), 1, 3, 4)),
  _xlpm.nbparties, COUNTA(_xlfn._xlws.FILTER(_xlpm.ptstables, _xlpm.ptstables &lt;&gt; "")),
  _xlpm.coef, _xlpm.K + _xlpm.Knewgain / (_xlpm.Knewscale + _xlpm.nbparties),
  IF(AH343="",
    "",
    _xlpm.coef * (AH343-AH344))
)</f>
        <v/>
      </c>
      <c r="AI345" t="str" cm="1">
        <f t="array" ref="AI345">_xlfn.LET(
  _xlpm.K, Constantes!$B$3,
  _xlpm.Knewgain, Constantes!$B$4,
  _xlpm.Knewscale, Constantes!$B$5,
  _xlpm.ptstables, INDEX(AI:AI, _xlfn.SEQUENCE(COUNTA($C$2:$C345), 1, 3, 4)),
  _xlpm.nbparties, COUNTA(_xlfn._xlws.FILTER(_xlpm.ptstables, _xlpm.ptstables &lt;&gt; "")),
  _xlpm.coef, _xlpm.K + _xlpm.Knewgain / (_xlpm.Knewscale + _xlpm.nbparties),
  IF(AI343="",
    "",
    _xlpm.coef * (AI343-AI344))
)</f>
        <v/>
      </c>
      <c r="AJ345" t="str" cm="1">
        <f t="array" ref="AJ345">_xlfn.LET(
  _xlpm.K, Constantes!$B$3,
  _xlpm.Knewgain, Constantes!$B$4,
  _xlpm.Knewscale, Constantes!$B$5,
  _xlpm.ptstables, INDEX(AJ:AJ, _xlfn.SEQUENCE(COUNTA($C$2:$C345), 1, 3, 4)),
  _xlpm.nbparties, COUNTA(_xlfn._xlws.FILTER(_xlpm.ptstables, _xlpm.ptstables &lt;&gt; "")),
  _xlpm.coef, _xlpm.K + _xlpm.Knewgain / (_xlpm.Knewscale + _xlpm.nbparties),
  IF(AJ343="",
    "",
    _xlpm.coef * (AJ343-AJ344))
)</f>
        <v/>
      </c>
      <c r="AK345" t="str" cm="1">
        <f t="array" ref="AK345">_xlfn.LET(
  _xlpm.K, Constantes!$B$3,
  _xlpm.Knewgain, Constantes!$B$4,
  _xlpm.Knewscale, Constantes!$B$5,
  _xlpm.ptstables, INDEX(AK:AK, _xlfn.SEQUENCE(COUNTA($C$2:$C345), 1, 3, 4)),
  _xlpm.nbparties, COUNTA(_xlfn._xlws.FILTER(_xlpm.ptstables, _xlpm.ptstables &lt;&gt; "")),
  _xlpm.coef, _xlpm.K + _xlpm.Knewgain / (_xlpm.Knewscale + _xlpm.nbparties),
  IF(AK343="",
    "",
    _xlpm.coef * (AK343-AK344))
)</f>
        <v/>
      </c>
      <c r="AL345" t="str" cm="1">
        <f t="array" ref="AL345">_xlfn.LET(
  _xlpm.K, Constantes!$B$3,
  _xlpm.Knewgain, Constantes!$B$4,
  _xlpm.Knewscale, Constantes!$B$5,
  _xlpm.ptstables, INDEX(AL:AL, _xlfn.SEQUENCE(COUNTA($C$2:$C345), 1, 3, 4)),
  _xlpm.nbparties, COUNTA(_xlfn._xlws.FILTER(_xlpm.ptstables, _xlpm.ptstables &lt;&gt; "")),
  _xlpm.coef, _xlpm.K + _xlpm.Knewgain / (_xlpm.Knewscale + _xlpm.nbparties),
  IF(AL343="",
    "",
    _xlpm.coef * (AL343-AL344))
)</f>
        <v/>
      </c>
      <c r="AM345" t="str" cm="1">
        <f t="array" ref="AM345">_xlfn.LET(
  _xlpm.K, Constantes!$B$3,
  _xlpm.Knewgain, Constantes!$B$4,
  _xlpm.Knewscale, Constantes!$B$5,
  _xlpm.ptstables, INDEX(AM:AM, _xlfn.SEQUENCE(COUNTA($C$2:$C345), 1, 3, 4)),
  _xlpm.nbparties, COUNTA(_xlfn._xlws.FILTER(_xlpm.ptstables, _xlpm.ptstables &lt;&gt; "")),
  _xlpm.coef, _xlpm.K + _xlpm.Knewgain / (_xlpm.Knewscale + _xlpm.nbparties),
  IF(AM343="",
    "",
    _xlpm.coef * (AM343-AM344))
)</f>
        <v/>
      </c>
    </row>
    <row r="346" spans="1:39" x14ac:dyDescent="0.25">
      <c r="A346" t="s">
        <v>14</v>
      </c>
      <c r="B346" t="str" cm="1">
        <f t="array" ref="B34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86</v>
      </c>
      <c r="C346" s="2" cm="1">
        <f t="array" ref="C346">IF(B346="","",
  INDEX(Donnees!F:F, MATCH(B346, Donnees!F:F, 0)+1))</f>
        <v>45948.917662037034</v>
      </c>
      <c r="D346">
        <f t="shared" ref="D346:AM346" si="94">D342+IF(D345="",0,D345)</f>
        <v>1014.6502829104329</v>
      </c>
      <c r="E346">
        <f t="shared" si="94"/>
        <v>1106.3341723878034</v>
      </c>
      <c r="F346">
        <f t="shared" si="94"/>
        <v>840.37982011709778</v>
      </c>
      <c r="G346">
        <f t="shared" si="94"/>
        <v>1104.9202435939997</v>
      </c>
      <c r="H346">
        <f t="shared" si="94"/>
        <v>1120.6842315020224</v>
      </c>
      <c r="I346">
        <f t="shared" si="94"/>
        <v>960.02345484062744</v>
      </c>
      <c r="J346">
        <f t="shared" si="94"/>
        <v>1010.9125108504293</v>
      </c>
      <c r="K346">
        <f t="shared" si="94"/>
        <v>993.90254614824482</v>
      </c>
      <c r="L346">
        <f t="shared" si="94"/>
        <v>783.12422360152641</v>
      </c>
      <c r="M346">
        <f t="shared" si="94"/>
        <v>913.41986361738122</v>
      </c>
      <c r="N346">
        <f t="shared" si="94"/>
        <v>903.42914476260137</v>
      </c>
      <c r="O346">
        <f t="shared" si="94"/>
        <v>1033.7212914161473</v>
      </c>
      <c r="P346">
        <f t="shared" si="94"/>
        <v>1013.0236414353814</v>
      </c>
      <c r="Q346">
        <f t="shared" si="94"/>
        <v>1050.1062561870472</v>
      </c>
      <c r="R346">
        <f t="shared" si="94"/>
        <v>1085.8070188090603</v>
      </c>
      <c r="S346">
        <f t="shared" si="94"/>
        <v>926.38965731004271</v>
      </c>
      <c r="T346">
        <f t="shared" si="94"/>
        <v>1153.43058185823</v>
      </c>
      <c r="U346">
        <f t="shared" si="94"/>
        <v>1219.3716250000077</v>
      </c>
      <c r="V346">
        <f t="shared" si="94"/>
        <v>969.67171739286073</v>
      </c>
      <c r="W346">
        <f t="shared" si="94"/>
        <v>882.29253769067657</v>
      </c>
      <c r="X346">
        <f t="shared" si="94"/>
        <v>828.97598039785271</v>
      </c>
      <c r="Y346">
        <f t="shared" si="94"/>
        <v>903.14348714035714</v>
      </c>
      <c r="Z346">
        <f t="shared" si="94"/>
        <v>1000.4832210979791</v>
      </c>
      <c r="AA346">
        <f t="shared" si="94"/>
        <v>976.51233940414613</v>
      </c>
      <c r="AB346">
        <f t="shared" si="94"/>
        <v>988.35669729544747</v>
      </c>
      <c r="AC346">
        <f t="shared" si="94"/>
        <v>1051.9456808600683</v>
      </c>
      <c r="AD346">
        <f t="shared" si="94"/>
        <v>1069.2410017342875</v>
      </c>
      <c r="AE346">
        <f t="shared" si="94"/>
        <v>963.23981965000235</v>
      </c>
      <c r="AF346">
        <f t="shared" si="94"/>
        <v>1094.8196847516158</v>
      </c>
      <c r="AG346">
        <f t="shared" si="94"/>
        <v>958.23078604304851</v>
      </c>
      <c r="AH346">
        <f t="shared" si="94"/>
        <v>920.4412636682855</v>
      </c>
      <c r="AI346">
        <f t="shared" si="94"/>
        <v>942.90767401447124</v>
      </c>
      <c r="AJ346">
        <f t="shared" si="94"/>
        <v>906.86354201913434</v>
      </c>
      <c r="AK346">
        <f t="shared" si="94"/>
        <v>1074.0069367206956</v>
      </c>
      <c r="AL346">
        <f t="shared" si="94"/>
        <v>1025.7817971572972</v>
      </c>
      <c r="AM346">
        <f t="shared" si="94"/>
        <v>930.08392160706046</v>
      </c>
    </row>
    <row r="347" spans="1:39" x14ac:dyDescent="0.25">
      <c r="A347" t="s">
        <v>21</v>
      </c>
      <c r="D347" t="str" cm="1">
        <f t="array" ref="D347">IFERROR(
  _xlfn.LET(
    _xlpm.ligpartie, MATCH($B346, Donnees!$F:$F, 0),
    _xlpm.joueurs, INDEX(Donnees!$A:$Z, _xlpm.ligpartie+1, _xlfn.SEQUENCE(1, 4, 2)),
    INDEX(
      Donnees!$A:$Z,
      _xlpm.ligpartie + 3,
      MATCH(D$1, _xlpm.joueurs, 0) + 1
    )
  ), ""
)</f>
        <v/>
      </c>
      <c r="E347" cm="1">
        <f t="array" ref="E347">IFERROR(
  _xlfn.LET(
    _xlpm.ligpartie, MATCH($B346, Donnees!$F:$F, 0),
    _xlpm.joueurs, INDEX(Donnees!$A:$Z, _xlpm.ligpartie+1, _xlfn.SEQUENCE(1, 4, 2)),
    INDEX(
      Donnees!$A:$Z,
      _xlpm.ligpartie + 3,
      MATCH(E$1, _xlpm.joueurs, 0) + 1
    )
  ), ""
)</f>
        <v>3</v>
      </c>
      <c r="F347" t="str" cm="1">
        <f t="array" ref="F347">IFERROR(
  _xlfn.LET(
    _xlpm.ligpartie, MATCH($B346, Donnees!$F:$F, 0),
    _xlpm.joueurs, INDEX(Donnees!$A:$Z, _xlpm.ligpartie+1, _xlfn.SEQUENCE(1, 4, 2)),
    INDEX(
      Donnees!$A:$Z,
      _xlpm.ligpartie + 3,
      MATCH(F$1, _xlpm.joueurs, 0) + 1
    )
  ), ""
)</f>
        <v/>
      </c>
      <c r="G347" cm="1">
        <f t="array" ref="G347">IFERROR(
  _xlfn.LET(
    _xlpm.ligpartie, MATCH($B346, Donnees!$F:$F, 0),
    _xlpm.joueurs, INDEX(Donnees!$A:$Z, _xlpm.ligpartie+1, _xlfn.SEQUENCE(1, 4, 2)),
    INDEX(
      Donnees!$A:$Z,
      _xlpm.ligpartie + 3,
      MATCH(G$1, _xlpm.joueurs, 0) + 1
    )
  ), ""
)</f>
        <v>1</v>
      </c>
      <c r="H347" t="str" cm="1">
        <f t="array" ref="H347">IFERROR(
  _xlfn.LET(
    _xlpm.ligpartie, MATCH($B346, Donnees!$F:$F, 0),
    _xlpm.joueurs, INDEX(Donnees!$A:$Z, _xlpm.ligpartie+1, _xlfn.SEQUENCE(1, 4, 2)),
    INDEX(
      Donnees!$A:$Z,
      _xlpm.ligpartie + 3,
      MATCH(H$1, _xlpm.joueurs, 0) + 1
    )
  ), ""
)</f>
        <v/>
      </c>
      <c r="I347" t="str" cm="1">
        <f t="array" ref="I347">IFERROR(
  _xlfn.LET(
    _xlpm.ligpartie, MATCH($B346, Donnees!$F:$F, 0),
    _xlpm.joueurs, INDEX(Donnees!$A:$Z, _xlpm.ligpartie+1, _xlfn.SEQUENCE(1, 4, 2)),
    INDEX(
      Donnees!$A:$Z,
      _xlpm.ligpartie + 3,
      MATCH(I$1, _xlpm.joueurs, 0) + 1
    )
  ), ""
)</f>
        <v/>
      </c>
      <c r="J347" t="str" cm="1">
        <f t="array" ref="J347">IFERROR(
  _xlfn.LET(
    _xlpm.ligpartie, MATCH($B346, Donnees!$F:$F, 0),
    _xlpm.joueurs, INDEX(Donnees!$A:$Z, _xlpm.ligpartie+1, _xlfn.SEQUENCE(1, 4, 2)),
    INDEX(
      Donnees!$A:$Z,
      _xlpm.ligpartie + 3,
      MATCH(J$1, _xlpm.joueurs, 0) + 1
    )
  ), ""
)</f>
        <v/>
      </c>
      <c r="K347" t="str" cm="1">
        <f t="array" ref="K347">IFERROR(
  _xlfn.LET(
    _xlpm.ligpartie, MATCH($B346, Donnees!$F:$F, 0),
    _xlpm.joueurs, INDEX(Donnees!$A:$Z, _xlpm.ligpartie+1, _xlfn.SEQUENCE(1, 4, 2)),
    INDEX(
      Donnees!$A:$Z,
      _xlpm.ligpartie + 3,
      MATCH(K$1, _xlpm.joueurs, 0) + 1
    )
  ), ""
)</f>
        <v/>
      </c>
      <c r="L347" t="str" cm="1">
        <f t="array" ref="L347">IFERROR(
  _xlfn.LET(
    _xlpm.ligpartie, MATCH($B346, Donnees!$F:$F, 0),
    _xlpm.joueurs, INDEX(Donnees!$A:$Z, _xlpm.ligpartie+1, _xlfn.SEQUENCE(1, 4, 2)),
    INDEX(
      Donnees!$A:$Z,
      _xlpm.ligpartie + 3,
      MATCH(L$1, _xlpm.joueurs, 0) + 1
    )
  ), ""
)</f>
        <v/>
      </c>
      <c r="M347" t="str" cm="1">
        <f t="array" ref="M347">IFERROR(
  _xlfn.LET(
    _xlpm.ligpartie, MATCH($B346, Donnees!$F:$F, 0),
    _xlpm.joueurs, INDEX(Donnees!$A:$Z, _xlpm.ligpartie+1, _xlfn.SEQUENCE(1, 4, 2)),
    INDEX(
      Donnees!$A:$Z,
      _xlpm.ligpartie + 3,
      MATCH(M$1, _xlpm.joueurs, 0) + 1
    )
  ), ""
)</f>
        <v/>
      </c>
      <c r="N347" t="str" cm="1">
        <f t="array" ref="N347">IFERROR(
  _xlfn.LET(
    _xlpm.ligpartie, MATCH($B346, Donnees!$F:$F, 0),
    _xlpm.joueurs, INDEX(Donnees!$A:$Z, _xlpm.ligpartie+1, _xlfn.SEQUENCE(1, 4, 2)),
    INDEX(
      Donnees!$A:$Z,
      _xlpm.ligpartie + 3,
      MATCH(N$1, _xlpm.joueurs, 0) + 1
    )
  ), ""
)</f>
        <v/>
      </c>
      <c r="O347" t="str" cm="1">
        <f t="array" ref="O347">IFERROR(
  _xlfn.LET(
    _xlpm.ligpartie, MATCH($B346, Donnees!$F:$F, 0),
    _xlpm.joueurs, INDEX(Donnees!$A:$Z, _xlpm.ligpartie+1, _xlfn.SEQUENCE(1, 4, 2)),
    INDEX(
      Donnees!$A:$Z,
      _xlpm.ligpartie + 3,
      MATCH(O$1, _xlpm.joueurs, 0) + 1
    )
  ), ""
)</f>
        <v/>
      </c>
      <c r="P347" t="str" cm="1">
        <f t="array" ref="P347">IFERROR(
  _xlfn.LET(
    _xlpm.ligpartie, MATCH($B346, Donnees!$F:$F, 0),
    _xlpm.joueurs, INDEX(Donnees!$A:$Z, _xlpm.ligpartie+1, _xlfn.SEQUENCE(1, 4, 2)),
    INDEX(
      Donnees!$A:$Z,
      _xlpm.ligpartie + 3,
      MATCH(P$1, _xlpm.joueurs, 0) + 1
    )
  ), ""
)</f>
        <v/>
      </c>
      <c r="Q347" t="str" cm="1">
        <f t="array" ref="Q347">IFERROR(
  _xlfn.LET(
    _xlpm.ligpartie, MATCH($B346, Donnees!$F:$F, 0),
    _xlpm.joueurs, INDEX(Donnees!$A:$Z, _xlpm.ligpartie+1, _xlfn.SEQUENCE(1, 4, 2)),
    INDEX(
      Donnees!$A:$Z,
      _xlpm.ligpartie + 3,
      MATCH(Q$1, _xlpm.joueurs, 0) + 1
    )
  ), ""
)</f>
        <v/>
      </c>
      <c r="R347" cm="1">
        <f t="array" ref="R347">IFERROR(
  _xlfn.LET(
    _xlpm.ligpartie, MATCH($B346, Donnees!$F:$F, 0),
    _xlpm.joueurs, INDEX(Donnees!$A:$Z, _xlpm.ligpartie+1, _xlfn.SEQUENCE(1, 4, 2)),
    INDEX(
      Donnees!$A:$Z,
      _xlpm.ligpartie + 3,
      MATCH(R$1, _xlpm.joueurs, 0) + 1
    )
  ), ""
)</f>
        <v>2</v>
      </c>
      <c r="S347" t="str" cm="1">
        <f t="array" ref="S347">IFERROR(
  _xlfn.LET(
    _xlpm.ligpartie, MATCH($B346, Donnees!$F:$F, 0),
    _xlpm.joueurs, INDEX(Donnees!$A:$Z, _xlpm.ligpartie+1, _xlfn.SEQUENCE(1, 4, 2)),
    INDEX(
      Donnees!$A:$Z,
      _xlpm.ligpartie + 3,
      MATCH(S$1, _xlpm.joueurs, 0) + 1
    )
  ), ""
)</f>
        <v/>
      </c>
      <c r="T347" t="str" cm="1">
        <f t="array" ref="T347">IFERROR(
  _xlfn.LET(
    _xlpm.ligpartie, MATCH($B346, Donnees!$F:$F, 0),
    _xlpm.joueurs, INDEX(Donnees!$A:$Z, _xlpm.ligpartie+1, _xlfn.SEQUENCE(1, 4, 2)),
    INDEX(
      Donnees!$A:$Z,
      _xlpm.ligpartie + 3,
      MATCH(T$1, _xlpm.joueurs, 0) + 1
    )
  ), ""
)</f>
        <v/>
      </c>
      <c r="U347" t="str" cm="1">
        <f t="array" ref="U347">IFERROR(
  _xlfn.LET(
    _xlpm.ligpartie, MATCH($B346, Donnees!$F:$F, 0),
    _xlpm.joueurs, INDEX(Donnees!$A:$Z, _xlpm.ligpartie+1, _xlfn.SEQUENCE(1, 4, 2)),
    INDEX(
      Donnees!$A:$Z,
      _xlpm.ligpartie + 3,
      MATCH(U$1, _xlpm.joueurs, 0) + 1
    )
  ), ""
)</f>
        <v/>
      </c>
      <c r="V347" t="str" cm="1">
        <f t="array" ref="V347">IFERROR(
  _xlfn.LET(
    _xlpm.ligpartie, MATCH($B346, Donnees!$F:$F, 0),
    _xlpm.joueurs, INDEX(Donnees!$A:$Z, _xlpm.ligpartie+1, _xlfn.SEQUENCE(1, 4, 2)),
    INDEX(
      Donnees!$A:$Z,
      _xlpm.ligpartie + 3,
      MATCH(V$1, _xlpm.joueurs, 0) + 1
    )
  ), ""
)</f>
        <v/>
      </c>
      <c r="W347" t="str" cm="1">
        <f t="array" ref="W347">IFERROR(
  _xlfn.LET(
    _xlpm.ligpartie, MATCH($B346, Donnees!$F:$F, 0),
    _xlpm.joueurs, INDEX(Donnees!$A:$Z, _xlpm.ligpartie+1, _xlfn.SEQUENCE(1, 4, 2)),
    INDEX(
      Donnees!$A:$Z,
      _xlpm.ligpartie + 3,
      MATCH(W$1, _xlpm.joueurs, 0) + 1
    )
  ), ""
)</f>
        <v/>
      </c>
      <c r="X347" t="str" cm="1">
        <f t="array" ref="X347">IFERROR(
  _xlfn.LET(
    _xlpm.ligpartie, MATCH($B346, Donnees!$F:$F, 0),
    _xlpm.joueurs, INDEX(Donnees!$A:$Z, _xlpm.ligpartie+1, _xlfn.SEQUENCE(1, 4, 2)),
    INDEX(
      Donnees!$A:$Z,
      _xlpm.ligpartie + 3,
      MATCH(X$1, _xlpm.joueurs, 0) + 1
    )
  ), ""
)</f>
        <v/>
      </c>
      <c r="Y347" t="str" cm="1">
        <f t="array" ref="Y347">IFERROR(
  _xlfn.LET(
    _xlpm.ligpartie, MATCH($B346, Donnees!$F:$F, 0),
    _xlpm.joueurs, INDEX(Donnees!$A:$Z, _xlpm.ligpartie+1, _xlfn.SEQUENCE(1, 4, 2)),
    INDEX(
      Donnees!$A:$Z,
      _xlpm.ligpartie + 3,
      MATCH(Y$1, _xlpm.joueurs, 0) + 1
    )
  ), ""
)</f>
        <v/>
      </c>
      <c r="Z347" t="str" cm="1">
        <f t="array" ref="Z347">IFERROR(
  _xlfn.LET(
    _xlpm.ligpartie, MATCH($B346, Donnees!$F:$F, 0),
    _xlpm.joueurs, INDEX(Donnees!$A:$Z, _xlpm.ligpartie+1, _xlfn.SEQUENCE(1, 4, 2)),
    INDEX(
      Donnees!$A:$Z,
      _xlpm.ligpartie + 3,
      MATCH(Z$1, _xlpm.joueurs, 0) + 1
    )
  ), ""
)</f>
        <v/>
      </c>
      <c r="AA347" t="str" cm="1">
        <f t="array" ref="AA347">IFERROR(
  _xlfn.LET(
    _xlpm.ligpartie, MATCH($B346, Donnees!$F:$F, 0),
    _xlpm.joueurs, INDEX(Donnees!$A:$Z, _xlpm.ligpartie+1, _xlfn.SEQUENCE(1, 4, 2)),
    INDEX(
      Donnees!$A:$Z,
      _xlpm.ligpartie + 3,
      MATCH(AA$1, _xlpm.joueurs, 0) + 1
    )
  ), ""
)</f>
        <v/>
      </c>
      <c r="AB347" t="str" cm="1">
        <f t="array" ref="AB347">IFERROR(
  _xlfn.LET(
    _xlpm.ligpartie, MATCH($B346, Donnees!$F:$F, 0),
    _xlpm.joueurs, INDEX(Donnees!$A:$Z, _xlpm.ligpartie+1, _xlfn.SEQUENCE(1, 4, 2)),
    INDEX(
      Donnees!$A:$Z,
      _xlpm.ligpartie + 3,
      MATCH(AB$1, _xlpm.joueurs, 0) + 1
    )
  ), ""
)</f>
        <v/>
      </c>
      <c r="AC347" t="str" cm="1">
        <f t="array" ref="AC347">IFERROR(
  _xlfn.LET(
    _xlpm.ligpartie, MATCH($B346, Donnees!$F:$F, 0),
    _xlpm.joueurs, INDEX(Donnees!$A:$Z, _xlpm.ligpartie+1, _xlfn.SEQUENCE(1, 4, 2)),
    INDEX(
      Donnees!$A:$Z,
      _xlpm.ligpartie + 3,
      MATCH(AC$1, _xlpm.joueurs, 0) + 1
    )
  ), ""
)</f>
        <v/>
      </c>
      <c r="AD347" t="str" cm="1">
        <f t="array" ref="AD347">IFERROR(
  _xlfn.LET(
    _xlpm.ligpartie, MATCH($B346, Donnees!$F:$F, 0),
    _xlpm.joueurs, INDEX(Donnees!$A:$Z, _xlpm.ligpartie+1, _xlfn.SEQUENCE(1, 4, 2)),
    INDEX(
      Donnees!$A:$Z,
      _xlpm.ligpartie + 3,
      MATCH(AD$1, _xlpm.joueurs, 0) + 1
    )
  ), ""
)</f>
        <v/>
      </c>
      <c r="AE347" t="str" cm="1">
        <f t="array" ref="AE347">IFERROR(
  _xlfn.LET(
    _xlpm.ligpartie, MATCH($B346, Donnees!$F:$F, 0),
    _xlpm.joueurs, INDEX(Donnees!$A:$Z, _xlpm.ligpartie+1, _xlfn.SEQUENCE(1, 4, 2)),
    INDEX(
      Donnees!$A:$Z,
      _xlpm.ligpartie + 3,
      MATCH(AE$1, _xlpm.joueurs, 0) + 1
    )
  ), ""
)</f>
        <v/>
      </c>
      <c r="AF347" t="str" cm="1">
        <f t="array" ref="AF347">IFERROR(
  _xlfn.LET(
    _xlpm.ligpartie, MATCH($B346, Donnees!$F:$F, 0),
    _xlpm.joueurs, INDEX(Donnees!$A:$Z, _xlpm.ligpartie+1, _xlfn.SEQUENCE(1, 4, 2)),
    INDEX(
      Donnees!$A:$Z,
      _xlpm.ligpartie + 3,
      MATCH(AF$1, _xlpm.joueurs, 0) + 1
    )
  ), ""
)</f>
        <v/>
      </c>
      <c r="AG347" t="str" cm="1">
        <f t="array" ref="AG347">IFERROR(
  _xlfn.LET(
    _xlpm.ligpartie, MATCH($B346, Donnees!$F:$F, 0),
    _xlpm.joueurs, INDEX(Donnees!$A:$Z, _xlpm.ligpartie+1, _xlfn.SEQUENCE(1, 4, 2)),
    INDEX(
      Donnees!$A:$Z,
      _xlpm.ligpartie + 3,
      MATCH(AG$1, _xlpm.joueurs, 0) + 1
    )
  ), ""
)</f>
        <v/>
      </c>
      <c r="AH347" t="str" cm="1">
        <f t="array" ref="AH347">IFERROR(
  _xlfn.LET(
    _xlpm.ligpartie, MATCH($B346, Donnees!$F:$F, 0),
    _xlpm.joueurs, INDEX(Donnees!$A:$Z, _xlpm.ligpartie+1, _xlfn.SEQUENCE(1, 4, 2)),
    INDEX(
      Donnees!$A:$Z,
      _xlpm.ligpartie + 3,
      MATCH(AH$1, _xlpm.joueurs, 0) + 1
    )
  ), ""
)</f>
        <v/>
      </c>
      <c r="AI347" cm="1">
        <f t="array" ref="AI347">IFERROR(
  _xlfn.LET(
    _xlpm.ligpartie, MATCH($B346, Donnees!$F:$F, 0),
    _xlpm.joueurs, INDEX(Donnees!$A:$Z, _xlpm.ligpartie+1, _xlfn.SEQUENCE(1, 4, 2)),
    INDEX(
      Donnees!$A:$Z,
      _xlpm.ligpartie + 3,
      MATCH(AI$1, _xlpm.joueurs, 0) + 1
    )
  ), ""
)</f>
        <v>0</v>
      </c>
      <c r="AJ347" t="str" cm="1">
        <f t="array" ref="AJ347">IFERROR(
  _xlfn.LET(
    _xlpm.ligpartie, MATCH($B346, Donnees!$F:$F, 0),
    _xlpm.joueurs, INDEX(Donnees!$A:$Z, _xlpm.ligpartie+1, _xlfn.SEQUENCE(1, 4, 2)),
    INDEX(
      Donnees!$A:$Z,
      _xlpm.ligpartie + 3,
      MATCH(AJ$1, _xlpm.joueurs, 0) + 1
    )
  ), ""
)</f>
        <v/>
      </c>
      <c r="AK347" t="str" cm="1">
        <f t="array" ref="AK347">IFERROR(
  _xlfn.LET(
    _xlpm.ligpartie, MATCH($B346, Donnees!$F:$F, 0),
    _xlpm.joueurs, INDEX(Donnees!$A:$Z, _xlpm.ligpartie+1, _xlfn.SEQUENCE(1, 4, 2)),
    INDEX(
      Donnees!$A:$Z,
      _xlpm.ligpartie + 3,
      MATCH(AK$1, _xlpm.joueurs, 0) + 1
    )
  ), ""
)</f>
        <v/>
      </c>
      <c r="AL347" t="str" cm="1">
        <f t="array" ref="AL347">IFERROR(
  _xlfn.LET(
    _xlpm.ligpartie, MATCH($B346, Donnees!$F:$F, 0),
    _xlpm.joueurs, INDEX(Donnees!$A:$Z, _xlpm.ligpartie+1, _xlfn.SEQUENCE(1, 4, 2)),
    INDEX(
      Donnees!$A:$Z,
      _xlpm.ligpartie + 3,
      MATCH(AL$1, _xlpm.joueurs, 0) + 1
    )
  ), ""
)</f>
        <v/>
      </c>
      <c r="AM347" t="str" cm="1">
        <f t="array" ref="AM347">IFERROR(
  _xlfn.LET(
    _xlpm.ligpartie, MATCH($B346, Donnees!$F:$F, 0),
    _xlpm.joueurs, INDEX(Donnees!$A:$Z, _xlpm.ligpartie+1, _xlfn.SEQUENCE(1, 4, 2)),
    INDEX(
      Donnees!$A:$Z,
      _xlpm.ligpartie + 3,
      MATCH(AM$1, _xlpm.joueurs, 0) + 1
    )
  ), ""
)</f>
        <v/>
      </c>
    </row>
    <row r="348" spans="1:39" x14ac:dyDescent="0.25">
      <c r="A348" t="s">
        <v>20</v>
      </c>
      <c r="D348" t="str" cm="1">
        <f t="array" ref="D348">_xlfn.LET(
  _xlpm.colj, _xlfn._xlws.FILTER(IF(ISNUMBER(347:347), COLUMN(347:347)), ISNUMBER(347:347)),
  _xlpm.elos, INDEX(346:346,1,_xlpm.colj),
  _xlpm.diffscale, Constantes!$B$2,
  IF(D347="",
    "",
    SUM(1/(1+POWER(10,-(D346-_xlpm.elos)/_xlpm.diffscale)))-0.5)
)</f>
        <v/>
      </c>
      <c r="E348" cm="1">
        <f t="array" ref="E348">_xlfn.LET(
  _xlpm.colj, _xlfn._xlws.FILTER(IF(ISNUMBER(347:347), COLUMN(347:347)), ISNUMBER(347:347)),
  _xlpm.elos, INDEX(346:346,1,_xlpm.colj),
  _xlpm.diffscale, Constantes!$B$2,
  IF(E347="",
    "",
    SUM(1/(1+POWER(10,-(E346-_xlpm.elos)/_xlpm.diffscale)))-0.5)
)</f>
        <v>1.7507942748511809</v>
      </c>
      <c r="F348" t="str" cm="1">
        <f t="array" ref="F348">_xlfn.LET(
  _xlpm.colj, _xlfn._xlws.FILTER(IF(ISNUMBER(347:347), COLUMN(347:347)), ISNUMBER(347:347)),
  _xlpm.elos, INDEX(346:346,1,_xlpm.colj),
  _xlpm.diffscale, Constantes!$B$2,
  IF(F347="",
    "",
    SUM(1/(1+POWER(10,-(F346-_xlpm.elos)/_xlpm.diffscale)))-0.5)
)</f>
        <v/>
      </c>
      <c r="G348" cm="1">
        <f t="array" ref="G348">_xlfn.LET(
  _xlpm.colj, _xlfn._xlws.FILTER(IF(ISNUMBER(347:347), COLUMN(347:347)), ISNUMBER(347:347)),
  _xlpm.elos, INDEX(346:346,1,_xlpm.colj),
  _xlpm.diffscale, Constantes!$B$2,
  IF(G347="",
    "",
    SUM(1/(1+POWER(10,-(G346-_xlpm.elos)/_xlpm.diffscale)))-0.5)
)</f>
        <v>1.7430500177201207</v>
      </c>
      <c r="H348" t="str" cm="1">
        <f t="array" ref="H348">_xlfn.LET(
  _xlpm.colj, _xlfn._xlws.FILTER(IF(ISNUMBER(347:347), COLUMN(347:347)), ISNUMBER(347:347)),
  _xlpm.elos, INDEX(346:346,1,_xlpm.colj),
  _xlpm.diffscale, Constantes!$B$2,
  IF(H347="",
    "",
    SUM(1/(1+POWER(10,-(H346-_xlpm.elos)/_xlpm.diffscale)))-0.5)
)</f>
        <v/>
      </c>
      <c r="I348" t="str" cm="1">
        <f t="array" ref="I348">_xlfn.LET(
  _xlpm.colj, _xlfn._xlws.FILTER(IF(ISNUMBER(347:347), COLUMN(347:347)), ISNUMBER(347:347)),
  _xlpm.elos, INDEX(346:346,1,_xlpm.colj),
  _xlpm.diffscale, Constantes!$B$2,
  IF(I347="",
    "",
    SUM(1/(1+POWER(10,-(I346-_xlpm.elos)/_xlpm.diffscale)))-0.5)
)</f>
        <v/>
      </c>
      <c r="J348" t="str" cm="1">
        <f t="array" ref="J348">_xlfn.LET(
  _xlpm.colj, _xlfn._xlws.FILTER(IF(ISNUMBER(347:347), COLUMN(347:347)), ISNUMBER(347:347)),
  _xlpm.elos, INDEX(346:346,1,_xlpm.colj),
  _xlpm.diffscale, Constantes!$B$2,
  IF(J347="",
    "",
    SUM(1/(1+POWER(10,-(J346-_xlpm.elos)/_xlpm.diffscale)))-0.5)
)</f>
        <v/>
      </c>
      <c r="K348" t="str" cm="1">
        <f t="array" ref="K348">_xlfn.LET(
  _xlpm.colj, _xlfn._xlws.FILTER(IF(ISNUMBER(347:347), COLUMN(347:347)), ISNUMBER(347:347)),
  _xlpm.elos, INDEX(346:346,1,_xlpm.colj),
  _xlpm.diffscale, Constantes!$B$2,
  IF(K347="",
    "",
    SUM(1/(1+POWER(10,-(K346-_xlpm.elos)/_xlpm.diffscale)))-0.5)
)</f>
        <v/>
      </c>
      <c r="L348" t="str" cm="1">
        <f t="array" ref="L348">_xlfn.LET(
  _xlpm.colj, _xlfn._xlws.FILTER(IF(ISNUMBER(347:347), COLUMN(347:347)), ISNUMBER(347:347)),
  _xlpm.elos, INDEX(346:346,1,_xlpm.colj),
  _xlpm.diffscale, Constantes!$B$2,
  IF(L347="",
    "",
    SUM(1/(1+POWER(10,-(L346-_xlpm.elos)/_xlpm.diffscale)))-0.5)
)</f>
        <v/>
      </c>
      <c r="M348" t="str" cm="1">
        <f t="array" ref="M348">_xlfn.LET(
  _xlpm.colj, _xlfn._xlws.FILTER(IF(ISNUMBER(347:347), COLUMN(347:347)), ISNUMBER(347:347)),
  _xlpm.elos, INDEX(346:346,1,_xlpm.colj),
  _xlpm.diffscale, Constantes!$B$2,
  IF(M347="",
    "",
    SUM(1/(1+POWER(10,-(M346-_xlpm.elos)/_xlpm.diffscale)))-0.5)
)</f>
        <v/>
      </c>
      <c r="N348" t="str" cm="1">
        <f t="array" ref="N348">_xlfn.LET(
  _xlpm.colj, _xlfn._xlws.FILTER(IF(ISNUMBER(347:347), COLUMN(347:347)), ISNUMBER(347:347)),
  _xlpm.elos, INDEX(346:346,1,_xlpm.colj),
  _xlpm.diffscale, Constantes!$B$2,
  IF(N347="",
    "",
    SUM(1/(1+POWER(10,-(N346-_xlpm.elos)/_xlpm.diffscale)))-0.5)
)</f>
        <v/>
      </c>
      <c r="O348" t="str" cm="1">
        <f t="array" ref="O348">_xlfn.LET(
  _xlpm.colj, _xlfn._xlws.FILTER(IF(ISNUMBER(347:347), COLUMN(347:347)), ISNUMBER(347:347)),
  _xlpm.elos, INDEX(346:346,1,_xlpm.colj),
  _xlpm.diffscale, Constantes!$B$2,
  IF(O347="",
    "",
    SUM(1/(1+POWER(10,-(O346-_xlpm.elos)/_xlpm.diffscale)))-0.5)
)</f>
        <v/>
      </c>
      <c r="P348" t="str" cm="1">
        <f t="array" ref="P348">_xlfn.LET(
  _xlpm.colj, _xlfn._xlws.FILTER(IF(ISNUMBER(347:347), COLUMN(347:347)), ISNUMBER(347:347)),
  _xlpm.elos, INDEX(346:346,1,_xlpm.colj),
  _xlpm.diffscale, Constantes!$B$2,
  IF(P347="",
    "",
    SUM(1/(1+POWER(10,-(P346-_xlpm.elos)/_xlpm.diffscale)))-0.5)
)</f>
        <v/>
      </c>
      <c r="Q348" t="str" cm="1">
        <f t="array" ref="Q348">_xlfn.LET(
  _xlpm.colj, _xlfn._xlws.FILTER(IF(ISNUMBER(347:347), COLUMN(347:347)), ISNUMBER(347:347)),
  _xlpm.elos, INDEX(346:346,1,_xlpm.colj),
  _xlpm.diffscale, Constantes!$B$2,
  IF(Q347="",
    "",
    SUM(1/(1+POWER(10,-(Q346-_xlpm.elos)/_xlpm.diffscale)))-0.5)
)</f>
        <v/>
      </c>
      <c r="R348" cm="1">
        <f t="array" ref="R348">_xlfn.LET(
  _xlpm.colj, _xlfn._xlws.FILTER(IF(ISNUMBER(347:347), COLUMN(347:347)), ISNUMBER(347:347)),
  _xlpm.elos, INDEX(346:346,1,_xlpm.colj),
  _xlpm.diffscale, Constantes!$B$2,
  IF(R347="",
    "",
    SUM(1/(1+POWER(10,-(R346-_xlpm.elos)/_xlpm.diffscale)))-0.5)
)</f>
        <v>1.6378018050030883</v>
      </c>
      <c r="S348" t="str" cm="1">
        <f t="array" ref="S348">_xlfn.LET(
  _xlpm.colj, _xlfn._xlws.FILTER(IF(ISNUMBER(347:347), COLUMN(347:347)), ISNUMBER(347:347)),
  _xlpm.elos, INDEX(346:346,1,_xlpm.colj),
  _xlpm.diffscale, Constantes!$B$2,
  IF(S347="",
    "",
    SUM(1/(1+POWER(10,-(S346-_xlpm.elos)/_xlpm.diffscale)))-0.5)
)</f>
        <v/>
      </c>
      <c r="T348" t="str" cm="1">
        <f t="array" ref="T348">_xlfn.LET(
  _xlpm.colj, _xlfn._xlws.FILTER(IF(ISNUMBER(347:347), COLUMN(347:347)), ISNUMBER(347:347)),
  _xlpm.elos, INDEX(346:346,1,_xlpm.colj),
  _xlpm.diffscale, Constantes!$B$2,
  IF(T347="",
    "",
    SUM(1/(1+POWER(10,-(T346-_xlpm.elos)/_xlpm.diffscale)))-0.5)
)</f>
        <v/>
      </c>
      <c r="U348" t="str" cm="1">
        <f t="array" ref="U348">_xlfn.LET(
  _xlpm.colj, _xlfn._xlws.FILTER(IF(ISNUMBER(347:347), COLUMN(347:347)), ISNUMBER(347:347)),
  _xlpm.elos, INDEX(346:346,1,_xlpm.colj),
  _xlpm.diffscale, Constantes!$B$2,
  IF(U347="",
    "",
    SUM(1/(1+POWER(10,-(U346-_xlpm.elos)/_xlpm.diffscale)))-0.5)
)</f>
        <v/>
      </c>
      <c r="V348" t="str" cm="1">
        <f t="array" ref="V348">_xlfn.LET(
  _xlpm.colj, _xlfn._xlws.FILTER(IF(ISNUMBER(347:347), COLUMN(347:347)), ISNUMBER(347:347)),
  _xlpm.elos, INDEX(346:346,1,_xlpm.colj),
  _xlpm.diffscale, Constantes!$B$2,
  IF(V347="",
    "",
    SUM(1/(1+POWER(10,-(V346-_xlpm.elos)/_xlpm.diffscale)))-0.5)
)</f>
        <v/>
      </c>
      <c r="W348" t="str" cm="1">
        <f t="array" ref="W348">_xlfn.LET(
  _xlpm.colj, _xlfn._xlws.FILTER(IF(ISNUMBER(347:347), COLUMN(347:347)), ISNUMBER(347:347)),
  _xlpm.elos, INDEX(346:346,1,_xlpm.colj),
  _xlpm.diffscale, Constantes!$B$2,
  IF(W347="",
    "",
    SUM(1/(1+POWER(10,-(W346-_xlpm.elos)/_xlpm.diffscale)))-0.5)
)</f>
        <v/>
      </c>
      <c r="X348" t="str" cm="1">
        <f t="array" ref="X348">_xlfn.LET(
  _xlpm.colj, _xlfn._xlws.FILTER(IF(ISNUMBER(347:347), COLUMN(347:347)), ISNUMBER(347:347)),
  _xlpm.elos, INDEX(346:346,1,_xlpm.colj),
  _xlpm.diffscale, Constantes!$B$2,
  IF(X347="",
    "",
    SUM(1/(1+POWER(10,-(X346-_xlpm.elos)/_xlpm.diffscale)))-0.5)
)</f>
        <v/>
      </c>
      <c r="Y348" t="str" cm="1">
        <f t="array" ref="Y348">_xlfn.LET(
  _xlpm.colj, _xlfn._xlws.FILTER(IF(ISNUMBER(347:347), COLUMN(347:347)), ISNUMBER(347:347)),
  _xlpm.elos, INDEX(346:346,1,_xlpm.colj),
  _xlpm.diffscale, Constantes!$B$2,
  IF(Y347="",
    "",
    SUM(1/(1+POWER(10,-(Y346-_xlpm.elos)/_xlpm.diffscale)))-0.5)
)</f>
        <v/>
      </c>
      <c r="Z348" t="str" cm="1">
        <f t="array" ref="Z348">_xlfn.LET(
  _xlpm.colj, _xlfn._xlws.FILTER(IF(ISNUMBER(347:347), COLUMN(347:347)), ISNUMBER(347:347)),
  _xlpm.elos, INDEX(346:346,1,_xlpm.colj),
  _xlpm.diffscale, Constantes!$B$2,
  IF(Z347="",
    "",
    SUM(1/(1+POWER(10,-(Z346-_xlpm.elos)/_xlpm.diffscale)))-0.5)
)</f>
        <v/>
      </c>
      <c r="AA348" t="str" cm="1">
        <f t="array" ref="AA348">_xlfn.LET(
  _xlpm.colj, _xlfn._xlws.FILTER(IF(ISNUMBER(347:347), COLUMN(347:347)), ISNUMBER(347:347)),
  _xlpm.elos, INDEX(346:346,1,_xlpm.colj),
  _xlpm.diffscale, Constantes!$B$2,
  IF(AA347="",
    "",
    SUM(1/(1+POWER(10,-(AA346-_xlpm.elos)/_xlpm.diffscale)))-0.5)
)</f>
        <v/>
      </c>
      <c r="AB348" t="str" cm="1">
        <f t="array" ref="AB348">_xlfn.LET(
  _xlpm.colj, _xlfn._xlws.FILTER(IF(ISNUMBER(347:347), COLUMN(347:347)), ISNUMBER(347:347)),
  _xlpm.elos, INDEX(346:346,1,_xlpm.colj),
  _xlpm.diffscale, Constantes!$B$2,
  IF(AB347="",
    "",
    SUM(1/(1+POWER(10,-(AB346-_xlpm.elos)/_xlpm.diffscale)))-0.5)
)</f>
        <v/>
      </c>
      <c r="AC348" t="str" cm="1">
        <f t="array" ref="AC348">_xlfn.LET(
  _xlpm.colj, _xlfn._xlws.FILTER(IF(ISNUMBER(347:347), COLUMN(347:347)), ISNUMBER(347:347)),
  _xlpm.elos, INDEX(346:346,1,_xlpm.colj),
  _xlpm.diffscale, Constantes!$B$2,
  IF(AC347="",
    "",
    SUM(1/(1+POWER(10,-(AC346-_xlpm.elos)/_xlpm.diffscale)))-0.5)
)</f>
        <v/>
      </c>
      <c r="AD348" t="str" cm="1">
        <f t="array" ref="AD348">_xlfn.LET(
  _xlpm.colj, _xlfn._xlws.FILTER(IF(ISNUMBER(347:347), COLUMN(347:347)), ISNUMBER(347:347)),
  _xlpm.elos, INDEX(346:346,1,_xlpm.colj),
  _xlpm.diffscale, Constantes!$B$2,
  IF(AD347="",
    "",
    SUM(1/(1+POWER(10,-(AD346-_xlpm.elos)/_xlpm.diffscale)))-0.5)
)</f>
        <v/>
      </c>
      <c r="AE348" t="str" cm="1">
        <f t="array" ref="AE348">_xlfn.LET(
  _xlpm.colj, _xlfn._xlws.FILTER(IF(ISNUMBER(347:347), COLUMN(347:347)), ISNUMBER(347:347)),
  _xlpm.elos, INDEX(346:346,1,_xlpm.colj),
  _xlpm.diffscale, Constantes!$B$2,
  IF(AE347="",
    "",
    SUM(1/(1+POWER(10,-(AE346-_xlpm.elos)/_xlpm.diffscale)))-0.5)
)</f>
        <v/>
      </c>
      <c r="AF348" t="str" cm="1">
        <f t="array" ref="AF348">_xlfn.LET(
  _xlpm.colj, _xlfn._xlws.FILTER(IF(ISNUMBER(347:347), COLUMN(347:347)), ISNUMBER(347:347)),
  _xlpm.elos, INDEX(346:346,1,_xlpm.colj),
  _xlpm.diffscale, Constantes!$B$2,
  IF(AF347="",
    "",
    SUM(1/(1+POWER(10,-(AF346-_xlpm.elos)/_xlpm.diffscale)))-0.5)
)</f>
        <v/>
      </c>
      <c r="AG348" t="str" cm="1">
        <f t="array" ref="AG348">_xlfn.LET(
  _xlpm.colj, _xlfn._xlws.FILTER(IF(ISNUMBER(347:347), COLUMN(347:347)), ISNUMBER(347:347)),
  _xlpm.elos, INDEX(346:346,1,_xlpm.colj),
  _xlpm.diffscale, Constantes!$B$2,
  IF(AG347="",
    "",
    SUM(1/(1+POWER(10,-(AG346-_xlpm.elos)/_xlpm.diffscale)))-0.5)
)</f>
        <v/>
      </c>
      <c r="AH348" t="str" cm="1">
        <f t="array" ref="AH348">_xlfn.LET(
  _xlpm.colj, _xlfn._xlws.FILTER(IF(ISNUMBER(347:347), COLUMN(347:347)), ISNUMBER(347:347)),
  _xlpm.elos, INDEX(346:346,1,_xlpm.colj),
  _xlpm.diffscale, Constantes!$B$2,
  IF(AH347="",
    "",
    SUM(1/(1+POWER(10,-(AH346-_xlpm.elos)/_xlpm.diffscale)))-0.5)
)</f>
        <v/>
      </c>
      <c r="AI348" cm="1">
        <f t="array" ref="AI348">_xlfn.LET(
  _xlpm.colj, _xlfn._xlws.FILTER(IF(ISNUMBER(347:347), COLUMN(347:347)), ISNUMBER(347:347)),
  _xlpm.elos, INDEX(346:346,1,_xlpm.colj),
  _xlpm.diffscale, Constantes!$B$2,
  IF(AI347="",
    "",
    SUM(1/(1+POWER(10,-(AI346-_xlpm.elos)/_xlpm.diffscale)))-0.5)
)</f>
        <v>0.86835390242561017</v>
      </c>
      <c r="AJ348" t="str" cm="1">
        <f t="array" ref="AJ348">_xlfn.LET(
  _xlpm.colj, _xlfn._xlws.FILTER(IF(ISNUMBER(347:347), COLUMN(347:347)), ISNUMBER(347:347)),
  _xlpm.elos, INDEX(346:346,1,_xlpm.colj),
  _xlpm.diffscale, Constantes!$B$2,
  IF(AJ347="",
    "",
    SUM(1/(1+POWER(10,-(AJ346-_xlpm.elos)/_xlpm.diffscale)))-0.5)
)</f>
        <v/>
      </c>
      <c r="AK348" t="str" cm="1">
        <f t="array" ref="AK348">_xlfn.LET(
  _xlpm.colj, _xlfn._xlws.FILTER(IF(ISNUMBER(347:347), COLUMN(347:347)), ISNUMBER(347:347)),
  _xlpm.elos, INDEX(346:346,1,_xlpm.colj),
  _xlpm.diffscale, Constantes!$B$2,
  IF(AK347="",
    "",
    SUM(1/(1+POWER(10,-(AK346-_xlpm.elos)/_xlpm.diffscale)))-0.5)
)</f>
        <v/>
      </c>
      <c r="AL348" t="str" cm="1">
        <f t="array" ref="AL348">_xlfn.LET(
  _xlpm.colj, _xlfn._xlws.FILTER(IF(ISNUMBER(347:347), COLUMN(347:347)), ISNUMBER(347:347)),
  _xlpm.elos, INDEX(346:346,1,_xlpm.colj),
  _xlpm.diffscale, Constantes!$B$2,
  IF(AL347="",
    "",
    SUM(1/(1+POWER(10,-(AL346-_xlpm.elos)/_xlpm.diffscale)))-0.5)
)</f>
        <v/>
      </c>
      <c r="AM348" t="str" cm="1">
        <f t="array" ref="AM348">_xlfn.LET(
  _xlpm.colj, _xlfn._xlws.FILTER(IF(ISNUMBER(347:347), COLUMN(347:347)), ISNUMBER(347:347)),
  _xlpm.elos, INDEX(346:346,1,_xlpm.colj),
  _xlpm.diffscale, Constantes!$B$2,
  IF(AM347="",
    "",
    SUM(1/(1+POWER(10,-(AM346-_xlpm.elos)/_xlpm.diffscale)))-0.5)
)</f>
        <v/>
      </c>
    </row>
    <row r="349" spans="1:39" x14ac:dyDescent="0.25">
      <c r="A349" t="s">
        <v>22</v>
      </c>
      <c r="D349" t="str" cm="1">
        <f t="array" ref="D349">_xlfn.LET(
  _xlpm.K, Constantes!$B$3,
  _xlpm.Knewgain, Constantes!$B$4,
  _xlpm.Knewscale, Constantes!$B$5,
  _xlpm.ptstables, INDEX(D:D, _xlfn.SEQUENCE(COUNTA($C$2:$C349), 1, 3, 4)),
  _xlpm.nbparties, COUNTA(_xlfn._xlws.FILTER(_xlpm.ptstables, _xlpm.ptstables &lt;&gt; "")),
  _xlpm.coef, _xlpm.K + _xlpm.Knewgain / (_xlpm.Knewscale + _xlpm.nbparties),
  IF(D347="",
    "",
    _xlpm.coef * (D347-D348))
)</f>
        <v/>
      </c>
      <c r="E349" cm="1">
        <f t="array" ref="E349">_xlfn.LET(
  _xlpm.K, Constantes!$B$3,
  _xlpm.Knewgain, Constantes!$B$4,
  _xlpm.Knewscale, Constantes!$B$5,
  _xlpm.ptstables, INDEX(E:E, _xlfn.SEQUENCE(COUNTA($C$2:$C349), 1, 3, 4)),
  _xlpm.nbparties, COUNTA(_xlfn._xlws.FILTER(_xlpm.ptstables, _xlpm.ptstables &lt;&gt; "")),
  _xlpm.coef, _xlpm.K + _xlpm.Knewgain / (_xlpm.Knewscale + _xlpm.nbparties),
  IF(E347="",
    "",
    _xlpm.coef * (E347-E348))
)</f>
        <v>27.823218423769156</v>
      </c>
      <c r="F349" t="str" cm="1">
        <f t="array" ref="F349">_xlfn.LET(
  _xlpm.K, Constantes!$B$3,
  _xlpm.Knewgain, Constantes!$B$4,
  _xlpm.Knewscale, Constantes!$B$5,
  _xlpm.ptstables, INDEX(F:F, _xlfn.SEQUENCE(COUNTA($C$2:$C349), 1, 3, 4)),
  _xlpm.nbparties, COUNTA(_xlfn._xlws.FILTER(_xlpm.ptstables, _xlpm.ptstables &lt;&gt; "")),
  _xlpm.coef, _xlpm.K + _xlpm.Knewgain / (_xlpm.Knewscale + _xlpm.nbparties),
  IF(F347="",
    "",
    _xlpm.coef * (F347-F348))
)</f>
        <v/>
      </c>
      <c r="G349" cm="1">
        <f t="array" ref="G349">_xlfn.LET(
  _xlpm.K, Constantes!$B$3,
  _xlpm.Knewgain, Constantes!$B$4,
  _xlpm.Knewscale, Constantes!$B$5,
  _xlpm.ptstables, INDEX(G:G, _xlfn.SEQUENCE(COUNTA($C$2:$C349), 1, 3, 4)),
  _xlpm.nbparties, COUNTA(_xlfn._xlws.FILTER(_xlpm.ptstables, _xlpm.ptstables &lt;&gt; "")),
  _xlpm.coef, _xlpm.K + _xlpm.Knewgain / (_xlpm.Knewscale + _xlpm.nbparties),
  IF(G347="",
    "",
    _xlpm.coef * (G347-G348))
)</f>
        <v>-16.289942696171877</v>
      </c>
      <c r="H349" t="str" cm="1">
        <f t="array" ref="H349">_xlfn.LET(
  _xlpm.K, Constantes!$B$3,
  _xlpm.Knewgain, Constantes!$B$4,
  _xlpm.Knewscale, Constantes!$B$5,
  _xlpm.ptstables, INDEX(H:H, _xlfn.SEQUENCE(COUNTA($C$2:$C349), 1, 3, 4)),
  _xlpm.nbparties, COUNTA(_xlfn._xlws.FILTER(_xlpm.ptstables, _xlpm.ptstables &lt;&gt; "")),
  _xlpm.coef, _xlpm.K + _xlpm.Knewgain / (_xlpm.Knewscale + _xlpm.nbparties),
  IF(H347="",
    "",
    _xlpm.coef * (H347-H348))
)</f>
        <v/>
      </c>
      <c r="I349" t="str" cm="1">
        <f t="array" ref="I349">_xlfn.LET(
  _xlpm.K, Constantes!$B$3,
  _xlpm.Knewgain, Constantes!$B$4,
  _xlpm.Knewscale, Constantes!$B$5,
  _xlpm.ptstables, INDEX(I:I, _xlfn.SEQUENCE(COUNTA($C$2:$C349), 1, 3, 4)),
  _xlpm.nbparties, COUNTA(_xlfn._xlws.FILTER(_xlpm.ptstables, _xlpm.ptstables &lt;&gt; "")),
  _xlpm.coef, _xlpm.K + _xlpm.Knewgain / (_xlpm.Knewscale + _xlpm.nbparties),
  IF(I347="",
    "",
    _xlpm.coef * (I347-I348))
)</f>
        <v/>
      </c>
      <c r="J349" t="str" cm="1">
        <f t="array" ref="J349">_xlfn.LET(
  _xlpm.K, Constantes!$B$3,
  _xlpm.Knewgain, Constantes!$B$4,
  _xlpm.Knewscale, Constantes!$B$5,
  _xlpm.ptstables, INDEX(J:J, _xlfn.SEQUENCE(COUNTA($C$2:$C349), 1, 3, 4)),
  _xlpm.nbparties, COUNTA(_xlfn._xlws.FILTER(_xlpm.ptstables, _xlpm.ptstables &lt;&gt; "")),
  _xlpm.coef, _xlpm.K + _xlpm.Knewgain / (_xlpm.Knewscale + _xlpm.nbparties),
  IF(J347="",
    "",
    _xlpm.coef * (J347-J348))
)</f>
        <v/>
      </c>
      <c r="K349" t="str" cm="1">
        <f t="array" ref="K349">_xlfn.LET(
  _xlpm.K, Constantes!$B$3,
  _xlpm.Knewgain, Constantes!$B$4,
  _xlpm.Knewscale, Constantes!$B$5,
  _xlpm.ptstables, INDEX(K:K, _xlfn.SEQUENCE(COUNTA($C$2:$C349), 1, 3, 4)),
  _xlpm.nbparties, COUNTA(_xlfn._xlws.FILTER(_xlpm.ptstables, _xlpm.ptstables &lt;&gt; "")),
  _xlpm.coef, _xlpm.K + _xlpm.Knewgain / (_xlpm.Knewscale + _xlpm.nbparties),
  IF(K347="",
    "",
    _xlpm.coef * (K347-K348))
)</f>
        <v/>
      </c>
      <c r="L349" t="str" cm="1">
        <f t="array" ref="L349">_xlfn.LET(
  _xlpm.K, Constantes!$B$3,
  _xlpm.Knewgain, Constantes!$B$4,
  _xlpm.Knewscale, Constantes!$B$5,
  _xlpm.ptstables, INDEX(L:L, _xlfn.SEQUENCE(COUNTA($C$2:$C349), 1, 3, 4)),
  _xlpm.nbparties, COUNTA(_xlfn._xlws.FILTER(_xlpm.ptstables, _xlpm.ptstables &lt;&gt; "")),
  _xlpm.coef, _xlpm.K + _xlpm.Knewgain / (_xlpm.Knewscale + _xlpm.nbparties),
  IF(L347="",
    "",
    _xlpm.coef * (L347-L348))
)</f>
        <v/>
      </c>
      <c r="M349" t="str" cm="1">
        <f t="array" ref="M349">_xlfn.LET(
  _xlpm.K, Constantes!$B$3,
  _xlpm.Knewgain, Constantes!$B$4,
  _xlpm.Knewscale, Constantes!$B$5,
  _xlpm.ptstables, INDEX(M:M, _xlfn.SEQUENCE(COUNTA($C$2:$C349), 1, 3, 4)),
  _xlpm.nbparties, COUNTA(_xlfn._xlws.FILTER(_xlpm.ptstables, _xlpm.ptstables &lt;&gt; "")),
  _xlpm.coef, _xlpm.K + _xlpm.Knewgain / (_xlpm.Knewscale + _xlpm.nbparties),
  IF(M347="",
    "",
    _xlpm.coef * (M347-M348))
)</f>
        <v/>
      </c>
      <c r="N349" t="str" cm="1">
        <f t="array" ref="N349">_xlfn.LET(
  _xlpm.K, Constantes!$B$3,
  _xlpm.Knewgain, Constantes!$B$4,
  _xlpm.Knewscale, Constantes!$B$5,
  _xlpm.ptstables, INDEX(N:N, _xlfn.SEQUENCE(COUNTA($C$2:$C349), 1, 3, 4)),
  _xlpm.nbparties, COUNTA(_xlfn._xlws.FILTER(_xlpm.ptstables, _xlpm.ptstables &lt;&gt; "")),
  _xlpm.coef, _xlpm.K + _xlpm.Knewgain / (_xlpm.Knewscale + _xlpm.nbparties),
  IF(N347="",
    "",
    _xlpm.coef * (N347-N348))
)</f>
        <v/>
      </c>
      <c r="O349" t="str" cm="1">
        <f t="array" ref="O349">_xlfn.LET(
  _xlpm.K, Constantes!$B$3,
  _xlpm.Knewgain, Constantes!$B$4,
  _xlpm.Knewscale, Constantes!$B$5,
  _xlpm.ptstables, INDEX(O:O, _xlfn.SEQUENCE(COUNTA($C$2:$C349), 1, 3, 4)),
  _xlpm.nbparties, COUNTA(_xlfn._xlws.FILTER(_xlpm.ptstables, _xlpm.ptstables &lt;&gt; "")),
  _xlpm.coef, _xlpm.K + _xlpm.Knewgain / (_xlpm.Knewscale + _xlpm.nbparties),
  IF(O347="",
    "",
    _xlpm.coef * (O347-O348))
)</f>
        <v/>
      </c>
      <c r="P349" t="str" cm="1">
        <f t="array" ref="P349">_xlfn.LET(
  _xlpm.K, Constantes!$B$3,
  _xlpm.Knewgain, Constantes!$B$4,
  _xlpm.Knewscale, Constantes!$B$5,
  _xlpm.ptstables, INDEX(P:P, _xlfn.SEQUENCE(COUNTA($C$2:$C349), 1, 3, 4)),
  _xlpm.nbparties, COUNTA(_xlfn._xlws.FILTER(_xlpm.ptstables, _xlpm.ptstables &lt;&gt; "")),
  _xlpm.coef, _xlpm.K + _xlpm.Knewgain / (_xlpm.Knewscale + _xlpm.nbparties),
  IF(P347="",
    "",
    _xlpm.coef * (P347-P348))
)</f>
        <v/>
      </c>
      <c r="Q349" t="str" cm="1">
        <f t="array" ref="Q349">_xlfn.LET(
  _xlpm.K, Constantes!$B$3,
  _xlpm.Knewgain, Constantes!$B$4,
  _xlpm.Knewscale, Constantes!$B$5,
  _xlpm.ptstables, INDEX(Q:Q, _xlfn.SEQUENCE(COUNTA($C$2:$C349), 1, 3, 4)),
  _xlpm.nbparties, COUNTA(_xlfn._xlws.FILTER(_xlpm.ptstables, _xlpm.ptstables &lt;&gt; "")),
  _xlpm.coef, _xlpm.K + _xlpm.Knewgain / (_xlpm.Knewscale + _xlpm.nbparties),
  IF(Q347="",
    "",
    _xlpm.coef * (Q347-Q348))
)</f>
        <v/>
      </c>
      <c r="R349" cm="1">
        <f t="array" ref="R349">_xlfn.LET(
  _xlpm.K, Constantes!$B$3,
  _xlpm.Knewgain, Constantes!$B$4,
  _xlpm.Knewscale, Constantes!$B$5,
  _xlpm.ptstables, INDEX(R:R, _xlfn.SEQUENCE(COUNTA($C$2:$C349), 1, 3, 4)),
  _xlpm.nbparties, COUNTA(_xlfn._xlws.FILTER(_xlpm.ptstables, _xlpm.ptstables &lt;&gt; "")),
  _xlpm.coef, _xlpm.K + _xlpm.Knewgain / (_xlpm.Knewscale + _xlpm.nbparties),
  IF(R347="",
    "",
    _xlpm.coef * (R347-R348))
)</f>
        <v>8.1063405546927871</v>
      </c>
      <c r="S349" t="str" cm="1">
        <f t="array" ref="S349">_xlfn.LET(
  _xlpm.K, Constantes!$B$3,
  _xlpm.Knewgain, Constantes!$B$4,
  _xlpm.Knewscale, Constantes!$B$5,
  _xlpm.ptstables, INDEX(S:S, _xlfn.SEQUENCE(COUNTA($C$2:$C349), 1, 3, 4)),
  _xlpm.nbparties, COUNTA(_xlfn._xlws.FILTER(_xlpm.ptstables, _xlpm.ptstables &lt;&gt; "")),
  _xlpm.coef, _xlpm.K + _xlpm.Knewgain / (_xlpm.Knewscale + _xlpm.nbparties),
  IF(S347="",
    "",
    _xlpm.coef * (S347-S348))
)</f>
        <v/>
      </c>
      <c r="T349" t="str" cm="1">
        <f t="array" ref="T349">_xlfn.LET(
  _xlpm.K, Constantes!$B$3,
  _xlpm.Knewgain, Constantes!$B$4,
  _xlpm.Knewscale, Constantes!$B$5,
  _xlpm.ptstables, INDEX(T:T, _xlfn.SEQUENCE(COUNTA($C$2:$C349), 1, 3, 4)),
  _xlpm.nbparties, COUNTA(_xlfn._xlws.FILTER(_xlpm.ptstables, _xlpm.ptstables &lt;&gt; "")),
  _xlpm.coef, _xlpm.K + _xlpm.Knewgain / (_xlpm.Knewscale + _xlpm.nbparties),
  IF(T347="",
    "",
    _xlpm.coef * (T347-T348))
)</f>
        <v/>
      </c>
      <c r="U349" t="str" cm="1">
        <f t="array" ref="U349">_xlfn.LET(
  _xlpm.K, Constantes!$B$3,
  _xlpm.Knewgain, Constantes!$B$4,
  _xlpm.Knewscale, Constantes!$B$5,
  _xlpm.ptstables, INDEX(U:U, _xlfn.SEQUENCE(COUNTA($C$2:$C349), 1, 3, 4)),
  _xlpm.nbparties, COUNTA(_xlfn._xlws.FILTER(_xlpm.ptstables, _xlpm.ptstables &lt;&gt; "")),
  _xlpm.coef, _xlpm.K + _xlpm.Knewgain / (_xlpm.Knewscale + _xlpm.nbparties),
  IF(U347="",
    "",
    _xlpm.coef * (U347-U348))
)</f>
        <v/>
      </c>
      <c r="V349" t="str" cm="1">
        <f t="array" ref="V349">_xlfn.LET(
  _xlpm.K, Constantes!$B$3,
  _xlpm.Knewgain, Constantes!$B$4,
  _xlpm.Knewscale, Constantes!$B$5,
  _xlpm.ptstables, INDEX(V:V, _xlfn.SEQUENCE(COUNTA($C$2:$C349), 1, 3, 4)),
  _xlpm.nbparties, COUNTA(_xlfn._xlws.FILTER(_xlpm.ptstables, _xlpm.ptstables &lt;&gt; "")),
  _xlpm.coef, _xlpm.K + _xlpm.Knewgain / (_xlpm.Knewscale + _xlpm.nbparties),
  IF(V347="",
    "",
    _xlpm.coef * (V347-V348))
)</f>
        <v/>
      </c>
      <c r="W349" t="str" cm="1">
        <f t="array" ref="W349">_xlfn.LET(
  _xlpm.K, Constantes!$B$3,
  _xlpm.Knewgain, Constantes!$B$4,
  _xlpm.Knewscale, Constantes!$B$5,
  _xlpm.ptstables, INDEX(W:W, _xlfn.SEQUENCE(COUNTA($C$2:$C349), 1, 3, 4)),
  _xlpm.nbparties, COUNTA(_xlfn._xlws.FILTER(_xlpm.ptstables, _xlpm.ptstables &lt;&gt; "")),
  _xlpm.coef, _xlpm.K + _xlpm.Knewgain / (_xlpm.Knewscale + _xlpm.nbparties),
  IF(W347="",
    "",
    _xlpm.coef * (W347-W348))
)</f>
        <v/>
      </c>
      <c r="X349" t="str" cm="1">
        <f t="array" ref="X349">_xlfn.LET(
  _xlpm.K, Constantes!$B$3,
  _xlpm.Knewgain, Constantes!$B$4,
  _xlpm.Knewscale, Constantes!$B$5,
  _xlpm.ptstables, INDEX(X:X, _xlfn.SEQUENCE(COUNTA($C$2:$C349), 1, 3, 4)),
  _xlpm.nbparties, COUNTA(_xlfn._xlws.FILTER(_xlpm.ptstables, _xlpm.ptstables &lt;&gt; "")),
  _xlpm.coef, _xlpm.K + _xlpm.Knewgain / (_xlpm.Knewscale + _xlpm.nbparties),
  IF(X347="",
    "",
    _xlpm.coef * (X347-X348))
)</f>
        <v/>
      </c>
      <c r="Y349" t="str" cm="1">
        <f t="array" ref="Y349">_xlfn.LET(
  _xlpm.K, Constantes!$B$3,
  _xlpm.Knewgain, Constantes!$B$4,
  _xlpm.Knewscale, Constantes!$B$5,
  _xlpm.ptstables, INDEX(Y:Y, _xlfn.SEQUENCE(COUNTA($C$2:$C349), 1, 3, 4)),
  _xlpm.nbparties, COUNTA(_xlfn._xlws.FILTER(_xlpm.ptstables, _xlpm.ptstables &lt;&gt; "")),
  _xlpm.coef, _xlpm.K + _xlpm.Knewgain / (_xlpm.Knewscale + _xlpm.nbparties),
  IF(Y347="",
    "",
    _xlpm.coef * (Y347-Y348))
)</f>
        <v/>
      </c>
      <c r="Z349" t="str" cm="1">
        <f t="array" ref="Z349">_xlfn.LET(
  _xlpm.K, Constantes!$B$3,
  _xlpm.Knewgain, Constantes!$B$4,
  _xlpm.Knewscale, Constantes!$B$5,
  _xlpm.ptstables, INDEX(Z:Z, _xlfn.SEQUENCE(COUNTA($C$2:$C349), 1, 3, 4)),
  _xlpm.nbparties, COUNTA(_xlfn._xlws.FILTER(_xlpm.ptstables, _xlpm.ptstables &lt;&gt; "")),
  _xlpm.coef, _xlpm.K + _xlpm.Knewgain / (_xlpm.Knewscale + _xlpm.nbparties),
  IF(Z347="",
    "",
    _xlpm.coef * (Z347-Z348))
)</f>
        <v/>
      </c>
      <c r="AA349" t="str" cm="1">
        <f t="array" ref="AA349">_xlfn.LET(
  _xlpm.K, Constantes!$B$3,
  _xlpm.Knewgain, Constantes!$B$4,
  _xlpm.Knewscale, Constantes!$B$5,
  _xlpm.ptstables, INDEX(AA:AA, _xlfn.SEQUENCE(COUNTA($C$2:$C349), 1, 3, 4)),
  _xlpm.nbparties, COUNTA(_xlfn._xlws.FILTER(_xlpm.ptstables, _xlpm.ptstables &lt;&gt; "")),
  _xlpm.coef, _xlpm.K + _xlpm.Knewgain / (_xlpm.Knewscale + _xlpm.nbparties),
  IF(AA347="",
    "",
    _xlpm.coef * (AA347-AA348))
)</f>
        <v/>
      </c>
      <c r="AB349" t="str" cm="1">
        <f t="array" ref="AB349">_xlfn.LET(
  _xlpm.K, Constantes!$B$3,
  _xlpm.Knewgain, Constantes!$B$4,
  _xlpm.Knewscale, Constantes!$B$5,
  _xlpm.ptstables, INDEX(AB:AB, _xlfn.SEQUENCE(COUNTA($C$2:$C349), 1, 3, 4)),
  _xlpm.nbparties, COUNTA(_xlfn._xlws.FILTER(_xlpm.ptstables, _xlpm.ptstables &lt;&gt; "")),
  _xlpm.coef, _xlpm.K + _xlpm.Knewgain / (_xlpm.Knewscale + _xlpm.nbparties),
  IF(AB347="",
    "",
    _xlpm.coef * (AB347-AB348))
)</f>
        <v/>
      </c>
      <c r="AC349" t="str" cm="1">
        <f t="array" ref="AC349">_xlfn.LET(
  _xlpm.K, Constantes!$B$3,
  _xlpm.Knewgain, Constantes!$B$4,
  _xlpm.Knewscale, Constantes!$B$5,
  _xlpm.ptstables, INDEX(AC:AC, _xlfn.SEQUENCE(COUNTA($C$2:$C349), 1, 3, 4)),
  _xlpm.nbparties, COUNTA(_xlfn._xlws.FILTER(_xlpm.ptstables, _xlpm.ptstables &lt;&gt; "")),
  _xlpm.coef, _xlpm.K + _xlpm.Knewgain / (_xlpm.Knewscale + _xlpm.nbparties),
  IF(AC347="",
    "",
    _xlpm.coef * (AC347-AC348))
)</f>
        <v/>
      </c>
      <c r="AD349" t="str" cm="1">
        <f t="array" ref="AD349">_xlfn.LET(
  _xlpm.K, Constantes!$B$3,
  _xlpm.Knewgain, Constantes!$B$4,
  _xlpm.Knewscale, Constantes!$B$5,
  _xlpm.ptstables, INDEX(AD:AD, _xlfn.SEQUENCE(COUNTA($C$2:$C349), 1, 3, 4)),
  _xlpm.nbparties, COUNTA(_xlfn._xlws.FILTER(_xlpm.ptstables, _xlpm.ptstables &lt;&gt; "")),
  _xlpm.coef, _xlpm.K + _xlpm.Knewgain / (_xlpm.Knewscale + _xlpm.nbparties),
  IF(AD347="",
    "",
    _xlpm.coef * (AD347-AD348))
)</f>
        <v/>
      </c>
      <c r="AE349" t="str" cm="1">
        <f t="array" ref="AE349">_xlfn.LET(
  _xlpm.K, Constantes!$B$3,
  _xlpm.Knewgain, Constantes!$B$4,
  _xlpm.Knewscale, Constantes!$B$5,
  _xlpm.ptstables, INDEX(AE:AE, _xlfn.SEQUENCE(COUNTA($C$2:$C349), 1, 3, 4)),
  _xlpm.nbparties, COUNTA(_xlfn._xlws.FILTER(_xlpm.ptstables, _xlpm.ptstables &lt;&gt; "")),
  _xlpm.coef, _xlpm.K + _xlpm.Knewgain / (_xlpm.Knewscale + _xlpm.nbparties),
  IF(AE347="",
    "",
    _xlpm.coef * (AE347-AE348))
)</f>
        <v/>
      </c>
      <c r="AF349" t="str" cm="1">
        <f t="array" ref="AF349">_xlfn.LET(
  _xlpm.K, Constantes!$B$3,
  _xlpm.Knewgain, Constantes!$B$4,
  _xlpm.Knewscale, Constantes!$B$5,
  _xlpm.ptstables, INDEX(AF:AF, _xlfn.SEQUENCE(COUNTA($C$2:$C349), 1, 3, 4)),
  _xlpm.nbparties, COUNTA(_xlfn._xlws.FILTER(_xlpm.ptstables, _xlpm.ptstables &lt;&gt; "")),
  _xlpm.coef, _xlpm.K + _xlpm.Knewgain / (_xlpm.Knewscale + _xlpm.nbparties),
  IF(AF347="",
    "",
    _xlpm.coef * (AF347-AF348))
)</f>
        <v/>
      </c>
      <c r="AG349" t="str" cm="1">
        <f t="array" ref="AG349">_xlfn.LET(
  _xlpm.K, Constantes!$B$3,
  _xlpm.Knewgain, Constantes!$B$4,
  _xlpm.Knewscale, Constantes!$B$5,
  _xlpm.ptstables, INDEX(AG:AG, _xlfn.SEQUENCE(COUNTA($C$2:$C349), 1, 3, 4)),
  _xlpm.nbparties, COUNTA(_xlfn._xlws.FILTER(_xlpm.ptstables, _xlpm.ptstables &lt;&gt; "")),
  _xlpm.coef, _xlpm.K + _xlpm.Knewgain / (_xlpm.Knewscale + _xlpm.nbparties),
  IF(AG347="",
    "",
    _xlpm.coef * (AG347-AG348))
)</f>
        <v/>
      </c>
      <c r="AH349" t="str" cm="1">
        <f t="array" ref="AH349">_xlfn.LET(
  _xlpm.K, Constantes!$B$3,
  _xlpm.Knewgain, Constantes!$B$4,
  _xlpm.Knewscale, Constantes!$B$5,
  _xlpm.ptstables, INDEX(AH:AH, _xlfn.SEQUENCE(COUNTA($C$2:$C349), 1, 3, 4)),
  _xlpm.nbparties, COUNTA(_xlfn._xlws.FILTER(_xlpm.ptstables, _xlpm.ptstables &lt;&gt; "")),
  _xlpm.coef, _xlpm.K + _xlpm.Knewgain / (_xlpm.Knewscale + _xlpm.nbparties),
  IF(AH347="",
    "",
    _xlpm.coef * (AH347-AH348))
)</f>
        <v/>
      </c>
      <c r="AI349" cm="1">
        <f t="array" ref="AI349">_xlfn.LET(
  _xlpm.K, Constantes!$B$3,
  _xlpm.Knewgain, Constantes!$B$4,
  _xlpm.Knewscale, Constantes!$B$5,
  _xlpm.ptstables, INDEX(AI:AI, _xlfn.SEQUENCE(COUNTA($C$2:$C349), 1, 3, 4)),
  _xlpm.nbparties, COUNTA(_xlfn._xlws.FILTER(_xlpm.ptstables, _xlpm.ptstables &lt;&gt; "")),
  _xlpm.coef, _xlpm.K + _xlpm.Knewgain / (_xlpm.Knewscale + _xlpm.nbparties),
  IF(AI347="",
    "",
    _xlpm.coef * (AI347-AI348))
)</f>
        <v>-21.314141241355888</v>
      </c>
      <c r="AJ349" t="str" cm="1">
        <f t="array" ref="AJ349">_xlfn.LET(
  _xlpm.K, Constantes!$B$3,
  _xlpm.Knewgain, Constantes!$B$4,
  _xlpm.Knewscale, Constantes!$B$5,
  _xlpm.ptstables, INDEX(AJ:AJ, _xlfn.SEQUENCE(COUNTA($C$2:$C349), 1, 3, 4)),
  _xlpm.nbparties, COUNTA(_xlfn._xlws.FILTER(_xlpm.ptstables, _xlpm.ptstables &lt;&gt; "")),
  _xlpm.coef, _xlpm.K + _xlpm.Knewgain / (_xlpm.Knewscale + _xlpm.nbparties),
  IF(AJ347="",
    "",
    _xlpm.coef * (AJ347-AJ348))
)</f>
        <v/>
      </c>
      <c r="AK349" t="str" cm="1">
        <f t="array" ref="AK349">_xlfn.LET(
  _xlpm.K, Constantes!$B$3,
  _xlpm.Knewgain, Constantes!$B$4,
  _xlpm.Knewscale, Constantes!$B$5,
  _xlpm.ptstables, INDEX(AK:AK, _xlfn.SEQUENCE(COUNTA($C$2:$C349), 1, 3, 4)),
  _xlpm.nbparties, COUNTA(_xlfn._xlws.FILTER(_xlpm.ptstables, _xlpm.ptstables &lt;&gt; "")),
  _xlpm.coef, _xlpm.K + _xlpm.Knewgain / (_xlpm.Knewscale + _xlpm.nbparties),
  IF(AK347="",
    "",
    _xlpm.coef * (AK347-AK348))
)</f>
        <v/>
      </c>
      <c r="AL349" t="str" cm="1">
        <f t="array" ref="AL349">_xlfn.LET(
  _xlpm.K, Constantes!$B$3,
  _xlpm.Knewgain, Constantes!$B$4,
  _xlpm.Knewscale, Constantes!$B$5,
  _xlpm.ptstables, INDEX(AL:AL, _xlfn.SEQUENCE(COUNTA($C$2:$C349), 1, 3, 4)),
  _xlpm.nbparties, COUNTA(_xlfn._xlws.FILTER(_xlpm.ptstables, _xlpm.ptstables &lt;&gt; "")),
  _xlpm.coef, _xlpm.K + _xlpm.Knewgain / (_xlpm.Knewscale + _xlpm.nbparties),
  IF(AL347="",
    "",
    _xlpm.coef * (AL347-AL348))
)</f>
        <v/>
      </c>
      <c r="AM349" t="str" cm="1">
        <f t="array" ref="AM349">_xlfn.LET(
  _xlpm.K, Constantes!$B$3,
  _xlpm.Knewgain, Constantes!$B$4,
  _xlpm.Knewscale, Constantes!$B$5,
  _xlpm.ptstables, INDEX(AM:AM, _xlfn.SEQUENCE(COUNTA($C$2:$C349), 1, 3, 4)),
  _xlpm.nbparties, COUNTA(_xlfn._xlws.FILTER(_xlpm.ptstables, _xlpm.ptstables &lt;&gt; "")),
  _xlpm.coef, _xlpm.K + _xlpm.Knewgain / (_xlpm.Knewscale + _xlpm.nbparties),
  IF(AM347="",
    "",
    _xlpm.coef * (AM347-AM348))
)</f>
        <v/>
      </c>
    </row>
    <row r="350" spans="1:39" x14ac:dyDescent="0.25">
      <c r="A350" t="s">
        <v>14</v>
      </c>
      <c r="B350" t="str" cm="1">
        <f t="array" ref="B35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88</v>
      </c>
      <c r="C350" s="2" cm="1">
        <f t="array" ref="C350">IF(B350="","",
  INDEX(Donnees!F:F, MATCH(B350, Donnees!F:F, 0)+1))</f>
        <v>45948.918171296296</v>
      </c>
      <c r="D350">
        <f t="shared" ref="D350:AM350" si="95">D346+IF(D349="",0,D349)</f>
        <v>1014.6502829104329</v>
      </c>
      <c r="E350">
        <f t="shared" si="95"/>
        <v>1134.1573908115724</v>
      </c>
      <c r="F350">
        <f t="shared" si="95"/>
        <v>840.37982011709778</v>
      </c>
      <c r="G350">
        <f t="shared" si="95"/>
        <v>1088.6303008978277</v>
      </c>
      <c r="H350">
        <f t="shared" si="95"/>
        <v>1120.6842315020224</v>
      </c>
      <c r="I350">
        <f t="shared" si="95"/>
        <v>960.02345484062744</v>
      </c>
      <c r="J350">
        <f t="shared" si="95"/>
        <v>1010.9125108504293</v>
      </c>
      <c r="K350">
        <f t="shared" si="95"/>
        <v>993.90254614824482</v>
      </c>
      <c r="L350">
        <f t="shared" si="95"/>
        <v>783.12422360152641</v>
      </c>
      <c r="M350">
        <f t="shared" si="95"/>
        <v>913.41986361738122</v>
      </c>
      <c r="N350">
        <f t="shared" si="95"/>
        <v>903.42914476260137</v>
      </c>
      <c r="O350">
        <f t="shared" si="95"/>
        <v>1033.7212914161473</v>
      </c>
      <c r="P350">
        <f t="shared" si="95"/>
        <v>1013.0236414353814</v>
      </c>
      <c r="Q350">
        <f t="shared" si="95"/>
        <v>1050.1062561870472</v>
      </c>
      <c r="R350">
        <f t="shared" si="95"/>
        <v>1093.913359363753</v>
      </c>
      <c r="S350">
        <f t="shared" si="95"/>
        <v>926.38965731004271</v>
      </c>
      <c r="T350">
        <f t="shared" si="95"/>
        <v>1153.43058185823</v>
      </c>
      <c r="U350">
        <f t="shared" si="95"/>
        <v>1219.3716250000077</v>
      </c>
      <c r="V350">
        <f t="shared" si="95"/>
        <v>969.67171739286073</v>
      </c>
      <c r="W350">
        <f t="shared" si="95"/>
        <v>882.29253769067657</v>
      </c>
      <c r="X350">
        <f t="shared" si="95"/>
        <v>828.97598039785271</v>
      </c>
      <c r="Y350">
        <f t="shared" si="95"/>
        <v>903.14348714035714</v>
      </c>
      <c r="Z350">
        <f t="shared" si="95"/>
        <v>1000.4832210979791</v>
      </c>
      <c r="AA350">
        <f t="shared" si="95"/>
        <v>976.51233940414613</v>
      </c>
      <c r="AB350">
        <f t="shared" si="95"/>
        <v>988.35669729544747</v>
      </c>
      <c r="AC350">
        <f t="shared" si="95"/>
        <v>1051.9456808600683</v>
      </c>
      <c r="AD350">
        <f t="shared" si="95"/>
        <v>1069.2410017342875</v>
      </c>
      <c r="AE350">
        <f t="shared" si="95"/>
        <v>963.23981965000235</v>
      </c>
      <c r="AF350">
        <f t="shared" si="95"/>
        <v>1094.8196847516158</v>
      </c>
      <c r="AG350">
        <f t="shared" si="95"/>
        <v>958.23078604304851</v>
      </c>
      <c r="AH350">
        <f t="shared" si="95"/>
        <v>920.4412636682855</v>
      </c>
      <c r="AI350">
        <f t="shared" si="95"/>
        <v>921.59353277311538</v>
      </c>
      <c r="AJ350">
        <f t="shared" si="95"/>
        <v>906.86354201913434</v>
      </c>
      <c r="AK350">
        <f t="shared" si="95"/>
        <v>1074.0069367206956</v>
      </c>
      <c r="AL350">
        <f t="shared" si="95"/>
        <v>1025.7817971572972</v>
      </c>
      <c r="AM350">
        <f t="shared" si="95"/>
        <v>930.08392160706046</v>
      </c>
    </row>
    <row r="351" spans="1:39" x14ac:dyDescent="0.25">
      <c r="A351" t="s">
        <v>21</v>
      </c>
      <c r="D351" t="str" cm="1">
        <f t="array" ref="D351">IFERROR(
  _xlfn.LET(
    _xlpm.ligpartie, MATCH($B350, Donnees!$F:$F, 0),
    _xlpm.joueurs, INDEX(Donnees!$A:$Z, _xlpm.ligpartie+1, _xlfn.SEQUENCE(1, 4, 2)),
    INDEX(
      Donnees!$A:$Z,
      _xlpm.ligpartie + 3,
      MATCH(D$1, _xlpm.joueurs, 0) + 1
    )
  ), ""
)</f>
        <v/>
      </c>
      <c r="E351" t="str" cm="1">
        <f t="array" ref="E351">IFERROR(
  _xlfn.LET(
    _xlpm.ligpartie, MATCH($B350, Donnees!$F:$F, 0),
    _xlpm.joueurs, INDEX(Donnees!$A:$Z, _xlpm.ligpartie+1, _xlfn.SEQUENCE(1, 4, 2)),
    INDEX(
      Donnees!$A:$Z,
      _xlpm.ligpartie + 3,
      MATCH(E$1, _xlpm.joueurs, 0) + 1
    )
  ), ""
)</f>
        <v/>
      </c>
      <c r="F351" cm="1">
        <f t="array" ref="F351">IFERROR(
  _xlfn.LET(
    _xlpm.ligpartie, MATCH($B350, Donnees!$F:$F, 0),
    _xlpm.joueurs, INDEX(Donnees!$A:$Z, _xlpm.ligpartie+1, _xlfn.SEQUENCE(1, 4, 2)),
    INDEX(
      Donnees!$A:$Z,
      _xlpm.ligpartie + 3,
      MATCH(F$1, _xlpm.joueurs, 0) + 1
    )
  ), ""
)</f>
        <v>2</v>
      </c>
      <c r="G351" t="str" cm="1">
        <f t="array" ref="G351">IFERROR(
  _xlfn.LET(
    _xlpm.ligpartie, MATCH($B350, Donnees!$F:$F, 0),
    _xlpm.joueurs, INDEX(Donnees!$A:$Z, _xlpm.ligpartie+1, _xlfn.SEQUENCE(1, 4, 2)),
    INDEX(
      Donnees!$A:$Z,
      _xlpm.ligpartie + 3,
      MATCH(G$1, _xlpm.joueurs, 0) + 1
    )
  ), ""
)</f>
        <v/>
      </c>
      <c r="H351" t="str" cm="1">
        <f t="array" ref="H351">IFERROR(
  _xlfn.LET(
    _xlpm.ligpartie, MATCH($B350, Donnees!$F:$F, 0),
    _xlpm.joueurs, INDEX(Donnees!$A:$Z, _xlpm.ligpartie+1, _xlfn.SEQUENCE(1, 4, 2)),
    INDEX(
      Donnees!$A:$Z,
      _xlpm.ligpartie + 3,
      MATCH(H$1, _xlpm.joueurs, 0) + 1
    )
  ), ""
)</f>
        <v/>
      </c>
      <c r="I351" t="str" cm="1">
        <f t="array" ref="I351">IFERROR(
  _xlfn.LET(
    _xlpm.ligpartie, MATCH($B350, Donnees!$F:$F, 0),
    _xlpm.joueurs, INDEX(Donnees!$A:$Z, _xlpm.ligpartie+1, _xlfn.SEQUENCE(1, 4, 2)),
    INDEX(
      Donnees!$A:$Z,
      _xlpm.ligpartie + 3,
      MATCH(I$1, _xlpm.joueurs, 0) + 1
    )
  ), ""
)</f>
        <v/>
      </c>
      <c r="J351" t="str" cm="1">
        <f t="array" ref="J351">IFERROR(
  _xlfn.LET(
    _xlpm.ligpartie, MATCH($B350, Donnees!$F:$F, 0),
    _xlpm.joueurs, INDEX(Donnees!$A:$Z, _xlpm.ligpartie+1, _xlfn.SEQUENCE(1, 4, 2)),
    INDEX(
      Donnees!$A:$Z,
      _xlpm.ligpartie + 3,
      MATCH(J$1, _xlpm.joueurs, 0) + 1
    )
  ), ""
)</f>
        <v/>
      </c>
      <c r="K351" t="str" cm="1">
        <f t="array" ref="K351">IFERROR(
  _xlfn.LET(
    _xlpm.ligpartie, MATCH($B350, Donnees!$F:$F, 0),
    _xlpm.joueurs, INDEX(Donnees!$A:$Z, _xlpm.ligpartie+1, _xlfn.SEQUENCE(1, 4, 2)),
    INDEX(
      Donnees!$A:$Z,
      _xlpm.ligpartie + 3,
      MATCH(K$1, _xlpm.joueurs, 0) + 1
    )
  ), ""
)</f>
        <v/>
      </c>
      <c r="L351" t="str" cm="1">
        <f t="array" ref="L351">IFERROR(
  _xlfn.LET(
    _xlpm.ligpartie, MATCH($B350, Donnees!$F:$F, 0),
    _xlpm.joueurs, INDEX(Donnees!$A:$Z, _xlpm.ligpartie+1, _xlfn.SEQUENCE(1, 4, 2)),
    INDEX(
      Donnees!$A:$Z,
      _xlpm.ligpartie + 3,
      MATCH(L$1, _xlpm.joueurs, 0) + 1
    )
  ), ""
)</f>
        <v/>
      </c>
      <c r="M351" t="str" cm="1">
        <f t="array" ref="M351">IFERROR(
  _xlfn.LET(
    _xlpm.ligpartie, MATCH($B350, Donnees!$F:$F, 0),
    _xlpm.joueurs, INDEX(Donnees!$A:$Z, _xlpm.ligpartie+1, _xlfn.SEQUENCE(1, 4, 2)),
    INDEX(
      Donnees!$A:$Z,
      _xlpm.ligpartie + 3,
      MATCH(M$1, _xlpm.joueurs, 0) + 1
    )
  ), ""
)</f>
        <v/>
      </c>
      <c r="N351" t="str" cm="1">
        <f t="array" ref="N351">IFERROR(
  _xlfn.LET(
    _xlpm.ligpartie, MATCH($B350, Donnees!$F:$F, 0),
    _xlpm.joueurs, INDEX(Donnees!$A:$Z, _xlpm.ligpartie+1, _xlfn.SEQUENCE(1, 4, 2)),
    INDEX(
      Donnees!$A:$Z,
      _xlpm.ligpartie + 3,
      MATCH(N$1, _xlpm.joueurs, 0) + 1
    )
  ), ""
)</f>
        <v/>
      </c>
      <c r="O351" t="str" cm="1">
        <f t="array" ref="O351">IFERROR(
  _xlfn.LET(
    _xlpm.ligpartie, MATCH($B350, Donnees!$F:$F, 0),
    _xlpm.joueurs, INDEX(Donnees!$A:$Z, _xlpm.ligpartie+1, _xlfn.SEQUENCE(1, 4, 2)),
    INDEX(
      Donnees!$A:$Z,
      _xlpm.ligpartie + 3,
      MATCH(O$1, _xlpm.joueurs, 0) + 1
    )
  ), ""
)</f>
        <v/>
      </c>
      <c r="P351" cm="1">
        <f t="array" ref="P351">IFERROR(
  _xlfn.LET(
    _xlpm.ligpartie, MATCH($B350, Donnees!$F:$F, 0),
    _xlpm.joueurs, INDEX(Donnees!$A:$Z, _xlpm.ligpartie+1, _xlfn.SEQUENCE(1, 4, 2)),
    INDEX(
      Donnees!$A:$Z,
      _xlpm.ligpartie + 3,
      MATCH(P$1, _xlpm.joueurs, 0) + 1
    )
  ), ""
)</f>
        <v>1</v>
      </c>
      <c r="Q351" t="str" cm="1">
        <f t="array" ref="Q351">IFERROR(
  _xlfn.LET(
    _xlpm.ligpartie, MATCH($B350, Donnees!$F:$F, 0),
    _xlpm.joueurs, INDEX(Donnees!$A:$Z, _xlpm.ligpartie+1, _xlfn.SEQUENCE(1, 4, 2)),
    INDEX(
      Donnees!$A:$Z,
      _xlpm.ligpartie + 3,
      MATCH(Q$1, _xlpm.joueurs, 0) + 1
    )
  ), ""
)</f>
        <v/>
      </c>
      <c r="R351" t="str" cm="1">
        <f t="array" ref="R351">IFERROR(
  _xlfn.LET(
    _xlpm.ligpartie, MATCH($B350, Donnees!$F:$F, 0),
    _xlpm.joueurs, INDEX(Donnees!$A:$Z, _xlpm.ligpartie+1, _xlfn.SEQUENCE(1, 4, 2)),
    INDEX(
      Donnees!$A:$Z,
      _xlpm.ligpartie + 3,
      MATCH(R$1, _xlpm.joueurs, 0) + 1
    )
  ), ""
)</f>
        <v/>
      </c>
      <c r="S351" cm="1">
        <f t="array" ref="S351">IFERROR(
  _xlfn.LET(
    _xlpm.ligpartie, MATCH($B350, Donnees!$F:$F, 0),
    _xlpm.joueurs, INDEX(Donnees!$A:$Z, _xlpm.ligpartie+1, _xlfn.SEQUENCE(1, 4, 2)),
    INDEX(
      Donnees!$A:$Z,
      _xlpm.ligpartie + 3,
      MATCH(S$1, _xlpm.joueurs, 0) + 1
    )
  ), ""
)</f>
        <v>0</v>
      </c>
      <c r="T351" t="str" cm="1">
        <f t="array" ref="T351">IFERROR(
  _xlfn.LET(
    _xlpm.ligpartie, MATCH($B350, Donnees!$F:$F, 0),
    _xlpm.joueurs, INDEX(Donnees!$A:$Z, _xlpm.ligpartie+1, _xlfn.SEQUENCE(1, 4, 2)),
    INDEX(
      Donnees!$A:$Z,
      _xlpm.ligpartie + 3,
      MATCH(T$1, _xlpm.joueurs, 0) + 1
    )
  ), ""
)</f>
        <v/>
      </c>
      <c r="U351" t="str" cm="1">
        <f t="array" ref="U351">IFERROR(
  _xlfn.LET(
    _xlpm.ligpartie, MATCH($B350, Donnees!$F:$F, 0),
    _xlpm.joueurs, INDEX(Donnees!$A:$Z, _xlpm.ligpartie+1, _xlfn.SEQUENCE(1, 4, 2)),
    INDEX(
      Donnees!$A:$Z,
      _xlpm.ligpartie + 3,
      MATCH(U$1, _xlpm.joueurs, 0) + 1
    )
  ), ""
)</f>
        <v/>
      </c>
      <c r="V351" t="str" cm="1">
        <f t="array" ref="V351">IFERROR(
  _xlfn.LET(
    _xlpm.ligpartie, MATCH($B350, Donnees!$F:$F, 0),
    _xlpm.joueurs, INDEX(Donnees!$A:$Z, _xlpm.ligpartie+1, _xlfn.SEQUENCE(1, 4, 2)),
    INDEX(
      Donnees!$A:$Z,
      _xlpm.ligpartie + 3,
      MATCH(V$1, _xlpm.joueurs, 0) + 1
    )
  ), ""
)</f>
        <v/>
      </c>
      <c r="W351" t="str" cm="1">
        <f t="array" ref="W351">IFERROR(
  _xlfn.LET(
    _xlpm.ligpartie, MATCH($B350, Donnees!$F:$F, 0),
    _xlpm.joueurs, INDEX(Donnees!$A:$Z, _xlpm.ligpartie+1, _xlfn.SEQUENCE(1, 4, 2)),
    INDEX(
      Donnees!$A:$Z,
      _xlpm.ligpartie + 3,
      MATCH(W$1, _xlpm.joueurs, 0) + 1
    )
  ), ""
)</f>
        <v/>
      </c>
      <c r="X351" t="str" cm="1">
        <f t="array" ref="X351">IFERROR(
  _xlfn.LET(
    _xlpm.ligpartie, MATCH($B350, Donnees!$F:$F, 0),
    _xlpm.joueurs, INDEX(Donnees!$A:$Z, _xlpm.ligpartie+1, _xlfn.SEQUENCE(1, 4, 2)),
    INDEX(
      Donnees!$A:$Z,
      _xlpm.ligpartie + 3,
      MATCH(X$1, _xlpm.joueurs, 0) + 1
    )
  ), ""
)</f>
        <v/>
      </c>
      <c r="Y351" t="str" cm="1">
        <f t="array" ref="Y351">IFERROR(
  _xlfn.LET(
    _xlpm.ligpartie, MATCH($B350, Donnees!$F:$F, 0),
    _xlpm.joueurs, INDEX(Donnees!$A:$Z, _xlpm.ligpartie+1, _xlfn.SEQUENCE(1, 4, 2)),
    INDEX(
      Donnees!$A:$Z,
      _xlpm.ligpartie + 3,
      MATCH(Y$1, _xlpm.joueurs, 0) + 1
    )
  ), ""
)</f>
        <v/>
      </c>
      <c r="Z351" t="str" cm="1">
        <f t="array" ref="Z351">IFERROR(
  _xlfn.LET(
    _xlpm.ligpartie, MATCH($B350, Donnees!$F:$F, 0),
    _xlpm.joueurs, INDEX(Donnees!$A:$Z, _xlpm.ligpartie+1, _xlfn.SEQUENCE(1, 4, 2)),
    INDEX(
      Donnees!$A:$Z,
      _xlpm.ligpartie + 3,
      MATCH(Z$1, _xlpm.joueurs, 0) + 1
    )
  ), ""
)</f>
        <v/>
      </c>
      <c r="AA351" t="str" cm="1">
        <f t="array" ref="AA351">IFERROR(
  _xlfn.LET(
    _xlpm.ligpartie, MATCH($B350, Donnees!$F:$F, 0),
    _xlpm.joueurs, INDEX(Donnees!$A:$Z, _xlpm.ligpartie+1, _xlfn.SEQUENCE(1, 4, 2)),
    INDEX(
      Donnees!$A:$Z,
      _xlpm.ligpartie + 3,
      MATCH(AA$1, _xlpm.joueurs, 0) + 1
    )
  ), ""
)</f>
        <v/>
      </c>
      <c r="AB351" t="str" cm="1">
        <f t="array" ref="AB351">IFERROR(
  _xlfn.LET(
    _xlpm.ligpartie, MATCH($B350, Donnees!$F:$F, 0),
    _xlpm.joueurs, INDEX(Donnees!$A:$Z, _xlpm.ligpartie+1, _xlfn.SEQUENCE(1, 4, 2)),
    INDEX(
      Donnees!$A:$Z,
      _xlpm.ligpartie + 3,
      MATCH(AB$1, _xlpm.joueurs, 0) + 1
    )
  ), ""
)</f>
        <v/>
      </c>
      <c r="AC351" t="str" cm="1">
        <f t="array" ref="AC351">IFERROR(
  _xlfn.LET(
    _xlpm.ligpartie, MATCH($B350, Donnees!$F:$F, 0),
    _xlpm.joueurs, INDEX(Donnees!$A:$Z, _xlpm.ligpartie+1, _xlfn.SEQUENCE(1, 4, 2)),
    INDEX(
      Donnees!$A:$Z,
      _xlpm.ligpartie + 3,
      MATCH(AC$1, _xlpm.joueurs, 0) + 1
    )
  ), ""
)</f>
        <v/>
      </c>
      <c r="AD351" cm="1">
        <f t="array" ref="AD351">IFERROR(
  _xlfn.LET(
    _xlpm.ligpartie, MATCH($B350, Donnees!$F:$F, 0),
    _xlpm.joueurs, INDEX(Donnees!$A:$Z, _xlpm.ligpartie+1, _xlfn.SEQUENCE(1, 4, 2)),
    INDEX(
      Donnees!$A:$Z,
      _xlpm.ligpartie + 3,
      MATCH(AD$1, _xlpm.joueurs, 0) + 1
    )
  ), ""
)</f>
        <v>3</v>
      </c>
      <c r="AE351" t="str" cm="1">
        <f t="array" ref="AE351">IFERROR(
  _xlfn.LET(
    _xlpm.ligpartie, MATCH($B350, Donnees!$F:$F, 0),
    _xlpm.joueurs, INDEX(Donnees!$A:$Z, _xlpm.ligpartie+1, _xlfn.SEQUENCE(1, 4, 2)),
    INDEX(
      Donnees!$A:$Z,
      _xlpm.ligpartie + 3,
      MATCH(AE$1, _xlpm.joueurs, 0) + 1
    )
  ), ""
)</f>
        <v/>
      </c>
      <c r="AF351" t="str" cm="1">
        <f t="array" ref="AF351">IFERROR(
  _xlfn.LET(
    _xlpm.ligpartie, MATCH($B350, Donnees!$F:$F, 0),
    _xlpm.joueurs, INDEX(Donnees!$A:$Z, _xlpm.ligpartie+1, _xlfn.SEQUENCE(1, 4, 2)),
    INDEX(
      Donnees!$A:$Z,
      _xlpm.ligpartie + 3,
      MATCH(AF$1, _xlpm.joueurs, 0) + 1
    )
  ), ""
)</f>
        <v/>
      </c>
      <c r="AG351" t="str" cm="1">
        <f t="array" ref="AG351">IFERROR(
  _xlfn.LET(
    _xlpm.ligpartie, MATCH($B350, Donnees!$F:$F, 0),
    _xlpm.joueurs, INDEX(Donnees!$A:$Z, _xlpm.ligpartie+1, _xlfn.SEQUENCE(1, 4, 2)),
    INDEX(
      Donnees!$A:$Z,
      _xlpm.ligpartie + 3,
      MATCH(AG$1, _xlpm.joueurs, 0) + 1
    )
  ), ""
)</f>
        <v/>
      </c>
      <c r="AH351" t="str" cm="1">
        <f t="array" ref="AH351">IFERROR(
  _xlfn.LET(
    _xlpm.ligpartie, MATCH($B350, Donnees!$F:$F, 0),
    _xlpm.joueurs, INDEX(Donnees!$A:$Z, _xlpm.ligpartie+1, _xlfn.SEQUENCE(1, 4, 2)),
    INDEX(
      Donnees!$A:$Z,
      _xlpm.ligpartie + 3,
      MATCH(AH$1, _xlpm.joueurs, 0) + 1
    )
  ), ""
)</f>
        <v/>
      </c>
      <c r="AI351" t="str" cm="1">
        <f t="array" ref="AI351">IFERROR(
  _xlfn.LET(
    _xlpm.ligpartie, MATCH($B350, Donnees!$F:$F, 0),
    _xlpm.joueurs, INDEX(Donnees!$A:$Z, _xlpm.ligpartie+1, _xlfn.SEQUENCE(1, 4, 2)),
    INDEX(
      Donnees!$A:$Z,
      _xlpm.ligpartie + 3,
      MATCH(AI$1, _xlpm.joueurs, 0) + 1
    )
  ), ""
)</f>
        <v/>
      </c>
      <c r="AJ351" t="str" cm="1">
        <f t="array" ref="AJ351">IFERROR(
  _xlfn.LET(
    _xlpm.ligpartie, MATCH($B350, Donnees!$F:$F, 0),
    _xlpm.joueurs, INDEX(Donnees!$A:$Z, _xlpm.ligpartie+1, _xlfn.SEQUENCE(1, 4, 2)),
    INDEX(
      Donnees!$A:$Z,
      _xlpm.ligpartie + 3,
      MATCH(AJ$1, _xlpm.joueurs, 0) + 1
    )
  ), ""
)</f>
        <v/>
      </c>
      <c r="AK351" t="str" cm="1">
        <f t="array" ref="AK351">IFERROR(
  _xlfn.LET(
    _xlpm.ligpartie, MATCH($B350, Donnees!$F:$F, 0),
    _xlpm.joueurs, INDEX(Donnees!$A:$Z, _xlpm.ligpartie+1, _xlfn.SEQUENCE(1, 4, 2)),
    INDEX(
      Donnees!$A:$Z,
      _xlpm.ligpartie + 3,
      MATCH(AK$1, _xlpm.joueurs, 0) + 1
    )
  ), ""
)</f>
        <v/>
      </c>
      <c r="AL351" t="str" cm="1">
        <f t="array" ref="AL351">IFERROR(
  _xlfn.LET(
    _xlpm.ligpartie, MATCH($B350, Donnees!$F:$F, 0),
    _xlpm.joueurs, INDEX(Donnees!$A:$Z, _xlpm.ligpartie+1, _xlfn.SEQUENCE(1, 4, 2)),
    INDEX(
      Donnees!$A:$Z,
      _xlpm.ligpartie + 3,
      MATCH(AL$1, _xlpm.joueurs, 0) + 1
    )
  ), ""
)</f>
        <v/>
      </c>
      <c r="AM351" t="str" cm="1">
        <f t="array" ref="AM351">IFERROR(
  _xlfn.LET(
    _xlpm.ligpartie, MATCH($B350, Donnees!$F:$F, 0),
    _xlpm.joueurs, INDEX(Donnees!$A:$Z, _xlpm.ligpartie+1, _xlfn.SEQUENCE(1, 4, 2)),
    INDEX(
      Donnees!$A:$Z,
      _xlpm.ligpartie + 3,
      MATCH(AM$1, _xlpm.joueurs, 0) + 1
    )
  ), ""
)</f>
        <v/>
      </c>
    </row>
    <row r="352" spans="1:39" x14ac:dyDescent="0.25">
      <c r="A352" t="s">
        <v>20</v>
      </c>
      <c r="D352" t="str" cm="1">
        <f t="array" ref="D352">_xlfn.LET(
  _xlpm.colj, _xlfn._xlws.FILTER(IF(ISNUMBER(351:351), COLUMN(351:351)), ISNUMBER(351:351)),
  _xlpm.elos, INDEX(350:350,1,_xlpm.colj),
  _xlpm.diffscale, Constantes!$B$2,
  IF(D351="",
    "",
    SUM(1/(1+POWER(10,-(D350-_xlpm.elos)/_xlpm.diffscale)))-0.5)
)</f>
        <v/>
      </c>
      <c r="E352" t="str" cm="1">
        <f t="array" ref="E352">_xlfn.LET(
  _xlpm.colj, _xlfn._xlws.FILTER(IF(ISNUMBER(351:351), COLUMN(351:351)), ISNUMBER(351:351)),
  _xlpm.elos, INDEX(350:350,1,_xlpm.colj),
  _xlpm.diffscale, Constantes!$B$2,
  IF(E351="",
    "",
    SUM(1/(1+POWER(10,-(E350-_xlpm.elos)/_xlpm.diffscale)))-0.5)
)</f>
        <v/>
      </c>
      <c r="F352" cm="1">
        <f t="array" ref="F352">_xlfn.LET(
  _xlpm.colj, _xlfn._xlws.FILTER(IF(ISNUMBER(351:351), COLUMN(351:351)), ISNUMBER(351:351)),
  _xlpm.elos, INDEX(350:350,1,_xlpm.colj),
  _xlpm.diffscale, Constantes!$B$2,
  IF(F351="",
    "",
    SUM(1/(1+POWER(10,-(F350-_xlpm.elos)/_xlpm.diffscale)))-0.5)
)</f>
        <v>0.86009466740980689</v>
      </c>
      <c r="G352" t="str" cm="1">
        <f t="array" ref="G352">_xlfn.LET(
  _xlpm.colj, _xlfn._xlws.FILTER(IF(ISNUMBER(351:351), COLUMN(351:351)), ISNUMBER(351:351)),
  _xlpm.elos, INDEX(350:350,1,_xlpm.colj),
  _xlpm.diffscale, Constantes!$B$2,
  IF(G351="",
    "",
    SUM(1/(1+POWER(10,-(G350-_xlpm.elos)/_xlpm.diffscale)))-0.5)
)</f>
        <v/>
      </c>
      <c r="H352" t="str" cm="1">
        <f t="array" ref="H352">_xlfn.LET(
  _xlpm.colj, _xlfn._xlws.FILTER(IF(ISNUMBER(351:351), COLUMN(351:351)), ISNUMBER(351:351)),
  _xlpm.elos, INDEX(350:350,1,_xlpm.colj),
  _xlpm.diffscale, Constantes!$B$2,
  IF(H351="",
    "",
    SUM(1/(1+POWER(10,-(H350-_xlpm.elos)/_xlpm.diffscale)))-0.5)
)</f>
        <v/>
      </c>
      <c r="I352" t="str" cm="1">
        <f t="array" ref="I352">_xlfn.LET(
  _xlpm.colj, _xlfn._xlws.FILTER(IF(ISNUMBER(351:351), COLUMN(351:351)), ISNUMBER(351:351)),
  _xlpm.elos, INDEX(350:350,1,_xlpm.colj),
  _xlpm.diffscale, Constantes!$B$2,
  IF(I351="",
    "",
    SUM(1/(1+POWER(10,-(I350-_xlpm.elos)/_xlpm.diffscale)))-0.5)
)</f>
        <v/>
      </c>
      <c r="J352" t="str" cm="1">
        <f t="array" ref="J352">_xlfn.LET(
  _xlpm.colj, _xlfn._xlws.FILTER(IF(ISNUMBER(351:351), COLUMN(351:351)), ISNUMBER(351:351)),
  _xlpm.elos, INDEX(350:350,1,_xlpm.colj),
  _xlpm.diffscale, Constantes!$B$2,
  IF(J351="",
    "",
    SUM(1/(1+POWER(10,-(J350-_xlpm.elos)/_xlpm.diffscale)))-0.5)
)</f>
        <v/>
      </c>
      <c r="K352" t="str" cm="1">
        <f t="array" ref="K352">_xlfn.LET(
  _xlpm.colj, _xlfn._xlws.FILTER(IF(ISNUMBER(351:351), COLUMN(351:351)), ISNUMBER(351:351)),
  _xlpm.elos, INDEX(350:350,1,_xlpm.colj),
  _xlpm.diffscale, Constantes!$B$2,
  IF(K351="",
    "",
    SUM(1/(1+POWER(10,-(K350-_xlpm.elos)/_xlpm.diffscale)))-0.5)
)</f>
        <v/>
      </c>
      <c r="L352" t="str" cm="1">
        <f t="array" ref="L352">_xlfn.LET(
  _xlpm.colj, _xlfn._xlws.FILTER(IF(ISNUMBER(351:351), COLUMN(351:351)), ISNUMBER(351:351)),
  _xlpm.elos, INDEX(350:350,1,_xlpm.colj),
  _xlpm.diffscale, Constantes!$B$2,
  IF(L351="",
    "",
    SUM(1/(1+POWER(10,-(L350-_xlpm.elos)/_xlpm.diffscale)))-0.5)
)</f>
        <v/>
      </c>
      <c r="M352" t="str" cm="1">
        <f t="array" ref="M352">_xlfn.LET(
  _xlpm.colj, _xlfn._xlws.FILTER(IF(ISNUMBER(351:351), COLUMN(351:351)), ISNUMBER(351:351)),
  _xlpm.elos, INDEX(350:350,1,_xlpm.colj),
  _xlpm.diffscale, Constantes!$B$2,
  IF(M351="",
    "",
    SUM(1/(1+POWER(10,-(M350-_xlpm.elos)/_xlpm.diffscale)))-0.5)
)</f>
        <v/>
      </c>
      <c r="N352" t="str" cm="1">
        <f t="array" ref="N352">_xlfn.LET(
  _xlpm.colj, _xlfn._xlws.FILTER(IF(ISNUMBER(351:351), COLUMN(351:351)), ISNUMBER(351:351)),
  _xlpm.elos, INDEX(350:350,1,_xlpm.colj),
  _xlpm.diffscale, Constantes!$B$2,
  IF(N351="",
    "",
    SUM(1/(1+POWER(10,-(N350-_xlpm.elos)/_xlpm.diffscale)))-0.5)
)</f>
        <v/>
      </c>
      <c r="O352" t="str" cm="1">
        <f t="array" ref="O352">_xlfn.LET(
  _xlpm.colj, _xlfn._xlws.FILTER(IF(ISNUMBER(351:351), COLUMN(351:351)), ISNUMBER(351:351)),
  _xlpm.elos, INDEX(350:350,1,_xlpm.colj),
  _xlpm.diffscale, Constantes!$B$2,
  IF(O351="",
    "",
    SUM(1/(1+POWER(10,-(O350-_xlpm.elos)/_xlpm.diffscale)))-0.5)
)</f>
        <v/>
      </c>
      <c r="P352" cm="1">
        <f t="array" ref="P352">_xlfn.LET(
  _xlpm.colj, _xlfn._xlws.FILTER(IF(ISNUMBER(351:351), COLUMN(351:351)), ISNUMBER(351:351)),
  _xlpm.elos, INDEX(350:350,1,_xlpm.colj),
  _xlpm.diffscale, Constantes!$B$2,
  IF(P351="",
    "",
    SUM(1/(1+POWER(10,-(P350-_xlpm.elos)/_xlpm.diffscale)))-0.5)
)</f>
        <v>1.7717918096145788</v>
      </c>
      <c r="Q352" t="str" cm="1">
        <f t="array" ref="Q352">_xlfn.LET(
  _xlpm.colj, _xlfn._xlws.FILTER(IF(ISNUMBER(351:351), COLUMN(351:351)), ISNUMBER(351:351)),
  _xlpm.elos, INDEX(350:350,1,_xlpm.colj),
  _xlpm.diffscale, Constantes!$B$2,
  IF(Q351="",
    "",
    SUM(1/(1+POWER(10,-(Q350-_xlpm.elos)/_xlpm.diffscale)))-0.5)
)</f>
        <v/>
      </c>
      <c r="R352" t="str" cm="1">
        <f t="array" ref="R352">_xlfn.LET(
  _xlpm.colj, _xlfn._xlws.FILTER(IF(ISNUMBER(351:351), COLUMN(351:351)), ISNUMBER(351:351)),
  _xlpm.elos, INDEX(350:350,1,_xlpm.colj),
  _xlpm.diffscale, Constantes!$B$2,
  IF(R351="",
    "",
    SUM(1/(1+POWER(10,-(R350-_xlpm.elos)/_xlpm.diffscale)))-0.5)
)</f>
        <v/>
      </c>
      <c r="S352" cm="1">
        <f t="array" ref="S352">_xlfn.LET(
  _xlpm.colj, _xlfn._xlws.FILTER(IF(ISNUMBER(351:351), COLUMN(351:351)), ISNUMBER(351:351)),
  _xlpm.elos, INDEX(350:350,1,_xlpm.colj),
  _xlpm.diffscale, Constantes!$B$2,
  IF(S351="",
    "",
    SUM(1/(1+POWER(10,-(S350-_xlpm.elos)/_xlpm.diffscale)))-0.5)
)</f>
        <v>1.3044267638895584</v>
      </c>
      <c r="T352" t="str" cm="1">
        <f t="array" ref="T352">_xlfn.LET(
  _xlpm.colj, _xlfn._xlws.FILTER(IF(ISNUMBER(351:351), COLUMN(351:351)), ISNUMBER(351:351)),
  _xlpm.elos, INDEX(350:350,1,_xlpm.colj),
  _xlpm.diffscale, Constantes!$B$2,
  IF(T351="",
    "",
    SUM(1/(1+POWER(10,-(T350-_xlpm.elos)/_xlpm.diffscale)))-0.5)
)</f>
        <v/>
      </c>
      <c r="U352" t="str" cm="1">
        <f t="array" ref="U352">_xlfn.LET(
  _xlpm.colj, _xlfn._xlws.FILTER(IF(ISNUMBER(351:351), COLUMN(351:351)), ISNUMBER(351:351)),
  _xlpm.elos, INDEX(350:350,1,_xlpm.colj),
  _xlpm.diffscale, Constantes!$B$2,
  IF(U351="",
    "",
    SUM(1/(1+POWER(10,-(U350-_xlpm.elos)/_xlpm.diffscale)))-0.5)
)</f>
        <v/>
      </c>
      <c r="V352" t="str" cm="1">
        <f t="array" ref="V352">_xlfn.LET(
  _xlpm.colj, _xlfn._xlws.FILTER(IF(ISNUMBER(351:351), COLUMN(351:351)), ISNUMBER(351:351)),
  _xlpm.elos, INDEX(350:350,1,_xlpm.colj),
  _xlpm.diffscale, Constantes!$B$2,
  IF(V351="",
    "",
    SUM(1/(1+POWER(10,-(V350-_xlpm.elos)/_xlpm.diffscale)))-0.5)
)</f>
        <v/>
      </c>
      <c r="W352" t="str" cm="1">
        <f t="array" ref="W352">_xlfn.LET(
  _xlpm.colj, _xlfn._xlws.FILTER(IF(ISNUMBER(351:351), COLUMN(351:351)), ISNUMBER(351:351)),
  _xlpm.elos, INDEX(350:350,1,_xlpm.colj),
  _xlpm.diffscale, Constantes!$B$2,
  IF(W351="",
    "",
    SUM(1/(1+POWER(10,-(W350-_xlpm.elos)/_xlpm.diffscale)))-0.5)
)</f>
        <v/>
      </c>
      <c r="X352" t="str" cm="1">
        <f t="array" ref="X352">_xlfn.LET(
  _xlpm.colj, _xlfn._xlws.FILTER(IF(ISNUMBER(351:351), COLUMN(351:351)), ISNUMBER(351:351)),
  _xlpm.elos, INDEX(350:350,1,_xlpm.colj),
  _xlpm.diffscale, Constantes!$B$2,
  IF(X351="",
    "",
    SUM(1/(1+POWER(10,-(X350-_xlpm.elos)/_xlpm.diffscale)))-0.5)
)</f>
        <v/>
      </c>
      <c r="Y352" t="str" cm="1">
        <f t="array" ref="Y352">_xlfn.LET(
  _xlpm.colj, _xlfn._xlws.FILTER(IF(ISNUMBER(351:351), COLUMN(351:351)), ISNUMBER(351:351)),
  _xlpm.elos, INDEX(350:350,1,_xlpm.colj),
  _xlpm.diffscale, Constantes!$B$2,
  IF(Y351="",
    "",
    SUM(1/(1+POWER(10,-(Y350-_xlpm.elos)/_xlpm.diffscale)))-0.5)
)</f>
        <v/>
      </c>
      <c r="Z352" t="str" cm="1">
        <f t="array" ref="Z352">_xlfn.LET(
  _xlpm.colj, _xlfn._xlws.FILTER(IF(ISNUMBER(351:351), COLUMN(351:351)), ISNUMBER(351:351)),
  _xlpm.elos, INDEX(350:350,1,_xlpm.colj),
  _xlpm.diffscale, Constantes!$B$2,
  IF(Z351="",
    "",
    SUM(1/(1+POWER(10,-(Z350-_xlpm.elos)/_xlpm.diffscale)))-0.5)
)</f>
        <v/>
      </c>
      <c r="AA352" t="str" cm="1">
        <f t="array" ref="AA352">_xlfn.LET(
  _xlpm.colj, _xlfn._xlws.FILTER(IF(ISNUMBER(351:351), COLUMN(351:351)), ISNUMBER(351:351)),
  _xlpm.elos, INDEX(350:350,1,_xlpm.colj),
  _xlpm.diffscale, Constantes!$B$2,
  IF(AA351="",
    "",
    SUM(1/(1+POWER(10,-(AA350-_xlpm.elos)/_xlpm.diffscale)))-0.5)
)</f>
        <v/>
      </c>
      <c r="AB352" t="str" cm="1">
        <f t="array" ref="AB352">_xlfn.LET(
  _xlpm.colj, _xlfn._xlws.FILTER(IF(ISNUMBER(351:351), COLUMN(351:351)), ISNUMBER(351:351)),
  _xlpm.elos, INDEX(350:350,1,_xlpm.colj),
  _xlpm.diffscale, Constantes!$B$2,
  IF(AB351="",
    "",
    SUM(1/(1+POWER(10,-(AB350-_xlpm.elos)/_xlpm.diffscale)))-0.5)
)</f>
        <v/>
      </c>
      <c r="AC352" t="str" cm="1">
        <f t="array" ref="AC352">_xlfn.LET(
  _xlpm.colj, _xlfn._xlws.FILTER(IF(ISNUMBER(351:351), COLUMN(351:351)), ISNUMBER(351:351)),
  _xlpm.elos, INDEX(350:350,1,_xlpm.colj),
  _xlpm.diffscale, Constantes!$B$2,
  IF(AC351="",
    "",
    SUM(1/(1+POWER(10,-(AC350-_xlpm.elos)/_xlpm.diffscale)))-0.5)
)</f>
        <v/>
      </c>
      <c r="AD352" cm="1">
        <f t="array" ref="AD352">_xlfn.LET(
  _xlpm.colj, _xlfn._xlws.FILTER(IF(ISNUMBER(351:351), COLUMN(351:351)), ISNUMBER(351:351)),
  _xlpm.elos, INDEX(350:350,1,_xlpm.colj),
  _xlpm.diffscale, Constantes!$B$2,
  IF(AD351="",
    "",
    SUM(1/(1+POWER(10,-(AD350-_xlpm.elos)/_xlpm.diffscale)))-0.5)
)</f>
        <v>2.0636867590860564</v>
      </c>
      <c r="AE352" t="str" cm="1">
        <f t="array" ref="AE352">_xlfn.LET(
  _xlpm.colj, _xlfn._xlws.FILTER(IF(ISNUMBER(351:351), COLUMN(351:351)), ISNUMBER(351:351)),
  _xlpm.elos, INDEX(350:350,1,_xlpm.colj),
  _xlpm.diffscale, Constantes!$B$2,
  IF(AE351="",
    "",
    SUM(1/(1+POWER(10,-(AE350-_xlpm.elos)/_xlpm.diffscale)))-0.5)
)</f>
        <v/>
      </c>
      <c r="AF352" t="str" cm="1">
        <f t="array" ref="AF352">_xlfn.LET(
  _xlpm.colj, _xlfn._xlws.FILTER(IF(ISNUMBER(351:351), COLUMN(351:351)), ISNUMBER(351:351)),
  _xlpm.elos, INDEX(350:350,1,_xlpm.colj),
  _xlpm.diffscale, Constantes!$B$2,
  IF(AF351="",
    "",
    SUM(1/(1+POWER(10,-(AF350-_xlpm.elos)/_xlpm.diffscale)))-0.5)
)</f>
        <v/>
      </c>
      <c r="AG352" t="str" cm="1">
        <f t="array" ref="AG352">_xlfn.LET(
  _xlpm.colj, _xlfn._xlws.FILTER(IF(ISNUMBER(351:351), COLUMN(351:351)), ISNUMBER(351:351)),
  _xlpm.elos, INDEX(350:350,1,_xlpm.colj),
  _xlpm.diffscale, Constantes!$B$2,
  IF(AG351="",
    "",
    SUM(1/(1+POWER(10,-(AG350-_xlpm.elos)/_xlpm.diffscale)))-0.5)
)</f>
        <v/>
      </c>
      <c r="AH352" t="str" cm="1">
        <f t="array" ref="AH352">_xlfn.LET(
  _xlpm.colj, _xlfn._xlws.FILTER(IF(ISNUMBER(351:351), COLUMN(351:351)), ISNUMBER(351:351)),
  _xlpm.elos, INDEX(350:350,1,_xlpm.colj),
  _xlpm.diffscale, Constantes!$B$2,
  IF(AH351="",
    "",
    SUM(1/(1+POWER(10,-(AH350-_xlpm.elos)/_xlpm.diffscale)))-0.5)
)</f>
        <v/>
      </c>
      <c r="AI352" t="str" cm="1">
        <f t="array" ref="AI352">_xlfn.LET(
  _xlpm.colj, _xlfn._xlws.FILTER(IF(ISNUMBER(351:351), COLUMN(351:351)), ISNUMBER(351:351)),
  _xlpm.elos, INDEX(350:350,1,_xlpm.colj),
  _xlpm.diffscale, Constantes!$B$2,
  IF(AI351="",
    "",
    SUM(1/(1+POWER(10,-(AI350-_xlpm.elos)/_xlpm.diffscale)))-0.5)
)</f>
        <v/>
      </c>
      <c r="AJ352" t="str" cm="1">
        <f t="array" ref="AJ352">_xlfn.LET(
  _xlpm.colj, _xlfn._xlws.FILTER(IF(ISNUMBER(351:351), COLUMN(351:351)), ISNUMBER(351:351)),
  _xlpm.elos, INDEX(350:350,1,_xlpm.colj),
  _xlpm.diffscale, Constantes!$B$2,
  IF(AJ351="",
    "",
    SUM(1/(1+POWER(10,-(AJ350-_xlpm.elos)/_xlpm.diffscale)))-0.5)
)</f>
        <v/>
      </c>
      <c r="AK352" t="str" cm="1">
        <f t="array" ref="AK352">_xlfn.LET(
  _xlpm.colj, _xlfn._xlws.FILTER(IF(ISNUMBER(351:351), COLUMN(351:351)), ISNUMBER(351:351)),
  _xlpm.elos, INDEX(350:350,1,_xlpm.colj),
  _xlpm.diffscale, Constantes!$B$2,
  IF(AK351="",
    "",
    SUM(1/(1+POWER(10,-(AK350-_xlpm.elos)/_xlpm.diffscale)))-0.5)
)</f>
        <v/>
      </c>
      <c r="AL352" t="str" cm="1">
        <f t="array" ref="AL352">_xlfn.LET(
  _xlpm.colj, _xlfn._xlws.FILTER(IF(ISNUMBER(351:351), COLUMN(351:351)), ISNUMBER(351:351)),
  _xlpm.elos, INDEX(350:350,1,_xlpm.colj),
  _xlpm.diffscale, Constantes!$B$2,
  IF(AL351="",
    "",
    SUM(1/(1+POWER(10,-(AL350-_xlpm.elos)/_xlpm.diffscale)))-0.5)
)</f>
        <v/>
      </c>
      <c r="AM352" t="str" cm="1">
        <f t="array" ref="AM352">_xlfn.LET(
  _xlpm.colj, _xlfn._xlws.FILTER(IF(ISNUMBER(351:351), COLUMN(351:351)), ISNUMBER(351:351)),
  _xlpm.elos, INDEX(350:350,1,_xlpm.colj),
  _xlpm.diffscale, Constantes!$B$2,
  IF(AM351="",
    "",
    SUM(1/(1+POWER(10,-(AM350-_xlpm.elos)/_xlpm.diffscale)))-0.5)
)</f>
        <v/>
      </c>
    </row>
    <row r="353" spans="1:39" x14ac:dyDescent="0.25">
      <c r="A353" t="s">
        <v>22</v>
      </c>
      <c r="D353" t="str" cm="1">
        <f t="array" ref="D353">_xlfn.LET(
  _xlpm.K, Constantes!$B$3,
  _xlpm.Knewgain, Constantes!$B$4,
  _xlpm.Knewscale, Constantes!$B$5,
  _xlpm.ptstables, INDEX(D:D, _xlfn.SEQUENCE(COUNTA($C$2:$C353), 1, 3, 4)),
  _xlpm.nbparties, COUNTA(_xlfn._xlws.FILTER(_xlpm.ptstables, _xlpm.ptstables &lt;&gt; "")),
  _xlpm.coef, _xlpm.K + _xlpm.Knewgain / (_xlpm.Knewscale + _xlpm.nbparties),
  IF(D351="",
    "",
    _xlpm.coef * (D351-D352))
)</f>
        <v/>
      </c>
      <c r="E353" t="str" cm="1">
        <f t="array" ref="E353">_xlfn.LET(
  _xlpm.K, Constantes!$B$3,
  _xlpm.Knewgain, Constantes!$B$4,
  _xlpm.Knewscale, Constantes!$B$5,
  _xlpm.ptstables, INDEX(E:E, _xlfn.SEQUENCE(COUNTA($C$2:$C353), 1, 3, 4)),
  _xlpm.nbparties, COUNTA(_xlfn._xlws.FILTER(_xlpm.ptstables, _xlpm.ptstables &lt;&gt; "")),
  _xlpm.coef, _xlpm.K + _xlpm.Knewgain / (_xlpm.Knewscale + _xlpm.nbparties),
  IF(E351="",
    "",
    _xlpm.coef * (E351-E352))
)</f>
        <v/>
      </c>
      <c r="F353" cm="1">
        <f t="array" ref="F353">_xlfn.LET(
  _xlpm.K, Constantes!$B$3,
  _xlpm.Knewgain, Constantes!$B$4,
  _xlpm.Knewscale, Constantes!$B$5,
  _xlpm.ptstables, INDEX(F:F, _xlfn.SEQUENCE(COUNTA($C$2:$C353), 1, 3, 4)),
  _xlpm.nbparties, COUNTA(_xlfn._xlws.FILTER(_xlpm.ptstables, _xlpm.ptstables &lt;&gt; "")),
  _xlpm.coef, _xlpm.K + _xlpm.Knewgain / (_xlpm.Knewscale + _xlpm.nbparties),
  IF(F351="",
    "",
    _xlpm.coef * (F351-F352))
)</f>
        <v>25.388800589508847</v>
      </c>
      <c r="G353" t="str" cm="1">
        <f t="array" ref="G353">_xlfn.LET(
  _xlpm.K, Constantes!$B$3,
  _xlpm.Knewgain, Constantes!$B$4,
  _xlpm.Knewscale, Constantes!$B$5,
  _xlpm.ptstables, INDEX(G:G, _xlfn.SEQUENCE(COUNTA($C$2:$C353), 1, 3, 4)),
  _xlpm.nbparties, COUNTA(_xlfn._xlws.FILTER(_xlpm.ptstables, _xlpm.ptstables &lt;&gt; "")),
  _xlpm.coef, _xlpm.K + _xlpm.Knewgain / (_xlpm.Knewscale + _xlpm.nbparties),
  IF(G351="",
    "",
    _xlpm.coef * (G351-G352))
)</f>
        <v/>
      </c>
      <c r="H353" t="str" cm="1">
        <f t="array" ref="H353">_xlfn.LET(
  _xlpm.K, Constantes!$B$3,
  _xlpm.Knewgain, Constantes!$B$4,
  _xlpm.Knewscale, Constantes!$B$5,
  _xlpm.ptstables, INDEX(H:H, _xlfn.SEQUENCE(COUNTA($C$2:$C353), 1, 3, 4)),
  _xlpm.nbparties, COUNTA(_xlfn._xlws.FILTER(_xlpm.ptstables, _xlpm.ptstables &lt;&gt; "")),
  _xlpm.coef, _xlpm.K + _xlpm.Knewgain / (_xlpm.Knewscale + _xlpm.nbparties),
  IF(H351="",
    "",
    _xlpm.coef * (H351-H352))
)</f>
        <v/>
      </c>
      <c r="I353" t="str" cm="1">
        <f t="array" ref="I353">_xlfn.LET(
  _xlpm.K, Constantes!$B$3,
  _xlpm.Knewgain, Constantes!$B$4,
  _xlpm.Knewscale, Constantes!$B$5,
  _xlpm.ptstables, INDEX(I:I, _xlfn.SEQUENCE(COUNTA($C$2:$C353), 1, 3, 4)),
  _xlpm.nbparties, COUNTA(_xlfn._xlws.FILTER(_xlpm.ptstables, _xlpm.ptstables &lt;&gt; "")),
  _xlpm.coef, _xlpm.K + _xlpm.Knewgain / (_xlpm.Knewscale + _xlpm.nbparties),
  IF(I351="",
    "",
    _xlpm.coef * (I351-I352))
)</f>
        <v/>
      </c>
      <c r="J353" t="str" cm="1">
        <f t="array" ref="J353">_xlfn.LET(
  _xlpm.K, Constantes!$B$3,
  _xlpm.Knewgain, Constantes!$B$4,
  _xlpm.Knewscale, Constantes!$B$5,
  _xlpm.ptstables, INDEX(J:J, _xlfn.SEQUENCE(COUNTA($C$2:$C353), 1, 3, 4)),
  _xlpm.nbparties, COUNTA(_xlfn._xlws.FILTER(_xlpm.ptstables, _xlpm.ptstables &lt;&gt; "")),
  _xlpm.coef, _xlpm.K + _xlpm.Knewgain / (_xlpm.Knewscale + _xlpm.nbparties),
  IF(J351="",
    "",
    _xlpm.coef * (J351-J352))
)</f>
        <v/>
      </c>
      <c r="K353" t="str" cm="1">
        <f t="array" ref="K353">_xlfn.LET(
  _xlpm.K, Constantes!$B$3,
  _xlpm.Knewgain, Constantes!$B$4,
  _xlpm.Knewscale, Constantes!$B$5,
  _xlpm.ptstables, INDEX(K:K, _xlfn.SEQUENCE(COUNTA($C$2:$C353), 1, 3, 4)),
  _xlpm.nbparties, COUNTA(_xlfn._xlws.FILTER(_xlpm.ptstables, _xlpm.ptstables &lt;&gt; "")),
  _xlpm.coef, _xlpm.K + _xlpm.Knewgain / (_xlpm.Knewscale + _xlpm.nbparties),
  IF(K351="",
    "",
    _xlpm.coef * (K351-K352))
)</f>
        <v/>
      </c>
      <c r="L353" t="str" cm="1">
        <f t="array" ref="L353">_xlfn.LET(
  _xlpm.K, Constantes!$B$3,
  _xlpm.Knewgain, Constantes!$B$4,
  _xlpm.Knewscale, Constantes!$B$5,
  _xlpm.ptstables, INDEX(L:L, _xlfn.SEQUENCE(COUNTA($C$2:$C353), 1, 3, 4)),
  _xlpm.nbparties, COUNTA(_xlfn._xlws.FILTER(_xlpm.ptstables, _xlpm.ptstables &lt;&gt; "")),
  _xlpm.coef, _xlpm.K + _xlpm.Knewgain / (_xlpm.Knewscale + _xlpm.nbparties),
  IF(L351="",
    "",
    _xlpm.coef * (L351-L352))
)</f>
        <v/>
      </c>
      <c r="M353" t="str" cm="1">
        <f t="array" ref="M353">_xlfn.LET(
  _xlpm.K, Constantes!$B$3,
  _xlpm.Knewgain, Constantes!$B$4,
  _xlpm.Knewscale, Constantes!$B$5,
  _xlpm.ptstables, INDEX(M:M, _xlfn.SEQUENCE(COUNTA($C$2:$C353), 1, 3, 4)),
  _xlpm.nbparties, COUNTA(_xlfn._xlws.FILTER(_xlpm.ptstables, _xlpm.ptstables &lt;&gt; "")),
  _xlpm.coef, _xlpm.K + _xlpm.Knewgain / (_xlpm.Knewscale + _xlpm.nbparties),
  IF(M351="",
    "",
    _xlpm.coef * (M351-M352))
)</f>
        <v/>
      </c>
      <c r="N353" t="str" cm="1">
        <f t="array" ref="N353">_xlfn.LET(
  _xlpm.K, Constantes!$B$3,
  _xlpm.Knewgain, Constantes!$B$4,
  _xlpm.Knewscale, Constantes!$B$5,
  _xlpm.ptstables, INDEX(N:N, _xlfn.SEQUENCE(COUNTA($C$2:$C353), 1, 3, 4)),
  _xlpm.nbparties, COUNTA(_xlfn._xlws.FILTER(_xlpm.ptstables, _xlpm.ptstables &lt;&gt; "")),
  _xlpm.coef, _xlpm.K + _xlpm.Knewgain / (_xlpm.Knewscale + _xlpm.nbparties),
  IF(N351="",
    "",
    _xlpm.coef * (N351-N352))
)</f>
        <v/>
      </c>
      <c r="O353" t="str" cm="1">
        <f t="array" ref="O353">_xlfn.LET(
  _xlpm.K, Constantes!$B$3,
  _xlpm.Knewgain, Constantes!$B$4,
  _xlpm.Knewscale, Constantes!$B$5,
  _xlpm.ptstables, INDEX(O:O, _xlfn.SEQUENCE(COUNTA($C$2:$C353), 1, 3, 4)),
  _xlpm.nbparties, COUNTA(_xlfn._xlws.FILTER(_xlpm.ptstables, _xlpm.ptstables &lt;&gt; "")),
  _xlpm.coef, _xlpm.K + _xlpm.Knewgain / (_xlpm.Knewscale + _xlpm.nbparties),
  IF(O351="",
    "",
    _xlpm.coef * (O351-O352))
)</f>
        <v/>
      </c>
      <c r="P353" cm="1">
        <f t="array" ref="P353">_xlfn.LET(
  _xlpm.K, Constantes!$B$3,
  _xlpm.Knewgain, Constantes!$B$4,
  _xlpm.Knewscale, Constantes!$B$5,
  _xlpm.ptstables, INDEX(P:P, _xlfn.SEQUENCE(COUNTA($C$2:$C353), 1, 3, 4)),
  _xlpm.nbparties, COUNTA(_xlfn._xlws.FILTER(_xlpm.ptstables, _xlpm.ptstables &lt;&gt; "")),
  _xlpm.coef, _xlpm.K + _xlpm.Knewgain / (_xlpm.Knewscale + _xlpm.nbparties),
  IF(P351="",
    "",
    _xlpm.coef * (P351-P352))
)</f>
        <v>-17.847685597337136</v>
      </c>
      <c r="Q353" t="str" cm="1">
        <f t="array" ref="Q353">_xlfn.LET(
  _xlpm.K, Constantes!$B$3,
  _xlpm.Knewgain, Constantes!$B$4,
  _xlpm.Knewscale, Constantes!$B$5,
  _xlpm.ptstables, INDEX(Q:Q, _xlfn.SEQUENCE(COUNTA($C$2:$C353), 1, 3, 4)),
  _xlpm.nbparties, COUNTA(_xlfn._xlws.FILTER(_xlpm.ptstables, _xlpm.ptstables &lt;&gt; "")),
  _xlpm.coef, _xlpm.K + _xlpm.Knewgain / (_xlpm.Knewscale + _xlpm.nbparties),
  IF(Q351="",
    "",
    _xlpm.coef * (Q351-Q352))
)</f>
        <v/>
      </c>
      <c r="R353" t="str" cm="1">
        <f t="array" ref="R353">_xlfn.LET(
  _xlpm.K, Constantes!$B$3,
  _xlpm.Knewgain, Constantes!$B$4,
  _xlpm.Knewscale, Constantes!$B$5,
  _xlpm.ptstables, INDEX(R:R, _xlfn.SEQUENCE(COUNTA($C$2:$C353), 1, 3, 4)),
  _xlpm.nbparties, COUNTA(_xlfn._xlws.FILTER(_xlpm.ptstables, _xlpm.ptstables &lt;&gt; "")),
  _xlpm.coef, _xlpm.K + _xlpm.Knewgain / (_xlpm.Knewscale + _xlpm.nbparties),
  IF(R351="",
    "",
    _xlpm.coef * (R351-R352))
)</f>
        <v/>
      </c>
      <c r="S353" cm="1">
        <f t="array" ref="S353">_xlfn.LET(
  _xlpm.K, Constantes!$B$3,
  _xlpm.Knewgain, Constantes!$B$4,
  _xlpm.Knewscale, Constantes!$B$5,
  _xlpm.ptstables, INDEX(S:S, _xlfn.SEQUENCE(COUNTA($C$2:$C353), 1, 3, 4)),
  _xlpm.nbparties, COUNTA(_xlfn._xlws.FILTER(_xlpm.ptstables, _xlpm.ptstables &lt;&gt; "")),
  _xlpm.coef, _xlpm.K + _xlpm.Knewgain / (_xlpm.Knewscale + _xlpm.nbparties),
  IF(S351="",
    "",
    _xlpm.coef * (S351-S352))
)</f>
        <v>-29.194313287052019</v>
      </c>
      <c r="T353" t="str" cm="1">
        <f t="array" ref="T353">_xlfn.LET(
  _xlpm.K, Constantes!$B$3,
  _xlpm.Knewgain, Constantes!$B$4,
  _xlpm.Knewscale, Constantes!$B$5,
  _xlpm.ptstables, INDEX(T:T, _xlfn.SEQUENCE(COUNTA($C$2:$C353), 1, 3, 4)),
  _xlpm.nbparties, COUNTA(_xlfn._xlws.FILTER(_xlpm.ptstables, _xlpm.ptstables &lt;&gt; "")),
  _xlpm.coef, _xlpm.K + _xlpm.Knewgain / (_xlpm.Knewscale + _xlpm.nbparties),
  IF(T351="",
    "",
    _xlpm.coef * (T351-T352))
)</f>
        <v/>
      </c>
      <c r="U353" t="str" cm="1">
        <f t="array" ref="U353">_xlfn.LET(
  _xlpm.K, Constantes!$B$3,
  _xlpm.Knewgain, Constantes!$B$4,
  _xlpm.Knewscale, Constantes!$B$5,
  _xlpm.ptstables, INDEX(U:U, _xlfn.SEQUENCE(COUNTA($C$2:$C353), 1, 3, 4)),
  _xlpm.nbparties, COUNTA(_xlfn._xlws.FILTER(_xlpm.ptstables, _xlpm.ptstables &lt;&gt; "")),
  _xlpm.coef, _xlpm.K + _xlpm.Knewgain / (_xlpm.Knewscale + _xlpm.nbparties),
  IF(U351="",
    "",
    _xlpm.coef * (U351-U352))
)</f>
        <v/>
      </c>
      <c r="V353" t="str" cm="1">
        <f t="array" ref="V353">_xlfn.LET(
  _xlpm.K, Constantes!$B$3,
  _xlpm.Knewgain, Constantes!$B$4,
  _xlpm.Knewscale, Constantes!$B$5,
  _xlpm.ptstables, INDEX(V:V, _xlfn.SEQUENCE(COUNTA($C$2:$C353), 1, 3, 4)),
  _xlpm.nbparties, COUNTA(_xlfn._xlws.FILTER(_xlpm.ptstables, _xlpm.ptstables &lt;&gt; "")),
  _xlpm.coef, _xlpm.K + _xlpm.Knewgain / (_xlpm.Knewscale + _xlpm.nbparties),
  IF(V351="",
    "",
    _xlpm.coef * (V351-V352))
)</f>
        <v/>
      </c>
      <c r="W353" t="str" cm="1">
        <f t="array" ref="W353">_xlfn.LET(
  _xlpm.K, Constantes!$B$3,
  _xlpm.Knewgain, Constantes!$B$4,
  _xlpm.Knewscale, Constantes!$B$5,
  _xlpm.ptstables, INDEX(W:W, _xlfn.SEQUENCE(COUNTA($C$2:$C353), 1, 3, 4)),
  _xlpm.nbparties, COUNTA(_xlfn._xlws.FILTER(_xlpm.ptstables, _xlpm.ptstables &lt;&gt; "")),
  _xlpm.coef, _xlpm.K + _xlpm.Knewgain / (_xlpm.Knewscale + _xlpm.nbparties),
  IF(W351="",
    "",
    _xlpm.coef * (W351-W352))
)</f>
        <v/>
      </c>
      <c r="X353" t="str" cm="1">
        <f t="array" ref="X353">_xlfn.LET(
  _xlpm.K, Constantes!$B$3,
  _xlpm.Knewgain, Constantes!$B$4,
  _xlpm.Knewscale, Constantes!$B$5,
  _xlpm.ptstables, INDEX(X:X, _xlfn.SEQUENCE(COUNTA($C$2:$C353), 1, 3, 4)),
  _xlpm.nbparties, COUNTA(_xlfn._xlws.FILTER(_xlpm.ptstables, _xlpm.ptstables &lt;&gt; "")),
  _xlpm.coef, _xlpm.K + _xlpm.Knewgain / (_xlpm.Knewscale + _xlpm.nbparties),
  IF(X351="",
    "",
    _xlpm.coef * (X351-X352))
)</f>
        <v/>
      </c>
      <c r="Y353" t="str" cm="1">
        <f t="array" ref="Y353">_xlfn.LET(
  _xlpm.K, Constantes!$B$3,
  _xlpm.Knewgain, Constantes!$B$4,
  _xlpm.Knewscale, Constantes!$B$5,
  _xlpm.ptstables, INDEX(Y:Y, _xlfn.SEQUENCE(COUNTA($C$2:$C353), 1, 3, 4)),
  _xlpm.nbparties, COUNTA(_xlfn._xlws.FILTER(_xlpm.ptstables, _xlpm.ptstables &lt;&gt; "")),
  _xlpm.coef, _xlpm.K + _xlpm.Knewgain / (_xlpm.Knewscale + _xlpm.nbparties),
  IF(Y351="",
    "",
    _xlpm.coef * (Y351-Y352))
)</f>
        <v/>
      </c>
      <c r="Z353" t="str" cm="1">
        <f t="array" ref="Z353">_xlfn.LET(
  _xlpm.K, Constantes!$B$3,
  _xlpm.Knewgain, Constantes!$B$4,
  _xlpm.Knewscale, Constantes!$B$5,
  _xlpm.ptstables, INDEX(Z:Z, _xlfn.SEQUENCE(COUNTA($C$2:$C353), 1, 3, 4)),
  _xlpm.nbparties, COUNTA(_xlfn._xlws.FILTER(_xlpm.ptstables, _xlpm.ptstables &lt;&gt; "")),
  _xlpm.coef, _xlpm.K + _xlpm.Knewgain / (_xlpm.Knewscale + _xlpm.nbparties),
  IF(Z351="",
    "",
    _xlpm.coef * (Z351-Z352))
)</f>
        <v/>
      </c>
      <c r="AA353" t="str" cm="1">
        <f t="array" ref="AA353">_xlfn.LET(
  _xlpm.K, Constantes!$B$3,
  _xlpm.Knewgain, Constantes!$B$4,
  _xlpm.Knewscale, Constantes!$B$5,
  _xlpm.ptstables, INDEX(AA:AA, _xlfn.SEQUENCE(COUNTA($C$2:$C353), 1, 3, 4)),
  _xlpm.nbparties, COUNTA(_xlfn._xlws.FILTER(_xlpm.ptstables, _xlpm.ptstables &lt;&gt; "")),
  _xlpm.coef, _xlpm.K + _xlpm.Knewgain / (_xlpm.Knewscale + _xlpm.nbparties),
  IF(AA351="",
    "",
    _xlpm.coef * (AA351-AA352))
)</f>
        <v/>
      </c>
      <c r="AB353" t="str" cm="1">
        <f t="array" ref="AB353">_xlfn.LET(
  _xlpm.K, Constantes!$B$3,
  _xlpm.Knewgain, Constantes!$B$4,
  _xlpm.Knewscale, Constantes!$B$5,
  _xlpm.ptstables, INDEX(AB:AB, _xlfn.SEQUENCE(COUNTA($C$2:$C353), 1, 3, 4)),
  _xlpm.nbparties, COUNTA(_xlfn._xlws.FILTER(_xlpm.ptstables, _xlpm.ptstables &lt;&gt; "")),
  _xlpm.coef, _xlpm.K + _xlpm.Knewgain / (_xlpm.Knewscale + _xlpm.nbparties),
  IF(AB351="",
    "",
    _xlpm.coef * (AB351-AB352))
)</f>
        <v/>
      </c>
      <c r="AC353" t="str" cm="1">
        <f t="array" ref="AC353">_xlfn.LET(
  _xlpm.K, Constantes!$B$3,
  _xlpm.Knewgain, Constantes!$B$4,
  _xlpm.Knewscale, Constantes!$B$5,
  _xlpm.ptstables, INDEX(AC:AC, _xlfn.SEQUENCE(COUNTA($C$2:$C353), 1, 3, 4)),
  _xlpm.nbparties, COUNTA(_xlfn._xlws.FILTER(_xlpm.ptstables, _xlpm.ptstables &lt;&gt; "")),
  _xlpm.coef, _xlpm.K + _xlpm.Knewgain / (_xlpm.Knewscale + _xlpm.nbparties),
  IF(AC351="",
    "",
    _xlpm.coef * (AC351-AC352))
)</f>
        <v/>
      </c>
      <c r="AD353" cm="1">
        <f t="array" ref="AD353">_xlfn.LET(
  _xlpm.K, Constantes!$B$3,
  _xlpm.Knewgain, Constantes!$B$4,
  _xlpm.Knewscale, Constantes!$B$5,
  _xlpm.ptstables, INDEX(AD:AD, _xlfn.SEQUENCE(COUNTA($C$2:$C353), 1, 3, 4)),
  _xlpm.nbparties, COUNTA(_xlfn._xlws.FILTER(_xlpm.ptstables, _xlpm.ptstables &lt;&gt; "")),
  _xlpm.coef, _xlpm.K + _xlpm.Knewgain / (_xlpm.Knewscale + _xlpm.nbparties),
  IF(AD351="",
    "",
    _xlpm.coef * (AD351-AD352))
)</f>
        <v>24.57822257399102</v>
      </c>
      <c r="AE353" t="str" cm="1">
        <f t="array" ref="AE353">_xlfn.LET(
  _xlpm.K, Constantes!$B$3,
  _xlpm.Knewgain, Constantes!$B$4,
  _xlpm.Knewscale, Constantes!$B$5,
  _xlpm.ptstables, INDEX(AE:AE, _xlfn.SEQUENCE(COUNTA($C$2:$C353), 1, 3, 4)),
  _xlpm.nbparties, COUNTA(_xlfn._xlws.FILTER(_xlpm.ptstables, _xlpm.ptstables &lt;&gt; "")),
  _xlpm.coef, _xlpm.K + _xlpm.Knewgain / (_xlpm.Knewscale + _xlpm.nbparties),
  IF(AE351="",
    "",
    _xlpm.coef * (AE351-AE352))
)</f>
        <v/>
      </c>
      <c r="AF353" t="str" cm="1">
        <f t="array" ref="AF353">_xlfn.LET(
  _xlpm.K, Constantes!$B$3,
  _xlpm.Knewgain, Constantes!$B$4,
  _xlpm.Knewscale, Constantes!$B$5,
  _xlpm.ptstables, INDEX(AF:AF, _xlfn.SEQUENCE(COUNTA($C$2:$C353), 1, 3, 4)),
  _xlpm.nbparties, COUNTA(_xlfn._xlws.FILTER(_xlpm.ptstables, _xlpm.ptstables &lt;&gt; "")),
  _xlpm.coef, _xlpm.K + _xlpm.Knewgain / (_xlpm.Knewscale + _xlpm.nbparties),
  IF(AF351="",
    "",
    _xlpm.coef * (AF351-AF352))
)</f>
        <v/>
      </c>
      <c r="AG353" t="str" cm="1">
        <f t="array" ref="AG353">_xlfn.LET(
  _xlpm.K, Constantes!$B$3,
  _xlpm.Knewgain, Constantes!$B$4,
  _xlpm.Knewscale, Constantes!$B$5,
  _xlpm.ptstables, INDEX(AG:AG, _xlfn.SEQUENCE(COUNTA($C$2:$C353), 1, 3, 4)),
  _xlpm.nbparties, COUNTA(_xlfn._xlws.FILTER(_xlpm.ptstables, _xlpm.ptstables &lt;&gt; "")),
  _xlpm.coef, _xlpm.K + _xlpm.Knewgain / (_xlpm.Knewscale + _xlpm.nbparties),
  IF(AG351="",
    "",
    _xlpm.coef * (AG351-AG352))
)</f>
        <v/>
      </c>
      <c r="AH353" t="str" cm="1">
        <f t="array" ref="AH353">_xlfn.LET(
  _xlpm.K, Constantes!$B$3,
  _xlpm.Knewgain, Constantes!$B$4,
  _xlpm.Knewscale, Constantes!$B$5,
  _xlpm.ptstables, INDEX(AH:AH, _xlfn.SEQUENCE(COUNTA($C$2:$C353), 1, 3, 4)),
  _xlpm.nbparties, COUNTA(_xlfn._xlws.FILTER(_xlpm.ptstables, _xlpm.ptstables &lt;&gt; "")),
  _xlpm.coef, _xlpm.K + _xlpm.Knewgain / (_xlpm.Knewscale + _xlpm.nbparties),
  IF(AH351="",
    "",
    _xlpm.coef * (AH351-AH352))
)</f>
        <v/>
      </c>
      <c r="AI353" t="str" cm="1">
        <f t="array" ref="AI353">_xlfn.LET(
  _xlpm.K, Constantes!$B$3,
  _xlpm.Knewgain, Constantes!$B$4,
  _xlpm.Knewscale, Constantes!$B$5,
  _xlpm.ptstables, INDEX(AI:AI, _xlfn.SEQUENCE(COUNTA($C$2:$C353), 1, 3, 4)),
  _xlpm.nbparties, COUNTA(_xlfn._xlws.FILTER(_xlpm.ptstables, _xlpm.ptstables &lt;&gt; "")),
  _xlpm.coef, _xlpm.K + _xlpm.Knewgain / (_xlpm.Knewscale + _xlpm.nbparties),
  IF(AI351="",
    "",
    _xlpm.coef * (AI351-AI352))
)</f>
        <v/>
      </c>
      <c r="AJ353" t="str" cm="1">
        <f t="array" ref="AJ353">_xlfn.LET(
  _xlpm.K, Constantes!$B$3,
  _xlpm.Knewgain, Constantes!$B$4,
  _xlpm.Knewscale, Constantes!$B$5,
  _xlpm.ptstables, INDEX(AJ:AJ, _xlfn.SEQUENCE(COUNTA($C$2:$C353), 1, 3, 4)),
  _xlpm.nbparties, COUNTA(_xlfn._xlws.FILTER(_xlpm.ptstables, _xlpm.ptstables &lt;&gt; "")),
  _xlpm.coef, _xlpm.K + _xlpm.Knewgain / (_xlpm.Knewscale + _xlpm.nbparties),
  IF(AJ351="",
    "",
    _xlpm.coef * (AJ351-AJ352))
)</f>
        <v/>
      </c>
      <c r="AK353" t="str" cm="1">
        <f t="array" ref="AK353">_xlfn.LET(
  _xlpm.K, Constantes!$B$3,
  _xlpm.Knewgain, Constantes!$B$4,
  _xlpm.Knewscale, Constantes!$B$5,
  _xlpm.ptstables, INDEX(AK:AK, _xlfn.SEQUENCE(COUNTA($C$2:$C353), 1, 3, 4)),
  _xlpm.nbparties, COUNTA(_xlfn._xlws.FILTER(_xlpm.ptstables, _xlpm.ptstables &lt;&gt; "")),
  _xlpm.coef, _xlpm.K + _xlpm.Knewgain / (_xlpm.Knewscale + _xlpm.nbparties),
  IF(AK351="",
    "",
    _xlpm.coef * (AK351-AK352))
)</f>
        <v/>
      </c>
      <c r="AL353" t="str" cm="1">
        <f t="array" ref="AL353">_xlfn.LET(
  _xlpm.K, Constantes!$B$3,
  _xlpm.Knewgain, Constantes!$B$4,
  _xlpm.Knewscale, Constantes!$B$5,
  _xlpm.ptstables, INDEX(AL:AL, _xlfn.SEQUENCE(COUNTA($C$2:$C353), 1, 3, 4)),
  _xlpm.nbparties, COUNTA(_xlfn._xlws.FILTER(_xlpm.ptstables, _xlpm.ptstables &lt;&gt; "")),
  _xlpm.coef, _xlpm.K + _xlpm.Knewgain / (_xlpm.Knewscale + _xlpm.nbparties),
  IF(AL351="",
    "",
    _xlpm.coef * (AL351-AL352))
)</f>
        <v/>
      </c>
      <c r="AM353" t="str" cm="1">
        <f t="array" ref="AM353">_xlfn.LET(
  _xlpm.K, Constantes!$B$3,
  _xlpm.Knewgain, Constantes!$B$4,
  _xlpm.Knewscale, Constantes!$B$5,
  _xlpm.ptstables, INDEX(AM:AM, _xlfn.SEQUENCE(COUNTA($C$2:$C353), 1, 3, 4)),
  _xlpm.nbparties, COUNTA(_xlfn._xlws.FILTER(_xlpm.ptstables, _xlpm.ptstables &lt;&gt; "")),
  _xlpm.coef, _xlpm.K + _xlpm.Knewgain / (_xlpm.Knewscale + _xlpm.nbparties),
  IF(AM351="",
    "",
    _xlpm.coef * (AM351-AM352))
)</f>
        <v/>
      </c>
    </row>
    <row r="354" spans="1:39" x14ac:dyDescent="0.25">
      <c r="A354" t="s">
        <v>14</v>
      </c>
      <c r="B354" t="str" cm="1">
        <f t="array" ref="B35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90</v>
      </c>
      <c r="C354" s="2" cm="1">
        <f t="array" ref="C354">IF(B354="","",
  INDEX(Donnees!F:F, MATCH(B354, Donnees!F:F, 0)+1))</f>
        <v>45952.620370370372</v>
      </c>
      <c r="D354">
        <f t="shared" ref="D354:AM354" si="96">D350+IF(D353="",0,D353)</f>
        <v>1014.6502829104329</v>
      </c>
      <c r="E354">
        <f t="shared" si="96"/>
        <v>1134.1573908115724</v>
      </c>
      <c r="F354">
        <f t="shared" si="96"/>
        <v>865.76862070660661</v>
      </c>
      <c r="G354">
        <f t="shared" si="96"/>
        <v>1088.6303008978277</v>
      </c>
      <c r="H354">
        <f t="shared" si="96"/>
        <v>1120.6842315020224</v>
      </c>
      <c r="I354">
        <f t="shared" si="96"/>
        <v>960.02345484062744</v>
      </c>
      <c r="J354">
        <f t="shared" si="96"/>
        <v>1010.9125108504293</v>
      </c>
      <c r="K354">
        <f t="shared" si="96"/>
        <v>993.90254614824482</v>
      </c>
      <c r="L354">
        <f t="shared" si="96"/>
        <v>783.12422360152641</v>
      </c>
      <c r="M354">
        <f t="shared" si="96"/>
        <v>913.41986361738122</v>
      </c>
      <c r="N354">
        <f t="shared" si="96"/>
        <v>903.42914476260137</v>
      </c>
      <c r="O354">
        <f t="shared" si="96"/>
        <v>1033.7212914161473</v>
      </c>
      <c r="P354">
        <f t="shared" si="96"/>
        <v>995.17595583804427</v>
      </c>
      <c r="Q354">
        <f t="shared" si="96"/>
        <v>1050.1062561870472</v>
      </c>
      <c r="R354">
        <f t="shared" si="96"/>
        <v>1093.913359363753</v>
      </c>
      <c r="S354">
        <f t="shared" si="96"/>
        <v>897.19534402299064</v>
      </c>
      <c r="T354">
        <f t="shared" si="96"/>
        <v>1153.43058185823</v>
      </c>
      <c r="U354">
        <f t="shared" si="96"/>
        <v>1219.3716250000077</v>
      </c>
      <c r="V354">
        <f t="shared" si="96"/>
        <v>969.67171739286073</v>
      </c>
      <c r="W354">
        <f t="shared" si="96"/>
        <v>882.29253769067657</v>
      </c>
      <c r="X354">
        <f t="shared" si="96"/>
        <v>828.97598039785271</v>
      </c>
      <c r="Y354">
        <f t="shared" si="96"/>
        <v>903.14348714035714</v>
      </c>
      <c r="Z354">
        <f t="shared" si="96"/>
        <v>1000.4832210979791</v>
      </c>
      <c r="AA354">
        <f t="shared" si="96"/>
        <v>976.51233940414613</v>
      </c>
      <c r="AB354">
        <f t="shared" si="96"/>
        <v>988.35669729544747</v>
      </c>
      <c r="AC354">
        <f t="shared" si="96"/>
        <v>1051.9456808600683</v>
      </c>
      <c r="AD354">
        <f t="shared" si="96"/>
        <v>1093.8192243082785</v>
      </c>
      <c r="AE354">
        <f t="shared" si="96"/>
        <v>963.23981965000235</v>
      </c>
      <c r="AF354">
        <f t="shared" si="96"/>
        <v>1094.8196847516158</v>
      </c>
      <c r="AG354">
        <f t="shared" si="96"/>
        <v>958.23078604304851</v>
      </c>
      <c r="AH354">
        <f t="shared" si="96"/>
        <v>920.4412636682855</v>
      </c>
      <c r="AI354">
        <f t="shared" si="96"/>
        <v>921.59353277311538</v>
      </c>
      <c r="AJ354">
        <f t="shared" si="96"/>
        <v>906.86354201913434</v>
      </c>
      <c r="AK354">
        <f t="shared" si="96"/>
        <v>1074.0069367206956</v>
      </c>
      <c r="AL354">
        <f t="shared" si="96"/>
        <v>1025.7817971572972</v>
      </c>
      <c r="AM354">
        <f t="shared" si="96"/>
        <v>930.08392160706046</v>
      </c>
    </row>
    <row r="355" spans="1:39" x14ac:dyDescent="0.25">
      <c r="A355" t="s">
        <v>21</v>
      </c>
      <c r="D355" cm="1">
        <f t="array" ref="D355">IFERROR(
  _xlfn.LET(
    _xlpm.ligpartie, MATCH($B354, Donnees!$F:$F, 0),
    _xlpm.joueurs, INDEX(Donnees!$A:$Z, _xlpm.ligpartie+1, _xlfn.SEQUENCE(1, 4, 2)),
    INDEX(
      Donnees!$A:$Z,
      _xlpm.ligpartie + 3,
      MATCH(D$1, _xlpm.joueurs, 0) + 1
    )
  ), ""
)</f>
        <v>0</v>
      </c>
      <c r="E355" t="str" cm="1">
        <f t="array" ref="E355">IFERROR(
  _xlfn.LET(
    _xlpm.ligpartie, MATCH($B354, Donnees!$F:$F, 0),
    _xlpm.joueurs, INDEX(Donnees!$A:$Z, _xlpm.ligpartie+1, _xlfn.SEQUENCE(1, 4, 2)),
    INDEX(
      Donnees!$A:$Z,
      _xlpm.ligpartie + 3,
      MATCH(E$1, _xlpm.joueurs, 0) + 1
    )
  ), ""
)</f>
        <v/>
      </c>
      <c r="F355" t="str" cm="1">
        <f t="array" ref="F355">IFERROR(
  _xlfn.LET(
    _xlpm.ligpartie, MATCH($B354, Donnees!$F:$F, 0),
    _xlpm.joueurs, INDEX(Donnees!$A:$Z, _xlpm.ligpartie+1, _xlfn.SEQUENCE(1, 4, 2)),
    INDEX(
      Donnees!$A:$Z,
      _xlpm.ligpartie + 3,
      MATCH(F$1, _xlpm.joueurs, 0) + 1
    )
  ), ""
)</f>
        <v/>
      </c>
      <c r="G355" cm="1">
        <f t="array" ref="G355">IFERROR(
  _xlfn.LET(
    _xlpm.ligpartie, MATCH($B354, Donnees!$F:$F, 0),
    _xlpm.joueurs, INDEX(Donnees!$A:$Z, _xlpm.ligpartie+1, _xlfn.SEQUENCE(1, 4, 2)),
    INDEX(
      Donnees!$A:$Z,
      _xlpm.ligpartie + 3,
      MATCH(G$1, _xlpm.joueurs, 0) + 1
    )
  ), ""
)</f>
        <v>2</v>
      </c>
      <c r="H355" t="str" cm="1">
        <f t="array" ref="H355">IFERROR(
  _xlfn.LET(
    _xlpm.ligpartie, MATCH($B354, Donnees!$F:$F, 0),
    _xlpm.joueurs, INDEX(Donnees!$A:$Z, _xlpm.ligpartie+1, _xlfn.SEQUENCE(1, 4, 2)),
    INDEX(
      Donnees!$A:$Z,
      _xlpm.ligpartie + 3,
      MATCH(H$1, _xlpm.joueurs, 0) + 1
    )
  ), ""
)</f>
        <v/>
      </c>
      <c r="I355" t="str" cm="1">
        <f t="array" ref="I355">IFERROR(
  _xlfn.LET(
    _xlpm.ligpartie, MATCH($B354, Donnees!$F:$F, 0),
    _xlpm.joueurs, INDEX(Donnees!$A:$Z, _xlpm.ligpartie+1, _xlfn.SEQUENCE(1, 4, 2)),
    INDEX(
      Donnees!$A:$Z,
      _xlpm.ligpartie + 3,
      MATCH(I$1, _xlpm.joueurs, 0) + 1
    )
  ), ""
)</f>
        <v/>
      </c>
      <c r="J355" t="str" cm="1">
        <f t="array" ref="J355">IFERROR(
  _xlfn.LET(
    _xlpm.ligpartie, MATCH($B354, Donnees!$F:$F, 0),
    _xlpm.joueurs, INDEX(Donnees!$A:$Z, _xlpm.ligpartie+1, _xlfn.SEQUENCE(1, 4, 2)),
    INDEX(
      Donnees!$A:$Z,
      _xlpm.ligpartie + 3,
      MATCH(J$1, _xlpm.joueurs, 0) + 1
    )
  ), ""
)</f>
        <v/>
      </c>
      <c r="K355" t="str" cm="1">
        <f t="array" ref="K355">IFERROR(
  _xlfn.LET(
    _xlpm.ligpartie, MATCH($B354, Donnees!$F:$F, 0),
    _xlpm.joueurs, INDEX(Donnees!$A:$Z, _xlpm.ligpartie+1, _xlfn.SEQUENCE(1, 4, 2)),
    INDEX(
      Donnees!$A:$Z,
      _xlpm.ligpartie + 3,
      MATCH(K$1, _xlpm.joueurs, 0) + 1
    )
  ), ""
)</f>
        <v/>
      </c>
      <c r="L355" t="str" cm="1">
        <f t="array" ref="L355">IFERROR(
  _xlfn.LET(
    _xlpm.ligpartie, MATCH($B354, Donnees!$F:$F, 0),
    _xlpm.joueurs, INDEX(Donnees!$A:$Z, _xlpm.ligpartie+1, _xlfn.SEQUENCE(1, 4, 2)),
    INDEX(
      Donnees!$A:$Z,
      _xlpm.ligpartie + 3,
      MATCH(L$1, _xlpm.joueurs, 0) + 1
    )
  ), ""
)</f>
        <v/>
      </c>
      <c r="M355" t="str" cm="1">
        <f t="array" ref="M355">IFERROR(
  _xlfn.LET(
    _xlpm.ligpartie, MATCH($B354, Donnees!$F:$F, 0),
    _xlpm.joueurs, INDEX(Donnees!$A:$Z, _xlpm.ligpartie+1, _xlfn.SEQUENCE(1, 4, 2)),
    INDEX(
      Donnees!$A:$Z,
      _xlpm.ligpartie + 3,
      MATCH(M$1, _xlpm.joueurs, 0) + 1
    )
  ), ""
)</f>
        <v/>
      </c>
      <c r="N355" t="str" cm="1">
        <f t="array" ref="N355">IFERROR(
  _xlfn.LET(
    _xlpm.ligpartie, MATCH($B354, Donnees!$F:$F, 0),
    _xlpm.joueurs, INDEX(Donnees!$A:$Z, _xlpm.ligpartie+1, _xlfn.SEQUENCE(1, 4, 2)),
    INDEX(
      Donnees!$A:$Z,
      _xlpm.ligpartie + 3,
      MATCH(N$1, _xlpm.joueurs, 0) + 1
    )
  ), ""
)</f>
        <v/>
      </c>
      <c r="O355" t="str" cm="1">
        <f t="array" ref="O355">IFERROR(
  _xlfn.LET(
    _xlpm.ligpartie, MATCH($B354, Donnees!$F:$F, 0),
    _xlpm.joueurs, INDEX(Donnees!$A:$Z, _xlpm.ligpartie+1, _xlfn.SEQUENCE(1, 4, 2)),
    INDEX(
      Donnees!$A:$Z,
      _xlpm.ligpartie + 3,
      MATCH(O$1, _xlpm.joueurs, 0) + 1
    )
  ), ""
)</f>
        <v/>
      </c>
      <c r="P355" t="str" cm="1">
        <f t="array" ref="P355">IFERROR(
  _xlfn.LET(
    _xlpm.ligpartie, MATCH($B354, Donnees!$F:$F, 0),
    _xlpm.joueurs, INDEX(Donnees!$A:$Z, _xlpm.ligpartie+1, _xlfn.SEQUENCE(1, 4, 2)),
    INDEX(
      Donnees!$A:$Z,
      _xlpm.ligpartie + 3,
      MATCH(P$1, _xlpm.joueurs, 0) + 1
    )
  ), ""
)</f>
        <v/>
      </c>
      <c r="Q355" t="str" cm="1">
        <f t="array" ref="Q355">IFERROR(
  _xlfn.LET(
    _xlpm.ligpartie, MATCH($B354, Donnees!$F:$F, 0),
    _xlpm.joueurs, INDEX(Donnees!$A:$Z, _xlpm.ligpartie+1, _xlfn.SEQUENCE(1, 4, 2)),
    INDEX(
      Donnees!$A:$Z,
      _xlpm.ligpartie + 3,
      MATCH(Q$1, _xlpm.joueurs, 0) + 1
    )
  ), ""
)</f>
        <v/>
      </c>
      <c r="R355" cm="1">
        <f t="array" ref="R355">IFERROR(
  _xlfn.LET(
    _xlpm.ligpartie, MATCH($B354, Donnees!$F:$F, 0),
    _xlpm.joueurs, INDEX(Donnees!$A:$Z, _xlpm.ligpartie+1, _xlfn.SEQUENCE(1, 4, 2)),
    INDEX(
      Donnees!$A:$Z,
      _xlpm.ligpartie + 3,
      MATCH(R$1, _xlpm.joueurs, 0) + 1
    )
  ), ""
)</f>
        <v>3</v>
      </c>
      <c r="S355" t="str" cm="1">
        <f t="array" ref="S355">IFERROR(
  _xlfn.LET(
    _xlpm.ligpartie, MATCH($B354, Donnees!$F:$F, 0),
    _xlpm.joueurs, INDEX(Donnees!$A:$Z, _xlpm.ligpartie+1, _xlfn.SEQUENCE(1, 4, 2)),
    INDEX(
      Donnees!$A:$Z,
      _xlpm.ligpartie + 3,
      MATCH(S$1, _xlpm.joueurs, 0) + 1
    )
  ), ""
)</f>
        <v/>
      </c>
      <c r="T355" t="str" cm="1">
        <f t="array" ref="T355">IFERROR(
  _xlfn.LET(
    _xlpm.ligpartie, MATCH($B354, Donnees!$F:$F, 0),
    _xlpm.joueurs, INDEX(Donnees!$A:$Z, _xlpm.ligpartie+1, _xlfn.SEQUENCE(1, 4, 2)),
    INDEX(
      Donnees!$A:$Z,
      _xlpm.ligpartie + 3,
      MATCH(T$1, _xlpm.joueurs, 0) + 1
    )
  ), ""
)</f>
        <v/>
      </c>
      <c r="U355" t="str" cm="1">
        <f t="array" ref="U355">IFERROR(
  _xlfn.LET(
    _xlpm.ligpartie, MATCH($B354, Donnees!$F:$F, 0),
    _xlpm.joueurs, INDEX(Donnees!$A:$Z, _xlpm.ligpartie+1, _xlfn.SEQUENCE(1, 4, 2)),
    INDEX(
      Donnees!$A:$Z,
      _xlpm.ligpartie + 3,
      MATCH(U$1, _xlpm.joueurs, 0) + 1
    )
  ), ""
)</f>
        <v/>
      </c>
      <c r="V355" t="str" cm="1">
        <f t="array" ref="V355">IFERROR(
  _xlfn.LET(
    _xlpm.ligpartie, MATCH($B354, Donnees!$F:$F, 0),
    _xlpm.joueurs, INDEX(Donnees!$A:$Z, _xlpm.ligpartie+1, _xlfn.SEQUENCE(1, 4, 2)),
    INDEX(
      Donnees!$A:$Z,
      _xlpm.ligpartie + 3,
      MATCH(V$1, _xlpm.joueurs, 0) + 1
    )
  ), ""
)</f>
        <v/>
      </c>
      <c r="W355" t="str" cm="1">
        <f t="array" ref="W355">IFERROR(
  _xlfn.LET(
    _xlpm.ligpartie, MATCH($B354, Donnees!$F:$F, 0),
    _xlpm.joueurs, INDEX(Donnees!$A:$Z, _xlpm.ligpartie+1, _xlfn.SEQUENCE(1, 4, 2)),
    INDEX(
      Donnees!$A:$Z,
      _xlpm.ligpartie + 3,
      MATCH(W$1, _xlpm.joueurs, 0) + 1
    )
  ), ""
)</f>
        <v/>
      </c>
      <c r="X355" t="str" cm="1">
        <f t="array" ref="X355">IFERROR(
  _xlfn.LET(
    _xlpm.ligpartie, MATCH($B354, Donnees!$F:$F, 0),
    _xlpm.joueurs, INDEX(Donnees!$A:$Z, _xlpm.ligpartie+1, _xlfn.SEQUENCE(1, 4, 2)),
    INDEX(
      Donnees!$A:$Z,
      _xlpm.ligpartie + 3,
      MATCH(X$1, _xlpm.joueurs, 0) + 1
    )
  ), ""
)</f>
        <v/>
      </c>
      <c r="Y355" t="str" cm="1">
        <f t="array" ref="Y355">IFERROR(
  _xlfn.LET(
    _xlpm.ligpartie, MATCH($B354, Donnees!$F:$F, 0),
    _xlpm.joueurs, INDEX(Donnees!$A:$Z, _xlpm.ligpartie+1, _xlfn.SEQUENCE(1, 4, 2)),
    INDEX(
      Donnees!$A:$Z,
      _xlpm.ligpartie + 3,
      MATCH(Y$1, _xlpm.joueurs, 0) + 1
    )
  ), ""
)</f>
        <v/>
      </c>
      <c r="Z355" t="str" cm="1">
        <f t="array" ref="Z355">IFERROR(
  _xlfn.LET(
    _xlpm.ligpartie, MATCH($B354, Donnees!$F:$F, 0),
    _xlpm.joueurs, INDEX(Donnees!$A:$Z, _xlpm.ligpartie+1, _xlfn.SEQUENCE(1, 4, 2)),
    INDEX(
      Donnees!$A:$Z,
      _xlpm.ligpartie + 3,
      MATCH(Z$1, _xlpm.joueurs, 0) + 1
    )
  ), ""
)</f>
        <v/>
      </c>
      <c r="AA355" t="str" cm="1">
        <f t="array" ref="AA355">IFERROR(
  _xlfn.LET(
    _xlpm.ligpartie, MATCH($B354, Donnees!$F:$F, 0),
    _xlpm.joueurs, INDEX(Donnees!$A:$Z, _xlpm.ligpartie+1, _xlfn.SEQUENCE(1, 4, 2)),
    INDEX(
      Donnees!$A:$Z,
      _xlpm.ligpartie + 3,
      MATCH(AA$1, _xlpm.joueurs, 0) + 1
    )
  ), ""
)</f>
        <v/>
      </c>
      <c r="AB355" t="str" cm="1">
        <f t="array" ref="AB355">IFERROR(
  _xlfn.LET(
    _xlpm.ligpartie, MATCH($B354, Donnees!$F:$F, 0),
    _xlpm.joueurs, INDEX(Donnees!$A:$Z, _xlpm.ligpartie+1, _xlfn.SEQUENCE(1, 4, 2)),
    INDEX(
      Donnees!$A:$Z,
      _xlpm.ligpartie + 3,
      MATCH(AB$1, _xlpm.joueurs, 0) + 1
    )
  ), ""
)</f>
        <v/>
      </c>
      <c r="AC355" t="str" cm="1">
        <f t="array" ref="AC355">IFERROR(
  _xlfn.LET(
    _xlpm.ligpartie, MATCH($B354, Donnees!$F:$F, 0),
    _xlpm.joueurs, INDEX(Donnees!$A:$Z, _xlpm.ligpartie+1, _xlfn.SEQUENCE(1, 4, 2)),
    INDEX(
      Donnees!$A:$Z,
      _xlpm.ligpartie + 3,
      MATCH(AC$1, _xlpm.joueurs, 0) + 1
    )
  ), ""
)</f>
        <v/>
      </c>
      <c r="AD355" t="str" cm="1">
        <f t="array" ref="AD355">IFERROR(
  _xlfn.LET(
    _xlpm.ligpartie, MATCH($B354, Donnees!$F:$F, 0),
    _xlpm.joueurs, INDEX(Donnees!$A:$Z, _xlpm.ligpartie+1, _xlfn.SEQUENCE(1, 4, 2)),
    INDEX(
      Donnees!$A:$Z,
      _xlpm.ligpartie + 3,
      MATCH(AD$1, _xlpm.joueurs, 0) + 1
    )
  ), ""
)</f>
        <v/>
      </c>
      <c r="AE355" t="str" cm="1">
        <f t="array" ref="AE355">IFERROR(
  _xlfn.LET(
    _xlpm.ligpartie, MATCH($B354, Donnees!$F:$F, 0),
    _xlpm.joueurs, INDEX(Donnees!$A:$Z, _xlpm.ligpartie+1, _xlfn.SEQUENCE(1, 4, 2)),
    INDEX(
      Donnees!$A:$Z,
      _xlpm.ligpartie + 3,
      MATCH(AE$1, _xlpm.joueurs, 0) + 1
    )
  ), ""
)</f>
        <v/>
      </c>
      <c r="AF355" t="str" cm="1">
        <f t="array" ref="AF355">IFERROR(
  _xlfn.LET(
    _xlpm.ligpartie, MATCH($B354, Donnees!$F:$F, 0),
    _xlpm.joueurs, INDEX(Donnees!$A:$Z, _xlpm.ligpartie+1, _xlfn.SEQUENCE(1, 4, 2)),
    INDEX(
      Donnees!$A:$Z,
      _xlpm.ligpartie + 3,
      MATCH(AF$1, _xlpm.joueurs, 0) + 1
    )
  ), ""
)</f>
        <v/>
      </c>
      <c r="AG355" t="str" cm="1">
        <f t="array" ref="AG355">IFERROR(
  _xlfn.LET(
    _xlpm.ligpartie, MATCH($B354, Donnees!$F:$F, 0),
    _xlpm.joueurs, INDEX(Donnees!$A:$Z, _xlpm.ligpartie+1, _xlfn.SEQUENCE(1, 4, 2)),
    INDEX(
      Donnees!$A:$Z,
      _xlpm.ligpartie + 3,
      MATCH(AG$1, _xlpm.joueurs, 0) + 1
    )
  ), ""
)</f>
        <v/>
      </c>
      <c r="AH355" t="str" cm="1">
        <f t="array" ref="AH355">IFERROR(
  _xlfn.LET(
    _xlpm.ligpartie, MATCH($B354, Donnees!$F:$F, 0),
    _xlpm.joueurs, INDEX(Donnees!$A:$Z, _xlpm.ligpartie+1, _xlfn.SEQUENCE(1, 4, 2)),
    INDEX(
      Donnees!$A:$Z,
      _xlpm.ligpartie + 3,
      MATCH(AH$1, _xlpm.joueurs, 0) + 1
    )
  ), ""
)</f>
        <v/>
      </c>
      <c r="AI355" cm="1">
        <f t="array" ref="AI355">IFERROR(
  _xlfn.LET(
    _xlpm.ligpartie, MATCH($B354, Donnees!$F:$F, 0),
    _xlpm.joueurs, INDEX(Donnees!$A:$Z, _xlpm.ligpartie+1, _xlfn.SEQUENCE(1, 4, 2)),
    INDEX(
      Donnees!$A:$Z,
      _xlpm.ligpartie + 3,
      MATCH(AI$1, _xlpm.joueurs, 0) + 1
    )
  ), ""
)</f>
        <v>1</v>
      </c>
      <c r="AJ355" t="str" cm="1">
        <f t="array" ref="AJ355">IFERROR(
  _xlfn.LET(
    _xlpm.ligpartie, MATCH($B354, Donnees!$F:$F, 0),
    _xlpm.joueurs, INDEX(Donnees!$A:$Z, _xlpm.ligpartie+1, _xlfn.SEQUENCE(1, 4, 2)),
    INDEX(
      Donnees!$A:$Z,
      _xlpm.ligpartie + 3,
      MATCH(AJ$1, _xlpm.joueurs, 0) + 1
    )
  ), ""
)</f>
        <v/>
      </c>
      <c r="AK355" t="str" cm="1">
        <f t="array" ref="AK355">IFERROR(
  _xlfn.LET(
    _xlpm.ligpartie, MATCH($B354, Donnees!$F:$F, 0),
    _xlpm.joueurs, INDEX(Donnees!$A:$Z, _xlpm.ligpartie+1, _xlfn.SEQUENCE(1, 4, 2)),
    INDEX(
      Donnees!$A:$Z,
      _xlpm.ligpartie + 3,
      MATCH(AK$1, _xlpm.joueurs, 0) + 1
    )
  ), ""
)</f>
        <v/>
      </c>
      <c r="AL355" t="str" cm="1">
        <f t="array" ref="AL355">IFERROR(
  _xlfn.LET(
    _xlpm.ligpartie, MATCH($B354, Donnees!$F:$F, 0),
    _xlpm.joueurs, INDEX(Donnees!$A:$Z, _xlpm.ligpartie+1, _xlfn.SEQUENCE(1, 4, 2)),
    INDEX(
      Donnees!$A:$Z,
      _xlpm.ligpartie + 3,
      MATCH(AL$1, _xlpm.joueurs, 0) + 1
    )
  ), ""
)</f>
        <v/>
      </c>
      <c r="AM355" t="str" cm="1">
        <f t="array" ref="AM355">IFERROR(
  _xlfn.LET(
    _xlpm.ligpartie, MATCH($B354, Donnees!$F:$F, 0),
    _xlpm.joueurs, INDEX(Donnees!$A:$Z, _xlpm.ligpartie+1, _xlfn.SEQUENCE(1, 4, 2)),
    INDEX(
      Donnees!$A:$Z,
      _xlpm.ligpartie + 3,
      MATCH(AM$1, _xlpm.joueurs, 0) + 1
    )
  ), ""
)</f>
        <v/>
      </c>
    </row>
    <row r="356" spans="1:39" x14ac:dyDescent="0.25">
      <c r="A356" t="s">
        <v>20</v>
      </c>
      <c r="D356" cm="1">
        <f t="array" ref="D356">_xlfn.LET(
  _xlpm.colj, _xlfn._xlws.FILTER(IF(ISNUMBER(355:355), COLUMN(355:355)), ISNUMBER(355:355)),
  _xlpm.elos, INDEX(354:354,1,_xlpm.colj),
  _xlpm.diffscale, Constantes!$B$2,
  IF(D355="",
    "",
    SUM(1/(1+POWER(10,-(D354-_xlpm.elos)/_xlpm.diffscale)))-0.5)
)</f>
        <v>1.4137908424215544</v>
      </c>
      <c r="E356" t="str" cm="1">
        <f t="array" ref="E356">_xlfn.LET(
  _xlpm.colj, _xlfn._xlws.FILTER(IF(ISNUMBER(355:355), COLUMN(355:355)), ISNUMBER(355:355)),
  _xlpm.elos, INDEX(354:354,1,_xlpm.colj),
  _xlpm.diffscale, Constantes!$B$2,
  IF(E355="",
    "",
    SUM(1/(1+POWER(10,-(E354-_xlpm.elos)/_xlpm.diffscale)))-0.5)
)</f>
        <v/>
      </c>
      <c r="F356" t="str" cm="1">
        <f t="array" ref="F356">_xlfn.LET(
  _xlpm.colj, _xlfn._xlws.FILTER(IF(ISNUMBER(355:355), COLUMN(355:355)), ISNUMBER(355:355)),
  _xlpm.elos, INDEX(354:354,1,_xlpm.colj),
  _xlpm.diffscale, Constantes!$B$2,
  IF(F355="",
    "",
    SUM(1/(1+POWER(10,-(F354-_xlpm.elos)/_xlpm.diffscale)))-0.5)
)</f>
        <v/>
      </c>
      <c r="G356" cm="1">
        <f t="array" ref="G356">_xlfn.LET(
  _xlpm.colj, _xlfn._xlws.FILTER(IF(ISNUMBER(355:355), COLUMN(355:355)), ISNUMBER(355:355)),
  _xlpm.elos, INDEX(354:354,1,_xlpm.colj),
  _xlpm.diffscale, Constantes!$B$2,
  IF(G355="",
    "",
    SUM(1/(1+POWER(10,-(G354-_xlpm.elos)/_xlpm.diffscale)))-0.5)
)</f>
        <v>1.820713283952748</v>
      </c>
      <c r="H356" t="str" cm="1">
        <f t="array" ref="H356">_xlfn.LET(
  _xlpm.colj, _xlfn._xlws.FILTER(IF(ISNUMBER(355:355), COLUMN(355:355)), ISNUMBER(355:355)),
  _xlpm.elos, INDEX(354:354,1,_xlpm.colj),
  _xlpm.diffscale, Constantes!$B$2,
  IF(H355="",
    "",
    SUM(1/(1+POWER(10,-(H354-_xlpm.elos)/_xlpm.diffscale)))-0.5)
)</f>
        <v/>
      </c>
      <c r="I356" t="str" cm="1">
        <f t="array" ref="I356">_xlfn.LET(
  _xlpm.colj, _xlfn._xlws.FILTER(IF(ISNUMBER(355:355), COLUMN(355:355)), ISNUMBER(355:355)),
  _xlpm.elos, INDEX(354:354,1,_xlpm.colj),
  _xlpm.diffscale, Constantes!$B$2,
  IF(I355="",
    "",
    SUM(1/(1+POWER(10,-(I354-_xlpm.elos)/_xlpm.diffscale)))-0.5)
)</f>
        <v/>
      </c>
      <c r="J356" t="str" cm="1">
        <f t="array" ref="J356">_xlfn.LET(
  _xlpm.colj, _xlfn._xlws.FILTER(IF(ISNUMBER(355:355), COLUMN(355:355)), ISNUMBER(355:355)),
  _xlpm.elos, INDEX(354:354,1,_xlpm.colj),
  _xlpm.diffscale, Constantes!$B$2,
  IF(J355="",
    "",
    SUM(1/(1+POWER(10,-(J354-_xlpm.elos)/_xlpm.diffscale)))-0.5)
)</f>
        <v/>
      </c>
      <c r="K356" t="str" cm="1">
        <f t="array" ref="K356">_xlfn.LET(
  _xlpm.colj, _xlfn._xlws.FILTER(IF(ISNUMBER(355:355), COLUMN(355:355)), ISNUMBER(355:355)),
  _xlpm.elos, INDEX(354:354,1,_xlpm.colj),
  _xlpm.diffscale, Constantes!$B$2,
  IF(K355="",
    "",
    SUM(1/(1+POWER(10,-(K354-_xlpm.elos)/_xlpm.diffscale)))-0.5)
)</f>
        <v/>
      </c>
      <c r="L356" t="str" cm="1">
        <f t="array" ref="L356">_xlfn.LET(
  _xlpm.colj, _xlfn._xlws.FILTER(IF(ISNUMBER(355:355), COLUMN(355:355)), ISNUMBER(355:355)),
  _xlpm.elos, INDEX(354:354,1,_xlpm.colj),
  _xlpm.diffscale, Constantes!$B$2,
  IF(L355="",
    "",
    SUM(1/(1+POWER(10,-(L354-_xlpm.elos)/_xlpm.diffscale)))-0.5)
)</f>
        <v/>
      </c>
      <c r="M356" t="str" cm="1">
        <f t="array" ref="M356">_xlfn.LET(
  _xlpm.colj, _xlfn._xlws.FILTER(IF(ISNUMBER(355:355), COLUMN(355:355)), ISNUMBER(355:355)),
  _xlpm.elos, INDEX(354:354,1,_xlpm.colj),
  _xlpm.diffscale, Constantes!$B$2,
  IF(M355="",
    "",
    SUM(1/(1+POWER(10,-(M354-_xlpm.elos)/_xlpm.diffscale)))-0.5)
)</f>
        <v/>
      </c>
      <c r="N356" t="str" cm="1">
        <f t="array" ref="N356">_xlfn.LET(
  _xlpm.colj, _xlfn._xlws.FILTER(IF(ISNUMBER(355:355), COLUMN(355:355)), ISNUMBER(355:355)),
  _xlpm.elos, INDEX(354:354,1,_xlpm.colj),
  _xlpm.diffscale, Constantes!$B$2,
  IF(N355="",
    "",
    SUM(1/(1+POWER(10,-(N354-_xlpm.elos)/_xlpm.diffscale)))-0.5)
)</f>
        <v/>
      </c>
      <c r="O356" t="str" cm="1">
        <f t="array" ref="O356">_xlfn.LET(
  _xlpm.colj, _xlfn._xlws.FILTER(IF(ISNUMBER(355:355), COLUMN(355:355)), ISNUMBER(355:355)),
  _xlpm.elos, INDEX(354:354,1,_xlpm.colj),
  _xlpm.diffscale, Constantes!$B$2,
  IF(O355="",
    "",
    SUM(1/(1+POWER(10,-(O354-_xlpm.elos)/_xlpm.diffscale)))-0.5)
)</f>
        <v/>
      </c>
      <c r="P356" t="str" cm="1">
        <f t="array" ref="P356">_xlfn.LET(
  _xlpm.colj, _xlfn._xlws.FILTER(IF(ISNUMBER(355:355), COLUMN(355:355)), ISNUMBER(355:355)),
  _xlpm.elos, INDEX(354:354,1,_xlpm.colj),
  _xlpm.diffscale, Constantes!$B$2,
  IF(P355="",
    "",
    SUM(1/(1+POWER(10,-(P354-_xlpm.elos)/_xlpm.diffscale)))-0.5)
)</f>
        <v/>
      </c>
      <c r="Q356" t="str" cm="1">
        <f t="array" ref="Q356">_xlfn.LET(
  _xlpm.colj, _xlfn._xlws.FILTER(IF(ISNUMBER(355:355), COLUMN(355:355)), ISNUMBER(355:355)),
  _xlpm.elos, INDEX(354:354,1,_xlpm.colj),
  _xlpm.diffscale, Constantes!$B$2,
  IF(Q355="",
    "",
    SUM(1/(1+POWER(10,-(Q354-_xlpm.elos)/_xlpm.diffscale)))-0.5)
)</f>
        <v/>
      </c>
      <c r="R356" cm="1">
        <f t="array" ref="R356">_xlfn.LET(
  _xlpm.colj, _xlfn._xlws.FILTER(IF(ISNUMBER(355:355), COLUMN(355:355)), ISNUMBER(355:355)),
  _xlpm.elos, INDEX(354:354,1,_xlpm.colj),
  _xlpm.diffscale, Constantes!$B$2,
  IF(R355="",
    "",
    SUM(1/(1+POWER(10,-(R354-_xlpm.elos)/_xlpm.diffscale)))-0.5)
)</f>
        <v>1.8492059015796882</v>
      </c>
      <c r="S356" t="str" cm="1">
        <f t="array" ref="S356">_xlfn.LET(
  _xlpm.colj, _xlfn._xlws.FILTER(IF(ISNUMBER(355:355), COLUMN(355:355)), ISNUMBER(355:355)),
  _xlpm.elos, INDEX(354:354,1,_xlpm.colj),
  _xlpm.diffscale, Constantes!$B$2,
  IF(S355="",
    "",
    SUM(1/(1+POWER(10,-(S354-_xlpm.elos)/_xlpm.diffscale)))-0.5)
)</f>
        <v/>
      </c>
      <c r="T356" t="str" cm="1">
        <f t="array" ref="T356">_xlfn.LET(
  _xlpm.colj, _xlfn._xlws.FILTER(IF(ISNUMBER(355:355), COLUMN(355:355)), ISNUMBER(355:355)),
  _xlpm.elos, INDEX(354:354,1,_xlpm.colj),
  _xlpm.diffscale, Constantes!$B$2,
  IF(T355="",
    "",
    SUM(1/(1+POWER(10,-(T354-_xlpm.elos)/_xlpm.diffscale)))-0.5)
)</f>
        <v/>
      </c>
      <c r="U356" t="str" cm="1">
        <f t="array" ref="U356">_xlfn.LET(
  _xlpm.colj, _xlfn._xlws.FILTER(IF(ISNUMBER(355:355), COLUMN(355:355)), ISNUMBER(355:355)),
  _xlpm.elos, INDEX(354:354,1,_xlpm.colj),
  _xlpm.diffscale, Constantes!$B$2,
  IF(U355="",
    "",
    SUM(1/(1+POWER(10,-(U354-_xlpm.elos)/_xlpm.diffscale)))-0.5)
)</f>
        <v/>
      </c>
      <c r="V356" t="str" cm="1">
        <f t="array" ref="V356">_xlfn.LET(
  _xlpm.colj, _xlfn._xlws.FILTER(IF(ISNUMBER(355:355), COLUMN(355:355)), ISNUMBER(355:355)),
  _xlpm.elos, INDEX(354:354,1,_xlpm.colj),
  _xlpm.diffscale, Constantes!$B$2,
  IF(V355="",
    "",
    SUM(1/(1+POWER(10,-(V354-_xlpm.elos)/_xlpm.diffscale)))-0.5)
)</f>
        <v/>
      </c>
      <c r="W356" t="str" cm="1">
        <f t="array" ref="W356">_xlfn.LET(
  _xlpm.colj, _xlfn._xlws.FILTER(IF(ISNUMBER(355:355), COLUMN(355:355)), ISNUMBER(355:355)),
  _xlpm.elos, INDEX(354:354,1,_xlpm.colj),
  _xlpm.diffscale, Constantes!$B$2,
  IF(W355="",
    "",
    SUM(1/(1+POWER(10,-(W354-_xlpm.elos)/_xlpm.diffscale)))-0.5)
)</f>
        <v/>
      </c>
      <c r="X356" t="str" cm="1">
        <f t="array" ref="X356">_xlfn.LET(
  _xlpm.colj, _xlfn._xlws.FILTER(IF(ISNUMBER(355:355), COLUMN(355:355)), ISNUMBER(355:355)),
  _xlpm.elos, INDEX(354:354,1,_xlpm.colj),
  _xlpm.diffscale, Constantes!$B$2,
  IF(X355="",
    "",
    SUM(1/(1+POWER(10,-(X354-_xlpm.elos)/_xlpm.diffscale)))-0.5)
)</f>
        <v/>
      </c>
      <c r="Y356" t="str" cm="1">
        <f t="array" ref="Y356">_xlfn.LET(
  _xlpm.colj, _xlfn._xlws.FILTER(IF(ISNUMBER(355:355), COLUMN(355:355)), ISNUMBER(355:355)),
  _xlpm.elos, INDEX(354:354,1,_xlpm.colj),
  _xlpm.diffscale, Constantes!$B$2,
  IF(Y355="",
    "",
    SUM(1/(1+POWER(10,-(Y354-_xlpm.elos)/_xlpm.diffscale)))-0.5)
)</f>
        <v/>
      </c>
      <c r="Z356" t="str" cm="1">
        <f t="array" ref="Z356">_xlfn.LET(
  _xlpm.colj, _xlfn._xlws.FILTER(IF(ISNUMBER(355:355), COLUMN(355:355)), ISNUMBER(355:355)),
  _xlpm.elos, INDEX(354:354,1,_xlpm.colj),
  _xlpm.diffscale, Constantes!$B$2,
  IF(Z355="",
    "",
    SUM(1/(1+POWER(10,-(Z354-_xlpm.elos)/_xlpm.diffscale)))-0.5)
)</f>
        <v/>
      </c>
      <c r="AA356" t="str" cm="1">
        <f t="array" ref="AA356">_xlfn.LET(
  _xlpm.colj, _xlfn._xlws.FILTER(IF(ISNUMBER(355:355), COLUMN(355:355)), ISNUMBER(355:355)),
  _xlpm.elos, INDEX(354:354,1,_xlpm.colj),
  _xlpm.diffscale, Constantes!$B$2,
  IF(AA355="",
    "",
    SUM(1/(1+POWER(10,-(AA354-_xlpm.elos)/_xlpm.diffscale)))-0.5)
)</f>
        <v/>
      </c>
      <c r="AB356" t="str" cm="1">
        <f t="array" ref="AB356">_xlfn.LET(
  _xlpm.colj, _xlfn._xlws.FILTER(IF(ISNUMBER(355:355), COLUMN(355:355)), ISNUMBER(355:355)),
  _xlpm.elos, INDEX(354:354,1,_xlpm.colj),
  _xlpm.diffscale, Constantes!$B$2,
  IF(AB355="",
    "",
    SUM(1/(1+POWER(10,-(AB354-_xlpm.elos)/_xlpm.diffscale)))-0.5)
)</f>
        <v/>
      </c>
      <c r="AC356" t="str" cm="1">
        <f t="array" ref="AC356">_xlfn.LET(
  _xlpm.colj, _xlfn._xlws.FILTER(IF(ISNUMBER(355:355), COLUMN(355:355)), ISNUMBER(355:355)),
  _xlpm.elos, INDEX(354:354,1,_xlpm.colj),
  _xlpm.diffscale, Constantes!$B$2,
  IF(AC355="",
    "",
    SUM(1/(1+POWER(10,-(AC354-_xlpm.elos)/_xlpm.diffscale)))-0.5)
)</f>
        <v/>
      </c>
      <c r="AD356" t="str" cm="1">
        <f t="array" ref="AD356">_xlfn.LET(
  _xlpm.colj, _xlfn._xlws.FILTER(IF(ISNUMBER(355:355), COLUMN(355:355)), ISNUMBER(355:355)),
  _xlpm.elos, INDEX(354:354,1,_xlpm.colj),
  _xlpm.diffscale, Constantes!$B$2,
  IF(AD355="",
    "",
    SUM(1/(1+POWER(10,-(AD354-_xlpm.elos)/_xlpm.diffscale)))-0.5)
)</f>
        <v/>
      </c>
      <c r="AE356" t="str" cm="1">
        <f t="array" ref="AE356">_xlfn.LET(
  _xlpm.colj, _xlfn._xlws.FILTER(IF(ISNUMBER(355:355), COLUMN(355:355)), ISNUMBER(355:355)),
  _xlpm.elos, INDEX(354:354,1,_xlpm.colj),
  _xlpm.diffscale, Constantes!$B$2,
  IF(AE355="",
    "",
    SUM(1/(1+POWER(10,-(AE354-_xlpm.elos)/_xlpm.diffscale)))-0.5)
)</f>
        <v/>
      </c>
      <c r="AF356" t="str" cm="1">
        <f t="array" ref="AF356">_xlfn.LET(
  _xlpm.colj, _xlfn._xlws.FILTER(IF(ISNUMBER(355:355), COLUMN(355:355)), ISNUMBER(355:355)),
  _xlpm.elos, INDEX(354:354,1,_xlpm.colj),
  _xlpm.diffscale, Constantes!$B$2,
  IF(AF355="",
    "",
    SUM(1/(1+POWER(10,-(AF354-_xlpm.elos)/_xlpm.diffscale)))-0.5)
)</f>
        <v/>
      </c>
      <c r="AG356" t="str" cm="1">
        <f t="array" ref="AG356">_xlfn.LET(
  _xlpm.colj, _xlfn._xlws.FILTER(IF(ISNUMBER(355:355), COLUMN(355:355)), ISNUMBER(355:355)),
  _xlpm.elos, INDEX(354:354,1,_xlpm.colj),
  _xlpm.diffscale, Constantes!$B$2,
  IF(AG355="",
    "",
    SUM(1/(1+POWER(10,-(AG354-_xlpm.elos)/_xlpm.diffscale)))-0.5)
)</f>
        <v/>
      </c>
      <c r="AH356" t="str" cm="1">
        <f t="array" ref="AH356">_xlfn.LET(
  _xlpm.colj, _xlfn._xlws.FILTER(IF(ISNUMBER(355:355), COLUMN(355:355)), ISNUMBER(355:355)),
  _xlpm.elos, INDEX(354:354,1,_xlpm.colj),
  _xlpm.diffscale, Constantes!$B$2,
  IF(AH355="",
    "",
    SUM(1/(1+POWER(10,-(AH354-_xlpm.elos)/_xlpm.diffscale)))-0.5)
)</f>
        <v/>
      </c>
      <c r="AI356" cm="1">
        <f t="array" ref="AI356">_xlfn.LET(
  _xlpm.colj, _xlfn._xlws.FILTER(IF(ISNUMBER(355:355), COLUMN(355:355)), ISNUMBER(355:355)),
  _xlpm.elos, INDEX(354:354,1,_xlpm.colj),
  _xlpm.diffscale, Constantes!$B$2,
  IF(AI355="",
    "",
    SUM(1/(1+POWER(10,-(AI354-_xlpm.elos)/_xlpm.diffscale)))-0.5)
)</f>
        <v>0.91628997204600982</v>
      </c>
      <c r="AJ356" t="str" cm="1">
        <f t="array" ref="AJ356">_xlfn.LET(
  _xlpm.colj, _xlfn._xlws.FILTER(IF(ISNUMBER(355:355), COLUMN(355:355)), ISNUMBER(355:355)),
  _xlpm.elos, INDEX(354:354,1,_xlpm.colj),
  _xlpm.diffscale, Constantes!$B$2,
  IF(AJ355="",
    "",
    SUM(1/(1+POWER(10,-(AJ354-_xlpm.elos)/_xlpm.diffscale)))-0.5)
)</f>
        <v/>
      </c>
      <c r="AK356" t="str" cm="1">
        <f t="array" ref="AK356">_xlfn.LET(
  _xlpm.colj, _xlfn._xlws.FILTER(IF(ISNUMBER(355:355), COLUMN(355:355)), ISNUMBER(355:355)),
  _xlpm.elos, INDEX(354:354,1,_xlpm.colj),
  _xlpm.diffscale, Constantes!$B$2,
  IF(AK355="",
    "",
    SUM(1/(1+POWER(10,-(AK354-_xlpm.elos)/_xlpm.diffscale)))-0.5)
)</f>
        <v/>
      </c>
      <c r="AL356" t="str" cm="1">
        <f t="array" ref="AL356">_xlfn.LET(
  _xlpm.colj, _xlfn._xlws.FILTER(IF(ISNUMBER(355:355), COLUMN(355:355)), ISNUMBER(355:355)),
  _xlpm.elos, INDEX(354:354,1,_xlpm.colj),
  _xlpm.diffscale, Constantes!$B$2,
  IF(AL355="",
    "",
    SUM(1/(1+POWER(10,-(AL354-_xlpm.elos)/_xlpm.diffscale)))-0.5)
)</f>
        <v/>
      </c>
      <c r="AM356" t="str" cm="1">
        <f t="array" ref="AM356">_xlfn.LET(
  _xlpm.colj, _xlfn._xlws.FILTER(IF(ISNUMBER(355:355), COLUMN(355:355)), ISNUMBER(355:355)),
  _xlpm.elos, INDEX(354:354,1,_xlpm.colj),
  _xlpm.diffscale, Constantes!$B$2,
  IF(AM355="",
    "",
    SUM(1/(1+POWER(10,-(AM354-_xlpm.elos)/_xlpm.diffscale)))-0.5)
)</f>
        <v/>
      </c>
    </row>
    <row r="357" spans="1:39" x14ac:dyDescent="0.25">
      <c r="A357" t="s">
        <v>22</v>
      </c>
      <c r="D357" cm="1">
        <f t="array" ref="D357">_xlfn.LET(
  _xlpm.K, Constantes!$B$3,
  _xlpm.Knewgain, Constantes!$B$4,
  _xlpm.Knewscale, Constantes!$B$5,
  _xlpm.ptstables, INDEX(D:D, _xlfn.SEQUENCE(COUNTA($C$2:$C357), 1, 3, 4)),
  _xlpm.nbparties, COUNTA(_xlfn._xlws.FILTER(_xlpm.ptstables, _xlpm.ptstables &lt;&gt; "")),
  _xlpm.coef, _xlpm.K + _xlpm.Knewgain / (_xlpm.Knewscale + _xlpm.nbparties),
  IF(D355="",
    "",
    _xlpm.coef * (D355-D356))
)</f>
        <v>-31.641985520863358</v>
      </c>
      <c r="E357" t="str" cm="1">
        <f t="array" ref="E357">_xlfn.LET(
  _xlpm.K, Constantes!$B$3,
  _xlpm.Knewgain, Constantes!$B$4,
  _xlpm.Knewscale, Constantes!$B$5,
  _xlpm.ptstables, INDEX(E:E, _xlfn.SEQUENCE(COUNTA($C$2:$C357), 1, 3, 4)),
  _xlpm.nbparties, COUNTA(_xlfn._xlws.FILTER(_xlpm.ptstables, _xlpm.ptstables &lt;&gt; "")),
  _xlpm.coef, _xlpm.K + _xlpm.Knewgain / (_xlpm.Knewscale + _xlpm.nbparties),
  IF(E355="",
    "",
    _xlpm.coef * (E355-E356))
)</f>
        <v/>
      </c>
      <c r="F357" t="str" cm="1">
        <f t="array" ref="F357">_xlfn.LET(
  _xlpm.K, Constantes!$B$3,
  _xlpm.Knewgain, Constantes!$B$4,
  _xlpm.Knewscale, Constantes!$B$5,
  _xlpm.ptstables, INDEX(F:F, _xlfn.SEQUENCE(COUNTA($C$2:$C357), 1, 3, 4)),
  _xlpm.nbparties, COUNTA(_xlfn._xlws.FILTER(_xlpm.ptstables, _xlpm.ptstables &lt;&gt; "")),
  _xlpm.coef, _xlpm.K + _xlpm.Knewgain / (_xlpm.Knewscale + _xlpm.nbparties),
  IF(F355="",
    "",
    _xlpm.coef * (F355-F356))
)</f>
        <v/>
      </c>
      <c r="G357" cm="1">
        <f t="array" ref="G357">_xlfn.LET(
  _xlpm.K, Constantes!$B$3,
  _xlpm.Knewgain, Constantes!$B$4,
  _xlpm.Knewscale, Constantes!$B$5,
  _xlpm.ptstables, INDEX(G:G, _xlfn.SEQUENCE(COUNTA($C$2:$C357), 1, 3, 4)),
  _xlpm.nbparties, COUNTA(_xlfn._xlws.FILTER(_xlpm.ptstables, _xlpm.ptstables &lt;&gt; "")),
  _xlpm.coef, _xlpm.K + _xlpm.Knewgain / (_xlpm.Knewscale + _xlpm.nbparties),
  IF(G355="",
    "",
    _xlpm.coef * (G355-G356))
)</f>
        <v>3.9177467580695806</v>
      </c>
      <c r="H357" t="str" cm="1">
        <f t="array" ref="H357">_xlfn.LET(
  _xlpm.K, Constantes!$B$3,
  _xlpm.Knewgain, Constantes!$B$4,
  _xlpm.Knewscale, Constantes!$B$5,
  _xlpm.ptstables, INDEX(H:H, _xlfn.SEQUENCE(COUNTA($C$2:$C357), 1, 3, 4)),
  _xlpm.nbparties, COUNTA(_xlfn._xlws.FILTER(_xlpm.ptstables, _xlpm.ptstables &lt;&gt; "")),
  _xlpm.coef, _xlpm.K + _xlpm.Knewgain / (_xlpm.Knewscale + _xlpm.nbparties),
  IF(H355="",
    "",
    _xlpm.coef * (H355-H356))
)</f>
        <v/>
      </c>
      <c r="I357" t="str" cm="1">
        <f t="array" ref="I357">_xlfn.LET(
  _xlpm.K, Constantes!$B$3,
  _xlpm.Knewgain, Constantes!$B$4,
  _xlpm.Knewscale, Constantes!$B$5,
  _xlpm.ptstables, INDEX(I:I, _xlfn.SEQUENCE(COUNTA($C$2:$C357), 1, 3, 4)),
  _xlpm.nbparties, COUNTA(_xlfn._xlws.FILTER(_xlpm.ptstables, _xlpm.ptstables &lt;&gt; "")),
  _xlpm.coef, _xlpm.K + _xlpm.Knewgain / (_xlpm.Knewscale + _xlpm.nbparties),
  IF(I355="",
    "",
    _xlpm.coef * (I355-I356))
)</f>
        <v/>
      </c>
      <c r="J357" t="str" cm="1">
        <f t="array" ref="J357">_xlfn.LET(
  _xlpm.K, Constantes!$B$3,
  _xlpm.Knewgain, Constantes!$B$4,
  _xlpm.Knewscale, Constantes!$B$5,
  _xlpm.ptstables, INDEX(J:J, _xlfn.SEQUENCE(COUNTA($C$2:$C357), 1, 3, 4)),
  _xlpm.nbparties, COUNTA(_xlfn._xlws.FILTER(_xlpm.ptstables, _xlpm.ptstables &lt;&gt; "")),
  _xlpm.coef, _xlpm.K + _xlpm.Knewgain / (_xlpm.Knewscale + _xlpm.nbparties),
  IF(J355="",
    "",
    _xlpm.coef * (J355-J356))
)</f>
        <v/>
      </c>
      <c r="K357" t="str" cm="1">
        <f t="array" ref="K357">_xlfn.LET(
  _xlpm.K, Constantes!$B$3,
  _xlpm.Knewgain, Constantes!$B$4,
  _xlpm.Knewscale, Constantes!$B$5,
  _xlpm.ptstables, INDEX(K:K, _xlfn.SEQUENCE(COUNTA($C$2:$C357), 1, 3, 4)),
  _xlpm.nbparties, COUNTA(_xlfn._xlws.FILTER(_xlpm.ptstables, _xlpm.ptstables &lt;&gt; "")),
  _xlpm.coef, _xlpm.K + _xlpm.Knewgain / (_xlpm.Knewscale + _xlpm.nbparties),
  IF(K355="",
    "",
    _xlpm.coef * (K355-K356))
)</f>
        <v/>
      </c>
      <c r="L357" t="str" cm="1">
        <f t="array" ref="L357">_xlfn.LET(
  _xlpm.K, Constantes!$B$3,
  _xlpm.Knewgain, Constantes!$B$4,
  _xlpm.Knewscale, Constantes!$B$5,
  _xlpm.ptstables, INDEX(L:L, _xlfn.SEQUENCE(COUNTA($C$2:$C357), 1, 3, 4)),
  _xlpm.nbparties, COUNTA(_xlfn._xlws.FILTER(_xlpm.ptstables, _xlpm.ptstables &lt;&gt; "")),
  _xlpm.coef, _xlpm.K + _xlpm.Knewgain / (_xlpm.Knewscale + _xlpm.nbparties),
  IF(L355="",
    "",
    _xlpm.coef * (L355-L356))
)</f>
        <v/>
      </c>
      <c r="M357" t="str" cm="1">
        <f t="array" ref="M357">_xlfn.LET(
  _xlpm.K, Constantes!$B$3,
  _xlpm.Knewgain, Constantes!$B$4,
  _xlpm.Knewscale, Constantes!$B$5,
  _xlpm.ptstables, INDEX(M:M, _xlfn.SEQUENCE(COUNTA($C$2:$C357), 1, 3, 4)),
  _xlpm.nbparties, COUNTA(_xlfn._xlws.FILTER(_xlpm.ptstables, _xlpm.ptstables &lt;&gt; "")),
  _xlpm.coef, _xlpm.K + _xlpm.Knewgain / (_xlpm.Knewscale + _xlpm.nbparties),
  IF(M355="",
    "",
    _xlpm.coef * (M355-M356))
)</f>
        <v/>
      </c>
      <c r="N357" t="str" cm="1">
        <f t="array" ref="N357">_xlfn.LET(
  _xlpm.K, Constantes!$B$3,
  _xlpm.Knewgain, Constantes!$B$4,
  _xlpm.Knewscale, Constantes!$B$5,
  _xlpm.ptstables, INDEX(N:N, _xlfn.SEQUENCE(COUNTA($C$2:$C357), 1, 3, 4)),
  _xlpm.nbparties, COUNTA(_xlfn._xlws.FILTER(_xlpm.ptstables, _xlpm.ptstables &lt;&gt; "")),
  _xlpm.coef, _xlpm.K + _xlpm.Knewgain / (_xlpm.Knewscale + _xlpm.nbparties),
  IF(N355="",
    "",
    _xlpm.coef * (N355-N356))
)</f>
        <v/>
      </c>
      <c r="O357" t="str" cm="1">
        <f t="array" ref="O357">_xlfn.LET(
  _xlpm.K, Constantes!$B$3,
  _xlpm.Knewgain, Constantes!$B$4,
  _xlpm.Knewscale, Constantes!$B$5,
  _xlpm.ptstables, INDEX(O:O, _xlfn.SEQUENCE(COUNTA($C$2:$C357), 1, 3, 4)),
  _xlpm.nbparties, COUNTA(_xlfn._xlws.FILTER(_xlpm.ptstables, _xlpm.ptstables &lt;&gt; "")),
  _xlpm.coef, _xlpm.K + _xlpm.Knewgain / (_xlpm.Knewscale + _xlpm.nbparties),
  IF(O355="",
    "",
    _xlpm.coef * (O355-O356))
)</f>
        <v/>
      </c>
      <c r="P357" t="str" cm="1">
        <f t="array" ref="P357">_xlfn.LET(
  _xlpm.K, Constantes!$B$3,
  _xlpm.Knewgain, Constantes!$B$4,
  _xlpm.Knewscale, Constantes!$B$5,
  _xlpm.ptstables, INDEX(P:P, _xlfn.SEQUENCE(COUNTA($C$2:$C357), 1, 3, 4)),
  _xlpm.nbparties, COUNTA(_xlfn._xlws.FILTER(_xlpm.ptstables, _xlpm.ptstables &lt;&gt; "")),
  _xlpm.coef, _xlpm.K + _xlpm.Knewgain / (_xlpm.Knewscale + _xlpm.nbparties),
  IF(P355="",
    "",
    _xlpm.coef * (P355-P356))
)</f>
        <v/>
      </c>
      <c r="Q357" t="str" cm="1">
        <f t="array" ref="Q357">_xlfn.LET(
  _xlpm.K, Constantes!$B$3,
  _xlpm.Knewgain, Constantes!$B$4,
  _xlpm.Knewscale, Constantes!$B$5,
  _xlpm.ptstables, INDEX(Q:Q, _xlfn.SEQUENCE(COUNTA($C$2:$C357), 1, 3, 4)),
  _xlpm.nbparties, COUNTA(_xlfn._xlws.FILTER(_xlpm.ptstables, _xlpm.ptstables &lt;&gt; "")),
  _xlpm.coef, _xlpm.K + _xlpm.Knewgain / (_xlpm.Knewscale + _xlpm.nbparties),
  IF(Q355="",
    "",
    _xlpm.coef * (Q355-Q356))
)</f>
        <v/>
      </c>
      <c r="R357" cm="1">
        <f t="array" ref="R357">_xlfn.LET(
  _xlpm.K, Constantes!$B$3,
  _xlpm.Knewgain, Constantes!$B$4,
  _xlpm.Knewscale, Constantes!$B$5,
  _xlpm.ptstables, INDEX(R:R, _xlfn.SEQUENCE(COUNTA($C$2:$C357), 1, 3, 4)),
  _xlpm.nbparties, COUNTA(_xlfn._xlws.FILTER(_xlpm.ptstables, _xlpm.ptstables &lt;&gt; "")),
  _xlpm.coef, _xlpm.K + _xlpm.Knewgain / (_xlpm.Knewscale + _xlpm.nbparties),
  IF(R355="",
    "",
    _xlpm.coef * (R355-R356))
)</f>
        <v>25.631323101179671</v>
      </c>
      <c r="S357" t="str" cm="1">
        <f t="array" ref="S357">_xlfn.LET(
  _xlpm.K, Constantes!$B$3,
  _xlpm.Knewgain, Constantes!$B$4,
  _xlpm.Knewscale, Constantes!$B$5,
  _xlpm.ptstables, INDEX(S:S, _xlfn.SEQUENCE(COUNTA($C$2:$C357), 1, 3, 4)),
  _xlpm.nbparties, COUNTA(_xlfn._xlws.FILTER(_xlpm.ptstables, _xlpm.ptstables &lt;&gt; "")),
  _xlpm.coef, _xlpm.K + _xlpm.Knewgain / (_xlpm.Knewscale + _xlpm.nbparties),
  IF(S355="",
    "",
    _xlpm.coef * (S355-S356))
)</f>
        <v/>
      </c>
      <c r="T357" t="str" cm="1">
        <f t="array" ref="T357">_xlfn.LET(
  _xlpm.K, Constantes!$B$3,
  _xlpm.Knewgain, Constantes!$B$4,
  _xlpm.Knewscale, Constantes!$B$5,
  _xlpm.ptstables, INDEX(T:T, _xlfn.SEQUENCE(COUNTA($C$2:$C357), 1, 3, 4)),
  _xlpm.nbparties, COUNTA(_xlfn._xlws.FILTER(_xlpm.ptstables, _xlpm.ptstables &lt;&gt; "")),
  _xlpm.coef, _xlpm.K + _xlpm.Knewgain / (_xlpm.Knewscale + _xlpm.nbparties),
  IF(T355="",
    "",
    _xlpm.coef * (T355-T356))
)</f>
        <v/>
      </c>
      <c r="U357" t="str" cm="1">
        <f t="array" ref="U357">_xlfn.LET(
  _xlpm.K, Constantes!$B$3,
  _xlpm.Knewgain, Constantes!$B$4,
  _xlpm.Knewscale, Constantes!$B$5,
  _xlpm.ptstables, INDEX(U:U, _xlfn.SEQUENCE(COUNTA($C$2:$C357), 1, 3, 4)),
  _xlpm.nbparties, COUNTA(_xlfn._xlws.FILTER(_xlpm.ptstables, _xlpm.ptstables &lt;&gt; "")),
  _xlpm.coef, _xlpm.K + _xlpm.Knewgain / (_xlpm.Knewscale + _xlpm.nbparties),
  IF(U355="",
    "",
    _xlpm.coef * (U355-U356))
)</f>
        <v/>
      </c>
      <c r="V357" t="str" cm="1">
        <f t="array" ref="V357">_xlfn.LET(
  _xlpm.K, Constantes!$B$3,
  _xlpm.Knewgain, Constantes!$B$4,
  _xlpm.Knewscale, Constantes!$B$5,
  _xlpm.ptstables, INDEX(V:V, _xlfn.SEQUENCE(COUNTA($C$2:$C357), 1, 3, 4)),
  _xlpm.nbparties, COUNTA(_xlfn._xlws.FILTER(_xlpm.ptstables, _xlpm.ptstables &lt;&gt; "")),
  _xlpm.coef, _xlpm.K + _xlpm.Knewgain / (_xlpm.Knewscale + _xlpm.nbparties),
  IF(V355="",
    "",
    _xlpm.coef * (V355-V356))
)</f>
        <v/>
      </c>
      <c r="W357" t="str" cm="1">
        <f t="array" ref="W357">_xlfn.LET(
  _xlpm.K, Constantes!$B$3,
  _xlpm.Knewgain, Constantes!$B$4,
  _xlpm.Knewscale, Constantes!$B$5,
  _xlpm.ptstables, INDEX(W:W, _xlfn.SEQUENCE(COUNTA($C$2:$C357), 1, 3, 4)),
  _xlpm.nbparties, COUNTA(_xlfn._xlws.FILTER(_xlpm.ptstables, _xlpm.ptstables &lt;&gt; "")),
  _xlpm.coef, _xlpm.K + _xlpm.Knewgain / (_xlpm.Knewscale + _xlpm.nbparties),
  IF(W355="",
    "",
    _xlpm.coef * (W355-W356))
)</f>
        <v/>
      </c>
      <c r="X357" t="str" cm="1">
        <f t="array" ref="X357">_xlfn.LET(
  _xlpm.K, Constantes!$B$3,
  _xlpm.Knewgain, Constantes!$B$4,
  _xlpm.Knewscale, Constantes!$B$5,
  _xlpm.ptstables, INDEX(X:X, _xlfn.SEQUENCE(COUNTA($C$2:$C357), 1, 3, 4)),
  _xlpm.nbparties, COUNTA(_xlfn._xlws.FILTER(_xlpm.ptstables, _xlpm.ptstables &lt;&gt; "")),
  _xlpm.coef, _xlpm.K + _xlpm.Knewgain / (_xlpm.Knewscale + _xlpm.nbparties),
  IF(X355="",
    "",
    _xlpm.coef * (X355-X356))
)</f>
        <v/>
      </c>
      <c r="Y357" t="str" cm="1">
        <f t="array" ref="Y357">_xlfn.LET(
  _xlpm.K, Constantes!$B$3,
  _xlpm.Knewgain, Constantes!$B$4,
  _xlpm.Knewscale, Constantes!$B$5,
  _xlpm.ptstables, INDEX(Y:Y, _xlfn.SEQUENCE(COUNTA($C$2:$C357), 1, 3, 4)),
  _xlpm.nbparties, COUNTA(_xlfn._xlws.FILTER(_xlpm.ptstables, _xlpm.ptstables &lt;&gt; "")),
  _xlpm.coef, _xlpm.K + _xlpm.Knewgain / (_xlpm.Knewscale + _xlpm.nbparties),
  IF(Y355="",
    "",
    _xlpm.coef * (Y355-Y356))
)</f>
        <v/>
      </c>
      <c r="Z357" t="str" cm="1">
        <f t="array" ref="Z357">_xlfn.LET(
  _xlpm.K, Constantes!$B$3,
  _xlpm.Knewgain, Constantes!$B$4,
  _xlpm.Knewscale, Constantes!$B$5,
  _xlpm.ptstables, INDEX(Z:Z, _xlfn.SEQUENCE(COUNTA($C$2:$C357), 1, 3, 4)),
  _xlpm.nbparties, COUNTA(_xlfn._xlws.FILTER(_xlpm.ptstables, _xlpm.ptstables &lt;&gt; "")),
  _xlpm.coef, _xlpm.K + _xlpm.Knewgain / (_xlpm.Knewscale + _xlpm.nbparties),
  IF(Z355="",
    "",
    _xlpm.coef * (Z355-Z356))
)</f>
        <v/>
      </c>
      <c r="AA357" t="str" cm="1">
        <f t="array" ref="AA357">_xlfn.LET(
  _xlpm.K, Constantes!$B$3,
  _xlpm.Knewgain, Constantes!$B$4,
  _xlpm.Knewscale, Constantes!$B$5,
  _xlpm.ptstables, INDEX(AA:AA, _xlfn.SEQUENCE(COUNTA($C$2:$C357), 1, 3, 4)),
  _xlpm.nbparties, COUNTA(_xlfn._xlws.FILTER(_xlpm.ptstables, _xlpm.ptstables &lt;&gt; "")),
  _xlpm.coef, _xlpm.K + _xlpm.Knewgain / (_xlpm.Knewscale + _xlpm.nbparties),
  IF(AA355="",
    "",
    _xlpm.coef * (AA355-AA356))
)</f>
        <v/>
      </c>
      <c r="AB357" t="str" cm="1">
        <f t="array" ref="AB357">_xlfn.LET(
  _xlpm.K, Constantes!$B$3,
  _xlpm.Knewgain, Constantes!$B$4,
  _xlpm.Knewscale, Constantes!$B$5,
  _xlpm.ptstables, INDEX(AB:AB, _xlfn.SEQUENCE(COUNTA($C$2:$C357), 1, 3, 4)),
  _xlpm.nbparties, COUNTA(_xlfn._xlws.FILTER(_xlpm.ptstables, _xlpm.ptstables &lt;&gt; "")),
  _xlpm.coef, _xlpm.K + _xlpm.Knewgain / (_xlpm.Knewscale + _xlpm.nbparties),
  IF(AB355="",
    "",
    _xlpm.coef * (AB355-AB356))
)</f>
        <v/>
      </c>
      <c r="AC357" t="str" cm="1">
        <f t="array" ref="AC357">_xlfn.LET(
  _xlpm.K, Constantes!$B$3,
  _xlpm.Knewgain, Constantes!$B$4,
  _xlpm.Knewscale, Constantes!$B$5,
  _xlpm.ptstables, INDEX(AC:AC, _xlfn.SEQUENCE(COUNTA($C$2:$C357), 1, 3, 4)),
  _xlpm.nbparties, COUNTA(_xlfn._xlws.FILTER(_xlpm.ptstables, _xlpm.ptstables &lt;&gt; "")),
  _xlpm.coef, _xlpm.K + _xlpm.Knewgain / (_xlpm.Knewscale + _xlpm.nbparties),
  IF(AC355="",
    "",
    _xlpm.coef * (AC355-AC356))
)</f>
        <v/>
      </c>
      <c r="AD357" t="str" cm="1">
        <f t="array" ref="AD357">_xlfn.LET(
  _xlpm.K, Constantes!$B$3,
  _xlpm.Knewgain, Constantes!$B$4,
  _xlpm.Knewscale, Constantes!$B$5,
  _xlpm.ptstables, INDEX(AD:AD, _xlfn.SEQUENCE(COUNTA($C$2:$C357), 1, 3, 4)),
  _xlpm.nbparties, COUNTA(_xlfn._xlws.FILTER(_xlpm.ptstables, _xlpm.ptstables &lt;&gt; "")),
  _xlpm.coef, _xlpm.K + _xlpm.Knewgain / (_xlpm.Knewscale + _xlpm.nbparties),
  IF(AD355="",
    "",
    _xlpm.coef * (AD355-AD356))
)</f>
        <v/>
      </c>
      <c r="AE357" t="str" cm="1">
        <f t="array" ref="AE357">_xlfn.LET(
  _xlpm.K, Constantes!$B$3,
  _xlpm.Knewgain, Constantes!$B$4,
  _xlpm.Knewscale, Constantes!$B$5,
  _xlpm.ptstables, INDEX(AE:AE, _xlfn.SEQUENCE(COUNTA($C$2:$C357), 1, 3, 4)),
  _xlpm.nbparties, COUNTA(_xlfn._xlws.FILTER(_xlpm.ptstables, _xlpm.ptstables &lt;&gt; "")),
  _xlpm.coef, _xlpm.K + _xlpm.Knewgain / (_xlpm.Knewscale + _xlpm.nbparties),
  IF(AE355="",
    "",
    _xlpm.coef * (AE355-AE356))
)</f>
        <v/>
      </c>
      <c r="AF357" t="str" cm="1">
        <f t="array" ref="AF357">_xlfn.LET(
  _xlpm.K, Constantes!$B$3,
  _xlpm.Knewgain, Constantes!$B$4,
  _xlpm.Knewscale, Constantes!$B$5,
  _xlpm.ptstables, INDEX(AF:AF, _xlfn.SEQUENCE(COUNTA($C$2:$C357), 1, 3, 4)),
  _xlpm.nbparties, COUNTA(_xlfn._xlws.FILTER(_xlpm.ptstables, _xlpm.ptstables &lt;&gt; "")),
  _xlpm.coef, _xlpm.K + _xlpm.Knewgain / (_xlpm.Knewscale + _xlpm.nbparties),
  IF(AF355="",
    "",
    _xlpm.coef * (AF355-AF356))
)</f>
        <v/>
      </c>
      <c r="AG357" t="str" cm="1">
        <f t="array" ref="AG357">_xlfn.LET(
  _xlpm.K, Constantes!$B$3,
  _xlpm.Knewgain, Constantes!$B$4,
  _xlpm.Knewscale, Constantes!$B$5,
  _xlpm.ptstables, INDEX(AG:AG, _xlfn.SEQUENCE(COUNTA($C$2:$C357), 1, 3, 4)),
  _xlpm.nbparties, COUNTA(_xlfn._xlws.FILTER(_xlpm.ptstables, _xlpm.ptstables &lt;&gt; "")),
  _xlpm.coef, _xlpm.K + _xlpm.Knewgain / (_xlpm.Knewscale + _xlpm.nbparties),
  IF(AG355="",
    "",
    _xlpm.coef * (AG355-AG356))
)</f>
        <v/>
      </c>
      <c r="AH357" t="str" cm="1">
        <f t="array" ref="AH357">_xlfn.LET(
  _xlpm.K, Constantes!$B$3,
  _xlpm.Knewgain, Constantes!$B$4,
  _xlpm.Knewscale, Constantes!$B$5,
  _xlpm.ptstables, INDEX(AH:AH, _xlfn.SEQUENCE(COUNTA($C$2:$C357), 1, 3, 4)),
  _xlpm.nbparties, COUNTA(_xlfn._xlws.FILTER(_xlpm.ptstables, _xlpm.ptstables &lt;&gt; "")),
  _xlpm.coef, _xlpm.K + _xlpm.Knewgain / (_xlpm.Knewscale + _xlpm.nbparties),
  IF(AH355="",
    "",
    _xlpm.coef * (AH355-AH356))
)</f>
        <v/>
      </c>
      <c r="AI357" cm="1">
        <f t="array" ref="AI357">_xlfn.LET(
  _xlpm.K, Constantes!$B$3,
  _xlpm.Knewgain, Constantes!$B$4,
  _xlpm.Knewscale, Constantes!$B$5,
  _xlpm.ptstables, INDEX(AI:AI, _xlfn.SEQUENCE(COUNTA($C$2:$C357), 1, 3, 4)),
  _xlpm.nbparties, COUNTA(_xlfn._xlws.FILTER(_xlpm.ptstables, _xlpm.ptstables &lt;&gt; "")),
  _xlpm.coef, _xlpm.K + _xlpm.Knewgain / (_xlpm.Knewscale + _xlpm.nbparties),
  IF(AI355="",
    "",
    _xlpm.coef * (AI355-AI356))
)</f>
        <v>2.0229923422214298</v>
      </c>
      <c r="AJ357" t="str" cm="1">
        <f t="array" ref="AJ357">_xlfn.LET(
  _xlpm.K, Constantes!$B$3,
  _xlpm.Knewgain, Constantes!$B$4,
  _xlpm.Knewscale, Constantes!$B$5,
  _xlpm.ptstables, INDEX(AJ:AJ, _xlfn.SEQUENCE(COUNTA($C$2:$C357), 1, 3, 4)),
  _xlpm.nbparties, COUNTA(_xlfn._xlws.FILTER(_xlpm.ptstables, _xlpm.ptstables &lt;&gt; "")),
  _xlpm.coef, _xlpm.K + _xlpm.Knewgain / (_xlpm.Knewscale + _xlpm.nbparties),
  IF(AJ355="",
    "",
    _xlpm.coef * (AJ355-AJ356))
)</f>
        <v/>
      </c>
      <c r="AK357" t="str" cm="1">
        <f t="array" ref="AK357">_xlfn.LET(
  _xlpm.K, Constantes!$B$3,
  _xlpm.Knewgain, Constantes!$B$4,
  _xlpm.Knewscale, Constantes!$B$5,
  _xlpm.ptstables, INDEX(AK:AK, _xlfn.SEQUENCE(COUNTA($C$2:$C357), 1, 3, 4)),
  _xlpm.nbparties, COUNTA(_xlfn._xlws.FILTER(_xlpm.ptstables, _xlpm.ptstables &lt;&gt; "")),
  _xlpm.coef, _xlpm.K + _xlpm.Knewgain / (_xlpm.Knewscale + _xlpm.nbparties),
  IF(AK355="",
    "",
    _xlpm.coef * (AK355-AK356))
)</f>
        <v/>
      </c>
      <c r="AL357" t="str" cm="1">
        <f t="array" ref="AL357">_xlfn.LET(
  _xlpm.K, Constantes!$B$3,
  _xlpm.Knewgain, Constantes!$B$4,
  _xlpm.Knewscale, Constantes!$B$5,
  _xlpm.ptstables, INDEX(AL:AL, _xlfn.SEQUENCE(COUNTA($C$2:$C357), 1, 3, 4)),
  _xlpm.nbparties, COUNTA(_xlfn._xlws.FILTER(_xlpm.ptstables, _xlpm.ptstables &lt;&gt; "")),
  _xlpm.coef, _xlpm.K + _xlpm.Knewgain / (_xlpm.Knewscale + _xlpm.nbparties),
  IF(AL355="",
    "",
    _xlpm.coef * (AL355-AL356))
)</f>
        <v/>
      </c>
      <c r="AM357" t="str" cm="1">
        <f t="array" ref="AM357">_xlfn.LET(
  _xlpm.K, Constantes!$B$3,
  _xlpm.Knewgain, Constantes!$B$4,
  _xlpm.Knewscale, Constantes!$B$5,
  _xlpm.ptstables, INDEX(AM:AM, _xlfn.SEQUENCE(COUNTA($C$2:$C357), 1, 3, 4)),
  _xlpm.nbparties, COUNTA(_xlfn._xlws.FILTER(_xlpm.ptstables, _xlpm.ptstables &lt;&gt; "")),
  _xlpm.coef, _xlpm.K + _xlpm.Knewgain / (_xlpm.Knewscale + _xlpm.nbparties),
  IF(AM355="",
    "",
    _xlpm.coef * (AM355-AM356))
)</f>
        <v/>
      </c>
    </row>
    <row r="358" spans="1:39" x14ac:dyDescent="0.25">
      <c r="A358" t="s">
        <v>14</v>
      </c>
      <c r="B358" t="str" cm="1">
        <f t="array" ref="B35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89</v>
      </c>
      <c r="C358" s="2" cm="1">
        <f t="array" ref="C358">IF(B358="","",
  INDEX(Donnees!F:F, MATCH(B358, Donnees!F:F, 0)+1))</f>
        <v>45952.621932870374</v>
      </c>
      <c r="D358">
        <f t="shared" ref="D358:AM358" si="97">D354+IF(D357="",0,D357)</f>
        <v>983.00829738956952</v>
      </c>
      <c r="E358">
        <f t="shared" si="97"/>
        <v>1134.1573908115724</v>
      </c>
      <c r="F358">
        <f t="shared" si="97"/>
        <v>865.76862070660661</v>
      </c>
      <c r="G358">
        <f t="shared" si="97"/>
        <v>1092.5480476558973</v>
      </c>
      <c r="H358">
        <f t="shared" si="97"/>
        <v>1120.6842315020224</v>
      </c>
      <c r="I358">
        <f t="shared" si="97"/>
        <v>960.02345484062744</v>
      </c>
      <c r="J358">
        <f t="shared" si="97"/>
        <v>1010.9125108504293</v>
      </c>
      <c r="K358">
        <f t="shared" si="97"/>
        <v>993.90254614824482</v>
      </c>
      <c r="L358">
        <f t="shared" si="97"/>
        <v>783.12422360152641</v>
      </c>
      <c r="M358">
        <f t="shared" si="97"/>
        <v>913.41986361738122</v>
      </c>
      <c r="N358">
        <f t="shared" si="97"/>
        <v>903.42914476260137</v>
      </c>
      <c r="O358">
        <f t="shared" si="97"/>
        <v>1033.7212914161473</v>
      </c>
      <c r="P358">
        <f t="shared" si="97"/>
        <v>995.17595583804427</v>
      </c>
      <c r="Q358">
        <f t="shared" si="97"/>
        <v>1050.1062561870472</v>
      </c>
      <c r="R358">
        <f t="shared" si="97"/>
        <v>1119.5446824649327</v>
      </c>
      <c r="S358">
        <f t="shared" si="97"/>
        <v>897.19534402299064</v>
      </c>
      <c r="T358">
        <f t="shared" si="97"/>
        <v>1153.43058185823</v>
      </c>
      <c r="U358">
        <f t="shared" si="97"/>
        <v>1219.3716250000077</v>
      </c>
      <c r="V358">
        <f t="shared" si="97"/>
        <v>969.67171739286073</v>
      </c>
      <c r="W358">
        <f t="shared" si="97"/>
        <v>882.29253769067657</v>
      </c>
      <c r="X358">
        <f t="shared" si="97"/>
        <v>828.97598039785271</v>
      </c>
      <c r="Y358">
        <f t="shared" si="97"/>
        <v>903.14348714035714</v>
      </c>
      <c r="Z358">
        <f t="shared" si="97"/>
        <v>1000.4832210979791</v>
      </c>
      <c r="AA358">
        <f t="shared" si="97"/>
        <v>976.51233940414613</v>
      </c>
      <c r="AB358">
        <f t="shared" si="97"/>
        <v>988.35669729544747</v>
      </c>
      <c r="AC358">
        <f t="shared" si="97"/>
        <v>1051.9456808600683</v>
      </c>
      <c r="AD358">
        <f t="shared" si="97"/>
        <v>1093.8192243082785</v>
      </c>
      <c r="AE358">
        <f t="shared" si="97"/>
        <v>963.23981965000235</v>
      </c>
      <c r="AF358">
        <f t="shared" si="97"/>
        <v>1094.8196847516158</v>
      </c>
      <c r="AG358">
        <f t="shared" si="97"/>
        <v>958.23078604304851</v>
      </c>
      <c r="AH358">
        <f t="shared" si="97"/>
        <v>920.4412636682855</v>
      </c>
      <c r="AI358">
        <f t="shared" si="97"/>
        <v>923.6165251153368</v>
      </c>
      <c r="AJ358">
        <f t="shared" si="97"/>
        <v>906.86354201913434</v>
      </c>
      <c r="AK358">
        <f t="shared" si="97"/>
        <v>1074.0069367206956</v>
      </c>
      <c r="AL358">
        <f t="shared" si="97"/>
        <v>1025.7817971572972</v>
      </c>
      <c r="AM358">
        <f t="shared" si="97"/>
        <v>930.08392160706046</v>
      </c>
    </row>
    <row r="359" spans="1:39" x14ac:dyDescent="0.25">
      <c r="A359" t="s">
        <v>21</v>
      </c>
      <c r="D359" t="str" cm="1">
        <f t="array" ref="D359">IFERROR(
  _xlfn.LET(
    _xlpm.ligpartie, MATCH($B358, Donnees!$F:$F, 0),
    _xlpm.joueurs, INDEX(Donnees!$A:$Z, _xlpm.ligpartie+1, _xlfn.SEQUENCE(1, 4, 2)),
    INDEX(
      Donnees!$A:$Z,
      _xlpm.ligpartie + 3,
      MATCH(D$1, _xlpm.joueurs, 0) + 1
    )
  ), ""
)</f>
        <v/>
      </c>
      <c r="E359" t="str" cm="1">
        <f t="array" ref="E359">IFERROR(
  _xlfn.LET(
    _xlpm.ligpartie, MATCH($B358, Donnees!$F:$F, 0),
    _xlpm.joueurs, INDEX(Donnees!$A:$Z, _xlpm.ligpartie+1, _xlfn.SEQUENCE(1, 4, 2)),
    INDEX(
      Donnees!$A:$Z,
      _xlpm.ligpartie + 3,
      MATCH(E$1, _xlpm.joueurs, 0) + 1
    )
  ), ""
)</f>
        <v/>
      </c>
      <c r="F359" cm="1">
        <f t="array" ref="F359">IFERROR(
  _xlfn.LET(
    _xlpm.ligpartie, MATCH($B358, Donnees!$F:$F, 0),
    _xlpm.joueurs, INDEX(Donnees!$A:$Z, _xlpm.ligpartie+1, _xlfn.SEQUENCE(1, 4, 2)),
    INDEX(
      Donnees!$A:$Z,
      _xlpm.ligpartie + 3,
      MATCH(F$1, _xlpm.joueurs, 0) + 1
    )
  ), ""
)</f>
        <v>0</v>
      </c>
      <c r="G359" t="str" cm="1">
        <f t="array" ref="G359">IFERROR(
  _xlfn.LET(
    _xlpm.ligpartie, MATCH($B358, Donnees!$F:$F, 0),
    _xlpm.joueurs, INDEX(Donnees!$A:$Z, _xlpm.ligpartie+1, _xlfn.SEQUENCE(1, 4, 2)),
    INDEX(
      Donnees!$A:$Z,
      _xlpm.ligpartie + 3,
      MATCH(G$1, _xlpm.joueurs, 0) + 1
    )
  ), ""
)</f>
        <v/>
      </c>
      <c r="H359" t="str" cm="1">
        <f t="array" ref="H359">IFERROR(
  _xlfn.LET(
    _xlpm.ligpartie, MATCH($B358, Donnees!$F:$F, 0),
    _xlpm.joueurs, INDEX(Donnees!$A:$Z, _xlpm.ligpartie+1, _xlfn.SEQUENCE(1, 4, 2)),
    INDEX(
      Donnees!$A:$Z,
      _xlpm.ligpartie + 3,
      MATCH(H$1, _xlpm.joueurs, 0) + 1
    )
  ), ""
)</f>
        <v/>
      </c>
      <c r="I359" cm="1">
        <f t="array" ref="I359">IFERROR(
  _xlfn.LET(
    _xlpm.ligpartie, MATCH($B358, Donnees!$F:$F, 0),
    _xlpm.joueurs, INDEX(Donnees!$A:$Z, _xlpm.ligpartie+1, _xlfn.SEQUENCE(1, 4, 2)),
    INDEX(
      Donnees!$A:$Z,
      _xlpm.ligpartie + 3,
      MATCH(I$1, _xlpm.joueurs, 0) + 1
    )
  ), ""
)</f>
        <v>1</v>
      </c>
      <c r="J359" t="str" cm="1">
        <f t="array" ref="J359">IFERROR(
  _xlfn.LET(
    _xlpm.ligpartie, MATCH($B358, Donnees!$F:$F, 0),
    _xlpm.joueurs, INDEX(Donnees!$A:$Z, _xlpm.ligpartie+1, _xlfn.SEQUENCE(1, 4, 2)),
    INDEX(
      Donnees!$A:$Z,
      _xlpm.ligpartie + 3,
      MATCH(J$1, _xlpm.joueurs, 0) + 1
    )
  ), ""
)</f>
        <v/>
      </c>
      <c r="K359" t="str" cm="1">
        <f t="array" ref="K359">IFERROR(
  _xlfn.LET(
    _xlpm.ligpartie, MATCH($B358, Donnees!$F:$F, 0),
    _xlpm.joueurs, INDEX(Donnees!$A:$Z, _xlpm.ligpartie+1, _xlfn.SEQUENCE(1, 4, 2)),
    INDEX(
      Donnees!$A:$Z,
      _xlpm.ligpartie + 3,
      MATCH(K$1, _xlpm.joueurs, 0) + 1
    )
  ), ""
)</f>
        <v/>
      </c>
      <c r="L359" t="str" cm="1">
        <f t="array" ref="L359">IFERROR(
  _xlfn.LET(
    _xlpm.ligpartie, MATCH($B358, Donnees!$F:$F, 0),
    _xlpm.joueurs, INDEX(Donnees!$A:$Z, _xlpm.ligpartie+1, _xlfn.SEQUENCE(1, 4, 2)),
    INDEX(
      Donnees!$A:$Z,
      _xlpm.ligpartie + 3,
      MATCH(L$1, _xlpm.joueurs, 0) + 1
    )
  ), ""
)</f>
        <v/>
      </c>
      <c r="M359" t="str" cm="1">
        <f t="array" ref="M359">IFERROR(
  _xlfn.LET(
    _xlpm.ligpartie, MATCH($B358, Donnees!$F:$F, 0),
    _xlpm.joueurs, INDEX(Donnees!$A:$Z, _xlpm.ligpartie+1, _xlfn.SEQUENCE(1, 4, 2)),
    INDEX(
      Donnees!$A:$Z,
      _xlpm.ligpartie + 3,
      MATCH(M$1, _xlpm.joueurs, 0) + 1
    )
  ), ""
)</f>
        <v/>
      </c>
      <c r="N359" t="str" cm="1">
        <f t="array" ref="N359">IFERROR(
  _xlfn.LET(
    _xlpm.ligpartie, MATCH($B358, Donnees!$F:$F, 0),
    _xlpm.joueurs, INDEX(Donnees!$A:$Z, _xlpm.ligpartie+1, _xlfn.SEQUENCE(1, 4, 2)),
    INDEX(
      Donnees!$A:$Z,
      _xlpm.ligpartie + 3,
      MATCH(N$1, _xlpm.joueurs, 0) + 1
    )
  ), ""
)</f>
        <v/>
      </c>
      <c r="O359" t="str" cm="1">
        <f t="array" ref="O359">IFERROR(
  _xlfn.LET(
    _xlpm.ligpartie, MATCH($B358, Donnees!$F:$F, 0),
    _xlpm.joueurs, INDEX(Donnees!$A:$Z, _xlpm.ligpartie+1, _xlfn.SEQUENCE(1, 4, 2)),
    INDEX(
      Donnees!$A:$Z,
      _xlpm.ligpartie + 3,
      MATCH(O$1, _xlpm.joueurs, 0) + 1
    )
  ), ""
)</f>
        <v/>
      </c>
      <c r="P359" cm="1">
        <f t="array" ref="P359">IFERROR(
  _xlfn.LET(
    _xlpm.ligpartie, MATCH($B358, Donnees!$F:$F, 0),
    _xlpm.joueurs, INDEX(Donnees!$A:$Z, _xlpm.ligpartie+1, _xlfn.SEQUENCE(1, 4, 2)),
    INDEX(
      Donnees!$A:$Z,
      _xlpm.ligpartie + 3,
      MATCH(P$1, _xlpm.joueurs, 0) + 1
    )
  ), ""
)</f>
        <v>2</v>
      </c>
      <c r="Q359" t="str" cm="1">
        <f t="array" ref="Q359">IFERROR(
  _xlfn.LET(
    _xlpm.ligpartie, MATCH($B358, Donnees!$F:$F, 0),
    _xlpm.joueurs, INDEX(Donnees!$A:$Z, _xlpm.ligpartie+1, _xlfn.SEQUENCE(1, 4, 2)),
    INDEX(
      Donnees!$A:$Z,
      _xlpm.ligpartie + 3,
      MATCH(Q$1, _xlpm.joueurs, 0) + 1
    )
  ), ""
)</f>
        <v/>
      </c>
      <c r="R359" t="str" cm="1">
        <f t="array" ref="R359">IFERROR(
  _xlfn.LET(
    _xlpm.ligpartie, MATCH($B358, Donnees!$F:$F, 0),
    _xlpm.joueurs, INDEX(Donnees!$A:$Z, _xlpm.ligpartie+1, _xlfn.SEQUENCE(1, 4, 2)),
    INDEX(
      Donnees!$A:$Z,
      _xlpm.ligpartie + 3,
      MATCH(R$1, _xlpm.joueurs, 0) + 1
    )
  ), ""
)</f>
        <v/>
      </c>
      <c r="S359" cm="1">
        <f t="array" ref="S359">IFERROR(
  _xlfn.LET(
    _xlpm.ligpartie, MATCH($B358, Donnees!$F:$F, 0),
    _xlpm.joueurs, INDEX(Donnees!$A:$Z, _xlpm.ligpartie+1, _xlfn.SEQUENCE(1, 4, 2)),
    INDEX(
      Donnees!$A:$Z,
      _xlpm.ligpartie + 3,
      MATCH(S$1, _xlpm.joueurs, 0) + 1
    )
  ), ""
)</f>
        <v>3</v>
      </c>
      <c r="T359" t="str" cm="1">
        <f t="array" ref="T359">IFERROR(
  _xlfn.LET(
    _xlpm.ligpartie, MATCH($B358, Donnees!$F:$F, 0),
    _xlpm.joueurs, INDEX(Donnees!$A:$Z, _xlpm.ligpartie+1, _xlfn.SEQUENCE(1, 4, 2)),
    INDEX(
      Donnees!$A:$Z,
      _xlpm.ligpartie + 3,
      MATCH(T$1, _xlpm.joueurs, 0) + 1
    )
  ), ""
)</f>
        <v/>
      </c>
      <c r="U359" t="str" cm="1">
        <f t="array" ref="U359">IFERROR(
  _xlfn.LET(
    _xlpm.ligpartie, MATCH($B358, Donnees!$F:$F, 0),
    _xlpm.joueurs, INDEX(Donnees!$A:$Z, _xlpm.ligpartie+1, _xlfn.SEQUENCE(1, 4, 2)),
    INDEX(
      Donnees!$A:$Z,
      _xlpm.ligpartie + 3,
      MATCH(U$1, _xlpm.joueurs, 0) + 1
    )
  ), ""
)</f>
        <v/>
      </c>
      <c r="V359" t="str" cm="1">
        <f t="array" ref="V359">IFERROR(
  _xlfn.LET(
    _xlpm.ligpartie, MATCH($B358, Donnees!$F:$F, 0),
    _xlpm.joueurs, INDEX(Donnees!$A:$Z, _xlpm.ligpartie+1, _xlfn.SEQUENCE(1, 4, 2)),
    INDEX(
      Donnees!$A:$Z,
      _xlpm.ligpartie + 3,
      MATCH(V$1, _xlpm.joueurs, 0) + 1
    )
  ), ""
)</f>
        <v/>
      </c>
      <c r="W359" t="str" cm="1">
        <f t="array" ref="W359">IFERROR(
  _xlfn.LET(
    _xlpm.ligpartie, MATCH($B358, Donnees!$F:$F, 0),
    _xlpm.joueurs, INDEX(Donnees!$A:$Z, _xlpm.ligpartie+1, _xlfn.SEQUENCE(1, 4, 2)),
    INDEX(
      Donnees!$A:$Z,
      _xlpm.ligpartie + 3,
      MATCH(W$1, _xlpm.joueurs, 0) + 1
    )
  ), ""
)</f>
        <v/>
      </c>
      <c r="X359" t="str" cm="1">
        <f t="array" ref="X359">IFERROR(
  _xlfn.LET(
    _xlpm.ligpartie, MATCH($B358, Donnees!$F:$F, 0),
    _xlpm.joueurs, INDEX(Donnees!$A:$Z, _xlpm.ligpartie+1, _xlfn.SEQUENCE(1, 4, 2)),
    INDEX(
      Donnees!$A:$Z,
      _xlpm.ligpartie + 3,
      MATCH(X$1, _xlpm.joueurs, 0) + 1
    )
  ), ""
)</f>
        <v/>
      </c>
      <c r="Y359" t="str" cm="1">
        <f t="array" ref="Y359">IFERROR(
  _xlfn.LET(
    _xlpm.ligpartie, MATCH($B358, Donnees!$F:$F, 0),
    _xlpm.joueurs, INDEX(Donnees!$A:$Z, _xlpm.ligpartie+1, _xlfn.SEQUENCE(1, 4, 2)),
    INDEX(
      Donnees!$A:$Z,
      _xlpm.ligpartie + 3,
      MATCH(Y$1, _xlpm.joueurs, 0) + 1
    )
  ), ""
)</f>
        <v/>
      </c>
      <c r="Z359" t="str" cm="1">
        <f t="array" ref="Z359">IFERROR(
  _xlfn.LET(
    _xlpm.ligpartie, MATCH($B358, Donnees!$F:$F, 0),
    _xlpm.joueurs, INDEX(Donnees!$A:$Z, _xlpm.ligpartie+1, _xlfn.SEQUENCE(1, 4, 2)),
    INDEX(
      Donnees!$A:$Z,
      _xlpm.ligpartie + 3,
      MATCH(Z$1, _xlpm.joueurs, 0) + 1
    )
  ), ""
)</f>
        <v/>
      </c>
      <c r="AA359" t="str" cm="1">
        <f t="array" ref="AA359">IFERROR(
  _xlfn.LET(
    _xlpm.ligpartie, MATCH($B358, Donnees!$F:$F, 0),
    _xlpm.joueurs, INDEX(Donnees!$A:$Z, _xlpm.ligpartie+1, _xlfn.SEQUENCE(1, 4, 2)),
    INDEX(
      Donnees!$A:$Z,
      _xlpm.ligpartie + 3,
      MATCH(AA$1, _xlpm.joueurs, 0) + 1
    )
  ), ""
)</f>
        <v/>
      </c>
      <c r="AB359" t="str" cm="1">
        <f t="array" ref="AB359">IFERROR(
  _xlfn.LET(
    _xlpm.ligpartie, MATCH($B358, Donnees!$F:$F, 0),
    _xlpm.joueurs, INDEX(Donnees!$A:$Z, _xlpm.ligpartie+1, _xlfn.SEQUENCE(1, 4, 2)),
    INDEX(
      Donnees!$A:$Z,
      _xlpm.ligpartie + 3,
      MATCH(AB$1, _xlpm.joueurs, 0) + 1
    )
  ), ""
)</f>
        <v/>
      </c>
      <c r="AC359" t="str" cm="1">
        <f t="array" ref="AC359">IFERROR(
  _xlfn.LET(
    _xlpm.ligpartie, MATCH($B358, Donnees!$F:$F, 0),
    _xlpm.joueurs, INDEX(Donnees!$A:$Z, _xlpm.ligpartie+1, _xlfn.SEQUENCE(1, 4, 2)),
    INDEX(
      Donnees!$A:$Z,
      _xlpm.ligpartie + 3,
      MATCH(AC$1, _xlpm.joueurs, 0) + 1
    )
  ), ""
)</f>
        <v/>
      </c>
      <c r="AD359" t="str" cm="1">
        <f t="array" ref="AD359">IFERROR(
  _xlfn.LET(
    _xlpm.ligpartie, MATCH($B358, Donnees!$F:$F, 0),
    _xlpm.joueurs, INDEX(Donnees!$A:$Z, _xlpm.ligpartie+1, _xlfn.SEQUENCE(1, 4, 2)),
    INDEX(
      Donnees!$A:$Z,
      _xlpm.ligpartie + 3,
      MATCH(AD$1, _xlpm.joueurs, 0) + 1
    )
  ), ""
)</f>
        <v/>
      </c>
      <c r="AE359" t="str" cm="1">
        <f t="array" ref="AE359">IFERROR(
  _xlfn.LET(
    _xlpm.ligpartie, MATCH($B358, Donnees!$F:$F, 0),
    _xlpm.joueurs, INDEX(Donnees!$A:$Z, _xlpm.ligpartie+1, _xlfn.SEQUENCE(1, 4, 2)),
    INDEX(
      Donnees!$A:$Z,
      _xlpm.ligpartie + 3,
      MATCH(AE$1, _xlpm.joueurs, 0) + 1
    )
  ), ""
)</f>
        <v/>
      </c>
      <c r="AF359" t="str" cm="1">
        <f t="array" ref="AF359">IFERROR(
  _xlfn.LET(
    _xlpm.ligpartie, MATCH($B358, Donnees!$F:$F, 0),
    _xlpm.joueurs, INDEX(Donnees!$A:$Z, _xlpm.ligpartie+1, _xlfn.SEQUENCE(1, 4, 2)),
    INDEX(
      Donnees!$A:$Z,
      _xlpm.ligpartie + 3,
      MATCH(AF$1, _xlpm.joueurs, 0) + 1
    )
  ), ""
)</f>
        <v/>
      </c>
      <c r="AG359" t="str" cm="1">
        <f t="array" ref="AG359">IFERROR(
  _xlfn.LET(
    _xlpm.ligpartie, MATCH($B358, Donnees!$F:$F, 0),
    _xlpm.joueurs, INDEX(Donnees!$A:$Z, _xlpm.ligpartie+1, _xlfn.SEQUENCE(1, 4, 2)),
    INDEX(
      Donnees!$A:$Z,
      _xlpm.ligpartie + 3,
      MATCH(AG$1, _xlpm.joueurs, 0) + 1
    )
  ), ""
)</f>
        <v/>
      </c>
      <c r="AH359" t="str" cm="1">
        <f t="array" ref="AH359">IFERROR(
  _xlfn.LET(
    _xlpm.ligpartie, MATCH($B358, Donnees!$F:$F, 0),
    _xlpm.joueurs, INDEX(Donnees!$A:$Z, _xlpm.ligpartie+1, _xlfn.SEQUENCE(1, 4, 2)),
    INDEX(
      Donnees!$A:$Z,
      _xlpm.ligpartie + 3,
      MATCH(AH$1, _xlpm.joueurs, 0) + 1
    )
  ), ""
)</f>
        <v/>
      </c>
      <c r="AI359" t="str" cm="1">
        <f t="array" ref="AI359">IFERROR(
  _xlfn.LET(
    _xlpm.ligpartie, MATCH($B358, Donnees!$F:$F, 0),
    _xlpm.joueurs, INDEX(Donnees!$A:$Z, _xlpm.ligpartie+1, _xlfn.SEQUENCE(1, 4, 2)),
    INDEX(
      Donnees!$A:$Z,
      _xlpm.ligpartie + 3,
      MATCH(AI$1, _xlpm.joueurs, 0) + 1
    )
  ), ""
)</f>
        <v/>
      </c>
      <c r="AJ359" t="str" cm="1">
        <f t="array" ref="AJ359">IFERROR(
  _xlfn.LET(
    _xlpm.ligpartie, MATCH($B358, Donnees!$F:$F, 0),
    _xlpm.joueurs, INDEX(Donnees!$A:$Z, _xlpm.ligpartie+1, _xlfn.SEQUENCE(1, 4, 2)),
    INDEX(
      Donnees!$A:$Z,
      _xlpm.ligpartie + 3,
      MATCH(AJ$1, _xlpm.joueurs, 0) + 1
    )
  ), ""
)</f>
        <v/>
      </c>
      <c r="AK359" t="str" cm="1">
        <f t="array" ref="AK359">IFERROR(
  _xlfn.LET(
    _xlpm.ligpartie, MATCH($B358, Donnees!$F:$F, 0),
    _xlpm.joueurs, INDEX(Donnees!$A:$Z, _xlpm.ligpartie+1, _xlfn.SEQUENCE(1, 4, 2)),
    INDEX(
      Donnees!$A:$Z,
      _xlpm.ligpartie + 3,
      MATCH(AK$1, _xlpm.joueurs, 0) + 1
    )
  ), ""
)</f>
        <v/>
      </c>
      <c r="AL359" t="str" cm="1">
        <f t="array" ref="AL359">IFERROR(
  _xlfn.LET(
    _xlpm.ligpartie, MATCH($B358, Donnees!$F:$F, 0),
    _xlpm.joueurs, INDEX(Donnees!$A:$Z, _xlpm.ligpartie+1, _xlfn.SEQUENCE(1, 4, 2)),
    INDEX(
      Donnees!$A:$Z,
      _xlpm.ligpartie + 3,
      MATCH(AL$1, _xlpm.joueurs, 0) + 1
    )
  ), ""
)</f>
        <v/>
      </c>
      <c r="AM359" t="str" cm="1">
        <f t="array" ref="AM359">IFERROR(
  _xlfn.LET(
    _xlpm.ligpartie, MATCH($B358, Donnees!$F:$F, 0),
    _xlpm.joueurs, INDEX(Donnees!$A:$Z, _xlpm.ligpartie+1, _xlfn.SEQUENCE(1, 4, 2)),
    INDEX(
      Donnees!$A:$Z,
      _xlpm.ligpartie + 3,
      MATCH(AM$1, _xlpm.joueurs, 0) + 1
    )
  ), ""
)</f>
        <v/>
      </c>
    </row>
    <row r="360" spans="1:39" x14ac:dyDescent="0.25">
      <c r="A360" t="s">
        <v>20</v>
      </c>
      <c r="D360" t="str" cm="1">
        <f t="array" ref="D360">_xlfn.LET(
  _xlpm.colj, _xlfn._xlws.FILTER(IF(ISNUMBER(359:359), COLUMN(359:359)), ISNUMBER(359:359)),
  _xlpm.elos, INDEX(358:358,1,_xlpm.colj),
  _xlpm.diffscale, Constantes!$B$2,
  IF(D359="",
    "",
    SUM(1/(1+POWER(10,-(D358-_xlpm.elos)/_xlpm.diffscale)))-0.5)
)</f>
        <v/>
      </c>
      <c r="E360" t="str" cm="1">
        <f t="array" ref="E360">_xlfn.LET(
  _xlpm.colj, _xlfn._xlws.FILTER(IF(ISNUMBER(359:359), COLUMN(359:359)), ISNUMBER(359:359)),
  _xlpm.elos, INDEX(358:358,1,_xlpm.colj),
  _xlpm.diffscale, Constantes!$B$2,
  IF(E359="",
    "",
    SUM(1/(1+POWER(10,-(E358-_xlpm.elos)/_xlpm.diffscale)))-0.5)
)</f>
        <v/>
      </c>
      <c r="F360" cm="1">
        <f t="array" ref="F360">_xlfn.LET(
  _xlpm.colj, _xlfn._xlws.FILTER(IF(ISNUMBER(359:359), COLUMN(359:359)), ISNUMBER(359:359)),
  _xlpm.elos, INDEX(358:358,1,_xlpm.colj),
  _xlpm.diffscale, Constantes!$B$2,
  IF(F359="",
    "",
    SUM(1/(1+POWER(10,-(F358-_xlpm.elos)/_xlpm.diffscale)))-0.5)
)</f>
        <v>1.1444125156619305</v>
      </c>
      <c r="G360" t="str" cm="1">
        <f t="array" ref="G360">_xlfn.LET(
  _xlpm.colj, _xlfn._xlws.FILTER(IF(ISNUMBER(359:359), COLUMN(359:359)), ISNUMBER(359:359)),
  _xlpm.elos, INDEX(358:358,1,_xlpm.colj),
  _xlpm.diffscale, Constantes!$B$2,
  IF(G359="",
    "",
    SUM(1/(1+POWER(10,-(G358-_xlpm.elos)/_xlpm.diffscale)))-0.5)
)</f>
        <v/>
      </c>
      <c r="H360" t="str" cm="1">
        <f t="array" ref="H360">_xlfn.LET(
  _xlpm.colj, _xlfn._xlws.FILTER(IF(ISNUMBER(359:359), COLUMN(359:359)), ISNUMBER(359:359)),
  _xlpm.elos, INDEX(358:358,1,_xlpm.colj),
  _xlpm.diffscale, Constantes!$B$2,
  IF(H359="",
    "",
    SUM(1/(1+POWER(10,-(H358-_xlpm.elos)/_xlpm.diffscale)))-0.5)
)</f>
        <v/>
      </c>
      <c r="I360" cm="1">
        <f t="array" ref="I360">_xlfn.LET(
  _xlpm.colj, _xlfn._xlws.FILTER(IF(ISNUMBER(359:359), COLUMN(359:359)), ISNUMBER(359:359)),
  _xlpm.elos, INDEX(358:358,1,_xlpm.colj),
  _xlpm.diffscale, Constantes!$B$2,
  IF(I359="",
    "",
    SUM(1/(1+POWER(10,-(I358-_xlpm.elos)/_xlpm.diffscale)))-0.5)
)</f>
        <v>1.671438568536153</v>
      </c>
      <c r="J360" t="str" cm="1">
        <f t="array" ref="J360">_xlfn.LET(
  _xlpm.colj, _xlfn._xlws.FILTER(IF(ISNUMBER(359:359), COLUMN(359:359)), ISNUMBER(359:359)),
  _xlpm.elos, INDEX(358:358,1,_xlpm.colj),
  _xlpm.diffscale, Constantes!$B$2,
  IF(J359="",
    "",
    SUM(1/(1+POWER(10,-(J358-_xlpm.elos)/_xlpm.diffscale)))-0.5)
)</f>
        <v/>
      </c>
      <c r="K360" t="str" cm="1">
        <f t="array" ref="K360">_xlfn.LET(
  _xlpm.colj, _xlfn._xlws.FILTER(IF(ISNUMBER(359:359), COLUMN(359:359)), ISNUMBER(359:359)),
  _xlpm.elos, INDEX(358:358,1,_xlpm.colj),
  _xlpm.diffscale, Constantes!$B$2,
  IF(K359="",
    "",
    SUM(1/(1+POWER(10,-(K358-_xlpm.elos)/_xlpm.diffscale)))-0.5)
)</f>
        <v/>
      </c>
      <c r="L360" t="str" cm="1">
        <f t="array" ref="L360">_xlfn.LET(
  _xlpm.colj, _xlfn._xlws.FILTER(IF(ISNUMBER(359:359), COLUMN(359:359)), ISNUMBER(359:359)),
  _xlpm.elos, INDEX(358:358,1,_xlpm.colj),
  _xlpm.diffscale, Constantes!$B$2,
  IF(L359="",
    "",
    SUM(1/(1+POWER(10,-(L358-_xlpm.elos)/_xlpm.diffscale)))-0.5)
)</f>
        <v/>
      </c>
      <c r="M360" t="str" cm="1">
        <f t="array" ref="M360">_xlfn.LET(
  _xlpm.colj, _xlfn._xlws.FILTER(IF(ISNUMBER(359:359), COLUMN(359:359)), ISNUMBER(359:359)),
  _xlpm.elos, INDEX(358:358,1,_xlpm.colj),
  _xlpm.diffscale, Constantes!$B$2,
  IF(M359="",
    "",
    SUM(1/(1+POWER(10,-(M358-_xlpm.elos)/_xlpm.diffscale)))-0.5)
)</f>
        <v/>
      </c>
      <c r="N360" t="str" cm="1">
        <f t="array" ref="N360">_xlfn.LET(
  _xlpm.colj, _xlfn._xlws.FILTER(IF(ISNUMBER(359:359), COLUMN(359:359)), ISNUMBER(359:359)),
  _xlpm.elos, INDEX(358:358,1,_xlpm.colj),
  _xlpm.diffscale, Constantes!$B$2,
  IF(N359="",
    "",
    SUM(1/(1+POWER(10,-(N358-_xlpm.elos)/_xlpm.diffscale)))-0.5)
)</f>
        <v/>
      </c>
      <c r="O360" t="str" cm="1">
        <f t="array" ref="O360">_xlfn.LET(
  _xlpm.colj, _xlfn._xlws.FILTER(IF(ISNUMBER(359:359), COLUMN(359:359)), ISNUMBER(359:359)),
  _xlpm.elos, INDEX(358:358,1,_xlpm.colj),
  _xlpm.diffscale, Constantes!$B$2,
  IF(O359="",
    "",
    SUM(1/(1+POWER(10,-(O358-_xlpm.elos)/_xlpm.diffscale)))-0.5)
)</f>
        <v/>
      </c>
      <c r="P360" cm="1">
        <f t="array" ref="P360">_xlfn.LET(
  _xlpm.colj, _xlfn._xlws.FILTER(IF(ISNUMBER(359:359), COLUMN(359:359)), ISNUMBER(359:359)),
  _xlpm.elos, INDEX(358:358,1,_xlpm.colj),
  _xlpm.diffscale, Constantes!$B$2,
  IF(P359="",
    "",
    SUM(1/(1+POWER(10,-(P358-_xlpm.elos)/_xlpm.diffscale)))-0.5)
)</f>
        <v>1.8658718222564028</v>
      </c>
      <c r="Q360" t="str" cm="1">
        <f t="array" ref="Q360">_xlfn.LET(
  _xlpm.colj, _xlfn._xlws.FILTER(IF(ISNUMBER(359:359), COLUMN(359:359)), ISNUMBER(359:359)),
  _xlpm.elos, INDEX(358:358,1,_xlpm.colj),
  _xlpm.diffscale, Constantes!$B$2,
  IF(Q359="",
    "",
    SUM(1/(1+POWER(10,-(Q358-_xlpm.elos)/_xlpm.diffscale)))-0.5)
)</f>
        <v/>
      </c>
      <c r="R360" t="str" cm="1">
        <f t="array" ref="R360">_xlfn.LET(
  _xlpm.colj, _xlfn._xlws.FILTER(IF(ISNUMBER(359:359), COLUMN(359:359)), ISNUMBER(359:359)),
  _xlpm.elos, INDEX(358:358,1,_xlpm.colj),
  _xlpm.diffscale, Constantes!$B$2,
  IF(R359="",
    "",
    SUM(1/(1+POWER(10,-(R358-_xlpm.elos)/_xlpm.diffscale)))-0.5)
)</f>
        <v/>
      </c>
      <c r="S360" cm="1">
        <f t="array" ref="S360">_xlfn.LET(
  _xlpm.colj, _xlfn._xlws.FILTER(IF(ISNUMBER(359:359), COLUMN(359:359)), ISNUMBER(359:359)),
  _xlpm.elos, INDEX(358:358,1,_xlpm.colj),
  _xlpm.diffscale, Constantes!$B$2,
  IF(S359="",
    "",
    SUM(1/(1+POWER(10,-(S358-_xlpm.elos)/_xlpm.diffscale)))-0.5)
)</f>
        <v>1.3182770935455139</v>
      </c>
      <c r="T360" t="str" cm="1">
        <f t="array" ref="T360">_xlfn.LET(
  _xlpm.colj, _xlfn._xlws.FILTER(IF(ISNUMBER(359:359), COLUMN(359:359)), ISNUMBER(359:359)),
  _xlpm.elos, INDEX(358:358,1,_xlpm.colj),
  _xlpm.diffscale, Constantes!$B$2,
  IF(T359="",
    "",
    SUM(1/(1+POWER(10,-(T358-_xlpm.elos)/_xlpm.diffscale)))-0.5)
)</f>
        <v/>
      </c>
      <c r="U360" t="str" cm="1">
        <f t="array" ref="U360">_xlfn.LET(
  _xlpm.colj, _xlfn._xlws.FILTER(IF(ISNUMBER(359:359), COLUMN(359:359)), ISNUMBER(359:359)),
  _xlpm.elos, INDEX(358:358,1,_xlpm.colj),
  _xlpm.diffscale, Constantes!$B$2,
  IF(U359="",
    "",
    SUM(1/(1+POWER(10,-(U358-_xlpm.elos)/_xlpm.diffscale)))-0.5)
)</f>
        <v/>
      </c>
      <c r="V360" t="str" cm="1">
        <f t="array" ref="V360">_xlfn.LET(
  _xlpm.colj, _xlfn._xlws.FILTER(IF(ISNUMBER(359:359), COLUMN(359:359)), ISNUMBER(359:359)),
  _xlpm.elos, INDEX(358:358,1,_xlpm.colj),
  _xlpm.diffscale, Constantes!$B$2,
  IF(V359="",
    "",
    SUM(1/(1+POWER(10,-(V358-_xlpm.elos)/_xlpm.diffscale)))-0.5)
)</f>
        <v/>
      </c>
      <c r="W360" t="str" cm="1">
        <f t="array" ref="W360">_xlfn.LET(
  _xlpm.colj, _xlfn._xlws.FILTER(IF(ISNUMBER(359:359), COLUMN(359:359)), ISNUMBER(359:359)),
  _xlpm.elos, INDEX(358:358,1,_xlpm.colj),
  _xlpm.diffscale, Constantes!$B$2,
  IF(W359="",
    "",
    SUM(1/(1+POWER(10,-(W358-_xlpm.elos)/_xlpm.diffscale)))-0.5)
)</f>
        <v/>
      </c>
      <c r="X360" t="str" cm="1">
        <f t="array" ref="X360">_xlfn.LET(
  _xlpm.colj, _xlfn._xlws.FILTER(IF(ISNUMBER(359:359), COLUMN(359:359)), ISNUMBER(359:359)),
  _xlpm.elos, INDEX(358:358,1,_xlpm.colj),
  _xlpm.diffscale, Constantes!$B$2,
  IF(X359="",
    "",
    SUM(1/(1+POWER(10,-(X358-_xlpm.elos)/_xlpm.diffscale)))-0.5)
)</f>
        <v/>
      </c>
      <c r="Y360" t="str" cm="1">
        <f t="array" ref="Y360">_xlfn.LET(
  _xlpm.colj, _xlfn._xlws.FILTER(IF(ISNUMBER(359:359), COLUMN(359:359)), ISNUMBER(359:359)),
  _xlpm.elos, INDEX(358:358,1,_xlpm.colj),
  _xlpm.diffscale, Constantes!$B$2,
  IF(Y359="",
    "",
    SUM(1/(1+POWER(10,-(Y358-_xlpm.elos)/_xlpm.diffscale)))-0.5)
)</f>
        <v/>
      </c>
      <c r="Z360" t="str" cm="1">
        <f t="array" ref="Z360">_xlfn.LET(
  _xlpm.colj, _xlfn._xlws.FILTER(IF(ISNUMBER(359:359), COLUMN(359:359)), ISNUMBER(359:359)),
  _xlpm.elos, INDEX(358:358,1,_xlpm.colj),
  _xlpm.diffscale, Constantes!$B$2,
  IF(Z359="",
    "",
    SUM(1/(1+POWER(10,-(Z358-_xlpm.elos)/_xlpm.diffscale)))-0.5)
)</f>
        <v/>
      </c>
      <c r="AA360" t="str" cm="1">
        <f t="array" ref="AA360">_xlfn.LET(
  _xlpm.colj, _xlfn._xlws.FILTER(IF(ISNUMBER(359:359), COLUMN(359:359)), ISNUMBER(359:359)),
  _xlpm.elos, INDEX(358:358,1,_xlpm.colj),
  _xlpm.diffscale, Constantes!$B$2,
  IF(AA359="",
    "",
    SUM(1/(1+POWER(10,-(AA358-_xlpm.elos)/_xlpm.diffscale)))-0.5)
)</f>
        <v/>
      </c>
      <c r="AB360" t="str" cm="1">
        <f t="array" ref="AB360">_xlfn.LET(
  _xlpm.colj, _xlfn._xlws.FILTER(IF(ISNUMBER(359:359), COLUMN(359:359)), ISNUMBER(359:359)),
  _xlpm.elos, INDEX(358:358,1,_xlpm.colj),
  _xlpm.diffscale, Constantes!$B$2,
  IF(AB359="",
    "",
    SUM(1/(1+POWER(10,-(AB358-_xlpm.elos)/_xlpm.diffscale)))-0.5)
)</f>
        <v/>
      </c>
      <c r="AC360" t="str" cm="1">
        <f t="array" ref="AC360">_xlfn.LET(
  _xlpm.colj, _xlfn._xlws.FILTER(IF(ISNUMBER(359:359), COLUMN(359:359)), ISNUMBER(359:359)),
  _xlpm.elos, INDEX(358:358,1,_xlpm.colj),
  _xlpm.diffscale, Constantes!$B$2,
  IF(AC359="",
    "",
    SUM(1/(1+POWER(10,-(AC358-_xlpm.elos)/_xlpm.diffscale)))-0.5)
)</f>
        <v/>
      </c>
      <c r="AD360" t="str" cm="1">
        <f t="array" ref="AD360">_xlfn.LET(
  _xlpm.colj, _xlfn._xlws.FILTER(IF(ISNUMBER(359:359), COLUMN(359:359)), ISNUMBER(359:359)),
  _xlpm.elos, INDEX(358:358,1,_xlpm.colj),
  _xlpm.diffscale, Constantes!$B$2,
  IF(AD359="",
    "",
    SUM(1/(1+POWER(10,-(AD358-_xlpm.elos)/_xlpm.diffscale)))-0.5)
)</f>
        <v/>
      </c>
      <c r="AE360" t="str" cm="1">
        <f t="array" ref="AE360">_xlfn.LET(
  _xlpm.colj, _xlfn._xlws.FILTER(IF(ISNUMBER(359:359), COLUMN(359:359)), ISNUMBER(359:359)),
  _xlpm.elos, INDEX(358:358,1,_xlpm.colj),
  _xlpm.diffscale, Constantes!$B$2,
  IF(AE359="",
    "",
    SUM(1/(1+POWER(10,-(AE358-_xlpm.elos)/_xlpm.diffscale)))-0.5)
)</f>
        <v/>
      </c>
      <c r="AF360" t="str" cm="1">
        <f t="array" ref="AF360">_xlfn.LET(
  _xlpm.colj, _xlfn._xlws.FILTER(IF(ISNUMBER(359:359), COLUMN(359:359)), ISNUMBER(359:359)),
  _xlpm.elos, INDEX(358:358,1,_xlpm.colj),
  _xlpm.diffscale, Constantes!$B$2,
  IF(AF359="",
    "",
    SUM(1/(1+POWER(10,-(AF358-_xlpm.elos)/_xlpm.diffscale)))-0.5)
)</f>
        <v/>
      </c>
      <c r="AG360" t="str" cm="1">
        <f t="array" ref="AG360">_xlfn.LET(
  _xlpm.colj, _xlfn._xlws.FILTER(IF(ISNUMBER(359:359), COLUMN(359:359)), ISNUMBER(359:359)),
  _xlpm.elos, INDEX(358:358,1,_xlpm.colj),
  _xlpm.diffscale, Constantes!$B$2,
  IF(AG359="",
    "",
    SUM(1/(1+POWER(10,-(AG358-_xlpm.elos)/_xlpm.diffscale)))-0.5)
)</f>
        <v/>
      </c>
      <c r="AH360" t="str" cm="1">
        <f t="array" ref="AH360">_xlfn.LET(
  _xlpm.colj, _xlfn._xlws.FILTER(IF(ISNUMBER(359:359), COLUMN(359:359)), ISNUMBER(359:359)),
  _xlpm.elos, INDEX(358:358,1,_xlpm.colj),
  _xlpm.diffscale, Constantes!$B$2,
  IF(AH359="",
    "",
    SUM(1/(1+POWER(10,-(AH358-_xlpm.elos)/_xlpm.diffscale)))-0.5)
)</f>
        <v/>
      </c>
      <c r="AI360" t="str" cm="1">
        <f t="array" ref="AI360">_xlfn.LET(
  _xlpm.colj, _xlfn._xlws.FILTER(IF(ISNUMBER(359:359), COLUMN(359:359)), ISNUMBER(359:359)),
  _xlpm.elos, INDEX(358:358,1,_xlpm.colj),
  _xlpm.diffscale, Constantes!$B$2,
  IF(AI359="",
    "",
    SUM(1/(1+POWER(10,-(AI358-_xlpm.elos)/_xlpm.diffscale)))-0.5)
)</f>
        <v/>
      </c>
      <c r="AJ360" t="str" cm="1">
        <f t="array" ref="AJ360">_xlfn.LET(
  _xlpm.colj, _xlfn._xlws.FILTER(IF(ISNUMBER(359:359), COLUMN(359:359)), ISNUMBER(359:359)),
  _xlpm.elos, INDEX(358:358,1,_xlpm.colj),
  _xlpm.diffscale, Constantes!$B$2,
  IF(AJ359="",
    "",
    SUM(1/(1+POWER(10,-(AJ358-_xlpm.elos)/_xlpm.diffscale)))-0.5)
)</f>
        <v/>
      </c>
      <c r="AK360" t="str" cm="1">
        <f t="array" ref="AK360">_xlfn.LET(
  _xlpm.colj, _xlfn._xlws.FILTER(IF(ISNUMBER(359:359), COLUMN(359:359)), ISNUMBER(359:359)),
  _xlpm.elos, INDEX(358:358,1,_xlpm.colj),
  _xlpm.diffscale, Constantes!$B$2,
  IF(AK359="",
    "",
    SUM(1/(1+POWER(10,-(AK358-_xlpm.elos)/_xlpm.diffscale)))-0.5)
)</f>
        <v/>
      </c>
      <c r="AL360" t="str" cm="1">
        <f t="array" ref="AL360">_xlfn.LET(
  _xlpm.colj, _xlfn._xlws.FILTER(IF(ISNUMBER(359:359), COLUMN(359:359)), ISNUMBER(359:359)),
  _xlpm.elos, INDEX(358:358,1,_xlpm.colj),
  _xlpm.diffscale, Constantes!$B$2,
  IF(AL359="",
    "",
    SUM(1/(1+POWER(10,-(AL358-_xlpm.elos)/_xlpm.diffscale)))-0.5)
)</f>
        <v/>
      </c>
      <c r="AM360" t="str" cm="1">
        <f t="array" ref="AM360">_xlfn.LET(
  _xlpm.colj, _xlfn._xlws.FILTER(IF(ISNUMBER(359:359), COLUMN(359:359)), ISNUMBER(359:359)),
  _xlpm.elos, INDEX(358:358,1,_xlpm.colj),
  _xlpm.diffscale, Constantes!$B$2,
  IF(AM359="",
    "",
    SUM(1/(1+POWER(10,-(AM358-_xlpm.elos)/_xlpm.diffscale)))-0.5)
)</f>
        <v/>
      </c>
    </row>
    <row r="361" spans="1:39" x14ac:dyDescent="0.25">
      <c r="A361" t="s">
        <v>22</v>
      </c>
      <c r="D361" t="str" cm="1">
        <f t="array" ref="D361">_xlfn.LET(
  _xlpm.K, Constantes!$B$3,
  _xlpm.Knewgain, Constantes!$B$4,
  _xlpm.Knewscale, Constantes!$B$5,
  _xlpm.ptstables, INDEX(D:D, _xlfn.SEQUENCE(COUNTA($C$2:$C361), 1, 3, 4)),
  _xlpm.nbparties, COUNTA(_xlfn._xlws.FILTER(_xlpm.ptstables, _xlpm.ptstables &lt;&gt; "")),
  _xlpm.coef, _xlpm.K + _xlpm.Knewgain / (_xlpm.Knewscale + _xlpm.nbparties),
  IF(D359="",
    "",
    _xlpm.coef * (D359-D360))
)</f>
        <v/>
      </c>
      <c r="E361" t="str" cm="1">
        <f t="array" ref="E361">_xlfn.LET(
  _xlpm.K, Constantes!$B$3,
  _xlpm.Knewgain, Constantes!$B$4,
  _xlpm.Knewscale, Constantes!$B$5,
  _xlpm.ptstables, INDEX(E:E, _xlfn.SEQUENCE(COUNTA($C$2:$C361), 1, 3, 4)),
  _xlpm.nbparties, COUNTA(_xlfn._xlws.FILTER(_xlpm.ptstables, _xlpm.ptstables &lt;&gt; "")),
  _xlpm.coef, _xlpm.K + _xlpm.Knewgain / (_xlpm.Knewscale + _xlpm.nbparties),
  IF(E359="",
    "",
    _xlpm.coef * (E359-E360))
)</f>
        <v/>
      </c>
      <c r="F361" cm="1">
        <f t="array" ref="F361">_xlfn.LET(
  _xlpm.K, Constantes!$B$3,
  _xlpm.Knewgain, Constantes!$B$4,
  _xlpm.Knewscale, Constantes!$B$5,
  _xlpm.ptstables, INDEX(F:F, _xlfn.SEQUENCE(COUNTA($C$2:$C361), 1, 3, 4)),
  _xlpm.nbparties, COUNTA(_xlfn._xlws.FILTER(_xlpm.ptstables, _xlpm.ptstables &lt;&gt; "")),
  _xlpm.coef, _xlpm.K + _xlpm.Knewgain / (_xlpm.Knewscale + _xlpm.nbparties),
  IF(F359="",
    "",
    _xlpm.coef * (F359-F360))
)</f>
        <v>-25.376103608155852</v>
      </c>
      <c r="G361" t="str" cm="1">
        <f t="array" ref="G361">_xlfn.LET(
  _xlpm.K, Constantes!$B$3,
  _xlpm.Knewgain, Constantes!$B$4,
  _xlpm.Knewscale, Constantes!$B$5,
  _xlpm.ptstables, INDEX(G:G, _xlfn.SEQUENCE(COUNTA($C$2:$C361), 1, 3, 4)),
  _xlpm.nbparties, COUNTA(_xlfn._xlws.FILTER(_xlpm.ptstables, _xlpm.ptstables &lt;&gt; "")),
  _xlpm.coef, _xlpm.K + _xlpm.Knewgain / (_xlpm.Knewscale + _xlpm.nbparties),
  IF(G359="",
    "",
    _xlpm.coef * (G359-G360))
)</f>
        <v/>
      </c>
      <c r="H361" t="str" cm="1">
        <f t="array" ref="H361">_xlfn.LET(
  _xlpm.K, Constantes!$B$3,
  _xlpm.Knewgain, Constantes!$B$4,
  _xlpm.Knewscale, Constantes!$B$5,
  _xlpm.ptstables, INDEX(H:H, _xlfn.SEQUENCE(COUNTA($C$2:$C361), 1, 3, 4)),
  _xlpm.nbparties, COUNTA(_xlfn._xlws.FILTER(_xlpm.ptstables, _xlpm.ptstables &lt;&gt; "")),
  _xlpm.coef, _xlpm.K + _xlpm.Knewgain / (_xlpm.Knewscale + _xlpm.nbparties),
  IF(H359="",
    "",
    _xlpm.coef * (H359-H360))
)</f>
        <v/>
      </c>
      <c r="I361" cm="1">
        <f t="array" ref="I361">_xlfn.LET(
  _xlpm.K, Constantes!$B$3,
  _xlpm.Knewgain, Constantes!$B$4,
  _xlpm.Knewscale, Constantes!$B$5,
  _xlpm.ptstables, INDEX(I:I, _xlfn.SEQUENCE(COUNTA($C$2:$C361), 1, 3, 4)),
  _xlpm.nbparties, COUNTA(_xlfn._xlws.FILTER(_xlpm.ptstables, _xlpm.ptstables &lt;&gt; "")),
  _xlpm.coef, _xlpm.K + _xlpm.Knewgain / (_xlpm.Knewscale + _xlpm.nbparties),
  IF(I359="",
    "",
    _xlpm.coef * (I359-I360))
)</f>
        <v>-15.82676625835218</v>
      </c>
      <c r="J361" t="str" cm="1">
        <f t="array" ref="J361">_xlfn.LET(
  _xlpm.K, Constantes!$B$3,
  _xlpm.Knewgain, Constantes!$B$4,
  _xlpm.Knewscale, Constantes!$B$5,
  _xlpm.ptstables, INDEX(J:J, _xlfn.SEQUENCE(COUNTA($C$2:$C361), 1, 3, 4)),
  _xlpm.nbparties, COUNTA(_xlfn._xlws.FILTER(_xlpm.ptstables, _xlpm.ptstables &lt;&gt; "")),
  _xlpm.coef, _xlpm.K + _xlpm.Knewgain / (_xlpm.Knewscale + _xlpm.nbparties),
  IF(J359="",
    "",
    _xlpm.coef * (J359-J360))
)</f>
        <v/>
      </c>
      <c r="K361" t="str" cm="1">
        <f t="array" ref="K361">_xlfn.LET(
  _xlpm.K, Constantes!$B$3,
  _xlpm.Knewgain, Constantes!$B$4,
  _xlpm.Knewscale, Constantes!$B$5,
  _xlpm.ptstables, INDEX(K:K, _xlfn.SEQUENCE(COUNTA($C$2:$C361), 1, 3, 4)),
  _xlpm.nbparties, COUNTA(_xlfn._xlws.FILTER(_xlpm.ptstables, _xlpm.ptstables &lt;&gt; "")),
  _xlpm.coef, _xlpm.K + _xlpm.Knewgain / (_xlpm.Knewscale + _xlpm.nbparties),
  IF(K359="",
    "",
    _xlpm.coef * (K359-K360))
)</f>
        <v/>
      </c>
      <c r="L361" t="str" cm="1">
        <f t="array" ref="L361">_xlfn.LET(
  _xlpm.K, Constantes!$B$3,
  _xlpm.Knewgain, Constantes!$B$4,
  _xlpm.Knewscale, Constantes!$B$5,
  _xlpm.ptstables, INDEX(L:L, _xlfn.SEQUENCE(COUNTA($C$2:$C361), 1, 3, 4)),
  _xlpm.nbparties, COUNTA(_xlfn._xlws.FILTER(_xlpm.ptstables, _xlpm.ptstables &lt;&gt; "")),
  _xlpm.coef, _xlpm.K + _xlpm.Knewgain / (_xlpm.Knewscale + _xlpm.nbparties),
  IF(L359="",
    "",
    _xlpm.coef * (L359-L360))
)</f>
        <v/>
      </c>
      <c r="M361" t="str" cm="1">
        <f t="array" ref="M361">_xlfn.LET(
  _xlpm.K, Constantes!$B$3,
  _xlpm.Knewgain, Constantes!$B$4,
  _xlpm.Knewscale, Constantes!$B$5,
  _xlpm.ptstables, INDEX(M:M, _xlfn.SEQUENCE(COUNTA($C$2:$C361), 1, 3, 4)),
  _xlpm.nbparties, COUNTA(_xlfn._xlws.FILTER(_xlpm.ptstables, _xlpm.ptstables &lt;&gt; "")),
  _xlpm.coef, _xlpm.K + _xlpm.Knewgain / (_xlpm.Knewscale + _xlpm.nbparties),
  IF(M359="",
    "",
    _xlpm.coef * (M359-M360))
)</f>
        <v/>
      </c>
      <c r="N361" t="str" cm="1">
        <f t="array" ref="N361">_xlfn.LET(
  _xlpm.K, Constantes!$B$3,
  _xlpm.Knewgain, Constantes!$B$4,
  _xlpm.Knewscale, Constantes!$B$5,
  _xlpm.ptstables, INDEX(N:N, _xlfn.SEQUENCE(COUNTA($C$2:$C361), 1, 3, 4)),
  _xlpm.nbparties, COUNTA(_xlfn._xlws.FILTER(_xlpm.ptstables, _xlpm.ptstables &lt;&gt; "")),
  _xlpm.coef, _xlpm.K + _xlpm.Knewgain / (_xlpm.Knewscale + _xlpm.nbparties),
  IF(N359="",
    "",
    _xlpm.coef * (N359-N360))
)</f>
        <v/>
      </c>
      <c r="O361" t="str" cm="1">
        <f t="array" ref="O361">_xlfn.LET(
  _xlpm.K, Constantes!$B$3,
  _xlpm.Knewgain, Constantes!$B$4,
  _xlpm.Knewscale, Constantes!$B$5,
  _xlpm.ptstables, INDEX(O:O, _xlfn.SEQUENCE(COUNTA($C$2:$C361), 1, 3, 4)),
  _xlpm.nbparties, COUNTA(_xlfn._xlws.FILTER(_xlpm.ptstables, _xlpm.ptstables &lt;&gt; "")),
  _xlpm.coef, _xlpm.K + _xlpm.Knewgain / (_xlpm.Knewscale + _xlpm.nbparties),
  IF(O359="",
    "",
    _xlpm.coef * (O359-O360))
)</f>
        <v/>
      </c>
      <c r="P361" cm="1">
        <f t="array" ref="P361">_xlfn.LET(
  _xlpm.K, Constantes!$B$3,
  _xlpm.Knewgain, Constantes!$B$4,
  _xlpm.Knewscale, Constantes!$B$5,
  _xlpm.ptstables, INDEX(P:P, _xlfn.SEQUENCE(COUNTA($C$2:$C361), 1, 3, 4)),
  _xlpm.nbparties, COUNTA(_xlfn._xlws.FILTER(_xlpm.ptstables, _xlpm.ptstables &lt;&gt; "")),
  _xlpm.coef, _xlpm.K + _xlpm.Knewgain / (_xlpm.Knewscale + _xlpm.nbparties),
  IF(P359="",
    "",
    _xlpm.coef * (P359-P360))
)</f>
        <v>3.0770581952942888</v>
      </c>
      <c r="Q361" t="str" cm="1">
        <f t="array" ref="Q361">_xlfn.LET(
  _xlpm.K, Constantes!$B$3,
  _xlpm.Knewgain, Constantes!$B$4,
  _xlpm.Knewscale, Constantes!$B$5,
  _xlpm.ptstables, INDEX(Q:Q, _xlfn.SEQUENCE(COUNTA($C$2:$C361), 1, 3, 4)),
  _xlpm.nbparties, COUNTA(_xlfn._xlws.FILTER(_xlpm.ptstables, _xlpm.ptstables &lt;&gt; "")),
  _xlpm.coef, _xlpm.K + _xlpm.Knewgain / (_xlpm.Knewscale + _xlpm.nbparties),
  IF(Q359="",
    "",
    _xlpm.coef * (Q359-Q360))
)</f>
        <v/>
      </c>
      <c r="R361" t="str" cm="1">
        <f t="array" ref="R361">_xlfn.LET(
  _xlpm.K, Constantes!$B$3,
  _xlpm.Knewgain, Constantes!$B$4,
  _xlpm.Knewscale, Constantes!$B$5,
  _xlpm.ptstables, INDEX(R:R, _xlfn.SEQUENCE(COUNTA($C$2:$C361), 1, 3, 4)),
  _xlpm.nbparties, COUNTA(_xlfn._xlws.FILTER(_xlpm.ptstables, _xlpm.ptstables &lt;&gt; "")),
  _xlpm.coef, _xlpm.K + _xlpm.Knewgain / (_xlpm.Knewscale + _xlpm.nbparties),
  IF(R359="",
    "",
    _xlpm.coef * (R359-R360))
)</f>
        <v/>
      </c>
      <c r="S361" cm="1">
        <f t="array" ref="S361">_xlfn.LET(
  _xlpm.K, Constantes!$B$3,
  _xlpm.Knewgain, Constantes!$B$4,
  _xlpm.Knewscale, Constantes!$B$5,
  _xlpm.ptstables, INDEX(S:S, _xlfn.SEQUENCE(COUNTA($C$2:$C361), 1, 3, 4)),
  _xlpm.nbparties, COUNTA(_xlfn._xlws.FILTER(_xlpm.ptstables, _xlpm.ptstables &lt;&gt; "")),
  _xlpm.coef, _xlpm.K + _xlpm.Knewgain / (_xlpm.Knewscale + _xlpm.nbparties),
  IF(S359="",
    "",
    _xlpm.coef * (S359-S360))
)</f>
        <v>37.45655564375901</v>
      </c>
      <c r="T361" t="str" cm="1">
        <f t="array" ref="T361">_xlfn.LET(
  _xlpm.K, Constantes!$B$3,
  _xlpm.Knewgain, Constantes!$B$4,
  _xlpm.Knewscale, Constantes!$B$5,
  _xlpm.ptstables, INDEX(T:T, _xlfn.SEQUENCE(COUNTA($C$2:$C361), 1, 3, 4)),
  _xlpm.nbparties, COUNTA(_xlfn._xlws.FILTER(_xlpm.ptstables, _xlpm.ptstables &lt;&gt; "")),
  _xlpm.coef, _xlpm.K + _xlpm.Knewgain / (_xlpm.Knewscale + _xlpm.nbparties),
  IF(T359="",
    "",
    _xlpm.coef * (T359-T360))
)</f>
        <v/>
      </c>
      <c r="U361" t="str" cm="1">
        <f t="array" ref="U361">_xlfn.LET(
  _xlpm.K, Constantes!$B$3,
  _xlpm.Knewgain, Constantes!$B$4,
  _xlpm.Knewscale, Constantes!$B$5,
  _xlpm.ptstables, INDEX(U:U, _xlfn.SEQUENCE(COUNTA($C$2:$C361), 1, 3, 4)),
  _xlpm.nbparties, COUNTA(_xlfn._xlws.FILTER(_xlpm.ptstables, _xlpm.ptstables &lt;&gt; "")),
  _xlpm.coef, _xlpm.K + _xlpm.Knewgain / (_xlpm.Knewscale + _xlpm.nbparties),
  IF(U359="",
    "",
    _xlpm.coef * (U359-U360))
)</f>
        <v/>
      </c>
      <c r="V361" t="str" cm="1">
        <f t="array" ref="V361">_xlfn.LET(
  _xlpm.K, Constantes!$B$3,
  _xlpm.Knewgain, Constantes!$B$4,
  _xlpm.Knewscale, Constantes!$B$5,
  _xlpm.ptstables, INDEX(V:V, _xlfn.SEQUENCE(COUNTA($C$2:$C361), 1, 3, 4)),
  _xlpm.nbparties, COUNTA(_xlfn._xlws.FILTER(_xlpm.ptstables, _xlpm.ptstables &lt;&gt; "")),
  _xlpm.coef, _xlpm.K + _xlpm.Knewgain / (_xlpm.Knewscale + _xlpm.nbparties),
  IF(V359="",
    "",
    _xlpm.coef * (V359-V360))
)</f>
        <v/>
      </c>
      <c r="W361" t="str" cm="1">
        <f t="array" ref="W361">_xlfn.LET(
  _xlpm.K, Constantes!$B$3,
  _xlpm.Knewgain, Constantes!$B$4,
  _xlpm.Knewscale, Constantes!$B$5,
  _xlpm.ptstables, INDEX(W:W, _xlfn.SEQUENCE(COUNTA($C$2:$C361), 1, 3, 4)),
  _xlpm.nbparties, COUNTA(_xlfn._xlws.FILTER(_xlpm.ptstables, _xlpm.ptstables &lt;&gt; "")),
  _xlpm.coef, _xlpm.K + _xlpm.Knewgain / (_xlpm.Knewscale + _xlpm.nbparties),
  IF(W359="",
    "",
    _xlpm.coef * (W359-W360))
)</f>
        <v/>
      </c>
      <c r="X361" t="str" cm="1">
        <f t="array" ref="X361">_xlfn.LET(
  _xlpm.K, Constantes!$B$3,
  _xlpm.Knewgain, Constantes!$B$4,
  _xlpm.Knewscale, Constantes!$B$5,
  _xlpm.ptstables, INDEX(X:X, _xlfn.SEQUENCE(COUNTA($C$2:$C361), 1, 3, 4)),
  _xlpm.nbparties, COUNTA(_xlfn._xlws.FILTER(_xlpm.ptstables, _xlpm.ptstables &lt;&gt; "")),
  _xlpm.coef, _xlpm.K + _xlpm.Knewgain / (_xlpm.Knewscale + _xlpm.nbparties),
  IF(X359="",
    "",
    _xlpm.coef * (X359-X360))
)</f>
        <v/>
      </c>
      <c r="Y361" t="str" cm="1">
        <f t="array" ref="Y361">_xlfn.LET(
  _xlpm.K, Constantes!$B$3,
  _xlpm.Knewgain, Constantes!$B$4,
  _xlpm.Knewscale, Constantes!$B$5,
  _xlpm.ptstables, INDEX(Y:Y, _xlfn.SEQUENCE(COUNTA($C$2:$C361), 1, 3, 4)),
  _xlpm.nbparties, COUNTA(_xlfn._xlws.FILTER(_xlpm.ptstables, _xlpm.ptstables &lt;&gt; "")),
  _xlpm.coef, _xlpm.K + _xlpm.Knewgain / (_xlpm.Knewscale + _xlpm.nbparties),
  IF(Y359="",
    "",
    _xlpm.coef * (Y359-Y360))
)</f>
        <v/>
      </c>
      <c r="Z361" t="str" cm="1">
        <f t="array" ref="Z361">_xlfn.LET(
  _xlpm.K, Constantes!$B$3,
  _xlpm.Knewgain, Constantes!$B$4,
  _xlpm.Knewscale, Constantes!$B$5,
  _xlpm.ptstables, INDEX(Z:Z, _xlfn.SEQUENCE(COUNTA($C$2:$C361), 1, 3, 4)),
  _xlpm.nbparties, COUNTA(_xlfn._xlws.FILTER(_xlpm.ptstables, _xlpm.ptstables &lt;&gt; "")),
  _xlpm.coef, _xlpm.K + _xlpm.Knewgain / (_xlpm.Knewscale + _xlpm.nbparties),
  IF(Z359="",
    "",
    _xlpm.coef * (Z359-Z360))
)</f>
        <v/>
      </c>
      <c r="AA361" t="str" cm="1">
        <f t="array" ref="AA361">_xlfn.LET(
  _xlpm.K, Constantes!$B$3,
  _xlpm.Knewgain, Constantes!$B$4,
  _xlpm.Knewscale, Constantes!$B$5,
  _xlpm.ptstables, INDEX(AA:AA, _xlfn.SEQUENCE(COUNTA($C$2:$C361), 1, 3, 4)),
  _xlpm.nbparties, COUNTA(_xlfn._xlws.FILTER(_xlpm.ptstables, _xlpm.ptstables &lt;&gt; "")),
  _xlpm.coef, _xlpm.K + _xlpm.Knewgain / (_xlpm.Knewscale + _xlpm.nbparties),
  IF(AA359="",
    "",
    _xlpm.coef * (AA359-AA360))
)</f>
        <v/>
      </c>
      <c r="AB361" t="str" cm="1">
        <f t="array" ref="AB361">_xlfn.LET(
  _xlpm.K, Constantes!$B$3,
  _xlpm.Knewgain, Constantes!$B$4,
  _xlpm.Knewscale, Constantes!$B$5,
  _xlpm.ptstables, INDEX(AB:AB, _xlfn.SEQUENCE(COUNTA($C$2:$C361), 1, 3, 4)),
  _xlpm.nbparties, COUNTA(_xlfn._xlws.FILTER(_xlpm.ptstables, _xlpm.ptstables &lt;&gt; "")),
  _xlpm.coef, _xlpm.K + _xlpm.Knewgain / (_xlpm.Knewscale + _xlpm.nbparties),
  IF(AB359="",
    "",
    _xlpm.coef * (AB359-AB360))
)</f>
        <v/>
      </c>
      <c r="AC361" t="str" cm="1">
        <f t="array" ref="AC361">_xlfn.LET(
  _xlpm.K, Constantes!$B$3,
  _xlpm.Knewgain, Constantes!$B$4,
  _xlpm.Knewscale, Constantes!$B$5,
  _xlpm.ptstables, INDEX(AC:AC, _xlfn.SEQUENCE(COUNTA($C$2:$C361), 1, 3, 4)),
  _xlpm.nbparties, COUNTA(_xlfn._xlws.FILTER(_xlpm.ptstables, _xlpm.ptstables &lt;&gt; "")),
  _xlpm.coef, _xlpm.K + _xlpm.Knewgain / (_xlpm.Knewscale + _xlpm.nbparties),
  IF(AC359="",
    "",
    _xlpm.coef * (AC359-AC360))
)</f>
        <v/>
      </c>
      <c r="AD361" t="str" cm="1">
        <f t="array" ref="AD361">_xlfn.LET(
  _xlpm.K, Constantes!$B$3,
  _xlpm.Knewgain, Constantes!$B$4,
  _xlpm.Knewscale, Constantes!$B$5,
  _xlpm.ptstables, INDEX(AD:AD, _xlfn.SEQUENCE(COUNTA($C$2:$C361), 1, 3, 4)),
  _xlpm.nbparties, COUNTA(_xlfn._xlws.FILTER(_xlpm.ptstables, _xlpm.ptstables &lt;&gt; "")),
  _xlpm.coef, _xlpm.K + _xlpm.Knewgain / (_xlpm.Knewscale + _xlpm.nbparties),
  IF(AD359="",
    "",
    _xlpm.coef * (AD359-AD360))
)</f>
        <v/>
      </c>
      <c r="AE361" t="str" cm="1">
        <f t="array" ref="AE361">_xlfn.LET(
  _xlpm.K, Constantes!$B$3,
  _xlpm.Knewgain, Constantes!$B$4,
  _xlpm.Knewscale, Constantes!$B$5,
  _xlpm.ptstables, INDEX(AE:AE, _xlfn.SEQUENCE(COUNTA($C$2:$C361), 1, 3, 4)),
  _xlpm.nbparties, COUNTA(_xlfn._xlws.FILTER(_xlpm.ptstables, _xlpm.ptstables &lt;&gt; "")),
  _xlpm.coef, _xlpm.K + _xlpm.Knewgain / (_xlpm.Knewscale + _xlpm.nbparties),
  IF(AE359="",
    "",
    _xlpm.coef * (AE359-AE360))
)</f>
        <v/>
      </c>
      <c r="AF361" t="str" cm="1">
        <f t="array" ref="AF361">_xlfn.LET(
  _xlpm.K, Constantes!$B$3,
  _xlpm.Knewgain, Constantes!$B$4,
  _xlpm.Knewscale, Constantes!$B$5,
  _xlpm.ptstables, INDEX(AF:AF, _xlfn.SEQUENCE(COUNTA($C$2:$C361), 1, 3, 4)),
  _xlpm.nbparties, COUNTA(_xlfn._xlws.FILTER(_xlpm.ptstables, _xlpm.ptstables &lt;&gt; "")),
  _xlpm.coef, _xlpm.K + _xlpm.Knewgain / (_xlpm.Knewscale + _xlpm.nbparties),
  IF(AF359="",
    "",
    _xlpm.coef * (AF359-AF360))
)</f>
        <v/>
      </c>
      <c r="AG361" t="str" cm="1">
        <f t="array" ref="AG361">_xlfn.LET(
  _xlpm.K, Constantes!$B$3,
  _xlpm.Knewgain, Constantes!$B$4,
  _xlpm.Knewscale, Constantes!$B$5,
  _xlpm.ptstables, INDEX(AG:AG, _xlfn.SEQUENCE(COUNTA($C$2:$C361), 1, 3, 4)),
  _xlpm.nbparties, COUNTA(_xlfn._xlws.FILTER(_xlpm.ptstables, _xlpm.ptstables &lt;&gt; "")),
  _xlpm.coef, _xlpm.K + _xlpm.Knewgain / (_xlpm.Knewscale + _xlpm.nbparties),
  IF(AG359="",
    "",
    _xlpm.coef * (AG359-AG360))
)</f>
        <v/>
      </c>
      <c r="AH361" t="str" cm="1">
        <f t="array" ref="AH361">_xlfn.LET(
  _xlpm.K, Constantes!$B$3,
  _xlpm.Knewgain, Constantes!$B$4,
  _xlpm.Knewscale, Constantes!$B$5,
  _xlpm.ptstables, INDEX(AH:AH, _xlfn.SEQUENCE(COUNTA($C$2:$C361), 1, 3, 4)),
  _xlpm.nbparties, COUNTA(_xlfn._xlws.FILTER(_xlpm.ptstables, _xlpm.ptstables &lt;&gt; "")),
  _xlpm.coef, _xlpm.K + _xlpm.Knewgain / (_xlpm.Knewscale + _xlpm.nbparties),
  IF(AH359="",
    "",
    _xlpm.coef * (AH359-AH360))
)</f>
        <v/>
      </c>
      <c r="AI361" t="str" cm="1">
        <f t="array" ref="AI361">_xlfn.LET(
  _xlpm.K, Constantes!$B$3,
  _xlpm.Knewgain, Constantes!$B$4,
  _xlpm.Knewscale, Constantes!$B$5,
  _xlpm.ptstables, INDEX(AI:AI, _xlfn.SEQUENCE(COUNTA($C$2:$C361), 1, 3, 4)),
  _xlpm.nbparties, COUNTA(_xlfn._xlws.FILTER(_xlpm.ptstables, _xlpm.ptstables &lt;&gt; "")),
  _xlpm.coef, _xlpm.K + _xlpm.Knewgain / (_xlpm.Knewscale + _xlpm.nbparties),
  IF(AI359="",
    "",
    _xlpm.coef * (AI359-AI360))
)</f>
        <v/>
      </c>
      <c r="AJ361" t="str" cm="1">
        <f t="array" ref="AJ361">_xlfn.LET(
  _xlpm.K, Constantes!$B$3,
  _xlpm.Knewgain, Constantes!$B$4,
  _xlpm.Knewscale, Constantes!$B$5,
  _xlpm.ptstables, INDEX(AJ:AJ, _xlfn.SEQUENCE(COUNTA($C$2:$C361), 1, 3, 4)),
  _xlpm.nbparties, COUNTA(_xlfn._xlws.FILTER(_xlpm.ptstables, _xlpm.ptstables &lt;&gt; "")),
  _xlpm.coef, _xlpm.K + _xlpm.Knewgain / (_xlpm.Knewscale + _xlpm.nbparties),
  IF(AJ359="",
    "",
    _xlpm.coef * (AJ359-AJ360))
)</f>
        <v/>
      </c>
      <c r="AK361" t="str" cm="1">
        <f t="array" ref="AK361">_xlfn.LET(
  _xlpm.K, Constantes!$B$3,
  _xlpm.Knewgain, Constantes!$B$4,
  _xlpm.Knewscale, Constantes!$B$5,
  _xlpm.ptstables, INDEX(AK:AK, _xlfn.SEQUENCE(COUNTA($C$2:$C361), 1, 3, 4)),
  _xlpm.nbparties, COUNTA(_xlfn._xlws.FILTER(_xlpm.ptstables, _xlpm.ptstables &lt;&gt; "")),
  _xlpm.coef, _xlpm.K + _xlpm.Knewgain / (_xlpm.Knewscale + _xlpm.nbparties),
  IF(AK359="",
    "",
    _xlpm.coef * (AK359-AK360))
)</f>
        <v/>
      </c>
      <c r="AL361" t="str" cm="1">
        <f t="array" ref="AL361">_xlfn.LET(
  _xlpm.K, Constantes!$B$3,
  _xlpm.Knewgain, Constantes!$B$4,
  _xlpm.Knewscale, Constantes!$B$5,
  _xlpm.ptstables, INDEX(AL:AL, _xlfn.SEQUENCE(COUNTA($C$2:$C361), 1, 3, 4)),
  _xlpm.nbparties, COUNTA(_xlfn._xlws.FILTER(_xlpm.ptstables, _xlpm.ptstables &lt;&gt; "")),
  _xlpm.coef, _xlpm.K + _xlpm.Knewgain / (_xlpm.Knewscale + _xlpm.nbparties),
  IF(AL359="",
    "",
    _xlpm.coef * (AL359-AL360))
)</f>
        <v/>
      </c>
      <c r="AM361" t="str" cm="1">
        <f t="array" ref="AM361">_xlfn.LET(
  _xlpm.K, Constantes!$B$3,
  _xlpm.Knewgain, Constantes!$B$4,
  _xlpm.Knewscale, Constantes!$B$5,
  _xlpm.ptstables, INDEX(AM:AM, _xlfn.SEQUENCE(COUNTA($C$2:$C361), 1, 3, 4)),
  _xlpm.nbparties, COUNTA(_xlfn._xlws.FILTER(_xlpm.ptstables, _xlpm.ptstables &lt;&gt; "")),
  _xlpm.coef, _xlpm.K + _xlpm.Knewgain / (_xlpm.Knewscale + _xlpm.nbparties),
  IF(AM359="",
    "",
    _xlpm.coef * (AM359-AM360))
)</f>
        <v/>
      </c>
    </row>
    <row r="362" spans="1:39" x14ac:dyDescent="0.25">
      <c r="A362" t="s">
        <v>14</v>
      </c>
      <c r="B362" t="str" cm="1">
        <f t="array" ref="B36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92</v>
      </c>
      <c r="C362" s="2" cm="1">
        <f t="array" ref="C362">IF(B362="","",
  INDEX(Donnees!F:F, MATCH(B362, Donnees!F:F, 0)+1))</f>
        <v>45952.711828703701</v>
      </c>
      <c r="D362">
        <f t="shared" ref="D362:AM362" si="98">D358+IF(D361="",0,D361)</f>
        <v>983.00829738956952</v>
      </c>
      <c r="E362">
        <f t="shared" si="98"/>
        <v>1134.1573908115724</v>
      </c>
      <c r="F362">
        <f t="shared" si="98"/>
        <v>840.39251709845075</v>
      </c>
      <c r="G362">
        <f t="shared" si="98"/>
        <v>1092.5480476558973</v>
      </c>
      <c r="H362">
        <f t="shared" si="98"/>
        <v>1120.6842315020224</v>
      </c>
      <c r="I362">
        <f t="shared" si="98"/>
        <v>944.19668858227521</v>
      </c>
      <c r="J362">
        <f t="shared" si="98"/>
        <v>1010.9125108504293</v>
      </c>
      <c r="K362">
        <f t="shared" si="98"/>
        <v>993.90254614824482</v>
      </c>
      <c r="L362">
        <f t="shared" si="98"/>
        <v>783.12422360152641</v>
      </c>
      <c r="M362">
        <f t="shared" si="98"/>
        <v>913.41986361738122</v>
      </c>
      <c r="N362">
        <f t="shared" si="98"/>
        <v>903.42914476260137</v>
      </c>
      <c r="O362">
        <f t="shared" si="98"/>
        <v>1033.7212914161473</v>
      </c>
      <c r="P362">
        <f t="shared" si="98"/>
        <v>998.25301403333856</v>
      </c>
      <c r="Q362">
        <f t="shared" si="98"/>
        <v>1050.1062561870472</v>
      </c>
      <c r="R362">
        <f t="shared" si="98"/>
        <v>1119.5446824649327</v>
      </c>
      <c r="S362">
        <f t="shared" si="98"/>
        <v>934.65189966674961</v>
      </c>
      <c r="T362">
        <f t="shared" si="98"/>
        <v>1153.43058185823</v>
      </c>
      <c r="U362">
        <f t="shared" si="98"/>
        <v>1219.3716250000077</v>
      </c>
      <c r="V362">
        <f t="shared" si="98"/>
        <v>969.67171739286073</v>
      </c>
      <c r="W362">
        <f t="shared" si="98"/>
        <v>882.29253769067657</v>
      </c>
      <c r="X362">
        <f t="shared" si="98"/>
        <v>828.97598039785271</v>
      </c>
      <c r="Y362">
        <f t="shared" si="98"/>
        <v>903.14348714035714</v>
      </c>
      <c r="Z362">
        <f t="shared" si="98"/>
        <v>1000.4832210979791</v>
      </c>
      <c r="AA362">
        <f t="shared" si="98"/>
        <v>976.51233940414613</v>
      </c>
      <c r="AB362">
        <f t="shared" si="98"/>
        <v>988.35669729544747</v>
      </c>
      <c r="AC362">
        <f t="shared" si="98"/>
        <v>1051.9456808600683</v>
      </c>
      <c r="AD362">
        <f t="shared" si="98"/>
        <v>1093.8192243082785</v>
      </c>
      <c r="AE362">
        <f t="shared" si="98"/>
        <v>963.23981965000235</v>
      </c>
      <c r="AF362">
        <f t="shared" si="98"/>
        <v>1094.8196847516158</v>
      </c>
      <c r="AG362">
        <f t="shared" si="98"/>
        <v>958.23078604304851</v>
      </c>
      <c r="AH362">
        <f t="shared" si="98"/>
        <v>920.4412636682855</v>
      </c>
      <c r="AI362">
        <f t="shared" si="98"/>
        <v>923.6165251153368</v>
      </c>
      <c r="AJ362">
        <f t="shared" si="98"/>
        <v>906.86354201913434</v>
      </c>
      <c r="AK362">
        <f t="shared" si="98"/>
        <v>1074.0069367206956</v>
      </c>
      <c r="AL362">
        <f t="shared" si="98"/>
        <v>1025.7817971572972</v>
      </c>
      <c r="AM362">
        <f t="shared" si="98"/>
        <v>930.08392160706046</v>
      </c>
    </row>
    <row r="363" spans="1:39" x14ac:dyDescent="0.25">
      <c r="A363" t="s">
        <v>21</v>
      </c>
      <c r="D363" t="str" cm="1">
        <f t="array" ref="D363">IFERROR(
  _xlfn.LET(
    _xlpm.ligpartie, MATCH($B362, Donnees!$F:$F, 0),
    _xlpm.joueurs, INDEX(Donnees!$A:$Z, _xlpm.ligpartie+1, _xlfn.SEQUENCE(1, 4, 2)),
    INDEX(
      Donnees!$A:$Z,
      _xlpm.ligpartie + 3,
      MATCH(D$1, _xlpm.joueurs, 0) + 1
    )
  ), ""
)</f>
        <v/>
      </c>
      <c r="E363" t="str" cm="1">
        <f t="array" ref="E363">IFERROR(
  _xlfn.LET(
    _xlpm.ligpartie, MATCH($B362, Donnees!$F:$F, 0),
    _xlpm.joueurs, INDEX(Donnees!$A:$Z, _xlpm.ligpartie+1, _xlfn.SEQUENCE(1, 4, 2)),
    INDEX(
      Donnees!$A:$Z,
      _xlpm.ligpartie + 3,
      MATCH(E$1, _xlpm.joueurs, 0) + 1
    )
  ), ""
)</f>
        <v/>
      </c>
      <c r="F363" cm="1">
        <f t="array" ref="F363">IFERROR(
  _xlfn.LET(
    _xlpm.ligpartie, MATCH($B362, Donnees!$F:$F, 0),
    _xlpm.joueurs, INDEX(Donnees!$A:$Z, _xlpm.ligpartie+1, _xlfn.SEQUENCE(1, 4, 2)),
    INDEX(
      Donnees!$A:$Z,
      _xlpm.ligpartie + 3,
      MATCH(F$1, _xlpm.joueurs, 0) + 1
    )
  ), ""
)</f>
        <v>1</v>
      </c>
      <c r="G363" t="str" cm="1">
        <f t="array" ref="G363">IFERROR(
  _xlfn.LET(
    _xlpm.ligpartie, MATCH($B362, Donnees!$F:$F, 0),
    _xlpm.joueurs, INDEX(Donnees!$A:$Z, _xlpm.ligpartie+1, _xlfn.SEQUENCE(1, 4, 2)),
    INDEX(
      Donnees!$A:$Z,
      _xlpm.ligpartie + 3,
      MATCH(G$1, _xlpm.joueurs, 0) + 1
    )
  ), ""
)</f>
        <v/>
      </c>
      <c r="H363" t="str" cm="1">
        <f t="array" ref="H363">IFERROR(
  _xlfn.LET(
    _xlpm.ligpartie, MATCH($B362, Donnees!$F:$F, 0),
    _xlpm.joueurs, INDEX(Donnees!$A:$Z, _xlpm.ligpartie+1, _xlfn.SEQUENCE(1, 4, 2)),
    INDEX(
      Donnees!$A:$Z,
      _xlpm.ligpartie + 3,
      MATCH(H$1, _xlpm.joueurs, 0) + 1
    )
  ), ""
)</f>
        <v/>
      </c>
      <c r="I363" cm="1">
        <f t="array" ref="I363">IFERROR(
  _xlfn.LET(
    _xlpm.ligpartie, MATCH($B362, Donnees!$F:$F, 0),
    _xlpm.joueurs, INDEX(Donnees!$A:$Z, _xlpm.ligpartie+1, _xlfn.SEQUENCE(1, 4, 2)),
    INDEX(
      Donnees!$A:$Z,
      _xlpm.ligpartie + 3,
      MATCH(I$1, _xlpm.joueurs, 0) + 1
    )
  ), ""
)</f>
        <v>0</v>
      </c>
      <c r="J363" t="str" cm="1">
        <f t="array" ref="J363">IFERROR(
  _xlfn.LET(
    _xlpm.ligpartie, MATCH($B362, Donnees!$F:$F, 0),
    _xlpm.joueurs, INDEX(Donnees!$A:$Z, _xlpm.ligpartie+1, _xlfn.SEQUENCE(1, 4, 2)),
    INDEX(
      Donnees!$A:$Z,
      _xlpm.ligpartie + 3,
      MATCH(J$1, _xlpm.joueurs, 0) + 1
    )
  ), ""
)</f>
        <v/>
      </c>
      <c r="K363" t="str" cm="1">
        <f t="array" ref="K363">IFERROR(
  _xlfn.LET(
    _xlpm.ligpartie, MATCH($B362, Donnees!$F:$F, 0),
    _xlpm.joueurs, INDEX(Donnees!$A:$Z, _xlpm.ligpartie+1, _xlfn.SEQUENCE(1, 4, 2)),
    INDEX(
      Donnees!$A:$Z,
      _xlpm.ligpartie + 3,
      MATCH(K$1, _xlpm.joueurs, 0) + 1
    )
  ), ""
)</f>
        <v/>
      </c>
      <c r="L363" t="str" cm="1">
        <f t="array" ref="L363">IFERROR(
  _xlfn.LET(
    _xlpm.ligpartie, MATCH($B362, Donnees!$F:$F, 0),
    _xlpm.joueurs, INDEX(Donnees!$A:$Z, _xlpm.ligpartie+1, _xlfn.SEQUENCE(1, 4, 2)),
    INDEX(
      Donnees!$A:$Z,
      _xlpm.ligpartie + 3,
      MATCH(L$1, _xlpm.joueurs, 0) + 1
    )
  ), ""
)</f>
        <v/>
      </c>
      <c r="M363" t="str" cm="1">
        <f t="array" ref="M363">IFERROR(
  _xlfn.LET(
    _xlpm.ligpartie, MATCH($B362, Donnees!$F:$F, 0),
    _xlpm.joueurs, INDEX(Donnees!$A:$Z, _xlpm.ligpartie+1, _xlfn.SEQUENCE(1, 4, 2)),
    INDEX(
      Donnees!$A:$Z,
      _xlpm.ligpartie + 3,
      MATCH(M$1, _xlpm.joueurs, 0) + 1
    )
  ), ""
)</f>
        <v/>
      </c>
      <c r="N363" t="str" cm="1">
        <f t="array" ref="N363">IFERROR(
  _xlfn.LET(
    _xlpm.ligpartie, MATCH($B362, Donnees!$F:$F, 0),
    _xlpm.joueurs, INDEX(Donnees!$A:$Z, _xlpm.ligpartie+1, _xlfn.SEQUENCE(1, 4, 2)),
    INDEX(
      Donnees!$A:$Z,
      _xlpm.ligpartie + 3,
      MATCH(N$1, _xlpm.joueurs, 0) + 1
    )
  ), ""
)</f>
        <v/>
      </c>
      <c r="O363" t="str" cm="1">
        <f t="array" ref="O363">IFERROR(
  _xlfn.LET(
    _xlpm.ligpartie, MATCH($B362, Donnees!$F:$F, 0),
    _xlpm.joueurs, INDEX(Donnees!$A:$Z, _xlpm.ligpartie+1, _xlfn.SEQUENCE(1, 4, 2)),
    INDEX(
      Donnees!$A:$Z,
      _xlpm.ligpartie + 3,
      MATCH(O$1, _xlpm.joueurs, 0) + 1
    )
  ), ""
)</f>
        <v/>
      </c>
      <c r="P363" t="str" cm="1">
        <f t="array" ref="P363">IFERROR(
  _xlfn.LET(
    _xlpm.ligpartie, MATCH($B362, Donnees!$F:$F, 0),
    _xlpm.joueurs, INDEX(Donnees!$A:$Z, _xlpm.ligpartie+1, _xlfn.SEQUENCE(1, 4, 2)),
    INDEX(
      Donnees!$A:$Z,
      _xlpm.ligpartie + 3,
      MATCH(P$1, _xlpm.joueurs, 0) + 1
    )
  ), ""
)</f>
        <v/>
      </c>
      <c r="Q363" t="str" cm="1">
        <f t="array" ref="Q363">IFERROR(
  _xlfn.LET(
    _xlpm.ligpartie, MATCH($B362, Donnees!$F:$F, 0),
    _xlpm.joueurs, INDEX(Donnees!$A:$Z, _xlpm.ligpartie+1, _xlfn.SEQUENCE(1, 4, 2)),
    INDEX(
      Donnees!$A:$Z,
      _xlpm.ligpartie + 3,
      MATCH(Q$1, _xlpm.joueurs, 0) + 1
    )
  ), ""
)</f>
        <v/>
      </c>
      <c r="R363" t="str" cm="1">
        <f t="array" ref="R363">IFERROR(
  _xlfn.LET(
    _xlpm.ligpartie, MATCH($B362, Donnees!$F:$F, 0),
    _xlpm.joueurs, INDEX(Donnees!$A:$Z, _xlpm.ligpartie+1, _xlfn.SEQUENCE(1, 4, 2)),
    INDEX(
      Donnees!$A:$Z,
      _xlpm.ligpartie + 3,
      MATCH(R$1, _xlpm.joueurs, 0) + 1
    )
  ), ""
)</f>
        <v/>
      </c>
      <c r="S363" t="str" cm="1">
        <f t="array" ref="S363">IFERROR(
  _xlfn.LET(
    _xlpm.ligpartie, MATCH($B362, Donnees!$F:$F, 0),
    _xlpm.joueurs, INDEX(Donnees!$A:$Z, _xlpm.ligpartie+1, _xlfn.SEQUENCE(1, 4, 2)),
    INDEX(
      Donnees!$A:$Z,
      _xlpm.ligpartie + 3,
      MATCH(S$1, _xlpm.joueurs, 0) + 1
    )
  ), ""
)</f>
        <v/>
      </c>
      <c r="T363" t="str" cm="1">
        <f t="array" ref="T363">IFERROR(
  _xlfn.LET(
    _xlpm.ligpartie, MATCH($B362, Donnees!$F:$F, 0),
    _xlpm.joueurs, INDEX(Donnees!$A:$Z, _xlpm.ligpartie+1, _xlfn.SEQUENCE(1, 4, 2)),
    INDEX(
      Donnees!$A:$Z,
      _xlpm.ligpartie + 3,
      MATCH(T$1, _xlpm.joueurs, 0) + 1
    )
  ), ""
)</f>
        <v/>
      </c>
      <c r="U363" cm="1">
        <f t="array" ref="U363">IFERROR(
  _xlfn.LET(
    _xlpm.ligpartie, MATCH($B362, Donnees!$F:$F, 0),
    _xlpm.joueurs, INDEX(Donnees!$A:$Z, _xlpm.ligpartie+1, _xlfn.SEQUENCE(1, 4, 2)),
    INDEX(
      Donnees!$A:$Z,
      _xlpm.ligpartie + 3,
      MATCH(U$1, _xlpm.joueurs, 0) + 1
    )
  ), ""
)</f>
        <v>3</v>
      </c>
      <c r="V363" t="str" cm="1">
        <f t="array" ref="V363">IFERROR(
  _xlfn.LET(
    _xlpm.ligpartie, MATCH($B362, Donnees!$F:$F, 0),
    _xlpm.joueurs, INDEX(Donnees!$A:$Z, _xlpm.ligpartie+1, _xlfn.SEQUENCE(1, 4, 2)),
    INDEX(
      Donnees!$A:$Z,
      _xlpm.ligpartie + 3,
      MATCH(V$1, _xlpm.joueurs, 0) + 1
    )
  ), ""
)</f>
        <v/>
      </c>
      <c r="W363" t="str" cm="1">
        <f t="array" ref="W363">IFERROR(
  _xlfn.LET(
    _xlpm.ligpartie, MATCH($B362, Donnees!$F:$F, 0),
    _xlpm.joueurs, INDEX(Donnees!$A:$Z, _xlpm.ligpartie+1, _xlfn.SEQUENCE(1, 4, 2)),
    INDEX(
      Donnees!$A:$Z,
      _xlpm.ligpartie + 3,
      MATCH(W$1, _xlpm.joueurs, 0) + 1
    )
  ), ""
)</f>
        <v/>
      </c>
      <c r="X363" t="str" cm="1">
        <f t="array" ref="X363">IFERROR(
  _xlfn.LET(
    _xlpm.ligpartie, MATCH($B362, Donnees!$F:$F, 0),
    _xlpm.joueurs, INDEX(Donnees!$A:$Z, _xlpm.ligpartie+1, _xlfn.SEQUENCE(1, 4, 2)),
    INDEX(
      Donnees!$A:$Z,
      _xlpm.ligpartie + 3,
      MATCH(X$1, _xlpm.joueurs, 0) + 1
    )
  ), ""
)</f>
        <v/>
      </c>
      <c r="Y363" t="str" cm="1">
        <f t="array" ref="Y363">IFERROR(
  _xlfn.LET(
    _xlpm.ligpartie, MATCH($B362, Donnees!$F:$F, 0),
    _xlpm.joueurs, INDEX(Donnees!$A:$Z, _xlpm.ligpartie+1, _xlfn.SEQUENCE(1, 4, 2)),
    INDEX(
      Donnees!$A:$Z,
      _xlpm.ligpartie + 3,
      MATCH(Y$1, _xlpm.joueurs, 0) + 1
    )
  ), ""
)</f>
        <v/>
      </c>
      <c r="Z363" t="str" cm="1">
        <f t="array" ref="Z363">IFERROR(
  _xlfn.LET(
    _xlpm.ligpartie, MATCH($B362, Donnees!$F:$F, 0),
    _xlpm.joueurs, INDEX(Donnees!$A:$Z, _xlpm.ligpartie+1, _xlfn.SEQUENCE(1, 4, 2)),
    INDEX(
      Donnees!$A:$Z,
      _xlpm.ligpartie + 3,
      MATCH(Z$1, _xlpm.joueurs, 0) + 1
    )
  ), ""
)</f>
        <v/>
      </c>
      <c r="AA363" t="str" cm="1">
        <f t="array" ref="AA363">IFERROR(
  _xlfn.LET(
    _xlpm.ligpartie, MATCH($B362, Donnees!$F:$F, 0),
    _xlpm.joueurs, INDEX(Donnees!$A:$Z, _xlpm.ligpartie+1, _xlfn.SEQUENCE(1, 4, 2)),
    INDEX(
      Donnees!$A:$Z,
      _xlpm.ligpartie + 3,
      MATCH(AA$1, _xlpm.joueurs, 0) + 1
    )
  ), ""
)</f>
        <v/>
      </c>
      <c r="AB363" t="str" cm="1">
        <f t="array" ref="AB363">IFERROR(
  _xlfn.LET(
    _xlpm.ligpartie, MATCH($B362, Donnees!$F:$F, 0),
    _xlpm.joueurs, INDEX(Donnees!$A:$Z, _xlpm.ligpartie+1, _xlfn.SEQUENCE(1, 4, 2)),
    INDEX(
      Donnees!$A:$Z,
      _xlpm.ligpartie + 3,
      MATCH(AB$1, _xlpm.joueurs, 0) + 1
    )
  ), ""
)</f>
        <v/>
      </c>
      <c r="AC363" t="str" cm="1">
        <f t="array" ref="AC363">IFERROR(
  _xlfn.LET(
    _xlpm.ligpartie, MATCH($B362, Donnees!$F:$F, 0),
    _xlpm.joueurs, INDEX(Donnees!$A:$Z, _xlpm.ligpartie+1, _xlfn.SEQUENCE(1, 4, 2)),
    INDEX(
      Donnees!$A:$Z,
      _xlpm.ligpartie + 3,
      MATCH(AC$1, _xlpm.joueurs, 0) + 1
    )
  ), ""
)</f>
        <v/>
      </c>
      <c r="AD363" t="str" cm="1">
        <f t="array" ref="AD363">IFERROR(
  _xlfn.LET(
    _xlpm.ligpartie, MATCH($B362, Donnees!$F:$F, 0),
    _xlpm.joueurs, INDEX(Donnees!$A:$Z, _xlpm.ligpartie+1, _xlfn.SEQUENCE(1, 4, 2)),
    INDEX(
      Donnees!$A:$Z,
      _xlpm.ligpartie + 3,
      MATCH(AD$1, _xlpm.joueurs, 0) + 1
    )
  ), ""
)</f>
        <v/>
      </c>
      <c r="AE363" t="str" cm="1">
        <f t="array" ref="AE363">IFERROR(
  _xlfn.LET(
    _xlpm.ligpartie, MATCH($B362, Donnees!$F:$F, 0),
    _xlpm.joueurs, INDEX(Donnees!$A:$Z, _xlpm.ligpartie+1, _xlfn.SEQUENCE(1, 4, 2)),
    INDEX(
      Donnees!$A:$Z,
      _xlpm.ligpartie + 3,
      MATCH(AE$1, _xlpm.joueurs, 0) + 1
    )
  ), ""
)</f>
        <v/>
      </c>
      <c r="AF363" t="str" cm="1">
        <f t="array" ref="AF363">IFERROR(
  _xlfn.LET(
    _xlpm.ligpartie, MATCH($B362, Donnees!$F:$F, 0),
    _xlpm.joueurs, INDEX(Donnees!$A:$Z, _xlpm.ligpartie+1, _xlfn.SEQUENCE(1, 4, 2)),
    INDEX(
      Donnees!$A:$Z,
      _xlpm.ligpartie + 3,
      MATCH(AF$1, _xlpm.joueurs, 0) + 1
    )
  ), ""
)</f>
        <v/>
      </c>
      <c r="AG363" t="str" cm="1">
        <f t="array" ref="AG363">IFERROR(
  _xlfn.LET(
    _xlpm.ligpartie, MATCH($B362, Donnees!$F:$F, 0),
    _xlpm.joueurs, INDEX(Donnees!$A:$Z, _xlpm.ligpartie+1, _xlfn.SEQUENCE(1, 4, 2)),
    INDEX(
      Donnees!$A:$Z,
      _xlpm.ligpartie + 3,
      MATCH(AG$1, _xlpm.joueurs, 0) + 1
    )
  ), ""
)</f>
        <v/>
      </c>
      <c r="AH363" t="str" cm="1">
        <f t="array" ref="AH363">IFERROR(
  _xlfn.LET(
    _xlpm.ligpartie, MATCH($B362, Donnees!$F:$F, 0),
    _xlpm.joueurs, INDEX(Donnees!$A:$Z, _xlpm.ligpartie+1, _xlfn.SEQUENCE(1, 4, 2)),
    INDEX(
      Donnees!$A:$Z,
      _xlpm.ligpartie + 3,
      MATCH(AH$1, _xlpm.joueurs, 0) + 1
    )
  ), ""
)</f>
        <v/>
      </c>
      <c r="AI363" cm="1">
        <f t="array" ref="AI363">IFERROR(
  _xlfn.LET(
    _xlpm.ligpartie, MATCH($B362, Donnees!$F:$F, 0),
    _xlpm.joueurs, INDEX(Donnees!$A:$Z, _xlpm.ligpartie+1, _xlfn.SEQUENCE(1, 4, 2)),
    INDEX(
      Donnees!$A:$Z,
      _xlpm.ligpartie + 3,
      MATCH(AI$1, _xlpm.joueurs, 0) + 1
    )
  ), ""
)</f>
        <v>2</v>
      </c>
      <c r="AJ363" t="str" cm="1">
        <f t="array" ref="AJ363">IFERROR(
  _xlfn.LET(
    _xlpm.ligpartie, MATCH($B362, Donnees!$F:$F, 0),
    _xlpm.joueurs, INDEX(Donnees!$A:$Z, _xlpm.ligpartie+1, _xlfn.SEQUENCE(1, 4, 2)),
    INDEX(
      Donnees!$A:$Z,
      _xlpm.ligpartie + 3,
      MATCH(AJ$1, _xlpm.joueurs, 0) + 1
    )
  ), ""
)</f>
        <v/>
      </c>
      <c r="AK363" t="str" cm="1">
        <f t="array" ref="AK363">IFERROR(
  _xlfn.LET(
    _xlpm.ligpartie, MATCH($B362, Donnees!$F:$F, 0),
    _xlpm.joueurs, INDEX(Donnees!$A:$Z, _xlpm.ligpartie+1, _xlfn.SEQUENCE(1, 4, 2)),
    INDEX(
      Donnees!$A:$Z,
      _xlpm.ligpartie + 3,
      MATCH(AK$1, _xlpm.joueurs, 0) + 1
    )
  ), ""
)</f>
        <v/>
      </c>
      <c r="AL363" t="str" cm="1">
        <f t="array" ref="AL363">IFERROR(
  _xlfn.LET(
    _xlpm.ligpartie, MATCH($B362, Donnees!$F:$F, 0),
    _xlpm.joueurs, INDEX(Donnees!$A:$Z, _xlpm.ligpartie+1, _xlfn.SEQUENCE(1, 4, 2)),
    INDEX(
      Donnees!$A:$Z,
      _xlpm.ligpartie + 3,
      MATCH(AL$1, _xlpm.joueurs, 0) + 1
    )
  ), ""
)</f>
        <v/>
      </c>
      <c r="AM363" t="str" cm="1">
        <f t="array" ref="AM363">IFERROR(
  _xlfn.LET(
    _xlpm.ligpartie, MATCH($B362, Donnees!$F:$F, 0),
    _xlpm.joueurs, INDEX(Donnees!$A:$Z, _xlpm.ligpartie+1, _xlfn.SEQUENCE(1, 4, 2)),
    INDEX(
      Donnees!$A:$Z,
      _xlpm.ligpartie + 3,
      MATCH(AM$1, _xlpm.joueurs, 0) + 1
    )
  ), ""
)</f>
        <v/>
      </c>
    </row>
    <row r="364" spans="1:39" x14ac:dyDescent="0.25">
      <c r="A364" t="s">
        <v>20</v>
      </c>
      <c r="D364" t="str" cm="1">
        <f t="array" ref="D364">_xlfn.LET(
  _xlpm.colj, _xlfn._xlws.FILTER(IF(ISNUMBER(363:363), COLUMN(363:363)), ISNUMBER(363:363)),
  _xlpm.elos, INDEX(362:362,1,_xlpm.colj),
  _xlpm.diffscale, Constantes!$B$2,
  IF(D363="",
    "",
    SUM(1/(1+POWER(10,-(D362-_xlpm.elos)/_xlpm.diffscale)))-0.5)
)</f>
        <v/>
      </c>
      <c r="E364" t="str" cm="1">
        <f t="array" ref="E364">_xlfn.LET(
  _xlpm.colj, _xlfn._xlws.FILTER(IF(ISNUMBER(363:363), COLUMN(363:363)), ISNUMBER(363:363)),
  _xlpm.elos, INDEX(362:362,1,_xlpm.colj),
  _xlpm.diffscale, Constantes!$B$2,
  IF(E363="",
    "",
    SUM(1/(1+POWER(10,-(E362-_xlpm.elos)/_xlpm.diffscale)))-0.5)
)</f>
        <v/>
      </c>
      <c r="F364" cm="1">
        <f t="array" ref="F364">_xlfn.LET(
  _xlpm.colj, _xlfn._xlws.FILTER(IF(ISNUMBER(363:363), COLUMN(363:363)), ISNUMBER(363:363)),
  _xlpm.elos, INDEX(362:362,1,_xlpm.colj),
  _xlpm.diffscale, Constantes!$B$2,
  IF(F363="",
    "",
    SUM(1/(1+POWER(10,-(F362-_xlpm.elos)/_xlpm.diffscale)))-0.5)
)</f>
        <v>0.83879288735011048</v>
      </c>
      <c r="G364" t="str" cm="1">
        <f t="array" ref="G364">_xlfn.LET(
  _xlpm.colj, _xlfn._xlws.FILTER(IF(ISNUMBER(363:363), COLUMN(363:363)), ISNUMBER(363:363)),
  _xlpm.elos, INDEX(362:362,1,_xlpm.colj),
  _xlpm.diffscale, Constantes!$B$2,
  IF(G363="",
    "",
    SUM(1/(1+POWER(10,-(G362-_xlpm.elos)/_xlpm.diffscale)))-0.5)
)</f>
        <v/>
      </c>
      <c r="H364" t="str" cm="1">
        <f t="array" ref="H364">_xlfn.LET(
  _xlpm.colj, _xlfn._xlws.FILTER(IF(ISNUMBER(363:363), COLUMN(363:363)), ISNUMBER(363:363)),
  _xlpm.elos, INDEX(362:362,1,_xlpm.colj),
  _xlpm.diffscale, Constantes!$B$2,
  IF(H363="",
    "",
    SUM(1/(1+POWER(10,-(H362-_xlpm.elos)/_xlpm.diffscale)))-0.5)
)</f>
        <v/>
      </c>
      <c r="I364" cm="1">
        <f t="array" ref="I364">_xlfn.LET(
  _xlpm.colj, _xlfn._xlws.FILTER(IF(ISNUMBER(363:363), COLUMN(363:363)), ISNUMBER(363:363)),
  _xlpm.elos, INDEX(362:362,1,_xlpm.colj),
  _xlpm.diffscale, Constantes!$B$2,
  IF(I363="",
    "",
    SUM(1/(1+POWER(10,-(I362-_xlpm.elos)/_xlpm.diffscale)))-0.5)
)</f>
        <v>1.3449019398059778</v>
      </c>
      <c r="J364" t="str" cm="1">
        <f t="array" ref="J364">_xlfn.LET(
  _xlpm.colj, _xlfn._xlws.FILTER(IF(ISNUMBER(363:363), COLUMN(363:363)), ISNUMBER(363:363)),
  _xlpm.elos, INDEX(362:362,1,_xlpm.colj),
  _xlpm.diffscale, Constantes!$B$2,
  IF(J363="",
    "",
    SUM(1/(1+POWER(10,-(J362-_xlpm.elos)/_xlpm.diffscale)))-0.5)
)</f>
        <v/>
      </c>
      <c r="K364" t="str" cm="1">
        <f t="array" ref="K364">_xlfn.LET(
  _xlpm.colj, _xlfn._xlws.FILTER(IF(ISNUMBER(363:363), COLUMN(363:363)), ISNUMBER(363:363)),
  _xlpm.elos, INDEX(362:362,1,_xlpm.colj),
  _xlpm.diffscale, Constantes!$B$2,
  IF(K363="",
    "",
    SUM(1/(1+POWER(10,-(K362-_xlpm.elos)/_xlpm.diffscale)))-0.5)
)</f>
        <v/>
      </c>
      <c r="L364" t="str" cm="1">
        <f t="array" ref="L364">_xlfn.LET(
  _xlpm.colj, _xlfn._xlws.FILTER(IF(ISNUMBER(363:363), COLUMN(363:363)), ISNUMBER(363:363)),
  _xlpm.elos, INDEX(362:362,1,_xlpm.colj),
  _xlpm.diffscale, Constantes!$B$2,
  IF(L363="",
    "",
    SUM(1/(1+POWER(10,-(L362-_xlpm.elos)/_xlpm.diffscale)))-0.5)
)</f>
        <v/>
      </c>
      <c r="M364" t="str" cm="1">
        <f t="array" ref="M364">_xlfn.LET(
  _xlpm.colj, _xlfn._xlws.FILTER(IF(ISNUMBER(363:363), COLUMN(363:363)), ISNUMBER(363:363)),
  _xlpm.elos, INDEX(362:362,1,_xlpm.colj),
  _xlpm.diffscale, Constantes!$B$2,
  IF(M363="",
    "",
    SUM(1/(1+POWER(10,-(M362-_xlpm.elos)/_xlpm.diffscale)))-0.5)
)</f>
        <v/>
      </c>
      <c r="N364" t="str" cm="1">
        <f t="array" ref="N364">_xlfn.LET(
  _xlpm.colj, _xlfn._xlws.FILTER(IF(ISNUMBER(363:363), COLUMN(363:363)), ISNUMBER(363:363)),
  _xlpm.elos, INDEX(362:362,1,_xlpm.colj),
  _xlpm.diffscale, Constantes!$B$2,
  IF(N363="",
    "",
    SUM(1/(1+POWER(10,-(N362-_xlpm.elos)/_xlpm.diffscale)))-0.5)
)</f>
        <v/>
      </c>
      <c r="O364" t="str" cm="1">
        <f t="array" ref="O364">_xlfn.LET(
  _xlpm.colj, _xlfn._xlws.FILTER(IF(ISNUMBER(363:363), COLUMN(363:363)), ISNUMBER(363:363)),
  _xlpm.elos, INDEX(362:362,1,_xlpm.colj),
  _xlpm.diffscale, Constantes!$B$2,
  IF(O363="",
    "",
    SUM(1/(1+POWER(10,-(O362-_xlpm.elos)/_xlpm.diffscale)))-0.5)
)</f>
        <v/>
      </c>
      <c r="P364" t="str" cm="1">
        <f t="array" ref="P364">_xlfn.LET(
  _xlpm.colj, _xlfn._xlws.FILTER(IF(ISNUMBER(363:363), COLUMN(363:363)), ISNUMBER(363:363)),
  _xlpm.elos, INDEX(362:362,1,_xlpm.colj),
  _xlpm.diffscale, Constantes!$B$2,
  IF(P363="",
    "",
    SUM(1/(1+POWER(10,-(P362-_xlpm.elos)/_xlpm.diffscale)))-0.5)
)</f>
        <v/>
      </c>
      <c r="Q364" t="str" cm="1">
        <f t="array" ref="Q364">_xlfn.LET(
  _xlpm.colj, _xlfn._xlws.FILTER(IF(ISNUMBER(363:363), COLUMN(363:363)), ISNUMBER(363:363)),
  _xlpm.elos, INDEX(362:362,1,_xlpm.colj),
  _xlpm.diffscale, Constantes!$B$2,
  IF(Q363="",
    "",
    SUM(1/(1+POWER(10,-(Q362-_xlpm.elos)/_xlpm.diffscale)))-0.5)
)</f>
        <v/>
      </c>
      <c r="R364" t="str" cm="1">
        <f t="array" ref="R364">_xlfn.LET(
  _xlpm.colj, _xlfn._xlws.FILTER(IF(ISNUMBER(363:363), COLUMN(363:363)), ISNUMBER(363:363)),
  _xlpm.elos, INDEX(362:362,1,_xlpm.colj),
  _xlpm.diffscale, Constantes!$B$2,
  IF(R363="",
    "",
    SUM(1/(1+POWER(10,-(R362-_xlpm.elos)/_xlpm.diffscale)))-0.5)
)</f>
        <v/>
      </c>
      <c r="S364" t="str" cm="1">
        <f t="array" ref="S364">_xlfn.LET(
  _xlpm.colj, _xlfn._xlws.FILTER(IF(ISNUMBER(363:363), COLUMN(363:363)), ISNUMBER(363:363)),
  _xlpm.elos, INDEX(362:362,1,_xlpm.colj),
  _xlpm.diffscale, Constantes!$B$2,
  IF(S363="",
    "",
    SUM(1/(1+POWER(10,-(S362-_xlpm.elos)/_xlpm.diffscale)))-0.5)
)</f>
        <v/>
      </c>
      <c r="T364" t="str" cm="1">
        <f t="array" ref="T364">_xlfn.LET(
  _xlpm.colj, _xlfn._xlws.FILTER(IF(ISNUMBER(363:363), COLUMN(363:363)), ISNUMBER(363:363)),
  _xlpm.elos, INDEX(362:362,1,_xlpm.colj),
  _xlpm.diffscale, Constantes!$B$2,
  IF(T363="",
    "",
    SUM(1/(1+POWER(10,-(T362-_xlpm.elos)/_xlpm.diffscale)))-0.5)
)</f>
        <v/>
      </c>
      <c r="U364" cm="1">
        <f t="array" ref="U364">_xlfn.LET(
  _xlpm.colj, _xlfn._xlws.FILTER(IF(ISNUMBER(363:363), COLUMN(363:363)), ISNUMBER(363:363)),
  _xlpm.elos, INDEX(362:362,1,_xlpm.colj),
  _xlpm.diffscale, Constantes!$B$2,
  IF(U363="",
    "",
    SUM(1/(1+POWER(10,-(U362-_xlpm.elos)/_xlpm.diffscale)))-0.5)
)</f>
        <v>2.5742195652989563</v>
      </c>
      <c r="V364" t="str" cm="1">
        <f t="array" ref="V364">_xlfn.LET(
  _xlpm.colj, _xlfn._xlws.FILTER(IF(ISNUMBER(363:363), COLUMN(363:363)), ISNUMBER(363:363)),
  _xlpm.elos, INDEX(362:362,1,_xlpm.colj),
  _xlpm.diffscale, Constantes!$B$2,
  IF(V363="",
    "",
    SUM(1/(1+POWER(10,-(V362-_xlpm.elos)/_xlpm.diffscale)))-0.5)
)</f>
        <v/>
      </c>
      <c r="W364" t="str" cm="1">
        <f t="array" ref="W364">_xlfn.LET(
  _xlpm.colj, _xlfn._xlws.FILTER(IF(ISNUMBER(363:363), COLUMN(363:363)), ISNUMBER(363:363)),
  _xlpm.elos, INDEX(362:362,1,_xlpm.colj),
  _xlpm.diffscale, Constantes!$B$2,
  IF(W363="",
    "",
    SUM(1/(1+POWER(10,-(W362-_xlpm.elos)/_xlpm.diffscale)))-0.5)
)</f>
        <v/>
      </c>
      <c r="X364" t="str" cm="1">
        <f t="array" ref="X364">_xlfn.LET(
  _xlpm.colj, _xlfn._xlws.FILTER(IF(ISNUMBER(363:363), COLUMN(363:363)), ISNUMBER(363:363)),
  _xlpm.elos, INDEX(362:362,1,_xlpm.colj),
  _xlpm.diffscale, Constantes!$B$2,
  IF(X363="",
    "",
    SUM(1/(1+POWER(10,-(X362-_xlpm.elos)/_xlpm.diffscale)))-0.5)
)</f>
        <v/>
      </c>
      <c r="Y364" t="str" cm="1">
        <f t="array" ref="Y364">_xlfn.LET(
  _xlpm.colj, _xlfn._xlws.FILTER(IF(ISNUMBER(363:363), COLUMN(363:363)), ISNUMBER(363:363)),
  _xlpm.elos, INDEX(362:362,1,_xlpm.colj),
  _xlpm.diffscale, Constantes!$B$2,
  IF(Y363="",
    "",
    SUM(1/(1+POWER(10,-(Y362-_xlpm.elos)/_xlpm.diffscale)))-0.5)
)</f>
        <v/>
      </c>
      <c r="Z364" t="str" cm="1">
        <f t="array" ref="Z364">_xlfn.LET(
  _xlpm.colj, _xlfn._xlws.FILTER(IF(ISNUMBER(363:363), COLUMN(363:363)), ISNUMBER(363:363)),
  _xlpm.elos, INDEX(362:362,1,_xlpm.colj),
  _xlpm.diffscale, Constantes!$B$2,
  IF(Z363="",
    "",
    SUM(1/(1+POWER(10,-(Z362-_xlpm.elos)/_xlpm.diffscale)))-0.5)
)</f>
        <v/>
      </c>
      <c r="AA364" t="str" cm="1">
        <f t="array" ref="AA364">_xlfn.LET(
  _xlpm.colj, _xlfn._xlws.FILTER(IF(ISNUMBER(363:363), COLUMN(363:363)), ISNUMBER(363:363)),
  _xlpm.elos, INDEX(362:362,1,_xlpm.colj),
  _xlpm.diffscale, Constantes!$B$2,
  IF(AA363="",
    "",
    SUM(1/(1+POWER(10,-(AA362-_xlpm.elos)/_xlpm.diffscale)))-0.5)
)</f>
        <v/>
      </c>
      <c r="AB364" t="str" cm="1">
        <f t="array" ref="AB364">_xlfn.LET(
  _xlpm.colj, _xlfn._xlws.FILTER(IF(ISNUMBER(363:363), COLUMN(363:363)), ISNUMBER(363:363)),
  _xlpm.elos, INDEX(362:362,1,_xlpm.colj),
  _xlpm.diffscale, Constantes!$B$2,
  IF(AB363="",
    "",
    SUM(1/(1+POWER(10,-(AB362-_xlpm.elos)/_xlpm.diffscale)))-0.5)
)</f>
        <v/>
      </c>
      <c r="AC364" t="str" cm="1">
        <f t="array" ref="AC364">_xlfn.LET(
  _xlpm.colj, _xlfn._xlws.FILTER(IF(ISNUMBER(363:363), COLUMN(363:363)), ISNUMBER(363:363)),
  _xlpm.elos, INDEX(362:362,1,_xlpm.colj),
  _xlpm.diffscale, Constantes!$B$2,
  IF(AC363="",
    "",
    SUM(1/(1+POWER(10,-(AC362-_xlpm.elos)/_xlpm.diffscale)))-0.5)
)</f>
        <v/>
      </c>
      <c r="AD364" t="str" cm="1">
        <f t="array" ref="AD364">_xlfn.LET(
  _xlpm.colj, _xlfn._xlws.FILTER(IF(ISNUMBER(363:363), COLUMN(363:363)), ISNUMBER(363:363)),
  _xlpm.elos, INDEX(362:362,1,_xlpm.colj),
  _xlpm.diffscale, Constantes!$B$2,
  IF(AD363="",
    "",
    SUM(1/(1+POWER(10,-(AD362-_xlpm.elos)/_xlpm.diffscale)))-0.5)
)</f>
        <v/>
      </c>
      <c r="AE364" t="str" cm="1">
        <f t="array" ref="AE364">_xlfn.LET(
  _xlpm.colj, _xlfn._xlws.FILTER(IF(ISNUMBER(363:363), COLUMN(363:363)), ISNUMBER(363:363)),
  _xlpm.elos, INDEX(362:362,1,_xlpm.colj),
  _xlpm.diffscale, Constantes!$B$2,
  IF(AE363="",
    "",
    SUM(1/(1+POWER(10,-(AE362-_xlpm.elos)/_xlpm.diffscale)))-0.5)
)</f>
        <v/>
      </c>
      <c r="AF364" t="str" cm="1">
        <f t="array" ref="AF364">_xlfn.LET(
  _xlpm.colj, _xlfn._xlws.FILTER(IF(ISNUMBER(363:363), COLUMN(363:363)), ISNUMBER(363:363)),
  _xlpm.elos, INDEX(362:362,1,_xlpm.colj),
  _xlpm.diffscale, Constantes!$B$2,
  IF(AF363="",
    "",
    SUM(1/(1+POWER(10,-(AF362-_xlpm.elos)/_xlpm.diffscale)))-0.5)
)</f>
        <v/>
      </c>
      <c r="AG364" t="str" cm="1">
        <f t="array" ref="AG364">_xlfn.LET(
  _xlpm.colj, _xlfn._xlws.FILTER(IF(ISNUMBER(363:363), COLUMN(363:363)), ISNUMBER(363:363)),
  _xlpm.elos, INDEX(362:362,1,_xlpm.colj),
  _xlpm.diffscale, Constantes!$B$2,
  IF(AG363="",
    "",
    SUM(1/(1+POWER(10,-(AG362-_xlpm.elos)/_xlpm.diffscale)))-0.5)
)</f>
        <v/>
      </c>
      <c r="AH364" t="str" cm="1">
        <f t="array" ref="AH364">_xlfn.LET(
  _xlpm.colj, _xlfn._xlws.FILTER(IF(ISNUMBER(363:363), COLUMN(363:363)), ISNUMBER(363:363)),
  _xlpm.elos, INDEX(362:362,1,_xlpm.colj),
  _xlpm.diffscale, Constantes!$B$2,
  IF(AH363="",
    "",
    SUM(1/(1+POWER(10,-(AH362-_xlpm.elos)/_xlpm.diffscale)))-0.5)
)</f>
        <v/>
      </c>
      <c r="AI364" cm="1">
        <f t="array" ref="AI364">_xlfn.LET(
  _xlpm.colj, _xlfn._xlws.FILTER(IF(ISNUMBER(363:363), COLUMN(363:363)), ISNUMBER(363:363)),
  _xlpm.elos, INDEX(362:362,1,_xlpm.colj),
  _xlpm.diffscale, Constantes!$B$2,
  IF(AI363="",
    "",
    SUM(1/(1+POWER(10,-(AI362-_xlpm.elos)/_xlpm.diffscale)))-0.5)
)</f>
        <v>1.2420856075449556</v>
      </c>
      <c r="AJ364" t="str" cm="1">
        <f t="array" ref="AJ364">_xlfn.LET(
  _xlpm.colj, _xlfn._xlws.FILTER(IF(ISNUMBER(363:363), COLUMN(363:363)), ISNUMBER(363:363)),
  _xlpm.elos, INDEX(362:362,1,_xlpm.colj),
  _xlpm.diffscale, Constantes!$B$2,
  IF(AJ363="",
    "",
    SUM(1/(1+POWER(10,-(AJ362-_xlpm.elos)/_xlpm.diffscale)))-0.5)
)</f>
        <v/>
      </c>
      <c r="AK364" t="str" cm="1">
        <f t="array" ref="AK364">_xlfn.LET(
  _xlpm.colj, _xlfn._xlws.FILTER(IF(ISNUMBER(363:363), COLUMN(363:363)), ISNUMBER(363:363)),
  _xlpm.elos, INDEX(362:362,1,_xlpm.colj),
  _xlpm.diffscale, Constantes!$B$2,
  IF(AK363="",
    "",
    SUM(1/(1+POWER(10,-(AK362-_xlpm.elos)/_xlpm.diffscale)))-0.5)
)</f>
        <v/>
      </c>
      <c r="AL364" t="str" cm="1">
        <f t="array" ref="AL364">_xlfn.LET(
  _xlpm.colj, _xlfn._xlws.FILTER(IF(ISNUMBER(363:363), COLUMN(363:363)), ISNUMBER(363:363)),
  _xlpm.elos, INDEX(362:362,1,_xlpm.colj),
  _xlpm.diffscale, Constantes!$B$2,
  IF(AL363="",
    "",
    SUM(1/(1+POWER(10,-(AL362-_xlpm.elos)/_xlpm.diffscale)))-0.5)
)</f>
        <v/>
      </c>
      <c r="AM364" t="str" cm="1">
        <f t="array" ref="AM364">_xlfn.LET(
  _xlpm.colj, _xlfn._xlws.FILTER(IF(ISNUMBER(363:363), COLUMN(363:363)), ISNUMBER(363:363)),
  _xlpm.elos, INDEX(362:362,1,_xlpm.colj),
  _xlpm.diffscale, Constantes!$B$2,
  IF(AM363="",
    "",
    SUM(1/(1+POWER(10,-(AM362-_xlpm.elos)/_xlpm.diffscale)))-0.5)
)</f>
        <v/>
      </c>
    </row>
    <row r="365" spans="1:39" x14ac:dyDescent="0.25">
      <c r="A365" t="s">
        <v>22</v>
      </c>
      <c r="D365" t="str" cm="1">
        <f t="array" ref="D365">_xlfn.LET(
  _xlpm.K, Constantes!$B$3,
  _xlpm.Knewgain, Constantes!$B$4,
  _xlpm.Knewscale, Constantes!$B$5,
  _xlpm.ptstables, INDEX(D:D, _xlfn.SEQUENCE(COUNTA($C$2:$C365), 1, 3, 4)),
  _xlpm.nbparties, COUNTA(_xlfn._xlws.FILTER(_xlpm.ptstables, _xlpm.ptstables &lt;&gt; "")),
  _xlpm.coef, _xlpm.K + _xlpm.Knewgain / (_xlpm.Knewscale + _xlpm.nbparties),
  IF(D363="",
    "",
    _xlpm.coef * (D363-D364))
)</f>
        <v/>
      </c>
      <c r="E365" t="str" cm="1">
        <f t="array" ref="E365">_xlfn.LET(
  _xlpm.K, Constantes!$B$3,
  _xlpm.Knewgain, Constantes!$B$4,
  _xlpm.Knewscale, Constantes!$B$5,
  _xlpm.ptstables, INDEX(E:E, _xlfn.SEQUENCE(COUNTA($C$2:$C365), 1, 3, 4)),
  _xlpm.nbparties, COUNTA(_xlfn._xlws.FILTER(_xlpm.ptstables, _xlpm.ptstables &lt;&gt; "")),
  _xlpm.coef, _xlpm.K + _xlpm.Knewgain / (_xlpm.Knewscale + _xlpm.nbparties),
  IF(E363="",
    "",
    _xlpm.coef * (E363-E364))
)</f>
        <v/>
      </c>
      <c r="F365" cm="1">
        <f t="array" ref="F365">_xlfn.LET(
  _xlpm.K, Constantes!$B$3,
  _xlpm.Knewgain, Constantes!$B$4,
  _xlpm.Knewscale, Constantes!$B$5,
  _xlpm.ptstables, INDEX(F:F, _xlfn.SEQUENCE(COUNTA($C$2:$C365), 1, 3, 4)),
  _xlpm.nbparties, COUNTA(_xlfn._xlws.FILTER(_xlpm.ptstables, _xlpm.ptstables &lt;&gt; "")),
  _xlpm.coef, _xlpm.K + _xlpm.Knewgain / (_xlpm.Knewscale + _xlpm.nbparties),
  IF(F363="",
    "",
    _xlpm.coef * (F363-F364))
)</f>
        <v>3.5599904043517268</v>
      </c>
      <c r="G365" t="str" cm="1">
        <f t="array" ref="G365">_xlfn.LET(
  _xlpm.K, Constantes!$B$3,
  _xlpm.Knewgain, Constantes!$B$4,
  _xlpm.Knewscale, Constantes!$B$5,
  _xlpm.ptstables, INDEX(G:G, _xlfn.SEQUENCE(COUNTA($C$2:$C365), 1, 3, 4)),
  _xlpm.nbparties, COUNTA(_xlfn._xlws.FILTER(_xlpm.ptstables, _xlpm.ptstables &lt;&gt; "")),
  _xlpm.coef, _xlpm.K + _xlpm.Knewgain / (_xlpm.Knewscale + _xlpm.nbparties),
  IF(G363="",
    "",
    _xlpm.coef * (G363-G364))
)</f>
        <v/>
      </c>
      <c r="H365" t="str" cm="1">
        <f t="array" ref="H365">_xlfn.LET(
  _xlpm.K, Constantes!$B$3,
  _xlpm.Knewgain, Constantes!$B$4,
  _xlpm.Knewscale, Constantes!$B$5,
  _xlpm.ptstables, INDEX(H:H, _xlfn.SEQUENCE(COUNTA($C$2:$C365), 1, 3, 4)),
  _xlpm.nbparties, COUNTA(_xlfn._xlws.FILTER(_xlpm.ptstables, _xlpm.ptstables &lt;&gt; "")),
  _xlpm.coef, _xlpm.K + _xlpm.Knewgain / (_xlpm.Knewscale + _xlpm.nbparties),
  IF(H363="",
    "",
    _xlpm.coef * (H363-H364))
)</f>
        <v/>
      </c>
      <c r="I365" cm="1">
        <f t="array" ref="I365">_xlfn.LET(
  _xlpm.K, Constantes!$B$3,
  _xlpm.Knewgain, Constantes!$B$4,
  _xlpm.Knewscale, Constantes!$B$5,
  _xlpm.ptstables, INDEX(I:I, _xlfn.SEQUENCE(COUNTA($C$2:$C365), 1, 3, 4)),
  _xlpm.nbparties, COUNTA(_xlfn._xlws.FILTER(_xlpm.ptstables, _xlpm.ptstables &lt;&gt; "")),
  _xlpm.coef, _xlpm.K + _xlpm.Knewgain / (_xlpm.Knewscale + _xlpm.nbparties),
  IF(I363="",
    "",
    _xlpm.coef * (I363-I364))
)</f>
        <v>-31.38104526213948</v>
      </c>
      <c r="J365" t="str" cm="1">
        <f t="array" ref="J365">_xlfn.LET(
  _xlpm.K, Constantes!$B$3,
  _xlpm.Knewgain, Constantes!$B$4,
  _xlpm.Knewscale, Constantes!$B$5,
  _xlpm.ptstables, INDEX(J:J, _xlfn.SEQUENCE(COUNTA($C$2:$C365), 1, 3, 4)),
  _xlpm.nbparties, COUNTA(_xlfn._xlws.FILTER(_xlpm.ptstables, _xlpm.ptstables &lt;&gt; "")),
  _xlpm.coef, _xlpm.K + _xlpm.Knewgain / (_xlpm.Knewscale + _xlpm.nbparties),
  IF(J363="",
    "",
    _xlpm.coef * (J363-J364))
)</f>
        <v/>
      </c>
      <c r="K365" t="str" cm="1">
        <f t="array" ref="K365">_xlfn.LET(
  _xlpm.K, Constantes!$B$3,
  _xlpm.Knewgain, Constantes!$B$4,
  _xlpm.Knewscale, Constantes!$B$5,
  _xlpm.ptstables, INDEX(K:K, _xlfn.SEQUENCE(COUNTA($C$2:$C365), 1, 3, 4)),
  _xlpm.nbparties, COUNTA(_xlfn._xlws.FILTER(_xlpm.ptstables, _xlpm.ptstables &lt;&gt; "")),
  _xlpm.coef, _xlpm.K + _xlpm.Knewgain / (_xlpm.Knewscale + _xlpm.nbparties),
  IF(K363="",
    "",
    _xlpm.coef * (K363-K364))
)</f>
        <v/>
      </c>
      <c r="L365" t="str" cm="1">
        <f t="array" ref="L365">_xlfn.LET(
  _xlpm.K, Constantes!$B$3,
  _xlpm.Knewgain, Constantes!$B$4,
  _xlpm.Knewscale, Constantes!$B$5,
  _xlpm.ptstables, INDEX(L:L, _xlfn.SEQUENCE(COUNTA($C$2:$C365), 1, 3, 4)),
  _xlpm.nbparties, COUNTA(_xlfn._xlws.FILTER(_xlpm.ptstables, _xlpm.ptstables &lt;&gt; "")),
  _xlpm.coef, _xlpm.K + _xlpm.Knewgain / (_xlpm.Knewscale + _xlpm.nbparties),
  IF(L363="",
    "",
    _xlpm.coef * (L363-L364))
)</f>
        <v/>
      </c>
      <c r="M365" t="str" cm="1">
        <f t="array" ref="M365">_xlfn.LET(
  _xlpm.K, Constantes!$B$3,
  _xlpm.Knewgain, Constantes!$B$4,
  _xlpm.Knewscale, Constantes!$B$5,
  _xlpm.ptstables, INDEX(M:M, _xlfn.SEQUENCE(COUNTA($C$2:$C365), 1, 3, 4)),
  _xlpm.nbparties, COUNTA(_xlfn._xlws.FILTER(_xlpm.ptstables, _xlpm.ptstables &lt;&gt; "")),
  _xlpm.coef, _xlpm.K + _xlpm.Knewgain / (_xlpm.Knewscale + _xlpm.nbparties),
  IF(M363="",
    "",
    _xlpm.coef * (M363-M364))
)</f>
        <v/>
      </c>
      <c r="N365" t="str" cm="1">
        <f t="array" ref="N365">_xlfn.LET(
  _xlpm.K, Constantes!$B$3,
  _xlpm.Knewgain, Constantes!$B$4,
  _xlpm.Knewscale, Constantes!$B$5,
  _xlpm.ptstables, INDEX(N:N, _xlfn.SEQUENCE(COUNTA($C$2:$C365), 1, 3, 4)),
  _xlpm.nbparties, COUNTA(_xlfn._xlws.FILTER(_xlpm.ptstables, _xlpm.ptstables &lt;&gt; "")),
  _xlpm.coef, _xlpm.K + _xlpm.Knewgain / (_xlpm.Knewscale + _xlpm.nbparties),
  IF(N363="",
    "",
    _xlpm.coef * (N363-N364))
)</f>
        <v/>
      </c>
      <c r="O365" t="str" cm="1">
        <f t="array" ref="O365">_xlfn.LET(
  _xlpm.K, Constantes!$B$3,
  _xlpm.Knewgain, Constantes!$B$4,
  _xlpm.Knewscale, Constantes!$B$5,
  _xlpm.ptstables, INDEX(O:O, _xlfn.SEQUENCE(COUNTA($C$2:$C365), 1, 3, 4)),
  _xlpm.nbparties, COUNTA(_xlfn._xlws.FILTER(_xlpm.ptstables, _xlpm.ptstables &lt;&gt; "")),
  _xlpm.coef, _xlpm.K + _xlpm.Knewgain / (_xlpm.Knewscale + _xlpm.nbparties),
  IF(O363="",
    "",
    _xlpm.coef * (O363-O364))
)</f>
        <v/>
      </c>
      <c r="P365" t="str" cm="1">
        <f t="array" ref="P365">_xlfn.LET(
  _xlpm.K, Constantes!$B$3,
  _xlpm.Knewgain, Constantes!$B$4,
  _xlpm.Knewscale, Constantes!$B$5,
  _xlpm.ptstables, INDEX(P:P, _xlfn.SEQUENCE(COUNTA($C$2:$C365), 1, 3, 4)),
  _xlpm.nbparties, COUNTA(_xlfn._xlws.FILTER(_xlpm.ptstables, _xlpm.ptstables &lt;&gt; "")),
  _xlpm.coef, _xlpm.K + _xlpm.Knewgain / (_xlpm.Knewscale + _xlpm.nbparties),
  IF(P363="",
    "",
    _xlpm.coef * (P363-P364))
)</f>
        <v/>
      </c>
      <c r="Q365" t="str" cm="1">
        <f t="array" ref="Q365">_xlfn.LET(
  _xlpm.K, Constantes!$B$3,
  _xlpm.Knewgain, Constantes!$B$4,
  _xlpm.Knewscale, Constantes!$B$5,
  _xlpm.ptstables, INDEX(Q:Q, _xlfn.SEQUENCE(COUNTA($C$2:$C365), 1, 3, 4)),
  _xlpm.nbparties, COUNTA(_xlfn._xlws.FILTER(_xlpm.ptstables, _xlpm.ptstables &lt;&gt; "")),
  _xlpm.coef, _xlpm.K + _xlpm.Knewgain / (_xlpm.Knewscale + _xlpm.nbparties),
  IF(Q363="",
    "",
    _xlpm.coef * (Q363-Q364))
)</f>
        <v/>
      </c>
      <c r="R365" t="str" cm="1">
        <f t="array" ref="R365">_xlfn.LET(
  _xlpm.K, Constantes!$B$3,
  _xlpm.Knewgain, Constantes!$B$4,
  _xlpm.Knewscale, Constantes!$B$5,
  _xlpm.ptstables, INDEX(R:R, _xlfn.SEQUENCE(COUNTA($C$2:$C365), 1, 3, 4)),
  _xlpm.nbparties, COUNTA(_xlfn._xlws.FILTER(_xlpm.ptstables, _xlpm.ptstables &lt;&gt; "")),
  _xlpm.coef, _xlpm.K + _xlpm.Knewgain / (_xlpm.Knewscale + _xlpm.nbparties),
  IF(R363="",
    "",
    _xlpm.coef * (R363-R364))
)</f>
        <v/>
      </c>
      <c r="S365" t="str" cm="1">
        <f t="array" ref="S365">_xlfn.LET(
  _xlpm.K, Constantes!$B$3,
  _xlpm.Knewgain, Constantes!$B$4,
  _xlpm.Knewscale, Constantes!$B$5,
  _xlpm.ptstables, INDEX(S:S, _xlfn.SEQUENCE(COUNTA($C$2:$C365), 1, 3, 4)),
  _xlpm.nbparties, COUNTA(_xlfn._xlws.FILTER(_xlpm.ptstables, _xlpm.ptstables &lt;&gt; "")),
  _xlpm.coef, _xlpm.K + _xlpm.Knewgain / (_xlpm.Knewscale + _xlpm.nbparties),
  IF(S363="",
    "",
    _xlpm.coef * (S363-S364))
)</f>
        <v/>
      </c>
      <c r="T365" t="str" cm="1">
        <f t="array" ref="T365">_xlfn.LET(
  _xlpm.K, Constantes!$B$3,
  _xlpm.Knewgain, Constantes!$B$4,
  _xlpm.Knewscale, Constantes!$B$5,
  _xlpm.ptstables, INDEX(T:T, _xlfn.SEQUENCE(COUNTA($C$2:$C365), 1, 3, 4)),
  _xlpm.nbparties, COUNTA(_xlfn._xlws.FILTER(_xlpm.ptstables, _xlpm.ptstables &lt;&gt; "")),
  _xlpm.coef, _xlpm.K + _xlpm.Knewgain / (_xlpm.Knewscale + _xlpm.nbparties),
  IF(T363="",
    "",
    _xlpm.coef * (T363-T364))
)</f>
        <v/>
      </c>
      <c r="U365" cm="1">
        <f t="array" ref="U365">_xlfn.LET(
  _xlpm.K, Constantes!$B$3,
  _xlpm.Knewgain, Constantes!$B$4,
  _xlpm.Knewscale, Constantes!$B$5,
  _xlpm.ptstables, INDEX(U:U, _xlfn.SEQUENCE(COUNTA($C$2:$C365), 1, 3, 4)),
  _xlpm.nbparties, COUNTA(_xlfn._xlws.FILTER(_xlpm.ptstables, _xlpm.ptstables &lt;&gt; "")),
  _xlpm.coef, _xlpm.K + _xlpm.Knewgain / (_xlpm.Knewscale + _xlpm.nbparties),
  IF(U363="",
    "",
    _xlpm.coef * (U363-U364))
)</f>
        <v>9.3040909805042862</v>
      </c>
      <c r="V365" t="str" cm="1">
        <f t="array" ref="V365">_xlfn.LET(
  _xlpm.K, Constantes!$B$3,
  _xlpm.Knewgain, Constantes!$B$4,
  _xlpm.Knewscale, Constantes!$B$5,
  _xlpm.ptstables, INDEX(V:V, _xlfn.SEQUENCE(COUNTA($C$2:$C365), 1, 3, 4)),
  _xlpm.nbparties, COUNTA(_xlfn._xlws.FILTER(_xlpm.ptstables, _xlpm.ptstables &lt;&gt; "")),
  _xlpm.coef, _xlpm.K + _xlpm.Knewgain / (_xlpm.Knewscale + _xlpm.nbparties),
  IF(V363="",
    "",
    _xlpm.coef * (V363-V364))
)</f>
        <v/>
      </c>
      <c r="W365" t="str" cm="1">
        <f t="array" ref="W365">_xlfn.LET(
  _xlpm.K, Constantes!$B$3,
  _xlpm.Knewgain, Constantes!$B$4,
  _xlpm.Knewscale, Constantes!$B$5,
  _xlpm.ptstables, INDEX(W:W, _xlfn.SEQUENCE(COUNTA($C$2:$C365), 1, 3, 4)),
  _xlpm.nbparties, COUNTA(_xlfn._xlws.FILTER(_xlpm.ptstables, _xlpm.ptstables &lt;&gt; "")),
  _xlpm.coef, _xlpm.K + _xlpm.Knewgain / (_xlpm.Knewscale + _xlpm.nbparties),
  IF(W363="",
    "",
    _xlpm.coef * (W363-W364))
)</f>
        <v/>
      </c>
      <c r="X365" t="str" cm="1">
        <f t="array" ref="X365">_xlfn.LET(
  _xlpm.K, Constantes!$B$3,
  _xlpm.Knewgain, Constantes!$B$4,
  _xlpm.Knewscale, Constantes!$B$5,
  _xlpm.ptstables, INDEX(X:X, _xlfn.SEQUENCE(COUNTA($C$2:$C365), 1, 3, 4)),
  _xlpm.nbparties, COUNTA(_xlfn._xlws.FILTER(_xlpm.ptstables, _xlpm.ptstables &lt;&gt; "")),
  _xlpm.coef, _xlpm.K + _xlpm.Knewgain / (_xlpm.Knewscale + _xlpm.nbparties),
  IF(X363="",
    "",
    _xlpm.coef * (X363-X364))
)</f>
        <v/>
      </c>
      <c r="Y365" t="str" cm="1">
        <f t="array" ref="Y365">_xlfn.LET(
  _xlpm.K, Constantes!$B$3,
  _xlpm.Knewgain, Constantes!$B$4,
  _xlpm.Knewscale, Constantes!$B$5,
  _xlpm.ptstables, INDEX(Y:Y, _xlfn.SEQUENCE(COUNTA($C$2:$C365), 1, 3, 4)),
  _xlpm.nbparties, COUNTA(_xlfn._xlws.FILTER(_xlpm.ptstables, _xlpm.ptstables &lt;&gt; "")),
  _xlpm.coef, _xlpm.K + _xlpm.Knewgain / (_xlpm.Knewscale + _xlpm.nbparties),
  IF(Y363="",
    "",
    _xlpm.coef * (Y363-Y364))
)</f>
        <v/>
      </c>
      <c r="Z365" t="str" cm="1">
        <f t="array" ref="Z365">_xlfn.LET(
  _xlpm.K, Constantes!$B$3,
  _xlpm.Knewgain, Constantes!$B$4,
  _xlpm.Knewscale, Constantes!$B$5,
  _xlpm.ptstables, INDEX(Z:Z, _xlfn.SEQUENCE(COUNTA($C$2:$C365), 1, 3, 4)),
  _xlpm.nbparties, COUNTA(_xlfn._xlws.FILTER(_xlpm.ptstables, _xlpm.ptstables &lt;&gt; "")),
  _xlpm.coef, _xlpm.K + _xlpm.Knewgain / (_xlpm.Knewscale + _xlpm.nbparties),
  IF(Z363="",
    "",
    _xlpm.coef * (Z363-Z364))
)</f>
        <v/>
      </c>
      <c r="AA365" t="str" cm="1">
        <f t="array" ref="AA365">_xlfn.LET(
  _xlpm.K, Constantes!$B$3,
  _xlpm.Knewgain, Constantes!$B$4,
  _xlpm.Knewscale, Constantes!$B$5,
  _xlpm.ptstables, INDEX(AA:AA, _xlfn.SEQUENCE(COUNTA($C$2:$C365), 1, 3, 4)),
  _xlpm.nbparties, COUNTA(_xlfn._xlws.FILTER(_xlpm.ptstables, _xlpm.ptstables &lt;&gt; "")),
  _xlpm.coef, _xlpm.K + _xlpm.Knewgain / (_xlpm.Knewscale + _xlpm.nbparties),
  IF(AA363="",
    "",
    _xlpm.coef * (AA363-AA364))
)</f>
        <v/>
      </c>
      <c r="AB365" t="str" cm="1">
        <f t="array" ref="AB365">_xlfn.LET(
  _xlpm.K, Constantes!$B$3,
  _xlpm.Knewgain, Constantes!$B$4,
  _xlpm.Knewscale, Constantes!$B$5,
  _xlpm.ptstables, INDEX(AB:AB, _xlfn.SEQUENCE(COUNTA($C$2:$C365), 1, 3, 4)),
  _xlpm.nbparties, COUNTA(_xlfn._xlws.FILTER(_xlpm.ptstables, _xlpm.ptstables &lt;&gt; "")),
  _xlpm.coef, _xlpm.K + _xlpm.Knewgain / (_xlpm.Knewscale + _xlpm.nbparties),
  IF(AB363="",
    "",
    _xlpm.coef * (AB363-AB364))
)</f>
        <v/>
      </c>
      <c r="AC365" t="str" cm="1">
        <f t="array" ref="AC365">_xlfn.LET(
  _xlpm.K, Constantes!$B$3,
  _xlpm.Knewgain, Constantes!$B$4,
  _xlpm.Knewscale, Constantes!$B$5,
  _xlpm.ptstables, INDEX(AC:AC, _xlfn.SEQUENCE(COUNTA($C$2:$C365), 1, 3, 4)),
  _xlpm.nbparties, COUNTA(_xlfn._xlws.FILTER(_xlpm.ptstables, _xlpm.ptstables &lt;&gt; "")),
  _xlpm.coef, _xlpm.K + _xlpm.Knewgain / (_xlpm.Knewscale + _xlpm.nbparties),
  IF(AC363="",
    "",
    _xlpm.coef * (AC363-AC364))
)</f>
        <v/>
      </c>
      <c r="AD365" t="str" cm="1">
        <f t="array" ref="AD365">_xlfn.LET(
  _xlpm.K, Constantes!$B$3,
  _xlpm.Knewgain, Constantes!$B$4,
  _xlpm.Knewscale, Constantes!$B$5,
  _xlpm.ptstables, INDEX(AD:AD, _xlfn.SEQUENCE(COUNTA($C$2:$C365), 1, 3, 4)),
  _xlpm.nbparties, COUNTA(_xlfn._xlws.FILTER(_xlpm.ptstables, _xlpm.ptstables &lt;&gt; "")),
  _xlpm.coef, _xlpm.K + _xlpm.Knewgain / (_xlpm.Knewscale + _xlpm.nbparties),
  IF(AD363="",
    "",
    _xlpm.coef * (AD363-AD364))
)</f>
        <v/>
      </c>
      <c r="AE365" t="str" cm="1">
        <f t="array" ref="AE365">_xlfn.LET(
  _xlpm.K, Constantes!$B$3,
  _xlpm.Knewgain, Constantes!$B$4,
  _xlpm.Knewscale, Constantes!$B$5,
  _xlpm.ptstables, INDEX(AE:AE, _xlfn.SEQUENCE(COUNTA($C$2:$C365), 1, 3, 4)),
  _xlpm.nbparties, COUNTA(_xlfn._xlws.FILTER(_xlpm.ptstables, _xlpm.ptstables &lt;&gt; "")),
  _xlpm.coef, _xlpm.K + _xlpm.Knewgain / (_xlpm.Knewscale + _xlpm.nbparties),
  IF(AE363="",
    "",
    _xlpm.coef * (AE363-AE364))
)</f>
        <v/>
      </c>
      <c r="AF365" t="str" cm="1">
        <f t="array" ref="AF365">_xlfn.LET(
  _xlpm.K, Constantes!$B$3,
  _xlpm.Knewgain, Constantes!$B$4,
  _xlpm.Knewscale, Constantes!$B$5,
  _xlpm.ptstables, INDEX(AF:AF, _xlfn.SEQUENCE(COUNTA($C$2:$C365), 1, 3, 4)),
  _xlpm.nbparties, COUNTA(_xlfn._xlws.FILTER(_xlpm.ptstables, _xlpm.ptstables &lt;&gt; "")),
  _xlpm.coef, _xlpm.K + _xlpm.Knewgain / (_xlpm.Knewscale + _xlpm.nbparties),
  IF(AF363="",
    "",
    _xlpm.coef * (AF363-AF364))
)</f>
        <v/>
      </c>
      <c r="AG365" t="str" cm="1">
        <f t="array" ref="AG365">_xlfn.LET(
  _xlpm.K, Constantes!$B$3,
  _xlpm.Knewgain, Constantes!$B$4,
  _xlpm.Knewscale, Constantes!$B$5,
  _xlpm.ptstables, INDEX(AG:AG, _xlfn.SEQUENCE(COUNTA($C$2:$C365), 1, 3, 4)),
  _xlpm.nbparties, COUNTA(_xlfn._xlws.FILTER(_xlpm.ptstables, _xlpm.ptstables &lt;&gt; "")),
  _xlpm.coef, _xlpm.K + _xlpm.Knewgain / (_xlpm.Knewscale + _xlpm.nbparties),
  IF(AG363="",
    "",
    _xlpm.coef * (AG363-AG364))
)</f>
        <v/>
      </c>
      <c r="AH365" t="str" cm="1">
        <f t="array" ref="AH365">_xlfn.LET(
  _xlpm.K, Constantes!$B$3,
  _xlpm.Knewgain, Constantes!$B$4,
  _xlpm.Knewscale, Constantes!$B$5,
  _xlpm.ptstables, INDEX(AH:AH, _xlfn.SEQUENCE(COUNTA($C$2:$C365), 1, 3, 4)),
  _xlpm.nbparties, COUNTA(_xlfn._xlws.FILTER(_xlpm.ptstables, _xlpm.ptstables &lt;&gt; "")),
  _xlpm.coef, _xlpm.K + _xlpm.Knewgain / (_xlpm.Knewscale + _xlpm.nbparties),
  IF(AH363="",
    "",
    _xlpm.coef * (AH363-AH364))
)</f>
        <v/>
      </c>
      <c r="AI365" cm="1">
        <f t="array" ref="AI365">_xlfn.LET(
  _xlpm.K, Constantes!$B$3,
  _xlpm.Knewgain, Constantes!$B$4,
  _xlpm.Knewscale, Constantes!$B$5,
  _xlpm.ptstables, INDEX(AI:AI, _xlfn.SEQUENCE(COUNTA($C$2:$C365), 1, 3, 4)),
  _xlpm.nbparties, COUNTA(_xlfn._xlws.FILTER(_xlpm.ptstables, _xlpm.ptstables &lt;&gt; "")),
  _xlpm.coef, _xlpm.K + _xlpm.Knewgain / (_xlpm.Knewscale + _xlpm.nbparties),
  IF(AI363="",
    "",
    _xlpm.coef * (AI363-AI364))
)</f>
        <v>18.073343204697213</v>
      </c>
      <c r="AJ365" t="str" cm="1">
        <f t="array" ref="AJ365">_xlfn.LET(
  _xlpm.K, Constantes!$B$3,
  _xlpm.Knewgain, Constantes!$B$4,
  _xlpm.Knewscale, Constantes!$B$5,
  _xlpm.ptstables, INDEX(AJ:AJ, _xlfn.SEQUENCE(COUNTA($C$2:$C365), 1, 3, 4)),
  _xlpm.nbparties, COUNTA(_xlfn._xlws.FILTER(_xlpm.ptstables, _xlpm.ptstables &lt;&gt; "")),
  _xlpm.coef, _xlpm.K + _xlpm.Knewgain / (_xlpm.Knewscale + _xlpm.nbparties),
  IF(AJ363="",
    "",
    _xlpm.coef * (AJ363-AJ364))
)</f>
        <v/>
      </c>
      <c r="AK365" t="str" cm="1">
        <f t="array" ref="AK365">_xlfn.LET(
  _xlpm.K, Constantes!$B$3,
  _xlpm.Knewgain, Constantes!$B$4,
  _xlpm.Knewscale, Constantes!$B$5,
  _xlpm.ptstables, INDEX(AK:AK, _xlfn.SEQUENCE(COUNTA($C$2:$C365), 1, 3, 4)),
  _xlpm.nbparties, COUNTA(_xlfn._xlws.FILTER(_xlpm.ptstables, _xlpm.ptstables &lt;&gt; "")),
  _xlpm.coef, _xlpm.K + _xlpm.Knewgain / (_xlpm.Knewscale + _xlpm.nbparties),
  IF(AK363="",
    "",
    _xlpm.coef * (AK363-AK364))
)</f>
        <v/>
      </c>
      <c r="AL365" t="str" cm="1">
        <f t="array" ref="AL365">_xlfn.LET(
  _xlpm.K, Constantes!$B$3,
  _xlpm.Knewgain, Constantes!$B$4,
  _xlpm.Knewscale, Constantes!$B$5,
  _xlpm.ptstables, INDEX(AL:AL, _xlfn.SEQUENCE(COUNTA($C$2:$C365), 1, 3, 4)),
  _xlpm.nbparties, COUNTA(_xlfn._xlws.FILTER(_xlpm.ptstables, _xlpm.ptstables &lt;&gt; "")),
  _xlpm.coef, _xlpm.K + _xlpm.Knewgain / (_xlpm.Knewscale + _xlpm.nbparties),
  IF(AL363="",
    "",
    _xlpm.coef * (AL363-AL364))
)</f>
        <v/>
      </c>
      <c r="AM365" t="str" cm="1">
        <f t="array" ref="AM365">_xlfn.LET(
  _xlpm.K, Constantes!$B$3,
  _xlpm.Knewgain, Constantes!$B$4,
  _xlpm.Knewscale, Constantes!$B$5,
  _xlpm.ptstables, INDEX(AM:AM, _xlfn.SEQUENCE(COUNTA($C$2:$C365), 1, 3, 4)),
  _xlpm.nbparties, COUNTA(_xlfn._xlws.FILTER(_xlpm.ptstables, _xlpm.ptstables &lt;&gt; "")),
  _xlpm.coef, _xlpm.K + _xlpm.Knewgain / (_xlpm.Knewscale + _xlpm.nbparties),
  IF(AM363="",
    "",
    _xlpm.coef * (AM363-AM364))
)</f>
        <v/>
      </c>
    </row>
    <row r="366" spans="1:39" x14ac:dyDescent="0.25">
      <c r="A366" t="s">
        <v>14</v>
      </c>
      <c r="B366" t="str" cm="1">
        <f t="array" ref="B36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91</v>
      </c>
      <c r="C366" s="2" cm="1">
        <f t="array" ref="C366">IF(B366="","",
  INDEX(Donnees!F:F, MATCH(B366, Donnees!F:F, 0)+1))</f>
        <v>45952.713101851848</v>
      </c>
      <c r="D366">
        <f t="shared" ref="D366:AM366" si="99">D362+IF(D365="",0,D365)</f>
        <v>983.00829738956952</v>
      </c>
      <c r="E366">
        <f t="shared" si="99"/>
        <v>1134.1573908115724</v>
      </c>
      <c r="F366">
        <f t="shared" si="99"/>
        <v>843.95250750280252</v>
      </c>
      <c r="G366">
        <f t="shared" si="99"/>
        <v>1092.5480476558973</v>
      </c>
      <c r="H366">
        <f t="shared" si="99"/>
        <v>1120.6842315020224</v>
      </c>
      <c r="I366">
        <f t="shared" si="99"/>
        <v>912.81564332013568</v>
      </c>
      <c r="J366">
        <f t="shared" si="99"/>
        <v>1010.9125108504293</v>
      </c>
      <c r="K366">
        <f t="shared" si="99"/>
        <v>993.90254614824482</v>
      </c>
      <c r="L366">
        <f t="shared" si="99"/>
        <v>783.12422360152641</v>
      </c>
      <c r="M366">
        <f t="shared" si="99"/>
        <v>913.41986361738122</v>
      </c>
      <c r="N366">
        <f t="shared" si="99"/>
        <v>903.42914476260137</v>
      </c>
      <c r="O366">
        <f t="shared" si="99"/>
        <v>1033.7212914161473</v>
      </c>
      <c r="P366">
        <f t="shared" si="99"/>
        <v>998.25301403333856</v>
      </c>
      <c r="Q366">
        <f t="shared" si="99"/>
        <v>1050.1062561870472</v>
      </c>
      <c r="R366">
        <f t="shared" si="99"/>
        <v>1119.5446824649327</v>
      </c>
      <c r="S366">
        <f t="shared" si="99"/>
        <v>934.65189966674961</v>
      </c>
      <c r="T366">
        <f t="shared" si="99"/>
        <v>1153.43058185823</v>
      </c>
      <c r="U366">
        <f t="shared" si="99"/>
        <v>1228.675715980512</v>
      </c>
      <c r="V366">
        <f t="shared" si="99"/>
        <v>969.67171739286073</v>
      </c>
      <c r="W366">
        <f t="shared" si="99"/>
        <v>882.29253769067657</v>
      </c>
      <c r="X366">
        <f t="shared" si="99"/>
        <v>828.97598039785271</v>
      </c>
      <c r="Y366">
        <f t="shared" si="99"/>
        <v>903.14348714035714</v>
      </c>
      <c r="Z366">
        <f t="shared" si="99"/>
        <v>1000.4832210979791</v>
      </c>
      <c r="AA366">
        <f t="shared" si="99"/>
        <v>976.51233940414613</v>
      </c>
      <c r="AB366">
        <f t="shared" si="99"/>
        <v>988.35669729544747</v>
      </c>
      <c r="AC366">
        <f t="shared" si="99"/>
        <v>1051.9456808600683</v>
      </c>
      <c r="AD366">
        <f t="shared" si="99"/>
        <v>1093.8192243082785</v>
      </c>
      <c r="AE366">
        <f t="shared" si="99"/>
        <v>963.23981965000235</v>
      </c>
      <c r="AF366">
        <f t="shared" si="99"/>
        <v>1094.8196847516158</v>
      </c>
      <c r="AG366">
        <f t="shared" si="99"/>
        <v>958.23078604304851</v>
      </c>
      <c r="AH366">
        <f t="shared" si="99"/>
        <v>920.4412636682855</v>
      </c>
      <c r="AI366">
        <f t="shared" si="99"/>
        <v>941.68986832003407</v>
      </c>
      <c r="AJ366">
        <f t="shared" si="99"/>
        <v>906.86354201913434</v>
      </c>
      <c r="AK366">
        <f t="shared" si="99"/>
        <v>1074.0069367206956</v>
      </c>
      <c r="AL366">
        <f t="shared" si="99"/>
        <v>1025.7817971572972</v>
      </c>
      <c r="AM366">
        <f t="shared" si="99"/>
        <v>930.08392160706046</v>
      </c>
    </row>
    <row r="367" spans="1:39" x14ac:dyDescent="0.25">
      <c r="A367" t="s">
        <v>21</v>
      </c>
      <c r="D367" t="str" cm="1">
        <f t="array" ref="D367">IFERROR(
  _xlfn.LET(
    _xlpm.ligpartie, MATCH($B366, Donnees!$F:$F, 0),
    _xlpm.joueurs, INDEX(Donnees!$A:$Z, _xlpm.ligpartie+1, _xlfn.SEQUENCE(1, 4, 2)),
    INDEX(
      Donnees!$A:$Z,
      _xlpm.ligpartie + 3,
      MATCH(D$1, _xlpm.joueurs, 0) + 1
    )
  ), ""
)</f>
        <v/>
      </c>
      <c r="E367" t="str" cm="1">
        <f t="array" ref="E367">IFERROR(
  _xlfn.LET(
    _xlpm.ligpartie, MATCH($B366, Donnees!$F:$F, 0),
    _xlpm.joueurs, INDEX(Donnees!$A:$Z, _xlpm.ligpartie+1, _xlfn.SEQUENCE(1, 4, 2)),
    INDEX(
      Donnees!$A:$Z,
      _xlpm.ligpartie + 3,
      MATCH(E$1, _xlpm.joueurs, 0) + 1
    )
  ), ""
)</f>
        <v/>
      </c>
      <c r="F367" t="str" cm="1">
        <f t="array" ref="F367">IFERROR(
  _xlfn.LET(
    _xlpm.ligpartie, MATCH($B366, Donnees!$F:$F, 0),
    _xlpm.joueurs, INDEX(Donnees!$A:$Z, _xlpm.ligpartie+1, _xlfn.SEQUENCE(1, 4, 2)),
    INDEX(
      Donnees!$A:$Z,
      _xlpm.ligpartie + 3,
      MATCH(F$1, _xlpm.joueurs, 0) + 1
    )
  ), ""
)</f>
        <v/>
      </c>
      <c r="G367" cm="1">
        <f t="array" ref="G367">IFERROR(
  _xlfn.LET(
    _xlpm.ligpartie, MATCH($B366, Donnees!$F:$F, 0),
    _xlpm.joueurs, INDEX(Donnees!$A:$Z, _xlpm.ligpartie+1, _xlfn.SEQUENCE(1, 4, 2)),
    INDEX(
      Donnees!$A:$Z,
      _xlpm.ligpartie + 3,
      MATCH(G$1, _xlpm.joueurs, 0) + 1
    )
  ), ""
)</f>
        <v>1</v>
      </c>
      <c r="H367" t="str" cm="1">
        <f t="array" ref="H367">IFERROR(
  _xlfn.LET(
    _xlpm.ligpartie, MATCH($B366, Donnees!$F:$F, 0),
    _xlpm.joueurs, INDEX(Donnees!$A:$Z, _xlpm.ligpartie+1, _xlfn.SEQUENCE(1, 4, 2)),
    INDEX(
      Donnees!$A:$Z,
      _xlpm.ligpartie + 3,
      MATCH(H$1, _xlpm.joueurs, 0) + 1
    )
  ), ""
)</f>
        <v/>
      </c>
      <c r="I367" t="str" cm="1">
        <f t="array" ref="I367">IFERROR(
  _xlfn.LET(
    _xlpm.ligpartie, MATCH($B366, Donnees!$F:$F, 0),
    _xlpm.joueurs, INDEX(Donnees!$A:$Z, _xlpm.ligpartie+1, _xlfn.SEQUENCE(1, 4, 2)),
    INDEX(
      Donnees!$A:$Z,
      _xlpm.ligpartie + 3,
      MATCH(I$1, _xlpm.joueurs, 0) + 1
    )
  ), ""
)</f>
        <v/>
      </c>
      <c r="J367" t="str" cm="1">
        <f t="array" ref="J367">IFERROR(
  _xlfn.LET(
    _xlpm.ligpartie, MATCH($B366, Donnees!$F:$F, 0),
    _xlpm.joueurs, INDEX(Donnees!$A:$Z, _xlpm.ligpartie+1, _xlfn.SEQUENCE(1, 4, 2)),
    INDEX(
      Donnees!$A:$Z,
      _xlpm.ligpartie + 3,
      MATCH(J$1, _xlpm.joueurs, 0) + 1
    )
  ), ""
)</f>
        <v/>
      </c>
      <c r="K367" t="str" cm="1">
        <f t="array" ref="K367">IFERROR(
  _xlfn.LET(
    _xlpm.ligpartie, MATCH($B366, Donnees!$F:$F, 0),
    _xlpm.joueurs, INDEX(Donnees!$A:$Z, _xlpm.ligpartie+1, _xlfn.SEQUENCE(1, 4, 2)),
    INDEX(
      Donnees!$A:$Z,
      _xlpm.ligpartie + 3,
      MATCH(K$1, _xlpm.joueurs, 0) + 1
    )
  ), ""
)</f>
        <v/>
      </c>
      <c r="L367" t="str" cm="1">
        <f t="array" ref="L367">IFERROR(
  _xlfn.LET(
    _xlpm.ligpartie, MATCH($B366, Donnees!$F:$F, 0),
    _xlpm.joueurs, INDEX(Donnees!$A:$Z, _xlpm.ligpartie+1, _xlfn.SEQUENCE(1, 4, 2)),
    INDEX(
      Donnees!$A:$Z,
      _xlpm.ligpartie + 3,
      MATCH(L$1, _xlpm.joueurs, 0) + 1
    )
  ), ""
)</f>
        <v/>
      </c>
      <c r="M367" t="str" cm="1">
        <f t="array" ref="M367">IFERROR(
  _xlfn.LET(
    _xlpm.ligpartie, MATCH($B366, Donnees!$F:$F, 0),
    _xlpm.joueurs, INDEX(Donnees!$A:$Z, _xlpm.ligpartie+1, _xlfn.SEQUENCE(1, 4, 2)),
    INDEX(
      Donnees!$A:$Z,
      _xlpm.ligpartie + 3,
      MATCH(M$1, _xlpm.joueurs, 0) + 1
    )
  ), ""
)</f>
        <v/>
      </c>
      <c r="N367" t="str" cm="1">
        <f t="array" ref="N367">IFERROR(
  _xlfn.LET(
    _xlpm.ligpartie, MATCH($B366, Donnees!$F:$F, 0),
    _xlpm.joueurs, INDEX(Donnees!$A:$Z, _xlpm.ligpartie+1, _xlfn.SEQUENCE(1, 4, 2)),
    INDEX(
      Donnees!$A:$Z,
      _xlpm.ligpartie + 3,
      MATCH(N$1, _xlpm.joueurs, 0) + 1
    )
  ), ""
)</f>
        <v/>
      </c>
      <c r="O367" t="str" cm="1">
        <f t="array" ref="O367">IFERROR(
  _xlfn.LET(
    _xlpm.ligpartie, MATCH($B366, Donnees!$F:$F, 0),
    _xlpm.joueurs, INDEX(Donnees!$A:$Z, _xlpm.ligpartie+1, _xlfn.SEQUENCE(1, 4, 2)),
    INDEX(
      Donnees!$A:$Z,
      _xlpm.ligpartie + 3,
      MATCH(O$1, _xlpm.joueurs, 0) + 1
    )
  ), ""
)</f>
        <v/>
      </c>
      <c r="P367" cm="1">
        <f t="array" ref="P367">IFERROR(
  _xlfn.LET(
    _xlpm.ligpartie, MATCH($B366, Donnees!$F:$F, 0),
    _xlpm.joueurs, INDEX(Donnees!$A:$Z, _xlpm.ligpartie+1, _xlfn.SEQUENCE(1, 4, 2)),
    INDEX(
      Donnees!$A:$Z,
      _xlpm.ligpartie + 3,
      MATCH(P$1, _xlpm.joueurs, 0) + 1
    )
  ), ""
)</f>
        <v>0</v>
      </c>
      <c r="Q367" t="str" cm="1">
        <f t="array" ref="Q367">IFERROR(
  _xlfn.LET(
    _xlpm.ligpartie, MATCH($B366, Donnees!$F:$F, 0),
    _xlpm.joueurs, INDEX(Donnees!$A:$Z, _xlpm.ligpartie+1, _xlfn.SEQUENCE(1, 4, 2)),
    INDEX(
      Donnees!$A:$Z,
      _xlpm.ligpartie + 3,
      MATCH(Q$1, _xlpm.joueurs, 0) + 1
    )
  ), ""
)</f>
        <v/>
      </c>
      <c r="R367" cm="1">
        <f t="array" ref="R367">IFERROR(
  _xlfn.LET(
    _xlpm.ligpartie, MATCH($B366, Donnees!$F:$F, 0),
    _xlpm.joueurs, INDEX(Donnees!$A:$Z, _xlpm.ligpartie+1, _xlfn.SEQUENCE(1, 4, 2)),
    INDEX(
      Donnees!$A:$Z,
      _xlpm.ligpartie + 3,
      MATCH(R$1, _xlpm.joueurs, 0) + 1
    )
  ), ""
)</f>
        <v>2</v>
      </c>
      <c r="S367" cm="1">
        <f t="array" ref="S367">IFERROR(
  _xlfn.LET(
    _xlpm.ligpartie, MATCH($B366, Donnees!$F:$F, 0),
    _xlpm.joueurs, INDEX(Donnees!$A:$Z, _xlpm.ligpartie+1, _xlfn.SEQUENCE(1, 4, 2)),
    INDEX(
      Donnees!$A:$Z,
      _xlpm.ligpartie + 3,
      MATCH(S$1, _xlpm.joueurs, 0) + 1
    )
  ), ""
)</f>
        <v>3</v>
      </c>
      <c r="T367" t="str" cm="1">
        <f t="array" ref="T367">IFERROR(
  _xlfn.LET(
    _xlpm.ligpartie, MATCH($B366, Donnees!$F:$F, 0),
    _xlpm.joueurs, INDEX(Donnees!$A:$Z, _xlpm.ligpartie+1, _xlfn.SEQUENCE(1, 4, 2)),
    INDEX(
      Donnees!$A:$Z,
      _xlpm.ligpartie + 3,
      MATCH(T$1, _xlpm.joueurs, 0) + 1
    )
  ), ""
)</f>
        <v/>
      </c>
      <c r="U367" t="str" cm="1">
        <f t="array" ref="U367">IFERROR(
  _xlfn.LET(
    _xlpm.ligpartie, MATCH($B366, Donnees!$F:$F, 0),
    _xlpm.joueurs, INDEX(Donnees!$A:$Z, _xlpm.ligpartie+1, _xlfn.SEQUENCE(1, 4, 2)),
    INDEX(
      Donnees!$A:$Z,
      _xlpm.ligpartie + 3,
      MATCH(U$1, _xlpm.joueurs, 0) + 1
    )
  ), ""
)</f>
        <v/>
      </c>
      <c r="V367" t="str" cm="1">
        <f t="array" ref="V367">IFERROR(
  _xlfn.LET(
    _xlpm.ligpartie, MATCH($B366, Donnees!$F:$F, 0),
    _xlpm.joueurs, INDEX(Donnees!$A:$Z, _xlpm.ligpartie+1, _xlfn.SEQUENCE(1, 4, 2)),
    INDEX(
      Donnees!$A:$Z,
      _xlpm.ligpartie + 3,
      MATCH(V$1, _xlpm.joueurs, 0) + 1
    )
  ), ""
)</f>
        <v/>
      </c>
      <c r="W367" t="str" cm="1">
        <f t="array" ref="W367">IFERROR(
  _xlfn.LET(
    _xlpm.ligpartie, MATCH($B366, Donnees!$F:$F, 0),
    _xlpm.joueurs, INDEX(Donnees!$A:$Z, _xlpm.ligpartie+1, _xlfn.SEQUENCE(1, 4, 2)),
    INDEX(
      Donnees!$A:$Z,
      _xlpm.ligpartie + 3,
      MATCH(W$1, _xlpm.joueurs, 0) + 1
    )
  ), ""
)</f>
        <v/>
      </c>
      <c r="X367" t="str" cm="1">
        <f t="array" ref="X367">IFERROR(
  _xlfn.LET(
    _xlpm.ligpartie, MATCH($B366, Donnees!$F:$F, 0),
    _xlpm.joueurs, INDEX(Donnees!$A:$Z, _xlpm.ligpartie+1, _xlfn.SEQUENCE(1, 4, 2)),
    INDEX(
      Donnees!$A:$Z,
      _xlpm.ligpartie + 3,
      MATCH(X$1, _xlpm.joueurs, 0) + 1
    )
  ), ""
)</f>
        <v/>
      </c>
      <c r="Y367" t="str" cm="1">
        <f t="array" ref="Y367">IFERROR(
  _xlfn.LET(
    _xlpm.ligpartie, MATCH($B366, Donnees!$F:$F, 0),
    _xlpm.joueurs, INDEX(Donnees!$A:$Z, _xlpm.ligpartie+1, _xlfn.SEQUENCE(1, 4, 2)),
    INDEX(
      Donnees!$A:$Z,
      _xlpm.ligpartie + 3,
      MATCH(Y$1, _xlpm.joueurs, 0) + 1
    )
  ), ""
)</f>
        <v/>
      </c>
      <c r="Z367" t="str" cm="1">
        <f t="array" ref="Z367">IFERROR(
  _xlfn.LET(
    _xlpm.ligpartie, MATCH($B366, Donnees!$F:$F, 0),
    _xlpm.joueurs, INDEX(Donnees!$A:$Z, _xlpm.ligpartie+1, _xlfn.SEQUENCE(1, 4, 2)),
    INDEX(
      Donnees!$A:$Z,
      _xlpm.ligpartie + 3,
      MATCH(Z$1, _xlpm.joueurs, 0) + 1
    )
  ), ""
)</f>
        <v/>
      </c>
      <c r="AA367" t="str" cm="1">
        <f t="array" ref="AA367">IFERROR(
  _xlfn.LET(
    _xlpm.ligpartie, MATCH($B366, Donnees!$F:$F, 0),
    _xlpm.joueurs, INDEX(Donnees!$A:$Z, _xlpm.ligpartie+1, _xlfn.SEQUENCE(1, 4, 2)),
    INDEX(
      Donnees!$A:$Z,
      _xlpm.ligpartie + 3,
      MATCH(AA$1, _xlpm.joueurs, 0) + 1
    )
  ), ""
)</f>
        <v/>
      </c>
      <c r="AB367" t="str" cm="1">
        <f t="array" ref="AB367">IFERROR(
  _xlfn.LET(
    _xlpm.ligpartie, MATCH($B366, Donnees!$F:$F, 0),
    _xlpm.joueurs, INDEX(Donnees!$A:$Z, _xlpm.ligpartie+1, _xlfn.SEQUENCE(1, 4, 2)),
    INDEX(
      Donnees!$A:$Z,
      _xlpm.ligpartie + 3,
      MATCH(AB$1, _xlpm.joueurs, 0) + 1
    )
  ), ""
)</f>
        <v/>
      </c>
      <c r="AC367" t="str" cm="1">
        <f t="array" ref="AC367">IFERROR(
  _xlfn.LET(
    _xlpm.ligpartie, MATCH($B366, Donnees!$F:$F, 0),
    _xlpm.joueurs, INDEX(Donnees!$A:$Z, _xlpm.ligpartie+1, _xlfn.SEQUENCE(1, 4, 2)),
    INDEX(
      Donnees!$A:$Z,
      _xlpm.ligpartie + 3,
      MATCH(AC$1, _xlpm.joueurs, 0) + 1
    )
  ), ""
)</f>
        <v/>
      </c>
      <c r="AD367" t="str" cm="1">
        <f t="array" ref="AD367">IFERROR(
  _xlfn.LET(
    _xlpm.ligpartie, MATCH($B366, Donnees!$F:$F, 0),
    _xlpm.joueurs, INDEX(Donnees!$A:$Z, _xlpm.ligpartie+1, _xlfn.SEQUENCE(1, 4, 2)),
    INDEX(
      Donnees!$A:$Z,
      _xlpm.ligpartie + 3,
      MATCH(AD$1, _xlpm.joueurs, 0) + 1
    )
  ), ""
)</f>
        <v/>
      </c>
      <c r="AE367" t="str" cm="1">
        <f t="array" ref="AE367">IFERROR(
  _xlfn.LET(
    _xlpm.ligpartie, MATCH($B366, Donnees!$F:$F, 0),
    _xlpm.joueurs, INDEX(Donnees!$A:$Z, _xlpm.ligpartie+1, _xlfn.SEQUENCE(1, 4, 2)),
    INDEX(
      Donnees!$A:$Z,
      _xlpm.ligpartie + 3,
      MATCH(AE$1, _xlpm.joueurs, 0) + 1
    )
  ), ""
)</f>
        <v/>
      </c>
      <c r="AF367" t="str" cm="1">
        <f t="array" ref="AF367">IFERROR(
  _xlfn.LET(
    _xlpm.ligpartie, MATCH($B366, Donnees!$F:$F, 0),
    _xlpm.joueurs, INDEX(Donnees!$A:$Z, _xlpm.ligpartie+1, _xlfn.SEQUENCE(1, 4, 2)),
    INDEX(
      Donnees!$A:$Z,
      _xlpm.ligpartie + 3,
      MATCH(AF$1, _xlpm.joueurs, 0) + 1
    )
  ), ""
)</f>
        <v/>
      </c>
      <c r="AG367" t="str" cm="1">
        <f t="array" ref="AG367">IFERROR(
  _xlfn.LET(
    _xlpm.ligpartie, MATCH($B366, Donnees!$F:$F, 0),
    _xlpm.joueurs, INDEX(Donnees!$A:$Z, _xlpm.ligpartie+1, _xlfn.SEQUENCE(1, 4, 2)),
    INDEX(
      Donnees!$A:$Z,
      _xlpm.ligpartie + 3,
      MATCH(AG$1, _xlpm.joueurs, 0) + 1
    )
  ), ""
)</f>
        <v/>
      </c>
      <c r="AH367" t="str" cm="1">
        <f t="array" ref="AH367">IFERROR(
  _xlfn.LET(
    _xlpm.ligpartie, MATCH($B366, Donnees!$F:$F, 0),
    _xlpm.joueurs, INDEX(Donnees!$A:$Z, _xlpm.ligpartie+1, _xlfn.SEQUENCE(1, 4, 2)),
    INDEX(
      Donnees!$A:$Z,
      _xlpm.ligpartie + 3,
      MATCH(AH$1, _xlpm.joueurs, 0) + 1
    )
  ), ""
)</f>
        <v/>
      </c>
      <c r="AI367" t="str" cm="1">
        <f t="array" ref="AI367">IFERROR(
  _xlfn.LET(
    _xlpm.ligpartie, MATCH($B366, Donnees!$F:$F, 0),
    _xlpm.joueurs, INDEX(Donnees!$A:$Z, _xlpm.ligpartie+1, _xlfn.SEQUENCE(1, 4, 2)),
    INDEX(
      Donnees!$A:$Z,
      _xlpm.ligpartie + 3,
      MATCH(AI$1, _xlpm.joueurs, 0) + 1
    )
  ), ""
)</f>
        <v/>
      </c>
      <c r="AJ367" t="str" cm="1">
        <f t="array" ref="AJ367">IFERROR(
  _xlfn.LET(
    _xlpm.ligpartie, MATCH($B366, Donnees!$F:$F, 0),
    _xlpm.joueurs, INDEX(Donnees!$A:$Z, _xlpm.ligpartie+1, _xlfn.SEQUENCE(1, 4, 2)),
    INDEX(
      Donnees!$A:$Z,
      _xlpm.ligpartie + 3,
      MATCH(AJ$1, _xlpm.joueurs, 0) + 1
    )
  ), ""
)</f>
        <v/>
      </c>
      <c r="AK367" t="str" cm="1">
        <f t="array" ref="AK367">IFERROR(
  _xlfn.LET(
    _xlpm.ligpartie, MATCH($B366, Donnees!$F:$F, 0),
    _xlpm.joueurs, INDEX(Donnees!$A:$Z, _xlpm.ligpartie+1, _xlfn.SEQUENCE(1, 4, 2)),
    INDEX(
      Donnees!$A:$Z,
      _xlpm.ligpartie + 3,
      MATCH(AK$1, _xlpm.joueurs, 0) + 1
    )
  ), ""
)</f>
        <v/>
      </c>
      <c r="AL367" t="str" cm="1">
        <f t="array" ref="AL367">IFERROR(
  _xlfn.LET(
    _xlpm.ligpartie, MATCH($B366, Donnees!$F:$F, 0),
    _xlpm.joueurs, INDEX(Donnees!$A:$Z, _xlpm.ligpartie+1, _xlfn.SEQUENCE(1, 4, 2)),
    INDEX(
      Donnees!$A:$Z,
      _xlpm.ligpartie + 3,
      MATCH(AL$1, _xlpm.joueurs, 0) + 1
    )
  ), ""
)</f>
        <v/>
      </c>
      <c r="AM367" t="str" cm="1">
        <f t="array" ref="AM367">IFERROR(
  _xlfn.LET(
    _xlpm.ligpartie, MATCH($B366, Donnees!$F:$F, 0),
    _xlpm.joueurs, INDEX(Donnees!$A:$Z, _xlpm.ligpartie+1, _xlfn.SEQUENCE(1, 4, 2)),
    INDEX(
      Donnees!$A:$Z,
      _xlpm.ligpartie + 3,
      MATCH(AM$1, _xlpm.joueurs, 0) + 1
    )
  ), ""
)</f>
        <v/>
      </c>
    </row>
    <row r="368" spans="1:39" x14ac:dyDescent="0.25">
      <c r="A368" t="s">
        <v>20</v>
      </c>
      <c r="D368" t="str" cm="1">
        <f t="array" ref="D368">_xlfn.LET(
  _xlpm.colj, _xlfn._xlws.FILTER(IF(ISNUMBER(367:367), COLUMN(367:367)), ISNUMBER(367:367)),
  _xlpm.elos, INDEX(366:366,1,_xlpm.colj),
  _xlpm.diffscale, Constantes!$B$2,
  IF(D367="",
    "",
    SUM(1/(1+POWER(10,-(D366-_xlpm.elos)/_xlpm.diffscale)))-0.5)
)</f>
        <v/>
      </c>
      <c r="E368" t="str" cm="1">
        <f t="array" ref="E368">_xlfn.LET(
  _xlpm.colj, _xlfn._xlws.FILTER(IF(ISNUMBER(367:367), COLUMN(367:367)), ISNUMBER(367:367)),
  _xlpm.elos, INDEX(366:366,1,_xlpm.colj),
  _xlpm.diffscale, Constantes!$B$2,
  IF(E367="",
    "",
    SUM(1/(1+POWER(10,-(E366-_xlpm.elos)/_xlpm.diffscale)))-0.5)
)</f>
        <v/>
      </c>
      <c r="F368" t="str" cm="1">
        <f t="array" ref="F368">_xlfn.LET(
  _xlpm.colj, _xlfn._xlws.FILTER(IF(ISNUMBER(367:367), COLUMN(367:367)), ISNUMBER(367:367)),
  _xlpm.elos, INDEX(366:366,1,_xlpm.colj),
  _xlpm.diffscale, Constantes!$B$2,
  IF(F367="",
    "",
    SUM(1/(1+POWER(10,-(F366-_xlpm.elos)/_xlpm.diffscale)))-0.5)
)</f>
        <v/>
      </c>
      <c r="G368" cm="1">
        <f t="array" ref="G368">_xlfn.LET(
  _xlpm.colj, _xlfn._xlws.FILTER(IF(ISNUMBER(367:367), COLUMN(367:367)), ISNUMBER(367:367)),
  _xlpm.elos, INDEX(366:366,1,_xlpm.colj),
  _xlpm.diffscale, Constantes!$B$2,
  IF(G367="",
    "",
    SUM(1/(1+POWER(10,-(G366-_xlpm.elos)/_xlpm.diffscale)))-0.5)
)</f>
        <v>1.8064713935828332</v>
      </c>
      <c r="H368" t="str" cm="1">
        <f t="array" ref="H368">_xlfn.LET(
  _xlpm.colj, _xlfn._xlws.FILTER(IF(ISNUMBER(367:367), COLUMN(367:367)), ISNUMBER(367:367)),
  _xlpm.elos, INDEX(366:366,1,_xlpm.colj),
  _xlpm.diffscale, Constantes!$B$2,
  IF(H367="",
    "",
    SUM(1/(1+POWER(10,-(H366-_xlpm.elos)/_xlpm.diffscale)))-0.5)
)</f>
        <v/>
      </c>
      <c r="I368" t="str" cm="1">
        <f t="array" ref="I368">_xlfn.LET(
  _xlpm.colj, _xlfn._xlws.FILTER(IF(ISNUMBER(367:367), COLUMN(367:367)), ISNUMBER(367:367)),
  _xlpm.elos, INDEX(366:366,1,_xlpm.colj),
  _xlpm.diffscale, Constantes!$B$2,
  IF(I367="",
    "",
    SUM(1/(1+POWER(10,-(I366-_xlpm.elos)/_xlpm.diffscale)))-0.5)
)</f>
        <v/>
      </c>
      <c r="J368" t="str" cm="1">
        <f t="array" ref="J368">_xlfn.LET(
  _xlpm.colj, _xlfn._xlws.FILTER(IF(ISNUMBER(367:367), COLUMN(367:367)), ISNUMBER(367:367)),
  _xlpm.elos, INDEX(366:366,1,_xlpm.colj),
  _xlpm.diffscale, Constantes!$B$2,
  IF(J367="",
    "",
    SUM(1/(1+POWER(10,-(J366-_xlpm.elos)/_xlpm.diffscale)))-0.5)
)</f>
        <v/>
      </c>
      <c r="K368" t="str" cm="1">
        <f t="array" ref="K368">_xlfn.LET(
  _xlpm.colj, _xlfn._xlws.FILTER(IF(ISNUMBER(367:367), COLUMN(367:367)), ISNUMBER(367:367)),
  _xlpm.elos, INDEX(366:366,1,_xlpm.colj),
  _xlpm.diffscale, Constantes!$B$2,
  IF(K367="",
    "",
    SUM(1/(1+POWER(10,-(K366-_xlpm.elos)/_xlpm.diffscale)))-0.5)
)</f>
        <v/>
      </c>
      <c r="L368" t="str" cm="1">
        <f t="array" ref="L368">_xlfn.LET(
  _xlpm.colj, _xlfn._xlws.FILTER(IF(ISNUMBER(367:367), COLUMN(367:367)), ISNUMBER(367:367)),
  _xlpm.elos, INDEX(366:366,1,_xlpm.colj),
  _xlpm.diffscale, Constantes!$B$2,
  IF(L367="",
    "",
    SUM(1/(1+POWER(10,-(L366-_xlpm.elos)/_xlpm.diffscale)))-0.5)
)</f>
        <v/>
      </c>
      <c r="M368" t="str" cm="1">
        <f t="array" ref="M368">_xlfn.LET(
  _xlpm.colj, _xlfn._xlws.FILTER(IF(ISNUMBER(367:367), COLUMN(367:367)), ISNUMBER(367:367)),
  _xlpm.elos, INDEX(366:366,1,_xlpm.colj),
  _xlpm.diffscale, Constantes!$B$2,
  IF(M367="",
    "",
    SUM(1/(1+POWER(10,-(M366-_xlpm.elos)/_xlpm.diffscale)))-0.5)
)</f>
        <v/>
      </c>
      <c r="N368" t="str" cm="1">
        <f t="array" ref="N368">_xlfn.LET(
  _xlpm.colj, _xlfn._xlws.FILTER(IF(ISNUMBER(367:367), COLUMN(367:367)), ISNUMBER(367:367)),
  _xlpm.elos, INDEX(366:366,1,_xlpm.colj),
  _xlpm.diffscale, Constantes!$B$2,
  IF(N367="",
    "",
    SUM(1/(1+POWER(10,-(N366-_xlpm.elos)/_xlpm.diffscale)))-0.5)
)</f>
        <v/>
      </c>
      <c r="O368" t="str" cm="1">
        <f t="array" ref="O368">_xlfn.LET(
  _xlpm.colj, _xlfn._xlws.FILTER(IF(ISNUMBER(367:367), COLUMN(367:367)), ISNUMBER(367:367)),
  _xlpm.elos, INDEX(366:366,1,_xlpm.colj),
  _xlpm.diffscale, Constantes!$B$2,
  IF(O367="",
    "",
    SUM(1/(1+POWER(10,-(O366-_xlpm.elos)/_xlpm.diffscale)))-0.5)
)</f>
        <v/>
      </c>
      <c r="P368" cm="1">
        <f t="array" ref="P368">_xlfn.LET(
  _xlpm.colj, _xlfn._xlws.FILTER(IF(ISNUMBER(367:367), COLUMN(367:367)), ISNUMBER(367:367)),
  _xlpm.elos, INDEX(366:366,1,_xlpm.colj),
  _xlpm.diffscale, Constantes!$B$2,
  IF(P367="",
    "",
    SUM(1/(1+POWER(10,-(P366-_xlpm.elos)/_xlpm.diffscale)))-0.5)
)</f>
        <v>1.2902645948899996</v>
      </c>
      <c r="Q368" t="str" cm="1">
        <f t="array" ref="Q368">_xlfn.LET(
  _xlpm.colj, _xlfn._xlws.FILTER(IF(ISNUMBER(367:367), COLUMN(367:367)), ISNUMBER(367:367)),
  _xlpm.elos, INDEX(366:366,1,_xlpm.colj),
  _xlpm.diffscale, Constantes!$B$2,
  IF(Q367="",
    "",
    SUM(1/(1+POWER(10,-(Q366-_xlpm.elos)/_xlpm.diffscale)))-0.5)
)</f>
        <v/>
      </c>
      <c r="R368" cm="1">
        <f t="array" ref="R368">_xlfn.LET(
  _xlpm.colj, _xlfn._xlws.FILTER(IF(ISNUMBER(367:367), COLUMN(367:367)), ISNUMBER(367:367)),
  _xlpm.elos, INDEX(366:366,1,_xlpm.colj),
  _xlpm.diffscale, Constantes!$B$2,
  IF(R367="",
    "",
    SUM(1/(1+POWER(10,-(R366-_xlpm.elos)/_xlpm.diffscale)))-0.5)
)</f>
        <v>1.950081121484514</v>
      </c>
      <c r="S368" cm="1">
        <f t="array" ref="S368">_xlfn.LET(
  _xlpm.colj, _xlfn._xlws.FILTER(IF(ISNUMBER(367:367), COLUMN(367:367)), ISNUMBER(367:367)),
  _xlpm.elos, INDEX(366:366,1,_xlpm.colj),
  _xlpm.diffscale, Constantes!$B$2,
  IF(S367="",
    "",
    SUM(1/(1+POWER(10,-(S366-_xlpm.elos)/_xlpm.diffscale)))-0.5)
)</f>
        <v>0.95318289004265333</v>
      </c>
      <c r="T368" t="str" cm="1">
        <f t="array" ref="T368">_xlfn.LET(
  _xlpm.colj, _xlfn._xlws.FILTER(IF(ISNUMBER(367:367), COLUMN(367:367)), ISNUMBER(367:367)),
  _xlpm.elos, INDEX(366:366,1,_xlpm.colj),
  _xlpm.diffscale, Constantes!$B$2,
  IF(T367="",
    "",
    SUM(1/(1+POWER(10,-(T366-_xlpm.elos)/_xlpm.diffscale)))-0.5)
)</f>
        <v/>
      </c>
      <c r="U368" t="str" cm="1">
        <f t="array" ref="U368">_xlfn.LET(
  _xlpm.colj, _xlfn._xlws.FILTER(IF(ISNUMBER(367:367), COLUMN(367:367)), ISNUMBER(367:367)),
  _xlpm.elos, INDEX(366:366,1,_xlpm.colj),
  _xlpm.diffscale, Constantes!$B$2,
  IF(U367="",
    "",
    SUM(1/(1+POWER(10,-(U366-_xlpm.elos)/_xlpm.diffscale)))-0.5)
)</f>
        <v/>
      </c>
      <c r="V368" t="str" cm="1">
        <f t="array" ref="V368">_xlfn.LET(
  _xlpm.colj, _xlfn._xlws.FILTER(IF(ISNUMBER(367:367), COLUMN(367:367)), ISNUMBER(367:367)),
  _xlpm.elos, INDEX(366:366,1,_xlpm.colj),
  _xlpm.diffscale, Constantes!$B$2,
  IF(V367="",
    "",
    SUM(1/(1+POWER(10,-(V366-_xlpm.elos)/_xlpm.diffscale)))-0.5)
)</f>
        <v/>
      </c>
      <c r="W368" t="str" cm="1">
        <f t="array" ref="W368">_xlfn.LET(
  _xlpm.colj, _xlfn._xlws.FILTER(IF(ISNUMBER(367:367), COLUMN(367:367)), ISNUMBER(367:367)),
  _xlpm.elos, INDEX(366:366,1,_xlpm.colj),
  _xlpm.diffscale, Constantes!$B$2,
  IF(W367="",
    "",
    SUM(1/(1+POWER(10,-(W366-_xlpm.elos)/_xlpm.diffscale)))-0.5)
)</f>
        <v/>
      </c>
      <c r="X368" t="str" cm="1">
        <f t="array" ref="X368">_xlfn.LET(
  _xlpm.colj, _xlfn._xlws.FILTER(IF(ISNUMBER(367:367), COLUMN(367:367)), ISNUMBER(367:367)),
  _xlpm.elos, INDEX(366:366,1,_xlpm.colj),
  _xlpm.diffscale, Constantes!$B$2,
  IF(X367="",
    "",
    SUM(1/(1+POWER(10,-(X366-_xlpm.elos)/_xlpm.diffscale)))-0.5)
)</f>
        <v/>
      </c>
      <c r="Y368" t="str" cm="1">
        <f t="array" ref="Y368">_xlfn.LET(
  _xlpm.colj, _xlfn._xlws.FILTER(IF(ISNUMBER(367:367), COLUMN(367:367)), ISNUMBER(367:367)),
  _xlpm.elos, INDEX(366:366,1,_xlpm.colj),
  _xlpm.diffscale, Constantes!$B$2,
  IF(Y367="",
    "",
    SUM(1/(1+POWER(10,-(Y366-_xlpm.elos)/_xlpm.diffscale)))-0.5)
)</f>
        <v/>
      </c>
      <c r="Z368" t="str" cm="1">
        <f t="array" ref="Z368">_xlfn.LET(
  _xlpm.colj, _xlfn._xlws.FILTER(IF(ISNUMBER(367:367), COLUMN(367:367)), ISNUMBER(367:367)),
  _xlpm.elos, INDEX(366:366,1,_xlpm.colj),
  _xlpm.diffscale, Constantes!$B$2,
  IF(Z367="",
    "",
    SUM(1/(1+POWER(10,-(Z366-_xlpm.elos)/_xlpm.diffscale)))-0.5)
)</f>
        <v/>
      </c>
      <c r="AA368" t="str" cm="1">
        <f t="array" ref="AA368">_xlfn.LET(
  _xlpm.colj, _xlfn._xlws.FILTER(IF(ISNUMBER(367:367), COLUMN(367:367)), ISNUMBER(367:367)),
  _xlpm.elos, INDEX(366:366,1,_xlpm.colj),
  _xlpm.diffscale, Constantes!$B$2,
  IF(AA367="",
    "",
    SUM(1/(1+POWER(10,-(AA366-_xlpm.elos)/_xlpm.diffscale)))-0.5)
)</f>
        <v/>
      </c>
      <c r="AB368" t="str" cm="1">
        <f t="array" ref="AB368">_xlfn.LET(
  _xlpm.colj, _xlfn._xlws.FILTER(IF(ISNUMBER(367:367), COLUMN(367:367)), ISNUMBER(367:367)),
  _xlpm.elos, INDEX(366:366,1,_xlpm.colj),
  _xlpm.diffscale, Constantes!$B$2,
  IF(AB367="",
    "",
    SUM(1/(1+POWER(10,-(AB366-_xlpm.elos)/_xlpm.diffscale)))-0.5)
)</f>
        <v/>
      </c>
      <c r="AC368" t="str" cm="1">
        <f t="array" ref="AC368">_xlfn.LET(
  _xlpm.colj, _xlfn._xlws.FILTER(IF(ISNUMBER(367:367), COLUMN(367:367)), ISNUMBER(367:367)),
  _xlpm.elos, INDEX(366:366,1,_xlpm.colj),
  _xlpm.diffscale, Constantes!$B$2,
  IF(AC367="",
    "",
    SUM(1/(1+POWER(10,-(AC366-_xlpm.elos)/_xlpm.diffscale)))-0.5)
)</f>
        <v/>
      </c>
      <c r="AD368" t="str" cm="1">
        <f t="array" ref="AD368">_xlfn.LET(
  _xlpm.colj, _xlfn._xlws.FILTER(IF(ISNUMBER(367:367), COLUMN(367:367)), ISNUMBER(367:367)),
  _xlpm.elos, INDEX(366:366,1,_xlpm.colj),
  _xlpm.diffscale, Constantes!$B$2,
  IF(AD367="",
    "",
    SUM(1/(1+POWER(10,-(AD366-_xlpm.elos)/_xlpm.diffscale)))-0.5)
)</f>
        <v/>
      </c>
      <c r="AE368" t="str" cm="1">
        <f t="array" ref="AE368">_xlfn.LET(
  _xlpm.colj, _xlfn._xlws.FILTER(IF(ISNUMBER(367:367), COLUMN(367:367)), ISNUMBER(367:367)),
  _xlpm.elos, INDEX(366:366,1,_xlpm.colj),
  _xlpm.diffscale, Constantes!$B$2,
  IF(AE367="",
    "",
    SUM(1/(1+POWER(10,-(AE366-_xlpm.elos)/_xlpm.diffscale)))-0.5)
)</f>
        <v/>
      </c>
      <c r="AF368" t="str" cm="1">
        <f t="array" ref="AF368">_xlfn.LET(
  _xlpm.colj, _xlfn._xlws.FILTER(IF(ISNUMBER(367:367), COLUMN(367:367)), ISNUMBER(367:367)),
  _xlpm.elos, INDEX(366:366,1,_xlpm.colj),
  _xlpm.diffscale, Constantes!$B$2,
  IF(AF367="",
    "",
    SUM(1/(1+POWER(10,-(AF366-_xlpm.elos)/_xlpm.diffscale)))-0.5)
)</f>
        <v/>
      </c>
      <c r="AG368" t="str" cm="1">
        <f t="array" ref="AG368">_xlfn.LET(
  _xlpm.colj, _xlfn._xlws.FILTER(IF(ISNUMBER(367:367), COLUMN(367:367)), ISNUMBER(367:367)),
  _xlpm.elos, INDEX(366:366,1,_xlpm.colj),
  _xlpm.diffscale, Constantes!$B$2,
  IF(AG367="",
    "",
    SUM(1/(1+POWER(10,-(AG366-_xlpm.elos)/_xlpm.diffscale)))-0.5)
)</f>
        <v/>
      </c>
      <c r="AH368" t="str" cm="1">
        <f t="array" ref="AH368">_xlfn.LET(
  _xlpm.colj, _xlfn._xlws.FILTER(IF(ISNUMBER(367:367), COLUMN(367:367)), ISNUMBER(367:367)),
  _xlpm.elos, INDEX(366:366,1,_xlpm.colj),
  _xlpm.diffscale, Constantes!$B$2,
  IF(AH367="",
    "",
    SUM(1/(1+POWER(10,-(AH366-_xlpm.elos)/_xlpm.diffscale)))-0.5)
)</f>
        <v/>
      </c>
      <c r="AI368" t="str" cm="1">
        <f t="array" ref="AI368">_xlfn.LET(
  _xlpm.colj, _xlfn._xlws.FILTER(IF(ISNUMBER(367:367), COLUMN(367:367)), ISNUMBER(367:367)),
  _xlpm.elos, INDEX(366:366,1,_xlpm.colj),
  _xlpm.diffscale, Constantes!$B$2,
  IF(AI367="",
    "",
    SUM(1/(1+POWER(10,-(AI366-_xlpm.elos)/_xlpm.diffscale)))-0.5)
)</f>
        <v/>
      </c>
      <c r="AJ368" t="str" cm="1">
        <f t="array" ref="AJ368">_xlfn.LET(
  _xlpm.colj, _xlfn._xlws.FILTER(IF(ISNUMBER(367:367), COLUMN(367:367)), ISNUMBER(367:367)),
  _xlpm.elos, INDEX(366:366,1,_xlpm.colj),
  _xlpm.diffscale, Constantes!$B$2,
  IF(AJ367="",
    "",
    SUM(1/(1+POWER(10,-(AJ366-_xlpm.elos)/_xlpm.diffscale)))-0.5)
)</f>
        <v/>
      </c>
      <c r="AK368" t="str" cm="1">
        <f t="array" ref="AK368">_xlfn.LET(
  _xlpm.colj, _xlfn._xlws.FILTER(IF(ISNUMBER(367:367), COLUMN(367:367)), ISNUMBER(367:367)),
  _xlpm.elos, INDEX(366:366,1,_xlpm.colj),
  _xlpm.diffscale, Constantes!$B$2,
  IF(AK367="",
    "",
    SUM(1/(1+POWER(10,-(AK366-_xlpm.elos)/_xlpm.diffscale)))-0.5)
)</f>
        <v/>
      </c>
      <c r="AL368" t="str" cm="1">
        <f t="array" ref="AL368">_xlfn.LET(
  _xlpm.colj, _xlfn._xlws.FILTER(IF(ISNUMBER(367:367), COLUMN(367:367)), ISNUMBER(367:367)),
  _xlpm.elos, INDEX(366:366,1,_xlpm.colj),
  _xlpm.diffscale, Constantes!$B$2,
  IF(AL367="",
    "",
    SUM(1/(1+POWER(10,-(AL366-_xlpm.elos)/_xlpm.diffscale)))-0.5)
)</f>
        <v/>
      </c>
      <c r="AM368" t="str" cm="1">
        <f t="array" ref="AM368">_xlfn.LET(
  _xlpm.colj, _xlfn._xlws.FILTER(IF(ISNUMBER(367:367), COLUMN(367:367)), ISNUMBER(367:367)),
  _xlpm.elos, INDEX(366:366,1,_xlpm.colj),
  _xlpm.diffscale, Constantes!$B$2,
  IF(AM367="",
    "",
    SUM(1/(1+POWER(10,-(AM366-_xlpm.elos)/_xlpm.diffscale)))-0.5)
)</f>
        <v/>
      </c>
    </row>
    <row r="369" spans="1:39" x14ac:dyDescent="0.25">
      <c r="A369" t="s">
        <v>22</v>
      </c>
      <c r="D369" t="str" cm="1">
        <f t="array" ref="D369">_xlfn.LET(
  _xlpm.K, Constantes!$B$3,
  _xlpm.Knewgain, Constantes!$B$4,
  _xlpm.Knewscale, Constantes!$B$5,
  _xlpm.ptstables, INDEX(D:D, _xlfn.SEQUENCE(COUNTA($C$2:$C369), 1, 3, 4)),
  _xlpm.nbparties, COUNTA(_xlfn._xlws.FILTER(_xlpm.ptstables, _xlpm.ptstables &lt;&gt; "")),
  _xlpm.coef, _xlpm.K + _xlpm.Knewgain / (_xlpm.Knewscale + _xlpm.nbparties),
  IF(D367="",
    "",
    _xlpm.coef * (D367-D368))
)</f>
        <v/>
      </c>
      <c r="E369" t="str" cm="1">
        <f t="array" ref="E369">_xlfn.LET(
  _xlpm.K, Constantes!$B$3,
  _xlpm.Knewgain, Constantes!$B$4,
  _xlpm.Knewscale, Constantes!$B$5,
  _xlpm.ptstables, INDEX(E:E, _xlfn.SEQUENCE(COUNTA($C$2:$C369), 1, 3, 4)),
  _xlpm.nbparties, COUNTA(_xlfn._xlws.FILTER(_xlpm.ptstables, _xlpm.ptstables &lt;&gt; "")),
  _xlpm.coef, _xlpm.K + _xlpm.Knewgain / (_xlpm.Knewscale + _xlpm.nbparties),
  IF(E367="",
    "",
    _xlpm.coef * (E367-E368))
)</f>
        <v/>
      </c>
      <c r="F369" t="str" cm="1">
        <f t="array" ref="F369">_xlfn.LET(
  _xlpm.K, Constantes!$B$3,
  _xlpm.Knewgain, Constantes!$B$4,
  _xlpm.Knewscale, Constantes!$B$5,
  _xlpm.ptstables, INDEX(F:F, _xlfn.SEQUENCE(COUNTA($C$2:$C369), 1, 3, 4)),
  _xlpm.nbparties, COUNTA(_xlfn._xlws.FILTER(_xlpm.ptstables, _xlpm.ptstables &lt;&gt; "")),
  _xlpm.coef, _xlpm.K + _xlpm.Knewgain / (_xlpm.Knewscale + _xlpm.nbparties),
  IF(F367="",
    "",
    _xlpm.coef * (F367-F368))
)</f>
        <v/>
      </c>
      <c r="G369" cm="1">
        <f t="array" ref="G369">_xlfn.LET(
  _xlpm.K, Constantes!$B$3,
  _xlpm.Knewgain, Constantes!$B$4,
  _xlpm.Knewscale, Constantes!$B$5,
  _xlpm.ptstables, INDEX(G:G, _xlfn.SEQUENCE(COUNTA($C$2:$C369), 1, 3, 4)),
  _xlpm.nbparties, COUNTA(_xlfn._xlws.FILTER(_xlpm.ptstables, _xlpm.ptstables &lt;&gt; "")),
  _xlpm.coef, _xlpm.K + _xlpm.Knewgain / (_xlpm.Knewscale + _xlpm.nbparties),
  IF(G367="",
    "",
    _xlpm.coef * (G367-G368))
)</f>
        <v>-17.569555360197437</v>
      </c>
      <c r="H369" t="str" cm="1">
        <f t="array" ref="H369">_xlfn.LET(
  _xlpm.K, Constantes!$B$3,
  _xlpm.Knewgain, Constantes!$B$4,
  _xlpm.Knewscale, Constantes!$B$5,
  _xlpm.ptstables, INDEX(H:H, _xlfn.SEQUENCE(COUNTA($C$2:$C369), 1, 3, 4)),
  _xlpm.nbparties, COUNTA(_xlfn._xlws.FILTER(_xlpm.ptstables, _xlpm.ptstables &lt;&gt; "")),
  _xlpm.coef, _xlpm.K + _xlpm.Knewgain / (_xlpm.Knewscale + _xlpm.nbparties),
  IF(H367="",
    "",
    _xlpm.coef * (H367-H368))
)</f>
        <v/>
      </c>
      <c r="I369" t="str" cm="1">
        <f t="array" ref="I369">_xlfn.LET(
  _xlpm.K, Constantes!$B$3,
  _xlpm.Knewgain, Constantes!$B$4,
  _xlpm.Knewscale, Constantes!$B$5,
  _xlpm.ptstables, INDEX(I:I, _xlfn.SEQUENCE(COUNTA($C$2:$C369), 1, 3, 4)),
  _xlpm.nbparties, COUNTA(_xlfn._xlws.FILTER(_xlpm.ptstables, _xlpm.ptstables &lt;&gt; "")),
  _xlpm.coef, _xlpm.K + _xlpm.Knewgain / (_xlpm.Knewscale + _xlpm.nbparties),
  IF(I367="",
    "",
    _xlpm.coef * (I367-I368))
)</f>
        <v/>
      </c>
      <c r="J369" t="str" cm="1">
        <f t="array" ref="J369">_xlfn.LET(
  _xlpm.K, Constantes!$B$3,
  _xlpm.Knewgain, Constantes!$B$4,
  _xlpm.Knewscale, Constantes!$B$5,
  _xlpm.ptstables, INDEX(J:J, _xlfn.SEQUENCE(COUNTA($C$2:$C369), 1, 3, 4)),
  _xlpm.nbparties, COUNTA(_xlfn._xlws.FILTER(_xlpm.ptstables, _xlpm.ptstables &lt;&gt; "")),
  _xlpm.coef, _xlpm.K + _xlpm.Knewgain / (_xlpm.Knewscale + _xlpm.nbparties),
  IF(J367="",
    "",
    _xlpm.coef * (J367-J368))
)</f>
        <v/>
      </c>
      <c r="K369" t="str" cm="1">
        <f t="array" ref="K369">_xlfn.LET(
  _xlpm.K, Constantes!$B$3,
  _xlpm.Knewgain, Constantes!$B$4,
  _xlpm.Knewscale, Constantes!$B$5,
  _xlpm.ptstables, INDEX(K:K, _xlfn.SEQUENCE(COUNTA($C$2:$C369), 1, 3, 4)),
  _xlpm.nbparties, COUNTA(_xlfn._xlws.FILTER(_xlpm.ptstables, _xlpm.ptstables &lt;&gt; "")),
  _xlpm.coef, _xlpm.K + _xlpm.Knewgain / (_xlpm.Knewscale + _xlpm.nbparties),
  IF(K367="",
    "",
    _xlpm.coef * (K367-K368))
)</f>
        <v/>
      </c>
      <c r="L369" t="str" cm="1">
        <f t="array" ref="L369">_xlfn.LET(
  _xlpm.K, Constantes!$B$3,
  _xlpm.Knewgain, Constantes!$B$4,
  _xlpm.Knewscale, Constantes!$B$5,
  _xlpm.ptstables, INDEX(L:L, _xlfn.SEQUENCE(COUNTA($C$2:$C369), 1, 3, 4)),
  _xlpm.nbparties, COUNTA(_xlfn._xlws.FILTER(_xlpm.ptstables, _xlpm.ptstables &lt;&gt; "")),
  _xlpm.coef, _xlpm.K + _xlpm.Knewgain / (_xlpm.Knewscale + _xlpm.nbparties),
  IF(L367="",
    "",
    _xlpm.coef * (L367-L368))
)</f>
        <v/>
      </c>
      <c r="M369" t="str" cm="1">
        <f t="array" ref="M369">_xlfn.LET(
  _xlpm.K, Constantes!$B$3,
  _xlpm.Knewgain, Constantes!$B$4,
  _xlpm.Knewscale, Constantes!$B$5,
  _xlpm.ptstables, INDEX(M:M, _xlfn.SEQUENCE(COUNTA($C$2:$C369), 1, 3, 4)),
  _xlpm.nbparties, COUNTA(_xlfn._xlws.FILTER(_xlpm.ptstables, _xlpm.ptstables &lt;&gt; "")),
  _xlpm.coef, _xlpm.K + _xlpm.Knewgain / (_xlpm.Knewscale + _xlpm.nbparties),
  IF(M367="",
    "",
    _xlpm.coef * (M367-M368))
)</f>
        <v/>
      </c>
      <c r="N369" t="str" cm="1">
        <f t="array" ref="N369">_xlfn.LET(
  _xlpm.K, Constantes!$B$3,
  _xlpm.Knewgain, Constantes!$B$4,
  _xlpm.Knewscale, Constantes!$B$5,
  _xlpm.ptstables, INDEX(N:N, _xlfn.SEQUENCE(COUNTA($C$2:$C369), 1, 3, 4)),
  _xlpm.nbparties, COUNTA(_xlfn._xlws.FILTER(_xlpm.ptstables, _xlpm.ptstables &lt;&gt; "")),
  _xlpm.coef, _xlpm.K + _xlpm.Knewgain / (_xlpm.Knewscale + _xlpm.nbparties),
  IF(N367="",
    "",
    _xlpm.coef * (N367-N368))
)</f>
        <v/>
      </c>
      <c r="O369" t="str" cm="1">
        <f t="array" ref="O369">_xlfn.LET(
  _xlpm.K, Constantes!$B$3,
  _xlpm.Knewgain, Constantes!$B$4,
  _xlpm.Knewscale, Constantes!$B$5,
  _xlpm.ptstables, INDEX(O:O, _xlfn.SEQUENCE(COUNTA($C$2:$C369), 1, 3, 4)),
  _xlpm.nbparties, COUNTA(_xlfn._xlws.FILTER(_xlpm.ptstables, _xlpm.ptstables &lt;&gt; "")),
  _xlpm.coef, _xlpm.K + _xlpm.Knewgain / (_xlpm.Knewscale + _xlpm.nbparties),
  IF(O367="",
    "",
    _xlpm.coef * (O367-O368))
)</f>
        <v/>
      </c>
      <c r="P369" cm="1">
        <f t="array" ref="P369">_xlfn.LET(
  _xlpm.K, Constantes!$B$3,
  _xlpm.Knewgain, Constantes!$B$4,
  _xlpm.Knewscale, Constantes!$B$5,
  _xlpm.ptstables, INDEX(P:P, _xlfn.SEQUENCE(COUNTA($C$2:$C369), 1, 3, 4)),
  _xlpm.nbparties, COUNTA(_xlfn._xlws.FILTER(_xlpm.ptstables, _xlpm.ptstables &lt;&gt; "")),
  _xlpm.coef, _xlpm.K + _xlpm.Knewgain / (_xlpm.Knewscale + _xlpm.nbparties),
  IF(P367="",
    "",
    _xlpm.coef * (P367-P368))
)</f>
        <v>-29.389360216938879</v>
      </c>
      <c r="Q369" t="str" cm="1">
        <f t="array" ref="Q369">_xlfn.LET(
  _xlpm.K, Constantes!$B$3,
  _xlpm.Knewgain, Constantes!$B$4,
  _xlpm.Knewscale, Constantes!$B$5,
  _xlpm.ptstables, INDEX(Q:Q, _xlfn.SEQUENCE(COUNTA($C$2:$C369), 1, 3, 4)),
  _xlpm.nbparties, COUNTA(_xlfn._xlws.FILTER(_xlpm.ptstables, _xlpm.ptstables &lt;&gt; "")),
  _xlpm.coef, _xlpm.K + _xlpm.Knewgain / (_xlpm.Knewscale + _xlpm.nbparties),
  IF(Q367="",
    "",
    _xlpm.coef * (Q367-Q368))
)</f>
        <v/>
      </c>
      <c r="R369" cm="1">
        <f t="array" ref="R369">_xlfn.LET(
  _xlpm.K, Constantes!$B$3,
  _xlpm.Knewgain, Constantes!$B$4,
  _xlpm.Knewscale, Constantes!$B$5,
  _xlpm.ptstables, INDEX(R:R, _xlfn.SEQUENCE(COUNTA($C$2:$C369), 1, 3, 4)),
  _xlpm.nbparties, COUNTA(_xlfn._xlws.FILTER(_xlpm.ptstables, _xlpm.ptstables &lt;&gt; "")),
  _xlpm.coef, _xlpm.K + _xlpm.Knewgain / (_xlpm.Knewscale + _xlpm.nbparties),
  IF(R367="",
    "",
    _xlpm.coef * (R367-R368))
)</f>
        <v>1.1068968714303427</v>
      </c>
      <c r="S369" cm="1">
        <f t="array" ref="S369">_xlfn.LET(
  _xlpm.K, Constantes!$B$3,
  _xlpm.Knewgain, Constantes!$B$4,
  _xlpm.Knewscale, Constantes!$B$5,
  _xlpm.ptstables, INDEX(S:S, _xlfn.SEQUENCE(COUNTA($C$2:$C369), 1, 3, 4)),
  _xlpm.nbparties, COUNTA(_xlfn._xlws.FILTER(_xlpm.ptstables, _xlpm.ptstables &lt;&gt; "")),
  _xlpm.coef, _xlpm.K + _xlpm.Knewgain / (_xlpm.Knewscale + _xlpm.nbparties),
  IF(S367="",
    "",
    _xlpm.coef * (S367-S368))
)</f>
        <v>45.385944612097688</v>
      </c>
      <c r="T369" t="str" cm="1">
        <f t="array" ref="T369">_xlfn.LET(
  _xlpm.K, Constantes!$B$3,
  _xlpm.Knewgain, Constantes!$B$4,
  _xlpm.Knewscale, Constantes!$B$5,
  _xlpm.ptstables, INDEX(T:T, _xlfn.SEQUENCE(COUNTA($C$2:$C369), 1, 3, 4)),
  _xlpm.nbparties, COUNTA(_xlfn._xlws.FILTER(_xlpm.ptstables, _xlpm.ptstables &lt;&gt; "")),
  _xlpm.coef, _xlpm.K + _xlpm.Knewgain / (_xlpm.Knewscale + _xlpm.nbparties),
  IF(T367="",
    "",
    _xlpm.coef * (T367-T368))
)</f>
        <v/>
      </c>
      <c r="U369" t="str" cm="1">
        <f t="array" ref="U369">_xlfn.LET(
  _xlpm.K, Constantes!$B$3,
  _xlpm.Knewgain, Constantes!$B$4,
  _xlpm.Knewscale, Constantes!$B$5,
  _xlpm.ptstables, INDEX(U:U, _xlfn.SEQUENCE(COUNTA($C$2:$C369), 1, 3, 4)),
  _xlpm.nbparties, COUNTA(_xlfn._xlws.FILTER(_xlpm.ptstables, _xlpm.ptstables &lt;&gt; "")),
  _xlpm.coef, _xlpm.K + _xlpm.Knewgain / (_xlpm.Knewscale + _xlpm.nbparties),
  IF(U367="",
    "",
    _xlpm.coef * (U367-U368))
)</f>
        <v/>
      </c>
      <c r="V369" t="str" cm="1">
        <f t="array" ref="V369">_xlfn.LET(
  _xlpm.K, Constantes!$B$3,
  _xlpm.Knewgain, Constantes!$B$4,
  _xlpm.Knewscale, Constantes!$B$5,
  _xlpm.ptstables, INDEX(V:V, _xlfn.SEQUENCE(COUNTA($C$2:$C369), 1, 3, 4)),
  _xlpm.nbparties, COUNTA(_xlfn._xlws.FILTER(_xlpm.ptstables, _xlpm.ptstables &lt;&gt; "")),
  _xlpm.coef, _xlpm.K + _xlpm.Knewgain / (_xlpm.Knewscale + _xlpm.nbparties),
  IF(V367="",
    "",
    _xlpm.coef * (V367-V368))
)</f>
        <v/>
      </c>
      <c r="W369" t="str" cm="1">
        <f t="array" ref="W369">_xlfn.LET(
  _xlpm.K, Constantes!$B$3,
  _xlpm.Knewgain, Constantes!$B$4,
  _xlpm.Knewscale, Constantes!$B$5,
  _xlpm.ptstables, INDEX(W:W, _xlfn.SEQUENCE(COUNTA($C$2:$C369), 1, 3, 4)),
  _xlpm.nbparties, COUNTA(_xlfn._xlws.FILTER(_xlpm.ptstables, _xlpm.ptstables &lt;&gt; "")),
  _xlpm.coef, _xlpm.K + _xlpm.Knewgain / (_xlpm.Knewscale + _xlpm.nbparties),
  IF(W367="",
    "",
    _xlpm.coef * (W367-W368))
)</f>
        <v/>
      </c>
      <c r="X369" t="str" cm="1">
        <f t="array" ref="X369">_xlfn.LET(
  _xlpm.K, Constantes!$B$3,
  _xlpm.Knewgain, Constantes!$B$4,
  _xlpm.Knewscale, Constantes!$B$5,
  _xlpm.ptstables, INDEX(X:X, _xlfn.SEQUENCE(COUNTA($C$2:$C369), 1, 3, 4)),
  _xlpm.nbparties, COUNTA(_xlfn._xlws.FILTER(_xlpm.ptstables, _xlpm.ptstables &lt;&gt; "")),
  _xlpm.coef, _xlpm.K + _xlpm.Knewgain / (_xlpm.Knewscale + _xlpm.nbparties),
  IF(X367="",
    "",
    _xlpm.coef * (X367-X368))
)</f>
        <v/>
      </c>
      <c r="Y369" t="str" cm="1">
        <f t="array" ref="Y369">_xlfn.LET(
  _xlpm.K, Constantes!$B$3,
  _xlpm.Knewgain, Constantes!$B$4,
  _xlpm.Knewscale, Constantes!$B$5,
  _xlpm.ptstables, INDEX(Y:Y, _xlfn.SEQUENCE(COUNTA($C$2:$C369), 1, 3, 4)),
  _xlpm.nbparties, COUNTA(_xlfn._xlws.FILTER(_xlpm.ptstables, _xlpm.ptstables &lt;&gt; "")),
  _xlpm.coef, _xlpm.K + _xlpm.Knewgain / (_xlpm.Knewscale + _xlpm.nbparties),
  IF(Y367="",
    "",
    _xlpm.coef * (Y367-Y368))
)</f>
        <v/>
      </c>
      <c r="Z369" t="str" cm="1">
        <f t="array" ref="Z369">_xlfn.LET(
  _xlpm.K, Constantes!$B$3,
  _xlpm.Knewgain, Constantes!$B$4,
  _xlpm.Knewscale, Constantes!$B$5,
  _xlpm.ptstables, INDEX(Z:Z, _xlfn.SEQUENCE(COUNTA($C$2:$C369), 1, 3, 4)),
  _xlpm.nbparties, COUNTA(_xlfn._xlws.FILTER(_xlpm.ptstables, _xlpm.ptstables &lt;&gt; "")),
  _xlpm.coef, _xlpm.K + _xlpm.Knewgain / (_xlpm.Knewscale + _xlpm.nbparties),
  IF(Z367="",
    "",
    _xlpm.coef * (Z367-Z368))
)</f>
        <v/>
      </c>
      <c r="AA369" t="str" cm="1">
        <f t="array" ref="AA369">_xlfn.LET(
  _xlpm.K, Constantes!$B$3,
  _xlpm.Knewgain, Constantes!$B$4,
  _xlpm.Knewscale, Constantes!$B$5,
  _xlpm.ptstables, INDEX(AA:AA, _xlfn.SEQUENCE(COUNTA($C$2:$C369), 1, 3, 4)),
  _xlpm.nbparties, COUNTA(_xlfn._xlws.FILTER(_xlpm.ptstables, _xlpm.ptstables &lt;&gt; "")),
  _xlpm.coef, _xlpm.K + _xlpm.Knewgain / (_xlpm.Knewscale + _xlpm.nbparties),
  IF(AA367="",
    "",
    _xlpm.coef * (AA367-AA368))
)</f>
        <v/>
      </c>
      <c r="AB369" t="str" cm="1">
        <f t="array" ref="AB369">_xlfn.LET(
  _xlpm.K, Constantes!$B$3,
  _xlpm.Knewgain, Constantes!$B$4,
  _xlpm.Knewscale, Constantes!$B$5,
  _xlpm.ptstables, INDEX(AB:AB, _xlfn.SEQUENCE(COUNTA($C$2:$C369), 1, 3, 4)),
  _xlpm.nbparties, COUNTA(_xlfn._xlws.FILTER(_xlpm.ptstables, _xlpm.ptstables &lt;&gt; "")),
  _xlpm.coef, _xlpm.K + _xlpm.Knewgain / (_xlpm.Knewscale + _xlpm.nbparties),
  IF(AB367="",
    "",
    _xlpm.coef * (AB367-AB368))
)</f>
        <v/>
      </c>
      <c r="AC369" t="str" cm="1">
        <f t="array" ref="AC369">_xlfn.LET(
  _xlpm.K, Constantes!$B$3,
  _xlpm.Knewgain, Constantes!$B$4,
  _xlpm.Knewscale, Constantes!$B$5,
  _xlpm.ptstables, INDEX(AC:AC, _xlfn.SEQUENCE(COUNTA($C$2:$C369), 1, 3, 4)),
  _xlpm.nbparties, COUNTA(_xlfn._xlws.FILTER(_xlpm.ptstables, _xlpm.ptstables &lt;&gt; "")),
  _xlpm.coef, _xlpm.K + _xlpm.Knewgain / (_xlpm.Knewscale + _xlpm.nbparties),
  IF(AC367="",
    "",
    _xlpm.coef * (AC367-AC368))
)</f>
        <v/>
      </c>
      <c r="AD369" t="str" cm="1">
        <f t="array" ref="AD369">_xlfn.LET(
  _xlpm.K, Constantes!$B$3,
  _xlpm.Knewgain, Constantes!$B$4,
  _xlpm.Knewscale, Constantes!$B$5,
  _xlpm.ptstables, INDEX(AD:AD, _xlfn.SEQUENCE(COUNTA($C$2:$C369), 1, 3, 4)),
  _xlpm.nbparties, COUNTA(_xlfn._xlws.FILTER(_xlpm.ptstables, _xlpm.ptstables &lt;&gt; "")),
  _xlpm.coef, _xlpm.K + _xlpm.Knewgain / (_xlpm.Knewscale + _xlpm.nbparties),
  IF(AD367="",
    "",
    _xlpm.coef * (AD367-AD368))
)</f>
        <v/>
      </c>
      <c r="AE369" t="str" cm="1">
        <f t="array" ref="AE369">_xlfn.LET(
  _xlpm.K, Constantes!$B$3,
  _xlpm.Knewgain, Constantes!$B$4,
  _xlpm.Knewscale, Constantes!$B$5,
  _xlpm.ptstables, INDEX(AE:AE, _xlfn.SEQUENCE(COUNTA($C$2:$C369), 1, 3, 4)),
  _xlpm.nbparties, COUNTA(_xlfn._xlws.FILTER(_xlpm.ptstables, _xlpm.ptstables &lt;&gt; "")),
  _xlpm.coef, _xlpm.K + _xlpm.Knewgain / (_xlpm.Knewscale + _xlpm.nbparties),
  IF(AE367="",
    "",
    _xlpm.coef * (AE367-AE368))
)</f>
        <v/>
      </c>
      <c r="AF369" t="str" cm="1">
        <f t="array" ref="AF369">_xlfn.LET(
  _xlpm.K, Constantes!$B$3,
  _xlpm.Knewgain, Constantes!$B$4,
  _xlpm.Knewscale, Constantes!$B$5,
  _xlpm.ptstables, INDEX(AF:AF, _xlfn.SEQUENCE(COUNTA($C$2:$C369), 1, 3, 4)),
  _xlpm.nbparties, COUNTA(_xlfn._xlws.FILTER(_xlpm.ptstables, _xlpm.ptstables &lt;&gt; "")),
  _xlpm.coef, _xlpm.K + _xlpm.Knewgain / (_xlpm.Knewscale + _xlpm.nbparties),
  IF(AF367="",
    "",
    _xlpm.coef * (AF367-AF368))
)</f>
        <v/>
      </c>
      <c r="AG369" t="str" cm="1">
        <f t="array" ref="AG369">_xlfn.LET(
  _xlpm.K, Constantes!$B$3,
  _xlpm.Knewgain, Constantes!$B$4,
  _xlpm.Knewscale, Constantes!$B$5,
  _xlpm.ptstables, INDEX(AG:AG, _xlfn.SEQUENCE(COUNTA($C$2:$C369), 1, 3, 4)),
  _xlpm.nbparties, COUNTA(_xlfn._xlws.FILTER(_xlpm.ptstables, _xlpm.ptstables &lt;&gt; "")),
  _xlpm.coef, _xlpm.K + _xlpm.Knewgain / (_xlpm.Knewscale + _xlpm.nbparties),
  IF(AG367="",
    "",
    _xlpm.coef * (AG367-AG368))
)</f>
        <v/>
      </c>
      <c r="AH369" t="str" cm="1">
        <f t="array" ref="AH369">_xlfn.LET(
  _xlpm.K, Constantes!$B$3,
  _xlpm.Knewgain, Constantes!$B$4,
  _xlpm.Knewscale, Constantes!$B$5,
  _xlpm.ptstables, INDEX(AH:AH, _xlfn.SEQUENCE(COUNTA($C$2:$C369), 1, 3, 4)),
  _xlpm.nbparties, COUNTA(_xlfn._xlws.FILTER(_xlpm.ptstables, _xlpm.ptstables &lt;&gt; "")),
  _xlpm.coef, _xlpm.K + _xlpm.Knewgain / (_xlpm.Knewscale + _xlpm.nbparties),
  IF(AH367="",
    "",
    _xlpm.coef * (AH367-AH368))
)</f>
        <v/>
      </c>
      <c r="AI369" t="str" cm="1">
        <f t="array" ref="AI369">_xlfn.LET(
  _xlpm.K, Constantes!$B$3,
  _xlpm.Knewgain, Constantes!$B$4,
  _xlpm.Knewscale, Constantes!$B$5,
  _xlpm.ptstables, INDEX(AI:AI, _xlfn.SEQUENCE(COUNTA($C$2:$C369), 1, 3, 4)),
  _xlpm.nbparties, COUNTA(_xlfn._xlws.FILTER(_xlpm.ptstables, _xlpm.ptstables &lt;&gt; "")),
  _xlpm.coef, _xlpm.K + _xlpm.Knewgain / (_xlpm.Knewscale + _xlpm.nbparties),
  IF(AI367="",
    "",
    _xlpm.coef * (AI367-AI368))
)</f>
        <v/>
      </c>
      <c r="AJ369" t="str" cm="1">
        <f t="array" ref="AJ369">_xlfn.LET(
  _xlpm.K, Constantes!$B$3,
  _xlpm.Knewgain, Constantes!$B$4,
  _xlpm.Knewscale, Constantes!$B$5,
  _xlpm.ptstables, INDEX(AJ:AJ, _xlfn.SEQUENCE(COUNTA($C$2:$C369), 1, 3, 4)),
  _xlpm.nbparties, COUNTA(_xlfn._xlws.FILTER(_xlpm.ptstables, _xlpm.ptstables &lt;&gt; "")),
  _xlpm.coef, _xlpm.K + _xlpm.Knewgain / (_xlpm.Knewscale + _xlpm.nbparties),
  IF(AJ367="",
    "",
    _xlpm.coef * (AJ367-AJ368))
)</f>
        <v/>
      </c>
      <c r="AK369" t="str" cm="1">
        <f t="array" ref="AK369">_xlfn.LET(
  _xlpm.K, Constantes!$B$3,
  _xlpm.Knewgain, Constantes!$B$4,
  _xlpm.Knewscale, Constantes!$B$5,
  _xlpm.ptstables, INDEX(AK:AK, _xlfn.SEQUENCE(COUNTA($C$2:$C369), 1, 3, 4)),
  _xlpm.nbparties, COUNTA(_xlfn._xlws.FILTER(_xlpm.ptstables, _xlpm.ptstables &lt;&gt; "")),
  _xlpm.coef, _xlpm.K + _xlpm.Knewgain / (_xlpm.Knewscale + _xlpm.nbparties),
  IF(AK367="",
    "",
    _xlpm.coef * (AK367-AK368))
)</f>
        <v/>
      </c>
      <c r="AL369" t="str" cm="1">
        <f t="array" ref="AL369">_xlfn.LET(
  _xlpm.K, Constantes!$B$3,
  _xlpm.Knewgain, Constantes!$B$4,
  _xlpm.Knewscale, Constantes!$B$5,
  _xlpm.ptstables, INDEX(AL:AL, _xlfn.SEQUENCE(COUNTA($C$2:$C369), 1, 3, 4)),
  _xlpm.nbparties, COUNTA(_xlfn._xlws.FILTER(_xlpm.ptstables, _xlpm.ptstables &lt;&gt; "")),
  _xlpm.coef, _xlpm.K + _xlpm.Knewgain / (_xlpm.Knewscale + _xlpm.nbparties),
  IF(AL367="",
    "",
    _xlpm.coef * (AL367-AL368))
)</f>
        <v/>
      </c>
      <c r="AM369" t="str" cm="1">
        <f t="array" ref="AM369">_xlfn.LET(
  _xlpm.K, Constantes!$B$3,
  _xlpm.Knewgain, Constantes!$B$4,
  _xlpm.Knewscale, Constantes!$B$5,
  _xlpm.ptstables, INDEX(AM:AM, _xlfn.SEQUENCE(COUNTA($C$2:$C369), 1, 3, 4)),
  _xlpm.nbparties, COUNTA(_xlfn._xlws.FILTER(_xlpm.ptstables, _xlpm.ptstables &lt;&gt; "")),
  _xlpm.coef, _xlpm.K + _xlpm.Knewgain / (_xlpm.Knewscale + _xlpm.nbparties),
  IF(AM367="",
    "",
    _xlpm.coef * (AM367-AM368))
)</f>
        <v/>
      </c>
    </row>
    <row r="370" spans="1:39" x14ac:dyDescent="0.25">
      <c r="A370" t="s">
        <v>14</v>
      </c>
      <c r="B370" t="str" cm="1">
        <f t="array" ref="B37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94</v>
      </c>
      <c r="C370" s="2" cm="1">
        <f t="array" ref="C370">IF(B370="","",
  INDEX(Donnees!F:F, MATCH(B370, Donnees!F:F, 0)+1))</f>
        <v>45952.814097222225</v>
      </c>
      <c r="D370">
        <f t="shared" ref="D370:AM370" si="100">D366+IF(D369="",0,D369)</f>
        <v>983.00829738956952</v>
      </c>
      <c r="E370">
        <f t="shared" si="100"/>
        <v>1134.1573908115724</v>
      </c>
      <c r="F370">
        <f t="shared" si="100"/>
        <v>843.95250750280252</v>
      </c>
      <c r="G370">
        <f t="shared" si="100"/>
        <v>1074.9784922956999</v>
      </c>
      <c r="H370">
        <f t="shared" si="100"/>
        <v>1120.6842315020224</v>
      </c>
      <c r="I370">
        <f t="shared" si="100"/>
        <v>912.81564332013568</v>
      </c>
      <c r="J370">
        <f t="shared" si="100"/>
        <v>1010.9125108504293</v>
      </c>
      <c r="K370">
        <f t="shared" si="100"/>
        <v>993.90254614824482</v>
      </c>
      <c r="L370">
        <f t="shared" si="100"/>
        <v>783.12422360152641</v>
      </c>
      <c r="M370">
        <f t="shared" si="100"/>
        <v>913.41986361738122</v>
      </c>
      <c r="N370">
        <f t="shared" si="100"/>
        <v>903.42914476260137</v>
      </c>
      <c r="O370">
        <f t="shared" si="100"/>
        <v>1033.7212914161473</v>
      </c>
      <c r="P370">
        <f t="shared" si="100"/>
        <v>968.86365381639973</v>
      </c>
      <c r="Q370">
        <f t="shared" si="100"/>
        <v>1050.1062561870472</v>
      </c>
      <c r="R370">
        <f t="shared" si="100"/>
        <v>1120.6515793363631</v>
      </c>
      <c r="S370">
        <f t="shared" si="100"/>
        <v>980.03784427884727</v>
      </c>
      <c r="T370">
        <f t="shared" si="100"/>
        <v>1153.43058185823</v>
      </c>
      <c r="U370">
        <f t="shared" si="100"/>
        <v>1228.675715980512</v>
      </c>
      <c r="V370">
        <f t="shared" si="100"/>
        <v>969.67171739286073</v>
      </c>
      <c r="W370">
        <f t="shared" si="100"/>
        <v>882.29253769067657</v>
      </c>
      <c r="X370">
        <f t="shared" si="100"/>
        <v>828.97598039785271</v>
      </c>
      <c r="Y370">
        <f t="shared" si="100"/>
        <v>903.14348714035714</v>
      </c>
      <c r="Z370">
        <f t="shared" si="100"/>
        <v>1000.4832210979791</v>
      </c>
      <c r="AA370">
        <f t="shared" si="100"/>
        <v>976.51233940414613</v>
      </c>
      <c r="AB370">
        <f t="shared" si="100"/>
        <v>988.35669729544747</v>
      </c>
      <c r="AC370">
        <f t="shared" si="100"/>
        <v>1051.9456808600683</v>
      </c>
      <c r="AD370">
        <f t="shared" si="100"/>
        <v>1093.8192243082785</v>
      </c>
      <c r="AE370">
        <f t="shared" si="100"/>
        <v>963.23981965000235</v>
      </c>
      <c r="AF370">
        <f t="shared" si="100"/>
        <v>1094.8196847516158</v>
      </c>
      <c r="AG370">
        <f t="shared" si="100"/>
        <v>958.23078604304851</v>
      </c>
      <c r="AH370">
        <f t="shared" si="100"/>
        <v>920.4412636682855</v>
      </c>
      <c r="AI370">
        <f t="shared" si="100"/>
        <v>941.68986832003407</v>
      </c>
      <c r="AJ370">
        <f t="shared" si="100"/>
        <v>906.86354201913434</v>
      </c>
      <c r="AK370">
        <f t="shared" si="100"/>
        <v>1074.0069367206956</v>
      </c>
      <c r="AL370">
        <f t="shared" si="100"/>
        <v>1025.7817971572972</v>
      </c>
      <c r="AM370">
        <f t="shared" si="100"/>
        <v>930.08392160706046</v>
      </c>
    </row>
    <row r="371" spans="1:39" x14ac:dyDescent="0.25">
      <c r="A371" t="s">
        <v>21</v>
      </c>
      <c r="D371" t="str" cm="1">
        <f t="array" ref="D371">IFERROR(
  _xlfn.LET(
    _xlpm.ligpartie, MATCH($B370, Donnees!$F:$F, 0),
    _xlpm.joueurs, INDEX(Donnees!$A:$Z, _xlpm.ligpartie+1, _xlfn.SEQUENCE(1, 4, 2)),
    INDEX(
      Donnees!$A:$Z,
      _xlpm.ligpartie + 3,
      MATCH(D$1, _xlpm.joueurs, 0) + 1
    )
  ), ""
)</f>
        <v/>
      </c>
      <c r="E371" t="str" cm="1">
        <f t="array" ref="E371">IFERROR(
  _xlfn.LET(
    _xlpm.ligpartie, MATCH($B370, Donnees!$F:$F, 0),
    _xlpm.joueurs, INDEX(Donnees!$A:$Z, _xlpm.ligpartie+1, _xlfn.SEQUENCE(1, 4, 2)),
    INDEX(
      Donnees!$A:$Z,
      _xlpm.ligpartie + 3,
      MATCH(E$1, _xlpm.joueurs, 0) + 1
    )
  ), ""
)</f>
        <v/>
      </c>
      <c r="F371" t="str" cm="1">
        <f t="array" ref="F371">IFERROR(
  _xlfn.LET(
    _xlpm.ligpartie, MATCH($B370, Donnees!$F:$F, 0),
    _xlpm.joueurs, INDEX(Donnees!$A:$Z, _xlpm.ligpartie+1, _xlfn.SEQUENCE(1, 4, 2)),
    INDEX(
      Donnees!$A:$Z,
      _xlpm.ligpartie + 3,
      MATCH(F$1, _xlpm.joueurs, 0) + 1
    )
  ), ""
)</f>
        <v/>
      </c>
      <c r="G371" t="str" cm="1">
        <f t="array" ref="G371">IFERROR(
  _xlfn.LET(
    _xlpm.ligpartie, MATCH($B370, Donnees!$F:$F, 0),
    _xlpm.joueurs, INDEX(Donnees!$A:$Z, _xlpm.ligpartie+1, _xlfn.SEQUENCE(1, 4, 2)),
    INDEX(
      Donnees!$A:$Z,
      _xlpm.ligpartie + 3,
      MATCH(G$1, _xlpm.joueurs, 0) + 1
    )
  ), ""
)</f>
        <v/>
      </c>
      <c r="H371" t="str" cm="1">
        <f t="array" ref="H371">IFERROR(
  _xlfn.LET(
    _xlpm.ligpartie, MATCH($B370, Donnees!$F:$F, 0),
    _xlpm.joueurs, INDEX(Donnees!$A:$Z, _xlpm.ligpartie+1, _xlfn.SEQUENCE(1, 4, 2)),
    INDEX(
      Donnees!$A:$Z,
      _xlpm.ligpartie + 3,
      MATCH(H$1, _xlpm.joueurs, 0) + 1
    )
  ), ""
)</f>
        <v/>
      </c>
      <c r="I371" t="str" cm="1">
        <f t="array" ref="I371">IFERROR(
  _xlfn.LET(
    _xlpm.ligpartie, MATCH($B370, Donnees!$F:$F, 0),
    _xlpm.joueurs, INDEX(Donnees!$A:$Z, _xlpm.ligpartie+1, _xlfn.SEQUENCE(1, 4, 2)),
    INDEX(
      Donnees!$A:$Z,
      _xlpm.ligpartie + 3,
      MATCH(I$1, _xlpm.joueurs, 0) + 1
    )
  ), ""
)</f>
        <v/>
      </c>
      <c r="J371" t="str" cm="1">
        <f t="array" ref="J371">IFERROR(
  _xlfn.LET(
    _xlpm.ligpartie, MATCH($B370, Donnees!$F:$F, 0),
    _xlpm.joueurs, INDEX(Donnees!$A:$Z, _xlpm.ligpartie+1, _xlfn.SEQUENCE(1, 4, 2)),
    INDEX(
      Donnees!$A:$Z,
      _xlpm.ligpartie + 3,
      MATCH(J$1, _xlpm.joueurs, 0) + 1
    )
  ), ""
)</f>
        <v/>
      </c>
      <c r="K371" t="str" cm="1">
        <f t="array" ref="K371">IFERROR(
  _xlfn.LET(
    _xlpm.ligpartie, MATCH($B370, Donnees!$F:$F, 0),
    _xlpm.joueurs, INDEX(Donnees!$A:$Z, _xlpm.ligpartie+1, _xlfn.SEQUENCE(1, 4, 2)),
    INDEX(
      Donnees!$A:$Z,
      _xlpm.ligpartie + 3,
      MATCH(K$1, _xlpm.joueurs, 0) + 1
    )
  ), ""
)</f>
        <v/>
      </c>
      <c r="L371" t="str" cm="1">
        <f t="array" ref="L371">IFERROR(
  _xlfn.LET(
    _xlpm.ligpartie, MATCH($B370, Donnees!$F:$F, 0),
    _xlpm.joueurs, INDEX(Donnees!$A:$Z, _xlpm.ligpartie+1, _xlfn.SEQUENCE(1, 4, 2)),
    INDEX(
      Donnees!$A:$Z,
      _xlpm.ligpartie + 3,
      MATCH(L$1, _xlpm.joueurs, 0) + 1
    )
  ), ""
)</f>
        <v/>
      </c>
      <c r="M371" t="str" cm="1">
        <f t="array" ref="M371">IFERROR(
  _xlfn.LET(
    _xlpm.ligpartie, MATCH($B370, Donnees!$F:$F, 0),
    _xlpm.joueurs, INDEX(Donnees!$A:$Z, _xlpm.ligpartie+1, _xlfn.SEQUENCE(1, 4, 2)),
    INDEX(
      Donnees!$A:$Z,
      _xlpm.ligpartie + 3,
      MATCH(M$1, _xlpm.joueurs, 0) + 1
    )
  ), ""
)</f>
        <v/>
      </c>
      <c r="N371" t="str" cm="1">
        <f t="array" ref="N371">IFERROR(
  _xlfn.LET(
    _xlpm.ligpartie, MATCH($B370, Donnees!$F:$F, 0),
    _xlpm.joueurs, INDEX(Donnees!$A:$Z, _xlpm.ligpartie+1, _xlfn.SEQUENCE(1, 4, 2)),
    INDEX(
      Donnees!$A:$Z,
      _xlpm.ligpartie + 3,
      MATCH(N$1, _xlpm.joueurs, 0) + 1
    )
  ), ""
)</f>
        <v/>
      </c>
      <c r="O371" t="str" cm="1">
        <f t="array" ref="O371">IFERROR(
  _xlfn.LET(
    _xlpm.ligpartie, MATCH($B370, Donnees!$F:$F, 0),
    _xlpm.joueurs, INDEX(Donnees!$A:$Z, _xlpm.ligpartie+1, _xlfn.SEQUENCE(1, 4, 2)),
    INDEX(
      Donnees!$A:$Z,
      _xlpm.ligpartie + 3,
      MATCH(O$1, _xlpm.joueurs, 0) + 1
    )
  ), ""
)</f>
        <v/>
      </c>
      <c r="P371" cm="1">
        <f t="array" ref="P371">IFERROR(
  _xlfn.LET(
    _xlpm.ligpartie, MATCH($B370, Donnees!$F:$F, 0),
    _xlpm.joueurs, INDEX(Donnees!$A:$Z, _xlpm.ligpartie+1, _xlfn.SEQUENCE(1, 4, 2)),
    INDEX(
      Donnees!$A:$Z,
      _xlpm.ligpartie + 3,
      MATCH(P$1, _xlpm.joueurs, 0) + 1
    )
  ), ""
)</f>
        <v>2</v>
      </c>
      <c r="Q371" t="str" cm="1">
        <f t="array" ref="Q371">IFERROR(
  _xlfn.LET(
    _xlpm.ligpartie, MATCH($B370, Donnees!$F:$F, 0),
    _xlpm.joueurs, INDEX(Donnees!$A:$Z, _xlpm.ligpartie+1, _xlfn.SEQUENCE(1, 4, 2)),
    INDEX(
      Donnees!$A:$Z,
      _xlpm.ligpartie + 3,
      MATCH(Q$1, _xlpm.joueurs, 0) + 1
    )
  ), ""
)</f>
        <v/>
      </c>
      <c r="R371" cm="1">
        <f t="array" ref="R371">IFERROR(
  _xlfn.LET(
    _xlpm.ligpartie, MATCH($B370, Donnees!$F:$F, 0),
    _xlpm.joueurs, INDEX(Donnees!$A:$Z, _xlpm.ligpartie+1, _xlfn.SEQUENCE(1, 4, 2)),
    INDEX(
      Donnees!$A:$Z,
      _xlpm.ligpartie + 3,
      MATCH(R$1, _xlpm.joueurs, 0) + 1
    )
  ), ""
)</f>
        <v>0</v>
      </c>
      <c r="S371" t="str" cm="1">
        <f t="array" ref="S371">IFERROR(
  _xlfn.LET(
    _xlpm.ligpartie, MATCH($B370, Donnees!$F:$F, 0),
    _xlpm.joueurs, INDEX(Donnees!$A:$Z, _xlpm.ligpartie+1, _xlfn.SEQUENCE(1, 4, 2)),
    INDEX(
      Donnees!$A:$Z,
      _xlpm.ligpartie + 3,
      MATCH(S$1, _xlpm.joueurs, 0) + 1
    )
  ), ""
)</f>
        <v/>
      </c>
      <c r="T371" t="str" cm="1">
        <f t="array" ref="T371">IFERROR(
  _xlfn.LET(
    _xlpm.ligpartie, MATCH($B370, Donnees!$F:$F, 0),
    _xlpm.joueurs, INDEX(Donnees!$A:$Z, _xlpm.ligpartie+1, _xlfn.SEQUENCE(1, 4, 2)),
    INDEX(
      Donnees!$A:$Z,
      _xlpm.ligpartie + 3,
      MATCH(T$1, _xlpm.joueurs, 0) + 1
    )
  ), ""
)</f>
        <v/>
      </c>
      <c r="U371" cm="1">
        <f t="array" ref="U371">IFERROR(
  _xlfn.LET(
    _xlpm.ligpartie, MATCH($B370, Donnees!$F:$F, 0),
    _xlpm.joueurs, INDEX(Donnees!$A:$Z, _xlpm.ligpartie+1, _xlfn.SEQUENCE(1, 4, 2)),
    INDEX(
      Donnees!$A:$Z,
      _xlpm.ligpartie + 3,
      MATCH(U$1, _xlpm.joueurs, 0) + 1
    )
  ), ""
)</f>
        <v>3</v>
      </c>
      <c r="V371" t="str" cm="1">
        <f t="array" ref="V371">IFERROR(
  _xlfn.LET(
    _xlpm.ligpartie, MATCH($B370, Donnees!$F:$F, 0),
    _xlpm.joueurs, INDEX(Donnees!$A:$Z, _xlpm.ligpartie+1, _xlfn.SEQUENCE(1, 4, 2)),
    INDEX(
      Donnees!$A:$Z,
      _xlpm.ligpartie + 3,
      MATCH(V$1, _xlpm.joueurs, 0) + 1
    )
  ), ""
)</f>
        <v/>
      </c>
      <c r="W371" t="str" cm="1">
        <f t="array" ref="W371">IFERROR(
  _xlfn.LET(
    _xlpm.ligpartie, MATCH($B370, Donnees!$F:$F, 0),
    _xlpm.joueurs, INDEX(Donnees!$A:$Z, _xlpm.ligpartie+1, _xlfn.SEQUENCE(1, 4, 2)),
    INDEX(
      Donnees!$A:$Z,
      _xlpm.ligpartie + 3,
      MATCH(W$1, _xlpm.joueurs, 0) + 1
    )
  ), ""
)</f>
        <v/>
      </c>
      <c r="X371" t="str" cm="1">
        <f t="array" ref="X371">IFERROR(
  _xlfn.LET(
    _xlpm.ligpartie, MATCH($B370, Donnees!$F:$F, 0),
    _xlpm.joueurs, INDEX(Donnees!$A:$Z, _xlpm.ligpartie+1, _xlfn.SEQUENCE(1, 4, 2)),
    INDEX(
      Donnees!$A:$Z,
      _xlpm.ligpartie + 3,
      MATCH(X$1, _xlpm.joueurs, 0) + 1
    )
  ), ""
)</f>
        <v/>
      </c>
      <c r="Y371" t="str" cm="1">
        <f t="array" ref="Y371">IFERROR(
  _xlfn.LET(
    _xlpm.ligpartie, MATCH($B370, Donnees!$F:$F, 0),
    _xlpm.joueurs, INDEX(Donnees!$A:$Z, _xlpm.ligpartie+1, _xlfn.SEQUENCE(1, 4, 2)),
    INDEX(
      Donnees!$A:$Z,
      _xlpm.ligpartie + 3,
      MATCH(Y$1, _xlpm.joueurs, 0) + 1
    )
  ), ""
)</f>
        <v/>
      </c>
      <c r="Z371" t="str" cm="1">
        <f t="array" ref="Z371">IFERROR(
  _xlfn.LET(
    _xlpm.ligpartie, MATCH($B370, Donnees!$F:$F, 0),
    _xlpm.joueurs, INDEX(Donnees!$A:$Z, _xlpm.ligpartie+1, _xlfn.SEQUENCE(1, 4, 2)),
    INDEX(
      Donnees!$A:$Z,
      _xlpm.ligpartie + 3,
      MATCH(Z$1, _xlpm.joueurs, 0) + 1
    )
  ), ""
)</f>
        <v/>
      </c>
      <c r="AA371" cm="1">
        <f t="array" ref="AA371">IFERROR(
  _xlfn.LET(
    _xlpm.ligpartie, MATCH($B370, Donnees!$F:$F, 0),
    _xlpm.joueurs, INDEX(Donnees!$A:$Z, _xlpm.ligpartie+1, _xlfn.SEQUENCE(1, 4, 2)),
    INDEX(
      Donnees!$A:$Z,
      _xlpm.ligpartie + 3,
      MATCH(AA$1, _xlpm.joueurs, 0) + 1
    )
  ), ""
)</f>
        <v>1</v>
      </c>
      <c r="AB371" t="str" cm="1">
        <f t="array" ref="AB371">IFERROR(
  _xlfn.LET(
    _xlpm.ligpartie, MATCH($B370, Donnees!$F:$F, 0),
    _xlpm.joueurs, INDEX(Donnees!$A:$Z, _xlpm.ligpartie+1, _xlfn.SEQUENCE(1, 4, 2)),
    INDEX(
      Donnees!$A:$Z,
      _xlpm.ligpartie + 3,
      MATCH(AB$1, _xlpm.joueurs, 0) + 1
    )
  ), ""
)</f>
        <v/>
      </c>
      <c r="AC371" t="str" cm="1">
        <f t="array" ref="AC371">IFERROR(
  _xlfn.LET(
    _xlpm.ligpartie, MATCH($B370, Donnees!$F:$F, 0),
    _xlpm.joueurs, INDEX(Donnees!$A:$Z, _xlpm.ligpartie+1, _xlfn.SEQUENCE(1, 4, 2)),
    INDEX(
      Donnees!$A:$Z,
      _xlpm.ligpartie + 3,
      MATCH(AC$1, _xlpm.joueurs, 0) + 1
    )
  ), ""
)</f>
        <v/>
      </c>
      <c r="AD371" t="str" cm="1">
        <f t="array" ref="AD371">IFERROR(
  _xlfn.LET(
    _xlpm.ligpartie, MATCH($B370, Donnees!$F:$F, 0),
    _xlpm.joueurs, INDEX(Donnees!$A:$Z, _xlpm.ligpartie+1, _xlfn.SEQUENCE(1, 4, 2)),
    INDEX(
      Donnees!$A:$Z,
      _xlpm.ligpartie + 3,
      MATCH(AD$1, _xlpm.joueurs, 0) + 1
    )
  ), ""
)</f>
        <v/>
      </c>
      <c r="AE371" t="str" cm="1">
        <f t="array" ref="AE371">IFERROR(
  _xlfn.LET(
    _xlpm.ligpartie, MATCH($B370, Donnees!$F:$F, 0),
    _xlpm.joueurs, INDEX(Donnees!$A:$Z, _xlpm.ligpartie+1, _xlfn.SEQUENCE(1, 4, 2)),
    INDEX(
      Donnees!$A:$Z,
      _xlpm.ligpartie + 3,
      MATCH(AE$1, _xlpm.joueurs, 0) + 1
    )
  ), ""
)</f>
        <v/>
      </c>
      <c r="AF371" t="str" cm="1">
        <f t="array" ref="AF371">IFERROR(
  _xlfn.LET(
    _xlpm.ligpartie, MATCH($B370, Donnees!$F:$F, 0),
    _xlpm.joueurs, INDEX(Donnees!$A:$Z, _xlpm.ligpartie+1, _xlfn.SEQUENCE(1, 4, 2)),
    INDEX(
      Donnees!$A:$Z,
      _xlpm.ligpartie + 3,
      MATCH(AF$1, _xlpm.joueurs, 0) + 1
    )
  ), ""
)</f>
        <v/>
      </c>
      <c r="AG371" t="str" cm="1">
        <f t="array" ref="AG371">IFERROR(
  _xlfn.LET(
    _xlpm.ligpartie, MATCH($B370, Donnees!$F:$F, 0),
    _xlpm.joueurs, INDEX(Donnees!$A:$Z, _xlpm.ligpartie+1, _xlfn.SEQUENCE(1, 4, 2)),
    INDEX(
      Donnees!$A:$Z,
      _xlpm.ligpartie + 3,
      MATCH(AG$1, _xlpm.joueurs, 0) + 1
    )
  ), ""
)</f>
        <v/>
      </c>
      <c r="AH371" t="str" cm="1">
        <f t="array" ref="AH371">IFERROR(
  _xlfn.LET(
    _xlpm.ligpartie, MATCH($B370, Donnees!$F:$F, 0),
    _xlpm.joueurs, INDEX(Donnees!$A:$Z, _xlpm.ligpartie+1, _xlfn.SEQUENCE(1, 4, 2)),
    INDEX(
      Donnees!$A:$Z,
      _xlpm.ligpartie + 3,
      MATCH(AH$1, _xlpm.joueurs, 0) + 1
    )
  ), ""
)</f>
        <v/>
      </c>
      <c r="AI371" t="str" cm="1">
        <f t="array" ref="AI371">IFERROR(
  _xlfn.LET(
    _xlpm.ligpartie, MATCH($B370, Donnees!$F:$F, 0),
    _xlpm.joueurs, INDEX(Donnees!$A:$Z, _xlpm.ligpartie+1, _xlfn.SEQUENCE(1, 4, 2)),
    INDEX(
      Donnees!$A:$Z,
      _xlpm.ligpartie + 3,
      MATCH(AI$1, _xlpm.joueurs, 0) + 1
    )
  ), ""
)</f>
        <v/>
      </c>
      <c r="AJ371" t="str" cm="1">
        <f t="array" ref="AJ371">IFERROR(
  _xlfn.LET(
    _xlpm.ligpartie, MATCH($B370, Donnees!$F:$F, 0),
    _xlpm.joueurs, INDEX(Donnees!$A:$Z, _xlpm.ligpartie+1, _xlfn.SEQUENCE(1, 4, 2)),
    INDEX(
      Donnees!$A:$Z,
      _xlpm.ligpartie + 3,
      MATCH(AJ$1, _xlpm.joueurs, 0) + 1
    )
  ), ""
)</f>
        <v/>
      </c>
      <c r="AK371" t="str" cm="1">
        <f t="array" ref="AK371">IFERROR(
  _xlfn.LET(
    _xlpm.ligpartie, MATCH($B370, Donnees!$F:$F, 0),
    _xlpm.joueurs, INDEX(Donnees!$A:$Z, _xlpm.ligpartie+1, _xlfn.SEQUENCE(1, 4, 2)),
    INDEX(
      Donnees!$A:$Z,
      _xlpm.ligpartie + 3,
      MATCH(AK$1, _xlpm.joueurs, 0) + 1
    )
  ), ""
)</f>
        <v/>
      </c>
      <c r="AL371" t="str" cm="1">
        <f t="array" ref="AL371">IFERROR(
  _xlfn.LET(
    _xlpm.ligpartie, MATCH($B370, Donnees!$F:$F, 0),
    _xlpm.joueurs, INDEX(Donnees!$A:$Z, _xlpm.ligpartie+1, _xlfn.SEQUENCE(1, 4, 2)),
    INDEX(
      Donnees!$A:$Z,
      _xlpm.ligpartie + 3,
      MATCH(AL$1, _xlpm.joueurs, 0) + 1
    )
  ), ""
)</f>
        <v/>
      </c>
      <c r="AM371" t="str" cm="1">
        <f t="array" ref="AM371">IFERROR(
  _xlfn.LET(
    _xlpm.ligpartie, MATCH($B370, Donnees!$F:$F, 0),
    _xlpm.joueurs, INDEX(Donnees!$A:$Z, _xlpm.ligpartie+1, _xlfn.SEQUENCE(1, 4, 2)),
    INDEX(
      Donnees!$A:$Z,
      _xlpm.ligpartie + 3,
      MATCH(AM$1, _xlpm.joueurs, 0) + 1
    )
  ), ""
)</f>
        <v/>
      </c>
    </row>
    <row r="372" spans="1:39" x14ac:dyDescent="0.25">
      <c r="A372" t="s">
        <v>20</v>
      </c>
      <c r="D372" t="str" cm="1">
        <f t="array" ref="D372">_xlfn.LET(
  _xlpm.colj, _xlfn._xlws.FILTER(IF(ISNUMBER(371:371), COLUMN(371:371)), ISNUMBER(371:371)),
  _xlpm.elos, INDEX(370:370,1,_xlpm.colj),
  _xlpm.diffscale, Constantes!$B$2,
  IF(D371="",
    "",
    SUM(1/(1+POWER(10,-(D370-_xlpm.elos)/_xlpm.diffscale)))-0.5)
)</f>
        <v/>
      </c>
      <c r="E372" t="str" cm="1">
        <f t="array" ref="E372">_xlfn.LET(
  _xlpm.colj, _xlfn._xlws.FILTER(IF(ISNUMBER(371:371), COLUMN(371:371)), ISNUMBER(371:371)),
  _xlpm.elos, INDEX(370:370,1,_xlpm.colj),
  _xlpm.diffscale, Constantes!$B$2,
  IF(E371="",
    "",
    SUM(1/(1+POWER(10,-(E370-_xlpm.elos)/_xlpm.diffscale)))-0.5)
)</f>
        <v/>
      </c>
      <c r="F372" t="str" cm="1">
        <f t="array" ref="F372">_xlfn.LET(
  _xlpm.colj, _xlfn._xlws.FILTER(IF(ISNUMBER(371:371), COLUMN(371:371)), ISNUMBER(371:371)),
  _xlpm.elos, INDEX(370:370,1,_xlpm.colj),
  _xlpm.diffscale, Constantes!$B$2,
  IF(F371="",
    "",
    SUM(1/(1+POWER(10,-(F370-_xlpm.elos)/_xlpm.diffscale)))-0.5)
)</f>
        <v/>
      </c>
      <c r="G372" t="str" cm="1">
        <f t="array" ref="G372">_xlfn.LET(
  _xlpm.colj, _xlfn._xlws.FILTER(IF(ISNUMBER(371:371), COLUMN(371:371)), ISNUMBER(371:371)),
  _xlpm.elos, INDEX(370:370,1,_xlpm.colj),
  _xlpm.diffscale, Constantes!$B$2,
  IF(G371="",
    "",
    SUM(1/(1+POWER(10,-(G370-_xlpm.elos)/_xlpm.diffscale)))-0.5)
)</f>
        <v/>
      </c>
      <c r="H372" t="str" cm="1">
        <f t="array" ref="H372">_xlfn.LET(
  _xlpm.colj, _xlfn._xlws.FILTER(IF(ISNUMBER(371:371), COLUMN(371:371)), ISNUMBER(371:371)),
  _xlpm.elos, INDEX(370:370,1,_xlpm.colj),
  _xlpm.diffscale, Constantes!$B$2,
  IF(H371="",
    "",
    SUM(1/(1+POWER(10,-(H370-_xlpm.elos)/_xlpm.diffscale)))-0.5)
)</f>
        <v/>
      </c>
      <c r="I372" t="str" cm="1">
        <f t="array" ref="I372">_xlfn.LET(
  _xlpm.colj, _xlfn._xlws.FILTER(IF(ISNUMBER(371:371), COLUMN(371:371)), ISNUMBER(371:371)),
  _xlpm.elos, INDEX(370:370,1,_xlpm.colj),
  _xlpm.diffscale, Constantes!$B$2,
  IF(I371="",
    "",
    SUM(1/(1+POWER(10,-(I370-_xlpm.elos)/_xlpm.diffscale)))-0.5)
)</f>
        <v/>
      </c>
      <c r="J372" t="str" cm="1">
        <f t="array" ref="J372">_xlfn.LET(
  _xlpm.colj, _xlfn._xlws.FILTER(IF(ISNUMBER(371:371), COLUMN(371:371)), ISNUMBER(371:371)),
  _xlpm.elos, INDEX(370:370,1,_xlpm.colj),
  _xlpm.diffscale, Constantes!$B$2,
  IF(J371="",
    "",
    SUM(1/(1+POWER(10,-(J370-_xlpm.elos)/_xlpm.diffscale)))-0.5)
)</f>
        <v/>
      </c>
      <c r="K372" t="str" cm="1">
        <f t="array" ref="K372">_xlfn.LET(
  _xlpm.colj, _xlfn._xlws.FILTER(IF(ISNUMBER(371:371), COLUMN(371:371)), ISNUMBER(371:371)),
  _xlpm.elos, INDEX(370:370,1,_xlpm.colj),
  _xlpm.diffscale, Constantes!$B$2,
  IF(K371="",
    "",
    SUM(1/(1+POWER(10,-(K370-_xlpm.elos)/_xlpm.diffscale)))-0.5)
)</f>
        <v/>
      </c>
      <c r="L372" t="str" cm="1">
        <f t="array" ref="L372">_xlfn.LET(
  _xlpm.colj, _xlfn._xlws.FILTER(IF(ISNUMBER(371:371), COLUMN(371:371)), ISNUMBER(371:371)),
  _xlpm.elos, INDEX(370:370,1,_xlpm.colj),
  _xlpm.diffscale, Constantes!$B$2,
  IF(L371="",
    "",
    SUM(1/(1+POWER(10,-(L370-_xlpm.elos)/_xlpm.diffscale)))-0.5)
)</f>
        <v/>
      </c>
      <c r="M372" t="str" cm="1">
        <f t="array" ref="M372">_xlfn.LET(
  _xlpm.colj, _xlfn._xlws.FILTER(IF(ISNUMBER(371:371), COLUMN(371:371)), ISNUMBER(371:371)),
  _xlpm.elos, INDEX(370:370,1,_xlpm.colj),
  _xlpm.diffscale, Constantes!$B$2,
  IF(M371="",
    "",
    SUM(1/(1+POWER(10,-(M370-_xlpm.elos)/_xlpm.diffscale)))-0.5)
)</f>
        <v/>
      </c>
      <c r="N372" t="str" cm="1">
        <f t="array" ref="N372">_xlfn.LET(
  _xlpm.colj, _xlfn._xlws.FILTER(IF(ISNUMBER(371:371), COLUMN(371:371)), ISNUMBER(371:371)),
  _xlpm.elos, INDEX(370:370,1,_xlpm.colj),
  _xlpm.diffscale, Constantes!$B$2,
  IF(N371="",
    "",
    SUM(1/(1+POWER(10,-(N370-_xlpm.elos)/_xlpm.diffscale)))-0.5)
)</f>
        <v/>
      </c>
      <c r="O372" t="str" cm="1">
        <f t="array" ref="O372">_xlfn.LET(
  _xlpm.colj, _xlfn._xlws.FILTER(IF(ISNUMBER(371:371), COLUMN(371:371)), ISNUMBER(371:371)),
  _xlpm.elos, INDEX(370:370,1,_xlpm.colj),
  _xlpm.diffscale, Constantes!$B$2,
  IF(O371="",
    "",
    SUM(1/(1+POWER(10,-(O370-_xlpm.elos)/_xlpm.diffscale)))-0.5)
)</f>
        <v/>
      </c>
      <c r="P372" cm="1">
        <f t="array" ref="P372">_xlfn.LET(
  _xlpm.colj, _xlfn._xlws.FILTER(IF(ISNUMBER(371:371), COLUMN(371:371)), ISNUMBER(371:371)),
  _xlpm.elos, INDEX(370:370,1,_xlpm.colj),
  _xlpm.diffscale, Constantes!$B$2,
  IF(P371="",
    "",
    SUM(1/(1+POWER(10,-(P370-_xlpm.elos)/_xlpm.diffscale)))-0.5)
)</f>
        <v>0.96654955898819916</v>
      </c>
      <c r="Q372" t="str" cm="1">
        <f t="array" ref="Q372">_xlfn.LET(
  _xlpm.colj, _xlfn._xlws.FILTER(IF(ISNUMBER(371:371), COLUMN(371:371)), ISNUMBER(371:371)),
  _xlpm.elos, INDEX(370:370,1,_xlpm.colj),
  _xlpm.diffscale, Constantes!$B$2,
  IF(Q371="",
    "",
    SUM(1/(1+POWER(10,-(Q370-_xlpm.elos)/_xlpm.diffscale)))-0.5)
)</f>
        <v/>
      </c>
      <c r="R372" cm="1">
        <f t="array" ref="R372">_xlfn.LET(
  _xlpm.colj, _xlfn._xlws.FILTER(IF(ISNUMBER(371:371), COLUMN(371:371)), ISNUMBER(371:371)),
  _xlpm.elos, INDEX(370:370,1,_xlpm.colj),
  _xlpm.diffscale, Constantes!$B$2,
  IF(R371="",
    "",
    SUM(1/(1+POWER(10,-(R370-_xlpm.elos)/_xlpm.diffscale)))-0.5)
)</f>
        <v>1.7511898750981665</v>
      </c>
      <c r="S372" t="str" cm="1">
        <f t="array" ref="S372">_xlfn.LET(
  _xlpm.colj, _xlfn._xlws.FILTER(IF(ISNUMBER(371:371), COLUMN(371:371)), ISNUMBER(371:371)),
  _xlpm.elos, INDEX(370:370,1,_xlpm.colj),
  _xlpm.diffscale, Constantes!$B$2,
  IF(S371="",
    "",
    SUM(1/(1+POWER(10,-(S370-_xlpm.elos)/_xlpm.diffscale)))-0.5)
)</f>
        <v/>
      </c>
      <c r="T372" t="str" cm="1">
        <f t="array" ref="T372">_xlfn.LET(
  _xlpm.colj, _xlfn._xlws.FILTER(IF(ISNUMBER(371:371), COLUMN(371:371)), ISNUMBER(371:371)),
  _xlpm.elos, INDEX(370:370,1,_xlpm.colj),
  _xlpm.diffscale, Constantes!$B$2,
  IF(T371="",
    "",
    SUM(1/(1+POWER(10,-(T370-_xlpm.elos)/_xlpm.diffscale)))-0.5)
)</f>
        <v/>
      </c>
      <c r="U372" cm="1">
        <f t="array" ref="U372">_xlfn.LET(
  _xlpm.colj, _xlfn._xlws.FILTER(IF(ISNUMBER(371:371), COLUMN(371:371)), ISNUMBER(371:371)),
  _xlpm.elos, INDEX(370:370,1,_xlpm.colj),
  _xlpm.diffscale, Constantes!$B$2,
  IF(U371="",
    "",
    SUM(1/(1+POWER(10,-(U370-_xlpm.elos)/_xlpm.diffscale)))-0.5)
)</f>
        <v>2.2777930939497537</v>
      </c>
      <c r="V372" t="str" cm="1">
        <f t="array" ref="V372">_xlfn.LET(
  _xlpm.colj, _xlfn._xlws.FILTER(IF(ISNUMBER(371:371), COLUMN(371:371)), ISNUMBER(371:371)),
  _xlpm.elos, INDEX(370:370,1,_xlpm.colj),
  _xlpm.diffscale, Constantes!$B$2,
  IF(V371="",
    "",
    SUM(1/(1+POWER(10,-(V370-_xlpm.elos)/_xlpm.diffscale)))-0.5)
)</f>
        <v/>
      </c>
      <c r="W372" t="str" cm="1">
        <f t="array" ref="W372">_xlfn.LET(
  _xlpm.colj, _xlfn._xlws.FILTER(IF(ISNUMBER(371:371), COLUMN(371:371)), ISNUMBER(371:371)),
  _xlpm.elos, INDEX(370:370,1,_xlpm.colj),
  _xlpm.diffscale, Constantes!$B$2,
  IF(W371="",
    "",
    SUM(1/(1+POWER(10,-(W370-_xlpm.elos)/_xlpm.diffscale)))-0.5)
)</f>
        <v/>
      </c>
      <c r="X372" t="str" cm="1">
        <f t="array" ref="X372">_xlfn.LET(
  _xlpm.colj, _xlfn._xlws.FILTER(IF(ISNUMBER(371:371), COLUMN(371:371)), ISNUMBER(371:371)),
  _xlpm.elos, INDEX(370:370,1,_xlpm.colj),
  _xlpm.diffscale, Constantes!$B$2,
  IF(X371="",
    "",
    SUM(1/(1+POWER(10,-(X370-_xlpm.elos)/_xlpm.diffscale)))-0.5)
)</f>
        <v/>
      </c>
      <c r="Y372" t="str" cm="1">
        <f t="array" ref="Y372">_xlfn.LET(
  _xlpm.colj, _xlfn._xlws.FILTER(IF(ISNUMBER(371:371), COLUMN(371:371)), ISNUMBER(371:371)),
  _xlpm.elos, INDEX(370:370,1,_xlpm.colj),
  _xlpm.diffscale, Constantes!$B$2,
  IF(Y371="",
    "",
    SUM(1/(1+POWER(10,-(Y370-_xlpm.elos)/_xlpm.diffscale)))-0.5)
)</f>
        <v/>
      </c>
      <c r="Z372" t="str" cm="1">
        <f t="array" ref="Z372">_xlfn.LET(
  _xlpm.colj, _xlfn._xlws.FILTER(IF(ISNUMBER(371:371), COLUMN(371:371)), ISNUMBER(371:371)),
  _xlpm.elos, INDEX(370:370,1,_xlpm.colj),
  _xlpm.diffscale, Constantes!$B$2,
  IF(Z371="",
    "",
    SUM(1/(1+POWER(10,-(Z370-_xlpm.elos)/_xlpm.diffscale)))-0.5)
)</f>
        <v/>
      </c>
      <c r="AA372" cm="1">
        <f t="array" ref="AA372">_xlfn.LET(
  _xlpm.colj, _xlfn._xlws.FILTER(IF(ISNUMBER(371:371), COLUMN(371:371)), ISNUMBER(371:371)),
  _xlpm.elos, INDEX(370:370,1,_xlpm.colj),
  _xlpm.diffscale, Constantes!$B$2,
  IF(AA371="",
    "",
    SUM(1/(1+POWER(10,-(AA370-_xlpm.elos)/_xlpm.diffscale)))-0.5)
)</f>
        <v>1.0044674719638806</v>
      </c>
      <c r="AB372" t="str" cm="1">
        <f t="array" ref="AB372">_xlfn.LET(
  _xlpm.colj, _xlfn._xlws.FILTER(IF(ISNUMBER(371:371), COLUMN(371:371)), ISNUMBER(371:371)),
  _xlpm.elos, INDEX(370:370,1,_xlpm.colj),
  _xlpm.diffscale, Constantes!$B$2,
  IF(AB371="",
    "",
    SUM(1/(1+POWER(10,-(AB370-_xlpm.elos)/_xlpm.diffscale)))-0.5)
)</f>
        <v/>
      </c>
      <c r="AC372" t="str" cm="1">
        <f t="array" ref="AC372">_xlfn.LET(
  _xlpm.colj, _xlfn._xlws.FILTER(IF(ISNUMBER(371:371), COLUMN(371:371)), ISNUMBER(371:371)),
  _xlpm.elos, INDEX(370:370,1,_xlpm.colj),
  _xlpm.diffscale, Constantes!$B$2,
  IF(AC371="",
    "",
    SUM(1/(1+POWER(10,-(AC370-_xlpm.elos)/_xlpm.diffscale)))-0.5)
)</f>
        <v/>
      </c>
      <c r="AD372" t="str" cm="1">
        <f t="array" ref="AD372">_xlfn.LET(
  _xlpm.colj, _xlfn._xlws.FILTER(IF(ISNUMBER(371:371), COLUMN(371:371)), ISNUMBER(371:371)),
  _xlpm.elos, INDEX(370:370,1,_xlpm.colj),
  _xlpm.diffscale, Constantes!$B$2,
  IF(AD371="",
    "",
    SUM(1/(1+POWER(10,-(AD370-_xlpm.elos)/_xlpm.diffscale)))-0.5)
)</f>
        <v/>
      </c>
      <c r="AE372" t="str" cm="1">
        <f t="array" ref="AE372">_xlfn.LET(
  _xlpm.colj, _xlfn._xlws.FILTER(IF(ISNUMBER(371:371), COLUMN(371:371)), ISNUMBER(371:371)),
  _xlpm.elos, INDEX(370:370,1,_xlpm.colj),
  _xlpm.diffscale, Constantes!$B$2,
  IF(AE371="",
    "",
    SUM(1/(1+POWER(10,-(AE370-_xlpm.elos)/_xlpm.diffscale)))-0.5)
)</f>
        <v/>
      </c>
      <c r="AF372" t="str" cm="1">
        <f t="array" ref="AF372">_xlfn.LET(
  _xlpm.colj, _xlfn._xlws.FILTER(IF(ISNUMBER(371:371), COLUMN(371:371)), ISNUMBER(371:371)),
  _xlpm.elos, INDEX(370:370,1,_xlpm.colj),
  _xlpm.diffscale, Constantes!$B$2,
  IF(AF371="",
    "",
    SUM(1/(1+POWER(10,-(AF370-_xlpm.elos)/_xlpm.diffscale)))-0.5)
)</f>
        <v/>
      </c>
      <c r="AG372" t="str" cm="1">
        <f t="array" ref="AG372">_xlfn.LET(
  _xlpm.colj, _xlfn._xlws.FILTER(IF(ISNUMBER(371:371), COLUMN(371:371)), ISNUMBER(371:371)),
  _xlpm.elos, INDEX(370:370,1,_xlpm.colj),
  _xlpm.diffscale, Constantes!$B$2,
  IF(AG371="",
    "",
    SUM(1/(1+POWER(10,-(AG370-_xlpm.elos)/_xlpm.diffscale)))-0.5)
)</f>
        <v/>
      </c>
      <c r="AH372" t="str" cm="1">
        <f t="array" ref="AH372">_xlfn.LET(
  _xlpm.colj, _xlfn._xlws.FILTER(IF(ISNUMBER(371:371), COLUMN(371:371)), ISNUMBER(371:371)),
  _xlpm.elos, INDEX(370:370,1,_xlpm.colj),
  _xlpm.diffscale, Constantes!$B$2,
  IF(AH371="",
    "",
    SUM(1/(1+POWER(10,-(AH370-_xlpm.elos)/_xlpm.diffscale)))-0.5)
)</f>
        <v/>
      </c>
      <c r="AI372" t="str" cm="1">
        <f t="array" ref="AI372">_xlfn.LET(
  _xlpm.colj, _xlfn._xlws.FILTER(IF(ISNUMBER(371:371), COLUMN(371:371)), ISNUMBER(371:371)),
  _xlpm.elos, INDEX(370:370,1,_xlpm.colj),
  _xlpm.diffscale, Constantes!$B$2,
  IF(AI371="",
    "",
    SUM(1/(1+POWER(10,-(AI370-_xlpm.elos)/_xlpm.diffscale)))-0.5)
)</f>
        <v/>
      </c>
      <c r="AJ372" t="str" cm="1">
        <f t="array" ref="AJ372">_xlfn.LET(
  _xlpm.colj, _xlfn._xlws.FILTER(IF(ISNUMBER(371:371), COLUMN(371:371)), ISNUMBER(371:371)),
  _xlpm.elos, INDEX(370:370,1,_xlpm.colj),
  _xlpm.diffscale, Constantes!$B$2,
  IF(AJ371="",
    "",
    SUM(1/(1+POWER(10,-(AJ370-_xlpm.elos)/_xlpm.diffscale)))-0.5)
)</f>
        <v/>
      </c>
      <c r="AK372" t="str" cm="1">
        <f t="array" ref="AK372">_xlfn.LET(
  _xlpm.colj, _xlfn._xlws.FILTER(IF(ISNUMBER(371:371), COLUMN(371:371)), ISNUMBER(371:371)),
  _xlpm.elos, INDEX(370:370,1,_xlpm.colj),
  _xlpm.diffscale, Constantes!$B$2,
  IF(AK371="",
    "",
    SUM(1/(1+POWER(10,-(AK370-_xlpm.elos)/_xlpm.diffscale)))-0.5)
)</f>
        <v/>
      </c>
      <c r="AL372" t="str" cm="1">
        <f t="array" ref="AL372">_xlfn.LET(
  _xlpm.colj, _xlfn._xlws.FILTER(IF(ISNUMBER(371:371), COLUMN(371:371)), ISNUMBER(371:371)),
  _xlpm.elos, INDEX(370:370,1,_xlpm.colj),
  _xlpm.diffscale, Constantes!$B$2,
  IF(AL371="",
    "",
    SUM(1/(1+POWER(10,-(AL370-_xlpm.elos)/_xlpm.diffscale)))-0.5)
)</f>
        <v/>
      </c>
      <c r="AM372" t="str" cm="1">
        <f t="array" ref="AM372">_xlfn.LET(
  _xlpm.colj, _xlfn._xlws.FILTER(IF(ISNUMBER(371:371), COLUMN(371:371)), ISNUMBER(371:371)),
  _xlpm.elos, INDEX(370:370,1,_xlpm.colj),
  _xlpm.diffscale, Constantes!$B$2,
  IF(AM371="",
    "",
    SUM(1/(1+POWER(10,-(AM370-_xlpm.elos)/_xlpm.diffscale)))-0.5)
)</f>
        <v/>
      </c>
    </row>
    <row r="373" spans="1:39" x14ac:dyDescent="0.25">
      <c r="A373" t="s">
        <v>22</v>
      </c>
      <c r="D373" t="str" cm="1">
        <f t="array" ref="D373">_xlfn.LET(
  _xlpm.K, Constantes!$B$3,
  _xlpm.Knewgain, Constantes!$B$4,
  _xlpm.Knewscale, Constantes!$B$5,
  _xlpm.ptstables, INDEX(D:D, _xlfn.SEQUENCE(COUNTA($C$2:$C373), 1, 3, 4)),
  _xlpm.nbparties, COUNTA(_xlfn._xlws.FILTER(_xlpm.ptstables, _xlpm.ptstables &lt;&gt; "")),
  _xlpm.coef, _xlpm.K + _xlpm.Knewgain / (_xlpm.Knewscale + _xlpm.nbparties),
  IF(D371="",
    "",
    _xlpm.coef * (D371-D372))
)</f>
        <v/>
      </c>
      <c r="E373" t="str" cm="1">
        <f t="array" ref="E373">_xlfn.LET(
  _xlpm.K, Constantes!$B$3,
  _xlpm.Knewgain, Constantes!$B$4,
  _xlpm.Knewscale, Constantes!$B$5,
  _xlpm.ptstables, INDEX(E:E, _xlfn.SEQUENCE(COUNTA($C$2:$C373), 1, 3, 4)),
  _xlpm.nbparties, COUNTA(_xlfn._xlws.FILTER(_xlpm.ptstables, _xlpm.ptstables &lt;&gt; "")),
  _xlpm.coef, _xlpm.K + _xlpm.Knewgain / (_xlpm.Knewscale + _xlpm.nbparties),
  IF(E371="",
    "",
    _xlpm.coef * (E371-E372))
)</f>
        <v/>
      </c>
      <c r="F373" t="str" cm="1">
        <f t="array" ref="F373">_xlfn.LET(
  _xlpm.K, Constantes!$B$3,
  _xlpm.Knewgain, Constantes!$B$4,
  _xlpm.Knewscale, Constantes!$B$5,
  _xlpm.ptstables, INDEX(F:F, _xlfn.SEQUENCE(COUNTA($C$2:$C373), 1, 3, 4)),
  _xlpm.nbparties, COUNTA(_xlfn._xlws.FILTER(_xlpm.ptstables, _xlpm.ptstables &lt;&gt; "")),
  _xlpm.coef, _xlpm.K + _xlpm.Knewgain / (_xlpm.Knewscale + _xlpm.nbparties),
  IF(F371="",
    "",
    _xlpm.coef * (F371-F372))
)</f>
        <v/>
      </c>
      <c r="G373" t="str" cm="1">
        <f t="array" ref="G373">_xlfn.LET(
  _xlpm.K, Constantes!$B$3,
  _xlpm.Knewgain, Constantes!$B$4,
  _xlpm.Knewscale, Constantes!$B$5,
  _xlpm.ptstables, INDEX(G:G, _xlfn.SEQUENCE(COUNTA($C$2:$C373), 1, 3, 4)),
  _xlpm.nbparties, COUNTA(_xlfn._xlws.FILTER(_xlpm.ptstables, _xlpm.ptstables &lt;&gt; "")),
  _xlpm.coef, _xlpm.K + _xlpm.Knewgain / (_xlpm.Knewscale + _xlpm.nbparties),
  IF(G371="",
    "",
    _xlpm.coef * (G371-G372))
)</f>
        <v/>
      </c>
      <c r="H373" t="str" cm="1">
        <f t="array" ref="H373">_xlfn.LET(
  _xlpm.K, Constantes!$B$3,
  _xlpm.Knewgain, Constantes!$B$4,
  _xlpm.Knewscale, Constantes!$B$5,
  _xlpm.ptstables, INDEX(H:H, _xlfn.SEQUENCE(COUNTA($C$2:$C373), 1, 3, 4)),
  _xlpm.nbparties, COUNTA(_xlfn._xlws.FILTER(_xlpm.ptstables, _xlpm.ptstables &lt;&gt; "")),
  _xlpm.coef, _xlpm.K + _xlpm.Knewgain / (_xlpm.Knewscale + _xlpm.nbparties),
  IF(H371="",
    "",
    _xlpm.coef * (H371-H372))
)</f>
        <v/>
      </c>
      <c r="I373" t="str" cm="1">
        <f t="array" ref="I373">_xlfn.LET(
  _xlpm.K, Constantes!$B$3,
  _xlpm.Knewgain, Constantes!$B$4,
  _xlpm.Knewscale, Constantes!$B$5,
  _xlpm.ptstables, INDEX(I:I, _xlfn.SEQUENCE(COUNTA($C$2:$C373), 1, 3, 4)),
  _xlpm.nbparties, COUNTA(_xlfn._xlws.FILTER(_xlpm.ptstables, _xlpm.ptstables &lt;&gt; "")),
  _xlpm.coef, _xlpm.K + _xlpm.Knewgain / (_xlpm.Knewscale + _xlpm.nbparties),
  IF(I371="",
    "",
    _xlpm.coef * (I371-I372))
)</f>
        <v/>
      </c>
      <c r="J373" t="str" cm="1">
        <f t="array" ref="J373">_xlfn.LET(
  _xlpm.K, Constantes!$B$3,
  _xlpm.Knewgain, Constantes!$B$4,
  _xlpm.Knewscale, Constantes!$B$5,
  _xlpm.ptstables, INDEX(J:J, _xlfn.SEQUENCE(COUNTA($C$2:$C373), 1, 3, 4)),
  _xlpm.nbparties, COUNTA(_xlfn._xlws.FILTER(_xlpm.ptstables, _xlpm.ptstables &lt;&gt; "")),
  _xlpm.coef, _xlpm.K + _xlpm.Knewgain / (_xlpm.Knewscale + _xlpm.nbparties),
  IF(J371="",
    "",
    _xlpm.coef * (J371-J372))
)</f>
        <v/>
      </c>
      <c r="K373" t="str" cm="1">
        <f t="array" ref="K373">_xlfn.LET(
  _xlpm.K, Constantes!$B$3,
  _xlpm.Knewgain, Constantes!$B$4,
  _xlpm.Knewscale, Constantes!$B$5,
  _xlpm.ptstables, INDEX(K:K, _xlfn.SEQUENCE(COUNTA($C$2:$C373), 1, 3, 4)),
  _xlpm.nbparties, COUNTA(_xlfn._xlws.FILTER(_xlpm.ptstables, _xlpm.ptstables &lt;&gt; "")),
  _xlpm.coef, _xlpm.K + _xlpm.Knewgain / (_xlpm.Knewscale + _xlpm.nbparties),
  IF(K371="",
    "",
    _xlpm.coef * (K371-K372))
)</f>
        <v/>
      </c>
      <c r="L373" t="str" cm="1">
        <f t="array" ref="L373">_xlfn.LET(
  _xlpm.K, Constantes!$B$3,
  _xlpm.Knewgain, Constantes!$B$4,
  _xlpm.Knewscale, Constantes!$B$5,
  _xlpm.ptstables, INDEX(L:L, _xlfn.SEQUENCE(COUNTA($C$2:$C373), 1, 3, 4)),
  _xlpm.nbparties, COUNTA(_xlfn._xlws.FILTER(_xlpm.ptstables, _xlpm.ptstables &lt;&gt; "")),
  _xlpm.coef, _xlpm.K + _xlpm.Knewgain / (_xlpm.Knewscale + _xlpm.nbparties),
  IF(L371="",
    "",
    _xlpm.coef * (L371-L372))
)</f>
        <v/>
      </c>
      <c r="M373" t="str" cm="1">
        <f t="array" ref="M373">_xlfn.LET(
  _xlpm.K, Constantes!$B$3,
  _xlpm.Knewgain, Constantes!$B$4,
  _xlpm.Knewscale, Constantes!$B$5,
  _xlpm.ptstables, INDEX(M:M, _xlfn.SEQUENCE(COUNTA($C$2:$C373), 1, 3, 4)),
  _xlpm.nbparties, COUNTA(_xlfn._xlws.FILTER(_xlpm.ptstables, _xlpm.ptstables &lt;&gt; "")),
  _xlpm.coef, _xlpm.K + _xlpm.Knewgain / (_xlpm.Knewscale + _xlpm.nbparties),
  IF(M371="",
    "",
    _xlpm.coef * (M371-M372))
)</f>
        <v/>
      </c>
      <c r="N373" t="str" cm="1">
        <f t="array" ref="N373">_xlfn.LET(
  _xlpm.K, Constantes!$B$3,
  _xlpm.Knewgain, Constantes!$B$4,
  _xlpm.Knewscale, Constantes!$B$5,
  _xlpm.ptstables, INDEX(N:N, _xlfn.SEQUENCE(COUNTA($C$2:$C373), 1, 3, 4)),
  _xlpm.nbparties, COUNTA(_xlfn._xlws.FILTER(_xlpm.ptstables, _xlpm.ptstables &lt;&gt; "")),
  _xlpm.coef, _xlpm.K + _xlpm.Knewgain / (_xlpm.Knewscale + _xlpm.nbparties),
  IF(N371="",
    "",
    _xlpm.coef * (N371-N372))
)</f>
        <v/>
      </c>
      <c r="O373" t="str" cm="1">
        <f t="array" ref="O373">_xlfn.LET(
  _xlpm.K, Constantes!$B$3,
  _xlpm.Knewgain, Constantes!$B$4,
  _xlpm.Knewscale, Constantes!$B$5,
  _xlpm.ptstables, INDEX(O:O, _xlfn.SEQUENCE(COUNTA($C$2:$C373), 1, 3, 4)),
  _xlpm.nbparties, COUNTA(_xlfn._xlws.FILTER(_xlpm.ptstables, _xlpm.ptstables &lt;&gt; "")),
  _xlpm.coef, _xlpm.K + _xlpm.Knewgain / (_xlpm.Knewscale + _xlpm.nbparties),
  IF(O371="",
    "",
    _xlpm.coef * (O371-O372))
)</f>
        <v/>
      </c>
      <c r="P373" cm="1">
        <f t="array" ref="P373">_xlfn.LET(
  _xlpm.K, Constantes!$B$3,
  _xlpm.Knewgain, Constantes!$B$4,
  _xlpm.Knewscale, Constantes!$B$5,
  _xlpm.ptstables, INDEX(P:P, _xlfn.SEQUENCE(COUNTA($C$2:$C373), 1, 3, 4)),
  _xlpm.nbparties, COUNTA(_xlfn._xlws.FILTER(_xlpm.ptstables, _xlpm.ptstables &lt;&gt; "")),
  _xlpm.coef, _xlpm.K + _xlpm.Knewgain / (_xlpm.Knewscale + _xlpm.nbparties),
  IF(P371="",
    "",
    _xlpm.coef * (P371-P372))
)</f>
        <v>23.388615243951282</v>
      </c>
      <c r="Q373" t="str" cm="1">
        <f t="array" ref="Q373">_xlfn.LET(
  _xlpm.K, Constantes!$B$3,
  _xlpm.Knewgain, Constantes!$B$4,
  _xlpm.Knewscale, Constantes!$B$5,
  _xlpm.ptstables, INDEX(Q:Q, _xlfn.SEQUENCE(COUNTA($C$2:$C373), 1, 3, 4)),
  _xlpm.nbparties, COUNTA(_xlfn._xlws.FILTER(_xlpm.ptstables, _xlpm.ptstables &lt;&gt; "")),
  _xlpm.coef, _xlpm.K + _xlpm.Knewgain / (_xlpm.Knewscale + _xlpm.nbparties),
  IF(Q371="",
    "",
    _xlpm.coef * (Q371-Q372))
)</f>
        <v/>
      </c>
      <c r="R373" cm="1">
        <f t="array" ref="R373">_xlfn.LET(
  _xlpm.K, Constantes!$B$3,
  _xlpm.Knewgain, Constantes!$B$4,
  _xlpm.Knewscale, Constantes!$B$5,
  _xlpm.ptstables, INDEX(R:R, _xlfn.SEQUENCE(COUNTA($C$2:$C373), 1, 3, 4)),
  _xlpm.nbparties, COUNTA(_xlfn._xlws.FILTER(_xlpm.ptstables, _xlpm.ptstables &lt;&gt; "")),
  _xlpm.coef, _xlpm.K + _xlpm.Knewgain / (_xlpm.Knewscale + _xlpm.nbparties),
  IF(R371="",
    "",
    _xlpm.coef * (R371-R372))
)</f>
        <v>-38.672109741751171</v>
      </c>
      <c r="S373" t="str" cm="1">
        <f t="array" ref="S373">_xlfn.LET(
  _xlpm.K, Constantes!$B$3,
  _xlpm.Knewgain, Constantes!$B$4,
  _xlpm.Knewscale, Constantes!$B$5,
  _xlpm.ptstables, INDEX(S:S, _xlfn.SEQUENCE(COUNTA($C$2:$C373), 1, 3, 4)),
  _xlpm.nbparties, COUNTA(_xlfn._xlws.FILTER(_xlpm.ptstables, _xlpm.ptstables &lt;&gt; "")),
  _xlpm.coef, _xlpm.K + _xlpm.Knewgain / (_xlpm.Knewscale + _xlpm.nbparties),
  IF(S371="",
    "",
    _xlpm.coef * (S371-S372))
)</f>
        <v/>
      </c>
      <c r="T373" t="str" cm="1">
        <f t="array" ref="T373">_xlfn.LET(
  _xlpm.K, Constantes!$B$3,
  _xlpm.Knewgain, Constantes!$B$4,
  _xlpm.Knewscale, Constantes!$B$5,
  _xlpm.ptstables, INDEX(T:T, _xlfn.SEQUENCE(COUNTA($C$2:$C373), 1, 3, 4)),
  _xlpm.nbparties, COUNTA(_xlfn._xlws.FILTER(_xlpm.ptstables, _xlpm.ptstables &lt;&gt; "")),
  _xlpm.coef, _xlpm.K + _xlpm.Knewgain / (_xlpm.Knewscale + _xlpm.nbparties),
  IF(T371="",
    "",
    _xlpm.coef * (T371-T372))
)</f>
        <v/>
      </c>
      <c r="U373" cm="1">
        <f t="array" ref="U373">_xlfn.LET(
  _xlpm.K, Constantes!$B$3,
  _xlpm.Knewgain, Constantes!$B$4,
  _xlpm.Knewscale, Constantes!$B$5,
  _xlpm.ptstables, INDEX(U:U, _xlfn.SEQUENCE(COUNTA($C$2:$C373), 1, 3, 4)),
  _xlpm.nbparties, COUNTA(_xlfn._xlws.FILTER(_xlpm.ptstables, _xlpm.ptstables &lt;&gt; "")),
  _xlpm.coef, _xlpm.K + _xlpm.Knewgain / (_xlpm.Knewscale + _xlpm.nbparties),
  IF(U371="",
    "",
    _xlpm.coef * (U371-U372))
)</f>
        <v>15.733793310380365</v>
      </c>
      <c r="V373" t="str" cm="1">
        <f t="array" ref="V373">_xlfn.LET(
  _xlpm.K, Constantes!$B$3,
  _xlpm.Knewgain, Constantes!$B$4,
  _xlpm.Knewscale, Constantes!$B$5,
  _xlpm.ptstables, INDEX(V:V, _xlfn.SEQUENCE(COUNTA($C$2:$C373), 1, 3, 4)),
  _xlpm.nbparties, COUNTA(_xlfn._xlws.FILTER(_xlpm.ptstables, _xlpm.ptstables &lt;&gt; "")),
  _xlpm.coef, _xlpm.K + _xlpm.Knewgain / (_xlpm.Knewscale + _xlpm.nbparties),
  IF(V371="",
    "",
    _xlpm.coef * (V371-V372))
)</f>
        <v/>
      </c>
      <c r="W373" t="str" cm="1">
        <f t="array" ref="W373">_xlfn.LET(
  _xlpm.K, Constantes!$B$3,
  _xlpm.Knewgain, Constantes!$B$4,
  _xlpm.Knewscale, Constantes!$B$5,
  _xlpm.ptstables, INDEX(W:W, _xlfn.SEQUENCE(COUNTA($C$2:$C373), 1, 3, 4)),
  _xlpm.nbparties, COUNTA(_xlfn._xlws.FILTER(_xlpm.ptstables, _xlpm.ptstables &lt;&gt; "")),
  _xlpm.coef, _xlpm.K + _xlpm.Knewgain / (_xlpm.Knewscale + _xlpm.nbparties),
  IF(W371="",
    "",
    _xlpm.coef * (W371-W372))
)</f>
        <v/>
      </c>
      <c r="X373" t="str" cm="1">
        <f t="array" ref="X373">_xlfn.LET(
  _xlpm.K, Constantes!$B$3,
  _xlpm.Knewgain, Constantes!$B$4,
  _xlpm.Knewscale, Constantes!$B$5,
  _xlpm.ptstables, INDEX(X:X, _xlfn.SEQUENCE(COUNTA($C$2:$C373), 1, 3, 4)),
  _xlpm.nbparties, COUNTA(_xlfn._xlws.FILTER(_xlpm.ptstables, _xlpm.ptstables &lt;&gt; "")),
  _xlpm.coef, _xlpm.K + _xlpm.Knewgain / (_xlpm.Knewscale + _xlpm.nbparties),
  IF(X371="",
    "",
    _xlpm.coef * (X371-X372))
)</f>
        <v/>
      </c>
      <c r="Y373" t="str" cm="1">
        <f t="array" ref="Y373">_xlfn.LET(
  _xlpm.K, Constantes!$B$3,
  _xlpm.Knewgain, Constantes!$B$4,
  _xlpm.Knewscale, Constantes!$B$5,
  _xlpm.ptstables, INDEX(Y:Y, _xlfn.SEQUENCE(COUNTA($C$2:$C373), 1, 3, 4)),
  _xlpm.nbparties, COUNTA(_xlfn._xlws.FILTER(_xlpm.ptstables, _xlpm.ptstables &lt;&gt; "")),
  _xlpm.coef, _xlpm.K + _xlpm.Knewgain / (_xlpm.Knewscale + _xlpm.nbparties),
  IF(Y371="",
    "",
    _xlpm.coef * (Y371-Y372))
)</f>
        <v/>
      </c>
      <c r="Z373" t="str" cm="1">
        <f t="array" ref="Z373">_xlfn.LET(
  _xlpm.K, Constantes!$B$3,
  _xlpm.Knewgain, Constantes!$B$4,
  _xlpm.Knewscale, Constantes!$B$5,
  _xlpm.ptstables, INDEX(Z:Z, _xlfn.SEQUENCE(COUNTA($C$2:$C373), 1, 3, 4)),
  _xlpm.nbparties, COUNTA(_xlfn._xlws.FILTER(_xlpm.ptstables, _xlpm.ptstables &lt;&gt; "")),
  _xlpm.coef, _xlpm.K + _xlpm.Knewgain / (_xlpm.Knewscale + _xlpm.nbparties),
  IF(Z371="",
    "",
    _xlpm.coef * (Z371-Z372))
)</f>
        <v/>
      </c>
      <c r="AA373" cm="1">
        <f t="array" ref="AA373">_xlfn.LET(
  _xlpm.K, Constantes!$B$3,
  _xlpm.Knewgain, Constantes!$B$4,
  _xlpm.Knewscale, Constantes!$B$5,
  _xlpm.ptstables, INDEX(AA:AA, _xlfn.SEQUENCE(COUNTA($C$2:$C373), 1, 3, 4)),
  _xlpm.nbparties, COUNTA(_xlfn._xlws.FILTER(_xlpm.ptstables, _xlpm.ptstables &lt;&gt; "")),
  _xlpm.coef, _xlpm.K + _xlpm.Knewgain / (_xlpm.Knewscale + _xlpm.nbparties),
  IF(AA371="",
    "",
    _xlpm.coef * (AA371-AA372))
)</f>
        <v>-0.11168679909701607</v>
      </c>
      <c r="AB373" t="str" cm="1">
        <f t="array" ref="AB373">_xlfn.LET(
  _xlpm.K, Constantes!$B$3,
  _xlpm.Knewgain, Constantes!$B$4,
  _xlpm.Knewscale, Constantes!$B$5,
  _xlpm.ptstables, INDEX(AB:AB, _xlfn.SEQUENCE(COUNTA($C$2:$C373), 1, 3, 4)),
  _xlpm.nbparties, COUNTA(_xlfn._xlws.FILTER(_xlpm.ptstables, _xlpm.ptstables &lt;&gt; "")),
  _xlpm.coef, _xlpm.K + _xlpm.Knewgain / (_xlpm.Knewscale + _xlpm.nbparties),
  IF(AB371="",
    "",
    _xlpm.coef * (AB371-AB372))
)</f>
        <v/>
      </c>
      <c r="AC373" t="str" cm="1">
        <f t="array" ref="AC373">_xlfn.LET(
  _xlpm.K, Constantes!$B$3,
  _xlpm.Knewgain, Constantes!$B$4,
  _xlpm.Knewscale, Constantes!$B$5,
  _xlpm.ptstables, INDEX(AC:AC, _xlfn.SEQUENCE(COUNTA($C$2:$C373), 1, 3, 4)),
  _xlpm.nbparties, COUNTA(_xlfn._xlws.FILTER(_xlpm.ptstables, _xlpm.ptstables &lt;&gt; "")),
  _xlpm.coef, _xlpm.K + _xlpm.Knewgain / (_xlpm.Knewscale + _xlpm.nbparties),
  IF(AC371="",
    "",
    _xlpm.coef * (AC371-AC372))
)</f>
        <v/>
      </c>
      <c r="AD373" t="str" cm="1">
        <f t="array" ref="AD373">_xlfn.LET(
  _xlpm.K, Constantes!$B$3,
  _xlpm.Knewgain, Constantes!$B$4,
  _xlpm.Knewscale, Constantes!$B$5,
  _xlpm.ptstables, INDEX(AD:AD, _xlfn.SEQUENCE(COUNTA($C$2:$C373), 1, 3, 4)),
  _xlpm.nbparties, COUNTA(_xlfn._xlws.FILTER(_xlpm.ptstables, _xlpm.ptstables &lt;&gt; "")),
  _xlpm.coef, _xlpm.K + _xlpm.Knewgain / (_xlpm.Knewscale + _xlpm.nbparties),
  IF(AD371="",
    "",
    _xlpm.coef * (AD371-AD372))
)</f>
        <v/>
      </c>
      <c r="AE373" t="str" cm="1">
        <f t="array" ref="AE373">_xlfn.LET(
  _xlpm.K, Constantes!$B$3,
  _xlpm.Knewgain, Constantes!$B$4,
  _xlpm.Knewscale, Constantes!$B$5,
  _xlpm.ptstables, INDEX(AE:AE, _xlfn.SEQUENCE(COUNTA($C$2:$C373), 1, 3, 4)),
  _xlpm.nbparties, COUNTA(_xlfn._xlws.FILTER(_xlpm.ptstables, _xlpm.ptstables &lt;&gt; "")),
  _xlpm.coef, _xlpm.K + _xlpm.Knewgain / (_xlpm.Knewscale + _xlpm.nbparties),
  IF(AE371="",
    "",
    _xlpm.coef * (AE371-AE372))
)</f>
        <v/>
      </c>
      <c r="AF373" t="str" cm="1">
        <f t="array" ref="AF373">_xlfn.LET(
  _xlpm.K, Constantes!$B$3,
  _xlpm.Knewgain, Constantes!$B$4,
  _xlpm.Knewscale, Constantes!$B$5,
  _xlpm.ptstables, INDEX(AF:AF, _xlfn.SEQUENCE(COUNTA($C$2:$C373), 1, 3, 4)),
  _xlpm.nbparties, COUNTA(_xlfn._xlws.FILTER(_xlpm.ptstables, _xlpm.ptstables &lt;&gt; "")),
  _xlpm.coef, _xlpm.K + _xlpm.Knewgain / (_xlpm.Knewscale + _xlpm.nbparties),
  IF(AF371="",
    "",
    _xlpm.coef * (AF371-AF372))
)</f>
        <v/>
      </c>
      <c r="AG373" t="str" cm="1">
        <f t="array" ref="AG373">_xlfn.LET(
  _xlpm.K, Constantes!$B$3,
  _xlpm.Knewgain, Constantes!$B$4,
  _xlpm.Knewscale, Constantes!$B$5,
  _xlpm.ptstables, INDEX(AG:AG, _xlfn.SEQUENCE(COUNTA($C$2:$C373), 1, 3, 4)),
  _xlpm.nbparties, COUNTA(_xlfn._xlws.FILTER(_xlpm.ptstables, _xlpm.ptstables &lt;&gt; "")),
  _xlpm.coef, _xlpm.K + _xlpm.Knewgain / (_xlpm.Knewscale + _xlpm.nbparties),
  IF(AG371="",
    "",
    _xlpm.coef * (AG371-AG372))
)</f>
        <v/>
      </c>
      <c r="AH373" t="str" cm="1">
        <f t="array" ref="AH373">_xlfn.LET(
  _xlpm.K, Constantes!$B$3,
  _xlpm.Knewgain, Constantes!$B$4,
  _xlpm.Knewscale, Constantes!$B$5,
  _xlpm.ptstables, INDEX(AH:AH, _xlfn.SEQUENCE(COUNTA($C$2:$C373), 1, 3, 4)),
  _xlpm.nbparties, COUNTA(_xlfn._xlws.FILTER(_xlpm.ptstables, _xlpm.ptstables &lt;&gt; "")),
  _xlpm.coef, _xlpm.K + _xlpm.Knewgain / (_xlpm.Knewscale + _xlpm.nbparties),
  IF(AH371="",
    "",
    _xlpm.coef * (AH371-AH372))
)</f>
        <v/>
      </c>
      <c r="AI373" t="str" cm="1">
        <f t="array" ref="AI373">_xlfn.LET(
  _xlpm.K, Constantes!$B$3,
  _xlpm.Knewgain, Constantes!$B$4,
  _xlpm.Knewscale, Constantes!$B$5,
  _xlpm.ptstables, INDEX(AI:AI, _xlfn.SEQUENCE(COUNTA($C$2:$C373), 1, 3, 4)),
  _xlpm.nbparties, COUNTA(_xlfn._xlws.FILTER(_xlpm.ptstables, _xlpm.ptstables &lt;&gt; "")),
  _xlpm.coef, _xlpm.K + _xlpm.Knewgain / (_xlpm.Knewscale + _xlpm.nbparties),
  IF(AI371="",
    "",
    _xlpm.coef * (AI371-AI372))
)</f>
        <v/>
      </c>
      <c r="AJ373" t="str" cm="1">
        <f t="array" ref="AJ373">_xlfn.LET(
  _xlpm.K, Constantes!$B$3,
  _xlpm.Knewgain, Constantes!$B$4,
  _xlpm.Knewscale, Constantes!$B$5,
  _xlpm.ptstables, INDEX(AJ:AJ, _xlfn.SEQUENCE(COUNTA($C$2:$C373), 1, 3, 4)),
  _xlpm.nbparties, COUNTA(_xlfn._xlws.FILTER(_xlpm.ptstables, _xlpm.ptstables &lt;&gt; "")),
  _xlpm.coef, _xlpm.K + _xlpm.Knewgain / (_xlpm.Knewscale + _xlpm.nbparties),
  IF(AJ371="",
    "",
    _xlpm.coef * (AJ371-AJ372))
)</f>
        <v/>
      </c>
      <c r="AK373" t="str" cm="1">
        <f t="array" ref="AK373">_xlfn.LET(
  _xlpm.K, Constantes!$B$3,
  _xlpm.Knewgain, Constantes!$B$4,
  _xlpm.Knewscale, Constantes!$B$5,
  _xlpm.ptstables, INDEX(AK:AK, _xlfn.SEQUENCE(COUNTA($C$2:$C373), 1, 3, 4)),
  _xlpm.nbparties, COUNTA(_xlfn._xlws.FILTER(_xlpm.ptstables, _xlpm.ptstables &lt;&gt; "")),
  _xlpm.coef, _xlpm.K + _xlpm.Knewgain / (_xlpm.Knewscale + _xlpm.nbparties),
  IF(AK371="",
    "",
    _xlpm.coef * (AK371-AK372))
)</f>
        <v/>
      </c>
      <c r="AL373" t="str" cm="1">
        <f t="array" ref="AL373">_xlfn.LET(
  _xlpm.K, Constantes!$B$3,
  _xlpm.Knewgain, Constantes!$B$4,
  _xlpm.Knewscale, Constantes!$B$5,
  _xlpm.ptstables, INDEX(AL:AL, _xlfn.SEQUENCE(COUNTA($C$2:$C373), 1, 3, 4)),
  _xlpm.nbparties, COUNTA(_xlfn._xlws.FILTER(_xlpm.ptstables, _xlpm.ptstables &lt;&gt; "")),
  _xlpm.coef, _xlpm.K + _xlpm.Knewgain / (_xlpm.Knewscale + _xlpm.nbparties),
  IF(AL371="",
    "",
    _xlpm.coef * (AL371-AL372))
)</f>
        <v/>
      </c>
      <c r="AM373" t="str" cm="1">
        <f t="array" ref="AM373">_xlfn.LET(
  _xlpm.K, Constantes!$B$3,
  _xlpm.Knewgain, Constantes!$B$4,
  _xlpm.Knewscale, Constantes!$B$5,
  _xlpm.ptstables, INDEX(AM:AM, _xlfn.SEQUENCE(COUNTA($C$2:$C373), 1, 3, 4)),
  _xlpm.nbparties, COUNTA(_xlfn._xlws.FILTER(_xlpm.ptstables, _xlpm.ptstables &lt;&gt; "")),
  _xlpm.coef, _xlpm.K + _xlpm.Knewgain / (_xlpm.Knewscale + _xlpm.nbparties),
  IF(AM371="",
    "",
    _xlpm.coef * (AM371-AM372))
)</f>
        <v/>
      </c>
    </row>
    <row r="374" spans="1:39" x14ac:dyDescent="0.25">
      <c r="A374" t="s">
        <v>14</v>
      </c>
      <c r="B374" t="str" cm="1">
        <f t="array" ref="B37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93</v>
      </c>
      <c r="C374" s="2" cm="1">
        <f t="array" ref="C374">IF(B374="","",
  INDEX(Donnees!F:F, MATCH(B374, Donnees!F:F, 0)+1))</f>
        <v>45952.81523148148</v>
      </c>
      <c r="D374">
        <f t="shared" ref="D374:AM374" si="101">D370+IF(D373="",0,D373)</f>
        <v>983.00829738956952</v>
      </c>
      <c r="E374">
        <f t="shared" si="101"/>
        <v>1134.1573908115724</v>
      </c>
      <c r="F374">
        <f t="shared" si="101"/>
        <v>843.95250750280252</v>
      </c>
      <c r="G374">
        <f t="shared" si="101"/>
        <v>1074.9784922956999</v>
      </c>
      <c r="H374">
        <f t="shared" si="101"/>
        <v>1120.6842315020224</v>
      </c>
      <c r="I374">
        <f t="shared" si="101"/>
        <v>912.81564332013568</v>
      </c>
      <c r="J374">
        <f t="shared" si="101"/>
        <v>1010.9125108504293</v>
      </c>
      <c r="K374">
        <f t="shared" si="101"/>
        <v>993.90254614824482</v>
      </c>
      <c r="L374">
        <f t="shared" si="101"/>
        <v>783.12422360152641</v>
      </c>
      <c r="M374">
        <f t="shared" si="101"/>
        <v>913.41986361738122</v>
      </c>
      <c r="N374">
        <f t="shared" si="101"/>
        <v>903.42914476260137</v>
      </c>
      <c r="O374">
        <f t="shared" si="101"/>
        <v>1033.7212914161473</v>
      </c>
      <c r="P374">
        <f t="shared" si="101"/>
        <v>992.25226906035107</v>
      </c>
      <c r="Q374">
        <f t="shared" si="101"/>
        <v>1050.1062561870472</v>
      </c>
      <c r="R374">
        <f t="shared" si="101"/>
        <v>1081.9794695946118</v>
      </c>
      <c r="S374">
        <f t="shared" si="101"/>
        <v>980.03784427884727</v>
      </c>
      <c r="T374">
        <f t="shared" si="101"/>
        <v>1153.43058185823</v>
      </c>
      <c r="U374">
        <f t="shared" si="101"/>
        <v>1244.4095092908924</v>
      </c>
      <c r="V374">
        <f t="shared" si="101"/>
        <v>969.67171739286073</v>
      </c>
      <c r="W374">
        <f t="shared" si="101"/>
        <v>882.29253769067657</v>
      </c>
      <c r="X374">
        <f t="shared" si="101"/>
        <v>828.97598039785271</v>
      </c>
      <c r="Y374">
        <f t="shared" si="101"/>
        <v>903.14348714035714</v>
      </c>
      <c r="Z374">
        <f t="shared" si="101"/>
        <v>1000.4832210979791</v>
      </c>
      <c r="AA374">
        <f t="shared" si="101"/>
        <v>976.40065260504912</v>
      </c>
      <c r="AB374">
        <f t="shared" si="101"/>
        <v>988.35669729544747</v>
      </c>
      <c r="AC374">
        <f t="shared" si="101"/>
        <v>1051.9456808600683</v>
      </c>
      <c r="AD374">
        <f t="shared" si="101"/>
        <v>1093.8192243082785</v>
      </c>
      <c r="AE374">
        <f t="shared" si="101"/>
        <v>963.23981965000235</v>
      </c>
      <c r="AF374">
        <f t="shared" si="101"/>
        <v>1094.8196847516158</v>
      </c>
      <c r="AG374">
        <f t="shared" si="101"/>
        <v>958.23078604304851</v>
      </c>
      <c r="AH374">
        <f t="shared" si="101"/>
        <v>920.4412636682855</v>
      </c>
      <c r="AI374">
        <f t="shared" si="101"/>
        <v>941.68986832003407</v>
      </c>
      <c r="AJ374">
        <f t="shared" si="101"/>
        <v>906.86354201913434</v>
      </c>
      <c r="AK374">
        <f t="shared" si="101"/>
        <v>1074.0069367206956</v>
      </c>
      <c r="AL374">
        <f t="shared" si="101"/>
        <v>1025.7817971572972</v>
      </c>
      <c r="AM374">
        <f t="shared" si="101"/>
        <v>930.08392160706046</v>
      </c>
    </row>
    <row r="375" spans="1:39" x14ac:dyDescent="0.25">
      <c r="A375" t="s">
        <v>21</v>
      </c>
      <c r="D375" t="str" cm="1">
        <f t="array" ref="D375">IFERROR(
  _xlfn.LET(
    _xlpm.ligpartie, MATCH($B374, Donnees!$F:$F, 0),
    _xlpm.joueurs, INDEX(Donnees!$A:$Z, _xlpm.ligpartie+1, _xlfn.SEQUENCE(1, 4, 2)),
    INDEX(
      Donnees!$A:$Z,
      _xlpm.ligpartie + 3,
      MATCH(D$1, _xlpm.joueurs, 0) + 1
    )
  ), ""
)</f>
        <v/>
      </c>
      <c r="E375" t="str" cm="1">
        <f t="array" ref="E375">IFERROR(
  _xlfn.LET(
    _xlpm.ligpartie, MATCH($B374, Donnees!$F:$F, 0),
    _xlpm.joueurs, INDEX(Donnees!$A:$Z, _xlpm.ligpartie+1, _xlfn.SEQUENCE(1, 4, 2)),
    INDEX(
      Donnees!$A:$Z,
      _xlpm.ligpartie + 3,
      MATCH(E$1, _xlpm.joueurs, 0) + 1
    )
  ), ""
)</f>
        <v/>
      </c>
      <c r="F375" t="str" cm="1">
        <f t="array" ref="F375">IFERROR(
  _xlfn.LET(
    _xlpm.ligpartie, MATCH($B374, Donnees!$F:$F, 0),
    _xlpm.joueurs, INDEX(Donnees!$A:$Z, _xlpm.ligpartie+1, _xlfn.SEQUENCE(1, 4, 2)),
    INDEX(
      Donnees!$A:$Z,
      _xlpm.ligpartie + 3,
      MATCH(F$1, _xlpm.joueurs, 0) + 1
    )
  ), ""
)</f>
        <v/>
      </c>
      <c r="G375" cm="1">
        <f t="array" ref="G375">IFERROR(
  _xlfn.LET(
    _xlpm.ligpartie, MATCH($B374, Donnees!$F:$F, 0),
    _xlpm.joueurs, INDEX(Donnees!$A:$Z, _xlpm.ligpartie+1, _xlfn.SEQUENCE(1, 4, 2)),
    INDEX(
      Donnees!$A:$Z,
      _xlpm.ligpartie + 3,
      MATCH(G$1, _xlpm.joueurs, 0) + 1
    )
  ), ""
)</f>
        <v>3</v>
      </c>
      <c r="H375" t="str" cm="1">
        <f t="array" ref="H375">IFERROR(
  _xlfn.LET(
    _xlpm.ligpartie, MATCH($B374, Donnees!$F:$F, 0),
    _xlpm.joueurs, INDEX(Donnees!$A:$Z, _xlpm.ligpartie+1, _xlfn.SEQUENCE(1, 4, 2)),
    INDEX(
      Donnees!$A:$Z,
      _xlpm.ligpartie + 3,
      MATCH(H$1, _xlpm.joueurs, 0) + 1
    )
  ), ""
)</f>
        <v/>
      </c>
      <c r="I375" t="str" cm="1">
        <f t="array" ref="I375">IFERROR(
  _xlfn.LET(
    _xlpm.ligpartie, MATCH($B374, Donnees!$F:$F, 0),
    _xlpm.joueurs, INDEX(Donnees!$A:$Z, _xlpm.ligpartie+1, _xlfn.SEQUENCE(1, 4, 2)),
    INDEX(
      Donnees!$A:$Z,
      _xlpm.ligpartie + 3,
      MATCH(I$1, _xlpm.joueurs, 0) + 1
    )
  ), ""
)</f>
        <v/>
      </c>
      <c r="J375" t="str" cm="1">
        <f t="array" ref="J375">IFERROR(
  _xlfn.LET(
    _xlpm.ligpartie, MATCH($B374, Donnees!$F:$F, 0),
    _xlpm.joueurs, INDEX(Donnees!$A:$Z, _xlpm.ligpartie+1, _xlfn.SEQUENCE(1, 4, 2)),
    INDEX(
      Donnees!$A:$Z,
      _xlpm.ligpartie + 3,
      MATCH(J$1, _xlpm.joueurs, 0) + 1
    )
  ), ""
)</f>
        <v/>
      </c>
      <c r="K375" t="str" cm="1">
        <f t="array" ref="K375">IFERROR(
  _xlfn.LET(
    _xlpm.ligpartie, MATCH($B374, Donnees!$F:$F, 0),
    _xlpm.joueurs, INDEX(Donnees!$A:$Z, _xlpm.ligpartie+1, _xlfn.SEQUENCE(1, 4, 2)),
    INDEX(
      Donnees!$A:$Z,
      _xlpm.ligpartie + 3,
      MATCH(K$1, _xlpm.joueurs, 0) + 1
    )
  ), ""
)</f>
        <v/>
      </c>
      <c r="L375" t="str" cm="1">
        <f t="array" ref="L375">IFERROR(
  _xlfn.LET(
    _xlpm.ligpartie, MATCH($B374, Donnees!$F:$F, 0),
    _xlpm.joueurs, INDEX(Donnees!$A:$Z, _xlpm.ligpartie+1, _xlfn.SEQUENCE(1, 4, 2)),
    INDEX(
      Donnees!$A:$Z,
      _xlpm.ligpartie + 3,
      MATCH(L$1, _xlpm.joueurs, 0) + 1
    )
  ), ""
)</f>
        <v/>
      </c>
      <c r="M375" t="str" cm="1">
        <f t="array" ref="M375">IFERROR(
  _xlfn.LET(
    _xlpm.ligpartie, MATCH($B374, Donnees!$F:$F, 0),
    _xlpm.joueurs, INDEX(Donnees!$A:$Z, _xlpm.ligpartie+1, _xlfn.SEQUENCE(1, 4, 2)),
    INDEX(
      Donnees!$A:$Z,
      _xlpm.ligpartie + 3,
      MATCH(M$1, _xlpm.joueurs, 0) + 1
    )
  ), ""
)</f>
        <v/>
      </c>
      <c r="N375" t="str" cm="1">
        <f t="array" ref="N375">IFERROR(
  _xlfn.LET(
    _xlpm.ligpartie, MATCH($B374, Donnees!$F:$F, 0),
    _xlpm.joueurs, INDEX(Donnees!$A:$Z, _xlpm.ligpartie+1, _xlfn.SEQUENCE(1, 4, 2)),
    INDEX(
      Donnees!$A:$Z,
      _xlpm.ligpartie + 3,
      MATCH(N$1, _xlpm.joueurs, 0) + 1
    )
  ), ""
)</f>
        <v/>
      </c>
      <c r="O375" t="str" cm="1">
        <f t="array" ref="O375">IFERROR(
  _xlfn.LET(
    _xlpm.ligpartie, MATCH($B374, Donnees!$F:$F, 0),
    _xlpm.joueurs, INDEX(Donnees!$A:$Z, _xlpm.ligpartie+1, _xlfn.SEQUENCE(1, 4, 2)),
    INDEX(
      Donnees!$A:$Z,
      _xlpm.ligpartie + 3,
      MATCH(O$1, _xlpm.joueurs, 0) + 1
    )
  ), ""
)</f>
        <v/>
      </c>
      <c r="P375" t="str" cm="1">
        <f t="array" ref="P375">IFERROR(
  _xlfn.LET(
    _xlpm.ligpartie, MATCH($B374, Donnees!$F:$F, 0),
    _xlpm.joueurs, INDEX(Donnees!$A:$Z, _xlpm.ligpartie+1, _xlfn.SEQUENCE(1, 4, 2)),
    INDEX(
      Donnees!$A:$Z,
      _xlpm.ligpartie + 3,
      MATCH(P$1, _xlpm.joueurs, 0) + 1
    )
  ), ""
)</f>
        <v/>
      </c>
      <c r="Q375" t="str" cm="1">
        <f t="array" ref="Q375">IFERROR(
  _xlfn.LET(
    _xlpm.ligpartie, MATCH($B374, Donnees!$F:$F, 0),
    _xlpm.joueurs, INDEX(Donnees!$A:$Z, _xlpm.ligpartie+1, _xlfn.SEQUENCE(1, 4, 2)),
    INDEX(
      Donnees!$A:$Z,
      _xlpm.ligpartie + 3,
      MATCH(Q$1, _xlpm.joueurs, 0) + 1
    )
  ), ""
)</f>
        <v/>
      </c>
      <c r="R375" t="str" cm="1">
        <f t="array" ref="R375">IFERROR(
  _xlfn.LET(
    _xlpm.ligpartie, MATCH($B374, Donnees!$F:$F, 0),
    _xlpm.joueurs, INDEX(Donnees!$A:$Z, _xlpm.ligpartie+1, _xlfn.SEQUENCE(1, 4, 2)),
    INDEX(
      Donnees!$A:$Z,
      _xlpm.ligpartie + 3,
      MATCH(R$1, _xlpm.joueurs, 0) + 1
    )
  ), ""
)</f>
        <v/>
      </c>
      <c r="S375" cm="1">
        <f t="array" ref="S375">IFERROR(
  _xlfn.LET(
    _xlpm.ligpartie, MATCH($B374, Donnees!$F:$F, 0),
    _xlpm.joueurs, INDEX(Donnees!$A:$Z, _xlpm.ligpartie+1, _xlfn.SEQUENCE(1, 4, 2)),
    INDEX(
      Donnees!$A:$Z,
      _xlpm.ligpartie + 3,
      MATCH(S$1, _xlpm.joueurs, 0) + 1
    )
  ), ""
)</f>
        <v>2</v>
      </c>
      <c r="T375" t="str" cm="1">
        <f t="array" ref="T375">IFERROR(
  _xlfn.LET(
    _xlpm.ligpartie, MATCH($B374, Donnees!$F:$F, 0),
    _xlpm.joueurs, INDEX(Donnees!$A:$Z, _xlpm.ligpartie+1, _xlfn.SEQUENCE(1, 4, 2)),
    INDEX(
      Donnees!$A:$Z,
      _xlpm.ligpartie + 3,
      MATCH(T$1, _xlpm.joueurs, 0) + 1
    )
  ), ""
)</f>
        <v/>
      </c>
      <c r="U375" cm="1">
        <f t="array" ref="U375">IFERROR(
  _xlfn.LET(
    _xlpm.ligpartie, MATCH($B374, Donnees!$F:$F, 0),
    _xlpm.joueurs, INDEX(Donnees!$A:$Z, _xlpm.ligpartie+1, _xlfn.SEQUENCE(1, 4, 2)),
    INDEX(
      Donnees!$A:$Z,
      _xlpm.ligpartie + 3,
      MATCH(U$1, _xlpm.joueurs, 0) + 1
    )
  ), ""
)</f>
        <v>0</v>
      </c>
      <c r="V375" t="str" cm="1">
        <f t="array" ref="V375">IFERROR(
  _xlfn.LET(
    _xlpm.ligpartie, MATCH($B374, Donnees!$F:$F, 0),
    _xlpm.joueurs, INDEX(Donnees!$A:$Z, _xlpm.ligpartie+1, _xlfn.SEQUENCE(1, 4, 2)),
    INDEX(
      Donnees!$A:$Z,
      _xlpm.ligpartie + 3,
      MATCH(V$1, _xlpm.joueurs, 0) + 1
    )
  ), ""
)</f>
        <v/>
      </c>
      <c r="W375" t="str" cm="1">
        <f t="array" ref="W375">IFERROR(
  _xlfn.LET(
    _xlpm.ligpartie, MATCH($B374, Donnees!$F:$F, 0),
    _xlpm.joueurs, INDEX(Donnees!$A:$Z, _xlpm.ligpartie+1, _xlfn.SEQUENCE(1, 4, 2)),
    INDEX(
      Donnees!$A:$Z,
      _xlpm.ligpartie + 3,
      MATCH(W$1, _xlpm.joueurs, 0) + 1
    )
  ), ""
)</f>
        <v/>
      </c>
      <c r="X375" t="str" cm="1">
        <f t="array" ref="X375">IFERROR(
  _xlfn.LET(
    _xlpm.ligpartie, MATCH($B374, Donnees!$F:$F, 0),
    _xlpm.joueurs, INDEX(Donnees!$A:$Z, _xlpm.ligpartie+1, _xlfn.SEQUENCE(1, 4, 2)),
    INDEX(
      Donnees!$A:$Z,
      _xlpm.ligpartie + 3,
      MATCH(X$1, _xlpm.joueurs, 0) + 1
    )
  ), ""
)</f>
        <v/>
      </c>
      <c r="Y375" t="str" cm="1">
        <f t="array" ref="Y375">IFERROR(
  _xlfn.LET(
    _xlpm.ligpartie, MATCH($B374, Donnees!$F:$F, 0),
    _xlpm.joueurs, INDEX(Donnees!$A:$Z, _xlpm.ligpartie+1, _xlfn.SEQUENCE(1, 4, 2)),
    INDEX(
      Donnees!$A:$Z,
      _xlpm.ligpartie + 3,
      MATCH(Y$1, _xlpm.joueurs, 0) + 1
    )
  ), ""
)</f>
        <v/>
      </c>
      <c r="Z375" t="str" cm="1">
        <f t="array" ref="Z375">IFERROR(
  _xlfn.LET(
    _xlpm.ligpartie, MATCH($B374, Donnees!$F:$F, 0),
    _xlpm.joueurs, INDEX(Donnees!$A:$Z, _xlpm.ligpartie+1, _xlfn.SEQUENCE(1, 4, 2)),
    INDEX(
      Donnees!$A:$Z,
      _xlpm.ligpartie + 3,
      MATCH(Z$1, _xlpm.joueurs, 0) + 1
    )
  ), ""
)</f>
        <v/>
      </c>
      <c r="AA375" t="str" cm="1">
        <f t="array" ref="AA375">IFERROR(
  _xlfn.LET(
    _xlpm.ligpartie, MATCH($B374, Donnees!$F:$F, 0),
    _xlpm.joueurs, INDEX(Donnees!$A:$Z, _xlpm.ligpartie+1, _xlfn.SEQUENCE(1, 4, 2)),
    INDEX(
      Donnees!$A:$Z,
      _xlpm.ligpartie + 3,
      MATCH(AA$1, _xlpm.joueurs, 0) + 1
    )
  ), ""
)</f>
        <v/>
      </c>
      <c r="AB375" t="str" cm="1">
        <f t="array" ref="AB375">IFERROR(
  _xlfn.LET(
    _xlpm.ligpartie, MATCH($B374, Donnees!$F:$F, 0),
    _xlpm.joueurs, INDEX(Donnees!$A:$Z, _xlpm.ligpartie+1, _xlfn.SEQUENCE(1, 4, 2)),
    INDEX(
      Donnees!$A:$Z,
      _xlpm.ligpartie + 3,
      MATCH(AB$1, _xlpm.joueurs, 0) + 1
    )
  ), ""
)</f>
        <v/>
      </c>
      <c r="AC375" t="str" cm="1">
        <f t="array" ref="AC375">IFERROR(
  _xlfn.LET(
    _xlpm.ligpartie, MATCH($B374, Donnees!$F:$F, 0),
    _xlpm.joueurs, INDEX(Donnees!$A:$Z, _xlpm.ligpartie+1, _xlfn.SEQUENCE(1, 4, 2)),
    INDEX(
      Donnees!$A:$Z,
      _xlpm.ligpartie + 3,
      MATCH(AC$1, _xlpm.joueurs, 0) + 1
    )
  ), ""
)</f>
        <v/>
      </c>
      <c r="AD375" t="str" cm="1">
        <f t="array" ref="AD375">IFERROR(
  _xlfn.LET(
    _xlpm.ligpartie, MATCH($B374, Donnees!$F:$F, 0),
    _xlpm.joueurs, INDEX(Donnees!$A:$Z, _xlpm.ligpartie+1, _xlfn.SEQUENCE(1, 4, 2)),
    INDEX(
      Donnees!$A:$Z,
      _xlpm.ligpartie + 3,
      MATCH(AD$1, _xlpm.joueurs, 0) + 1
    )
  ), ""
)</f>
        <v/>
      </c>
      <c r="AE375" t="str" cm="1">
        <f t="array" ref="AE375">IFERROR(
  _xlfn.LET(
    _xlpm.ligpartie, MATCH($B374, Donnees!$F:$F, 0),
    _xlpm.joueurs, INDEX(Donnees!$A:$Z, _xlpm.ligpartie+1, _xlfn.SEQUENCE(1, 4, 2)),
    INDEX(
      Donnees!$A:$Z,
      _xlpm.ligpartie + 3,
      MATCH(AE$1, _xlpm.joueurs, 0) + 1
    )
  ), ""
)</f>
        <v/>
      </c>
      <c r="AF375" t="str" cm="1">
        <f t="array" ref="AF375">IFERROR(
  _xlfn.LET(
    _xlpm.ligpartie, MATCH($B374, Donnees!$F:$F, 0),
    _xlpm.joueurs, INDEX(Donnees!$A:$Z, _xlpm.ligpartie+1, _xlfn.SEQUENCE(1, 4, 2)),
    INDEX(
      Donnees!$A:$Z,
      _xlpm.ligpartie + 3,
      MATCH(AF$1, _xlpm.joueurs, 0) + 1
    )
  ), ""
)</f>
        <v/>
      </c>
      <c r="AG375" t="str" cm="1">
        <f t="array" ref="AG375">IFERROR(
  _xlfn.LET(
    _xlpm.ligpartie, MATCH($B374, Donnees!$F:$F, 0),
    _xlpm.joueurs, INDEX(Donnees!$A:$Z, _xlpm.ligpartie+1, _xlfn.SEQUENCE(1, 4, 2)),
    INDEX(
      Donnees!$A:$Z,
      _xlpm.ligpartie + 3,
      MATCH(AG$1, _xlpm.joueurs, 0) + 1
    )
  ), ""
)</f>
        <v/>
      </c>
      <c r="AH375" t="str" cm="1">
        <f t="array" ref="AH375">IFERROR(
  _xlfn.LET(
    _xlpm.ligpartie, MATCH($B374, Donnees!$F:$F, 0),
    _xlpm.joueurs, INDEX(Donnees!$A:$Z, _xlpm.ligpartie+1, _xlfn.SEQUENCE(1, 4, 2)),
    INDEX(
      Donnees!$A:$Z,
      _xlpm.ligpartie + 3,
      MATCH(AH$1, _xlpm.joueurs, 0) + 1
    )
  ), ""
)</f>
        <v/>
      </c>
      <c r="AI375" cm="1">
        <f t="array" ref="AI375">IFERROR(
  _xlfn.LET(
    _xlpm.ligpartie, MATCH($B374, Donnees!$F:$F, 0),
    _xlpm.joueurs, INDEX(Donnees!$A:$Z, _xlpm.ligpartie+1, _xlfn.SEQUENCE(1, 4, 2)),
    INDEX(
      Donnees!$A:$Z,
      _xlpm.ligpartie + 3,
      MATCH(AI$1, _xlpm.joueurs, 0) + 1
    )
  ), ""
)</f>
        <v>1</v>
      </c>
      <c r="AJ375" t="str" cm="1">
        <f t="array" ref="AJ375">IFERROR(
  _xlfn.LET(
    _xlpm.ligpartie, MATCH($B374, Donnees!$F:$F, 0),
    _xlpm.joueurs, INDEX(Donnees!$A:$Z, _xlpm.ligpartie+1, _xlfn.SEQUENCE(1, 4, 2)),
    INDEX(
      Donnees!$A:$Z,
      _xlpm.ligpartie + 3,
      MATCH(AJ$1, _xlpm.joueurs, 0) + 1
    )
  ), ""
)</f>
        <v/>
      </c>
      <c r="AK375" t="str" cm="1">
        <f t="array" ref="AK375">IFERROR(
  _xlfn.LET(
    _xlpm.ligpartie, MATCH($B374, Donnees!$F:$F, 0),
    _xlpm.joueurs, INDEX(Donnees!$A:$Z, _xlpm.ligpartie+1, _xlfn.SEQUENCE(1, 4, 2)),
    INDEX(
      Donnees!$A:$Z,
      _xlpm.ligpartie + 3,
      MATCH(AK$1, _xlpm.joueurs, 0) + 1
    )
  ), ""
)</f>
        <v/>
      </c>
      <c r="AL375" t="str" cm="1">
        <f t="array" ref="AL375">IFERROR(
  _xlfn.LET(
    _xlpm.ligpartie, MATCH($B374, Donnees!$F:$F, 0),
    _xlpm.joueurs, INDEX(Donnees!$A:$Z, _xlpm.ligpartie+1, _xlfn.SEQUENCE(1, 4, 2)),
    INDEX(
      Donnees!$A:$Z,
      _xlpm.ligpartie + 3,
      MATCH(AL$1, _xlpm.joueurs, 0) + 1
    )
  ), ""
)</f>
        <v/>
      </c>
      <c r="AM375" t="str" cm="1">
        <f t="array" ref="AM375">IFERROR(
  _xlfn.LET(
    _xlpm.ligpartie, MATCH($B374, Donnees!$F:$F, 0),
    _xlpm.joueurs, INDEX(Donnees!$A:$Z, _xlpm.ligpartie+1, _xlfn.SEQUENCE(1, 4, 2)),
    INDEX(
      Donnees!$A:$Z,
      _xlpm.ligpartie + 3,
      MATCH(AM$1, _xlpm.joueurs, 0) + 1
    )
  ), ""
)</f>
        <v/>
      </c>
    </row>
    <row r="376" spans="1:39" x14ac:dyDescent="0.25">
      <c r="A376" t="s">
        <v>20</v>
      </c>
      <c r="D376" t="str" cm="1">
        <f t="array" ref="D376">_xlfn.LET(
  _xlpm.colj, _xlfn._xlws.FILTER(IF(ISNUMBER(375:375), COLUMN(375:375)), ISNUMBER(375:375)),
  _xlpm.elos, INDEX(374:374,1,_xlpm.colj),
  _xlpm.diffscale, Constantes!$B$2,
  IF(D375="",
    "",
    SUM(1/(1+POWER(10,-(D374-_xlpm.elos)/_xlpm.diffscale)))-0.5)
)</f>
        <v/>
      </c>
      <c r="E376" t="str" cm="1">
        <f t="array" ref="E376">_xlfn.LET(
  _xlpm.colj, _xlfn._xlws.FILTER(IF(ISNUMBER(375:375), COLUMN(375:375)), ISNUMBER(375:375)),
  _xlpm.elos, INDEX(374:374,1,_xlpm.colj),
  _xlpm.diffscale, Constantes!$B$2,
  IF(E375="",
    "",
    SUM(1/(1+POWER(10,-(E374-_xlpm.elos)/_xlpm.diffscale)))-0.5)
)</f>
        <v/>
      </c>
      <c r="F376" t="str" cm="1">
        <f t="array" ref="F376">_xlfn.LET(
  _xlpm.colj, _xlfn._xlws.FILTER(IF(ISNUMBER(375:375), COLUMN(375:375)), ISNUMBER(375:375)),
  _xlpm.elos, INDEX(374:374,1,_xlpm.colj),
  _xlpm.diffscale, Constantes!$B$2,
  IF(F375="",
    "",
    SUM(1/(1+POWER(10,-(F374-_xlpm.elos)/_xlpm.diffscale)))-0.5)
)</f>
        <v/>
      </c>
      <c r="G376" cm="1">
        <f t="array" ref="G376">_xlfn.LET(
  _xlpm.colj, _xlfn._xlws.FILTER(IF(ISNUMBER(375:375), COLUMN(375:375)), ISNUMBER(375:375)),
  _xlpm.elos, INDEX(374:374,1,_xlpm.colj),
  _xlpm.diffscale, Constantes!$B$2,
  IF(G375="",
    "",
    SUM(1/(1+POWER(10,-(G374-_xlpm.elos)/_xlpm.diffscale)))-0.5)
)</f>
        <v>1.5900793439736995</v>
      </c>
      <c r="H376" t="str" cm="1">
        <f t="array" ref="H376">_xlfn.LET(
  _xlpm.colj, _xlfn._xlws.FILTER(IF(ISNUMBER(375:375), COLUMN(375:375)), ISNUMBER(375:375)),
  _xlpm.elos, INDEX(374:374,1,_xlpm.colj),
  _xlpm.diffscale, Constantes!$B$2,
  IF(H375="",
    "",
    SUM(1/(1+POWER(10,-(H374-_xlpm.elos)/_xlpm.diffscale)))-0.5)
)</f>
        <v/>
      </c>
      <c r="I376" t="str" cm="1">
        <f t="array" ref="I376">_xlfn.LET(
  _xlpm.colj, _xlfn._xlws.FILTER(IF(ISNUMBER(375:375), COLUMN(375:375)), ISNUMBER(375:375)),
  _xlpm.elos, INDEX(374:374,1,_xlpm.colj),
  _xlpm.diffscale, Constantes!$B$2,
  IF(I375="",
    "",
    SUM(1/(1+POWER(10,-(I374-_xlpm.elos)/_xlpm.diffscale)))-0.5)
)</f>
        <v/>
      </c>
      <c r="J376" t="str" cm="1">
        <f t="array" ref="J376">_xlfn.LET(
  _xlpm.colj, _xlfn._xlws.FILTER(IF(ISNUMBER(375:375), COLUMN(375:375)), ISNUMBER(375:375)),
  _xlpm.elos, INDEX(374:374,1,_xlpm.colj),
  _xlpm.diffscale, Constantes!$B$2,
  IF(J375="",
    "",
    SUM(1/(1+POWER(10,-(J374-_xlpm.elos)/_xlpm.diffscale)))-0.5)
)</f>
        <v/>
      </c>
      <c r="K376" t="str" cm="1">
        <f t="array" ref="K376">_xlfn.LET(
  _xlpm.colj, _xlfn._xlws.FILTER(IF(ISNUMBER(375:375), COLUMN(375:375)), ISNUMBER(375:375)),
  _xlpm.elos, INDEX(374:374,1,_xlpm.colj),
  _xlpm.diffscale, Constantes!$B$2,
  IF(K375="",
    "",
    SUM(1/(1+POWER(10,-(K374-_xlpm.elos)/_xlpm.diffscale)))-0.5)
)</f>
        <v/>
      </c>
      <c r="L376" t="str" cm="1">
        <f t="array" ref="L376">_xlfn.LET(
  _xlpm.colj, _xlfn._xlws.FILTER(IF(ISNUMBER(375:375), COLUMN(375:375)), ISNUMBER(375:375)),
  _xlpm.elos, INDEX(374:374,1,_xlpm.colj),
  _xlpm.diffscale, Constantes!$B$2,
  IF(L375="",
    "",
    SUM(1/(1+POWER(10,-(L374-_xlpm.elos)/_xlpm.diffscale)))-0.5)
)</f>
        <v/>
      </c>
      <c r="M376" t="str" cm="1">
        <f t="array" ref="M376">_xlfn.LET(
  _xlpm.colj, _xlfn._xlws.FILTER(IF(ISNUMBER(375:375), COLUMN(375:375)), ISNUMBER(375:375)),
  _xlpm.elos, INDEX(374:374,1,_xlpm.colj),
  _xlpm.diffscale, Constantes!$B$2,
  IF(M375="",
    "",
    SUM(1/(1+POWER(10,-(M374-_xlpm.elos)/_xlpm.diffscale)))-0.5)
)</f>
        <v/>
      </c>
      <c r="N376" t="str" cm="1">
        <f t="array" ref="N376">_xlfn.LET(
  _xlpm.colj, _xlfn._xlws.FILTER(IF(ISNUMBER(375:375), COLUMN(375:375)), ISNUMBER(375:375)),
  _xlpm.elos, INDEX(374:374,1,_xlpm.colj),
  _xlpm.diffscale, Constantes!$B$2,
  IF(N375="",
    "",
    SUM(1/(1+POWER(10,-(N374-_xlpm.elos)/_xlpm.diffscale)))-0.5)
)</f>
        <v/>
      </c>
      <c r="O376" t="str" cm="1">
        <f t="array" ref="O376">_xlfn.LET(
  _xlpm.colj, _xlfn._xlws.FILTER(IF(ISNUMBER(375:375), COLUMN(375:375)), ISNUMBER(375:375)),
  _xlpm.elos, INDEX(374:374,1,_xlpm.colj),
  _xlpm.diffscale, Constantes!$B$2,
  IF(O375="",
    "",
    SUM(1/(1+POWER(10,-(O374-_xlpm.elos)/_xlpm.diffscale)))-0.5)
)</f>
        <v/>
      </c>
      <c r="P376" t="str" cm="1">
        <f t="array" ref="P376">_xlfn.LET(
  _xlpm.colj, _xlfn._xlws.FILTER(IF(ISNUMBER(375:375), COLUMN(375:375)), ISNUMBER(375:375)),
  _xlpm.elos, INDEX(374:374,1,_xlpm.colj),
  _xlpm.diffscale, Constantes!$B$2,
  IF(P375="",
    "",
    SUM(1/(1+POWER(10,-(P374-_xlpm.elos)/_xlpm.diffscale)))-0.5)
)</f>
        <v/>
      </c>
      <c r="Q376" t="str" cm="1">
        <f t="array" ref="Q376">_xlfn.LET(
  _xlpm.colj, _xlfn._xlws.FILTER(IF(ISNUMBER(375:375), COLUMN(375:375)), ISNUMBER(375:375)),
  _xlpm.elos, INDEX(374:374,1,_xlpm.colj),
  _xlpm.diffscale, Constantes!$B$2,
  IF(Q375="",
    "",
    SUM(1/(1+POWER(10,-(Q374-_xlpm.elos)/_xlpm.diffscale)))-0.5)
)</f>
        <v/>
      </c>
      <c r="R376" t="str" cm="1">
        <f t="array" ref="R376">_xlfn.LET(
  _xlpm.colj, _xlfn._xlws.FILTER(IF(ISNUMBER(375:375), COLUMN(375:375)), ISNUMBER(375:375)),
  _xlpm.elos, INDEX(374:374,1,_xlpm.colj),
  _xlpm.diffscale, Constantes!$B$2,
  IF(R375="",
    "",
    SUM(1/(1+POWER(10,-(R374-_xlpm.elos)/_xlpm.diffscale)))-0.5)
)</f>
        <v/>
      </c>
      <c r="S376" cm="1">
        <f t="array" ref="S376">_xlfn.LET(
  _xlpm.colj, _xlfn._xlws.FILTER(IF(ISNUMBER(375:375), COLUMN(375:375)), ISNUMBER(375:375)),
  _xlpm.elos, INDEX(374:374,1,_xlpm.colj),
  _xlpm.diffscale, Constantes!$B$2,
  IF(S375="",
    "",
    SUM(1/(1+POWER(10,-(S374-_xlpm.elos)/_xlpm.diffscale)))-0.5)
)</f>
        <v>1.1008256924230646</v>
      </c>
      <c r="T376" t="str" cm="1">
        <f t="array" ref="T376">_xlfn.LET(
  _xlpm.colj, _xlfn._xlws.FILTER(IF(ISNUMBER(375:375), COLUMN(375:375)), ISNUMBER(375:375)),
  _xlpm.elos, INDEX(374:374,1,_xlpm.colj),
  _xlpm.diffscale, Constantes!$B$2,
  IF(T375="",
    "",
    SUM(1/(1+POWER(10,-(T374-_xlpm.elos)/_xlpm.diffscale)))-0.5)
)</f>
        <v/>
      </c>
      <c r="U376" cm="1">
        <f t="array" ref="U376">_xlfn.LET(
  _xlpm.colj, _xlfn._xlws.FILTER(IF(ISNUMBER(375:375), COLUMN(375:375)), ISNUMBER(375:375)),
  _xlpm.elos, INDEX(374:374,1,_xlpm.colj),
  _xlpm.diffscale, Constantes!$B$2,
  IF(U375="",
    "",
    SUM(1/(1+POWER(10,-(U374-_xlpm.elos)/_xlpm.diffscale)))-0.5)
)</f>
        <v>2.3980056722133236</v>
      </c>
      <c r="V376" t="str" cm="1">
        <f t="array" ref="V376">_xlfn.LET(
  _xlpm.colj, _xlfn._xlws.FILTER(IF(ISNUMBER(375:375), COLUMN(375:375)), ISNUMBER(375:375)),
  _xlpm.elos, INDEX(374:374,1,_xlpm.colj),
  _xlpm.diffscale, Constantes!$B$2,
  IF(V375="",
    "",
    SUM(1/(1+POWER(10,-(V374-_xlpm.elos)/_xlpm.diffscale)))-0.5)
)</f>
        <v/>
      </c>
      <c r="W376" t="str" cm="1">
        <f t="array" ref="W376">_xlfn.LET(
  _xlpm.colj, _xlfn._xlws.FILTER(IF(ISNUMBER(375:375), COLUMN(375:375)), ISNUMBER(375:375)),
  _xlpm.elos, INDEX(374:374,1,_xlpm.colj),
  _xlpm.diffscale, Constantes!$B$2,
  IF(W375="",
    "",
    SUM(1/(1+POWER(10,-(W374-_xlpm.elos)/_xlpm.diffscale)))-0.5)
)</f>
        <v/>
      </c>
      <c r="X376" t="str" cm="1">
        <f t="array" ref="X376">_xlfn.LET(
  _xlpm.colj, _xlfn._xlws.FILTER(IF(ISNUMBER(375:375), COLUMN(375:375)), ISNUMBER(375:375)),
  _xlpm.elos, INDEX(374:374,1,_xlpm.colj),
  _xlpm.diffscale, Constantes!$B$2,
  IF(X375="",
    "",
    SUM(1/(1+POWER(10,-(X374-_xlpm.elos)/_xlpm.diffscale)))-0.5)
)</f>
        <v/>
      </c>
      <c r="Y376" t="str" cm="1">
        <f t="array" ref="Y376">_xlfn.LET(
  _xlpm.colj, _xlfn._xlws.FILTER(IF(ISNUMBER(375:375), COLUMN(375:375)), ISNUMBER(375:375)),
  _xlpm.elos, INDEX(374:374,1,_xlpm.colj),
  _xlpm.diffscale, Constantes!$B$2,
  IF(Y375="",
    "",
    SUM(1/(1+POWER(10,-(Y374-_xlpm.elos)/_xlpm.diffscale)))-0.5)
)</f>
        <v/>
      </c>
      <c r="Z376" t="str" cm="1">
        <f t="array" ref="Z376">_xlfn.LET(
  _xlpm.colj, _xlfn._xlws.FILTER(IF(ISNUMBER(375:375), COLUMN(375:375)), ISNUMBER(375:375)),
  _xlpm.elos, INDEX(374:374,1,_xlpm.colj),
  _xlpm.diffscale, Constantes!$B$2,
  IF(Z375="",
    "",
    SUM(1/(1+POWER(10,-(Z374-_xlpm.elos)/_xlpm.diffscale)))-0.5)
)</f>
        <v/>
      </c>
      <c r="AA376" t="str" cm="1">
        <f t="array" ref="AA376">_xlfn.LET(
  _xlpm.colj, _xlfn._xlws.FILTER(IF(ISNUMBER(375:375), COLUMN(375:375)), ISNUMBER(375:375)),
  _xlpm.elos, INDEX(374:374,1,_xlpm.colj),
  _xlpm.diffscale, Constantes!$B$2,
  IF(AA375="",
    "",
    SUM(1/(1+POWER(10,-(AA374-_xlpm.elos)/_xlpm.diffscale)))-0.5)
)</f>
        <v/>
      </c>
      <c r="AB376" t="str" cm="1">
        <f t="array" ref="AB376">_xlfn.LET(
  _xlpm.colj, _xlfn._xlws.FILTER(IF(ISNUMBER(375:375), COLUMN(375:375)), ISNUMBER(375:375)),
  _xlpm.elos, INDEX(374:374,1,_xlpm.colj),
  _xlpm.diffscale, Constantes!$B$2,
  IF(AB375="",
    "",
    SUM(1/(1+POWER(10,-(AB374-_xlpm.elos)/_xlpm.diffscale)))-0.5)
)</f>
        <v/>
      </c>
      <c r="AC376" t="str" cm="1">
        <f t="array" ref="AC376">_xlfn.LET(
  _xlpm.colj, _xlfn._xlws.FILTER(IF(ISNUMBER(375:375), COLUMN(375:375)), ISNUMBER(375:375)),
  _xlpm.elos, INDEX(374:374,1,_xlpm.colj),
  _xlpm.diffscale, Constantes!$B$2,
  IF(AC375="",
    "",
    SUM(1/(1+POWER(10,-(AC374-_xlpm.elos)/_xlpm.diffscale)))-0.5)
)</f>
        <v/>
      </c>
      <c r="AD376" t="str" cm="1">
        <f t="array" ref="AD376">_xlfn.LET(
  _xlpm.colj, _xlfn._xlws.FILTER(IF(ISNUMBER(375:375), COLUMN(375:375)), ISNUMBER(375:375)),
  _xlpm.elos, INDEX(374:374,1,_xlpm.colj),
  _xlpm.diffscale, Constantes!$B$2,
  IF(AD375="",
    "",
    SUM(1/(1+POWER(10,-(AD374-_xlpm.elos)/_xlpm.diffscale)))-0.5)
)</f>
        <v/>
      </c>
      <c r="AE376" t="str" cm="1">
        <f t="array" ref="AE376">_xlfn.LET(
  _xlpm.colj, _xlfn._xlws.FILTER(IF(ISNUMBER(375:375), COLUMN(375:375)), ISNUMBER(375:375)),
  _xlpm.elos, INDEX(374:374,1,_xlpm.colj),
  _xlpm.diffscale, Constantes!$B$2,
  IF(AE375="",
    "",
    SUM(1/(1+POWER(10,-(AE374-_xlpm.elos)/_xlpm.diffscale)))-0.5)
)</f>
        <v/>
      </c>
      <c r="AF376" t="str" cm="1">
        <f t="array" ref="AF376">_xlfn.LET(
  _xlpm.colj, _xlfn._xlws.FILTER(IF(ISNUMBER(375:375), COLUMN(375:375)), ISNUMBER(375:375)),
  _xlpm.elos, INDEX(374:374,1,_xlpm.colj),
  _xlpm.diffscale, Constantes!$B$2,
  IF(AF375="",
    "",
    SUM(1/(1+POWER(10,-(AF374-_xlpm.elos)/_xlpm.diffscale)))-0.5)
)</f>
        <v/>
      </c>
      <c r="AG376" t="str" cm="1">
        <f t="array" ref="AG376">_xlfn.LET(
  _xlpm.colj, _xlfn._xlws.FILTER(IF(ISNUMBER(375:375), COLUMN(375:375)), ISNUMBER(375:375)),
  _xlpm.elos, INDEX(374:374,1,_xlpm.colj),
  _xlpm.diffscale, Constantes!$B$2,
  IF(AG375="",
    "",
    SUM(1/(1+POWER(10,-(AG374-_xlpm.elos)/_xlpm.diffscale)))-0.5)
)</f>
        <v/>
      </c>
      <c r="AH376" t="str" cm="1">
        <f t="array" ref="AH376">_xlfn.LET(
  _xlpm.colj, _xlfn._xlws.FILTER(IF(ISNUMBER(375:375), COLUMN(375:375)), ISNUMBER(375:375)),
  _xlpm.elos, INDEX(374:374,1,_xlpm.colj),
  _xlpm.diffscale, Constantes!$B$2,
  IF(AH375="",
    "",
    SUM(1/(1+POWER(10,-(AH374-_xlpm.elos)/_xlpm.diffscale)))-0.5)
)</f>
        <v/>
      </c>
      <c r="AI376" cm="1">
        <f t="array" ref="AI376">_xlfn.LET(
  _xlpm.colj, _xlfn._xlws.FILTER(IF(ISNUMBER(375:375), COLUMN(375:375)), ISNUMBER(375:375)),
  _xlpm.elos, INDEX(374:374,1,_xlpm.colj),
  _xlpm.diffscale, Constantes!$B$2,
  IF(AI375="",
    "",
    SUM(1/(1+POWER(10,-(AI374-_xlpm.elos)/_xlpm.diffscale)))-0.5)
)</f>
        <v>0.91108929138991201</v>
      </c>
      <c r="AJ376" t="str" cm="1">
        <f t="array" ref="AJ376">_xlfn.LET(
  _xlpm.colj, _xlfn._xlws.FILTER(IF(ISNUMBER(375:375), COLUMN(375:375)), ISNUMBER(375:375)),
  _xlpm.elos, INDEX(374:374,1,_xlpm.colj),
  _xlpm.diffscale, Constantes!$B$2,
  IF(AJ375="",
    "",
    SUM(1/(1+POWER(10,-(AJ374-_xlpm.elos)/_xlpm.diffscale)))-0.5)
)</f>
        <v/>
      </c>
      <c r="AK376" t="str" cm="1">
        <f t="array" ref="AK376">_xlfn.LET(
  _xlpm.colj, _xlfn._xlws.FILTER(IF(ISNUMBER(375:375), COLUMN(375:375)), ISNUMBER(375:375)),
  _xlpm.elos, INDEX(374:374,1,_xlpm.colj),
  _xlpm.diffscale, Constantes!$B$2,
  IF(AK375="",
    "",
    SUM(1/(1+POWER(10,-(AK374-_xlpm.elos)/_xlpm.diffscale)))-0.5)
)</f>
        <v/>
      </c>
      <c r="AL376" t="str" cm="1">
        <f t="array" ref="AL376">_xlfn.LET(
  _xlpm.colj, _xlfn._xlws.FILTER(IF(ISNUMBER(375:375), COLUMN(375:375)), ISNUMBER(375:375)),
  _xlpm.elos, INDEX(374:374,1,_xlpm.colj),
  _xlpm.diffscale, Constantes!$B$2,
  IF(AL375="",
    "",
    SUM(1/(1+POWER(10,-(AL374-_xlpm.elos)/_xlpm.diffscale)))-0.5)
)</f>
        <v/>
      </c>
      <c r="AM376" t="str" cm="1">
        <f t="array" ref="AM376">_xlfn.LET(
  _xlpm.colj, _xlfn._xlws.FILTER(IF(ISNUMBER(375:375), COLUMN(375:375)), ISNUMBER(375:375)),
  _xlpm.elos, INDEX(374:374,1,_xlpm.colj),
  _xlpm.diffscale, Constantes!$B$2,
  IF(AM375="",
    "",
    SUM(1/(1+POWER(10,-(AM374-_xlpm.elos)/_xlpm.diffscale)))-0.5)
)</f>
        <v/>
      </c>
    </row>
    <row r="377" spans="1:39" x14ac:dyDescent="0.25">
      <c r="A377" t="s">
        <v>22</v>
      </c>
      <c r="D377" t="str" cm="1">
        <f t="array" ref="D377">_xlfn.LET(
  _xlpm.K, Constantes!$B$3,
  _xlpm.Knewgain, Constantes!$B$4,
  _xlpm.Knewscale, Constantes!$B$5,
  _xlpm.ptstables, INDEX(D:D, _xlfn.SEQUENCE(COUNTA($C$2:$C377), 1, 3, 4)),
  _xlpm.nbparties, COUNTA(_xlfn._xlws.FILTER(_xlpm.ptstables, _xlpm.ptstables &lt;&gt; "")),
  _xlpm.coef, _xlpm.K + _xlpm.Knewgain / (_xlpm.Knewscale + _xlpm.nbparties),
  IF(D375="",
    "",
    _xlpm.coef * (D375-D376))
)</f>
        <v/>
      </c>
      <c r="E377" t="str" cm="1">
        <f t="array" ref="E377">_xlfn.LET(
  _xlpm.K, Constantes!$B$3,
  _xlpm.Knewgain, Constantes!$B$4,
  _xlpm.Knewscale, Constantes!$B$5,
  _xlpm.ptstables, INDEX(E:E, _xlfn.SEQUENCE(COUNTA($C$2:$C377), 1, 3, 4)),
  _xlpm.nbparties, COUNTA(_xlfn._xlws.FILTER(_xlpm.ptstables, _xlpm.ptstables &lt;&gt; "")),
  _xlpm.coef, _xlpm.K + _xlpm.Knewgain / (_xlpm.Knewscale + _xlpm.nbparties),
  IF(E375="",
    "",
    _xlpm.coef * (E375-E376))
)</f>
        <v/>
      </c>
      <c r="F377" t="str" cm="1">
        <f t="array" ref="F377">_xlfn.LET(
  _xlpm.K, Constantes!$B$3,
  _xlpm.Knewgain, Constantes!$B$4,
  _xlpm.Knewscale, Constantes!$B$5,
  _xlpm.ptstables, INDEX(F:F, _xlfn.SEQUENCE(COUNTA($C$2:$C377), 1, 3, 4)),
  _xlpm.nbparties, COUNTA(_xlfn._xlws.FILTER(_xlpm.ptstables, _xlpm.ptstables &lt;&gt; "")),
  _xlpm.coef, _xlpm.K + _xlpm.Knewgain / (_xlpm.Knewscale + _xlpm.nbparties),
  IF(F375="",
    "",
    _xlpm.coef * (F375-F376))
)</f>
        <v/>
      </c>
      <c r="G377" cm="1">
        <f t="array" ref="G377">_xlfn.LET(
  _xlpm.K, Constantes!$B$3,
  _xlpm.Knewgain, Constantes!$B$4,
  _xlpm.Knewscale, Constantes!$B$5,
  _xlpm.ptstables, INDEX(G:G, _xlfn.SEQUENCE(COUNTA($C$2:$C377), 1, 3, 4)),
  _xlpm.nbparties, COUNTA(_xlfn._xlws.FILTER(_xlpm.ptstables, _xlpm.ptstables &lt;&gt; "")),
  _xlpm.coef, _xlpm.K + _xlpm.Knewgain / (_xlpm.Knewscale + _xlpm.nbparties),
  IF(G375="",
    "",
    _xlpm.coef * (G375-G376))
)</f>
        <v>30.629310803329979</v>
      </c>
      <c r="H377" t="str" cm="1">
        <f t="array" ref="H377">_xlfn.LET(
  _xlpm.K, Constantes!$B$3,
  _xlpm.Knewgain, Constantes!$B$4,
  _xlpm.Knewscale, Constantes!$B$5,
  _xlpm.ptstables, INDEX(H:H, _xlfn.SEQUENCE(COUNTA($C$2:$C377), 1, 3, 4)),
  _xlpm.nbparties, COUNTA(_xlfn._xlws.FILTER(_xlpm.ptstables, _xlpm.ptstables &lt;&gt; "")),
  _xlpm.coef, _xlpm.K + _xlpm.Knewgain / (_xlpm.Knewscale + _xlpm.nbparties),
  IF(H375="",
    "",
    _xlpm.coef * (H375-H376))
)</f>
        <v/>
      </c>
      <c r="I377" t="str" cm="1">
        <f t="array" ref="I377">_xlfn.LET(
  _xlpm.K, Constantes!$B$3,
  _xlpm.Knewgain, Constantes!$B$4,
  _xlpm.Knewscale, Constantes!$B$5,
  _xlpm.ptstables, INDEX(I:I, _xlfn.SEQUENCE(COUNTA($C$2:$C377), 1, 3, 4)),
  _xlpm.nbparties, COUNTA(_xlfn._xlws.FILTER(_xlpm.ptstables, _xlpm.ptstables &lt;&gt; "")),
  _xlpm.coef, _xlpm.K + _xlpm.Knewgain / (_xlpm.Knewscale + _xlpm.nbparties),
  IF(I375="",
    "",
    _xlpm.coef * (I375-I376))
)</f>
        <v/>
      </c>
      <c r="J377" t="str" cm="1">
        <f t="array" ref="J377">_xlfn.LET(
  _xlpm.K, Constantes!$B$3,
  _xlpm.Knewgain, Constantes!$B$4,
  _xlpm.Knewscale, Constantes!$B$5,
  _xlpm.ptstables, INDEX(J:J, _xlfn.SEQUENCE(COUNTA($C$2:$C377), 1, 3, 4)),
  _xlpm.nbparties, COUNTA(_xlfn._xlws.FILTER(_xlpm.ptstables, _xlpm.ptstables &lt;&gt; "")),
  _xlpm.coef, _xlpm.K + _xlpm.Knewgain / (_xlpm.Knewscale + _xlpm.nbparties),
  IF(J375="",
    "",
    _xlpm.coef * (J375-J376))
)</f>
        <v/>
      </c>
      <c r="K377" t="str" cm="1">
        <f t="array" ref="K377">_xlfn.LET(
  _xlpm.K, Constantes!$B$3,
  _xlpm.Knewgain, Constantes!$B$4,
  _xlpm.Knewscale, Constantes!$B$5,
  _xlpm.ptstables, INDEX(K:K, _xlfn.SEQUENCE(COUNTA($C$2:$C377), 1, 3, 4)),
  _xlpm.nbparties, COUNTA(_xlfn._xlws.FILTER(_xlpm.ptstables, _xlpm.ptstables &lt;&gt; "")),
  _xlpm.coef, _xlpm.K + _xlpm.Knewgain / (_xlpm.Knewscale + _xlpm.nbparties),
  IF(K375="",
    "",
    _xlpm.coef * (K375-K376))
)</f>
        <v/>
      </c>
      <c r="L377" t="str" cm="1">
        <f t="array" ref="L377">_xlfn.LET(
  _xlpm.K, Constantes!$B$3,
  _xlpm.Knewgain, Constantes!$B$4,
  _xlpm.Knewscale, Constantes!$B$5,
  _xlpm.ptstables, INDEX(L:L, _xlfn.SEQUENCE(COUNTA($C$2:$C377), 1, 3, 4)),
  _xlpm.nbparties, COUNTA(_xlfn._xlws.FILTER(_xlpm.ptstables, _xlpm.ptstables &lt;&gt; "")),
  _xlpm.coef, _xlpm.K + _xlpm.Knewgain / (_xlpm.Knewscale + _xlpm.nbparties),
  IF(L375="",
    "",
    _xlpm.coef * (L375-L376))
)</f>
        <v/>
      </c>
      <c r="M377" t="str" cm="1">
        <f t="array" ref="M377">_xlfn.LET(
  _xlpm.K, Constantes!$B$3,
  _xlpm.Knewgain, Constantes!$B$4,
  _xlpm.Knewscale, Constantes!$B$5,
  _xlpm.ptstables, INDEX(M:M, _xlfn.SEQUENCE(COUNTA($C$2:$C377), 1, 3, 4)),
  _xlpm.nbparties, COUNTA(_xlfn._xlws.FILTER(_xlpm.ptstables, _xlpm.ptstables &lt;&gt; "")),
  _xlpm.coef, _xlpm.K + _xlpm.Knewgain / (_xlpm.Knewscale + _xlpm.nbparties),
  IF(M375="",
    "",
    _xlpm.coef * (M375-M376))
)</f>
        <v/>
      </c>
      <c r="N377" t="str" cm="1">
        <f t="array" ref="N377">_xlfn.LET(
  _xlpm.K, Constantes!$B$3,
  _xlpm.Knewgain, Constantes!$B$4,
  _xlpm.Knewscale, Constantes!$B$5,
  _xlpm.ptstables, INDEX(N:N, _xlfn.SEQUENCE(COUNTA($C$2:$C377), 1, 3, 4)),
  _xlpm.nbparties, COUNTA(_xlfn._xlws.FILTER(_xlpm.ptstables, _xlpm.ptstables &lt;&gt; "")),
  _xlpm.coef, _xlpm.K + _xlpm.Knewgain / (_xlpm.Knewscale + _xlpm.nbparties),
  IF(N375="",
    "",
    _xlpm.coef * (N375-N376))
)</f>
        <v/>
      </c>
      <c r="O377" t="str" cm="1">
        <f t="array" ref="O377">_xlfn.LET(
  _xlpm.K, Constantes!$B$3,
  _xlpm.Knewgain, Constantes!$B$4,
  _xlpm.Knewscale, Constantes!$B$5,
  _xlpm.ptstables, INDEX(O:O, _xlfn.SEQUENCE(COUNTA($C$2:$C377), 1, 3, 4)),
  _xlpm.nbparties, COUNTA(_xlfn._xlws.FILTER(_xlpm.ptstables, _xlpm.ptstables &lt;&gt; "")),
  _xlpm.coef, _xlpm.K + _xlpm.Knewgain / (_xlpm.Knewscale + _xlpm.nbparties),
  IF(O375="",
    "",
    _xlpm.coef * (O375-O376))
)</f>
        <v/>
      </c>
      <c r="P377" t="str" cm="1">
        <f t="array" ref="P377">_xlfn.LET(
  _xlpm.K, Constantes!$B$3,
  _xlpm.Knewgain, Constantes!$B$4,
  _xlpm.Knewscale, Constantes!$B$5,
  _xlpm.ptstables, INDEX(P:P, _xlfn.SEQUENCE(COUNTA($C$2:$C377), 1, 3, 4)),
  _xlpm.nbparties, COUNTA(_xlfn._xlws.FILTER(_xlpm.ptstables, _xlpm.ptstables &lt;&gt; "")),
  _xlpm.coef, _xlpm.K + _xlpm.Knewgain / (_xlpm.Knewscale + _xlpm.nbparties),
  IF(P375="",
    "",
    _xlpm.coef * (P375-P376))
)</f>
        <v/>
      </c>
      <c r="Q377" t="str" cm="1">
        <f t="array" ref="Q377">_xlfn.LET(
  _xlpm.K, Constantes!$B$3,
  _xlpm.Knewgain, Constantes!$B$4,
  _xlpm.Knewscale, Constantes!$B$5,
  _xlpm.ptstables, INDEX(Q:Q, _xlfn.SEQUENCE(COUNTA($C$2:$C377), 1, 3, 4)),
  _xlpm.nbparties, COUNTA(_xlfn._xlws.FILTER(_xlpm.ptstables, _xlpm.ptstables &lt;&gt; "")),
  _xlpm.coef, _xlpm.K + _xlpm.Knewgain / (_xlpm.Knewscale + _xlpm.nbparties),
  IF(Q375="",
    "",
    _xlpm.coef * (Q375-Q376))
)</f>
        <v/>
      </c>
      <c r="R377" t="str" cm="1">
        <f t="array" ref="R377">_xlfn.LET(
  _xlpm.K, Constantes!$B$3,
  _xlpm.Knewgain, Constantes!$B$4,
  _xlpm.Knewscale, Constantes!$B$5,
  _xlpm.ptstables, INDEX(R:R, _xlfn.SEQUENCE(COUNTA($C$2:$C377), 1, 3, 4)),
  _xlpm.nbparties, COUNTA(_xlfn._xlws.FILTER(_xlpm.ptstables, _xlpm.ptstables &lt;&gt; "")),
  _xlpm.coef, _xlpm.K + _xlpm.Knewgain / (_xlpm.Knewscale + _xlpm.nbparties),
  IF(R375="",
    "",
    _xlpm.coef * (R375-R376))
)</f>
        <v/>
      </c>
      <c r="S377" cm="1">
        <f t="array" ref="S377">_xlfn.LET(
  _xlpm.K, Constantes!$B$3,
  _xlpm.Knewgain, Constantes!$B$4,
  _xlpm.Knewscale, Constantes!$B$5,
  _xlpm.ptstables, INDEX(S:S, _xlfn.SEQUENCE(COUNTA($C$2:$C377), 1, 3, 4)),
  _xlpm.nbparties, COUNTA(_xlfn._xlws.FILTER(_xlpm.ptstables, _xlpm.ptstables &lt;&gt; "")),
  _xlpm.coef, _xlpm.K + _xlpm.Knewgain / (_xlpm.Knewscale + _xlpm.nbparties),
  IF(S375="",
    "",
    _xlpm.coef * (S375-S376))
)</f>
        <v>19.856765958990657</v>
      </c>
      <c r="T377" t="str" cm="1">
        <f t="array" ref="T377">_xlfn.LET(
  _xlpm.K, Constantes!$B$3,
  _xlpm.Knewgain, Constantes!$B$4,
  _xlpm.Knewscale, Constantes!$B$5,
  _xlpm.ptstables, INDEX(T:T, _xlfn.SEQUENCE(COUNTA($C$2:$C377), 1, 3, 4)),
  _xlpm.nbparties, COUNTA(_xlfn._xlws.FILTER(_xlpm.ptstables, _xlpm.ptstables &lt;&gt; "")),
  _xlpm.coef, _xlpm.K + _xlpm.Knewgain / (_xlpm.Knewscale + _xlpm.nbparties),
  IF(T375="",
    "",
    _xlpm.coef * (T375-T376))
)</f>
        <v/>
      </c>
      <c r="U377" cm="1">
        <f t="array" ref="U377">_xlfn.LET(
  _xlpm.K, Constantes!$B$3,
  _xlpm.Knewgain, Constantes!$B$4,
  _xlpm.Knewscale, Constantes!$B$5,
  _xlpm.ptstables, INDEX(U:U, _xlfn.SEQUENCE(COUNTA($C$2:$C377), 1, 3, 4)),
  _xlpm.nbparties, COUNTA(_xlfn._xlws.FILTER(_xlpm.ptstables, _xlpm.ptstables &lt;&gt; "")),
  _xlpm.coef, _xlpm.K + _xlpm.Knewgain / (_xlpm.Knewscale + _xlpm.nbparties),
  IF(U375="",
    "",
    _xlpm.coef * (U375-U376))
)</f>
        <v>-52.094605982565312</v>
      </c>
      <c r="V377" t="str" cm="1">
        <f t="array" ref="V377">_xlfn.LET(
  _xlpm.K, Constantes!$B$3,
  _xlpm.Knewgain, Constantes!$B$4,
  _xlpm.Knewscale, Constantes!$B$5,
  _xlpm.ptstables, INDEX(V:V, _xlfn.SEQUENCE(COUNTA($C$2:$C377), 1, 3, 4)),
  _xlpm.nbparties, COUNTA(_xlfn._xlws.FILTER(_xlpm.ptstables, _xlpm.ptstables &lt;&gt; "")),
  _xlpm.coef, _xlpm.K + _xlpm.Knewgain / (_xlpm.Knewscale + _xlpm.nbparties),
  IF(V375="",
    "",
    _xlpm.coef * (V375-V376))
)</f>
        <v/>
      </c>
      <c r="W377" t="str" cm="1">
        <f t="array" ref="W377">_xlfn.LET(
  _xlpm.K, Constantes!$B$3,
  _xlpm.Knewgain, Constantes!$B$4,
  _xlpm.Knewscale, Constantes!$B$5,
  _xlpm.ptstables, INDEX(W:W, _xlfn.SEQUENCE(COUNTA($C$2:$C377), 1, 3, 4)),
  _xlpm.nbparties, COUNTA(_xlfn._xlws.FILTER(_xlpm.ptstables, _xlpm.ptstables &lt;&gt; "")),
  _xlpm.coef, _xlpm.K + _xlpm.Knewgain / (_xlpm.Knewscale + _xlpm.nbparties),
  IF(W375="",
    "",
    _xlpm.coef * (W375-W376))
)</f>
        <v/>
      </c>
      <c r="X377" t="str" cm="1">
        <f t="array" ref="X377">_xlfn.LET(
  _xlpm.K, Constantes!$B$3,
  _xlpm.Knewgain, Constantes!$B$4,
  _xlpm.Knewscale, Constantes!$B$5,
  _xlpm.ptstables, INDEX(X:X, _xlfn.SEQUENCE(COUNTA($C$2:$C377), 1, 3, 4)),
  _xlpm.nbparties, COUNTA(_xlfn._xlws.FILTER(_xlpm.ptstables, _xlpm.ptstables &lt;&gt; "")),
  _xlpm.coef, _xlpm.K + _xlpm.Knewgain / (_xlpm.Knewscale + _xlpm.nbparties),
  IF(X375="",
    "",
    _xlpm.coef * (X375-X376))
)</f>
        <v/>
      </c>
      <c r="Y377" t="str" cm="1">
        <f t="array" ref="Y377">_xlfn.LET(
  _xlpm.K, Constantes!$B$3,
  _xlpm.Knewgain, Constantes!$B$4,
  _xlpm.Knewscale, Constantes!$B$5,
  _xlpm.ptstables, INDEX(Y:Y, _xlfn.SEQUENCE(COUNTA($C$2:$C377), 1, 3, 4)),
  _xlpm.nbparties, COUNTA(_xlfn._xlws.FILTER(_xlpm.ptstables, _xlpm.ptstables &lt;&gt; "")),
  _xlpm.coef, _xlpm.K + _xlpm.Knewgain / (_xlpm.Knewscale + _xlpm.nbparties),
  IF(Y375="",
    "",
    _xlpm.coef * (Y375-Y376))
)</f>
        <v/>
      </c>
      <c r="Z377" t="str" cm="1">
        <f t="array" ref="Z377">_xlfn.LET(
  _xlpm.K, Constantes!$B$3,
  _xlpm.Knewgain, Constantes!$B$4,
  _xlpm.Knewscale, Constantes!$B$5,
  _xlpm.ptstables, INDEX(Z:Z, _xlfn.SEQUENCE(COUNTA($C$2:$C377), 1, 3, 4)),
  _xlpm.nbparties, COUNTA(_xlfn._xlws.FILTER(_xlpm.ptstables, _xlpm.ptstables &lt;&gt; "")),
  _xlpm.coef, _xlpm.K + _xlpm.Knewgain / (_xlpm.Knewscale + _xlpm.nbparties),
  IF(Z375="",
    "",
    _xlpm.coef * (Z375-Z376))
)</f>
        <v/>
      </c>
      <c r="AA377" t="str" cm="1">
        <f t="array" ref="AA377">_xlfn.LET(
  _xlpm.K, Constantes!$B$3,
  _xlpm.Knewgain, Constantes!$B$4,
  _xlpm.Knewscale, Constantes!$B$5,
  _xlpm.ptstables, INDEX(AA:AA, _xlfn.SEQUENCE(COUNTA($C$2:$C377), 1, 3, 4)),
  _xlpm.nbparties, COUNTA(_xlfn._xlws.FILTER(_xlpm.ptstables, _xlpm.ptstables &lt;&gt; "")),
  _xlpm.coef, _xlpm.K + _xlpm.Knewgain / (_xlpm.Knewscale + _xlpm.nbparties),
  IF(AA375="",
    "",
    _xlpm.coef * (AA375-AA376))
)</f>
        <v/>
      </c>
      <c r="AB377" t="str" cm="1">
        <f t="array" ref="AB377">_xlfn.LET(
  _xlpm.K, Constantes!$B$3,
  _xlpm.Knewgain, Constantes!$B$4,
  _xlpm.Knewscale, Constantes!$B$5,
  _xlpm.ptstables, INDEX(AB:AB, _xlfn.SEQUENCE(COUNTA($C$2:$C377), 1, 3, 4)),
  _xlpm.nbparties, COUNTA(_xlfn._xlws.FILTER(_xlpm.ptstables, _xlpm.ptstables &lt;&gt; "")),
  _xlpm.coef, _xlpm.K + _xlpm.Knewgain / (_xlpm.Knewscale + _xlpm.nbparties),
  IF(AB375="",
    "",
    _xlpm.coef * (AB375-AB376))
)</f>
        <v/>
      </c>
      <c r="AC377" t="str" cm="1">
        <f t="array" ref="AC377">_xlfn.LET(
  _xlpm.K, Constantes!$B$3,
  _xlpm.Knewgain, Constantes!$B$4,
  _xlpm.Knewscale, Constantes!$B$5,
  _xlpm.ptstables, INDEX(AC:AC, _xlfn.SEQUENCE(COUNTA($C$2:$C377), 1, 3, 4)),
  _xlpm.nbparties, COUNTA(_xlfn._xlws.FILTER(_xlpm.ptstables, _xlpm.ptstables &lt;&gt; "")),
  _xlpm.coef, _xlpm.K + _xlpm.Knewgain / (_xlpm.Knewscale + _xlpm.nbparties),
  IF(AC375="",
    "",
    _xlpm.coef * (AC375-AC376))
)</f>
        <v/>
      </c>
      <c r="AD377" t="str" cm="1">
        <f t="array" ref="AD377">_xlfn.LET(
  _xlpm.K, Constantes!$B$3,
  _xlpm.Knewgain, Constantes!$B$4,
  _xlpm.Knewscale, Constantes!$B$5,
  _xlpm.ptstables, INDEX(AD:AD, _xlfn.SEQUENCE(COUNTA($C$2:$C377), 1, 3, 4)),
  _xlpm.nbparties, COUNTA(_xlfn._xlws.FILTER(_xlpm.ptstables, _xlpm.ptstables &lt;&gt; "")),
  _xlpm.coef, _xlpm.K + _xlpm.Knewgain / (_xlpm.Knewscale + _xlpm.nbparties),
  IF(AD375="",
    "",
    _xlpm.coef * (AD375-AD376))
)</f>
        <v/>
      </c>
      <c r="AE377" t="str" cm="1">
        <f t="array" ref="AE377">_xlfn.LET(
  _xlpm.K, Constantes!$B$3,
  _xlpm.Knewgain, Constantes!$B$4,
  _xlpm.Knewscale, Constantes!$B$5,
  _xlpm.ptstables, INDEX(AE:AE, _xlfn.SEQUENCE(COUNTA($C$2:$C377), 1, 3, 4)),
  _xlpm.nbparties, COUNTA(_xlfn._xlws.FILTER(_xlpm.ptstables, _xlpm.ptstables &lt;&gt; "")),
  _xlpm.coef, _xlpm.K + _xlpm.Knewgain / (_xlpm.Knewscale + _xlpm.nbparties),
  IF(AE375="",
    "",
    _xlpm.coef * (AE375-AE376))
)</f>
        <v/>
      </c>
      <c r="AF377" t="str" cm="1">
        <f t="array" ref="AF377">_xlfn.LET(
  _xlpm.K, Constantes!$B$3,
  _xlpm.Knewgain, Constantes!$B$4,
  _xlpm.Knewscale, Constantes!$B$5,
  _xlpm.ptstables, INDEX(AF:AF, _xlfn.SEQUENCE(COUNTA($C$2:$C377), 1, 3, 4)),
  _xlpm.nbparties, COUNTA(_xlfn._xlws.FILTER(_xlpm.ptstables, _xlpm.ptstables &lt;&gt; "")),
  _xlpm.coef, _xlpm.K + _xlpm.Knewgain / (_xlpm.Knewscale + _xlpm.nbparties),
  IF(AF375="",
    "",
    _xlpm.coef * (AF375-AF376))
)</f>
        <v/>
      </c>
      <c r="AG377" t="str" cm="1">
        <f t="array" ref="AG377">_xlfn.LET(
  _xlpm.K, Constantes!$B$3,
  _xlpm.Knewgain, Constantes!$B$4,
  _xlpm.Knewscale, Constantes!$B$5,
  _xlpm.ptstables, INDEX(AG:AG, _xlfn.SEQUENCE(COUNTA($C$2:$C377), 1, 3, 4)),
  _xlpm.nbparties, COUNTA(_xlfn._xlws.FILTER(_xlpm.ptstables, _xlpm.ptstables &lt;&gt; "")),
  _xlpm.coef, _xlpm.K + _xlpm.Knewgain / (_xlpm.Knewscale + _xlpm.nbparties),
  IF(AG375="",
    "",
    _xlpm.coef * (AG375-AG376))
)</f>
        <v/>
      </c>
      <c r="AH377" t="str" cm="1">
        <f t="array" ref="AH377">_xlfn.LET(
  _xlpm.K, Constantes!$B$3,
  _xlpm.Knewgain, Constantes!$B$4,
  _xlpm.Knewscale, Constantes!$B$5,
  _xlpm.ptstables, INDEX(AH:AH, _xlfn.SEQUENCE(COUNTA($C$2:$C377), 1, 3, 4)),
  _xlpm.nbparties, COUNTA(_xlfn._xlws.FILTER(_xlpm.ptstables, _xlpm.ptstables &lt;&gt; "")),
  _xlpm.coef, _xlpm.K + _xlpm.Knewgain / (_xlpm.Knewscale + _xlpm.nbparties),
  IF(AH375="",
    "",
    _xlpm.coef * (AH375-AH376))
)</f>
        <v/>
      </c>
      <c r="AI377" cm="1">
        <f t="array" ref="AI377">_xlfn.LET(
  _xlpm.K, Constantes!$B$3,
  _xlpm.Knewgain, Constantes!$B$4,
  _xlpm.Knewscale, Constantes!$B$5,
  _xlpm.ptstables, INDEX(AI:AI, _xlfn.SEQUENCE(COUNTA($C$2:$C377), 1, 3, 4)),
  _xlpm.nbparties, COUNTA(_xlfn._xlws.FILTER(_xlpm.ptstables, _xlpm.ptstables &lt;&gt; "")),
  _xlpm.coef, _xlpm.K + _xlpm.Knewgain / (_xlpm.Knewscale + _xlpm.nbparties),
  IF(AI375="",
    "",
    _xlpm.coef * (AI375-AI376))
)</f>
        <v>2.0957524172377884</v>
      </c>
      <c r="AJ377" t="str" cm="1">
        <f t="array" ref="AJ377">_xlfn.LET(
  _xlpm.K, Constantes!$B$3,
  _xlpm.Knewgain, Constantes!$B$4,
  _xlpm.Knewscale, Constantes!$B$5,
  _xlpm.ptstables, INDEX(AJ:AJ, _xlfn.SEQUENCE(COUNTA($C$2:$C377), 1, 3, 4)),
  _xlpm.nbparties, COUNTA(_xlfn._xlws.FILTER(_xlpm.ptstables, _xlpm.ptstables &lt;&gt; "")),
  _xlpm.coef, _xlpm.K + _xlpm.Knewgain / (_xlpm.Knewscale + _xlpm.nbparties),
  IF(AJ375="",
    "",
    _xlpm.coef * (AJ375-AJ376))
)</f>
        <v/>
      </c>
      <c r="AK377" t="str" cm="1">
        <f t="array" ref="AK377">_xlfn.LET(
  _xlpm.K, Constantes!$B$3,
  _xlpm.Knewgain, Constantes!$B$4,
  _xlpm.Knewscale, Constantes!$B$5,
  _xlpm.ptstables, INDEX(AK:AK, _xlfn.SEQUENCE(COUNTA($C$2:$C377), 1, 3, 4)),
  _xlpm.nbparties, COUNTA(_xlfn._xlws.FILTER(_xlpm.ptstables, _xlpm.ptstables &lt;&gt; "")),
  _xlpm.coef, _xlpm.K + _xlpm.Knewgain / (_xlpm.Knewscale + _xlpm.nbparties),
  IF(AK375="",
    "",
    _xlpm.coef * (AK375-AK376))
)</f>
        <v/>
      </c>
      <c r="AL377" t="str" cm="1">
        <f t="array" ref="AL377">_xlfn.LET(
  _xlpm.K, Constantes!$B$3,
  _xlpm.Knewgain, Constantes!$B$4,
  _xlpm.Knewscale, Constantes!$B$5,
  _xlpm.ptstables, INDEX(AL:AL, _xlfn.SEQUENCE(COUNTA($C$2:$C377), 1, 3, 4)),
  _xlpm.nbparties, COUNTA(_xlfn._xlws.FILTER(_xlpm.ptstables, _xlpm.ptstables &lt;&gt; "")),
  _xlpm.coef, _xlpm.K + _xlpm.Knewgain / (_xlpm.Knewscale + _xlpm.nbparties),
  IF(AL375="",
    "",
    _xlpm.coef * (AL375-AL376))
)</f>
        <v/>
      </c>
      <c r="AM377" t="str" cm="1">
        <f t="array" ref="AM377">_xlfn.LET(
  _xlpm.K, Constantes!$B$3,
  _xlpm.Knewgain, Constantes!$B$4,
  _xlpm.Knewscale, Constantes!$B$5,
  _xlpm.ptstables, INDEX(AM:AM, _xlfn.SEQUENCE(COUNTA($C$2:$C377), 1, 3, 4)),
  _xlpm.nbparties, COUNTA(_xlfn._xlws.FILTER(_xlpm.ptstables, _xlpm.ptstables &lt;&gt; "")),
  _xlpm.coef, _xlpm.K + _xlpm.Knewgain / (_xlpm.Knewscale + _xlpm.nbparties),
  IF(AM375="",
    "",
    _xlpm.coef * (AM375-AM376))
)</f>
        <v/>
      </c>
    </row>
    <row r="378" spans="1:39" x14ac:dyDescent="0.25">
      <c r="A378" t="s">
        <v>14</v>
      </c>
      <c r="B378" t="str" cm="1">
        <f t="array" ref="B37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95</v>
      </c>
      <c r="C378" s="2" cm="1">
        <f t="array" ref="C378">IF(B378="","",
  INDEX(Donnees!F:F, MATCH(B378, Donnees!F:F, 0)+1))</f>
        <v>45955.590624999997</v>
      </c>
      <c r="D378">
        <f t="shared" ref="D378:AM378" si="102">D374+IF(D377="",0,D377)</f>
        <v>983.00829738956952</v>
      </c>
      <c r="E378">
        <f t="shared" si="102"/>
        <v>1134.1573908115724</v>
      </c>
      <c r="F378">
        <f t="shared" si="102"/>
        <v>843.95250750280252</v>
      </c>
      <c r="G378">
        <f t="shared" si="102"/>
        <v>1105.6078030990298</v>
      </c>
      <c r="H378">
        <f t="shared" si="102"/>
        <v>1120.6842315020224</v>
      </c>
      <c r="I378">
        <f t="shared" si="102"/>
        <v>912.81564332013568</v>
      </c>
      <c r="J378">
        <f t="shared" si="102"/>
        <v>1010.9125108504293</v>
      </c>
      <c r="K378">
        <f t="shared" si="102"/>
        <v>993.90254614824482</v>
      </c>
      <c r="L378">
        <f t="shared" si="102"/>
        <v>783.12422360152641</v>
      </c>
      <c r="M378">
        <f t="shared" si="102"/>
        <v>913.41986361738122</v>
      </c>
      <c r="N378">
        <f t="shared" si="102"/>
        <v>903.42914476260137</v>
      </c>
      <c r="O378">
        <f t="shared" si="102"/>
        <v>1033.7212914161473</v>
      </c>
      <c r="P378">
        <f t="shared" si="102"/>
        <v>992.25226906035107</v>
      </c>
      <c r="Q378">
        <f t="shared" si="102"/>
        <v>1050.1062561870472</v>
      </c>
      <c r="R378">
        <f t="shared" si="102"/>
        <v>1081.9794695946118</v>
      </c>
      <c r="S378">
        <f t="shared" si="102"/>
        <v>999.89461023783792</v>
      </c>
      <c r="T378">
        <f t="shared" si="102"/>
        <v>1153.43058185823</v>
      </c>
      <c r="U378">
        <f t="shared" si="102"/>
        <v>1192.3149033083271</v>
      </c>
      <c r="V378">
        <f t="shared" si="102"/>
        <v>969.67171739286073</v>
      </c>
      <c r="W378">
        <f t="shared" si="102"/>
        <v>882.29253769067657</v>
      </c>
      <c r="X378">
        <f t="shared" si="102"/>
        <v>828.97598039785271</v>
      </c>
      <c r="Y378">
        <f t="shared" si="102"/>
        <v>903.14348714035714</v>
      </c>
      <c r="Z378">
        <f t="shared" si="102"/>
        <v>1000.4832210979791</v>
      </c>
      <c r="AA378">
        <f t="shared" si="102"/>
        <v>976.40065260504912</v>
      </c>
      <c r="AB378">
        <f t="shared" si="102"/>
        <v>988.35669729544747</v>
      </c>
      <c r="AC378">
        <f t="shared" si="102"/>
        <v>1051.9456808600683</v>
      </c>
      <c r="AD378">
        <f t="shared" si="102"/>
        <v>1093.8192243082785</v>
      </c>
      <c r="AE378">
        <f t="shared" si="102"/>
        <v>963.23981965000235</v>
      </c>
      <c r="AF378">
        <f t="shared" si="102"/>
        <v>1094.8196847516158</v>
      </c>
      <c r="AG378">
        <f t="shared" si="102"/>
        <v>958.23078604304851</v>
      </c>
      <c r="AH378">
        <f t="shared" si="102"/>
        <v>920.4412636682855</v>
      </c>
      <c r="AI378">
        <f t="shared" si="102"/>
        <v>943.78562073727187</v>
      </c>
      <c r="AJ378">
        <f t="shared" si="102"/>
        <v>906.86354201913434</v>
      </c>
      <c r="AK378">
        <f t="shared" si="102"/>
        <v>1074.0069367206956</v>
      </c>
      <c r="AL378">
        <f t="shared" si="102"/>
        <v>1025.7817971572972</v>
      </c>
      <c r="AM378">
        <f t="shared" si="102"/>
        <v>930.08392160706046</v>
      </c>
    </row>
    <row r="379" spans="1:39" x14ac:dyDescent="0.25">
      <c r="A379" t="s">
        <v>21</v>
      </c>
      <c r="D379" t="str" cm="1">
        <f t="array" ref="D379">IFERROR(
  _xlfn.LET(
    _xlpm.ligpartie, MATCH($B378, Donnees!$F:$F, 0),
    _xlpm.joueurs, INDEX(Donnees!$A:$Z, _xlpm.ligpartie+1, _xlfn.SEQUENCE(1, 4, 2)),
    INDEX(
      Donnees!$A:$Z,
      _xlpm.ligpartie + 3,
      MATCH(D$1, _xlpm.joueurs, 0) + 1
    )
  ), ""
)</f>
        <v/>
      </c>
      <c r="E379" t="str" cm="1">
        <f t="array" ref="E379">IFERROR(
  _xlfn.LET(
    _xlpm.ligpartie, MATCH($B378, Donnees!$F:$F, 0),
    _xlpm.joueurs, INDEX(Donnees!$A:$Z, _xlpm.ligpartie+1, _xlfn.SEQUENCE(1, 4, 2)),
    INDEX(
      Donnees!$A:$Z,
      _xlpm.ligpartie + 3,
      MATCH(E$1, _xlpm.joueurs, 0) + 1
    )
  ), ""
)</f>
        <v/>
      </c>
      <c r="F379" cm="1">
        <f t="array" ref="F379">IFERROR(
  _xlfn.LET(
    _xlpm.ligpartie, MATCH($B378, Donnees!$F:$F, 0),
    _xlpm.joueurs, INDEX(Donnees!$A:$Z, _xlpm.ligpartie+1, _xlfn.SEQUENCE(1, 4, 2)),
    INDEX(
      Donnees!$A:$Z,
      _xlpm.ligpartie + 3,
      MATCH(F$1, _xlpm.joueurs, 0) + 1
    )
  ), ""
)</f>
        <v>3</v>
      </c>
      <c r="G379" t="str" cm="1">
        <f t="array" ref="G379">IFERROR(
  _xlfn.LET(
    _xlpm.ligpartie, MATCH($B378, Donnees!$F:$F, 0),
    _xlpm.joueurs, INDEX(Donnees!$A:$Z, _xlpm.ligpartie+1, _xlfn.SEQUENCE(1, 4, 2)),
    INDEX(
      Donnees!$A:$Z,
      _xlpm.ligpartie + 3,
      MATCH(G$1, _xlpm.joueurs, 0) + 1
    )
  ), ""
)</f>
        <v/>
      </c>
      <c r="H379" t="str" cm="1">
        <f t="array" ref="H379">IFERROR(
  _xlfn.LET(
    _xlpm.ligpartie, MATCH($B378, Donnees!$F:$F, 0),
    _xlpm.joueurs, INDEX(Donnees!$A:$Z, _xlpm.ligpartie+1, _xlfn.SEQUENCE(1, 4, 2)),
    INDEX(
      Donnees!$A:$Z,
      _xlpm.ligpartie + 3,
      MATCH(H$1, _xlpm.joueurs, 0) + 1
    )
  ), ""
)</f>
        <v/>
      </c>
      <c r="I379" t="str" cm="1">
        <f t="array" ref="I379">IFERROR(
  _xlfn.LET(
    _xlpm.ligpartie, MATCH($B378, Donnees!$F:$F, 0),
    _xlpm.joueurs, INDEX(Donnees!$A:$Z, _xlpm.ligpartie+1, _xlfn.SEQUENCE(1, 4, 2)),
    INDEX(
      Donnees!$A:$Z,
      _xlpm.ligpartie + 3,
      MATCH(I$1, _xlpm.joueurs, 0) + 1
    )
  ), ""
)</f>
        <v/>
      </c>
      <c r="J379" t="str" cm="1">
        <f t="array" ref="J379">IFERROR(
  _xlfn.LET(
    _xlpm.ligpartie, MATCH($B378, Donnees!$F:$F, 0),
    _xlpm.joueurs, INDEX(Donnees!$A:$Z, _xlpm.ligpartie+1, _xlfn.SEQUENCE(1, 4, 2)),
    INDEX(
      Donnees!$A:$Z,
      _xlpm.ligpartie + 3,
      MATCH(J$1, _xlpm.joueurs, 0) + 1
    )
  ), ""
)</f>
        <v/>
      </c>
      <c r="K379" t="str" cm="1">
        <f t="array" ref="K379">IFERROR(
  _xlfn.LET(
    _xlpm.ligpartie, MATCH($B378, Donnees!$F:$F, 0),
    _xlpm.joueurs, INDEX(Donnees!$A:$Z, _xlpm.ligpartie+1, _xlfn.SEQUENCE(1, 4, 2)),
    INDEX(
      Donnees!$A:$Z,
      _xlpm.ligpartie + 3,
      MATCH(K$1, _xlpm.joueurs, 0) + 1
    )
  ), ""
)</f>
        <v/>
      </c>
      <c r="L379" t="str" cm="1">
        <f t="array" ref="L379">IFERROR(
  _xlfn.LET(
    _xlpm.ligpartie, MATCH($B378, Donnees!$F:$F, 0),
    _xlpm.joueurs, INDEX(Donnees!$A:$Z, _xlpm.ligpartie+1, _xlfn.SEQUENCE(1, 4, 2)),
    INDEX(
      Donnees!$A:$Z,
      _xlpm.ligpartie + 3,
      MATCH(L$1, _xlpm.joueurs, 0) + 1
    )
  ), ""
)</f>
        <v/>
      </c>
      <c r="M379" t="str" cm="1">
        <f t="array" ref="M379">IFERROR(
  _xlfn.LET(
    _xlpm.ligpartie, MATCH($B378, Donnees!$F:$F, 0),
    _xlpm.joueurs, INDEX(Donnees!$A:$Z, _xlpm.ligpartie+1, _xlfn.SEQUENCE(1, 4, 2)),
    INDEX(
      Donnees!$A:$Z,
      _xlpm.ligpartie + 3,
      MATCH(M$1, _xlpm.joueurs, 0) + 1
    )
  ), ""
)</f>
        <v/>
      </c>
      <c r="N379" t="str" cm="1">
        <f t="array" ref="N379">IFERROR(
  _xlfn.LET(
    _xlpm.ligpartie, MATCH($B378, Donnees!$F:$F, 0),
    _xlpm.joueurs, INDEX(Donnees!$A:$Z, _xlpm.ligpartie+1, _xlfn.SEQUENCE(1, 4, 2)),
    INDEX(
      Donnees!$A:$Z,
      _xlpm.ligpartie + 3,
      MATCH(N$1, _xlpm.joueurs, 0) + 1
    )
  ), ""
)</f>
        <v/>
      </c>
      <c r="O379" t="str" cm="1">
        <f t="array" ref="O379">IFERROR(
  _xlfn.LET(
    _xlpm.ligpartie, MATCH($B378, Donnees!$F:$F, 0),
    _xlpm.joueurs, INDEX(Donnees!$A:$Z, _xlpm.ligpartie+1, _xlfn.SEQUENCE(1, 4, 2)),
    INDEX(
      Donnees!$A:$Z,
      _xlpm.ligpartie + 3,
      MATCH(O$1, _xlpm.joueurs, 0) + 1
    )
  ), ""
)</f>
        <v/>
      </c>
      <c r="P379" t="str" cm="1">
        <f t="array" ref="P379">IFERROR(
  _xlfn.LET(
    _xlpm.ligpartie, MATCH($B378, Donnees!$F:$F, 0),
    _xlpm.joueurs, INDEX(Donnees!$A:$Z, _xlpm.ligpartie+1, _xlfn.SEQUENCE(1, 4, 2)),
    INDEX(
      Donnees!$A:$Z,
      _xlpm.ligpartie + 3,
      MATCH(P$1, _xlpm.joueurs, 0) + 1
    )
  ), ""
)</f>
        <v/>
      </c>
      <c r="Q379" t="str" cm="1">
        <f t="array" ref="Q379">IFERROR(
  _xlfn.LET(
    _xlpm.ligpartie, MATCH($B378, Donnees!$F:$F, 0),
    _xlpm.joueurs, INDEX(Donnees!$A:$Z, _xlpm.ligpartie+1, _xlfn.SEQUENCE(1, 4, 2)),
    INDEX(
      Donnees!$A:$Z,
      _xlpm.ligpartie + 3,
      MATCH(Q$1, _xlpm.joueurs, 0) + 1
    )
  ), ""
)</f>
        <v/>
      </c>
      <c r="R379" cm="1">
        <f t="array" ref="R379">IFERROR(
  _xlfn.LET(
    _xlpm.ligpartie, MATCH($B378, Donnees!$F:$F, 0),
    _xlpm.joueurs, INDEX(Donnees!$A:$Z, _xlpm.ligpartie+1, _xlfn.SEQUENCE(1, 4, 2)),
    INDEX(
      Donnees!$A:$Z,
      _xlpm.ligpartie + 3,
      MATCH(R$1, _xlpm.joueurs, 0) + 1
    )
  ), ""
)</f>
        <v>2</v>
      </c>
      <c r="S379" cm="1">
        <f t="array" ref="S379">IFERROR(
  _xlfn.LET(
    _xlpm.ligpartie, MATCH($B378, Donnees!$F:$F, 0),
    _xlpm.joueurs, INDEX(Donnees!$A:$Z, _xlpm.ligpartie+1, _xlfn.SEQUENCE(1, 4, 2)),
    INDEX(
      Donnees!$A:$Z,
      _xlpm.ligpartie + 3,
      MATCH(S$1, _xlpm.joueurs, 0) + 1
    )
  ), ""
)</f>
        <v>0.5</v>
      </c>
      <c r="T379" t="str" cm="1">
        <f t="array" ref="T379">IFERROR(
  _xlfn.LET(
    _xlpm.ligpartie, MATCH($B378, Donnees!$F:$F, 0),
    _xlpm.joueurs, INDEX(Donnees!$A:$Z, _xlpm.ligpartie+1, _xlfn.SEQUENCE(1, 4, 2)),
    INDEX(
      Donnees!$A:$Z,
      _xlpm.ligpartie + 3,
      MATCH(T$1, _xlpm.joueurs, 0) + 1
    )
  ), ""
)</f>
        <v/>
      </c>
      <c r="U379" t="str" cm="1">
        <f t="array" ref="U379">IFERROR(
  _xlfn.LET(
    _xlpm.ligpartie, MATCH($B378, Donnees!$F:$F, 0),
    _xlpm.joueurs, INDEX(Donnees!$A:$Z, _xlpm.ligpartie+1, _xlfn.SEQUENCE(1, 4, 2)),
    INDEX(
      Donnees!$A:$Z,
      _xlpm.ligpartie + 3,
      MATCH(U$1, _xlpm.joueurs, 0) + 1
    )
  ), ""
)</f>
        <v/>
      </c>
      <c r="V379" t="str" cm="1">
        <f t="array" ref="V379">IFERROR(
  _xlfn.LET(
    _xlpm.ligpartie, MATCH($B378, Donnees!$F:$F, 0),
    _xlpm.joueurs, INDEX(Donnees!$A:$Z, _xlpm.ligpartie+1, _xlfn.SEQUENCE(1, 4, 2)),
    INDEX(
      Donnees!$A:$Z,
      _xlpm.ligpartie + 3,
      MATCH(V$1, _xlpm.joueurs, 0) + 1
    )
  ), ""
)</f>
        <v/>
      </c>
      <c r="W379" t="str" cm="1">
        <f t="array" ref="W379">IFERROR(
  _xlfn.LET(
    _xlpm.ligpartie, MATCH($B378, Donnees!$F:$F, 0),
    _xlpm.joueurs, INDEX(Donnees!$A:$Z, _xlpm.ligpartie+1, _xlfn.SEQUENCE(1, 4, 2)),
    INDEX(
      Donnees!$A:$Z,
      _xlpm.ligpartie + 3,
      MATCH(W$1, _xlpm.joueurs, 0) + 1
    )
  ), ""
)</f>
        <v/>
      </c>
      <c r="X379" t="str" cm="1">
        <f t="array" ref="X379">IFERROR(
  _xlfn.LET(
    _xlpm.ligpartie, MATCH($B378, Donnees!$F:$F, 0),
    _xlpm.joueurs, INDEX(Donnees!$A:$Z, _xlpm.ligpartie+1, _xlfn.SEQUENCE(1, 4, 2)),
    INDEX(
      Donnees!$A:$Z,
      _xlpm.ligpartie + 3,
      MATCH(X$1, _xlpm.joueurs, 0) + 1
    )
  ), ""
)</f>
        <v/>
      </c>
      <c r="Y379" t="str" cm="1">
        <f t="array" ref="Y379">IFERROR(
  _xlfn.LET(
    _xlpm.ligpartie, MATCH($B378, Donnees!$F:$F, 0),
    _xlpm.joueurs, INDEX(Donnees!$A:$Z, _xlpm.ligpartie+1, _xlfn.SEQUENCE(1, 4, 2)),
    INDEX(
      Donnees!$A:$Z,
      _xlpm.ligpartie + 3,
      MATCH(Y$1, _xlpm.joueurs, 0) + 1
    )
  ), ""
)</f>
        <v/>
      </c>
      <c r="Z379" cm="1">
        <f t="array" ref="Z379">IFERROR(
  _xlfn.LET(
    _xlpm.ligpartie, MATCH($B378, Donnees!$F:$F, 0),
    _xlpm.joueurs, INDEX(Donnees!$A:$Z, _xlpm.ligpartie+1, _xlfn.SEQUENCE(1, 4, 2)),
    INDEX(
      Donnees!$A:$Z,
      _xlpm.ligpartie + 3,
      MATCH(Z$1, _xlpm.joueurs, 0) + 1
    )
  ), ""
)</f>
        <v>0.5</v>
      </c>
      <c r="AA379" t="str" cm="1">
        <f t="array" ref="AA379">IFERROR(
  _xlfn.LET(
    _xlpm.ligpartie, MATCH($B378, Donnees!$F:$F, 0),
    _xlpm.joueurs, INDEX(Donnees!$A:$Z, _xlpm.ligpartie+1, _xlfn.SEQUENCE(1, 4, 2)),
    INDEX(
      Donnees!$A:$Z,
      _xlpm.ligpartie + 3,
      MATCH(AA$1, _xlpm.joueurs, 0) + 1
    )
  ), ""
)</f>
        <v/>
      </c>
      <c r="AB379" t="str" cm="1">
        <f t="array" ref="AB379">IFERROR(
  _xlfn.LET(
    _xlpm.ligpartie, MATCH($B378, Donnees!$F:$F, 0),
    _xlpm.joueurs, INDEX(Donnees!$A:$Z, _xlpm.ligpartie+1, _xlfn.SEQUENCE(1, 4, 2)),
    INDEX(
      Donnees!$A:$Z,
      _xlpm.ligpartie + 3,
      MATCH(AB$1, _xlpm.joueurs, 0) + 1
    )
  ), ""
)</f>
        <v/>
      </c>
      <c r="AC379" t="str" cm="1">
        <f t="array" ref="AC379">IFERROR(
  _xlfn.LET(
    _xlpm.ligpartie, MATCH($B378, Donnees!$F:$F, 0),
    _xlpm.joueurs, INDEX(Donnees!$A:$Z, _xlpm.ligpartie+1, _xlfn.SEQUENCE(1, 4, 2)),
    INDEX(
      Donnees!$A:$Z,
      _xlpm.ligpartie + 3,
      MATCH(AC$1, _xlpm.joueurs, 0) + 1
    )
  ), ""
)</f>
        <v/>
      </c>
      <c r="AD379" t="str" cm="1">
        <f t="array" ref="AD379">IFERROR(
  _xlfn.LET(
    _xlpm.ligpartie, MATCH($B378, Donnees!$F:$F, 0),
    _xlpm.joueurs, INDEX(Donnees!$A:$Z, _xlpm.ligpartie+1, _xlfn.SEQUENCE(1, 4, 2)),
    INDEX(
      Donnees!$A:$Z,
      _xlpm.ligpartie + 3,
      MATCH(AD$1, _xlpm.joueurs, 0) + 1
    )
  ), ""
)</f>
        <v/>
      </c>
      <c r="AE379" t="str" cm="1">
        <f t="array" ref="AE379">IFERROR(
  _xlfn.LET(
    _xlpm.ligpartie, MATCH($B378, Donnees!$F:$F, 0),
    _xlpm.joueurs, INDEX(Donnees!$A:$Z, _xlpm.ligpartie+1, _xlfn.SEQUENCE(1, 4, 2)),
    INDEX(
      Donnees!$A:$Z,
      _xlpm.ligpartie + 3,
      MATCH(AE$1, _xlpm.joueurs, 0) + 1
    )
  ), ""
)</f>
        <v/>
      </c>
      <c r="AF379" t="str" cm="1">
        <f t="array" ref="AF379">IFERROR(
  _xlfn.LET(
    _xlpm.ligpartie, MATCH($B378, Donnees!$F:$F, 0),
    _xlpm.joueurs, INDEX(Donnees!$A:$Z, _xlpm.ligpartie+1, _xlfn.SEQUENCE(1, 4, 2)),
    INDEX(
      Donnees!$A:$Z,
      _xlpm.ligpartie + 3,
      MATCH(AF$1, _xlpm.joueurs, 0) + 1
    )
  ), ""
)</f>
        <v/>
      </c>
      <c r="AG379" t="str" cm="1">
        <f t="array" ref="AG379">IFERROR(
  _xlfn.LET(
    _xlpm.ligpartie, MATCH($B378, Donnees!$F:$F, 0),
    _xlpm.joueurs, INDEX(Donnees!$A:$Z, _xlpm.ligpartie+1, _xlfn.SEQUENCE(1, 4, 2)),
    INDEX(
      Donnees!$A:$Z,
      _xlpm.ligpartie + 3,
      MATCH(AG$1, _xlpm.joueurs, 0) + 1
    )
  ), ""
)</f>
        <v/>
      </c>
      <c r="AH379" t="str" cm="1">
        <f t="array" ref="AH379">IFERROR(
  _xlfn.LET(
    _xlpm.ligpartie, MATCH($B378, Donnees!$F:$F, 0),
    _xlpm.joueurs, INDEX(Donnees!$A:$Z, _xlpm.ligpartie+1, _xlfn.SEQUENCE(1, 4, 2)),
    INDEX(
      Donnees!$A:$Z,
      _xlpm.ligpartie + 3,
      MATCH(AH$1, _xlpm.joueurs, 0) + 1
    )
  ), ""
)</f>
        <v/>
      </c>
      <c r="AI379" t="str" cm="1">
        <f t="array" ref="AI379">IFERROR(
  _xlfn.LET(
    _xlpm.ligpartie, MATCH($B378, Donnees!$F:$F, 0),
    _xlpm.joueurs, INDEX(Donnees!$A:$Z, _xlpm.ligpartie+1, _xlfn.SEQUENCE(1, 4, 2)),
    INDEX(
      Donnees!$A:$Z,
      _xlpm.ligpartie + 3,
      MATCH(AI$1, _xlpm.joueurs, 0) + 1
    )
  ), ""
)</f>
        <v/>
      </c>
      <c r="AJ379" t="str" cm="1">
        <f t="array" ref="AJ379">IFERROR(
  _xlfn.LET(
    _xlpm.ligpartie, MATCH($B378, Donnees!$F:$F, 0),
    _xlpm.joueurs, INDEX(Donnees!$A:$Z, _xlpm.ligpartie+1, _xlfn.SEQUENCE(1, 4, 2)),
    INDEX(
      Donnees!$A:$Z,
      _xlpm.ligpartie + 3,
      MATCH(AJ$1, _xlpm.joueurs, 0) + 1
    )
  ), ""
)</f>
        <v/>
      </c>
      <c r="AK379" t="str" cm="1">
        <f t="array" ref="AK379">IFERROR(
  _xlfn.LET(
    _xlpm.ligpartie, MATCH($B378, Donnees!$F:$F, 0),
    _xlpm.joueurs, INDEX(Donnees!$A:$Z, _xlpm.ligpartie+1, _xlfn.SEQUENCE(1, 4, 2)),
    INDEX(
      Donnees!$A:$Z,
      _xlpm.ligpartie + 3,
      MATCH(AK$1, _xlpm.joueurs, 0) + 1
    )
  ), ""
)</f>
        <v/>
      </c>
      <c r="AL379" t="str" cm="1">
        <f t="array" ref="AL379">IFERROR(
  _xlfn.LET(
    _xlpm.ligpartie, MATCH($B378, Donnees!$F:$F, 0),
    _xlpm.joueurs, INDEX(Donnees!$A:$Z, _xlpm.ligpartie+1, _xlfn.SEQUENCE(1, 4, 2)),
    INDEX(
      Donnees!$A:$Z,
      _xlpm.ligpartie + 3,
      MATCH(AL$1, _xlpm.joueurs, 0) + 1
    )
  ), ""
)</f>
        <v/>
      </c>
      <c r="AM379" t="str" cm="1">
        <f t="array" ref="AM379">IFERROR(
  _xlfn.LET(
    _xlpm.ligpartie, MATCH($B378, Donnees!$F:$F, 0),
    _xlpm.joueurs, INDEX(Donnees!$A:$Z, _xlpm.ligpartie+1, _xlfn.SEQUENCE(1, 4, 2)),
    INDEX(
      Donnees!$A:$Z,
      _xlpm.ligpartie + 3,
      MATCH(AM$1, _xlpm.joueurs, 0) + 1
    )
  ), ""
)</f>
        <v/>
      </c>
    </row>
    <row r="380" spans="1:39" x14ac:dyDescent="0.25">
      <c r="A380" t="s">
        <v>20</v>
      </c>
      <c r="D380" t="str" cm="1">
        <f t="array" ref="D380">_xlfn.LET(
  _xlpm.colj, _xlfn._xlws.FILTER(IF(ISNUMBER(379:379), COLUMN(379:379)), ISNUMBER(379:379)),
  _xlpm.elos, INDEX(378:378,1,_xlpm.colj),
  _xlpm.diffscale, Constantes!$B$2,
  IF(D379="",
    "",
    SUM(1/(1+POWER(10,-(D378-_xlpm.elos)/_xlpm.diffscale)))-0.5)
)</f>
        <v/>
      </c>
      <c r="E380" t="str" cm="1">
        <f t="array" ref="E380">_xlfn.LET(
  _xlpm.colj, _xlfn._xlws.FILTER(IF(ISNUMBER(379:379), COLUMN(379:379)), ISNUMBER(379:379)),
  _xlpm.elos, INDEX(378:378,1,_xlpm.colj),
  _xlpm.diffscale, Constantes!$B$2,
  IF(E379="",
    "",
    SUM(1/(1+POWER(10,-(E378-_xlpm.elos)/_xlpm.diffscale)))-0.5)
)</f>
        <v/>
      </c>
      <c r="F380" cm="1">
        <f t="array" ref="F380">_xlfn.LET(
  _xlpm.colj, _xlfn._xlws.FILTER(IF(ISNUMBER(379:379), COLUMN(379:379)), ISNUMBER(379:379)),
  _xlpm.elos, INDEX(378:378,1,_xlpm.colj),
  _xlpm.diffscale, Constantes!$B$2,
  IF(F379="",
    "",
    SUM(1/(1+POWER(10,-(F378-_xlpm.elos)/_xlpm.diffscale)))-0.5)
)</f>
        <v>0.78094920609980001</v>
      </c>
      <c r="G380" t="str" cm="1">
        <f t="array" ref="G380">_xlfn.LET(
  _xlpm.colj, _xlfn._xlws.FILTER(IF(ISNUMBER(379:379), COLUMN(379:379)), ISNUMBER(379:379)),
  _xlpm.elos, INDEX(378:378,1,_xlpm.colj),
  _xlpm.diffscale, Constantes!$B$2,
  IF(G379="",
    "",
    SUM(1/(1+POWER(10,-(G378-_xlpm.elos)/_xlpm.diffscale)))-0.5)
)</f>
        <v/>
      </c>
      <c r="H380" t="str" cm="1">
        <f t="array" ref="H380">_xlfn.LET(
  _xlpm.colj, _xlfn._xlws.FILTER(IF(ISNUMBER(379:379), COLUMN(379:379)), ISNUMBER(379:379)),
  _xlpm.elos, INDEX(378:378,1,_xlpm.colj),
  _xlpm.diffscale, Constantes!$B$2,
  IF(H379="",
    "",
    SUM(1/(1+POWER(10,-(H378-_xlpm.elos)/_xlpm.diffscale)))-0.5)
)</f>
        <v/>
      </c>
      <c r="I380" t="str" cm="1">
        <f t="array" ref="I380">_xlfn.LET(
  _xlpm.colj, _xlfn._xlws.FILTER(IF(ISNUMBER(379:379), COLUMN(379:379)), ISNUMBER(379:379)),
  _xlpm.elos, INDEX(378:378,1,_xlpm.colj),
  _xlpm.diffscale, Constantes!$B$2,
  IF(I379="",
    "",
    SUM(1/(1+POWER(10,-(I378-_xlpm.elos)/_xlpm.diffscale)))-0.5)
)</f>
        <v/>
      </c>
      <c r="J380" t="str" cm="1">
        <f t="array" ref="J380">_xlfn.LET(
  _xlpm.colj, _xlfn._xlws.FILTER(IF(ISNUMBER(379:379), COLUMN(379:379)), ISNUMBER(379:379)),
  _xlpm.elos, INDEX(378:378,1,_xlpm.colj),
  _xlpm.diffscale, Constantes!$B$2,
  IF(J379="",
    "",
    SUM(1/(1+POWER(10,-(J378-_xlpm.elos)/_xlpm.diffscale)))-0.5)
)</f>
        <v/>
      </c>
      <c r="K380" t="str" cm="1">
        <f t="array" ref="K380">_xlfn.LET(
  _xlpm.colj, _xlfn._xlws.FILTER(IF(ISNUMBER(379:379), COLUMN(379:379)), ISNUMBER(379:379)),
  _xlpm.elos, INDEX(378:378,1,_xlpm.colj),
  _xlpm.diffscale, Constantes!$B$2,
  IF(K379="",
    "",
    SUM(1/(1+POWER(10,-(K378-_xlpm.elos)/_xlpm.diffscale)))-0.5)
)</f>
        <v/>
      </c>
      <c r="L380" t="str" cm="1">
        <f t="array" ref="L380">_xlfn.LET(
  _xlpm.colj, _xlfn._xlws.FILTER(IF(ISNUMBER(379:379), COLUMN(379:379)), ISNUMBER(379:379)),
  _xlpm.elos, INDEX(378:378,1,_xlpm.colj),
  _xlpm.diffscale, Constantes!$B$2,
  IF(L379="",
    "",
    SUM(1/(1+POWER(10,-(L378-_xlpm.elos)/_xlpm.diffscale)))-0.5)
)</f>
        <v/>
      </c>
      <c r="M380" t="str" cm="1">
        <f t="array" ref="M380">_xlfn.LET(
  _xlpm.colj, _xlfn._xlws.FILTER(IF(ISNUMBER(379:379), COLUMN(379:379)), ISNUMBER(379:379)),
  _xlpm.elos, INDEX(378:378,1,_xlpm.colj),
  _xlpm.diffscale, Constantes!$B$2,
  IF(M379="",
    "",
    SUM(1/(1+POWER(10,-(M378-_xlpm.elos)/_xlpm.diffscale)))-0.5)
)</f>
        <v/>
      </c>
      <c r="N380" t="str" cm="1">
        <f t="array" ref="N380">_xlfn.LET(
  _xlpm.colj, _xlfn._xlws.FILTER(IF(ISNUMBER(379:379), COLUMN(379:379)), ISNUMBER(379:379)),
  _xlpm.elos, INDEX(378:378,1,_xlpm.colj),
  _xlpm.diffscale, Constantes!$B$2,
  IF(N379="",
    "",
    SUM(1/(1+POWER(10,-(N378-_xlpm.elos)/_xlpm.diffscale)))-0.5)
)</f>
        <v/>
      </c>
      <c r="O380" t="str" cm="1">
        <f t="array" ref="O380">_xlfn.LET(
  _xlpm.colj, _xlfn._xlws.FILTER(IF(ISNUMBER(379:379), COLUMN(379:379)), ISNUMBER(379:379)),
  _xlpm.elos, INDEX(378:378,1,_xlpm.colj),
  _xlpm.diffscale, Constantes!$B$2,
  IF(O379="",
    "",
    SUM(1/(1+POWER(10,-(O378-_xlpm.elos)/_xlpm.diffscale)))-0.5)
)</f>
        <v/>
      </c>
      <c r="P380" t="str" cm="1">
        <f t="array" ref="P380">_xlfn.LET(
  _xlpm.colj, _xlfn._xlws.FILTER(IF(ISNUMBER(379:379), COLUMN(379:379)), ISNUMBER(379:379)),
  _xlpm.elos, INDEX(378:378,1,_xlpm.colj),
  _xlpm.diffscale, Constantes!$B$2,
  IF(P379="",
    "",
    SUM(1/(1+POWER(10,-(P378-_xlpm.elos)/_xlpm.diffscale)))-0.5)
)</f>
        <v/>
      </c>
      <c r="Q380" t="str" cm="1">
        <f t="array" ref="Q380">_xlfn.LET(
  _xlpm.colj, _xlfn._xlws.FILTER(IF(ISNUMBER(379:379), COLUMN(379:379)), ISNUMBER(379:379)),
  _xlpm.elos, INDEX(378:378,1,_xlpm.colj),
  _xlpm.diffscale, Constantes!$B$2,
  IF(Q379="",
    "",
    SUM(1/(1+POWER(10,-(Q378-_xlpm.elos)/_xlpm.diffscale)))-0.5)
)</f>
        <v/>
      </c>
      <c r="R380" cm="1">
        <f t="array" ref="R380">_xlfn.LET(
  _xlpm.colj, _xlfn._xlws.FILTER(IF(ISNUMBER(379:379), COLUMN(379:379)), ISNUMBER(379:379)),
  _xlpm.elos, INDEX(378:378,1,_xlpm.colj),
  _xlpm.diffscale, Constantes!$B$2,
  IF(R379="",
    "",
    SUM(1/(1+POWER(10,-(R378-_xlpm.elos)/_xlpm.diffscale)))-0.5)
)</f>
        <v>2.0285688967970499</v>
      </c>
      <c r="S380" cm="1">
        <f t="array" ref="S380">_xlfn.LET(
  _xlpm.colj, _xlfn._xlws.FILTER(IF(ISNUMBER(379:379), COLUMN(379:379)), ISNUMBER(379:379)),
  _xlpm.elos, INDEX(378:378,1,_xlpm.colj),
  _xlpm.diffscale, Constantes!$B$2,
  IF(S379="",
    "",
    SUM(1/(1+POWER(10,-(S378-_xlpm.elos)/_xlpm.diffscale)))-0.5)
)</f>
        <v>1.5936447194596863</v>
      </c>
      <c r="T380" t="str" cm="1">
        <f t="array" ref="T380">_xlfn.LET(
  _xlpm.colj, _xlfn._xlws.FILTER(IF(ISNUMBER(379:379), COLUMN(379:379)), ISNUMBER(379:379)),
  _xlpm.elos, INDEX(378:378,1,_xlpm.colj),
  _xlpm.diffscale, Constantes!$B$2,
  IF(T379="",
    "",
    SUM(1/(1+POWER(10,-(T378-_xlpm.elos)/_xlpm.diffscale)))-0.5)
)</f>
        <v/>
      </c>
      <c r="U380" t="str" cm="1">
        <f t="array" ref="U380">_xlfn.LET(
  _xlpm.colj, _xlfn._xlws.FILTER(IF(ISNUMBER(379:379), COLUMN(379:379)), ISNUMBER(379:379)),
  _xlpm.elos, INDEX(378:378,1,_xlpm.colj),
  _xlpm.diffscale, Constantes!$B$2,
  IF(U379="",
    "",
    SUM(1/(1+POWER(10,-(U378-_xlpm.elos)/_xlpm.diffscale)))-0.5)
)</f>
        <v/>
      </c>
      <c r="V380" t="str" cm="1">
        <f t="array" ref="V380">_xlfn.LET(
  _xlpm.colj, _xlfn._xlws.FILTER(IF(ISNUMBER(379:379), COLUMN(379:379)), ISNUMBER(379:379)),
  _xlpm.elos, INDEX(378:378,1,_xlpm.colj),
  _xlpm.diffscale, Constantes!$B$2,
  IF(V379="",
    "",
    SUM(1/(1+POWER(10,-(V378-_xlpm.elos)/_xlpm.diffscale)))-0.5)
)</f>
        <v/>
      </c>
      <c r="W380" t="str" cm="1">
        <f t="array" ref="W380">_xlfn.LET(
  _xlpm.colj, _xlfn._xlws.FILTER(IF(ISNUMBER(379:379), COLUMN(379:379)), ISNUMBER(379:379)),
  _xlpm.elos, INDEX(378:378,1,_xlpm.colj),
  _xlpm.diffscale, Constantes!$B$2,
  IF(W379="",
    "",
    SUM(1/(1+POWER(10,-(W378-_xlpm.elos)/_xlpm.diffscale)))-0.5)
)</f>
        <v/>
      </c>
      <c r="X380" t="str" cm="1">
        <f t="array" ref="X380">_xlfn.LET(
  _xlpm.colj, _xlfn._xlws.FILTER(IF(ISNUMBER(379:379), COLUMN(379:379)), ISNUMBER(379:379)),
  _xlpm.elos, INDEX(378:378,1,_xlpm.colj),
  _xlpm.diffscale, Constantes!$B$2,
  IF(X379="",
    "",
    SUM(1/(1+POWER(10,-(X378-_xlpm.elos)/_xlpm.diffscale)))-0.5)
)</f>
        <v/>
      </c>
      <c r="Y380" t="str" cm="1">
        <f t="array" ref="Y380">_xlfn.LET(
  _xlpm.colj, _xlfn._xlws.FILTER(IF(ISNUMBER(379:379), COLUMN(379:379)), ISNUMBER(379:379)),
  _xlpm.elos, INDEX(378:378,1,_xlpm.colj),
  _xlpm.diffscale, Constantes!$B$2,
  IF(Y379="",
    "",
    SUM(1/(1+POWER(10,-(Y378-_xlpm.elos)/_xlpm.diffscale)))-0.5)
)</f>
        <v/>
      </c>
      <c r="Z380" cm="1">
        <f t="array" ref="Z380">_xlfn.LET(
  _xlpm.colj, _xlfn._xlws.FILTER(IF(ISNUMBER(379:379), COLUMN(379:379)), ISNUMBER(379:379)),
  _xlpm.elos, INDEX(378:378,1,_xlpm.colj),
  _xlpm.diffscale, Constantes!$B$2,
  IF(Z379="",
    "",
    SUM(1/(1+POWER(10,-(Z378-_xlpm.elos)/_xlpm.diffscale)))-0.5)
)</f>
        <v>1.5968371776434638</v>
      </c>
      <c r="AA380" t="str" cm="1">
        <f t="array" ref="AA380">_xlfn.LET(
  _xlpm.colj, _xlfn._xlws.FILTER(IF(ISNUMBER(379:379), COLUMN(379:379)), ISNUMBER(379:379)),
  _xlpm.elos, INDEX(378:378,1,_xlpm.colj),
  _xlpm.diffscale, Constantes!$B$2,
  IF(AA379="",
    "",
    SUM(1/(1+POWER(10,-(AA378-_xlpm.elos)/_xlpm.diffscale)))-0.5)
)</f>
        <v/>
      </c>
      <c r="AB380" t="str" cm="1">
        <f t="array" ref="AB380">_xlfn.LET(
  _xlpm.colj, _xlfn._xlws.FILTER(IF(ISNUMBER(379:379), COLUMN(379:379)), ISNUMBER(379:379)),
  _xlpm.elos, INDEX(378:378,1,_xlpm.colj),
  _xlpm.diffscale, Constantes!$B$2,
  IF(AB379="",
    "",
    SUM(1/(1+POWER(10,-(AB378-_xlpm.elos)/_xlpm.diffscale)))-0.5)
)</f>
        <v/>
      </c>
      <c r="AC380" t="str" cm="1">
        <f t="array" ref="AC380">_xlfn.LET(
  _xlpm.colj, _xlfn._xlws.FILTER(IF(ISNUMBER(379:379), COLUMN(379:379)), ISNUMBER(379:379)),
  _xlpm.elos, INDEX(378:378,1,_xlpm.colj),
  _xlpm.diffscale, Constantes!$B$2,
  IF(AC379="",
    "",
    SUM(1/(1+POWER(10,-(AC378-_xlpm.elos)/_xlpm.diffscale)))-0.5)
)</f>
        <v/>
      </c>
      <c r="AD380" t="str" cm="1">
        <f t="array" ref="AD380">_xlfn.LET(
  _xlpm.colj, _xlfn._xlws.FILTER(IF(ISNUMBER(379:379), COLUMN(379:379)), ISNUMBER(379:379)),
  _xlpm.elos, INDEX(378:378,1,_xlpm.colj),
  _xlpm.diffscale, Constantes!$B$2,
  IF(AD379="",
    "",
    SUM(1/(1+POWER(10,-(AD378-_xlpm.elos)/_xlpm.diffscale)))-0.5)
)</f>
        <v/>
      </c>
      <c r="AE380" t="str" cm="1">
        <f t="array" ref="AE380">_xlfn.LET(
  _xlpm.colj, _xlfn._xlws.FILTER(IF(ISNUMBER(379:379), COLUMN(379:379)), ISNUMBER(379:379)),
  _xlpm.elos, INDEX(378:378,1,_xlpm.colj),
  _xlpm.diffscale, Constantes!$B$2,
  IF(AE379="",
    "",
    SUM(1/(1+POWER(10,-(AE378-_xlpm.elos)/_xlpm.diffscale)))-0.5)
)</f>
        <v/>
      </c>
      <c r="AF380" t="str" cm="1">
        <f t="array" ref="AF380">_xlfn.LET(
  _xlpm.colj, _xlfn._xlws.FILTER(IF(ISNUMBER(379:379), COLUMN(379:379)), ISNUMBER(379:379)),
  _xlpm.elos, INDEX(378:378,1,_xlpm.colj),
  _xlpm.diffscale, Constantes!$B$2,
  IF(AF379="",
    "",
    SUM(1/(1+POWER(10,-(AF378-_xlpm.elos)/_xlpm.diffscale)))-0.5)
)</f>
        <v/>
      </c>
      <c r="AG380" t="str" cm="1">
        <f t="array" ref="AG380">_xlfn.LET(
  _xlpm.colj, _xlfn._xlws.FILTER(IF(ISNUMBER(379:379), COLUMN(379:379)), ISNUMBER(379:379)),
  _xlpm.elos, INDEX(378:378,1,_xlpm.colj),
  _xlpm.diffscale, Constantes!$B$2,
  IF(AG379="",
    "",
    SUM(1/(1+POWER(10,-(AG378-_xlpm.elos)/_xlpm.diffscale)))-0.5)
)</f>
        <v/>
      </c>
      <c r="AH380" t="str" cm="1">
        <f t="array" ref="AH380">_xlfn.LET(
  _xlpm.colj, _xlfn._xlws.FILTER(IF(ISNUMBER(379:379), COLUMN(379:379)), ISNUMBER(379:379)),
  _xlpm.elos, INDEX(378:378,1,_xlpm.colj),
  _xlpm.diffscale, Constantes!$B$2,
  IF(AH379="",
    "",
    SUM(1/(1+POWER(10,-(AH378-_xlpm.elos)/_xlpm.diffscale)))-0.5)
)</f>
        <v/>
      </c>
      <c r="AI380" t="str" cm="1">
        <f t="array" ref="AI380">_xlfn.LET(
  _xlpm.colj, _xlfn._xlws.FILTER(IF(ISNUMBER(379:379), COLUMN(379:379)), ISNUMBER(379:379)),
  _xlpm.elos, INDEX(378:378,1,_xlpm.colj),
  _xlpm.diffscale, Constantes!$B$2,
  IF(AI379="",
    "",
    SUM(1/(1+POWER(10,-(AI378-_xlpm.elos)/_xlpm.diffscale)))-0.5)
)</f>
        <v/>
      </c>
      <c r="AJ380" t="str" cm="1">
        <f t="array" ref="AJ380">_xlfn.LET(
  _xlpm.colj, _xlfn._xlws.FILTER(IF(ISNUMBER(379:379), COLUMN(379:379)), ISNUMBER(379:379)),
  _xlpm.elos, INDEX(378:378,1,_xlpm.colj),
  _xlpm.diffscale, Constantes!$B$2,
  IF(AJ379="",
    "",
    SUM(1/(1+POWER(10,-(AJ378-_xlpm.elos)/_xlpm.diffscale)))-0.5)
)</f>
        <v/>
      </c>
      <c r="AK380" t="str" cm="1">
        <f t="array" ref="AK380">_xlfn.LET(
  _xlpm.colj, _xlfn._xlws.FILTER(IF(ISNUMBER(379:379), COLUMN(379:379)), ISNUMBER(379:379)),
  _xlpm.elos, INDEX(378:378,1,_xlpm.colj),
  _xlpm.diffscale, Constantes!$B$2,
  IF(AK379="",
    "",
    SUM(1/(1+POWER(10,-(AK378-_xlpm.elos)/_xlpm.diffscale)))-0.5)
)</f>
        <v/>
      </c>
      <c r="AL380" t="str" cm="1">
        <f t="array" ref="AL380">_xlfn.LET(
  _xlpm.colj, _xlfn._xlws.FILTER(IF(ISNUMBER(379:379), COLUMN(379:379)), ISNUMBER(379:379)),
  _xlpm.elos, INDEX(378:378,1,_xlpm.colj),
  _xlpm.diffscale, Constantes!$B$2,
  IF(AL379="",
    "",
    SUM(1/(1+POWER(10,-(AL378-_xlpm.elos)/_xlpm.diffscale)))-0.5)
)</f>
        <v/>
      </c>
      <c r="AM380" t="str" cm="1">
        <f t="array" ref="AM380">_xlfn.LET(
  _xlpm.colj, _xlfn._xlws.FILTER(IF(ISNUMBER(379:379), COLUMN(379:379)), ISNUMBER(379:379)),
  _xlpm.elos, INDEX(378:378,1,_xlpm.colj),
  _xlpm.diffscale, Constantes!$B$2,
  IF(AM379="",
    "",
    SUM(1/(1+POWER(10,-(AM378-_xlpm.elos)/_xlpm.diffscale)))-0.5)
)</f>
        <v/>
      </c>
    </row>
    <row r="381" spans="1:39" x14ac:dyDescent="0.25">
      <c r="A381" t="s">
        <v>22</v>
      </c>
      <c r="D381" t="str" cm="1">
        <f t="array" ref="D381">_xlfn.LET(
  _xlpm.K, Constantes!$B$3,
  _xlpm.Knewgain, Constantes!$B$4,
  _xlpm.Knewscale, Constantes!$B$5,
  _xlpm.ptstables, INDEX(D:D, _xlfn.SEQUENCE(COUNTA($C$2:$C381), 1, 3, 4)),
  _xlpm.nbparties, COUNTA(_xlfn._xlws.FILTER(_xlpm.ptstables, _xlpm.ptstables &lt;&gt; "")),
  _xlpm.coef, _xlpm.K + _xlpm.Knewgain / (_xlpm.Knewscale + _xlpm.nbparties),
  IF(D379="",
    "",
    _xlpm.coef * (D379-D380))
)</f>
        <v/>
      </c>
      <c r="E381" t="str" cm="1">
        <f t="array" ref="E381">_xlfn.LET(
  _xlpm.K, Constantes!$B$3,
  _xlpm.Knewgain, Constantes!$B$4,
  _xlpm.Knewscale, Constantes!$B$5,
  _xlpm.ptstables, INDEX(E:E, _xlfn.SEQUENCE(COUNTA($C$2:$C381), 1, 3, 4)),
  _xlpm.nbparties, COUNTA(_xlfn._xlws.FILTER(_xlpm.ptstables, _xlpm.ptstables &lt;&gt; "")),
  _xlpm.coef, _xlpm.K + _xlpm.Knewgain / (_xlpm.Knewscale + _xlpm.nbparties),
  IF(E379="",
    "",
    _xlpm.coef * (E379-E380))
)</f>
        <v/>
      </c>
      <c r="F381" cm="1">
        <f t="array" ref="F381">_xlfn.LET(
  _xlpm.K, Constantes!$B$3,
  _xlpm.Knewgain, Constantes!$B$4,
  _xlpm.Knewscale, Constantes!$B$5,
  _xlpm.ptstables, INDEX(F:F, _xlfn.SEQUENCE(COUNTA($C$2:$C381), 1, 3, 4)),
  _xlpm.nbparties, COUNTA(_xlfn._xlws.FILTER(_xlpm.ptstables, _xlpm.ptstables &lt;&gt; "")),
  _xlpm.coef, _xlpm.K + _xlpm.Knewgain / (_xlpm.Knewscale + _xlpm.nbparties),
  IF(F379="",
    "",
    _xlpm.coef * (F379-F380))
)</f>
        <v>48.819117465804396</v>
      </c>
      <c r="G381" t="str" cm="1">
        <f t="array" ref="G381">_xlfn.LET(
  _xlpm.K, Constantes!$B$3,
  _xlpm.Knewgain, Constantes!$B$4,
  _xlpm.Knewscale, Constantes!$B$5,
  _xlpm.ptstables, INDEX(G:G, _xlfn.SEQUENCE(COUNTA($C$2:$C381), 1, 3, 4)),
  _xlpm.nbparties, COUNTA(_xlfn._xlws.FILTER(_xlpm.ptstables, _xlpm.ptstables &lt;&gt; "")),
  _xlpm.coef, _xlpm.K + _xlpm.Knewgain / (_xlpm.Knewscale + _xlpm.nbparties),
  IF(G379="",
    "",
    _xlpm.coef * (G379-G380))
)</f>
        <v/>
      </c>
      <c r="H381" t="str" cm="1">
        <f t="array" ref="H381">_xlfn.LET(
  _xlpm.K, Constantes!$B$3,
  _xlpm.Knewgain, Constantes!$B$4,
  _xlpm.Knewscale, Constantes!$B$5,
  _xlpm.ptstables, INDEX(H:H, _xlfn.SEQUENCE(COUNTA($C$2:$C381), 1, 3, 4)),
  _xlpm.nbparties, COUNTA(_xlfn._xlws.FILTER(_xlpm.ptstables, _xlpm.ptstables &lt;&gt; "")),
  _xlpm.coef, _xlpm.K + _xlpm.Knewgain / (_xlpm.Knewscale + _xlpm.nbparties),
  IF(H379="",
    "",
    _xlpm.coef * (H379-H380))
)</f>
        <v/>
      </c>
      <c r="I381" t="str" cm="1">
        <f t="array" ref="I381">_xlfn.LET(
  _xlpm.K, Constantes!$B$3,
  _xlpm.Knewgain, Constantes!$B$4,
  _xlpm.Knewscale, Constantes!$B$5,
  _xlpm.ptstables, INDEX(I:I, _xlfn.SEQUENCE(COUNTA($C$2:$C381), 1, 3, 4)),
  _xlpm.nbparties, COUNTA(_xlfn._xlws.FILTER(_xlpm.ptstables, _xlpm.ptstables &lt;&gt; "")),
  _xlpm.coef, _xlpm.K + _xlpm.Knewgain / (_xlpm.Knewscale + _xlpm.nbparties),
  IF(I379="",
    "",
    _xlpm.coef * (I379-I380))
)</f>
        <v/>
      </c>
      <c r="J381" t="str" cm="1">
        <f t="array" ref="J381">_xlfn.LET(
  _xlpm.K, Constantes!$B$3,
  _xlpm.Knewgain, Constantes!$B$4,
  _xlpm.Knewscale, Constantes!$B$5,
  _xlpm.ptstables, INDEX(J:J, _xlfn.SEQUENCE(COUNTA($C$2:$C381), 1, 3, 4)),
  _xlpm.nbparties, COUNTA(_xlfn._xlws.FILTER(_xlpm.ptstables, _xlpm.ptstables &lt;&gt; "")),
  _xlpm.coef, _xlpm.K + _xlpm.Knewgain / (_xlpm.Knewscale + _xlpm.nbparties),
  IF(J379="",
    "",
    _xlpm.coef * (J379-J380))
)</f>
        <v/>
      </c>
      <c r="K381" t="str" cm="1">
        <f t="array" ref="K381">_xlfn.LET(
  _xlpm.K, Constantes!$B$3,
  _xlpm.Knewgain, Constantes!$B$4,
  _xlpm.Knewscale, Constantes!$B$5,
  _xlpm.ptstables, INDEX(K:K, _xlfn.SEQUENCE(COUNTA($C$2:$C381), 1, 3, 4)),
  _xlpm.nbparties, COUNTA(_xlfn._xlws.FILTER(_xlpm.ptstables, _xlpm.ptstables &lt;&gt; "")),
  _xlpm.coef, _xlpm.K + _xlpm.Knewgain / (_xlpm.Knewscale + _xlpm.nbparties),
  IF(K379="",
    "",
    _xlpm.coef * (K379-K380))
)</f>
        <v/>
      </c>
      <c r="L381" t="str" cm="1">
        <f t="array" ref="L381">_xlfn.LET(
  _xlpm.K, Constantes!$B$3,
  _xlpm.Knewgain, Constantes!$B$4,
  _xlpm.Knewscale, Constantes!$B$5,
  _xlpm.ptstables, INDEX(L:L, _xlfn.SEQUENCE(COUNTA($C$2:$C381), 1, 3, 4)),
  _xlpm.nbparties, COUNTA(_xlfn._xlws.FILTER(_xlpm.ptstables, _xlpm.ptstables &lt;&gt; "")),
  _xlpm.coef, _xlpm.K + _xlpm.Knewgain / (_xlpm.Knewscale + _xlpm.nbparties),
  IF(L379="",
    "",
    _xlpm.coef * (L379-L380))
)</f>
        <v/>
      </c>
      <c r="M381" t="str" cm="1">
        <f t="array" ref="M381">_xlfn.LET(
  _xlpm.K, Constantes!$B$3,
  _xlpm.Knewgain, Constantes!$B$4,
  _xlpm.Knewscale, Constantes!$B$5,
  _xlpm.ptstables, INDEX(M:M, _xlfn.SEQUENCE(COUNTA($C$2:$C381), 1, 3, 4)),
  _xlpm.nbparties, COUNTA(_xlfn._xlws.FILTER(_xlpm.ptstables, _xlpm.ptstables &lt;&gt; "")),
  _xlpm.coef, _xlpm.K + _xlpm.Knewgain / (_xlpm.Knewscale + _xlpm.nbparties),
  IF(M379="",
    "",
    _xlpm.coef * (M379-M380))
)</f>
        <v/>
      </c>
      <c r="N381" t="str" cm="1">
        <f t="array" ref="N381">_xlfn.LET(
  _xlpm.K, Constantes!$B$3,
  _xlpm.Knewgain, Constantes!$B$4,
  _xlpm.Knewscale, Constantes!$B$5,
  _xlpm.ptstables, INDEX(N:N, _xlfn.SEQUENCE(COUNTA($C$2:$C381), 1, 3, 4)),
  _xlpm.nbparties, COUNTA(_xlfn._xlws.FILTER(_xlpm.ptstables, _xlpm.ptstables &lt;&gt; "")),
  _xlpm.coef, _xlpm.K + _xlpm.Knewgain / (_xlpm.Knewscale + _xlpm.nbparties),
  IF(N379="",
    "",
    _xlpm.coef * (N379-N380))
)</f>
        <v/>
      </c>
      <c r="O381" t="str" cm="1">
        <f t="array" ref="O381">_xlfn.LET(
  _xlpm.K, Constantes!$B$3,
  _xlpm.Knewgain, Constantes!$B$4,
  _xlpm.Knewscale, Constantes!$B$5,
  _xlpm.ptstables, INDEX(O:O, _xlfn.SEQUENCE(COUNTA($C$2:$C381), 1, 3, 4)),
  _xlpm.nbparties, COUNTA(_xlfn._xlws.FILTER(_xlpm.ptstables, _xlpm.ptstables &lt;&gt; "")),
  _xlpm.coef, _xlpm.K + _xlpm.Knewgain / (_xlpm.Knewscale + _xlpm.nbparties),
  IF(O379="",
    "",
    _xlpm.coef * (O379-O380))
)</f>
        <v/>
      </c>
      <c r="P381" t="str" cm="1">
        <f t="array" ref="P381">_xlfn.LET(
  _xlpm.K, Constantes!$B$3,
  _xlpm.Knewgain, Constantes!$B$4,
  _xlpm.Knewscale, Constantes!$B$5,
  _xlpm.ptstables, INDEX(P:P, _xlfn.SEQUENCE(COUNTA($C$2:$C381), 1, 3, 4)),
  _xlpm.nbparties, COUNTA(_xlfn._xlws.FILTER(_xlpm.ptstables, _xlpm.ptstables &lt;&gt; "")),
  _xlpm.coef, _xlpm.K + _xlpm.Knewgain / (_xlpm.Knewscale + _xlpm.nbparties),
  IF(P379="",
    "",
    _xlpm.coef * (P379-P380))
)</f>
        <v/>
      </c>
      <c r="Q381" t="str" cm="1">
        <f t="array" ref="Q381">_xlfn.LET(
  _xlpm.K, Constantes!$B$3,
  _xlpm.Knewgain, Constantes!$B$4,
  _xlpm.Knewscale, Constantes!$B$5,
  _xlpm.ptstables, INDEX(Q:Q, _xlfn.SEQUENCE(COUNTA($C$2:$C381), 1, 3, 4)),
  _xlpm.nbparties, COUNTA(_xlfn._xlws.FILTER(_xlpm.ptstables, _xlpm.ptstables &lt;&gt; "")),
  _xlpm.coef, _xlpm.K + _xlpm.Knewgain / (_xlpm.Knewscale + _xlpm.nbparties),
  IF(Q379="",
    "",
    _xlpm.coef * (Q379-Q380))
)</f>
        <v/>
      </c>
      <c r="R381" cm="1">
        <f t="array" ref="R381">_xlfn.LET(
  _xlpm.K, Constantes!$B$3,
  _xlpm.Knewgain, Constantes!$B$4,
  _xlpm.Knewscale, Constantes!$B$5,
  _xlpm.ptstables, INDEX(R:R, _xlfn.SEQUENCE(COUNTA($C$2:$C381), 1, 3, 4)),
  _xlpm.nbparties, COUNTA(_xlfn._xlws.FILTER(_xlpm.ptstables, _xlpm.ptstables &lt;&gt; "")),
  _xlpm.coef, _xlpm.K + _xlpm.Knewgain / (_xlpm.Knewscale + _xlpm.nbparties),
  IF(R379="",
    "",
    _xlpm.coef * (R379-R380))
)</f>
        <v>-0.62851572953509738</v>
      </c>
      <c r="S381" cm="1">
        <f t="array" ref="S381">_xlfn.LET(
  _xlpm.K, Constantes!$B$3,
  _xlpm.Knewgain, Constantes!$B$4,
  _xlpm.Knewscale, Constantes!$B$5,
  _xlpm.ptstables, INDEX(S:S, _xlfn.SEQUENCE(COUNTA($C$2:$C381), 1, 3, 4)),
  _xlpm.nbparties, COUNTA(_xlfn._xlws.FILTER(_xlpm.ptstables, _xlpm.ptstables &lt;&gt; "")),
  _xlpm.coef, _xlpm.K + _xlpm.Knewgain / (_xlpm.Knewscale + _xlpm.nbparties),
  IF(S379="",
    "",
    _xlpm.coef * (S379-S380))
)</f>
        <v>-24.0601838281131</v>
      </c>
      <c r="T381" t="str" cm="1">
        <f t="array" ref="T381">_xlfn.LET(
  _xlpm.K, Constantes!$B$3,
  _xlpm.Knewgain, Constantes!$B$4,
  _xlpm.Knewscale, Constantes!$B$5,
  _xlpm.ptstables, INDEX(T:T, _xlfn.SEQUENCE(COUNTA($C$2:$C381), 1, 3, 4)),
  _xlpm.nbparties, COUNTA(_xlfn._xlws.FILTER(_xlpm.ptstables, _xlpm.ptstables &lt;&gt; "")),
  _xlpm.coef, _xlpm.K + _xlpm.Knewgain / (_xlpm.Knewscale + _xlpm.nbparties),
  IF(T379="",
    "",
    _xlpm.coef * (T379-T380))
)</f>
        <v/>
      </c>
      <c r="U381" t="str" cm="1">
        <f t="array" ref="U381">_xlfn.LET(
  _xlpm.K, Constantes!$B$3,
  _xlpm.Knewgain, Constantes!$B$4,
  _xlpm.Knewscale, Constantes!$B$5,
  _xlpm.ptstables, INDEX(U:U, _xlfn.SEQUENCE(COUNTA($C$2:$C381), 1, 3, 4)),
  _xlpm.nbparties, COUNTA(_xlfn._xlws.FILTER(_xlpm.ptstables, _xlpm.ptstables &lt;&gt; "")),
  _xlpm.coef, _xlpm.K + _xlpm.Knewgain / (_xlpm.Knewscale + _xlpm.nbparties),
  IF(U379="",
    "",
    _xlpm.coef * (U379-U380))
)</f>
        <v/>
      </c>
      <c r="V381" t="str" cm="1">
        <f t="array" ref="V381">_xlfn.LET(
  _xlpm.K, Constantes!$B$3,
  _xlpm.Knewgain, Constantes!$B$4,
  _xlpm.Knewscale, Constantes!$B$5,
  _xlpm.ptstables, INDEX(V:V, _xlfn.SEQUENCE(COUNTA($C$2:$C381), 1, 3, 4)),
  _xlpm.nbparties, COUNTA(_xlfn._xlws.FILTER(_xlpm.ptstables, _xlpm.ptstables &lt;&gt; "")),
  _xlpm.coef, _xlpm.K + _xlpm.Knewgain / (_xlpm.Knewscale + _xlpm.nbparties),
  IF(V379="",
    "",
    _xlpm.coef * (V379-V380))
)</f>
        <v/>
      </c>
      <c r="W381" t="str" cm="1">
        <f t="array" ref="W381">_xlfn.LET(
  _xlpm.K, Constantes!$B$3,
  _xlpm.Knewgain, Constantes!$B$4,
  _xlpm.Knewscale, Constantes!$B$5,
  _xlpm.ptstables, INDEX(W:W, _xlfn.SEQUENCE(COUNTA($C$2:$C381), 1, 3, 4)),
  _xlpm.nbparties, COUNTA(_xlfn._xlws.FILTER(_xlpm.ptstables, _xlpm.ptstables &lt;&gt; "")),
  _xlpm.coef, _xlpm.K + _xlpm.Knewgain / (_xlpm.Knewscale + _xlpm.nbparties),
  IF(W379="",
    "",
    _xlpm.coef * (W379-W380))
)</f>
        <v/>
      </c>
      <c r="X381" t="str" cm="1">
        <f t="array" ref="X381">_xlfn.LET(
  _xlpm.K, Constantes!$B$3,
  _xlpm.Knewgain, Constantes!$B$4,
  _xlpm.Knewscale, Constantes!$B$5,
  _xlpm.ptstables, INDEX(X:X, _xlfn.SEQUENCE(COUNTA($C$2:$C381), 1, 3, 4)),
  _xlpm.nbparties, COUNTA(_xlfn._xlws.FILTER(_xlpm.ptstables, _xlpm.ptstables &lt;&gt; "")),
  _xlpm.coef, _xlpm.K + _xlpm.Knewgain / (_xlpm.Knewscale + _xlpm.nbparties),
  IF(X379="",
    "",
    _xlpm.coef * (X379-X380))
)</f>
        <v/>
      </c>
      <c r="Y381" t="str" cm="1">
        <f t="array" ref="Y381">_xlfn.LET(
  _xlpm.K, Constantes!$B$3,
  _xlpm.Knewgain, Constantes!$B$4,
  _xlpm.Knewscale, Constantes!$B$5,
  _xlpm.ptstables, INDEX(Y:Y, _xlfn.SEQUENCE(COUNTA($C$2:$C381), 1, 3, 4)),
  _xlpm.nbparties, COUNTA(_xlfn._xlws.FILTER(_xlpm.ptstables, _xlpm.ptstables &lt;&gt; "")),
  _xlpm.coef, _xlpm.K + _xlpm.Knewgain / (_xlpm.Knewscale + _xlpm.nbparties),
  IF(Y379="",
    "",
    _xlpm.coef * (Y379-Y380))
)</f>
        <v/>
      </c>
      <c r="Z381" cm="1">
        <f t="array" ref="Z381">_xlfn.LET(
  _xlpm.K, Constantes!$B$3,
  _xlpm.Knewgain, Constantes!$B$4,
  _xlpm.Knewscale, Constantes!$B$5,
  _xlpm.ptstables, INDEX(Z:Z, _xlfn.SEQUENCE(COUNTA($C$2:$C381), 1, 3, 4)),
  _xlpm.nbparties, COUNTA(_xlfn._xlws.FILTER(_xlpm.ptstables, _xlpm.ptstables &lt;&gt; "")),
  _xlpm.coef, _xlpm.K + _xlpm.Knewgain / (_xlpm.Knewscale + _xlpm.nbparties),
  IF(Z379="",
    "",
    _xlpm.coef * (Z379-Z380))
)</f>
        <v>-32.905115329303911</v>
      </c>
      <c r="AA381" t="str" cm="1">
        <f t="array" ref="AA381">_xlfn.LET(
  _xlpm.K, Constantes!$B$3,
  _xlpm.Knewgain, Constantes!$B$4,
  _xlpm.Knewscale, Constantes!$B$5,
  _xlpm.ptstables, INDEX(AA:AA, _xlfn.SEQUENCE(COUNTA($C$2:$C381), 1, 3, 4)),
  _xlpm.nbparties, COUNTA(_xlfn._xlws.FILTER(_xlpm.ptstables, _xlpm.ptstables &lt;&gt; "")),
  _xlpm.coef, _xlpm.K + _xlpm.Knewgain / (_xlpm.Knewscale + _xlpm.nbparties),
  IF(AA379="",
    "",
    _xlpm.coef * (AA379-AA380))
)</f>
        <v/>
      </c>
      <c r="AB381" t="str" cm="1">
        <f t="array" ref="AB381">_xlfn.LET(
  _xlpm.K, Constantes!$B$3,
  _xlpm.Knewgain, Constantes!$B$4,
  _xlpm.Knewscale, Constantes!$B$5,
  _xlpm.ptstables, INDEX(AB:AB, _xlfn.SEQUENCE(COUNTA($C$2:$C381), 1, 3, 4)),
  _xlpm.nbparties, COUNTA(_xlfn._xlws.FILTER(_xlpm.ptstables, _xlpm.ptstables &lt;&gt; "")),
  _xlpm.coef, _xlpm.K + _xlpm.Knewgain / (_xlpm.Knewscale + _xlpm.nbparties),
  IF(AB379="",
    "",
    _xlpm.coef * (AB379-AB380))
)</f>
        <v/>
      </c>
      <c r="AC381" t="str" cm="1">
        <f t="array" ref="AC381">_xlfn.LET(
  _xlpm.K, Constantes!$B$3,
  _xlpm.Knewgain, Constantes!$B$4,
  _xlpm.Knewscale, Constantes!$B$5,
  _xlpm.ptstables, INDEX(AC:AC, _xlfn.SEQUENCE(COUNTA($C$2:$C381), 1, 3, 4)),
  _xlpm.nbparties, COUNTA(_xlfn._xlws.FILTER(_xlpm.ptstables, _xlpm.ptstables &lt;&gt; "")),
  _xlpm.coef, _xlpm.K + _xlpm.Knewgain / (_xlpm.Knewscale + _xlpm.nbparties),
  IF(AC379="",
    "",
    _xlpm.coef * (AC379-AC380))
)</f>
        <v/>
      </c>
      <c r="AD381" t="str" cm="1">
        <f t="array" ref="AD381">_xlfn.LET(
  _xlpm.K, Constantes!$B$3,
  _xlpm.Knewgain, Constantes!$B$4,
  _xlpm.Knewscale, Constantes!$B$5,
  _xlpm.ptstables, INDEX(AD:AD, _xlfn.SEQUENCE(COUNTA($C$2:$C381), 1, 3, 4)),
  _xlpm.nbparties, COUNTA(_xlfn._xlws.FILTER(_xlpm.ptstables, _xlpm.ptstables &lt;&gt; "")),
  _xlpm.coef, _xlpm.K + _xlpm.Knewgain / (_xlpm.Knewscale + _xlpm.nbparties),
  IF(AD379="",
    "",
    _xlpm.coef * (AD379-AD380))
)</f>
        <v/>
      </c>
      <c r="AE381" t="str" cm="1">
        <f t="array" ref="AE381">_xlfn.LET(
  _xlpm.K, Constantes!$B$3,
  _xlpm.Knewgain, Constantes!$B$4,
  _xlpm.Knewscale, Constantes!$B$5,
  _xlpm.ptstables, INDEX(AE:AE, _xlfn.SEQUENCE(COUNTA($C$2:$C381), 1, 3, 4)),
  _xlpm.nbparties, COUNTA(_xlfn._xlws.FILTER(_xlpm.ptstables, _xlpm.ptstables &lt;&gt; "")),
  _xlpm.coef, _xlpm.K + _xlpm.Knewgain / (_xlpm.Knewscale + _xlpm.nbparties),
  IF(AE379="",
    "",
    _xlpm.coef * (AE379-AE380))
)</f>
        <v/>
      </c>
      <c r="AF381" t="str" cm="1">
        <f t="array" ref="AF381">_xlfn.LET(
  _xlpm.K, Constantes!$B$3,
  _xlpm.Knewgain, Constantes!$B$4,
  _xlpm.Knewscale, Constantes!$B$5,
  _xlpm.ptstables, INDEX(AF:AF, _xlfn.SEQUENCE(COUNTA($C$2:$C381), 1, 3, 4)),
  _xlpm.nbparties, COUNTA(_xlfn._xlws.FILTER(_xlpm.ptstables, _xlpm.ptstables &lt;&gt; "")),
  _xlpm.coef, _xlpm.K + _xlpm.Knewgain / (_xlpm.Knewscale + _xlpm.nbparties),
  IF(AF379="",
    "",
    _xlpm.coef * (AF379-AF380))
)</f>
        <v/>
      </c>
      <c r="AG381" t="str" cm="1">
        <f t="array" ref="AG381">_xlfn.LET(
  _xlpm.K, Constantes!$B$3,
  _xlpm.Knewgain, Constantes!$B$4,
  _xlpm.Knewscale, Constantes!$B$5,
  _xlpm.ptstables, INDEX(AG:AG, _xlfn.SEQUENCE(COUNTA($C$2:$C381), 1, 3, 4)),
  _xlpm.nbparties, COUNTA(_xlfn._xlws.FILTER(_xlpm.ptstables, _xlpm.ptstables &lt;&gt; "")),
  _xlpm.coef, _xlpm.K + _xlpm.Knewgain / (_xlpm.Knewscale + _xlpm.nbparties),
  IF(AG379="",
    "",
    _xlpm.coef * (AG379-AG380))
)</f>
        <v/>
      </c>
      <c r="AH381" t="str" cm="1">
        <f t="array" ref="AH381">_xlfn.LET(
  _xlpm.K, Constantes!$B$3,
  _xlpm.Knewgain, Constantes!$B$4,
  _xlpm.Knewscale, Constantes!$B$5,
  _xlpm.ptstables, INDEX(AH:AH, _xlfn.SEQUENCE(COUNTA($C$2:$C381), 1, 3, 4)),
  _xlpm.nbparties, COUNTA(_xlfn._xlws.FILTER(_xlpm.ptstables, _xlpm.ptstables &lt;&gt; "")),
  _xlpm.coef, _xlpm.K + _xlpm.Knewgain / (_xlpm.Knewscale + _xlpm.nbparties),
  IF(AH379="",
    "",
    _xlpm.coef * (AH379-AH380))
)</f>
        <v/>
      </c>
      <c r="AI381" t="str" cm="1">
        <f t="array" ref="AI381">_xlfn.LET(
  _xlpm.K, Constantes!$B$3,
  _xlpm.Knewgain, Constantes!$B$4,
  _xlpm.Knewscale, Constantes!$B$5,
  _xlpm.ptstables, INDEX(AI:AI, _xlfn.SEQUENCE(COUNTA($C$2:$C381), 1, 3, 4)),
  _xlpm.nbparties, COUNTA(_xlfn._xlws.FILTER(_xlpm.ptstables, _xlpm.ptstables &lt;&gt; "")),
  _xlpm.coef, _xlpm.K + _xlpm.Knewgain / (_xlpm.Knewscale + _xlpm.nbparties),
  IF(AI379="",
    "",
    _xlpm.coef * (AI379-AI380))
)</f>
        <v/>
      </c>
      <c r="AJ381" t="str" cm="1">
        <f t="array" ref="AJ381">_xlfn.LET(
  _xlpm.K, Constantes!$B$3,
  _xlpm.Knewgain, Constantes!$B$4,
  _xlpm.Knewscale, Constantes!$B$5,
  _xlpm.ptstables, INDEX(AJ:AJ, _xlfn.SEQUENCE(COUNTA($C$2:$C381), 1, 3, 4)),
  _xlpm.nbparties, COUNTA(_xlfn._xlws.FILTER(_xlpm.ptstables, _xlpm.ptstables &lt;&gt; "")),
  _xlpm.coef, _xlpm.K + _xlpm.Knewgain / (_xlpm.Knewscale + _xlpm.nbparties),
  IF(AJ379="",
    "",
    _xlpm.coef * (AJ379-AJ380))
)</f>
        <v/>
      </c>
      <c r="AK381" t="str" cm="1">
        <f t="array" ref="AK381">_xlfn.LET(
  _xlpm.K, Constantes!$B$3,
  _xlpm.Knewgain, Constantes!$B$4,
  _xlpm.Knewscale, Constantes!$B$5,
  _xlpm.ptstables, INDEX(AK:AK, _xlfn.SEQUENCE(COUNTA($C$2:$C381), 1, 3, 4)),
  _xlpm.nbparties, COUNTA(_xlfn._xlws.FILTER(_xlpm.ptstables, _xlpm.ptstables &lt;&gt; "")),
  _xlpm.coef, _xlpm.K + _xlpm.Knewgain / (_xlpm.Knewscale + _xlpm.nbparties),
  IF(AK379="",
    "",
    _xlpm.coef * (AK379-AK380))
)</f>
        <v/>
      </c>
      <c r="AL381" t="str" cm="1">
        <f t="array" ref="AL381">_xlfn.LET(
  _xlpm.K, Constantes!$B$3,
  _xlpm.Knewgain, Constantes!$B$4,
  _xlpm.Knewscale, Constantes!$B$5,
  _xlpm.ptstables, INDEX(AL:AL, _xlfn.SEQUENCE(COUNTA($C$2:$C381), 1, 3, 4)),
  _xlpm.nbparties, COUNTA(_xlfn._xlws.FILTER(_xlpm.ptstables, _xlpm.ptstables &lt;&gt; "")),
  _xlpm.coef, _xlpm.K + _xlpm.Knewgain / (_xlpm.Knewscale + _xlpm.nbparties),
  IF(AL379="",
    "",
    _xlpm.coef * (AL379-AL380))
)</f>
        <v/>
      </c>
      <c r="AM381" t="str" cm="1">
        <f t="array" ref="AM381">_xlfn.LET(
  _xlpm.K, Constantes!$B$3,
  _xlpm.Knewgain, Constantes!$B$4,
  _xlpm.Knewscale, Constantes!$B$5,
  _xlpm.ptstables, INDEX(AM:AM, _xlfn.SEQUENCE(COUNTA($C$2:$C381), 1, 3, 4)),
  _xlpm.nbparties, COUNTA(_xlfn._xlws.FILTER(_xlpm.ptstables, _xlpm.ptstables &lt;&gt; "")),
  _xlpm.coef, _xlpm.K + _xlpm.Knewgain / (_xlpm.Knewscale + _xlpm.nbparties),
  IF(AM379="",
    "",
    _xlpm.coef * (AM379-AM380))
)</f>
        <v/>
      </c>
    </row>
    <row r="382" spans="1:39" x14ac:dyDescent="0.25">
      <c r="A382" t="s">
        <v>14</v>
      </c>
      <c r="B382" t="str" cm="1">
        <f t="array" ref="B38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103</v>
      </c>
      <c r="C382" s="2" cm="1">
        <f t="array" ref="C382">IF(B382="","",
  INDEX(Donnees!F:F, MATCH(B382, Donnees!F:F, 0)+1))</f>
        <v>45955.593310185184</v>
      </c>
      <c r="D382">
        <f t="shared" ref="D382:AM382" si="103">D378+IF(D381="",0,D381)</f>
        <v>983.00829738956952</v>
      </c>
      <c r="E382">
        <f t="shared" si="103"/>
        <v>1134.1573908115724</v>
      </c>
      <c r="F382">
        <f t="shared" si="103"/>
        <v>892.77162496860694</v>
      </c>
      <c r="G382">
        <f t="shared" si="103"/>
        <v>1105.6078030990298</v>
      </c>
      <c r="H382">
        <f t="shared" si="103"/>
        <v>1120.6842315020224</v>
      </c>
      <c r="I382">
        <f t="shared" si="103"/>
        <v>912.81564332013568</v>
      </c>
      <c r="J382">
        <f t="shared" si="103"/>
        <v>1010.9125108504293</v>
      </c>
      <c r="K382">
        <f t="shared" si="103"/>
        <v>993.90254614824482</v>
      </c>
      <c r="L382">
        <f t="shared" si="103"/>
        <v>783.12422360152641</v>
      </c>
      <c r="M382">
        <f t="shared" si="103"/>
        <v>913.41986361738122</v>
      </c>
      <c r="N382">
        <f t="shared" si="103"/>
        <v>903.42914476260137</v>
      </c>
      <c r="O382">
        <f t="shared" si="103"/>
        <v>1033.7212914161473</v>
      </c>
      <c r="P382">
        <f t="shared" si="103"/>
        <v>992.25226906035107</v>
      </c>
      <c r="Q382">
        <f t="shared" si="103"/>
        <v>1050.1062561870472</v>
      </c>
      <c r="R382">
        <f t="shared" si="103"/>
        <v>1081.3509538650767</v>
      </c>
      <c r="S382">
        <f t="shared" si="103"/>
        <v>975.83442640972487</v>
      </c>
      <c r="T382">
        <f t="shared" si="103"/>
        <v>1153.43058185823</v>
      </c>
      <c r="U382">
        <f t="shared" si="103"/>
        <v>1192.3149033083271</v>
      </c>
      <c r="V382">
        <f t="shared" si="103"/>
        <v>969.67171739286073</v>
      </c>
      <c r="W382">
        <f t="shared" si="103"/>
        <v>882.29253769067657</v>
      </c>
      <c r="X382">
        <f t="shared" si="103"/>
        <v>828.97598039785271</v>
      </c>
      <c r="Y382">
        <f t="shared" si="103"/>
        <v>903.14348714035714</v>
      </c>
      <c r="Z382">
        <f t="shared" si="103"/>
        <v>967.57810576867519</v>
      </c>
      <c r="AA382">
        <f t="shared" si="103"/>
        <v>976.40065260504912</v>
      </c>
      <c r="AB382">
        <f t="shared" si="103"/>
        <v>988.35669729544747</v>
      </c>
      <c r="AC382">
        <f t="shared" si="103"/>
        <v>1051.9456808600683</v>
      </c>
      <c r="AD382">
        <f t="shared" si="103"/>
        <v>1093.8192243082785</v>
      </c>
      <c r="AE382">
        <f t="shared" si="103"/>
        <v>963.23981965000235</v>
      </c>
      <c r="AF382">
        <f t="shared" si="103"/>
        <v>1094.8196847516158</v>
      </c>
      <c r="AG382">
        <f t="shared" si="103"/>
        <v>958.23078604304851</v>
      </c>
      <c r="AH382">
        <f t="shared" si="103"/>
        <v>920.4412636682855</v>
      </c>
      <c r="AI382">
        <f t="shared" si="103"/>
        <v>943.78562073727187</v>
      </c>
      <c r="AJ382">
        <f t="shared" si="103"/>
        <v>906.86354201913434</v>
      </c>
      <c r="AK382">
        <f t="shared" si="103"/>
        <v>1074.0069367206956</v>
      </c>
      <c r="AL382">
        <f t="shared" si="103"/>
        <v>1025.7817971572972</v>
      </c>
      <c r="AM382">
        <f t="shared" si="103"/>
        <v>930.08392160706046</v>
      </c>
    </row>
    <row r="383" spans="1:39" x14ac:dyDescent="0.25">
      <c r="A383" t="s">
        <v>21</v>
      </c>
      <c r="D383" t="str" cm="1">
        <f t="array" ref="D383">IFERROR(
  _xlfn.LET(
    _xlpm.ligpartie, MATCH($B382, Donnees!$F:$F, 0),
    _xlpm.joueurs, INDEX(Donnees!$A:$Z, _xlpm.ligpartie+1, _xlfn.SEQUENCE(1, 4, 2)),
    INDEX(
      Donnees!$A:$Z,
      _xlpm.ligpartie + 3,
      MATCH(D$1, _xlpm.joueurs, 0) + 1
    )
  ), ""
)</f>
        <v/>
      </c>
      <c r="E383" t="str" cm="1">
        <f t="array" ref="E383">IFERROR(
  _xlfn.LET(
    _xlpm.ligpartie, MATCH($B382, Donnees!$F:$F, 0),
    _xlpm.joueurs, INDEX(Donnees!$A:$Z, _xlpm.ligpartie+1, _xlfn.SEQUENCE(1, 4, 2)),
    INDEX(
      Donnees!$A:$Z,
      _xlpm.ligpartie + 3,
      MATCH(E$1, _xlpm.joueurs, 0) + 1
    )
  ), ""
)</f>
        <v/>
      </c>
      <c r="F383" t="str" cm="1">
        <f t="array" ref="F383">IFERROR(
  _xlfn.LET(
    _xlpm.ligpartie, MATCH($B382, Donnees!$F:$F, 0),
    _xlpm.joueurs, INDEX(Donnees!$A:$Z, _xlpm.ligpartie+1, _xlfn.SEQUENCE(1, 4, 2)),
    INDEX(
      Donnees!$A:$Z,
      _xlpm.ligpartie + 3,
      MATCH(F$1, _xlpm.joueurs, 0) + 1
    )
  ), ""
)</f>
        <v/>
      </c>
      <c r="G383" t="str" cm="1">
        <f t="array" ref="G383">IFERROR(
  _xlfn.LET(
    _xlpm.ligpartie, MATCH($B382, Donnees!$F:$F, 0),
    _xlpm.joueurs, INDEX(Donnees!$A:$Z, _xlpm.ligpartie+1, _xlfn.SEQUENCE(1, 4, 2)),
    INDEX(
      Donnees!$A:$Z,
      _xlpm.ligpartie + 3,
      MATCH(G$1, _xlpm.joueurs, 0) + 1
    )
  ), ""
)</f>
        <v/>
      </c>
      <c r="H383" cm="1">
        <f t="array" ref="H383">IFERROR(
  _xlfn.LET(
    _xlpm.ligpartie, MATCH($B382, Donnees!$F:$F, 0),
    _xlpm.joueurs, INDEX(Donnees!$A:$Z, _xlpm.ligpartie+1, _xlfn.SEQUENCE(1, 4, 2)),
    INDEX(
      Donnees!$A:$Z,
      _xlpm.ligpartie + 3,
      MATCH(H$1, _xlpm.joueurs, 0) + 1
    )
  ), ""
)</f>
        <v>2</v>
      </c>
      <c r="I383" t="str" cm="1">
        <f t="array" ref="I383">IFERROR(
  _xlfn.LET(
    _xlpm.ligpartie, MATCH($B382, Donnees!$F:$F, 0),
    _xlpm.joueurs, INDEX(Donnees!$A:$Z, _xlpm.ligpartie+1, _xlfn.SEQUENCE(1, 4, 2)),
    INDEX(
      Donnees!$A:$Z,
      _xlpm.ligpartie + 3,
      MATCH(I$1, _xlpm.joueurs, 0) + 1
    )
  ), ""
)</f>
        <v/>
      </c>
      <c r="J383" cm="1">
        <f t="array" ref="J383">IFERROR(
  _xlfn.LET(
    _xlpm.ligpartie, MATCH($B382, Donnees!$F:$F, 0),
    _xlpm.joueurs, INDEX(Donnees!$A:$Z, _xlpm.ligpartie+1, _xlfn.SEQUENCE(1, 4, 2)),
    INDEX(
      Donnees!$A:$Z,
      _xlpm.ligpartie + 3,
      MATCH(J$1, _xlpm.joueurs, 0) + 1
    )
  ), ""
)</f>
        <v>1</v>
      </c>
      <c r="K383" cm="1">
        <f t="array" ref="K383">IFERROR(
  _xlfn.LET(
    _xlpm.ligpartie, MATCH($B382, Donnees!$F:$F, 0),
    _xlpm.joueurs, INDEX(Donnees!$A:$Z, _xlpm.ligpartie+1, _xlfn.SEQUENCE(1, 4, 2)),
    INDEX(
      Donnees!$A:$Z,
      _xlpm.ligpartie + 3,
      MATCH(K$1, _xlpm.joueurs, 0) + 1
    )
  ), ""
)</f>
        <v>3</v>
      </c>
      <c r="L383" t="str" cm="1">
        <f t="array" ref="L383">IFERROR(
  _xlfn.LET(
    _xlpm.ligpartie, MATCH($B382, Donnees!$F:$F, 0),
    _xlpm.joueurs, INDEX(Donnees!$A:$Z, _xlpm.ligpartie+1, _xlfn.SEQUENCE(1, 4, 2)),
    INDEX(
      Donnees!$A:$Z,
      _xlpm.ligpartie + 3,
      MATCH(L$1, _xlpm.joueurs, 0) + 1
    )
  ), ""
)</f>
        <v/>
      </c>
      <c r="M383" t="str" cm="1">
        <f t="array" ref="M383">IFERROR(
  _xlfn.LET(
    _xlpm.ligpartie, MATCH($B382, Donnees!$F:$F, 0),
    _xlpm.joueurs, INDEX(Donnees!$A:$Z, _xlpm.ligpartie+1, _xlfn.SEQUENCE(1, 4, 2)),
    INDEX(
      Donnees!$A:$Z,
      _xlpm.ligpartie + 3,
      MATCH(M$1, _xlpm.joueurs, 0) + 1
    )
  ), ""
)</f>
        <v/>
      </c>
      <c r="N383" t="str" cm="1">
        <f t="array" ref="N383">IFERROR(
  _xlfn.LET(
    _xlpm.ligpartie, MATCH($B382, Donnees!$F:$F, 0),
    _xlpm.joueurs, INDEX(Donnees!$A:$Z, _xlpm.ligpartie+1, _xlfn.SEQUENCE(1, 4, 2)),
    INDEX(
      Donnees!$A:$Z,
      _xlpm.ligpartie + 3,
      MATCH(N$1, _xlpm.joueurs, 0) + 1
    )
  ), ""
)</f>
        <v/>
      </c>
      <c r="O383" cm="1">
        <f t="array" ref="O383">IFERROR(
  _xlfn.LET(
    _xlpm.ligpartie, MATCH($B382, Donnees!$F:$F, 0),
    _xlpm.joueurs, INDEX(Donnees!$A:$Z, _xlpm.ligpartie+1, _xlfn.SEQUENCE(1, 4, 2)),
    INDEX(
      Donnees!$A:$Z,
      _xlpm.ligpartie + 3,
      MATCH(O$1, _xlpm.joueurs, 0) + 1
    )
  ), ""
)</f>
        <v>0</v>
      </c>
      <c r="P383" t="str" cm="1">
        <f t="array" ref="P383">IFERROR(
  _xlfn.LET(
    _xlpm.ligpartie, MATCH($B382, Donnees!$F:$F, 0),
    _xlpm.joueurs, INDEX(Donnees!$A:$Z, _xlpm.ligpartie+1, _xlfn.SEQUENCE(1, 4, 2)),
    INDEX(
      Donnees!$A:$Z,
      _xlpm.ligpartie + 3,
      MATCH(P$1, _xlpm.joueurs, 0) + 1
    )
  ), ""
)</f>
        <v/>
      </c>
      <c r="Q383" t="str" cm="1">
        <f t="array" ref="Q383">IFERROR(
  _xlfn.LET(
    _xlpm.ligpartie, MATCH($B382, Donnees!$F:$F, 0),
    _xlpm.joueurs, INDEX(Donnees!$A:$Z, _xlpm.ligpartie+1, _xlfn.SEQUENCE(1, 4, 2)),
    INDEX(
      Donnees!$A:$Z,
      _xlpm.ligpartie + 3,
      MATCH(Q$1, _xlpm.joueurs, 0) + 1
    )
  ), ""
)</f>
        <v/>
      </c>
      <c r="R383" t="str" cm="1">
        <f t="array" ref="R383">IFERROR(
  _xlfn.LET(
    _xlpm.ligpartie, MATCH($B382, Donnees!$F:$F, 0),
    _xlpm.joueurs, INDEX(Donnees!$A:$Z, _xlpm.ligpartie+1, _xlfn.SEQUENCE(1, 4, 2)),
    INDEX(
      Donnees!$A:$Z,
      _xlpm.ligpartie + 3,
      MATCH(R$1, _xlpm.joueurs, 0) + 1
    )
  ), ""
)</f>
        <v/>
      </c>
      <c r="S383" t="str" cm="1">
        <f t="array" ref="S383">IFERROR(
  _xlfn.LET(
    _xlpm.ligpartie, MATCH($B382, Donnees!$F:$F, 0),
    _xlpm.joueurs, INDEX(Donnees!$A:$Z, _xlpm.ligpartie+1, _xlfn.SEQUENCE(1, 4, 2)),
    INDEX(
      Donnees!$A:$Z,
      _xlpm.ligpartie + 3,
      MATCH(S$1, _xlpm.joueurs, 0) + 1
    )
  ), ""
)</f>
        <v/>
      </c>
      <c r="T383" t="str" cm="1">
        <f t="array" ref="T383">IFERROR(
  _xlfn.LET(
    _xlpm.ligpartie, MATCH($B382, Donnees!$F:$F, 0),
    _xlpm.joueurs, INDEX(Donnees!$A:$Z, _xlpm.ligpartie+1, _xlfn.SEQUENCE(1, 4, 2)),
    INDEX(
      Donnees!$A:$Z,
      _xlpm.ligpartie + 3,
      MATCH(T$1, _xlpm.joueurs, 0) + 1
    )
  ), ""
)</f>
        <v/>
      </c>
      <c r="U383" t="str" cm="1">
        <f t="array" ref="U383">IFERROR(
  _xlfn.LET(
    _xlpm.ligpartie, MATCH($B382, Donnees!$F:$F, 0),
    _xlpm.joueurs, INDEX(Donnees!$A:$Z, _xlpm.ligpartie+1, _xlfn.SEQUENCE(1, 4, 2)),
    INDEX(
      Donnees!$A:$Z,
      _xlpm.ligpartie + 3,
      MATCH(U$1, _xlpm.joueurs, 0) + 1
    )
  ), ""
)</f>
        <v/>
      </c>
      <c r="V383" t="str" cm="1">
        <f t="array" ref="V383">IFERROR(
  _xlfn.LET(
    _xlpm.ligpartie, MATCH($B382, Donnees!$F:$F, 0),
    _xlpm.joueurs, INDEX(Donnees!$A:$Z, _xlpm.ligpartie+1, _xlfn.SEQUENCE(1, 4, 2)),
    INDEX(
      Donnees!$A:$Z,
      _xlpm.ligpartie + 3,
      MATCH(V$1, _xlpm.joueurs, 0) + 1
    )
  ), ""
)</f>
        <v/>
      </c>
      <c r="W383" t="str" cm="1">
        <f t="array" ref="W383">IFERROR(
  _xlfn.LET(
    _xlpm.ligpartie, MATCH($B382, Donnees!$F:$F, 0),
    _xlpm.joueurs, INDEX(Donnees!$A:$Z, _xlpm.ligpartie+1, _xlfn.SEQUENCE(1, 4, 2)),
    INDEX(
      Donnees!$A:$Z,
      _xlpm.ligpartie + 3,
      MATCH(W$1, _xlpm.joueurs, 0) + 1
    )
  ), ""
)</f>
        <v/>
      </c>
      <c r="X383" t="str" cm="1">
        <f t="array" ref="X383">IFERROR(
  _xlfn.LET(
    _xlpm.ligpartie, MATCH($B382, Donnees!$F:$F, 0),
    _xlpm.joueurs, INDEX(Donnees!$A:$Z, _xlpm.ligpartie+1, _xlfn.SEQUENCE(1, 4, 2)),
    INDEX(
      Donnees!$A:$Z,
      _xlpm.ligpartie + 3,
      MATCH(X$1, _xlpm.joueurs, 0) + 1
    )
  ), ""
)</f>
        <v/>
      </c>
      <c r="Y383" t="str" cm="1">
        <f t="array" ref="Y383">IFERROR(
  _xlfn.LET(
    _xlpm.ligpartie, MATCH($B382, Donnees!$F:$F, 0),
    _xlpm.joueurs, INDEX(Donnees!$A:$Z, _xlpm.ligpartie+1, _xlfn.SEQUENCE(1, 4, 2)),
    INDEX(
      Donnees!$A:$Z,
      _xlpm.ligpartie + 3,
      MATCH(Y$1, _xlpm.joueurs, 0) + 1
    )
  ), ""
)</f>
        <v/>
      </c>
      <c r="Z383" t="str" cm="1">
        <f t="array" ref="Z383">IFERROR(
  _xlfn.LET(
    _xlpm.ligpartie, MATCH($B382, Donnees!$F:$F, 0),
    _xlpm.joueurs, INDEX(Donnees!$A:$Z, _xlpm.ligpartie+1, _xlfn.SEQUENCE(1, 4, 2)),
    INDEX(
      Donnees!$A:$Z,
      _xlpm.ligpartie + 3,
      MATCH(Z$1, _xlpm.joueurs, 0) + 1
    )
  ), ""
)</f>
        <v/>
      </c>
      <c r="AA383" t="str" cm="1">
        <f t="array" ref="AA383">IFERROR(
  _xlfn.LET(
    _xlpm.ligpartie, MATCH($B382, Donnees!$F:$F, 0),
    _xlpm.joueurs, INDEX(Donnees!$A:$Z, _xlpm.ligpartie+1, _xlfn.SEQUENCE(1, 4, 2)),
    INDEX(
      Donnees!$A:$Z,
      _xlpm.ligpartie + 3,
      MATCH(AA$1, _xlpm.joueurs, 0) + 1
    )
  ), ""
)</f>
        <v/>
      </c>
      <c r="AB383" t="str" cm="1">
        <f t="array" ref="AB383">IFERROR(
  _xlfn.LET(
    _xlpm.ligpartie, MATCH($B382, Donnees!$F:$F, 0),
    _xlpm.joueurs, INDEX(Donnees!$A:$Z, _xlpm.ligpartie+1, _xlfn.SEQUENCE(1, 4, 2)),
    INDEX(
      Donnees!$A:$Z,
      _xlpm.ligpartie + 3,
      MATCH(AB$1, _xlpm.joueurs, 0) + 1
    )
  ), ""
)</f>
        <v/>
      </c>
      <c r="AC383" t="str" cm="1">
        <f t="array" ref="AC383">IFERROR(
  _xlfn.LET(
    _xlpm.ligpartie, MATCH($B382, Donnees!$F:$F, 0),
    _xlpm.joueurs, INDEX(Donnees!$A:$Z, _xlpm.ligpartie+1, _xlfn.SEQUENCE(1, 4, 2)),
    INDEX(
      Donnees!$A:$Z,
      _xlpm.ligpartie + 3,
      MATCH(AC$1, _xlpm.joueurs, 0) + 1
    )
  ), ""
)</f>
        <v/>
      </c>
      <c r="AD383" t="str" cm="1">
        <f t="array" ref="AD383">IFERROR(
  _xlfn.LET(
    _xlpm.ligpartie, MATCH($B382, Donnees!$F:$F, 0),
    _xlpm.joueurs, INDEX(Donnees!$A:$Z, _xlpm.ligpartie+1, _xlfn.SEQUENCE(1, 4, 2)),
    INDEX(
      Donnees!$A:$Z,
      _xlpm.ligpartie + 3,
      MATCH(AD$1, _xlpm.joueurs, 0) + 1
    )
  ), ""
)</f>
        <v/>
      </c>
      <c r="AE383" t="str" cm="1">
        <f t="array" ref="AE383">IFERROR(
  _xlfn.LET(
    _xlpm.ligpartie, MATCH($B382, Donnees!$F:$F, 0),
    _xlpm.joueurs, INDEX(Donnees!$A:$Z, _xlpm.ligpartie+1, _xlfn.SEQUENCE(1, 4, 2)),
    INDEX(
      Donnees!$A:$Z,
      _xlpm.ligpartie + 3,
      MATCH(AE$1, _xlpm.joueurs, 0) + 1
    )
  ), ""
)</f>
        <v/>
      </c>
      <c r="AF383" t="str" cm="1">
        <f t="array" ref="AF383">IFERROR(
  _xlfn.LET(
    _xlpm.ligpartie, MATCH($B382, Donnees!$F:$F, 0),
    _xlpm.joueurs, INDEX(Donnees!$A:$Z, _xlpm.ligpartie+1, _xlfn.SEQUENCE(1, 4, 2)),
    INDEX(
      Donnees!$A:$Z,
      _xlpm.ligpartie + 3,
      MATCH(AF$1, _xlpm.joueurs, 0) + 1
    )
  ), ""
)</f>
        <v/>
      </c>
      <c r="AG383" t="str" cm="1">
        <f t="array" ref="AG383">IFERROR(
  _xlfn.LET(
    _xlpm.ligpartie, MATCH($B382, Donnees!$F:$F, 0),
    _xlpm.joueurs, INDEX(Donnees!$A:$Z, _xlpm.ligpartie+1, _xlfn.SEQUENCE(1, 4, 2)),
    INDEX(
      Donnees!$A:$Z,
      _xlpm.ligpartie + 3,
      MATCH(AG$1, _xlpm.joueurs, 0) + 1
    )
  ), ""
)</f>
        <v/>
      </c>
      <c r="AH383" t="str" cm="1">
        <f t="array" ref="AH383">IFERROR(
  _xlfn.LET(
    _xlpm.ligpartie, MATCH($B382, Donnees!$F:$F, 0),
    _xlpm.joueurs, INDEX(Donnees!$A:$Z, _xlpm.ligpartie+1, _xlfn.SEQUENCE(1, 4, 2)),
    INDEX(
      Donnees!$A:$Z,
      _xlpm.ligpartie + 3,
      MATCH(AH$1, _xlpm.joueurs, 0) + 1
    )
  ), ""
)</f>
        <v/>
      </c>
      <c r="AI383" t="str" cm="1">
        <f t="array" ref="AI383">IFERROR(
  _xlfn.LET(
    _xlpm.ligpartie, MATCH($B382, Donnees!$F:$F, 0),
    _xlpm.joueurs, INDEX(Donnees!$A:$Z, _xlpm.ligpartie+1, _xlfn.SEQUENCE(1, 4, 2)),
    INDEX(
      Donnees!$A:$Z,
      _xlpm.ligpartie + 3,
      MATCH(AI$1, _xlpm.joueurs, 0) + 1
    )
  ), ""
)</f>
        <v/>
      </c>
      <c r="AJ383" t="str" cm="1">
        <f t="array" ref="AJ383">IFERROR(
  _xlfn.LET(
    _xlpm.ligpartie, MATCH($B382, Donnees!$F:$F, 0),
    _xlpm.joueurs, INDEX(Donnees!$A:$Z, _xlpm.ligpartie+1, _xlfn.SEQUENCE(1, 4, 2)),
    INDEX(
      Donnees!$A:$Z,
      _xlpm.ligpartie + 3,
      MATCH(AJ$1, _xlpm.joueurs, 0) + 1
    )
  ), ""
)</f>
        <v/>
      </c>
      <c r="AK383" t="str" cm="1">
        <f t="array" ref="AK383">IFERROR(
  _xlfn.LET(
    _xlpm.ligpartie, MATCH($B382, Donnees!$F:$F, 0),
    _xlpm.joueurs, INDEX(Donnees!$A:$Z, _xlpm.ligpartie+1, _xlfn.SEQUENCE(1, 4, 2)),
    INDEX(
      Donnees!$A:$Z,
      _xlpm.ligpartie + 3,
      MATCH(AK$1, _xlpm.joueurs, 0) + 1
    )
  ), ""
)</f>
        <v/>
      </c>
      <c r="AL383" t="str" cm="1">
        <f t="array" ref="AL383">IFERROR(
  _xlfn.LET(
    _xlpm.ligpartie, MATCH($B382, Donnees!$F:$F, 0),
    _xlpm.joueurs, INDEX(Donnees!$A:$Z, _xlpm.ligpartie+1, _xlfn.SEQUENCE(1, 4, 2)),
    INDEX(
      Donnees!$A:$Z,
      _xlpm.ligpartie + 3,
      MATCH(AL$1, _xlpm.joueurs, 0) + 1
    )
  ), ""
)</f>
        <v/>
      </c>
      <c r="AM383" t="str" cm="1">
        <f t="array" ref="AM383">IFERROR(
  _xlfn.LET(
    _xlpm.ligpartie, MATCH($B382, Donnees!$F:$F, 0),
    _xlpm.joueurs, INDEX(Donnees!$A:$Z, _xlpm.ligpartie+1, _xlfn.SEQUENCE(1, 4, 2)),
    INDEX(
      Donnees!$A:$Z,
      _xlpm.ligpartie + 3,
      MATCH(AM$1, _xlpm.joueurs, 0) + 1
    )
  ), ""
)</f>
        <v/>
      </c>
    </row>
    <row r="384" spans="1:39" x14ac:dyDescent="0.25">
      <c r="A384" t="s">
        <v>20</v>
      </c>
      <c r="D384" t="str" cm="1">
        <f t="array" ref="D384">_xlfn.LET(
  _xlpm.colj, _xlfn._xlws.FILTER(IF(ISNUMBER(383:383), COLUMN(383:383)), ISNUMBER(383:383)),
  _xlpm.elos, INDEX(382:382,1,_xlpm.colj),
  _xlpm.diffscale, Constantes!$B$2,
  IF(D383="",
    "",
    SUM(1/(1+POWER(10,-(D382-_xlpm.elos)/_xlpm.diffscale)))-0.5)
)</f>
        <v/>
      </c>
      <c r="E384" t="str" cm="1">
        <f t="array" ref="E384">_xlfn.LET(
  _xlpm.colj, _xlfn._xlws.FILTER(IF(ISNUMBER(383:383), COLUMN(383:383)), ISNUMBER(383:383)),
  _xlpm.elos, INDEX(382:382,1,_xlpm.colj),
  _xlpm.diffscale, Constantes!$B$2,
  IF(E383="",
    "",
    SUM(1/(1+POWER(10,-(E382-_xlpm.elos)/_xlpm.diffscale)))-0.5)
)</f>
        <v/>
      </c>
      <c r="F384" t="str" cm="1">
        <f t="array" ref="F384">_xlfn.LET(
  _xlpm.colj, _xlfn._xlws.FILTER(IF(ISNUMBER(383:383), COLUMN(383:383)), ISNUMBER(383:383)),
  _xlpm.elos, INDEX(382:382,1,_xlpm.colj),
  _xlpm.diffscale, Constantes!$B$2,
  IF(F383="",
    "",
    SUM(1/(1+POWER(10,-(F382-_xlpm.elos)/_xlpm.diffscale)))-0.5)
)</f>
        <v/>
      </c>
      <c r="G384" t="str" cm="1">
        <f t="array" ref="G384">_xlfn.LET(
  _xlpm.colj, _xlfn._xlws.FILTER(IF(ISNUMBER(383:383), COLUMN(383:383)), ISNUMBER(383:383)),
  _xlpm.elos, INDEX(382:382,1,_xlpm.colj),
  _xlpm.diffscale, Constantes!$B$2,
  IF(G383="",
    "",
    SUM(1/(1+POWER(10,-(G382-_xlpm.elos)/_xlpm.diffscale)))-0.5)
)</f>
        <v/>
      </c>
      <c r="H384" cm="1">
        <f t="array" ref="H384">_xlfn.LET(
  _xlpm.colj, _xlfn._xlws.FILTER(IF(ISNUMBER(383:383), COLUMN(383:383)), ISNUMBER(383:383)),
  _xlpm.elos, INDEX(382:382,1,_xlpm.colj),
  _xlpm.diffscale, Constantes!$B$2,
  IF(H383="",
    "",
    SUM(1/(1+POWER(10,-(H382-_xlpm.elos)/_xlpm.diffscale)))-0.5)
)</f>
        <v>1.9502839709473694</v>
      </c>
      <c r="I384" t="str" cm="1">
        <f t="array" ref="I384">_xlfn.LET(
  _xlpm.colj, _xlfn._xlws.FILTER(IF(ISNUMBER(383:383), COLUMN(383:383)), ISNUMBER(383:383)),
  _xlpm.elos, INDEX(382:382,1,_xlpm.colj),
  _xlpm.diffscale, Constantes!$B$2,
  IF(I383="",
    "",
    SUM(1/(1+POWER(10,-(I382-_xlpm.elos)/_xlpm.diffscale)))-0.5)
)</f>
        <v/>
      </c>
      <c r="J384" cm="1">
        <f t="array" ref="J384">_xlfn.LET(
  _xlpm.colj, _xlfn._xlws.FILTER(IF(ISNUMBER(383:383), COLUMN(383:383)), ISNUMBER(383:383)),
  _xlpm.elos, INDEX(382:382,1,_xlpm.colj),
  _xlpm.diffscale, Constantes!$B$2,
  IF(J383="",
    "",
    SUM(1/(1+POWER(10,-(J382-_xlpm.elos)/_xlpm.diffscale)))-0.5)
)</f>
        <v>1.3387629320257384</v>
      </c>
      <c r="K384" cm="1">
        <f t="array" ref="K384">_xlfn.LET(
  _xlpm.colj, _xlfn._xlws.FILTER(IF(ISNUMBER(383:383), COLUMN(383:383)), ISNUMBER(383:383)),
  _xlpm.elos, INDEX(382:382,1,_xlpm.colj),
  _xlpm.diffscale, Constantes!$B$2,
  IF(K383="",
    "",
    SUM(1/(1+POWER(10,-(K382-_xlpm.elos)/_xlpm.diffscale)))-0.5)
)</f>
        <v>1.2437215686956862</v>
      </c>
      <c r="L384" t="str" cm="1">
        <f t="array" ref="L384">_xlfn.LET(
  _xlpm.colj, _xlfn._xlws.FILTER(IF(ISNUMBER(383:383), COLUMN(383:383)), ISNUMBER(383:383)),
  _xlpm.elos, INDEX(382:382,1,_xlpm.colj),
  _xlpm.diffscale, Constantes!$B$2,
  IF(L383="",
    "",
    SUM(1/(1+POWER(10,-(L382-_xlpm.elos)/_xlpm.diffscale)))-0.5)
)</f>
        <v/>
      </c>
      <c r="M384" t="str" cm="1">
        <f t="array" ref="M384">_xlfn.LET(
  _xlpm.colj, _xlfn._xlws.FILTER(IF(ISNUMBER(383:383), COLUMN(383:383)), ISNUMBER(383:383)),
  _xlpm.elos, INDEX(382:382,1,_xlpm.colj),
  _xlpm.diffscale, Constantes!$B$2,
  IF(M383="",
    "",
    SUM(1/(1+POWER(10,-(M382-_xlpm.elos)/_xlpm.diffscale)))-0.5)
)</f>
        <v/>
      </c>
      <c r="N384" t="str" cm="1">
        <f t="array" ref="N384">_xlfn.LET(
  _xlpm.colj, _xlfn._xlws.FILTER(IF(ISNUMBER(383:383), COLUMN(383:383)), ISNUMBER(383:383)),
  _xlpm.elos, INDEX(382:382,1,_xlpm.colj),
  _xlpm.diffscale, Constantes!$B$2,
  IF(N383="",
    "",
    SUM(1/(1+POWER(10,-(N382-_xlpm.elos)/_xlpm.diffscale)))-0.5)
)</f>
        <v/>
      </c>
      <c r="O384" cm="1">
        <f t="array" ref="O384">_xlfn.LET(
  _xlpm.colj, _xlfn._xlws.FILTER(IF(ISNUMBER(383:383), COLUMN(383:383)), ISNUMBER(383:383)),
  _xlpm.elos, INDEX(382:382,1,_xlpm.colj),
  _xlpm.diffscale, Constantes!$B$2,
  IF(O383="",
    "",
    SUM(1/(1+POWER(10,-(O382-_xlpm.elos)/_xlpm.diffscale)))-0.5)
)</f>
        <v>1.4672315283312063</v>
      </c>
      <c r="P384" t="str" cm="1">
        <f t="array" ref="P384">_xlfn.LET(
  _xlpm.colj, _xlfn._xlws.FILTER(IF(ISNUMBER(383:383), COLUMN(383:383)), ISNUMBER(383:383)),
  _xlpm.elos, INDEX(382:382,1,_xlpm.colj),
  _xlpm.diffscale, Constantes!$B$2,
  IF(P383="",
    "",
    SUM(1/(1+POWER(10,-(P382-_xlpm.elos)/_xlpm.diffscale)))-0.5)
)</f>
        <v/>
      </c>
      <c r="Q384" t="str" cm="1">
        <f t="array" ref="Q384">_xlfn.LET(
  _xlpm.colj, _xlfn._xlws.FILTER(IF(ISNUMBER(383:383), COLUMN(383:383)), ISNUMBER(383:383)),
  _xlpm.elos, INDEX(382:382,1,_xlpm.colj),
  _xlpm.diffscale, Constantes!$B$2,
  IF(Q383="",
    "",
    SUM(1/(1+POWER(10,-(Q382-_xlpm.elos)/_xlpm.diffscale)))-0.5)
)</f>
        <v/>
      </c>
      <c r="R384" t="str" cm="1">
        <f t="array" ref="R384">_xlfn.LET(
  _xlpm.colj, _xlfn._xlws.FILTER(IF(ISNUMBER(383:383), COLUMN(383:383)), ISNUMBER(383:383)),
  _xlpm.elos, INDEX(382:382,1,_xlpm.colj),
  _xlpm.diffscale, Constantes!$B$2,
  IF(R383="",
    "",
    SUM(1/(1+POWER(10,-(R382-_xlpm.elos)/_xlpm.diffscale)))-0.5)
)</f>
        <v/>
      </c>
      <c r="S384" t="str" cm="1">
        <f t="array" ref="S384">_xlfn.LET(
  _xlpm.colj, _xlfn._xlws.FILTER(IF(ISNUMBER(383:383), COLUMN(383:383)), ISNUMBER(383:383)),
  _xlpm.elos, INDEX(382:382,1,_xlpm.colj),
  _xlpm.diffscale, Constantes!$B$2,
  IF(S383="",
    "",
    SUM(1/(1+POWER(10,-(S382-_xlpm.elos)/_xlpm.diffscale)))-0.5)
)</f>
        <v/>
      </c>
      <c r="T384" t="str" cm="1">
        <f t="array" ref="T384">_xlfn.LET(
  _xlpm.colj, _xlfn._xlws.FILTER(IF(ISNUMBER(383:383), COLUMN(383:383)), ISNUMBER(383:383)),
  _xlpm.elos, INDEX(382:382,1,_xlpm.colj),
  _xlpm.diffscale, Constantes!$B$2,
  IF(T383="",
    "",
    SUM(1/(1+POWER(10,-(T382-_xlpm.elos)/_xlpm.diffscale)))-0.5)
)</f>
        <v/>
      </c>
      <c r="U384" t="str" cm="1">
        <f t="array" ref="U384">_xlfn.LET(
  _xlpm.colj, _xlfn._xlws.FILTER(IF(ISNUMBER(383:383), COLUMN(383:383)), ISNUMBER(383:383)),
  _xlpm.elos, INDEX(382:382,1,_xlpm.colj),
  _xlpm.diffscale, Constantes!$B$2,
  IF(U383="",
    "",
    SUM(1/(1+POWER(10,-(U382-_xlpm.elos)/_xlpm.diffscale)))-0.5)
)</f>
        <v/>
      </c>
      <c r="V384" t="str" cm="1">
        <f t="array" ref="V384">_xlfn.LET(
  _xlpm.colj, _xlfn._xlws.FILTER(IF(ISNUMBER(383:383), COLUMN(383:383)), ISNUMBER(383:383)),
  _xlpm.elos, INDEX(382:382,1,_xlpm.colj),
  _xlpm.diffscale, Constantes!$B$2,
  IF(V383="",
    "",
    SUM(1/(1+POWER(10,-(V382-_xlpm.elos)/_xlpm.diffscale)))-0.5)
)</f>
        <v/>
      </c>
      <c r="W384" t="str" cm="1">
        <f t="array" ref="W384">_xlfn.LET(
  _xlpm.colj, _xlfn._xlws.FILTER(IF(ISNUMBER(383:383), COLUMN(383:383)), ISNUMBER(383:383)),
  _xlpm.elos, INDEX(382:382,1,_xlpm.colj),
  _xlpm.diffscale, Constantes!$B$2,
  IF(W383="",
    "",
    SUM(1/(1+POWER(10,-(W382-_xlpm.elos)/_xlpm.diffscale)))-0.5)
)</f>
        <v/>
      </c>
      <c r="X384" t="str" cm="1">
        <f t="array" ref="X384">_xlfn.LET(
  _xlpm.colj, _xlfn._xlws.FILTER(IF(ISNUMBER(383:383), COLUMN(383:383)), ISNUMBER(383:383)),
  _xlpm.elos, INDEX(382:382,1,_xlpm.colj),
  _xlpm.diffscale, Constantes!$B$2,
  IF(X383="",
    "",
    SUM(1/(1+POWER(10,-(X382-_xlpm.elos)/_xlpm.diffscale)))-0.5)
)</f>
        <v/>
      </c>
      <c r="Y384" t="str" cm="1">
        <f t="array" ref="Y384">_xlfn.LET(
  _xlpm.colj, _xlfn._xlws.FILTER(IF(ISNUMBER(383:383), COLUMN(383:383)), ISNUMBER(383:383)),
  _xlpm.elos, INDEX(382:382,1,_xlpm.colj),
  _xlpm.diffscale, Constantes!$B$2,
  IF(Y383="",
    "",
    SUM(1/(1+POWER(10,-(Y382-_xlpm.elos)/_xlpm.diffscale)))-0.5)
)</f>
        <v/>
      </c>
      <c r="Z384" t="str" cm="1">
        <f t="array" ref="Z384">_xlfn.LET(
  _xlpm.colj, _xlfn._xlws.FILTER(IF(ISNUMBER(383:383), COLUMN(383:383)), ISNUMBER(383:383)),
  _xlpm.elos, INDEX(382:382,1,_xlpm.colj),
  _xlpm.diffscale, Constantes!$B$2,
  IF(Z383="",
    "",
    SUM(1/(1+POWER(10,-(Z382-_xlpm.elos)/_xlpm.diffscale)))-0.5)
)</f>
        <v/>
      </c>
      <c r="AA384" t="str" cm="1">
        <f t="array" ref="AA384">_xlfn.LET(
  _xlpm.colj, _xlfn._xlws.FILTER(IF(ISNUMBER(383:383), COLUMN(383:383)), ISNUMBER(383:383)),
  _xlpm.elos, INDEX(382:382,1,_xlpm.colj),
  _xlpm.diffscale, Constantes!$B$2,
  IF(AA383="",
    "",
    SUM(1/(1+POWER(10,-(AA382-_xlpm.elos)/_xlpm.diffscale)))-0.5)
)</f>
        <v/>
      </c>
      <c r="AB384" t="str" cm="1">
        <f t="array" ref="AB384">_xlfn.LET(
  _xlpm.colj, _xlfn._xlws.FILTER(IF(ISNUMBER(383:383), COLUMN(383:383)), ISNUMBER(383:383)),
  _xlpm.elos, INDEX(382:382,1,_xlpm.colj),
  _xlpm.diffscale, Constantes!$B$2,
  IF(AB383="",
    "",
    SUM(1/(1+POWER(10,-(AB382-_xlpm.elos)/_xlpm.diffscale)))-0.5)
)</f>
        <v/>
      </c>
      <c r="AC384" t="str" cm="1">
        <f t="array" ref="AC384">_xlfn.LET(
  _xlpm.colj, _xlfn._xlws.FILTER(IF(ISNUMBER(383:383), COLUMN(383:383)), ISNUMBER(383:383)),
  _xlpm.elos, INDEX(382:382,1,_xlpm.colj),
  _xlpm.diffscale, Constantes!$B$2,
  IF(AC383="",
    "",
    SUM(1/(1+POWER(10,-(AC382-_xlpm.elos)/_xlpm.diffscale)))-0.5)
)</f>
        <v/>
      </c>
      <c r="AD384" t="str" cm="1">
        <f t="array" ref="AD384">_xlfn.LET(
  _xlpm.colj, _xlfn._xlws.FILTER(IF(ISNUMBER(383:383), COLUMN(383:383)), ISNUMBER(383:383)),
  _xlpm.elos, INDEX(382:382,1,_xlpm.colj),
  _xlpm.diffscale, Constantes!$B$2,
  IF(AD383="",
    "",
    SUM(1/(1+POWER(10,-(AD382-_xlpm.elos)/_xlpm.diffscale)))-0.5)
)</f>
        <v/>
      </c>
      <c r="AE384" t="str" cm="1">
        <f t="array" ref="AE384">_xlfn.LET(
  _xlpm.colj, _xlfn._xlws.FILTER(IF(ISNUMBER(383:383), COLUMN(383:383)), ISNUMBER(383:383)),
  _xlpm.elos, INDEX(382:382,1,_xlpm.colj),
  _xlpm.diffscale, Constantes!$B$2,
  IF(AE383="",
    "",
    SUM(1/(1+POWER(10,-(AE382-_xlpm.elos)/_xlpm.diffscale)))-0.5)
)</f>
        <v/>
      </c>
      <c r="AF384" t="str" cm="1">
        <f t="array" ref="AF384">_xlfn.LET(
  _xlpm.colj, _xlfn._xlws.FILTER(IF(ISNUMBER(383:383), COLUMN(383:383)), ISNUMBER(383:383)),
  _xlpm.elos, INDEX(382:382,1,_xlpm.colj),
  _xlpm.diffscale, Constantes!$B$2,
  IF(AF383="",
    "",
    SUM(1/(1+POWER(10,-(AF382-_xlpm.elos)/_xlpm.diffscale)))-0.5)
)</f>
        <v/>
      </c>
      <c r="AG384" t="str" cm="1">
        <f t="array" ref="AG384">_xlfn.LET(
  _xlpm.colj, _xlfn._xlws.FILTER(IF(ISNUMBER(383:383), COLUMN(383:383)), ISNUMBER(383:383)),
  _xlpm.elos, INDEX(382:382,1,_xlpm.colj),
  _xlpm.diffscale, Constantes!$B$2,
  IF(AG383="",
    "",
    SUM(1/(1+POWER(10,-(AG382-_xlpm.elos)/_xlpm.diffscale)))-0.5)
)</f>
        <v/>
      </c>
      <c r="AH384" t="str" cm="1">
        <f t="array" ref="AH384">_xlfn.LET(
  _xlpm.colj, _xlfn._xlws.FILTER(IF(ISNUMBER(383:383), COLUMN(383:383)), ISNUMBER(383:383)),
  _xlpm.elos, INDEX(382:382,1,_xlpm.colj),
  _xlpm.diffscale, Constantes!$B$2,
  IF(AH383="",
    "",
    SUM(1/(1+POWER(10,-(AH382-_xlpm.elos)/_xlpm.diffscale)))-0.5)
)</f>
        <v/>
      </c>
      <c r="AI384" t="str" cm="1">
        <f t="array" ref="AI384">_xlfn.LET(
  _xlpm.colj, _xlfn._xlws.FILTER(IF(ISNUMBER(383:383), COLUMN(383:383)), ISNUMBER(383:383)),
  _xlpm.elos, INDEX(382:382,1,_xlpm.colj),
  _xlpm.diffscale, Constantes!$B$2,
  IF(AI383="",
    "",
    SUM(1/(1+POWER(10,-(AI382-_xlpm.elos)/_xlpm.diffscale)))-0.5)
)</f>
        <v/>
      </c>
      <c r="AJ384" t="str" cm="1">
        <f t="array" ref="AJ384">_xlfn.LET(
  _xlpm.colj, _xlfn._xlws.FILTER(IF(ISNUMBER(383:383), COLUMN(383:383)), ISNUMBER(383:383)),
  _xlpm.elos, INDEX(382:382,1,_xlpm.colj),
  _xlpm.diffscale, Constantes!$B$2,
  IF(AJ383="",
    "",
    SUM(1/(1+POWER(10,-(AJ382-_xlpm.elos)/_xlpm.diffscale)))-0.5)
)</f>
        <v/>
      </c>
      <c r="AK384" t="str" cm="1">
        <f t="array" ref="AK384">_xlfn.LET(
  _xlpm.colj, _xlfn._xlws.FILTER(IF(ISNUMBER(383:383), COLUMN(383:383)), ISNUMBER(383:383)),
  _xlpm.elos, INDEX(382:382,1,_xlpm.colj),
  _xlpm.diffscale, Constantes!$B$2,
  IF(AK383="",
    "",
    SUM(1/(1+POWER(10,-(AK382-_xlpm.elos)/_xlpm.diffscale)))-0.5)
)</f>
        <v/>
      </c>
      <c r="AL384" t="str" cm="1">
        <f t="array" ref="AL384">_xlfn.LET(
  _xlpm.colj, _xlfn._xlws.FILTER(IF(ISNUMBER(383:383), COLUMN(383:383)), ISNUMBER(383:383)),
  _xlpm.elos, INDEX(382:382,1,_xlpm.colj),
  _xlpm.diffscale, Constantes!$B$2,
  IF(AL383="",
    "",
    SUM(1/(1+POWER(10,-(AL382-_xlpm.elos)/_xlpm.diffscale)))-0.5)
)</f>
        <v/>
      </c>
      <c r="AM384" t="str" cm="1">
        <f t="array" ref="AM384">_xlfn.LET(
  _xlpm.colj, _xlfn._xlws.FILTER(IF(ISNUMBER(383:383), COLUMN(383:383)), ISNUMBER(383:383)),
  _xlpm.elos, INDEX(382:382,1,_xlpm.colj),
  _xlpm.diffscale, Constantes!$B$2,
  IF(AM383="",
    "",
    SUM(1/(1+POWER(10,-(AM382-_xlpm.elos)/_xlpm.diffscale)))-0.5)
)</f>
        <v/>
      </c>
    </row>
    <row r="385" spans="1:39" x14ac:dyDescent="0.25">
      <c r="A385" t="s">
        <v>22</v>
      </c>
      <c r="D385" t="str" cm="1">
        <f t="array" ref="D385">_xlfn.LET(
  _xlpm.K, Constantes!$B$3,
  _xlpm.Knewgain, Constantes!$B$4,
  _xlpm.Knewscale, Constantes!$B$5,
  _xlpm.ptstables, INDEX(D:D, _xlfn.SEQUENCE(COUNTA($C$2:$C385), 1, 3, 4)),
  _xlpm.nbparties, COUNTA(_xlfn._xlws.FILTER(_xlpm.ptstables, _xlpm.ptstables &lt;&gt; "")),
  _xlpm.coef, _xlpm.K + _xlpm.Knewgain / (_xlpm.Knewscale + _xlpm.nbparties),
  IF(D383="",
    "",
    _xlpm.coef * (D383-D384))
)</f>
        <v/>
      </c>
      <c r="E385" t="str" cm="1">
        <f t="array" ref="E385">_xlfn.LET(
  _xlpm.K, Constantes!$B$3,
  _xlpm.Knewgain, Constantes!$B$4,
  _xlpm.Knewscale, Constantes!$B$5,
  _xlpm.ptstables, INDEX(E:E, _xlfn.SEQUENCE(COUNTA($C$2:$C385), 1, 3, 4)),
  _xlpm.nbparties, COUNTA(_xlfn._xlws.FILTER(_xlpm.ptstables, _xlpm.ptstables &lt;&gt; "")),
  _xlpm.coef, _xlpm.K + _xlpm.Knewgain / (_xlpm.Knewscale + _xlpm.nbparties),
  IF(E383="",
    "",
    _xlpm.coef * (E383-E384))
)</f>
        <v/>
      </c>
      <c r="F385" t="str" cm="1">
        <f t="array" ref="F385">_xlfn.LET(
  _xlpm.K, Constantes!$B$3,
  _xlpm.Knewgain, Constantes!$B$4,
  _xlpm.Knewscale, Constantes!$B$5,
  _xlpm.ptstables, INDEX(F:F, _xlfn.SEQUENCE(COUNTA($C$2:$C385), 1, 3, 4)),
  _xlpm.nbparties, COUNTA(_xlfn._xlws.FILTER(_xlpm.ptstables, _xlpm.ptstables &lt;&gt; "")),
  _xlpm.coef, _xlpm.K + _xlpm.Knewgain / (_xlpm.Knewscale + _xlpm.nbparties),
  IF(F383="",
    "",
    _xlpm.coef * (F383-F384))
)</f>
        <v/>
      </c>
      <c r="G385" t="str" cm="1">
        <f t="array" ref="G385">_xlfn.LET(
  _xlpm.K, Constantes!$B$3,
  _xlpm.Knewgain, Constantes!$B$4,
  _xlpm.Knewscale, Constantes!$B$5,
  _xlpm.ptstables, INDEX(G:G, _xlfn.SEQUENCE(COUNTA($C$2:$C385), 1, 3, 4)),
  _xlpm.nbparties, COUNTA(_xlfn._xlws.FILTER(_xlpm.ptstables, _xlpm.ptstables &lt;&gt; "")),
  _xlpm.coef, _xlpm.K + _xlpm.Knewgain / (_xlpm.Knewscale + _xlpm.nbparties),
  IF(G383="",
    "",
    _xlpm.coef * (G383-G384))
)</f>
        <v/>
      </c>
      <c r="H385" cm="1">
        <f t="array" ref="H385">_xlfn.LET(
  _xlpm.K, Constantes!$B$3,
  _xlpm.Knewgain, Constantes!$B$4,
  _xlpm.Knewscale, Constantes!$B$5,
  _xlpm.ptstables, INDEX(H:H, _xlfn.SEQUENCE(COUNTA($C$2:$C385), 1, 3, 4)),
  _xlpm.nbparties, COUNTA(_xlfn._xlws.FILTER(_xlpm.ptstables, _xlpm.ptstables &lt;&gt; "")),
  _xlpm.coef, _xlpm.K + _xlpm.Knewgain / (_xlpm.Knewscale + _xlpm.nbparties),
  IF(H383="",
    "",
    _xlpm.coef * (H383-H384))
)</f>
        <v>1.1718778276691504</v>
      </c>
      <c r="I385" t="str" cm="1">
        <f t="array" ref="I385">_xlfn.LET(
  _xlpm.K, Constantes!$B$3,
  _xlpm.Knewgain, Constantes!$B$4,
  _xlpm.Knewscale, Constantes!$B$5,
  _xlpm.ptstables, INDEX(I:I, _xlfn.SEQUENCE(COUNTA($C$2:$C385), 1, 3, 4)),
  _xlpm.nbparties, COUNTA(_xlfn._xlws.FILTER(_xlpm.ptstables, _xlpm.ptstables &lt;&gt; "")),
  _xlpm.coef, _xlpm.K + _xlpm.Knewgain / (_xlpm.Knewscale + _xlpm.nbparties),
  IF(I383="",
    "",
    _xlpm.coef * (I383-I384))
)</f>
        <v/>
      </c>
      <c r="J385" cm="1">
        <f t="array" ref="J385">_xlfn.LET(
  _xlpm.K, Constantes!$B$3,
  _xlpm.Knewgain, Constantes!$B$4,
  _xlpm.Knewscale, Constantes!$B$5,
  _xlpm.ptstables, INDEX(J:J, _xlfn.SEQUENCE(COUNTA($C$2:$C385), 1, 3, 4)),
  _xlpm.nbparties, COUNTA(_xlfn._xlws.FILTER(_xlpm.ptstables, _xlpm.ptstables &lt;&gt; "")),
  _xlpm.coef, _xlpm.K + _xlpm.Knewgain / (_xlpm.Knewscale + _xlpm.nbparties),
  IF(J383="",
    "",
    _xlpm.coef * (J383-J384))
)</f>
        <v>-9.5982830740625875</v>
      </c>
      <c r="K385" cm="1">
        <f t="array" ref="K385">_xlfn.LET(
  _xlpm.K, Constantes!$B$3,
  _xlpm.Knewgain, Constantes!$B$4,
  _xlpm.Knewscale, Constantes!$B$5,
  _xlpm.ptstables, INDEX(K:K, _xlfn.SEQUENCE(COUNTA($C$2:$C385), 1, 3, 4)),
  _xlpm.nbparties, COUNTA(_xlfn._xlws.FILTER(_xlpm.ptstables, _xlpm.ptstables &lt;&gt; "")),
  _xlpm.coef, _xlpm.K + _xlpm.Knewgain / (_xlpm.Knewscale + _xlpm.nbparties),
  IF(K383="",
    "",
    _xlpm.coef * (K383-K384))
)</f>
        <v>43.906960782607847</v>
      </c>
      <c r="L385" t="str" cm="1">
        <f t="array" ref="L385">_xlfn.LET(
  _xlpm.K, Constantes!$B$3,
  _xlpm.Knewgain, Constantes!$B$4,
  _xlpm.Knewscale, Constantes!$B$5,
  _xlpm.ptstables, INDEX(L:L, _xlfn.SEQUENCE(COUNTA($C$2:$C385), 1, 3, 4)),
  _xlpm.nbparties, COUNTA(_xlfn._xlws.FILTER(_xlpm.ptstables, _xlpm.ptstables &lt;&gt; "")),
  _xlpm.coef, _xlpm.K + _xlpm.Knewgain / (_xlpm.Knewscale + _xlpm.nbparties),
  IF(L383="",
    "",
    _xlpm.coef * (L383-L384))
)</f>
        <v/>
      </c>
      <c r="M385" t="str" cm="1">
        <f t="array" ref="M385">_xlfn.LET(
  _xlpm.K, Constantes!$B$3,
  _xlpm.Knewgain, Constantes!$B$4,
  _xlpm.Knewscale, Constantes!$B$5,
  _xlpm.ptstables, INDEX(M:M, _xlfn.SEQUENCE(COUNTA($C$2:$C385), 1, 3, 4)),
  _xlpm.nbparties, COUNTA(_xlfn._xlws.FILTER(_xlpm.ptstables, _xlpm.ptstables &lt;&gt; "")),
  _xlpm.coef, _xlpm.K + _xlpm.Knewgain / (_xlpm.Knewscale + _xlpm.nbparties),
  IF(M383="",
    "",
    _xlpm.coef * (M383-M384))
)</f>
        <v/>
      </c>
      <c r="N385" t="str" cm="1">
        <f t="array" ref="N385">_xlfn.LET(
  _xlpm.K, Constantes!$B$3,
  _xlpm.Knewgain, Constantes!$B$4,
  _xlpm.Knewscale, Constantes!$B$5,
  _xlpm.ptstables, INDEX(N:N, _xlfn.SEQUENCE(COUNTA($C$2:$C385), 1, 3, 4)),
  _xlpm.nbparties, COUNTA(_xlfn._xlws.FILTER(_xlpm.ptstables, _xlpm.ptstables &lt;&gt; "")),
  _xlpm.coef, _xlpm.K + _xlpm.Knewgain / (_xlpm.Knewscale + _xlpm.nbparties),
  IF(N383="",
    "",
    _xlpm.coef * (N383-N384))
)</f>
        <v/>
      </c>
      <c r="O385" cm="1">
        <f t="array" ref="O385">_xlfn.LET(
  _xlpm.K, Constantes!$B$3,
  _xlpm.Knewgain, Constantes!$B$4,
  _xlpm.Knewscale, Constantes!$B$5,
  _xlpm.ptstables, INDEX(O:O, _xlfn.SEQUENCE(COUNTA($C$2:$C385), 1, 3, 4)),
  _xlpm.nbparties, COUNTA(_xlfn._xlws.FILTER(_xlpm.ptstables, _xlpm.ptstables &lt;&gt; "")),
  _xlpm.coef, _xlpm.K + _xlpm.Knewgain / (_xlpm.Knewscale + _xlpm.nbparties),
  IF(O383="",
    "",
    _xlpm.coef * (O383-O384))
)</f>
        <v>-36.680788208280156</v>
      </c>
      <c r="P385" t="str" cm="1">
        <f t="array" ref="P385">_xlfn.LET(
  _xlpm.K, Constantes!$B$3,
  _xlpm.Knewgain, Constantes!$B$4,
  _xlpm.Knewscale, Constantes!$B$5,
  _xlpm.ptstables, INDEX(P:P, _xlfn.SEQUENCE(COUNTA($C$2:$C385), 1, 3, 4)),
  _xlpm.nbparties, COUNTA(_xlfn._xlws.FILTER(_xlpm.ptstables, _xlpm.ptstables &lt;&gt; "")),
  _xlpm.coef, _xlpm.K + _xlpm.Knewgain / (_xlpm.Knewscale + _xlpm.nbparties),
  IF(P383="",
    "",
    _xlpm.coef * (P383-P384))
)</f>
        <v/>
      </c>
      <c r="Q385" t="str" cm="1">
        <f t="array" ref="Q385">_xlfn.LET(
  _xlpm.K, Constantes!$B$3,
  _xlpm.Knewgain, Constantes!$B$4,
  _xlpm.Knewscale, Constantes!$B$5,
  _xlpm.ptstables, INDEX(Q:Q, _xlfn.SEQUENCE(COUNTA($C$2:$C385), 1, 3, 4)),
  _xlpm.nbparties, COUNTA(_xlfn._xlws.FILTER(_xlpm.ptstables, _xlpm.ptstables &lt;&gt; "")),
  _xlpm.coef, _xlpm.K + _xlpm.Knewgain / (_xlpm.Knewscale + _xlpm.nbparties),
  IF(Q383="",
    "",
    _xlpm.coef * (Q383-Q384))
)</f>
        <v/>
      </c>
      <c r="R385" t="str" cm="1">
        <f t="array" ref="R385">_xlfn.LET(
  _xlpm.K, Constantes!$B$3,
  _xlpm.Knewgain, Constantes!$B$4,
  _xlpm.Knewscale, Constantes!$B$5,
  _xlpm.ptstables, INDEX(R:R, _xlfn.SEQUENCE(COUNTA($C$2:$C385), 1, 3, 4)),
  _xlpm.nbparties, COUNTA(_xlfn._xlws.FILTER(_xlpm.ptstables, _xlpm.ptstables &lt;&gt; "")),
  _xlpm.coef, _xlpm.K + _xlpm.Knewgain / (_xlpm.Knewscale + _xlpm.nbparties),
  IF(R383="",
    "",
    _xlpm.coef * (R383-R384))
)</f>
        <v/>
      </c>
      <c r="S385" t="str" cm="1">
        <f t="array" ref="S385">_xlfn.LET(
  _xlpm.K, Constantes!$B$3,
  _xlpm.Knewgain, Constantes!$B$4,
  _xlpm.Knewscale, Constantes!$B$5,
  _xlpm.ptstables, INDEX(S:S, _xlfn.SEQUENCE(COUNTA($C$2:$C385), 1, 3, 4)),
  _xlpm.nbparties, COUNTA(_xlfn._xlws.FILTER(_xlpm.ptstables, _xlpm.ptstables &lt;&gt; "")),
  _xlpm.coef, _xlpm.K + _xlpm.Knewgain / (_xlpm.Knewscale + _xlpm.nbparties),
  IF(S383="",
    "",
    _xlpm.coef * (S383-S384))
)</f>
        <v/>
      </c>
      <c r="T385" t="str" cm="1">
        <f t="array" ref="T385">_xlfn.LET(
  _xlpm.K, Constantes!$B$3,
  _xlpm.Knewgain, Constantes!$B$4,
  _xlpm.Knewscale, Constantes!$B$5,
  _xlpm.ptstables, INDEX(T:T, _xlfn.SEQUENCE(COUNTA($C$2:$C385), 1, 3, 4)),
  _xlpm.nbparties, COUNTA(_xlfn._xlws.FILTER(_xlpm.ptstables, _xlpm.ptstables &lt;&gt; "")),
  _xlpm.coef, _xlpm.K + _xlpm.Knewgain / (_xlpm.Knewscale + _xlpm.nbparties),
  IF(T383="",
    "",
    _xlpm.coef * (T383-T384))
)</f>
        <v/>
      </c>
      <c r="U385" t="str" cm="1">
        <f t="array" ref="U385">_xlfn.LET(
  _xlpm.K, Constantes!$B$3,
  _xlpm.Knewgain, Constantes!$B$4,
  _xlpm.Knewscale, Constantes!$B$5,
  _xlpm.ptstables, INDEX(U:U, _xlfn.SEQUENCE(COUNTA($C$2:$C385), 1, 3, 4)),
  _xlpm.nbparties, COUNTA(_xlfn._xlws.FILTER(_xlpm.ptstables, _xlpm.ptstables &lt;&gt; "")),
  _xlpm.coef, _xlpm.K + _xlpm.Knewgain / (_xlpm.Knewscale + _xlpm.nbparties),
  IF(U383="",
    "",
    _xlpm.coef * (U383-U384))
)</f>
        <v/>
      </c>
      <c r="V385" t="str" cm="1">
        <f t="array" ref="V385">_xlfn.LET(
  _xlpm.K, Constantes!$B$3,
  _xlpm.Knewgain, Constantes!$B$4,
  _xlpm.Knewscale, Constantes!$B$5,
  _xlpm.ptstables, INDEX(V:V, _xlfn.SEQUENCE(COUNTA($C$2:$C385), 1, 3, 4)),
  _xlpm.nbparties, COUNTA(_xlfn._xlws.FILTER(_xlpm.ptstables, _xlpm.ptstables &lt;&gt; "")),
  _xlpm.coef, _xlpm.K + _xlpm.Knewgain / (_xlpm.Knewscale + _xlpm.nbparties),
  IF(V383="",
    "",
    _xlpm.coef * (V383-V384))
)</f>
        <v/>
      </c>
      <c r="W385" t="str" cm="1">
        <f t="array" ref="W385">_xlfn.LET(
  _xlpm.K, Constantes!$B$3,
  _xlpm.Knewgain, Constantes!$B$4,
  _xlpm.Knewscale, Constantes!$B$5,
  _xlpm.ptstables, INDEX(W:W, _xlfn.SEQUENCE(COUNTA($C$2:$C385), 1, 3, 4)),
  _xlpm.nbparties, COUNTA(_xlfn._xlws.FILTER(_xlpm.ptstables, _xlpm.ptstables &lt;&gt; "")),
  _xlpm.coef, _xlpm.K + _xlpm.Knewgain / (_xlpm.Knewscale + _xlpm.nbparties),
  IF(W383="",
    "",
    _xlpm.coef * (W383-W384))
)</f>
        <v/>
      </c>
      <c r="X385" t="str" cm="1">
        <f t="array" ref="X385">_xlfn.LET(
  _xlpm.K, Constantes!$B$3,
  _xlpm.Knewgain, Constantes!$B$4,
  _xlpm.Knewscale, Constantes!$B$5,
  _xlpm.ptstables, INDEX(X:X, _xlfn.SEQUENCE(COUNTA($C$2:$C385), 1, 3, 4)),
  _xlpm.nbparties, COUNTA(_xlfn._xlws.FILTER(_xlpm.ptstables, _xlpm.ptstables &lt;&gt; "")),
  _xlpm.coef, _xlpm.K + _xlpm.Knewgain / (_xlpm.Knewscale + _xlpm.nbparties),
  IF(X383="",
    "",
    _xlpm.coef * (X383-X384))
)</f>
        <v/>
      </c>
      <c r="Y385" t="str" cm="1">
        <f t="array" ref="Y385">_xlfn.LET(
  _xlpm.K, Constantes!$B$3,
  _xlpm.Knewgain, Constantes!$B$4,
  _xlpm.Knewscale, Constantes!$B$5,
  _xlpm.ptstables, INDEX(Y:Y, _xlfn.SEQUENCE(COUNTA($C$2:$C385), 1, 3, 4)),
  _xlpm.nbparties, COUNTA(_xlfn._xlws.FILTER(_xlpm.ptstables, _xlpm.ptstables &lt;&gt; "")),
  _xlpm.coef, _xlpm.K + _xlpm.Knewgain / (_xlpm.Knewscale + _xlpm.nbparties),
  IF(Y383="",
    "",
    _xlpm.coef * (Y383-Y384))
)</f>
        <v/>
      </c>
      <c r="Z385" t="str" cm="1">
        <f t="array" ref="Z385">_xlfn.LET(
  _xlpm.K, Constantes!$B$3,
  _xlpm.Knewgain, Constantes!$B$4,
  _xlpm.Knewscale, Constantes!$B$5,
  _xlpm.ptstables, INDEX(Z:Z, _xlfn.SEQUENCE(COUNTA($C$2:$C385), 1, 3, 4)),
  _xlpm.nbparties, COUNTA(_xlfn._xlws.FILTER(_xlpm.ptstables, _xlpm.ptstables &lt;&gt; "")),
  _xlpm.coef, _xlpm.K + _xlpm.Knewgain / (_xlpm.Knewscale + _xlpm.nbparties),
  IF(Z383="",
    "",
    _xlpm.coef * (Z383-Z384))
)</f>
        <v/>
      </c>
      <c r="AA385" t="str" cm="1">
        <f t="array" ref="AA385">_xlfn.LET(
  _xlpm.K, Constantes!$B$3,
  _xlpm.Knewgain, Constantes!$B$4,
  _xlpm.Knewscale, Constantes!$B$5,
  _xlpm.ptstables, INDEX(AA:AA, _xlfn.SEQUENCE(COUNTA($C$2:$C385), 1, 3, 4)),
  _xlpm.nbparties, COUNTA(_xlfn._xlws.FILTER(_xlpm.ptstables, _xlpm.ptstables &lt;&gt; "")),
  _xlpm.coef, _xlpm.K + _xlpm.Knewgain / (_xlpm.Knewscale + _xlpm.nbparties),
  IF(AA383="",
    "",
    _xlpm.coef * (AA383-AA384))
)</f>
        <v/>
      </c>
      <c r="AB385" t="str" cm="1">
        <f t="array" ref="AB385">_xlfn.LET(
  _xlpm.K, Constantes!$B$3,
  _xlpm.Knewgain, Constantes!$B$4,
  _xlpm.Knewscale, Constantes!$B$5,
  _xlpm.ptstables, INDEX(AB:AB, _xlfn.SEQUENCE(COUNTA($C$2:$C385), 1, 3, 4)),
  _xlpm.nbparties, COUNTA(_xlfn._xlws.FILTER(_xlpm.ptstables, _xlpm.ptstables &lt;&gt; "")),
  _xlpm.coef, _xlpm.K + _xlpm.Knewgain / (_xlpm.Knewscale + _xlpm.nbparties),
  IF(AB383="",
    "",
    _xlpm.coef * (AB383-AB384))
)</f>
        <v/>
      </c>
      <c r="AC385" t="str" cm="1">
        <f t="array" ref="AC385">_xlfn.LET(
  _xlpm.K, Constantes!$B$3,
  _xlpm.Knewgain, Constantes!$B$4,
  _xlpm.Knewscale, Constantes!$B$5,
  _xlpm.ptstables, INDEX(AC:AC, _xlfn.SEQUENCE(COUNTA($C$2:$C385), 1, 3, 4)),
  _xlpm.nbparties, COUNTA(_xlfn._xlws.FILTER(_xlpm.ptstables, _xlpm.ptstables &lt;&gt; "")),
  _xlpm.coef, _xlpm.K + _xlpm.Knewgain / (_xlpm.Knewscale + _xlpm.nbparties),
  IF(AC383="",
    "",
    _xlpm.coef * (AC383-AC384))
)</f>
        <v/>
      </c>
      <c r="AD385" t="str" cm="1">
        <f t="array" ref="AD385">_xlfn.LET(
  _xlpm.K, Constantes!$B$3,
  _xlpm.Knewgain, Constantes!$B$4,
  _xlpm.Knewscale, Constantes!$B$5,
  _xlpm.ptstables, INDEX(AD:AD, _xlfn.SEQUENCE(COUNTA($C$2:$C385), 1, 3, 4)),
  _xlpm.nbparties, COUNTA(_xlfn._xlws.FILTER(_xlpm.ptstables, _xlpm.ptstables &lt;&gt; "")),
  _xlpm.coef, _xlpm.K + _xlpm.Knewgain / (_xlpm.Knewscale + _xlpm.nbparties),
  IF(AD383="",
    "",
    _xlpm.coef * (AD383-AD384))
)</f>
        <v/>
      </c>
      <c r="AE385" t="str" cm="1">
        <f t="array" ref="AE385">_xlfn.LET(
  _xlpm.K, Constantes!$B$3,
  _xlpm.Knewgain, Constantes!$B$4,
  _xlpm.Knewscale, Constantes!$B$5,
  _xlpm.ptstables, INDEX(AE:AE, _xlfn.SEQUENCE(COUNTA($C$2:$C385), 1, 3, 4)),
  _xlpm.nbparties, COUNTA(_xlfn._xlws.FILTER(_xlpm.ptstables, _xlpm.ptstables &lt;&gt; "")),
  _xlpm.coef, _xlpm.K + _xlpm.Knewgain / (_xlpm.Knewscale + _xlpm.nbparties),
  IF(AE383="",
    "",
    _xlpm.coef * (AE383-AE384))
)</f>
        <v/>
      </c>
      <c r="AF385" t="str" cm="1">
        <f t="array" ref="AF385">_xlfn.LET(
  _xlpm.K, Constantes!$B$3,
  _xlpm.Knewgain, Constantes!$B$4,
  _xlpm.Knewscale, Constantes!$B$5,
  _xlpm.ptstables, INDEX(AF:AF, _xlfn.SEQUENCE(COUNTA($C$2:$C385), 1, 3, 4)),
  _xlpm.nbparties, COUNTA(_xlfn._xlws.FILTER(_xlpm.ptstables, _xlpm.ptstables &lt;&gt; "")),
  _xlpm.coef, _xlpm.K + _xlpm.Knewgain / (_xlpm.Knewscale + _xlpm.nbparties),
  IF(AF383="",
    "",
    _xlpm.coef * (AF383-AF384))
)</f>
        <v/>
      </c>
      <c r="AG385" t="str" cm="1">
        <f t="array" ref="AG385">_xlfn.LET(
  _xlpm.K, Constantes!$B$3,
  _xlpm.Knewgain, Constantes!$B$4,
  _xlpm.Knewscale, Constantes!$B$5,
  _xlpm.ptstables, INDEX(AG:AG, _xlfn.SEQUENCE(COUNTA($C$2:$C385), 1, 3, 4)),
  _xlpm.nbparties, COUNTA(_xlfn._xlws.FILTER(_xlpm.ptstables, _xlpm.ptstables &lt;&gt; "")),
  _xlpm.coef, _xlpm.K + _xlpm.Knewgain / (_xlpm.Knewscale + _xlpm.nbparties),
  IF(AG383="",
    "",
    _xlpm.coef * (AG383-AG384))
)</f>
        <v/>
      </c>
      <c r="AH385" t="str" cm="1">
        <f t="array" ref="AH385">_xlfn.LET(
  _xlpm.K, Constantes!$B$3,
  _xlpm.Knewgain, Constantes!$B$4,
  _xlpm.Knewscale, Constantes!$B$5,
  _xlpm.ptstables, INDEX(AH:AH, _xlfn.SEQUENCE(COUNTA($C$2:$C385), 1, 3, 4)),
  _xlpm.nbparties, COUNTA(_xlfn._xlws.FILTER(_xlpm.ptstables, _xlpm.ptstables &lt;&gt; "")),
  _xlpm.coef, _xlpm.K + _xlpm.Knewgain / (_xlpm.Knewscale + _xlpm.nbparties),
  IF(AH383="",
    "",
    _xlpm.coef * (AH383-AH384))
)</f>
        <v/>
      </c>
      <c r="AI385" t="str" cm="1">
        <f t="array" ref="AI385">_xlfn.LET(
  _xlpm.K, Constantes!$B$3,
  _xlpm.Knewgain, Constantes!$B$4,
  _xlpm.Knewscale, Constantes!$B$5,
  _xlpm.ptstables, INDEX(AI:AI, _xlfn.SEQUENCE(COUNTA($C$2:$C385), 1, 3, 4)),
  _xlpm.nbparties, COUNTA(_xlfn._xlws.FILTER(_xlpm.ptstables, _xlpm.ptstables &lt;&gt; "")),
  _xlpm.coef, _xlpm.K + _xlpm.Knewgain / (_xlpm.Knewscale + _xlpm.nbparties),
  IF(AI383="",
    "",
    _xlpm.coef * (AI383-AI384))
)</f>
        <v/>
      </c>
      <c r="AJ385" t="str" cm="1">
        <f t="array" ref="AJ385">_xlfn.LET(
  _xlpm.K, Constantes!$B$3,
  _xlpm.Knewgain, Constantes!$B$4,
  _xlpm.Knewscale, Constantes!$B$5,
  _xlpm.ptstables, INDEX(AJ:AJ, _xlfn.SEQUENCE(COUNTA($C$2:$C385), 1, 3, 4)),
  _xlpm.nbparties, COUNTA(_xlfn._xlws.FILTER(_xlpm.ptstables, _xlpm.ptstables &lt;&gt; "")),
  _xlpm.coef, _xlpm.K + _xlpm.Knewgain / (_xlpm.Knewscale + _xlpm.nbparties),
  IF(AJ383="",
    "",
    _xlpm.coef * (AJ383-AJ384))
)</f>
        <v/>
      </c>
      <c r="AK385" t="str" cm="1">
        <f t="array" ref="AK385">_xlfn.LET(
  _xlpm.K, Constantes!$B$3,
  _xlpm.Knewgain, Constantes!$B$4,
  _xlpm.Knewscale, Constantes!$B$5,
  _xlpm.ptstables, INDEX(AK:AK, _xlfn.SEQUENCE(COUNTA($C$2:$C385), 1, 3, 4)),
  _xlpm.nbparties, COUNTA(_xlfn._xlws.FILTER(_xlpm.ptstables, _xlpm.ptstables &lt;&gt; "")),
  _xlpm.coef, _xlpm.K + _xlpm.Knewgain / (_xlpm.Knewscale + _xlpm.nbparties),
  IF(AK383="",
    "",
    _xlpm.coef * (AK383-AK384))
)</f>
        <v/>
      </c>
      <c r="AL385" t="str" cm="1">
        <f t="array" ref="AL385">_xlfn.LET(
  _xlpm.K, Constantes!$B$3,
  _xlpm.Knewgain, Constantes!$B$4,
  _xlpm.Knewscale, Constantes!$B$5,
  _xlpm.ptstables, INDEX(AL:AL, _xlfn.SEQUENCE(COUNTA($C$2:$C385), 1, 3, 4)),
  _xlpm.nbparties, COUNTA(_xlfn._xlws.FILTER(_xlpm.ptstables, _xlpm.ptstables &lt;&gt; "")),
  _xlpm.coef, _xlpm.K + _xlpm.Knewgain / (_xlpm.Knewscale + _xlpm.nbparties),
  IF(AL383="",
    "",
    _xlpm.coef * (AL383-AL384))
)</f>
        <v/>
      </c>
      <c r="AM385" t="str" cm="1">
        <f t="array" ref="AM385">_xlfn.LET(
  _xlpm.K, Constantes!$B$3,
  _xlpm.Knewgain, Constantes!$B$4,
  _xlpm.Knewscale, Constantes!$B$5,
  _xlpm.ptstables, INDEX(AM:AM, _xlfn.SEQUENCE(COUNTA($C$2:$C385), 1, 3, 4)),
  _xlpm.nbparties, COUNTA(_xlfn._xlws.FILTER(_xlpm.ptstables, _xlpm.ptstables &lt;&gt; "")),
  _xlpm.coef, _xlpm.K + _xlpm.Knewgain / (_xlpm.Knewscale + _xlpm.nbparties),
  IF(AM383="",
    "",
    _xlpm.coef * (AM383-AM384))
)</f>
        <v/>
      </c>
    </row>
    <row r="386" spans="1:39" x14ac:dyDescent="0.25">
      <c r="A386" t="s">
        <v>14</v>
      </c>
      <c r="B386" t="str" cm="1">
        <f t="array" ref="B38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96</v>
      </c>
      <c r="C386" s="2" cm="1">
        <f t="array" ref="C386">IF(B386="","",
  INDEX(Donnees!F:F, MATCH(B386, Donnees!F:F, 0)+1))</f>
        <v>45955.605844907404</v>
      </c>
      <c r="D386">
        <f t="shared" ref="D386:AM386" si="104">D382+IF(D385="",0,D385)</f>
        <v>983.00829738956952</v>
      </c>
      <c r="E386">
        <f t="shared" si="104"/>
        <v>1134.1573908115724</v>
      </c>
      <c r="F386">
        <f t="shared" si="104"/>
        <v>892.77162496860694</v>
      </c>
      <c r="G386">
        <f t="shared" si="104"/>
        <v>1105.6078030990298</v>
      </c>
      <c r="H386">
        <f t="shared" si="104"/>
        <v>1121.8561093296914</v>
      </c>
      <c r="I386">
        <f t="shared" si="104"/>
        <v>912.81564332013568</v>
      </c>
      <c r="J386">
        <f t="shared" si="104"/>
        <v>1001.3142277763667</v>
      </c>
      <c r="K386">
        <f t="shared" si="104"/>
        <v>1037.8095069308526</v>
      </c>
      <c r="L386">
        <f t="shared" si="104"/>
        <v>783.12422360152641</v>
      </c>
      <c r="M386">
        <f t="shared" si="104"/>
        <v>913.41986361738122</v>
      </c>
      <c r="N386">
        <f t="shared" si="104"/>
        <v>903.42914476260137</v>
      </c>
      <c r="O386">
        <f t="shared" si="104"/>
        <v>997.04050320786712</v>
      </c>
      <c r="P386">
        <f t="shared" si="104"/>
        <v>992.25226906035107</v>
      </c>
      <c r="Q386">
        <f t="shared" si="104"/>
        <v>1050.1062561870472</v>
      </c>
      <c r="R386">
        <f t="shared" si="104"/>
        <v>1081.3509538650767</v>
      </c>
      <c r="S386">
        <f t="shared" si="104"/>
        <v>975.83442640972487</v>
      </c>
      <c r="T386">
        <f t="shared" si="104"/>
        <v>1153.43058185823</v>
      </c>
      <c r="U386">
        <f t="shared" si="104"/>
        <v>1192.3149033083271</v>
      </c>
      <c r="V386">
        <f t="shared" si="104"/>
        <v>969.67171739286073</v>
      </c>
      <c r="W386">
        <f t="shared" si="104"/>
        <v>882.29253769067657</v>
      </c>
      <c r="X386">
        <f t="shared" si="104"/>
        <v>828.97598039785271</v>
      </c>
      <c r="Y386">
        <f t="shared" si="104"/>
        <v>903.14348714035714</v>
      </c>
      <c r="Z386">
        <f t="shared" si="104"/>
        <v>967.57810576867519</v>
      </c>
      <c r="AA386">
        <f t="shared" si="104"/>
        <v>976.40065260504912</v>
      </c>
      <c r="AB386">
        <f t="shared" si="104"/>
        <v>988.35669729544747</v>
      </c>
      <c r="AC386">
        <f t="shared" si="104"/>
        <v>1051.9456808600683</v>
      </c>
      <c r="AD386">
        <f t="shared" si="104"/>
        <v>1093.8192243082785</v>
      </c>
      <c r="AE386">
        <f t="shared" si="104"/>
        <v>963.23981965000235</v>
      </c>
      <c r="AF386">
        <f t="shared" si="104"/>
        <v>1094.8196847516158</v>
      </c>
      <c r="AG386">
        <f t="shared" si="104"/>
        <v>958.23078604304851</v>
      </c>
      <c r="AH386">
        <f t="shared" si="104"/>
        <v>920.4412636682855</v>
      </c>
      <c r="AI386">
        <f t="shared" si="104"/>
        <v>943.78562073727187</v>
      </c>
      <c r="AJ386">
        <f t="shared" si="104"/>
        <v>906.86354201913434</v>
      </c>
      <c r="AK386">
        <f t="shared" si="104"/>
        <v>1074.0069367206956</v>
      </c>
      <c r="AL386">
        <f t="shared" si="104"/>
        <v>1025.7817971572972</v>
      </c>
      <c r="AM386">
        <f t="shared" si="104"/>
        <v>930.08392160706046</v>
      </c>
    </row>
    <row r="387" spans="1:39" x14ac:dyDescent="0.25">
      <c r="A387" t="s">
        <v>21</v>
      </c>
      <c r="D387" t="str" cm="1">
        <f t="array" ref="D387">IFERROR(
  _xlfn.LET(
    _xlpm.ligpartie, MATCH($B386, Donnees!$F:$F, 0),
    _xlpm.joueurs, INDEX(Donnees!$A:$Z, _xlpm.ligpartie+1, _xlfn.SEQUENCE(1, 4, 2)),
    INDEX(
      Donnees!$A:$Z,
      _xlpm.ligpartie + 3,
      MATCH(D$1, _xlpm.joueurs, 0) + 1
    )
  ), ""
)</f>
        <v/>
      </c>
      <c r="E387" t="str" cm="1">
        <f t="array" ref="E387">IFERROR(
  _xlfn.LET(
    _xlpm.ligpartie, MATCH($B386, Donnees!$F:$F, 0),
    _xlpm.joueurs, INDEX(Donnees!$A:$Z, _xlpm.ligpartie+1, _xlfn.SEQUENCE(1, 4, 2)),
    INDEX(
      Donnees!$A:$Z,
      _xlpm.ligpartie + 3,
      MATCH(E$1, _xlpm.joueurs, 0) + 1
    )
  ), ""
)</f>
        <v/>
      </c>
      <c r="F387" t="str" cm="1">
        <f t="array" ref="F387">IFERROR(
  _xlfn.LET(
    _xlpm.ligpartie, MATCH($B386, Donnees!$F:$F, 0),
    _xlpm.joueurs, INDEX(Donnees!$A:$Z, _xlpm.ligpartie+1, _xlfn.SEQUENCE(1, 4, 2)),
    INDEX(
      Donnees!$A:$Z,
      _xlpm.ligpartie + 3,
      MATCH(F$1, _xlpm.joueurs, 0) + 1
    )
  ), ""
)</f>
        <v/>
      </c>
      <c r="G387" cm="1">
        <f t="array" ref="G387">IFERROR(
  _xlfn.LET(
    _xlpm.ligpartie, MATCH($B386, Donnees!$F:$F, 0),
    _xlpm.joueurs, INDEX(Donnees!$A:$Z, _xlpm.ligpartie+1, _xlfn.SEQUENCE(1, 4, 2)),
    INDEX(
      Donnees!$A:$Z,
      _xlpm.ligpartie + 3,
      MATCH(G$1, _xlpm.joueurs, 0) + 1
    )
  ), ""
)</f>
        <v>0</v>
      </c>
      <c r="H387" t="str" cm="1">
        <f t="array" ref="H387">IFERROR(
  _xlfn.LET(
    _xlpm.ligpartie, MATCH($B386, Donnees!$F:$F, 0),
    _xlpm.joueurs, INDEX(Donnees!$A:$Z, _xlpm.ligpartie+1, _xlfn.SEQUENCE(1, 4, 2)),
    INDEX(
      Donnees!$A:$Z,
      _xlpm.ligpartie + 3,
      MATCH(H$1, _xlpm.joueurs, 0) + 1
    )
  ), ""
)</f>
        <v/>
      </c>
      <c r="I387" t="str" cm="1">
        <f t="array" ref="I387">IFERROR(
  _xlfn.LET(
    _xlpm.ligpartie, MATCH($B386, Donnees!$F:$F, 0),
    _xlpm.joueurs, INDEX(Donnees!$A:$Z, _xlpm.ligpartie+1, _xlfn.SEQUENCE(1, 4, 2)),
    INDEX(
      Donnees!$A:$Z,
      _xlpm.ligpartie + 3,
      MATCH(I$1, _xlpm.joueurs, 0) + 1
    )
  ), ""
)</f>
        <v/>
      </c>
      <c r="J387" t="str" cm="1">
        <f t="array" ref="J387">IFERROR(
  _xlfn.LET(
    _xlpm.ligpartie, MATCH($B386, Donnees!$F:$F, 0),
    _xlpm.joueurs, INDEX(Donnees!$A:$Z, _xlpm.ligpartie+1, _xlfn.SEQUENCE(1, 4, 2)),
    INDEX(
      Donnees!$A:$Z,
      _xlpm.ligpartie + 3,
      MATCH(J$1, _xlpm.joueurs, 0) + 1
    )
  ), ""
)</f>
        <v/>
      </c>
      <c r="K387" t="str" cm="1">
        <f t="array" ref="K387">IFERROR(
  _xlfn.LET(
    _xlpm.ligpartie, MATCH($B386, Donnees!$F:$F, 0),
    _xlpm.joueurs, INDEX(Donnees!$A:$Z, _xlpm.ligpartie+1, _xlfn.SEQUENCE(1, 4, 2)),
    INDEX(
      Donnees!$A:$Z,
      _xlpm.ligpartie + 3,
      MATCH(K$1, _xlpm.joueurs, 0) + 1
    )
  ), ""
)</f>
        <v/>
      </c>
      <c r="L387" t="str" cm="1">
        <f t="array" ref="L387">IFERROR(
  _xlfn.LET(
    _xlpm.ligpartie, MATCH($B386, Donnees!$F:$F, 0),
    _xlpm.joueurs, INDEX(Donnees!$A:$Z, _xlpm.ligpartie+1, _xlfn.SEQUENCE(1, 4, 2)),
    INDEX(
      Donnees!$A:$Z,
      _xlpm.ligpartie + 3,
      MATCH(L$1, _xlpm.joueurs, 0) + 1
    )
  ), ""
)</f>
        <v/>
      </c>
      <c r="M387" t="str" cm="1">
        <f t="array" ref="M387">IFERROR(
  _xlfn.LET(
    _xlpm.ligpartie, MATCH($B386, Donnees!$F:$F, 0),
    _xlpm.joueurs, INDEX(Donnees!$A:$Z, _xlpm.ligpartie+1, _xlfn.SEQUENCE(1, 4, 2)),
    INDEX(
      Donnees!$A:$Z,
      _xlpm.ligpartie + 3,
      MATCH(M$1, _xlpm.joueurs, 0) + 1
    )
  ), ""
)</f>
        <v/>
      </c>
      <c r="N387" t="str" cm="1">
        <f t="array" ref="N387">IFERROR(
  _xlfn.LET(
    _xlpm.ligpartie, MATCH($B386, Donnees!$F:$F, 0),
    _xlpm.joueurs, INDEX(Donnees!$A:$Z, _xlpm.ligpartie+1, _xlfn.SEQUENCE(1, 4, 2)),
    INDEX(
      Donnees!$A:$Z,
      _xlpm.ligpartie + 3,
      MATCH(N$1, _xlpm.joueurs, 0) + 1
    )
  ), ""
)</f>
        <v/>
      </c>
      <c r="O387" t="str" cm="1">
        <f t="array" ref="O387">IFERROR(
  _xlfn.LET(
    _xlpm.ligpartie, MATCH($B386, Donnees!$F:$F, 0),
    _xlpm.joueurs, INDEX(Donnees!$A:$Z, _xlpm.ligpartie+1, _xlfn.SEQUENCE(1, 4, 2)),
    INDEX(
      Donnees!$A:$Z,
      _xlpm.ligpartie + 3,
      MATCH(O$1, _xlpm.joueurs, 0) + 1
    )
  ), ""
)</f>
        <v/>
      </c>
      <c r="P387" cm="1">
        <f t="array" ref="P387">IFERROR(
  _xlfn.LET(
    _xlpm.ligpartie, MATCH($B386, Donnees!$F:$F, 0),
    _xlpm.joueurs, INDEX(Donnees!$A:$Z, _xlpm.ligpartie+1, _xlfn.SEQUENCE(1, 4, 2)),
    INDEX(
      Donnees!$A:$Z,
      _xlpm.ligpartie + 3,
      MATCH(P$1, _xlpm.joueurs, 0) + 1
    )
  ), ""
)</f>
        <v>1</v>
      </c>
      <c r="Q387" t="str" cm="1">
        <f t="array" ref="Q387">IFERROR(
  _xlfn.LET(
    _xlpm.ligpartie, MATCH($B386, Donnees!$F:$F, 0),
    _xlpm.joueurs, INDEX(Donnees!$A:$Z, _xlpm.ligpartie+1, _xlfn.SEQUENCE(1, 4, 2)),
    INDEX(
      Donnees!$A:$Z,
      _xlpm.ligpartie + 3,
      MATCH(Q$1, _xlpm.joueurs, 0) + 1
    )
  ), ""
)</f>
        <v/>
      </c>
      <c r="R387" t="str" cm="1">
        <f t="array" ref="R387">IFERROR(
  _xlfn.LET(
    _xlpm.ligpartie, MATCH($B386, Donnees!$F:$F, 0),
    _xlpm.joueurs, INDEX(Donnees!$A:$Z, _xlpm.ligpartie+1, _xlfn.SEQUENCE(1, 4, 2)),
    INDEX(
      Donnees!$A:$Z,
      _xlpm.ligpartie + 3,
      MATCH(R$1, _xlpm.joueurs, 0) + 1
    )
  ), ""
)</f>
        <v/>
      </c>
      <c r="S387" t="str" cm="1">
        <f t="array" ref="S387">IFERROR(
  _xlfn.LET(
    _xlpm.ligpartie, MATCH($B386, Donnees!$F:$F, 0),
    _xlpm.joueurs, INDEX(Donnees!$A:$Z, _xlpm.ligpartie+1, _xlfn.SEQUENCE(1, 4, 2)),
    INDEX(
      Donnees!$A:$Z,
      _xlpm.ligpartie + 3,
      MATCH(S$1, _xlpm.joueurs, 0) + 1
    )
  ), ""
)</f>
        <v/>
      </c>
      <c r="T387" cm="1">
        <f t="array" ref="T387">IFERROR(
  _xlfn.LET(
    _xlpm.ligpartie, MATCH($B386, Donnees!$F:$F, 0),
    _xlpm.joueurs, INDEX(Donnees!$A:$Z, _xlpm.ligpartie+1, _xlfn.SEQUENCE(1, 4, 2)),
    INDEX(
      Donnees!$A:$Z,
      _xlpm.ligpartie + 3,
      MATCH(T$1, _xlpm.joueurs, 0) + 1
    )
  ), ""
)</f>
        <v>2</v>
      </c>
      <c r="U387" t="str" cm="1">
        <f t="array" ref="U387">IFERROR(
  _xlfn.LET(
    _xlpm.ligpartie, MATCH($B386, Donnees!$F:$F, 0),
    _xlpm.joueurs, INDEX(Donnees!$A:$Z, _xlpm.ligpartie+1, _xlfn.SEQUENCE(1, 4, 2)),
    INDEX(
      Donnees!$A:$Z,
      _xlpm.ligpartie + 3,
      MATCH(U$1, _xlpm.joueurs, 0) + 1
    )
  ), ""
)</f>
        <v/>
      </c>
      <c r="V387" t="str" cm="1">
        <f t="array" ref="V387">IFERROR(
  _xlfn.LET(
    _xlpm.ligpartie, MATCH($B386, Donnees!$F:$F, 0),
    _xlpm.joueurs, INDEX(Donnees!$A:$Z, _xlpm.ligpartie+1, _xlfn.SEQUENCE(1, 4, 2)),
    INDEX(
      Donnees!$A:$Z,
      _xlpm.ligpartie + 3,
      MATCH(V$1, _xlpm.joueurs, 0) + 1
    )
  ), ""
)</f>
        <v/>
      </c>
      <c r="W387" t="str" cm="1">
        <f t="array" ref="W387">IFERROR(
  _xlfn.LET(
    _xlpm.ligpartie, MATCH($B386, Donnees!$F:$F, 0),
    _xlpm.joueurs, INDEX(Donnees!$A:$Z, _xlpm.ligpartie+1, _xlfn.SEQUENCE(1, 4, 2)),
    INDEX(
      Donnees!$A:$Z,
      _xlpm.ligpartie + 3,
      MATCH(W$1, _xlpm.joueurs, 0) + 1
    )
  ), ""
)</f>
        <v/>
      </c>
      <c r="X387" t="str" cm="1">
        <f t="array" ref="X387">IFERROR(
  _xlfn.LET(
    _xlpm.ligpartie, MATCH($B386, Donnees!$F:$F, 0),
    _xlpm.joueurs, INDEX(Donnees!$A:$Z, _xlpm.ligpartie+1, _xlfn.SEQUENCE(1, 4, 2)),
    INDEX(
      Donnees!$A:$Z,
      _xlpm.ligpartie + 3,
      MATCH(X$1, _xlpm.joueurs, 0) + 1
    )
  ), ""
)</f>
        <v/>
      </c>
      <c r="Y387" t="str" cm="1">
        <f t="array" ref="Y387">IFERROR(
  _xlfn.LET(
    _xlpm.ligpartie, MATCH($B386, Donnees!$F:$F, 0),
    _xlpm.joueurs, INDEX(Donnees!$A:$Z, _xlpm.ligpartie+1, _xlfn.SEQUENCE(1, 4, 2)),
    INDEX(
      Donnees!$A:$Z,
      _xlpm.ligpartie + 3,
      MATCH(Y$1, _xlpm.joueurs, 0) + 1
    )
  ), ""
)</f>
        <v/>
      </c>
      <c r="Z387" t="str" cm="1">
        <f t="array" ref="Z387">IFERROR(
  _xlfn.LET(
    _xlpm.ligpartie, MATCH($B386, Donnees!$F:$F, 0),
    _xlpm.joueurs, INDEX(Donnees!$A:$Z, _xlpm.ligpartie+1, _xlfn.SEQUENCE(1, 4, 2)),
    INDEX(
      Donnees!$A:$Z,
      _xlpm.ligpartie + 3,
      MATCH(Z$1, _xlpm.joueurs, 0) + 1
    )
  ), ""
)</f>
        <v/>
      </c>
      <c r="AA387" t="str" cm="1">
        <f t="array" ref="AA387">IFERROR(
  _xlfn.LET(
    _xlpm.ligpartie, MATCH($B386, Donnees!$F:$F, 0),
    _xlpm.joueurs, INDEX(Donnees!$A:$Z, _xlpm.ligpartie+1, _xlfn.SEQUENCE(1, 4, 2)),
    INDEX(
      Donnees!$A:$Z,
      _xlpm.ligpartie + 3,
      MATCH(AA$1, _xlpm.joueurs, 0) + 1
    )
  ), ""
)</f>
        <v/>
      </c>
      <c r="AB387" t="str" cm="1">
        <f t="array" ref="AB387">IFERROR(
  _xlfn.LET(
    _xlpm.ligpartie, MATCH($B386, Donnees!$F:$F, 0),
    _xlpm.joueurs, INDEX(Donnees!$A:$Z, _xlpm.ligpartie+1, _xlfn.SEQUENCE(1, 4, 2)),
    INDEX(
      Donnees!$A:$Z,
      _xlpm.ligpartie + 3,
      MATCH(AB$1, _xlpm.joueurs, 0) + 1
    )
  ), ""
)</f>
        <v/>
      </c>
      <c r="AC387" t="str" cm="1">
        <f t="array" ref="AC387">IFERROR(
  _xlfn.LET(
    _xlpm.ligpartie, MATCH($B386, Donnees!$F:$F, 0),
    _xlpm.joueurs, INDEX(Donnees!$A:$Z, _xlpm.ligpartie+1, _xlfn.SEQUENCE(1, 4, 2)),
    INDEX(
      Donnees!$A:$Z,
      _xlpm.ligpartie + 3,
      MATCH(AC$1, _xlpm.joueurs, 0) + 1
    )
  ), ""
)</f>
        <v/>
      </c>
      <c r="AD387" t="str" cm="1">
        <f t="array" ref="AD387">IFERROR(
  _xlfn.LET(
    _xlpm.ligpartie, MATCH($B386, Donnees!$F:$F, 0),
    _xlpm.joueurs, INDEX(Donnees!$A:$Z, _xlpm.ligpartie+1, _xlfn.SEQUENCE(1, 4, 2)),
    INDEX(
      Donnees!$A:$Z,
      _xlpm.ligpartie + 3,
      MATCH(AD$1, _xlpm.joueurs, 0) + 1
    )
  ), ""
)</f>
        <v/>
      </c>
      <c r="AE387" t="str" cm="1">
        <f t="array" ref="AE387">IFERROR(
  _xlfn.LET(
    _xlpm.ligpartie, MATCH($B386, Donnees!$F:$F, 0),
    _xlpm.joueurs, INDEX(Donnees!$A:$Z, _xlpm.ligpartie+1, _xlfn.SEQUENCE(1, 4, 2)),
    INDEX(
      Donnees!$A:$Z,
      _xlpm.ligpartie + 3,
      MATCH(AE$1, _xlpm.joueurs, 0) + 1
    )
  ), ""
)</f>
        <v/>
      </c>
      <c r="AF387" t="str" cm="1">
        <f t="array" ref="AF387">IFERROR(
  _xlfn.LET(
    _xlpm.ligpartie, MATCH($B386, Donnees!$F:$F, 0),
    _xlpm.joueurs, INDEX(Donnees!$A:$Z, _xlpm.ligpartie+1, _xlfn.SEQUENCE(1, 4, 2)),
    INDEX(
      Donnees!$A:$Z,
      _xlpm.ligpartie + 3,
      MATCH(AF$1, _xlpm.joueurs, 0) + 1
    )
  ), ""
)</f>
        <v/>
      </c>
      <c r="AG387" t="str" cm="1">
        <f t="array" ref="AG387">IFERROR(
  _xlfn.LET(
    _xlpm.ligpartie, MATCH($B386, Donnees!$F:$F, 0),
    _xlpm.joueurs, INDEX(Donnees!$A:$Z, _xlpm.ligpartie+1, _xlfn.SEQUENCE(1, 4, 2)),
    INDEX(
      Donnees!$A:$Z,
      _xlpm.ligpartie + 3,
      MATCH(AG$1, _xlpm.joueurs, 0) + 1
    )
  ), ""
)</f>
        <v/>
      </c>
      <c r="AH387" t="str" cm="1">
        <f t="array" ref="AH387">IFERROR(
  _xlfn.LET(
    _xlpm.ligpartie, MATCH($B386, Donnees!$F:$F, 0),
    _xlpm.joueurs, INDEX(Donnees!$A:$Z, _xlpm.ligpartie+1, _xlfn.SEQUENCE(1, 4, 2)),
    INDEX(
      Donnees!$A:$Z,
      _xlpm.ligpartie + 3,
      MATCH(AH$1, _xlpm.joueurs, 0) + 1
    )
  ), ""
)</f>
        <v/>
      </c>
      <c r="AI387" cm="1">
        <f t="array" ref="AI387">IFERROR(
  _xlfn.LET(
    _xlpm.ligpartie, MATCH($B386, Donnees!$F:$F, 0),
    _xlpm.joueurs, INDEX(Donnees!$A:$Z, _xlpm.ligpartie+1, _xlfn.SEQUENCE(1, 4, 2)),
    INDEX(
      Donnees!$A:$Z,
      _xlpm.ligpartie + 3,
      MATCH(AI$1, _xlpm.joueurs, 0) + 1
    )
  ), ""
)</f>
        <v>3</v>
      </c>
      <c r="AJ387" t="str" cm="1">
        <f t="array" ref="AJ387">IFERROR(
  _xlfn.LET(
    _xlpm.ligpartie, MATCH($B386, Donnees!$F:$F, 0),
    _xlpm.joueurs, INDEX(Donnees!$A:$Z, _xlpm.ligpartie+1, _xlfn.SEQUENCE(1, 4, 2)),
    INDEX(
      Donnees!$A:$Z,
      _xlpm.ligpartie + 3,
      MATCH(AJ$1, _xlpm.joueurs, 0) + 1
    )
  ), ""
)</f>
        <v/>
      </c>
      <c r="AK387" t="str" cm="1">
        <f t="array" ref="AK387">IFERROR(
  _xlfn.LET(
    _xlpm.ligpartie, MATCH($B386, Donnees!$F:$F, 0),
    _xlpm.joueurs, INDEX(Donnees!$A:$Z, _xlpm.ligpartie+1, _xlfn.SEQUENCE(1, 4, 2)),
    INDEX(
      Donnees!$A:$Z,
      _xlpm.ligpartie + 3,
      MATCH(AK$1, _xlpm.joueurs, 0) + 1
    )
  ), ""
)</f>
        <v/>
      </c>
      <c r="AL387" t="str" cm="1">
        <f t="array" ref="AL387">IFERROR(
  _xlfn.LET(
    _xlpm.ligpartie, MATCH($B386, Donnees!$F:$F, 0),
    _xlpm.joueurs, INDEX(Donnees!$A:$Z, _xlpm.ligpartie+1, _xlfn.SEQUENCE(1, 4, 2)),
    INDEX(
      Donnees!$A:$Z,
      _xlpm.ligpartie + 3,
      MATCH(AL$1, _xlpm.joueurs, 0) + 1
    )
  ), ""
)</f>
        <v/>
      </c>
      <c r="AM387" t="str" cm="1">
        <f t="array" ref="AM387">IFERROR(
  _xlfn.LET(
    _xlpm.ligpartie, MATCH($B386, Donnees!$F:$F, 0),
    _xlpm.joueurs, INDEX(Donnees!$A:$Z, _xlpm.ligpartie+1, _xlfn.SEQUENCE(1, 4, 2)),
    INDEX(
      Donnees!$A:$Z,
      _xlpm.ligpartie + 3,
      MATCH(AM$1, _xlpm.joueurs, 0) + 1
    )
  ), ""
)</f>
        <v/>
      </c>
    </row>
    <row r="388" spans="1:39" x14ac:dyDescent="0.25">
      <c r="A388" t="s">
        <v>20</v>
      </c>
      <c r="D388" t="str" cm="1">
        <f t="array" ref="D388">_xlfn.LET(
  _xlpm.colj, _xlfn._xlws.FILTER(IF(ISNUMBER(387:387), COLUMN(387:387)), ISNUMBER(387:387)),
  _xlpm.elos, INDEX(386:386,1,_xlpm.colj),
  _xlpm.diffscale, Constantes!$B$2,
  IF(D387="",
    "",
    SUM(1/(1+POWER(10,-(D386-_xlpm.elos)/_xlpm.diffscale)))-0.5)
)</f>
        <v/>
      </c>
      <c r="E388" t="str" cm="1">
        <f t="array" ref="E388">_xlfn.LET(
  _xlpm.colj, _xlfn._xlws.FILTER(IF(ISNUMBER(387:387), COLUMN(387:387)), ISNUMBER(387:387)),
  _xlpm.elos, INDEX(386:386,1,_xlpm.colj),
  _xlpm.diffscale, Constantes!$B$2,
  IF(E387="",
    "",
    SUM(1/(1+POWER(10,-(E386-_xlpm.elos)/_xlpm.diffscale)))-0.5)
)</f>
        <v/>
      </c>
      <c r="F388" t="str" cm="1">
        <f t="array" ref="F388">_xlfn.LET(
  _xlpm.colj, _xlfn._xlws.FILTER(IF(ISNUMBER(387:387), COLUMN(387:387)), ISNUMBER(387:387)),
  _xlpm.elos, INDEX(386:386,1,_xlpm.colj),
  _xlpm.diffscale, Constantes!$B$2,
  IF(F387="",
    "",
    SUM(1/(1+POWER(10,-(F386-_xlpm.elos)/_xlpm.diffscale)))-0.5)
)</f>
        <v/>
      </c>
      <c r="G388" cm="1">
        <f t="array" ref="G388">_xlfn.LET(
  _xlpm.colj, _xlfn._xlws.FILTER(IF(ISNUMBER(387:387), COLUMN(387:387)), ISNUMBER(387:387)),
  _xlpm.elos, INDEX(386:386,1,_xlpm.colj),
  _xlpm.diffscale, Constantes!$B$2,
  IF(G387="",
    "",
    SUM(1/(1+POWER(10,-(G386-_xlpm.elos)/_xlpm.diffscale)))-0.5)
)</f>
        <v>1.8065727705282648</v>
      </c>
      <c r="H388" t="str" cm="1">
        <f t="array" ref="H388">_xlfn.LET(
  _xlpm.colj, _xlfn._xlws.FILTER(IF(ISNUMBER(387:387), COLUMN(387:387)), ISNUMBER(387:387)),
  _xlpm.elos, INDEX(386:386,1,_xlpm.colj),
  _xlpm.diffscale, Constantes!$B$2,
  IF(H387="",
    "",
    SUM(1/(1+POWER(10,-(H386-_xlpm.elos)/_xlpm.diffscale)))-0.5)
)</f>
        <v/>
      </c>
      <c r="I388" t="str" cm="1">
        <f t="array" ref="I388">_xlfn.LET(
  _xlpm.colj, _xlfn._xlws.FILTER(IF(ISNUMBER(387:387), COLUMN(387:387)), ISNUMBER(387:387)),
  _xlpm.elos, INDEX(386:386,1,_xlpm.colj),
  _xlpm.diffscale, Constantes!$B$2,
  IF(I387="",
    "",
    SUM(1/(1+POWER(10,-(I386-_xlpm.elos)/_xlpm.diffscale)))-0.5)
)</f>
        <v/>
      </c>
      <c r="J388" t="str" cm="1">
        <f t="array" ref="J388">_xlfn.LET(
  _xlpm.colj, _xlfn._xlws.FILTER(IF(ISNUMBER(387:387), COLUMN(387:387)), ISNUMBER(387:387)),
  _xlpm.elos, INDEX(386:386,1,_xlpm.colj),
  _xlpm.diffscale, Constantes!$B$2,
  IF(J387="",
    "",
    SUM(1/(1+POWER(10,-(J386-_xlpm.elos)/_xlpm.diffscale)))-0.5)
)</f>
        <v/>
      </c>
      <c r="K388" t="str" cm="1">
        <f t="array" ref="K388">_xlfn.LET(
  _xlpm.colj, _xlfn._xlws.FILTER(IF(ISNUMBER(387:387), COLUMN(387:387)), ISNUMBER(387:387)),
  _xlpm.elos, INDEX(386:386,1,_xlpm.colj),
  _xlpm.diffscale, Constantes!$B$2,
  IF(K387="",
    "",
    SUM(1/(1+POWER(10,-(K386-_xlpm.elos)/_xlpm.diffscale)))-0.5)
)</f>
        <v/>
      </c>
      <c r="L388" t="str" cm="1">
        <f t="array" ref="L388">_xlfn.LET(
  _xlpm.colj, _xlfn._xlws.FILTER(IF(ISNUMBER(387:387), COLUMN(387:387)), ISNUMBER(387:387)),
  _xlpm.elos, INDEX(386:386,1,_xlpm.colj),
  _xlpm.diffscale, Constantes!$B$2,
  IF(L387="",
    "",
    SUM(1/(1+POWER(10,-(L386-_xlpm.elos)/_xlpm.diffscale)))-0.5)
)</f>
        <v/>
      </c>
      <c r="M388" t="str" cm="1">
        <f t="array" ref="M388">_xlfn.LET(
  _xlpm.colj, _xlfn._xlws.FILTER(IF(ISNUMBER(387:387), COLUMN(387:387)), ISNUMBER(387:387)),
  _xlpm.elos, INDEX(386:386,1,_xlpm.colj),
  _xlpm.diffscale, Constantes!$B$2,
  IF(M387="",
    "",
    SUM(1/(1+POWER(10,-(M386-_xlpm.elos)/_xlpm.diffscale)))-0.5)
)</f>
        <v/>
      </c>
      <c r="N388" t="str" cm="1">
        <f t="array" ref="N388">_xlfn.LET(
  _xlpm.colj, _xlfn._xlws.FILTER(IF(ISNUMBER(387:387), COLUMN(387:387)), ISNUMBER(387:387)),
  _xlpm.elos, INDEX(386:386,1,_xlpm.colj),
  _xlpm.diffscale, Constantes!$B$2,
  IF(N387="",
    "",
    SUM(1/(1+POWER(10,-(N386-_xlpm.elos)/_xlpm.diffscale)))-0.5)
)</f>
        <v/>
      </c>
      <c r="O388" t="str" cm="1">
        <f t="array" ref="O388">_xlfn.LET(
  _xlpm.colj, _xlfn._xlws.FILTER(IF(ISNUMBER(387:387), COLUMN(387:387)), ISNUMBER(387:387)),
  _xlpm.elos, INDEX(386:386,1,_xlpm.colj),
  _xlpm.diffscale, Constantes!$B$2,
  IF(O387="",
    "",
    SUM(1/(1+POWER(10,-(O386-_xlpm.elos)/_xlpm.diffscale)))-0.5)
)</f>
        <v/>
      </c>
      <c r="P388" cm="1">
        <f t="array" ref="P388">_xlfn.LET(
  _xlpm.colj, _xlfn._xlws.FILTER(IF(ISNUMBER(387:387), COLUMN(387:387)), ISNUMBER(387:387)),
  _xlpm.elos, INDEX(386:386,1,_xlpm.colj),
  _xlpm.diffscale, Constantes!$B$2,
  IF(P387="",
    "",
    SUM(1/(1+POWER(10,-(P386-_xlpm.elos)/_xlpm.diffscale)))-0.5)
)</f>
        <v>1.1950883226633462</v>
      </c>
      <c r="Q388" t="str" cm="1">
        <f t="array" ref="Q388">_xlfn.LET(
  _xlpm.colj, _xlfn._xlws.FILTER(IF(ISNUMBER(387:387), COLUMN(387:387)), ISNUMBER(387:387)),
  _xlpm.elos, INDEX(386:386,1,_xlpm.colj),
  _xlpm.diffscale, Constantes!$B$2,
  IF(Q387="",
    "",
    SUM(1/(1+POWER(10,-(Q386-_xlpm.elos)/_xlpm.diffscale)))-0.5)
)</f>
        <v/>
      </c>
      <c r="R388" t="str" cm="1">
        <f t="array" ref="R388">_xlfn.LET(
  _xlpm.colj, _xlfn._xlws.FILTER(IF(ISNUMBER(387:387), COLUMN(387:387)), ISNUMBER(387:387)),
  _xlpm.elos, INDEX(386:386,1,_xlpm.colj),
  _xlpm.diffscale, Constantes!$B$2,
  IF(R387="",
    "",
    SUM(1/(1+POWER(10,-(R386-_xlpm.elos)/_xlpm.diffscale)))-0.5)
)</f>
        <v/>
      </c>
      <c r="S388" t="str" cm="1">
        <f t="array" ref="S388">_xlfn.LET(
  _xlpm.colj, _xlfn._xlws.FILTER(IF(ISNUMBER(387:387), COLUMN(387:387)), ISNUMBER(387:387)),
  _xlpm.elos, INDEX(386:386,1,_xlpm.colj),
  _xlpm.diffscale, Constantes!$B$2,
  IF(S387="",
    "",
    SUM(1/(1+POWER(10,-(S386-_xlpm.elos)/_xlpm.diffscale)))-0.5)
)</f>
        <v/>
      </c>
      <c r="T388" cm="1">
        <f t="array" ref="T388">_xlfn.LET(
  _xlpm.colj, _xlfn._xlws.FILTER(IF(ISNUMBER(387:387), COLUMN(387:387)), ISNUMBER(387:387)),
  _xlpm.elos, INDEX(386:386,1,_xlpm.colj),
  _xlpm.diffscale, Constantes!$B$2,
  IF(T387="",
    "",
    SUM(1/(1+POWER(10,-(T386-_xlpm.elos)/_xlpm.diffscale)))-0.5)
)</f>
        <v>2.0547579538534171</v>
      </c>
      <c r="U388" t="str" cm="1">
        <f t="array" ref="U388">_xlfn.LET(
  _xlpm.colj, _xlfn._xlws.FILTER(IF(ISNUMBER(387:387), COLUMN(387:387)), ISNUMBER(387:387)),
  _xlpm.elos, INDEX(386:386,1,_xlpm.colj),
  _xlpm.diffscale, Constantes!$B$2,
  IF(U387="",
    "",
    SUM(1/(1+POWER(10,-(U386-_xlpm.elos)/_xlpm.diffscale)))-0.5)
)</f>
        <v/>
      </c>
      <c r="V388" t="str" cm="1">
        <f t="array" ref="V388">_xlfn.LET(
  _xlpm.colj, _xlfn._xlws.FILTER(IF(ISNUMBER(387:387), COLUMN(387:387)), ISNUMBER(387:387)),
  _xlpm.elos, INDEX(386:386,1,_xlpm.colj),
  _xlpm.diffscale, Constantes!$B$2,
  IF(V387="",
    "",
    SUM(1/(1+POWER(10,-(V386-_xlpm.elos)/_xlpm.diffscale)))-0.5)
)</f>
        <v/>
      </c>
      <c r="W388" t="str" cm="1">
        <f t="array" ref="W388">_xlfn.LET(
  _xlpm.colj, _xlfn._xlws.FILTER(IF(ISNUMBER(387:387), COLUMN(387:387)), ISNUMBER(387:387)),
  _xlpm.elos, INDEX(386:386,1,_xlpm.colj),
  _xlpm.diffscale, Constantes!$B$2,
  IF(W387="",
    "",
    SUM(1/(1+POWER(10,-(W386-_xlpm.elos)/_xlpm.diffscale)))-0.5)
)</f>
        <v/>
      </c>
      <c r="X388" t="str" cm="1">
        <f t="array" ref="X388">_xlfn.LET(
  _xlpm.colj, _xlfn._xlws.FILTER(IF(ISNUMBER(387:387), COLUMN(387:387)), ISNUMBER(387:387)),
  _xlpm.elos, INDEX(386:386,1,_xlpm.colj),
  _xlpm.diffscale, Constantes!$B$2,
  IF(X387="",
    "",
    SUM(1/(1+POWER(10,-(X386-_xlpm.elos)/_xlpm.diffscale)))-0.5)
)</f>
        <v/>
      </c>
      <c r="Y388" t="str" cm="1">
        <f t="array" ref="Y388">_xlfn.LET(
  _xlpm.colj, _xlfn._xlws.FILTER(IF(ISNUMBER(387:387), COLUMN(387:387)), ISNUMBER(387:387)),
  _xlpm.elos, INDEX(386:386,1,_xlpm.colj),
  _xlpm.diffscale, Constantes!$B$2,
  IF(Y387="",
    "",
    SUM(1/(1+POWER(10,-(Y386-_xlpm.elos)/_xlpm.diffscale)))-0.5)
)</f>
        <v/>
      </c>
      <c r="Z388" t="str" cm="1">
        <f t="array" ref="Z388">_xlfn.LET(
  _xlpm.colj, _xlfn._xlws.FILTER(IF(ISNUMBER(387:387), COLUMN(387:387)), ISNUMBER(387:387)),
  _xlpm.elos, INDEX(386:386,1,_xlpm.colj),
  _xlpm.diffscale, Constantes!$B$2,
  IF(Z387="",
    "",
    SUM(1/(1+POWER(10,-(Z386-_xlpm.elos)/_xlpm.diffscale)))-0.5)
)</f>
        <v/>
      </c>
      <c r="AA388" t="str" cm="1">
        <f t="array" ref="AA388">_xlfn.LET(
  _xlpm.colj, _xlfn._xlws.FILTER(IF(ISNUMBER(387:387), COLUMN(387:387)), ISNUMBER(387:387)),
  _xlpm.elos, INDEX(386:386,1,_xlpm.colj),
  _xlpm.diffscale, Constantes!$B$2,
  IF(AA387="",
    "",
    SUM(1/(1+POWER(10,-(AA386-_xlpm.elos)/_xlpm.diffscale)))-0.5)
)</f>
        <v/>
      </c>
      <c r="AB388" t="str" cm="1">
        <f t="array" ref="AB388">_xlfn.LET(
  _xlpm.colj, _xlfn._xlws.FILTER(IF(ISNUMBER(387:387), COLUMN(387:387)), ISNUMBER(387:387)),
  _xlpm.elos, INDEX(386:386,1,_xlpm.colj),
  _xlpm.diffscale, Constantes!$B$2,
  IF(AB387="",
    "",
    SUM(1/(1+POWER(10,-(AB386-_xlpm.elos)/_xlpm.diffscale)))-0.5)
)</f>
        <v/>
      </c>
      <c r="AC388" t="str" cm="1">
        <f t="array" ref="AC388">_xlfn.LET(
  _xlpm.colj, _xlfn._xlws.FILTER(IF(ISNUMBER(387:387), COLUMN(387:387)), ISNUMBER(387:387)),
  _xlpm.elos, INDEX(386:386,1,_xlpm.colj),
  _xlpm.diffscale, Constantes!$B$2,
  IF(AC387="",
    "",
    SUM(1/(1+POWER(10,-(AC386-_xlpm.elos)/_xlpm.diffscale)))-0.5)
)</f>
        <v/>
      </c>
      <c r="AD388" t="str" cm="1">
        <f t="array" ref="AD388">_xlfn.LET(
  _xlpm.colj, _xlfn._xlws.FILTER(IF(ISNUMBER(387:387), COLUMN(387:387)), ISNUMBER(387:387)),
  _xlpm.elos, INDEX(386:386,1,_xlpm.colj),
  _xlpm.diffscale, Constantes!$B$2,
  IF(AD387="",
    "",
    SUM(1/(1+POWER(10,-(AD386-_xlpm.elos)/_xlpm.diffscale)))-0.5)
)</f>
        <v/>
      </c>
      <c r="AE388" t="str" cm="1">
        <f t="array" ref="AE388">_xlfn.LET(
  _xlpm.colj, _xlfn._xlws.FILTER(IF(ISNUMBER(387:387), COLUMN(387:387)), ISNUMBER(387:387)),
  _xlpm.elos, INDEX(386:386,1,_xlpm.colj),
  _xlpm.diffscale, Constantes!$B$2,
  IF(AE387="",
    "",
    SUM(1/(1+POWER(10,-(AE386-_xlpm.elos)/_xlpm.diffscale)))-0.5)
)</f>
        <v/>
      </c>
      <c r="AF388" t="str" cm="1">
        <f t="array" ref="AF388">_xlfn.LET(
  _xlpm.colj, _xlfn._xlws.FILTER(IF(ISNUMBER(387:387), COLUMN(387:387)), ISNUMBER(387:387)),
  _xlpm.elos, INDEX(386:386,1,_xlpm.colj),
  _xlpm.diffscale, Constantes!$B$2,
  IF(AF387="",
    "",
    SUM(1/(1+POWER(10,-(AF386-_xlpm.elos)/_xlpm.diffscale)))-0.5)
)</f>
        <v/>
      </c>
      <c r="AG388" t="str" cm="1">
        <f t="array" ref="AG388">_xlfn.LET(
  _xlpm.colj, _xlfn._xlws.FILTER(IF(ISNUMBER(387:387), COLUMN(387:387)), ISNUMBER(387:387)),
  _xlpm.elos, INDEX(386:386,1,_xlpm.colj),
  _xlpm.diffscale, Constantes!$B$2,
  IF(AG387="",
    "",
    SUM(1/(1+POWER(10,-(AG386-_xlpm.elos)/_xlpm.diffscale)))-0.5)
)</f>
        <v/>
      </c>
      <c r="AH388" t="str" cm="1">
        <f t="array" ref="AH388">_xlfn.LET(
  _xlpm.colj, _xlfn._xlws.FILTER(IF(ISNUMBER(387:387), COLUMN(387:387)), ISNUMBER(387:387)),
  _xlpm.elos, INDEX(386:386,1,_xlpm.colj),
  _xlpm.diffscale, Constantes!$B$2,
  IF(AH387="",
    "",
    SUM(1/(1+POWER(10,-(AH386-_xlpm.elos)/_xlpm.diffscale)))-0.5)
)</f>
        <v/>
      </c>
      <c r="AI388" cm="1">
        <f t="array" ref="AI388">_xlfn.LET(
  _xlpm.colj, _xlfn._xlws.FILTER(IF(ISNUMBER(387:387), COLUMN(387:387)), ISNUMBER(387:387)),
  _xlpm.elos, INDEX(386:386,1,_xlpm.colj),
  _xlpm.diffscale, Constantes!$B$2,
  IF(AI387="",
    "",
    SUM(1/(1+POWER(10,-(AI386-_xlpm.elos)/_xlpm.diffscale)))-0.5)
)</f>
        <v>0.94358095295497169</v>
      </c>
      <c r="AJ388" t="str" cm="1">
        <f t="array" ref="AJ388">_xlfn.LET(
  _xlpm.colj, _xlfn._xlws.FILTER(IF(ISNUMBER(387:387), COLUMN(387:387)), ISNUMBER(387:387)),
  _xlpm.elos, INDEX(386:386,1,_xlpm.colj),
  _xlpm.diffscale, Constantes!$B$2,
  IF(AJ387="",
    "",
    SUM(1/(1+POWER(10,-(AJ386-_xlpm.elos)/_xlpm.diffscale)))-0.5)
)</f>
        <v/>
      </c>
      <c r="AK388" t="str" cm="1">
        <f t="array" ref="AK388">_xlfn.LET(
  _xlpm.colj, _xlfn._xlws.FILTER(IF(ISNUMBER(387:387), COLUMN(387:387)), ISNUMBER(387:387)),
  _xlpm.elos, INDEX(386:386,1,_xlpm.colj),
  _xlpm.diffscale, Constantes!$B$2,
  IF(AK387="",
    "",
    SUM(1/(1+POWER(10,-(AK386-_xlpm.elos)/_xlpm.diffscale)))-0.5)
)</f>
        <v/>
      </c>
      <c r="AL388" t="str" cm="1">
        <f t="array" ref="AL388">_xlfn.LET(
  _xlpm.colj, _xlfn._xlws.FILTER(IF(ISNUMBER(387:387), COLUMN(387:387)), ISNUMBER(387:387)),
  _xlpm.elos, INDEX(386:386,1,_xlpm.colj),
  _xlpm.diffscale, Constantes!$B$2,
  IF(AL387="",
    "",
    SUM(1/(1+POWER(10,-(AL386-_xlpm.elos)/_xlpm.diffscale)))-0.5)
)</f>
        <v/>
      </c>
      <c r="AM388" t="str" cm="1">
        <f t="array" ref="AM388">_xlfn.LET(
  _xlpm.colj, _xlfn._xlws.FILTER(IF(ISNUMBER(387:387), COLUMN(387:387)), ISNUMBER(387:387)),
  _xlpm.elos, INDEX(386:386,1,_xlpm.colj),
  _xlpm.diffscale, Constantes!$B$2,
  IF(AM387="",
    "",
    SUM(1/(1+POWER(10,-(AM386-_xlpm.elos)/_xlpm.diffscale)))-0.5)
)</f>
        <v/>
      </c>
    </row>
    <row r="389" spans="1:39" x14ac:dyDescent="0.25">
      <c r="A389" t="s">
        <v>22</v>
      </c>
      <c r="D389" t="str" cm="1">
        <f t="array" ref="D389">_xlfn.LET(
  _xlpm.K, Constantes!$B$3,
  _xlpm.Knewgain, Constantes!$B$4,
  _xlpm.Knewscale, Constantes!$B$5,
  _xlpm.ptstables, INDEX(D:D, _xlfn.SEQUENCE(COUNTA($C$2:$C389), 1, 3, 4)),
  _xlpm.nbparties, COUNTA(_xlfn._xlws.FILTER(_xlpm.ptstables, _xlpm.ptstables &lt;&gt; "")),
  _xlpm.coef, _xlpm.K + _xlpm.Knewgain / (_xlpm.Knewscale + _xlpm.nbparties),
  IF(D387="",
    "",
    _xlpm.coef * (D387-D388))
)</f>
        <v/>
      </c>
      <c r="E389" t="str" cm="1">
        <f t="array" ref="E389">_xlfn.LET(
  _xlpm.K, Constantes!$B$3,
  _xlpm.Knewgain, Constantes!$B$4,
  _xlpm.Knewscale, Constantes!$B$5,
  _xlpm.ptstables, INDEX(E:E, _xlfn.SEQUENCE(COUNTA($C$2:$C389), 1, 3, 4)),
  _xlpm.nbparties, COUNTA(_xlfn._xlws.FILTER(_xlpm.ptstables, _xlpm.ptstables &lt;&gt; "")),
  _xlpm.coef, _xlpm.K + _xlpm.Knewgain / (_xlpm.Knewscale + _xlpm.nbparties),
  IF(E387="",
    "",
    _xlpm.coef * (E387-E388))
)</f>
        <v/>
      </c>
      <c r="F389" t="str" cm="1">
        <f t="array" ref="F389">_xlfn.LET(
  _xlpm.K, Constantes!$B$3,
  _xlpm.Knewgain, Constantes!$B$4,
  _xlpm.Knewscale, Constantes!$B$5,
  _xlpm.ptstables, INDEX(F:F, _xlfn.SEQUENCE(COUNTA($C$2:$C389), 1, 3, 4)),
  _xlpm.nbparties, COUNTA(_xlfn._xlws.FILTER(_xlpm.ptstables, _xlpm.ptstables &lt;&gt; "")),
  _xlpm.coef, _xlpm.K + _xlpm.Knewgain / (_xlpm.Knewscale + _xlpm.nbparties),
  IF(F387="",
    "",
    _xlpm.coef * (F387-F388))
)</f>
        <v/>
      </c>
      <c r="G389" cm="1">
        <f t="array" ref="G389">_xlfn.LET(
  _xlpm.K, Constantes!$B$3,
  _xlpm.Knewgain, Constantes!$B$4,
  _xlpm.Knewscale, Constantes!$B$5,
  _xlpm.ptstables, INDEX(G:G, _xlfn.SEQUENCE(COUNTA($C$2:$C389), 1, 3, 4)),
  _xlpm.nbparties, COUNTA(_xlfn._xlws.FILTER(_xlpm.ptstables, _xlpm.ptstables &lt;&gt; "")),
  _xlpm.coef, _xlpm.K + _xlpm.Knewgain / (_xlpm.Knewscale + _xlpm.nbparties),
  IF(G387="",
    "",
    _xlpm.coef * (G387-G388))
)</f>
        <v>-39.142410028112408</v>
      </c>
      <c r="H389" t="str" cm="1">
        <f t="array" ref="H389">_xlfn.LET(
  _xlpm.K, Constantes!$B$3,
  _xlpm.Knewgain, Constantes!$B$4,
  _xlpm.Knewscale, Constantes!$B$5,
  _xlpm.ptstables, INDEX(H:H, _xlfn.SEQUENCE(COUNTA($C$2:$C389), 1, 3, 4)),
  _xlpm.nbparties, COUNTA(_xlfn._xlws.FILTER(_xlpm.ptstables, _xlpm.ptstables &lt;&gt; "")),
  _xlpm.coef, _xlpm.K + _xlpm.Knewgain / (_xlpm.Knewscale + _xlpm.nbparties),
  IF(H387="",
    "",
    _xlpm.coef * (H387-H388))
)</f>
        <v/>
      </c>
      <c r="I389" t="str" cm="1">
        <f t="array" ref="I389">_xlfn.LET(
  _xlpm.K, Constantes!$B$3,
  _xlpm.Knewgain, Constantes!$B$4,
  _xlpm.Knewscale, Constantes!$B$5,
  _xlpm.ptstables, INDEX(I:I, _xlfn.SEQUENCE(COUNTA($C$2:$C389), 1, 3, 4)),
  _xlpm.nbparties, COUNTA(_xlfn._xlws.FILTER(_xlpm.ptstables, _xlpm.ptstables &lt;&gt; "")),
  _xlpm.coef, _xlpm.K + _xlpm.Knewgain / (_xlpm.Knewscale + _xlpm.nbparties),
  IF(I387="",
    "",
    _xlpm.coef * (I387-I388))
)</f>
        <v/>
      </c>
      <c r="J389" t="str" cm="1">
        <f t="array" ref="J389">_xlfn.LET(
  _xlpm.K, Constantes!$B$3,
  _xlpm.Knewgain, Constantes!$B$4,
  _xlpm.Knewscale, Constantes!$B$5,
  _xlpm.ptstables, INDEX(J:J, _xlfn.SEQUENCE(COUNTA($C$2:$C389), 1, 3, 4)),
  _xlpm.nbparties, COUNTA(_xlfn._xlws.FILTER(_xlpm.ptstables, _xlpm.ptstables &lt;&gt; "")),
  _xlpm.coef, _xlpm.K + _xlpm.Knewgain / (_xlpm.Knewscale + _xlpm.nbparties),
  IF(J387="",
    "",
    _xlpm.coef * (J387-J388))
)</f>
        <v/>
      </c>
      <c r="K389" t="str" cm="1">
        <f t="array" ref="K389">_xlfn.LET(
  _xlpm.K, Constantes!$B$3,
  _xlpm.Knewgain, Constantes!$B$4,
  _xlpm.Knewscale, Constantes!$B$5,
  _xlpm.ptstables, INDEX(K:K, _xlfn.SEQUENCE(COUNTA($C$2:$C389), 1, 3, 4)),
  _xlpm.nbparties, COUNTA(_xlfn._xlws.FILTER(_xlpm.ptstables, _xlpm.ptstables &lt;&gt; "")),
  _xlpm.coef, _xlpm.K + _xlpm.Knewgain / (_xlpm.Knewscale + _xlpm.nbparties),
  IF(K387="",
    "",
    _xlpm.coef * (K387-K388))
)</f>
        <v/>
      </c>
      <c r="L389" t="str" cm="1">
        <f t="array" ref="L389">_xlfn.LET(
  _xlpm.K, Constantes!$B$3,
  _xlpm.Knewgain, Constantes!$B$4,
  _xlpm.Knewscale, Constantes!$B$5,
  _xlpm.ptstables, INDEX(L:L, _xlfn.SEQUENCE(COUNTA($C$2:$C389), 1, 3, 4)),
  _xlpm.nbparties, COUNTA(_xlfn._xlws.FILTER(_xlpm.ptstables, _xlpm.ptstables &lt;&gt; "")),
  _xlpm.coef, _xlpm.K + _xlpm.Knewgain / (_xlpm.Knewscale + _xlpm.nbparties),
  IF(L387="",
    "",
    _xlpm.coef * (L387-L388))
)</f>
        <v/>
      </c>
      <c r="M389" t="str" cm="1">
        <f t="array" ref="M389">_xlfn.LET(
  _xlpm.K, Constantes!$B$3,
  _xlpm.Knewgain, Constantes!$B$4,
  _xlpm.Knewscale, Constantes!$B$5,
  _xlpm.ptstables, INDEX(M:M, _xlfn.SEQUENCE(COUNTA($C$2:$C389), 1, 3, 4)),
  _xlpm.nbparties, COUNTA(_xlfn._xlws.FILTER(_xlpm.ptstables, _xlpm.ptstables &lt;&gt; "")),
  _xlpm.coef, _xlpm.K + _xlpm.Knewgain / (_xlpm.Knewscale + _xlpm.nbparties),
  IF(M387="",
    "",
    _xlpm.coef * (M387-M388))
)</f>
        <v/>
      </c>
      <c r="N389" t="str" cm="1">
        <f t="array" ref="N389">_xlfn.LET(
  _xlpm.K, Constantes!$B$3,
  _xlpm.Knewgain, Constantes!$B$4,
  _xlpm.Knewscale, Constantes!$B$5,
  _xlpm.ptstables, INDEX(N:N, _xlfn.SEQUENCE(COUNTA($C$2:$C389), 1, 3, 4)),
  _xlpm.nbparties, COUNTA(_xlfn._xlws.FILTER(_xlpm.ptstables, _xlpm.ptstables &lt;&gt; "")),
  _xlpm.coef, _xlpm.K + _xlpm.Knewgain / (_xlpm.Knewscale + _xlpm.nbparties),
  IF(N387="",
    "",
    _xlpm.coef * (N387-N388))
)</f>
        <v/>
      </c>
      <c r="O389" t="str" cm="1">
        <f t="array" ref="O389">_xlfn.LET(
  _xlpm.K, Constantes!$B$3,
  _xlpm.Knewgain, Constantes!$B$4,
  _xlpm.Knewscale, Constantes!$B$5,
  _xlpm.ptstables, INDEX(O:O, _xlfn.SEQUENCE(COUNTA($C$2:$C389), 1, 3, 4)),
  _xlpm.nbparties, COUNTA(_xlfn._xlws.FILTER(_xlpm.ptstables, _xlpm.ptstables &lt;&gt; "")),
  _xlpm.coef, _xlpm.K + _xlpm.Knewgain / (_xlpm.Knewscale + _xlpm.nbparties),
  IF(O387="",
    "",
    _xlpm.coef * (O387-O388))
)</f>
        <v/>
      </c>
      <c r="P389" cm="1">
        <f t="array" ref="P389">_xlfn.LET(
  _xlpm.K, Constantes!$B$3,
  _xlpm.Knewgain, Constantes!$B$4,
  _xlpm.Knewscale, Constantes!$B$5,
  _xlpm.ptstables, INDEX(P:P, _xlfn.SEQUENCE(COUNTA($C$2:$C389), 1, 3, 4)),
  _xlpm.nbparties, COUNTA(_xlfn._xlws.FILTER(_xlpm.ptstables, _xlpm.ptstables &lt;&gt; "")),
  _xlpm.coef, _xlpm.K + _xlpm.Knewgain / (_xlpm.Knewscale + _xlpm.nbparties),
  IF(P387="",
    "",
    _xlpm.coef * (P387-P388))
)</f>
        <v>-4.3894872599252892</v>
      </c>
      <c r="Q389" t="str" cm="1">
        <f t="array" ref="Q389">_xlfn.LET(
  _xlpm.K, Constantes!$B$3,
  _xlpm.Knewgain, Constantes!$B$4,
  _xlpm.Knewscale, Constantes!$B$5,
  _xlpm.ptstables, INDEX(Q:Q, _xlfn.SEQUENCE(COUNTA($C$2:$C389), 1, 3, 4)),
  _xlpm.nbparties, COUNTA(_xlfn._xlws.FILTER(_xlpm.ptstables, _xlpm.ptstables &lt;&gt; "")),
  _xlpm.coef, _xlpm.K + _xlpm.Knewgain / (_xlpm.Knewscale + _xlpm.nbparties),
  IF(Q387="",
    "",
    _xlpm.coef * (Q387-Q388))
)</f>
        <v/>
      </c>
      <c r="R389" t="str" cm="1">
        <f t="array" ref="R389">_xlfn.LET(
  _xlpm.K, Constantes!$B$3,
  _xlpm.Knewgain, Constantes!$B$4,
  _xlpm.Knewscale, Constantes!$B$5,
  _xlpm.ptstables, INDEX(R:R, _xlfn.SEQUENCE(COUNTA($C$2:$C389), 1, 3, 4)),
  _xlpm.nbparties, COUNTA(_xlfn._xlws.FILTER(_xlpm.ptstables, _xlpm.ptstables &lt;&gt; "")),
  _xlpm.coef, _xlpm.K + _xlpm.Knewgain / (_xlpm.Knewscale + _xlpm.nbparties),
  IF(R387="",
    "",
    _xlpm.coef * (R387-R388))
)</f>
        <v/>
      </c>
      <c r="S389" t="str" cm="1">
        <f t="array" ref="S389">_xlfn.LET(
  _xlpm.K, Constantes!$B$3,
  _xlpm.Knewgain, Constantes!$B$4,
  _xlpm.Knewscale, Constantes!$B$5,
  _xlpm.ptstables, INDEX(S:S, _xlfn.SEQUENCE(COUNTA($C$2:$C389), 1, 3, 4)),
  _xlpm.nbparties, COUNTA(_xlfn._xlws.FILTER(_xlpm.ptstables, _xlpm.ptstables &lt;&gt; "")),
  _xlpm.coef, _xlpm.K + _xlpm.Knewgain / (_xlpm.Knewscale + _xlpm.nbparties),
  IF(S387="",
    "",
    _xlpm.coef * (S387-S388))
)</f>
        <v/>
      </c>
      <c r="T389" cm="1">
        <f t="array" ref="T389">_xlfn.LET(
  _xlpm.K, Constantes!$B$3,
  _xlpm.Knewgain, Constantes!$B$4,
  _xlpm.Knewscale, Constantes!$B$5,
  _xlpm.ptstables, INDEX(T:T, _xlfn.SEQUENCE(COUNTA($C$2:$C389), 1, 3, 4)),
  _xlpm.nbparties, COUNTA(_xlfn._xlws.FILTER(_xlpm.ptstables, _xlpm.ptstables &lt;&gt; "")),
  _xlpm.coef, _xlpm.K + _xlpm.Knewgain / (_xlpm.Knewscale + _xlpm.nbparties),
  IF(T387="",
    "",
    _xlpm.coef * (T387-T388))
)</f>
        <v>-1.4373962886521985</v>
      </c>
      <c r="U389" t="str" cm="1">
        <f t="array" ref="U389">_xlfn.LET(
  _xlpm.K, Constantes!$B$3,
  _xlpm.Knewgain, Constantes!$B$4,
  _xlpm.Knewscale, Constantes!$B$5,
  _xlpm.ptstables, INDEX(U:U, _xlfn.SEQUENCE(COUNTA($C$2:$C389), 1, 3, 4)),
  _xlpm.nbparties, COUNTA(_xlfn._xlws.FILTER(_xlpm.ptstables, _xlpm.ptstables &lt;&gt; "")),
  _xlpm.coef, _xlpm.K + _xlpm.Knewgain / (_xlpm.Knewscale + _xlpm.nbparties),
  IF(U387="",
    "",
    _xlpm.coef * (U387-U388))
)</f>
        <v/>
      </c>
      <c r="V389" t="str" cm="1">
        <f t="array" ref="V389">_xlfn.LET(
  _xlpm.K, Constantes!$B$3,
  _xlpm.Knewgain, Constantes!$B$4,
  _xlpm.Knewscale, Constantes!$B$5,
  _xlpm.ptstables, INDEX(V:V, _xlfn.SEQUENCE(COUNTA($C$2:$C389), 1, 3, 4)),
  _xlpm.nbparties, COUNTA(_xlfn._xlws.FILTER(_xlpm.ptstables, _xlpm.ptstables &lt;&gt; "")),
  _xlpm.coef, _xlpm.K + _xlpm.Knewgain / (_xlpm.Knewscale + _xlpm.nbparties),
  IF(V387="",
    "",
    _xlpm.coef * (V387-V388))
)</f>
        <v/>
      </c>
      <c r="W389" t="str" cm="1">
        <f t="array" ref="W389">_xlfn.LET(
  _xlpm.K, Constantes!$B$3,
  _xlpm.Knewgain, Constantes!$B$4,
  _xlpm.Knewscale, Constantes!$B$5,
  _xlpm.ptstables, INDEX(W:W, _xlfn.SEQUENCE(COUNTA($C$2:$C389), 1, 3, 4)),
  _xlpm.nbparties, COUNTA(_xlfn._xlws.FILTER(_xlpm.ptstables, _xlpm.ptstables &lt;&gt; "")),
  _xlpm.coef, _xlpm.K + _xlpm.Knewgain / (_xlpm.Knewscale + _xlpm.nbparties),
  IF(W387="",
    "",
    _xlpm.coef * (W387-W388))
)</f>
        <v/>
      </c>
      <c r="X389" t="str" cm="1">
        <f t="array" ref="X389">_xlfn.LET(
  _xlpm.K, Constantes!$B$3,
  _xlpm.Knewgain, Constantes!$B$4,
  _xlpm.Knewscale, Constantes!$B$5,
  _xlpm.ptstables, INDEX(X:X, _xlfn.SEQUENCE(COUNTA($C$2:$C389), 1, 3, 4)),
  _xlpm.nbparties, COUNTA(_xlfn._xlws.FILTER(_xlpm.ptstables, _xlpm.ptstables &lt;&gt; "")),
  _xlpm.coef, _xlpm.K + _xlpm.Knewgain / (_xlpm.Knewscale + _xlpm.nbparties),
  IF(X387="",
    "",
    _xlpm.coef * (X387-X388))
)</f>
        <v/>
      </c>
      <c r="Y389" t="str" cm="1">
        <f t="array" ref="Y389">_xlfn.LET(
  _xlpm.K, Constantes!$B$3,
  _xlpm.Knewgain, Constantes!$B$4,
  _xlpm.Knewscale, Constantes!$B$5,
  _xlpm.ptstables, INDEX(Y:Y, _xlfn.SEQUENCE(COUNTA($C$2:$C389), 1, 3, 4)),
  _xlpm.nbparties, COUNTA(_xlfn._xlws.FILTER(_xlpm.ptstables, _xlpm.ptstables &lt;&gt; "")),
  _xlpm.coef, _xlpm.K + _xlpm.Knewgain / (_xlpm.Knewscale + _xlpm.nbparties),
  IF(Y387="",
    "",
    _xlpm.coef * (Y387-Y388))
)</f>
        <v/>
      </c>
      <c r="Z389" t="str" cm="1">
        <f t="array" ref="Z389">_xlfn.LET(
  _xlpm.K, Constantes!$B$3,
  _xlpm.Knewgain, Constantes!$B$4,
  _xlpm.Knewscale, Constantes!$B$5,
  _xlpm.ptstables, INDEX(Z:Z, _xlfn.SEQUENCE(COUNTA($C$2:$C389), 1, 3, 4)),
  _xlpm.nbparties, COUNTA(_xlfn._xlws.FILTER(_xlpm.ptstables, _xlpm.ptstables &lt;&gt; "")),
  _xlpm.coef, _xlpm.K + _xlpm.Knewgain / (_xlpm.Knewscale + _xlpm.nbparties),
  IF(Z387="",
    "",
    _xlpm.coef * (Z387-Z388))
)</f>
        <v/>
      </c>
      <c r="AA389" t="str" cm="1">
        <f t="array" ref="AA389">_xlfn.LET(
  _xlpm.K, Constantes!$B$3,
  _xlpm.Knewgain, Constantes!$B$4,
  _xlpm.Knewscale, Constantes!$B$5,
  _xlpm.ptstables, INDEX(AA:AA, _xlfn.SEQUENCE(COUNTA($C$2:$C389), 1, 3, 4)),
  _xlpm.nbparties, COUNTA(_xlfn._xlws.FILTER(_xlpm.ptstables, _xlpm.ptstables &lt;&gt; "")),
  _xlpm.coef, _xlpm.K + _xlpm.Knewgain / (_xlpm.Knewscale + _xlpm.nbparties),
  IF(AA387="",
    "",
    _xlpm.coef * (AA387-AA388))
)</f>
        <v/>
      </c>
      <c r="AB389" t="str" cm="1">
        <f t="array" ref="AB389">_xlfn.LET(
  _xlpm.K, Constantes!$B$3,
  _xlpm.Knewgain, Constantes!$B$4,
  _xlpm.Knewscale, Constantes!$B$5,
  _xlpm.ptstables, INDEX(AB:AB, _xlfn.SEQUENCE(COUNTA($C$2:$C389), 1, 3, 4)),
  _xlpm.nbparties, COUNTA(_xlfn._xlws.FILTER(_xlpm.ptstables, _xlpm.ptstables &lt;&gt; "")),
  _xlpm.coef, _xlpm.K + _xlpm.Knewgain / (_xlpm.Knewscale + _xlpm.nbparties),
  IF(AB387="",
    "",
    _xlpm.coef * (AB387-AB388))
)</f>
        <v/>
      </c>
      <c r="AC389" t="str" cm="1">
        <f t="array" ref="AC389">_xlfn.LET(
  _xlpm.K, Constantes!$B$3,
  _xlpm.Knewgain, Constantes!$B$4,
  _xlpm.Knewscale, Constantes!$B$5,
  _xlpm.ptstables, INDEX(AC:AC, _xlfn.SEQUENCE(COUNTA($C$2:$C389), 1, 3, 4)),
  _xlpm.nbparties, COUNTA(_xlfn._xlws.FILTER(_xlpm.ptstables, _xlpm.ptstables &lt;&gt; "")),
  _xlpm.coef, _xlpm.K + _xlpm.Knewgain / (_xlpm.Knewscale + _xlpm.nbparties),
  IF(AC387="",
    "",
    _xlpm.coef * (AC387-AC388))
)</f>
        <v/>
      </c>
      <c r="AD389" t="str" cm="1">
        <f t="array" ref="AD389">_xlfn.LET(
  _xlpm.K, Constantes!$B$3,
  _xlpm.Knewgain, Constantes!$B$4,
  _xlpm.Knewscale, Constantes!$B$5,
  _xlpm.ptstables, INDEX(AD:AD, _xlfn.SEQUENCE(COUNTA($C$2:$C389), 1, 3, 4)),
  _xlpm.nbparties, COUNTA(_xlfn._xlws.FILTER(_xlpm.ptstables, _xlpm.ptstables &lt;&gt; "")),
  _xlpm.coef, _xlpm.K + _xlpm.Knewgain / (_xlpm.Knewscale + _xlpm.nbparties),
  IF(AD387="",
    "",
    _xlpm.coef * (AD387-AD388))
)</f>
        <v/>
      </c>
      <c r="AE389" t="str" cm="1">
        <f t="array" ref="AE389">_xlfn.LET(
  _xlpm.K, Constantes!$B$3,
  _xlpm.Knewgain, Constantes!$B$4,
  _xlpm.Knewscale, Constantes!$B$5,
  _xlpm.ptstables, INDEX(AE:AE, _xlfn.SEQUENCE(COUNTA($C$2:$C389), 1, 3, 4)),
  _xlpm.nbparties, COUNTA(_xlfn._xlws.FILTER(_xlpm.ptstables, _xlpm.ptstables &lt;&gt; "")),
  _xlpm.coef, _xlpm.K + _xlpm.Knewgain / (_xlpm.Knewscale + _xlpm.nbparties),
  IF(AE387="",
    "",
    _xlpm.coef * (AE387-AE388))
)</f>
        <v/>
      </c>
      <c r="AF389" t="str" cm="1">
        <f t="array" ref="AF389">_xlfn.LET(
  _xlpm.K, Constantes!$B$3,
  _xlpm.Knewgain, Constantes!$B$4,
  _xlpm.Knewscale, Constantes!$B$5,
  _xlpm.ptstables, INDEX(AF:AF, _xlfn.SEQUENCE(COUNTA($C$2:$C389), 1, 3, 4)),
  _xlpm.nbparties, COUNTA(_xlfn._xlws.FILTER(_xlpm.ptstables, _xlpm.ptstables &lt;&gt; "")),
  _xlpm.coef, _xlpm.K + _xlpm.Knewgain / (_xlpm.Knewscale + _xlpm.nbparties),
  IF(AF387="",
    "",
    _xlpm.coef * (AF387-AF388))
)</f>
        <v/>
      </c>
      <c r="AG389" t="str" cm="1">
        <f t="array" ref="AG389">_xlfn.LET(
  _xlpm.K, Constantes!$B$3,
  _xlpm.Knewgain, Constantes!$B$4,
  _xlpm.Knewscale, Constantes!$B$5,
  _xlpm.ptstables, INDEX(AG:AG, _xlfn.SEQUENCE(COUNTA($C$2:$C389), 1, 3, 4)),
  _xlpm.nbparties, COUNTA(_xlfn._xlws.FILTER(_xlpm.ptstables, _xlpm.ptstables &lt;&gt; "")),
  _xlpm.coef, _xlpm.K + _xlpm.Knewgain / (_xlpm.Knewscale + _xlpm.nbparties),
  IF(AG387="",
    "",
    _xlpm.coef * (AG387-AG388))
)</f>
        <v/>
      </c>
      <c r="AH389" t="str" cm="1">
        <f t="array" ref="AH389">_xlfn.LET(
  _xlpm.K, Constantes!$B$3,
  _xlpm.Knewgain, Constantes!$B$4,
  _xlpm.Knewscale, Constantes!$B$5,
  _xlpm.ptstables, INDEX(AH:AH, _xlfn.SEQUENCE(COUNTA($C$2:$C389), 1, 3, 4)),
  _xlpm.nbparties, COUNTA(_xlfn._xlws.FILTER(_xlpm.ptstables, _xlpm.ptstables &lt;&gt; "")),
  _xlpm.coef, _xlpm.K + _xlpm.Knewgain / (_xlpm.Knewscale + _xlpm.nbparties),
  IF(AH387="",
    "",
    _xlpm.coef * (AH387-AH388))
)</f>
        <v/>
      </c>
      <c r="AI389" cm="1">
        <f t="array" ref="AI389">_xlfn.LET(
  _xlpm.K, Constantes!$B$3,
  _xlpm.Knewgain, Constantes!$B$4,
  _xlpm.Knewscale, Constantes!$B$5,
  _xlpm.ptstables, INDEX(AI:AI, _xlfn.SEQUENCE(COUNTA($C$2:$C389), 1, 3, 4)),
  _xlpm.nbparties, COUNTA(_xlfn._xlws.FILTER(_xlpm.ptstables, _xlpm.ptstables &lt;&gt; "")),
  _xlpm.coef, _xlpm.K + _xlpm.Knewgain / (_xlpm.Knewscale + _xlpm.nbparties),
  IF(AI387="",
    "",
    _xlpm.coef * (AI387-AI388))
)</f>
        <v>47.983111097717327</v>
      </c>
      <c r="AJ389" t="str" cm="1">
        <f t="array" ref="AJ389">_xlfn.LET(
  _xlpm.K, Constantes!$B$3,
  _xlpm.Knewgain, Constantes!$B$4,
  _xlpm.Knewscale, Constantes!$B$5,
  _xlpm.ptstables, INDEX(AJ:AJ, _xlfn.SEQUENCE(COUNTA($C$2:$C389), 1, 3, 4)),
  _xlpm.nbparties, COUNTA(_xlfn._xlws.FILTER(_xlpm.ptstables, _xlpm.ptstables &lt;&gt; "")),
  _xlpm.coef, _xlpm.K + _xlpm.Knewgain / (_xlpm.Knewscale + _xlpm.nbparties),
  IF(AJ387="",
    "",
    _xlpm.coef * (AJ387-AJ388))
)</f>
        <v/>
      </c>
      <c r="AK389" t="str" cm="1">
        <f t="array" ref="AK389">_xlfn.LET(
  _xlpm.K, Constantes!$B$3,
  _xlpm.Knewgain, Constantes!$B$4,
  _xlpm.Knewscale, Constantes!$B$5,
  _xlpm.ptstables, INDEX(AK:AK, _xlfn.SEQUENCE(COUNTA($C$2:$C389), 1, 3, 4)),
  _xlpm.nbparties, COUNTA(_xlfn._xlws.FILTER(_xlpm.ptstables, _xlpm.ptstables &lt;&gt; "")),
  _xlpm.coef, _xlpm.K + _xlpm.Knewgain / (_xlpm.Knewscale + _xlpm.nbparties),
  IF(AK387="",
    "",
    _xlpm.coef * (AK387-AK388))
)</f>
        <v/>
      </c>
      <c r="AL389" t="str" cm="1">
        <f t="array" ref="AL389">_xlfn.LET(
  _xlpm.K, Constantes!$B$3,
  _xlpm.Knewgain, Constantes!$B$4,
  _xlpm.Knewscale, Constantes!$B$5,
  _xlpm.ptstables, INDEX(AL:AL, _xlfn.SEQUENCE(COUNTA($C$2:$C389), 1, 3, 4)),
  _xlpm.nbparties, COUNTA(_xlfn._xlws.FILTER(_xlpm.ptstables, _xlpm.ptstables &lt;&gt; "")),
  _xlpm.coef, _xlpm.K + _xlpm.Knewgain / (_xlpm.Knewscale + _xlpm.nbparties),
  IF(AL387="",
    "",
    _xlpm.coef * (AL387-AL388))
)</f>
        <v/>
      </c>
      <c r="AM389" t="str" cm="1">
        <f t="array" ref="AM389">_xlfn.LET(
  _xlpm.K, Constantes!$B$3,
  _xlpm.Knewgain, Constantes!$B$4,
  _xlpm.Knewscale, Constantes!$B$5,
  _xlpm.ptstables, INDEX(AM:AM, _xlfn.SEQUENCE(COUNTA($C$2:$C389), 1, 3, 4)),
  _xlpm.nbparties, COUNTA(_xlfn._xlws.FILTER(_xlpm.ptstables, _xlpm.ptstables &lt;&gt; "")),
  _xlpm.coef, _xlpm.K + _xlpm.Knewgain / (_xlpm.Knewscale + _xlpm.nbparties),
  IF(AM387="",
    "",
    _xlpm.coef * (AM387-AM388))
)</f>
        <v/>
      </c>
    </row>
    <row r="390" spans="1:39" x14ac:dyDescent="0.25">
      <c r="A390" t="s">
        <v>14</v>
      </c>
      <c r="B390" t="str" cm="1">
        <f t="array" ref="B39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99</v>
      </c>
      <c r="C390" s="2" cm="1">
        <f t="array" ref="C390">IF(B390="","",
  INDEX(Donnees!F:F, MATCH(B390, Donnees!F:F, 0)+1))</f>
        <v>45955.693472222221</v>
      </c>
      <c r="D390">
        <f t="shared" ref="D390:AM390" si="105">D386+IF(D389="",0,D389)</f>
        <v>983.00829738956952</v>
      </c>
      <c r="E390">
        <f t="shared" si="105"/>
        <v>1134.1573908115724</v>
      </c>
      <c r="F390">
        <f t="shared" si="105"/>
        <v>892.77162496860694</v>
      </c>
      <c r="G390">
        <f t="shared" si="105"/>
        <v>1066.4653930709173</v>
      </c>
      <c r="H390">
        <f t="shared" si="105"/>
        <v>1121.8561093296914</v>
      </c>
      <c r="I390">
        <f t="shared" si="105"/>
        <v>912.81564332013568</v>
      </c>
      <c r="J390">
        <f t="shared" si="105"/>
        <v>1001.3142277763667</v>
      </c>
      <c r="K390">
        <f t="shared" si="105"/>
        <v>1037.8095069308526</v>
      </c>
      <c r="L390">
        <f t="shared" si="105"/>
        <v>783.12422360152641</v>
      </c>
      <c r="M390">
        <f t="shared" si="105"/>
        <v>913.41986361738122</v>
      </c>
      <c r="N390">
        <f t="shared" si="105"/>
        <v>903.42914476260137</v>
      </c>
      <c r="O390">
        <f t="shared" si="105"/>
        <v>997.04050320786712</v>
      </c>
      <c r="P390">
        <f t="shared" si="105"/>
        <v>987.86278180042575</v>
      </c>
      <c r="Q390">
        <f t="shared" si="105"/>
        <v>1050.1062561870472</v>
      </c>
      <c r="R390">
        <f t="shared" si="105"/>
        <v>1081.3509538650767</v>
      </c>
      <c r="S390">
        <f t="shared" si="105"/>
        <v>975.83442640972487</v>
      </c>
      <c r="T390">
        <f t="shared" si="105"/>
        <v>1151.9931855695777</v>
      </c>
      <c r="U390">
        <f t="shared" si="105"/>
        <v>1192.3149033083271</v>
      </c>
      <c r="V390">
        <f t="shared" si="105"/>
        <v>969.67171739286073</v>
      </c>
      <c r="W390">
        <f t="shared" si="105"/>
        <v>882.29253769067657</v>
      </c>
      <c r="X390">
        <f t="shared" si="105"/>
        <v>828.97598039785271</v>
      </c>
      <c r="Y390">
        <f t="shared" si="105"/>
        <v>903.14348714035714</v>
      </c>
      <c r="Z390">
        <f t="shared" si="105"/>
        <v>967.57810576867519</v>
      </c>
      <c r="AA390">
        <f t="shared" si="105"/>
        <v>976.40065260504912</v>
      </c>
      <c r="AB390">
        <f t="shared" si="105"/>
        <v>988.35669729544747</v>
      </c>
      <c r="AC390">
        <f t="shared" si="105"/>
        <v>1051.9456808600683</v>
      </c>
      <c r="AD390">
        <f t="shared" si="105"/>
        <v>1093.8192243082785</v>
      </c>
      <c r="AE390">
        <f t="shared" si="105"/>
        <v>963.23981965000235</v>
      </c>
      <c r="AF390">
        <f t="shared" si="105"/>
        <v>1094.8196847516158</v>
      </c>
      <c r="AG390">
        <f t="shared" si="105"/>
        <v>958.23078604304851</v>
      </c>
      <c r="AH390">
        <f t="shared" si="105"/>
        <v>920.4412636682855</v>
      </c>
      <c r="AI390">
        <f t="shared" si="105"/>
        <v>991.76873183498924</v>
      </c>
      <c r="AJ390">
        <f t="shared" si="105"/>
        <v>906.86354201913434</v>
      </c>
      <c r="AK390">
        <f t="shared" si="105"/>
        <v>1074.0069367206956</v>
      </c>
      <c r="AL390">
        <f t="shared" si="105"/>
        <v>1025.7817971572972</v>
      </c>
      <c r="AM390">
        <f t="shared" si="105"/>
        <v>930.08392160706046</v>
      </c>
    </row>
    <row r="391" spans="1:39" x14ac:dyDescent="0.25">
      <c r="A391" t="s">
        <v>21</v>
      </c>
      <c r="D391" t="str" cm="1">
        <f t="array" ref="D391">IFERROR(
  _xlfn.LET(
    _xlpm.ligpartie, MATCH($B390, Donnees!$F:$F, 0),
    _xlpm.joueurs, INDEX(Donnees!$A:$Z, _xlpm.ligpartie+1, _xlfn.SEQUENCE(1, 4, 2)),
    INDEX(
      Donnees!$A:$Z,
      _xlpm.ligpartie + 3,
      MATCH(D$1, _xlpm.joueurs, 0) + 1
    )
  ), ""
)</f>
        <v/>
      </c>
      <c r="E391" cm="1">
        <f t="array" ref="E391">IFERROR(
  _xlfn.LET(
    _xlpm.ligpartie, MATCH($B390, Donnees!$F:$F, 0),
    _xlpm.joueurs, INDEX(Donnees!$A:$Z, _xlpm.ligpartie+1, _xlfn.SEQUENCE(1, 4, 2)),
    INDEX(
      Donnees!$A:$Z,
      _xlpm.ligpartie + 3,
      MATCH(E$1, _xlpm.joueurs, 0) + 1
    )
  ), ""
)</f>
        <v>2</v>
      </c>
      <c r="F391" t="str" cm="1">
        <f t="array" ref="F391">IFERROR(
  _xlfn.LET(
    _xlpm.ligpartie, MATCH($B390, Donnees!$F:$F, 0),
    _xlpm.joueurs, INDEX(Donnees!$A:$Z, _xlpm.ligpartie+1, _xlfn.SEQUENCE(1, 4, 2)),
    INDEX(
      Donnees!$A:$Z,
      _xlpm.ligpartie + 3,
      MATCH(F$1, _xlpm.joueurs, 0) + 1
    )
  ), ""
)</f>
        <v/>
      </c>
      <c r="G391" cm="1">
        <f t="array" ref="G391">IFERROR(
  _xlfn.LET(
    _xlpm.ligpartie, MATCH($B390, Donnees!$F:$F, 0),
    _xlpm.joueurs, INDEX(Donnees!$A:$Z, _xlpm.ligpartie+1, _xlfn.SEQUENCE(1, 4, 2)),
    INDEX(
      Donnees!$A:$Z,
      _xlpm.ligpartie + 3,
      MATCH(G$1, _xlpm.joueurs, 0) + 1
    )
  ), ""
)</f>
        <v>1</v>
      </c>
      <c r="H391" t="str" cm="1">
        <f t="array" ref="H391">IFERROR(
  _xlfn.LET(
    _xlpm.ligpartie, MATCH($B390, Donnees!$F:$F, 0),
    _xlpm.joueurs, INDEX(Donnees!$A:$Z, _xlpm.ligpartie+1, _xlfn.SEQUENCE(1, 4, 2)),
    INDEX(
      Donnees!$A:$Z,
      _xlpm.ligpartie + 3,
      MATCH(H$1, _xlpm.joueurs, 0) + 1
    )
  ), ""
)</f>
        <v/>
      </c>
      <c r="I391" t="str" cm="1">
        <f t="array" ref="I391">IFERROR(
  _xlfn.LET(
    _xlpm.ligpartie, MATCH($B390, Donnees!$F:$F, 0),
    _xlpm.joueurs, INDEX(Donnees!$A:$Z, _xlpm.ligpartie+1, _xlfn.SEQUENCE(1, 4, 2)),
    INDEX(
      Donnees!$A:$Z,
      _xlpm.ligpartie + 3,
      MATCH(I$1, _xlpm.joueurs, 0) + 1
    )
  ), ""
)</f>
        <v/>
      </c>
      <c r="J391" t="str" cm="1">
        <f t="array" ref="J391">IFERROR(
  _xlfn.LET(
    _xlpm.ligpartie, MATCH($B390, Donnees!$F:$F, 0),
    _xlpm.joueurs, INDEX(Donnees!$A:$Z, _xlpm.ligpartie+1, _xlfn.SEQUENCE(1, 4, 2)),
    INDEX(
      Donnees!$A:$Z,
      _xlpm.ligpartie + 3,
      MATCH(J$1, _xlpm.joueurs, 0) + 1
    )
  ), ""
)</f>
        <v/>
      </c>
      <c r="K391" t="str" cm="1">
        <f t="array" ref="K391">IFERROR(
  _xlfn.LET(
    _xlpm.ligpartie, MATCH($B390, Donnees!$F:$F, 0),
    _xlpm.joueurs, INDEX(Donnees!$A:$Z, _xlpm.ligpartie+1, _xlfn.SEQUENCE(1, 4, 2)),
    INDEX(
      Donnees!$A:$Z,
      _xlpm.ligpartie + 3,
      MATCH(K$1, _xlpm.joueurs, 0) + 1
    )
  ), ""
)</f>
        <v/>
      </c>
      <c r="L391" t="str" cm="1">
        <f t="array" ref="L391">IFERROR(
  _xlfn.LET(
    _xlpm.ligpartie, MATCH($B390, Donnees!$F:$F, 0),
    _xlpm.joueurs, INDEX(Donnees!$A:$Z, _xlpm.ligpartie+1, _xlfn.SEQUENCE(1, 4, 2)),
    INDEX(
      Donnees!$A:$Z,
      _xlpm.ligpartie + 3,
      MATCH(L$1, _xlpm.joueurs, 0) + 1
    )
  ), ""
)</f>
        <v/>
      </c>
      <c r="M391" t="str" cm="1">
        <f t="array" ref="M391">IFERROR(
  _xlfn.LET(
    _xlpm.ligpartie, MATCH($B390, Donnees!$F:$F, 0),
    _xlpm.joueurs, INDEX(Donnees!$A:$Z, _xlpm.ligpartie+1, _xlfn.SEQUENCE(1, 4, 2)),
    INDEX(
      Donnees!$A:$Z,
      _xlpm.ligpartie + 3,
      MATCH(M$1, _xlpm.joueurs, 0) + 1
    )
  ), ""
)</f>
        <v/>
      </c>
      <c r="N391" t="str" cm="1">
        <f t="array" ref="N391">IFERROR(
  _xlfn.LET(
    _xlpm.ligpartie, MATCH($B390, Donnees!$F:$F, 0),
    _xlpm.joueurs, INDEX(Donnees!$A:$Z, _xlpm.ligpartie+1, _xlfn.SEQUENCE(1, 4, 2)),
    INDEX(
      Donnees!$A:$Z,
      _xlpm.ligpartie + 3,
      MATCH(N$1, _xlpm.joueurs, 0) + 1
    )
  ), ""
)</f>
        <v/>
      </c>
      <c r="O391" t="str" cm="1">
        <f t="array" ref="O391">IFERROR(
  _xlfn.LET(
    _xlpm.ligpartie, MATCH($B390, Donnees!$F:$F, 0),
    _xlpm.joueurs, INDEX(Donnees!$A:$Z, _xlpm.ligpartie+1, _xlfn.SEQUENCE(1, 4, 2)),
    INDEX(
      Donnees!$A:$Z,
      _xlpm.ligpartie + 3,
      MATCH(O$1, _xlpm.joueurs, 0) + 1
    )
  ), ""
)</f>
        <v/>
      </c>
      <c r="P391" t="str" cm="1">
        <f t="array" ref="P391">IFERROR(
  _xlfn.LET(
    _xlpm.ligpartie, MATCH($B390, Donnees!$F:$F, 0),
    _xlpm.joueurs, INDEX(Donnees!$A:$Z, _xlpm.ligpartie+1, _xlfn.SEQUENCE(1, 4, 2)),
    INDEX(
      Donnees!$A:$Z,
      _xlpm.ligpartie + 3,
      MATCH(P$1, _xlpm.joueurs, 0) + 1
    )
  ), ""
)</f>
        <v/>
      </c>
      <c r="Q391" t="str" cm="1">
        <f t="array" ref="Q391">IFERROR(
  _xlfn.LET(
    _xlpm.ligpartie, MATCH($B390, Donnees!$F:$F, 0),
    _xlpm.joueurs, INDEX(Donnees!$A:$Z, _xlpm.ligpartie+1, _xlfn.SEQUENCE(1, 4, 2)),
    INDEX(
      Donnees!$A:$Z,
      _xlpm.ligpartie + 3,
      MATCH(Q$1, _xlpm.joueurs, 0) + 1
    )
  ), ""
)</f>
        <v/>
      </c>
      <c r="R391" cm="1">
        <f t="array" ref="R391">IFERROR(
  _xlfn.LET(
    _xlpm.ligpartie, MATCH($B390, Donnees!$F:$F, 0),
    _xlpm.joueurs, INDEX(Donnees!$A:$Z, _xlpm.ligpartie+1, _xlfn.SEQUENCE(1, 4, 2)),
    INDEX(
      Donnees!$A:$Z,
      _xlpm.ligpartie + 3,
      MATCH(R$1, _xlpm.joueurs, 0) + 1
    )
  ), ""
)</f>
        <v>0</v>
      </c>
      <c r="S391" t="str" cm="1">
        <f t="array" ref="S391">IFERROR(
  _xlfn.LET(
    _xlpm.ligpartie, MATCH($B390, Donnees!$F:$F, 0),
    _xlpm.joueurs, INDEX(Donnees!$A:$Z, _xlpm.ligpartie+1, _xlfn.SEQUENCE(1, 4, 2)),
    INDEX(
      Donnees!$A:$Z,
      _xlpm.ligpartie + 3,
      MATCH(S$1, _xlpm.joueurs, 0) + 1
    )
  ), ""
)</f>
        <v/>
      </c>
      <c r="T391" t="str" cm="1">
        <f t="array" ref="T391">IFERROR(
  _xlfn.LET(
    _xlpm.ligpartie, MATCH($B390, Donnees!$F:$F, 0),
    _xlpm.joueurs, INDEX(Donnees!$A:$Z, _xlpm.ligpartie+1, _xlfn.SEQUENCE(1, 4, 2)),
    INDEX(
      Donnees!$A:$Z,
      _xlpm.ligpartie + 3,
      MATCH(T$1, _xlpm.joueurs, 0) + 1
    )
  ), ""
)</f>
        <v/>
      </c>
      <c r="U391" cm="1">
        <f t="array" ref="U391">IFERROR(
  _xlfn.LET(
    _xlpm.ligpartie, MATCH($B390, Donnees!$F:$F, 0),
    _xlpm.joueurs, INDEX(Donnees!$A:$Z, _xlpm.ligpartie+1, _xlfn.SEQUENCE(1, 4, 2)),
    INDEX(
      Donnees!$A:$Z,
      _xlpm.ligpartie + 3,
      MATCH(U$1, _xlpm.joueurs, 0) + 1
    )
  ), ""
)</f>
        <v>3</v>
      </c>
      <c r="V391" t="str" cm="1">
        <f t="array" ref="V391">IFERROR(
  _xlfn.LET(
    _xlpm.ligpartie, MATCH($B390, Donnees!$F:$F, 0),
    _xlpm.joueurs, INDEX(Donnees!$A:$Z, _xlpm.ligpartie+1, _xlfn.SEQUENCE(1, 4, 2)),
    INDEX(
      Donnees!$A:$Z,
      _xlpm.ligpartie + 3,
      MATCH(V$1, _xlpm.joueurs, 0) + 1
    )
  ), ""
)</f>
        <v/>
      </c>
      <c r="W391" t="str" cm="1">
        <f t="array" ref="W391">IFERROR(
  _xlfn.LET(
    _xlpm.ligpartie, MATCH($B390, Donnees!$F:$F, 0),
    _xlpm.joueurs, INDEX(Donnees!$A:$Z, _xlpm.ligpartie+1, _xlfn.SEQUENCE(1, 4, 2)),
    INDEX(
      Donnees!$A:$Z,
      _xlpm.ligpartie + 3,
      MATCH(W$1, _xlpm.joueurs, 0) + 1
    )
  ), ""
)</f>
        <v/>
      </c>
      <c r="X391" t="str" cm="1">
        <f t="array" ref="X391">IFERROR(
  _xlfn.LET(
    _xlpm.ligpartie, MATCH($B390, Donnees!$F:$F, 0),
    _xlpm.joueurs, INDEX(Donnees!$A:$Z, _xlpm.ligpartie+1, _xlfn.SEQUENCE(1, 4, 2)),
    INDEX(
      Donnees!$A:$Z,
      _xlpm.ligpartie + 3,
      MATCH(X$1, _xlpm.joueurs, 0) + 1
    )
  ), ""
)</f>
        <v/>
      </c>
      <c r="Y391" t="str" cm="1">
        <f t="array" ref="Y391">IFERROR(
  _xlfn.LET(
    _xlpm.ligpartie, MATCH($B390, Donnees!$F:$F, 0),
    _xlpm.joueurs, INDEX(Donnees!$A:$Z, _xlpm.ligpartie+1, _xlfn.SEQUENCE(1, 4, 2)),
    INDEX(
      Donnees!$A:$Z,
      _xlpm.ligpartie + 3,
      MATCH(Y$1, _xlpm.joueurs, 0) + 1
    )
  ), ""
)</f>
        <v/>
      </c>
      <c r="Z391" t="str" cm="1">
        <f t="array" ref="Z391">IFERROR(
  _xlfn.LET(
    _xlpm.ligpartie, MATCH($B390, Donnees!$F:$F, 0),
    _xlpm.joueurs, INDEX(Donnees!$A:$Z, _xlpm.ligpartie+1, _xlfn.SEQUENCE(1, 4, 2)),
    INDEX(
      Donnees!$A:$Z,
      _xlpm.ligpartie + 3,
      MATCH(Z$1, _xlpm.joueurs, 0) + 1
    )
  ), ""
)</f>
        <v/>
      </c>
      <c r="AA391" t="str" cm="1">
        <f t="array" ref="AA391">IFERROR(
  _xlfn.LET(
    _xlpm.ligpartie, MATCH($B390, Donnees!$F:$F, 0),
    _xlpm.joueurs, INDEX(Donnees!$A:$Z, _xlpm.ligpartie+1, _xlfn.SEQUENCE(1, 4, 2)),
    INDEX(
      Donnees!$A:$Z,
      _xlpm.ligpartie + 3,
      MATCH(AA$1, _xlpm.joueurs, 0) + 1
    )
  ), ""
)</f>
        <v/>
      </c>
      <c r="AB391" t="str" cm="1">
        <f t="array" ref="AB391">IFERROR(
  _xlfn.LET(
    _xlpm.ligpartie, MATCH($B390, Donnees!$F:$F, 0),
    _xlpm.joueurs, INDEX(Donnees!$A:$Z, _xlpm.ligpartie+1, _xlfn.SEQUENCE(1, 4, 2)),
    INDEX(
      Donnees!$A:$Z,
      _xlpm.ligpartie + 3,
      MATCH(AB$1, _xlpm.joueurs, 0) + 1
    )
  ), ""
)</f>
        <v/>
      </c>
      <c r="AC391" t="str" cm="1">
        <f t="array" ref="AC391">IFERROR(
  _xlfn.LET(
    _xlpm.ligpartie, MATCH($B390, Donnees!$F:$F, 0),
    _xlpm.joueurs, INDEX(Donnees!$A:$Z, _xlpm.ligpartie+1, _xlfn.SEQUENCE(1, 4, 2)),
    INDEX(
      Donnees!$A:$Z,
      _xlpm.ligpartie + 3,
      MATCH(AC$1, _xlpm.joueurs, 0) + 1
    )
  ), ""
)</f>
        <v/>
      </c>
      <c r="AD391" t="str" cm="1">
        <f t="array" ref="AD391">IFERROR(
  _xlfn.LET(
    _xlpm.ligpartie, MATCH($B390, Donnees!$F:$F, 0),
    _xlpm.joueurs, INDEX(Donnees!$A:$Z, _xlpm.ligpartie+1, _xlfn.SEQUENCE(1, 4, 2)),
    INDEX(
      Donnees!$A:$Z,
      _xlpm.ligpartie + 3,
      MATCH(AD$1, _xlpm.joueurs, 0) + 1
    )
  ), ""
)</f>
        <v/>
      </c>
      <c r="AE391" t="str" cm="1">
        <f t="array" ref="AE391">IFERROR(
  _xlfn.LET(
    _xlpm.ligpartie, MATCH($B390, Donnees!$F:$F, 0),
    _xlpm.joueurs, INDEX(Donnees!$A:$Z, _xlpm.ligpartie+1, _xlfn.SEQUENCE(1, 4, 2)),
    INDEX(
      Donnees!$A:$Z,
      _xlpm.ligpartie + 3,
      MATCH(AE$1, _xlpm.joueurs, 0) + 1
    )
  ), ""
)</f>
        <v/>
      </c>
      <c r="AF391" t="str" cm="1">
        <f t="array" ref="AF391">IFERROR(
  _xlfn.LET(
    _xlpm.ligpartie, MATCH($B390, Donnees!$F:$F, 0),
    _xlpm.joueurs, INDEX(Donnees!$A:$Z, _xlpm.ligpartie+1, _xlfn.SEQUENCE(1, 4, 2)),
    INDEX(
      Donnees!$A:$Z,
      _xlpm.ligpartie + 3,
      MATCH(AF$1, _xlpm.joueurs, 0) + 1
    )
  ), ""
)</f>
        <v/>
      </c>
      <c r="AG391" t="str" cm="1">
        <f t="array" ref="AG391">IFERROR(
  _xlfn.LET(
    _xlpm.ligpartie, MATCH($B390, Donnees!$F:$F, 0),
    _xlpm.joueurs, INDEX(Donnees!$A:$Z, _xlpm.ligpartie+1, _xlfn.SEQUENCE(1, 4, 2)),
    INDEX(
      Donnees!$A:$Z,
      _xlpm.ligpartie + 3,
      MATCH(AG$1, _xlpm.joueurs, 0) + 1
    )
  ), ""
)</f>
        <v/>
      </c>
      <c r="AH391" t="str" cm="1">
        <f t="array" ref="AH391">IFERROR(
  _xlfn.LET(
    _xlpm.ligpartie, MATCH($B390, Donnees!$F:$F, 0),
    _xlpm.joueurs, INDEX(Donnees!$A:$Z, _xlpm.ligpartie+1, _xlfn.SEQUENCE(1, 4, 2)),
    INDEX(
      Donnees!$A:$Z,
      _xlpm.ligpartie + 3,
      MATCH(AH$1, _xlpm.joueurs, 0) + 1
    )
  ), ""
)</f>
        <v/>
      </c>
      <c r="AI391" t="str" cm="1">
        <f t="array" ref="AI391">IFERROR(
  _xlfn.LET(
    _xlpm.ligpartie, MATCH($B390, Donnees!$F:$F, 0),
    _xlpm.joueurs, INDEX(Donnees!$A:$Z, _xlpm.ligpartie+1, _xlfn.SEQUENCE(1, 4, 2)),
    INDEX(
      Donnees!$A:$Z,
      _xlpm.ligpartie + 3,
      MATCH(AI$1, _xlpm.joueurs, 0) + 1
    )
  ), ""
)</f>
        <v/>
      </c>
      <c r="AJ391" t="str" cm="1">
        <f t="array" ref="AJ391">IFERROR(
  _xlfn.LET(
    _xlpm.ligpartie, MATCH($B390, Donnees!$F:$F, 0),
    _xlpm.joueurs, INDEX(Donnees!$A:$Z, _xlpm.ligpartie+1, _xlfn.SEQUENCE(1, 4, 2)),
    INDEX(
      Donnees!$A:$Z,
      _xlpm.ligpartie + 3,
      MATCH(AJ$1, _xlpm.joueurs, 0) + 1
    )
  ), ""
)</f>
        <v/>
      </c>
      <c r="AK391" t="str" cm="1">
        <f t="array" ref="AK391">IFERROR(
  _xlfn.LET(
    _xlpm.ligpartie, MATCH($B390, Donnees!$F:$F, 0),
    _xlpm.joueurs, INDEX(Donnees!$A:$Z, _xlpm.ligpartie+1, _xlfn.SEQUENCE(1, 4, 2)),
    INDEX(
      Donnees!$A:$Z,
      _xlpm.ligpartie + 3,
      MATCH(AK$1, _xlpm.joueurs, 0) + 1
    )
  ), ""
)</f>
        <v/>
      </c>
      <c r="AL391" t="str" cm="1">
        <f t="array" ref="AL391">IFERROR(
  _xlfn.LET(
    _xlpm.ligpartie, MATCH($B390, Donnees!$F:$F, 0),
    _xlpm.joueurs, INDEX(Donnees!$A:$Z, _xlpm.ligpartie+1, _xlfn.SEQUENCE(1, 4, 2)),
    INDEX(
      Donnees!$A:$Z,
      _xlpm.ligpartie + 3,
      MATCH(AL$1, _xlpm.joueurs, 0) + 1
    )
  ), ""
)</f>
        <v/>
      </c>
      <c r="AM391" t="str" cm="1">
        <f t="array" ref="AM391">IFERROR(
  _xlfn.LET(
    _xlpm.ligpartie, MATCH($B390, Donnees!$F:$F, 0),
    _xlpm.joueurs, INDEX(Donnees!$A:$Z, _xlpm.ligpartie+1, _xlfn.SEQUENCE(1, 4, 2)),
    INDEX(
      Donnees!$A:$Z,
      _xlpm.ligpartie + 3,
      MATCH(AM$1, _xlpm.joueurs, 0) + 1
    )
  ), ""
)</f>
        <v/>
      </c>
    </row>
    <row r="392" spans="1:39" x14ac:dyDescent="0.25">
      <c r="A392" t="s">
        <v>20</v>
      </c>
      <c r="D392" t="str" cm="1">
        <f t="array" ref="D392">_xlfn.LET(
  _xlpm.colj, _xlfn._xlws.FILTER(IF(ISNUMBER(391:391), COLUMN(391:391)), ISNUMBER(391:391)),
  _xlpm.elos, INDEX(390:390,1,_xlpm.colj),
  _xlpm.diffscale, Constantes!$B$2,
  IF(D391="",
    "",
    SUM(1/(1+POWER(10,-(D390-_xlpm.elos)/_xlpm.diffscale)))-0.5)
)</f>
        <v/>
      </c>
      <c r="E392" cm="1">
        <f t="array" ref="E392">_xlfn.LET(
  _xlpm.colj, _xlfn._xlws.FILTER(IF(ISNUMBER(391:391), COLUMN(391:391)), ISNUMBER(391:391)),
  _xlpm.elos, INDEX(390:390,1,_xlpm.colj),
  _xlpm.diffscale, Constantes!$B$2,
  IF(E391="",
    "",
    SUM(1/(1+POWER(10,-(E390-_xlpm.elos)/_xlpm.diffscale)))-0.5)
)</f>
        <v>1.588694811504757</v>
      </c>
      <c r="F392" t="str" cm="1">
        <f t="array" ref="F392">_xlfn.LET(
  _xlpm.colj, _xlfn._xlws.FILTER(IF(ISNUMBER(391:391), COLUMN(391:391)), ISNUMBER(391:391)),
  _xlpm.elos, INDEX(390:390,1,_xlpm.colj),
  _xlpm.diffscale, Constantes!$B$2,
  IF(F391="",
    "",
    SUM(1/(1+POWER(10,-(F390-_xlpm.elos)/_xlpm.diffscale)))-0.5)
)</f>
        <v/>
      </c>
      <c r="G392" cm="1">
        <f t="array" ref="G392">_xlfn.LET(
  _xlpm.colj, _xlfn._xlws.FILTER(IF(ISNUMBER(391:391), COLUMN(391:391)), ISNUMBER(391:391)),
  _xlpm.elos, INDEX(390:390,1,_xlpm.colj),
  _xlpm.diffscale, Constantes!$B$2,
  IF(G391="",
    "",
    SUM(1/(1+POWER(10,-(G390-_xlpm.elos)/_xlpm.diffscale)))-0.5)
)</f>
        <v>1.2088029022547628</v>
      </c>
      <c r="H392" t="str" cm="1">
        <f t="array" ref="H392">_xlfn.LET(
  _xlpm.colj, _xlfn._xlws.FILTER(IF(ISNUMBER(391:391), COLUMN(391:391)), ISNUMBER(391:391)),
  _xlpm.elos, INDEX(390:390,1,_xlpm.colj),
  _xlpm.diffscale, Constantes!$B$2,
  IF(H391="",
    "",
    SUM(1/(1+POWER(10,-(H390-_xlpm.elos)/_xlpm.diffscale)))-0.5)
)</f>
        <v/>
      </c>
      <c r="I392" t="str" cm="1">
        <f t="array" ref="I392">_xlfn.LET(
  _xlpm.colj, _xlfn._xlws.FILTER(IF(ISNUMBER(391:391), COLUMN(391:391)), ISNUMBER(391:391)),
  _xlpm.elos, INDEX(390:390,1,_xlpm.colj),
  _xlpm.diffscale, Constantes!$B$2,
  IF(I391="",
    "",
    SUM(1/(1+POWER(10,-(I390-_xlpm.elos)/_xlpm.diffscale)))-0.5)
)</f>
        <v/>
      </c>
      <c r="J392" t="str" cm="1">
        <f t="array" ref="J392">_xlfn.LET(
  _xlpm.colj, _xlfn._xlws.FILTER(IF(ISNUMBER(391:391), COLUMN(391:391)), ISNUMBER(391:391)),
  _xlpm.elos, INDEX(390:390,1,_xlpm.colj),
  _xlpm.diffscale, Constantes!$B$2,
  IF(J391="",
    "",
    SUM(1/(1+POWER(10,-(J390-_xlpm.elos)/_xlpm.diffscale)))-0.5)
)</f>
        <v/>
      </c>
      <c r="K392" t="str" cm="1">
        <f t="array" ref="K392">_xlfn.LET(
  _xlpm.colj, _xlfn._xlws.FILTER(IF(ISNUMBER(391:391), COLUMN(391:391)), ISNUMBER(391:391)),
  _xlpm.elos, INDEX(390:390,1,_xlpm.colj),
  _xlpm.diffscale, Constantes!$B$2,
  IF(K391="",
    "",
    SUM(1/(1+POWER(10,-(K390-_xlpm.elos)/_xlpm.diffscale)))-0.5)
)</f>
        <v/>
      </c>
      <c r="L392" t="str" cm="1">
        <f t="array" ref="L392">_xlfn.LET(
  _xlpm.colj, _xlfn._xlws.FILTER(IF(ISNUMBER(391:391), COLUMN(391:391)), ISNUMBER(391:391)),
  _xlpm.elos, INDEX(390:390,1,_xlpm.colj),
  _xlpm.diffscale, Constantes!$B$2,
  IF(L391="",
    "",
    SUM(1/(1+POWER(10,-(L390-_xlpm.elos)/_xlpm.diffscale)))-0.5)
)</f>
        <v/>
      </c>
      <c r="M392" t="str" cm="1">
        <f t="array" ref="M392">_xlfn.LET(
  _xlpm.colj, _xlfn._xlws.FILTER(IF(ISNUMBER(391:391), COLUMN(391:391)), ISNUMBER(391:391)),
  _xlpm.elos, INDEX(390:390,1,_xlpm.colj),
  _xlpm.diffscale, Constantes!$B$2,
  IF(M391="",
    "",
    SUM(1/(1+POWER(10,-(M390-_xlpm.elos)/_xlpm.diffscale)))-0.5)
)</f>
        <v/>
      </c>
      <c r="N392" t="str" cm="1">
        <f t="array" ref="N392">_xlfn.LET(
  _xlpm.colj, _xlfn._xlws.FILTER(IF(ISNUMBER(391:391), COLUMN(391:391)), ISNUMBER(391:391)),
  _xlpm.elos, INDEX(390:390,1,_xlpm.colj),
  _xlpm.diffscale, Constantes!$B$2,
  IF(N391="",
    "",
    SUM(1/(1+POWER(10,-(N390-_xlpm.elos)/_xlpm.diffscale)))-0.5)
)</f>
        <v/>
      </c>
      <c r="O392" t="str" cm="1">
        <f t="array" ref="O392">_xlfn.LET(
  _xlpm.colj, _xlfn._xlws.FILTER(IF(ISNUMBER(391:391), COLUMN(391:391)), ISNUMBER(391:391)),
  _xlpm.elos, INDEX(390:390,1,_xlpm.colj),
  _xlpm.diffscale, Constantes!$B$2,
  IF(O391="",
    "",
    SUM(1/(1+POWER(10,-(O390-_xlpm.elos)/_xlpm.diffscale)))-0.5)
)</f>
        <v/>
      </c>
      <c r="P392" t="str" cm="1">
        <f t="array" ref="P392">_xlfn.LET(
  _xlpm.colj, _xlfn._xlws.FILTER(IF(ISNUMBER(391:391), COLUMN(391:391)), ISNUMBER(391:391)),
  _xlpm.elos, INDEX(390:390,1,_xlpm.colj),
  _xlpm.diffscale, Constantes!$B$2,
  IF(P391="",
    "",
    SUM(1/(1+POWER(10,-(P390-_xlpm.elos)/_xlpm.diffscale)))-0.5)
)</f>
        <v/>
      </c>
      <c r="Q392" t="str" cm="1">
        <f t="array" ref="Q392">_xlfn.LET(
  _xlpm.colj, _xlfn._xlws.FILTER(IF(ISNUMBER(391:391), COLUMN(391:391)), ISNUMBER(391:391)),
  _xlpm.elos, INDEX(390:390,1,_xlpm.colj),
  _xlpm.diffscale, Constantes!$B$2,
  IF(Q391="",
    "",
    SUM(1/(1+POWER(10,-(Q390-_xlpm.elos)/_xlpm.diffscale)))-0.5)
)</f>
        <v/>
      </c>
      <c r="R392" cm="1">
        <f t="array" ref="R392">_xlfn.LET(
  _xlpm.colj, _xlfn._xlws.FILTER(IF(ISNUMBER(391:391), COLUMN(391:391)), ISNUMBER(391:391)),
  _xlpm.elos, INDEX(390:390,1,_xlpm.colj),
  _xlpm.diffscale, Constantes!$B$2,
  IF(R391="",
    "",
    SUM(1/(1+POWER(10,-(R390-_xlpm.elos)/_xlpm.diffscale)))-0.5)
)</f>
        <v>1.2915211264243842</v>
      </c>
      <c r="S392" t="str" cm="1">
        <f t="array" ref="S392">_xlfn.LET(
  _xlpm.colj, _xlfn._xlws.FILTER(IF(ISNUMBER(391:391), COLUMN(391:391)), ISNUMBER(391:391)),
  _xlpm.elos, INDEX(390:390,1,_xlpm.colj),
  _xlpm.diffscale, Constantes!$B$2,
  IF(S391="",
    "",
    SUM(1/(1+POWER(10,-(S390-_xlpm.elos)/_xlpm.diffscale)))-0.5)
)</f>
        <v/>
      </c>
      <c r="T392" t="str" cm="1">
        <f t="array" ref="T392">_xlfn.LET(
  _xlpm.colj, _xlfn._xlws.FILTER(IF(ISNUMBER(391:391), COLUMN(391:391)), ISNUMBER(391:391)),
  _xlpm.elos, INDEX(390:390,1,_xlpm.colj),
  _xlpm.diffscale, Constantes!$B$2,
  IF(T391="",
    "",
    SUM(1/(1+POWER(10,-(T390-_xlpm.elos)/_xlpm.diffscale)))-0.5)
)</f>
        <v/>
      </c>
      <c r="U392" cm="1">
        <f t="array" ref="U392">_xlfn.LET(
  _xlpm.colj, _xlfn._xlws.FILTER(IF(ISNUMBER(391:391), COLUMN(391:391)), ISNUMBER(391:391)),
  _xlpm.elos, INDEX(390:390,1,_xlpm.colj),
  _xlpm.diffscale, Constantes!$B$2,
  IF(U391="",
    "",
    SUM(1/(1+POWER(10,-(U390-_xlpm.elos)/_xlpm.diffscale)))-0.5)
)</f>
        <v>1.910981159816096</v>
      </c>
      <c r="V392" t="str" cm="1">
        <f t="array" ref="V392">_xlfn.LET(
  _xlpm.colj, _xlfn._xlws.FILTER(IF(ISNUMBER(391:391), COLUMN(391:391)), ISNUMBER(391:391)),
  _xlpm.elos, INDEX(390:390,1,_xlpm.colj),
  _xlpm.diffscale, Constantes!$B$2,
  IF(V391="",
    "",
    SUM(1/(1+POWER(10,-(V390-_xlpm.elos)/_xlpm.diffscale)))-0.5)
)</f>
        <v/>
      </c>
      <c r="W392" t="str" cm="1">
        <f t="array" ref="W392">_xlfn.LET(
  _xlpm.colj, _xlfn._xlws.FILTER(IF(ISNUMBER(391:391), COLUMN(391:391)), ISNUMBER(391:391)),
  _xlpm.elos, INDEX(390:390,1,_xlpm.colj),
  _xlpm.diffscale, Constantes!$B$2,
  IF(W391="",
    "",
    SUM(1/(1+POWER(10,-(W390-_xlpm.elos)/_xlpm.diffscale)))-0.5)
)</f>
        <v/>
      </c>
      <c r="X392" t="str" cm="1">
        <f t="array" ref="X392">_xlfn.LET(
  _xlpm.colj, _xlfn._xlws.FILTER(IF(ISNUMBER(391:391), COLUMN(391:391)), ISNUMBER(391:391)),
  _xlpm.elos, INDEX(390:390,1,_xlpm.colj),
  _xlpm.diffscale, Constantes!$B$2,
  IF(X391="",
    "",
    SUM(1/(1+POWER(10,-(X390-_xlpm.elos)/_xlpm.diffscale)))-0.5)
)</f>
        <v/>
      </c>
      <c r="Y392" t="str" cm="1">
        <f t="array" ref="Y392">_xlfn.LET(
  _xlpm.colj, _xlfn._xlws.FILTER(IF(ISNUMBER(391:391), COLUMN(391:391)), ISNUMBER(391:391)),
  _xlpm.elos, INDEX(390:390,1,_xlpm.colj),
  _xlpm.diffscale, Constantes!$B$2,
  IF(Y391="",
    "",
    SUM(1/(1+POWER(10,-(Y390-_xlpm.elos)/_xlpm.diffscale)))-0.5)
)</f>
        <v/>
      </c>
      <c r="Z392" t="str" cm="1">
        <f t="array" ref="Z392">_xlfn.LET(
  _xlpm.colj, _xlfn._xlws.FILTER(IF(ISNUMBER(391:391), COLUMN(391:391)), ISNUMBER(391:391)),
  _xlpm.elos, INDEX(390:390,1,_xlpm.colj),
  _xlpm.diffscale, Constantes!$B$2,
  IF(Z391="",
    "",
    SUM(1/(1+POWER(10,-(Z390-_xlpm.elos)/_xlpm.diffscale)))-0.5)
)</f>
        <v/>
      </c>
      <c r="AA392" t="str" cm="1">
        <f t="array" ref="AA392">_xlfn.LET(
  _xlpm.colj, _xlfn._xlws.FILTER(IF(ISNUMBER(391:391), COLUMN(391:391)), ISNUMBER(391:391)),
  _xlpm.elos, INDEX(390:390,1,_xlpm.colj),
  _xlpm.diffscale, Constantes!$B$2,
  IF(AA391="",
    "",
    SUM(1/(1+POWER(10,-(AA390-_xlpm.elos)/_xlpm.diffscale)))-0.5)
)</f>
        <v/>
      </c>
      <c r="AB392" t="str" cm="1">
        <f t="array" ref="AB392">_xlfn.LET(
  _xlpm.colj, _xlfn._xlws.FILTER(IF(ISNUMBER(391:391), COLUMN(391:391)), ISNUMBER(391:391)),
  _xlpm.elos, INDEX(390:390,1,_xlpm.colj),
  _xlpm.diffscale, Constantes!$B$2,
  IF(AB391="",
    "",
    SUM(1/(1+POWER(10,-(AB390-_xlpm.elos)/_xlpm.diffscale)))-0.5)
)</f>
        <v/>
      </c>
      <c r="AC392" t="str" cm="1">
        <f t="array" ref="AC392">_xlfn.LET(
  _xlpm.colj, _xlfn._xlws.FILTER(IF(ISNUMBER(391:391), COLUMN(391:391)), ISNUMBER(391:391)),
  _xlpm.elos, INDEX(390:390,1,_xlpm.colj),
  _xlpm.diffscale, Constantes!$B$2,
  IF(AC391="",
    "",
    SUM(1/(1+POWER(10,-(AC390-_xlpm.elos)/_xlpm.diffscale)))-0.5)
)</f>
        <v/>
      </c>
      <c r="AD392" t="str" cm="1">
        <f t="array" ref="AD392">_xlfn.LET(
  _xlpm.colj, _xlfn._xlws.FILTER(IF(ISNUMBER(391:391), COLUMN(391:391)), ISNUMBER(391:391)),
  _xlpm.elos, INDEX(390:390,1,_xlpm.colj),
  _xlpm.diffscale, Constantes!$B$2,
  IF(AD391="",
    "",
    SUM(1/(1+POWER(10,-(AD390-_xlpm.elos)/_xlpm.diffscale)))-0.5)
)</f>
        <v/>
      </c>
      <c r="AE392" t="str" cm="1">
        <f t="array" ref="AE392">_xlfn.LET(
  _xlpm.colj, _xlfn._xlws.FILTER(IF(ISNUMBER(391:391), COLUMN(391:391)), ISNUMBER(391:391)),
  _xlpm.elos, INDEX(390:390,1,_xlpm.colj),
  _xlpm.diffscale, Constantes!$B$2,
  IF(AE391="",
    "",
    SUM(1/(1+POWER(10,-(AE390-_xlpm.elos)/_xlpm.diffscale)))-0.5)
)</f>
        <v/>
      </c>
      <c r="AF392" t="str" cm="1">
        <f t="array" ref="AF392">_xlfn.LET(
  _xlpm.colj, _xlfn._xlws.FILTER(IF(ISNUMBER(391:391), COLUMN(391:391)), ISNUMBER(391:391)),
  _xlpm.elos, INDEX(390:390,1,_xlpm.colj),
  _xlpm.diffscale, Constantes!$B$2,
  IF(AF391="",
    "",
    SUM(1/(1+POWER(10,-(AF390-_xlpm.elos)/_xlpm.diffscale)))-0.5)
)</f>
        <v/>
      </c>
      <c r="AG392" t="str" cm="1">
        <f t="array" ref="AG392">_xlfn.LET(
  _xlpm.colj, _xlfn._xlws.FILTER(IF(ISNUMBER(391:391), COLUMN(391:391)), ISNUMBER(391:391)),
  _xlpm.elos, INDEX(390:390,1,_xlpm.colj),
  _xlpm.diffscale, Constantes!$B$2,
  IF(AG391="",
    "",
    SUM(1/(1+POWER(10,-(AG390-_xlpm.elos)/_xlpm.diffscale)))-0.5)
)</f>
        <v/>
      </c>
      <c r="AH392" t="str" cm="1">
        <f t="array" ref="AH392">_xlfn.LET(
  _xlpm.colj, _xlfn._xlws.FILTER(IF(ISNUMBER(391:391), COLUMN(391:391)), ISNUMBER(391:391)),
  _xlpm.elos, INDEX(390:390,1,_xlpm.colj),
  _xlpm.diffscale, Constantes!$B$2,
  IF(AH391="",
    "",
    SUM(1/(1+POWER(10,-(AH390-_xlpm.elos)/_xlpm.diffscale)))-0.5)
)</f>
        <v/>
      </c>
      <c r="AI392" t="str" cm="1">
        <f t="array" ref="AI392">_xlfn.LET(
  _xlpm.colj, _xlfn._xlws.FILTER(IF(ISNUMBER(391:391), COLUMN(391:391)), ISNUMBER(391:391)),
  _xlpm.elos, INDEX(390:390,1,_xlpm.colj),
  _xlpm.diffscale, Constantes!$B$2,
  IF(AI391="",
    "",
    SUM(1/(1+POWER(10,-(AI390-_xlpm.elos)/_xlpm.diffscale)))-0.5)
)</f>
        <v/>
      </c>
      <c r="AJ392" t="str" cm="1">
        <f t="array" ref="AJ392">_xlfn.LET(
  _xlpm.colj, _xlfn._xlws.FILTER(IF(ISNUMBER(391:391), COLUMN(391:391)), ISNUMBER(391:391)),
  _xlpm.elos, INDEX(390:390,1,_xlpm.colj),
  _xlpm.diffscale, Constantes!$B$2,
  IF(AJ391="",
    "",
    SUM(1/(1+POWER(10,-(AJ390-_xlpm.elos)/_xlpm.diffscale)))-0.5)
)</f>
        <v/>
      </c>
      <c r="AK392" t="str" cm="1">
        <f t="array" ref="AK392">_xlfn.LET(
  _xlpm.colj, _xlfn._xlws.FILTER(IF(ISNUMBER(391:391), COLUMN(391:391)), ISNUMBER(391:391)),
  _xlpm.elos, INDEX(390:390,1,_xlpm.colj),
  _xlpm.diffscale, Constantes!$B$2,
  IF(AK391="",
    "",
    SUM(1/(1+POWER(10,-(AK390-_xlpm.elos)/_xlpm.diffscale)))-0.5)
)</f>
        <v/>
      </c>
      <c r="AL392" t="str" cm="1">
        <f t="array" ref="AL392">_xlfn.LET(
  _xlpm.colj, _xlfn._xlws.FILTER(IF(ISNUMBER(391:391), COLUMN(391:391)), ISNUMBER(391:391)),
  _xlpm.elos, INDEX(390:390,1,_xlpm.colj),
  _xlpm.diffscale, Constantes!$B$2,
  IF(AL391="",
    "",
    SUM(1/(1+POWER(10,-(AL390-_xlpm.elos)/_xlpm.diffscale)))-0.5)
)</f>
        <v/>
      </c>
      <c r="AM392" t="str" cm="1">
        <f t="array" ref="AM392">_xlfn.LET(
  _xlpm.colj, _xlfn._xlws.FILTER(IF(ISNUMBER(391:391), COLUMN(391:391)), ISNUMBER(391:391)),
  _xlpm.elos, INDEX(390:390,1,_xlpm.colj),
  _xlpm.diffscale, Constantes!$B$2,
  IF(AM391="",
    "",
    SUM(1/(1+POWER(10,-(AM390-_xlpm.elos)/_xlpm.diffscale)))-0.5)
)</f>
        <v/>
      </c>
    </row>
    <row r="393" spans="1:39" x14ac:dyDescent="0.25">
      <c r="A393" t="s">
        <v>22</v>
      </c>
      <c r="D393" t="str" cm="1">
        <f t="array" ref="D393">_xlfn.LET(
  _xlpm.K, Constantes!$B$3,
  _xlpm.Knewgain, Constantes!$B$4,
  _xlpm.Knewscale, Constantes!$B$5,
  _xlpm.ptstables, INDEX(D:D, _xlfn.SEQUENCE(COUNTA($C$2:$C393), 1, 3, 4)),
  _xlpm.nbparties, COUNTA(_xlfn._xlws.FILTER(_xlpm.ptstables, _xlpm.ptstables &lt;&gt; "")),
  _xlpm.coef, _xlpm.K + _xlpm.Knewgain / (_xlpm.Knewscale + _xlpm.nbparties),
  IF(D391="",
    "",
    _xlpm.coef * (D391-D392))
)</f>
        <v/>
      </c>
      <c r="E393" cm="1">
        <f t="array" ref="E393">_xlfn.LET(
  _xlpm.K, Constantes!$B$3,
  _xlpm.Knewgain, Constantes!$B$4,
  _xlpm.Knewscale, Constantes!$B$5,
  _xlpm.ptstables, INDEX(E:E, _xlfn.SEQUENCE(COUNTA($C$2:$C393), 1, 3, 4)),
  _xlpm.nbparties, COUNTA(_xlfn._xlws.FILTER(_xlpm.ptstables, _xlpm.ptstables &lt;&gt; "")),
  _xlpm.coef, _xlpm.K + _xlpm.Knewgain / (_xlpm.Knewscale + _xlpm.nbparties),
  IF(E391="",
    "",
    _xlpm.coef * (E391-E392))
)</f>
        <v>9.1202454840249541</v>
      </c>
      <c r="F393" t="str" cm="1">
        <f t="array" ref="F393">_xlfn.LET(
  _xlpm.K, Constantes!$B$3,
  _xlpm.Knewgain, Constantes!$B$4,
  _xlpm.Knewscale, Constantes!$B$5,
  _xlpm.ptstables, INDEX(F:F, _xlfn.SEQUENCE(COUNTA($C$2:$C393), 1, 3, 4)),
  _xlpm.nbparties, COUNTA(_xlfn._xlws.FILTER(_xlpm.ptstables, _xlpm.ptstables &lt;&gt; "")),
  _xlpm.coef, _xlpm.K + _xlpm.Knewgain / (_xlpm.Knewscale + _xlpm.nbparties),
  IF(F391="",
    "",
    _xlpm.coef * (F391-F392))
)</f>
        <v/>
      </c>
      <c r="G393" cm="1">
        <f t="array" ref="G393">_xlfn.LET(
  _xlpm.K, Constantes!$B$3,
  _xlpm.Knewgain, Constantes!$B$4,
  _xlpm.Knewscale, Constantes!$B$5,
  _xlpm.ptstables, INDEX(G:G, _xlfn.SEQUENCE(COUNTA($C$2:$C393), 1, 3, 4)),
  _xlpm.nbparties, COUNTA(_xlfn._xlws.FILTER(_xlpm.ptstables, _xlpm.ptstables &lt;&gt; "")),
  _xlpm.coef, _xlpm.K + _xlpm.Knewgain / (_xlpm.Knewscale + _xlpm.nbparties),
  IF(G391="",
    "",
    _xlpm.coef * (G391-G392))
)</f>
        <v>-4.5128369196997129</v>
      </c>
      <c r="H393" t="str" cm="1">
        <f t="array" ref="H393">_xlfn.LET(
  _xlpm.K, Constantes!$B$3,
  _xlpm.Knewgain, Constantes!$B$4,
  _xlpm.Knewscale, Constantes!$B$5,
  _xlpm.ptstables, INDEX(H:H, _xlfn.SEQUENCE(COUNTA($C$2:$C393), 1, 3, 4)),
  _xlpm.nbparties, COUNTA(_xlfn._xlws.FILTER(_xlpm.ptstables, _xlpm.ptstables &lt;&gt; "")),
  _xlpm.coef, _xlpm.K + _xlpm.Knewgain / (_xlpm.Knewscale + _xlpm.nbparties),
  IF(H391="",
    "",
    _xlpm.coef * (H391-H392))
)</f>
        <v/>
      </c>
      <c r="I393" t="str" cm="1">
        <f t="array" ref="I393">_xlfn.LET(
  _xlpm.K, Constantes!$B$3,
  _xlpm.Knewgain, Constantes!$B$4,
  _xlpm.Knewscale, Constantes!$B$5,
  _xlpm.ptstables, INDEX(I:I, _xlfn.SEQUENCE(COUNTA($C$2:$C393), 1, 3, 4)),
  _xlpm.nbparties, COUNTA(_xlfn._xlws.FILTER(_xlpm.ptstables, _xlpm.ptstables &lt;&gt; "")),
  _xlpm.coef, _xlpm.K + _xlpm.Knewgain / (_xlpm.Knewscale + _xlpm.nbparties),
  IF(I391="",
    "",
    _xlpm.coef * (I391-I392))
)</f>
        <v/>
      </c>
      <c r="J393" t="str" cm="1">
        <f t="array" ref="J393">_xlfn.LET(
  _xlpm.K, Constantes!$B$3,
  _xlpm.Knewgain, Constantes!$B$4,
  _xlpm.Knewscale, Constantes!$B$5,
  _xlpm.ptstables, INDEX(J:J, _xlfn.SEQUENCE(COUNTA($C$2:$C393), 1, 3, 4)),
  _xlpm.nbparties, COUNTA(_xlfn._xlws.FILTER(_xlpm.ptstables, _xlpm.ptstables &lt;&gt; "")),
  _xlpm.coef, _xlpm.K + _xlpm.Knewgain / (_xlpm.Knewscale + _xlpm.nbparties),
  IF(J391="",
    "",
    _xlpm.coef * (J391-J392))
)</f>
        <v/>
      </c>
      <c r="K393" t="str" cm="1">
        <f t="array" ref="K393">_xlfn.LET(
  _xlpm.K, Constantes!$B$3,
  _xlpm.Knewgain, Constantes!$B$4,
  _xlpm.Knewscale, Constantes!$B$5,
  _xlpm.ptstables, INDEX(K:K, _xlfn.SEQUENCE(COUNTA($C$2:$C393), 1, 3, 4)),
  _xlpm.nbparties, COUNTA(_xlfn._xlws.FILTER(_xlpm.ptstables, _xlpm.ptstables &lt;&gt; "")),
  _xlpm.coef, _xlpm.K + _xlpm.Knewgain / (_xlpm.Knewscale + _xlpm.nbparties),
  IF(K391="",
    "",
    _xlpm.coef * (K391-K392))
)</f>
        <v/>
      </c>
      <c r="L393" t="str" cm="1">
        <f t="array" ref="L393">_xlfn.LET(
  _xlpm.K, Constantes!$B$3,
  _xlpm.Knewgain, Constantes!$B$4,
  _xlpm.Knewscale, Constantes!$B$5,
  _xlpm.ptstables, INDEX(L:L, _xlfn.SEQUENCE(COUNTA($C$2:$C393), 1, 3, 4)),
  _xlpm.nbparties, COUNTA(_xlfn._xlws.FILTER(_xlpm.ptstables, _xlpm.ptstables &lt;&gt; "")),
  _xlpm.coef, _xlpm.K + _xlpm.Knewgain / (_xlpm.Knewscale + _xlpm.nbparties),
  IF(L391="",
    "",
    _xlpm.coef * (L391-L392))
)</f>
        <v/>
      </c>
      <c r="M393" t="str" cm="1">
        <f t="array" ref="M393">_xlfn.LET(
  _xlpm.K, Constantes!$B$3,
  _xlpm.Knewgain, Constantes!$B$4,
  _xlpm.Knewscale, Constantes!$B$5,
  _xlpm.ptstables, INDEX(M:M, _xlfn.SEQUENCE(COUNTA($C$2:$C393), 1, 3, 4)),
  _xlpm.nbparties, COUNTA(_xlfn._xlws.FILTER(_xlpm.ptstables, _xlpm.ptstables &lt;&gt; "")),
  _xlpm.coef, _xlpm.K + _xlpm.Knewgain / (_xlpm.Knewscale + _xlpm.nbparties),
  IF(M391="",
    "",
    _xlpm.coef * (M391-M392))
)</f>
        <v/>
      </c>
      <c r="N393" t="str" cm="1">
        <f t="array" ref="N393">_xlfn.LET(
  _xlpm.K, Constantes!$B$3,
  _xlpm.Knewgain, Constantes!$B$4,
  _xlpm.Knewscale, Constantes!$B$5,
  _xlpm.ptstables, INDEX(N:N, _xlfn.SEQUENCE(COUNTA($C$2:$C393), 1, 3, 4)),
  _xlpm.nbparties, COUNTA(_xlfn._xlws.FILTER(_xlpm.ptstables, _xlpm.ptstables &lt;&gt; "")),
  _xlpm.coef, _xlpm.K + _xlpm.Knewgain / (_xlpm.Knewscale + _xlpm.nbparties),
  IF(N391="",
    "",
    _xlpm.coef * (N391-N392))
)</f>
        <v/>
      </c>
      <c r="O393" t="str" cm="1">
        <f t="array" ref="O393">_xlfn.LET(
  _xlpm.K, Constantes!$B$3,
  _xlpm.Knewgain, Constantes!$B$4,
  _xlpm.Knewscale, Constantes!$B$5,
  _xlpm.ptstables, INDEX(O:O, _xlfn.SEQUENCE(COUNTA($C$2:$C393), 1, 3, 4)),
  _xlpm.nbparties, COUNTA(_xlfn._xlws.FILTER(_xlpm.ptstables, _xlpm.ptstables &lt;&gt; "")),
  _xlpm.coef, _xlpm.K + _xlpm.Knewgain / (_xlpm.Knewscale + _xlpm.nbparties),
  IF(O391="",
    "",
    _xlpm.coef * (O391-O392))
)</f>
        <v/>
      </c>
      <c r="P393" t="str" cm="1">
        <f t="array" ref="P393">_xlfn.LET(
  _xlpm.K, Constantes!$B$3,
  _xlpm.Knewgain, Constantes!$B$4,
  _xlpm.Knewscale, Constantes!$B$5,
  _xlpm.ptstables, INDEX(P:P, _xlfn.SEQUENCE(COUNTA($C$2:$C393), 1, 3, 4)),
  _xlpm.nbparties, COUNTA(_xlfn._xlws.FILTER(_xlpm.ptstables, _xlpm.ptstables &lt;&gt; "")),
  _xlpm.coef, _xlpm.K + _xlpm.Knewgain / (_xlpm.Knewscale + _xlpm.nbparties),
  IF(P391="",
    "",
    _xlpm.coef * (P391-P392))
)</f>
        <v/>
      </c>
      <c r="Q393" t="str" cm="1">
        <f t="array" ref="Q393">_xlfn.LET(
  _xlpm.K, Constantes!$B$3,
  _xlpm.Knewgain, Constantes!$B$4,
  _xlpm.Knewscale, Constantes!$B$5,
  _xlpm.ptstables, INDEX(Q:Q, _xlfn.SEQUENCE(COUNTA($C$2:$C393), 1, 3, 4)),
  _xlpm.nbparties, COUNTA(_xlfn._xlws.FILTER(_xlpm.ptstables, _xlpm.ptstables &lt;&gt; "")),
  _xlpm.coef, _xlpm.K + _xlpm.Knewgain / (_xlpm.Knewscale + _xlpm.nbparties),
  IF(Q391="",
    "",
    _xlpm.coef * (Q391-Q392))
)</f>
        <v/>
      </c>
      <c r="R393" cm="1">
        <f t="array" ref="R393">_xlfn.LET(
  _xlpm.K, Constantes!$B$3,
  _xlpm.Knewgain, Constantes!$B$4,
  _xlpm.Knewscale, Constantes!$B$5,
  _xlpm.ptstables, INDEX(R:R, _xlfn.SEQUENCE(COUNTA($C$2:$C393), 1, 3, 4)),
  _xlpm.nbparties, COUNTA(_xlfn._xlws.FILTER(_xlpm.ptstables, _xlpm.ptstables &lt;&gt; "")),
  _xlpm.coef, _xlpm.K + _xlpm.Knewgain / (_xlpm.Knewscale + _xlpm.nbparties),
  IF(R391="",
    "",
    _xlpm.coef * (R391-R392))
)</f>
        <v>-28.31411700238073</v>
      </c>
      <c r="S393" t="str" cm="1">
        <f t="array" ref="S393">_xlfn.LET(
  _xlpm.K, Constantes!$B$3,
  _xlpm.Knewgain, Constantes!$B$4,
  _xlpm.Knewscale, Constantes!$B$5,
  _xlpm.ptstables, INDEX(S:S, _xlfn.SEQUENCE(COUNTA($C$2:$C393), 1, 3, 4)),
  _xlpm.nbparties, COUNTA(_xlfn._xlws.FILTER(_xlpm.ptstables, _xlpm.ptstables &lt;&gt; "")),
  _xlpm.coef, _xlpm.K + _xlpm.Knewgain / (_xlpm.Knewscale + _xlpm.nbparties),
  IF(S391="",
    "",
    _xlpm.coef * (S391-S392))
)</f>
        <v/>
      </c>
      <c r="T393" t="str" cm="1">
        <f t="array" ref="T393">_xlfn.LET(
  _xlpm.K, Constantes!$B$3,
  _xlpm.Knewgain, Constantes!$B$4,
  _xlpm.Knewscale, Constantes!$B$5,
  _xlpm.ptstables, INDEX(T:T, _xlfn.SEQUENCE(COUNTA($C$2:$C393), 1, 3, 4)),
  _xlpm.nbparties, COUNTA(_xlfn._xlws.FILTER(_xlpm.ptstables, _xlpm.ptstables &lt;&gt; "")),
  _xlpm.coef, _xlpm.K + _xlpm.Knewgain / (_xlpm.Knewscale + _xlpm.nbparties),
  IF(T391="",
    "",
    _xlpm.coef * (T391-T392))
)</f>
        <v/>
      </c>
      <c r="U393" cm="1">
        <f t="array" ref="U393">_xlfn.LET(
  _xlpm.K, Constantes!$B$3,
  _xlpm.Knewgain, Constantes!$B$4,
  _xlpm.Knewscale, Constantes!$B$5,
  _xlpm.ptstables, INDEX(U:U, _xlfn.SEQUENCE(COUNTA($C$2:$C393), 1, 3, 4)),
  _xlpm.nbparties, COUNTA(_xlfn._xlws.FILTER(_xlpm.ptstables, _xlpm.ptstables &lt;&gt; "")),
  _xlpm.coef, _xlpm.K + _xlpm.Knewgain / (_xlpm.Knewscale + _xlpm.nbparties),
  IF(U391="",
    "",
    _xlpm.coef * (U391-U392))
)</f>
        <v>23.59540820398459</v>
      </c>
      <c r="V393" t="str" cm="1">
        <f t="array" ref="V393">_xlfn.LET(
  _xlpm.K, Constantes!$B$3,
  _xlpm.Knewgain, Constantes!$B$4,
  _xlpm.Knewscale, Constantes!$B$5,
  _xlpm.ptstables, INDEX(V:V, _xlfn.SEQUENCE(COUNTA($C$2:$C393), 1, 3, 4)),
  _xlpm.nbparties, COUNTA(_xlfn._xlws.FILTER(_xlpm.ptstables, _xlpm.ptstables &lt;&gt; "")),
  _xlpm.coef, _xlpm.K + _xlpm.Knewgain / (_xlpm.Knewscale + _xlpm.nbparties),
  IF(V391="",
    "",
    _xlpm.coef * (V391-V392))
)</f>
        <v/>
      </c>
      <c r="W393" t="str" cm="1">
        <f t="array" ref="W393">_xlfn.LET(
  _xlpm.K, Constantes!$B$3,
  _xlpm.Knewgain, Constantes!$B$4,
  _xlpm.Knewscale, Constantes!$B$5,
  _xlpm.ptstables, INDEX(W:W, _xlfn.SEQUENCE(COUNTA($C$2:$C393), 1, 3, 4)),
  _xlpm.nbparties, COUNTA(_xlfn._xlws.FILTER(_xlpm.ptstables, _xlpm.ptstables &lt;&gt; "")),
  _xlpm.coef, _xlpm.K + _xlpm.Knewgain / (_xlpm.Knewscale + _xlpm.nbparties),
  IF(W391="",
    "",
    _xlpm.coef * (W391-W392))
)</f>
        <v/>
      </c>
      <c r="X393" t="str" cm="1">
        <f t="array" ref="X393">_xlfn.LET(
  _xlpm.K, Constantes!$B$3,
  _xlpm.Knewgain, Constantes!$B$4,
  _xlpm.Knewscale, Constantes!$B$5,
  _xlpm.ptstables, INDEX(X:X, _xlfn.SEQUENCE(COUNTA($C$2:$C393), 1, 3, 4)),
  _xlpm.nbparties, COUNTA(_xlfn._xlws.FILTER(_xlpm.ptstables, _xlpm.ptstables &lt;&gt; "")),
  _xlpm.coef, _xlpm.K + _xlpm.Knewgain / (_xlpm.Knewscale + _xlpm.nbparties),
  IF(X391="",
    "",
    _xlpm.coef * (X391-X392))
)</f>
        <v/>
      </c>
      <c r="Y393" t="str" cm="1">
        <f t="array" ref="Y393">_xlfn.LET(
  _xlpm.K, Constantes!$B$3,
  _xlpm.Knewgain, Constantes!$B$4,
  _xlpm.Knewscale, Constantes!$B$5,
  _xlpm.ptstables, INDEX(Y:Y, _xlfn.SEQUENCE(COUNTA($C$2:$C393), 1, 3, 4)),
  _xlpm.nbparties, COUNTA(_xlfn._xlws.FILTER(_xlpm.ptstables, _xlpm.ptstables &lt;&gt; "")),
  _xlpm.coef, _xlpm.K + _xlpm.Knewgain / (_xlpm.Knewscale + _xlpm.nbparties),
  IF(Y391="",
    "",
    _xlpm.coef * (Y391-Y392))
)</f>
        <v/>
      </c>
      <c r="Z393" t="str" cm="1">
        <f t="array" ref="Z393">_xlfn.LET(
  _xlpm.K, Constantes!$B$3,
  _xlpm.Knewgain, Constantes!$B$4,
  _xlpm.Knewscale, Constantes!$B$5,
  _xlpm.ptstables, INDEX(Z:Z, _xlfn.SEQUENCE(COUNTA($C$2:$C393), 1, 3, 4)),
  _xlpm.nbparties, COUNTA(_xlfn._xlws.FILTER(_xlpm.ptstables, _xlpm.ptstables &lt;&gt; "")),
  _xlpm.coef, _xlpm.K + _xlpm.Knewgain / (_xlpm.Knewscale + _xlpm.nbparties),
  IF(Z391="",
    "",
    _xlpm.coef * (Z391-Z392))
)</f>
        <v/>
      </c>
      <c r="AA393" t="str" cm="1">
        <f t="array" ref="AA393">_xlfn.LET(
  _xlpm.K, Constantes!$B$3,
  _xlpm.Knewgain, Constantes!$B$4,
  _xlpm.Knewscale, Constantes!$B$5,
  _xlpm.ptstables, INDEX(AA:AA, _xlfn.SEQUENCE(COUNTA($C$2:$C393), 1, 3, 4)),
  _xlpm.nbparties, COUNTA(_xlfn._xlws.FILTER(_xlpm.ptstables, _xlpm.ptstables &lt;&gt; "")),
  _xlpm.coef, _xlpm.K + _xlpm.Knewgain / (_xlpm.Knewscale + _xlpm.nbparties),
  IF(AA391="",
    "",
    _xlpm.coef * (AA391-AA392))
)</f>
        <v/>
      </c>
      <c r="AB393" t="str" cm="1">
        <f t="array" ref="AB393">_xlfn.LET(
  _xlpm.K, Constantes!$B$3,
  _xlpm.Knewgain, Constantes!$B$4,
  _xlpm.Knewscale, Constantes!$B$5,
  _xlpm.ptstables, INDEX(AB:AB, _xlfn.SEQUENCE(COUNTA($C$2:$C393), 1, 3, 4)),
  _xlpm.nbparties, COUNTA(_xlfn._xlws.FILTER(_xlpm.ptstables, _xlpm.ptstables &lt;&gt; "")),
  _xlpm.coef, _xlpm.K + _xlpm.Knewgain / (_xlpm.Knewscale + _xlpm.nbparties),
  IF(AB391="",
    "",
    _xlpm.coef * (AB391-AB392))
)</f>
        <v/>
      </c>
      <c r="AC393" t="str" cm="1">
        <f t="array" ref="AC393">_xlfn.LET(
  _xlpm.K, Constantes!$B$3,
  _xlpm.Knewgain, Constantes!$B$4,
  _xlpm.Knewscale, Constantes!$B$5,
  _xlpm.ptstables, INDEX(AC:AC, _xlfn.SEQUENCE(COUNTA($C$2:$C393), 1, 3, 4)),
  _xlpm.nbparties, COUNTA(_xlfn._xlws.FILTER(_xlpm.ptstables, _xlpm.ptstables &lt;&gt; "")),
  _xlpm.coef, _xlpm.K + _xlpm.Knewgain / (_xlpm.Knewscale + _xlpm.nbparties),
  IF(AC391="",
    "",
    _xlpm.coef * (AC391-AC392))
)</f>
        <v/>
      </c>
      <c r="AD393" t="str" cm="1">
        <f t="array" ref="AD393">_xlfn.LET(
  _xlpm.K, Constantes!$B$3,
  _xlpm.Knewgain, Constantes!$B$4,
  _xlpm.Knewscale, Constantes!$B$5,
  _xlpm.ptstables, INDEX(AD:AD, _xlfn.SEQUENCE(COUNTA($C$2:$C393), 1, 3, 4)),
  _xlpm.nbparties, COUNTA(_xlfn._xlws.FILTER(_xlpm.ptstables, _xlpm.ptstables &lt;&gt; "")),
  _xlpm.coef, _xlpm.K + _xlpm.Knewgain / (_xlpm.Knewscale + _xlpm.nbparties),
  IF(AD391="",
    "",
    _xlpm.coef * (AD391-AD392))
)</f>
        <v/>
      </c>
      <c r="AE393" t="str" cm="1">
        <f t="array" ref="AE393">_xlfn.LET(
  _xlpm.K, Constantes!$B$3,
  _xlpm.Knewgain, Constantes!$B$4,
  _xlpm.Knewscale, Constantes!$B$5,
  _xlpm.ptstables, INDEX(AE:AE, _xlfn.SEQUENCE(COUNTA($C$2:$C393), 1, 3, 4)),
  _xlpm.nbparties, COUNTA(_xlfn._xlws.FILTER(_xlpm.ptstables, _xlpm.ptstables &lt;&gt; "")),
  _xlpm.coef, _xlpm.K + _xlpm.Knewgain / (_xlpm.Knewscale + _xlpm.nbparties),
  IF(AE391="",
    "",
    _xlpm.coef * (AE391-AE392))
)</f>
        <v/>
      </c>
      <c r="AF393" t="str" cm="1">
        <f t="array" ref="AF393">_xlfn.LET(
  _xlpm.K, Constantes!$B$3,
  _xlpm.Knewgain, Constantes!$B$4,
  _xlpm.Knewscale, Constantes!$B$5,
  _xlpm.ptstables, INDEX(AF:AF, _xlfn.SEQUENCE(COUNTA($C$2:$C393), 1, 3, 4)),
  _xlpm.nbparties, COUNTA(_xlfn._xlws.FILTER(_xlpm.ptstables, _xlpm.ptstables &lt;&gt; "")),
  _xlpm.coef, _xlpm.K + _xlpm.Knewgain / (_xlpm.Knewscale + _xlpm.nbparties),
  IF(AF391="",
    "",
    _xlpm.coef * (AF391-AF392))
)</f>
        <v/>
      </c>
      <c r="AG393" t="str" cm="1">
        <f t="array" ref="AG393">_xlfn.LET(
  _xlpm.K, Constantes!$B$3,
  _xlpm.Knewgain, Constantes!$B$4,
  _xlpm.Knewscale, Constantes!$B$5,
  _xlpm.ptstables, INDEX(AG:AG, _xlfn.SEQUENCE(COUNTA($C$2:$C393), 1, 3, 4)),
  _xlpm.nbparties, COUNTA(_xlfn._xlws.FILTER(_xlpm.ptstables, _xlpm.ptstables &lt;&gt; "")),
  _xlpm.coef, _xlpm.K + _xlpm.Knewgain / (_xlpm.Knewscale + _xlpm.nbparties),
  IF(AG391="",
    "",
    _xlpm.coef * (AG391-AG392))
)</f>
        <v/>
      </c>
      <c r="AH393" t="str" cm="1">
        <f t="array" ref="AH393">_xlfn.LET(
  _xlpm.K, Constantes!$B$3,
  _xlpm.Knewgain, Constantes!$B$4,
  _xlpm.Knewscale, Constantes!$B$5,
  _xlpm.ptstables, INDEX(AH:AH, _xlfn.SEQUENCE(COUNTA($C$2:$C393), 1, 3, 4)),
  _xlpm.nbparties, COUNTA(_xlfn._xlws.FILTER(_xlpm.ptstables, _xlpm.ptstables &lt;&gt; "")),
  _xlpm.coef, _xlpm.K + _xlpm.Knewgain / (_xlpm.Knewscale + _xlpm.nbparties),
  IF(AH391="",
    "",
    _xlpm.coef * (AH391-AH392))
)</f>
        <v/>
      </c>
      <c r="AI393" t="str" cm="1">
        <f t="array" ref="AI393">_xlfn.LET(
  _xlpm.K, Constantes!$B$3,
  _xlpm.Knewgain, Constantes!$B$4,
  _xlpm.Knewscale, Constantes!$B$5,
  _xlpm.ptstables, INDEX(AI:AI, _xlfn.SEQUENCE(COUNTA($C$2:$C393), 1, 3, 4)),
  _xlpm.nbparties, COUNTA(_xlfn._xlws.FILTER(_xlpm.ptstables, _xlpm.ptstables &lt;&gt; "")),
  _xlpm.coef, _xlpm.K + _xlpm.Knewgain / (_xlpm.Knewscale + _xlpm.nbparties),
  IF(AI391="",
    "",
    _xlpm.coef * (AI391-AI392))
)</f>
        <v/>
      </c>
      <c r="AJ393" t="str" cm="1">
        <f t="array" ref="AJ393">_xlfn.LET(
  _xlpm.K, Constantes!$B$3,
  _xlpm.Knewgain, Constantes!$B$4,
  _xlpm.Knewscale, Constantes!$B$5,
  _xlpm.ptstables, INDEX(AJ:AJ, _xlfn.SEQUENCE(COUNTA($C$2:$C393), 1, 3, 4)),
  _xlpm.nbparties, COUNTA(_xlfn._xlws.FILTER(_xlpm.ptstables, _xlpm.ptstables &lt;&gt; "")),
  _xlpm.coef, _xlpm.K + _xlpm.Knewgain / (_xlpm.Knewscale + _xlpm.nbparties),
  IF(AJ391="",
    "",
    _xlpm.coef * (AJ391-AJ392))
)</f>
        <v/>
      </c>
      <c r="AK393" t="str" cm="1">
        <f t="array" ref="AK393">_xlfn.LET(
  _xlpm.K, Constantes!$B$3,
  _xlpm.Knewgain, Constantes!$B$4,
  _xlpm.Knewscale, Constantes!$B$5,
  _xlpm.ptstables, INDEX(AK:AK, _xlfn.SEQUENCE(COUNTA($C$2:$C393), 1, 3, 4)),
  _xlpm.nbparties, COUNTA(_xlfn._xlws.FILTER(_xlpm.ptstables, _xlpm.ptstables &lt;&gt; "")),
  _xlpm.coef, _xlpm.K + _xlpm.Knewgain / (_xlpm.Knewscale + _xlpm.nbparties),
  IF(AK391="",
    "",
    _xlpm.coef * (AK391-AK392))
)</f>
        <v/>
      </c>
      <c r="AL393" t="str" cm="1">
        <f t="array" ref="AL393">_xlfn.LET(
  _xlpm.K, Constantes!$B$3,
  _xlpm.Knewgain, Constantes!$B$4,
  _xlpm.Knewscale, Constantes!$B$5,
  _xlpm.ptstables, INDEX(AL:AL, _xlfn.SEQUENCE(COUNTA($C$2:$C393), 1, 3, 4)),
  _xlpm.nbparties, COUNTA(_xlfn._xlws.FILTER(_xlpm.ptstables, _xlpm.ptstables &lt;&gt; "")),
  _xlpm.coef, _xlpm.K + _xlpm.Knewgain / (_xlpm.Knewscale + _xlpm.nbparties),
  IF(AL391="",
    "",
    _xlpm.coef * (AL391-AL392))
)</f>
        <v/>
      </c>
      <c r="AM393" t="str" cm="1">
        <f t="array" ref="AM393">_xlfn.LET(
  _xlpm.K, Constantes!$B$3,
  _xlpm.Knewgain, Constantes!$B$4,
  _xlpm.Knewscale, Constantes!$B$5,
  _xlpm.ptstables, INDEX(AM:AM, _xlfn.SEQUENCE(COUNTA($C$2:$C393), 1, 3, 4)),
  _xlpm.nbparties, COUNTA(_xlfn._xlws.FILTER(_xlpm.ptstables, _xlpm.ptstables &lt;&gt; "")),
  _xlpm.coef, _xlpm.K + _xlpm.Knewgain / (_xlpm.Knewscale + _xlpm.nbparties),
  IF(AM391="",
    "",
    _xlpm.coef * (AM391-AM392))
)</f>
        <v/>
      </c>
    </row>
    <row r="394" spans="1:39" x14ac:dyDescent="0.25">
      <c r="A394" t="s">
        <v>14</v>
      </c>
      <c r="B394" t="str" cm="1">
        <f t="array" ref="B39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98</v>
      </c>
      <c r="C394" s="2" cm="1">
        <f t="array" ref="C394">IF(B394="","",
  INDEX(Donnees!F:F, MATCH(B394, Donnees!F:F, 0)+1))</f>
        <v>45955.693842592591</v>
      </c>
      <c r="D394">
        <f t="shared" ref="D394:AM394" si="106">D390+IF(D393="",0,D393)</f>
        <v>983.00829738956952</v>
      </c>
      <c r="E394">
        <f t="shared" si="106"/>
        <v>1143.2776362955974</v>
      </c>
      <c r="F394">
        <f t="shared" si="106"/>
        <v>892.77162496860694</v>
      </c>
      <c r="G394">
        <f t="shared" si="106"/>
        <v>1061.9525561512175</v>
      </c>
      <c r="H394">
        <f t="shared" si="106"/>
        <v>1121.8561093296914</v>
      </c>
      <c r="I394">
        <f t="shared" si="106"/>
        <v>912.81564332013568</v>
      </c>
      <c r="J394">
        <f t="shared" si="106"/>
        <v>1001.3142277763667</v>
      </c>
      <c r="K394">
        <f t="shared" si="106"/>
        <v>1037.8095069308526</v>
      </c>
      <c r="L394">
        <f t="shared" si="106"/>
        <v>783.12422360152641</v>
      </c>
      <c r="M394">
        <f t="shared" si="106"/>
        <v>913.41986361738122</v>
      </c>
      <c r="N394">
        <f t="shared" si="106"/>
        <v>903.42914476260137</v>
      </c>
      <c r="O394">
        <f t="shared" si="106"/>
        <v>997.04050320786712</v>
      </c>
      <c r="P394">
        <f t="shared" si="106"/>
        <v>987.86278180042575</v>
      </c>
      <c r="Q394">
        <f t="shared" si="106"/>
        <v>1050.1062561870472</v>
      </c>
      <c r="R394">
        <f t="shared" si="106"/>
        <v>1053.036836862696</v>
      </c>
      <c r="S394">
        <f t="shared" si="106"/>
        <v>975.83442640972487</v>
      </c>
      <c r="T394">
        <f t="shared" si="106"/>
        <v>1151.9931855695777</v>
      </c>
      <c r="U394">
        <f t="shared" si="106"/>
        <v>1215.9103115123116</v>
      </c>
      <c r="V394">
        <f t="shared" si="106"/>
        <v>969.67171739286073</v>
      </c>
      <c r="W394">
        <f t="shared" si="106"/>
        <v>882.29253769067657</v>
      </c>
      <c r="X394">
        <f t="shared" si="106"/>
        <v>828.97598039785271</v>
      </c>
      <c r="Y394">
        <f t="shared" si="106"/>
        <v>903.14348714035714</v>
      </c>
      <c r="Z394">
        <f t="shared" si="106"/>
        <v>967.57810576867519</v>
      </c>
      <c r="AA394">
        <f t="shared" si="106"/>
        <v>976.40065260504912</v>
      </c>
      <c r="AB394">
        <f t="shared" si="106"/>
        <v>988.35669729544747</v>
      </c>
      <c r="AC394">
        <f t="shared" si="106"/>
        <v>1051.9456808600683</v>
      </c>
      <c r="AD394">
        <f t="shared" si="106"/>
        <v>1093.8192243082785</v>
      </c>
      <c r="AE394">
        <f t="shared" si="106"/>
        <v>963.23981965000235</v>
      </c>
      <c r="AF394">
        <f t="shared" si="106"/>
        <v>1094.8196847516158</v>
      </c>
      <c r="AG394">
        <f t="shared" si="106"/>
        <v>958.23078604304851</v>
      </c>
      <c r="AH394">
        <f t="shared" si="106"/>
        <v>920.4412636682855</v>
      </c>
      <c r="AI394">
        <f t="shared" si="106"/>
        <v>991.76873183498924</v>
      </c>
      <c r="AJ394">
        <f t="shared" si="106"/>
        <v>906.86354201913434</v>
      </c>
      <c r="AK394">
        <f t="shared" si="106"/>
        <v>1074.0069367206956</v>
      </c>
      <c r="AL394">
        <f t="shared" si="106"/>
        <v>1025.7817971572972</v>
      </c>
      <c r="AM394">
        <f t="shared" si="106"/>
        <v>930.08392160706046</v>
      </c>
    </row>
    <row r="395" spans="1:39" x14ac:dyDescent="0.25">
      <c r="A395" t="s">
        <v>21</v>
      </c>
      <c r="D395" t="str" cm="1">
        <f t="array" ref="D395">IFERROR(
  _xlfn.LET(
    _xlpm.ligpartie, MATCH($B394, Donnees!$F:$F, 0),
    _xlpm.joueurs, INDEX(Donnees!$A:$Z, _xlpm.ligpartie+1, _xlfn.SEQUENCE(1, 4, 2)),
    INDEX(
      Donnees!$A:$Z,
      _xlpm.ligpartie + 3,
      MATCH(D$1, _xlpm.joueurs, 0) + 1
    )
  ), ""
)</f>
        <v/>
      </c>
      <c r="E395" t="str" cm="1">
        <f t="array" ref="E395">IFERROR(
  _xlfn.LET(
    _xlpm.ligpartie, MATCH($B394, Donnees!$F:$F, 0),
    _xlpm.joueurs, INDEX(Donnees!$A:$Z, _xlpm.ligpartie+1, _xlfn.SEQUENCE(1, 4, 2)),
    INDEX(
      Donnees!$A:$Z,
      _xlpm.ligpartie + 3,
      MATCH(E$1, _xlpm.joueurs, 0) + 1
    )
  ), ""
)</f>
        <v/>
      </c>
      <c r="F395" t="str" cm="1">
        <f t="array" ref="F395">IFERROR(
  _xlfn.LET(
    _xlpm.ligpartie, MATCH($B394, Donnees!$F:$F, 0),
    _xlpm.joueurs, INDEX(Donnees!$A:$Z, _xlpm.ligpartie+1, _xlfn.SEQUENCE(1, 4, 2)),
    INDEX(
      Donnees!$A:$Z,
      _xlpm.ligpartie + 3,
      MATCH(F$1, _xlpm.joueurs, 0) + 1
    )
  ), ""
)</f>
        <v/>
      </c>
      <c r="G395" t="str" cm="1">
        <f t="array" ref="G395">IFERROR(
  _xlfn.LET(
    _xlpm.ligpartie, MATCH($B394, Donnees!$F:$F, 0),
    _xlpm.joueurs, INDEX(Donnees!$A:$Z, _xlpm.ligpartie+1, _xlfn.SEQUENCE(1, 4, 2)),
    INDEX(
      Donnees!$A:$Z,
      _xlpm.ligpartie + 3,
      MATCH(G$1, _xlpm.joueurs, 0) + 1
    )
  ), ""
)</f>
        <v/>
      </c>
      <c r="H395" t="str" cm="1">
        <f t="array" ref="H395">IFERROR(
  _xlfn.LET(
    _xlpm.ligpartie, MATCH($B394, Donnees!$F:$F, 0),
    _xlpm.joueurs, INDEX(Donnees!$A:$Z, _xlpm.ligpartie+1, _xlfn.SEQUENCE(1, 4, 2)),
    INDEX(
      Donnees!$A:$Z,
      _xlpm.ligpartie + 3,
      MATCH(H$1, _xlpm.joueurs, 0) + 1
    )
  ), ""
)</f>
        <v/>
      </c>
      <c r="I395" t="str" cm="1">
        <f t="array" ref="I395">IFERROR(
  _xlfn.LET(
    _xlpm.ligpartie, MATCH($B394, Donnees!$F:$F, 0),
    _xlpm.joueurs, INDEX(Donnees!$A:$Z, _xlpm.ligpartie+1, _xlfn.SEQUENCE(1, 4, 2)),
    INDEX(
      Donnees!$A:$Z,
      _xlpm.ligpartie + 3,
      MATCH(I$1, _xlpm.joueurs, 0) + 1
    )
  ), ""
)</f>
        <v/>
      </c>
      <c r="J395" cm="1">
        <f t="array" ref="J395">IFERROR(
  _xlfn.LET(
    _xlpm.ligpartie, MATCH($B394, Donnees!$F:$F, 0),
    _xlpm.joueurs, INDEX(Donnees!$A:$Z, _xlpm.ligpartie+1, _xlfn.SEQUENCE(1, 4, 2)),
    INDEX(
      Donnees!$A:$Z,
      _xlpm.ligpartie + 3,
      MATCH(J$1, _xlpm.joueurs, 0) + 1
    )
  ), ""
)</f>
        <v>3</v>
      </c>
      <c r="K395" t="str" cm="1">
        <f t="array" ref="K395">IFERROR(
  _xlfn.LET(
    _xlpm.ligpartie, MATCH($B394, Donnees!$F:$F, 0),
    _xlpm.joueurs, INDEX(Donnees!$A:$Z, _xlpm.ligpartie+1, _xlfn.SEQUENCE(1, 4, 2)),
    INDEX(
      Donnees!$A:$Z,
      _xlpm.ligpartie + 3,
      MATCH(K$1, _xlpm.joueurs, 0) + 1
    )
  ), ""
)</f>
        <v/>
      </c>
      <c r="L395" t="str" cm="1">
        <f t="array" ref="L395">IFERROR(
  _xlfn.LET(
    _xlpm.ligpartie, MATCH($B394, Donnees!$F:$F, 0),
    _xlpm.joueurs, INDEX(Donnees!$A:$Z, _xlpm.ligpartie+1, _xlfn.SEQUENCE(1, 4, 2)),
    INDEX(
      Donnees!$A:$Z,
      _xlpm.ligpartie + 3,
      MATCH(L$1, _xlpm.joueurs, 0) + 1
    )
  ), ""
)</f>
        <v/>
      </c>
      <c r="M395" cm="1">
        <f t="array" ref="M395">IFERROR(
  _xlfn.LET(
    _xlpm.ligpartie, MATCH($B394, Donnees!$F:$F, 0),
    _xlpm.joueurs, INDEX(Donnees!$A:$Z, _xlpm.ligpartie+1, _xlfn.SEQUENCE(1, 4, 2)),
    INDEX(
      Donnees!$A:$Z,
      _xlpm.ligpartie + 3,
      MATCH(M$1, _xlpm.joueurs, 0) + 1
    )
  ), ""
)</f>
        <v>0</v>
      </c>
      <c r="N395" cm="1">
        <f t="array" ref="N395">IFERROR(
  _xlfn.LET(
    _xlpm.ligpartie, MATCH($B394, Donnees!$F:$F, 0),
    _xlpm.joueurs, INDEX(Donnees!$A:$Z, _xlpm.ligpartie+1, _xlfn.SEQUENCE(1, 4, 2)),
    INDEX(
      Donnees!$A:$Z,
      _xlpm.ligpartie + 3,
      MATCH(N$1, _xlpm.joueurs, 0) + 1
    )
  ), ""
)</f>
        <v>1</v>
      </c>
      <c r="O395" t="str" cm="1">
        <f t="array" ref="O395">IFERROR(
  _xlfn.LET(
    _xlpm.ligpartie, MATCH($B394, Donnees!$F:$F, 0),
    _xlpm.joueurs, INDEX(Donnees!$A:$Z, _xlpm.ligpartie+1, _xlfn.SEQUENCE(1, 4, 2)),
    INDEX(
      Donnees!$A:$Z,
      _xlpm.ligpartie + 3,
      MATCH(O$1, _xlpm.joueurs, 0) + 1
    )
  ), ""
)</f>
        <v/>
      </c>
      <c r="P395" t="str" cm="1">
        <f t="array" ref="P395">IFERROR(
  _xlfn.LET(
    _xlpm.ligpartie, MATCH($B394, Donnees!$F:$F, 0),
    _xlpm.joueurs, INDEX(Donnees!$A:$Z, _xlpm.ligpartie+1, _xlfn.SEQUENCE(1, 4, 2)),
    INDEX(
      Donnees!$A:$Z,
      _xlpm.ligpartie + 3,
      MATCH(P$1, _xlpm.joueurs, 0) + 1
    )
  ), ""
)</f>
        <v/>
      </c>
      <c r="Q395" cm="1">
        <f t="array" ref="Q395">IFERROR(
  _xlfn.LET(
    _xlpm.ligpartie, MATCH($B394, Donnees!$F:$F, 0),
    _xlpm.joueurs, INDEX(Donnees!$A:$Z, _xlpm.ligpartie+1, _xlfn.SEQUENCE(1, 4, 2)),
    INDEX(
      Donnees!$A:$Z,
      _xlpm.ligpartie + 3,
      MATCH(Q$1, _xlpm.joueurs, 0) + 1
    )
  ), ""
)</f>
        <v>2</v>
      </c>
      <c r="R395" t="str" cm="1">
        <f t="array" ref="R395">IFERROR(
  _xlfn.LET(
    _xlpm.ligpartie, MATCH($B394, Donnees!$F:$F, 0),
    _xlpm.joueurs, INDEX(Donnees!$A:$Z, _xlpm.ligpartie+1, _xlfn.SEQUENCE(1, 4, 2)),
    INDEX(
      Donnees!$A:$Z,
      _xlpm.ligpartie + 3,
      MATCH(R$1, _xlpm.joueurs, 0) + 1
    )
  ), ""
)</f>
        <v/>
      </c>
      <c r="S395" t="str" cm="1">
        <f t="array" ref="S395">IFERROR(
  _xlfn.LET(
    _xlpm.ligpartie, MATCH($B394, Donnees!$F:$F, 0),
    _xlpm.joueurs, INDEX(Donnees!$A:$Z, _xlpm.ligpartie+1, _xlfn.SEQUENCE(1, 4, 2)),
    INDEX(
      Donnees!$A:$Z,
      _xlpm.ligpartie + 3,
      MATCH(S$1, _xlpm.joueurs, 0) + 1
    )
  ), ""
)</f>
        <v/>
      </c>
      <c r="T395" t="str" cm="1">
        <f t="array" ref="T395">IFERROR(
  _xlfn.LET(
    _xlpm.ligpartie, MATCH($B394, Donnees!$F:$F, 0),
    _xlpm.joueurs, INDEX(Donnees!$A:$Z, _xlpm.ligpartie+1, _xlfn.SEQUENCE(1, 4, 2)),
    INDEX(
      Donnees!$A:$Z,
      _xlpm.ligpartie + 3,
      MATCH(T$1, _xlpm.joueurs, 0) + 1
    )
  ), ""
)</f>
        <v/>
      </c>
      <c r="U395" t="str" cm="1">
        <f t="array" ref="U395">IFERROR(
  _xlfn.LET(
    _xlpm.ligpartie, MATCH($B394, Donnees!$F:$F, 0),
    _xlpm.joueurs, INDEX(Donnees!$A:$Z, _xlpm.ligpartie+1, _xlfn.SEQUENCE(1, 4, 2)),
    INDEX(
      Donnees!$A:$Z,
      _xlpm.ligpartie + 3,
      MATCH(U$1, _xlpm.joueurs, 0) + 1
    )
  ), ""
)</f>
        <v/>
      </c>
      <c r="V395" t="str" cm="1">
        <f t="array" ref="V395">IFERROR(
  _xlfn.LET(
    _xlpm.ligpartie, MATCH($B394, Donnees!$F:$F, 0),
    _xlpm.joueurs, INDEX(Donnees!$A:$Z, _xlpm.ligpartie+1, _xlfn.SEQUENCE(1, 4, 2)),
    INDEX(
      Donnees!$A:$Z,
      _xlpm.ligpartie + 3,
      MATCH(V$1, _xlpm.joueurs, 0) + 1
    )
  ), ""
)</f>
        <v/>
      </c>
      <c r="W395" t="str" cm="1">
        <f t="array" ref="W395">IFERROR(
  _xlfn.LET(
    _xlpm.ligpartie, MATCH($B394, Donnees!$F:$F, 0),
    _xlpm.joueurs, INDEX(Donnees!$A:$Z, _xlpm.ligpartie+1, _xlfn.SEQUENCE(1, 4, 2)),
    INDEX(
      Donnees!$A:$Z,
      _xlpm.ligpartie + 3,
      MATCH(W$1, _xlpm.joueurs, 0) + 1
    )
  ), ""
)</f>
        <v/>
      </c>
      <c r="X395" t="str" cm="1">
        <f t="array" ref="X395">IFERROR(
  _xlfn.LET(
    _xlpm.ligpartie, MATCH($B394, Donnees!$F:$F, 0),
    _xlpm.joueurs, INDEX(Donnees!$A:$Z, _xlpm.ligpartie+1, _xlfn.SEQUENCE(1, 4, 2)),
    INDEX(
      Donnees!$A:$Z,
      _xlpm.ligpartie + 3,
      MATCH(X$1, _xlpm.joueurs, 0) + 1
    )
  ), ""
)</f>
        <v/>
      </c>
      <c r="Y395" t="str" cm="1">
        <f t="array" ref="Y395">IFERROR(
  _xlfn.LET(
    _xlpm.ligpartie, MATCH($B394, Donnees!$F:$F, 0),
    _xlpm.joueurs, INDEX(Donnees!$A:$Z, _xlpm.ligpartie+1, _xlfn.SEQUENCE(1, 4, 2)),
    INDEX(
      Donnees!$A:$Z,
      _xlpm.ligpartie + 3,
      MATCH(Y$1, _xlpm.joueurs, 0) + 1
    )
  ), ""
)</f>
        <v/>
      </c>
      <c r="Z395" t="str" cm="1">
        <f t="array" ref="Z395">IFERROR(
  _xlfn.LET(
    _xlpm.ligpartie, MATCH($B394, Donnees!$F:$F, 0),
    _xlpm.joueurs, INDEX(Donnees!$A:$Z, _xlpm.ligpartie+1, _xlfn.SEQUENCE(1, 4, 2)),
    INDEX(
      Donnees!$A:$Z,
      _xlpm.ligpartie + 3,
      MATCH(Z$1, _xlpm.joueurs, 0) + 1
    )
  ), ""
)</f>
        <v/>
      </c>
      <c r="AA395" t="str" cm="1">
        <f t="array" ref="AA395">IFERROR(
  _xlfn.LET(
    _xlpm.ligpartie, MATCH($B394, Donnees!$F:$F, 0),
    _xlpm.joueurs, INDEX(Donnees!$A:$Z, _xlpm.ligpartie+1, _xlfn.SEQUENCE(1, 4, 2)),
    INDEX(
      Donnees!$A:$Z,
      _xlpm.ligpartie + 3,
      MATCH(AA$1, _xlpm.joueurs, 0) + 1
    )
  ), ""
)</f>
        <v/>
      </c>
      <c r="AB395" t="str" cm="1">
        <f t="array" ref="AB395">IFERROR(
  _xlfn.LET(
    _xlpm.ligpartie, MATCH($B394, Donnees!$F:$F, 0),
    _xlpm.joueurs, INDEX(Donnees!$A:$Z, _xlpm.ligpartie+1, _xlfn.SEQUENCE(1, 4, 2)),
    INDEX(
      Donnees!$A:$Z,
      _xlpm.ligpartie + 3,
      MATCH(AB$1, _xlpm.joueurs, 0) + 1
    )
  ), ""
)</f>
        <v/>
      </c>
      <c r="AC395" t="str" cm="1">
        <f t="array" ref="AC395">IFERROR(
  _xlfn.LET(
    _xlpm.ligpartie, MATCH($B394, Donnees!$F:$F, 0),
    _xlpm.joueurs, INDEX(Donnees!$A:$Z, _xlpm.ligpartie+1, _xlfn.SEQUENCE(1, 4, 2)),
    INDEX(
      Donnees!$A:$Z,
      _xlpm.ligpartie + 3,
      MATCH(AC$1, _xlpm.joueurs, 0) + 1
    )
  ), ""
)</f>
        <v/>
      </c>
      <c r="AD395" t="str" cm="1">
        <f t="array" ref="AD395">IFERROR(
  _xlfn.LET(
    _xlpm.ligpartie, MATCH($B394, Donnees!$F:$F, 0),
    _xlpm.joueurs, INDEX(Donnees!$A:$Z, _xlpm.ligpartie+1, _xlfn.SEQUENCE(1, 4, 2)),
    INDEX(
      Donnees!$A:$Z,
      _xlpm.ligpartie + 3,
      MATCH(AD$1, _xlpm.joueurs, 0) + 1
    )
  ), ""
)</f>
        <v/>
      </c>
      <c r="AE395" t="str" cm="1">
        <f t="array" ref="AE395">IFERROR(
  _xlfn.LET(
    _xlpm.ligpartie, MATCH($B394, Donnees!$F:$F, 0),
    _xlpm.joueurs, INDEX(Donnees!$A:$Z, _xlpm.ligpartie+1, _xlfn.SEQUENCE(1, 4, 2)),
    INDEX(
      Donnees!$A:$Z,
      _xlpm.ligpartie + 3,
      MATCH(AE$1, _xlpm.joueurs, 0) + 1
    )
  ), ""
)</f>
        <v/>
      </c>
      <c r="AF395" t="str" cm="1">
        <f t="array" ref="AF395">IFERROR(
  _xlfn.LET(
    _xlpm.ligpartie, MATCH($B394, Donnees!$F:$F, 0),
    _xlpm.joueurs, INDEX(Donnees!$A:$Z, _xlpm.ligpartie+1, _xlfn.SEQUENCE(1, 4, 2)),
    INDEX(
      Donnees!$A:$Z,
      _xlpm.ligpartie + 3,
      MATCH(AF$1, _xlpm.joueurs, 0) + 1
    )
  ), ""
)</f>
        <v/>
      </c>
      <c r="AG395" t="str" cm="1">
        <f t="array" ref="AG395">IFERROR(
  _xlfn.LET(
    _xlpm.ligpartie, MATCH($B394, Donnees!$F:$F, 0),
    _xlpm.joueurs, INDEX(Donnees!$A:$Z, _xlpm.ligpartie+1, _xlfn.SEQUENCE(1, 4, 2)),
    INDEX(
      Donnees!$A:$Z,
      _xlpm.ligpartie + 3,
      MATCH(AG$1, _xlpm.joueurs, 0) + 1
    )
  ), ""
)</f>
        <v/>
      </c>
      <c r="AH395" t="str" cm="1">
        <f t="array" ref="AH395">IFERROR(
  _xlfn.LET(
    _xlpm.ligpartie, MATCH($B394, Donnees!$F:$F, 0),
    _xlpm.joueurs, INDEX(Donnees!$A:$Z, _xlpm.ligpartie+1, _xlfn.SEQUENCE(1, 4, 2)),
    INDEX(
      Donnees!$A:$Z,
      _xlpm.ligpartie + 3,
      MATCH(AH$1, _xlpm.joueurs, 0) + 1
    )
  ), ""
)</f>
        <v/>
      </c>
      <c r="AI395" t="str" cm="1">
        <f t="array" ref="AI395">IFERROR(
  _xlfn.LET(
    _xlpm.ligpartie, MATCH($B394, Donnees!$F:$F, 0),
    _xlpm.joueurs, INDEX(Donnees!$A:$Z, _xlpm.ligpartie+1, _xlfn.SEQUENCE(1, 4, 2)),
    INDEX(
      Donnees!$A:$Z,
      _xlpm.ligpartie + 3,
      MATCH(AI$1, _xlpm.joueurs, 0) + 1
    )
  ), ""
)</f>
        <v/>
      </c>
      <c r="AJ395" t="str" cm="1">
        <f t="array" ref="AJ395">IFERROR(
  _xlfn.LET(
    _xlpm.ligpartie, MATCH($B394, Donnees!$F:$F, 0),
    _xlpm.joueurs, INDEX(Donnees!$A:$Z, _xlpm.ligpartie+1, _xlfn.SEQUENCE(1, 4, 2)),
    INDEX(
      Donnees!$A:$Z,
      _xlpm.ligpartie + 3,
      MATCH(AJ$1, _xlpm.joueurs, 0) + 1
    )
  ), ""
)</f>
        <v/>
      </c>
      <c r="AK395" t="str" cm="1">
        <f t="array" ref="AK395">IFERROR(
  _xlfn.LET(
    _xlpm.ligpartie, MATCH($B394, Donnees!$F:$F, 0),
    _xlpm.joueurs, INDEX(Donnees!$A:$Z, _xlpm.ligpartie+1, _xlfn.SEQUENCE(1, 4, 2)),
    INDEX(
      Donnees!$A:$Z,
      _xlpm.ligpartie + 3,
      MATCH(AK$1, _xlpm.joueurs, 0) + 1
    )
  ), ""
)</f>
        <v/>
      </c>
      <c r="AL395" t="str" cm="1">
        <f t="array" ref="AL395">IFERROR(
  _xlfn.LET(
    _xlpm.ligpartie, MATCH($B394, Donnees!$F:$F, 0),
    _xlpm.joueurs, INDEX(Donnees!$A:$Z, _xlpm.ligpartie+1, _xlfn.SEQUENCE(1, 4, 2)),
    INDEX(
      Donnees!$A:$Z,
      _xlpm.ligpartie + 3,
      MATCH(AL$1, _xlpm.joueurs, 0) + 1
    )
  ), ""
)</f>
        <v/>
      </c>
      <c r="AM395" t="str" cm="1">
        <f t="array" ref="AM395">IFERROR(
  _xlfn.LET(
    _xlpm.ligpartie, MATCH($B394, Donnees!$F:$F, 0),
    _xlpm.joueurs, INDEX(Donnees!$A:$Z, _xlpm.ligpartie+1, _xlfn.SEQUENCE(1, 4, 2)),
    INDEX(
      Donnees!$A:$Z,
      _xlpm.ligpartie + 3,
      MATCH(AM$1, _xlpm.joueurs, 0) + 1
    )
  ), ""
)</f>
        <v/>
      </c>
    </row>
    <row r="396" spans="1:39" x14ac:dyDescent="0.25">
      <c r="A396" t="s">
        <v>20</v>
      </c>
      <c r="D396" t="str" cm="1">
        <f t="array" ref="D396">_xlfn.LET(
  _xlpm.colj, _xlfn._xlws.FILTER(IF(ISNUMBER(395:395), COLUMN(395:395)), ISNUMBER(395:395)),
  _xlpm.elos, INDEX(394:394,1,_xlpm.colj),
  _xlpm.diffscale, Constantes!$B$2,
  IF(D395="",
    "",
    SUM(1/(1+POWER(10,-(D394-_xlpm.elos)/_xlpm.diffscale)))-0.5)
)</f>
        <v/>
      </c>
      <c r="E396" t="str" cm="1">
        <f t="array" ref="E396">_xlfn.LET(
  _xlpm.colj, _xlfn._xlws.FILTER(IF(ISNUMBER(395:395), COLUMN(395:395)), ISNUMBER(395:395)),
  _xlpm.elos, INDEX(394:394,1,_xlpm.colj),
  _xlpm.diffscale, Constantes!$B$2,
  IF(E395="",
    "",
    SUM(1/(1+POWER(10,-(E394-_xlpm.elos)/_xlpm.diffscale)))-0.5)
)</f>
        <v/>
      </c>
      <c r="F396" t="str" cm="1">
        <f t="array" ref="F396">_xlfn.LET(
  _xlpm.colj, _xlfn._xlws.FILTER(IF(ISNUMBER(395:395), COLUMN(395:395)), ISNUMBER(395:395)),
  _xlpm.elos, INDEX(394:394,1,_xlpm.colj),
  _xlpm.diffscale, Constantes!$B$2,
  IF(F395="",
    "",
    SUM(1/(1+POWER(10,-(F394-_xlpm.elos)/_xlpm.diffscale)))-0.5)
)</f>
        <v/>
      </c>
      <c r="G396" t="str" cm="1">
        <f t="array" ref="G396">_xlfn.LET(
  _xlpm.colj, _xlfn._xlws.FILTER(IF(ISNUMBER(395:395), COLUMN(395:395)), ISNUMBER(395:395)),
  _xlpm.elos, INDEX(394:394,1,_xlpm.colj),
  _xlpm.diffscale, Constantes!$B$2,
  IF(G395="",
    "",
    SUM(1/(1+POWER(10,-(G394-_xlpm.elos)/_xlpm.diffscale)))-0.5)
)</f>
        <v/>
      </c>
      <c r="H396" t="str" cm="1">
        <f t="array" ref="H396">_xlfn.LET(
  _xlpm.colj, _xlfn._xlws.FILTER(IF(ISNUMBER(395:395), COLUMN(395:395)), ISNUMBER(395:395)),
  _xlpm.elos, INDEX(394:394,1,_xlpm.colj),
  _xlpm.diffscale, Constantes!$B$2,
  IF(H395="",
    "",
    SUM(1/(1+POWER(10,-(H394-_xlpm.elos)/_xlpm.diffscale)))-0.5)
)</f>
        <v/>
      </c>
      <c r="I396" t="str" cm="1">
        <f t="array" ref="I396">_xlfn.LET(
  _xlpm.colj, _xlfn._xlws.FILTER(IF(ISNUMBER(395:395), COLUMN(395:395)), ISNUMBER(395:395)),
  _xlpm.elos, INDEX(394:394,1,_xlpm.colj),
  _xlpm.diffscale, Constantes!$B$2,
  IF(I395="",
    "",
    SUM(1/(1+POWER(10,-(I394-_xlpm.elos)/_xlpm.diffscale)))-0.5)
)</f>
        <v/>
      </c>
      <c r="J396" cm="1">
        <f t="array" ref="J396">_xlfn.LET(
  _xlpm.colj, _xlfn._xlws.FILTER(IF(ISNUMBER(395:395), COLUMN(395:395)), ISNUMBER(395:395)),
  _xlpm.elos, INDEX(394:394,1,_xlpm.colj),
  _xlpm.diffscale, Constantes!$B$2,
  IF(J395="",
    "",
    SUM(1/(1+POWER(10,-(J394-_xlpm.elos)/_xlpm.diffscale)))-0.5)
)</f>
        <v>1.6913551711572445</v>
      </c>
      <c r="K396" t="str" cm="1">
        <f t="array" ref="K396">_xlfn.LET(
  _xlpm.colj, _xlfn._xlws.FILTER(IF(ISNUMBER(395:395), COLUMN(395:395)), ISNUMBER(395:395)),
  _xlpm.elos, INDEX(394:394,1,_xlpm.colj),
  _xlpm.diffscale, Constantes!$B$2,
  IF(K395="",
    "",
    SUM(1/(1+POWER(10,-(K394-_xlpm.elos)/_xlpm.diffscale)))-0.5)
)</f>
        <v/>
      </c>
      <c r="L396" t="str" cm="1">
        <f t="array" ref="L396">_xlfn.LET(
  _xlpm.colj, _xlfn._xlws.FILTER(IF(ISNUMBER(395:395), COLUMN(395:395)), ISNUMBER(395:395)),
  _xlpm.elos, INDEX(394:394,1,_xlpm.colj),
  _xlpm.diffscale, Constantes!$B$2,
  IF(L395="",
    "",
    SUM(1/(1+POWER(10,-(L394-_xlpm.elos)/_xlpm.diffscale)))-0.5)
)</f>
        <v/>
      </c>
      <c r="M396" cm="1">
        <f t="array" ref="M396">_xlfn.LET(
  _xlpm.colj, _xlfn._xlws.FILTER(IF(ISNUMBER(395:395), COLUMN(395:395)), ISNUMBER(395:395)),
  _xlpm.elos, INDEX(394:394,1,_xlpm.colj),
  _xlpm.diffscale, Constantes!$B$2,
  IF(M395="",
    "",
    SUM(1/(1+POWER(10,-(M394-_xlpm.elos)/_xlpm.diffscale)))-0.5)
)</f>
        <v>1.2033644706647402</v>
      </c>
      <c r="N396" cm="1">
        <f t="array" ref="N396">_xlfn.LET(
  _xlpm.colj, _xlfn._xlws.FILTER(IF(ISNUMBER(395:395), COLUMN(395:395)), ISNUMBER(395:395)),
  _xlpm.elos, INDEX(394:394,1,_xlpm.colj),
  _xlpm.diffscale, Constantes!$B$2,
  IF(N395="",
    "",
    SUM(1/(1+POWER(10,-(N394-_xlpm.elos)/_xlpm.diffscale)))-0.5)
)</f>
        <v>1.1489919264912865</v>
      </c>
      <c r="O396" t="str" cm="1">
        <f t="array" ref="O396">_xlfn.LET(
  _xlpm.colj, _xlfn._xlws.FILTER(IF(ISNUMBER(395:395), COLUMN(395:395)), ISNUMBER(395:395)),
  _xlpm.elos, INDEX(394:394,1,_xlpm.colj),
  _xlpm.diffscale, Constantes!$B$2,
  IF(O395="",
    "",
    SUM(1/(1+POWER(10,-(O394-_xlpm.elos)/_xlpm.diffscale)))-0.5)
)</f>
        <v/>
      </c>
      <c r="P396" t="str" cm="1">
        <f t="array" ref="P396">_xlfn.LET(
  _xlpm.colj, _xlfn._xlws.FILTER(IF(ISNUMBER(395:395), COLUMN(395:395)), ISNUMBER(395:395)),
  _xlpm.elos, INDEX(394:394,1,_xlpm.colj),
  _xlpm.diffscale, Constantes!$B$2,
  IF(P395="",
    "",
    SUM(1/(1+POWER(10,-(P394-_xlpm.elos)/_xlpm.diffscale)))-0.5)
)</f>
        <v/>
      </c>
      <c r="Q396" cm="1">
        <f t="array" ref="Q396">_xlfn.LET(
  _xlpm.colj, _xlfn._xlws.FILTER(IF(ISNUMBER(395:395), COLUMN(395:395)), ISNUMBER(395:395)),
  _xlpm.elos, INDEX(394:394,1,_xlpm.colj),
  _xlpm.diffscale, Constantes!$B$2,
  IF(Q395="",
    "",
    SUM(1/(1+POWER(10,-(Q394-_xlpm.elos)/_xlpm.diffscale)))-0.5)
)</f>
        <v>1.9562884316867288</v>
      </c>
      <c r="R396" t="str" cm="1">
        <f t="array" ref="R396">_xlfn.LET(
  _xlpm.colj, _xlfn._xlws.FILTER(IF(ISNUMBER(395:395), COLUMN(395:395)), ISNUMBER(395:395)),
  _xlpm.elos, INDEX(394:394,1,_xlpm.colj),
  _xlpm.diffscale, Constantes!$B$2,
  IF(R395="",
    "",
    SUM(1/(1+POWER(10,-(R394-_xlpm.elos)/_xlpm.diffscale)))-0.5)
)</f>
        <v/>
      </c>
      <c r="S396" t="str" cm="1">
        <f t="array" ref="S396">_xlfn.LET(
  _xlpm.colj, _xlfn._xlws.FILTER(IF(ISNUMBER(395:395), COLUMN(395:395)), ISNUMBER(395:395)),
  _xlpm.elos, INDEX(394:394,1,_xlpm.colj),
  _xlpm.diffscale, Constantes!$B$2,
  IF(S395="",
    "",
    SUM(1/(1+POWER(10,-(S394-_xlpm.elos)/_xlpm.diffscale)))-0.5)
)</f>
        <v/>
      </c>
      <c r="T396" t="str" cm="1">
        <f t="array" ref="T396">_xlfn.LET(
  _xlpm.colj, _xlfn._xlws.FILTER(IF(ISNUMBER(395:395), COLUMN(395:395)), ISNUMBER(395:395)),
  _xlpm.elos, INDEX(394:394,1,_xlpm.colj),
  _xlpm.diffscale, Constantes!$B$2,
  IF(T395="",
    "",
    SUM(1/(1+POWER(10,-(T394-_xlpm.elos)/_xlpm.diffscale)))-0.5)
)</f>
        <v/>
      </c>
      <c r="U396" t="str" cm="1">
        <f t="array" ref="U396">_xlfn.LET(
  _xlpm.colj, _xlfn._xlws.FILTER(IF(ISNUMBER(395:395), COLUMN(395:395)), ISNUMBER(395:395)),
  _xlpm.elos, INDEX(394:394,1,_xlpm.colj),
  _xlpm.diffscale, Constantes!$B$2,
  IF(U395="",
    "",
    SUM(1/(1+POWER(10,-(U394-_xlpm.elos)/_xlpm.diffscale)))-0.5)
)</f>
        <v/>
      </c>
      <c r="V396" t="str" cm="1">
        <f t="array" ref="V396">_xlfn.LET(
  _xlpm.colj, _xlfn._xlws.FILTER(IF(ISNUMBER(395:395), COLUMN(395:395)), ISNUMBER(395:395)),
  _xlpm.elos, INDEX(394:394,1,_xlpm.colj),
  _xlpm.diffscale, Constantes!$B$2,
  IF(V395="",
    "",
    SUM(1/(1+POWER(10,-(V394-_xlpm.elos)/_xlpm.diffscale)))-0.5)
)</f>
        <v/>
      </c>
      <c r="W396" t="str" cm="1">
        <f t="array" ref="W396">_xlfn.LET(
  _xlpm.colj, _xlfn._xlws.FILTER(IF(ISNUMBER(395:395), COLUMN(395:395)), ISNUMBER(395:395)),
  _xlpm.elos, INDEX(394:394,1,_xlpm.colj),
  _xlpm.diffscale, Constantes!$B$2,
  IF(W395="",
    "",
    SUM(1/(1+POWER(10,-(W394-_xlpm.elos)/_xlpm.diffscale)))-0.5)
)</f>
        <v/>
      </c>
      <c r="X396" t="str" cm="1">
        <f t="array" ref="X396">_xlfn.LET(
  _xlpm.colj, _xlfn._xlws.FILTER(IF(ISNUMBER(395:395), COLUMN(395:395)), ISNUMBER(395:395)),
  _xlpm.elos, INDEX(394:394,1,_xlpm.colj),
  _xlpm.diffscale, Constantes!$B$2,
  IF(X395="",
    "",
    SUM(1/(1+POWER(10,-(X394-_xlpm.elos)/_xlpm.diffscale)))-0.5)
)</f>
        <v/>
      </c>
      <c r="Y396" t="str" cm="1">
        <f t="array" ref="Y396">_xlfn.LET(
  _xlpm.colj, _xlfn._xlws.FILTER(IF(ISNUMBER(395:395), COLUMN(395:395)), ISNUMBER(395:395)),
  _xlpm.elos, INDEX(394:394,1,_xlpm.colj),
  _xlpm.diffscale, Constantes!$B$2,
  IF(Y395="",
    "",
    SUM(1/(1+POWER(10,-(Y394-_xlpm.elos)/_xlpm.diffscale)))-0.5)
)</f>
        <v/>
      </c>
      <c r="Z396" t="str" cm="1">
        <f t="array" ref="Z396">_xlfn.LET(
  _xlpm.colj, _xlfn._xlws.FILTER(IF(ISNUMBER(395:395), COLUMN(395:395)), ISNUMBER(395:395)),
  _xlpm.elos, INDEX(394:394,1,_xlpm.colj),
  _xlpm.diffscale, Constantes!$B$2,
  IF(Z395="",
    "",
    SUM(1/(1+POWER(10,-(Z394-_xlpm.elos)/_xlpm.diffscale)))-0.5)
)</f>
        <v/>
      </c>
      <c r="AA396" t="str" cm="1">
        <f t="array" ref="AA396">_xlfn.LET(
  _xlpm.colj, _xlfn._xlws.FILTER(IF(ISNUMBER(395:395), COLUMN(395:395)), ISNUMBER(395:395)),
  _xlpm.elos, INDEX(394:394,1,_xlpm.colj),
  _xlpm.diffscale, Constantes!$B$2,
  IF(AA395="",
    "",
    SUM(1/(1+POWER(10,-(AA394-_xlpm.elos)/_xlpm.diffscale)))-0.5)
)</f>
        <v/>
      </c>
      <c r="AB396" t="str" cm="1">
        <f t="array" ref="AB396">_xlfn.LET(
  _xlpm.colj, _xlfn._xlws.FILTER(IF(ISNUMBER(395:395), COLUMN(395:395)), ISNUMBER(395:395)),
  _xlpm.elos, INDEX(394:394,1,_xlpm.colj),
  _xlpm.diffscale, Constantes!$B$2,
  IF(AB395="",
    "",
    SUM(1/(1+POWER(10,-(AB394-_xlpm.elos)/_xlpm.diffscale)))-0.5)
)</f>
        <v/>
      </c>
      <c r="AC396" t="str" cm="1">
        <f t="array" ref="AC396">_xlfn.LET(
  _xlpm.colj, _xlfn._xlws.FILTER(IF(ISNUMBER(395:395), COLUMN(395:395)), ISNUMBER(395:395)),
  _xlpm.elos, INDEX(394:394,1,_xlpm.colj),
  _xlpm.diffscale, Constantes!$B$2,
  IF(AC395="",
    "",
    SUM(1/(1+POWER(10,-(AC394-_xlpm.elos)/_xlpm.diffscale)))-0.5)
)</f>
        <v/>
      </c>
      <c r="AD396" t="str" cm="1">
        <f t="array" ref="AD396">_xlfn.LET(
  _xlpm.colj, _xlfn._xlws.FILTER(IF(ISNUMBER(395:395), COLUMN(395:395)), ISNUMBER(395:395)),
  _xlpm.elos, INDEX(394:394,1,_xlpm.colj),
  _xlpm.diffscale, Constantes!$B$2,
  IF(AD395="",
    "",
    SUM(1/(1+POWER(10,-(AD394-_xlpm.elos)/_xlpm.diffscale)))-0.5)
)</f>
        <v/>
      </c>
      <c r="AE396" t="str" cm="1">
        <f t="array" ref="AE396">_xlfn.LET(
  _xlpm.colj, _xlfn._xlws.FILTER(IF(ISNUMBER(395:395), COLUMN(395:395)), ISNUMBER(395:395)),
  _xlpm.elos, INDEX(394:394,1,_xlpm.colj),
  _xlpm.diffscale, Constantes!$B$2,
  IF(AE395="",
    "",
    SUM(1/(1+POWER(10,-(AE394-_xlpm.elos)/_xlpm.diffscale)))-0.5)
)</f>
        <v/>
      </c>
      <c r="AF396" t="str" cm="1">
        <f t="array" ref="AF396">_xlfn.LET(
  _xlpm.colj, _xlfn._xlws.FILTER(IF(ISNUMBER(395:395), COLUMN(395:395)), ISNUMBER(395:395)),
  _xlpm.elos, INDEX(394:394,1,_xlpm.colj),
  _xlpm.diffscale, Constantes!$B$2,
  IF(AF395="",
    "",
    SUM(1/(1+POWER(10,-(AF394-_xlpm.elos)/_xlpm.diffscale)))-0.5)
)</f>
        <v/>
      </c>
      <c r="AG396" t="str" cm="1">
        <f t="array" ref="AG396">_xlfn.LET(
  _xlpm.colj, _xlfn._xlws.FILTER(IF(ISNUMBER(395:395), COLUMN(395:395)), ISNUMBER(395:395)),
  _xlpm.elos, INDEX(394:394,1,_xlpm.colj),
  _xlpm.diffscale, Constantes!$B$2,
  IF(AG395="",
    "",
    SUM(1/(1+POWER(10,-(AG394-_xlpm.elos)/_xlpm.diffscale)))-0.5)
)</f>
        <v/>
      </c>
      <c r="AH396" t="str" cm="1">
        <f t="array" ref="AH396">_xlfn.LET(
  _xlpm.colj, _xlfn._xlws.FILTER(IF(ISNUMBER(395:395), COLUMN(395:395)), ISNUMBER(395:395)),
  _xlpm.elos, INDEX(394:394,1,_xlpm.colj),
  _xlpm.diffscale, Constantes!$B$2,
  IF(AH395="",
    "",
    SUM(1/(1+POWER(10,-(AH394-_xlpm.elos)/_xlpm.diffscale)))-0.5)
)</f>
        <v/>
      </c>
      <c r="AI396" t="str" cm="1">
        <f t="array" ref="AI396">_xlfn.LET(
  _xlpm.colj, _xlfn._xlws.FILTER(IF(ISNUMBER(395:395), COLUMN(395:395)), ISNUMBER(395:395)),
  _xlpm.elos, INDEX(394:394,1,_xlpm.colj),
  _xlpm.diffscale, Constantes!$B$2,
  IF(AI395="",
    "",
    SUM(1/(1+POWER(10,-(AI394-_xlpm.elos)/_xlpm.diffscale)))-0.5)
)</f>
        <v/>
      </c>
      <c r="AJ396" t="str" cm="1">
        <f t="array" ref="AJ396">_xlfn.LET(
  _xlpm.colj, _xlfn._xlws.FILTER(IF(ISNUMBER(395:395), COLUMN(395:395)), ISNUMBER(395:395)),
  _xlpm.elos, INDEX(394:394,1,_xlpm.colj),
  _xlpm.diffscale, Constantes!$B$2,
  IF(AJ395="",
    "",
    SUM(1/(1+POWER(10,-(AJ394-_xlpm.elos)/_xlpm.diffscale)))-0.5)
)</f>
        <v/>
      </c>
      <c r="AK396" t="str" cm="1">
        <f t="array" ref="AK396">_xlfn.LET(
  _xlpm.colj, _xlfn._xlws.FILTER(IF(ISNUMBER(395:395), COLUMN(395:395)), ISNUMBER(395:395)),
  _xlpm.elos, INDEX(394:394,1,_xlpm.colj),
  _xlpm.diffscale, Constantes!$B$2,
  IF(AK395="",
    "",
    SUM(1/(1+POWER(10,-(AK394-_xlpm.elos)/_xlpm.diffscale)))-0.5)
)</f>
        <v/>
      </c>
      <c r="AL396" t="str" cm="1">
        <f t="array" ref="AL396">_xlfn.LET(
  _xlpm.colj, _xlfn._xlws.FILTER(IF(ISNUMBER(395:395), COLUMN(395:395)), ISNUMBER(395:395)),
  _xlpm.elos, INDEX(394:394,1,_xlpm.colj),
  _xlpm.diffscale, Constantes!$B$2,
  IF(AL395="",
    "",
    SUM(1/(1+POWER(10,-(AL394-_xlpm.elos)/_xlpm.diffscale)))-0.5)
)</f>
        <v/>
      </c>
      <c r="AM396" t="str" cm="1">
        <f t="array" ref="AM396">_xlfn.LET(
  _xlpm.colj, _xlfn._xlws.FILTER(IF(ISNUMBER(395:395), COLUMN(395:395)), ISNUMBER(395:395)),
  _xlpm.elos, INDEX(394:394,1,_xlpm.colj),
  _xlpm.diffscale, Constantes!$B$2,
  IF(AM395="",
    "",
    SUM(1/(1+POWER(10,-(AM394-_xlpm.elos)/_xlpm.diffscale)))-0.5)
)</f>
        <v/>
      </c>
    </row>
    <row r="397" spans="1:39" x14ac:dyDescent="0.25">
      <c r="A397" t="s">
        <v>22</v>
      </c>
      <c r="D397" t="str" cm="1">
        <f t="array" ref="D397">_xlfn.LET(
  _xlpm.K, Constantes!$B$3,
  _xlpm.Knewgain, Constantes!$B$4,
  _xlpm.Knewscale, Constantes!$B$5,
  _xlpm.ptstables, INDEX(D:D, _xlfn.SEQUENCE(COUNTA($C$2:$C397), 1, 3, 4)),
  _xlpm.nbparties, COUNTA(_xlfn._xlws.FILTER(_xlpm.ptstables, _xlpm.ptstables &lt;&gt; "")),
  _xlpm.coef, _xlpm.K + _xlpm.Knewgain / (_xlpm.Knewscale + _xlpm.nbparties),
  IF(D395="",
    "",
    _xlpm.coef * (D395-D396))
)</f>
        <v/>
      </c>
      <c r="E397" t="str" cm="1">
        <f t="array" ref="E397">_xlfn.LET(
  _xlpm.K, Constantes!$B$3,
  _xlpm.Knewgain, Constantes!$B$4,
  _xlpm.Knewscale, Constantes!$B$5,
  _xlpm.ptstables, INDEX(E:E, _xlfn.SEQUENCE(COUNTA($C$2:$C397), 1, 3, 4)),
  _xlpm.nbparties, COUNTA(_xlfn._xlws.FILTER(_xlpm.ptstables, _xlpm.ptstables &lt;&gt; "")),
  _xlpm.coef, _xlpm.K + _xlpm.Knewgain / (_xlpm.Knewscale + _xlpm.nbparties),
  IF(E395="",
    "",
    _xlpm.coef * (E395-E396))
)</f>
        <v/>
      </c>
      <c r="F397" t="str" cm="1">
        <f t="array" ref="F397">_xlfn.LET(
  _xlpm.K, Constantes!$B$3,
  _xlpm.Knewgain, Constantes!$B$4,
  _xlpm.Knewscale, Constantes!$B$5,
  _xlpm.ptstables, INDEX(F:F, _xlfn.SEQUENCE(COUNTA($C$2:$C397), 1, 3, 4)),
  _xlpm.nbparties, COUNTA(_xlfn._xlws.FILTER(_xlpm.ptstables, _xlpm.ptstables &lt;&gt; "")),
  _xlpm.coef, _xlpm.K + _xlpm.Knewgain / (_xlpm.Knewscale + _xlpm.nbparties),
  IF(F395="",
    "",
    _xlpm.coef * (F395-F396))
)</f>
        <v/>
      </c>
      <c r="G397" t="str" cm="1">
        <f t="array" ref="G397">_xlfn.LET(
  _xlpm.K, Constantes!$B$3,
  _xlpm.Knewgain, Constantes!$B$4,
  _xlpm.Knewscale, Constantes!$B$5,
  _xlpm.ptstables, INDEX(G:G, _xlfn.SEQUENCE(COUNTA($C$2:$C397), 1, 3, 4)),
  _xlpm.nbparties, COUNTA(_xlfn._xlws.FILTER(_xlpm.ptstables, _xlpm.ptstables &lt;&gt; "")),
  _xlpm.coef, _xlpm.K + _xlpm.Knewgain / (_xlpm.Knewscale + _xlpm.nbparties),
  IF(G395="",
    "",
    _xlpm.coef * (G395-G396))
)</f>
        <v/>
      </c>
      <c r="H397" t="str" cm="1">
        <f t="array" ref="H397">_xlfn.LET(
  _xlpm.K, Constantes!$B$3,
  _xlpm.Knewgain, Constantes!$B$4,
  _xlpm.Knewscale, Constantes!$B$5,
  _xlpm.ptstables, INDEX(H:H, _xlfn.SEQUENCE(COUNTA($C$2:$C397), 1, 3, 4)),
  _xlpm.nbparties, COUNTA(_xlfn._xlws.FILTER(_xlpm.ptstables, _xlpm.ptstables &lt;&gt; "")),
  _xlpm.coef, _xlpm.K + _xlpm.Knewgain / (_xlpm.Knewscale + _xlpm.nbparties),
  IF(H395="",
    "",
    _xlpm.coef * (H395-H396))
)</f>
        <v/>
      </c>
      <c r="I397" t="str" cm="1">
        <f t="array" ref="I397">_xlfn.LET(
  _xlpm.K, Constantes!$B$3,
  _xlpm.Knewgain, Constantes!$B$4,
  _xlpm.Knewscale, Constantes!$B$5,
  _xlpm.ptstables, INDEX(I:I, _xlfn.SEQUENCE(COUNTA($C$2:$C397), 1, 3, 4)),
  _xlpm.nbparties, COUNTA(_xlfn._xlws.FILTER(_xlpm.ptstables, _xlpm.ptstables &lt;&gt; "")),
  _xlpm.coef, _xlpm.K + _xlpm.Knewgain / (_xlpm.Knewscale + _xlpm.nbparties),
  IF(I395="",
    "",
    _xlpm.coef * (I395-I396))
)</f>
        <v/>
      </c>
      <c r="J397" cm="1">
        <f t="array" ref="J397">_xlfn.LET(
  _xlpm.K, Constantes!$B$3,
  _xlpm.Knewgain, Constantes!$B$4,
  _xlpm.Knewscale, Constantes!$B$5,
  _xlpm.ptstables, INDEX(J:J, _xlfn.SEQUENCE(COUNTA($C$2:$C397), 1, 3, 4)),
  _xlpm.nbparties, COUNTA(_xlfn._xlws.FILTER(_xlpm.ptstables, _xlpm.ptstables &lt;&gt; "")),
  _xlpm.coef, _xlpm.K + _xlpm.Knewgain / (_xlpm.Knewscale + _xlpm.nbparties),
  IF(J395="",
    "",
    _xlpm.coef * (J395-J396))
)</f>
        <v>35.520359640017645</v>
      </c>
      <c r="K397" t="str" cm="1">
        <f t="array" ref="K397">_xlfn.LET(
  _xlpm.K, Constantes!$B$3,
  _xlpm.Knewgain, Constantes!$B$4,
  _xlpm.Knewscale, Constantes!$B$5,
  _xlpm.ptstables, INDEX(K:K, _xlfn.SEQUENCE(COUNTA($C$2:$C397), 1, 3, 4)),
  _xlpm.nbparties, COUNTA(_xlfn._xlws.FILTER(_xlpm.ptstables, _xlpm.ptstables &lt;&gt; "")),
  _xlpm.coef, _xlpm.K + _xlpm.Knewgain / (_xlpm.Knewscale + _xlpm.nbparties),
  IF(K395="",
    "",
    _xlpm.coef * (K395-K396))
)</f>
        <v/>
      </c>
      <c r="L397" t="str" cm="1">
        <f t="array" ref="L397">_xlfn.LET(
  _xlpm.K, Constantes!$B$3,
  _xlpm.Knewgain, Constantes!$B$4,
  _xlpm.Knewscale, Constantes!$B$5,
  _xlpm.ptstables, INDEX(L:L, _xlfn.SEQUENCE(COUNTA($C$2:$C397), 1, 3, 4)),
  _xlpm.nbparties, COUNTA(_xlfn._xlws.FILTER(_xlpm.ptstables, _xlpm.ptstables &lt;&gt; "")),
  _xlpm.coef, _xlpm.K + _xlpm.Knewgain / (_xlpm.Knewscale + _xlpm.nbparties),
  IF(L395="",
    "",
    _xlpm.coef * (L395-L396))
)</f>
        <v/>
      </c>
      <c r="M397" cm="1">
        <f t="array" ref="M397">_xlfn.LET(
  _xlpm.K, Constantes!$B$3,
  _xlpm.Knewgain, Constantes!$B$4,
  _xlpm.Knewscale, Constantes!$B$5,
  _xlpm.ptstables, INDEX(M:M, _xlfn.SEQUENCE(COUNTA($C$2:$C397), 1, 3, 4)),
  _xlpm.nbparties, COUNTA(_xlfn._xlws.FILTER(_xlpm.ptstables, _xlpm.ptstables &lt;&gt; "")),
  _xlpm.coef, _xlpm.K + _xlpm.Knewgain / (_xlpm.Knewscale + _xlpm.nbparties),
  IF(M395="",
    "",
    _xlpm.coef * (M395-M396))
)</f>
        <v>-39.109345296604054</v>
      </c>
      <c r="N397" cm="1">
        <f t="array" ref="N397">_xlfn.LET(
  _xlpm.K, Constantes!$B$3,
  _xlpm.Knewgain, Constantes!$B$4,
  _xlpm.Knewscale, Constantes!$B$5,
  _xlpm.ptstables, INDEX(N:N, _xlfn.SEQUENCE(COUNTA($C$2:$C397), 1, 3, 4)),
  _xlpm.nbparties, COUNTA(_xlfn._xlws.FILTER(_xlpm.ptstables, _xlpm.ptstables &lt;&gt; "")),
  _xlpm.coef, _xlpm.K + _xlpm.Knewgain / (_xlpm.Knewscale + _xlpm.nbparties),
  IF(N395="",
    "",
    _xlpm.coef * (N395-N396))
)</f>
        <v>-3.4454383001109994</v>
      </c>
      <c r="O397" t="str" cm="1">
        <f t="array" ref="O397">_xlfn.LET(
  _xlpm.K, Constantes!$B$3,
  _xlpm.Knewgain, Constantes!$B$4,
  _xlpm.Knewscale, Constantes!$B$5,
  _xlpm.ptstables, INDEX(O:O, _xlfn.SEQUENCE(COUNTA($C$2:$C397), 1, 3, 4)),
  _xlpm.nbparties, COUNTA(_xlfn._xlws.FILTER(_xlpm.ptstables, _xlpm.ptstables &lt;&gt; "")),
  _xlpm.coef, _xlpm.K + _xlpm.Knewgain / (_xlpm.Knewscale + _xlpm.nbparties),
  IF(O395="",
    "",
    _xlpm.coef * (O395-O396))
)</f>
        <v/>
      </c>
      <c r="P397" t="str" cm="1">
        <f t="array" ref="P397">_xlfn.LET(
  _xlpm.K, Constantes!$B$3,
  _xlpm.Knewgain, Constantes!$B$4,
  _xlpm.Knewscale, Constantes!$B$5,
  _xlpm.ptstables, INDEX(P:P, _xlfn.SEQUENCE(COUNTA($C$2:$C397), 1, 3, 4)),
  _xlpm.nbparties, COUNTA(_xlfn._xlws.FILTER(_xlpm.ptstables, _xlpm.ptstables &lt;&gt; "")),
  _xlpm.coef, _xlpm.K + _xlpm.Knewgain / (_xlpm.Knewscale + _xlpm.nbparties),
  IF(P395="",
    "",
    _xlpm.coef * (P395-P396))
)</f>
        <v/>
      </c>
      <c r="Q397" cm="1">
        <f t="array" ref="Q397">_xlfn.LET(
  _xlpm.K, Constantes!$B$3,
  _xlpm.Knewgain, Constantes!$B$4,
  _xlpm.Knewscale, Constantes!$B$5,
  _xlpm.ptstables, INDEX(Q:Q, _xlfn.SEQUENCE(COUNTA($C$2:$C397), 1, 3, 4)),
  _xlpm.nbparties, COUNTA(_xlfn._xlws.FILTER(_xlpm.ptstables, _xlpm.ptstables &lt;&gt; "")),
  _xlpm.coef, _xlpm.K + _xlpm.Knewgain / (_xlpm.Knewscale + _xlpm.nbparties),
  IF(Q395="",
    "",
    _xlpm.coef * (Q395-Q396))
)</f>
        <v>0.96925651477253461</v>
      </c>
      <c r="R397" t="str" cm="1">
        <f t="array" ref="R397">_xlfn.LET(
  _xlpm.K, Constantes!$B$3,
  _xlpm.Knewgain, Constantes!$B$4,
  _xlpm.Knewscale, Constantes!$B$5,
  _xlpm.ptstables, INDEX(R:R, _xlfn.SEQUENCE(COUNTA($C$2:$C397), 1, 3, 4)),
  _xlpm.nbparties, COUNTA(_xlfn._xlws.FILTER(_xlpm.ptstables, _xlpm.ptstables &lt;&gt; "")),
  _xlpm.coef, _xlpm.K + _xlpm.Knewgain / (_xlpm.Knewscale + _xlpm.nbparties),
  IF(R395="",
    "",
    _xlpm.coef * (R395-R396))
)</f>
        <v/>
      </c>
      <c r="S397" t="str" cm="1">
        <f t="array" ref="S397">_xlfn.LET(
  _xlpm.K, Constantes!$B$3,
  _xlpm.Knewgain, Constantes!$B$4,
  _xlpm.Knewscale, Constantes!$B$5,
  _xlpm.ptstables, INDEX(S:S, _xlfn.SEQUENCE(COUNTA($C$2:$C397), 1, 3, 4)),
  _xlpm.nbparties, COUNTA(_xlfn._xlws.FILTER(_xlpm.ptstables, _xlpm.ptstables &lt;&gt; "")),
  _xlpm.coef, _xlpm.K + _xlpm.Knewgain / (_xlpm.Knewscale + _xlpm.nbparties),
  IF(S395="",
    "",
    _xlpm.coef * (S395-S396))
)</f>
        <v/>
      </c>
      <c r="T397" t="str" cm="1">
        <f t="array" ref="T397">_xlfn.LET(
  _xlpm.K, Constantes!$B$3,
  _xlpm.Knewgain, Constantes!$B$4,
  _xlpm.Knewscale, Constantes!$B$5,
  _xlpm.ptstables, INDEX(T:T, _xlfn.SEQUENCE(COUNTA($C$2:$C397), 1, 3, 4)),
  _xlpm.nbparties, COUNTA(_xlfn._xlws.FILTER(_xlpm.ptstables, _xlpm.ptstables &lt;&gt; "")),
  _xlpm.coef, _xlpm.K + _xlpm.Knewgain / (_xlpm.Knewscale + _xlpm.nbparties),
  IF(T395="",
    "",
    _xlpm.coef * (T395-T396))
)</f>
        <v/>
      </c>
      <c r="U397" t="str" cm="1">
        <f t="array" ref="U397">_xlfn.LET(
  _xlpm.K, Constantes!$B$3,
  _xlpm.Knewgain, Constantes!$B$4,
  _xlpm.Knewscale, Constantes!$B$5,
  _xlpm.ptstables, INDEX(U:U, _xlfn.SEQUENCE(COUNTA($C$2:$C397), 1, 3, 4)),
  _xlpm.nbparties, COUNTA(_xlfn._xlws.FILTER(_xlpm.ptstables, _xlpm.ptstables &lt;&gt; "")),
  _xlpm.coef, _xlpm.K + _xlpm.Knewgain / (_xlpm.Knewscale + _xlpm.nbparties),
  IF(U395="",
    "",
    _xlpm.coef * (U395-U396))
)</f>
        <v/>
      </c>
      <c r="V397" t="str" cm="1">
        <f t="array" ref="V397">_xlfn.LET(
  _xlpm.K, Constantes!$B$3,
  _xlpm.Knewgain, Constantes!$B$4,
  _xlpm.Knewscale, Constantes!$B$5,
  _xlpm.ptstables, INDEX(V:V, _xlfn.SEQUENCE(COUNTA($C$2:$C397), 1, 3, 4)),
  _xlpm.nbparties, COUNTA(_xlfn._xlws.FILTER(_xlpm.ptstables, _xlpm.ptstables &lt;&gt; "")),
  _xlpm.coef, _xlpm.K + _xlpm.Knewgain / (_xlpm.Knewscale + _xlpm.nbparties),
  IF(V395="",
    "",
    _xlpm.coef * (V395-V396))
)</f>
        <v/>
      </c>
      <c r="W397" t="str" cm="1">
        <f t="array" ref="W397">_xlfn.LET(
  _xlpm.K, Constantes!$B$3,
  _xlpm.Knewgain, Constantes!$B$4,
  _xlpm.Knewscale, Constantes!$B$5,
  _xlpm.ptstables, INDEX(W:W, _xlfn.SEQUENCE(COUNTA($C$2:$C397), 1, 3, 4)),
  _xlpm.nbparties, COUNTA(_xlfn._xlws.FILTER(_xlpm.ptstables, _xlpm.ptstables &lt;&gt; "")),
  _xlpm.coef, _xlpm.K + _xlpm.Knewgain / (_xlpm.Knewscale + _xlpm.nbparties),
  IF(W395="",
    "",
    _xlpm.coef * (W395-W396))
)</f>
        <v/>
      </c>
      <c r="X397" t="str" cm="1">
        <f t="array" ref="X397">_xlfn.LET(
  _xlpm.K, Constantes!$B$3,
  _xlpm.Knewgain, Constantes!$B$4,
  _xlpm.Knewscale, Constantes!$B$5,
  _xlpm.ptstables, INDEX(X:X, _xlfn.SEQUENCE(COUNTA($C$2:$C397), 1, 3, 4)),
  _xlpm.nbparties, COUNTA(_xlfn._xlws.FILTER(_xlpm.ptstables, _xlpm.ptstables &lt;&gt; "")),
  _xlpm.coef, _xlpm.K + _xlpm.Knewgain / (_xlpm.Knewscale + _xlpm.nbparties),
  IF(X395="",
    "",
    _xlpm.coef * (X395-X396))
)</f>
        <v/>
      </c>
      <c r="Y397" t="str" cm="1">
        <f t="array" ref="Y397">_xlfn.LET(
  _xlpm.K, Constantes!$B$3,
  _xlpm.Knewgain, Constantes!$B$4,
  _xlpm.Knewscale, Constantes!$B$5,
  _xlpm.ptstables, INDEX(Y:Y, _xlfn.SEQUENCE(COUNTA($C$2:$C397), 1, 3, 4)),
  _xlpm.nbparties, COUNTA(_xlfn._xlws.FILTER(_xlpm.ptstables, _xlpm.ptstables &lt;&gt; "")),
  _xlpm.coef, _xlpm.K + _xlpm.Knewgain / (_xlpm.Knewscale + _xlpm.nbparties),
  IF(Y395="",
    "",
    _xlpm.coef * (Y395-Y396))
)</f>
        <v/>
      </c>
      <c r="Z397" t="str" cm="1">
        <f t="array" ref="Z397">_xlfn.LET(
  _xlpm.K, Constantes!$B$3,
  _xlpm.Knewgain, Constantes!$B$4,
  _xlpm.Knewscale, Constantes!$B$5,
  _xlpm.ptstables, INDEX(Z:Z, _xlfn.SEQUENCE(COUNTA($C$2:$C397), 1, 3, 4)),
  _xlpm.nbparties, COUNTA(_xlfn._xlws.FILTER(_xlpm.ptstables, _xlpm.ptstables &lt;&gt; "")),
  _xlpm.coef, _xlpm.K + _xlpm.Knewgain / (_xlpm.Knewscale + _xlpm.nbparties),
  IF(Z395="",
    "",
    _xlpm.coef * (Z395-Z396))
)</f>
        <v/>
      </c>
      <c r="AA397" t="str" cm="1">
        <f t="array" ref="AA397">_xlfn.LET(
  _xlpm.K, Constantes!$B$3,
  _xlpm.Knewgain, Constantes!$B$4,
  _xlpm.Knewscale, Constantes!$B$5,
  _xlpm.ptstables, INDEX(AA:AA, _xlfn.SEQUENCE(COUNTA($C$2:$C397), 1, 3, 4)),
  _xlpm.nbparties, COUNTA(_xlfn._xlws.FILTER(_xlpm.ptstables, _xlpm.ptstables &lt;&gt; "")),
  _xlpm.coef, _xlpm.K + _xlpm.Knewgain / (_xlpm.Knewscale + _xlpm.nbparties),
  IF(AA395="",
    "",
    _xlpm.coef * (AA395-AA396))
)</f>
        <v/>
      </c>
      <c r="AB397" t="str" cm="1">
        <f t="array" ref="AB397">_xlfn.LET(
  _xlpm.K, Constantes!$B$3,
  _xlpm.Knewgain, Constantes!$B$4,
  _xlpm.Knewscale, Constantes!$B$5,
  _xlpm.ptstables, INDEX(AB:AB, _xlfn.SEQUENCE(COUNTA($C$2:$C397), 1, 3, 4)),
  _xlpm.nbparties, COUNTA(_xlfn._xlws.FILTER(_xlpm.ptstables, _xlpm.ptstables &lt;&gt; "")),
  _xlpm.coef, _xlpm.K + _xlpm.Knewgain / (_xlpm.Knewscale + _xlpm.nbparties),
  IF(AB395="",
    "",
    _xlpm.coef * (AB395-AB396))
)</f>
        <v/>
      </c>
      <c r="AC397" t="str" cm="1">
        <f t="array" ref="AC397">_xlfn.LET(
  _xlpm.K, Constantes!$B$3,
  _xlpm.Knewgain, Constantes!$B$4,
  _xlpm.Knewscale, Constantes!$B$5,
  _xlpm.ptstables, INDEX(AC:AC, _xlfn.SEQUENCE(COUNTA($C$2:$C397), 1, 3, 4)),
  _xlpm.nbparties, COUNTA(_xlfn._xlws.FILTER(_xlpm.ptstables, _xlpm.ptstables &lt;&gt; "")),
  _xlpm.coef, _xlpm.K + _xlpm.Knewgain / (_xlpm.Knewscale + _xlpm.nbparties),
  IF(AC395="",
    "",
    _xlpm.coef * (AC395-AC396))
)</f>
        <v/>
      </c>
      <c r="AD397" t="str" cm="1">
        <f t="array" ref="AD397">_xlfn.LET(
  _xlpm.K, Constantes!$B$3,
  _xlpm.Knewgain, Constantes!$B$4,
  _xlpm.Knewscale, Constantes!$B$5,
  _xlpm.ptstables, INDEX(AD:AD, _xlfn.SEQUENCE(COUNTA($C$2:$C397), 1, 3, 4)),
  _xlpm.nbparties, COUNTA(_xlfn._xlws.FILTER(_xlpm.ptstables, _xlpm.ptstables &lt;&gt; "")),
  _xlpm.coef, _xlpm.K + _xlpm.Knewgain / (_xlpm.Knewscale + _xlpm.nbparties),
  IF(AD395="",
    "",
    _xlpm.coef * (AD395-AD396))
)</f>
        <v/>
      </c>
      <c r="AE397" t="str" cm="1">
        <f t="array" ref="AE397">_xlfn.LET(
  _xlpm.K, Constantes!$B$3,
  _xlpm.Knewgain, Constantes!$B$4,
  _xlpm.Knewscale, Constantes!$B$5,
  _xlpm.ptstables, INDEX(AE:AE, _xlfn.SEQUENCE(COUNTA($C$2:$C397), 1, 3, 4)),
  _xlpm.nbparties, COUNTA(_xlfn._xlws.FILTER(_xlpm.ptstables, _xlpm.ptstables &lt;&gt; "")),
  _xlpm.coef, _xlpm.K + _xlpm.Knewgain / (_xlpm.Knewscale + _xlpm.nbparties),
  IF(AE395="",
    "",
    _xlpm.coef * (AE395-AE396))
)</f>
        <v/>
      </c>
      <c r="AF397" t="str" cm="1">
        <f t="array" ref="AF397">_xlfn.LET(
  _xlpm.K, Constantes!$B$3,
  _xlpm.Knewgain, Constantes!$B$4,
  _xlpm.Knewscale, Constantes!$B$5,
  _xlpm.ptstables, INDEX(AF:AF, _xlfn.SEQUENCE(COUNTA($C$2:$C397), 1, 3, 4)),
  _xlpm.nbparties, COUNTA(_xlfn._xlws.FILTER(_xlpm.ptstables, _xlpm.ptstables &lt;&gt; "")),
  _xlpm.coef, _xlpm.K + _xlpm.Knewgain / (_xlpm.Knewscale + _xlpm.nbparties),
  IF(AF395="",
    "",
    _xlpm.coef * (AF395-AF396))
)</f>
        <v/>
      </c>
      <c r="AG397" t="str" cm="1">
        <f t="array" ref="AG397">_xlfn.LET(
  _xlpm.K, Constantes!$B$3,
  _xlpm.Knewgain, Constantes!$B$4,
  _xlpm.Knewscale, Constantes!$B$5,
  _xlpm.ptstables, INDEX(AG:AG, _xlfn.SEQUENCE(COUNTA($C$2:$C397), 1, 3, 4)),
  _xlpm.nbparties, COUNTA(_xlfn._xlws.FILTER(_xlpm.ptstables, _xlpm.ptstables &lt;&gt; "")),
  _xlpm.coef, _xlpm.K + _xlpm.Knewgain / (_xlpm.Knewscale + _xlpm.nbparties),
  IF(AG395="",
    "",
    _xlpm.coef * (AG395-AG396))
)</f>
        <v/>
      </c>
      <c r="AH397" t="str" cm="1">
        <f t="array" ref="AH397">_xlfn.LET(
  _xlpm.K, Constantes!$B$3,
  _xlpm.Knewgain, Constantes!$B$4,
  _xlpm.Knewscale, Constantes!$B$5,
  _xlpm.ptstables, INDEX(AH:AH, _xlfn.SEQUENCE(COUNTA($C$2:$C397), 1, 3, 4)),
  _xlpm.nbparties, COUNTA(_xlfn._xlws.FILTER(_xlpm.ptstables, _xlpm.ptstables &lt;&gt; "")),
  _xlpm.coef, _xlpm.K + _xlpm.Knewgain / (_xlpm.Knewscale + _xlpm.nbparties),
  IF(AH395="",
    "",
    _xlpm.coef * (AH395-AH396))
)</f>
        <v/>
      </c>
      <c r="AI397" t="str" cm="1">
        <f t="array" ref="AI397">_xlfn.LET(
  _xlpm.K, Constantes!$B$3,
  _xlpm.Knewgain, Constantes!$B$4,
  _xlpm.Knewscale, Constantes!$B$5,
  _xlpm.ptstables, INDEX(AI:AI, _xlfn.SEQUENCE(COUNTA($C$2:$C397), 1, 3, 4)),
  _xlpm.nbparties, COUNTA(_xlfn._xlws.FILTER(_xlpm.ptstables, _xlpm.ptstables &lt;&gt; "")),
  _xlpm.coef, _xlpm.K + _xlpm.Knewgain / (_xlpm.Knewscale + _xlpm.nbparties),
  IF(AI395="",
    "",
    _xlpm.coef * (AI395-AI396))
)</f>
        <v/>
      </c>
      <c r="AJ397" t="str" cm="1">
        <f t="array" ref="AJ397">_xlfn.LET(
  _xlpm.K, Constantes!$B$3,
  _xlpm.Knewgain, Constantes!$B$4,
  _xlpm.Knewscale, Constantes!$B$5,
  _xlpm.ptstables, INDEX(AJ:AJ, _xlfn.SEQUENCE(COUNTA($C$2:$C397), 1, 3, 4)),
  _xlpm.nbparties, COUNTA(_xlfn._xlws.FILTER(_xlpm.ptstables, _xlpm.ptstables &lt;&gt; "")),
  _xlpm.coef, _xlpm.K + _xlpm.Knewgain / (_xlpm.Knewscale + _xlpm.nbparties),
  IF(AJ395="",
    "",
    _xlpm.coef * (AJ395-AJ396))
)</f>
        <v/>
      </c>
      <c r="AK397" t="str" cm="1">
        <f t="array" ref="AK397">_xlfn.LET(
  _xlpm.K, Constantes!$B$3,
  _xlpm.Knewgain, Constantes!$B$4,
  _xlpm.Knewscale, Constantes!$B$5,
  _xlpm.ptstables, INDEX(AK:AK, _xlfn.SEQUENCE(COUNTA($C$2:$C397), 1, 3, 4)),
  _xlpm.nbparties, COUNTA(_xlfn._xlws.FILTER(_xlpm.ptstables, _xlpm.ptstables &lt;&gt; "")),
  _xlpm.coef, _xlpm.K + _xlpm.Knewgain / (_xlpm.Knewscale + _xlpm.nbparties),
  IF(AK395="",
    "",
    _xlpm.coef * (AK395-AK396))
)</f>
        <v/>
      </c>
      <c r="AL397" t="str" cm="1">
        <f t="array" ref="AL397">_xlfn.LET(
  _xlpm.K, Constantes!$B$3,
  _xlpm.Knewgain, Constantes!$B$4,
  _xlpm.Knewscale, Constantes!$B$5,
  _xlpm.ptstables, INDEX(AL:AL, _xlfn.SEQUENCE(COUNTA($C$2:$C397), 1, 3, 4)),
  _xlpm.nbparties, COUNTA(_xlfn._xlws.FILTER(_xlpm.ptstables, _xlpm.ptstables &lt;&gt; "")),
  _xlpm.coef, _xlpm.K + _xlpm.Knewgain / (_xlpm.Knewscale + _xlpm.nbparties),
  IF(AL395="",
    "",
    _xlpm.coef * (AL395-AL396))
)</f>
        <v/>
      </c>
      <c r="AM397" t="str" cm="1">
        <f t="array" ref="AM397">_xlfn.LET(
  _xlpm.K, Constantes!$B$3,
  _xlpm.Knewgain, Constantes!$B$4,
  _xlpm.Knewscale, Constantes!$B$5,
  _xlpm.ptstables, INDEX(AM:AM, _xlfn.SEQUENCE(COUNTA($C$2:$C397), 1, 3, 4)),
  _xlpm.nbparties, COUNTA(_xlfn._xlws.FILTER(_xlpm.ptstables, _xlpm.ptstables &lt;&gt; "")),
  _xlpm.coef, _xlpm.K + _xlpm.Knewgain / (_xlpm.Knewscale + _xlpm.nbparties),
  IF(AM395="",
    "",
    _xlpm.coef * (AM395-AM396))
)</f>
        <v/>
      </c>
    </row>
    <row r="398" spans="1:39" x14ac:dyDescent="0.25">
      <c r="A398" t="s">
        <v>14</v>
      </c>
      <c r="B398" t="str" cm="1">
        <f t="array" ref="B39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100</v>
      </c>
      <c r="C398" s="2" cm="1">
        <f t="array" ref="C398">IF(B398="","",
  INDEX(Donnees!F:F, MATCH(B398, Donnees!F:F, 0)+1))</f>
        <v>45955.695208333331</v>
      </c>
      <c r="D398">
        <f t="shared" ref="D398:AM398" si="107">D394+IF(D397="",0,D397)</f>
        <v>983.00829738956952</v>
      </c>
      <c r="E398">
        <f t="shared" si="107"/>
        <v>1143.2776362955974</v>
      </c>
      <c r="F398">
        <f t="shared" si="107"/>
        <v>892.77162496860694</v>
      </c>
      <c r="G398">
        <f t="shared" si="107"/>
        <v>1061.9525561512175</v>
      </c>
      <c r="H398">
        <f t="shared" si="107"/>
        <v>1121.8561093296914</v>
      </c>
      <c r="I398">
        <f t="shared" si="107"/>
        <v>912.81564332013568</v>
      </c>
      <c r="J398">
        <f t="shared" si="107"/>
        <v>1036.8345874163842</v>
      </c>
      <c r="K398">
        <f t="shared" si="107"/>
        <v>1037.8095069308526</v>
      </c>
      <c r="L398">
        <f t="shared" si="107"/>
        <v>783.12422360152641</v>
      </c>
      <c r="M398">
        <f t="shared" si="107"/>
        <v>874.31051832077719</v>
      </c>
      <c r="N398">
        <f t="shared" si="107"/>
        <v>899.98370646249032</v>
      </c>
      <c r="O398">
        <f t="shared" si="107"/>
        <v>997.04050320786712</v>
      </c>
      <c r="P398">
        <f t="shared" si="107"/>
        <v>987.86278180042575</v>
      </c>
      <c r="Q398">
        <f t="shared" si="107"/>
        <v>1051.0755127018197</v>
      </c>
      <c r="R398">
        <f t="shared" si="107"/>
        <v>1053.036836862696</v>
      </c>
      <c r="S398">
        <f t="shared" si="107"/>
        <v>975.83442640972487</v>
      </c>
      <c r="T398">
        <f t="shared" si="107"/>
        <v>1151.9931855695777</v>
      </c>
      <c r="U398">
        <f t="shared" si="107"/>
        <v>1215.9103115123116</v>
      </c>
      <c r="V398">
        <f t="shared" si="107"/>
        <v>969.67171739286073</v>
      </c>
      <c r="W398">
        <f t="shared" si="107"/>
        <v>882.29253769067657</v>
      </c>
      <c r="X398">
        <f t="shared" si="107"/>
        <v>828.97598039785271</v>
      </c>
      <c r="Y398">
        <f t="shared" si="107"/>
        <v>903.14348714035714</v>
      </c>
      <c r="Z398">
        <f t="shared" si="107"/>
        <v>967.57810576867519</v>
      </c>
      <c r="AA398">
        <f t="shared" si="107"/>
        <v>976.40065260504912</v>
      </c>
      <c r="AB398">
        <f t="shared" si="107"/>
        <v>988.35669729544747</v>
      </c>
      <c r="AC398">
        <f t="shared" si="107"/>
        <v>1051.9456808600683</v>
      </c>
      <c r="AD398">
        <f t="shared" si="107"/>
        <v>1093.8192243082785</v>
      </c>
      <c r="AE398">
        <f t="shared" si="107"/>
        <v>963.23981965000235</v>
      </c>
      <c r="AF398">
        <f t="shared" si="107"/>
        <v>1094.8196847516158</v>
      </c>
      <c r="AG398">
        <f t="shared" si="107"/>
        <v>958.23078604304851</v>
      </c>
      <c r="AH398">
        <f t="shared" si="107"/>
        <v>920.4412636682855</v>
      </c>
      <c r="AI398">
        <f t="shared" si="107"/>
        <v>991.76873183498924</v>
      </c>
      <c r="AJ398">
        <f t="shared" si="107"/>
        <v>906.86354201913434</v>
      </c>
      <c r="AK398">
        <f t="shared" si="107"/>
        <v>1074.0069367206956</v>
      </c>
      <c r="AL398">
        <f t="shared" si="107"/>
        <v>1025.7817971572972</v>
      </c>
      <c r="AM398">
        <f t="shared" si="107"/>
        <v>930.08392160706046</v>
      </c>
    </row>
    <row r="399" spans="1:39" x14ac:dyDescent="0.25">
      <c r="A399" t="s">
        <v>21</v>
      </c>
      <c r="D399" t="str" cm="1">
        <f t="array" ref="D399">IFERROR(
  _xlfn.LET(
    _xlpm.ligpartie, MATCH($B398, Donnees!$F:$F, 0),
    _xlpm.joueurs, INDEX(Donnees!$A:$Z, _xlpm.ligpartie+1, _xlfn.SEQUENCE(1, 4, 2)),
    INDEX(
      Donnees!$A:$Z,
      _xlpm.ligpartie + 3,
      MATCH(D$1, _xlpm.joueurs, 0) + 1
    )
  ), ""
)</f>
        <v/>
      </c>
      <c r="E399" t="str" cm="1">
        <f t="array" ref="E399">IFERROR(
  _xlfn.LET(
    _xlpm.ligpartie, MATCH($B398, Donnees!$F:$F, 0),
    _xlpm.joueurs, INDEX(Donnees!$A:$Z, _xlpm.ligpartie+1, _xlfn.SEQUENCE(1, 4, 2)),
    INDEX(
      Donnees!$A:$Z,
      _xlpm.ligpartie + 3,
      MATCH(E$1, _xlpm.joueurs, 0) + 1
    )
  ), ""
)</f>
        <v/>
      </c>
      <c r="F399" t="str" cm="1">
        <f t="array" ref="F399">IFERROR(
  _xlfn.LET(
    _xlpm.ligpartie, MATCH($B398, Donnees!$F:$F, 0),
    _xlpm.joueurs, INDEX(Donnees!$A:$Z, _xlpm.ligpartie+1, _xlfn.SEQUENCE(1, 4, 2)),
    INDEX(
      Donnees!$A:$Z,
      _xlpm.ligpartie + 3,
      MATCH(F$1, _xlpm.joueurs, 0) + 1
    )
  ), ""
)</f>
        <v/>
      </c>
      <c r="G399" t="str" cm="1">
        <f t="array" ref="G399">IFERROR(
  _xlfn.LET(
    _xlpm.ligpartie, MATCH($B398, Donnees!$F:$F, 0),
    _xlpm.joueurs, INDEX(Donnees!$A:$Z, _xlpm.ligpartie+1, _xlfn.SEQUENCE(1, 4, 2)),
    INDEX(
      Donnees!$A:$Z,
      _xlpm.ligpartie + 3,
      MATCH(G$1, _xlpm.joueurs, 0) + 1
    )
  ), ""
)</f>
        <v/>
      </c>
      <c r="H399" t="str" cm="1">
        <f t="array" ref="H399">IFERROR(
  _xlfn.LET(
    _xlpm.ligpartie, MATCH($B398, Donnees!$F:$F, 0),
    _xlpm.joueurs, INDEX(Donnees!$A:$Z, _xlpm.ligpartie+1, _xlfn.SEQUENCE(1, 4, 2)),
    INDEX(
      Donnees!$A:$Z,
      _xlpm.ligpartie + 3,
      MATCH(H$1, _xlpm.joueurs, 0) + 1
    )
  ), ""
)</f>
        <v/>
      </c>
      <c r="I399" t="str" cm="1">
        <f t="array" ref="I399">IFERROR(
  _xlfn.LET(
    _xlpm.ligpartie, MATCH($B398, Donnees!$F:$F, 0),
    _xlpm.joueurs, INDEX(Donnees!$A:$Z, _xlpm.ligpartie+1, _xlfn.SEQUENCE(1, 4, 2)),
    INDEX(
      Donnees!$A:$Z,
      _xlpm.ligpartie + 3,
      MATCH(I$1, _xlpm.joueurs, 0) + 1
    )
  ), ""
)</f>
        <v/>
      </c>
      <c r="J399" t="str" cm="1">
        <f t="array" ref="J399">IFERROR(
  _xlfn.LET(
    _xlpm.ligpartie, MATCH($B398, Donnees!$F:$F, 0),
    _xlpm.joueurs, INDEX(Donnees!$A:$Z, _xlpm.ligpartie+1, _xlfn.SEQUENCE(1, 4, 2)),
    INDEX(
      Donnees!$A:$Z,
      _xlpm.ligpartie + 3,
      MATCH(J$1, _xlpm.joueurs, 0) + 1
    )
  ), ""
)</f>
        <v/>
      </c>
      <c r="K399" cm="1">
        <f t="array" ref="K399">IFERROR(
  _xlfn.LET(
    _xlpm.ligpartie, MATCH($B398, Donnees!$F:$F, 0),
    _xlpm.joueurs, INDEX(Donnees!$A:$Z, _xlpm.ligpartie+1, _xlfn.SEQUENCE(1, 4, 2)),
    INDEX(
      Donnees!$A:$Z,
      _xlpm.ligpartie + 3,
      MATCH(K$1, _xlpm.joueurs, 0) + 1
    )
  ), ""
)</f>
        <v>3</v>
      </c>
      <c r="L399" t="str" cm="1">
        <f t="array" ref="L399">IFERROR(
  _xlfn.LET(
    _xlpm.ligpartie, MATCH($B398, Donnees!$F:$F, 0),
    _xlpm.joueurs, INDEX(Donnees!$A:$Z, _xlpm.ligpartie+1, _xlfn.SEQUENCE(1, 4, 2)),
    INDEX(
      Donnees!$A:$Z,
      _xlpm.ligpartie + 3,
      MATCH(L$1, _xlpm.joueurs, 0) + 1
    )
  ), ""
)</f>
        <v/>
      </c>
      <c r="M399" t="str" cm="1">
        <f t="array" ref="M399">IFERROR(
  _xlfn.LET(
    _xlpm.ligpartie, MATCH($B398, Donnees!$F:$F, 0),
    _xlpm.joueurs, INDEX(Donnees!$A:$Z, _xlpm.ligpartie+1, _xlfn.SEQUENCE(1, 4, 2)),
    INDEX(
      Donnees!$A:$Z,
      _xlpm.ligpartie + 3,
      MATCH(M$1, _xlpm.joueurs, 0) + 1
    )
  ), ""
)</f>
        <v/>
      </c>
      <c r="N399" t="str" cm="1">
        <f t="array" ref="N399">IFERROR(
  _xlfn.LET(
    _xlpm.ligpartie, MATCH($B398, Donnees!$F:$F, 0),
    _xlpm.joueurs, INDEX(Donnees!$A:$Z, _xlpm.ligpartie+1, _xlfn.SEQUENCE(1, 4, 2)),
    INDEX(
      Donnees!$A:$Z,
      _xlpm.ligpartie + 3,
      MATCH(N$1, _xlpm.joueurs, 0) + 1
    )
  ), ""
)</f>
        <v/>
      </c>
      <c r="O399" t="str" cm="1">
        <f t="array" ref="O399">IFERROR(
  _xlfn.LET(
    _xlpm.ligpartie, MATCH($B398, Donnees!$F:$F, 0),
    _xlpm.joueurs, INDEX(Donnees!$A:$Z, _xlpm.ligpartie+1, _xlfn.SEQUENCE(1, 4, 2)),
    INDEX(
      Donnees!$A:$Z,
      _xlpm.ligpartie + 3,
      MATCH(O$1, _xlpm.joueurs, 0) + 1
    )
  ), ""
)</f>
        <v/>
      </c>
      <c r="P399" t="str" cm="1">
        <f t="array" ref="P399">IFERROR(
  _xlfn.LET(
    _xlpm.ligpartie, MATCH($B398, Donnees!$F:$F, 0),
    _xlpm.joueurs, INDEX(Donnees!$A:$Z, _xlpm.ligpartie+1, _xlfn.SEQUENCE(1, 4, 2)),
    INDEX(
      Donnees!$A:$Z,
      _xlpm.ligpartie + 3,
      MATCH(P$1, _xlpm.joueurs, 0) + 1
    )
  ), ""
)</f>
        <v/>
      </c>
      <c r="Q399" t="str" cm="1">
        <f t="array" ref="Q399">IFERROR(
  _xlfn.LET(
    _xlpm.ligpartie, MATCH($B398, Donnees!$F:$F, 0),
    _xlpm.joueurs, INDEX(Donnees!$A:$Z, _xlpm.ligpartie+1, _xlfn.SEQUENCE(1, 4, 2)),
    INDEX(
      Donnees!$A:$Z,
      _xlpm.ligpartie + 3,
      MATCH(Q$1, _xlpm.joueurs, 0) + 1
    )
  ), ""
)</f>
        <v/>
      </c>
      <c r="R399" t="str" cm="1">
        <f t="array" ref="R399">IFERROR(
  _xlfn.LET(
    _xlpm.ligpartie, MATCH($B398, Donnees!$F:$F, 0),
    _xlpm.joueurs, INDEX(Donnees!$A:$Z, _xlpm.ligpartie+1, _xlfn.SEQUENCE(1, 4, 2)),
    INDEX(
      Donnees!$A:$Z,
      _xlpm.ligpartie + 3,
      MATCH(R$1, _xlpm.joueurs, 0) + 1
    )
  ), ""
)</f>
        <v/>
      </c>
      <c r="S399" cm="1">
        <f t="array" ref="S399">IFERROR(
  _xlfn.LET(
    _xlpm.ligpartie, MATCH($B398, Donnees!$F:$F, 0),
    _xlpm.joueurs, INDEX(Donnees!$A:$Z, _xlpm.ligpartie+1, _xlfn.SEQUENCE(1, 4, 2)),
    INDEX(
      Donnees!$A:$Z,
      _xlpm.ligpartie + 3,
      MATCH(S$1, _xlpm.joueurs, 0) + 1
    )
  ), ""
)</f>
        <v>2</v>
      </c>
      <c r="T399" cm="1">
        <f t="array" ref="T399">IFERROR(
  _xlfn.LET(
    _xlpm.ligpartie, MATCH($B398, Donnees!$F:$F, 0),
    _xlpm.joueurs, INDEX(Donnees!$A:$Z, _xlpm.ligpartie+1, _xlfn.SEQUENCE(1, 4, 2)),
    INDEX(
      Donnees!$A:$Z,
      _xlpm.ligpartie + 3,
      MATCH(T$1, _xlpm.joueurs, 0) + 1
    )
  ), ""
)</f>
        <v>1</v>
      </c>
      <c r="U399" t="str" cm="1">
        <f t="array" ref="U399">IFERROR(
  _xlfn.LET(
    _xlpm.ligpartie, MATCH($B398, Donnees!$F:$F, 0),
    _xlpm.joueurs, INDEX(Donnees!$A:$Z, _xlpm.ligpartie+1, _xlfn.SEQUENCE(1, 4, 2)),
    INDEX(
      Donnees!$A:$Z,
      _xlpm.ligpartie + 3,
      MATCH(U$1, _xlpm.joueurs, 0) + 1
    )
  ), ""
)</f>
        <v/>
      </c>
      <c r="V399" t="str" cm="1">
        <f t="array" ref="V399">IFERROR(
  _xlfn.LET(
    _xlpm.ligpartie, MATCH($B398, Donnees!$F:$F, 0),
    _xlpm.joueurs, INDEX(Donnees!$A:$Z, _xlpm.ligpartie+1, _xlfn.SEQUENCE(1, 4, 2)),
    INDEX(
      Donnees!$A:$Z,
      _xlpm.ligpartie + 3,
      MATCH(V$1, _xlpm.joueurs, 0) + 1
    )
  ), ""
)</f>
        <v/>
      </c>
      <c r="W399" t="str" cm="1">
        <f t="array" ref="W399">IFERROR(
  _xlfn.LET(
    _xlpm.ligpartie, MATCH($B398, Donnees!$F:$F, 0),
    _xlpm.joueurs, INDEX(Donnees!$A:$Z, _xlpm.ligpartie+1, _xlfn.SEQUENCE(1, 4, 2)),
    INDEX(
      Donnees!$A:$Z,
      _xlpm.ligpartie + 3,
      MATCH(W$1, _xlpm.joueurs, 0) + 1
    )
  ), ""
)</f>
        <v/>
      </c>
      <c r="X399" t="str" cm="1">
        <f t="array" ref="X399">IFERROR(
  _xlfn.LET(
    _xlpm.ligpartie, MATCH($B398, Donnees!$F:$F, 0),
    _xlpm.joueurs, INDEX(Donnees!$A:$Z, _xlpm.ligpartie+1, _xlfn.SEQUENCE(1, 4, 2)),
    INDEX(
      Donnees!$A:$Z,
      _xlpm.ligpartie + 3,
      MATCH(X$1, _xlpm.joueurs, 0) + 1
    )
  ), ""
)</f>
        <v/>
      </c>
      <c r="Y399" t="str" cm="1">
        <f t="array" ref="Y399">IFERROR(
  _xlfn.LET(
    _xlpm.ligpartie, MATCH($B398, Donnees!$F:$F, 0),
    _xlpm.joueurs, INDEX(Donnees!$A:$Z, _xlpm.ligpartie+1, _xlfn.SEQUENCE(1, 4, 2)),
    INDEX(
      Donnees!$A:$Z,
      _xlpm.ligpartie + 3,
      MATCH(Y$1, _xlpm.joueurs, 0) + 1
    )
  ), ""
)</f>
        <v/>
      </c>
      <c r="Z399" t="str" cm="1">
        <f t="array" ref="Z399">IFERROR(
  _xlfn.LET(
    _xlpm.ligpartie, MATCH($B398, Donnees!$F:$F, 0),
    _xlpm.joueurs, INDEX(Donnees!$A:$Z, _xlpm.ligpartie+1, _xlfn.SEQUENCE(1, 4, 2)),
    INDEX(
      Donnees!$A:$Z,
      _xlpm.ligpartie + 3,
      MATCH(Z$1, _xlpm.joueurs, 0) + 1
    )
  ), ""
)</f>
        <v/>
      </c>
      <c r="AA399" t="str" cm="1">
        <f t="array" ref="AA399">IFERROR(
  _xlfn.LET(
    _xlpm.ligpartie, MATCH($B398, Donnees!$F:$F, 0),
    _xlpm.joueurs, INDEX(Donnees!$A:$Z, _xlpm.ligpartie+1, _xlfn.SEQUENCE(1, 4, 2)),
    INDEX(
      Donnees!$A:$Z,
      _xlpm.ligpartie + 3,
      MATCH(AA$1, _xlpm.joueurs, 0) + 1
    )
  ), ""
)</f>
        <v/>
      </c>
      <c r="AB399" t="str" cm="1">
        <f t="array" ref="AB399">IFERROR(
  _xlfn.LET(
    _xlpm.ligpartie, MATCH($B398, Donnees!$F:$F, 0),
    _xlpm.joueurs, INDEX(Donnees!$A:$Z, _xlpm.ligpartie+1, _xlfn.SEQUENCE(1, 4, 2)),
    INDEX(
      Donnees!$A:$Z,
      _xlpm.ligpartie + 3,
      MATCH(AB$1, _xlpm.joueurs, 0) + 1
    )
  ), ""
)</f>
        <v/>
      </c>
      <c r="AC399" cm="1">
        <f t="array" ref="AC399">IFERROR(
  _xlfn.LET(
    _xlpm.ligpartie, MATCH($B398, Donnees!$F:$F, 0),
    _xlpm.joueurs, INDEX(Donnees!$A:$Z, _xlpm.ligpartie+1, _xlfn.SEQUENCE(1, 4, 2)),
    INDEX(
      Donnees!$A:$Z,
      _xlpm.ligpartie + 3,
      MATCH(AC$1, _xlpm.joueurs, 0) + 1
    )
  ), ""
)</f>
        <v>0</v>
      </c>
      <c r="AD399" t="str" cm="1">
        <f t="array" ref="AD399">IFERROR(
  _xlfn.LET(
    _xlpm.ligpartie, MATCH($B398, Donnees!$F:$F, 0),
    _xlpm.joueurs, INDEX(Donnees!$A:$Z, _xlpm.ligpartie+1, _xlfn.SEQUENCE(1, 4, 2)),
    INDEX(
      Donnees!$A:$Z,
      _xlpm.ligpartie + 3,
      MATCH(AD$1, _xlpm.joueurs, 0) + 1
    )
  ), ""
)</f>
        <v/>
      </c>
      <c r="AE399" t="str" cm="1">
        <f t="array" ref="AE399">IFERROR(
  _xlfn.LET(
    _xlpm.ligpartie, MATCH($B398, Donnees!$F:$F, 0),
    _xlpm.joueurs, INDEX(Donnees!$A:$Z, _xlpm.ligpartie+1, _xlfn.SEQUENCE(1, 4, 2)),
    INDEX(
      Donnees!$A:$Z,
      _xlpm.ligpartie + 3,
      MATCH(AE$1, _xlpm.joueurs, 0) + 1
    )
  ), ""
)</f>
        <v/>
      </c>
      <c r="AF399" t="str" cm="1">
        <f t="array" ref="AF399">IFERROR(
  _xlfn.LET(
    _xlpm.ligpartie, MATCH($B398, Donnees!$F:$F, 0),
    _xlpm.joueurs, INDEX(Donnees!$A:$Z, _xlpm.ligpartie+1, _xlfn.SEQUENCE(1, 4, 2)),
    INDEX(
      Donnees!$A:$Z,
      _xlpm.ligpartie + 3,
      MATCH(AF$1, _xlpm.joueurs, 0) + 1
    )
  ), ""
)</f>
        <v/>
      </c>
      <c r="AG399" t="str" cm="1">
        <f t="array" ref="AG399">IFERROR(
  _xlfn.LET(
    _xlpm.ligpartie, MATCH($B398, Donnees!$F:$F, 0),
    _xlpm.joueurs, INDEX(Donnees!$A:$Z, _xlpm.ligpartie+1, _xlfn.SEQUENCE(1, 4, 2)),
    INDEX(
      Donnees!$A:$Z,
      _xlpm.ligpartie + 3,
      MATCH(AG$1, _xlpm.joueurs, 0) + 1
    )
  ), ""
)</f>
        <v/>
      </c>
      <c r="AH399" t="str" cm="1">
        <f t="array" ref="AH399">IFERROR(
  _xlfn.LET(
    _xlpm.ligpartie, MATCH($B398, Donnees!$F:$F, 0),
    _xlpm.joueurs, INDEX(Donnees!$A:$Z, _xlpm.ligpartie+1, _xlfn.SEQUENCE(1, 4, 2)),
    INDEX(
      Donnees!$A:$Z,
      _xlpm.ligpartie + 3,
      MATCH(AH$1, _xlpm.joueurs, 0) + 1
    )
  ), ""
)</f>
        <v/>
      </c>
      <c r="AI399" t="str" cm="1">
        <f t="array" ref="AI399">IFERROR(
  _xlfn.LET(
    _xlpm.ligpartie, MATCH($B398, Donnees!$F:$F, 0),
    _xlpm.joueurs, INDEX(Donnees!$A:$Z, _xlpm.ligpartie+1, _xlfn.SEQUENCE(1, 4, 2)),
    INDEX(
      Donnees!$A:$Z,
      _xlpm.ligpartie + 3,
      MATCH(AI$1, _xlpm.joueurs, 0) + 1
    )
  ), ""
)</f>
        <v/>
      </c>
      <c r="AJ399" t="str" cm="1">
        <f t="array" ref="AJ399">IFERROR(
  _xlfn.LET(
    _xlpm.ligpartie, MATCH($B398, Donnees!$F:$F, 0),
    _xlpm.joueurs, INDEX(Donnees!$A:$Z, _xlpm.ligpartie+1, _xlfn.SEQUENCE(1, 4, 2)),
    INDEX(
      Donnees!$A:$Z,
      _xlpm.ligpartie + 3,
      MATCH(AJ$1, _xlpm.joueurs, 0) + 1
    )
  ), ""
)</f>
        <v/>
      </c>
      <c r="AK399" t="str" cm="1">
        <f t="array" ref="AK399">IFERROR(
  _xlfn.LET(
    _xlpm.ligpartie, MATCH($B398, Donnees!$F:$F, 0),
    _xlpm.joueurs, INDEX(Donnees!$A:$Z, _xlpm.ligpartie+1, _xlfn.SEQUENCE(1, 4, 2)),
    INDEX(
      Donnees!$A:$Z,
      _xlpm.ligpartie + 3,
      MATCH(AK$1, _xlpm.joueurs, 0) + 1
    )
  ), ""
)</f>
        <v/>
      </c>
      <c r="AL399" t="str" cm="1">
        <f t="array" ref="AL399">IFERROR(
  _xlfn.LET(
    _xlpm.ligpartie, MATCH($B398, Donnees!$F:$F, 0),
    _xlpm.joueurs, INDEX(Donnees!$A:$Z, _xlpm.ligpartie+1, _xlfn.SEQUENCE(1, 4, 2)),
    INDEX(
      Donnees!$A:$Z,
      _xlpm.ligpartie + 3,
      MATCH(AL$1, _xlpm.joueurs, 0) + 1
    )
  ), ""
)</f>
        <v/>
      </c>
      <c r="AM399" t="str" cm="1">
        <f t="array" ref="AM399">IFERROR(
  _xlfn.LET(
    _xlpm.ligpartie, MATCH($B398, Donnees!$F:$F, 0),
    _xlpm.joueurs, INDEX(Donnees!$A:$Z, _xlpm.ligpartie+1, _xlfn.SEQUENCE(1, 4, 2)),
    INDEX(
      Donnees!$A:$Z,
      _xlpm.ligpartie + 3,
      MATCH(AM$1, _xlpm.joueurs, 0) + 1
    )
  ), ""
)</f>
        <v/>
      </c>
    </row>
    <row r="400" spans="1:39" x14ac:dyDescent="0.25">
      <c r="A400" t="s">
        <v>20</v>
      </c>
      <c r="D400" t="str" cm="1">
        <f t="array" ref="D400">_xlfn.LET(
  _xlpm.colj, _xlfn._xlws.FILTER(IF(ISNUMBER(399:399), COLUMN(399:399)), ISNUMBER(399:399)),
  _xlpm.elos, INDEX(398:398,1,_xlpm.colj),
  _xlpm.diffscale, Constantes!$B$2,
  IF(D399="",
    "",
    SUM(1/(1+POWER(10,-(D398-_xlpm.elos)/_xlpm.diffscale)))-0.5)
)</f>
        <v/>
      </c>
      <c r="E400" t="str" cm="1">
        <f t="array" ref="E400">_xlfn.LET(
  _xlpm.colj, _xlfn._xlws.FILTER(IF(ISNUMBER(399:399), COLUMN(399:399)), ISNUMBER(399:399)),
  _xlpm.elos, INDEX(398:398,1,_xlpm.colj),
  _xlpm.diffscale, Constantes!$B$2,
  IF(E399="",
    "",
    SUM(1/(1+POWER(10,-(E398-_xlpm.elos)/_xlpm.diffscale)))-0.5)
)</f>
        <v/>
      </c>
      <c r="F400" t="str" cm="1">
        <f t="array" ref="F400">_xlfn.LET(
  _xlpm.colj, _xlfn._xlws.FILTER(IF(ISNUMBER(399:399), COLUMN(399:399)), ISNUMBER(399:399)),
  _xlpm.elos, INDEX(398:398,1,_xlpm.colj),
  _xlpm.diffscale, Constantes!$B$2,
  IF(F399="",
    "",
    SUM(1/(1+POWER(10,-(F398-_xlpm.elos)/_xlpm.diffscale)))-0.5)
)</f>
        <v/>
      </c>
      <c r="G400" t="str" cm="1">
        <f t="array" ref="G400">_xlfn.LET(
  _xlpm.colj, _xlfn._xlws.FILTER(IF(ISNUMBER(399:399), COLUMN(399:399)), ISNUMBER(399:399)),
  _xlpm.elos, INDEX(398:398,1,_xlpm.colj),
  _xlpm.diffscale, Constantes!$B$2,
  IF(G399="",
    "",
    SUM(1/(1+POWER(10,-(G398-_xlpm.elos)/_xlpm.diffscale)))-0.5)
)</f>
        <v/>
      </c>
      <c r="H400" t="str" cm="1">
        <f t="array" ref="H400">_xlfn.LET(
  _xlpm.colj, _xlfn._xlws.FILTER(IF(ISNUMBER(399:399), COLUMN(399:399)), ISNUMBER(399:399)),
  _xlpm.elos, INDEX(398:398,1,_xlpm.colj),
  _xlpm.diffscale, Constantes!$B$2,
  IF(H399="",
    "",
    SUM(1/(1+POWER(10,-(H398-_xlpm.elos)/_xlpm.diffscale)))-0.5)
)</f>
        <v/>
      </c>
      <c r="I400" t="str" cm="1">
        <f t="array" ref="I400">_xlfn.LET(
  _xlpm.colj, _xlfn._xlws.FILTER(IF(ISNUMBER(399:399), COLUMN(399:399)), ISNUMBER(399:399)),
  _xlpm.elos, INDEX(398:398,1,_xlpm.colj),
  _xlpm.diffscale, Constantes!$B$2,
  IF(I399="",
    "",
    SUM(1/(1+POWER(10,-(I398-_xlpm.elos)/_xlpm.diffscale)))-0.5)
)</f>
        <v/>
      </c>
      <c r="J400" t="str" cm="1">
        <f t="array" ref="J400">_xlfn.LET(
  _xlpm.colj, _xlfn._xlws.FILTER(IF(ISNUMBER(399:399), COLUMN(399:399)), ISNUMBER(399:399)),
  _xlpm.elos, INDEX(398:398,1,_xlpm.colj),
  _xlpm.diffscale, Constantes!$B$2,
  IF(J399="",
    "",
    SUM(1/(1+POWER(10,-(J398-_xlpm.elos)/_xlpm.diffscale)))-0.5)
)</f>
        <v/>
      </c>
      <c r="K400" cm="1">
        <f t="array" ref="K400">_xlfn.LET(
  _xlpm.colj, _xlfn._xlws.FILTER(IF(ISNUMBER(399:399), COLUMN(399:399)), ISNUMBER(399:399)),
  _xlpm.elos, INDEX(398:398,1,_xlpm.colj),
  _xlpm.diffscale, Constantes!$B$2,
  IF(K399="",
    "",
    SUM(1/(1+POWER(10,-(K398-_xlpm.elos)/_xlpm.diffscale)))-0.5)
)</f>
        <v>1.4092705747018144</v>
      </c>
      <c r="L400" t="str" cm="1">
        <f t="array" ref="L400">_xlfn.LET(
  _xlpm.colj, _xlfn._xlws.FILTER(IF(ISNUMBER(399:399), COLUMN(399:399)), ISNUMBER(399:399)),
  _xlpm.elos, INDEX(398:398,1,_xlpm.colj),
  _xlpm.diffscale, Constantes!$B$2,
  IF(L399="",
    "",
    SUM(1/(1+POWER(10,-(L398-_xlpm.elos)/_xlpm.diffscale)))-0.5)
)</f>
        <v/>
      </c>
      <c r="M400" t="str" cm="1">
        <f t="array" ref="M400">_xlfn.LET(
  _xlpm.colj, _xlfn._xlws.FILTER(IF(ISNUMBER(399:399), COLUMN(399:399)), ISNUMBER(399:399)),
  _xlpm.elos, INDEX(398:398,1,_xlpm.colj),
  _xlpm.diffscale, Constantes!$B$2,
  IF(M399="",
    "",
    SUM(1/(1+POWER(10,-(M398-_xlpm.elos)/_xlpm.diffscale)))-0.5)
)</f>
        <v/>
      </c>
      <c r="N400" t="str" cm="1">
        <f t="array" ref="N400">_xlfn.LET(
  _xlpm.colj, _xlfn._xlws.FILTER(IF(ISNUMBER(399:399), COLUMN(399:399)), ISNUMBER(399:399)),
  _xlpm.elos, INDEX(398:398,1,_xlpm.colj),
  _xlpm.diffscale, Constantes!$B$2,
  IF(N399="",
    "",
    SUM(1/(1+POWER(10,-(N398-_xlpm.elos)/_xlpm.diffscale)))-0.5)
)</f>
        <v/>
      </c>
      <c r="O400" t="str" cm="1">
        <f t="array" ref="O400">_xlfn.LET(
  _xlpm.colj, _xlfn._xlws.FILTER(IF(ISNUMBER(399:399), COLUMN(399:399)), ISNUMBER(399:399)),
  _xlpm.elos, INDEX(398:398,1,_xlpm.colj),
  _xlpm.diffscale, Constantes!$B$2,
  IF(O399="",
    "",
    SUM(1/(1+POWER(10,-(O398-_xlpm.elos)/_xlpm.diffscale)))-0.5)
)</f>
        <v/>
      </c>
      <c r="P400" t="str" cm="1">
        <f t="array" ref="P400">_xlfn.LET(
  _xlpm.colj, _xlfn._xlws.FILTER(IF(ISNUMBER(399:399), COLUMN(399:399)), ISNUMBER(399:399)),
  _xlpm.elos, INDEX(398:398,1,_xlpm.colj),
  _xlpm.diffscale, Constantes!$B$2,
  IF(P399="",
    "",
    SUM(1/(1+POWER(10,-(P398-_xlpm.elos)/_xlpm.diffscale)))-0.5)
)</f>
        <v/>
      </c>
      <c r="Q400" t="str" cm="1">
        <f t="array" ref="Q400">_xlfn.LET(
  _xlpm.colj, _xlfn._xlws.FILTER(IF(ISNUMBER(399:399), COLUMN(399:399)), ISNUMBER(399:399)),
  _xlpm.elos, INDEX(398:398,1,_xlpm.colj),
  _xlpm.diffscale, Constantes!$B$2,
  IF(Q399="",
    "",
    SUM(1/(1+POWER(10,-(Q398-_xlpm.elos)/_xlpm.diffscale)))-0.5)
)</f>
        <v/>
      </c>
      <c r="R400" t="str" cm="1">
        <f t="array" ref="R400">_xlfn.LET(
  _xlpm.colj, _xlfn._xlws.FILTER(IF(ISNUMBER(399:399), COLUMN(399:399)), ISNUMBER(399:399)),
  _xlpm.elos, INDEX(398:398,1,_xlpm.colj),
  _xlpm.diffscale, Constantes!$B$2,
  IF(R399="",
    "",
    SUM(1/(1+POWER(10,-(R398-_xlpm.elos)/_xlpm.diffscale)))-0.5)
)</f>
        <v/>
      </c>
      <c r="S400" cm="1">
        <f t="array" ref="S400">_xlfn.LET(
  _xlpm.colj, _xlfn._xlws.FILTER(IF(ISNUMBER(399:399), COLUMN(399:399)), ISNUMBER(399:399)),
  _xlpm.elos, INDEX(398:398,1,_xlpm.colj),
  _xlpm.diffscale, Constantes!$B$2,
  IF(S399="",
    "",
    SUM(1/(1+POWER(10,-(S398-_xlpm.elos)/_xlpm.diffscale)))-0.5)
)</f>
        <v>1.070118781371082</v>
      </c>
      <c r="T400" cm="1">
        <f t="array" ref="T400">_xlfn.LET(
  _xlpm.colj, _xlfn._xlws.FILTER(IF(ISNUMBER(399:399), COLUMN(399:399)), ISNUMBER(399:399)),
  _xlpm.elos, INDEX(398:398,1,_xlpm.colj),
  _xlpm.diffscale, Constantes!$B$2,
  IF(T399="",
    "",
    SUM(1/(1+POWER(10,-(T398-_xlpm.elos)/_xlpm.diffscale)))-0.5)
)</f>
        <v>2.0325925317602005</v>
      </c>
      <c r="U400" t="str" cm="1">
        <f t="array" ref="U400">_xlfn.LET(
  _xlpm.colj, _xlfn._xlws.FILTER(IF(ISNUMBER(399:399), COLUMN(399:399)), ISNUMBER(399:399)),
  _xlpm.elos, INDEX(398:398,1,_xlpm.colj),
  _xlpm.diffscale, Constantes!$B$2,
  IF(U399="",
    "",
    SUM(1/(1+POWER(10,-(U398-_xlpm.elos)/_xlpm.diffscale)))-0.5)
)</f>
        <v/>
      </c>
      <c r="V400" t="str" cm="1">
        <f t="array" ref="V400">_xlfn.LET(
  _xlpm.colj, _xlfn._xlws.FILTER(IF(ISNUMBER(399:399), COLUMN(399:399)), ISNUMBER(399:399)),
  _xlpm.elos, INDEX(398:398,1,_xlpm.colj),
  _xlpm.diffscale, Constantes!$B$2,
  IF(V399="",
    "",
    SUM(1/(1+POWER(10,-(V398-_xlpm.elos)/_xlpm.diffscale)))-0.5)
)</f>
        <v/>
      </c>
      <c r="W400" t="str" cm="1">
        <f t="array" ref="W400">_xlfn.LET(
  _xlpm.colj, _xlfn._xlws.FILTER(IF(ISNUMBER(399:399), COLUMN(399:399)), ISNUMBER(399:399)),
  _xlpm.elos, INDEX(398:398,1,_xlpm.colj),
  _xlpm.diffscale, Constantes!$B$2,
  IF(W399="",
    "",
    SUM(1/(1+POWER(10,-(W398-_xlpm.elos)/_xlpm.diffscale)))-0.5)
)</f>
        <v/>
      </c>
      <c r="X400" t="str" cm="1">
        <f t="array" ref="X400">_xlfn.LET(
  _xlpm.colj, _xlfn._xlws.FILTER(IF(ISNUMBER(399:399), COLUMN(399:399)), ISNUMBER(399:399)),
  _xlpm.elos, INDEX(398:398,1,_xlpm.colj),
  _xlpm.diffscale, Constantes!$B$2,
  IF(X399="",
    "",
    SUM(1/(1+POWER(10,-(X398-_xlpm.elos)/_xlpm.diffscale)))-0.5)
)</f>
        <v/>
      </c>
      <c r="Y400" t="str" cm="1">
        <f t="array" ref="Y400">_xlfn.LET(
  _xlpm.colj, _xlfn._xlws.FILTER(IF(ISNUMBER(399:399), COLUMN(399:399)), ISNUMBER(399:399)),
  _xlpm.elos, INDEX(398:398,1,_xlpm.colj),
  _xlpm.diffscale, Constantes!$B$2,
  IF(Y399="",
    "",
    SUM(1/(1+POWER(10,-(Y398-_xlpm.elos)/_xlpm.diffscale)))-0.5)
)</f>
        <v/>
      </c>
      <c r="Z400" t="str" cm="1">
        <f t="array" ref="Z400">_xlfn.LET(
  _xlpm.colj, _xlfn._xlws.FILTER(IF(ISNUMBER(399:399), COLUMN(399:399)), ISNUMBER(399:399)),
  _xlpm.elos, INDEX(398:398,1,_xlpm.colj),
  _xlpm.diffscale, Constantes!$B$2,
  IF(Z399="",
    "",
    SUM(1/(1+POWER(10,-(Z398-_xlpm.elos)/_xlpm.diffscale)))-0.5)
)</f>
        <v/>
      </c>
      <c r="AA400" t="str" cm="1">
        <f t="array" ref="AA400">_xlfn.LET(
  _xlpm.colj, _xlfn._xlws.FILTER(IF(ISNUMBER(399:399), COLUMN(399:399)), ISNUMBER(399:399)),
  _xlpm.elos, INDEX(398:398,1,_xlpm.colj),
  _xlpm.diffscale, Constantes!$B$2,
  IF(AA399="",
    "",
    SUM(1/(1+POWER(10,-(AA398-_xlpm.elos)/_xlpm.diffscale)))-0.5)
)</f>
        <v/>
      </c>
      <c r="AB400" t="str" cm="1">
        <f t="array" ref="AB400">_xlfn.LET(
  _xlpm.colj, _xlfn._xlws.FILTER(IF(ISNUMBER(399:399), COLUMN(399:399)), ISNUMBER(399:399)),
  _xlpm.elos, INDEX(398:398,1,_xlpm.colj),
  _xlpm.diffscale, Constantes!$B$2,
  IF(AB399="",
    "",
    SUM(1/(1+POWER(10,-(AB398-_xlpm.elos)/_xlpm.diffscale)))-0.5)
)</f>
        <v/>
      </c>
      <c r="AC400" cm="1">
        <f t="array" ref="AC400">_xlfn.LET(
  _xlpm.colj, _xlfn._xlws.FILTER(IF(ISNUMBER(399:399), COLUMN(399:399)), ISNUMBER(399:399)),
  _xlpm.elos, INDEX(398:398,1,_xlpm.colj),
  _xlpm.diffscale, Constantes!$B$2,
  IF(AC399="",
    "",
    SUM(1/(1+POWER(10,-(AC398-_xlpm.elos)/_xlpm.diffscale)))-0.5)
)</f>
        <v>1.4880181121669029</v>
      </c>
      <c r="AD400" t="str" cm="1">
        <f t="array" ref="AD400">_xlfn.LET(
  _xlpm.colj, _xlfn._xlws.FILTER(IF(ISNUMBER(399:399), COLUMN(399:399)), ISNUMBER(399:399)),
  _xlpm.elos, INDEX(398:398,1,_xlpm.colj),
  _xlpm.diffscale, Constantes!$B$2,
  IF(AD399="",
    "",
    SUM(1/(1+POWER(10,-(AD398-_xlpm.elos)/_xlpm.diffscale)))-0.5)
)</f>
        <v/>
      </c>
      <c r="AE400" t="str" cm="1">
        <f t="array" ref="AE400">_xlfn.LET(
  _xlpm.colj, _xlfn._xlws.FILTER(IF(ISNUMBER(399:399), COLUMN(399:399)), ISNUMBER(399:399)),
  _xlpm.elos, INDEX(398:398,1,_xlpm.colj),
  _xlpm.diffscale, Constantes!$B$2,
  IF(AE399="",
    "",
    SUM(1/(1+POWER(10,-(AE398-_xlpm.elos)/_xlpm.diffscale)))-0.5)
)</f>
        <v/>
      </c>
      <c r="AF400" t="str" cm="1">
        <f t="array" ref="AF400">_xlfn.LET(
  _xlpm.colj, _xlfn._xlws.FILTER(IF(ISNUMBER(399:399), COLUMN(399:399)), ISNUMBER(399:399)),
  _xlpm.elos, INDEX(398:398,1,_xlpm.colj),
  _xlpm.diffscale, Constantes!$B$2,
  IF(AF399="",
    "",
    SUM(1/(1+POWER(10,-(AF398-_xlpm.elos)/_xlpm.diffscale)))-0.5)
)</f>
        <v/>
      </c>
      <c r="AG400" t="str" cm="1">
        <f t="array" ref="AG400">_xlfn.LET(
  _xlpm.colj, _xlfn._xlws.FILTER(IF(ISNUMBER(399:399), COLUMN(399:399)), ISNUMBER(399:399)),
  _xlpm.elos, INDEX(398:398,1,_xlpm.colj),
  _xlpm.diffscale, Constantes!$B$2,
  IF(AG399="",
    "",
    SUM(1/(1+POWER(10,-(AG398-_xlpm.elos)/_xlpm.diffscale)))-0.5)
)</f>
        <v/>
      </c>
      <c r="AH400" t="str" cm="1">
        <f t="array" ref="AH400">_xlfn.LET(
  _xlpm.colj, _xlfn._xlws.FILTER(IF(ISNUMBER(399:399), COLUMN(399:399)), ISNUMBER(399:399)),
  _xlpm.elos, INDEX(398:398,1,_xlpm.colj),
  _xlpm.diffscale, Constantes!$B$2,
  IF(AH399="",
    "",
    SUM(1/(1+POWER(10,-(AH398-_xlpm.elos)/_xlpm.diffscale)))-0.5)
)</f>
        <v/>
      </c>
      <c r="AI400" t="str" cm="1">
        <f t="array" ref="AI400">_xlfn.LET(
  _xlpm.colj, _xlfn._xlws.FILTER(IF(ISNUMBER(399:399), COLUMN(399:399)), ISNUMBER(399:399)),
  _xlpm.elos, INDEX(398:398,1,_xlpm.colj),
  _xlpm.diffscale, Constantes!$B$2,
  IF(AI399="",
    "",
    SUM(1/(1+POWER(10,-(AI398-_xlpm.elos)/_xlpm.diffscale)))-0.5)
)</f>
        <v/>
      </c>
      <c r="AJ400" t="str" cm="1">
        <f t="array" ref="AJ400">_xlfn.LET(
  _xlpm.colj, _xlfn._xlws.FILTER(IF(ISNUMBER(399:399), COLUMN(399:399)), ISNUMBER(399:399)),
  _xlpm.elos, INDEX(398:398,1,_xlpm.colj),
  _xlpm.diffscale, Constantes!$B$2,
  IF(AJ399="",
    "",
    SUM(1/(1+POWER(10,-(AJ398-_xlpm.elos)/_xlpm.diffscale)))-0.5)
)</f>
        <v/>
      </c>
      <c r="AK400" t="str" cm="1">
        <f t="array" ref="AK400">_xlfn.LET(
  _xlpm.colj, _xlfn._xlws.FILTER(IF(ISNUMBER(399:399), COLUMN(399:399)), ISNUMBER(399:399)),
  _xlpm.elos, INDEX(398:398,1,_xlpm.colj),
  _xlpm.diffscale, Constantes!$B$2,
  IF(AK399="",
    "",
    SUM(1/(1+POWER(10,-(AK398-_xlpm.elos)/_xlpm.diffscale)))-0.5)
)</f>
        <v/>
      </c>
      <c r="AL400" t="str" cm="1">
        <f t="array" ref="AL400">_xlfn.LET(
  _xlpm.colj, _xlfn._xlws.FILTER(IF(ISNUMBER(399:399), COLUMN(399:399)), ISNUMBER(399:399)),
  _xlpm.elos, INDEX(398:398,1,_xlpm.colj),
  _xlpm.diffscale, Constantes!$B$2,
  IF(AL399="",
    "",
    SUM(1/(1+POWER(10,-(AL398-_xlpm.elos)/_xlpm.diffscale)))-0.5)
)</f>
        <v/>
      </c>
      <c r="AM400" t="str" cm="1">
        <f t="array" ref="AM400">_xlfn.LET(
  _xlpm.colj, _xlfn._xlws.FILTER(IF(ISNUMBER(399:399), COLUMN(399:399)), ISNUMBER(399:399)),
  _xlpm.elos, INDEX(398:398,1,_xlpm.colj),
  _xlpm.diffscale, Constantes!$B$2,
  IF(AM399="",
    "",
    SUM(1/(1+POWER(10,-(AM398-_xlpm.elos)/_xlpm.diffscale)))-0.5)
)</f>
        <v/>
      </c>
    </row>
    <row r="401" spans="1:39" x14ac:dyDescent="0.25">
      <c r="A401" t="s">
        <v>22</v>
      </c>
      <c r="D401" t="str" cm="1">
        <f t="array" ref="D401">_xlfn.LET(
  _xlpm.K, Constantes!$B$3,
  _xlpm.Knewgain, Constantes!$B$4,
  _xlpm.Knewscale, Constantes!$B$5,
  _xlpm.ptstables, INDEX(D:D, _xlfn.SEQUENCE(COUNTA($C$2:$C401), 1, 3, 4)),
  _xlpm.nbparties, COUNTA(_xlfn._xlws.FILTER(_xlpm.ptstables, _xlpm.ptstables &lt;&gt; "")),
  _xlpm.coef, _xlpm.K + _xlpm.Knewgain / (_xlpm.Knewscale + _xlpm.nbparties),
  IF(D399="",
    "",
    _xlpm.coef * (D399-D400))
)</f>
        <v/>
      </c>
      <c r="E401" t="str" cm="1">
        <f t="array" ref="E401">_xlfn.LET(
  _xlpm.K, Constantes!$B$3,
  _xlpm.Knewgain, Constantes!$B$4,
  _xlpm.Knewscale, Constantes!$B$5,
  _xlpm.ptstables, INDEX(E:E, _xlfn.SEQUENCE(COUNTA($C$2:$C401), 1, 3, 4)),
  _xlpm.nbparties, COUNTA(_xlfn._xlws.FILTER(_xlpm.ptstables, _xlpm.ptstables &lt;&gt; "")),
  _xlpm.coef, _xlpm.K + _xlpm.Knewgain / (_xlpm.Knewscale + _xlpm.nbparties),
  IF(E399="",
    "",
    _xlpm.coef * (E399-E400))
)</f>
        <v/>
      </c>
      <c r="F401" t="str" cm="1">
        <f t="array" ref="F401">_xlfn.LET(
  _xlpm.K, Constantes!$B$3,
  _xlpm.Knewgain, Constantes!$B$4,
  _xlpm.Knewscale, Constantes!$B$5,
  _xlpm.ptstables, INDEX(F:F, _xlfn.SEQUENCE(COUNTA($C$2:$C401), 1, 3, 4)),
  _xlpm.nbparties, COUNTA(_xlfn._xlws.FILTER(_xlpm.ptstables, _xlpm.ptstables &lt;&gt; "")),
  _xlpm.coef, _xlpm.K + _xlpm.Knewgain / (_xlpm.Knewscale + _xlpm.nbparties),
  IF(F399="",
    "",
    _xlpm.coef * (F399-F400))
)</f>
        <v/>
      </c>
      <c r="G401" t="str" cm="1">
        <f t="array" ref="G401">_xlfn.LET(
  _xlpm.K, Constantes!$B$3,
  _xlpm.Knewgain, Constantes!$B$4,
  _xlpm.Knewscale, Constantes!$B$5,
  _xlpm.ptstables, INDEX(G:G, _xlfn.SEQUENCE(COUNTA($C$2:$C401), 1, 3, 4)),
  _xlpm.nbparties, COUNTA(_xlfn._xlws.FILTER(_xlpm.ptstables, _xlpm.ptstables &lt;&gt; "")),
  _xlpm.coef, _xlpm.K + _xlpm.Knewgain / (_xlpm.Knewscale + _xlpm.nbparties),
  IF(G399="",
    "",
    _xlpm.coef * (G399-G400))
)</f>
        <v/>
      </c>
      <c r="H401" t="str" cm="1">
        <f t="array" ref="H401">_xlfn.LET(
  _xlpm.K, Constantes!$B$3,
  _xlpm.Knewgain, Constantes!$B$4,
  _xlpm.Knewscale, Constantes!$B$5,
  _xlpm.ptstables, INDEX(H:H, _xlfn.SEQUENCE(COUNTA($C$2:$C401), 1, 3, 4)),
  _xlpm.nbparties, COUNTA(_xlfn._xlws.FILTER(_xlpm.ptstables, _xlpm.ptstables &lt;&gt; "")),
  _xlpm.coef, _xlpm.K + _xlpm.Knewgain / (_xlpm.Knewscale + _xlpm.nbparties),
  IF(H399="",
    "",
    _xlpm.coef * (H399-H400))
)</f>
        <v/>
      </c>
      <c r="I401" t="str" cm="1">
        <f t="array" ref="I401">_xlfn.LET(
  _xlpm.K, Constantes!$B$3,
  _xlpm.Knewgain, Constantes!$B$4,
  _xlpm.Knewscale, Constantes!$B$5,
  _xlpm.ptstables, INDEX(I:I, _xlfn.SEQUENCE(COUNTA($C$2:$C401), 1, 3, 4)),
  _xlpm.nbparties, COUNTA(_xlfn._xlws.FILTER(_xlpm.ptstables, _xlpm.ptstables &lt;&gt; "")),
  _xlpm.coef, _xlpm.K + _xlpm.Knewgain / (_xlpm.Knewscale + _xlpm.nbparties),
  IF(I399="",
    "",
    _xlpm.coef * (I399-I400))
)</f>
        <v/>
      </c>
      <c r="J401" t="str" cm="1">
        <f t="array" ref="J401">_xlfn.LET(
  _xlpm.K, Constantes!$B$3,
  _xlpm.Knewgain, Constantes!$B$4,
  _xlpm.Knewscale, Constantes!$B$5,
  _xlpm.ptstables, INDEX(J:J, _xlfn.SEQUENCE(COUNTA($C$2:$C401), 1, 3, 4)),
  _xlpm.nbparties, COUNTA(_xlfn._xlws.FILTER(_xlpm.ptstables, _xlpm.ptstables &lt;&gt; "")),
  _xlpm.coef, _xlpm.K + _xlpm.Knewgain / (_xlpm.Knewscale + _xlpm.nbparties),
  IF(J399="",
    "",
    _xlpm.coef * (J399-J400))
)</f>
        <v/>
      </c>
      <c r="K401" cm="1">
        <f t="array" ref="K401">_xlfn.LET(
  _xlpm.K, Constantes!$B$3,
  _xlpm.Knewgain, Constantes!$B$4,
  _xlpm.Knewscale, Constantes!$B$5,
  _xlpm.ptstables, INDEX(K:K, _xlfn.SEQUENCE(COUNTA($C$2:$C401), 1, 3, 4)),
  _xlpm.nbparties, COUNTA(_xlfn._xlws.FILTER(_xlpm.ptstables, _xlpm.ptstables &lt;&gt; "")),
  _xlpm.coef, _xlpm.K + _xlpm.Knewgain / (_xlpm.Knewscale + _xlpm.nbparties),
  IF(K399="",
    "",
    _xlpm.coef * (K399-K400))
)</f>
        <v>39.045176802773646</v>
      </c>
      <c r="L401" t="str" cm="1">
        <f t="array" ref="L401">_xlfn.LET(
  _xlpm.K, Constantes!$B$3,
  _xlpm.Knewgain, Constantes!$B$4,
  _xlpm.Knewscale, Constantes!$B$5,
  _xlpm.ptstables, INDEX(L:L, _xlfn.SEQUENCE(COUNTA($C$2:$C401), 1, 3, 4)),
  _xlpm.nbparties, COUNTA(_xlfn._xlws.FILTER(_xlpm.ptstables, _xlpm.ptstables &lt;&gt; "")),
  _xlpm.coef, _xlpm.K + _xlpm.Knewgain / (_xlpm.Knewscale + _xlpm.nbparties),
  IF(L399="",
    "",
    _xlpm.coef * (L399-L400))
)</f>
        <v/>
      </c>
      <c r="M401" t="str" cm="1">
        <f t="array" ref="M401">_xlfn.LET(
  _xlpm.K, Constantes!$B$3,
  _xlpm.Knewgain, Constantes!$B$4,
  _xlpm.Knewscale, Constantes!$B$5,
  _xlpm.ptstables, INDEX(M:M, _xlfn.SEQUENCE(COUNTA($C$2:$C401), 1, 3, 4)),
  _xlpm.nbparties, COUNTA(_xlfn._xlws.FILTER(_xlpm.ptstables, _xlpm.ptstables &lt;&gt; "")),
  _xlpm.coef, _xlpm.K + _xlpm.Knewgain / (_xlpm.Knewscale + _xlpm.nbparties),
  IF(M399="",
    "",
    _xlpm.coef * (M399-M400))
)</f>
        <v/>
      </c>
      <c r="N401" t="str" cm="1">
        <f t="array" ref="N401">_xlfn.LET(
  _xlpm.K, Constantes!$B$3,
  _xlpm.Knewgain, Constantes!$B$4,
  _xlpm.Knewscale, Constantes!$B$5,
  _xlpm.ptstables, INDEX(N:N, _xlfn.SEQUENCE(COUNTA($C$2:$C401), 1, 3, 4)),
  _xlpm.nbparties, COUNTA(_xlfn._xlws.FILTER(_xlpm.ptstables, _xlpm.ptstables &lt;&gt; "")),
  _xlpm.coef, _xlpm.K + _xlpm.Knewgain / (_xlpm.Knewscale + _xlpm.nbparties),
  IF(N399="",
    "",
    _xlpm.coef * (N399-N400))
)</f>
        <v/>
      </c>
      <c r="O401" t="str" cm="1">
        <f t="array" ref="O401">_xlfn.LET(
  _xlpm.K, Constantes!$B$3,
  _xlpm.Knewgain, Constantes!$B$4,
  _xlpm.Knewscale, Constantes!$B$5,
  _xlpm.ptstables, INDEX(O:O, _xlfn.SEQUENCE(COUNTA($C$2:$C401), 1, 3, 4)),
  _xlpm.nbparties, COUNTA(_xlfn._xlws.FILTER(_xlpm.ptstables, _xlpm.ptstables &lt;&gt; "")),
  _xlpm.coef, _xlpm.K + _xlpm.Knewgain / (_xlpm.Knewscale + _xlpm.nbparties),
  IF(O399="",
    "",
    _xlpm.coef * (O399-O400))
)</f>
        <v/>
      </c>
      <c r="P401" t="str" cm="1">
        <f t="array" ref="P401">_xlfn.LET(
  _xlpm.K, Constantes!$B$3,
  _xlpm.Knewgain, Constantes!$B$4,
  _xlpm.Knewscale, Constantes!$B$5,
  _xlpm.ptstables, INDEX(P:P, _xlfn.SEQUENCE(COUNTA($C$2:$C401), 1, 3, 4)),
  _xlpm.nbparties, COUNTA(_xlfn._xlws.FILTER(_xlpm.ptstables, _xlpm.ptstables &lt;&gt; "")),
  _xlpm.coef, _xlpm.K + _xlpm.Knewgain / (_xlpm.Knewscale + _xlpm.nbparties),
  IF(P399="",
    "",
    _xlpm.coef * (P399-P400))
)</f>
        <v/>
      </c>
      <c r="Q401" t="str" cm="1">
        <f t="array" ref="Q401">_xlfn.LET(
  _xlpm.K, Constantes!$B$3,
  _xlpm.Knewgain, Constantes!$B$4,
  _xlpm.Knewscale, Constantes!$B$5,
  _xlpm.ptstables, INDEX(Q:Q, _xlfn.SEQUENCE(COUNTA($C$2:$C401), 1, 3, 4)),
  _xlpm.nbparties, COUNTA(_xlfn._xlws.FILTER(_xlpm.ptstables, _xlpm.ptstables &lt;&gt; "")),
  _xlpm.coef, _xlpm.K + _xlpm.Knewgain / (_xlpm.Knewscale + _xlpm.nbparties),
  IF(Q399="",
    "",
    _xlpm.coef * (Q399-Q400))
)</f>
        <v/>
      </c>
      <c r="R401" t="str" cm="1">
        <f t="array" ref="R401">_xlfn.LET(
  _xlpm.K, Constantes!$B$3,
  _xlpm.Knewgain, Constantes!$B$4,
  _xlpm.Knewscale, Constantes!$B$5,
  _xlpm.ptstables, INDEX(R:R, _xlfn.SEQUENCE(COUNTA($C$2:$C401), 1, 3, 4)),
  _xlpm.nbparties, COUNTA(_xlfn._xlws.FILTER(_xlpm.ptstables, _xlpm.ptstables &lt;&gt; "")),
  _xlpm.coef, _xlpm.K + _xlpm.Knewgain / (_xlpm.Knewscale + _xlpm.nbparties),
  IF(R399="",
    "",
    _xlpm.coef * (R399-R400))
)</f>
        <v/>
      </c>
      <c r="S401" cm="1">
        <f t="array" ref="S401">_xlfn.LET(
  _xlpm.K, Constantes!$B$3,
  _xlpm.Knewgain, Constantes!$B$4,
  _xlpm.Knewscale, Constantes!$B$5,
  _xlpm.ptstables, INDEX(S:S, _xlfn.SEQUENCE(COUNTA($C$2:$C401), 1, 3, 4)),
  _xlpm.nbparties, COUNTA(_xlfn._xlws.FILTER(_xlpm.ptstables, _xlpm.ptstables &lt;&gt; "")),
  _xlpm.coef, _xlpm.K + _xlpm.Knewgain / (_xlpm.Knewscale + _xlpm.nbparties),
  IF(S399="",
    "",
    _xlpm.coef * (S399-S400))
)</f>
        <v>20.38585748532628</v>
      </c>
      <c r="T401" cm="1">
        <f t="array" ref="T401">_xlfn.LET(
  _xlpm.K, Constantes!$B$3,
  _xlpm.Knewgain, Constantes!$B$4,
  _xlpm.Knewscale, Constantes!$B$5,
  _xlpm.ptstables, INDEX(T:T, _xlfn.SEQUENCE(COUNTA($C$2:$C401), 1, 3, 4)),
  _xlpm.nbparties, COUNTA(_xlfn._xlws.FILTER(_xlpm.ptstables, _xlpm.ptstables &lt;&gt; "")),
  _xlpm.coef, _xlpm.K + _xlpm.Knewgain / (_xlpm.Knewscale + _xlpm.nbparties),
  IF(T399="",
    "",
    _xlpm.coef * (T399-T400))
)</f>
        <v>-26.38847581164957</v>
      </c>
      <c r="U401" t="str" cm="1">
        <f t="array" ref="U401">_xlfn.LET(
  _xlpm.K, Constantes!$B$3,
  _xlpm.Knewgain, Constantes!$B$4,
  _xlpm.Knewscale, Constantes!$B$5,
  _xlpm.ptstables, INDEX(U:U, _xlfn.SEQUENCE(COUNTA($C$2:$C401), 1, 3, 4)),
  _xlpm.nbparties, COUNTA(_xlfn._xlws.FILTER(_xlpm.ptstables, _xlpm.ptstables &lt;&gt; "")),
  _xlpm.coef, _xlpm.K + _xlpm.Knewgain / (_xlpm.Knewscale + _xlpm.nbparties),
  IF(U399="",
    "",
    _xlpm.coef * (U399-U400))
)</f>
        <v/>
      </c>
      <c r="V401" t="str" cm="1">
        <f t="array" ref="V401">_xlfn.LET(
  _xlpm.K, Constantes!$B$3,
  _xlpm.Knewgain, Constantes!$B$4,
  _xlpm.Knewscale, Constantes!$B$5,
  _xlpm.ptstables, INDEX(V:V, _xlfn.SEQUENCE(COUNTA($C$2:$C401), 1, 3, 4)),
  _xlpm.nbparties, COUNTA(_xlfn._xlws.FILTER(_xlpm.ptstables, _xlpm.ptstables &lt;&gt; "")),
  _xlpm.coef, _xlpm.K + _xlpm.Knewgain / (_xlpm.Knewscale + _xlpm.nbparties),
  IF(V399="",
    "",
    _xlpm.coef * (V399-V400))
)</f>
        <v/>
      </c>
      <c r="W401" t="str" cm="1">
        <f t="array" ref="W401">_xlfn.LET(
  _xlpm.K, Constantes!$B$3,
  _xlpm.Knewgain, Constantes!$B$4,
  _xlpm.Knewscale, Constantes!$B$5,
  _xlpm.ptstables, INDEX(W:W, _xlfn.SEQUENCE(COUNTA($C$2:$C401), 1, 3, 4)),
  _xlpm.nbparties, COUNTA(_xlfn._xlws.FILTER(_xlpm.ptstables, _xlpm.ptstables &lt;&gt; "")),
  _xlpm.coef, _xlpm.K + _xlpm.Knewgain / (_xlpm.Knewscale + _xlpm.nbparties),
  IF(W399="",
    "",
    _xlpm.coef * (W399-W400))
)</f>
        <v/>
      </c>
      <c r="X401" t="str" cm="1">
        <f t="array" ref="X401">_xlfn.LET(
  _xlpm.K, Constantes!$B$3,
  _xlpm.Knewgain, Constantes!$B$4,
  _xlpm.Knewscale, Constantes!$B$5,
  _xlpm.ptstables, INDEX(X:X, _xlfn.SEQUENCE(COUNTA($C$2:$C401), 1, 3, 4)),
  _xlpm.nbparties, COUNTA(_xlfn._xlws.FILTER(_xlpm.ptstables, _xlpm.ptstables &lt;&gt; "")),
  _xlpm.coef, _xlpm.K + _xlpm.Knewgain / (_xlpm.Knewscale + _xlpm.nbparties),
  IF(X399="",
    "",
    _xlpm.coef * (X399-X400))
)</f>
        <v/>
      </c>
      <c r="Y401" t="str" cm="1">
        <f t="array" ref="Y401">_xlfn.LET(
  _xlpm.K, Constantes!$B$3,
  _xlpm.Knewgain, Constantes!$B$4,
  _xlpm.Knewscale, Constantes!$B$5,
  _xlpm.ptstables, INDEX(Y:Y, _xlfn.SEQUENCE(COUNTA($C$2:$C401), 1, 3, 4)),
  _xlpm.nbparties, COUNTA(_xlfn._xlws.FILTER(_xlpm.ptstables, _xlpm.ptstables &lt;&gt; "")),
  _xlpm.coef, _xlpm.K + _xlpm.Knewgain / (_xlpm.Knewscale + _xlpm.nbparties),
  IF(Y399="",
    "",
    _xlpm.coef * (Y399-Y400))
)</f>
        <v/>
      </c>
      <c r="Z401" t="str" cm="1">
        <f t="array" ref="Z401">_xlfn.LET(
  _xlpm.K, Constantes!$B$3,
  _xlpm.Knewgain, Constantes!$B$4,
  _xlpm.Knewscale, Constantes!$B$5,
  _xlpm.ptstables, INDEX(Z:Z, _xlfn.SEQUENCE(COUNTA($C$2:$C401), 1, 3, 4)),
  _xlpm.nbparties, COUNTA(_xlfn._xlws.FILTER(_xlpm.ptstables, _xlpm.ptstables &lt;&gt; "")),
  _xlpm.coef, _xlpm.K + _xlpm.Knewgain / (_xlpm.Knewscale + _xlpm.nbparties),
  IF(Z399="",
    "",
    _xlpm.coef * (Z399-Z400))
)</f>
        <v/>
      </c>
      <c r="AA401" t="str" cm="1">
        <f t="array" ref="AA401">_xlfn.LET(
  _xlpm.K, Constantes!$B$3,
  _xlpm.Knewgain, Constantes!$B$4,
  _xlpm.Knewscale, Constantes!$B$5,
  _xlpm.ptstables, INDEX(AA:AA, _xlfn.SEQUENCE(COUNTA($C$2:$C401), 1, 3, 4)),
  _xlpm.nbparties, COUNTA(_xlfn._xlws.FILTER(_xlpm.ptstables, _xlpm.ptstables &lt;&gt; "")),
  _xlpm.coef, _xlpm.K + _xlpm.Knewgain / (_xlpm.Knewscale + _xlpm.nbparties),
  IF(AA399="",
    "",
    _xlpm.coef * (AA399-AA400))
)</f>
        <v/>
      </c>
      <c r="AB401" t="str" cm="1">
        <f t="array" ref="AB401">_xlfn.LET(
  _xlpm.K, Constantes!$B$3,
  _xlpm.Knewgain, Constantes!$B$4,
  _xlpm.Knewscale, Constantes!$B$5,
  _xlpm.ptstables, INDEX(AB:AB, _xlfn.SEQUENCE(COUNTA($C$2:$C401), 1, 3, 4)),
  _xlpm.nbparties, COUNTA(_xlfn._xlws.FILTER(_xlpm.ptstables, _xlpm.ptstables &lt;&gt; "")),
  _xlpm.coef, _xlpm.K + _xlpm.Knewgain / (_xlpm.Knewscale + _xlpm.nbparties),
  IF(AB399="",
    "",
    _xlpm.coef * (AB399-AB400))
)</f>
        <v/>
      </c>
      <c r="AC401" cm="1">
        <f t="array" ref="AC401">_xlfn.LET(
  _xlpm.K, Constantes!$B$3,
  _xlpm.Knewgain, Constantes!$B$4,
  _xlpm.Knewscale, Constantes!$B$5,
  _xlpm.ptstables, INDEX(AC:AC, _xlfn.SEQUENCE(COUNTA($C$2:$C401), 1, 3, 4)),
  _xlpm.nbparties, COUNTA(_xlfn._xlws.FILTER(_xlpm.ptstables, _xlpm.ptstables &lt;&gt; "")),
  _xlpm.coef, _xlpm.K + _xlpm.Knewgain / (_xlpm.Knewscale + _xlpm.nbparties),
  IF(AC399="",
    "",
    _xlpm.coef * (AC399-AC400))
)</f>
        <v>-34.720422617227733</v>
      </c>
      <c r="AD401" t="str" cm="1">
        <f t="array" ref="AD401">_xlfn.LET(
  _xlpm.K, Constantes!$B$3,
  _xlpm.Knewgain, Constantes!$B$4,
  _xlpm.Knewscale, Constantes!$B$5,
  _xlpm.ptstables, INDEX(AD:AD, _xlfn.SEQUENCE(COUNTA($C$2:$C401), 1, 3, 4)),
  _xlpm.nbparties, COUNTA(_xlfn._xlws.FILTER(_xlpm.ptstables, _xlpm.ptstables &lt;&gt; "")),
  _xlpm.coef, _xlpm.K + _xlpm.Knewgain / (_xlpm.Knewscale + _xlpm.nbparties),
  IF(AD399="",
    "",
    _xlpm.coef * (AD399-AD400))
)</f>
        <v/>
      </c>
      <c r="AE401" t="str" cm="1">
        <f t="array" ref="AE401">_xlfn.LET(
  _xlpm.K, Constantes!$B$3,
  _xlpm.Knewgain, Constantes!$B$4,
  _xlpm.Knewscale, Constantes!$B$5,
  _xlpm.ptstables, INDEX(AE:AE, _xlfn.SEQUENCE(COUNTA($C$2:$C401), 1, 3, 4)),
  _xlpm.nbparties, COUNTA(_xlfn._xlws.FILTER(_xlpm.ptstables, _xlpm.ptstables &lt;&gt; "")),
  _xlpm.coef, _xlpm.K + _xlpm.Knewgain / (_xlpm.Knewscale + _xlpm.nbparties),
  IF(AE399="",
    "",
    _xlpm.coef * (AE399-AE400))
)</f>
        <v/>
      </c>
      <c r="AF401" t="str" cm="1">
        <f t="array" ref="AF401">_xlfn.LET(
  _xlpm.K, Constantes!$B$3,
  _xlpm.Knewgain, Constantes!$B$4,
  _xlpm.Knewscale, Constantes!$B$5,
  _xlpm.ptstables, INDEX(AF:AF, _xlfn.SEQUENCE(COUNTA($C$2:$C401), 1, 3, 4)),
  _xlpm.nbparties, COUNTA(_xlfn._xlws.FILTER(_xlpm.ptstables, _xlpm.ptstables &lt;&gt; "")),
  _xlpm.coef, _xlpm.K + _xlpm.Knewgain / (_xlpm.Knewscale + _xlpm.nbparties),
  IF(AF399="",
    "",
    _xlpm.coef * (AF399-AF400))
)</f>
        <v/>
      </c>
      <c r="AG401" t="str" cm="1">
        <f t="array" ref="AG401">_xlfn.LET(
  _xlpm.K, Constantes!$B$3,
  _xlpm.Knewgain, Constantes!$B$4,
  _xlpm.Knewscale, Constantes!$B$5,
  _xlpm.ptstables, INDEX(AG:AG, _xlfn.SEQUENCE(COUNTA($C$2:$C401), 1, 3, 4)),
  _xlpm.nbparties, COUNTA(_xlfn._xlws.FILTER(_xlpm.ptstables, _xlpm.ptstables &lt;&gt; "")),
  _xlpm.coef, _xlpm.K + _xlpm.Knewgain / (_xlpm.Knewscale + _xlpm.nbparties),
  IF(AG399="",
    "",
    _xlpm.coef * (AG399-AG400))
)</f>
        <v/>
      </c>
      <c r="AH401" t="str" cm="1">
        <f t="array" ref="AH401">_xlfn.LET(
  _xlpm.K, Constantes!$B$3,
  _xlpm.Knewgain, Constantes!$B$4,
  _xlpm.Knewscale, Constantes!$B$5,
  _xlpm.ptstables, INDEX(AH:AH, _xlfn.SEQUENCE(COUNTA($C$2:$C401), 1, 3, 4)),
  _xlpm.nbparties, COUNTA(_xlfn._xlws.FILTER(_xlpm.ptstables, _xlpm.ptstables &lt;&gt; "")),
  _xlpm.coef, _xlpm.K + _xlpm.Knewgain / (_xlpm.Knewscale + _xlpm.nbparties),
  IF(AH399="",
    "",
    _xlpm.coef * (AH399-AH400))
)</f>
        <v/>
      </c>
      <c r="AI401" t="str" cm="1">
        <f t="array" ref="AI401">_xlfn.LET(
  _xlpm.K, Constantes!$B$3,
  _xlpm.Knewgain, Constantes!$B$4,
  _xlpm.Knewscale, Constantes!$B$5,
  _xlpm.ptstables, INDEX(AI:AI, _xlfn.SEQUENCE(COUNTA($C$2:$C401), 1, 3, 4)),
  _xlpm.nbparties, COUNTA(_xlfn._xlws.FILTER(_xlpm.ptstables, _xlpm.ptstables &lt;&gt; "")),
  _xlpm.coef, _xlpm.K + _xlpm.Knewgain / (_xlpm.Knewscale + _xlpm.nbparties),
  IF(AI399="",
    "",
    _xlpm.coef * (AI399-AI400))
)</f>
        <v/>
      </c>
      <c r="AJ401" t="str" cm="1">
        <f t="array" ref="AJ401">_xlfn.LET(
  _xlpm.K, Constantes!$B$3,
  _xlpm.Knewgain, Constantes!$B$4,
  _xlpm.Knewscale, Constantes!$B$5,
  _xlpm.ptstables, INDEX(AJ:AJ, _xlfn.SEQUENCE(COUNTA($C$2:$C401), 1, 3, 4)),
  _xlpm.nbparties, COUNTA(_xlfn._xlws.FILTER(_xlpm.ptstables, _xlpm.ptstables &lt;&gt; "")),
  _xlpm.coef, _xlpm.K + _xlpm.Knewgain / (_xlpm.Knewscale + _xlpm.nbparties),
  IF(AJ399="",
    "",
    _xlpm.coef * (AJ399-AJ400))
)</f>
        <v/>
      </c>
      <c r="AK401" t="str" cm="1">
        <f t="array" ref="AK401">_xlfn.LET(
  _xlpm.K, Constantes!$B$3,
  _xlpm.Knewgain, Constantes!$B$4,
  _xlpm.Knewscale, Constantes!$B$5,
  _xlpm.ptstables, INDEX(AK:AK, _xlfn.SEQUENCE(COUNTA($C$2:$C401), 1, 3, 4)),
  _xlpm.nbparties, COUNTA(_xlfn._xlws.FILTER(_xlpm.ptstables, _xlpm.ptstables &lt;&gt; "")),
  _xlpm.coef, _xlpm.K + _xlpm.Knewgain / (_xlpm.Knewscale + _xlpm.nbparties),
  IF(AK399="",
    "",
    _xlpm.coef * (AK399-AK400))
)</f>
        <v/>
      </c>
      <c r="AL401" t="str" cm="1">
        <f t="array" ref="AL401">_xlfn.LET(
  _xlpm.K, Constantes!$B$3,
  _xlpm.Knewgain, Constantes!$B$4,
  _xlpm.Knewscale, Constantes!$B$5,
  _xlpm.ptstables, INDEX(AL:AL, _xlfn.SEQUENCE(COUNTA($C$2:$C401), 1, 3, 4)),
  _xlpm.nbparties, COUNTA(_xlfn._xlws.FILTER(_xlpm.ptstables, _xlpm.ptstables &lt;&gt; "")),
  _xlpm.coef, _xlpm.K + _xlpm.Knewgain / (_xlpm.Knewscale + _xlpm.nbparties),
  IF(AL399="",
    "",
    _xlpm.coef * (AL399-AL400))
)</f>
        <v/>
      </c>
      <c r="AM401" t="str" cm="1">
        <f t="array" ref="AM401">_xlfn.LET(
  _xlpm.K, Constantes!$B$3,
  _xlpm.Knewgain, Constantes!$B$4,
  _xlpm.Knewscale, Constantes!$B$5,
  _xlpm.ptstables, INDEX(AM:AM, _xlfn.SEQUENCE(COUNTA($C$2:$C401), 1, 3, 4)),
  _xlpm.nbparties, COUNTA(_xlfn._xlws.FILTER(_xlpm.ptstables, _xlpm.ptstables &lt;&gt; "")),
  _xlpm.coef, _xlpm.K + _xlpm.Knewgain / (_xlpm.Knewscale + _xlpm.nbparties),
  IF(AM399="",
    "",
    _xlpm.coef * (AM399-AM400))
)</f>
        <v/>
      </c>
    </row>
    <row r="402" spans="1:39" x14ac:dyDescent="0.25">
      <c r="A402" t="s">
        <v>14</v>
      </c>
      <c r="B402" t="str" cm="1">
        <f t="array" ref="B40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97</v>
      </c>
      <c r="C402" s="2" cm="1">
        <f t="array" ref="C402">IF(B402="","",
  INDEX(Donnees!F:F, MATCH(B402, Donnees!F:F, 0)+1))</f>
        <v>45955.695486111108</v>
      </c>
      <c r="D402">
        <f t="shared" ref="D402:AM402" si="108">D398+IF(D401="",0,D401)</f>
        <v>983.00829738956952</v>
      </c>
      <c r="E402">
        <f t="shared" si="108"/>
        <v>1143.2776362955974</v>
      </c>
      <c r="F402">
        <f t="shared" si="108"/>
        <v>892.77162496860694</v>
      </c>
      <c r="G402">
        <f t="shared" si="108"/>
        <v>1061.9525561512175</v>
      </c>
      <c r="H402">
        <f t="shared" si="108"/>
        <v>1121.8561093296914</v>
      </c>
      <c r="I402">
        <f t="shared" si="108"/>
        <v>912.81564332013568</v>
      </c>
      <c r="J402">
        <f t="shared" si="108"/>
        <v>1036.8345874163842</v>
      </c>
      <c r="K402">
        <f t="shared" si="108"/>
        <v>1076.8546837336262</v>
      </c>
      <c r="L402">
        <f t="shared" si="108"/>
        <v>783.12422360152641</v>
      </c>
      <c r="M402">
        <f t="shared" si="108"/>
        <v>874.31051832077719</v>
      </c>
      <c r="N402">
        <f t="shared" si="108"/>
        <v>899.98370646249032</v>
      </c>
      <c r="O402">
        <f t="shared" si="108"/>
        <v>997.04050320786712</v>
      </c>
      <c r="P402">
        <f t="shared" si="108"/>
        <v>987.86278180042575</v>
      </c>
      <c r="Q402">
        <f t="shared" si="108"/>
        <v>1051.0755127018197</v>
      </c>
      <c r="R402">
        <f t="shared" si="108"/>
        <v>1053.036836862696</v>
      </c>
      <c r="S402">
        <f t="shared" si="108"/>
        <v>996.22028389505113</v>
      </c>
      <c r="T402">
        <f t="shared" si="108"/>
        <v>1125.604709757928</v>
      </c>
      <c r="U402">
        <f t="shared" si="108"/>
        <v>1215.9103115123116</v>
      </c>
      <c r="V402">
        <f t="shared" si="108"/>
        <v>969.67171739286073</v>
      </c>
      <c r="W402">
        <f t="shared" si="108"/>
        <v>882.29253769067657</v>
      </c>
      <c r="X402">
        <f t="shared" si="108"/>
        <v>828.97598039785271</v>
      </c>
      <c r="Y402">
        <f t="shared" si="108"/>
        <v>903.14348714035714</v>
      </c>
      <c r="Z402">
        <f t="shared" si="108"/>
        <v>967.57810576867519</v>
      </c>
      <c r="AA402">
        <f t="shared" si="108"/>
        <v>976.40065260504912</v>
      </c>
      <c r="AB402">
        <f t="shared" si="108"/>
        <v>988.35669729544747</v>
      </c>
      <c r="AC402">
        <f t="shared" si="108"/>
        <v>1017.2252582428405</v>
      </c>
      <c r="AD402">
        <f t="shared" si="108"/>
        <v>1093.8192243082785</v>
      </c>
      <c r="AE402">
        <f t="shared" si="108"/>
        <v>963.23981965000235</v>
      </c>
      <c r="AF402">
        <f t="shared" si="108"/>
        <v>1094.8196847516158</v>
      </c>
      <c r="AG402">
        <f t="shared" si="108"/>
        <v>958.23078604304851</v>
      </c>
      <c r="AH402">
        <f t="shared" si="108"/>
        <v>920.4412636682855</v>
      </c>
      <c r="AI402">
        <f t="shared" si="108"/>
        <v>991.76873183498924</v>
      </c>
      <c r="AJ402">
        <f t="shared" si="108"/>
        <v>906.86354201913434</v>
      </c>
      <c r="AK402">
        <f t="shared" si="108"/>
        <v>1074.0069367206956</v>
      </c>
      <c r="AL402">
        <f t="shared" si="108"/>
        <v>1025.7817971572972</v>
      </c>
      <c r="AM402">
        <f t="shared" si="108"/>
        <v>930.08392160706046</v>
      </c>
    </row>
    <row r="403" spans="1:39" x14ac:dyDescent="0.25">
      <c r="A403" t="s">
        <v>21</v>
      </c>
      <c r="D403" cm="1">
        <f t="array" ref="D403">IFERROR(
  _xlfn.LET(
    _xlpm.ligpartie, MATCH($B402, Donnees!$F:$F, 0),
    _xlpm.joueurs, INDEX(Donnees!$A:$Z, _xlpm.ligpartie+1, _xlfn.SEQUENCE(1, 4, 2)),
    INDEX(
      Donnees!$A:$Z,
      _xlpm.ligpartie + 3,
      MATCH(D$1, _xlpm.joueurs, 0) + 1
    )
  ), ""
)</f>
        <v>1</v>
      </c>
      <c r="E403" t="str" cm="1">
        <f t="array" ref="E403">IFERROR(
  _xlfn.LET(
    _xlpm.ligpartie, MATCH($B402, Donnees!$F:$F, 0),
    _xlpm.joueurs, INDEX(Donnees!$A:$Z, _xlpm.ligpartie+1, _xlfn.SEQUENCE(1, 4, 2)),
    INDEX(
      Donnees!$A:$Z,
      _xlpm.ligpartie + 3,
      MATCH(E$1, _xlpm.joueurs, 0) + 1
    )
  ), ""
)</f>
        <v/>
      </c>
      <c r="F403" cm="1">
        <f t="array" ref="F403">IFERROR(
  _xlfn.LET(
    _xlpm.ligpartie, MATCH($B402, Donnees!$F:$F, 0),
    _xlpm.joueurs, INDEX(Donnees!$A:$Z, _xlpm.ligpartie+1, _xlfn.SEQUENCE(1, 4, 2)),
    INDEX(
      Donnees!$A:$Z,
      _xlpm.ligpartie + 3,
      MATCH(F$1, _xlpm.joueurs, 0) + 1
    )
  ), ""
)</f>
        <v>2</v>
      </c>
      <c r="G403" t="str" cm="1">
        <f t="array" ref="G403">IFERROR(
  _xlfn.LET(
    _xlpm.ligpartie, MATCH($B402, Donnees!$F:$F, 0),
    _xlpm.joueurs, INDEX(Donnees!$A:$Z, _xlpm.ligpartie+1, _xlfn.SEQUENCE(1, 4, 2)),
    INDEX(
      Donnees!$A:$Z,
      _xlpm.ligpartie + 3,
      MATCH(G$1, _xlpm.joueurs, 0) + 1
    )
  ), ""
)</f>
        <v/>
      </c>
      <c r="H403" t="str" cm="1">
        <f t="array" ref="H403">IFERROR(
  _xlfn.LET(
    _xlpm.ligpartie, MATCH($B402, Donnees!$F:$F, 0),
    _xlpm.joueurs, INDEX(Donnees!$A:$Z, _xlpm.ligpartie+1, _xlfn.SEQUENCE(1, 4, 2)),
    INDEX(
      Donnees!$A:$Z,
      _xlpm.ligpartie + 3,
      MATCH(H$1, _xlpm.joueurs, 0) + 1
    )
  ), ""
)</f>
        <v/>
      </c>
      <c r="I403" t="str" cm="1">
        <f t="array" ref="I403">IFERROR(
  _xlfn.LET(
    _xlpm.ligpartie, MATCH($B402, Donnees!$F:$F, 0),
    _xlpm.joueurs, INDEX(Donnees!$A:$Z, _xlpm.ligpartie+1, _xlfn.SEQUENCE(1, 4, 2)),
    INDEX(
      Donnees!$A:$Z,
      _xlpm.ligpartie + 3,
      MATCH(I$1, _xlpm.joueurs, 0) + 1
    )
  ), ""
)</f>
        <v/>
      </c>
      <c r="J403" t="str" cm="1">
        <f t="array" ref="J403">IFERROR(
  _xlfn.LET(
    _xlpm.ligpartie, MATCH($B402, Donnees!$F:$F, 0),
    _xlpm.joueurs, INDEX(Donnees!$A:$Z, _xlpm.ligpartie+1, _xlfn.SEQUENCE(1, 4, 2)),
    INDEX(
      Donnees!$A:$Z,
      _xlpm.ligpartie + 3,
      MATCH(J$1, _xlpm.joueurs, 0) + 1
    )
  ), ""
)</f>
        <v/>
      </c>
      <c r="K403" t="str" cm="1">
        <f t="array" ref="K403">IFERROR(
  _xlfn.LET(
    _xlpm.ligpartie, MATCH($B402, Donnees!$F:$F, 0),
    _xlpm.joueurs, INDEX(Donnees!$A:$Z, _xlpm.ligpartie+1, _xlfn.SEQUENCE(1, 4, 2)),
    INDEX(
      Donnees!$A:$Z,
      _xlpm.ligpartie + 3,
      MATCH(K$1, _xlpm.joueurs, 0) + 1
    )
  ), ""
)</f>
        <v/>
      </c>
      <c r="L403" t="str" cm="1">
        <f t="array" ref="L403">IFERROR(
  _xlfn.LET(
    _xlpm.ligpartie, MATCH($B402, Donnees!$F:$F, 0),
    _xlpm.joueurs, INDEX(Donnees!$A:$Z, _xlpm.ligpartie+1, _xlfn.SEQUENCE(1, 4, 2)),
    INDEX(
      Donnees!$A:$Z,
      _xlpm.ligpartie + 3,
      MATCH(L$1, _xlpm.joueurs, 0) + 1
    )
  ), ""
)</f>
        <v/>
      </c>
      <c r="M403" t="str" cm="1">
        <f t="array" ref="M403">IFERROR(
  _xlfn.LET(
    _xlpm.ligpartie, MATCH($B402, Donnees!$F:$F, 0),
    _xlpm.joueurs, INDEX(Donnees!$A:$Z, _xlpm.ligpartie+1, _xlfn.SEQUENCE(1, 4, 2)),
    INDEX(
      Donnees!$A:$Z,
      _xlpm.ligpartie + 3,
      MATCH(M$1, _xlpm.joueurs, 0) + 1
    )
  ), ""
)</f>
        <v/>
      </c>
      <c r="N403" t="str" cm="1">
        <f t="array" ref="N403">IFERROR(
  _xlfn.LET(
    _xlpm.ligpartie, MATCH($B402, Donnees!$F:$F, 0),
    _xlpm.joueurs, INDEX(Donnees!$A:$Z, _xlpm.ligpartie+1, _xlfn.SEQUENCE(1, 4, 2)),
    INDEX(
      Donnees!$A:$Z,
      _xlpm.ligpartie + 3,
      MATCH(N$1, _xlpm.joueurs, 0) + 1
    )
  ), ""
)</f>
        <v/>
      </c>
      <c r="O403" t="str" cm="1">
        <f t="array" ref="O403">IFERROR(
  _xlfn.LET(
    _xlpm.ligpartie, MATCH($B402, Donnees!$F:$F, 0),
    _xlpm.joueurs, INDEX(Donnees!$A:$Z, _xlpm.ligpartie+1, _xlfn.SEQUENCE(1, 4, 2)),
    INDEX(
      Donnees!$A:$Z,
      _xlpm.ligpartie + 3,
      MATCH(O$1, _xlpm.joueurs, 0) + 1
    )
  ), ""
)</f>
        <v/>
      </c>
      <c r="P403" t="str" cm="1">
        <f t="array" ref="P403">IFERROR(
  _xlfn.LET(
    _xlpm.ligpartie, MATCH($B402, Donnees!$F:$F, 0),
    _xlpm.joueurs, INDEX(Donnees!$A:$Z, _xlpm.ligpartie+1, _xlfn.SEQUENCE(1, 4, 2)),
    INDEX(
      Donnees!$A:$Z,
      _xlpm.ligpartie + 3,
      MATCH(P$1, _xlpm.joueurs, 0) + 1
    )
  ), ""
)</f>
        <v/>
      </c>
      <c r="Q403" t="str" cm="1">
        <f t="array" ref="Q403">IFERROR(
  _xlfn.LET(
    _xlpm.ligpartie, MATCH($B402, Donnees!$F:$F, 0),
    _xlpm.joueurs, INDEX(Donnees!$A:$Z, _xlpm.ligpartie+1, _xlfn.SEQUENCE(1, 4, 2)),
    INDEX(
      Donnees!$A:$Z,
      _xlpm.ligpartie + 3,
      MATCH(Q$1, _xlpm.joueurs, 0) + 1
    )
  ), ""
)</f>
        <v/>
      </c>
      <c r="R403" t="str" cm="1">
        <f t="array" ref="R403">IFERROR(
  _xlfn.LET(
    _xlpm.ligpartie, MATCH($B402, Donnees!$F:$F, 0),
    _xlpm.joueurs, INDEX(Donnees!$A:$Z, _xlpm.ligpartie+1, _xlfn.SEQUENCE(1, 4, 2)),
    INDEX(
      Donnees!$A:$Z,
      _xlpm.ligpartie + 3,
      MATCH(R$1, _xlpm.joueurs, 0) + 1
    )
  ), ""
)</f>
        <v/>
      </c>
      <c r="S403" t="str" cm="1">
        <f t="array" ref="S403">IFERROR(
  _xlfn.LET(
    _xlpm.ligpartie, MATCH($B402, Donnees!$F:$F, 0),
    _xlpm.joueurs, INDEX(Donnees!$A:$Z, _xlpm.ligpartie+1, _xlfn.SEQUENCE(1, 4, 2)),
    INDEX(
      Donnees!$A:$Z,
      _xlpm.ligpartie + 3,
      MATCH(S$1, _xlpm.joueurs, 0) + 1
    )
  ), ""
)</f>
        <v/>
      </c>
      <c r="T403" t="str" cm="1">
        <f t="array" ref="T403">IFERROR(
  _xlfn.LET(
    _xlpm.ligpartie, MATCH($B402, Donnees!$F:$F, 0),
    _xlpm.joueurs, INDEX(Donnees!$A:$Z, _xlpm.ligpartie+1, _xlfn.SEQUENCE(1, 4, 2)),
    INDEX(
      Donnees!$A:$Z,
      _xlpm.ligpartie + 3,
      MATCH(T$1, _xlpm.joueurs, 0) + 1
    )
  ), ""
)</f>
        <v/>
      </c>
      <c r="U403" t="str" cm="1">
        <f t="array" ref="U403">IFERROR(
  _xlfn.LET(
    _xlpm.ligpartie, MATCH($B402, Donnees!$F:$F, 0),
    _xlpm.joueurs, INDEX(Donnees!$A:$Z, _xlpm.ligpartie+1, _xlfn.SEQUENCE(1, 4, 2)),
    INDEX(
      Donnees!$A:$Z,
      _xlpm.ligpartie + 3,
      MATCH(U$1, _xlpm.joueurs, 0) + 1
    )
  ), ""
)</f>
        <v/>
      </c>
      <c r="V403" t="str" cm="1">
        <f t="array" ref="V403">IFERROR(
  _xlfn.LET(
    _xlpm.ligpartie, MATCH($B402, Donnees!$F:$F, 0),
    _xlpm.joueurs, INDEX(Donnees!$A:$Z, _xlpm.ligpartie+1, _xlfn.SEQUENCE(1, 4, 2)),
    INDEX(
      Donnees!$A:$Z,
      _xlpm.ligpartie + 3,
      MATCH(V$1, _xlpm.joueurs, 0) + 1
    )
  ), ""
)</f>
        <v/>
      </c>
      <c r="W403" t="str" cm="1">
        <f t="array" ref="W403">IFERROR(
  _xlfn.LET(
    _xlpm.ligpartie, MATCH($B402, Donnees!$F:$F, 0),
    _xlpm.joueurs, INDEX(Donnees!$A:$Z, _xlpm.ligpartie+1, _xlfn.SEQUENCE(1, 4, 2)),
    INDEX(
      Donnees!$A:$Z,
      _xlpm.ligpartie + 3,
      MATCH(W$1, _xlpm.joueurs, 0) + 1
    )
  ), ""
)</f>
        <v/>
      </c>
      <c r="X403" t="str" cm="1">
        <f t="array" ref="X403">IFERROR(
  _xlfn.LET(
    _xlpm.ligpartie, MATCH($B402, Donnees!$F:$F, 0),
    _xlpm.joueurs, INDEX(Donnees!$A:$Z, _xlpm.ligpartie+1, _xlfn.SEQUENCE(1, 4, 2)),
    INDEX(
      Donnees!$A:$Z,
      _xlpm.ligpartie + 3,
      MATCH(X$1, _xlpm.joueurs, 0) + 1
    )
  ), ""
)</f>
        <v/>
      </c>
      <c r="Y403" t="str" cm="1">
        <f t="array" ref="Y403">IFERROR(
  _xlfn.LET(
    _xlpm.ligpartie, MATCH($B402, Donnees!$F:$F, 0),
    _xlpm.joueurs, INDEX(Donnees!$A:$Z, _xlpm.ligpartie+1, _xlfn.SEQUENCE(1, 4, 2)),
    INDEX(
      Donnees!$A:$Z,
      _xlpm.ligpartie + 3,
      MATCH(Y$1, _xlpm.joueurs, 0) + 1
    )
  ), ""
)</f>
        <v/>
      </c>
      <c r="Z403" cm="1">
        <f t="array" ref="Z403">IFERROR(
  _xlfn.LET(
    _xlpm.ligpartie, MATCH($B402, Donnees!$F:$F, 0),
    _xlpm.joueurs, INDEX(Donnees!$A:$Z, _xlpm.ligpartie+1, _xlfn.SEQUENCE(1, 4, 2)),
    INDEX(
      Donnees!$A:$Z,
      _xlpm.ligpartie + 3,
      MATCH(Z$1, _xlpm.joueurs, 0) + 1
    )
  ), ""
)</f>
        <v>3</v>
      </c>
      <c r="AA403" t="str" cm="1">
        <f t="array" ref="AA403">IFERROR(
  _xlfn.LET(
    _xlpm.ligpartie, MATCH($B402, Donnees!$F:$F, 0),
    _xlpm.joueurs, INDEX(Donnees!$A:$Z, _xlpm.ligpartie+1, _xlfn.SEQUENCE(1, 4, 2)),
    INDEX(
      Donnees!$A:$Z,
      _xlpm.ligpartie + 3,
      MATCH(AA$1, _xlpm.joueurs, 0) + 1
    )
  ), ""
)</f>
        <v/>
      </c>
      <c r="AB403" t="str" cm="1">
        <f t="array" ref="AB403">IFERROR(
  _xlfn.LET(
    _xlpm.ligpartie, MATCH($B402, Donnees!$F:$F, 0),
    _xlpm.joueurs, INDEX(Donnees!$A:$Z, _xlpm.ligpartie+1, _xlfn.SEQUENCE(1, 4, 2)),
    INDEX(
      Donnees!$A:$Z,
      _xlpm.ligpartie + 3,
      MATCH(AB$1, _xlpm.joueurs, 0) + 1
    )
  ), ""
)</f>
        <v/>
      </c>
      <c r="AC403" t="str" cm="1">
        <f t="array" ref="AC403">IFERROR(
  _xlfn.LET(
    _xlpm.ligpartie, MATCH($B402, Donnees!$F:$F, 0),
    _xlpm.joueurs, INDEX(Donnees!$A:$Z, _xlpm.ligpartie+1, _xlfn.SEQUENCE(1, 4, 2)),
    INDEX(
      Donnees!$A:$Z,
      _xlpm.ligpartie + 3,
      MATCH(AC$1, _xlpm.joueurs, 0) + 1
    )
  ), ""
)</f>
        <v/>
      </c>
      <c r="AD403" t="str" cm="1">
        <f t="array" ref="AD403">IFERROR(
  _xlfn.LET(
    _xlpm.ligpartie, MATCH($B402, Donnees!$F:$F, 0),
    _xlpm.joueurs, INDEX(Donnees!$A:$Z, _xlpm.ligpartie+1, _xlfn.SEQUENCE(1, 4, 2)),
    INDEX(
      Donnees!$A:$Z,
      _xlpm.ligpartie + 3,
      MATCH(AD$1, _xlpm.joueurs, 0) + 1
    )
  ), ""
)</f>
        <v/>
      </c>
      <c r="AE403" t="str" cm="1">
        <f t="array" ref="AE403">IFERROR(
  _xlfn.LET(
    _xlpm.ligpartie, MATCH($B402, Donnees!$F:$F, 0),
    _xlpm.joueurs, INDEX(Donnees!$A:$Z, _xlpm.ligpartie+1, _xlfn.SEQUENCE(1, 4, 2)),
    INDEX(
      Donnees!$A:$Z,
      _xlpm.ligpartie + 3,
      MATCH(AE$1, _xlpm.joueurs, 0) + 1
    )
  ), ""
)</f>
        <v/>
      </c>
      <c r="AF403" t="str" cm="1">
        <f t="array" ref="AF403">IFERROR(
  _xlfn.LET(
    _xlpm.ligpartie, MATCH($B402, Donnees!$F:$F, 0),
    _xlpm.joueurs, INDEX(Donnees!$A:$Z, _xlpm.ligpartie+1, _xlfn.SEQUENCE(1, 4, 2)),
    INDEX(
      Donnees!$A:$Z,
      _xlpm.ligpartie + 3,
      MATCH(AF$1, _xlpm.joueurs, 0) + 1
    )
  ), ""
)</f>
        <v/>
      </c>
      <c r="AG403" t="str" cm="1">
        <f t="array" ref="AG403">IFERROR(
  _xlfn.LET(
    _xlpm.ligpartie, MATCH($B402, Donnees!$F:$F, 0),
    _xlpm.joueurs, INDEX(Donnees!$A:$Z, _xlpm.ligpartie+1, _xlfn.SEQUENCE(1, 4, 2)),
    INDEX(
      Donnees!$A:$Z,
      _xlpm.ligpartie + 3,
      MATCH(AG$1, _xlpm.joueurs, 0) + 1
    )
  ), ""
)</f>
        <v/>
      </c>
      <c r="AH403" t="str" cm="1">
        <f t="array" ref="AH403">IFERROR(
  _xlfn.LET(
    _xlpm.ligpartie, MATCH($B402, Donnees!$F:$F, 0),
    _xlpm.joueurs, INDEX(Donnees!$A:$Z, _xlpm.ligpartie+1, _xlfn.SEQUENCE(1, 4, 2)),
    INDEX(
      Donnees!$A:$Z,
      _xlpm.ligpartie + 3,
      MATCH(AH$1, _xlpm.joueurs, 0) + 1
    )
  ), ""
)</f>
        <v/>
      </c>
      <c r="AI403" cm="1">
        <f t="array" ref="AI403">IFERROR(
  _xlfn.LET(
    _xlpm.ligpartie, MATCH($B402, Donnees!$F:$F, 0),
    _xlpm.joueurs, INDEX(Donnees!$A:$Z, _xlpm.ligpartie+1, _xlfn.SEQUENCE(1, 4, 2)),
    INDEX(
      Donnees!$A:$Z,
      _xlpm.ligpartie + 3,
      MATCH(AI$1, _xlpm.joueurs, 0) + 1
    )
  ), ""
)</f>
        <v>0</v>
      </c>
      <c r="AJ403" t="str" cm="1">
        <f t="array" ref="AJ403">IFERROR(
  _xlfn.LET(
    _xlpm.ligpartie, MATCH($B402, Donnees!$F:$F, 0),
    _xlpm.joueurs, INDEX(Donnees!$A:$Z, _xlpm.ligpartie+1, _xlfn.SEQUENCE(1, 4, 2)),
    INDEX(
      Donnees!$A:$Z,
      _xlpm.ligpartie + 3,
      MATCH(AJ$1, _xlpm.joueurs, 0) + 1
    )
  ), ""
)</f>
        <v/>
      </c>
      <c r="AK403" t="str" cm="1">
        <f t="array" ref="AK403">IFERROR(
  _xlfn.LET(
    _xlpm.ligpartie, MATCH($B402, Donnees!$F:$F, 0),
    _xlpm.joueurs, INDEX(Donnees!$A:$Z, _xlpm.ligpartie+1, _xlfn.SEQUENCE(1, 4, 2)),
    INDEX(
      Donnees!$A:$Z,
      _xlpm.ligpartie + 3,
      MATCH(AK$1, _xlpm.joueurs, 0) + 1
    )
  ), ""
)</f>
        <v/>
      </c>
      <c r="AL403" t="str" cm="1">
        <f t="array" ref="AL403">IFERROR(
  _xlfn.LET(
    _xlpm.ligpartie, MATCH($B402, Donnees!$F:$F, 0),
    _xlpm.joueurs, INDEX(Donnees!$A:$Z, _xlpm.ligpartie+1, _xlfn.SEQUENCE(1, 4, 2)),
    INDEX(
      Donnees!$A:$Z,
      _xlpm.ligpartie + 3,
      MATCH(AL$1, _xlpm.joueurs, 0) + 1
    )
  ), ""
)</f>
        <v/>
      </c>
      <c r="AM403" t="str" cm="1">
        <f t="array" ref="AM403">IFERROR(
  _xlfn.LET(
    _xlpm.ligpartie, MATCH($B402, Donnees!$F:$F, 0),
    _xlpm.joueurs, INDEX(Donnees!$A:$Z, _xlpm.ligpartie+1, _xlfn.SEQUENCE(1, 4, 2)),
    INDEX(
      Donnees!$A:$Z,
      _xlpm.ligpartie + 3,
      MATCH(AM$1, _xlpm.joueurs, 0) + 1
    )
  ), ""
)</f>
        <v/>
      </c>
    </row>
    <row r="404" spans="1:39" x14ac:dyDescent="0.25">
      <c r="A404" t="s">
        <v>20</v>
      </c>
      <c r="D404" cm="1">
        <f t="array" ref="D404">_xlfn.LET(
  _xlpm.colj, _xlfn._xlws.FILTER(IF(ISNUMBER(403:403), COLUMN(403:403)), ISNUMBER(403:403)),
  _xlpm.elos, INDEX(402:402,1,_xlpm.colj),
  _xlpm.diffscale, Constantes!$B$2,
  IF(D403="",
    "",
    SUM(1/(1+POWER(10,-(D402-_xlpm.elos)/_xlpm.diffscale)))-0.5)
)</f>
        <v>1.6366043907420567</v>
      </c>
      <c r="E404" t="str" cm="1">
        <f t="array" ref="E404">_xlfn.LET(
  _xlpm.colj, _xlfn._xlws.FILTER(IF(ISNUMBER(403:403), COLUMN(403:403)), ISNUMBER(403:403)),
  _xlpm.elos, INDEX(402:402,1,_xlpm.colj),
  _xlpm.diffscale, Constantes!$B$2,
  IF(E403="",
    "",
    SUM(1/(1+POWER(10,-(E402-_xlpm.elos)/_xlpm.diffscale)))-0.5)
)</f>
        <v/>
      </c>
      <c r="F404" cm="1">
        <f t="array" ref="F404">_xlfn.LET(
  _xlpm.colj, _xlfn._xlws.FILTER(IF(ISNUMBER(403:403), COLUMN(403:403)), ISNUMBER(403:403)),
  _xlpm.elos, INDEX(402:402,1,_xlpm.colj),
  _xlpm.diffscale, Constantes!$B$2,
  IF(F403="",
    "",
    SUM(1/(1+POWER(10,-(F402-_xlpm.elos)/_xlpm.diffscale)))-0.5)
)</f>
        <v>1.1282264577387264</v>
      </c>
      <c r="G404" t="str" cm="1">
        <f t="array" ref="G404">_xlfn.LET(
  _xlpm.colj, _xlfn._xlws.FILTER(IF(ISNUMBER(403:403), COLUMN(403:403)), ISNUMBER(403:403)),
  _xlpm.elos, INDEX(402:402,1,_xlpm.colj),
  _xlpm.diffscale, Constantes!$B$2,
  IF(G403="",
    "",
    SUM(1/(1+POWER(10,-(G402-_xlpm.elos)/_xlpm.diffscale)))-0.5)
)</f>
        <v/>
      </c>
      <c r="H404" t="str" cm="1">
        <f t="array" ref="H404">_xlfn.LET(
  _xlpm.colj, _xlfn._xlws.FILTER(IF(ISNUMBER(403:403), COLUMN(403:403)), ISNUMBER(403:403)),
  _xlpm.elos, INDEX(402:402,1,_xlpm.colj),
  _xlpm.diffscale, Constantes!$B$2,
  IF(H403="",
    "",
    SUM(1/(1+POWER(10,-(H402-_xlpm.elos)/_xlpm.diffscale)))-0.5)
)</f>
        <v/>
      </c>
      <c r="I404" t="str" cm="1">
        <f t="array" ref="I404">_xlfn.LET(
  _xlpm.colj, _xlfn._xlws.FILTER(IF(ISNUMBER(403:403), COLUMN(403:403)), ISNUMBER(403:403)),
  _xlpm.elos, INDEX(402:402,1,_xlpm.colj),
  _xlpm.diffscale, Constantes!$B$2,
  IF(I403="",
    "",
    SUM(1/(1+POWER(10,-(I402-_xlpm.elos)/_xlpm.diffscale)))-0.5)
)</f>
        <v/>
      </c>
      <c r="J404" t="str" cm="1">
        <f t="array" ref="J404">_xlfn.LET(
  _xlpm.colj, _xlfn._xlws.FILTER(IF(ISNUMBER(403:403), COLUMN(403:403)), ISNUMBER(403:403)),
  _xlpm.elos, INDEX(402:402,1,_xlpm.colj),
  _xlpm.diffscale, Constantes!$B$2,
  IF(J403="",
    "",
    SUM(1/(1+POWER(10,-(J402-_xlpm.elos)/_xlpm.diffscale)))-0.5)
)</f>
        <v/>
      </c>
      <c r="K404" t="str" cm="1">
        <f t="array" ref="K404">_xlfn.LET(
  _xlpm.colj, _xlfn._xlws.FILTER(IF(ISNUMBER(403:403), COLUMN(403:403)), ISNUMBER(403:403)),
  _xlpm.elos, INDEX(402:402,1,_xlpm.colj),
  _xlpm.diffscale, Constantes!$B$2,
  IF(K403="",
    "",
    SUM(1/(1+POWER(10,-(K402-_xlpm.elos)/_xlpm.diffscale)))-0.5)
)</f>
        <v/>
      </c>
      <c r="L404" t="str" cm="1">
        <f t="array" ref="L404">_xlfn.LET(
  _xlpm.colj, _xlfn._xlws.FILTER(IF(ISNUMBER(403:403), COLUMN(403:403)), ISNUMBER(403:403)),
  _xlpm.elos, INDEX(402:402,1,_xlpm.colj),
  _xlpm.diffscale, Constantes!$B$2,
  IF(L403="",
    "",
    SUM(1/(1+POWER(10,-(L402-_xlpm.elos)/_xlpm.diffscale)))-0.5)
)</f>
        <v/>
      </c>
      <c r="M404" t="str" cm="1">
        <f t="array" ref="M404">_xlfn.LET(
  _xlpm.colj, _xlfn._xlws.FILTER(IF(ISNUMBER(403:403), COLUMN(403:403)), ISNUMBER(403:403)),
  _xlpm.elos, INDEX(402:402,1,_xlpm.colj),
  _xlpm.diffscale, Constantes!$B$2,
  IF(M403="",
    "",
    SUM(1/(1+POWER(10,-(M402-_xlpm.elos)/_xlpm.diffscale)))-0.5)
)</f>
        <v/>
      </c>
      <c r="N404" t="str" cm="1">
        <f t="array" ref="N404">_xlfn.LET(
  _xlpm.colj, _xlfn._xlws.FILTER(IF(ISNUMBER(403:403), COLUMN(403:403)), ISNUMBER(403:403)),
  _xlpm.elos, INDEX(402:402,1,_xlpm.colj),
  _xlpm.diffscale, Constantes!$B$2,
  IF(N403="",
    "",
    SUM(1/(1+POWER(10,-(N402-_xlpm.elos)/_xlpm.diffscale)))-0.5)
)</f>
        <v/>
      </c>
      <c r="O404" t="str" cm="1">
        <f t="array" ref="O404">_xlfn.LET(
  _xlpm.colj, _xlfn._xlws.FILTER(IF(ISNUMBER(403:403), COLUMN(403:403)), ISNUMBER(403:403)),
  _xlpm.elos, INDEX(402:402,1,_xlpm.colj),
  _xlpm.diffscale, Constantes!$B$2,
  IF(O403="",
    "",
    SUM(1/(1+POWER(10,-(O402-_xlpm.elos)/_xlpm.diffscale)))-0.5)
)</f>
        <v/>
      </c>
      <c r="P404" t="str" cm="1">
        <f t="array" ref="P404">_xlfn.LET(
  _xlpm.colj, _xlfn._xlws.FILTER(IF(ISNUMBER(403:403), COLUMN(403:403)), ISNUMBER(403:403)),
  _xlpm.elos, INDEX(402:402,1,_xlpm.colj),
  _xlpm.diffscale, Constantes!$B$2,
  IF(P403="",
    "",
    SUM(1/(1+POWER(10,-(P402-_xlpm.elos)/_xlpm.diffscale)))-0.5)
)</f>
        <v/>
      </c>
      <c r="Q404" t="str" cm="1">
        <f t="array" ref="Q404">_xlfn.LET(
  _xlpm.colj, _xlfn._xlws.FILTER(IF(ISNUMBER(403:403), COLUMN(403:403)), ISNUMBER(403:403)),
  _xlpm.elos, INDEX(402:402,1,_xlpm.colj),
  _xlpm.diffscale, Constantes!$B$2,
  IF(Q403="",
    "",
    SUM(1/(1+POWER(10,-(Q402-_xlpm.elos)/_xlpm.diffscale)))-0.5)
)</f>
        <v/>
      </c>
      <c r="R404" t="str" cm="1">
        <f t="array" ref="R404">_xlfn.LET(
  _xlpm.colj, _xlfn._xlws.FILTER(IF(ISNUMBER(403:403), COLUMN(403:403)), ISNUMBER(403:403)),
  _xlpm.elos, INDEX(402:402,1,_xlpm.colj),
  _xlpm.diffscale, Constantes!$B$2,
  IF(R403="",
    "",
    SUM(1/(1+POWER(10,-(R402-_xlpm.elos)/_xlpm.diffscale)))-0.5)
)</f>
        <v/>
      </c>
      <c r="S404" t="str" cm="1">
        <f t="array" ref="S404">_xlfn.LET(
  _xlpm.colj, _xlfn._xlws.FILTER(IF(ISNUMBER(403:403), COLUMN(403:403)), ISNUMBER(403:403)),
  _xlpm.elos, INDEX(402:402,1,_xlpm.colj),
  _xlpm.diffscale, Constantes!$B$2,
  IF(S403="",
    "",
    SUM(1/(1+POWER(10,-(S402-_xlpm.elos)/_xlpm.diffscale)))-0.5)
)</f>
        <v/>
      </c>
      <c r="T404" t="str" cm="1">
        <f t="array" ref="T404">_xlfn.LET(
  _xlpm.colj, _xlfn._xlws.FILTER(IF(ISNUMBER(403:403), COLUMN(403:403)), ISNUMBER(403:403)),
  _xlpm.elos, INDEX(402:402,1,_xlpm.colj),
  _xlpm.diffscale, Constantes!$B$2,
  IF(T403="",
    "",
    SUM(1/(1+POWER(10,-(T402-_xlpm.elos)/_xlpm.diffscale)))-0.5)
)</f>
        <v/>
      </c>
      <c r="U404" t="str" cm="1">
        <f t="array" ref="U404">_xlfn.LET(
  _xlpm.colj, _xlfn._xlws.FILTER(IF(ISNUMBER(403:403), COLUMN(403:403)), ISNUMBER(403:403)),
  _xlpm.elos, INDEX(402:402,1,_xlpm.colj),
  _xlpm.diffscale, Constantes!$B$2,
  IF(U403="",
    "",
    SUM(1/(1+POWER(10,-(U402-_xlpm.elos)/_xlpm.diffscale)))-0.5)
)</f>
        <v/>
      </c>
      <c r="V404" t="str" cm="1">
        <f t="array" ref="V404">_xlfn.LET(
  _xlpm.colj, _xlfn._xlws.FILTER(IF(ISNUMBER(403:403), COLUMN(403:403)), ISNUMBER(403:403)),
  _xlpm.elos, INDEX(402:402,1,_xlpm.colj),
  _xlpm.diffscale, Constantes!$B$2,
  IF(V403="",
    "",
    SUM(1/(1+POWER(10,-(V402-_xlpm.elos)/_xlpm.diffscale)))-0.5)
)</f>
        <v/>
      </c>
      <c r="W404" t="str" cm="1">
        <f t="array" ref="W404">_xlfn.LET(
  _xlpm.colj, _xlfn._xlws.FILTER(IF(ISNUMBER(403:403), COLUMN(403:403)), ISNUMBER(403:403)),
  _xlpm.elos, INDEX(402:402,1,_xlpm.colj),
  _xlpm.diffscale, Constantes!$B$2,
  IF(W403="",
    "",
    SUM(1/(1+POWER(10,-(W402-_xlpm.elos)/_xlpm.diffscale)))-0.5)
)</f>
        <v/>
      </c>
      <c r="X404" t="str" cm="1">
        <f t="array" ref="X404">_xlfn.LET(
  _xlpm.colj, _xlfn._xlws.FILTER(IF(ISNUMBER(403:403), COLUMN(403:403)), ISNUMBER(403:403)),
  _xlpm.elos, INDEX(402:402,1,_xlpm.colj),
  _xlpm.diffscale, Constantes!$B$2,
  IF(X403="",
    "",
    SUM(1/(1+POWER(10,-(X402-_xlpm.elos)/_xlpm.diffscale)))-0.5)
)</f>
        <v/>
      </c>
      <c r="Y404" t="str" cm="1">
        <f t="array" ref="Y404">_xlfn.LET(
  _xlpm.colj, _xlfn._xlws.FILTER(IF(ISNUMBER(403:403), COLUMN(403:403)), ISNUMBER(403:403)),
  _xlpm.elos, INDEX(402:402,1,_xlpm.colj),
  _xlpm.diffscale, Constantes!$B$2,
  IF(Y403="",
    "",
    SUM(1/(1+POWER(10,-(Y402-_xlpm.elos)/_xlpm.diffscale)))-0.5)
)</f>
        <v/>
      </c>
      <c r="Z404" cm="1">
        <f t="array" ref="Z404">_xlfn.LET(
  _xlpm.colj, _xlfn._xlws.FILTER(IF(ISNUMBER(403:403), COLUMN(403:403)), ISNUMBER(403:403)),
  _xlpm.elos, INDEX(402:402,1,_xlpm.colj),
  _xlpm.diffscale, Constantes!$B$2,
  IF(Z403="",
    "",
    SUM(1/(1+POWER(10,-(Z402-_xlpm.elos)/_xlpm.diffscale)))-0.5)
)</f>
        <v>1.549073675473374</v>
      </c>
      <c r="AA404" t="str" cm="1">
        <f t="array" ref="AA404">_xlfn.LET(
  _xlpm.colj, _xlfn._xlws.FILTER(IF(ISNUMBER(403:403), COLUMN(403:403)), ISNUMBER(403:403)),
  _xlpm.elos, INDEX(402:402,1,_xlpm.colj),
  _xlpm.diffscale, Constantes!$B$2,
  IF(AA403="",
    "",
    SUM(1/(1+POWER(10,-(AA402-_xlpm.elos)/_xlpm.diffscale)))-0.5)
)</f>
        <v/>
      </c>
      <c r="AB404" t="str" cm="1">
        <f t="array" ref="AB404">_xlfn.LET(
  _xlpm.colj, _xlfn._xlws.FILTER(IF(ISNUMBER(403:403), COLUMN(403:403)), ISNUMBER(403:403)),
  _xlpm.elos, INDEX(402:402,1,_xlpm.colj),
  _xlpm.diffscale, Constantes!$B$2,
  IF(AB403="",
    "",
    SUM(1/(1+POWER(10,-(AB402-_xlpm.elos)/_xlpm.diffscale)))-0.5)
)</f>
        <v/>
      </c>
      <c r="AC404" t="str" cm="1">
        <f t="array" ref="AC404">_xlfn.LET(
  _xlpm.colj, _xlfn._xlws.FILTER(IF(ISNUMBER(403:403), COLUMN(403:403)), ISNUMBER(403:403)),
  _xlpm.elos, INDEX(402:402,1,_xlpm.colj),
  _xlpm.diffscale, Constantes!$B$2,
  IF(AC403="",
    "",
    SUM(1/(1+POWER(10,-(AC402-_xlpm.elos)/_xlpm.diffscale)))-0.5)
)</f>
        <v/>
      </c>
      <c r="AD404" t="str" cm="1">
        <f t="array" ref="AD404">_xlfn.LET(
  _xlpm.colj, _xlfn._xlws.FILTER(IF(ISNUMBER(403:403), COLUMN(403:403)), ISNUMBER(403:403)),
  _xlpm.elos, INDEX(402:402,1,_xlpm.colj),
  _xlpm.diffscale, Constantes!$B$2,
  IF(AD403="",
    "",
    SUM(1/(1+POWER(10,-(AD402-_xlpm.elos)/_xlpm.diffscale)))-0.5)
)</f>
        <v/>
      </c>
      <c r="AE404" t="str" cm="1">
        <f t="array" ref="AE404">_xlfn.LET(
  _xlpm.colj, _xlfn._xlws.FILTER(IF(ISNUMBER(403:403), COLUMN(403:403)), ISNUMBER(403:403)),
  _xlpm.elos, INDEX(402:402,1,_xlpm.colj),
  _xlpm.diffscale, Constantes!$B$2,
  IF(AE403="",
    "",
    SUM(1/(1+POWER(10,-(AE402-_xlpm.elos)/_xlpm.diffscale)))-0.5)
)</f>
        <v/>
      </c>
      <c r="AF404" t="str" cm="1">
        <f t="array" ref="AF404">_xlfn.LET(
  _xlpm.colj, _xlfn._xlws.FILTER(IF(ISNUMBER(403:403), COLUMN(403:403)), ISNUMBER(403:403)),
  _xlpm.elos, INDEX(402:402,1,_xlpm.colj),
  _xlpm.diffscale, Constantes!$B$2,
  IF(AF403="",
    "",
    SUM(1/(1+POWER(10,-(AF402-_xlpm.elos)/_xlpm.diffscale)))-0.5)
)</f>
        <v/>
      </c>
      <c r="AG404" t="str" cm="1">
        <f t="array" ref="AG404">_xlfn.LET(
  _xlpm.colj, _xlfn._xlws.FILTER(IF(ISNUMBER(403:403), COLUMN(403:403)), ISNUMBER(403:403)),
  _xlpm.elos, INDEX(402:402,1,_xlpm.colj),
  _xlpm.diffscale, Constantes!$B$2,
  IF(AG403="",
    "",
    SUM(1/(1+POWER(10,-(AG402-_xlpm.elos)/_xlpm.diffscale)))-0.5)
)</f>
        <v/>
      </c>
      <c r="AH404" t="str" cm="1">
        <f t="array" ref="AH404">_xlfn.LET(
  _xlpm.colj, _xlfn._xlws.FILTER(IF(ISNUMBER(403:403), COLUMN(403:403)), ISNUMBER(403:403)),
  _xlpm.elos, INDEX(402:402,1,_xlpm.colj),
  _xlpm.diffscale, Constantes!$B$2,
  IF(AH403="",
    "",
    SUM(1/(1+POWER(10,-(AH402-_xlpm.elos)/_xlpm.diffscale)))-0.5)
)</f>
        <v/>
      </c>
      <c r="AI404" cm="1">
        <f t="array" ref="AI404">_xlfn.LET(
  _xlpm.colj, _xlfn._xlws.FILTER(IF(ISNUMBER(403:403), COLUMN(403:403)), ISNUMBER(403:403)),
  _xlpm.elos, INDEX(402:402,1,_xlpm.colj),
  _xlpm.diffscale, Constantes!$B$2,
  IF(AI403="",
    "",
    SUM(1/(1+POWER(10,-(AI402-_xlpm.elos)/_xlpm.diffscale)))-0.5)
)</f>
        <v>1.6860954760458435</v>
      </c>
      <c r="AJ404" t="str" cm="1">
        <f t="array" ref="AJ404">_xlfn.LET(
  _xlpm.colj, _xlfn._xlws.FILTER(IF(ISNUMBER(403:403), COLUMN(403:403)), ISNUMBER(403:403)),
  _xlpm.elos, INDEX(402:402,1,_xlpm.colj),
  _xlpm.diffscale, Constantes!$B$2,
  IF(AJ403="",
    "",
    SUM(1/(1+POWER(10,-(AJ402-_xlpm.elos)/_xlpm.diffscale)))-0.5)
)</f>
        <v/>
      </c>
      <c r="AK404" t="str" cm="1">
        <f t="array" ref="AK404">_xlfn.LET(
  _xlpm.colj, _xlfn._xlws.FILTER(IF(ISNUMBER(403:403), COLUMN(403:403)), ISNUMBER(403:403)),
  _xlpm.elos, INDEX(402:402,1,_xlpm.colj),
  _xlpm.diffscale, Constantes!$B$2,
  IF(AK403="",
    "",
    SUM(1/(1+POWER(10,-(AK402-_xlpm.elos)/_xlpm.diffscale)))-0.5)
)</f>
        <v/>
      </c>
      <c r="AL404" t="str" cm="1">
        <f t="array" ref="AL404">_xlfn.LET(
  _xlpm.colj, _xlfn._xlws.FILTER(IF(ISNUMBER(403:403), COLUMN(403:403)), ISNUMBER(403:403)),
  _xlpm.elos, INDEX(402:402,1,_xlpm.colj),
  _xlpm.diffscale, Constantes!$B$2,
  IF(AL403="",
    "",
    SUM(1/(1+POWER(10,-(AL402-_xlpm.elos)/_xlpm.diffscale)))-0.5)
)</f>
        <v/>
      </c>
      <c r="AM404" t="str" cm="1">
        <f t="array" ref="AM404">_xlfn.LET(
  _xlpm.colj, _xlfn._xlws.FILTER(IF(ISNUMBER(403:403), COLUMN(403:403)), ISNUMBER(403:403)),
  _xlpm.elos, INDEX(402:402,1,_xlpm.colj),
  _xlpm.diffscale, Constantes!$B$2,
  IF(AM403="",
    "",
    SUM(1/(1+POWER(10,-(AM402-_xlpm.elos)/_xlpm.diffscale)))-0.5)
)</f>
        <v/>
      </c>
    </row>
    <row r="405" spans="1:39" x14ac:dyDescent="0.25">
      <c r="A405" t="s">
        <v>22</v>
      </c>
      <c r="D405" cm="1">
        <f t="array" ref="D405">_xlfn.LET(
  _xlpm.K, Constantes!$B$3,
  _xlpm.Knewgain, Constantes!$B$4,
  _xlpm.Knewscale, Constantes!$B$5,
  _xlpm.ptstables, INDEX(D:D, _xlfn.SEQUENCE(COUNTA($C$2:$C405), 1, 3, 4)),
  _xlpm.nbparties, COUNTA(_xlfn._xlws.FILTER(_xlpm.ptstables, _xlpm.ptstables &lt;&gt; "")),
  _xlpm.coef, _xlpm.K + _xlpm.Knewgain / (_xlpm.Knewscale + _xlpm.nbparties),
  IF(D403="",
    "",
    _xlpm.coef * (D403-D404))
)</f>
        <v>-14.178915975618535</v>
      </c>
      <c r="E405" t="str" cm="1">
        <f t="array" ref="E405">_xlfn.LET(
  _xlpm.K, Constantes!$B$3,
  _xlpm.Knewgain, Constantes!$B$4,
  _xlpm.Knewscale, Constantes!$B$5,
  _xlpm.ptstables, INDEX(E:E, _xlfn.SEQUENCE(COUNTA($C$2:$C405), 1, 3, 4)),
  _xlpm.nbparties, COUNTA(_xlfn._xlws.FILTER(_xlpm.ptstables, _xlpm.ptstables &lt;&gt; "")),
  _xlpm.coef, _xlpm.K + _xlpm.Knewgain / (_xlpm.Knewscale + _xlpm.nbparties),
  IF(E403="",
    "",
    _xlpm.coef * (E403-E404))
)</f>
        <v/>
      </c>
      <c r="F405" cm="1">
        <f t="array" ref="F405">_xlfn.LET(
  _xlpm.K, Constantes!$B$3,
  _xlpm.Knewgain, Constantes!$B$4,
  _xlpm.Knewscale, Constantes!$B$5,
  _xlpm.ptstables, INDEX(F:F, _xlfn.SEQUENCE(COUNTA($C$2:$C405), 1, 3, 4)),
  _xlpm.nbparties, COUNTA(_xlfn._xlws.FILTER(_xlpm.ptstables, _xlpm.ptstables &lt;&gt; "")),
  _xlpm.coef, _xlpm.K + _xlpm.Knewgain / (_xlpm.Knewscale + _xlpm.nbparties),
  IF(F403="",
    "",
    _xlpm.coef * (F403-F404))
)</f>
        <v>19.11195842649715</v>
      </c>
      <c r="G405" t="str" cm="1">
        <f t="array" ref="G405">_xlfn.LET(
  _xlpm.K, Constantes!$B$3,
  _xlpm.Knewgain, Constantes!$B$4,
  _xlpm.Knewscale, Constantes!$B$5,
  _xlpm.ptstables, INDEX(G:G, _xlfn.SEQUENCE(COUNTA($C$2:$C405), 1, 3, 4)),
  _xlpm.nbparties, COUNTA(_xlfn._xlws.FILTER(_xlpm.ptstables, _xlpm.ptstables &lt;&gt; "")),
  _xlpm.coef, _xlpm.K + _xlpm.Knewgain / (_xlpm.Knewscale + _xlpm.nbparties),
  IF(G403="",
    "",
    _xlpm.coef * (G403-G404))
)</f>
        <v/>
      </c>
      <c r="H405" t="str" cm="1">
        <f t="array" ref="H405">_xlfn.LET(
  _xlpm.K, Constantes!$B$3,
  _xlpm.Knewgain, Constantes!$B$4,
  _xlpm.Knewscale, Constantes!$B$5,
  _xlpm.ptstables, INDEX(H:H, _xlfn.SEQUENCE(COUNTA($C$2:$C405), 1, 3, 4)),
  _xlpm.nbparties, COUNTA(_xlfn._xlws.FILTER(_xlpm.ptstables, _xlpm.ptstables &lt;&gt; "")),
  _xlpm.coef, _xlpm.K + _xlpm.Knewgain / (_xlpm.Knewscale + _xlpm.nbparties),
  IF(H403="",
    "",
    _xlpm.coef * (H403-H404))
)</f>
        <v/>
      </c>
      <c r="I405" t="str" cm="1">
        <f t="array" ref="I405">_xlfn.LET(
  _xlpm.K, Constantes!$B$3,
  _xlpm.Knewgain, Constantes!$B$4,
  _xlpm.Knewscale, Constantes!$B$5,
  _xlpm.ptstables, INDEX(I:I, _xlfn.SEQUENCE(COUNTA($C$2:$C405), 1, 3, 4)),
  _xlpm.nbparties, COUNTA(_xlfn._xlws.FILTER(_xlpm.ptstables, _xlpm.ptstables &lt;&gt; "")),
  _xlpm.coef, _xlpm.K + _xlpm.Knewgain / (_xlpm.Knewscale + _xlpm.nbparties),
  IF(I403="",
    "",
    _xlpm.coef * (I403-I404))
)</f>
        <v/>
      </c>
      <c r="J405" t="str" cm="1">
        <f t="array" ref="J405">_xlfn.LET(
  _xlpm.K, Constantes!$B$3,
  _xlpm.Knewgain, Constantes!$B$4,
  _xlpm.Knewscale, Constantes!$B$5,
  _xlpm.ptstables, INDEX(J:J, _xlfn.SEQUENCE(COUNTA($C$2:$C405), 1, 3, 4)),
  _xlpm.nbparties, COUNTA(_xlfn._xlws.FILTER(_xlpm.ptstables, _xlpm.ptstables &lt;&gt; "")),
  _xlpm.coef, _xlpm.K + _xlpm.Knewgain / (_xlpm.Knewscale + _xlpm.nbparties),
  IF(J403="",
    "",
    _xlpm.coef * (J403-J404))
)</f>
        <v/>
      </c>
      <c r="K405" t="str" cm="1">
        <f t="array" ref="K405">_xlfn.LET(
  _xlpm.K, Constantes!$B$3,
  _xlpm.Knewgain, Constantes!$B$4,
  _xlpm.Knewscale, Constantes!$B$5,
  _xlpm.ptstables, INDEX(K:K, _xlfn.SEQUENCE(COUNTA($C$2:$C405), 1, 3, 4)),
  _xlpm.nbparties, COUNTA(_xlfn._xlws.FILTER(_xlpm.ptstables, _xlpm.ptstables &lt;&gt; "")),
  _xlpm.coef, _xlpm.K + _xlpm.Knewgain / (_xlpm.Knewscale + _xlpm.nbparties),
  IF(K403="",
    "",
    _xlpm.coef * (K403-K404))
)</f>
        <v/>
      </c>
      <c r="L405" t="str" cm="1">
        <f t="array" ref="L405">_xlfn.LET(
  _xlpm.K, Constantes!$B$3,
  _xlpm.Knewgain, Constantes!$B$4,
  _xlpm.Knewscale, Constantes!$B$5,
  _xlpm.ptstables, INDEX(L:L, _xlfn.SEQUENCE(COUNTA($C$2:$C405), 1, 3, 4)),
  _xlpm.nbparties, COUNTA(_xlfn._xlws.FILTER(_xlpm.ptstables, _xlpm.ptstables &lt;&gt; "")),
  _xlpm.coef, _xlpm.K + _xlpm.Knewgain / (_xlpm.Knewscale + _xlpm.nbparties),
  IF(L403="",
    "",
    _xlpm.coef * (L403-L404))
)</f>
        <v/>
      </c>
      <c r="M405" t="str" cm="1">
        <f t="array" ref="M405">_xlfn.LET(
  _xlpm.K, Constantes!$B$3,
  _xlpm.Knewgain, Constantes!$B$4,
  _xlpm.Knewscale, Constantes!$B$5,
  _xlpm.ptstables, INDEX(M:M, _xlfn.SEQUENCE(COUNTA($C$2:$C405), 1, 3, 4)),
  _xlpm.nbparties, COUNTA(_xlfn._xlws.FILTER(_xlpm.ptstables, _xlpm.ptstables &lt;&gt; "")),
  _xlpm.coef, _xlpm.K + _xlpm.Knewgain / (_xlpm.Knewscale + _xlpm.nbparties),
  IF(M403="",
    "",
    _xlpm.coef * (M403-M404))
)</f>
        <v/>
      </c>
      <c r="N405" t="str" cm="1">
        <f t="array" ref="N405">_xlfn.LET(
  _xlpm.K, Constantes!$B$3,
  _xlpm.Knewgain, Constantes!$B$4,
  _xlpm.Knewscale, Constantes!$B$5,
  _xlpm.ptstables, INDEX(N:N, _xlfn.SEQUENCE(COUNTA($C$2:$C405), 1, 3, 4)),
  _xlpm.nbparties, COUNTA(_xlfn._xlws.FILTER(_xlpm.ptstables, _xlpm.ptstables &lt;&gt; "")),
  _xlpm.coef, _xlpm.K + _xlpm.Knewgain / (_xlpm.Knewscale + _xlpm.nbparties),
  IF(N403="",
    "",
    _xlpm.coef * (N403-N404))
)</f>
        <v/>
      </c>
      <c r="O405" t="str" cm="1">
        <f t="array" ref="O405">_xlfn.LET(
  _xlpm.K, Constantes!$B$3,
  _xlpm.Knewgain, Constantes!$B$4,
  _xlpm.Knewscale, Constantes!$B$5,
  _xlpm.ptstables, INDEX(O:O, _xlfn.SEQUENCE(COUNTA($C$2:$C405), 1, 3, 4)),
  _xlpm.nbparties, COUNTA(_xlfn._xlws.FILTER(_xlpm.ptstables, _xlpm.ptstables &lt;&gt; "")),
  _xlpm.coef, _xlpm.K + _xlpm.Knewgain / (_xlpm.Knewscale + _xlpm.nbparties),
  IF(O403="",
    "",
    _xlpm.coef * (O403-O404))
)</f>
        <v/>
      </c>
      <c r="P405" t="str" cm="1">
        <f t="array" ref="P405">_xlfn.LET(
  _xlpm.K, Constantes!$B$3,
  _xlpm.Knewgain, Constantes!$B$4,
  _xlpm.Knewscale, Constantes!$B$5,
  _xlpm.ptstables, INDEX(P:P, _xlfn.SEQUENCE(COUNTA($C$2:$C405), 1, 3, 4)),
  _xlpm.nbparties, COUNTA(_xlfn._xlws.FILTER(_xlpm.ptstables, _xlpm.ptstables &lt;&gt; "")),
  _xlpm.coef, _xlpm.K + _xlpm.Knewgain / (_xlpm.Knewscale + _xlpm.nbparties),
  IF(P403="",
    "",
    _xlpm.coef * (P403-P404))
)</f>
        <v/>
      </c>
      <c r="Q405" t="str" cm="1">
        <f t="array" ref="Q405">_xlfn.LET(
  _xlpm.K, Constantes!$B$3,
  _xlpm.Knewgain, Constantes!$B$4,
  _xlpm.Knewscale, Constantes!$B$5,
  _xlpm.ptstables, INDEX(Q:Q, _xlfn.SEQUENCE(COUNTA($C$2:$C405), 1, 3, 4)),
  _xlpm.nbparties, COUNTA(_xlfn._xlws.FILTER(_xlpm.ptstables, _xlpm.ptstables &lt;&gt; "")),
  _xlpm.coef, _xlpm.K + _xlpm.Knewgain / (_xlpm.Knewscale + _xlpm.nbparties),
  IF(Q403="",
    "",
    _xlpm.coef * (Q403-Q404))
)</f>
        <v/>
      </c>
      <c r="R405" t="str" cm="1">
        <f t="array" ref="R405">_xlfn.LET(
  _xlpm.K, Constantes!$B$3,
  _xlpm.Knewgain, Constantes!$B$4,
  _xlpm.Knewscale, Constantes!$B$5,
  _xlpm.ptstables, INDEX(R:R, _xlfn.SEQUENCE(COUNTA($C$2:$C405), 1, 3, 4)),
  _xlpm.nbparties, COUNTA(_xlfn._xlws.FILTER(_xlpm.ptstables, _xlpm.ptstables &lt;&gt; "")),
  _xlpm.coef, _xlpm.K + _xlpm.Knewgain / (_xlpm.Knewscale + _xlpm.nbparties),
  IF(R403="",
    "",
    _xlpm.coef * (R403-R404))
)</f>
        <v/>
      </c>
      <c r="S405" t="str" cm="1">
        <f t="array" ref="S405">_xlfn.LET(
  _xlpm.K, Constantes!$B$3,
  _xlpm.Knewgain, Constantes!$B$4,
  _xlpm.Knewscale, Constantes!$B$5,
  _xlpm.ptstables, INDEX(S:S, _xlfn.SEQUENCE(COUNTA($C$2:$C405), 1, 3, 4)),
  _xlpm.nbparties, COUNTA(_xlfn._xlws.FILTER(_xlpm.ptstables, _xlpm.ptstables &lt;&gt; "")),
  _xlpm.coef, _xlpm.K + _xlpm.Knewgain / (_xlpm.Knewscale + _xlpm.nbparties),
  IF(S403="",
    "",
    _xlpm.coef * (S403-S404))
)</f>
        <v/>
      </c>
      <c r="T405" t="str" cm="1">
        <f t="array" ref="T405">_xlfn.LET(
  _xlpm.K, Constantes!$B$3,
  _xlpm.Knewgain, Constantes!$B$4,
  _xlpm.Knewscale, Constantes!$B$5,
  _xlpm.ptstables, INDEX(T:T, _xlfn.SEQUENCE(COUNTA($C$2:$C405), 1, 3, 4)),
  _xlpm.nbparties, COUNTA(_xlfn._xlws.FILTER(_xlpm.ptstables, _xlpm.ptstables &lt;&gt; "")),
  _xlpm.coef, _xlpm.K + _xlpm.Knewgain / (_xlpm.Knewscale + _xlpm.nbparties),
  IF(T403="",
    "",
    _xlpm.coef * (T403-T404))
)</f>
        <v/>
      </c>
      <c r="U405" t="str" cm="1">
        <f t="array" ref="U405">_xlfn.LET(
  _xlpm.K, Constantes!$B$3,
  _xlpm.Knewgain, Constantes!$B$4,
  _xlpm.Knewscale, Constantes!$B$5,
  _xlpm.ptstables, INDEX(U:U, _xlfn.SEQUENCE(COUNTA($C$2:$C405), 1, 3, 4)),
  _xlpm.nbparties, COUNTA(_xlfn._xlws.FILTER(_xlpm.ptstables, _xlpm.ptstables &lt;&gt; "")),
  _xlpm.coef, _xlpm.K + _xlpm.Knewgain / (_xlpm.Knewscale + _xlpm.nbparties),
  IF(U403="",
    "",
    _xlpm.coef * (U403-U404))
)</f>
        <v/>
      </c>
      <c r="V405" t="str" cm="1">
        <f t="array" ref="V405">_xlfn.LET(
  _xlpm.K, Constantes!$B$3,
  _xlpm.Knewgain, Constantes!$B$4,
  _xlpm.Knewscale, Constantes!$B$5,
  _xlpm.ptstables, INDEX(V:V, _xlfn.SEQUENCE(COUNTA($C$2:$C405), 1, 3, 4)),
  _xlpm.nbparties, COUNTA(_xlfn._xlws.FILTER(_xlpm.ptstables, _xlpm.ptstables &lt;&gt; "")),
  _xlpm.coef, _xlpm.K + _xlpm.Knewgain / (_xlpm.Knewscale + _xlpm.nbparties),
  IF(V403="",
    "",
    _xlpm.coef * (V403-V404))
)</f>
        <v/>
      </c>
      <c r="W405" t="str" cm="1">
        <f t="array" ref="W405">_xlfn.LET(
  _xlpm.K, Constantes!$B$3,
  _xlpm.Knewgain, Constantes!$B$4,
  _xlpm.Knewscale, Constantes!$B$5,
  _xlpm.ptstables, INDEX(W:W, _xlfn.SEQUENCE(COUNTA($C$2:$C405), 1, 3, 4)),
  _xlpm.nbparties, COUNTA(_xlfn._xlws.FILTER(_xlpm.ptstables, _xlpm.ptstables &lt;&gt; "")),
  _xlpm.coef, _xlpm.K + _xlpm.Knewgain / (_xlpm.Knewscale + _xlpm.nbparties),
  IF(W403="",
    "",
    _xlpm.coef * (W403-W404))
)</f>
        <v/>
      </c>
      <c r="X405" t="str" cm="1">
        <f t="array" ref="X405">_xlfn.LET(
  _xlpm.K, Constantes!$B$3,
  _xlpm.Knewgain, Constantes!$B$4,
  _xlpm.Knewscale, Constantes!$B$5,
  _xlpm.ptstables, INDEX(X:X, _xlfn.SEQUENCE(COUNTA($C$2:$C405), 1, 3, 4)),
  _xlpm.nbparties, COUNTA(_xlfn._xlws.FILTER(_xlpm.ptstables, _xlpm.ptstables &lt;&gt; "")),
  _xlpm.coef, _xlpm.K + _xlpm.Knewgain / (_xlpm.Knewscale + _xlpm.nbparties),
  IF(X403="",
    "",
    _xlpm.coef * (X403-X404))
)</f>
        <v/>
      </c>
      <c r="Y405" t="str" cm="1">
        <f t="array" ref="Y405">_xlfn.LET(
  _xlpm.K, Constantes!$B$3,
  _xlpm.Knewgain, Constantes!$B$4,
  _xlpm.Knewscale, Constantes!$B$5,
  _xlpm.ptstables, INDEX(Y:Y, _xlfn.SEQUENCE(COUNTA($C$2:$C405), 1, 3, 4)),
  _xlpm.nbparties, COUNTA(_xlfn._xlws.FILTER(_xlpm.ptstables, _xlpm.ptstables &lt;&gt; "")),
  _xlpm.coef, _xlpm.K + _xlpm.Knewgain / (_xlpm.Knewscale + _xlpm.nbparties),
  IF(Y403="",
    "",
    _xlpm.coef * (Y403-Y404))
)</f>
        <v/>
      </c>
      <c r="Z405" cm="1">
        <f t="array" ref="Z405">_xlfn.LET(
  _xlpm.K, Constantes!$B$3,
  _xlpm.Knewgain, Constantes!$B$4,
  _xlpm.Knewscale, Constantes!$B$5,
  _xlpm.ptstables, INDEX(Z:Z, _xlfn.SEQUENCE(COUNTA($C$2:$C405), 1, 3, 4)),
  _xlpm.nbparties, COUNTA(_xlfn._xlws.FILTER(_xlpm.ptstables, _xlpm.ptstables &lt;&gt; "")),
  _xlpm.coef, _xlpm.K + _xlpm.Knewgain / (_xlpm.Knewscale + _xlpm.nbparties),
  IF(Z403="",
    "",
    _xlpm.coef * (Z403-Z404))
)</f>
        <v>41.109579194921075</v>
      </c>
      <c r="AA405" t="str" cm="1">
        <f t="array" ref="AA405">_xlfn.LET(
  _xlpm.K, Constantes!$B$3,
  _xlpm.Knewgain, Constantes!$B$4,
  _xlpm.Knewscale, Constantes!$B$5,
  _xlpm.ptstables, INDEX(AA:AA, _xlfn.SEQUENCE(COUNTA($C$2:$C405), 1, 3, 4)),
  _xlpm.nbparties, COUNTA(_xlfn._xlws.FILTER(_xlpm.ptstables, _xlpm.ptstables &lt;&gt; "")),
  _xlpm.coef, _xlpm.K + _xlpm.Knewgain / (_xlpm.Knewscale + _xlpm.nbparties),
  IF(AA403="",
    "",
    _xlpm.coef * (AA403-AA404))
)</f>
        <v/>
      </c>
      <c r="AB405" t="str" cm="1">
        <f t="array" ref="AB405">_xlfn.LET(
  _xlpm.K, Constantes!$B$3,
  _xlpm.Knewgain, Constantes!$B$4,
  _xlpm.Knewscale, Constantes!$B$5,
  _xlpm.ptstables, INDEX(AB:AB, _xlfn.SEQUENCE(COUNTA($C$2:$C405), 1, 3, 4)),
  _xlpm.nbparties, COUNTA(_xlfn._xlws.FILTER(_xlpm.ptstables, _xlpm.ptstables &lt;&gt; "")),
  _xlpm.coef, _xlpm.K + _xlpm.Knewgain / (_xlpm.Knewscale + _xlpm.nbparties),
  IF(AB403="",
    "",
    _xlpm.coef * (AB403-AB404))
)</f>
        <v/>
      </c>
      <c r="AC405" t="str" cm="1">
        <f t="array" ref="AC405">_xlfn.LET(
  _xlpm.K, Constantes!$B$3,
  _xlpm.Knewgain, Constantes!$B$4,
  _xlpm.Knewscale, Constantes!$B$5,
  _xlpm.ptstables, INDEX(AC:AC, _xlfn.SEQUENCE(COUNTA($C$2:$C405), 1, 3, 4)),
  _xlpm.nbparties, COUNTA(_xlfn._xlws.FILTER(_xlpm.ptstables, _xlpm.ptstables &lt;&gt; "")),
  _xlpm.coef, _xlpm.K + _xlpm.Knewgain / (_xlpm.Knewscale + _xlpm.nbparties),
  IF(AC403="",
    "",
    _xlpm.coef * (AC403-AC404))
)</f>
        <v/>
      </c>
      <c r="AD405" t="str" cm="1">
        <f t="array" ref="AD405">_xlfn.LET(
  _xlpm.K, Constantes!$B$3,
  _xlpm.Knewgain, Constantes!$B$4,
  _xlpm.Knewscale, Constantes!$B$5,
  _xlpm.ptstables, INDEX(AD:AD, _xlfn.SEQUENCE(COUNTA($C$2:$C405), 1, 3, 4)),
  _xlpm.nbparties, COUNTA(_xlfn._xlws.FILTER(_xlpm.ptstables, _xlpm.ptstables &lt;&gt; "")),
  _xlpm.coef, _xlpm.K + _xlpm.Knewgain / (_xlpm.Knewscale + _xlpm.nbparties),
  IF(AD403="",
    "",
    _xlpm.coef * (AD403-AD404))
)</f>
        <v/>
      </c>
      <c r="AE405" t="str" cm="1">
        <f t="array" ref="AE405">_xlfn.LET(
  _xlpm.K, Constantes!$B$3,
  _xlpm.Knewgain, Constantes!$B$4,
  _xlpm.Knewscale, Constantes!$B$5,
  _xlpm.ptstables, INDEX(AE:AE, _xlfn.SEQUENCE(COUNTA($C$2:$C405), 1, 3, 4)),
  _xlpm.nbparties, COUNTA(_xlfn._xlws.FILTER(_xlpm.ptstables, _xlpm.ptstables &lt;&gt; "")),
  _xlpm.coef, _xlpm.K + _xlpm.Knewgain / (_xlpm.Knewscale + _xlpm.nbparties),
  IF(AE403="",
    "",
    _xlpm.coef * (AE403-AE404))
)</f>
        <v/>
      </c>
      <c r="AF405" t="str" cm="1">
        <f t="array" ref="AF405">_xlfn.LET(
  _xlpm.K, Constantes!$B$3,
  _xlpm.Knewgain, Constantes!$B$4,
  _xlpm.Knewscale, Constantes!$B$5,
  _xlpm.ptstables, INDEX(AF:AF, _xlfn.SEQUENCE(COUNTA($C$2:$C405), 1, 3, 4)),
  _xlpm.nbparties, COUNTA(_xlfn._xlws.FILTER(_xlpm.ptstables, _xlpm.ptstables &lt;&gt; "")),
  _xlpm.coef, _xlpm.K + _xlpm.Knewgain / (_xlpm.Knewscale + _xlpm.nbparties),
  IF(AF403="",
    "",
    _xlpm.coef * (AF403-AF404))
)</f>
        <v/>
      </c>
      <c r="AG405" t="str" cm="1">
        <f t="array" ref="AG405">_xlfn.LET(
  _xlpm.K, Constantes!$B$3,
  _xlpm.Knewgain, Constantes!$B$4,
  _xlpm.Knewscale, Constantes!$B$5,
  _xlpm.ptstables, INDEX(AG:AG, _xlfn.SEQUENCE(COUNTA($C$2:$C405), 1, 3, 4)),
  _xlpm.nbparties, COUNTA(_xlfn._xlws.FILTER(_xlpm.ptstables, _xlpm.ptstables &lt;&gt; "")),
  _xlpm.coef, _xlpm.K + _xlpm.Knewgain / (_xlpm.Knewscale + _xlpm.nbparties),
  IF(AG403="",
    "",
    _xlpm.coef * (AG403-AG404))
)</f>
        <v/>
      </c>
      <c r="AH405" t="str" cm="1">
        <f t="array" ref="AH405">_xlfn.LET(
  _xlpm.K, Constantes!$B$3,
  _xlpm.Knewgain, Constantes!$B$4,
  _xlpm.Knewscale, Constantes!$B$5,
  _xlpm.ptstables, INDEX(AH:AH, _xlfn.SEQUENCE(COUNTA($C$2:$C405), 1, 3, 4)),
  _xlpm.nbparties, COUNTA(_xlfn._xlws.FILTER(_xlpm.ptstables, _xlpm.ptstables &lt;&gt; "")),
  _xlpm.coef, _xlpm.K + _xlpm.Knewgain / (_xlpm.Knewscale + _xlpm.nbparties),
  IF(AH403="",
    "",
    _xlpm.coef * (AH403-AH404))
)</f>
        <v/>
      </c>
      <c r="AI405" cm="1">
        <f t="array" ref="AI405">_xlfn.LET(
  _xlpm.K, Constantes!$B$3,
  _xlpm.Knewgain, Constantes!$B$4,
  _xlpm.Knewscale, Constantes!$B$5,
  _xlpm.ptstables, INDEX(AI:AI, _xlfn.SEQUENCE(COUNTA($C$2:$C405), 1, 3, 4)),
  _xlpm.nbparties, COUNTA(_xlfn._xlws.FILTER(_xlpm.ptstables, _xlpm.ptstables &lt;&gt; "")),
  _xlpm.coef, _xlpm.K + _xlpm.Knewgain / (_xlpm.Knewscale + _xlpm.nbparties),
  IF(AI403="",
    "",
    _xlpm.coef * (AI403-AI404))
)</f>
        <v>-38.990957883560135</v>
      </c>
      <c r="AJ405" t="str" cm="1">
        <f t="array" ref="AJ405">_xlfn.LET(
  _xlpm.K, Constantes!$B$3,
  _xlpm.Knewgain, Constantes!$B$4,
  _xlpm.Knewscale, Constantes!$B$5,
  _xlpm.ptstables, INDEX(AJ:AJ, _xlfn.SEQUENCE(COUNTA($C$2:$C405), 1, 3, 4)),
  _xlpm.nbparties, COUNTA(_xlfn._xlws.FILTER(_xlpm.ptstables, _xlpm.ptstables &lt;&gt; "")),
  _xlpm.coef, _xlpm.K + _xlpm.Knewgain / (_xlpm.Knewscale + _xlpm.nbparties),
  IF(AJ403="",
    "",
    _xlpm.coef * (AJ403-AJ404))
)</f>
        <v/>
      </c>
      <c r="AK405" t="str" cm="1">
        <f t="array" ref="AK405">_xlfn.LET(
  _xlpm.K, Constantes!$B$3,
  _xlpm.Knewgain, Constantes!$B$4,
  _xlpm.Knewscale, Constantes!$B$5,
  _xlpm.ptstables, INDEX(AK:AK, _xlfn.SEQUENCE(COUNTA($C$2:$C405), 1, 3, 4)),
  _xlpm.nbparties, COUNTA(_xlfn._xlws.FILTER(_xlpm.ptstables, _xlpm.ptstables &lt;&gt; "")),
  _xlpm.coef, _xlpm.K + _xlpm.Knewgain / (_xlpm.Knewscale + _xlpm.nbparties),
  IF(AK403="",
    "",
    _xlpm.coef * (AK403-AK404))
)</f>
        <v/>
      </c>
      <c r="AL405" t="str" cm="1">
        <f t="array" ref="AL405">_xlfn.LET(
  _xlpm.K, Constantes!$B$3,
  _xlpm.Knewgain, Constantes!$B$4,
  _xlpm.Knewscale, Constantes!$B$5,
  _xlpm.ptstables, INDEX(AL:AL, _xlfn.SEQUENCE(COUNTA($C$2:$C405), 1, 3, 4)),
  _xlpm.nbparties, COUNTA(_xlfn._xlws.FILTER(_xlpm.ptstables, _xlpm.ptstables &lt;&gt; "")),
  _xlpm.coef, _xlpm.K + _xlpm.Knewgain / (_xlpm.Knewscale + _xlpm.nbparties),
  IF(AL403="",
    "",
    _xlpm.coef * (AL403-AL404))
)</f>
        <v/>
      </c>
      <c r="AM405" t="str" cm="1">
        <f t="array" ref="AM405">_xlfn.LET(
  _xlpm.K, Constantes!$B$3,
  _xlpm.Knewgain, Constantes!$B$4,
  _xlpm.Knewscale, Constantes!$B$5,
  _xlpm.ptstables, INDEX(AM:AM, _xlfn.SEQUENCE(COUNTA($C$2:$C405), 1, 3, 4)),
  _xlpm.nbparties, COUNTA(_xlfn._xlws.FILTER(_xlpm.ptstables, _xlpm.ptstables &lt;&gt; "")),
  _xlpm.coef, _xlpm.K + _xlpm.Knewgain / (_xlpm.Knewscale + _xlpm.nbparties),
  IF(AM403="",
    "",
    _xlpm.coef * (AM403-AM404))
)</f>
        <v/>
      </c>
    </row>
    <row r="406" spans="1:39" x14ac:dyDescent="0.25">
      <c r="A406" t="s">
        <v>14</v>
      </c>
      <c r="B406" t="str" cm="1">
        <f t="array" ref="B40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101</v>
      </c>
      <c r="C406" s="2" cm="1">
        <f t="array" ref="C406">IF(B406="","",
  INDEX(Donnees!F:F, MATCH(B406, Donnees!F:F, 0)+1))</f>
        <v>45955.805798611109</v>
      </c>
      <c r="D406">
        <f t="shared" ref="D406:AM406" si="109">D402+IF(D405="",0,D405)</f>
        <v>968.82938141395095</v>
      </c>
      <c r="E406">
        <f t="shared" si="109"/>
        <v>1143.2776362955974</v>
      </c>
      <c r="F406">
        <f t="shared" si="109"/>
        <v>911.8835833951041</v>
      </c>
      <c r="G406">
        <f t="shared" si="109"/>
        <v>1061.9525561512175</v>
      </c>
      <c r="H406">
        <f t="shared" si="109"/>
        <v>1121.8561093296914</v>
      </c>
      <c r="I406">
        <f t="shared" si="109"/>
        <v>912.81564332013568</v>
      </c>
      <c r="J406">
        <f t="shared" si="109"/>
        <v>1036.8345874163842</v>
      </c>
      <c r="K406">
        <f t="shared" si="109"/>
        <v>1076.8546837336262</v>
      </c>
      <c r="L406">
        <f t="shared" si="109"/>
        <v>783.12422360152641</v>
      </c>
      <c r="M406">
        <f t="shared" si="109"/>
        <v>874.31051832077719</v>
      </c>
      <c r="N406">
        <f t="shared" si="109"/>
        <v>899.98370646249032</v>
      </c>
      <c r="O406">
        <f t="shared" si="109"/>
        <v>997.04050320786712</v>
      </c>
      <c r="P406">
        <f t="shared" si="109"/>
        <v>987.86278180042575</v>
      </c>
      <c r="Q406">
        <f t="shared" si="109"/>
        <v>1051.0755127018197</v>
      </c>
      <c r="R406">
        <f t="shared" si="109"/>
        <v>1053.036836862696</v>
      </c>
      <c r="S406">
        <f t="shared" si="109"/>
        <v>996.22028389505113</v>
      </c>
      <c r="T406">
        <f t="shared" si="109"/>
        <v>1125.604709757928</v>
      </c>
      <c r="U406">
        <f t="shared" si="109"/>
        <v>1215.9103115123116</v>
      </c>
      <c r="V406">
        <f t="shared" si="109"/>
        <v>969.67171739286073</v>
      </c>
      <c r="W406">
        <f t="shared" si="109"/>
        <v>882.29253769067657</v>
      </c>
      <c r="X406">
        <f t="shared" si="109"/>
        <v>828.97598039785271</v>
      </c>
      <c r="Y406">
        <f t="shared" si="109"/>
        <v>903.14348714035714</v>
      </c>
      <c r="Z406">
        <f t="shared" si="109"/>
        <v>1008.6876849635962</v>
      </c>
      <c r="AA406">
        <f t="shared" si="109"/>
        <v>976.40065260504912</v>
      </c>
      <c r="AB406">
        <f t="shared" si="109"/>
        <v>988.35669729544747</v>
      </c>
      <c r="AC406">
        <f t="shared" si="109"/>
        <v>1017.2252582428405</v>
      </c>
      <c r="AD406">
        <f t="shared" si="109"/>
        <v>1093.8192243082785</v>
      </c>
      <c r="AE406">
        <f t="shared" si="109"/>
        <v>963.23981965000235</v>
      </c>
      <c r="AF406">
        <f t="shared" si="109"/>
        <v>1094.8196847516158</v>
      </c>
      <c r="AG406">
        <f t="shared" si="109"/>
        <v>958.23078604304851</v>
      </c>
      <c r="AH406">
        <f t="shared" si="109"/>
        <v>920.4412636682855</v>
      </c>
      <c r="AI406">
        <f t="shared" si="109"/>
        <v>952.77777395142914</v>
      </c>
      <c r="AJ406">
        <f t="shared" si="109"/>
        <v>906.86354201913434</v>
      </c>
      <c r="AK406">
        <f t="shared" si="109"/>
        <v>1074.0069367206956</v>
      </c>
      <c r="AL406">
        <f t="shared" si="109"/>
        <v>1025.7817971572972</v>
      </c>
      <c r="AM406">
        <f t="shared" si="109"/>
        <v>930.08392160706046</v>
      </c>
    </row>
    <row r="407" spans="1:39" x14ac:dyDescent="0.25">
      <c r="A407" t="s">
        <v>21</v>
      </c>
      <c r="D407" t="str" cm="1">
        <f t="array" ref="D407">IFERROR(
  _xlfn.LET(
    _xlpm.ligpartie, MATCH($B406, Donnees!$F:$F, 0),
    _xlpm.joueurs, INDEX(Donnees!$A:$Z, _xlpm.ligpartie+1, _xlfn.SEQUENCE(1, 4, 2)),
    INDEX(
      Donnees!$A:$Z,
      _xlpm.ligpartie + 3,
      MATCH(D$1, _xlpm.joueurs, 0) + 1
    )
  ), ""
)</f>
        <v/>
      </c>
      <c r="E407" cm="1">
        <f t="array" ref="E407">IFERROR(
  _xlfn.LET(
    _xlpm.ligpartie, MATCH($B406, Donnees!$F:$F, 0),
    _xlpm.joueurs, INDEX(Donnees!$A:$Z, _xlpm.ligpartie+1, _xlfn.SEQUENCE(1, 4, 2)),
    INDEX(
      Donnees!$A:$Z,
      _xlpm.ligpartie + 3,
      MATCH(E$1, _xlpm.joueurs, 0) + 1
    )
  ), ""
)</f>
        <v>3</v>
      </c>
      <c r="F407" t="str" cm="1">
        <f t="array" ref="F407">IFERROR(
  _xlfn.LET(
    _xlpm.ligpartie, MATCH($B406, Donnees!$F:$F, 0),
    _xlpm.joueurs, INDEX(Donnees!$A:$Z, _xlpm.ligpartie+1, _xlfn.SEQUENCE(1, 4, 2)),
    INDEX(
      Donnees!$A:$Z,
      _xlpm.ligpartie + 3,
      MATCH(F$1, _xlpm.joueurs, 0) + 1
    )
  ), ""
)</f>
        <v/>
      </c>
      <c r="G407" t="str" cm="1">
        <f t="array" ref="G407">IFERROR(
  _xlfn.LET(
    _xlpm.ligpartie, MATCH($B406, Donnees!$F:$F, 0),
    _xlpm.joueurs, INDEX(Donnees!$A:$Z, _xlpm.ligpartie+1, _xlfn.SEQUENCE(1, 4, 2)),
    INDEX(
      Donnees!$A:$Z,
      _xlpm.ligpartie + 3,
      MATCH(G$1, _xlpm.joueurs, 0) + 1
    )
  ), ""
)</f>
        <v/>
      </c>
      <c r="H407" t="str" cm="1">
        <f t="array" ref="H407">IFERROR(
  _xlfn.LET(
    _xlpm.ligpartie, MATCH($B406, Donnees!$F:$F, 0),
    _xlpm.joueurs, INDEX(Donnees!$A:$Z, _xlpm.ligpartie+1, _xlfn.SEQUENCE(1, 4, 2)),
    INDEX(
      Donnees!$A:$Z,
      _xlpm.ligpartie + 3,
      MATCH(H$1, _xlpm.joueurs, 0) + 1
    )
  ), ""
)</f>
        <v/>
      </c>
      <c r="I407" t="str" cm="1">
        <f t="array" ref="I407">IFERROR(
  _xlfn.LET(
    _xlpm.ligpartie, MATCH($B406, Donnees!$F:$F, 0),
    _xlpm.joueurs, INDEX(Donnees!$A:$Z, _xlpm.ligpartie+1, _xlfn.SEQUENCE(1, 4, 2)),
    INDEX(
      Donnees!$A:$Z,
      _xlpm.ligpartie + 3,
      MATCH(I$1, _xlpm.joueurs, 0) + 1
    )
  ), ""
)</f>
        <v/>
      </c>
      <c r="J407" cm="1">
        <f t="array" ref="J407">IFERROR(
  _xlfn.LET(
    _xlpm.ligpartie, MATCH($B406, Donnees!$F:$F, 0),
    _xlpm.joueurs, INDEX(Donnees!$A:$Z, _xlpm.ligpartie+1, _xlfn.SEQUENCE(1, 4, 2)),
    INDEX(
      Donnees!$A:$Z,
      _xlpm.ligpartie + 3,
      MATCH(J$1, _xlpm.joueurs, 0) + 1
    )
  ), ""
)</f>
        <v>0</v>
      </c>
      <c r="K407" t="str" cm="1">
        <f t="array" ref="K407">IFERROR(
  _xlfn.LET(
    _xlpm.ligpartie, MATCH($B406, Donnees!$F:$F, 0),
    _xlpm.joueurs, INDEX(Donnees!$A:$Z, _xlpm.ligpartie+1, _xlfn.SEQUENCE(1, 4, 2)),
    INDEX(
      Donnees!$A:$Z,
      _xlpm.ligpartie + 3,
      MATCH(K$1, _xlpm.joueurs, 0) + 1
    )
  ), ""
)</f>
        <v/>
      </c>
      <c r="L407" t="str" cm="1">
        <f t="array" ref="L407">IFERROR(
  _xlfn.LET(
    _xlpm.ligpartie, MATCH($B406, Donnees!$F:$F, 0),
    _xlpm.joueurs, INDEX(Donnees!$A:$Z, _xlpm.ligpartie+1, _xlfn.SEQUENCE(1, 4, 2)),
    INDEX(
      Donnees!$A:$Z,
      _xlpm.ligpartie + 3,
      MATCH(L$1, _xlpm.joueurs, 0) + 1
    )
  ), ""
)</f>
        <v/>
      </c>
      <c r="M407" t="str" cm="1">
        <f t="array" ref="M407">IFERROR(
  _xlfn.LET(
    _xlpm.ligpartie, MATCH($B406, Donnees!$F:$F, 0),
    _xlpm.joueurs, INDEX(Donnees!$A:$Z, _xlpm.ligpartie+1, _xlfn.SEQUENCE(1, 4, 2)),
    INDEX(
      Donnees!$A:$Z,
      _xlpm.ligpartie + 3,
      MATCH(M$1, _xlpm.joueurs, 0) + 1
    )
  ), ""
)</f>
        <v/>
      </c>
      <c r="N407" t="str" cm="1">
        <f t="array" ref="N407">IFERROR(
  _xlfn.LET(
    _xlpm.ligpartie, MATCH($B406, Donnees!$F:$F, 0),
    _xlpm.joueurs, INDEX(Donnees!$A:$Z, _xlpm.ligpartie+1, _xlfn.SEQUENCE(1, 4, 2)),
    INDEX(
      Donnees!$A:$Z,
      _xlpm.ligpartie + 3,
      MATCH(N$1, _xlpm.joueurs, 0) + 1
    )
  ), ""
)</f>
        <v/>
      </c>
      <c r="O407" t="str" cm="1">
        <f t="array" ref="O407">IFERROR(
  _xlfn.LET(
    _xlpm.ligpartie, MATCH($B406, Donnees!$F:$F, 0),
    _xlpm.joueurs, INDEX(Donnees!$A:$Z, _xlpm.ligpartie+1, _xlfn.SEQUENCE(1, 4, 2)),
    INDEX(
      Donnees!$A:$Z,
      _xlpm.ligpartie + 3,
      MATCH(O$1, _xlpm.joueurs, 0) + 1
    )
  ), ""
)</f>
        <v/>
      </c>
      <c r="P407" t="str" cm="1">
        <f t="array" ref="P407">IFERROR(
  _xlfn.LET(
    _xlpm.ligpartie, MATCH($B406, Donnees!$F:$F, 0),
    _xlpm.joueurs, INDEX(Donnees!$A:$Z, _xlpm.ligpartie+1, _xlfn.SEQUENCE(1, 4, 2)),
    INDEX(
      Donnees!$A:$Z,
      _xlpm.ligpartie + 3,
      MATCH(P$1, _xlpm.joueurs, 0) + 1
    )
  ), ""
)</f>
        <v/>
      </c>
      <c r="Q407" t="str" cm="1">
        <f t="array" ref="Q407">IFERROR(
  _xlfn.LET(
    _xlpm.ligpartie, MATCH($B406, Donnees!$F:$F, 0),
    _xlpm.joueurs, INDEX(Donnees!$A:$Z, _xlpm.ligpartie+1, _xlfn.SEQUENCE(1, 4, 2)),
    INDEX(
      Donnees!$A:$Z,
      _xlpm.ligpartie + 3,
      MATCH(Q$1, _xlpm.joueurs, 0) + 1
    )
  ), ""
)</f>
        <v/>
      </c>
      <c r="R407" t="str" cm="1">
        <f t="array" ref="R407">IFERROR(
  _xlfn.LET(
    _xlpm.ligpartie, MATCH($B406, Donnees!$F:$F, 0),
    _xlpm.joueurs, INDEX(Donnees!$A:$Z, _xlpm.ligpartie+1, _xlfn.SEQUENCE(1, 4, 2)),
    INDEX(
      Donnees!$A:$Z,
      _xlpm.ligpartie + 3,
      MATCH(R$1, _xlpm.joueurs, 0) + 1
    )
  ), ""
)</f>
        <v/>
      </c>
      <c r="S407" t="str" cm="1">
        <f t="array" ref="S407">IFERROR(
  _xlfn.LET(
    _xlpm.ligpartie, MATCH($B406, Donnees!$F:$F, 0),
    _xlpm.joueurs, INDEX(Donnees!$A:$Z, _xlpm.ligpartie+1, _xlfn.SEQUENCE(1, 4, 2)),
    INDEX(
      Donnees!$A:$Z,
      _xlpm.ligpartie + 3,
      MATCH(S$1, _xlpm.joueurs, 0) + 1
    )
  ), ""
)</f>
        <v/>
      </c>
      <c r="T407" t="str" cm="1">
        <f t="array" ref="T407">IFERROR(
  _xlfn.LET(
    _xlpm.ligpartie, MATCH($B406, Donnees!$F:$F, 0),
    _xlpm.joueurs, INDEX(Donnees!$A:$Z, _xlpm.ligpartie+1, _xlfn.SEQUENCE(1, 4, 2)),
    INDEX(
      Donnees!$A:$Z,
      _xlpm.ligpartie + 3,
      MATCH(T$1, _xlpm.joueurs, 0) + 1
    )
  ), ""
)</f>
        <v/>
      </c>
      <c r="U407" cm="1">
        <f t="array" ref="U407">IFERROR(
  _xlfn.LET(
    _xlpm.ligpartie, MATCH($B406, Donnees!$F:$F, 0),
    _xlpm.joueurs, INDEX(Donnees!$A:$Z, _xlpm.ligpartie+1, _xlfn.SEQUENCE(1, 4, 2)),
    INDEX(
      Donnees!$A:$Z,
      _xlpm.ligpartie + 3,
      MATCH(U$1, _xlpm.joueurs, 0) + 1
    )
  ), ""
)</f>
        <v>2</v>
      </c>
      <c r="V407" t="str" cm="1">
        <f t="array" ref="V407">IFERROR(
  _xlfn.LET(
    _xlpm.ligpartie, MATCH($B406, Donnees!$F:$F, 0),
    _xlpm.joueurs, INDEX(Donnees!$A:$Z, _xlpm.ligpartie+1, _xlfn.SEQUENCE(1, 4, 2)),
    INDEX(
      Donnees!$A:$Z,
      _xlpm.ligpartie + 3,
      MATCH(V$1, _xlpm.joueurs, 0) + 1
    )
  ), ""
)</f>
        <v/>
      </c>
      <c r="W407" t="str" cm="1">
        <f t="array" ref="W407">IFERROR(
  _xlfn.LET(
    _xlpm.ligpartie, MATCH($B406, Donnees!$F:$F, 0),
    _xlpm.joueurs, INDEX(Donnees!$A:$Z, _xlpm.ligpartie+1, _xlfn.SEQUENCE(1, 4, 2)),
    INDEX(
      Donnees!$A:$Z,
      _xlpm.ligpartie + 3,
      MATCH(W$1, _xlpm.joueurs, 0) + 1
    )
  ), ""
)</f>
        <v/>
      </c>
      <c r="X407" t="str" cm="1">
        <f t="array" ref="X407">IFERROR(
  _xlfn.LET(
    _xlpm.ligpartie, MATCH($B406, Donnees!$F:$F, 0),
    _xlpm.joueurs, INDEX(Donnees!$A:$Z, _xlpm.ligpartie+1, _xlfn.SEQUENCE(1, 4, 2)),
    INDEX(
      Donnees!$A:$Z,
      _xlpm.ligpartie + 3,
      MATCH(X$1, _xlpm.joueurs, 0) + 1
    )
  ), ""
)</f>
        <v/>
      </c>
      <c r="Y407" t="str" cm="1">
        <f t="array" ref="Y407">IFERROR(
  _xlfn.LET(
    _xlpm.ligpartie, MATCH($B406, Donnees!$F:$F, 0),
    _xlpm.joueurs, INDEX(Donnees!$A:$Z, _xlpm.ligpartie+1, _xlfn.SEQUENCE(1, 4, 2)),
    INDEX(
      Donnees!$A:$Z,
      _xlpm.ligpartie + 3,
      MATCH(Y$1, _xlpm.joueurs, 0) + 1
    )
  ), ""
)</f>
        <v/>
      </c>
      <c r="Z407" t="str" cm="1">
        <f t="array" ref="Z407">IFERROR(
  _xlfn.LET(
    _xlpm.ligpartie, MATCH($B406, Donnees!$F:$F, 0),
    _xlpm.joueurs, INDEX(Donnees!$A:$Z, _xlpm.ligpartie+1, _xlfn.SEQUENCE(1, 4, 2)),
    INDEX(
      Donnees!$A:$Z,
      _xlpm.ligpartie + 3,
      MATCH(Z$1, _xlpm.joueurs, 0) + 1
    )
  ), ""
)</f>
        <v/>
      </c>
      <c r="AA407" t="str" cm="1">
        <f t="array" ref="AA407">IFERROR(
  _xlfn.LET(
    _xlpm.ligpartie, MATCH($B406, Donnees!$F:$F, 0),
    _xlpm.joueurs, INDEX(Donnees!$A:$Z, _xlpm.ligpartie+1, _xlfn.SEQUENCE(1, 4, 2)),
    INDEX(
      Donnees!$A:$Z,
      _xlpm.ligpartie + 3,
      MATCH(AA$1, _xlpm.joueurs, 0) + 1
    )
  ), ""
)</f>
        <v/>
      </c>
      <c r="AB407" t="str" cm="1">
        <f t="array" ref="AB407">IFERROR(
  _xlfn.LET(
    _xlpm.ligpartie, MATCH($B406, Donnees!$F:$F, 0),
    _xlpm.joueurs, INDEX(Donnees!$A:$Z, _xlpm.ligpartie+1, _xlfn.SEQUENCE(1, 4, 2)),
    INDEX(
      Donnees!$A:$Z,
      _xlpm.ligpartie + 3,
      MATCH(AB$1, _xlpm.joueurs, 0) + 1
    )
  ), ""
)</f>
        <v/>
      </c>
      <c r="AC407" cm="1">
        <f t="array" ref="AC407">IFERROR(
  _xlfn.LET(
    _xlpm.ligpartie, MATCH($B406, Donnees!$F:$F, 0),
    _xlpm.joueurs, INDEX(Donnees!$A:$Z, _xlpm.ligpartie+1, _xlfn.SEQUENCE(1, 4, 2)),
    INDEX(
      Donnees!$A:$Z,
      _xlpm.ligpartie + 3,
      MATCH(AC$1, _xlpm.joueurs, 0) + 1
    )
  ), ""
)</f>
        <v>1</v>
      </c>
      <c r="AD407" t="str" cm="1">
        <f t="array" ref="AD407">IFERROR(
  _xlfn.LET(
    _xlpm.ligpartie, MATCH($B406, Donnees!$F:$F, 0),
    _xlpm.joueurs, INDEX(Donnees!$A:$Z, _xlpm.ligpartie+1, _xlfn.SEQUENCE(1, 4, 2)),
    INDEX(
      Donnees!$A:$Z,
      _xlpm.ligpartie + 3,
      MATCH(AD$1, _xlpm.joueurs, 0) + 1
    )
  ), ""
)</f>
        <v/>
      </c>
      <c r="AE407" t="str" cm="1">
        <f t="array" ref="AE407">IFERROR(
  _xlfn.LET(
    _xlpm.ligpartie, MATCH($B406, Donnees!$F:$F, 0),
    _xlpm.joueurs, INDEX(Donnees!$A:$Z, _xlpm.ligpartie+1, _xlfn.SEQUENCE(1, 4, 2)),
    INDEX(
      Donnees!$A:$Z,
      _xlpm.ligpartie + 3,
      MATCH(AE$1, _xlpm.joueurs, 0) + 1
    )
  ), ""
)</f>
        <v/>
      </c>
      <c r="AF407" t="str" cm="1">
        <f t="array" ref="AF407">IFERROR(
  _xlfn.LET(
    _xlpm.ligpartie, MATCH($B406, Donnees!$F:$F, 0),
    _xlpm.joueurs, INDEX(Donnees!$A:$Z, _xlpm.ligpartie+1, _xlfn.SEQUENCE(1, 4, 2)),
    INDEX(
      Donnees!$A:$Z,
      _xlpm.ligpartie + 3,
      MATCH(AF$1, _xlpm.joueurs, 0) + 1
    )
  ), ""
)</f>
        <v/>
      </c>
      <c r="AG407" t="str" cm="1">
        <f t="array" ref="AG407">IFERROR(
  _xlfn.LET(
    _xlpm.ligpartie, MATCH($B406, Donnees!$F:$F, 0),
    _xlpm.joueurs, INDEX(Donnees!$A:$Z, _xlpm.ligpartie+1, _xlfn.SEQUENCE(1, 4, 2)),
    INDEX(
      Donnees!$A:$Z,
      _xlpm.ligpartie + 3,
      MATCH(AG$1, _xlpm.joueurs, 0) + 1
    )
  ), ""
)</f>
        <v/>
      </c>
      <c r="AH407" t="str" cm="1">
        <f t="array" ref="AH407">IFERROR(
  _xlfn.LET(
    _xlpm.ligpartie, MATCH($B406, Donnees!$F:$F, 0),
    _xlpm.joueurs, INDEX(Donnees!$A:$Z, _xlpm.ligpartie+1, _xlfn.SEQUENCE(1, 4, 2)),
    INDEX(
      Donnees!$A:$Z,
      _xlpm.ligpartie + 3,
      MATCH(AH$1, _xlpm.joueurs, 0) + 1
    )
  ), ""
)</f>
        <v/>
      </c>
      <c r="AI407" t="str" cm="1">
        <f t="array" ref="AI407">IFERROR(
  _xlfn.LET(
    _xlpm.ligpartie, MATCH($B406, Donnees!$F:$F, 0),
    _xlpm.joueurs, INDEX(Donnees!$A:$Z, _xlpm.ligpartie+1, _xlfn.SEQUENCE(1, 4, 2)),
    INDEX(
      Donnees!$A:$Z,
      _xlpm.ligpartie + 3,
      MATCH(AI$1, _xlpm.joueurs, 0) + 1
    )
  ), ""
)</f>
        <v/>
      </c>
      <c r="AJ407" t="str" cm="1">
        <f t="array" ref="AJ407">IFERROR(
  _xlfn.LET(
    _xlpm.ligpartie, MATCH($B406, Donnees!$F:$F, 0),
    _xlpm.joueurs, INDEX(Donnees!$A:$Z, _xlpm.ligpartie+1, _xlfn.SEQUENCE(1, 4, 2)),
    INDEX(
      Donnees!$A:$Z,
      _xlpm.ligpartie + 3,
      MATCH(AJ$1, _xlpm.joueurs, 0) + 1
    )
  ), ""
)</f>
        <v/>
      </c>
      <c r="AK407" t="str" cm="1">
        <f t="array" ref="AK407">IFERROR(
  _xlfn.LET(
    _xlpm.ligpartie, MATCH($B406, Donnees!$F:$F, 0),
    _xlpm.joueurs, INDEX(Donnees!$A:$Z, _xlpm.ligpartie+1, _xlfn.SEQUENCE(1, 4, 2)),
    INDEX(
      Donnees!$A:$Z,
      _xlpm.ligpartie + 3,
      MATCH(AK$1, _xlpm.joueurs, 0) + 1
    )
  ), ""
)</f>
        <v/>
      </c>
      <c r="AL407" t="str" cm="1">
        <f t="array" ref="AL407">IFERROR(
  _xlfn.LET(
    _xlpm.ligpartie, MATCH($B406, Donnees!$F:$F, 0),
    _xlpm.joueurs, INDEX(Donnees!$A:$Z, _xlpm.ligpartie+1, _xlfn.SEQUENCE(1, 4, 2)),
    INDEX(
      Donnees!$A:$Z,
      _xlpm.ligpartie + 3,
      MATCH(AL$1, _xlpm.joueurs, 0) + 1
    )
  ), ""
)</f>
        <v/>
      </c>
      <c r="AM407" t="str" cm="1">
        <f t="array" ref="AM407">IFERROR(
  _xlfn.LET(
    _xlpm.ligpartie, MATCH($B406, Donnees!$F:$F, 0),
    _xlpm.joueurs, INDEX(Donnees!$A:$Z, _xlpm.ligpartie+1, _xlfn.SEQUENCE(1, 4, 2)),
    INDEX(
      Donnees!$A:$Z,
      _xlpm.ligpartie + 3,
      MATCH(AM$1, _xlpm.joueurs, 0) + 1
    )
  ), ""
)</f>
        <v/>
      </c>
    </row>
    <row r="408" spans="1:39" x14ac:dyDescent="0.25">
      <c r="A408" t="s">
        <v>20</v>
      </c>
      <c r="D408" t="str" cm="1">
        <f t="array" ref="D408">_xlfn.LET(
  _xlpm.colj, _xlfn._xlws.FILTER(IF(ISNUMBER(407:407), COLUMN(407:407)), ISNUMBER(407:407)),
  _xlpm.elos, INDEX(406:406,1,_xlpm.colj),
  _xlpm.diffscale, Constantes!$B$2,
  IF(D407="",
    "",
    SUM(1/(1+POWER(10,-(D406-_xlpm.elos)/_xlpm.diffscale)))-0.5)
)</f>
        <v/>
      </c>
      <c r="E408" cm="1">
        <f t="array" ref="E408">_xlfn.LET(
  _xlpm.colj, _xlfn._xlws.FILTER(IF(ISNUMBER(407:407), COLUMN(407:407)), ISNUMBER(407:407)),
  _xlpm.elos, INDEX(406:406,1,_xlpm.colj),
  _xlpm.diffscale, Constantes!$B$2,
  IF(E407="",
    "",
    SUM(1/(1+POWER(10,-(E406-_xlpm.elos)/_xlpm.diffscale)))-0.5)
)</f>
        <v>1.7193767464807292</v>
      </c>
      <c r="F408" t="str" cm="1">
        <f t="array" ref="F408">_xlfn.LET(
  _xlpm.colj, _xlfn._xlws.FILTER(IF(ISNUMBER(407:407), COLUMN(407:407)), ISNUMBER(407:407)),
  _xlpm.elos, INDEX(406:406,1,_xlpm.colj),
  _xlpm.diffscale, Constantes!$B$2,
  IF(F407="",
    "",
    SUM(1/(1+POWER(10,-(F406-_xlpm.elos)/_xlpm.diffscale)))-0.5)
)</f>
        <v/>
      </c>
      <c r="G408" t="str" cm="1">
        <f t="array" ref="G408">_xlfn.LET(
  _xlpm.colj, _xlfn._xlws.FILTER(IF(ISNUMBER(407:407), COLUMN(407:407)), ISNUMBER(407:407)),
  _xlpm.elos, INDEX(406:406,1,_xlpm.colj),
  _xlpm.diffscale, Constantes!$B$2,
  IF(G407="",
    "",
    SUM(1/(1+POWER(10,-(G406-_xlpm.elos)/_xlpm.diffscale)))-0.5)
)</f>
        <v/>
      </c>
      <c r="H408" t="str" cm="1">
        <f t="array" ref="H408">_xlfn.LET(
  _xlpm.colj, _xlfn._xlws.FILTER(IF(ISNUMBER(407:407), COLUMN(407:407)), ISNUMBER(407:407)),
  _xlpm.elos, INDEX(406:406,1,_xlpm.colj),
  _xlpm.diffscale, Constantes!$B$2,
  IF(H407="",
    "",
    SUM(1/(1+POWER(10,-(H406-_xlpm.elos)/_xlpm.diffscale)))-0.5)
)</f>
        <v/>
      </c>
      <c r="I408" t="str" cm="1">
        <f t="array" ref="I408">_xlfn.LET(
  _xlpm.colj, _xlfn._xlws.FILTER(IF(ISNUMBER(407:407), COLUMN(407:407)), ISNUMBER(407:407)),
  _xlpm.elos, INDEX(406:406,1,_xlpm.colj),
  _xlpm.diffscale, Constantes!$B$2,
  IF(I407="",
    "",
    SUM(1/(1+POWER(10,-(I406-_xlpm.elos)/_xlpm.diffscale)))-0.5)
)</f>
        <v/>
      </c>
      <c r="J408" cm="1">
        <f t="array" ref="J408">_xlfn.LET(
  _xlpm.colj, _xlfn._xlws.FILTER(IF(ISNUMBER(407:407), COLUMN(407:407)), ISNUMBER(407:407)),
  _xlpm.elos, INDEX(406:406,1,_xlpm.colj),
  _xlpm.diffscale, Constantes!$B$2,
  IF(J407="",
    "",
    SUM(1/(1+POWER(10,-(J406-_xlpm.elos)/_xlpm.diffscale)))-0.5)
)</f>
        <v>1.1425463808670886</v>
      </c>
      <c r="K408" t="str" cm="1">
        <f t="array" ref="K408">_xlfn.LET(
  _xlpm.colj, _xlfn._xlws.FILTER(IF(ISNUMBER(407:407), COLUMN(407:407)), ISNUMBER(407:407)),
  _xlpm.elos, INDEX(406:406,1,_xlpm.colj),
  _xlpm.diffscale, Constantes!$B$2,
  IF(K407="",
    "",
    SUM(1/(1+POWER(10,-(K406-_xlpm.elos)/_xlpm.diffscale)))-0.5)
)</f>
        <v/>
      </c>
      <c r="L408" t="str" cm="1">
        <f t="array" ref="L408">_xlfn.LET(
  _xlpm.colj, _xlfn._xlws.FILTER(IF(ISNUMBER(407:407), COLUMN(407:407)), ISNUMBER(407:407)),
  _xlpm.elos, INDEX(406:406,1,_xlpm.colj),
  _xlpm.diffscale, Constantes!$B$2,
  IF(L407="",
    "",
    SUM(1/(1+POWER(10,-(L406-_xlpm.elos)/_xlpm.diffscale)))-0.5)
)</f>
        <v/>
      </c>
      <c r="M408" t="str" cm="1">
        <f t="array" ref="M408">_xlfn.LET(
  _xlpm.colj, _xlfn._xlws.FILTER(IF(ISNUMBER(407:407), COLUMN(407:407)), ISNUMBER(407:407)),
  _xlpm.elos, INDEX(406:406,1,_xlpm.colj),
  _xlpm.diffscale, Constantes!$B$2,
  IF(M407="",
    "",
    SUM(1/(1+POWER(10,-(M406-_xlpm.elos)/_xlpm.diffscale)))-0.5)
)</f>
        <v/>
      </c>
      <c r="N408" t="str" cm="1">
        <f t="array" ref="N408">_xlfn.LET(
  _xlpm.colj, _xlfn._xlws.FILTER(IF(ISNUMBER(407:407), COLUMN(407:407)), ISNUMBER(407:407)),
  _xlpm.elos, INDEX(406:406,1,_xlpm.colj),
  _xlpm.diffscale, Constantes!$B$2,
  IF(N407="",
    "",
    SUM(1/(1+POWER(10,-(N406-_xlpm.elos)/_xlpm.diffscale)))-0.5)
)</f>
        <v/>
      </c>
      <c r="O408" t="str" cm="1">
        <f t="array" ref="O408">_xlfn.LET(
  _xlpm.colj, _xlfn._xlws.FILTER(IF(ISNUMBER(407:407), COLUMN(407:407)), ISNUMBER(407:407)),
  _xlpm.elos, INDEX(406:406,1,_xlpm.colj),
  _xlpm.diffscale, Constantes!$B$2,
  IF(O407="",
    "",
    SUM(1/(1+POWER(10,-(O406-_xlpm.elos)/_xlpm.diffscale)))-0.5)
)</f>
        <v/>
      </c>
      <c r="P408" t="str" cm="1">
        <f t="array" ref="P408">_xlfn.LET(
  _xlpm.colj, _xlfn._xlws.FILTER(IF(ISNUMBER(407:407), COLUMN(407:407)), ISNUMBER(407:407)),
  _xlpm.elos, INDEX(406:406,1,_xlpm.colj),
  _xlpm.diffscale, Constantes!$B$2,
  IF(P407="",
    "",
    SUM(1/(1+POWER(10,-(P406-_xlpm.elos)/_xlpm.diffscale)))-0.5)
)</f>
        <v/>
      </c>
      <c r="Q408" t="str" cm="1">
        <f t="array" ref="Q408">_xlfn.LET(
  _xlpm.colj, _xlfn._xlws.FILTER(IF(ISNUMBER(407:407), COLUMN(407:407)), ISNUMBER(407:407)),
  _xlpm.elos, INDEX(406:406,1,_xlpm.colj),
  _xlpm.diffscale, Constantes!$B$2,
  IF(Q407="",
    "",
    SUM(1/(1+POWER(10,-(Q406-_xlpm.elos)/_xlpm.diffscale)))-0.5)
)</f>
        <v/>
      </c>
      <c r="R408" t="str" cm="1">
        <f t="array" ref="R408">_xlfn.LET(
  _xlpm.colj, _xlfn._xlws.FILTER(IF(ISNUMBER(407:407), COLUMN(407:407)), ISNUMBER(407:407)),
  _xlpm.elos, INDEX(406:406,1,_xlpm.colj),
  _xlpm.diffscale, Constantes!$B$2,
  IF(R407="",
    "",
    SUM(1/(1+POWER(10,-(R406-_xlpm.elos)/_xlpm.diffscale)))-0.5)
)</f>
        <v/>
      </c>
      <c r="S408" t="str" cm="1">
        <f t="array" ref="S408">_xlfn.LET(
  _xlpm.colj, _xlfn._xlws.FILTER(IF(ISNUMBER(407:407), COLUMN(407:407)), ISNUMBER(407:407)),
  _xlpm.elos, INDEX(406:406,1,_xlpm.colj),
  _xlpm.diffscale, Constantes!$B$2,
  IF(S407="",
    "",
    SUM(1/(1+POWER(10,-(S406-_xlpm.elos)/_xlpm.diffscale)))-0.5)
)</f>
        <v/>
      </c>
      <c r="T408" t="str" cm="1">
        <f t="array" ref="T408">_xlfn.LET(
  _xlpm.colj, _xlfn._xlws.FILTER(IF(ISNUMBER(407:407), COLUMN(407:407)), ISNUMBER(407:407)),
  _xlpm.elos, INDEX(406:406,1,_xlpm.colj),
  _xlpm.diffscale, Constantes!$B$2,
  IF(T407="",
    "",
    SUM(1/(1+POWER(10,-(T406-_xlpm.elos)/_xlpm.diffscale)))-0.5)
)</f>
        <v/>
      </c>
      <c r="U408" cm="1">
        <f t="array" ref="U408">_xlfn.LET(
  _xlpm.colj, _xlfn._xlws.FILTER(IF(ISNUMBER(407:407), COLUMN(407:407)), ISNUMBER(407:407)),
  _xlpm.elos, INDEX(406:406,1,_xlpm.colj),
  _xlpm.diffscale, Constantes!$B$2,
  IF(U407="",
    "",
    SUM(1/(1+POWER(10,-(U406-_xlpm.elos)/_xlpm.diffscale)))-0.5)
)</f>
        <v>2.0984720458699186</v>
      </c>
      <c r="V408" t="str" cm="1">
        <f t="array" ref="V408">_xlfn.LET(
  _xlpm.colj, _xlfn._xlws.FILTER(IF(ISNUMBER(407:407), COLUMN(407:407)), ISNUMBER(407:407)),
  _xlpm.elos, INDEX(406:406,1,_xlpm.colj),
  _xlpm.diffscale, Constantes!$B$2,
  IF(V407="",
    "",
    SUM(1/(1+POWER(10,-(V406-_xlpm.elos)/_xlpm.diffscale)))-0.5)
)</f>
        <v/>
      </c>
      <c r="W408" t="str" cm="1">
        <f t="array" ref="W408">_xlfn.LET(
  _xlpm.colj, _xlfn._xlws.FILTER(IF(ISNUMBER(407:407), COLUMN(407:407)), ISNUMBER(407:407)),
  _xlpm.elos, INDEX(406:406,1,_xlpm.colj),
  _xlpm.diffscale, Constantes!$B$2,
  IF(W407="",
    "",
    SUM(1/(1+POWER(10,-(W406-_xlpm.elos)/_xlpm.diffscale)))-0.5)
)</f>
        <v/>
      </c>
      <c r="X408" t="str" cm="1">
        <f t="array" ref="X408">_xlfn.LET(
  _xlpm.colj, _xlfn._xlws.FILTER(IF(ISNUMBER(407:407), COLUMN(407:407)), ISNUMBER(407:407)),
  _xlpm.elos, INDEX(406:406,1,_xlpm.colj),
  _xlpm.diffscale, Constantes!$B$2,
  IF(X407="",
    "",
    SUM(1/(1+POWER(10,-(X406-_xlpm.elos)/_xlpm.diffscale)))-0.5)
)</f>
        <v/>
      </c>
      <c r="Y408" t="str" cm="1">
        <f t="array" ref="Y408">_xlfn.LET(
  _xlpm.colj, _xlfn._xlws.FILTER(IF(ISNUMBER(407:407), COLUMN(407:407)), ISNUMBER(407:407)),
  _xlpm.elos, INDEX(406:406,1,_xlpm.colj),
  _xlpm.diffscale, Constantes!$B$2,
  IF(Y407="",
    "",
    SUM(1/(1+POWER(10,-(Y406-_xlpm.elos)/_xlpm.diffscale)))-0.5)
)</f>
        <v/>
      </c>
      <c r="Z408" t="str" cm="1">
        <f t="array" ref="Z408">_xlfn.LET(
  _xlpm.colj, _xlfn._xlws.FILTER(IF(ISNUMBER(407:407), COLUMN(407:407)), ISNUMBER(407:407)),
  _xlpm.elos, INDEX(406:406,1,_xlpm.colj),
  _xlpm.diffscale, Constantes!$B$2,
  IF(Z407="",
    "",
    SUM(1/(1+POWER(10,-(Z406-_xlpm.elos)/_xlpm.diffscale)))-0.5)
)</f>
        <v/>
      </c>
      <c r="AA408" t="str" cm="1">
        <f t="array" ref="AA408">_xlfn.LET(
  _xlpm.colj, _xlfn._xlws.FILTER(IF(ISNUMBER(407:407), COLUMN(407:407)), ISNUMBER(407:407)),
  _xlpm.elos, INDEX(406:406,1,_xlpm.colj),
  _xlpm.diffscale, Constantes!$B$2,
  IF(AA407="",
    "",
    SUM(1/(1+POWER(10,-(AA406-_xlpm.elos)/_xlpm.diffscale)))-0.5)
)</f>
        <v/>
      </c>
      <c r="AB408" t="str" cm="1">
        <f t="array" ref="AB408">_xlfn.LET(
  _xlpm.colj, _xlfn._xlws.FILTER(IF(ISNUMBER(407:407), COLUMN(407:407)), ISNUMBER(407:407)),
  _xlpm.elos, INDEX(406:406,1,_xlpm.colj),
  _xlpm.diffscale, Constantes!$B$2,
  IF(AB407="",
    "",
    SUM(1/(1+POWER(10,-(AB406-_xlpm.elos)/_xlpm.diffscale)))-0.5)
)</f>
        <v/>
      </c>
      <c r="AC408" cm="1">
        <f t="array" ref="AC408">_xlfn.LET(
  _xlpm.colj, _xlfn._xlws.FILTER(IF(ISNUMBER(407:407), COLUMN(407:407)), ISNUMBER(407:407)),
  _xlpm.elos, INDEX(406:406,1,_xlpm.colj),
  _xlpm.diffscale, Constantes!$B$2,
  IF(AC407="",
    "",
    SUM(1/(1+POWER(10,-(AC406-_xlpm.elos)/_xlpm.diffscale)))-0.5)
)</f>
        <v>1.0396048267822635</v>
      </c>
      <c r="AD408" t="str" cm="1">
        <f t="array" ref="AD408">_xlfn.LET(
  _xlpm.colj, _xlfn._xlws.FILTER(IF(ISNUMBER(407:407), COLUMN(407:407)), ISNUMBER(407:407)),
  _xlpm.elos, INDEX(406:406,1,_xlpm.colj),
  _xlpm.diffscale, Constantes!$B$2,
  IF(AD407="",
    "",
    SUM(1/(1+POWER(10,-(AD406-_xlpm.elos)/_xlpm.diffscale)))-0.5)
)</f>
        <v/>
      </c>
      <c r="AE408" t="str" cm="1">
        <f t="array" ref="AE408">_xlfn.LET(
  _xlpm.colj, _xlfn._xlws.FILTER(IF(ISNUMBER(407:407), COLUMN(407:407)), ISNUMBER(407:407)),
  _xlpm.elos, INDEX(406:406,1,_xlpm.colj),
  _xlpm.diffscale, Constantes!$B$2,
  IF(AE407="",
    "",
    SUM(1/(1+POWER(10,-(AE406-_xlpm.elos)/_xlpm.diffscale)))-0.5)
)</f>
        <v/>
      </c>
      <c r="AF408" t="str" cm="1">
        <f t="array" ref="AF408">_xlfn.LET(
  _xlpm.colj, _xlfn._xlws.FILTER(IF(ISNUMBER(407:407), COLUMN(407:407)), ISNUMBER(407:407)),
  _xlpm.elos, INDEX(406:406,1,_xlpm.colj),
  _xlpm.diffscale, Constantes!$B$2,
  IF(AF407="",
    "",
    SUM(1/(1+POWER(10,-(AF406-_xlpm.elos)/_xlpm.diffscale)))-0.5)
)</f>
        <v/>
      </c>
      <c r="AG408" t="str" cm="1">
        <f t="array" ref="AG408">_xlfn.LET(
  _xlpm.colj, _xlfn._xlws.FILTER(IF(ISNUMBER(407:407), COLUMN(407:407)), ISNUMBER(407:407)),
  _xlpm.elos, INDEX(406:406,1,_xlpm.colj),
  _xlpm.diffscale, Constantes!$B$2,
  IF(AG407="",
    "",
    SUM(1/(1+POWER(10,-(AG406-_xlpm.elos)/_xlpm.diffscale)))-0.5)
)</f>
        <v/>
      </c>
      <c r="AH408" t="str" cm="1">
        <f t="array" ref="AH408">_xlfn.LET(
  _xlpm.colj, _xlfn._xlws.FILTER(IF(ISNUMBER(407:407), COLUMN(407:407)), ISNUMBER(407:407)),
  _xlpm.elos, INDEX(406:406,1,_xlpm.colj),
  _xlpm.diffscale, Constantes!$B$2,
  IF(AH407="",
    "",
    SUM(1/(1+POWER(10,-(AH406-_xlpm.elos)/_xlpm.diffscale)))-0.5)
)</f>
        <v/>
      </c>
      <c r="AI408" t="str" cm="1">
        <f t="array" ref="AI408">_xlfn.LET(
  _xlpm.colj, _xlfn._xlws.FILTER(IF(ISNUMBER(407:407), COLUMN(407:407)), ISNUMBER(407:407)),
  _xlpm.elos, INDEX(406:406,1,_xlpm.colj),
  _xlpm.diffscale, Constantes!$B$2,
  IF(AI407="",
    "",
    SUM(1/(1+POWER(10,-(AI406-_xlpm.elos)/_xlpm.diffscale)))-0.5)
)</f>
        <v/>
      </c>
      <c r="AJ408" t="str" cm="1">
        <f t="array" ref="AJ408">_xlfn.LET(
  _xlpm.colj, _xlfn._xlws.FILTER(IF(ISNUMBER(407:407), COLUMN(407:407)), ISNUMBER(407:407)),
  _xlpm.elos, INDEX(406:406,1,_xlpm.colj),
  _xlpm.diffscale, Constantes!$B$2,
  IF(AJ407="",
    "",
    SUM(1/(1+POWER(10,-(AJ406-_xlpm.elos)/_xlpm.diffscale)))-0.5)
)</f>
        <v/>
      </c>
      <c r="AK408" t="str" cm="1">
        <f t="array" ref="AK408">_xlfn.LET(
  _xlpm.colj, _xlfn._xlws.FILTER(IF(ISNUMBER(407:407), COLUMN(407:407)), ISNUMBER(407:407)),
  _xlpm.elos, INDEX(406:406,1,_xlpm.colj),
  _xlpm.diffscale, Constantes!$B$2,
  IF(AK407="",
    "",
    SUM(1/(1+POWER(10,-(AK406-_xlpm.elos)/_xlpm.diffscale)))-0.5)
)</f>
        <v/>
      </c>
      <c r="AL408" t="str" cm="1">
        <f t="array" ref="AL408">_xlfn.LET(
  _xlpm.colj, _xlfn._xlws.FILTER(IF(ISNUMBER(407:407), COLUMN(407:407)), ISNUMBER(407:407)),
  _xlpm.elos, INDEX(406:406,1,_xlpm.colj),
  _xlpm.diffscale, Constantes!$B$2,
  IF(AL407="",
    "",
    SUM(1/(1+POWER(10,-(AL406-_xlpm.elos)/_xlpm.diffscale)))-0.5)
)</f>
        <v/>
      </c>
      <c r="AM408" t="str" cm="1">
        <f t="array" ref="AM408">_xlfn.LET(
  _xlpm.colj, _xlfn._xlws.FILTER(IF(ISNUMBER(407:407), COLUMN(407:407)), ISNUMBER(407:407)),
  _xlpm.elos, INDEX(406:406,1,_xlpm.colj),
  _xlpm.diffscale, Constantes!$B$2,
  IF(AM407="",
    "",
    SUM(1/(1+POWER(10,-(AM406-_xlpm.elos)/_xlpm.diffscale)))-0.5)
)</f>
        <v/>
      </c>
    </row>
    <row r="409" spans="1:39" x14ac:dyDescent="0.25">
      <c r="A409" t="s">
        <v>22</v>
      </c>
      <c r="D409" t="str" cm="1">
        <f t="array" ref="D409">_xlfn.LET(
  _xlpm.K, Constantes!$B$3,
  _xlpm.Knewgain, Constantes!$B$4,
  _xlpm.Knewscale, Constantes!$B$5,
  _xlpm.ptstables, INDEX(D:D, _xlfn.SEQUENCE(COUNTA($C$2:$C409), 1, 3, 4)),
  _xlpm.nbparties, COUNTA(_xlfn._xlws.FILTER(_xlpm.ptstables, _xlpm.ptstables &lt;&gt; "")),
  _xlpm.coef, _xlpm.K + _xlpm.Knewgain / (_xlpm.Knewscale + _xlpm.nbparties),
  IF(D407="",
    "",
    _xlpm.coef * (D407-D408))
)</f>
        <v/>
      </c>
      <c r="E409" cm="1">
        <f t="array" ref="E409">_xlfn.LET(
  _xlpm.K, Constantes!$B$3,
  _xlpm.Knewgain, Constantes!$B$4,
  _xlpm.Knewscale, Constantes!$B$5,
  _xlpm.ptstables, INDEX(E:E, _xlfn.SEQUENCE(COUNTA($C$2:$C409), 1, 3, 4)),
  _xlpm.nbparties, COUNTA(_xlfn._xlws.FILTER(_xlpm.ptstables, _xlpm.ptstables &lt;&gt; "")),
  _xlpm.coef, _xlpm.K + _xlpm.Knewgain / (_xlpm.Knewscale + _xlpm.nbparties),
  IF(E407="",
    "",
    _xlpm.coef * (E407-E408))
)</f>
        <v>28.280430181883894</v>
      </c>
      <c r="F409" t="str" cm="1">
        <f t="array" ref="F409">_xlfn.LET(
  _xlpm.K, Constantes!$B$3,
  _xlpm.Knewgain, Constantes!$B$4,
  _xlpm.Knewscale, Constantes!$B$5,
  _xlpm.ptstables, INDEX(F:F, _xlfn.SEQUENCE(COUNTA($C$2:$C409), 1, 3, 4)),
  _xlpm.nbparties, COUNTA(_xlfn._xlws.FILTER(_xlpm.ptstables, _xlpm.ptstables &lt;&gt; "")),
  _xlpm.coef, _xlpm.K + _xlpm.Knewgain / (_xlpm.Knewscale + _xlpm.nbparties),
  IF(F407="",
    "",
    _xlpm.coef * (F407-F408))
)</f>
        <v/>
      </c>
      <c r="G409" t="str" cm="1">
        <f t="array" ref="G409">_xlfn.LET(
  _xlpm.K, Constantes!$B$3,
  _xlpm.Knewgain, Constantes!$B$4,
  _xlpm.Knewscale, Constantes!$B$5,
  _xlpm.ptstables, INDEX(G:G, _xlfn.SEQUENCE(COUNTA($C$2:$C409), 1, 3, 4)),
  _xlpm.nbparties, COUNTA(_xlfn._xlws.FILTER(_xlpm.ptstables, _xlpm.ptstables &lt;&gt; "")),
  _xlpm.coef, _xlpm.K + _xlpm.Knewgain / (_xlpm.Knewscale + _xlpm.nbparties),
  IF(G407="",
    "",
    _xlpm.coef * (G407-G408))
)</f>
        <v/>
      </c>
      <c r="H409" t="str" cm="1">
        <f t="array" ref="H409">_xlfn.LET(
  _xlpm.K, Constantes!$B$3,
  _xlpm.Knewgain, Constantes!$B$4,
  _xlpm.Knewscale, Constantes!$B$5,
  _xlpm.ptstables, INDEX(H:H, _xlfn.SEQUENCE(COUNTA($C$2:$C409), 1, 3, 4)),
  _xlpm.nbparties, COUNTA(_xlfn._xlws.FILTER(_xlpm.ptstables, _xlpm.ptstables &lt;&gt; "")),
  _xlpm.coef, _xlpm.K + _xlpm.Knewgain / (_xlpm.Knewscale + _xlpm.nbparties),
  IF(H407="",
    "",
    _xlpm.coef * (H407-H408))
)</f>
        <v/>
      </c>
      <c r="I409" t="str" cm="1">
        <f t="array" ref="I409">_xlfn.LET(
  _xlpm.K, Constantes!$B$3,
  _xlpm.Knewgain, Constantes!$B$4,
  _xlpm.Knewscale, Constantes!$B$5,
  _xlpm.ptstables, INDEX(I:I, _xlfn.SEQUENCE(COUNTA($C$2:$C409), 1, 3, 4)),
  _xlpm.nbparties, COUNTA(_xlfn._xlws.FILTER(_xlpm.ptstables, _xlpm.ptstables &lt;&gt; "")),
  _xlpm.coef, _xlpm.K + _xlpm.Knewgain / (_xlpm.Knewscale + _xlpm.nbparties),
  IF(I407="",
    "",
    _xlpm.coef * (I407-I408))
)</f>
        <v/>
      </c>
      <c r="J409" cm="1">
        <f t="array" ref="J409">_xlfn.LET(
  _xlpm.K, Constantes!$B$3,
  _xlpm.Knewgain, Constantes!$B$4,
  _xlpm.Knewscale, Constantes!$B$5,
  _xlpm.ptstables, INDEX(J:J, _xlfn.SEQUENCE(COUNTA($C$2:$C409), 1, 3, 4)),
  _xlpm.nbparties, COUNTA(_xlfn._xlws.FILTER(_xlpm.ptstables, _xlpm.ptstables &lt;&gt; "")),
  _xlpm.coef, _xlpm.K + _xlpm.Knewgain / (_xlpm.Knewscale + _xlpm.nbparties),
  IF(J407="",
    "",
    _xlpm.coef * (J407-J408))
)</f>
        <v>-29.991842497761077</v>
      </c>
      <c r="K409" t="str" cm="1">
        <f t="array" ref="K409">_xlfn.LET(
  _xlpm.K, Constantes!$B$3,
  _xlpm.Knewgain, Constantes!$B$4,
  _xlpm.Knewscale, Constantes!$B$5,
  _xlpm.ptstables, INDEX(K:K, _xlfn.SEQUENCE(COUNTA($C$2:$C409), 1, 3, 4)),
  _xlpm.nbparties, COUNTA(_xlfn._xlws.FILTER(_xlpm.ptstables, _xlpm.ptstables &lt;&gt; "")),
  _xlpm.coef, _xlpm.K + _xlpm.Knewgain / (_xlpm.Knewscale + _xlpm.nbparties),
  IF(K407="",
    "",
    _xlpm.coef * (K407-K408))
)</f>
        <v/>
      </c>
      <c r="L409" t="str" cm="1">
        <f t="array" ref="L409">_xlfn.LET(
  _xlpm.K, Constantes!$B$3,
  _xlpm.Knewgain, Constantes!$B$4,
  _xlpm.Knewscale, Constantes!$B$5,
  _xlpm.ptstables, INDEX(L:L, _xlfn.SEQUENCE(COUNTA($C$2:$C409), 1, 3, 4)),
  _xlpm.nbparties, COUNTA(_xlfn._xlws.FILTER(_xlpm.ptstables, _xlpm.ptstables &lt;&gt; "")),
  _xlpm.coef, _xlpm.K + _xlpm.Knewgain / (_xlpm.Knewscale + _xlpm.nbparties),
  IF(L407="",
    "",
    _xlpm.coef * (L407-L408))
)</f>
        <v/>
      </c>
      <c r="M409" t="str" cm="1">
        <f t="array" ref="M409">_xlfn.LET(
  _xlpm.K, Constantes!$B$3,
  _xlpm.Knewgain, Constantes!$B$4,
  _xlpm.Knewscale, Constantes!$B$5,
  _xlpm.ptstables, INDEX(M:M, _xlfn.SEQUENCE(COUNTA($C$2:$C409), 1, 3, 4)),
  _xlpm.nbparties, COUNTA(_xlfn._xlws.FILTER(_xlpm.ptstables, _xlpm.ptstables &lt;&gt; "")),
  _xlpm.coef, _xlpm.K + _xlpm.Knewgain / (_xlpm.Knewscale + _xlpm.nbparties),
  IF(M407="",
    "",
    _xlpm.coef * (M407-M408))
)</f>
        <v/>
      </c>
      <c r="N409" t="str" cm="1">
        <f t="array" ref="N409">_xlfn.LET(
  _xlpm.K, Constantes!$B$3,
  _xlpm.Knewgain, Constantes!$B$4,
  _xlpm.Knewscale, Constantes!$B$5,
  _xlpm.ptstables, INDEX(N:N, _xlfn.SEQUENCE(COUNTA($C$2:$C409), 1, 3, 4)),
  _xlpm.nbparties, COUNTA(_xlfn._xlws.FILTER(_xlpm.ptstables, _xlpm.ptstables &lt;&gt; "")),
  _xlpm.coef, _xlpm.K + _xlpm.Knewgain / (_xlpm.Knewscale + _xlpm.nbparties),
  IF(N407="",
    "",
    _xlpm.coef * (N407-N408))
)</f>
        <v/>
      </c>
      <c r="O409" t="str" cm="1">
        <f t="array" ref="O409">_xlfn.LET(
  _xlpm.K, Constantes!$B$3,
  _xlpm.Knewgain, Constantes!$B$4,
  _xlpm.Knewscale, Constantes!$B$5,
  _xlpm.ptstables, INDEX(O:O, _xlfn.SEQUENCE(COUNTA($C$2:$C409), 1, 3, 4)),
  _xlpm.nbparties, COUNTA(_xlfn._xlws.FILTER(_xlpm.ptstables, _xlpm.ptstables &lt;&gt; "")),
  _xlpm.coef, _xlpm.K + _xlpm.Knewgain / (_xlpm.Knewscale + _xlpm.nbparties),
  IF(O407="",
    "",
    _xlpm.coef * (O407-O408))
)</f>
        <v/>
      </c>
      <c r="P409" t="str" cm="1">
        <f t="array" ref="P409">_xlfn.LET(
  _xlpm.K, Constantes!$B$3,
  _xlpm.Knewgain, Constantes!$B$4,
  _xlpm.Knewscale, Constantes!$B$5,
  _xlpm.ptstables, INDEX(P:P, _xlfn.SEQUENCE(COUNTA($C$2:$C409), 1, 3, 4)),
  _xlpm.nbparties, COUNTA(_xlfn._xlws.FILTER(_xlpm.ptstables, _xlpm.ptstables &lt;&gt; "")),
  _xlpm.coef, _xlpm.K + _xlpm.Knewgain / (_xlpm.Knewscale + _xlpm.nbparties),
  IF(P407="",
    "",
    _xlpm.coef * (P407-P408))
)</f>
        <v/>
      </c>
      <c r="Q409" t="str" cm="1">
        <f t="array" ref="Q409">_xlfn.LET(
  _xlpm.K, Constantes!$B$3,
  _xlpm.Knewgain, Constantes!$B$4,
  _xlpm.Knewscale, Constantes!$B$5,
  _xlpm.ptstables, INDEX(Q:Q, _xlfn.SEQUENCE(COUNTA($C$2:$C409), 1, 3, 4)),
  _xlpm.nbparties, COUNTA(_xlfn._xlws.FILTER(_xlpm.ptstables, _xlpm.ptstables &lt;&gt; "")),
  _xlpm.coef, _xlpm.K + _xlpm.Knewgain / (_xlpm.Knewscale + _xlpm.nbparties),
  IF(Q407="",
    "",
    _xlpm.coef * (Q407-Q408))
)</f>
        <v/>
      </c>
      <c r="R409" t="str" cm="1">
        <f t="array" ref="R409">_xlfn.LET(
  _xlpm.K, Constantes!$B$3,
  _xlpm.Knewgain, Constantes!$B$4,
  _xlpm.Knewscale, Constantes!$B$5,
  _xlpm.ptstables, INDEX(R:R, _xlfn.SEQUENCE(COUNTA($C$2:$C409), 1, 3, 4)),
  _xlpm.nbparties, COUNTA(_xlfn._xlws.FILTER(_xlpm.ptstables, _xlpm.ptstables &lt;&gt; "")),
  _xlpm.coef, _xlpm.K + _xlpm.Knewgain / (_xlpm.Knewscale + _xlpm.nbparties),
  IF(R407="",
    "",
    _xlpm.coef * (R407-R408))
)</f>
        <v/>
      </c>
      <c r="S409" t="str" cm="1">
        <f t="array" ref="S409">_xlfn.LET(
  _xlpm.K, Constantes!$B$3,
  _xlpm.Knewgain, Constantes!$B$4,
  _xlpm.Knewscale, Constantes!$B$5,
  _xlpm.ptstables, INDEX(S:S, _xlfn.SEQUENCE(COUNTA($C$2:$C409), 1, 3, 4)),
  _xlpm.nbparties, COUNTA(_xlfn._xlws.FILTER(_xlpm.ptstables, _xlpm.ptstables &lt;&gt; "")),
  _xlpm.coef, _xlpm.K + _xlpm.Knewgain / (_xlpm.Knewscale + _xlpm.nbparties),
  IF(S407="",
    "",
    _xlpm.coef * (S407-S408))
)</f>
        <v/>
      </c>
      <c r="T409" t="str" cm="1">
        <f t="array" ref="T409">_xlfn.LET(
  _xlpm.K, Constantes!$B$3,
  _xlpm.Knewgain, Constantes!$B$4,
  _xlpm.Knewscale, Constantes!$B$5,
  _xlpm.ptstables, INDEX(T:T, _xlfn.SEQUENCE(COUNTA($C$2:$C409), 1, 3, 4)),
  _xlpm.nbparties, COUNTA(_xlfn._xlws.FILTER(_xlpm.ptstables, _xlpm.ptstables &lt;&gt; "")),
  _xlpm.coef, _xlpm.K + _xlpm.Knewgain / (_xlpm.Knewscale + _xlpm.nbparties),
  IF(T407="",
    "",
    _xlpm.coef * (T407-T408))
)</f>
        <v/>
      </c>
      <c r="U409" cm="1">
        <f t="array" ref="U409">_xlfn.LET(
  _xlpm.K, Constantes!$B$3,
  _xlpm.Knewgain, Constantes!$B$4,
  _xlpm.Knewscale, Constantes!$B$5,
  _xlpm.ptstables, INDEX(U:U, _xlfn.SEQUENCE(COUNTA($C$2:$C409), 1, 3, 4)),
  _xlpm.nbparties, COUNTA(_xlfn._xlws.FILTER(_xlpm.ptstables, _xlpm.ptstables &lt;&gt; "")),
  _xlpm.coef, _xlpm.K + _xlpm.Knewgain / (_xlpm.Knewscale + _xlpm.nbparties),
  IF(U407="",
    "",
    _xlpm.coef * (U407-U408))
)</f>
        <v>-2.1282667978337257</v>
      </c>
      <c r="V409" t="str" cm="1">
        <f t="array" ref="V409">_xlfn.LET(
  _xlpm.K, Constantes!$B$3,
  _xlpm.Knewgain, Constantes!$B$4,
  _xlpm.Knewscale, Constantes!$B$5,
  _xlpm.ptstables, INDEX(V:V, _xlfn.SEQUENCE(COUNTA($C$2:$C409), 1, 3, 4)),
  _xlpm.nbparties, COUNTA(_xlfn._xlws.FILTER(_xlpm.ptstables, _xlpm.ptstables &lt;&gt; "")),
  _xlpm.coef, _xlpm.K + _xlpm.Knewgain / (_xlpm.Knewscale + _xlpm.nbparties),
  IF(V407="",
    "",
    _xlpm.coef * (V407-V408))
)</f>
        <v/>
      </c>
      <c r="W409" t="str" cm="1">
        <f t="array" ref="W409">_xlfn.LET(
  _xlpm.K, Constantes!$B$3,
  _xlpm.Knewgain, Constantes!$B$4,
  _xlpm.Knewscale, Constantes!$B$5,
  _xlpm.ptstables, INDEX(W:W, _xlfn.SEQUENCE(COUNTA($C$2:$C409), 1, 3, 4)),
  _xlpm.nbparties, COUNTA(_xlfn._xlws.FILTER(_xlpm.ptstables, _xlpm.ptstables &lt;&gt; "")),
  _xlpm.coef, _xlpm.K + _xlpm.Knewgain / (_xlpm.Knewscale + _xlpm.nbparties),
  IF(W407="",
    "",
    _xlpm.coef * (W407-W408))
)</f>
        <v/>
      </c>
      <c r="X409" t="str" cm="1">
        <f t="array" ref="X409">_xlfn.LET(
  _xlpm.K, Constantes!$B$3,
  _xlpm.Knewgain, Constantes!$B$4,
  _xlpm.Knewscale, Constantes!$B$5,
  _xlpm.ptstables, INDEX(X:X, _xlfn.SEQUENCE(COUNTA($C$2:$C409), 1, 3, 4)),
  _xlpm.nbparties, COUNTA(_xlfn._xlws.FILTER(_xlpm.ptstables, _xlpm.ptstables &lt;&gt; "")),
  _xlpm.coef, _xlpm.K + _xlpm.Knewgain / (_xlpm.Knewscale + _xlpm.nbparties),
  IF(X407="",
    "",
    _xlpm.coef * (X407-X408))
)</f>
        <v/>
      </c>
      <c r="Y409" t="str" cm="1">
        <f t="array" ref="Y409">_xlfn.LET(
  _xlpm.K, Constantes!$B$3,
  _xlpm.Knewgain, Constantes!$B$4,
  _xlpm.Knewscale, Constantes!$B$5,
  _xlpm.ptstables, INDEX(Y:Y, _xlfn.SEQUENCE(COUNTA($C$2:$C409), 1, 3, 4)),
  _xlpm.nbparties, COUNTA(_xlfn._xlws.FILTER(_xlpm.ptstables, _xlpm.ptstables &lt;&gt; "")),
  _xlpm.coef, _xlpm.K + _xlpm.Knewgain / (_xlpm.Knewscale + _xlpm.nbparties),
  IF(Y407="",
    "",
    _xlpm.coef * (Y407-Y408))
)</f>
        <v/>
      </c>
      <c r="Z409" t="str" cm="1">
        <f t="array" ref="Z409">_xlfn.LET(
  _xlpm.K, Constantes!$B$3,
  _xlpm.Knewgain, Constantes!$B$4,
  _xlpm.Knewscale, Constantes!$B$5,
  _xlpm.ptstables, INDEX(Z:Z, _xlfn.SEQUENCE(COUNTA($C$2:$C409), 1, 3, 4)),
  _xlpm.nbparties, COUNTA(_xlfn._xlws.FILTER(_xlpm.ptstables, _xlpm.ptstables &lt;&gt; "")),
  _xlpm.coef, _xlpm.K + _xlpm.Knewgain / (_xlpm.Knewscale + _xlpm.nbparties),
  IF(Z407="",
    "",
    _xlpm.coef * (Z407-Z408))
)</f>
        <v/>
      </c>
      <c r="AA409" t="str" cm="1">
        <f t="array" ref="AA409">_xlfn.LET(
  _xlpm.K, Constantes!$B$3,
  _xlpm.Knewgain, Constantes!$B$4,
  _xlpm.Knewscale, Constantes!$B$5,
  _xlpm.ptstables, INDEX(AA:AA, _xlfn.SEQUENCE(COUNTA($C$2:$C409), 1, 3, 4)),
  _xlpm.nbparties, COUNTA(_xlfn._xlws.FILTER(_xlpm.ptstables, _xlpm.ptstables &lt;&gt; "")),
  _xlpm.coef, _xlpm.K + _xlpm.Knewgain / (_xlpm.Knewscale + _xlpm.nbparties),
  IF(AA407="",
    "",
    _xlpm.coef * (AA407-AA408))
)</f>
        <v/>
      </c>
      <c r="AB409" t="str" cm="1">
        <f t="array" ref="AB409">_xlfn.LET(
  _xlpm.K, Constantes!$B$3,
  _xlpm.Knewgain, Constantes!$B$4,
  _xlpm.Knewscale, Constantes!$B$5,
  _xlpm.ptstables, INDEX(AB:AB, _xlfn.SEQUENCE(COUNTA($C$2:$C409), 1, 3, 4)),
  _xlpm.nbparties, COUNTA(_xlfn._xlws.FILTER(_xlpm.ptstables, _xlpm.ptstables &lt;&gt; "")),
  _xlpm.coef, _xlpm.K + _xlpm.Knewgain / (_xlpm.Knewscale + _xlpm.nbparties),
  IF(AB407="",
    "",
    _xlpm.coef * (AB407-AB408))
)</f>
        <v/>
      </c>
      <c r="AC409" cm="1">
        <f t="array" ref="AC409">_xlfn.LET(
  _xlpm.K, Constantes!$B$3,
  _xlpm.Knewgain, Constantes!$B$4,
  _xlpm.Knewscale, Constantes!$B$5,
  _xlpm.ptstables, INDEX(AC:AC, _xlfn.SEQUENCE(COUNTA($C$2:$C409), 1, 3, 4)),
  _xlpm.nbparties, COUNTA(_xlfn._xlws.FILTER(_xlpm.ptstables, _xlpm.ptstables &lt;&gt; "")),
  _xlpm.coef, _xlpm.K + _xlpm.Knewgain / (_xlpm.Knewscale + _xlpm.nbparties),
  IF(AC407="",
    "",
    _xlpm.coef * (AC407-AC408))
)</f>
        <v>-0.91586161933984378</v>
      </c>
      <c r="AD409" t="str" cm="1">
        <f t="array" ref="AD409">_xlfn.LET(
  _xlpm.K, Constantes!$B$3,
  _xlpm.Knewgain, Constantes!$B$4,
  _xlpm.Knewscale, Constantes!$B$5,
  _xlpm.ptstables, INDEX(AD:AD, _xlfn.SEQUENCE(COUNTA($C$2:$C409), 1, 3, 4)),
  _xlpm.nbparties, COUNTA(_xlfn._xlws.FILTER(_xlpm.ptstables, _xlpm.ptstables &lt;&gt; "")),
  _xlpm.coef, _xlpm.K + _xlpm.Knewgain / (_xlpm.Knewscale + _xlpm.nbparties),
  IF(AD407="",
    "",
    _xlpm.coef * (AD407-AD408))
)</f>
        <v/>
      </c>
      <c r="AE409" t="str" cm="1">
        <f t="array" ref="AE409">_xlfn.LET(
  _xlpm.K, Constantes!$B$3,
  _xlpm.Knewgain, Constantes!$B$4,
  _xlpm.Knewscale, Constantes!$B$5,
  _xlpm.ptstables, INDEX(AE:AE, _xlfn.SEQUENCE(COUNTA($C$2:$C409), 1, 3, 4)),
  _xlpm.nbparties, COUNTA(_xlfn._xlws.FILTER(_xlpm.ptstables, _xlpm.ptstables &lt;&gt; "")),
  _xlpm.coef, _xlpm.K + _xlpm.Knewgain / (_xlpm.Knewscale + _xlpm.nbparties),
  IF(AE407="",
    "",
    _xlpm.coef * (AE407-AE408))
)</f>
        <v/>
      </c>
      <c r="AF409" t="str" cm="1">
        <f t="array" ref="AF409">_xlfn.LET(
  _xlpm.K, Constantes!$B$3,
  _xlpm.Knewgain, Constantes!$B$4,
  _xlpm.Knewscale, Constantes!$B$5,
  _xlpm.ptstables, INDEX(AF:AF, _xlfn.SEQUENCE(COUNTA($C$2:$C409), 1, 3, 4)),
  _xlpm.nbparties, COUNTA(_xlfn._xlws.FILTER(_xlpm.ptstables, _xlpm.ptstables &lt;&gt; "")),
  _xlpm.coef, _xlpm.K + _xlpm.Knewgain / (_xlpm.Knewscale + _xlpm.nbparties),
  IF(AF407="",
    "",
    _xlpm.coef * (AF407-AF408))
)</f>
        <v/>
      </c>
      <c r="AG409" t="str" cm="1">
        <f t="array" ref="AG409">_xlfn.LET(
  _xlpm.K, Constantes!$B$3,
  _xlpm.Knewgain, Constantes!$B$4,
  _xlpm.Knewscale, Constantes!$B$5,
  _xlpm.ptstables, INDEX(AG:AG, _xlfn.SEQUENCE(COUNTA($C$2:$C409), 1, 3, 4)),
  _xlpm.nbparties, COUNTA(_xlfn._xlws.FILTER(_xlpm.ptstables, _xlpm.ptstables &lt;&gt; "")),
  _xlpm.coef, _xlpm.K + _xlpm.Knewgain / (_xlpm.Knewscale + _xlpm.nbparties),
  IF(AG407="",
    "",
    _xlpm.coef * (AG407-AG408))
)</f>
        <v/>
      </c>
      <c r="AH409" t="str" cm="1">
        <f t="array" ref="AH409">_xlfn.LET(
  _xlpm.K, Constantes!$B$3,
  _xlpm.Knewgain, Constantes!$B$4,
  _xlpm.Knewscale, Constantes!$B$5,
  _xlpm.ptstables, INDEX(AH:AH, _xlfn.SEQUENCE(COUNTA($C$2:$C409), 1, 3, 4)),
  _xlpm.nbparties, COUNTA(_xlfn._xlws.FILTER(_xlpm.ptstables, _xlpm.ptstables &lt;&gt; "")),
  _xlpm.coef, _xlpm.K + _xlpm.Knewgain / (_xlpm.Knewscale + _xlpm.nbparties),
  IF(AH407="",
    "",
    _xlpm.coef * (AH407-AH408))
)</f>
        <v/>
      </c>
      <c r="AI409" t="str" cm="1">
        <f t="array" ref="AI409">_xlfn.LET(
  _xlpm.K, Constantes!$B$3,
  _xlpm.Knewgain, Constantes!$B$4,
  _xlpm.Knewscale, Constantes!$B$5,
  _xlpm.ptstables, INDEX(AI:AI, _xlfn.SEQUENCE(COUNTA($C$2:$C409), 1, 3, 4)),
  _xlpm.nbparties, COUNTA(_xlfn._xlws.FILTER(_xlpm.ptstables, _xlpm.ptstables &lt;&gt; "")),
  _xlpm.coef, _xlpm.K + _xlpm.Knewgain / (_xlpm.Knewscale + _xlpm.nbparties),
  IF(AI407="",
    "",
    _xlpm.coef * (AI407-AI408))
)</f>
        <v/>
      </c>
      <c r="AJ409" t="str" cm="1">
        <f t="array" ref="AJ409">_xlfn.LET(
  _xlpm.K, Constantes!$B$3,
  _xlpm.Knewgain, Constantes!$B$4,
  _xlpm.Knewscale, Constantes!$B$5,
  _xlpm.ptstables, INDEX(AJ:AJ, _xlfn.SEQUENCE(COUNTA($C$2:$C409), 1, 3, 4)),
  _xlpm.nbparties, COUNTA(_xlfn._xlws.FILTER(_xlpm.ptstables, _xlpm.ptstables &lt;&gt; "")),
  _xlpm.coef, _xlpm.K + _xlpm.Knewgain / (_xlpm.Knewscale + _xlpm.nbparties),
  IF(AJ407="",
    "",
    _xlpm.coef * (AJ407-AJ408))
)</f>
        <v/>
      </c>
      <c r="AK409" t="str" cm="1">
        <f t="array" ref="AK409">_xlfn.LET(
  _xlpm.K, Constantes!$B$3,
  _xlpm.Knewgain, Constantes!$B$4,
  _xlpm.Knewscale, Constantes!$B$5,
  _xlpm.ptstables, INDEX(AK:AK, _xlfn.SEQUENCE(COUNTA($C$2:$C409), 1, 3, 4)),
  _xlpm.nbparties, COUNTA(_xlfn._xlws.FILTER(_xlpm.ptstables, _xlpm.ptstables &lt;&gt; "")),
  _xlpm.coef, _xlpm.K + _xlpm.Knewgain / (_xlpm.Knewscale + _xlpm.nbparties),
  IF(AK407="",
    "",
    _xlpm.coef * (AK407-AK408))
)</f>
        <v/>
      </c>
      <c r="AL409" t="str" cm="1">
        <f t="array" ref="AL409">_xlfn.LET(
  _xlpm.K, Constantes!$B$3,
  _xlpm.Knewgain, Constantes!$B$4,
  _xlpm.Knewscale, Constantes!$B$5,
  _xlpm.ptstables, INDEX(AL:AL, _xlfn.SEQUENCE(COUNTA($C$2:$C409), 1, 3, 4)),
  _xlpm.nbparties, COUNTA(_xlfn._xlws.FILTER(_xlpm.ptstables, _xlpm.ptstables &lt;&gt; "")),
  _xlpm.coef, _xlpm.K + _xlpm.Knewgain / (_xlpm.Knewscale + _xlpm.nbparties),
  IF(AL407="",
    "",
    _xlpm.coef * (AL407-AL408))
)</f>
        <v/>
      </c>
      <c r="AM409" t="str" cm="1">
        <f t="array" ref="AM409">_xlfn.LET(
  _xlpm.K, Constantes!$B$3,
  _xlpm.Knewgain, Constantes!$B$4,
  _xlpm.Knewscale, Constantes!$B$5,
  _xlpm.ptstables, INDEX(AM:AM, _xlfn.SEQUENCE(COUNTA($C$2:$C409), 1, 3, 4)),
  _xlpm.nbparties, COUNTA(_xlfn._xlws.FILTER(_xlpm.ptstables, _xlpm.ptstables &lt;&gt; "")),
  _xlpm.coef, _xlpm.K + _xlpm.Knewgain / (_xlpm.Knewscale + _xlpm.nbparties),
  IF(AM407="",
    "",
    _xlpm.coef * (AM407-AM408))
)</f>
        <v/>
      </c>
    </row>
    <row r="410" spans="1:39" x14ac:dyDescent="0.25">
      <c r="A410" t="s">
        <v>14</v>
      </c>
      <c r="B410" t="str" cm="1">
        <f t="array" ref="B41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102</v>
      </c>
      <c r="C410" s="2" cm="1">
        <f t="array" ref="C410">IF(B410="","",
  INDEX(Donnees!F:F, MATCH(B410, Donnees!F:F, 0)+1))</f>
        <v>45955.886678240742</v>
      </c>
      <c r="D410">
        <f t="shared" ref="D410:AM410" si="110">D406+IF(D409="",0,D409)</f>
        <v>968.82938141395095</v>
      </c>
      <c r="E410">
        <f t="shared" si="110"/>
        <v>1171.5580664774814</v>
      </c>
      <c r="F410">
        <f t="shared" si="110"/>
        <v>911.8835833951041</v>
      </c>
      <c r="G410">
        <f t="shared" si="110"/>
        <v>1061.9525561512175</v>
      </c>
      <c r="H410">
        <f t="shared" si="110"/>
        <v>1121.8561093296914</v>
      </c>
      <c r="I410">
        <f t="shared" si="110"/>
        <v>912.81564332013568</v>
      </c>
      <c r="J410">
        <f t="shared" si="110"/>
        <v>1006.8427449186231</v>
      </c>
      <c r="K410">
        <f t="shared" si="110"/>
        <v>1076.8546837336262</v>
      </c>
      <c r="L410">
        <f t="shared" si="110"/>
        <v>783.12422360152641</v>
      </c>
      <c r="M410">
        <f t="shared" si="110"/>
        <v>874.31051832077719</v>
      </c>
      <c r="N410">
        <f t="shared" si="110"/>
        <v>899.98370646249032</v>
      </c>
      <c r="O410">
        <f t="shared" si="110"/>
        <v>997.04050320786712</v>
      </c>
      <c r="P410">
        <f t="shared" si="110"/>
        <v>987.86278180042575</v>
      </c>
      <c r="Q410">
        <f t="shared" si="110"/>
        <v>1051.0755127018197</v>
      </c>
      <c r="R410">
        <f t="shared" si="110"/>
        <v>1053.036836862696</v>
      </c>
      <c r="S410">
        <f t="shared" si="110"/>
        <v>996.22028389505113</v>
      </c>
      <c r="T410">
        <f t="shared" si="110"/>
        <v>1125.604709757928</v>
      </c>
      <c r="U410">
        <f t="shared" si="110"/>
        <v>1213.7820447144779</v>
      </c>
      <c r="V410">
        <f t="shared" si="110"/>
        <v>969.67171739286073</v>
      </c>
      <c r="W410">
        <f t="shared" si="110"/>
        <v>882.29253769067657</v>
      </c>
      <c r="X410">
        <f t="shared" si="110"/>
        <v>828.97598039785271</v>
      </c>
      <c r="Y410">
        <f t="shared" si="110"/>
        <v>903.14348714035714</v>
      </c>
      <c r="Z410">
        <f t="shared" si="110"/>
        <v>1008.6876849635962</v>
      </c>
      <c r="AA410">
        <f t="shared" si="110"/>
        <v>976.40065260504912</v>
      </c>
      <c r="AB410">
        <f t="shared" si="110"/>
        <v>988.35669729544747</v>
      </c>
      <c r="AC410">
        <f t="shared" si="110"/>
        <v>1016.3093966235007</v>
      </c>
      <c r="AD410">
        <f t="shared" si="110"/>
        <v>1093.8192243082785</v>
      </c>
      <c r="AE410">
        <f t="shared" si="110"/>
        <v>963.23981965000235</v>
      </c>
      <c r="AF410">
        <f t="shared" si="110"/>
        <v>1094.8196847516158</v>
      </c>
      <c r="AG410">
        <f t="shared" si="110"/>
        <v>958.23078604304851</v>
      </c>
      <c r="AH410">
        <f t="shared" si="110"/>
        <v>920.4412636682855</v>
      </c>
      <c r="AI410">
        <f t="shared" si="110"/>
        <v>952.77777395142914</v>
      </c>
      <c r="AJ410">
        <f t="shared" si="110"/>
        <v>906.86354201913434</v>
      </c>
      <c r="AK410">
        <f t="shared" si="110"/>
        <v>1074.0069367206956</v>
      </c>
      <c r="AL410">
        <f t="shared" si="110"/>
        <v>1025.7817971572972</v>
      </c>
      <c r="AM410">
        <f t="shared" si="110"/>
        <v>930.08392160706046</v>
      </c>
    </row>
    <row r="411" spans="1:39" x14ac:dyDescent="0.25">
      <c r="A411" t="s">
        <v>21</v>
      </c>
      <c r="D411" t="str" cm="1">
        <f t="array" ref="D411">IFERROR(
  _xlfn.LET(
    _xlpm.ligpartie, MATCH($B410, Donnees!$F:$F, 0),
    _xlpm.joueurs, INDEX(Donnees!$A:$Z, _xlpm.ligpartie+1, _xlfn.SEQUENCE(1, 4, 2)),
    INDEX(
      Donnees!$A:$Z,
      _xlpm.ligpartie + 3,
      MATCH(D$1, _xlpm.joueurs, 0) + 1
    )
  ), ""
)</f>
        <v/>
      </c>
      <c r="E411" cm="1">
        <f t="array" ref="E411">IFERROR(
  _xlfn.LET(
    _xlpm.ligpartie, MATCH($B410, Donnees!$F:$F, 0),
    _xlpm.joueurs, INDEX(Donnees!$A:$Z, _xlpm.ligpartie+1, _xlfn.SEQUENCE(1, 4, 2)),
    INDEX(
      Donnees!$A:$Z,
      _xlpm.ligpartie + 3,
      MATCH(E$1, _xlpm.joueurs, 0) + 1
    )
  ), ""
)</f>
        <v>3</v>
      </c>
      <c r="F411" t="str" cm="1">
        <f t="array" ref="F411">IFERROR(
  _xlfn.LET(
    _xlpm.ligpartie, MATCH($B410, Donnees!$F:$F, 0),
    _xlpm.joueurs, INDEX(Donnees!$A:$Z, _xlpm.ligpartie+1, _xlfn.SEQUENCE(1, 4, 2)),
    INDEX(
      Donnees!$A:$Z,
      _xlpm.ligpartie + 3,
      MATCH(F$1, _xlpm.joueurs, 0) + 1
    )
  ), ""
)</f>
        <v/>
      </c>
      <c r="G411" t="str" cm="1">
        <f t="array" ref="G411">IFERROR(
  _xlfn.LET(
    _xlpm.ligpartie, MATCH($B410, Donnees!$F:$F, 0),
    _xlpm.joueurs, INDEX(Donnees!$A:$Z, _xlpm.ligpartie+1, _xlfn.SEQUENCE(1, 4, 2)),
    INDEX(
      Donnees!$A:$Z,
      _xlpm.ligpartie + 3,
      MATCH(G$1, _xlpm.joueurs, 0) + 1
    )
  ), ""
)</f>
        <v/>
      </c>
      <c r="H411" t="str" cm="1">
        <f t="array" ref="H411">IFERROR(
  _xlfn.LET(
    _xlpm.ligpartie, MATCH($B410, Donnees!$F:$F, 0),
    _xlpm.joueurs, INDEX(Donnees!$A:$Z, _xlpm.ligpartie+1, _xlfn.SEQUENCE(1, 4, 2)),
    INDEX(
      Donnees!$A:$Z,
      _xlpm.ligpartie + 3,
      MATCH(H$1, _xlpm.joueurs, 0) + 1
    )
  ), ""
)</f>
        <v/>
      </c>
      <c r="I411" t="str" cm="1">
        <f t="array" ref="I411">IFERROR(
  _xlfn.LET(
    _xlpm.ligpartie, MATCH($B410, Donnees!$F:$F, 0),
    _xlpm.joueurs, INDEX(Donnees!$A:$Z, _xlpm.ligpartie+1, _xlfn.SEQUENCE(1, 4, 2)),
    INDEX(
      Donnees!$A:$Z,
      _xlpm.ligpartie + 3,
      MATCH(I$1, _xlpm.joueurs, 0) + 1
    )
  ), ""
)</f>
        <v/>
      </c>
      <c r="J411" cm="1">
        <f t="array" ref="J411">IFERROR(
  _xlfn.LET(
    _xlpm.ligpartie, MATCH($B410, Donnees!$F:$F, 0),
    _xlpm.joueurs, INDEX(Donnees!$A:$Z, _xlpm.ligpartie+1, _xlfn.SEQUENCE(1, 4, 2)),
    INDEX(
      Donnees!$A:$Z,
      _xlpm.ligpartie + 3,
      MATCH(J$1, _xlpm.joueurs, 0) + 1
    )
  ), ""
)</f>
        <v>2</v>
      </c>
      <c r="K411" t="str" cm="1">
        <f t="array" ref="K411">IFERROR(
  _xlfn.LET(
    _xlpm.ligpartie, MATCH($B410, Donnees!$F:$F, 0),
    _xlpm.joueurs, INDEX(Donnees!$A:$Z, _xlpm.ligpartie+1, _xlfn.SEQUENCE(1, 4, 2)),
    INDEX(
      Donnees!$A:$Z,
      _xlpm.ligpartie + 3,
      MATCH(K$1, _xlpm.joueurs, 0) + 1
    )
  ), ""
)</f>
        <v/>
      </c>
      <c r="L411" t="str" cm="1">
        <f t="array" ref="L411">IFERROR(
  _xlfn.LET(
    _xlpm.ligpartie, MATCH($B410, Donnees!$F:$F, 0),
    _xlpm.joueurs, INDEX(Donnees!$A:$Z, _xlpm.ligpartie+1, _xlfn.SEQUENCE(1, 4, 2)),
    INDEX(
      Donnees!$A:$Z,
      _xlpm.ligpartie + 3,
      MATCH(L$1, _xlpm.joueurs, 0) + 1
    )
  ), ""
)</f>
        <v/>
      </c>
      <c r="M411" t="str" cm="1">
        <f t="array" ref="M411">IFERROR(
  _xlfn.LET(
    _xlpm.ligpartie, MATCH($B410, Donnees!$F:$F, 0),
    _xlpm.joueurs, INDEX(Donnees!$A:$Z, _xlpm.ligpartie+1, _xlfn.SEQUENCE(1, 4, 2)),
    INDEX(
      Donnees!$A:$Z,
      _xlpm.ligpartie + 3,
      MATCH(M$1, _xlpm.joueurs, 0) + 1
    )
  ), ""
)</f>
        <v/>
      </c>
      <c r="N411" t="str" cm="1">
        <f t="array" ref="N411">IFERROR(
  _xlfn.LET(
    _xlpm.ligpartie, MATCH($B410, Donnees!$F:$F, 0),
    _xlpm.joueurs, INDEX(Donnees!$A:$Z, _xlpm.ligpartie+1, _xlfn.SEQUENCE(1, 4, 2)),
    INDEX(
      Donnees!$A:$Z,
      _xlpm.ligpartie + 3,
      MATCH(N$1, _xlpm.joueurs, 0) + 1
    )
  ), ""
)</f>
        <v/>
      </c>
      <c r="O411" t="str" cm="1">
        <f t="array" ref="O411">IFERROR(
  _xlfn.LET(
    _xlpm.ligpartie, MATCH($B410, Donnees!$F:$F, 0),
    _xlpm.joueurs, INDEX(Donnees!$A:$Z, _xlpm.ligpartie+1, _xlfn.SEQUENCE(1, 4, 2)),
    INDEX(
      Donnees!$A:$Z,
      _xlpm.ligpartie + 3,
      MATCH(O$1, _xlpm.joueurs, 0) + 1
    )
  ), ""
)</f>
        <v/>
      </c>
      <c r="P411" t="str" cm="1">
        <f t="array" ref="P411">IFERROR(
  _xlfn.LET(
    _xlpm.ligpartie, MATCH($B410, Donnees!$F:$F, 0),
    _xlpm.joueurs, INDEX(Donnees!$A:$Z, _xlpm.ligpartie+1, _xlfn.SEQUENCE(1, 4, 2)),
    INDEX(
      Donnees!$A:$Z,
      _xlpm.ligpartie + 3,
      MATCH(P$1, _xlpm.joueurs, 0) + 1
    )
  ), ""
)</f>
        <v/>
      </c>
      <c r="Q411" t="str" cm="1">
        <f t="array" ref="Q411">IFERROR(
  _xlfn.LET(
    _xlpm.ligpartie, MATCH($B410, Donnees!$F:$F, 0),
    _xlpm.joueurs, INDEX(Donnees!$A:$Z, _xlpm.ligpartie+1, _xlfn.SEQUENCE(1, 4, 2)),
    INDEX(
      Donnees!$A:$Z,
      _xlpm.ligpartie + 3,
      MATCH(Q$1, _xlpm.joueurs, 0) + 1
    )
  ), ""
)</f>
        <v/>
      </c>
      <c r="R411" t="str" cm="1">
        <f t="array" ref="R411">IFERROR(
  _xlfn.LET(
    _xlpm.ligpartie, MATCH($B410, Donnees!$F:$F, 0),
    _xlpm.joueurs, INDEX(Donnees!$A:$Z, _xlpm.ligpartie+1, _xlfn.SEQUENCE(1, 4, 2)),
    INDEX(
      Donnees!$A:$Z,
      _xlpm.ligpartie + 3,
      MATCH(R$1, _xlpm.joueurs, 0) + 1
    )
  ), ""
)</f>
        <v/>
      </c>
      <c r="S411" t="str" cm="1">
        <f t="array" ref="S411">IFERROR(
  _xlfn.LET(
    _xlpm.ligpartie, MATCH($B410, Donnees!$F:$F, 0),
    _xlpm.joueurs, INDEX(Donnees!$A:$Z, _xlpm.ligpartie+1, _xlfn.SEQUENCE(1, 4, 2)),
    INDEX(
      Donnees!$A:$Z,
      _xlpm.ligpartie + 3,
      MATCH(S$1, _xlpm.joueurs, 0) + 1
    )
  ), ""
)</f>
        <v/>
      </c>
      <c r="T411" t="str" cm="1">
        <f t="array" ref="T411">IFERROR(
  _xlfn.LET(
    _xlpm.ligpartie, MATCH($B410, Donnees!$F:$F, 0),
    _xlpm.joueurs, INDEX(Donnees!$A:$Z, _xlpm.ligpartie+1, _xlfn.SEQUENCE(1, 4, 2)),
    INDEX(
      Donnees!$A:$Z,
      _xlpm.ligpartie + 3,
      MATCH(T$1, _xlpm.joueurs, 0) + 1
    )
  ), ""
)</f>
        <v/>
      </c>
      <c r="U411" cm="1">
        <f t="array" ref="U411">IFERROR(
  _xlfn.LET(
    _xlpm.ligpartie, MATCH($B410, Donnees!$F:$F, 0),
    _xlpm.joueurs, INDEX(Donnees!$A:$Z, _xlpm.ligpartie+1, _xlfn.SEQUENCE(1, 4, 2)),
    INDEX(
      Donnees!$A:$Z,
      _xlpm.ligpartie + 3,
      MATCH(U$1, _xlpm.joueurs, 0) + 1
    )
  ), ""
)</f>
        <v>1</v>
      </c>
      <c r="V411" t="str" cm="1">
        <f t="array" ref="V411">IFERROR(
  _xlfn.LET(
    _xlpm.ligpartie, MATCH($B410, Donnees!$F:$F, 0),
    _xlpm.joueurs, INDEX(Donnees!$A:$Z, _xlpm.ligpartie+1, _xlfn.SEQUENCE(1, 4, 2)),
    INDEX(
      Donnees!$A:$Z,
      _xlpm.ligpartie + 3,
      MATCH(V$1, _xlpm.joueurs, 0) + 1
    )
  ), ""
)</f>
        <v/>
      </c>
      <c r="W411" t="str" cm="1">
        <f t="array" ref="W411">IFERROR(
  _xlfn.LET(
    _xlpm.ligpartie, MATCH($B410, Donnees!$F:$F, 0),
    _xlpm.joueurs, INDEX(Donnees!$A:$Z, _xlpm.ligpartie+1, _xlfn.SEQUENCE(1, 4, 2)),
    INDEX(
      Donnees!$A:$Z,
      _xlpm.ligpartie + 3,
      MATCH(W$1, _xlpm.joueurs, 0) + 1
    )
  ), ""
)</f>
        <v/>
      </c>
      <c r="X411" t="str" cm="1">
        <f t="array" ref="X411">IFERROR(
  _xlfn.LET(
    _xlpm.ligpartie, MATCH($B410, Donnees!$F:$F, 0),
    _xlpm.joueurs, INDEX(Donnees!$A:$Z, _xlpm.ligpartie+1, _xlfn.SEQUENCE(1, 4, 2)),
    INDEX(
      Donnees!$A:$Z,
      _xlpm.ligpartie + 3,
      MATCH(X$1, _xlpm.joueurs, 0) + 1
    )
  ), ""
)</f>
        <v/>
      </c>
      <c r="Y411" t="str" cm="1">
        <f t="array" ref="Y411">IFERROR(
  _xlfn.LET(
    _xlpm.ligpartie, MATCH($B410, Donnees!$F:$F, 0),
    _xlpm.joueurs, INDEX(Donnees!$A:$Z, _xlpm.ligpartie+1, _xlfn.SEQUENCE(1, 4, 2)),
    INDEX(
      Donnees!$A:$Z,
      _xlpm.ligpartie + 3,
      MATCH(Y$1, _xlpm.joueurs, 0) + 1
    )
  ), ""
)</f>
        <v/>
      </c>
      <c r="Z411" t="str" cm="1">
        <f t="array" ref="Z411">IFERROR(
  _xlfn.LET(
    _xlpm.ligpartie, MATCH($B410, Donnees!$F:$F, 0),
    _xlpm.joueurs, INDEX(Donnees!$A:$Z, _xlpm.ligpartie+1, _xlfn.SEQUENCE(1, 4, 2)),
    INDEX(
      Donnees!$A:$Z,
      _xlpm.ligpartie + 3,
      MATCH(Z$1, _xlpm.joueurs, 0) + 1
    )
  ), ""
)</f>
        <v/>
      </c>
      <c r="AA411" t="str" cm="1">
        <f t="array" ref="AA411">IFERROR(
  _xlfn.LET(
    _xlpm.ligpartie, MATCH($B410, Donnees!$F:$F, 0),
    _xlpm.joueurs, INDEX(Donnees!$A:$Z, _xlpm.ligpartie+1, _xlfn.SEQUENCE(1, 4, 2)),
    INDEX(
      Donnees!$A:$Z,
      _xlpm.ligpartie + 3,
      MATCH(AA$1, _xlpm.joueurs, 0) + 1
    )
  ), ""
)</f>
        <v/>
      </c>
      <c r="AB411" t="str" cm="1">
        <f t="array" ref="AB411">IFERROR(
  _xlfn.LET(
    _xlpm.ligpartie, MATCH($B410, Donnees!$F:$F, 0),
    _xlpm.joueurs, INDEX(Donnees!$A:$Z, _xlpm.ligpartie+1, _xlfn.SEQUENCE(1, 4, 2)),
    INDEX(
      Donnees!$A:$Z,
      _xlpm.ligpartie + 3,
      MATCH(AB$1, _xlpm.joueurs, 0) + 1
    )
  ), ""
)</f>
        <v/>
      </c>
      <c r="AC411" cm="1">
        <f t="array" ref="AC411">IFERROR(
  _xlfn.LET(
    _xlpm.ligpartie, MATCH($B410, Donnees!$F:$F, 0),
    _xlpm.joueurs, INDEX(Donnees!$A:$Z, _xlpm.ligpartie+1, _xlfn.SEQUENCE(1, 4, 2)),
    INDEX(
      Donnees!$A:$Z,
      _xlpm.ligpartie + 3,
      MATCH(AC$1, _xlpm.joueurs, 0) + 1
    )
  ), ""
)</f>
        <v>0</v>
      </c>
      <c r="AD411" t="str" cm="1">
        <f t="array" ref="AD411">IFERROR(
  _xlfn.LET(
    _xlpm.ligpartie, MATCH($B410, Donnees!$F:$F, 0),
    _xlpm.joueurs, INDEX(Donnees!$A:$Z, _xlpm.ligpartie+1, _xlfn.SEQUENCE(1, 4, 2)),
    INDEX(
      Donnees!$A:$Z,
      _xlpm.ligpartie + 3,
      MATCH(AD$1, _xlpm.joueurs, 0) + 1
    )
  ), ""
)</f>
        <v/>
      </c>
      <c r="AE411" t="str" cm="1">
        <f t="array" ref="AE411">IFERROR(
  _xlfn.LET(
    _xlpm.ligpartie, MATCH($B410, Donnees!$F:$F, 0),
    _xlpm.joueurs, INDEX(Donnees!$A:$Z, _xlpm.ligpartie+1, _xlfn.SEQUENCE(1, 4, 2)),
    INDEX(
      Donnees!$A:$Z,
      _xlpm.ligpartie + 3,
      MATCH(AE$1, _xlpm.joueurs, 0) + 1
    )
  ), ""
)</f>
        <v/>
      </c>
      <c r="AF411" t="str" cm="1">
        <f t="array" ref="AF411">IFERROR(
  _xlfn.LET(
    _xlpm.ligpartie, MATCH($B410, Donnees!$F:$F, 0),
    _xlpm.joueurs, INDEX(Donnees!$A:$Z, _xlpm.ligpartie+1, _xlfn.SEQUENCE(1, 4, 2)),
    INDEX(
      Donnees!$A:$Z,
      _xlpm.ligpartie + 3,
      MATCH(AF$1, _xlpm.joueurs, 0) + 1
    )
  ), ""
)</f>
        <v/>
      </c>
      <c r="AG411" t="str" cm="1">
        <f t="array" ref="AG411">IFERROR(
  _xlfn.LET(
    _xlpm.ligpartie, MATCH($B410, Donnees!$F:$F, 0),
    _xlpm.joueurs, INDEX(Donnees!$A:$Z, _xlpm.ligpartie+1, _xlfn.SEQUENCE(1, 4, 2)),
    INDEX(
      Donnees!$A:$Z,
      _xlpm.ligpartie + 3,
      MATCH(AG$1, _xlpm.joueurs, 0) + 1
    )
  ), ""
)</f>
        <v/>
      </c>
      <c r="AH411" t="str" cm="1">
        <f t="array" ref="AH411">IFERROR(
  _xlfn.LET(
    _xlpm.ligpartie, MATCH($B410, Donnees!$F:$F, 0),
    _xlpm.joueurs, INDEX(Donnees!$A:$Z, _xlpm.ligpartie+1, _xlfn.SEQUENCE(1, 4, 2)),
    INDEX(
      Donnees!$A:$Z,
      _xlpm.ligpartie + 3,
      MATCH(AH$1, _xlpm.joueurs, 0) + 1
    )
  ), ""
)</f>
        <v/>
      </c>
      <c r="AI411" t="str" cm="1">
        <f t="array" ref="AI411">IFERROR(
  _xlfn.LET(
    _xlpm.ligpartie, MATCH($B410, Donnees!$F:$F, 0),
    _xlpm.joueurs, INDEX(Donnees!$A:$Z, _xlpm.ligpartie+1, _xlfn.SEQUENCE(1, 4, 2)),
    INDEX(
      Donnees!$A:$Z,
      _xlpm.ligpartie + 3,
      MATCH(AI$1, _xlpm.joueurs, 0) + 1
    )
  ), ""
)</f>
        <v/>
      </c>
      <c r="AJ411" t="str" cm="1">
        <f t="array" ref="AJ411">IFERROR(
  _xlfn.LET(
    _xlpm.ligpartie, MATCH($B410, Donnees!$F:$F, 0),
    _xlpm.joueurs, INDEX(Donnees!$A:$Z, _xlpm.ligpartie+1, _xlfn.SEQUENCE(1, 4, 2)),
    INDEX(
      Donnees!$A:$Z,
      _xlpm.ligpartie + 3,
      MATCH(AJ$1, _xlpm.joueurs, 0) + 1
    )
  ), ""
)</f>
        <v/>
      </c>
      <c r="AK411" t="str" cm="1">
        <f t="array" ref="AK411">IFERROR(
  _xlfn.LET(
    _xlpm.ligpartie, MATCH($B410, Donnees!$F:$F, 0),
    _xlpm.joueurs, INDEX(Donnees!$A:$Z, _xlpm.ligpartie+1, _xlfn.SEQUENCE(1, 4, 2)),
    INDEX(
      Donnees!$A:$Z,
      _xlpm.ligpartie + 3,
      MATCH(AK$1, _xlpm.joueurs, 0) + 1
    )
  ), ""
)</f>
        <v/>
      </c>
      <c r="AL411" t="str" cm="1">
        <f t="array" ref="AL411">IFERROR(
  _xlfn.LET(
    _xlpm.ligpartie, MATCH($B410, Donnees!$F:$F, 0),
    _xlpm.joueurs, INDEX(Donnees!$A:$Z, _xlpm.ligpartie+1, _xlfn.SEQUENCE(1, 4, 2)),
    INDEX(
      Donnees!$A:$Z,
      _xlpm.ligpartie + 3,
      MATCH(AL$1, _xlpm.joueurs, 0) + 1
    )
  ), ""
)</f>
        <v/>
      </c>
      <c r="AM411" t="str" cm="1">
        <f t="array" ref="AM411">IFERROR(
  _xlfn.LET(
    _xlpm.ligpartie, MATCH($B410, Donnees!$F:$F, 0),
    _xlpm.joueurs, INDEX(Donnees!$A:$Z, _xlpm.ligpartie+1, _xlfn.SEQUENCE(1, 4, 2)),
    INDEX(
      Donnees!$A:$Z,
      _xlpm.ligpartie + 3,
      MATCH(AM$1, _xlpm.joueurs, 0) + 1
    )
  ), ""
)</f>
        <v/>
      </c>
    </row>
    <row r="412" spans="1:39" x14ac:dyDescent="0.25">
      <c r="A412" t="s">
        <v>20</v>
      </c>
      <c r="D412" t="str" cm="1">
        <f t="array" ref="D412">_xlfn.LET(
  _xlpm.colj, _xlfn._xlws.FILTER(IF(ISNUMBER(411:411), COLUMN(411:411)), ISNUMBER(411:411)),
  _xlpm.elos, INDEX(410:410,1,_xlpm.colj),
  _xlpm.diffscale, Constantes!$B$2,
  IF(D411="",
    "",
    SUM(1/(1+POWER(10,-(D410-_xlpm.elos)/_xlpm.diffscale)))-0.5)
)</f>
        <v/>
      </c>
      <c r="E412" cm="1">
        <f t="array" ref="E412">_xlfn.LET(
  _xlpm.colj, _xlfn._xlws.FILTER(IF(ISNUMBER(411:411), COLUMN(411:411)), ISNUMBER(411:411)),
  _xlpm.elos, INDEX(410:410,1,_xlpm.colj),
  _xlpm.diffscale, Constantes!$B$2,
  IF(E411="",
    "",
    SUM(1/(1+POWER(10,-(E410-_xlpm.elos)/_xlpm.diffscale)))-0.5)
)</f>
        <v>1.8699304136037194</v>
      </c>
      <c r="F412" t="str" cm="1">
        <f t="array" ref="F412">_xlfn.LET(
  _xlpm.colj, _xlfn._xlws.FILTER(IF(ISNUMBER(411:411), COLUMN(411:411)), ISNUMBER(411:411)),
  _xlpm.elos, INDEX(410:410,1,_xlpm.colj),
  _xlpm.diffscale, Constantes!$B$2,
  IF(F411="",
    "",
    SUM(1/(1+POWER(10,-(F410-_xlpm.elos)/_xlpm.diffscale)))-0.5)
)</f>
        <v/>
      </c>
      <c r="G412" t="str" cm="1">
        <f t="array" ref="G412">_xlfn.LET(
  _xlpm.colj, _xlfn._xlws.FILTER(IF(ISNUMBER(411:411), COLUMN(411:411)), ISNUMBER(411:411)),
  _xlpm.elos, INDEX(410:410,1,_xlpm.colj),
  _xlpm.diffscale, Constantes!$B$2,
  IF(G411="",
    "",
    SUM(1/(1+POWER(10,-(G410-_xlpm.elos)/_xlpm.diffscale)))-0.5)
)</f>
        <v/>
      </c>
      <c r="H412" t="str" cm="1">
        <f t="array" ref="H412">_xlfn.LET(
  _xlpm.colj, _xlfn._xlws.FILTER(IF(ISNUMBER(411:411), COLUMN(411:411)), ISNUMBER(411:411)),
  _xlpm.elos, INDEX(410:410,1,_xlpm.colj),
  _xlpm.diffscale, Constantes!$B$2,
  IF(H411="",
    "",
    SUM(1/(1+POWER(10,-(H410-_xlpm.elos)/_xlpm.diffscale)))-0.5)
)</f>
        <v/>
      </c>
      <c r="I412" t="str" cm="1">
        <f t="array" ref="I412">_xlfn.LET(
  _xlpm.colj, _xlfn._xlws.FILTER(IF(ISNUMBER(411:411), COLUMN(411:411)), ISNUMBER(411:411)),
  _xlpm.elos, INDEX(410:410,1,_xlpm.colj),
  _xlpm.diffscale, Constantes!$B$2,
  IF(I411="",
    "",
    SUM(1/(1+POWER(10,-(I410-_xlpm.elos)/_xlpm.diffscale)))-0.5)
)</f>
        <v/>
      </c>
      <c r="J412" cm="1">
        <f t="array" ref="J412">_xlfn.LET(
  _xlpm.colj, _xlfn._xlws.FILTER(IF(ISNUMBER(411:411), COLUMN(411:411)), ISNUMBER(411:411)),
  _xlpm.elos, INDEX(410:410,1,_xlpm.colj),
  _xlpm.diffscale, Constantes!$B$2,
  IF(J411="",
    "",
    SUM(1/(1+POWER(10,-(J410-_xlpm.elos)/_xlpm.diffscale)))-0.5)
)</f>
        <v>0.99866875841901415</v>
      </c>
      <c r="K412" t="str" cm="1">
        <f t="array" ref="K412">_xlfn.LET(
  _xlpm.colj, _xlfn._xlws.FILTER(IF(ISNUMBER(411:411), COLUMN(411:411)), ISNUMBER(411:411)),
  _xlpm.elos, INDEX(410:410,1,_xlpm.colj),
  _xlpm.diffscale, Constantes!$B$2,
  IF(K411="",
    "",
    SUM(1/(1+POWER(10,-(K410-_xlpm.elos)/_xlpm.diffscale)))-0.5)
)</f>
        <v/>
      </c>
      <c r="L412" t="str" cm="1">
        <f t="array" ref="L412">_xlfn.LET(
  _xlpm.colj, _xlfn._xlws.FILTER(IF(ISNUMBER(411:411), COLUMN(411:411)), ISNUMBER(411:411)),
  _xlpm.elos, INDEX(410:410,1,_xlpm.colj),
  _xlpm.diffscale, Constantes!$B$2,
  IF(L411="",
    "",
    SUM(1/(1+POWER(10,-(L410-_xlpm.elos)/_xlpm.diffscale)))-0.5)
)</f>
        <v/>
      </c>
      <c r="M412" t="str" cm="1">
        <f t="array" ref="M412">_xlfn.LET(
  _xlpm.colj, _xlfn._xlws.FILTER(IF(ISNUMBER(411:411), COLUMN(411:411)), ISNUMBER(411:411)),
  _xlpm.elos, INDEX(410:410,1,_xlpm.colj),
  _xlpm.diffscale, Constantes!$B$2,
  IF(M411="",
    "",
    SUM(1/(1+POWER(10,-(M410-_xlpm.elos)/_xlpm.diffscale)))-0.5)
)</f>
        <v/>
      </c>
      <c r="N412" t="str" cm="1">
        <f t="array" ref="N412">_xlfn.LET(
  _xlpm.colj, _xlfn._xlws.FILTER(IF(ISNUMBER(411:411), COLUMN(411:411)), ISNUMBER(411:411)),
  _xlpm.elos, INDEX(410:410,1,_xlpm.colj),
  _xlpm.diffscale, Constantes!$B$2,
  IF(N411="",
    "",
    SUM(1/(1+POWER(10,-(N410-_xlpm.elos)/_xlpm.diffscale)))-0.5)
)</f>
        <v/>
      </c>
      <c r="O412" t="str" cm="1">
        <f t="array" ref="O412">_xlfn.LET(
  _xlpm.colj, _xlfn._xlws.FILTER(IF(ISNUMBER(411:411), COLUMN(411:411)), ISNUMBER(411:411)),
  _xlpm.elos, INDEX(410:410,1,_xlpm.colj),
  _xlpm.diffscale, Constantes!$B$2,
  IF(O411="",
    "",
    SUM(1/(1+POWER(10,-(O410-_xlpm.elos)/_xlpm.diffscale)))-0.5)
)</f>
        <v/>
      </c>
      <c r="P412" t="str" cm="1">
        <f t="array" ref="P412">_xlfn.LET(
  _xlpm.colj, _xlfn._xlws.FILTER(IF(ISNUMBER(411:411), COLUMN(411:411)), ISNUMBER(411:411)),
  _xlpm.elos, INDEX(410:410,1,_xlpm.colj),
  _xlpm.diffscale, Constantes!$B$2,
  IF(P411="",
    "",
    SUM(1/(1+POWER(10,-(P410-_xlpm.elos)/_xlpm.diffscale)))-0.5)
)</f>
        <v/>
      </c>
      <c r="Q412" t="str" cm="1">
        <f t="array" ref="Q412">_xlfn.LET(
  _xlpm.colj, _xlfn._xlws.FILTER(IF(ISNUMBER(411:411), COLUMN(411:411)), ISNUMBER(411:411)),
  _xlpm.elos, INDEX(410:410,1,_xlpm.colj),
  _xlpm.diffscale, Constantes!$B$2,
  IF(Q411="",
    "",
    SUM(1/(1+POWER(10,-(Q410-_xlpm.elos)/_xlpm.diffscale)))-0.5)
)</f>
        <v/>
      </c>
      <c r="R412" t="str" cm="1">
        <f t="array" ref="R412">_xlfn.LET(
  _xlpm.colj, _xlfn._xlws.FILTER(IF(ISNUMBER(411:411), COLUMN(411:411)), ISNUMBER(411:411)),
  _xlpm.elos, INDEX(410:410,1,_xlpm.colj),
  _xlpm.diffscale, Constantes!$B$2,
  IF(R411="",
    "",
    SUM(1/(1+POWER(10,-(R410-_xlpm.elos)/_xlpm.diffscale)))-0.5)
)</f>
        <v/>
      </c>
      <c r="S412" t="str" cm="1">
        <f t="array" ref="S412">_xlfn.LET(
  _xlpm.colj, _xlfn._xlws.FILTER(IF(ISNUMBER(411:411), COLUMN(411:411)), ISNUMBER(411:411)),
  _xlpm.elos, INDEX(410:410,1,_xlpm.colj),
  _xlpm.diffscale, Constantes!$B$2,
  IF(S411="",
    "",
    SUM(1/(1+POWER(10,-(S410-_xlpm.elos)/_xlpm.diffscale)))-0.5)
)</f>
        <v/>
      </c>
      <c r="T412" t="str" cm="1">
        <f t="array" ref="T412">_xlfn.LET(
  _xlpm.colj, _xlfn._xlws.FILTER(IF(ISNUMBER(411:411), COLUMN(411:411)), ISNUMBER(411:411)),
  _xlpm.elos, INDEX(410:410,1,_xlpm.colj),
  _xlpm.diffscale, Constantes!$B$2,
  IF(T411="",
    "",
    SUM(1/(1+POWER(10,-(T410-_xlpm.elos)/_xlpm.diffscale)))-0.5)
)</f>
        <v/>
      </c>
      <c r="U412" cm="1">
        <f t="array" ref="U412">_xlfn.LET(
  _xlpm.colj, _xlfn._xlws.FILTER(IF(ISNUMBER(411:411), COLUMN(411:411)), ISNUMBER(411:411)),
  _xlpm.elos, INDEX(410:410,1,_xlpm.colj),
  _xlpm.diffscale, Constantes!$B$2,
  IF(U411="",
    "",
    SUM(1/(1+POWER(10,-(U410-_xlpm.elos)/_xlpm.diffscale)))-0.5)
)</f>
        <v>2.084511579263193</v>
      </c>
      <c r="V412" t="str" cm="1">
        <f t="array" ref="V412">_xlfn.LET(
  _xlpm.colj, _xlfn._xlws.FILTER(IF(ISNUMBER(411:411), COLUMN(411:411)), ISNUMBER(411:411)),
  _xlpm.elos, INDEX(410:410,1,_xlpm.colj),
  _xlpm.diffscale, Constantes!$B$2,
  IF(V411="",
    "",
    SUM(1/(1+POWER(10,-(V410-_xlpm.elos)/_xlpm.diffscale)))-0.5)
)</f>
        <v/>
      </c>
      <c r="W412" t="str" cm="1">
        <f t="array" ref="W412">_xlfn.LET(
  _xlpm.colj, _xlfn._xlws.FILTER(IF(ISNUMBER(411:411), COLUMN(411:411)), ISNUMBER(411:411)),
  _xlpm.elos, INDEX(410:410,1,_xlpm.colj),
  _xlpm.diffscale, Constantes!$B$2,
  IF(W411="",
    "",
    SUM(1/(1+POWER(10,-(W410-_xlpm.elos)/_xlpm.diffscale)))-0.5)
)</f>
        <v/>
      </c>
      <c r="X412" t="str" cm="1">
        <f t="array" ref="X412">_xlfn.LET(
  _xlpm.colj, _xlfn._xlws.FILTER(IF(ISNUMBER(411:411), COLUMN(411:411)), ISNUMBER(411:411)),
  _xlpm.elos, INDEX(410:410,1,_xlpm.colj),
  _xlpm.diffscale, Constantes!$B$2,
  IF(X411="",
    "",
    SUM(1/(1+POWER(10,-(X410-_xlpm.elos)/_xlpm.diffscale)))-0.5)
)</f>
        <v/>
      </c>
      <c r="Y412" t="str" cm="1">
        <f t="array" ref="Y412">_xlfn.LET(
  _xlpm.colj, _xlfn._xlws.FILTER(IF(ISNUMBER(411:411), COLUMN(411:411)), ISNUMBER(411:411)),
  _xlpm.elos, INDEX(410:410,1,_xlpm.colj),
  _xlpm.diffscale, Constantes!$B$2,
  IF(Y411="",
    "",
    SUM(1/(1+POWER(10,-(Y410-_xlpm.elos)/_xlpm.diffscale)))-0.5)
)</f>
        <v/>
      </c>
      <c r="Z412" t="str" cm="1">
        <f t="array" ref="Z412">_xlfn.LET(
  _xlpm.colj, _xlfn._xlws.FILTER(IF(ISNUMBER(411:411), COLUMN(411:411)), ISNUMBER(411:411)),
  _xlpm.elos, INDEX(410:410,1,_xlpm.colj),
  _xlpm.diffscale, Constantes!$B$2,
  IF(Z411="",
    "",
    SUM(1/(1+POWER(10,-(Z410-_xlpm.elos)/_xlpm.diffscale)))-0.5)
)</f>
        <v/>
      </c>
      <c r="AA412" t="str" cm="1">
        <f t="array" ref="AA412">_xlfn.LET(
  _xlpm.colj, _xlfn._xlws.FILTER(IF(ISNUMBER(411:411), COLUMN(411:411)), ISNUMBER(411:411)),
  _xlpm.elos, INDEX(410:410,1,_xlpm.colj),
  _xlpm.diffscale, Constantes!$B$2,
  IF(AA411="",
    "",
    SUM(1/(1+POWER(10,-(AA410-_xlpm.elos)/_xlpm.diffscale)))-0.5)
)</f>
        <v/>
      </c>
      <c r="AB412" t="str" cm="1">
        <f t="array" ref="AB412">_xlfn.LET(
  _xlpm.colj, _xlfn._xlws.FILTER(IF(ISNUMBER(411:411), COLUMN(411:411)), ISNUMBER(411:411)),
  _xlpm.elos, INDEX(410:410,1,_xlpm.colj),
  _xlpm.diffscale, Constantes!$B$2,
  IF(AB411="",
    "",
    SUM(1/(1+POWER(10,-(AB410-_xlpm.elos)/_xlpm.diffscale)))-0.5)
)</f>
        <v/>
      </c>
      <c r="AC412" cm="1">
        <f t="array" ref="AC412">_xlfn.LET(
  _xlpm.colj, _xlfn._xlws.FILTER(IF(ISNUMBER(411:411), COLUMN(411:411)), ISNUMBER(411:411)),
  _xlpm.elos, INDEX(410:410,1,_xlpm.colj),
  _xlpm.diffscale, Constantes!$B$2,
  IF(AC411="",
    "",
    SUM(1/(1+POWER(10,-(AC410-_xlpm.elos)/_xlpm.diffscale)))-0.5)
)</f>
        <v>1.0468892487140737</v>
      </c>
      <c r="AD412" t="str" cm="1">
        <f t="array" ref="AD412">_xlfn.LET(
  _xlpm.colj, _xlfn._xlws.FILTER(IF(ISNUMBER(411:411), COLUMN(411:411)), ISNUMBER(411:411)),
  _xlpm.elos, INDEX(410:410,1,_xlpm.colj),
  _xlpm.diffscale, Constantes!$B$2,
  IF(AD411="",
    "",
    SUM(1/(1+POWER(10,-(AD410-_xlpm.elos)/_xlpm.diffscale)))-0.5)
)</f>
        <v/>
      </c>
      <c r="AE412" t="str" cm="1">
        <f t="array" ref="AE412">_xlfn.LET(
  _xlpm.colj, _xlfn._xlws.FILTER(IF(ISNUMBER(411:411), COLUMN(411:411)), ISNUMBER(411:411)),
  _xlpm.elos, INDEX(410:410,1,_xlpm.colj),
  _xlpm.diffscale, Constantes!$B$2,
  IF(AE411="",
    "",
    SUM(1/(1+POWER(10,-(AE410-_xlpm.elos)/_xlpm.diffscale)))-0.5)
)</f>
        <v/>
      </c>
      <c r="AF412" t="str" cm="1">
        <f t="array" ref="AF412">_xlfn.LET(
  _xlpm.colj, _xlfn._xlws.FILTER(IF(ISNUMBER(411:411), COLUMN(411:411)), ISNUMBER(411:411)),
  _xlpm.elos, INDEX(410:410,1,_xlpm.colj),
  _xlpm.diffscale, Constantes!$B$2,
  IF(AF411="",
    "",
    SUM(1/(1+POWER(10,-(AF410-_xlpm.elos)/_xlpm.diffscale)))-0.5)
)</f>
        <v/>
      </c>
      <c r="AG412" t="str" cm="1">
        <f t="array" ref="AG412">_xlfn.LET(
  _xlpm.colj, _xlfn._xlws.FILTER(IF(ISNUMBER(411:411), COLUMN(411:411)), ISNUMBER(411:411)),
  _xlpm.elos, INDEX(410:410,1,_xlpm.colj),
  _xlpm.diffscale, Constantes!$B$2,
  IF(AG411="",
    "",
    SUM(1/(1+POWER(10,-(AG410-_xlpm.elos)/_xlpm.diffscale)))-0.5)
)</f>
        <v/>
      </c>
      <c r="AH412" t="str" cm="1">
        <f t="array" ref="AH412">_xlfn.LET(
  _xlpm.colj, _xlfn._xlws.FILTER(IF(ISNUMBER(411:411), COLUMN(411:411)), ISNUMBER(411:411)),
  _xlpm.elos, INDEX(410:410,1,_xlpm.colj),
  _xlpm.diffscale, Constantes!$B$2,
  IF(AH411="",
    "",
    SUM(1/(1+POWER(10,-(AH410-_xlpm.elos)/_xlpm.diffscale)))-0.5)
)</f>
        <v/>
      </c>
      <c r="AI412" t="str" cm="1">
        <f t="array" ref="AI412">_xlfn.LET(
  _xlpm.colj, _xlfn._xlws.FILTER(IF(ISNUMBER(411:411), COLUMN(411:411)), ISNUMBER(411:411)),
  _xlpm.elos, INDEX(410:410,1,_xlpm.colj),
  _xlpm.diffscale, Constantes!$B$2,
  IF(AI411="",
    "",
    SUM(1/(1+POWER(10,-(AI410-_xlpm.elos)/_xlpm.diffscale)))-0.5)
)</f>
        <v/>
      </c>
      <c r="AJ412" t="str" cm="1">
        <f t="array" ref="AJ412">_xlfn.LET(
  _xlpm.colj, _xlfn._xlws.FILTER(IF(ISNUMBER(411:411), COLUMN(411:411)), ISNUMBER(411:411)),
  _xlpm.elos, INDEX(410:410,1,_xlpm.colj),
  _xlpm.diffscale, Constantes!$B$2,
  IF(AJ411="",
    "",
    SUM(1/(1+POWER(10,-(AJ410-_xlpm.elos)/_xlpm.diffscale)))-0.5)
)</f>
        <v/>
      </c>
      <c r="AK412" t="str" cm="1">
        <f t="array" ref="AK412">_xlfn.LET(
  _xlpm.colj, _xlfn._xlws.FILTER(IF(ISNUMBER(411:411), COLUMN(411:411)), ISNUMBER(411:411)),
  _xlpm.elos, INDEX(410:410,1,_xlpm.colj),
  _xlpm.diffscale, Constantes!$B$2,
  IF(AK411="",
    "",
    SUM(1/(1+POWER(10,-(AK410-_xlpm.elos)/_xlpm.diffscale)))-0.5)
)</f>
        <v/>
      </c>
      <c r="AL412" t="str" cm="1">
        <f t="array" ref="AL412">_xlfn.LET(
  _xlpm.colj, _xlfn._xlws.FILTER(IF(ISNUMBER(411:411), COLUMN(411:411)), ISNUMBER(411:411)),
  _xlpm.elos, INDEX(410:410,1,_xlpm.colj),
  _xlpm.diffscale, Constantes!$B$2,
  IF(AL411="",
    "",
    SUM(1/(1+POWER(10,-(AL410-_xlpm.elos)/_xlpm.diffscale)))-0.5)
)</f>
        <v/>
      </c>
      <c r="AM412" t="str" cm="1">
        <f t="array" ref="AM412">_xlfn.LET(
  _xlpm.colj, _xlfn._xlws.FILTER(IF(ISNUMBER(411:411), COLUMN(411:411)), ISNUMBER(411:411)),
  _xlpm.elos, INDEX(410:410,1,_xlpm.colj),
  _xlpm.diffscale, Constantes!$B$2,
  IF(AM411="",
    "",
    SUM(1/(1+POWER(10,-(AM410-_xlpm.elos)/_xlpm.diffscale)))-0.5)
)</f>
        <v/>
      </c>
    </row>
    <row r="413" spans="1:39" x14ac:dyDescent="0.25">
      <c r="A413" t="s">
        <v>22</v>
      </c>
      <c r="D413" t="str" cm="1">
        <f t="array" ref="D413">_xlfn.LET(
  _xlpm.K, Constantes!$B$3,
  _xlpm.Knewgain, Constantes!$B$4,
  _xlpm.Knewscale, Constantes!$B$5,
  _xlpm.ptstables, INDEX(D:D, _xlfn.SEQUENCE(COUNTA($C$2:$C413), 1, 3, 4)),
  _xlpm.nbparties, COUNTA(_xlfn._xlws.FILTER(_xlpm.ptstables, _xlpm.ptstables &lt;&gt; "")),
  _xlpm.coef, _xlpm.K + _xlpm.Knewgain / (_xlpm.Knewscale + _xlpm.nbparties),
  IF(D411="",
    "",
    _xlpm.coef * (D411-D412))
)</f>
        <v/>
      </c>
      <c r="E413" cm="1">
        <f t="array" ref="E413">_xlfn.LET(
  _xlpm.K, Constantes!$B$3,
  _xlpm.Knewgain, Constantes!$B$4,
  _xlpm.Knewscale, Constantes!$B$5,
  _xlpm.ptstables, INDEX(E:E, _xlfn.SEQUENCE(COUNTA($C$2:$C413), 1, 3, 4)),
  _xlpm.nbparties, COUNTA(_xlfn._xlws.FILTER(_xlpm.ptstables, _xlpm.ptstables &lt;&gt; "")),
  _xlpm.coef, _xlpm.K + _xlpm.Knewgain / (_xlpm.Knewscale + _xlpm.nbparties),
  IF(E411="",
    "",
    _xlpm.coef * (E411-E412))
)</f>
        <v>24.861530900718172</v>
      </c>
      <c r="F413" t="str" cm="1">
        <f t="array" ref="F413">_xlfn.LET(
  _xlpm.K, Constantes!$B$3,
  _xlpm.Knewgain, Constantes!$B$4,
  _xlpm.Knewscale, Constantes!$B$5,
  _xlpm.ptstables, INDEX(F:F, _xlfn.SEQUENCE(COUNTA($C$2:$C413), 1, 3, 4)),
  _xlpm.nbparties, COUNTA(_xlfn._xlws.FILTER(_xlpm.ptstables, _xlpm.ptstables &lt;&gt; "")),
  _xlpm.coef, _xlpm.K + _xlpm.Knewgain / (_xlpm.Knewscale + _xlpm.nbparties),
  IF(F411="",
    "",
    _xlpm.coef * (F411-F412))
)</f>
        <v/>
      </c>
      <c r="G413" t="str" cm="1">
        <f t="array" ref="G413">_xlfn.LET(
  _xlpm.K, Constantes!$B$3,
  _xlpm.Knewgain, Constantes!$B$4,
  _xlpm.Knewscale, Constantes!$B$5,
  _xlpm.ptstables, INDEX(G:G, _xlfn.SEQUENCE(COUNTA($C$2:$C413), 1, 3, 4)),
  _xlpm.nbparties, COUNTA(_xlfn._xlws.FILTER(_xlpm.ptstables, _xlpm.ptstables &lt;&gt; "")),
  _xlpm.coef, _xlpm.K + _xlpm.Knewgain / (_xlpm.Knewscale + _xlpm.nbparties),
  IF(G411="",
    "",
    _xlpm.coef * (G411-G412))
)</f>
        <v/>
      </c>
      <c r="H413" t="str" cm="1">
        <f t="array" ref="H413">_xlfn.LET(
  _xlpm.K, Constantes!$B$3,
  _xlpm.Knewgain, Constantes!$B$4,
  _xlpm.Knewscale, Constantes!$B$5,
  _xlpm.ptstables, INDEX(H:H, _xlfn.SEQUENCE(COUNTA($C$2:$C413), 1, 3, 4)),
  _xlpm.nbparties, COUNTA(_xlfn._xlws.FILTER(_xlpm.ptstables, _xlpm.ptstables &lt;&gt; "")),
  _xlpm.coef, _xlpm.K + _xlpm.Knewgain / (_xlpm.Knewscale + _xlpm.nbparties),
  IF(H411="",
    "",
    _xlpm.coef * (H411-H412))
)</f>
        <v/>
      </c>
      <c r="I413" t="str" cm="1">
        <f t="array" ref="I413">_xlfn.LET(
  _xlpm.K, Constantes!$B$3,
  _xlpm.Knewgain, Constantes!$B$4,
  _xlpm.Knewscale, Constantes!$B$5,
  _xlpm.ptstables, INDEX(I:I, _xlfn.SEQUENCE(COUNTA($C$2:$C413), 1, 3, 4)),
  _xlpm.nbparties, COUNTA(_xlfn._xlws.FILTER(_xlpm.ptstables, _xlpm.ptstables &lt;&gt; "")),
  _xlpm.coef, _xlpm.K + _xlpm.Knewgain / (_xlpm.Knewscale + _xlpm.nbparties),
  IF(I411="",
    "",
    _xlpm.coef * (I411-I412))
)</f>
        <v/>
      </c>
      <c r="J413" cm="1">
        <f t="array" ref="J413">_xlfn.LET(
  _xlpm.K, Constantes!$B$3,
  _xlpm.Knewgain, Constantes!$B$4,
  _xlpm.Knewscale, Constantes!$B$5,
  _xlpm.ptstables, INDEX(J:J, _xlfn.SEQUENCE(COUNTA($C$2:$C413), 1, 3, 4)),
  _xlpm.nbparties, COUNTA(_xlfn._xlws.FILTER(_xlpm.ptstables, _xlpm.ptstables &lt;&gt; "")),
  _xlpm.coef, _xlpm.K + _xlpm.Knewgain / (_xlpm.Knewscale + _xlpm.nbparties),
  IF(J411="",
    "",
    _xlpm.coef * (J411-J412))
)</f>
        <v>25.589576173736308</v>
      </c>
      <c r="K413" t="str" cm="1">
        <f t="array" ref="K413">_xlfn.LET(
  _xlpm.K, Constantes!$B$3,
  _xlpm.Knewgain, Constantes!$B$4,
  _xlpm.Knewscale, Constantes!$B$5,
  _xlpm.ptstables, INDEX(K:K, _xlfn.SEQUENCE(COUNTA($C$2:$C413), 1, 3, 4)),
  _xlpm.nbparties, COUNTA(_xlfn._xlws.FILTER(_xlpm.ptstables, _xlpm.ptstables &lt;&gt; "")),
  _xlpm.coef, _xlpm.K + _xlpm.Knewgain / (_xlpm.Knewscale + _xlpm.nbparties),
  IF(K411="",
    "",
    _xlpm.coef * (K411-K412))
)</f>
        <v/>
      </c>
      <c r="L413" t="str" cm="1">
        <f t="array" ref="L413">_xlfn.LET(
  _xlpm.K, Constantes!$B$3,
  _xlpm.Knewgain, Constantes!$B$4,
  _xlpm.Knewscale, Constantes!$B$5,
  _xlpm.ptstables, INDEX(L:L, _xlfn.SEQUENCE(COUNTA($C$2:$C413), 1, 3, 4)),
  _xlpm.nbparties, COUNTA(_xlfn._xlws.FILTER(_xlpm.ptstables, _xlpm.ptstables &lt;&gt; "")),
  _xlpm.coef, _xlpm.K + _xlpm.Knewgain / (_xlpm.Knewscale + _xlpm.nbparties),
  IF(L411="",
    "",
    _xlpm.coef * (L411-L412))
)</f>
        <v/>
      </c>
      <c r="M413" t="str" cm="1">
        <f t="array" ref="M413">_xlfn.LET(
  _xlpm.K, Constantes!$B$3,
  _xlpm.Knewgain, Constantes!$B$4,
  _xlpm.Knewscale, Constantes!$B$5,
  _xlpm.ptstables, INDEX(M:M, _xlfn.SEQUENCE(COUNTA($C$2:$C413), 1, 3, 4)),
  _xlpm.nbparties, COUNTA(_xlfn._xlws.FILTER(_xlpm.ptstables, _xlpm.ptstables &lt;&gt; "")),
  _xlpm.coef, _xlpm.K + _xlpm.Knewgain / (_xlpm.Knewscale + _xlpm.nbparties),
  IF(M411="",
    "",
    _xlpm.coef * (M411-M412))
)</f>
        <v/>
      </c>
      <c r="N413" t="str" cm="1">
        <f t="array" ref="N413">_xlfn.LET(
  _xlpm.K, Constantes!$B$3,
  _xlpm.Knewgain, Constantes!$B$4,
  _xlpm.Knewscale, Constantes!$B$5,
  _xlpm.ptstables, INDEX(N:N, _xlfn.SEQUENCE(COUNTA($C$2:$C413), 1, 3, 4)),
  _xlpm.nbparties, COUNTA(_xlfn._xlws.FILTER(_xlpm.ptstables, _xlpm.ptstables &lt;&gt; "")),
  _xlpm.coef, _xlpm.K + _xlpm.Knewgain / (_xlpm.Knewscale + _xlpm.nbparties),
  IF(N411="",
    "",
    _xlpm.coef * (N411-N412))
)</f>
        <v/>
      </c>
      <c r="O413" t="str" cm="1">
        <f t="array" ref="O413">_xlfn.LET(
  _xlpm.K, Constantes!$B$3,
  _xlpm.Knewgain, Constantes!$B$4,
  _xlpm.Knewscale, Constantes!$B$5,
  _xlpm.ptstables, INDEX(O:O, _xlfn.SEQUENCE(COUNTA($C$2:$C413), 1, 3, 4)),
  _xlpm.nbparties, COUNTA(_xlfn._xlws.FILTER(_xlpm.ptstables, _xlpm.ptstables &lt;&gt; "")),
  _xlpm.coef, _xlpm.K + _xlpm.Knewgain / (_xlpm.Knewscale + _xlpm.nbparties),
  IF(O411="",
    "",
    _xlpm.coef * (O411-O412))
)</f>
        <v/>
      </c>
      <c r="P413" t="str" cm="1">
        <f t="array" ref="P413">_xlfn.LET(
  _xlpm.K, Constantes!$B$3,
  _xlpm.Knewgain, Constantes!$B$4,
  _xlpm.Knewscale, Constantes!$B$5,
  _xlpm.ptstables, INDEX(P:P, _xlfn.SEQUENCE(COUNTA($C$2:$C413), 1, 3, 4)),
  _xlpm.nbparties, COUNTA(_xlfn._xlws.FILTER(_xlpm.ptstables, _xlpm.ptstables &lt;&gt; "")),
  _xlpm.coef, _xlpm.K + _xlpm.Knewgain / (_xlpm.Knewscale + _xlpm.nbparties),
  IF(P411="",
    "",
    _xlpm.coef * (P411-P412))
)</f>
        <v/>
      </c>
      <c r="Q413" t="str" cm="1">
        <f t="array" ref="Q413">_xlfn.LET(
  _xlpm.K, Constantes!$B$3,
  _xlpm.Knewgain, Constantes!$B$4,
  _xlpm.Knewscale, Constantes!$B$5,
  _xlpm.ptstables, INDEX(Q:Q, _xlfn.SEQUENCE(COUNTA($C$2:$C413), 1, 3, 4)),
  _xlpm.nbparties, COUNTA(_xlfn._xlws.FILTER(_xlpm.ptstables, _xlpm.ptstables &lt;&gt; "")),
  _xlpm.coef, _xlpm.K + _xlpm.Knewgain / (_xlpm.Knewscale + _xlpm.nbparties),
  IF(Q411="",
    "",
    _xlpm.coef * (Q411-Q412))
)</f>
        <v/>
      </c>
      <c r="R413" t="str" cm="1">
        <f t="array" ref="R413">_xlfn.LET(
  _xlpm.K, Constantes!$B$3,
  _xlpm.Knewgain, Constantes!$B$4,
  _xlpm.Knewscale, Constantes!$B$5,
  _xlpm.ptstables, INDEX(R:R, _xlfn.SEQUENCE(COUNTA($C$2:$C413), 1, 3, 4)),
  _xlpm.nbparties, COUNTA(_xlfn._xlws.FILTER(_xlpm.ptstables, _xlpm.ptstables &lt;&gt; "")),
  _xlpm.coef, _xlpm.K + _xlpm.Knewgain / (_xlpm.Knewscale + _xlpm.nbparties),
  IF(R411="",
    "",
    _xlpm.coef * (R411-R412))
)</f>
        <v/>
      </c>
      <c r="S413" t="str" cm="1">
        <f t="array" ref="S413">_xlfn.LET(
  _xlpm.K, Constantes!$B$3,
  _xlpm.Knewgain, Constantes!$B$4,
  _xlpm.Knewscale, Constantes!$B$5,
  _xlpm.ptstables, INDEX(S:S, _xlfn.SEQUENCE(COUNTA($C$2:$C413), 1, 3, 4)),
  _xlpm.nbparties, COUNTA(_xlfn._xlws.FILTER(_xlpm.ptstables, _xlpm.ptstables &lt;&gt; "")),
  _xlpm.coef, _xlpm.K + _xlpm.Knewgain / (_xlpm.Knewscale + _xlpm.nbparties),
  IF(S411="",
    "",
    _xlpm.coef * (S411-S412))
)</f>
        <v/>
      </c>
      <c r="T413" t="str" cm="1">
        <f t="array" ref="T413">_xlfn.LET(
  _xlpm.K, Constantes!$B$3,
  _xlpm.Knewgain, Constantes!$B$4,
  _xlpm.Knewscale, Constantes!$B$5,
  _xlpm.ptstables, INDEX(T:T, _xlfn.SEQUENCE(COUNTA($C$2:$C413), 1, 3, 4)),
  _xlpm.nbparties, COUNTA(_xlfn._xlws.FILTER(_xlpm.ptstables, _xlpm.ptstables &lt;&gt; "")),
  _xlpm.coef, _xlpm.K + _xlpm.Knewgain / (_xlpm.Knewscale + _xlpm.nbparties),
  IF(T411="",
    "",
    _xlpm.coef * (T411-T412))
)</f>
        <v/>
      </c>
      <c r="U413" cm="1">
        <f t="array" ref="U413">_xlfn.LET(
  _xlpm.K, Constantes!$B$3,
  _xlpm.Knewgain, Constantes!$B$4,
  _xlpm.Knewscale, Constantes!$B$5,
  _xlpm.ptstables, INDEX(U:U, _xlfn.SEQUENCE(COUNTA($C$2:$C413), 1, 3, 4)),
  _xlpm.nbparties, COUNTA(_xlfn._xlws.FILTER(_xlpm.ptstables, _xlpm.ptstables &lt;&gt; "")),
  _xlpm.coef, _xlpm.K + _xlpm.Knewgain / (_xlpm.Knewscale + _xlpm.nbparties),
  IF(U411="",
    "",
    _xlpm.coef * (U411-U412))
)</f>
        <v>-23.3847809278626</v>
      </c>
      <c r="V413" t="str" cm="1">
        <f t="array" ref="V413">_xlfn.LET(
  _xlpm.K, Constantes!$B$3,
  _xlpm.Knewgain, Constantes!$B$4,
  _xlpm.Knewscale, Constantes!$B$5,
  _xlpm.ptstables, INDEX(V:V, _xlfn.SEQUENCE(COUNTA($C$2:$C413), 1, 3, 4)),
  _xlpm.nbparties, COUNTA(_xlfn._xlws.FILTER(_xlpm.ptstables, _xlpm.ptstables &lt;&gt; "")),
  _xlpm.coef, _xlpm.K + _xlpm.Knewgain / (_xlpm.Knewscale + _xlpm.nbparties),
  IF(V411="",
    "",
    _xlpm.coef * (V411-V412))
)</f>
        <v/>
      </c>
      <c r="W413" t="str" cm="1">
        <f t="array" ref="W413">_xlfn.LET(
  _xlpm.K, Constantes!$B$3,
  _xlpm.Knewgain, Constantes!$B$4,
  _xlpm.Knewscale, Constantes!$B$5,
  _xlpm.ptstables, INDEX(W:W, _xlfn.SEQUENCE(COUNTA($C$2:$C413), 1, 3, 4)),
  _xlpm.nbparties, COUNTA(_xlfn._xlws.FILTER(_xlpm.ptstables, _xlpm.ptstables &lt;&gt; "")),
  _xlpm.coef, _xlpm.K + _xlpm.Knewgain / (_xlpm.Knewscale + _xlpm.nbparties),
  IF(W411="",
    "",
    _xlpm.coef * (W411-W412))
)</f>
        <v/>
      </c>
      <c r="X413" t="str" cm="1">
        <f t="array" ref="X413">_xlfn.LET(
  _xlpm.K, Constantes!$B$3,
  _xlpm.Knewgain, Constantes!$B$4,
  _xlpm.Knewscale, Constantes!$B$5,
  _xlpm.ptstables, INDEX(X:X, _xlfn.SEQUENCE(COUNTA($C$2:$C413), 1, 3, 4)),
  _xlpm.nbparties, COUNTA(_xlfn._xlws.FILTER(_xlpm.ptstables, _xlpm.ptstables &lt;&gt; "")),
  _xlpm.coef, _xlpm.K + _xlpm.Knewgain / (_xlpm.Knewscale + _xlpm.nbparties),
  IF(X411="",
    "",
    _xlpm.coef * (X411-X412))
)</f>
        <v/>
      </c>
      <c r="Y413" t="str" cm="1">
        <f t="array" ref="Y413">_xlfn.LET(
  _xlpm.K, Constantes!$B$3,
  _xlpm.Knewgain, Constantes!$B$4,
  _xlpm.Knewscale, Constantes!$B$5,
  _xlpm.ptstables, INDEX(Y:Y, _xlfn.SEQUENCE(COUNTA($C$2:$C413), 1, 3, 4)),
  _xlpm.nbparties, COUNTA(_xlfn._xlws.FILTER(_xlpm.ptstables, _xlpm.ptstables &lt;&gt; "")),
  _xlpm.coef, _xlpm.K + _xlpm.Knewgain / (_xlpm.Knewscale + _xlpm.nbparties),
  IF(Y411="",
    "",
    _xlpm.coef * (Y411-Y412))
)</f>
        <v/>
      </c>
      <c r="Z413" t="str" cm="1">
        <f t="array" ref="Z413">_xlfn.LET(
  _xlpm.K, Constantes!$B$3,
  _xlpm.Knewgain, Constantes!$B$4,
  _xlpm.Knewscale, Constantes!$B$5,
  _xlpm.ptstables, INDEX(Z:Z, _xlfn.SEQUENCE(COUNTA($C$2:$C413), 1, 3, 4)),
  _xlpm.nbparties, COUNTA(_xlfn._xlws.FILTER(_xlpm.ptstables, _xlpm.ptstables &lt;&gt; "")),
  _xlpm.coef, _xlpm.K + _xlpm.Knewgain / (_xlpm.Knewscale + _xlpm.nbparties),
  IF(Z411="",
    "",
    _xlpm.coef * (Z411-Z412))
)</f>
        <v/>
      </c>
      <c r="AA413" t="str" cm="1">
        <f t="array" ref="AA413">_xlfn.LET(
  _xlpm.K, Constantes!$B$3,
  _xlpm.Knewgain, Constantes!$B$4,
  _xlpm.Knewscale, Constantes!$B$5,
  _xlpm.ptstables, INDEX(AA:AA, _xlfn.SEQUENCE(COUNTA($C$2:$C413), 1, 3, 4)),
  _xlpm.nbparties, COUNTA(_xlfn._xlws.FILTER(_xlpm.ptstables, _xlpm.ptstables &lt;&gt; "")),
  _xlpm.coef, _xlpm.K + _xlpm.Knewgain / (_xlpm.Knewscale + _xlpm.nbparties),
  IF(AA411="",
    "",
    _xlpm.coef * (AA411-AA412))
)</f>
        <v/>
      </c>
      <c r="AB413" t="str" cm="1">
        <f t="array" ref="AB413">_xlfn.LET(
  _xlpm.K, Constantes!$B$3,
  _xlpm.Knewgain, Constantes!$B$4,
  _xlpm.Knewscale, Constantes!$B$5,
  _xlpm.ptstables, INDEX(AB:AB, _xlfn.SEQUENCE(COUNTA($C$2:$C413), 1, 3, 4)),
  _xlpm.nbparties, COUNTA(_xlfn._xlws.FILTER(_xlpm.ptstables, _xlpm.ptstables &lt;&gt; "")),
  _xlpm.coef, _xlpm.K + _xlpm.Knewgain / (_xlpm.Knewscale + _xlpm.nbparties),
  IF(AB411="",
    "",
    _xlpm.coef * (AB411-AB412))
)</f>
        <v/>
      </c>
      <c r="AC413" cm="1">
        <f t="array" ref="AC413">_xlfn.LET(
  _xlpm.K, Constantes!$B$3,
  _xlpm.Knewgain, Constantes!$B$4,
  _xlpm.Knewscale, Constantes!$B$5,
  _xlpm.ptstables, INDEX(AC:AC, _xlfn.SEQUENCE(COUNTA($C$2:$C413), 1, 3, 4)),
  _xlpm.nbparties, COUNTA(_xlfn._xlws.FILTER(_xlpm.ptstables, _xlpm.ptstables &lt;&gt; "")),
  _xlpm.coef, _xlpm.K + _xlpm.Knewgain / (_xlpm.Knewscale + _xlpm.nbparties),
  IF(AC411="",
    "",
    _xlpm.coef * (AC411-AC412))
)</f>
        <v>-24.016870999911102</v>
      </c>
      <c r="AD413" t="str" cm="1">
        <f t="array" ref="AD413">_xlfn.LET(
  _xlpm.K, Constantes!$B$3,
  _xlpm.Knewgain, Constantes!$B$4,
  _xlpm.Knewscale, Constantes!$B$5,
  _xlpm.ptstables, INDEX(AD:AD, _xlfn.SEQUENCE(COUNTA($C$2:$C413), 1, 3, 4)),
  _xlpm.nbparties, COUNTA(_xlfn._xlws.FILTER(_xlpm.ptstables, _xlpm.ptstables &lt;&gt; "")),
  _xlpm.coef, _xlpm.K + _xlpm.Knewgain / (_xlpm.Knewscale + _xlpm.nbparties),
  IF(AD411="",
    "",
    _xlpm.coef * (AD411-AD412))
)</f>
        <v/>
      </c>
      <c r="AE413" t="str" cm="1">
        <f t="array" ref="AE413">_xlfn.LET(
  _xlpm.K, Constantes!$B$3,
  _xlpm.Knewgain, Constantes!$B$4,
  _xlpm.Knewscale, Constantes!$B$5,
  _xlpm.ptstables, INDEX(AE:AE, _xlfn.SEQUENCE(COUNTA($C$2:$C413), 1, 3, 4)),
  _xlpm.nbparties, COUNTA(_xlfn._xlws.FILTER(_xlpm.ptstables, _xlpm.ptstables &lt;&gt; "")),
  _xlpm.coef, _xlpm.K + _xlpm.Knewgain / (_xlpm.Knewscale + _xlpm.nbparties),
  IF(AE411="",
    "",
    _xlpm.coef * (AE411-AE412))
)</f>
        <v/>
      </c>
      <c r="AF413" t="str" cm="1">
        <f t="array" ref="AF413">_xlfn.LET(
  _xlpm.K, Constantes!$B$3,
  _xlpm.Knewgain, Constantes!$B$4,
  _xlpm.Knewscale, Constantes!$B$5,
  _xlpm.ptstables, INDEX(AF:AF, _xlfn.SEQUENCE(COUNTA($C$2:$C413), 1, 3, 4)),
  _xlpm.nbparties, COUNTA(_xlfn._xlws.FILTER(_xlpm.ptstables, _xlpm.ptstables &lt;&gt; "")),
  _xlpm.coef, _xlpm.K + _xlpm.Knewgain / (_xlpm.Knewscale + _xlpm.nbparties),
  IF(AF411="",
    "",
    _xlpm.coef * (AF411-AF412))
)</f>
        <v/>
      </c>
      <c r="AG413" t="str" cm="1">
        <f t="array" ref="AG413">_xlfn.LET(
  _xlpm.K, Constantes!$B$3,
  _xlpm.Knewgain, Constantes!$B$4,
  _xlpm.Knewscale, Constantes!$B$5,
  _xlpm.ptstables, INDEX(AG:AG, _xlfn.SEQUENCE(COUNTA($C$2:$C413), 1, 3, 4)),
  _xlpm.nbparties, COUNTA(_xlfn._xlws.FILTER(_xlpm.ptstables, _xlpm.ptstables &lt;&gt; "")),
  _xlpm.coef, _xlpm.K + _xlpm.Knewgain / (_xlpm.Knewscale + _xlpm.nbparties),
  IF(AG411="",
    "",
    _xlpm.coef * (AG411-AG412))
)</f>
        <v/>
      </c>
      <c r="AH413" t="str" cm="1">
        <f t="array" ref="AH413">_xlfn.LET(
  _xlpm.K, Constantes!$B$3,
  _xlpm.Knewgain, Constantes!$B$4,
  _xlpm.Knewscale, Constantes!$B$5,
  _xlpm.ptstables, INDEX(AH:AH, _xlfn.SEQUENCE(COUNTA($C$2:$C413), 1, 3, 4)),
  _xlpm.nbparties, COUNTA(_xlfn._xlws.FILTER(_xlpm.ptstables, _xlpm.ptstables &lt;&gt; "")),
  _xlpm.coef, _xlpm.K + _xlpm.Knewgain / (_xlpm.Knewscale + _xlpm.nbparties),
  IF(AH411="",
    "",
    _xlpm.coef * (AH411-AH412))
)</f>
        <v/>
      </c>
      <c r="AI413" t="str" cm="1">
        <f t="array" ref="AI413">_xlfn.LET(
  _xlpm.K, Constantes!$B$3,
  _xlpm.Knewgain, Constantes!$B$4,
  _xlpm.Knewscale, Constantes!$B$5,
  _xlpm.ptstables, INDEX(AI:AI, _xlfn.SEQUENCE(COUNTA($C$2:$C413), 1, 3, 4)),
  _xlpm.nbparties, COUNTA(_xlfn._xlws.FILTER(_xlpm.ptstables, _xlpm.ptstables &lt;&gt; "")),
  _xlpm.coef, _xlpm.K + _xlpm.Knewgain / (_xlpm.Knewscale + _xlpm.nbparties),
  IF(AI411="",
    "",
    _xlpm.coef * (AI411-AI412))
)</f>
        <v/>
      </c>
      <c r="AJ413" t="str" cm="1">
        <f t="array" ref="AJ413">_xlfn.LET(
  _xlpm.K, Constantes!$B$3,
  _xlpm.Knewgain, Constantes!$B$4,
  _xlpm.Knewscale, Constantes!$B$5,
  _xlpm.ptstables, INDEX(AJ:AJ, _xlfn.SEQUENCE(COUNTA($C$2:$C413), 1, 3, 4)),
  _xlpm.nbparties, COUNTA(_xlfn._xlws.FILTER(_xlpm.ptstables, _xlpm.ptstables &lt;&gt; "")),
  _xlpm.coef, _xlpm.K + _xlpm.Knewgain / (_xlpm.Knewscale + _xlpm.nbparties),
  IF(AJ411="",
    "",
    _xlpm.coef * (AJ411-AJ412))
)</f>
        <v/>
      </c>
      <c r="AK413" t="str" cm="1">
        <f t="array" ref="AK413">_xlfn.LET(
  _xlpm.K, Constantes!$B$3,
  _xlpm.Knewgain, Constantes!$B$4,
  _xlpm.Knewscale, Constantes!$B$5,
  _xlpm.ptstables, INDEX(AK:AK, _xlfn.SEQUENCE(COUNTA($C$2:$C413), 1, 3, 4)),
  _xlpm.nbparties, COUNTA(_xlfn._xlws.FILTER(_xlpm.ptstables, _xlpm.ptstables &lt;&gt; "")),
  _xlpm.coef, _xlpm.K + _xlpm.Knewgain / (_xlpm.Knewscale + _xlpm.nbparties),
  IF(AK411="",
    "",
    _xlpm.coef * (AK411-AK412))
)</f>
        <v/>
      </c>
      <c r="AL413" t="str" cm="1">
        <f t="array" ref="AL413">_xlfn.LET(
  _xlpm.K, Constantes!$B$3,
  _xlpm.Knewgain, Constantes!$B$4,
  _xlpm.Knewscale, Constantes!$B$5,
  _xlpm.ptstables, INDEX(AL:AL, _xlfn.SEQUENCE(COUNTA($C$2:$C413), 1, 3, 4)),
  _xlpm.nbparties, COUNTA(_xlfn._xlws.FILTER(_xlpm.ptstables, _xlpm.ptstables &lt;&gt; "")),
  _xlpm.coef, _xlpm.K + _xlpm.Knewgain / (_xlpm.Knewscale + _xlpm.nbparties),
  IF(AL411="",
    "",
    _xlpm.coef * (AL411-AL412))
)</f>
        <v/>
      </c>
      <c r="AM413" t="str" cm="1">
        <f t="array" ref="AM413">_xlfn.LET(
  _xlpm.K, Constantes!$B$3,
  _xlpm.Knewgain, Constantes!$B$4,
  _xlpm.Knewscale, Constantes!$B$5,
  _xlpm.ptstables, INDEX(AM:AM, _xlfn.SEQUENCE(COUNTA($C$2:$C413), 1, 3, 4)),
  _xlpm.nbparties, COUNTA(_xlfn._xlws.FILTER(_xlpm.ptstables, _xlpm.ptstables &lt;&gt; "")),
  _xlpm.coef, _xlpm.K + _xlpm.Knewgain / (_xlpm.Knewscale + _xlpm.nbparties),
  IF(AM411="",
    "",
    _xlpm.coef * (AM411-AM412))
)</f>
        <v/>
      </c>
    </row>
    <row r="414" spans="1:39" x14ac:dyDescent="0.25">
      <c r="A414" t="s">
        <v>14</v>
      </c>
      <c r="B414" t="str" cm="1">
        <f t="array" ref="B41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106</v>
      </c>
      <c r="C414" s="2" cm="1">
        <f t="array" ref="C414">IF(B414="","",
  INDEX(Donnees!F:F, MATCH(B414, Donnees!F:F, 0)+1))</f>
        <v>45962.59134259259</v>
      </c>
      <c r="D414">
        <f t="shared" ref="D414:AM414" si="111">D410+IF(D413="",0,D413)</f>
        <v>968.82938141395095</v>
      </c>
      <c r="E414">
        <f t="shared" si="111"/>
        <v>1196.4195973781996</v>
      </c>
      <c r="F414">
        <f t="shared" si="111"/>
        <v>911.8835833951041</v>
      </c>
      <c r="G414">
        <f t="shared" si="111"/>
        <v>1061.9525561512175</v>
      </c>
      <c r="H414">
        <f t="shared" si="111"/>
        <v>1121.8561093296914</v>
      </c>
      <c r="I414">
        <f t="shared" si="111"/>
        <v>912.81564332013568</v>
      </c>
      <c r="J414">
        <f t="shared" si="111"/>
        <v>1032.4323210923594</v>
      </c>
      <c r="K414">
        <f t="shared" si="111"/>
        <v>1076.8546837336262</v>
      </c>
      <c r="L414">
        <f t="shared" si="111"/>
        <v>783.12422360152641</v>
      </c>
      <c r="M414">
        <f t="shared" si="111"/>
        <v>874.31051832077719</v>
      </c>
      <c r="N414">
        <f t="shared" si="111"/>
        <v>899.98370646249032</v>
      </c>
      <c r="O414">
        <f t="shared" si="111"/>
        <v>997.04050320786712</v>
      </c>
      <c r="P414">
        <f t="shared" si="111"/>
        <v>987.86278180042575</v>
      </c>
      <c r="Q414">
        <f t="shared" si="111"/>
        <v>1051.0755127018197</v>
      </c>
      <c r="R414">
        <f t="shared" si="111"/>
        <v>1053.036836862696</v>
      </c>
      <c r="S414">
        <f t="shared" si="111"/>
        <v>996.22028389505113</v>
      </c>
      <c r="T414">
        <f t="shared" si="111"/>
        <v>1125.604709757928</v>
      </c>
      <c r="U414">
        <f t="shared" si="111"/>
        <v>1190.3972637866154</v>
      </c>
      <c r="V414">
        <f t="shared" si="111"/>
        <v>969.67171739286073</v>
      </c>
      <c r="W414">
        <f t="shared" si="111"/>
        <v>882.29253769067657</v>
      </c>
      <c r="X414">
        <f t="shared" si="111"/>
        <v>828.97598039785271</v>
      </c>
      <c r="Y414">
        <f t="shared" si="111"/>
        <v>903.14348714035714</v>
      </c>
      <c r="Z414">
        <f t="shared" si="111"/>
        <v>1008.6876849635962</v>
      </c>
      <c r="AA414">
        <f t="shared" si="111"/>
        <v>976.40065260504912</v>
      </c>
      <c r="AB414">
        <f t="shared" si="111"/>
        <v>988.35669729544747</v>
      </c>
      <c r="AC414">
        <f t="shared" si="111"/>
        <v>992.29252562358954</v>
      </c>
      <c r="AD414">
        <f t="shared" si="111"/>
        <v>1093.8192243082785</v>
      </c>
      <c r="AE414">
        <f t="shared" si="111"/>
        <v>963.23981965000235</v>
      </c>
      <c r="AF414">
        <f t="shared" si="111"/>
        <v>1094.8196847516158</v>
      </c>
      <c r="AG414">
        <f t="shared" si="111"/>
        <v>958.23078604304851</v>
      </c>
      <c r="AH414">
        <f t="shared" si="111"/>
        <v>920.4412636682855</v>
      </c>
      <c r="AI414">
        <f t="shared" si="111"/>
        <v>952.77777395142914</v>
      </c>
      <c r="AJ414">
        <f t="shared" si="111"/>
        <v>906.86354201913434</v>
      </c>
      <c r="AK414">
        <f t="shared" si="111"/>
        <v>1074.0069367206956</v>
      </c>
      <c r="AL414">
        <f t="shared" si="111"/>
        <v>1025.7817971572972</v>
      </c>
      <c r="AM414">
        <f t="shared" si="111"/>
        <v>930.08392160706046</v>
      </c>
    </row>
    <row r="415" spans="1:39" x14ac:dyDescent="0.25">
      <c r="A415" t="s">
        <v>21</v>
      </c>
      <c r="D415" t="str" cm="1">
        <f t="array" ref="D415">IFERROR(
  _xlfn.LET(
    _xlpm.ligpartie, MATCH($B414, Donnees!$F:$F, 0),
    _xlpm.joueurs, INDEX(Donnees!$A:$Z, _xlpm.ligpartie+1, _xlfn.SEQUENCE(1, 4, 2)),
    INDEX(
      Donnees!$A:$Z,
      _xlpm.ligpartie + 3,
      MATCH(D$1, _xlpm.joueurs, 0) + 1
    )
  ), ""
)</f>
        <v/>
      </c>
      <c r="E415" t="str" cm="1">
        <f t="array" ref="E415">IFERROR(
  _xlfn.LET(
    _xlpm.ligpartie, MATCH($B414, Donnees!$F:$F, 0),
    _xlpm.joueurs, INDEX(Donnees!$A:$Z, _xlpm.ligpartie+1, _xlfn.SEQUENCE(1, 4, 2)),
    INDEX(
      Donnees!$A:$Z,
      _xlpm.ligpartie + 3,
      MATCH(E$1, _xlpm.joueurs, 0) + 1
    )
  ), ""
)</f>
        <v/>
      </c>
      <c r="F415" t="str" cm="1">
        <f t="array" ref="F415">IFERROR(
  _xlfn.LET(
    _xlpm.ligpartie, MATCH($B414, Donnees!$F:$F, 0),
    _xlpm.joueurs, INDEX(Donnees!$A:$Z, _xlpm.ligpartie+1, _xlfn.SEQUENCE(1, 4, 2)),
    INDEX(
      Donnees!$A:$Z,
      _xlpm.ligpartie + 3,
      MATCH(F$1, _xlpm.joueurs, 0) + 1
    )
  ), ""
)</f>
        <v/>
      </c>
      <c r="G415" t="str" cm="1">
        <f t="array" ref="G415">IFERROR(
  _xlfn.LET(
    _xlpm.ligpartie, MATCH($B414, Donnees!$F:$F, 0),
    _xlpm.joueurs, INDEX(Donnees!$A:$Z, _xlpm.ligpartie+1, _xlfn.SEQUENCE(1, 4, 2)),
    INDEX(
      Donnees!$A:$Z,
      _xlpm.ligpartie + 3,
      MATCH(G$1, _xlpm.joueurs, 0) + 1
    )
  ), ""
)</f>
        <v/>
      </c>
      <c r="H415" t="str" cm="1">
        <f t="array" ref="H415">IFERROR(
  _xlfn.LET(
    _xlpm.ligpartie, MATCH($B414, Donnees!$F:$F, 0),
    _xlpm.joueurs, INDEX(Donnees!$A:$Z, _xlpm.ligpartie+1, _xlfn.SEQUENCE(1, 4, 2)),
    INDEX(
      Donnees!$A:$Z,
      _xlpm.ligpartie + 3,
      MATCH(H$1, _xlpm.joueurs, 0) + 1
    )
  ), ""
)</f>
        <v/>
      </c>
      <c r="I415" cm="1">
        <f t="array" ref="I415">IFERROR(
  _xlfn.LET(
    _xlpm.ligpartie, MATCH($B414, Donnees!$F:$F, 0),
    _xlpm.joueurs, INDEX(Donnees!$A:$Z, _xlpm.ligpartie+1, _xlfn.SEQUENCE(1, 4, 2)),
    INDEX(
      Donnees!$A:$Z,
      _xlpm.ligpartie + 3,
      MATCH(I$1, _xlpm.joueurs, 0) + 1
    )
  ), ""
)</f>
        <v>2</v>
      </c>
      <c r="J415" t="str" cm="1">
        <f t="array" ref="J415">IFERROR(
  _xlfn.LET(
    _xlpm.ligpartie, MATCH($B414, Donnees!$F:$F, 0),
    _xlpm.joueurs, INDEX(Donnees!$A:$Z, _xlpm.ligpartie+1, _xlfn.SEQUENCE(1, 4, 2)),
    INDEX(
      Donnees!$A:$Z,
      _xlpm.ligpartie + 3,
      MATCH(J$1, _xlpm.joueurs, 0) + 1
    )
  ), ""
)</f>
        <v/>
      </c>
      <c r="K415" t="str" cm="1">
        <f t="array" ref="K415">IFERROR(
  _xlfn.LET(
    _xlpm.ligpartie, MATCH($B414, Donnees!$F:$F, 0),
    _xlpm.joueurs, INDEX(Donnees!$A:$Z, _xlpm.ligpartie+1, _xlfn.SEQUENCE(1, 4, 2)),
    INDEX(
      Donnees!$A:$Z,
      _xlpm.ligpartie + 3,
      MATCH(K$1, _xlpm.joueurs, 0) + 1
    )
  ), ""
)</f>
        <v/>
      </c>
      <c r="L415" t="str" cm="1">
        <f t="array" ref="L415">IFERROR(
  _xlfn.LET(
    _xlpm.ligpartie, MATCH($B414, Donnees!$F:$F, 0),
    _xlpm.joueurs, INDEX(Donnees!$A:$Z, _xlpm.ligpartie+1, _xlfn.SEQUENCE(1, 4, 2)),
    INDEX(
      Donnees!$A:$Z,
      _xlpm.ligpartie + 3,
      MATCH(L$1, _xlpm.joueurs, 0) + 1
    )
  ), ""
)</f>
        <v/>
      </c>
      <c r="M415" t="str" cm="1">
        <f t="array" ref="M415">IFERROR(
  _xlfn.LET(
    _xlpm.ligpartie, MATCH($B414, Donnees!$F:$F, 0),
    _xlpm.joueurs, INDEX(Donnees!$A:$Z, _xlpm.ligpartie+1, _xlfn.SEQUENCE(1, 4, 2)),
    INDEX(
      Donnees!$A:$Z,
      _xlpm.ligpartie + 3,
      MATCH(M$1, _xlpm.joueurs, 0) + 1
    )
  ), ""
)</f>
        <v/>
      </c>
      <c r="N415" t="str" cm="1">
        <f t="array" ref="N415">IFERROR(
  _xlfn.LET(
    _xlpm.ligpartie, MATCH($B414, Donnees!$F:$F, 0),
    _xlpm.joueurs, INDEX(Donnees!$A:$Z, _xlpm.ligpartie+1, _xlfn.SEQUENCE(1, 4, 2)),
    INDEX(
      Donnees!$A:$Z,
      _xlpm.ligpartie + 3,
      MATCH(N$1, _xlpm.joueurs, 0) + 1
    )
  ), ""
)</f>
        <v/>
      </c>
      <c r="O415" t="str" cm="1">
        <f t="array" ref="O415">IFERROR(
  _xlfn.LET(
    _xlpm.ligpartie, MATCH($B414, Donnees!$F:$F, 0),
    _xlpm.joueurs, INDEX(Donnees!$A:$Z, _xlpm.ligpartie+1, _xlfn.SEQUENCE(1, 4, 2)),
    INDEX(
      Donnees!$A:$Z,
      _xlpm.ligpartie + 3,
      MATCH(O$1, _xlpm.joueurs, 0) + 1
    )
  ), ""
)</f>
        <v/>
      </c>
      <c r="P415" t="str" cm="1">
        <f t="array" ref="P415">IFERROR(
  _xlfn.LET(
    _xlpm.ligpartie, MATCH($B414, Donnees!$F:$F, 0),
    _xlpm.joueurs, INDEX(Donnees!$A:$Z, _xlpm.ligpartie+1, _xlfn.SEQUENCE(1, 4, 2)),
    INDEX(
      Donnees!$A:$Z,
      _xlpm.ligpartie + 3,
      MATCH(P$1, _xlpm.joueurs, 0) + 1
    )
  ), ""
)</f>
        <v/>
      </c>
      <c r="Q415" t="str" cm="1">
        <f t="array" ref="Q415">IFERROR(
  _xlfn.LET(
    _xlpm.ligpartie, MATCH($B414, Donnees!$F:$F, 0),
    _xlpm.joueurs, INDEX(Donnees!$A:$Z, _xlpm.ligpartie+1, _xlfn.SEQUENCE(1, 4, 2)),
    INDEX(
      Donnees!$A:$Z,
      _xlpm.ligpartie + 3,
      MATCH(Q$1, _xlpm.joueurs, 0) + 1
    )
  ), ""
)</f>
        <v/>
      </c>
      <c r="R415" cm="1">
        <f t="array" ref="R415">IFERROR(
  _xlfn.LET(
    _xlpm.ligpartie, MATCH($B414, Donnees!$F:$F, 0),
    _xlpm.joueurs, INDEX(Donnees!$A:$Z, _xlpm.ligpartie+1, _xlfn.SEQUENCE(1, 4, 2)),
    INDEX(
      Donnees!$A:$Z,
      _xlpm.ligpartie + 3,
      MATCH(R$1, _xlpm.joueurs, 0) + 1
    )
  ), ""
)</f>
        <v>1</v>
      </c>
      <c r="S415" cm="1">
        <f t="array" ref="S415">IFERROR(
  _xlfn.LET(
    _xlpm.ligpartie, MATCH($B414, Donnees!$F:$F, 0),
    _xlpm.joueurs, INDEX(Donnees!$A:$Z, _xlpm.ligpartie+1, _xlfn.SEQUENCE(1, 4, 2)),
    INDEX(
      Donnees!$A:$Z,
      _xlpm.ligpartie + 3,
      MATCH(S$1, _xlpm.joueurs, 0) + 1
    )
  ), ""
)</f>
        <v>3</v>
      </c>
      <c r="T415" t="str" cm="1">
        <f t="array" ref="T415">IFERROR(
  _xlfn.LET(
    _xlpm.ligpartie, MATCH($B414, Donnees!$F:$F, 0),
    _xlpm.joueurs, INDEX(Donnees!$A:$Z, _xlpm.ligpartie+1, _xlfn.SEQUENCE(1, 4, 2)),
    INDEX(
      Donnees!$A:$Z,
      _xlpm.ligpartie + 3,
      MATCH(T$1, _xlpm.joueurs, 0) + 1
    )
  ), ""
)</f>
        <v/>
      </c>
      <c r="U415" t="str" cm="1">
        <f t="array" ref="U415">IFERROR(
  _xlfn.LET(
    _xlpm.ligpartie, MATCH($B414, Donnees!$F:$F, 0),
    _xlpm.joueurs, INDEX(Donnees!$A:$Z, _xlpm.ligpartie+1, _xlfn.SEQUENCE(1, 4, 2)),
    INDEX(
      Donnees!$A:$Z,
      _xlpm.ligpartie + 3,
      MATCH(U$1, _xlpm.joueurs, 0) + 1
    )
  ), ""
)</f>
        <v/>
      </c>
      <c r="V415" t="str" cm="1">
        <f t="array" ref="V415">IFERROR(
  _xlfn.LET(
    _xlpm.ligpartie, MATCH($B414, Donnees!$F:$F, 0),
    _xlpm.joueurs, INDEX(Donnees!$A:$Z, _xlpm.ligpartie+1, _xlfn.SEQUENCE(1, 4, 2)),
    INDEX(
      Donnees!$A:$Z,
      _xlpm.ligpartie + 3,
      MATCH(V$1, _xlpm.joueurs, 0) + 1
    )
  ), ""
)</f>
        <v/>
      </c>
      <c r="W415" t="str" cm="1">
        <f t="array" ref="W415">IFERROR(
  _xlfn.LET(
    _xlpm.ligpartie, MATCH($B414, Donnees!$F:$F, 0),
    _xlpm.joueurs, INDEX(Donnees!$A:$Z, _xlpm.ligpartie+1, _xlfn.SEQUENCE(1, 4, 2)),
    INDEX(
      Donnees!$A:$Z,
      _xlpm.ligpartie + 3,
      MATCH(W$1, _xlpm.joueurs, 0) + 1
    )
  ), ""
)</f>
        <v/>
      </c>
      <c r="X415" t="str" cm="1">
        <f t="array" ref="X415">IFERROR(
  _xlfn.LET(
    _xlpm.ligpartie, MATCH($B414, Donnees!$F:$F, 0),
    _xlpm.joueurs, INDEX(Donnees!$A:$Z, _xlpm.ligpartie+1, _xlfn.SEQUENCE(1, 4, 2)),
    INDEX(
      Donnees!$A:$Z,
      _xlpm.ligpartie + 3,
      MATCH(X$1, _xlpm.joueurs, 0) + 1
    )
  ), ""
)</f>
        <v/>
      </c>
      <c r="Y415" t="str" cm="1">
        <f t="array" ref="Y415">IFERROR(
  _xlfn.LET(
    _xlpm.ligpartie, MATCH($B414, Donnees!$F:$F, 0),
    _xlpm.joueurs, INDEX(Donnees!$A:$Z, _xlpm.ligpartie+1, _xlfn.SEQUENCE(1, 4, 2)),
    INDEX(
      Donnees!$A:$Z,
      _xlpm.ligpartie + 3,
      MATCH(Y$1, _xlpm.joueurs, 0) + 1
    )
  ), ""
)</f>
        <v/>
      </c>
      <c r="Z415" t="str" cm="1">
        <f t="array" ref="Z415">IFERROR(
  _xlfn.LET(
    _xlpm.ligpartie, MATCH($B414, Donnees!$F:$F, 0),
    _xlpm.joueurs, INDEX(Donnees!$A:$Z, _xlpm.ligpartie+1, _xlfn.SEQUENCE(1, 4, 2)),
    INDEX(
      Donnees!$A:$Z,
      _xlpm.ligpartie + 3,
      MATCH(Z$1, _xlpm.joueurs, 0) + 1
    )
  ), ""
)</f>
        <v/>
      </c>
      <c r="AA415" t="str" cm="1">
        <f t="array" ref="AA415">IFERROR(
  _xlfn.LET(
    _xlpm.ligpartie, MATCH($B414, Donnees!$F:$F, 0),
    _xlpm.joueurs, INDEX(Donnees!$A:$Z, _xlpm.ligpartie+1, _xlfn.SEQUENCE(1, 4, 2)),
    INDEX(
      Donnees!$A:$Z,
      _xlpm.ligpartie + 3,
      MATCH(AA$1, _xlpm.joueurs, 0) + 1
    )
  ), ""
)</f>
        <v/>
      </c>
      <c r="AB415" t="str" cm="1">
        <f t="array" ref="AB415">IFERROR(
  _xlfn.LET(
    _xlpm.ligpartie, MATCH($B414, Donnees!$F:$F, 0),
    _xlpm.joueurs, INDEX(Donnees!$A:$Z, _xlpm.ligpartie+1, _xlfn.SEQUENCE(1, 4, 2)),
    INDEX(
      Donnees!$A:$Z,
      _xlpm.ligpartie + 3,
      MATCH(AB$1, _xlpm.joueurs, 0) + 1
    )
  ), ""
)</f>
        <v/>
      </c>
      <c r="AC415" t="str" cm="1">
        <f t="array" ref="AC415">IFERROR(
  _xlfn.LET(
    _xlpm.ligpartie, MATCH($B414, Donnees!$F:$F, 0),
    _xlpm.joueurs, INDEX(Donnees!$A:$Z, _xlpm.ligpartie+1, _xlfn.SEQUENCE(1, 4, 2)),
    INDEX(
      Donnees!$A:$Z,
      _xlpm.ligpartie + 3,
      MATCH(AC$1, _xlpm.joueurs, 0) + 1
    )
  ), ""
)</f>
        <v/>
      </c>
      <c r="AD415" t="str" cm="1">
        <f t="array" ref="AD415">IFERROR(
  _xlfn.LET(
    _xlpm.ligpartie, MATCH($B414, Donnees!$F:$F, 0),
    _xlpm.joueurs, INDEX(Donnees!$A:$Z, _xlpm.ligpartie+1, _xlfn.SEQUENCE(1, 4, 2)),
    INDEX(
      Donnees!$A:$Z,
      _xlpm.ligpartie + 3,
      MATCH(AD$1, _xlpm.joueurs, 0) + 1
    )
  ), ""
)</f>
        <v/>
      </c>
      <c r="AE415" t="str" cm="1">
        <f t="array" ref="AE415">IFERROR(
  _xlfn.LET(
    _xlpm.ligpartie, MATCH($B414, Donnees!$F:$F, 0),
    _xlpm.joueurs, INDEX(Donnees!$A:$Z, _xlpm.ligpartie+1, _xlfn.SEQUENCE(1, 4, 2)),
    INDEX(
      Donnees!$A:$Z,
      _xlpm.ligpartie + 3,
      MATCH(AE$1, _xlpm.joueurs, 0) + 1
    )
  ), ""
)</f>
        <v/>
      </c>
      <c r="AF415" t="str" cm="1">
        <f t="array" ref="AF415">IFERROR(
  _xlfn.LET(
    _xlpm.ligpartie, MATCH($B414, Donnees!$F:$F, 0),
    _xlpm.joueurs, INDEX(Donnees!$A:$Z, _xlpm.ligpartie+1, _xlfn.SEQUENCE(1, 4, 2)),
    INDEX(
      Donnees!$A:$Z,
      _xlpm.ligpartie + 3,
      MATCH(AF$1, _xlpm.joueurs, 0) + 1
    )
  ), ""
)</f>
        <v/>
      </c>
      <c r="AG415" t="str" cm="1">
        <f t="array" ref="AG415">IFERROR(
  _xlfn.LET(
    _xlpm.ligpartie, MATCH($B414, Donnees!$F:$F, 0),
    _xlpm.joueurs, INDEX(Donnees!$A:$Z, _xlpm.ligpartie+1, _xlfn.SEQUENCE(1, 4, 2)),
    INDEX(
      Donnees!$A:$Z,
      _xlpm.ligpartie + 3,
      MATCH(AG$1, _xlpm.joueurs, 0) + 1
    )
  ), ""
)</f>
        <v/>
      </c>
      <c r="AH415" t="str" cm="1">
        <f t="array" ref="AH415">IFERROR(
  _xlfn.LET(
    _xlpm.ligpartie, MATCH($B414, Donnees!$F:$F, 0),
    _xlpm.joueurs, INDEX(Donnees!$A:$Z, _xlpm.ligpartie+1, _xlfn.SEQUENCE(1, 4, 2)),
    INDEX(
      Donnees!$A:$Z,
      _xlpm.ligpartie + 3,
      MATCH(AH$1, _xlpm.joueurs, 0) + 1
    )
  ), ""
)</f>
        <v/>
      </c>
      <c r="AI415" cm="1">
        <f t="array" ref="AI415">IFERROR(
  _xlfn.LET(
    _xlpm.ligpartie, MATCH($B414, Donnees!$F:$F, 0),
    _xlpm.joueurs, INDEX(Donnees!$A:$Z, _xlpm.ligpartie+1, _xlfn.SEQUENCE(1, 4, 2)),
    INDEX(
      Donnees!$A:$Z,
      _xlpm.ligpartie + 3,
      MATCH(AI$1, _xlpm.joueurs, 0) + 1
    )
  ), ""
)</f>
        <v>0</v>
      </c>
      <c r="AJ415" t="str" cm="1">
        <f t="array" ref="AJ415">IFERROR(
  _xlfn.LET(
    _xlpm.ligpartie, MATCH($B414, Donnees!$F:$F, 0),
    _xlpm.joueurs, INDEX(Donnees!$A:$Z, _xlpm.ligpartie+1, _xlfn.SEQUENCE(1, 4, 2)),
    INDEX(
      Donnees!$A:$Z,
      _xlpm.ligpartie + 3,
      MATCH(AJ$1, _xlpm.joueurs, 0) + 1
    )
  ), ""
)</f>
        <v/>
      </c>
      <c r="AK415" t="str" cm="1">
        <f t="array" ref="AK415">IFERROR(
  _xlfn.LET(
    _xlpm.ligpartie, MATCH($B414, Donnees!$F:$F, 0),
    _xlpm.joueurs, INDEX(Donnees!$A:$Z, _xlpm.ligpartie+1, _xlfn.SEQUENCE(1, 4, 2)),
    INDEX(
      Donnees!$A:$Z,
      _xlpm.ligpartie + 3,
      MATCH(AK$1, _xlpm.joueurs, 0) + 1
    )
  ), ""
)</f>
        <v/>
      </c>
      <c r="AL415" t="str" cm="1">
        <f t="array" ref="AL415">IFERROR(
  _xlfn.LET(
    _xlpm.ligpartie, MATCH($B414, Donnees!$F:$F, 0),
    _xlpm.joueurs, INDEX(Donnees!$A:$Z, _xlpm.ligpartie+1, _xlfn.SEQUENCE(1, 4, 2)),
    INDEX(
      Donnees!$A:$Z,
      _xlpm.ligpartie + 3,
      MATCH(AL$1, _xlpm.joueurs, 0) + 1
    )
  ), ""
)</f>
        <v/>
      </c>
      <c r="AM415" t="str" cm="1">
        <f t="array" ref="AM415">IFERROR(
  _xlfn.LET(
    _xlpm.ligpartie, MATCH($B414, Donnees!$F:$F, 0),
    _xlpm.joueurs, INDEX(Donnees!$A:$Z, _xlpm.ligpartie+1, _xlfn.SEQUENCE(1, 4, 2)),
    INDEX(
      Donnees!$A:$Z,
      _xlpm.ligpartie + 3,
      MATCH(AM$1, _xlpm.joueurs, 0) + 1
    )
  ), ""
)</f>
        <v/>
      </c>
    </row>
    <row r="416" spans="1:39" x14ac:dyDescent="0.25">
      <c r="A416" t="s">
        <v>20</v>
      </c>
      <c r="D416" t="str" cm="1">
        <f t="array" ref="D416">_xlfn.LET(
  _xlpm.colj, _xlfn._xlws.FILTER(IF(ISNUMBER(415:415), COLUMN(415:415)), ISNUMBER(415:415)),
  _xlpm.elos, INDEX(414:414,1,_xlpm.colj),
  _xlpm.diffscale, Constantes!$B$2,
  IF(D415="",
    "",
    SUM(1/(1+POWER(10,-(D414-_xlpm.elos)/_xlpm.diffscale)))-0.5)
)</f>
        <v/>
      </c>
      <c r="E416" t="str" cm="1">
        <f t="array" ref="E416">_xlfn.LET(
  _xlpm.colj, _xlfn._xlws.FILTER(IF(ISNUMBER(415:415), COLUMN(415:415)), ISNUMBER(415:415)),
  _xlpm.elos, INDEX(414:414,1,_xlpm.colj),
  _xlpm.diffscale, Constantes!$B$2,
  IF(E415="",
    "",
    SUM(1/(1+POWER(10,-(E414-_xlpm.elos)/_xlpm.diffscale)))-0.5)
)</f>
        <v/>
      </c>
      <c r="F416" t="str" cm="1">
        <f t="array" ref="F416">_xlfn.LET(
  _xlpm.colj, _xlfn._xlws.FILTER(IF(ISNUMBER(415:415), COLUMN(415:415)), ISNUMBER(415:415)),
  _xlpm.elos, INDEX(414:414,1,_xlpm.colj),
  _xlpm.diffscale, Constantes!$B$2,
  IF(F415="",
    "",
    SUM(1/(1+POWER(10,-(F414-_xlpm.elos)/_xlpm.diffscale)))-0.5)
)</f>
        <v/>
      </c>
      <c r="G416" t="str" cm="1">
        <f t="array" ref="G416">_xlfn.LET(
  _xlpm.colj, _xlfn._xlws.FILTER(IF(ISNUMBER(415:415), COLUMN(415:415)), ISNUMBER(415:415)),
  _xlpm.elos, INDEX(414:414,1,_xlpm.colj),
  _xlpm.diffscale, Constantes!$B$2,
  IF(G415="",
    "",
    SUM(1/(1+POWER(10,-(G414-_xlpm.elos)/_xlpm.diffscale)))-0.5)
)</f>
        <v/>
      </c>
      <c r="H416" t="str" cm="1">
        <f t="array" ref="H416">_xlfn.LET(
  _xlpm.colj, _xlfn._xlws.FILTER(IF(ISNUMBER(415:415), COLUMN(415:415)), ISNUMBER(415:415)),
  _xlpm.elos, INDEX(414:414,1,_xlpm.colj),
  _xlpm.diffscale, Constantes!$B$2,
  IF(H415="",
    "",
    SUM(1/(1+POWER(10,-(H414-_xlpm.elos)/_xlpm.diffscale)))-0.5)
)</f>
        <v/>
      </c>
      <c r="I416" cm="1">
        <f t="array" ref="I416">_xlfn.LET(
  _xlpm.colj, _xlfn._xlws.FILTER(IF(ISNUMBER(415:415), COLUMN(415:415)), ISNUMBER(415:415)),
  _xlpm.elos, INDEX(414:414,1,_xlpm.colj),
  _xlpm.diffscale, Constantes!$B$2,
  IF(I415="",
    "",
    SUM(1/(1+POWER(10,-(I414-_xlpm.elos)/_xlpm.diffscale)))-0.5)
)</f>
        <v>1.1334591093901762</v>
      </c>
      <c r="J416" t="str" cm="1">
        <f t="array" ref="J416">_xlfn.LET(
  _xlpm.colj, _xlfn._xlws.FILTER(IF(ISNUMBER(415:415), COLUMN(415:415)), ISNUMBER(415:415)),
  _xlpm.elos, INDEX(414:414,1,_xlpm.colj),
  _xlpm.diffscale, Constantes!$B$2,
  IF(J415="",
    "",
    SUM(1/(1+POWER(10,-(J414-_xlpm.elos)/_xlpm.diffscale)))-0.5)
)</f>
        <v/>
      </c>
      <c r="K416" t="str" cm="1">
        <f t="array" ref="K416">_xlfn.LET(
  _xlpm.colj, _xlfn._xlws.FILTER(IF(ISNUMBER(415:415), COLUMN(415:415)), ISNUMBER(415:415)),
  _xlpm.elos, INDEX(414:414,1,_xlpm.colj),
  _xlpm.diffscale, Constantes!$B$2,
  IF(K415="",
    "",
    SUM(1/(1+POWER(10,-(K414-_xlpm.elos)/_xlpm.diffscale)))-0.5)
)</f>
        <v/>
      </c>
      <c r="L416" t="str" cm="1">
        <f t="array" ref="L416">_xlfn.LET(
  _xlpm.colj, _xlfn._xlws.FILTER(IF(ISNUMBER(415:415), COLUMN(415:415)), ISNUMBER(415:415)),
  _xlpm.elos, INDEX(414:414,1,_xlpm.colj),
  _xlpm.diffscale, Constantes!$B$2,
  IF(L415="",
    "",
    SUM(1/(1+POWER(10,-(L414-_xlpm.elos)/_xlpm.diffscale)))-0.5)
)</f>
        <v/>
      </c>
      <c r="M416" t="str" cm="1">
        <f t="array" ref="M416">_xlfn.LET(
  _xlpm.colj, _xlfn._xlws.FILTER(IF(ISNUMBER(415:415), COLUMN(415:415)), ISNUMBER(415:415)),
  _xlpm.elos, INDEX(414:414,1,_xlpm.colj),
  _xlpm.diffscale, Constantes!$B$2,
  IF(M415="",
    "",
    SUM(1/(1+POWER(10,-(M414-_xlpm.elos)/_xlpm.diffscale)))-0.5)
)</f>
        <v/>
      </c>
      <c r="N416" t="str" cm="1">
        <f t="array" ref="N416">_xlfn.LET(
  _xlpm.colj, _xlfn._xlws.FILTER(IF(ISNUMBER(415:415), COLUMN(415:415)), ISNUMBER(415:415)),
  _xlpm.elos, INDEX(414:414,1,_xlpm.colj),
  _xlpm.diffscale, Constantes!$B$2,
  IF(N415="",
    "",
    SUM(1/(1+POWER(10,-(N414-_xlpm.elos)/_xlpm.diffscale)))-0.5)
)</f>
        <v/>
      </c>
      <c r="O416" t="str" cm="1">
        <f t="array" ref="O416">_xlfn.LET(
  _xlpm.colj, _xlfn._xlws.FILTER(IF(ISNUMBER(415:415), COLUMN(415:415)), ISNUMBER(415:415)),
  _xlpm.elos, INDEX(414:414,1,_xlpm.colj),
  _xlpm.diffscale, Constantes!$B$2,
  IF(O415="",
    "",
    SUM(1/(1+POWER(10,-(O414-_xlpm.elos)/_xlpm.diffscale)))-0.5)
)</f>
        <v/>
      </c>
      <c r="P416" t="str" cm="1">
        <f t="array" ref="P416">_xlfn.LET(
  _xlpm.colj, _xlfn._xlws.FILTER(IF(ISNUMBER(415:415), COLUMN(415:415)), ISNUMBER(415:415)),
  _xlpm.elos, INDEX(414:414,1,_xlpm.colj),
  _xlpm.diffscale, Constantes!$B$2,
  IF(P415="",
    "",
    SUM(1/(1+POWER(10,-(P414-_xlpm.elos)/_xlpm.diffscale)))-0.5)
)</f>
        <v/>
      </c>
      <c r="Q416" t="str" cm="1">
        <f t="array" ref="Q416">_xlfn.LET(
  _xlpm.colj, _xlfn._xlws.FILTER(IF(ISNUMBER(415:415), COLUMN(415:415)), ISNUMBER(415:415)),
  _xlpm.elos, INDEX(414:414,1,_xlpm.colj),
  _xlpm.diffscale, Constantes!$B$2,
  IF(Q415="",
    "",
    SUM(1/(1+POWER(10,-(Q414-_xlpm.elos)/_xlpm.diffscale)))-0.5)
)</f>
        <v/>
      </c>
      <c r="R416" cm="1">
        <f t="array" ref="R416">_xlfn.LET(
  _xlpm.colj, _xlfn._xlws.FILTER(IF(ISNUMBER(415:415), COLUMN(415:415)), ISNUMBER(415:415)),
  _xlpm.elos, INDEX(414:414,1,_xlpm.colj),
  _xlpm.diffscale, Constantes!$B$2,
  IF(R415="",
    "",
    SUM(1/(1+POWER(10,-(R414-_xlpm.elos)/_xlpm.diffscale)))-0.5)
)</f>
        <v>1.9129607714891197</v>
      </c>
      <c r="S416" cm="1">
        <f t="array" ref="S416">_xlfn.LET(
  _xlpm.colj, _xlfn._xlws.FILTER(IF(ISNUMBER(415:415), COLUMN(415:415)), ISNUMBER(415:415)),
  _xlpm.elos, INDEX(414:414,1,_xlpm.colj),
  _xlpm.diffscale, Constantes!$B$2,
  IF(S415="",
    "",
    SUM(1/(1+POWER(10,-(S414-_xlpm.elos)/_xlpm.diffscale)))-0.5)
)</f>
        <v>1.5989257690393615</v>
      </c>
      <c r="T416" t="str" cm="1">
        <f t="array" ref="T416">_xlfn.LET(
  _xlpm.colj, _xlfn._xlws.FILTER(IF(ISNUMBER(415:415), COLUMN(415:415)), ISNUMBER(415:415)),
  _xlpm.elos, INDEX(414:414,1,_xlpm.colj),
  _xlpm.diffscale, Constantes!$B$2,
  IF(T415="",
    "",
    SUM(1/(1+POWER(10,-(T414-_xlpm.elos)/_xlpm.diffscale)))-0.5)
)</f>
        <v/>
      </c>
      <c r="U416" t="str" cm="1">
        <f t="array" ref="U416">_xlfn.LET(
  _xlpm.colj, _xlfn._xlws.FILTER(IF(ISNUMBER(415:415), COLUMN(415:415)), ISNUMBER(415:415)),
  _xlpm.elos, INDEX(414:414,1,_xlpm.colj),
  _xlpm.diffscale, Constantes!$B$2,
  IF(U415="",
    "",
    SUM(1/(1+POWER(10,-(U414-_xlpm.elos)/_xlpm.diffscale)))-0.5)
)</f>
        <v/>
      </c>
      <c r="V416" t="str" cm="1">
        <f t="array" ref="V416">_xlfn.LET(
  _xlpm.colj, _xlfn._xlws.FILTER(IF(ISNUMBER(415:415), COLUMN(415:415)), ISNUMBER(415:415)),
  _xlpm.elos, INDEX(414:414,1,_xlpm.colj),
  _xlpm.diffscale, Constantes!$B$2,
  IF(V415="",
    "",
    SUM(1/(1+POWER(10,-(V414-_xlpm.elos)/_xlpm.diffscale)))-0.5)
)</f>
        <v/>
      </c>
      <c r="W416" t="str" cm="1">
        <f t="array" ref="W416">_xlfn.LET(
  _xlpm.colj, _xlfn._xlws.FILTER(IF(ISNUMBER(415:415), COLUMN(415:415)), ISNUMBER(415:415)),
  _xlpm.elos, INDEX(414:414,1,_xlpm.colj),
  _xlpm.diffscale, Constantes!$B$2,
  IF(W415="",
    "",
    SUM(1/(1+POWER(10,-(W414-_xlpm.elos)/_xlpm.diffscale)))-0.5)
)</f>
        <v/>
      </c>
      <c r="X416" t="str" cm="1">
        <f t="array" ref="X416">_xlfn.LET(
  _xlpm.colj, _xlfn._xlws.FILTER(IF(ISNUMBER(415:415), COLUMN(415:415)), ISNUMBER(415:415)),
  _xlpm.elos, INDEX(414:414,1,_xlpm.colj),
  _xlpm.diffscale, Constantes!$B$2,
  IF(X415="",
    "",
    SUM(1/(1+POWER(10,-(X414-_xlpm.elos)/_xlpm.diffscale)))-0.5)
)</f>
        <v/>
      </c>
      <c r="Y416" t="str" cm="1">
        <f t="array" ref="Y416">_xlfn.LET(
  _xlpm.colj, _xlfn._xlws.FILTER(IF(ISNUMBER(415:415), COLUMN(415:415)), ISNUMBER(415:415)),
  _xlpm.elos, INDEX(414:414,1,_xlpm.colj),
  _xlpm.diffscale, Constantes!$B$2,
  IF(Y415="",
    "",
    SUM(1/(1+POWER(10,-(Y414-_xlpm.elos)/_xlpm.diffscale)))-0.5)
)</f>
        <v/>
      </c>
      <c r="Z416" t="str" cm="1">
        <f t="array" ref="Z416">_xlfn.LET(
  _xlpm.colj, _xlfn._xlws.FILTER(IF(ISNUMBER(415:415), COLUMN(415:415)), ISNUMBER(415:415)),
  _xlpm.elos, INDEX(414:414,1,_xlpm.colj),
  _xlpm.diffscale, Constantes!$B$2,
  IF(Z415="",
    "",
    SUM(1/(1+POWER(10,-(Z414-_xlpm.elos)/_xlpm.diffscale)))-0.5)
)</f>
        <v/>
      </c>
      <c r="AA416" t="str" cm="1">
        <f t="array" ref="AA416">_xlfn.LET(
  _xlpm.colj, _xlfn._xlws.FILTER(IF(ISNUMBER(415:415), COLUMN(415:415)), ISNUMBER(415:415)),
  _xlpm.elos, INDEX(414:414,1,_xlpm.colj),
  _xlpm.diffscale, Constantes!$B$2,
  IF(AA415="",
    "",
    SUM(1/(1+POWER(10,-(AA414-_xlpm.elos)/_xlpm.diffscale)))-0.5)
)</f>
        <v/>
      </c>
      <c r="AB416" t="str" cm="1">
        <f t="array" ref="AB416">_xlfn.LET(
  _xlpm.colj, _xlfn._xlws.FILTER(IF(ISNUMBER(415:415), COLUMN(415:415)), ISNUMBER(415:415)),
  _xlpm.elos, INDEX(414:414,1,_xlpm.colj),
  _xlpm.diffscale, Constantes!$B$2,
  IF(AB415="",
    "",
    SUM(1/(1+POWER(10,-(AB414-_xlpm.elos)/_xlpm.diffscale)))-0.5)
)</f>
        <v/>
      </c>
      <c r="AC416" t="str" cm="1">
        <f t="array" ref="AC416">_xlfn.LET(
  _xlpm.colj, _xlfn._xlws.FILTER(IF(ISNUMBER(415:415), COLUMN(415:415)), ISNUMBER(415:415)),
  _xlpm.elos, INDEX(414:414,1,_xlpm.colj),
  _xlpm.diffscale, Constantes!$B$2,
  IF(AC415="",
    "",
    SUM(1/(1+POWER(10,-(AC414-_xlpm.elos)/_xlpm.diffscale)))-0.5)
)</f>
        <v/>
      </c>
      <c r="AD416" t="str" cm="1">
        <f t="array" ref="AD416">_xlfn.LET(
  _xlpm.colj, _xlfn._xlws.FILTER(IF(ISNUMBER(415:415), COLUMN(415:415)), ISNUMBER(415:415)),
  _xlpm.elos, INDEX(414:414,1,_xlpm.colj),
  _xlpm.diffscale, Constantes!$B$2,
  IF(AD415="",
    "",
    SUM(1/(1+POWER(10,-(AD414-_xlpm.elos)/_xlpm.diffscale)))-0.5)
)</f>
        <v/>
      </c>
      <c r="AE416" t="str" cm="1">
        <f t="array" ref="AE416">_xlfn.LET(
  _xlpm.colj, _xlfn._xlws.FILTER(IF(ISNUMBER(415:415), COLUMN(415:415)), ISNUMBER(415:415)),
  _xlpm.elos, INDEX(414:414,1,_xlpm.colj),
  _xlpm.diffscale, Constantes!$B$2,
  IF(AE415="",
    "",
    SUM(1/(1+POWER(10,-(AE414-_xlpm.elos)/_xlpm.diffscale)))-0.5)
)</f>
        <v/>
      </c>
      <c r="AF416" t="str" cm="1">
        <f t="array" ref="AF416">_xlfn.LET(
  _xlpm.colj, _xlfn._xlws.FILTER(IF(ISNUMBER(415:415), COLUMN(415:415)), ISNUMBER(415:415)),
  _xlpm.elos, INDEX(414:414,1,_xlpm.colj),
  _xlpm.diffscale, Constantes!$B$2,
  IF(AF415="",
    "",
    SUM(1/(1+POWER(10,-(AF414-_xlpm.elos)/_xlpm.diffscale)))-0.5)
)</f>
        <v/>
      </c>
      <c r="AG416" t="str" cm="1">
        <f t="array" ref="AG416">_xlfn.LET(
  _xlpm.colj, _xlfn._xlws.FILTER(IF(ISNUMBER(415:415), COLUMN(415:415)), ISNUMBER(415:415)),
  _xlpm.elos, INDEX(414:414,1,_xlpm.colj),
  _xlpm.diffscale, Constantes!$B$2,
  IF(AG415="",
    "",
    SUM(1/(1+POWER(10,-(AG414-_xlpm.elos)/_xlpm.diffscale)))-0.5)
)</f>
        <v/>
      </c>
      <c r="AH416" t="str" cm="1">
        <f t="array" ref="AH416">_xlfn.LET(
  _xlpm.colj, _xlfn._xlws.FILTER(IF(ISNUMBER(415:415), COLUMN(415:415)), ISNUMBER(415:415)),
  _xlpm.elos, INDEX(414:414,1,_xlpm.colj),
  _xlpm.diffscale, Constantes!$B$2,
  IF(AH415="",
    "",
    SUM(1/(1+POWER(10,-(AH414-_xlpm.elos)/_xlpm.diffscale)))-0.5)
)</f>
        <v/>
      </c>
      <c r="AI416" cm="1">
        <f t="array" ref="AI416">_xlfn.LET(
  _xlpm.colj, _xlfn._xlws.FILTER(IF(ISNUMBER(415:415), COLUMN(415:415)), ISNUMBER(415:415)),
  _xlpm.elos, INDEX(414:414,1,_xlpm.colj),
  _xlpm.diffscale, Constantes!$B$2,
  IF(AI415="",
    "",
    SUM(1/(1+POWER(10,-(AI414-_xlpm.elos)/_xlpm.diffscale)))-0.5)
)</f>
        <v>1.3546543500813431</v>
      </c>
      <c r="AJ416" t="str" cm="1">
        <f t="array" ref="AJ416">_xlfn.LET(
  _xlpm.colj, _xlfn._xlws.FILTER(IF(ISNUMBER(415:415), COLUMN(415:415)), ISNUMBER(415:415)),
  _xlpm.elos, INDEX(414:414,1,_xlpm.colj),
  _xlpm.diffscale, Constantes!$B$2,
  IF(AJ415="",
    "",
    SUM(1/(1+POWER(10,-(AJ414-_xlpm.elos)/_xlpm.diffscale)))-0.5)
)</f>
        <v/>
      </c>
      <c r="AK416" t="str" cm="1">
        <f t="array" ref="AK416">_xlfn.LET(
  _xlpm.colj, _xlfn._xlws.FILTER(IF(ISNUMBER(415:415), COLUMN(415:415)), ISNUMBER(415:415)),
  _xlpm.elos, INDEX(414:414,1,_xlpm.colj),
  _xlpm.diffscale, Constantes!$B$2,
  IF(AK415="",
    "",
    SUM(1/(1+POWER(10,-(AK414-_xlpm.elos)/_xlpm.diffscale)))-0.5)
)</f>
        <v/>
      </c>
      <c r="AL416" t="str" cm="1">
        <f t="array" ref="AL416">_xlfn.LET(
  _xlpm.colj, _xlfn._xlws.FILTER(IF(ISNUMBER(415:415), COLUMN(415:415)), ISNUMBER(415:415)),
  _xlpm.elos, INDEX(414:414,1,_xlpm.colj),
  _xlpm.diffscale, Constantes!$B$2,
  IF(AL415="",
    "",
    SUM(1/(1+POWER(10,-(AL414-_xlpm.elos)/_xlpm.diffscale)))-0.5)
)</f>
        <v/>
      </c>
      <c r="AM416" t="str" cm="1">
        <f t="array" ref="AM416">_xlfn.LET(
  _xlpm.colj, _xlfn._xlws.FILTER(IF(ISNUMBER(415:415), COLUMN(415:415)), ISNUMBER(415:415)),
  _xlpm.elos, INDEX(414:414,1,_xlpm.colj),
  _xlpm.diffscale, Constantes!$B$2,
  IF(AM415="",
    "",
    SUM(1/(1+POWER(10,-(AM414-_xlpm.elos)/_xlpm.diffscale)))-0.5)
)</f>
        <v/>
      </c>
    </row>
    <row r="417" spans="1:39" x14ac:dyDescent="0.25">
      <c r="A417" t="s">
        <v>22</v>
      </c>
      <c r="D417" t="str" cm="1">
        <f t="array" ref="D417">_xlfn.LET(
  _xlpm.K, Constantes!$B$3,
  _xlpm.Knewgain, Constantes!$B$4,
  _xlpm.Knewscale, Constantes!$B$5,
  _xlpm.ptstables, INDEX(D:D, _xlfn.SEQUENCE(COUNTA($C$2:$C417), 1, 3, 4)),
  _xlpm.nbparties, COUNTA(_xlfn._xlws.FILTER(_xlpm.ptstables, _xlpm.ptstables &lt;&gt; "")),
  _xlpm.coef, _xlpm.K + _xlpm.Knewgain / (_xlpm.Knewscale + _xlpm.nbparties),
  IF(D415="",
    "",
    _xlpm.coef * (D415-D416))
)</f>
        <v/>
      </c>
      <c r="E417" t="str" cm="1">
        <f t="array" ref="E417">_xlfn.LET(
  _xlpm.K, Constantes!$B$3,
  _xlpm.Knewgain, Constantes!$B$4,
  _xlpm.Knewscale, Constantes!$B$5,
  _xlpm.ptstables, INDEX(E:E, _xlfn.SEQUENCE(COUNTA($C$2:$C417), 1, 3, 4)),
  _xlpm.nbparties, COUNTA(_xlfn._xlws.FILTER(_xlpm.ptstables, _xlpm.ptstables &lt;&gt; "")),
  _xlpm.coef, _xlpm.K + _xlpm.Knewgain / (_xlpm.Knewscale + _xlpm.nbparties),
  IF(E415="",
    "",
    _xlpm.coef * (E415-E416))
)</f>
        <v/>
      </c>
      <c r="F417" t="str" cm="1">
        <f t="array" ref="F417">_xlfn.LET(
  _xlpm.K, Constantes!$B$3,
  _xlpm.Knewgain, Constantes!$B$4,
  _xlpm.Knewscale, Constantes!$B$5,
  _xlpm.ptstables, INDEX(F:F, _xlfn.SEQUENCE(COUNTA($C$2:$C417), 1, 3, 4)),
  _xlpm.nbparties, COUNTA(_xlfn._xlws.FILTER(_xlpm.ptstables, _xlpm.ptstables &lt;&gt; "")),
  _xlpm.coef, _xlpm.K + _xlpm.Knewgain / (_xlpm.Knewscale + _xlpm.nbparties),
  IF(F415="",
    "",
    _xlpm.coef * (F415-F416))
)</f>
        <v/>
      </c>
      <c r="G417" t="str" cm="1">
        <f t="array" ref="G417">_xlfn.LET(
  _xlpm.K, Constantes!$B$3,
  _xlpm.Knewgain, Constantes!$B$4,
  _xlpm.Knewscale, Constantes!$B$5,
  _xlpm.ptstables, INDEX(G:G, _xlfn.SEQUENCE(COUNTA($C$2:$C417), 1, 3, 4)),
  _xlpm.nbparties, COUNTA(_xlfn._xlws.FILTER(_xlpm.ptstables, _xlpm.ptstables &lt;&gt; "")),
  _xlpm.coef, _xlpm.K + _xlpm.Knewgain / (_xlpm.Knewscale + _xlpm.nbparties),
  IF(G415="",
    "",
    _xlpm.coef * (G415-G416))
)</f>
        <v/>
      </c>
      <c r="H417" t="str" cm="1">
        <f t="array" ref="H417">_xlfn.LET(
  _xlpm.K, Constantes!$B$3,
  _xlpm.Knewgain, Constantes!$B$4,
  _xlpm.Knewscale, Constantes!$B$5,
  _xlpm.ptstables, INDEX(H:H, _xlfn.SEQUENCE(COUNTA($C$2:$C417), 1, 3, 4)),
  _xlpm.nbparties, COUNTA(_xlfn._xlws.FILTER(_xlpm.ptstables, _xlpm.ptstables &lt;&gt; "")),
  _xlpm.coef, _xlpm.K + _xlpm.Knewgain / (_xlpm.Knewscale + _xlpm.nbparties),
  IF(H415="",
    "",
    _xlpm.coef * (H415-H416))
)</f>
        <v/>
      </c>
      <c r="I417" cm="1">
        <f t="array" ref="I417">_xlfn.LET(
  _xlpm.K, Constantes!$B$3,
  _xlpm.Knewgain, Constantes!$B$4,
  _xlpm.Knewscale, Constantes!$B$5,
  _xlpm.ptstables, INDEX(I:I, _xlfn.SEQUENCE(COUNTA($C$2:$C417), 1, 3, 4)),
  _xlpm.nbparties, COUNTA(_xlfn._xlws.FILTER(_xlpm.ptstables, _xlpm.ptstables &lt;&gt; "")),
  _xlpm.coef, _xlpm.K + _xlpm.Knewgain / (_xlpm.Knewscale + _xlpm.nbparties),
  IF(I415="",
    "",
    _xlpm.coef * (I415-I416))
)</f>
        <v>20.038758095352176</v>
      </c>
      <c r="J417" t="str" cm="1">
        <f t="array" ref="J417">_xlfn.LET(
  _xlpm.K, Constantes!$B$3,
  _xlpm.Knewgain, Constantes!$B$4,
  _xlpm.Knewscale, Constantes!$B$5,
  _xlpm.ptstables, INDEX(J:J, _xlfn.SEQUENCE(COUNTA($C$2:$C417), 1, 3, 4)),
  _xlpm.nbparties, COUNTA(_xlfn._xlws.FILTER(_xlpm.ptstables, _xlpm.ptstables &lt;&gt; "")),
  _xlpm.coef, _xlpm.K + _xlpm.Knewgain / (_xlpm.Knewscale + _xlpm.nbparties),
  IF(J415="",
    "",
    _xlpm.coef * (J415-J416))
)</f>
        <v/>
      </c>
      <c r="K417" t="str" cm="1">
        <f t="array" ref="K417">_xlfn.LET(
  _xlpm.K, Constantes!$B$3,
  _xlpm.Knewgain, Constantes!$B$4,
  _xlpm.Knewscale, Constantes!$B$5,
  _xlpm.ptstables, INDEX(K:K, _xlfn.SEQUENCE(COUNTA($C$2:$C417), 1, 3, 4)),
  _xlpm.nbparties, COUNTA(_xlfn._xlws.FILTER(_xlpm.ptstables, _xlpm.ptstables &lt;&gt; "")),
  _xlpm.coef, _xlpm.K + _xlpm.Knewgain / (_xlpm.Knewscale + _xlpm.nbparties),
  IF(K415="",
    "",
    _xlpm.coef * (K415-K416))
)</f>
        <v/>
      </c>
      <c r="L417" t="str" cm="1">
        <f t="array" ref="L417">_xlfn.LET(
  _xlpm.K, Constantes!$B$3,
  _xlpm.Knewgain, Constantes!$B$4,
  _xlpm.Knewscale, Constantes!$B$5,
  _xlpm.ptstables, INDEX(L:L, _xlfn.SEQUENCE(COUNTA($C$2:$C417), 1, 3, 4)),
  _xlpm.nbparties, COUNTA(_xlfn._xlws.FILTER(_xlpm.ptstables, _xlpm.ptstables &lt;&gt; "")),
  _xlpm.coef, _xlpm.K + _xlpm.Knewgain / (_xlpm.Knewscale + _xlpm.nbparties),
  IF(L415="",
    "",
    _xlpm.coef * (L415-L416))
)</f>
        <v/>
      </c>
      <c r="M417" t="str" cm="1">
        <f t="array" ref="M417">_xlfn.LET(
  _xlpm.K, Constantes!$B$3,
  _xlpm.Knewgain, Constantes!$B$4,
  _xlpm.Knewscale, Constantes!$B$5,
  _xlpm.ptstables, INDEX(M:M, _xlfn.SEQUENCE(COUNTA($C$2:$C417), 1, 3, 4)),
  _xlpm.nbparties, COUNTA(_xlfn._xlws.FILTER(_xlpm.ptstables, _xlpm.ptstables &lt;&gt; "")),
  _xlpm.coef, _xlpm.K + _xlpm.Knewgain / (_xlpm.Knewscale + _xlpm.nbparties),
  IF(M415="",
    "",
    _xlpm.coef * (M415-M416))
)</f>
        <v/>
      </c>
      <c r="N417" t="str" cm="1">
        <f t="array" ref="N417">_xlfn.LET(
  _xlpm.K, Constantes!$B$3,
  _xlpm.Knewgain, Constantes!$B$4,
  _xlpm.Knewscale, Constantes!$B$5,
  _xlpm.ptstables, INDEX(N:N, _xlfn.SEQUENCE(COUNTA($C$2:$C417), 1, 3, 4)),
  _xlpm.nbparties, COUNTA(_xlfn._xlws.FILTER(_xlpm.ptstables, _xlpm.ptstables &lt;&gt; "")),
  _xlpm.coef, _xlpm.K + _xlpm.Knewgain / (_xlpm.Knewscale + _xlpm.nbparties),
  IF(N415="",
    "",
    _xlpm.coef * (N415-N416))
)</f>
        <v/>
      </c>
      <c r="O417" t="str" cm="1">
        <f t="array" ref="O417">_xlfn.LET(
  _xlpm.K, Constantes!$B$3,
  _xlpm.Knewgain, Constantes!$B$4,
  _xlpm.Knewscale, Constantes!$B$5,
  _xlpm.ptstables, INDEX(O:O, _xlfn.SEQUENCE(COUNTA($C$2:$C417), 1, 3, 4)),
  _xlpm.nbparties, COUNTA(_xlfn._xlws.FILTER(_xlpm.ptstables, _xlpm.ptstables &lt;&gt; "")),
  _xlpm.coef, _xlpm.K + _xlpm.Knewgain / (_xlpm.Knewscale + _xlpm.nbparties),
  IF(O415="",
    "",
    _xlpm.coef * (O415-O416))
)</f>
        <v/>
      </c>
      <c r="P417" t="str" cm="1">
        <f t="array" ref="P417">_xlfn.LET(
  _xlpm.K, Constantes!$B$3,
  _xlpm.Knewgain, Constantes!$B$4,
  _xlpm.Knewscale, Constantes!$B$5,
  _xlpm.ptstables, INDEX(P:P, _xlfn.SEQUENCE(COUNTA($C$2:$C417), 1, 3, 4)),
  _xlpm.nbparties, COUNTA(_xlfn._xlws.FILTER(_xlpm.ptstables, _xlpm.ptstables &lt;&gt; "")),
  _xlpm.coef, _xlpm.K + _xlpm.Knewgain / (_xlpm.Knewscale + _xlpm.nbparties),
  IF(P415="",
    "",
    _xlpm.coef * (P415-P416))
)</f>
        <v/>
      </c>
      <c r="Q417" t="str" cm="1">
        <f t="array" ref="Q417">_xlfn.LET(
  _xlpm.K, Constantes!$B$3,
  _xlpm.Knewgain, Constantes!$B$4,
  _xlpm.Knewscale, Constantes!$B$5,
  _xlpm.ptstables, INDEX(Q:Q, _xlfn.SEQUENCE(COUNTA($C$2:$C417), 1, 3, 4)),
  _xlpm.nbparties, COUNTA(_xlfn._xlws.FILTER(_xlpm.ptstables, _xlpm.ptstables &lt;&gt; "")),
  _xlpm.coef, _xlpm.K + _xlpm.Knewgain / (_xlpm.Knewscale + _xlpm.nbparties),
  IF(Q415="",
    "",
    _xlpm.coef * (Q415-Q416))
)</f>
        <v/>
      </c>
      <c r="R417" cm="1">
        <f t="array" ref="R417">_xlfn.LET(
  _xlpm.K, Constantes!$B$3,
  _xlpm.Knewgain, Constantes!$B$4,
  _xlpm.Knewscale, Constantes!$B$5,
  _xlpm.ptstables, INDEX(R:R, _xlfn.SEQUENCE(COUNTA($C$2:$C417), 1, 3, 4)),
  _xlpm.nbparties, COUNTA(_xlfn._xlws.FILTER(_xlpm.ptstables, _xlpm.ptstables &lt;&gt; "")),
  _xlpm.coef, _xlpm.K + _xlpm.Knewgain / (_xlpm.Knewscale + _xlpm.nbparties),
  IF(R415="",
    "",
    _xlpm.coef * (R415-R416))
)</f>
        <v>-19.949883525132616</v>
      </c>
      <c r="S417" cm="1">
        <f t="array" ref="S417">_xlfn.LET(
  _xlpm.K, Constantes!$B$3,
  _xlpm.Knewgain, Constantes!$B$4,
  _xlpm.Knewscale, Constantes!$B$5,
  _xlpm.ptstables, INDEX(S:S, _xlfn.SEQUENCE(COUNTA($C$2:$C417), 1, 3, 4)),
  _xlpm.nbparties, COUNTA(_xlfn._xlws.FILTER(_xlpm.ptstables, _xlpm.ptstables &lt;&gt; "")),
  _xlpm.coef, _xlpm.K + _xlpm.Knewgain / (_xlpm.Knewscale + _xlpm.nbparties),
  IF(S415="",
    "",
    _xlpm.coef * (S415-S416))
)</f>
        <v>30.616066528399138</v>
      </c>
      <c r="T417" t="str" cm="1">
        <f t="array" ref="T417">_xlfn.LET(
  _xlpm.K, Constantes!$B$3,
  _xlpm.Knewgain, Constantes!$B$4,
  _xlpm.Knewscale, Constantes!$B$5,
  _xlpm.ptstables, INDEX(T:T, _xlfn.SEQUENCE(COUNTA($C$2:$C417), 1, 3, 4)),
  _xlpm.nbparties, COUNTA(_xlfn._xlws.FILTER(_xlpm.ptstables, _xlpm.ptstables &lt;&gt; "")),
  _xlpm.coef, _xlpm.K + _xlpm.Knewgain / (_xlpm.Knewscale + _xlpm.nbparties),
  IF(T415="",
    "",
    _xlpm.coef * (T415-T416))
)</f>
        <v/>
      </c>
      <c r="U417" t="str" cm="1">
        <f t="array" ref="U417">_xlfn.LET(
  _xlpm.K, Constantes!$B$3,
  _xlpm.Knewgain, Constantes!$B$4,
  _xlpm.Knewscale, Constantes!$B$5,
  _xlpm.ptstables, INDEX(U:U, _xlfn.SEQUENCE(COUNTA($C$2:$C417), 1, 3, 4)),
  _xlpm.nbparties, COUNTA(_xlfn._xlws.FILTER(_xlpm.ptstables, _xlpm.ptstables &lt;&gt; "")),
  _xlpm.coef, _xlpm.K + _xlpm.Knewgain / (_xlpm.Knewscale + _xlpm.nbparties),
  IF(U415="",
    "",
    _xlpm.coef * (U415-U416))
)</f>
        <v/>
      </c>
      <c r="V417" t="str" cm="1">
        <f t="array" ref="V417">_xlfn.LET(
  _xlpm.K, Constantes!$B$3,
  _xlpm.Knewgain, Constantes!$B$4,
  _xlpm.Knewscale, Constantes!$B$5,
  _xlpm.ptstables, INDEX(V:V, _xlfn.SEQUENCE(COUNTA($C$2:$C417), 1, 3, 4)),
  _xlpm.nbparties, COUNTA(_xlfn._xlws.FILTER(_xlpm.ptstables, _xlpm.ptstables &lt;&gt; "")),
  _xlpm.coef, _xlpm.K + _xlpm.Knewgain / (_xlpm.Knewscale + _xlpm.nbparties),
  IF(V415="",
    "",
    _xlpm.coef * (V415-V416))
)</f>
        <v/>
      </c>
      <c r="W417" t="str" cm="1">
        <f t="array" ref="W417">_xlfn.LET(
  _xlpm.K, Constantes!$B$3,
  _xlpm.Knewgain, Constantes!$B$4,
  _xlpm.Knewscale, Constantes!$B$5,
  _xlpm.ptstables, INDEX(W:W, _xlfn.SEQUENCE(COUNTA($C$2:$C417), 1, 3, 4)),
  _xlpm.nbparties, COUNTA(_xlfn._xlws.FILTER(_xlpm.ptstables, _xlpm.ptstables &lt;&gt; "")),
  _xlpm.coef, _xlpm.K + _xlpm.Knewgain / (_xlpm.Knewscale + _xlpm.nbparties),
  IF(W415="",
    "",
    _xlpm.coef * (W415-W416))
)</f>
        <v/>
      </c>
      <c r="X417" t="str" cm="1">
        <f t="array" ref="X417">_xlfn.LET(
  _xlpm.K, Constantes!$B$3,
  _xlpm.Knewgain, Constantes!$B$4,
  _xlpm.Knewscale, Constantes!$B$5,
  _xlpm.ptstables, INDEX(X:X, _xlfn.SEQUENCE(COUNTA($C$2:$C417), 1, 3, 4)),
  _xlpm.nbparties, COUNTA(_xlfn._xlws.FILTER(_xlpm.ptstables, _xlpm.ptstables &lt;&gt; "")),
  _xlpm.coef, _xlpm.K + _xlpm.Knewgain / (_xlpm.Knewscale + _xlpm.nbparties),
  IF(X415="",
    "",
    _xlpm.coef * (X415-X416))
)</f>
        <v/>
      </c>
      <c r="Y417" t="str" cm="1">
        <f t="array" ref="Y417">_xlfn.LET(
  _xlpm.K, Constantes!$B$3,
  _xlpm.Knewgain, Constantes!$B$4,
  _xlpm.Knewscale, Constantes!$B$5,
  _xlpm.ptstables, INDEX(Y:Y, _xlfn.SEQUENCE(COUNTA($C$2:$C417), 1, 3, 4)),
  _xlpm.nbparties, COUNTA(_xlfn._xlws.FILTER(_xlpm.ptstables, _xlpm.ptstables &lt;&gt; "")),
  _xlpm.coef, _xlpm.K + _xlpm.Knewgain / (_xlpm.Knewscale + _xlpm.nbparties),
  IF(Y415="",
    "",
    _xlpm.coef * (Y415-Y416))
)</f>
        <v/>
      </c>
      <c r="Z417" t="str" cm="1">
        <f t="array" ref="Z417">_xlfn.LET(
  _xlpm.K, Constantes!$B$3,
  _xlpm.Knewgain, Constantes!$B$4,
  _xlpm.Knewscale, Constantes!$B$5,
  _xlpm.ptstables, INDEX(Z:Z, _xlfn.SEQUENCE(COUNTA($C$2:$C417), 1, 3, 4)),
  _xlpm.nbparties, COUNTA(_xlfn._xlws.FILTER(_xlpm.ptstables, _xlpm.ptstables &lt;&gt; "")),
  _xlpm.coef, _xlpm.K + _xlpm.Knewgain / (_xlpm.Knewscale + _xlpm.nbparties),
  IF(Z415="",
    "",
    _xlpm.coef * (Z415-Z416))
)</f>
        <v/>
      </c>
      <c r="AA417" t="str" cm="1">
        <f t="array" ref="AA417">_xlfn.LET(
  _xlpm.K, Constantes!$B$3,
  _xlpm.Knewgain, Constantes!$B$4,
  _xlpm.Knewscale, Constantes!$B$5,
  _xlpm.ptstables, INDEX(AA:AA, _xlfn.SEQUENCE(COUNTA($C$2:$C417), 1, 3, 4)),
  _xlpm.nbparties, COUNTA(_xlfn._xlws.FILTER(_xlpm.ptstables, _xlpm.ptstables &lt;&gt; "")),
  _xlpm.coef, _xlpm.K + _xlpm.Knewgain / (_xlpm.Knewscale + _xlpm.nbparties),
  IF(AA415="",
    "",
    _xlpm.coef * (AA415-AA416))
)</f>
        <v/>
      </c>
      <c r="AB417" t="str" cm="1">
        <f t="array" ref="AB417">_xlfn.LET(
  _xlpm.K, Constantes!$B$3,
  _xlpm.Knewgain, Constantes!$B$4,
  _xlpm.Knewscale, Constantes!$B$5,
  _xlpm.ptstables, INDEX(AB:AB, _xlfn.SEQUENCE(COUNTA($C$2:$C417), 1, 3, 4)),
  _xlpm.nbparties, COUNTA(_xlfn._xlws.FILTER(_xlpm.ptstables, _xlpm.ptstables &lt;&gt; "")),
  _xlpm.coef, _xlpm.K + _xlpm.Knewgain / (_xlpm.Knewscale + _xlpm.nbparties),
  IF(AB415="",
    "",
    _xlpm.coef * (AB415-AB416))
)</f>
        <v/>
      </c>
      <c r="AC417" t="str" cm="1">
        <f t="array" ref="AC417">_xlfn.LET(
  _xlpm.K, Constantes!$B$3,
  _xlpm.Knewgain, Constantes!$B$4,
  _xlpm.Knewscale, Constantes!$B$5,
  _xlpm.ptstables, INDEX(AC:AC, _xlfn.SEQUENCE(COUNTA($C$2:$C417), 1, 3, 4)),
  _xlpm.nbparties, COUNTA(_xlfn._xlws.FILTER(_xlpm.ptstables, _xlpm.ptstables &lt;&gt; "")),
  _xlpm.coef, _xlpm.K + _xlpm.Knewgain / (_xlpm.Knewscale + _xlpm.nbparties),
  IF(AC415="",
    "",
    _xlpm.coef * (AC415-AC416))
)</f>
        <v/>
      </c>
      <c r="AD417" t="str" cm="1">
        <f t="array" ref="AD417">_xlfn.LET(
  _xlpm.K, Constantes!$B$3,
  _xlpm.Knewgain, Constantes!$B$4,
  _xlpm.Knewscale, Constantes!$B$5,
  _xlpm.ptstables, INDEX(AD:AD, _xlfn.SEQUENCE(COUNTA($C$2:$C417), 1, 3, 4)),
  _xlpm.nbparties, COUNTA(_xlfn._xlws.FILTER(_xlpm.ptstables, _xlpm.ptstables &lt;&gt; "")),
  _xlpm.coef, _xlpm.K + _xlpm.Knewgain / (_xlpm.Knewscale + _xlpm.nbparties),
  IF(AD415="",
    "",
    _xlpm.coef * (AD415-AD416))
)</f>
        <v/>
      </c>
      <c r="AE417" t="str" cm="1">
        <f t="array" ref="AE417">_xlfn.LET(
  _xlpm.K, Constantes!$B$3,
  _xlpm.Knewgain, Constantes!$B$4,
  _xlpm.Knewscale, Constantes!$B$5,
  _xlpm.ptstables, INDEX(AE:AE, _xlfn.SEQUENCE(COUNTA($C$2:$C417), 1, 3, 4)),
  _xlpm.nbparties, COUNTA(_xlfn._xlws.FILTER(_xlpm.ptstables, _xlpm.ptstables &lt;&gt; "")),
  _xlpm.coef, _xlpm.K + _xlpm.Knewgain / (_xlpm.Knewscale + _xlpm.nbparties),
  IF(AE415="",
    "",
    _xlpm.coef * (AE415-AE416))
)</f>
        <v/>
      </c>
      <c r="AF417" t="str" cm="1">
        <f t="array" ref="AF417">_xlfn.LET(
  _xlpm.K, Constantes!$B$3,
  _xlpm.Knewgain, Constantes!$B$4,
  _xlpm.Knewscale, Constantes!$B$5,
  _xlpm.ptstables, INDEX(AF:AF, _xlfn.SEQUENCE(COUNTA($C$2:$C417), 1, 3, 4)),
  _xlpm.nbparties, COUNTA(_xlfn._xlws.FILTER(_xlpm.ptstables, _xlpm.ptstables &lt;&gt; "")),
  _xlpm.coef, _xlpm.K + _xlpm.Knewgain / (_xlpm.Knewscale + _xlpm.nbparties),
  IF(AF415="",
    "",
    _xlpm.coef * (AF415-AF416))
)</f>
        <v/>
      </c>
      <c r="AG417" t="str" cm="1">
        <f t="array" ref="AG417">_xlfn.LET(
  _xlpm.K, Constantes!$B$3,
  _xlpm.Knewgain, Constantes!$B$4,
  _xlpm.Knewscale, Constantes!$B$5,
  _xlpm.ptstables, INDEX(AG:AG, _xlfn.SEQUENCE(COUNTA($C$2:$C417), 1, 3, 4)),
  _xlpm.nbparties, COUNTA(_xlfn._xlws.FILTER(_xlpm.ptstables, _xlpm.ptstables &lt;&gt; "")),
  _xlpm.coef, _xlpm.K + _xlpm.Knewgain / (_xlpm.Knewscale + _xlpm.nbparties),
  IF(AG415="",
    "",
    _xlpm.coef * (AG415-AG416))
)</f>
        <v/>
      </c>
      <c r="AH417" t="str" cm="1">
        <f t="array" ref="AH417">_xlfn.LET(
  _xlpm.K, Constantes!$B$3,
  _xlpm.Knewgain, Constantes!$B$4,
  _xlpm.Knewscale, Constantes!$B$5,
  _xlpm.ptstables, INDEX(AH:AH, _xlfn.SEQUENCE(COUNTA($C$2:$C417), 1, 3, 4)),
  _xlpm.nbparties, COUNTA(_xlfn._xlws.FILTER(_xlpm.ptstables, _xlpm.ptstables &lt;&gt; "")),
  _xlpm.coef, _xlpm.K + _xlpm.Knewgain / (_xlpm.Knewscale + _xlpm.nbparties),
  IF(AH415="",
    "",
    _xlpm.coef * (AH415-AH416))
)</f>
        <v/>
      </c>
      <c r="AI417" cm="1">
        <f t="array" ref="AI417">_xlfn.LET(
  _xlpm.K, Constantes!$B$3,
  _xlpm.Knewgain, Constantes!$B$4,
  _xlpm.Knewscale, Constantes!$B$5,
  _xlpm.ptstables, INDEX(AI:AI, _xlfn.SEQUENCE(COUNTA($C$2:$C417), 1, 3, 4)),
  _xlpm.nbparties, COUNTA(_xlfn._xlws.FILTER(_xlpm.ptstables, _xlpm.ptstables &lt;&gt; "")),
  _xlpm.coef, _xlpm.K + _xlpm.Knewgain / (_xlpm.Knewscale + _xlpm.nbparties),
  IF(AI415="",
    "",
    _xlpm.coef * (AI415-AI416))
)</f>
        <v>-31.077364501866107</v>
      </c>
      <c r="AJ417" t="str" cm="1">
        <f t="array" ref="AJ417">_xlfn.LET(
  _xlpm.K, Constantes!$B$3,
  _xlpm.Knewgain, Constantes!$B$4,
  _xlpm.Knewscale, Constantes!$B$5,
  _xlpm.ptstables, INDEX(AJ:AJ, _xlfn.SEQUENCE(COUNTA($C$2:$C417), 1, 3, 4)),
  _xlpm.nbparties, COUNTA(_xlfn._xlws.FILTER(_xlpm.ptstables, _xlpm.ptstables &lt;&gt; "")),
  _xlpm.coef, _xlpm.K + _xlpm.Knewgain / (_xlpm.Knewscale + _xlpm.nbparties),
  IF(AJ415="",
    "",
    _xlpm.coef * (AJ415-AJ416))
)</f>
        <v/>
      </c>
      <c r="AK417" t="str" cm="1">
        <f t="array" ref="AK417">_xlfn.LET(
  _xlpm.K, Constantes!$B$3,
  _xlpm.Knewgain, Constantes!$B$4,
  _xlpm.Knewscale, Constantes!$B$5,
  _xlpm.ptstables, INDEX(AK:AK, _xlfn.SEQUENCE(COUNTA($C$2:$C417), 1, 3, 4)),
  _xlpm.nbparties, COUNTA(_xlfn._xlws.FILTER(_xlpm.ptstables, _xlpm.ptstables &lt;&gt; "")),
  _xlpm.coef, _xlpm.K + _xlpm.Knewgain / (_xlpm.Knewscale + _xlpm.nbparties),
  IF(AK415="",
    "",
    _xlpm.coef * (AK415-AK416))
)</f>
        <v/>
      </c>
      <c r="AL417" t="str" cm="1">
        <f t="array" ref="AL417">_xlfn.LET(
  _xlpm.K, Constantes!$B$3,
  _xlpm.Knewgain, Constantes!$B$4,
  _xlpm.Knewscale, Constantes!$B$5,
  _xlpm.ptstables, INDEX(AL:AL, _xlfn.SEQUENCE(COUNTA($C$2:$C417), 1, 3, 4)),
  _xlpm.nbparties, COUNTA(_xlfn._xlws.FILTER(_xlpm.ptstables, _xlpm.ptstables &lt;&gt; "")),
  _xlpm.coef, _xlpm.K + _xlpm.Knewgain / (_xlpm.Knewscale + _xlpm.nbparties),
  IF(AL415="",
    "",
    _xlpm.coef * (AL415-AL416))
)</f>
        <v/>
      </c>
      <c r="AM417" t="str" cm="1">
        <f t="array" ref="AM417">_xlfn.LET(
  _xlpm.K, Constantes!$B$3,
  _xlpm.Knewgain, Constantes!$B$4,
  _xlpm.Knewscale, Constantes!$B$5,
  _xlpm.ptstables, INDEX(AM:AM, _xlfn.SEQUENCE(COUNTA($C$2:$C417), 1, 3, 4)),
  _xlpm.nbparties, COUNTA(_xlfn._xlws.FILTER(_xlpm.ptstables, _xlpm.ptstables &lt;&gt; "")),
  _xlpm.coef, _xlpm.K + _xlpm.Knewgain / (_xlpm.Knewscale + _xlpm.nbparties),
  IF(AM415="",
    "",
    _xlpm.coef * (AM415-AM416))
)</f>
        <v/>
      </c>
    </row>
    <row r="418" spans="1:39" x14ac:dyDescent="0.25">
      <c r="A418" t="s">
        <v>14</v>
      </c>
      <c r="B418" t="str" cm="1">
        <f t="array" ref="B41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105</v>
      </c>
      <c r="C418" s="2" cm="1">
        <f t="array" ref="C418">IF(B418="","",
  INDEX(Donnees!F:F, MATCH(B418, Donnees!F:F, 0)+1))</f>
        <v>45962.591736111113</v>
      </c>
      <c r="D418">
        <f t="shared" ref="D418:AM418" si="112">D414+IF(D417="",0,D417)</f>
        <v>968.82938141395095</v>
      </c>
      <c r="E418">
        <f t="shared" si="112"/>
        <v>1196.4195973781996</v>
      </c>
      <c r="F418">
        <f t="shared" si="112"/>
        <v>911.8835833951041</v>
      </c>
      <c r="G418">
        <f t="shared" si="112"/>
        <v>1061.9525561512175</v>
      </c>
      <c r="H418">
        <f t="shared" si="112"/>
        <v>1121.8561093296914</v>
      </c>
      <c r="I418">
        <f t="shared" si="112"/>
        <v>932.85440141548781</v>
      </c>
      <c r="J418">
        <f t="shared" si="112"/>
        <v>1032.4323210923594</v>
      </c>
      <c r="K418">
        <f t="shared" si="112"/>
        <v>1076.8546837336262</v>
      </c>
      <c r="L418">
        <f t="shared" si="112"/>
        <v>783.12422360152641</v>
      </c>
      <c r="M418">
        <f t="shared" si="112"/>
        <v>874.31051832077719</v>
      </c>
      <c r="N418">
        <f t="shared" si="112"/>
        <v>899.98370646249032</v>
      </c>
      <c r="O418">
        <f t="shared" si="112"/>
        <v>997.04050320786712</v>
      </c>
      <c r="P418">
        <f t="shared" si="112"/>
        <v>987.86278180042575</v>
      </c>
      <c r="Q418">
        <f t="shared" si="112"/>
        <v>1051.0755127018197</v>
      </c>
      <c r="R418">
        <f t="shared" si="112"/>
        <v>1033.0869533375633</v>
      </c>
      <c r="S418">
        <f t="shared" si="112"/>
        <v>1026.8363504234503</v>
      </c>
      <c r="T418">
        <f t="shared" si="112"/>
        <v>1125.604709757928</v>
      </c>
      <c r="U418">
        <f t="shared" si="112"/>
        <v>1190.3972637866154</v>
      </c>
      <c r="V418">
        <f t="shared" si="112"/>
        <v>969.67171739286073</v>
      </c>
      <c r="W418">
        <f t="shared" si="112"/>
        <v>882.29253769067657</v>
      </c>
      <c r="X418">
        <f t="shared" si="112"/>
        <v>828.97598039785271</v>
      </c>
      <c r="Y418">
        <f t="shared" si="112"/>
        <v>903.14348714035714</v>
      </c>
      <c r="Z418">
        <f t="shared" si="112"/>
        <v>1008.6876849635962</v>
      </c>
      <c r="AA418">
        <f t="shared" si="112"/>
        <v>976.40065260504912</v>
      </c>
      <c r="AB418">
        <f t="shared" si="112"/>
        <v>988.35669729544747</v>
      </c>
      <c r="AC418">
        <f t="shared" si="112"/>
        <v>992.29252562358954</v>
      </c>
      <c r="AD418">
        <f t="shared" si="112"/>
        <v>1093.8192243082785</v>
      </c>
      <c r="AE418">
        <f t="shared" si="112"/>
        <v>963.23981965000235</v>
      </c>
      <c r="AF418">
        <f t="shared" si="112"/>
        <v>1094.8196847516158</v>
      </c>
      <c r="AG418">
        <f t="shared" si="112"/>
        <v>958.23078604304851</v>
      </c>
      <c r="AH418">
        <f t="shared" si="112"/>
        <v>920.4412636682855</v>
      </c>
      <c r="AI418">
        <f t="shared" si="112"/>
        <v>921.70040944956304</v>
      </c>
      <c r="AJ418">
        <f t="shared" si="112"/>
        <v>906.86354201913434</v>
      </c>
      <c r="AK418">
        <f t="shared" si="112"/>
        <v>1074.0069367206956</v>
      </c>
      <c r="AL418">
        <f t="shared" si="112"/>
        <v>1025.7817971572972</v>
      </c>
      <c r="AM418">
        <f t="shared" si="112"/>
        <v>930.08392160706046</v>
      </c>
    </row>
    <row r="419" spans="1:39" x14ac:dyDescent="0.25">
      <c r="A419" t="s">
        <v>21</v>
      </c>
      <c r="D419" t="str" cm="1">
        <f t="array" ref="D419">IFERROR(
  _xlfn.LET(
    _xlpm.ligpartie, MATCH($B418, Donnees!$F:$F, 0),
    _xlpm.joueurs, INDEX(Donnees!$A:$Z, _xlpm.ligpartie+1, _xlfn.SEQUENCE(1, 4, 2)),
    INDEX(
      Donnees!$A:$Z,
      _xlpm.ligpartie + 3,
      MATCH(D$1, _xlpm.joueurs, 0) + 1
    )
  ), ""
)</f>
        <v/>
      </c>
      <c r="E419" t="str" cm="1">
        <f t="array" ref="E419">IFERROR(
  _xlfn.LET(
    _xlpm.ligpartie, MATCH($B418, Donnees!$F:$F, 0),
    _xlpm.joueurs, INDEX(Donnees!$A:$Z, _xlpm.ligpartie+1, _xlfn.SEQUENCE(1, 4, 2)),
    INDEX(
      Donnees!$A:$Z,
      _xlpm.ligpartie + 3,
      MATCH(E$1, _xlpm.joueurs, 0) + 1
    )
  ), ""
)</f>
        <v/>
      </c>
      <c r="F419" t="str" cm="1">
        <f t="array" ref="F419">IFERROR(
  _xlfn.LET(
    _xlpm.ligpartie, MATCH($B418, Donnees!$F:$F, 0),
    _xlpm.joueurs, INDEX(Donnees!$A:$Z, _xlpm.ligpartie+1, _xlfn.SEQUENCE(1, 4, 2)),
    INDEX(
      Donnees!$A:$Z,
      _xlpm.ligpartie + 3,
      MATCH(F$1, _xlpm.joueurs, 0) + 1
    )
  ), ""
)</f>
        <v/>
      </c>
      <c r="G419" t="str" cm="1">
        <f t="array" ref="G419">IFERROR(
  _xlfn.LET(
    _xlpm.ligpartie, MATCH($B418, Donnees!$F:$F, 0),
    _xlpm.joueurs, INDEX(Donnees!$A:$Z, _xlpm.ligpartie+1, _xlfn.SEQUENCE(1, 4, 2)),
    INDEX(
      Donnees!$A:$Z,
      _xlpm.ligpartie + 3,
      MATCH(G$1, _xlpm.joueurs, 0) + 1
    )
  ), ""
)</f>
        <v/>
      </c>
      <c r="H419" t="str" cm="1">
        <f t="array" ref="H419">IFERROR(
  _xlfn.LET(
    _xlpm.ligpartie, MATCH($B418, Donnees!$F:$F, 0),
    _xlpm.joueurs, INDEX(Donnees!$A:$Z, _xlpm.ligpartie+1, _xlfn.SEQUENCE(1, 4, 2)),
    INDEX(
      Donnees!$A:$Z,
      _xlpm.ligpartie + 3,
      MATCH(H$1, _xlpm.joueurs, 0) + 1
    )
  ), ""
)</f>
        <v/>
      </c>
      <c r="I419" t="str" cm="1">
        <f t="array" ref="I419">IFERROR(
  _xlfn.LET(
    _xlpm.ligpartie, MATCH($B418, Donnees!$F:$F, 0),
    _xlpm.joueurs, INDEX(Donnees!$A:$Z, _xlpm.ligpartie+1, _xlfn.SEQUENCE(1, 4, 2)),
    INDEX(
      Donnees!$A:$Z,
      _xlpm.ligpartie + 3,
      MATCH(I$1, _xlpm.joueurs, 0) + 1
    )
  ), ""
)</f>
        <v/>
      </c>
      <c r="J419" t="str" cm="1">
        <f t="array" ref="J419">IFERROR(
  _xlfn.LET(
    _xlpm.ligpartie, MATCH($B418, Donnees!$F:$F, 0),
    _xlpm.joueurs, INDEX(Donnees!$A:$Z, _xlpm.ligpartie+1, _xlfn.SEQUENCE(1, 4, 2)),
    INDEX(
      Donnees!$A:$Z,
      _xlpm.ligpartie + 3,
      MATCH(J$1, _xlpm.joueurs, 0) + 1
    )
  ), ""
)</f>
        <v/>
      </c>
      <c r="K419" t="str" cm="1">
        <f t="array" ref="K419">IFERROR(
  _xlfn.LET(
    _xlpm.ligpartie, MATCH($B418, Donnees!$F:$F, 0),
    _xlpm.joueurs, INDEX(Donnees!$A:$Z, _xlpm.ligpartie+1, _xlfn.SEQUENCE(1, 4, 2)),
    INDEX(
      Donnees!$A:$Z,
      _xlpm.ligpartie + 3,
      MATCH(K$1, _xlpm.joueurs, 0) + 1
    )
  ), ""
)</f>
        <v/>
      </c>
      <c r="L419" cm="1">
        <f t="array" ref="L419">IFERROR(
  _xlfn.LET(
    _xlpm.ligpartie, MATCH($B418, Donnees!$F:$F, 0),
    _xlpm.joueurs, INDEX(Donnees!$A:$Z, _xlpm.ligpartie+1, _xlfn.SEQUENCE(1, 4, 2)),
    INDEX(
      Donnees!$A:$Z,
      _xlpm.ligpartie + 3,
      MATCH(L$1, _xlpm.joueurs, 0) + 1
    )
  ), ""
)</f>
        <v>0</v>
      </c>
      <c r="M419" cm="1">
        <f t="array" ref="M419">IFERROR(
  _xlfn.LET(
    _xlpm.ligpartie, MATCH($B418, Donnees!$F:$F, 0),
    _xlpm.joueurs, INDEX(Donnees!$A:$Z, _xlpm.ligpartie+1, _xlfn.SEQUENCE(1, 4, 2)),
    INDEX(
      Donnees!$A:$Z,
      _xlpm.ligpartie + 3,
      MATCH(M$1, _xlpm.joueurs, 0) + 1
    )
  ), ""
)</f>
        <v>2</v>
      </c>
      <c r="N419" t="str" cm="1">
        <f t="array" ref="N419">IFERROR(
  _xlfn.LET(
    _xlpm.ligpartie, MATCH($B418, Donnees!$F:$F, 0),
    _xlpm.joueurs, INDEX(Donnees!$A:$Z, _xlpm.ligpartie+1, _xlfn.SEQUENCE(1, 4, 2)),
    INDEX(
      Donnees!$A:$Z,
      _xlpm.ligpartie + 3,
      MATCH(N$1, _xlpm.joueurs, 0) + 1
    )
  ), ""
)</f>
        <v/>
      </c>
      <c r="O419" t="str" cm="1">
        <f t="array" ref="O419">IFERROR(
  _xlfn.LET(
    _xlpm.ligpartie, MATCH($B418, Donnees!$F:$F, 0),
    _xlpm.joueurs, INDEX(Donnees!$A:$Z, _xlpm.ligpartie+1, _xlfn.SEQUENCE(1, 4, 2)),
    INDEX(
      Donnees!$A:$Z,
      _xlpm.ligpartie + 3,
      MATCH(O$1, _xlpm.joueurs, 0) + 1
    )
  ), ""
)</f>
        <v/>
      </c>
      <c r="P419" t="str" cm="1">
        <f t="array" ref="P419">IFERROR(
  _xlfn.LET(
    _xlpm.ligpartie, MATCH($B418, Donnees!$F:$F, 0),
    _xlpm.joueurs, INDEX(Donnees!$A:$Z, _xlpm.ligpartie+1, _xlfn.SEQUENCE(1, 4, 2)),
    INDEX(
      Donnees!$A:$Z,
      _xlpm.ligpartie + 3,
      MATCH(P$1, _xlpm.joueurs, 0) + 1
    )
  ), ""
)</f>
        <v/>
      </c>
      <c r="Q419" t="str" cm="1">
        <f t="array" ref="Q419">IFERROR(
  _xlfn.LET(
    _xlpm.ligpartie, MATCH($B418, Donnees!$F:$F, 0),
    _xlpm.joueurs, INDEX(Donnees!$A:$Z, _xlpm.ligpartie+1, _xlfn.SEQUENCE(1, 4, 2)),
    INDEX(
      Donnees!$A:$Z,
      _xlpm.ligpartie + 3,
      MATCH(Q$1, _xlpm.joueurs, 0) + 1
    )
  ), ""
)</f>
        <v/>
      </c>
      <c r="R419" t="str" cm="1">
        <f t="array" ref="R419">IFERROR(
  _xlfn.LET(
    _xlpm.ligpartie, MATCH($B418, Donnees!$F:$F, 0),
    _xlpm.joueurs, INDEX(Donnees!$A:$Z, _xlpm.ligpartie+1, _xlfn.SEQUENCE(1, 4, 2)),
    INDEX(
      Donnees!$A:$Z,
      _xlpm.ligpartie + 3,
      MATCH(R$1, _xlpm.joueurs, 0) + 1
    )
  ), ""
)</f>
        <v/>
      </c>
      <c r="S419" t="str" cm="1">
        <f t="array" ref="S419">IFERROR(
  _xlfn.LET(
    _xlpm.ligpartie, MATCH($B418, Donnees!$F:$F, 0),
    _xlpm.joueurs, INDEX(Donnees!$A:$Z, _xlpm.ligpartie+1, _xlfn.SEQUENCE(1, 4, 2)),
    INDEX(
      Donnees!$A:$Z,
      _xlpm.ligpartie + 3,
      MATCH(S$1, _xlpm.joueurs, 0) + 1
    )
  ), ""
)</f>
        <v/>
      </c>
      <c r="T419" t="str" cm="1">
        <f t="array" ref="T419">IFERROR(
  _xlfn.LET(
    _xlpm.ligpartie, MATCH($B418, Donnees!$F:$F, 0),
    _xlpm.joueurs, INDEX(Donnees!$A:$Z, _xlpm.ligpartie+1, _xlfn.SEQUENCE(1, 4, 2)),
    INDEX(
      Donnees!$A:$Z,
      _xlpm.ligpartie + 3,
      MATCH(T$1, _xlpm.joueurs, 0) + 1
    )
  ), ""
)</f>
        <v/>
      </c>
      <c r="U419" cm="1">
        <f t="array" ref="U419">IFERROR(
  _xlfn.LET(
    _xlpm.ligpartie, MATCH($B418, Donnees!$F:$F, 0),
    _xlpm.joueurs, INDEX(Donnees!$A:$Z, _xlpm.ligpartie+1, _xlfn.SEQUENCE(1, 4, 2)),
    INDEX(
      Donnees!$A:$Z,
      _xlpm.ligpartie + 3,
      MATCH(U$1, _xlpm.joueurs, 0) + 1
    )
  ), ""
)</f>
        <v>3</v>
      </c>
      <c r="V419" t="str" cm="1">
        <f t="array" ref="V419">IFERROR(
  _xlfn.LET(
    _xlpm.ligpartie, MATCH($B418, Donnees!$F:$F, 0),
    _xlpm.joueurs, INDEX(Donnees!$A:$Z, _xlpm.ligpartie+1, _xlfn.SEQUENCE(1, 4, 2)),
    INDEX(
      Donnees!$A:$Z,
      _xlpm.ligpartie + 3,
      MATCH(V$1, _xlpm.joueurs, 0) + 1
    )
  ), ""
)</f>
        <v/>
      </c>
      <c r="W419" cm="1">
        <f t="array" ref="W419">IFERROR(
  _xlfn.LET(
    _xlpm.ligpartie, MATCH($B418, Donnees!$F:$F, 0),
    _xlpm.joueurs, INDEX(Donnees!$A:$Z, _xlpm.ligpartie+1, _xlfn.SEQUENCE(1, 4, 2)),
    INDEX(
      Donnees!$A:$Z,
      _xlpm.ligpartie + 3,
      MATCH(W$1, _xlpm.joueurs, 0) + 1
    )
  ), ""
)</f>
        <v>1</v>
      </c>
      <c r="X419" t="str" cm="1">
        <f t="array" ref="X419">IFERROR(
  _xlfn.LET(
    _xlpm.ligpartie, MATCH($B418, Donnees!$F:$F, 0),
    _xlpm.joueurs, INDEX(Donnees!$A:$Z, _xlpm.ligpartie+1, _xlfn.SEQUENCE(1, 4, 2)),
    INDEX(
      Donnees!$A:$Z,
      _xlpm.ligpartie + 3,
      MATCH(X$1, _xlpm.joueurs, 0) + 1
    )
  ), ""
)</f>
        <v/>
      </c>
      <c r="Y419" t="str" cm="1">
        <f t="array" ref="Y419">IFERROR(
  _xlfn.LET(
    _xlpm.ligpartie, MATCH($B418, Donnees!$F:$F, 0),
    _xlpm.joueurs, INDEX(Donnees!$A:$Z, _xlpm.ligpartie+1, _xlfn.SEQUENCE(1, 4, 2)),
    INDEX(
      Donnees!$A:$Z,
      _xlpm.ligpartie + 3,
      MATCH(Y$1, _xlpm.joueurs, 0) + 1
    )
  ), ""
)</f>
        <v/>
      </c>
      <c r="Z419" t="str" cm="1">
        <f t="array" ref="Z419">IFERROR(
  _xlfn.LET(
    _xlpm.ligpartie, MATCH($B418, Donnees!$F:$F, 0),
    _xlpm.joueurs, INDEX(Donnees!$A:$Z, _xlpm.ligpartie+1, _xlfn.SEQUENCE(1, 4, 2)),
    INDEX(
      Donnees!$A:$Z,
      _xlpm.ligpartie + 3,
      MATCH(Z$1, _xlpm.joueurs, 0) + 1
    )
  ), ""
)</f>
        <v/>
      </c>
      <c r="AA419" t="str" cm="1">
        <f t="array" ref="AA419">IFERROR(
  _xlfn.LET(
    _xlpm.ligpartie, MATCH($B418, Donnees!$F:$F, 0),
    _xlpm.joueurs, INDEX(Donnees!$A:$Z, _xlpm.ligpartie+1, _xlfn.SEQUENCE(1, 4, 2)),
    INDEX(
      Donnees!$A:$Z,
      _xlpm.ligpartie + 3,
      MATCH(AA$1, _xlpm.joueurs, 0) + 1
    )
  ), ""
)</f>
        <v/>
      </c>
      <c r="AB419" t="str" cm="1">
        <f t="array" ref="AB419">IFERROR(
  _xlfn.LET(
    _xlpm.ligpartie, MATCH($B418, Donnees!$F:$F, 0),
    _xlpm.joueurs, INDEX(Donnees!$A:$Z, _xlpm.ligpartie+1, _xlfn.SEQUENCE(1, 4, 2)),
    INDEX(
      Donnees!$A:$Z,
      _xlpm.ligpartie + 3,
      MATCH(AB$1, _xlpm.joueurs, 0) + 1
    )
  ), ""
)</f>
        <v/>
      </c>
      <c r="AC419" t="str" cm="1">
        <f t="array" ref="AC419">IFERROR(
  _xlfn.LET(
    _xlpm.ligpartie, MATCH($B418, Donnees!$F:$F, 0),
    _xlpm.joueurs, INDEX(Donnees!$A:$Z, _xlpm.ligpartie+1, _xlfn.SEQUENCE(1, 4, 2)),
    INDEX(
      Donnees!$A:$Z,
      _xlpm.ligpartie + 3,
      MATCH(AC$1, _xlpm.joueurs, 0) + 1
    )
  ), ""
)</f>
        <v/>
      </c>
      <c r="AD419" t="str" cm="1">
        <f t="array" ref="AD419">IFERROR(
  _xlfn.LET(
    _xlpm.ligpartie, MATCH($B418, Donnees!$F:$F, 0),
    _xlpm.joueurs, INDEX(Donnees!$A:$Z, _xlpm.ligpartie+1, _xlfn.SEQUENCE(1, 4, 2)),
    INDEX(
      Donnees!$A:$Z,
      _xlpm.ligpartie + 3,
      MATCH(AD$1, _xlpm.joueurs, 0) + 1
    )
  ), ""
)</f>
        <v/>
      </c>
      <c r="AE419" t="str" cm="1">
        <f t="array" ref="AE419">IFERROR(
  _xlfn.LET(
    _xlpm.ligpartie, MATCH($B418, Donnees!$F:$F, 0),
    _xlpm.joueurs, INDEX(Donnees!$A:$Z, _xlpm.ligpartie+1, _xlfn.SEQUENCE(1, 4, 2)),
    INDEX(
      Donnees!$A:$Z,
      _xlpm.ligpartie + 3,
      MATCH(AE$1, _xlpm.joueurs, 0) + 1
    )
  ), ""
)</f>
        <v/>
      </c>
      <c r="AF419" t="str" cm="1">
        <f t="array" ref="AF419">IFERROR(
  _xlfn.LET(
    _xlpm.ligpartie, MATCH($B418, Donnees!$F:$F, 0),
    _xlpm.joueurs, INDEX(Donnees!$A:$Z, _xlpm.ligpartie+1, _xlfn.SEQUENCE(1, 4, 2)),
    INDEX(
      Donnees!$A:$Z,
      _xlpm.ligpartie + 3,
      MATCH(AF$1, _xlpm.joueurs, 0) + 1
    )
  ), ""
)</f>
        <v/>
      </c>
      <c r="AG419" t="str" cm="1">
        <f t="array" ref="AG419">IFERROR(
  _xlfn.LET(
    _xlpm.ligpartie, MATCH($B418, Donnees!$F:$F, 0),
    _xlpm.joueurs, INDEX(Donnees!$A:$Z, _xlpm.ligpartie+1, _xlfn.SEQUENCE(1, 4, 2)),
    INDEX(
      Donnees!$A:$Z,
      _xlpm.ligpartie + 3,
      MATCH(AG$1, _xlpm.joueurs, 0) + 1
    )
  ), ""
)</f>
        <v/>
      </c>
      <c r="AH419" t="str" cm="1">
        <f t="array" ref="AH419">IFERROR(
  _xlfn.LET(
    _xlpm.ligpartie, MATCH($B418, Donnees!$F:$F, 0),
    _xlpm.joueurs, INDEX(Donnees!$A:$Z, _xlpm.ligpartie+1, _xlfn.SEQUENCE(1, 4, 2)),
    INDEX(
      Donnees!$A:$Z,
      _xlpm.ligpartie + 3,
      MATCH(AH$1, _xlpm.joueurs, 0) + 1
    )
  ), ""
)</f>
        <v/>
      </c>
      <c r="AI419" t="str" cm="1">
        <f t="array" ref="AI419">IFERROR(
  _xlfn.LET(
    _xlpm.ligpartie, MATCH($B418, Donnees!$F:$F, 0),
    _xlpm.joueurs, INDEX(Donnees!$A:$Z, _xlpm.ligpartie+1, _xlfn.SEQUENCE(1, 4, 2)),
    INDEX(
      Donnees!$A:$Z,
      _xlpm.ligpartie + 3,
      MATCH(AI$1, _xlpm.joueurs, 0) + 1
    )
  ), ""
)</f>
        <v/>
      </c>
      <c r="AJ419" t="str" cm="1">
        <f t="array" ref="AJ419">IFERROR(
  _xlfn.LET(
    _xlpm.ligpartie, MATCH($B418, Donnees!$F:$F, 0),
    _xlpm.joueurs, INDEX(Donnees!$A:$Z, _xlpm.ligpartie+1, _xlfn.SEQUENCE(1, 4, 2)),
    INDEX(
      Donnees!$A:$Z,
      _xlpm.ligpartie + 3,
      MATCH(AJ$1, _xlpm.joueurs, 0) + 1
    )
  ), ""
)</f>
        <v/>
      </c>
      <c r="AK419" t="str" cm="1">
        <f t="array" ref="AK419">IFERROR(
  _xlfn.LET(
    _xlpm.ligpartie, MATCH($B418, Donnees!$F:$F, 0),
    _xlpm.joueurs, INDEX(Donnees!$A:$Z, _xlpm.ligpartie+1, _xlfn.SEQUENCE(1, 4, 2)),
    INDEX(
      Donnees!$A:$Z,
      _xlpm.ligpartie + 3,
      MATCH(AK$1, _xlpm.joueurs, 0) + 1
    )
  ), ""
)</f>
        <v/>
      </c>
      <c r="AL419" t="str" cm="1">
        <f t="array" ref="AL419">IFERROR(
  _xlfn.LET(
    _xlpm.ligpartie, MATCH($B418, Donnees!$F:$F, 0),
    _xlpm.joueurs, INDEX(Donnees!$A:$Z, _xlpm.ligpartie+1, _xlfn.SEQUENCE(1, 4, 2)),
    INDEX(
      Donnees!$A:$Z,
      _xlpm.ligpartie + 3,
      MATCH(AL$1, _xlpm.joueurs, 0) + 1
    )
  ), ""
)</f>
        <v/>
      </c>
      <c r="AM419" t="str" cm="1">
        <f t="array" ref="AM419">IFERROR(
  _xlfn.LET(
    _xlpm.ligpartie, MATCH($B418, Donnees!$F:$F, 0),
    _xlpm.joueurs, INDEX(Donnees!$A:$Z, _xlpm.ligpartie+1, _xlfn.SEQUENCE(1, 4, 2)),
    INDEX(
      Donnees!$A:$Z,
      _xlpm.ligpartie + 3,
      MATCH(AM$1, _xlpm.joueurs, 0) + 1
    )
  ), ""
)</f>
        <v/>
      </c>
    </row>
    <row r="420" spans="1:39" x14ac:dyDescent="0.25">
      <c r="A420" t="s">
        <v>20</v>
      </c>
      <c r="D420" t="str" cm="1">
        <f t="array" ref="D420">_xlfn.LET(
  _xlpm.colj, _xlfn._xlws.FILTER(IF(ISNUMBER(419:419), COLUMN(419:419)), ISNUMBER(419:419)),
  _xlpm.elos, INDEX(418:418,1,_xlpm.colj),
  _xlpm.diffscale, Constantes!$B$2,
  IF(D419="",
    "",
    SUM(1/(1+POWER(10,-(D418-_xlpm.elos)/_xlpm.diffscale)))-0.5)
)</f>
        <v/>
      </c>
      <c r="E420" t="str" cm="1">
        <f t="array" ref="E420">_xlfn.LET(
  _xlpm.colj, _xlfn._xlws.FILTER(IF(ISNUMBER(419:419), COLUMN(419:419)), ISNUMBER(419:419)),
  _xlpm.elos, INDEX(418:418,1,_xlpm.colj),
  _xlpm.diffscale, Constantes!$B$2,
  IF(E419="",
    "",
    SUM(1/(1+POWER(10,-(E418-_xlpm.elos)/_xlpm.diffscale)))-0.5)
)</f>
        <v/>
      </c>
      <c r="F420" t="str" cm="1">
        <f t="array" ref="F420">_xlfn.LET(
  _xlpm.colj, _xlfn._xlws.FILTER(IF(ISNUMBER(419:419), COLUMN(419:419)), ISNUMBER(419:419)),
  _xlpm.elos, INDEX(418:418,1,_xlpm.colj),
  _xlpm.diffscale, Constantes!$B$2,
  IF(F419="",
    "",
    SUM(1/(1+POWER(10,-(F418-_xlpm.elos)/_xlpm.diffscale)))-0.5)
)</f>
        <v/>
      </c>
      <c r="G420" t="str" cm="1">
        <f t="array" ref="G420">_xlfn.LET(
  _xlpm.colj, _xlfn._xlws.FILTER(IF(ISNUMBER(419:419), COLUMN(419:419)), ISNUMBER(419:419)),
  _xlpm.elos, INDEX(418:418,1,_xlpm.colj),
  _xlpm.diffscale, Constantes!$B$2,
  IF(G419="",
    "",
    SUM(1/(1+POWER(10,-(G418-_xlpm.elos)/_xlpm.diffscale)))-0.5)
)</f>
        <v/>
      </c>
      <c r="H420" t="str" cm="1">
        <f t="array" ref="H420">_xlfn.LET(
  _xlpm.colj, _xlfn._xlws.FILTER(IF(ISNUMBER(419:419), COLUMN(419:419)), ISNUMBER(419:419)),
  _xlpm.elos, INDEX(418:418,1,_xlpm.colj),
  _xlpm.diffscale, Constantes!$B$2,
  IF(H419="",
    "",
    SUM(1/(1+POWER(10,-(H418-_xlpm.elos)/_xlpm.diffscale)))-0.5)
)</f>
        <v/>
      </c>
      <c r="I420" t="str" cm="1">
        <f t="array" ref="I420">_xlfn.LET(
  _xlpm.colj, _xlfn._xlws.FILTER(IF(ISNUMBER(419:419), COLUMN(419:419)), ISNUMBER(419:419)),
  _xlpm.elos, INDEX(418:418,1,_xlpm.colj),
  _xlpm.diffscale, Constantes!$B$2,
  IF(I419="",
    "",
    SUM(1/(1+POWER(10,-(I418-_xlpm.elos)/_xlpm.diffscale)))-0.5)
)</f>
        <v/>
      </c>
      <c r="J420" t="str" cm="1">
        <f t="array" ref="J420">_xlfn.LET(
  _xlpm.colj, _xlfn._xlws.FILTER(IF(ISNUMBER(419:419), COLUMN(419:419)), ISNUMBER(419:419)),
  _xlpm.elos, INDEX(418:418,1,_xlpm.colj),
  _xlpm.diffscale, Constantes!$B$2,
  IF(J419="",
    "",
    SUM(1/(1+POWER(10,-(J418-_xlpm.elos)/_xlpm.diffscale)))-0.5)
)</f>
        <v/>
      </c>
      <c r="K420" t="str" cm="1">
        <f t="array" ref="K420">_xlfn.LET(
  _xlpm.colj, _xlfn._xlws.FILTER(IF(ISNUMBER(419:419), COLUMN(419:419)), ISNUMBER(419:419)),
  _xlpm.elos, INDEX(418:418,1,_xlpm.colj),
  _xlpm.diffscale, Constantes!$B$2,
  IF(K419="",
    "",
    SUM(1/(1+POWER(10,-(K418-_xlpm.elos)/_xlpm.diffscale)))-0.5)
)</f>
        <v/>
      </c>
      <c r="L420" cm="1">
        <f t="array" ref="L420">_xlfn.LET(
  _xlpm.colj, _xlfn._xlws.FILTER(IF(ISNUMBER(419:419), COLUMN(419:419)), ISNUMBER(419:419)),
  _xlpm.elos, INDEX(418:418,1,_xlpm.colj),
  _xlpm.diffscale, Constantes!$B$2,
  IF(L419="",
    "",
    SUM(1/(1+POWER(10,-(L418-_xlpm.elos)/_xlpm.diffscale)))-0.5)
)</f>
        <v>0.82025118082895365</v>
      </c>
      <c r="M420" cm="1">
        <f t="array" ref="M420">_xlfn.LET(
  _xlpm.colj, _xlfn._xlws.FILTER(IF(ISNUMBER(419:419), COLUMN(419:419)), ISNUMBER(419:419)),
  _xlpm.elos, INDEX(418:418,1,_xlpm.colj),
  _xlpm.diffscale, Constantes!$B$2,
  IF(M419="",
    "",
    SUM(1/(1+POWER(10,-(M418-_xlpm.elos)/_xlpm.diffscale)))-0.5)
)</f>
        <v>1.2562991496363596</v>
      </c>
      <c r="N420" t="str" cm="1">
        <f t="array" ref="N420">_xlfn.LET(
  _xlpm.colj, _xlfn._xlws.FILTER(IF(ISNUMBER(419:419), COLUMN(419:419)), ISNUMBER(419:419)),
  _xlpm.elos, INDEX(418:418,1,_xlpm.colj),
  _xlpm.diffscale, Constantes!$B$2,
  IF(N419="",
    "",
    SUM(1/(1+POWER(10,-(N418-_xlpm.elos)/_xlpm.diffscale)))-0.5)
)</f>
        <v/>
      </c>
      <c r="O420" t="str" cm="1">
        <f t="array" ref="O420">_xlfn.LET(
  _xlpm.colj, _xlfn._xlws.FILTER(IF(ISNUMBER(419:419), COLUMN(419:419)), ISNUMBER(419:419)),
  _xlpm.elos, INDEX(418:418,1,_xlpm.colj),
  _xlpm.diffscale, Constantes!$B$2,
  IF(O419="",
    "",
    SUM(1/(1+POWER(10,-(O418-_xlpm.elos)/_xlpm.diffscale)))-0.5)
)</f>
        <v/>
      </c>
      <c r="P420" t="str" cm="1">
        <f t="array" ref="P420">_xlfn.LET(
  _xlpm.colj, _xlfn._xlws.FILTER(IF(ISNUMBER(419:419), COLUMN(419:419)), ISNUMBER(419:419)),
  _xlpm.elos, INDEX(418:418,1,_xlpm.colj),
  _xlpm.diffscale, Constantes!$B$2,
  IF(P419="",
    "",
    SUM(1/(1+POWER(10,-(P418-_xlpm.elos)/_xlpm.diffscale)))-0.5)
)</f>
        <v/>
      </c>
      <c r="Q420" t="str" cm="1">
        <f t="array" ref="Q420">_xlfn.LET(
  _xlpm.colj, _xlfn._xlws.FILTER(IF(ISNUMBER(419:419), COLUMN(419:419)), ISNUMBER(419:419)),
  _xlpm.elos, INDEX(418:418,1,_xlpm.colj),
  _xlpm.diffscale, Constantes!$B$2,
  IF(Q419="",
    "",
    SUM(1/(1+POWER(10,-(Q418-_xlpm.elos)/_xlpm.diffscale)))-0.5)
)</f>
        <v/>
      </c>
      <c r="R420" t="str" cm="1">
        <f t="array" ref="R420">_xlfn.LET(
  _xlpm.colj, _xlfn._xlws.FILTER(IF(ISNUMBER(419:419), COLUMN(419:419)), ISNUMBER(419:419)),
  _xlpm.elos, INDEX(418:418,1,_xlpm.colj),
  _xlpm.diffscale, Constantes!$B$2,
  IF(R419="",
    "",
    SUM(1/(1+POWER(10,-(R418-_xlpm.elos)/_xlpm.diffscale)))-0.5)
)</f>
        <v/>
      </c>
      <c r="S420" t="str" cm="1">
        <f t="array" ref="S420">_xlfn.LET(
  _xlpm.colj, _xlfn._xlws.FILTER(IF(ISNUMBER(419:419), COLUMN(419:419)), ISNUMBER(419:419)),
  _xlpm.elos, INDEX(418:418,1,_xlpm.colj),
  _xlpm.diffscale, Constantes!$B$2,
  IF(S419="",
    "",
    SUM(1/(1+POWER(10,-(S418-_xlpm.elos)/_xlpm.diffscale)))-0.5)
)</f>
        <v/>
      </c>
      <c r="T420" t="str" cm="1">
        <f t="array" ref="T420">_xlfn.LET(
  _xlpm.colj, _xlfn._xlws.FILTER(IF(ISNUMBER(419:419), COLUMN(419:419)), ISNUMBER(419:419)),
  _xlpm.elos, INDEX(418:418,1,_xlpm.colj),
  _xlpm.diffscale, Constantes!$B$2,
  IF(T419="",
    "",
    SUM(1/(1+POWER(10,-(T418-_xlpm.elos)/_xlpm.diffscale)))-0.5)
)</f>
        <v/>
      </c>
      <c r="U420" cm="1">
        <f t="array" ref="U420">_xlfn.LET(
  _xlpm.colj, _xlfn._xlws.FILTER(IF(ISNUMBER(419:419), COLUMN(419:419)), ISNUMBER(419:419)),
  _xlpm.elos, INDEX(418:418,1,_xlpm.colj),
  _xlpm.diffscale, Constantes!$B$2,
  IF(U419="",
    "",
    SUM(1/(1+POWER(10,-(U418-_xlpm.elos)/_xlpm.diffscale)))-0.5)
)</f>
        <v>2.6279073209641477</v>
      </c>
      <c r="V420" t="str" cm="1">
        <f t="array" ref="V420">_xlfn.LET(
  _xlpm.colj, _xlfn._xlws.FILTER(IF(ISNUMBER(419:419), COLUMN(419:419)), ISNUMBER(419:419)),
  _xlpm.elos, INDEX(418:418,1,_xlpm.colj),
  _xlpm.diffscale, Constantes!$B$2,
  IF(V419="",
    "",
    SUM(1/(1+POWER(10,-(V418-_xlpm.elos)/_xlpm.diffscale)))-0.5)
)</f>
        <v/>
      </c>
      <c r="W420" cm="1">
        <f t="array" ref="W420">_xlfn.LET(
  _xlpm.colj, _xlfn._xlws.FILTER(IF(ISNUMBER(419:419), COLUMN(419:419)), ISNUMBER(419:419)),
  _xlpm.elos, INDEX(418:418,1,_xlpm.colj),
  _xlpm.diffscale, Constantes!$B$2,
  IF(W419="",
    "",
    SUM(1/(1+POWER(10,-(W418-_xlpm.elos)/_xlpm.diffscale)))-0.5)
)</f>
        <v>1.2955423485705388</v>
      </c>
      <c r="X420" t="str" cm="1">
        <f t="array" ref="X420">_xlfn.LET(
  _xlpm.colj, _xlfn._xlws.FILTER(IF(ISNUMBER(419:419), COLUMN(419:419)), ISNUMBER(419:419)),
  _xlpm.elos, INDEX(418:418,1,_xlpm.colj),
  _xlpm.diffscale, Constantes!$B$2,
  IF(X419="",
    "",
    SUM(1/(1+POWER(10,-(X418-_xlpm.elos)/_xlpm.diffscale)))-0.5)
)</f>
        <v/>
      </c>
      <c r="Y420" t="str" cm="1">
        <f t="array" ref="Y420">_xlfn.LET(
  _xlpm.colj, _xlfn._xlws.FILTER(IF(ISNUMBER(419:419), COLUMN(419:419)), ISNUMBER(419:419)),
  _xlpm.elos, INDEX(418:418,1,_xlpm.colj),
  _xlpm.diffscale, Constantes!$B$2,
  IF(Y419="",
    "",
    SUM(1/(1+POWER(10,-(Y418-_xlpm.elos)/_xlpm.diffscale)))-0.5)
)</f>
        <v/>
      </c>
      <c r="Z420" t="str" cm="1">
        <f t="array" ref="Z420">_xlfn.LET(
  _xlpm.colj, _xlfn._xlws.FILTER(IF(ISNUMBER(419:419), COLUMN(419:419)), ISNUMBER(419:419)),
  _xlpm.elos, INDEX(418:418,1,_xlpm.colj),
  _xlpm.diffscale, Constantes!$B$2,
  IF(Z419="",
    "",
    SUM(1/(1+POWER(10,-(Z418-_xlpm.elos)/_xlpm.diffscale)))-0.5)
)</f>
        <v/>
      </c>
      <c r="AA420" t="str" cm="1">
        <f t="array" ref="AA420">_xlfn.LET(
  _xlpm.colj, _xlfn._xlws.FILTER(IF(ISNUMBER(419:419), COLUMN(419:419)), ISNUMBER(419:419)),
  _xlpm.elos, INDEX(418:418,1,_xlpm.colj),
  _xlpm.diffscale, Constantes!$B$2,
  IF(AA419="",
    "",
    SUM(1/(1+POWER(10,-(AA418-_xlpm.elos)/_xlpm.diffscale)))-0.5)
)</f>
        <v/>
      </c>
      <c r="AB420" t="str" cm="1">
        <f t="array" ref="AB420">_xlfn.LET(
  _xlpm.colj, _xlfn._xlws.FILTER(IF(ISNUMBER(419:419), COLUMN(419:419)), ISNUMBER(419:419)),
  _xlpm.elos, INDEX(418:418,1,_xlpm.colj),
  _xlpm.diffscale, Constantes!$B$2,
  IF(AB419="",
    "",
    SUM(1/(1+POWER(10,-(AB418-_xlpm.elos)/_xlpm.diffscale)))-0.5)
)</f>
        <v/>
      </c>
      <c r="AC420" t="str" cm="1">
        <f t="array" ref="AC420">_xlfn.LET(
  _xlpm.colj, _xlfn._xlws.FILTER(IF(ISNUMBER(419:419), COLUMN(419:419)), ISNUMBER(419:419)),
  _xlpm.elos, INDEX(418:418,1,_xlpm.colj),
  _xlpm.diffscale, Constantes!$B$2,
  IF(AC419="",
    "",
    SUM(1/(1+POWER(10,-(AC418-_xlpm.elos)/_xlpm.diffscale)))-0.5)
)</f>
        <v/>
      </c>
      <c r="AD420" t="str" cm="1">
        <f t="array" ref="AD420">_xlfn.LET(
  _xlpm.colj, _xlfn._xlws.FILTER(IF(ISNUMBER(419:419), COLUMN(419:419)), ISNUMBER(419:419)),
  _xlpm.elos, INDEX(418:418,1,_xlpm.colj),
  _xlpm.diffscale, Constantes!$B$2,
  IF(AD419="",
    "",
    SUM(1/(1+POWER(10,-(AD418-_xlpm.elos)/_xlpm.diffscale)))-0.5)
)</f>
        <v/>
      </c>
      <c r="AE420" t="str" cm="1">
        <f t="array" ref="AE420">_xlfn.LET(
  _xlpm.colj, _xlfn._xlws.FILTER(IF(ISNUMBER(419:419), COLUMN(419:419)), ISNUMBER(419:419)),
  _xlpm.elos, INDEX(418:418,1,_xlpm.colj),
  _xlpm.diffscale, Constantes!$B$2,
  IF(AE419="",
    "",
    SUM(1/(1+POWER(10,-(AE418-_xlpm.elos)/_xlpm.diffscale)))-0.5)
)</f>
        <v/>
      </c>
      <c r="AF420" t="str" cm="1">
        <f t="array" ref="AF420">_xlfn.LET(
  _xlpm.colj, _xlfn._xlws.FILTER(IF(ISNUMBER(419:419), COLUMN(419:419)), ISNUMBER(419:419)),
  _xlpm.elos, INDEX(418:418,1,_xlpm.colj),
  _xlpm.diffscale, Constantes!$B$2,
  IF(AF419="",
    "",
    SUM(1/(1+POWER(10,-(AF418-_xlpm.elos)/_xlpm.diffscale)))-0.5)
)</f>
        <v/>
      </c>
      <c r="AG420" t="str" cm="1">
        <f t="array" ref="AG420">_xlfn.LET(
  _xlpm.colj, _xlfn._xlws.FILTER(IF(ISNUMBER(419:419), COLUMN(419:419)), ISNUMBER(419:419)),
  _xlpm.elos, INDEX(418:418,1,_xlpm.colj),
  _xlpm.diffscale, Constantes!$B$2,
  IF(AG419="",
    "",
    SUM(1/(1+POWER(10,-(AG418-_xlpm.elos)/_xlpm.diffscale)))-0.5)
)</f>
        <v/>
      </c>
      <c r="AH420" t="str" cm="1">
        <f t="array" ref="AH420">_xlfn.LET(
  _xlpm.colj, _xlfn._xlws.FILTER(IF(ISNUMBER(419:419), COLUMN(419:419)), ISNUMBER(419:419)),
  _xlpm.elos, INDEX(418:418,1,_xlpm.colj),
  _xlpm.diffscale, Constantes!$B$2,
  IF(AH419="",
    "",
    SUM(1/(1+POWER(10,-(AH418-_xlpm.elos)/_xlpm.diffscale)))-0.5)
)</f>
        <v/>
      </c>
      <c r="AI420" t="str" cm="1">
        <f t="array" ref="AI420">_xlfn.LET(
  _xlpm.colj, _xlfn._xlws.FILTER(IF(ISNUMBER(419:419), COLUMN(419:419)), ISNUMBER(419:419)),
  _xlpm.elos, INDEX(418:418,1,_xlpm.colj),
  _xlpm.diffscale, Constantes!$B$2,
  IF(AI419="",
    "",
    SUM(1/(1+POWER(10,-(AI418-_xlpm.elos)/_xlpm.diffscale)))-0.5)
)</f>
        <v/>
      </c>
      <c r="AJ420" t="str" cm="1">
        <f t="array" ref="AJ420">_xlfn.LET(
  _xlpm.colj, _xlfn._xlws.FILTER(IF(ISNUMBER(419:419), COLUMN(419:419)), ISNUMBER(419:419)),
  _xlpm.elos, INDEX(418:418,1,_xlpm.colj),
  _xlpm.diffscale, Constantes!$B$2,
  IF(AJ419="",
    "",
    SUM(1/(1+POWER(10,-(AJ418-_xlpm.elos)/_xlpm.diffscale)))-0.5)
)</f>
        <v/>
      </c>
      <c r="AK420" t="str" cm="1">
        <f t="array" ref="AK420">_xlfn.LET(
  _xlpm.colj, _xlfn._xlws.FILTER(IF(ISNUMBER(419:419), COLUMN(419:419)), ISNUMBER(419:419)),
  _xlpm.elos, INDEX(418:418,1,_xlpm.colj),
  _xlpm.diffscale, Constantes!$B$2,
  IF(AK419="",
    "",
    SUM(1/(1+POWER(10,-(AK418-_xlpm.elos)/_xlpm.diffscale)))-0.5)
)</f>
        <v/>
      </c>
      <c r="AL420" t="str" cm="1">
        <f t="array" ref="AL420">_xlfn.LET(
  _xlpm.colj, _xlfn._xlws.FILTER(IF(ISNUMBER(419:419), COLUMN(419:419)), ISNUMBER(419:419)),
  _xlpm.elos, INDEX(418:418,1,_xlpm.colj),
  _xlpm.diffscale, Constantes!$B$2,
  IF(AL419="",
    "",
    SUM(1/(1+POWER(10,-(AL418-_xlpm.elos)/_xlpm.diffscale)))-0.5)
)</f>
        <v/>
      </c>
      <c r="AM420" t="str" cm="1">
        <f t="array" ref="AM420">_xlfn.LET(
  _xlpm.colj, _xlfn._xlws.FILTER(IF(ISNUMBER(419:419), COLUMN(419:419)), ISNUMBER(419:419)),
  _xlpm.elos, INDEX(418:418,1,_xlpm.colj),
  _xlpm.diffscale, Constantes!$B$2,
  IF(AM419="",
    "",
    SUM(1/(1+POWER(10,-(AM418-_xlpm.elos)/_xlpm.diffscale)))-0.5)
)</f>
        <v/>
      </c>
    </row>
    <row r="421" spans="1:39" x14ac:dyDescent="0.25">
      <c r="A421" t="s">
        <v>22</v>
      </c>
      <c r="D421" t="str" cm="1">
        <f t="array" ref="D421">_xlfn.LET(
  _xlpm.K, Constantes!$B$3,
  _xlpm.Knewgain, Constantes!$B$4,
  _xlpm.Knewscale, Constantes!$B$5,
  _xlpm.ptstables, INDEX(D:D, _xlfn.SEQUENCE(COUNTA($C$2:$C421), 1, 3, 4)),
  _xlpm.nbparties, COUNTA(_xlfn._xlws.FILTER(_xlpm.ptstables, _xlpm.ptstables &lt;&gt; "")),
  _xlpm.coef, _xlpm.K + _xlpm.Knewgain / (_xlpm.Knewscale + _xlpm.nbparties),
  IF(D419="",
    "",
    _xlpm.coef * (D419-D420))
)</f>
        <v/>
      </c>
      <c r="E421" t="str" cm="1">
        <f t="array" ref="E421">_xlfn.LET(
  _xlpm.K, Constantes!$B$3,
  _xlpm.Knewgain, Constantes!$B$4,
  _xlpm.Knewscale, Constantes!$B$5,
  _xlpm.ptstables, INDEX(E:E, _xlfn.SEQUENCE(COUNTA($C$2:$C421), 1, 3, 4)),
  _xlpm.nbparties, COUNTA(_xlfn._xlws.FILTER(_xlpm.ptstables, _xlpm.ptstables &lt;&gt; "")),
  _xlpm.coef, _xlpm.K + _xlpm.Knewgain / (_xlpm.Knewscale + _xlpm.nbparties),
  IF(E419="",
    "",
    _xlpm.coef * (E419-E420))
)</f>
        <v/>
      </c>
      <c r="F421" t="str" cm="1">
        <f t="array" ref="F421">_xlfn.LET(
  _xlpm.K, Constantes!$B$3,
  _xlpm.Knewgain, Constantes!$B$4,
  _xlpm.Knewscale, Constantes!$B$5,
  _xlpm.ptstables, INDEX(F:F, _xlfn.SEQUENCE(COUNTA($C$2:$C421), 1, 3, 4)),
  _xlpm.nbparties, COUNTA(_xlfn._xlws.FILTER(_xlpm.ptstables, _xlpm.ptstables &lt;&gt; "")),
  _xlpm.coef, _xlpm.K + _xlpm.Knewgain / (_xlpm.Knewscale + _xlpm.nbparties),
  IF(F419="",
    "",
    _xlpm.coef * (F419-F420))
)</f>
        <v/>
      </c>
      <c r="G421" t="str" cm="1">
        <f t="array" ref="G421">_xlfn.LET(
  _xlpm.K, Constantes!$B$3,
  _xlpm.Knewgain, Constantes!$B$4,
  _xlpm.Knewscale, Constantes!$B$5,
  _xlpm.ptstables, INDEX(G:G, _xlfn.SEQUENCE(COUNTA($C$2:$C421), 1, 3, 4)),
  _xlpm.nbparties, COUNTA(_xlfn._xlws.FILTER(_xlpm.ptstables, _xlpm.ptstables &lt;&gt; "")),
  _xlpm.coef, _xlpm.K + _xlpm.Knewgain / (_xlpm.Knewscale + _xlpm.nbparties),
  IF(G419="",
    "",
    _xlpm.coef * (G419-G420))
)</f>
        <v/>
      </c>
      <c r="H421" t="str" cm="1">
        <f t="array" ref="H421">_xlfn.LET(
  _xlpm.K, Constantes!$B$3,
  _xlpm.Knewgain, Constantes!$B$4,
  _xlpm.Knewscale, Constantes!$B$5,
  _xlpm.ptstables, INDEX(H:H, _xlfn.SEQUENCE(COUNTA($C$2:$C421), 1, 3, 4)),
  _xlpm.nbparties, COUNTA(_xlfn._xlws.FILTER(_xlpm.ptstables, _xlpm.ptstables &lt;&gt; "")),
  _xlpm.coef, _xlpm.K + _xlpm.Knewgain / (_xlpm.Knewscale + _xlpm.nbparties),
  IF(H419="",
    "",
    _xlpm.coef * (H419-H420))
)</f>
        <v/>
      </c>
      <c r="I421" t="str" cm="1">
        <f t="array" ref="I421">_xlfn.LET(
  _xlpm.K, Constantes!$B$3,
  _xlpm.Knewgain, Constantes!$B$4,
  _xlpm.Knewscale, Constantes!$B$5,
  _xlpm.ptstables, INDEX(I:I, _xlfn.SEQUENCE(COUNTA($C$2:$C421), 1, 3, 4)),
  _xlpm.nbparties, COUNTA(_xlfn._xlws.FILTER(_xlpm.ptstables, _xlpm.ptstables &lt;&gt; "")),
  _xlpm.coef, _xlpm.K + _xlpm.Knewgain / (_xlpm.Knewscale + _xlpm.nbparties),
  IF(I419="",
    "",
    _xlpm.coef * (I419-I420))
)</f>
        <v/>
      </c>
      <c r="J421" t="str" cm="1">
        <f t="array" ref="J421">_xlfn.LET(
  _xlpm.K, Constantes!$B$3,
  _xlpm.Knewgain, Constantes!$B$4,
  _xlpm.Knewscale, Constantes!$B$5,
  _xlpm.ptstables, INDEX(J:J, _xlfn.SEQUENCE(COUNTA($C$2:$C421), 1, 3, 4)),
  _xlpm.nbparties, COUNTA(_xlfn._xlws.FILTER(_xlpm.ptstables, _xlpm.ptstables &lt;&gt; "")),
  _xlpm.coef, _xlpm.K + _xlpm.Knewgain / (_xlpm.Knewscale + _xlpm.nbparties),
  IF(J419="",
    "",
    _xlpm.coef * (J419-J420))
)</f>
        <v/>
      </c>
      <c r="K421" t="str" cm="1">
        <f t="array" ref="K421">_xlfn.LET(
  _xlpm.K, Constantes!$B$3,
  _xlpm.Knewgain, Constantes!$B$4,
  _xlpm.Knewscale, Constantes!$B$5,
  _xlpm.ptstables, INDEX(K:K, _xlfn.SEQUENCE(COUNTA($C$2:$C421), 1, 3, 4)),
  _xlpm.nbparties, COUNTA(_xlfn._xlws.FILTER(_xlpm.ptstables, _xlpm.ptstables &lt;&gt; "")),
  _xlpm.coef, _xlpm.K + _xlpm.Knewgain / (_xlpm.Knewscale + _xlpm.nbparties),
  IF(K419="",
    "",
    _xlpm.coef * (K419-K420))
)</f>
        <v/>
      </c>
      <c r="L421" cm="1">
        <f t="array" ref="L421">_xlfn.LET(
  _xlpm.K, Constantes!$B$3,
  _xlpm.Knewgain, Constantes!$B$4,
  _xlpm.Knewscale, Constantes!$B$5,
  _xlpm.ptstables, INDEX(L:L, _xlfn.SEQUENCE(COUNTA($C$2:$C421), 1, 3, 4)),
  _xlpm.nbparties, COUNTA(_xlfn._xlws.FILTER(_xlpm.ptstables, _xlpm.ptstables &lt;&gt; "")),
  _xlpm.coef, _xlpm.K + _xlpm.Knewgain / (_xlpm.Knewscale + _xlpm.nbparties),
  IF(L419="",
    "",
    _xlpm.coef * (L419-L420))
)</f>
        <v>-20.133438074892499</v>
      </c>
      <c r="M421" cm="1">
        <f t="array" ref="M421">_xlfn.LET(
  _xlpm.K, Constantes!$B$3,
  _xlpm.Knewgain, Constantes!$B$4,
  _xlpm.Knewscale, Constantes!$B$5,
  _xlpm.ptstables, INDEX(M:M, _xlfn.SEQUENCE(COUNTA($C$2:$C421), 1, 3, 4)),
  _xlpm.nbparties, COUNTA(_xlfn._xlws.FILTER(_xlpm.ptstables, _xlpm.ptstables &lt;&gt; "")),
  _xlpm.coef, _xlpm.K + _xlpm.Knewgain / (_xlpm.Knewscale + _xlpm.nbparties),
  IF(M419="",
    "",
    _xlpm.coef * (M419-M420))
)</f>
        <v>22.311025510909211</v>
      </c>
      <c r="N421" t="str" cm="1">
        <f t="array" ref="N421">_xlfn.LET(
  _xlpm.K, Constantes!$B$3,
  _xlpm.Knewgain, Constantes!$B$4,
  _xlpm.Knewscale, Constantes!$B$5,
  _xlpm.ptstables, INDEX(N:N, _xlfn.SEQUENCE(COUNTA($C$2:$C421), 1, 3, 4)),
  _xlpm.nbparties, COUNTA(_xlfn._xlws.FILTER(_xlpm.ptstables, _xlpm.ptstables &lt;&gt; "")),
  _xlpm.coef, _xlpm.K + _xlpm.Knewgain / (_xlpm.Knewscale + _xlpm.nbparties),
  IF(N419="",
    "",
    _xlpm.coef * (N419-N420))
)</f>
        <v/>
      </c>
      <c r="O421" t="str" cm="1">
        <f t="array" ref="O421">_xlfn.LET(
  _xlpm.K, Constantes!$B$3,
  _xlpm.Knewgain, Constantes!$B$4,
  _xlpm.Knewscale, Constantes!$B$5,
  _xlpm.ptstables, INDEX(O:O, _xlfn.SEQUENCE(COUNTA($C$2:$C421), 1, 3, 4)),
  _xlpm.nbparties, COUNTA(_xlfn._xlws.FILTER(_xlpm.ptstables, _xlpm.ptstables &lt;&gt; "")),
  _xlpm.coef, _xlpm.K + _xlpm.Knewgain / (_xlpm.Knewscale + _xlpm.nbparties),
  IF(O419="",
    "",
    _xlpm.coef * (O419-O420))
)</f>
        <v/>
      </c>
      <c r="P421" t="str" cm="1">
        <f t="array" ref="P421">_xlfn.LET(
  _xlpm.K, Constantes!$B$3,
  _xlpm.Knewgain, Constantes!$B$4,
  _xlpm.Knewscale, Constantes!$B$5,
  _xlpm.ptstables, INDEX(P:P, _xlfn.SEQUENCE(COUNTA($C$2:$C421), 1, 3, 4)),
  _xlpm.nbparties, COUNTA(_xlfn._xlws.FILTER(_xlpm.ptstables, _xlpm.ptstables &lt;&gt; "")),
  _xlpm.coef, _xlpm.K + _xlpm.Knewgain / (_xlpm.Knewscale + _xlpm.nbparties),
  IF(P419="",
    "",
    _xlpm.coef * (P419-P420))
)</f>
        <v/>
      </c>
      <c r="Q421" t="str" cm="1">
        <f t="array" ref="Q421">_xlfn.LET(
  _xlpm.K, Constantes!$B$3,
  _xlpm.Knewgain, Constantes!$B$4,
  _xlpm.Knewscale, Constantes!$B$5,
  _xlpm.ptstables, INDEX(Q:Q, _xlfn.SEQUENCE(COUNTA($C$2:$C421), 1, 3, 4)),
  _xlpm.nbparties, COUNTA(_xlfn._xlws.FILTER(_xlpm.ptstables, _xlpm.ptstables &lt;&gt; "")),
  _xlpm.coef, _xlpm.K + _xlpm.Knewgain / (_xlpm.Knewscale + _xlpm.nbparties),
  IF(Q419="",
    "",
    _xlpm.coef * (Q419-Q420))
)</f>
        <v/>
      </c>
      <c r="R421" t="str" cm="1">
        <f t="array" ref="R421">_xlfn.LET(
  _xlpm.K, Constantes!$B$3,
  _xlpm.Knewgain, Constantes!$B$4,
  _xlpm.Knewscale, Constantes!$B$5,
  _xlpm.ptstables, INDEX(R:R, _xlfn.SEQUENCE(COUNTA($C$2:$C421), 1, 3, 4)),
  _xlpm.nbparties, COUNTA(_xlfn._xlws.FILTER(_xlpm.ptstables, _xlpm.ptstables &lt;&gt; "")),
  _xlpm.coef, _xlpm.K + _xlpm.Knewgain / (_xlpm.Knewscale + _xlpm.nbparties),
  IF(R419="",
    "",
    _xlpm.coef * (R419-R420))
)</f>
        <v/>
      </c>
      <c r="S421" t="str" cm="1">
        <f t="array" ref="S421">_xlfn.LET(
  _xlpm.K, Constantes!$B$3,
  _xlpm.Knewgain, Constantes!$B$4,
  _xlpm.Knewscale, Constantes!$B$5,
  _xlpm.ptstables, INDEX(S:S, _xlfn.SEQUENCE(COUNTA($C$2:$C421), 1, 3, 4)),
  _xlpm.nbparties, COUNTA(_xlfn._xlws.FILTER(_xlpm.ptstables, _xlpm.ptstables &lt;&gt; "")),
  _xlpm.coef, _xlpm.K + _xlpm.Knewgain / (_xlpm.Knewscale + _xlpm.nbparties),
  IF(S419="",
    "",
    _xlpm.coef * (S419-S420))
)</f>
        <v/>
      </c>
      <c r="T421" t="str" cm="1">
        <f t="array" ref="T421">_xlfn.LET(
  _xlpm.K, Constantes!$B$3,
  _xlpm.Knewgain, Constantes!$B$4,
  _xlpm.Knewscale, Constantes!$B$5,
  _xlpm.ptstables, INDEX(T:T, _xlfn.SEQUENCE(COUNTA($C$2:$C421), 1, 3, 4)),
  _xlpm.nbparties, COUNTA(_xlfn._xlws.FILTER(_xlpm.ptstables, _xlpm.ptstables &lt;&gt; "")),
  _xlpm.coef, _xlpm.K + _xlpm.Knewgain / (_xlpm.Knewscale + _xlpm.nbparties),
  IF(T419="",
    "",
    _xlpm.coef * (T419-T420))
)</f>
        <v/>
      </c>
      <c r="U421" cm="1">
        <f t="array" ref="U421">_xlfn.LET(
  _xlpm.K, Constantes!$B$3,
  _xlpm.Knewgain, Constantes!$B$4,
  _xlpm.Knewscale, Constantes!$B$5,
  _xlpm.ptstables, INDEX(U:U, _xlfn.SEQUENCE(COUNTA($C$2:$C421), 1, 3, 4)),
  _xlpm.nbparties, COUNTA(_xlfn._xlws.FILTER(_xlpm.ptstables, _xlpm.ptstables &lt;&gt; "")),
  _xlpm.coef, _xlpm.K + _xlpm.Knewgain / (_xlpm.Knewscale + _xlpm.nbparties),
  IF(U419="",
    "",
    _xlpm.coef * (U419-U420))
)</f>
        <v>8.0056303671350051</v>
      </c>
      <c r="V421" t="str" cm="1">
        <f t="array" ref="V421">_xlfn.LET(
  _xlpm.K, Constantes!$B$3,
  _xlpm.Knewgain, Constantes!$B$4,
  _xlpm.Knewscale, Constantes!$B$5,
  _xlpm.ptstables, INDEX(V:V, _xlfn.SEQUENCE(COUNTA($C$2:$C421), 1, 3, 4)),
  _xlpm.nbparties, COUNTA(_xlfn._xlws.FILTER(_xlpm.ptstables, _xlpm.ptstables &lt;&gt; "")),
  _xlpm.coef, _xlpm.K + _xlpm.Knewgain / (_xlpm.Knewscale + _xlpm.nbparties),
  IF(V419="",
    "",
    _xlpm.coef * (V419-V420))
)</f>
        <v/>
      </c>
      <c r="W421" cm="1">
        <f t="array" ref="W421">_xlfn.LET(
  _xlpm.K, Constantes!$B$3,
  _xlpm.Knewgain, Constantes!$B$4,
  _xlpm.Knewscale, Constantes!$B$5,
  _xlpm.ptstables, INDEX(W:W, _xlfn.SEQUENCE(COUNTA($C$2:$C421), 1, 3, 4)),
  _xlpm.nbparties, COUNTA(_xlfn._xlws.FILTER(_xlpm.ptstables, _xlpm.ptstables &lt;&gt; "")),
  _xlpm.coef, _xlpm.K + _xlpm.Knewgain / (_xlpm.Knewscale + _xlpm.nbparties),
  IF(W419="",
    "",
    _xlpm.coef * (W419-W420))
)</f>
        <v>-8.8662704571161655</v>
      </c>
      <c r="X421" t="str" cm="1">
        <f t="array" ref="X421">_xlfn.LET(
  _xlpm.K, Constantes!$B$3,
  _xlpm.Knewgain, Constantes!$B$4,
  _xlpm.Knewscale, Constantes!$B$5,
  _xlpm.ptstables, INDEX(X:X, _xlfn.SEQUENCE(COUNTA($C$2:$C421), 1, 3, 4)),
  _xlpm.nbparties, COUNTA(_xlfn._xlws.FILTER(_xlpm.ptstables, _xlpm.ptstables &lt;&gt; "")),
  _xlpm.coef, _xlpm.K + _xlpm.Knewgain / (_xlpm.Knewscale + _xlpm.nbparties),
  IF(X419="",
    "",
    _xlpm.coef * (X419-X420))
)</f>
        <v/>
      </c>
      <c r="Y421" t="str" cm="1">
        <f t="array" ref="Y421">_xlfn.LET(
  _xlpm.K, Constantes!$B$3,
  _xlpm.Knewgain, Constantes!$B$4,
  _xlpm.Knewscale, Constantes!$B$5,
  _xlpm.ptstables, INDEX(Y:Y, _xlfn.SEQUENCE(COUNTA($C$2:$C421), 1, 3, 4)),
  _xlpm.nbparties, COUNTA(_xlfn._xlws.FILTER(_xlpm.ptstables, _xlpm.ptstables &lt;&gt; "")),
  _xlpm.coef, _xlpm.K + _xlpm.Knewgain / (_xlpm.Knewscale + _xlpm.nbparties),
  IF(Y419="",
    "",
    _xlpm.coef * (Y419-Y420))
)</f>
        <v/>
      </c>
      <c r="Z421" t="str" cm="1">
        <f t="array" ref="Z421">_xlfn.LET(
  _xlpm.K, Constantes!$B$3,
  _xlpm.Knewgain, Constantes!$B$4,
  _xlpm.Knewscale, Constantes!$B$5,
  _xlpm.ptstables, INDEX(Z:Z, _xlfn.SEQUENCE(COUNTA($C$2:$C421), 1, 3, 4)),
  _xlpm.nbparties, COUNTA(_xlfn._xlws.FILTER(_xlpm.ptstables, _xlpm.ptstables &lt;&gt; "")),
  _xlpm.coef, _xlpm.K + _xlpm.Knewgain / (_xlpm.Knewscale + _xlpm.nbparties),
  IF(Z419="",
    "",
    _xlpm.coef * (Z419-Z420))
)</f>
        <v/>
      </c>
      <c r="AA421" t="str" cm="1">
        <f t="array" ref="AA421">_xlfn.LET(
  _xlpm.K, Constantes!$B$3,
  _xlpm.Knewgain, Constantes!$B$4,
  _xlpm.Knewscale, Constantes!$B$5,
  _xlpm.ptstables, INDEX(AA:AA, _xlfn.SEQUENCE(COUNTA($C$2:$C421), 1, 3, 4)),
  _xlpm.nbparties, COUNTA(_xlfn._xlws.FILTER(_xlpm.ptstables, _xlpm.ptstables &lt;&gt; "")),
  _xlpm.coef, _xlpm.K + _xlpm.Knewgain / (_xlpm.Knewscale + _xlpm.nbparties),
  IF(AA419="",
    "",
    _xlpm.coef * (AA419-AA420))
)</f>
        <v/>
      </c>
      <c r="AB421" t="str" cm="1">
        <f t="array" ref="AB421">_xlfn.LET(
  _xlpm.K, Constantes!$B$3,
  _xlpm.Knewgain, Constantes!$B$4,
  _xlpm.Knewscale, Constantes!$B$5,
  _xlpm.ptstables, INDEX(AB:AB, _xlfn.SEQUENCE(COUNTA($C$2:$C421), 1, 3, 4)),
  _xlpm.nbparties, COUNTA(_xlfn._xlws.FILTER(_xlpm.ptstables, _xlpm.ptstables &lt;&gt; "")),
  _xlpm.coef, _xlpm.K + _xlpm.Knewgain / (_xlpm.Knewscale + _xlpm.nbparties),
  IF(AB419="",
    "",
    _xlpm.coef * (AB419-AB420))
)</f>
        <v/>
      </c>
      <c r="AC421" t="str" cm="1">
        <f t="array" ref="AC421">_xlfn.LET(
  _xlpm.K, Constantes!$B$3,
  _xlpm.Knewgain, Constantes!$B$4,
  _xlpm.Knewscale, Constantes!$B$5,
  _xlpm.ptstables, INDEX(AC:AC, _xlfn.SEQUENCE(COUNTA($C$2:$C421), 1, 3, 4)),
  _xlpm.nbparties, COUNTA(_xlfn._xlws.FILTER(_xlpm.ptstables, _xlpm.ptstables &lt;&gt; "")),
  _xlpm.coef, _xlpm.K + _xlpm.Knewgain / (_xlpm.Knewscale + _xlpm.nbparties),
  IF(AC419="",
    "",
    _xlpm.coef * (AC419-AC420))
)</f>
        <v/>
      </c>
      <c r="AD421" t="str" cm="1">
        <f t="array" ref="AD421">_xlfn.LET(
  _xlpm.K, Constantes!$B$3,
  _xlpm.Knewgain, Constantes!$B$4,
  _xlpm.Knewscale, Constantes!$B$5,
  _xlpm.ptstables, INDEX(AD:AD, _xlfn.SEQUENCE(COUNTA($C$2:$C421), 1, 3, 4)),
  _xlpm.nbparties, COUNTA(_xlfn._xlws.FILTER(_xlpm.ptstables, _xlpm.ptstables &lt;&gt; "")),
  _xlpm.coef, _xlpm.K + _xlpm.Knewgain / (_xlpm.Knewscale + _xlpm.nbparties),
  IF(AD419="",
    "",
    _xlpm.coef * (AD419-AD420))
)</f>
        <v/>
      </c>
      <c r="AE421" t="str" cm="1">
        <f t="array" ref="AE421">_xlfn.LET(
  _xlpm.K, Constantes!$B$3,
  _xlpm.Knewgain, Constantes!$B$4,
  _xlpm.Knewscale, Constantes!$B$5,
  _xlpm.ptstables, INDEX(AE:AE, _xlfn.SEQUENCE(COUNTA($C$2:$C421), 1, 3, 4)),
  _xlpm.nbparties, COUNTA(_xlfn._xlws.FILTER(_xlpm.ptstables, _xlpm.ptstables &lt;&gt; "")),
  _xlpm.coef, _xlpm.K + _xlpm.Knewgain / (_xlpm.Knewscale + _xlpm.nbparties),
  IF(AE419="",
    "",
    _xlpm.coef * (AE419-AE420))
)</f>
        <v/>
      </c>
      <c r="AF421" t="str" cm="1">
        <f t="array" ref="AF421">_xlfn.LET(
  _xlpm.K, Constantes!$B$3,
  _xlpm.Knewgain, Constantes!$B$4,
  _xlpm.Knewscale, Constantes!$B$5,
  _xlpm.ptstables, INDEX(AF:AF, _xlfn.SEQUENCE(COUNTA($C$2:$C421), 1, 3, 4)),
  _xlpm.nbparties, COUNTA(_xlfn._xlws.FILTER(_xlpm.ptstables, _xlpm.ptstables &lt;&gt; "")),
  _xlpm.coef, _xlpm.K + _xlpm.Knewgain / (_xlpm.Knewscale + _xlpm.nbparties),
  IF(AF419="",
    "",
    _xlpm.coef * (AF419-AF420))
)</f>
        <v/>
      </c>
      <c r="AG421" t="str" cm="1">
        <f t="array" ref="AG421">_xlfn.LET(
  _xlpm.K, Constantes!$B$3,
  _xlpm.Knewgain, Constantes!$B$4,
  _xlpm.Knewscale, Constantes!$B$5,
  _xlpm.ptstables, INDEX(AG:AG, _xlfn.SEQUENCE(COUNTA($C$2:$C421), 1, 3, 4)),
  _xlpm.nbparties, COUNTA(_xlfn._xlws.FILTER(_xlpm.ptstables, _xlpm.ptstables &lt;&gt; "")),
  _xlpm.coef, _xlpm.K + _xlpm.Knewgain / (_xlpm.Knewscale + _xlpm.nbparties),
  IF(AG419="",
    "",
    _xlpm.coef * (AG419-AG420))
)</f>
        <v/>
      </c>
      <c r="AH421" t="str" cm="1">
        <f t="array" ref="AH421">_xlfn.LET(
  _xlpm.K, Constantes!$B$3,
  _xlpm.Knewgain, Constantes!$B$4,
  _xlpm.Knewscale, Constantes!$B$5,
  _xlpm.ptstables, INDEX(AH:AH, _xlfn.SEQUENCE(COUNTA($C$2:$C421), 1, 3, 4)),
  _xlpm.nbparties, COUNTA(_xlfn._xlws.FILTER(_xlpm.ptstables, _xlpm.ptstables &lt;&gt; "")),
  _xlpm.coef, _xlpm.K + _xlpm.Knewgain / (_xlpm.Knewscale + _xlpm.nbparties),
  IF(AH419="",
    "",
    _xlpm.coef * (AH419-AH420))
)</f>
        <v/>
      </c>
      <c r="AI421" t="str" cm="1">
        <f t="array" ref="AI421">_xlfn.LET(
  _xlpm.K, Constantes!$B$3,
  _xlpm.Knewgain, Constantes!$B$4,
  _xlpm.Knewscale, Constantes!$B$5,
  _xlpm.ptstables, INDEX(AI:AI, _xlfn.SEQUENCE(COUNTA($C$2:$C421), 1, 3, 4)),
  _xlpm.nbparties, COUNTA(_xlfn._xlws.FILTER(_xlpm.ptstables, _xlpm.ptstables &lt;&gt; "")),
  _xlpm.coef, _xlpm.K + _xlpm.Knewgain / (_xlpm.Knewscale + _xlpm.nbparties),
  IF(AI419="",
    "",
    _xlpm.coef * (AI419-AI420))
)</f>
        <v/>
      </c>
      <c r="AJ421" t="str" cm="1">
        <f t="array" ref="AJ421">_xlfn.LET(
  _xlpm.K, Constantes!$B$3,
  _xlpm.Knewgain, Constantes!$B$4,
  _xlpm.Knewscale, Constantes!$B$5,
  _xlpm.ptstables, INDEX(AJ:AJ, _xlfn.SEQUENCE(COUNTA($C$2:$C421), 1, 3, 4)),
  _xlpm.nbparties, COUNTA(_xlfn._xlws.FILTER(_xlpm.ptstables, _xlpm.ptstables &lt;&gt; "")),
  _xlpm.coef, _xlpm.K + _xlpm.Knewgain / (_xlpm.Knewscale + _xlpm.nbparties),
  IF(AJ419="",
    "",
    _xlpm.coef * (AJ419-AJ420))
)</f>
        <v/>
      </c>
      <c r="AK421" t="str" cm="1">
        <f t="array" ref="AK421">_xlfn.LET(
  _xlpm.K, Constantes!$B$3,
  _xlpm.Knewgain, Constantes!$B$4,
  _xlpm.Knewscale, Constantes!$B$5,
  _xlpm.ptstables, INDEX(AK:AK, _xlfn.SEQUENCE(COUNTA($C$2:$C421), 1, 3, 4)),
  _xlpm.nbparties, COUNTA(_xlfn._xlws.FILTER(_xlpm.ptstables, _xlpm.ptstables &lt;&gt; "")),
  _xlpm.coef, _xlpm.K + _xlpm.Knewgain / (_xlpm.Knewscale + _xlpm.nbparties),
  IF(AK419="",
    "",
    _xlpm.coef * (AK419-AK420))
)</f>
        <v/>
      </c>
      <c r="AL421" t="str" cm="1">
        <f t="array" ref="AL421">_xlfn.LET(
  _xlpm.K, Constantes!$B$3,
  _xlpm.Knewgain, Constantes!$B$4,
  _xlpm.Knewscale, Constantes!$B$5,
  _xlpm.ptstables, INDEX(AL:AL, _xlfn.SEQUENCE(COUNTA($C$2:$C421), 1, 3, 4)),
  _xlpm.nbparties, COUNTA(_xlfn._xlws.FILTER(_xlpm.ptstables, _xlpm.ptstables &lt;&gt; "")),
  _xlpm.coef, _xlpm.K + _xlpm.Knewgain / (_xlpm.Knewscale + _xlpm.nbparties),
  IF(AL419="",
    "",
    _xlpm.coef * (AL419-AL420))
)</f>
        <v/>
      </c>
      <c r="AM421" t="str" cm="1">
        <f t="array" ref="AM421">_xlfn.LET(
  _xlpm.K, Constantes!$B$3,
  _xlpm.Knewgain, Constantes!$B$4,
  _xlpm.Knewscale, Constantes!$B$5,
  _xlpm.ptstables, INDEX(AM:AM, _xlfn.SEQUENCE(COUNTA($C$2:$C421), 1, 3, 4)),
  _xlpm.nbparties, COUNTA(_xlfn._xlws.FILTER(_xlpm.ptstables, _xlpm.ptstables &lt;&gt; "")),
  _xlpm.coef, _xlpm.K + _xlpm.Knewgain / (_xlpm.Knewscale + _xlpm.nbparties),
  IF(AM419="",
    "",
    _xlpm.coef * (AM419-AM420))
)</f>
        <v/>
      </c>
    </row>
    <row r="422" spans="1:39" x14ac:dyDescent="0.25">
      <c r="A422" t="s">
        <v>14</v>
      </c>
      <c r="B422" t="str" cm="1">
        <f t="array" ref="B42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104</v>
      </c>
      <c r="C422" s="2" cm="1">
        <f t="array" ref="C422">IF(B422="","",
  INDEX(Donnees!F:F, MATCH(B422, Donnees!F:F, 0)+1))</f>
        <v>45962.592291666668</v>
      </c>
      <c r="D422">
        <f t="shared" ref="D422:AM422" si="113">D418+IF(D421="",0,D421)</f>
        <v>968.82938141395095</v>
      </c>
      <c r="E422">
        <f t="shared" si="113"/>
        <v>1196.4195973781996</v>
      </c>
      <c r="F422">
        <f t="shared" si="113"/>
        <v>911.8835833951041</v>
      </c>
      <c r="G422">
        <f t="shared" si="113"/>
        <v>1061.9525561512175</v>
      </c>
      <c r="H422">
        <f t="shared" si="113"/>
        <v>1121.8561093296914</v>
      </c>
      <c r="I422">
        <f t="shared" si="113"/>
        <v>932.85440141548781</v>
      </c>
      <c r="J422">
        <f t="shared" si="113"/>
        <v>1032.4323210923594</v>
      </c>
      <c r="K422">
        <f t="shared" si="113"/>
        <v>1076.8546837336262</v>
      </c>
      <c r="L422">
        <f t="shared" si="113"/>
        <v>762.99078552663389</v>
      </c>
      <c r="M422">
        <f t="shared" si="113"/>
        <v>896.62154383168638</v>
      </c>
      <c r="N422">
        <f t="shared" si="113"/>
        <v>899.98370646249032</v>
      </c>
      <c r="O422">
        <f t="shared" si="113"/>
        <v>997.04050320786712</v>
      </c>
      <c r="P422">
        <f t="shared" si="113"/>
        <v>987.86278180042575</v>
      </c>
      <c r="Q422">
        <f t="shared" si="113"/>
        <v>1051.0755127018197</v>
      </c>
      <c r="R422">
        <f t="shared" si="113"/>
        <v>1033.0869533375633</v>
      </c>
      <c r="S422">
        <f t="shared" si="113"/>
        <v>1026.8363504234503</v>
      </c>
      <c r="T422">
        <f t="shared" si="113"/>
        <v>1125.604709757928</v>
      </c>
      <c r="U422">
        <f t="shared" si="113"/>
        <v>1198.4028941537504</v>
      </c>
      <c r="V422">
        <f t="shared" si="113"/>
        <v>969.67171739286073</v>
      </c>
      <c r="W422">
        <f t="shared" si="113"/>
        <v>873.42626723356045</v>
      </c>
      <c r="X422">
        <f t="shared" si="113"/>
        <v>828.97598039785271</v>
      </c>
      <c r="Y422">
        <f t="shared" si="113"/>
        <v>903.14348714035714</v>
      </c>
      <c r="Z422">
        <f t="shared" si="113"/>
        <v>1008.6876849635962</v>
      </c>
      <c r="AA422">
        <f t="shared" si="113"/>
        <v>976.40065260504912</v>
      </c>
      <c r="AB422">
        <f t="shared" si="113"/>
        <v>988.35669729544747</v>
      </c>
      <c r="AC422">
        <f t="shared" si="113"/>
        <v>992.29252562358954</v>
      </c>
      <c r="AD422">
        <f t="shared" si="113"/>
        <v>1093.8192243082785</v>
      </c>
      <c r="AE422">
        <f t="shared" si="113"/>
        <v>963.23981965000235</v>
      </c>
      <c r="AF422">
        <f t="shared" si="113"/>
        <v>1094.8196847516158</v>
      </c>
      <c r="AG422">
        <f t="shared" si="113"/>
        <v>958.23078604304851</v>
      </c>
      <c r="AH422">
        <f t="shared" si="113"/>
        <v>920.4412636682855</v>
      </c>
      <c r="AI422">
        <f t="shared" si="113"/>
        <v>921.70040944956304</v>
      </c>
      <c r="AJ422">
        <f t="shared" si="113"/>
        <v>906.86354201913434</v>
      </c>
      <c r="AK422">
        <f t="shared" si="113"/>
        <v>1074.0069367206956</v>
      </c>
      <c r="AL422">
        <f t="shared" si="113"/>
        <v>1025.7817971572972</v>
      </c>
      <c r="AM422">
        <f t="shared" si="113"/>
        <v>930.08392160706046</v>
      </c>
    </row>
    <row r="423" spans="1:39" x14ac:dyDescent="0.25">
      <c r="A423" t="s">
        <v>21</v>
      </c>
      <c r="D423" t="str" cm="1">
        <f t="array" ref="D423">IFERROR(
  _xlfn.LET(
    _xlpm.ligpartie, MATCH($B422, Donnees!$F:$F, 0),
    _xlpm.joueurs, INDEX(Donnees!$A:$Z, _xlpm.ligpartie+1, _xlfn.SEQUENCE(1, 4, 2)),
    INDEX(
      Donnees!$A:$Z,
      _xlpm.ligpartie + 3,
      MATCH(D$1, _xlpm.joueurs, 0) + 1
    )
  ), ""
)</f>
        <v/>
      </c>
      <c r="E423" t="str" cm="1">
        <f t="array" ref="E423">IFERROR(
  _xlfn.LET(
    _xlpm.ligpartie, MATCH($B422, Donnees!$F:$F, 0),
    _xlpm.joueurs, INDEX(Donnees!$A:$Z, _xlpm.ligpartie+1, _xlfn.SEQUENCE(1, 4, 2)),
    INDEX(
      Donnees!$A:$Z,
      _xlpm.ligpartie + 3,
      MATCH(E$1, _xlpm.joueurs, 0) + 1
    )
  ), ""
)</f>
        <v/>
      </c>
      <c r="F423" t="str" cm="1">
        <f t="array" ref="F423">IFERROR(
  _xlfn.LET(
    _xlpm.ligpartie, MATCH($B422, Donnees!$F:$F, 0),
    _xlpm.joueurs, INDEX(Donnees!$A:$Z, _xlpm.ligpartie+1, _xlfn.SEQUENCE(1, 4, 2)),
    INDEX(
      Donnees!$A:$Z,
      _xlpm.ligpartie + 3,
      MATCH(F$1, _xlpm.joueurs, 0) + 1
    )
  ), ""
)</f>
        <v/>
      </c>
      <c r="G423" t="str" cm="1">
        <f t="array" ref="G423">IFERROR(
  _xlfn.LET(
    _xlpm.ligpartie, MATCH($B422, Donnees!$F:$F, 0),
    _xlpm.joueurs, INDEX(Donnees!$A:$Z, _xlpm.ligpartie+1, _xlfn.SEQUENCE(1, 4, 2)),
    INDEX(
      Donnees!$A:$Z,
      _xlpm.ligpartie + 3,
      MATCH(G$1, _xlpm.joueurs, 0) + 1
    )
  ), ""
)</f>
        <v/>
      </c>
      <c r="H423" t="str" cm="1">
        <f t="array" ref="H423">IFERROR(
  _xlfn.LET(
    _xlpm.ligpartie, MATCH($B422, Donnees!$F:$F, 0),
    _xlpm.joueurs, INDEX(Donnees!$A:$Z, _xlpm.ligpartie+1, _xlfn.SEQUENCE(1, 4, 2)),
    INDEX(
      Donnees!$A:$Z,
      _xlpm.ligpartie + 3,
      MATCH(H$1, _xlpm.joueurs, 0) + 1
    )
  ), ""
)</f>
        <v/>
      </c>
      <c r="I423" t="str" cm="1">
        <f t="array" ref="I423">IFERROR(
  _xlfn.LET(
    _xlpm.ligpartie, MATCH($B422, Donnees!$F:$F, 0),
    _xlpm.joueurs, INDEX(Donnees!$A:$Z, _xlpm.ligpartie+1, _xlfn.SEQUENCE(1, 4, 2)),
    INDEX(
      Donnees!$A:$Z,
      _xlpm.ligpartie + 3,
      MATCH(I$1, _xlpm.joueurs, 0) + 1
    )
  ), ""
)</f>
        <v/>
      </c>
      <c r="J423" t="str" cm="1">
        <f t="array" ref="J423">IFERROR(
  _xlfn.LET(
    _xlpm.ligpartie, MATCH($B422, Donnees!$F:$F, 0),
    _xlpm.joueurs, INDEX(Donnees!$A:$Z, _xlpm.ligpartie+1, _xlfn.SEQUENCE(1, 4, 2)),
    INDEX(
      Donnees!$A:$Z,
      _xlpm.ligpartie + 3,
      MATCH(J$1, _xlpm.joueurs, 0) + 1
    )
  ), ""
)</f>
        <v/>
      </c>
      <c r="K423" t="str" cm="1">
        <f t="array" ref="K423">IFERROR(
  _xlfn.LET(
    _xlpm.ligpartie, MATCH($B422, Donnees!$F:$F, 0),
    _xlpm.joueurs, INDEX(Donnees!$A:$Z, _xlpm.ligpartie+1, _xlfn.SEQUENCE(1, 4, 2)),
    INDEX(
      Donnees!$A:$Z,
      _xlpm.ligpartie + 3,
      MATCH(K$1, _xlpm.joueurs, 0) + 1
    )
  ), ""
)</f>
        <v/>
      </c>
      <c r="L423" t="str" cm="1">
        <f t="array" ref="L423">IFERROR(
  _xlfn.LET(
    _xlpm.ligpartie, MATCH($B422, Donnees!$F:$F, 0),
    _xlpm.joueurs, INDEX(Donnees!$A:$Z, _xlpm.ligpartie+1, _xlfn.SEQUENCE(1, 4, 2)),
    INDEX(
      Donnees!$A:$Z,
      _xlpm.ligpartie + 3,
      MATCH(L$1, _xlpm.joueurs, 0) + 1
    )
  ), ""
)</f>
        <v/>
      </c>
      <c r="M423" t="str" cm="1">
        <f t="array" ref="M423">IFERROR(
  _xlfn.LET(
    _xlpm.ligpartie, MATCH($B422, Donnees!$F:$F, 0),
    _xlpm.joueurs, INDEX(Donnees!$A:$Z, _xlpm.ligpartie+1, _xlfn.SEQUENCE(1, 4, 2)),
    INDEX(
      Donnees!$A:$Z,
      _xlpm.ligpartie + 3,
      MATCH(M$1, _xlpm.joueurs, 0) + 1
    )
  ), ""
)</f>
        <v/>
      </c>
      <c r="N423" t="str" cm="1">
        <f t="array" ref="N423">IFERROR(
  _xlfn.LET(
    _xlpm.ligpartie, MATCH($B422, Donnees!$F:$F, 0),
    _xlpm.joueurs, INDEX(Donnees!$A:$Z, _xlpm.ligpartie+1, _xlfn.SEQUENCE(1, 4, 2)),
    INDEX(
      Donnees!$A:$Z,
      _xlpm.ligpartie + 3,
      MATCH(N$1, _xlpm.joueurs, 0) + 1
    )
  ), ""
)</f>
        <v/>
      </c>
      <c r="O423" t="str" cm="1">
        <f t="array" ref="O423">IFERROR(
  _xlfn.LET(
    _xlpm.ligpartie, MATCH($B422, Donnees!$F:$F, 0),
    _xlpm.joueurs, INDEX(Donnees!$A:$Z, _xlpm.ligpartie+1, _xlfn.SEQUENCE(1, 4, 2)),
    INDEX(
      Donnees!$A:$Z,
      _xlpm.ligpartie + 3,
      MATCH(O$1, _xlpm.joueurs, 0) + 1
    )
  ), ""
)</f>
        <v/>
      </c>
      <c r="P423" t="str" cm="1">
        <f t="array" ref="P423">IFERROR(
  _xlfn.LET(
    _xlpm.ligpartie, MATCH($B422, Donnees!$F:$F, 0),
    _xlpm.joueurs, INDEX(Donnees!$A:$Z, _xlpm.ligpartie+1, _xlfn.SEQUENCE(1, 4, 2)),
    INDEX(
      Donnees!$A:$Z,
      _xlpm.ligpartie + 3,
      MATCH(P$1, _xlpm.joueurs, 0) + 1
    )
  ), ""
)</f>
        <v/>
      </c>
      <c r="Q423" t="str" cm="1">
        <f t="array" ref="Q423">IFERROR(
  _xlfn.LET(
    _xlpm.ligpartie, MATCH($B422, Donnees!$F:$F, 0),
    _xlpm.joueurs, INDEX(Donnees!$A:$Z, _xlpm.ligpartie+1, _xlfn.SEQUENCE(1, 4, 2)),
    INDEX(
      Donnees!$A:$Z,
      _xlpm.ligpartie + 3,
      MATCH(Q$1, _xlpm.joueurs, 0) + 1
    )
  ), ""
)</f>
        <v/>
      </c>
      <c r="R423" t="str" cm="1">
        <f t="array" ref="R423">IFERROR(
  _xlfn.LET(
    _xlpm.ligpartie, MATCH($B422, Donnees!$F:$F, 0),
    _xlpm.joueurs, INDEX(Donnees!$A:$Z, _xlpm.ligpartie+1, _xlfn.SEQUENCE(1, 4, 2)),
    INDEX(
      Donnees!$A:$Z,
      _xlpm.ligpartie + 3,
      MATCH(R$1, _xlpm.joueurs, 0) + 1
    )
  ), ""
)</f>
        <v/>
      </c>
      <c r="S423" t="str" cm="1">
        <f t="array" ref="S423">IFERROR(
  _xlfn.LET(
    _xlpm.ligpartie, MATCH($B422, Donnees!$F:$F, 0),
    _xlpm.joueurs, INDEX(Donnees!$A:$Z, _xlpm.ligpartie+1, _xlfn.SEQUENCE(1, 4, 2)),
    INDEX(
      Donnees!$A:$Z,
      _xlpm.ligpartie + 3,
      MATCH(S$1, _xlpm.joueurs, 0) + 1
    )
  ), ""
)</f>
        <v/>
      </c>
      <c r="T423" t="str" cm="1">
        <f t="array" ref="T423">IFERROR(
  _xlfn.LET(
    _xlpm.ligpartie, MATCH($B422, Donnees!$F:$F, 0),
    _xlpm.joueurs, INDEX(Donnees!$A:$Z, _xlpm.ligpartie+1, _xlfn.SEQUENCE(1, 4, 2)),
    INDEX(
      Donnees!$A:$Z,
      _xlpm.ligpartie + 3,
      MATCH(T$1, _xlpm.joueurs, 0) + 1
    )
  ), ""
)</f>
        <v/>
      </c>
      <c r="U423" t="str" cm="1">
        <f t="array" ref="U423">IFERROR(
  _xlfn.LET(
    _xlpm.ligpartie, MATCH($B422, Donnees!$F:$F, 0),
    _xlpm.joueurs, INDEX(Donnees!$A:$Z, _xlpm.ligpartie+1, _xlfn.SEQUENCE(1, 4, 2)),
    INDEX(
      Donnees!$A:$Z,
      _xlpm.ligpartie + 3,
      MATCH(U$1, _xlpm.joueurs, 0) + 1
    )
  ), ""
)</f>
        <v/>
      </c>
      <c r="V423" t="str" cm="1">
        <f t="array" ref="V423">IFERROR(
  _xlfn.LET(
    _xlpm.ligpartie, MATCH($B422, Donnees!$F:$F, 0),
    _xlpm.joueurs, INDEX(Donnees!$A:$Z, _xlpm.ligpartie+1, _xlfn.SEQUENCE(1, 4, 2)),
    INDEX(
      Donnees!$A:$Z,
      _xlpm.ligpartie + 3,
      MATCH(V$1, _xlpm.joueurs, 0) + 1
    )
  ), ""
)</f>
        <v/>
      </c>
      <c r="W423" t="str" cm="1">
        <f t="array" ref="W423">IFERROR(
  _xlfn.LET(
    _xlpm.ligpartie, MATCH($B422, Donnees!$F:$F, 0),
    _xlpm.joueurs, INDEX(Donnees!$A:$Z, _xlpm.ligpartie+1, _xlfn.SEQUENCE(1, 4, 2)),
    INDEX(
      Donnees!$A:$Z,
      _xlpm.ligpartie + 3,
      MATCH(W$1, _xlpm.joueurs, 0) + 1
    )
  ), ""
)</f>
        <v/>
      </c>
      <c r="X423" cm="1">
        <f t="array" ref="X423">IFERROR(
  _xlfn.LET(
    _xlpm.ligpartie, MATCH($B422, Donnees!$F:$F, 0),
    _xlpm.joueurs, INDEX(Donnees!$A:$Z, _xlpm.ligpartie+1, _xlfn.SEQUENCE(1, 4, 2)),
    INDEX(
      Donnees!$A:$Z,
      _xlpm.ligpartie + 3,
      MATCH(X$1, _xlpm.joueurs, 0) + 1
    )
  ), ""
)</f>
        <v>1</v>
      </c>
      <c r="Y423" cm="1">
        <f t="array" ref="Y423">IFERROR(
  _xlfn.LET(
    _xlpm.ligpartie, MATCH($B422, Donnees!$F:$F, 0),
    _xlpm.joueurs, INDEX(Donnees!$A:$Z, _xlpm.ligpartie+1, _xlfn.SEQUENCE(1, 4, 2)),
    INDEX(
      Donnees!$A:$Z,
      _xlpm.ligpartie + 3,
      MATCH(Y$1, _xlpm.joueurs, 0) + 1
    )
  ), ""
)</f>
        <v>3</v>
      </c>
      <c r="Z423" t="str" cm="1">
        <f t="array" ref="Z423">IFERROR(
  _xlfn.LET(
    _xlpm.ligpartie, MATCH($B422, Donnees!$F:$F, 0),
    _xlpm.joueurs, INDEX(Donnees!$A:$Z, _xlpm.ligpartie+1, _xlfn.SEQUENCE(1, 4, 2)),
    INDEX(
      Donnees!$A:$Z,
      _xlpm.ligpartie + 3,
      MATCH(Z$1, _xlpm.joueurs, 0) + 1
    )
  ), ""
)</f>
        <v/>
      </c>
      <c r="AA423" t="str" cm="1">
        <f t="array" ref="AA423">IFERROR(
  _xlfn.LET(
    _xlpm.ligpartie, MATCH($B422, Donnees!$F:$F, 0),
    _xlpm.joueurs, INDEX(Donnees!$A:$Z, _xlpm.ligpartie+1, _xlfn.SEQUENCE(1, 4, 2)),
    INDEX(
      Donnees!$A:$Z,
      _xlpm.ligpartie + 3,
      MATCH(AA$1, _xlpm.joueurs, 0) + 1
    )
  ), ""
)</f>
        <v/>
      </c>
      <c r="AB423" t="str" cm="1">
        <f t="array" ref="AB423">IFERROR(
  _xlfn.LET(
    _xlpm.ligpartie, MATCH($B422, Donnees!$F:$F, 0),
    _xlpm.joueurs, INDEX(Donnees!$A:$Z, _xlpm.ligpartie+1, _xlfn.SEQUENCE(1, 4, 2)),
    INDEX(
      Donnees!$A:$Z,
      _xlpm.ligpartie + 3,
      MATCH(AB$1, _xlpm.joueurs, 0) + 1
    )
  ), ""
)</f>
        <v/>
      </c>
      <c r="AC423" cm="1">
        <f t="array" ref="AC423">IFERROR(
  _xlfn.LET(
    _xlpm.ligpartie, MATCH($B422, Donnees!$F:$F, 0),
    _xlpm.joueurs, INDEX(Donnees!$A:$Z, _xlpm.ligpartie+1, _xlfn.SEQUENCE(1, 4, 2)),
    INDEX(
      Donnees!$A:$Z,
      _xlpm.ligpartie + 3,
      MATCH(AC$1, _xlpm.joueurs, 0) + 1
    )
  ), ""
)</f>
        <v>0</v>
      </c>
      <c r="AD423" cm="1">
        <f t="array" ref="AD423">IFERROR(
  _xlfn.LET(
    _xlpm.ligpartie, MATCH($B422, Donnees!$F:$F, 0),
    _xlpm.joueurs, INDEX(Donnees!$A:$Z, _xlpm.ligpartie+1, _xlfn.SEQUENCE(1, 4, 2)),
    INDEX(
      Donnees!$A:$Z,
      _xlpm.ligpartie + 3,
      MATCH(AD$1, _xlpm.joueurs, 0) + 1
    )
  ), ""
)</f>
        <v>2</v>
      </c>
      <c r="AE423" t="str" cm="1">
        <f t="array" ref="AE423">IFERROR(
  _xlfn.LET(
    _xlpm.ligpartie, MATCH($B422, Donnees!$F:$F, 0),
    _xlpm.joueurs, INDEX(Donnees!$A:$Z, _xlpm.ligpartie+1, _xlfn.SEQUENCE(1, 4, 2)),
    INDEX(
      Donnees!$A:$Z,
      _xlpm.ligpartie + 3,
      MATCH(AE$1, _xlpm.joueurs, 0) + 1
    )
  ), ""
)</f>
        <v/>
      </c>
      <c r="AF423" t="str" cm="1">
        <f t="array" ref="AF423">IFERROR(
  _xlfn.LET(
    _xlpm.ligpartie, MATCH($B422, Donnees!$F:$F, 0),
    _xlpm.joueurs, INDEX(Donnees!$A:$Z, _xlpm.ligpartie+1, _xlfn.SEQUENCE(1, 4, 2)),
    INDEX(
      Donnees!$A:$Z,
      _xlpm.ligpartie + 3,
      MATCH(AF$1, _xlpm.joueurs, 0) + 1
    )
  ), ""
)</f>
        <v/>
      </c>
      <c r="AG423" t="str" cm="1">
        <f t="array" ref="AG423">IFERROR(
  _xlfn.LET(
    _xlpm.ligpartie, MATCH($B422, Donnees!$F:$F, 0),
    _xlpm.joueurs, INDEX(Donnees!$A:$Z, _xlpm.ligpartie+1, _xlfn.SEQUENCE(1, 4, 2)),
    INDEX(
      Donnees!$A:$Z,
      _xlpm.ligpartie + 3,
      MATCH(AG$1, _xlpm.joueurs, 0) + 1
    )
  ), ""
)</f>
        <v/>
      </c>
      <c r="AH423" t="str" cm="1">
        <f t="array" ref="AH423">IFERROR(
  _xlfn.LET(
    _xlpm.ligpartie, MATCH($B422, Donnees!$F:$F, 0),
    _xlpm.joueurs, INDEX(Donnees!$A:$Z, _xlpm.ligpartie+1, _xlfn.SEQUENCE(1, 4, 2)),
    INDEX(
      Donnees!$A:$Z,
      _xlpm.ligpartie + 3,
      MATCH(AH$1, _xlpm.joueurs, 0) + 1
    )
  ), ""
)</f>
        <v/>
      </c>
      <c r="AI423" t="str" cm="1">
        <f t="array" ref="AI423">IFERROR(
  _xlfn.LET(
    _xlpm.ligpartie, MATCH($B422, Donnees!$F:$F, 0),
    _xlpm.joueurs, INDEX(Donnees!$A:$Z, _xlpm.ligpartie+1, _xlfn.SEQUENCE(1, 4, 2)),
    INDEX(
      Donnees!$A:$Z,
      _xlpm.ligpartie + 3,
      MATCH(AI$1, _xlpm.joueurs, 0) + 1
    )
  ), ""
)</f>
        <v/>
      </c>
      <c r="AJ423" t="str" cm="1">
        <f t="array" ref="AJ423">IFERROR(
  _xlfn.LET(
    _xlpm.ligpartie, MATCH($B422, Donnees!$F:$F, 0),
    _xlpm.joueurs, INDEX(Donnees!$A:$Z, _xlpm.ligpartie+1, _xlfn.SEQUENCE(1, 4, 2)),
    INDEX(
      Donnees!$A:$Z,
      _xlpm.ligpartie + 3,
      MATCH(AJ$1, _xlpm.joueurs, 0) + 1
    )
  ), ""
)</f>
        <v/>
      </c>
      <c r="AK423" t="str" cm="1">
        <f t="array" ref="AK423">IFERROR(
  _xlfn.LET(
    _xlpm.ligpartie, MATCH($B422, Donnees!$F:$F, 0),
    _xlpm.joueurs, INDEX(Donnees!$A:$Z, _xlpm.ligpartie+1, _xlfn.SEQUENCE(1, 4, 2)),
    INDEX(
      Donnees!$A:$Z,
      _xlpm.ligpartie + 3,
      MATCH(AK$1, _xlpm.joueurs, 0) + 1
    )
  ), ""
)</f>
        <v/>
      </c>
      <c r="AL423" t="str" cm="1">
        <f t="array" ref="AL423">IFERROR(
  _xlfn.LET(
    _xlpm.ligpartie, MATCH($B422, Donnees!$F:$F, 0),
    _xlpm.joueurs, INDEX(Donnees!$A:$Z, _xlpm.ligpartie+1, _xlfn.SEQUENCE(1, 4, 2)),
    INDEX(
      Donnees!$A:$Z,
      _xlpm.ligpartie + 3,
      MATCH(AL$1, _xlpm.joueurs, 0) + 1
    )
  ), ""
)</f>
        <v/>
      </c>
      <c r="AM423" t="str" cm="1">
        <f t="array" ref="AM423">IFERROR(
  _xlfn.LET(
    _xlpm.ligpartie, MATCH($B422, Donnees!$F:$F, 0),
    _xlpm.joueurs, INDEX(Donnees!$A:$Z, _xlpm.ligpartie+1, _xlfn.SEQUENCE(1, 4, 2)),
    INDEX(
      Donnees!$A:$Z,
      _xlpm.ligpartie + 3,
      MATCH(AM$1, _xlpm.joueurs, 0) + 1
    )
  ), ""
)</f>
        <v/>
      </c>
    </row>
    <row r="424" spans="1:39" x14ac:dyDescent="0.25">
      <c r="A424" t="s">
        <v>20</v>
      </c>
      <c r="D424" t="str" cm="1">
        <f t="array" ref="D424">_xlfn.LET(
  _xlpm.colj, _xlfn._xlws.FILTER(IF(ISNUMBER(423:423), COLUMN(423:423)), ISNUMBER(423:423)),
  _xlpm.elos, INDEX(422:422,1,_xlpm.colj),
  _xlpm.diffscale, Constantes!$B$2,
  IF(D423="",
    "",
    SUM(1/(1+POWER(10,-(D422-_xlpm.elos)/_xlpm.diffscale)))-0.5)
)</f>
        <v/>
      </c>
      <c r="E424" t="str" cm="1">
        <f t="array" ref="E424">_xlfn.LET(
  _xlpm.colj, _xlfn._xlws.FILTER(IF(ISNUMBER(423:423), COLUMN(423:423)), ISNUMBER(423:423)),
  _xlpm.elos, INDEX(422:422,1,_xlpm.colj),
  _xlpm.diffscale, Constantes!$B$2,
  IF(E423="",
    "",
    SUM(1/(1+POWER(10,-(E422-_xlpm.elos)/_xlpm.diffscale)))-0.5)
)</f>
        <v/>
      </c>
      <c r="F424" t="str" cm="1">
        <f t="array" ref="F424">_xlfn.LET(
  _xlpm.colj, _xlfn._xlws.FILTER(IF(ISNUMBER(423:423), COLUMN(423:423)), ISNUMBER(423:423)),
  _xlpm.elos, INDEX(422:422,1,_xlpm.colj),
  _xlpm.diffscale, Constantes!$B$2,
  IF(F423="",
    "",
    SUM(1/(1+POWER(10,-(F422-_xlpm.elos)/_xlpm.diffscale)))-0.5)
)</f>
        <v/>
      </c>
      <c r="G424" t="str" cm="1">
        <f t="array" ref="G424">_xlfn.LET(
  _xlpm.colj, _xlfn._xlws.FILTER(IF(ISNUMBER(423:423), COLUMN(423:423)), ISNUMBER(423:423)),
  _xlpm.elos, INDEX(422:422,1,_xlpm.colj),
  _xlpm.diffscale, Constantes!$B$2,
  IF(G423="",
    "",
    SUM(1/(1+POWER(10,-(G422-_xlpm.elos)/_xlpm.diffscale)))-0.5)
)</f>
        <v/>
      </c>
      <c r="H424" t="str" cm="1">
        <f t="array" ref="H424">_xlfn.LET(
  _xlpm.colj, _xlfn._xlws.FILTER(IF(ISNUMBER(423:423), COLUMN(423:423)), ISNUMBER(423:423)),
  _xlpm.elos, INDEX(422:422,1,_xlpm.colj),
  _xlpm.diffscale, Constantes!$B$2,
  IF(H423="",
    "",
    SUM(1/(1+POWER(10,-(H422-_xlpm.elos)/_xlpm.diffscale)))-0.5)
)</f>
        <v/>
      </c>
      <c r="I424" t="str" cm="1">
        <f t="array" ref="I424">_xlfn.LET(
  _xlpm.colj, _xlfn._xlws.FILTER(IF(ISNUMBER(423:423), COLUMN(423:423)), ISNUMBER(423:423)),
  _xlpm.elos, INDEX(422:422,1,_xlpm.colj),
  _xlpm.diffscale, Constantes!$B$2,
  IF(I423="",
    "",
    SUM(1/(1+POWER(10,-(I422-_xlpm.elos)/_xlpm.diffscale)))-0.5)
)</f>
        <v/>
      </c>
      <c r="J424" t="str" cm="1">
        <f t="array" ref="J424">_xlfn.LET(
  _xlpm.colj, _xlfn._xlws.FILTER(IF(ISNUMBER(423:423), COLUMN(423:423)), ISNUMBER(423:423)),
  _xlpm.elos, INDEX(422:422,1,_xlpm.colj),
  _xlpm.diffscale, Constantes!$B$2,
  IF(J423="",
    "",
    SUM(1/(1+POWER(10,-(J422-_xlpm.elos)/_xlpm.diffscale)))-0.5)
)</f>
        <v/>
      </c>
      <c r="K424" t="str" cm="1">
        <f t="array" ref="K424">_xlfn.LET(
  _xlpm.colj, _xlfn._xlws.FILTER(IF(ISNUMBER(423:423), COLUMN(423:423)), ISNUMBER(423:423)),
  _xlpm.elos, INDEX(422:422,1,_xlpm.colj),
  _xlpm.diffscale, Constantes!$B$2,
  IF(K423="",
    "",
    SUM(1/(1+POWER(10,-(K422-_xlpm.elos)/_xlpm.diffscale)))-0.5)
)</f>
        <v/>
      </c>
      <c r="L424" t="str" cm="1">
        <f t="array" ref="L424">_xlfn.LET(
  _xlpm.colj, _xlfn._xlws.FILTER(IF(ISNUMBER(423:423), COLUMN(423:423)), ISNUMBER(423:423)),
  _xlpm.elos, INDEX(422:422,1,_xlpm.colj),
  _xlpm.diffscale, Constantes!$B$2,
  IF(L423="",
    "",
    SUM(1/(1+POWER(10,-(L422-_xlpm.elos)/_xlpm.diffscale)))-0.5)
)</f>
        <v/>
      </c>
      <c r="M424" t="str" cm="1">
        <f t="array" ref="M424">_xlfn.LET(
  _xlpm.colj, _xlfn._xlws.FILTER(IF(ISNUMBER(423:423), COLUMN(423:423)), ISNUMBER(423:423)),
  _xlpm.elos, INDEX(422:422,1,_xlpm.colj),
  _xlpm.diffscale, Constantes!$B$2,
  IF(M423="",
    "",
    SUM(1/(1+POWER(10,-(M422-_xlpm.elos)/_xlpm.diffscale)))-0.5)
)</f>
        <v/>
      </c>
      <c r="N424" t="str" cm="1">
        <f t="array" ref="N424">_xlfn.LET(
  _xlpm.colj, _xlfn._xlws.FILTER(IF(ISNUMBER(423:423), COLUMN(423:423)), ISNUMBER(423:423)),
  _xlpm.elos, INDEX(422:422,1,_xlpm.colj),
  _xlpm.diffscale, Constantes!$B$2,
  IF(N423="",
    "",
    SUM(1/(1+POWER(10,-(N422-_xlpm.elos)/_xlpm.diffscale)))-0.5)
)</f>
        <v/>
      </c>
      <c r="O424" t="str" cm="1">
        <f t="array" ref="O424">_xlfn.LET(
  _xlpm.colj, _xlfn._xlws.FILTER(IF(ISNUMBER(423:423), COLUMN(423:423)), ISNUMBER(423:423)),
  _xlpm.elos, INDEX(422:422,1,_xlpm.colj),
  _xlpm.diffscale, Constantes!$B$2,
  IF(O423="",
    "",
    SUM(1/(1+POWER(10,-(O422-_xlpm.elos)/_xlpm.diffscale)))-0.5)
)</f>
        <v/>
      </c>
      <c r="P424" t="str" cm="1">
        <f t="array" ref="P424">_xlfn.LET(
  _xlpm.colj, _xlfn._xlws.FILTER(IF(ISNUMBER(423:423), COLUMN(423:423)), ISNUMBER(423:423)),
  _xlpm.elos, INDEX(422:422,1,_xlpm.colj),
  _xlpm.diffscale, Constantes!$B$2,
  IF(P423="",
    "",
    SUM(1/(1+POWER(10,-(P422-_xlpm.elos)/_xlpm.diffscale)))-0.5)
)</f>
        <v/>
      </c>
      <c r="Q424" t="str" cm="1">
        <f t="array" ref="Q424">_xlfn.LET(
  _xlpm.colj, _xlfn._xlws.FILTER(IF(ISNUMBER(423:423), COLUMN(423:423)), ISNUMBER(423:423)),
  _xlpm.elos, INDEX(422:422,1,_xlpm.colj),
  _xlpm.diffscale, Constantes!$B$2,
  IF(Q423="",
    "",
    SUM(1/(1+POWER(10,-(Q422-_xlpm.elos)/_xlpm.diffscale)))-0.5)
)</f>
        <v/>
      </c>
      <c r="R424" t="str" cm="1">
        <f t="array" ref="R424">_xlfn.LET(
  _xlpm.colj, _xlfn._xlws.FILTER(IF(ISNUMBER(423:423), COLUMN(423:423)), ISNUMBER(423:423)),
  _xlpm.elos, INDEX(422:422,1,_xlpm.colj),
  _xlpm.diffscale, Constantes!$B$2,
  IF(R423="",
    "",
    SUM(1/(1+POWER(10,-(R422-_xlpm.elos)/_xlpm.diffscale)))-0.5)
)</f>
        <v/>
      </c>
      <c r="S424" t="str" cm="1">
        <f t="array" ref="S424">_xlfn.LET(
  _xlpm.colj, _xlfn._xlws.FILTER(IF(ISNUMBER(423:423), COLUMN(423:423)), ISNUMBER(423:423)),
  _xlpm.elos, INDEX(422:422,1,_xlpm.colj),
  _xlpm.diffscale, Constantes!$B$2,
  IF(S423="",
    "",
    SUM(1/(1+POWER(10,-(S422-_xlpm.elos)/_xlpm.diffscale)))-0.5)
)</f>
        <v/>
      </c>
      <c r="T424" t="str" cm="1">
        <f t="array" ref="T424">_xlfn.LET(
  _xlpm.colj, _xlfn._xlws.FILTER(IF(ISNUMBER(423:423), COLUMN(423:423)), ISNUMBER(423:423)),
  _xlpm.elos, INDEX(422:422,1,_xlpm.colj),
  _xlpm.diffscale, Constantes!$B$2,
  IF(T423="",
    "",
    SUM(1/(1+POWER(10,-(T422-_xlpm.elos)/_xlpm.diffscale)))-0.5)
)</f>
        <v/>
      </c>
      <c r="U424" t="str" cm="1">
        <f t="array" ref="U424">_xlfn.LET(
  _xlpm.colj, _xlfn._xlws.FILTER(IF(ISNUMBER(423:423), COLUMN(423:423)), ISNUMBER(423:423)),
  _xlpm.elos, INDEX(422:422,1,_xlpm.colj),
  _xlpm.diffscale, Constantes!$B$2,
  IF(U423="",
    "",
    SUM(1/(1+POWER(10,-(U422-_xlpm.elos)/_xlpm.diffscale)))-0.5)
)</f>
        <v/>
      </c>
      <c r="V424" t="str" cm="1">
        <f t="array" ref="V424">_xlfn.LET(
  _xlpm.colj, _xlfn._xlws.FILTER(IF(ISNUMBER(423:423), COLUMN(423:423)), ISNUMBER(423:423)),
  _xlpm.elos, INDEX(422:422,1,_xlpm.colj),
  _xlpm.diffscale, Constantes!$B$2,
  IF(V423="",
    "",
    SUM(1/(1+POWER(10,-(V422-_xlpm.elos)/_xlpm.diffscale)))-0.5)
)</f>
        <v/>
      </c>
      <c r="W424" t="str" cm="1">
        <f t="array" ref="W424">_xlfn.LET(
  _xlpm.colj, _xlfn._xlws.FILTER(IF(ISNUMBER(423:423), COLUMN(423:423)), ISNUMBER(423:423)),
  _xlpm.elos, INDEX(422:422,1,_xlpm.colj),
  _xlpm.diffscale, Constantes!$B$2,
  IF(W423="",
    "",
    SUM(1/(1+POWER(10,-(W422-_xlpm.elos)/_xlpm.diffscale)))-0.5)
)</f>
        <v/>
      </c>
      <c r="X424" cm="1">
        <f t="array" ref="X424">_xlfn.LET(
  _xlpm.colj, _xlfn._xlws.FILTER(IF(ISNUMBER(423:423), COLUMN(423:423)), ISNUMBER(423:423)),
  _xlpm.elos, INDEX(422:422,1,_xlpm.colj),
  _xlpm.diffscale, Constantes!$B$2,
  IF(X423="",
    "",
    SUM(1/(1+POWER(10,-(X422-_xlpm.elos)/_xlpm.diffscale)))-0.5)
)</f>
        <v>0.85452262308775095</v>
      </c>
      <c r="Y424" cm="1">
        <f t="array" ref="Y424">_xlfn.LET(
  _xlpm.colj, _xlfn._xlws.FILTER(IF(ISNUMBER(423:423), COLUMN(423:423)), ISNUMBER(423:423)),
  _xlpm.elos, INDEX(422:422,1,_xlpm.colj),
  _xlpm.diffscale, Constantes!$B$2,
  IF(Y423="",
    "",
    SUM(1/(1+POWER(10,-(Y422-_xlpm.elos)/_xlpm.diffscale)))-0.5)
)</f>
        <v>1.2297774701459279</v>
      </c>
      <c r="Z424" t="str" cm="1">
        <f t="array" ref="Z424">_xlfn.LET(
  _xlpm.colj, _xlfn._xlws.FILTER(IF(ISNUMBER(423:423), COLUMN(423:423)), ISNUMBER(423:423)),
  _xlpm.elos, INDEX(422:422,1,_xlpm.colj),
  _xlpm.diffscale, Constantes!$B$2,
  IF(Z423="",
    "",
    SUM(1/(1+POWER(10,-(Z422-_xlpm.elos)/_xlpm.diffscale)))-0.5)
)</f>
        <v/>
      </c>
      <c r="AA424" t="str" cm="1">
        <f t="array" ref="AA424">_xlfn.LET(
  _xlpm.colj, _xlfn._xlws.FILTER(IF(ISNUMBER(423:423), COLUMN(423:423)), ISNUMBER(423:423)),
  _xlpm.elos, INDEX(422:422,1,_xlpm.colj),
  _xlpm.diffscale, Constantes!$B$2,
  IF(AA423="",
    "",
    SUM(1/(1+POWER(10,-(AA422-_xlpm.elos)/_xlpm.diffscale)))-0.5)
)</f>
        <v/>
      </c>
      <c r="AB424" t="str" cm="1">
        <f t="array" ref="AB424">_xlfn.LET(
  _xlpm.colj, _xlfn._xlws.FILTER(IF(ISNUMBER(423:423), COLUMN(423:423)), ISNUMBER(423:423)),
  _xlpm.elos, INDEX(422:422,1,_xlpm.colj),
  _xlpm.diffscale, Constantes!$B$2,
  IF(AB423="",
    "",
    SUM(1/(1+POWER(10,-(AB422-_xlpm.elos)/_xlpm.diffscale)))-0.5)
)</f>
        <v/>
      </c>
      <c r="AC424" cm="1">
        <f t="array" ref="AC424">_xlfn.LET(
  _xlpm.colj, _xlfn._xlws.FILTER(IF(ISNUMBER(423:423), COLUMN(423:423)), ISNUMBER(423:423)),
  _xlpm.elos, INDEX(422:422,1,_xlpm.colj),
  _xlpm.diffscale, Constantes!$B$2,
  IF(AC423="",
    "",
    SUM(1/(1+POWER(10,-(AC422-_xlpm.elos)/_xlpm.diffscale)))-0.5)
)</f>
        <v>1.7025902218820814</v>
      </c>
      <c r="AD424" cm="1">
        <f t="array" ref="AD424">_xlfn.LET(
  _xlpm.colj, _xlfn._xlws.FILTER(IF(ISNUMBER(423:423), COLUMN(423:423)), ISNUMBER(423:423)),
  _xlpm.elos, INDEX(422:422,1,_xlpm.colj),
  _xlpm.diffscale, Constantes!$B$2,
  IF(AD423="",
    "",
    SUM(1/(1+POWER(10,-(AD422-_xlpm.elos)/_xlpm.diffscale)))-0.5)
)</f>
        <v>2.2131096848842393</v>
      </c>
      <c r="AE424" t="str" cm="1">
        <f t="array" ref="AE424">_xlfn.LET(
  _xlpm.colj, _xlfn._xlws.FILTER(IF(ISNUMBER(423:423), COLUMN(423:423)), ISNUMBER(423:423)),
  _xlpm.elos, INDEX(422:422,1,_xlpm.colj),
  _xlpm.diffscale, Constantes!$B$2,
  IF(AE423="",
    "",
    SUM(1/(1+POWER(10,-(AE422-_xlpm.elos)/_xlpm.diffscale)))-0.5)
)</f>
        <v/>
      </c>
      <c r="AF424" t="str" cm="1">
        <f t="array" ref="AF424">_xlfn.LET(
  _xlpm.colj, _xlfn._xlws.FILTER(IF(ISNUMBER(423:423), COLUMN(423:423)), ISNUMBER(423:423)),
  _xlpm.elos, INDEX(422:422,1,_xlpm.colj),
  _xlpm.diffscale, Constantes!$B$2,
  IF(AF423="",
    "",
    SUM(1/(1+POWER(10,-(AF422-_xlpm.elos)/_xlpm.diffscale)))-0.5)
)</f>
        <v/>
      </c>
      <c r="AG424" t="str" cm="1">
        <f t="array" ref="AG424">_xlfn.LET(
  _xlpm.colj, _xlfn._xlws.FILTER(IF(ISNUMBER(423:423), COLUMN(423:423)), ISNUMBER(423:423)),
  _xlpm.elos, INDEX(422:422,1,_xlpm.colj),
  _xlpm.diffscale, Constantes!$B$2,
  IF(AG423="",
    "",
    SUM(1/(1+POWER(10,-(AG422-_xlpm.elos)/_xlpm.diffscale)))-0.5)
)</f>
        <v/>
      </c>
      <c r="AH424" t="str" cm="1">
        <f t="array" ref="AH424">_xlfn.LET(
  _xlpm.colj, _xlfn._xlws.FILTER(IF(ISNUMBER(423:423), COLUMN(423:423)), ISNUMBER(423:423)),
  _xlpm.elos, INDEX(422:422,1,_xlpm.colj),
  _xlpm.diffscale, Constantes!$B$2,
  IF(AH423="",
    "",
    SUM(1/(1+POWER(10,-(AH422-_xlpm.elos)/_xlpm.diffscale)))-0.5)
)</f>
        <v/>
      </c>
      <c r="AI424" t="str" cm="1">
        <f t="array" ref="AI424">_xlfn.LET(
  _xlpm.colj, _xlfn._xlws.FILTER(IF(ISNUMBER(423:423), COLUMN(423:423)), ISNUMBER(423:423)),
  _xlpm.elos, INDEX(422:422,1,_xlpm.colj),
  _xlpm.diffscale, Constantes!$B$2,
  IF(AI423="",
    "",
    SUM(1/(1+POWER(10,-(AI422-_xlpm.elos)/_xlpm.diffscale)))-0.5)
)</f>
        <v/>
      </c>
      <c r="AJ424" t="str" cm="1">
        <f t="array" ref="AJ424">_xlfn.LET(
  _xlpm.colj, _xlfn._xlws.FILTER(IF(ISNUMBER(423:423), COLUMN(423:423)), ISNUMBER(423:423)),
  _xlpm.elos, INDEX(422:422,1,_xlpm.colj),
  _xlpm.diffscale, Constantes!$B$2,
  IF(AJ423="",
    "",
    SUM(1/(1+POWER(10,-(AJ422-_xlpm.elos)/_xlpm.diffscale)))-0.5)
)</f>
        <v/>
      </c>
      <c r="AK424" t="str" cm="1">
        <f t="array" ref="AK424">_xlfn.LET(
  _xlpm.colj, _xlfn._xlws.FILTER(IF(ISNUMBER(423:423), COLUMN(423:423)), ISNUMBER(423:423)),
  _xlpm.elos, INDEX(422:422,1,_xlpm.colj),
  _xlpm.diffscale, Constantes!$B$2,
  IF(AK423="",
    "",
    SUM(1/(1+POWER(10,-(AK422-_xlpm.elos)/_xlpm.diffscale)))-0.5)
)</f>
        <v/>
      </c>
      <c r="AL424" t="str" cm="1">
        <f t="array" ref="AL424">_xlfn.LET(
  _xlpm.colj, _xlfn._xlws.FILTER(IF(ISNUMBER(423:423), COLUMN(423:423)), ISNUMBER(423:423)),
  _xlpm.elos, INDEX(422:422,1,_xlpm.colj),
  _xlpm.diffscale, Constantes!$B$2,
  IF(AL423="",
    "",
    SUM(1/(1+POWER(10,-(AL422-_xlpm.elos)/_xlpm.diffscale)))-0.5)
)</f>
        <v/>
      </c>
      <c r="AM424" t="str" cm="1">
        <f t="array" ref="AM424">_xlfn.LET(
  _xlpm.colj, _xlfn._xlws.FILTER(IF(ISNUMBER(423:423), COLUMN(423:423)), ISNUMBER(423:423)),
  _xlpm.elos, INDEX(422:422,1,_xlpm.colj),
  _xlpm.diffscale, Constantes!$B$2,
  IF(AM423="",
    "",
    SUM(1/(1+POWER(10,-(AM422-_xlpm.elos)/_xlpm.diffscale)))-0.5)
)</f>
        <v/>
      </c>
    </row>
    <row r="425" spans="1:39" x14ac:dyDescent="0.25">
      <c r="A425" t="s">
        <v>22</v>
      </c>
      <c r="D425" t="str" cm="1">
        <f t="array" ref="D425">_xlfn.LET(
  _xlpm.K, Constantes!$B$3,
  _xlpm.Knewgain, Constantes!$B$4,
  _xlpm.Knewscale, Constantes!$B$5,
  _xlpm.ptstables, INDEX(D:D, _xlfn.SEQUENCE(COUNTA($C$2:$C425), 1, 3, 4)),
  _xlpm.nbparties, COUNTA(_xlfn._xlws.FILTER(_xlpm.ptstables, _xlpm.ptstables &lt;&gt; "")),
  _xlpm.coef, _xlpm.K + _xlpm.Knewgain / (_xlpm.Knewscale + _xlpm.nbparties),
  IF(D423="",
    "",
    _xlpm.coef * (D423-D424))
)</f>
        <v/>
      </c>
      <c r="E425" t="str" cm="1">
        <f t="array" ref="E425">_xlfn.LET(
  _xlpm.K, Constantes!$B$3,
  _xlpm.Knewgain, Constantes!$B$4,
  _xlpm.Knewscale, Constantes!$B$5,
  _xlpm.ptstables, INDEX(E:E, _xlfn.SEQUENCE(COUNTA($C$2:$C425), 1, 3, 4)),
  _xlpm.nbparties, COUNTA(_xlfn._xlws.FILTER(_xlpm.ptstables, _xlpm.ptstables &lt;&gt; "")),
  _xlpm.coef, _xlpm.K + _xlpm.Knewgain / (_xlpm.Knewscale + _xlpm.nbparties),
  IF(E423="",
    "",
    _xlpm.coef * (E423-E424))
)</f>
        <v/>
      </c>
      <c r="F425" t="str" cm="1">
        <f t="array" ref="F425">_xlfn.LET(
  _xlpm.K, Constantes!$B$3,
  _xlpm.Knewgain, Constantes!$B$4,
  _xlpm.Knewscale, Constantes!$B$5,
  _xlpm.ptstables, INDEX(F:F, _xlfn.SEQUENCE(COUNTA($C$2:$C425), 1, 3, 4)),
  _xlpm.nbparties, COUNTA(_xlfn._xlws.FILTER(_xlpm.ptstables, _xlpm.ptstables &lt;&gt; "")),
  _xlpm.coef, _xlpm.K + _xlpm.Knewgain / (_xlpm.Knewscale + _xlpm.nbparties),
  IF(F423="",
    "",
    _xlpm.coef * (F423-F424))
)</f>
        <v/>
      </c>
      <c r="G425" t="str" cm="1">
        <f t="array" ref="G425">_xlfn.LET(
  _xlpm.K, Constantes!$B$3,
  _xlpm.Knewgain, Constantes!$B$4,
  _xlpm.Knewscale, Constantes!$B$5,
  _xlpm.ptstables, INDEX(G:G, _xlfn.SEQUENCE(COUNTA($C$2:$C425), 1, 3, 4)),
  _xlpm.nbparties, COUNTA(_xlfn._xlws.FILTER(_xlpm.ptstables, _xlpm.ptstables &lt;&gt; "")),
  _xlpm.coef, _xlpm.K + _xlpm.Knewgain / (_xlpm.Knewscale + _xlpm.nbparties),
  IF(G423="",
    "",
    _xlpm.coef * (G423-G424))
)</f>
        <v/>
      </c>
      <c r="H425" t="str" cm="1">
        <f t="array" ref="H425">_xlfn.LET(
  _xlpm.K, Constantes!$B$3,
  _xlpm.Knewgain, Constantes!$B$4,
  _xlpm.Knewscale, Constantes!$B$5,
  _xlpm.ptstables, INDEX(H:H, _xlfn.SEQUENCE(COUNTA($C$2:$C425), 1, 3, 4)),
  _xlpm.nbparties, COUNTA(_xlfn._xlws.FILTER(_xlpm.ptstables, _xlpm.ptstables &lt;&gt; "")),
  _xlpm.coef, _xlpm.K + _xlpm.Knewgain / (_xlpm.Knewscale + _xlpm.nbparties),
  IF(H423="",
    "",
    _xlpm.coef * (H423-H424))
)</f>
        <v/>
      </c>
      <c r="I425" t="str" cm="1">
        <f t="array" ref="I425">_xlfn.LET(
  _xlpm.K, Constantes!$B$3,
  _xlpm.Knewgain, Constantes!$B$4,
  _xlpm.Knewscale, Constantes!$B$5,
  _xlpm.ptstables, INDEX(I:I, _xlfn.SEQUENCE(COUNTA($C$2:$C425), 1, 3, 4)),
  _xlpm.nbparties, COUNTA(_xlfn._xlws.FILTER(_xlpm.ptstables, _xlpm.ptstables &lt;&gt; "")),
  _xlpm.coef, _xlpm.K + _xlpm.Knewgain / (_xlpm.Knewscale + _xlpm.nbparties),
  IF(I423="",
    "",
    _xlpm.coef * (I423-I424))
)</f>
        <v/>
      </c>
      <c r="J425" t="str" cm="1">
        <f t="array" ref="J425">_xlfn.LET(
  _xlpm.K, Constantes!$B$3,
  _xlpm.Knewgain, Constantes!$B$4,
  _xlpm.Knewscale, Constantes!$B$5,
  _xlpm.ptstables, INDEX(J:J, _xlfn.SEQUENCE(COUNTA($C$2:$C425), 1, 3, 4)),
  _xlpm.nbparties, COUNTA(_xlfn._xlws.FILTER(_xlpm.ptstables, _xlpm.ptstables &lt;&gt; "")),
  _xlpm.coef, _xlpm.K + _xlpm.Knewgain / (_xlpm.Knewscale + _xlpm.nbparties),
  IF(J423="",
    "",
    _xlpm.coef * (J423-J424))
)</f>
        <v/>
      </c>
      <c r="K425" t="str" cm="1">
        <f t="array" ref="K425">_xlfn.LET(
  _xlpm.K, Constantes!$B$3,
  _xlpm.Knewgain, Constantes!$B$4,
  _xlpm.Knewscale, Constantes!$B$5,
  _xlpm.ptstables, INDEX(K:K, _xlfn.SEQUENCE(COUNTA($C$2:$C425), 1, 3, 4)),
  _xlpm.nbparties, COUNTA(_xlfn._xlws.FILTER(_xlpm.ptstables, _xlpm.ptstables &lt;&gt; "")),
  _xlpm.coef, _xlpm.K + _xlpm.Knewgain / (_xlpm.Knewscale + _xlpm.nbparties),
  IF(K423="",
    "",
    _xlpm.coef * (K423-K424))
)</f>
        <v/>
      </c>
      <c r="L425" t="str" cm="1">
        <f t="array" ref="L425">_xlfn.LET(
  _xlpm.K, Constantes!$B$3,
  _xlpm.Knewgain, Constantes!$B$4,
  _xlpm.Knewscale, Constantes!$B$5,
  _xlpm.ptstables, INDEX(L:L, _xlfn.SEQUENCE(COUNTA($C$2:$C425), 1, 3, 4)),
  _xlpm.nbparties, COUNTA(_xlfn._xlws.FILTER(_xlpm.ptstables, _xlpm.ptstables &lt;&gt; "")),
  _xlpm.coef, _xlpm.K + _xlpm.Knewgain / (_xlpm.Knewscale + _xlpm.nbparties),
  IF(L423="",
    "",
    _xlpm.coef * (L423-L424))
)</f>
        <v/>
      </c>
      <c r="M425" t="str" cm="1">
        <f t="array" ref="M425">_xlfn.LET(
  _xlpm.K, Constantes!$B$3,
  _xlpm.Knewgain, Constantes!$B$4,
  _xlpm.Knewscale, Constantes!$B$5,
  _xlpm.ptstables, INDEX(M:M, _xlfn.SEQUENCE(COUNTA($C$2:$C425), 1, 3, 4)),
  _xlpm.nbparties, COUNTA(_xlfn._xlws.FILTER(_xlpm.ptstables, _xlpm.ptstables &lt;&gt; "")),
  _xlpm.coef, _xlpm.K + _xlpm.Knewgain / (_xlpm.Knewscale + _xlpm.nbparties),
  IF(M423="",
    "",
    _xlpm.coef * (M423-M424))
)</f>
        <v/>
      </c>
      <c r="N425" t="str" cm="1">
        <f t="array" ref="N425">_xlfn.LET(
  _xlpm.K, Constantes!$B$3,
  _xlpm.Knewgain, Constantes!$B$4,
  _xlpm.Knewscale, Constantes!$B$5,
  _xlpm.ptstables, INDEX(N:N, _xlfn.SEQUENCE(COUNTA($C$2:$C425), 1, 3, 4)),
  _xlpm.nbparties, COUNTA(_xlfn._xlws.FILTER(_xlpm.ptstables, _xlpm.ptstables &lt;&gt; "")),
  _xlpm.coef, _xlpm.K + _xlpm.Knewgain / (_xlpm.Knewscale + _xlpm.nbparties),
  IF(N423="",
    "",
    _xlpm.coef * (N423-N424))
)</f>
        <v/>
      </c>
      <c r="O425" t="str" cm="1">
        <f t="array" ref="O425">_xlfn.LET(
  _xlpm.K, Constantes!$B$3,
  _xlpm.Knewgain, Constantes!$B$4,
  _xlpm.Knewscale, Constantes!$B$5,
  _xlpm.ptstables, INDEX(O:O, _xlfn.SEQUENCE(COUNTA($C$2:$C425), 1, 3, 4)),
  _xlpm.nbparties, COUNTA(_xlfn._xlws.FILTER(_xlpm.ptstables, _xlpm.ptstables &lt;&gt; "")),
  _xlpm.coef, _xlpm.K + _xlpm.Knewgain / (_xlpm.Knewscale + _xlpm.nbparties),
  IF(O423="",
    "",
    _xlpm.coef * (O423-O424))
)</f>
        <v/>
      </c>
      <c r="P425" t="str" cm="1">
        <f t="array" ref="P425">_xlfn.LET(
  _xlpm.K, Constantes!$B$3,
  _xlpm.Knewgain, Constantes!$B$4,
  _xlpm.Knewscale, Constantes!$B$5,
  _xlpm.ptstables, INDEX(P:P, _xlfn.SEQUENCE(COUNTA($C$2:$C425), 1, 3, 4)),
  _xlpm.nbparties, COUNTA(_xlfn._xlws.FILTER(_xlpm.ptstables, _xlpm.ptstables &lt;&gt; "")),
  _xlpm.coef, _xlpm.K + _xlpm.Knewgain / (_xlpm.Knewscale + _xlpm.nbparties),
  IF(P423="",
    "",
    _xlpm.coef * (P423-P424))
)</f>
        <v/>
      </c>
      <c r="Q425" t="str" cm="1">
        <f t="array" ref="Q425">_xlfn.LET(
  _xlpm.K, Constantes!$B$3,
  _xlpm.Knewgain, Constantes!$B$4,
  _xlpm.Knewscale, Constantes!$B$5,
  _xlpm.ptstables, INDEX(Q:Q, _xlfn.SEQUENCE(COUNTA($C$2:$C425), 1, 3, 4)),
  _xlpm.nbparties, COUNTA(_xlfn._xlws.FILTER(_xlpm.ptstables, _xlpm.ptstables &lt;&gt; "")),
  _xlpm.coef, _xlpm.K + _xlpm.Knewgain / (_xlpm.Knewscale + _xlpm.nbparties),
  IF(Q423="",
    "",
    _xlpm.coef * (Q423-Q424))
)</f>
        <v/>
      </c>
      <c r="R425" t="str" cm="1">
        <f t="array" ref="R425">_xlfn.LET(
  _xlpm.K, Constantes!$B$3,
  _xlpm.Knewgain, Constantes!$B$4,
  _xlpm.Knewscale, Constantes!$B$5,
  _xlpm.ptstables, INDEX(R:R, _xlfn.SEQUENCE(COUNTA($C$2:$C425), 1, 3, 4)),
  _xlpm.nbparties, COUNTA(_xlfn._xlws.FILTER(_xlpm.ptstables, _xlpm.ptstables &lt;&gt; "")),
  _xlpm.coef, _xlpm.K + _xlpm.Knewgain / (_xlpm.Knewscale + _xlpm.nbparties),
  IF(R423="",
    "",
    _xlpm.coef * (R423-R424))
)</f>
        <v/>
      </c>
      <c r="S425" t="str" cm="1">
        <f t="array" ref="S425">_xlfn.LET(
  _xlpm.K, Constantes!$B$3,
  _xlpm.Knewgain, Constantes!$B$4,
  _xlpm.Knewscale, Constantes!$B$5,
  _xlpm.ptstables, INDEX(S:S, _xlfn.SEQUENCE(COUNTA($C$2:$C425), 1, 3, 4)),
  _xlpm.nbparties, COUNTA(_xlfn._xlws.FILTER(_xlpm.ptstables, _xlpm.ptstables &lt;&gt; "")),
  _xlpm.coef, _xlpm.K + _xlpm.Knewgain / (_xlpm.Knewscale + _xlpm.nbparties),
  IF(S423="",
    "",
    _xlpm.coef * (S423-S424))
)</f>
        <v/>
      </c>
      <c r="T425" t="str" cm="1">
        <f t="array" ref="T425">_xlfn.LET(
  _xlpm.K, Constantes!$B$3,
  _xlpm.Knewgain, Constantes!$B$4,
  _xlpm.Knewscale, Constantes!$B$5,
  _xlpm.ptstables, INDEX(T:T, _xlfn.SEQUENCE(COUNTA($C$2:$C425), 1, 3, 4)),
  _xlpm.nbparties, COUNTA(_xlfn._xlws.FILTER(_xlpm.ptstables, _xlpm.ptstables &lt;&gt; "")),
  _xlpm.coef, _xlpm.K + _xlpm.Knewgain / (_xlpm.Knewscale + _xlpm.nbparties),
  IF(T423="",
    "",
    _xlpm.coef * (T423-T424))
)</f>
        <v/>
      </c>
      <c r="U425" t="str" cm="1">
        <f t="array" ref="U425">_xlfn.LET(
  _xlpm.K, Constantes!$B$3,
  _xlpm.Knewgain, Constantes!$B$4,
  _xlpm.Knewscale, Constantes!$B$5,
  _xlpm.ptstables, INDEX(U:U, _xlfn.SEQUENCE(COUNTA($C$2:$C425), 1, 3, 4)),
  _xlpm.nbparties, COUNTA(_xlfn._xlws.FILTER(_xlpm.ptstables, _xlpm.ptstables &lt;&gt; "")),
  _xlpm.coef, _xlpm.K + _xlpm.Knewgain / (_xlpm.Knewscale + _xlpm.nbparties),
  IF(U423="",
    "",
    _xlpm.coef * (U423-U424))
)</f>
        <v/>
      </c>
      <c r="V425" t="str" cm="1">
        <f t="array" ref="V425">_xlfn.LET(
  _xlpm.K, Constantes!$B$3,
  _xlpm.Knewgain, Constantes!$B$4,
  _xlpm.Knewscale, Constantes!$B$5,
  _xlpm.ptstables, INDEX(V:V, _xlfn.SEQUENCE(COUNTA($C$2:$C425), 1, 3, 4)),
  _xlpm.nbparties, COUNTA(_xlfn._xlws.FILTER(_xlpm.ptstables, _xlpm.ptstables &lt;&gt; "")),
  _xlpm.coef, _xlpm.K + _xlpm.Knewgain / (_xlpm.Knewscale + _xlpm.nbparties),
  IF(V423="",
    "",
    _xlpm.coef * (V423-V424))
)</f>
        <v/>
      </c>
      <c r="W425" t="str" cm="1">
        <f t="array" ref="W425">_xlfn.LET(
  _xlpm.K, Constantes!$B$3,
  _xlpm.Knewgain, Constantes!$B$4,
  _xlpm.Knewscale, Constantes!$B$5,
  _xlpm.ptstables, INDEX(W:W, _xlfn.SEQUENCE(COUNTA($C$2:$C425), 1, 3, 4)),
  _xlpm.nbparties, COUNTA(_xlfn._xlws.FILTER(_xlpm.ptstables, _xlpm.ptstables &lt;&gt; "")),
  _xlpm.coef, _xlpm.K + _xlpm.Knewgain / (_xlpm.Knewscale + _xlpm.nbparties),
  IF(W423="",
    "",
    _xlpm.coef * (W423-W424))
)</f>
        <v/>
      </c>
      <c r="X425" cm="1">
        <f t="array" ref="X425">_xlfn.LET(
  _xlpm.K, Constantes!$B$3,
  _xlpm.Knewgain, Constantes!$B$4,
  _xlpm.Knewscale, Constantes!$B$5,
  _xlpm.ptstables, INDEX(X:X, _xlfn.SEQUENCE(COUNTA($C$2:$C425), 1, 3, 4)),
  _xlpm.nbparties, COUNTA(_xlfn._xlws.FILTER(_xlpm.ptstables, _xlpm.ptstables &lt;&gt; "")),
  _xlpm.coef, _xlpm.K + _xlpm.Knewgain / (_xlpm.Knewscale + _xlpm.nbparties),
  IF(X423="",
    "",
    _xlpm.coef * (X423-X424))
)</f>
        <v>3.4291095986458706</v>
      </c>
      <c r="Y425" cm="1">
        <f t="array" ref="Y425">_xlfn.LET(
  _xlpm.K, Constantes!$B$3,
  _xlpm.Knewgain, Constantes!$B$4,
  _xlpm.Knewscale, Constantes!$B$5,
  _xlpm.ptstables, INDEX(Y:Y, _xlfn.SEQUENCE(COUNTA($C$2:$C425), 1, 3, 4)),
  _xlpm.nbparties, COUNTA(_xlfn._xlws.FILTER(_xlpm.ptstables, _xlpm.ptstables &lt;&gt; "")),
  _xlpm.coef, _xlpm.K + _xlpm.Knewgain / (_xlpm.Knewscale + _xlpm.nbparties),
  IF(Y423="",
    "",
    _xlpm.coef * (Y423-Y424))
)</f>
        <v>41.305192363261682</v>
      </c>
      <c r="Z425" t="str" cm="1">
        <f t="array" ref="Z425">_xlfn.LET(
  _xlpm.K, Constantes!$B$3,
  _xlpm.Knewgain, Constantes!$B$4,
  _xlpm.Knewscale, Constantes!$B$5,
  _xlpm.ptstables, INDEX(Z:Z, _xlfn.SEQUENCE(COUNTA($C$2:$C425), 1, 3, 4)),
  _xlpm.nbparties, COUNTA(_xlfn._xlws.FILTER(_xlpm.ptstables, _xlpm.ptstables &lt;&gt; "")),
  _xlpm.coef, _xlpm.K + _xlpm.Knewgain / (_xlpm.Knewscale + _xlpm.nbparties),
  IF(Z423="",
    "",
    _xlpm.coef * (Z423-Z424))
)</f>
        <v/>
      </c>
      <c r="AA425" t="str" cm="1">
        <f t="array" ref="AA425">_xlfn.LET(
  _xlpm.K, Constantes!$B$3,
  _xlpm.Knewgain, Constantes!$B$4,
  _xlpm.Knewscale, Constantes!$B$5,
  _xlpm.ptstables, INDEX(AA:AA, _xlfn.SEQUENCE(COUNTA($C$2:$C425), 1, 3, 4)),
  _xlpm.nbparties, COUNTA(_xlfn._xlws.FILTER(_xlpm.ptstables, _xlpm.ptstables &lt;&gt; "")),
  _xlpm.coef, _xlpm.K + _xlpm.Knewgain / (_xlpm.Knewscale + _xlpm.nbparties),
  IF(AA423="",
    "",
    _xlpm.coef * (AA423-AA424))
)</f>
        <v/>
      </c>
      <c r="AB425" t="str" cm="1">
        <f t="array" ref="AB425">_xlfn.LET(
  _xlpm.K, Constantes!$B$3,
  _xlpm.Knewgain, Constantes!$B$4,
  _xlpm.Knewscale, Constantes!$B$5,
  _xlpm.ptstables, INDEX(AB:AB, _xlfn.SEQUENCE(COUNTA($C$2:$C425), 1, 3, 4)),
  _xlpm.nbparties, COUNTA(_xlfn._xlws.FILTER(_xlpm.ptstables, _xlpm.ptstables &lt;&gt; "")),
  _xlpm.coef, _xlpm.K + _xlpm.Knewgain / (_xlpm.Knewscale + _xlpm.nbparties),
  IF(AB423="",
    "",
    _xlpm.coef * (AB423-AB424))
)</f>
        <v/>
      </c>
      <c r="AC425" cm="1">
        <f t="array" ref="AC425">_xlfn.LET(
  _xlpm.K, Constantes!$B$3,
  _xlpm.Knewgain, Constantes!$B$4,
  _xlpm.Knewscale, Constantes!$B$5,
  _xlpm.ptstables, INDEX(AC:AC, _xlfn.SEQUENCE(COUNTA($C$2:$C425), 1, 3, 4)),
  _xlpm.nbparties, COUNTA(_xlfn._xlws.FILTER(_xlpm.ptstables, _xlpm.ptstables &lt;&gt; "")),
  _xlpm.coef, _xlpm.K + _xlpm.Knewgain / (_xlpm.Knewscale + _xlpm.nbparties),
  IF(AC423="",
    "",
    _xlpm.coef * (AC423-AC424))
)</f>
        <v>-38.781221720647409</v>
      </c>
      <c r="AD425" cm="1">
        <f t="array" ref="AD425">_xlfn.LET(
  _xlpm.K, Constantes!$B$3,
  _xlpm.Knewgain, Constantes!$B$4,
  _xlpm.Knewscale, Constantes!$B$5,
  _xlpm.ptstables, INDEX(AD:AD, _xlfn.SEQUENCE(COUNTA($C$2:$C425), 1, 3, 4)),
  _xlpm.nbparties, COUNTA(_xlfn._xlws.FILTER(_xlpm.ptstables, _xlpm.ptstables &lt;&gt; "")),
  _xlpm.coef, _xlpm.K + _xlpm.Knewgain / (_xlpm.Knewscale + _xlpm.nbparties),
  IF(AD423="",
    "",
    _xlpm.coef * (AD423-AD424))
)</f>
        <v>-5.4461363914861165</v>
      </c>
      <c r="AE425" t="str" cm="1">
        <f t="array" ref="AE425">_xlfn.LET(
  _xlpm.K, Constantes!$B$3,
  _xlpm.Knewgain, Constantes!$B$4,
  _xlpm.Knewscale, Constantes!$B$5,
  _xlpm.ptstables, INDEX(AE:AE, _xlfn.SEQUENCE(COUNTA($C$2:$C425), 1, 3, 4)),
  _xlpm.nbparties, COUNTA(_xlfn._xlws.FILTER(_xlpm.ptstables, _xlpm.ptstables &lt;&gt; "")),
  _xlpm.coef, _xlpm.K + _xlpm.Knewgain / (_xlpm.Knewscale + _xlpm.nbparties),
  IF(AE423="",
    "",
    _xlpm.coef * (AE423-AE424))
)</f>
        <v/>
      </c>
      <c r="AF425" t="str" cm="1">
        <f t="array" ref="AF425">_xlfn.LET(
  _xlpm.K, Constantes!$B$3,
  _xlpm.Knewgain, Constantes!$B$4,
  _xlpm.Knewscale, Constantes!$B$5,
  _xlpm.ptstables, INDEX(AF:AF, _xlfn.SEQUENCE(COUNTA($C$2:$C425), 1, 3, 4)),
  _xlpm.nbparties, COUNTA(_xlfn._xlws.FILTER(_xlpm.ptstables, _xlpm.ptstables &lt;&gt; "")),
  _xlpm.coef, _xlpm.K + _xlpm.Knewgain / (_xlpm.Knewscale + _xlpm.nbparties),
  IF(AF423="",
    "",
    _xlpm.coef * (AF423-AF424))
)</f>
        <v/>
      </c>
      <c r="AG425" t="str" cm="1">
        <f t="array" ref="AG425">_xlfn.LET(
  _xlpm.K, Constantes!$B$3,
  _xlpm.Knewgain, Constantes!$B$4,
  _xlpm.Knewscale, Constantes!$B$5,
  _xlpm.ptstables, INDEX(AG:AG, _xlfn.SEQUENCE(COUNTA($C$2:$C425), 1, 3, 4)),
  _xlpm.nbparties, COUNTA(_xlfn._xlws.FILTER(_xlpm.ptstables, _xlpm.ptstables &lt;&gt; "")),
  _xlpm.coef, _xlpm.K + _xlpm.Knewgain / (_xlpm.Knewscale + _xlpm.nbparties),
  IF(AG423="",
    "",
    _xlpm.coef * (AG423-AG424))
)</f>
        <v/>
      </c>
      <c r="AH425" t="str" cm="1">
        <f t="array" ref="AH425">_xlfn.LET(
  _xlpm.K, Constantes!$B$3,
  _xlpm.Knewgain, Constantes!$B$4,
  _xlpm.Knewscale, Constantes!$B$5,
  _xlpm.ptstables, INDEX(AH:AH, _xlfn.SEQUENCE(COUNTA($C$2:$C425), 1, 3, 4)),
  _xlpm.nbparties, COUNTA(_xlfn._xlws.FILTER(_xlpm.ptstables, _xlpm.ptstables &lt;&gt; "")),
  _xlpm.coef, _xlpm.K + _xlpm.Knewgain / (_xlpm.Knewscale + _xlpm.nbparties),
  IF(AH423="",
    "",
    _xlpm.coef * (AH423-AH424))
)</f>
        <v/>
      </c>
      <c r="AI425" t="str" cm="1">
        <f t="array" ref="AI425">_xlfn.LET(
  _xlpm.K, Constantes!$B$3,
  _xlpm.Knewgain, Constantes!$B$4,
  _xlpm.Knewscale, Constantes!$B$5,
  _xlpm.ptstables, INDEX(AI:AI, _xlfn.SEQUENCE(COUNTA($C$2:$C425), 1, 3, 4)),
  _xlpm.nbparties, COUNTA(_xlfn._xlws.FILTER(_xlpm.ptstables, _xlpm.ptstables &lt;&gt; "")),
  _xlpm.coef, _xlpm.K + _xlpm.Knewgain / (_xlpm.Knewscale + _xlpm.nbparties),
  IF(AI423="",
    "",
    _xlpm.coef * (AI423-AI424))
)</f>
        <v/>
      </c>
      <c r="AJ425" t="str" cm="1">
        <f t="array" ref="AJ425">_xlfn.LET(
  _xlpm.K, Constantes!$B$3,
  _xlpm.Knewgain, Constantes!$B$4,
  _xlpm.Knewscale, Constantes!$B$5,
  _xlpm.ptstables, INDEX(AJ:AJ, _xlfn.SEQUENCE(COUNTA($C$2:$C425), 1, 3, 4)),
  _xlpm.nbparties, COUNTA(_xlfn._xlws.FILTER(_xlpm.ptstables, _xlpm.ptstables &lt;&gt; "")),
  _xlpm.coef, _xlpm.K + _xlpm.Knewgain / (_xlpm.Knewscale + _xlpm.nbparties),
  IF(AJ423="",
    "",
    _xlpm.coef * (AJ423-AJ424))
)</f>
        <v/>
      </c>
      <c r="AK425" t="str" cm="1">
        <f t="array" ref="AK425">_xlfn.LET(
  _xlpm.K, Constantes!$B$3,
  _xlpm.Knewgain, Constantes!$B$4,
  _xlpm.Knewscale, Constantes!$B$5,
  _xlpm.ptstables, INDEX(AK:AK, _xlfn.SEQUENCE(COUNTA($C$2:$C425), 1, 3, 4)),
  _xlpm.nbparties, COUNTA(_xlfn._xlws.FILTER(_xlpm.ptstables, _xlpm.ptstables &lt;&gt; "")),
  _xlpm.coef, _xlpm.K + _xlpm.Knewgain / (_xlpm.Knewscale + _xlpm.nbparties),
  IF(AK423="",
    "",
    _xlpm.coef * (AK423-AK424))
)</f>
        <v/>
      </c>
      <c r="AL425" t="str" cm="1">
        <f t="array" ref="AL425">_xlfn.LET(
  _xlpm.K, Constantes!$B$3,
  _xlpm.Knewgain, Constantes!$B$4,
  _xlpm.Knewscale, Constantes!$B$5,
  _xlpm.ptstables, INDEX(AL:AL, _xlfn.SEQUENCE(COUNTA($C$2:$C425), 1, 3, 4)),
  _xlpm.nbparties, COUNTA(_xlfn._xlws.FILTER(_xlpm.ptstables, _xlpm.ptstables &lt;&gt; "")),
  _xlpm.coef, _xlpm.K + _xlpm.Knewgain / (_xlpm.Knewscale + _xlpm.nbparties),
  IF(AL423="",
    "",
    _xlpm.coef * (AL423-AL424))
)</f>
        <v/>
      </c>
      <c r="AM425" t="str" cm="1">
        <f t="array" ref="AM425">_xlfn.LET(
  _xlpm.K, Constantes!$B$3,
  _xlpm.Knewgain, Constantes!$B$4,
  _xlpm.Knewscale, Constantes!$B$5,
  _xlpm.ptstables, INDEX(AM:AM, _xlfn.SEQUENCE(COUNTA($C$2:$C425), 1, 3, 4)),
  _xlpm.nbparties, COUNTA(_xlfn._xlws.FILTER(_xlpm.ptstables, _xlpm.ptstables &lt;&gt; "")),
  _xlpm.coef, _xlpm.K + _xlpm.Knewgain / (_xlpm.Knewscale + _xlpm.nbparties),
  IF(AM423="",
    "",
    _xlpm.coef * (AM423-AM424))
)</f>
        <v/>
      </c>
    </row>
    <row r="426" spans="1:39" x14ac:dyDescent="0.25">
      <c r="A426" t="s">
        <v>14</v>
      </c>
      <c r="B426" t="str" cm="1">
        <f t="array" ref="B42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108</v>
      </c>
      <c r="C426" s="2" cm="1">
        <f t="array" ref="C426">IF(B426="","",
  INDEX(Donnees!F:F, MATCH(B426, Donnees!F:F, 0)+1))</f>
        <v>45962.685567129629</v>
      </c>
      <c r="D426">
        <f t="shared" ref="D426:AM426" si="114">D422+IF(D425="",0,D425)</f>
        <v>968.82938141395095</v>
      </c>
      <c r="E426">
        <f t="shared" si="114"/>
        <v>1196.4195973781996</v>
      </c>
      <c r="F426">
        <f t="shared" si="114"/>
        <v>911.8835833951041</v>
      </c>
      <c r="G426">
        <f t="shared" si="114"/>
        <v>1061.9525561512175</v>
      </c>
      <c r="H426">
        <f t="shared" si="114"/>
        <v>1121.8561093296914</v>
      </c>
      <c r="I426">
        <f t="shared" si="114"/>
        <v>932.85440141548781</v>
      </c>
      <c r="J426">
        <f t="shared" si="114"/>
        <v>1032.4323210923594</v>
      </c>
      <c r="K426">
        <f t="shared" si="114"/>
        <v>1076.8546837336262</v>
      </c>
      <c r="L426">
        <f t="shared" si="114"/>
        <v>762.99078552663389</v>
      </c>
      <c r="M426">
        <f t="shared" si="114"/>
        <v>896.62154383168638</v>
      </c>
      <c r="N426">
        <f t="shared" si="114"/>
        <v>899.98370646249032</v>
      </c>
      <c r="O426">
        <f t="shared" si="114"/>
        <v>997.04050320786712</v>
      </c>
      <c r="P426">
        <f t="shared" si="114"/>
        <v>987.86278180042575</v>
      </c>
      <c r="Q426">
        <f t="shared" si="114"/>
        <v>1051.0755127018197</v>
      </c>
      <c r="R426">
        <f t="shared" si="114"/>
        <v>1033.0869533375633</v>
      </c>
      <c r="S426">
        <f t="shared" si="114"/>
        <v>1026.8363504234503</v>
      </c>
      <c r="T426">
        <f t="shared" si="114"/>
        <v>1125.604709757928</v>
      </c>
      <c r="U426">
        <f t="shared" si="114"/>
        <v>1198.4028941537504</v>
      </c>
      <c r="V426">
        <f t="shared" si="114"/>
        <v>969.67171739286073</v>
      </c>
      <c r="W426">
        <f t="shared" si="114"/>
        <v>873.42626723356045</v>
      </c>
      <c r="X426">
        <f t="shared" si="114"/>
        <v>832.40508999649853</v>
      </c>
      <c r="Y426">
        <f t="shared" si="114"/>
        <v>944.44867950361879</v>
      </c>
      <c r="Z426">
        <f t="shared" si="114"/>
        <v>1008.6876849635962</v>
      </c>
      <c r="AA426">
        <f t="shared" si="114"/>
        <v>976.40065260504912</v>
      </c>
      <c r="AB426">
        <f t="shared" si="114"/>
        <v>988.35669729544747</v>
      </c>
      <c r="AC426">
        <f t="shared" si="114"/>
        <v>953.51130390294213</v>
      </c>
      <c r="AD426">
        <f t="shared" si="114"/>
        <v>1088.3730879167924</v>
      </c>
      <c r="AE426">
        <f t="shared" si="114"/>
        <v>963.23981965000235</v>
      </c>
      <c r="AF426">
        <f t="shared" si="114"/>
        <v>1094.8196847516158</v>
      </c>
      <c r="AG426">
        <f t="shared" si="114"/>
        <v>958.23078604304851</v>
      </c>
      <c r="AH426">
        <f t="shared" si="114"/>
        <v>920.4412636682855</v>
      </c>
      <c r="AI426">
        <f t="shared" si="114"/>
        <v>921.70040944956304</v>
      </c>
      <c r="AJ426">
        <f t="shared" si="114"/>
        <v>906.86354201913434</v>
      </c>
      <c r="AK426">
        <f t="shared" si="114"/>
        <v>1074.0069367206956</v>
      </c>
      <c r="AL426">
        <f t="shared" si="114"/>
        <v>1025.7817971572972</v>
      </c>
      <c r="AM426">
        <f t="shared" si="114"/>
        <v>930.08392160706046</v>
      </c>
    </row>
    <row r="427" spans="1:39" x14ac:dyDescent="0.25">
      <c r="A427" t="s">
        <v>21</v>
      </c>
      <c r="D427" t="str" cm="1">
        <f t="array" ref="D427">IFERROR(
  _xlfn.LET(
    _xlpm.ligpartie, MATCH($B426, Donnees!$F:$F, 0),
    _xlpm.joueurs, INDEX(Donnees!$A:$Z, _xlpm.ligpartie+1, _xlfn.SEQUENCE(1, 4, 2)),
    INDEX(
      Donnees!$A:$Z,
      _xlpm.ligpartie + 3,
      MATCH(D$1, _xlpm.joueurs, 0) + 1
    )
  ), ""
)</f>
        <v/>
      </c>
      <c r="E427" t="str" cm="1">
        <f t="array" ref="E427">IFERROR(
  _xlfn.LET(
    _xlpm.ligpartie, MATCH($B426, Donnees!$F:$F, 0),
    _xlpm.joueurs, INDEX(Donnees!$A:$Z, _xlpm.ligpartie+1, _xlfn.SEQUENCE(1, 4, 2)),
    INDEX(
      Donnees!$A:$Z,
      _xlpm.ligpartie + 3,
      MATCH(E$1, _xlpm.joueurs, 0) + 1
    )
  ), ""
)</f>
        <v/>
      </c>
      <c r="F427" t="str" cm="1">
        <f t="array" ref="F427">IFERROR(
  _xlfn.LET(
    _xlpm.ligpartie, MATCH($B426, Donnees!$F:$F, 0),
    _xlpm.joueurs, INDEX(Donnees!$A:$Z, _xlpm.ligpartie+1, _xlfn.SEQUENCE(1, 4, 2)),
    INDEX(
      Donnees!$A:$Z,
      _xlpm.ligpartie + 3,
      MATCH(F$1, _xlpm.joueurs, 0) + 1
    )
  ), ""
)</f>
        <v/>
      </c>
      <c r="G427" t="str" cm="1">
        <f t="array" ref="G427">IFERROR(
  _xlfn.LET(
    _xlpm.ligpartie, MATCH($B426, Donnees!$F:$F, 0),
    _xlpm.joueurs, INDEX(Donnees!$A:$Z, _xlpm.ligpartie+1, _xlfn.SEQUENCE(1, 4, 2)),
    INDEX(
      Donnees!$A:$Z,
      _xlpm.ligpartie + 3,
      MATCH(G$1, _xlpm.joueurs, 0) + 1
    )
  ), ""
)</f>
        <v/>
      </c>
      <c r="H427" t="str" cm="1">
        <f t="array" ref="H427">IFERROR(
  _xlfn.LET(
    _xlpm.ligpartie, MATCH($B426, Donnees!$F:$F, 0),
    _xlpm.joueurs, INDEX(Donnees!$A:$Z, _xlpm.ligpartie+1, _xlfn.SEQUENCE(1, 4, 2)),
    INDEX(
      Donnees!$A:$Z,
      _xlpm.ligpartie + 3,
      MATCH(H$1, _xlpm.joueurs, 0) + 1
    )
  ), ""
)</f>
        <v/>
      </c>
      <c r="I427" cm="1">
        <f t="array" ref="I427">IFERROR(
  _xlfn.LET(
    _xlpm.ligpartie, MATCH($B426, Donnees!$F:$F, 0),
    _xlpm.joueurs, INDEX(Donnees!$A:$Z, _xlpm.ligpartie+1, _xlfn.SEQUENCE(1, 4, 2)),
    INDEX(
      Donnees!$A:$Z,
      _xlpm.ligpartie + 3,
      MATCH(I$1, _xlpm.joueurs, 0) + 1
    )
  ), ""
)</f>
        <v>0</v>
      </c>
      <c r="J427" cm="1">
        <f t="array" ref="J427">IFERROR(
  _xlfn.LET(
    _xlpm.ligpartie, MATCH($B426, Donnees!$F:$F, 0),
    _xlpm.joueurs, INDEX(Donnees!$A:$Z, _xlpm.ligpartie+1, _xlfn.SEQUENCE(1, 4, 2)),
    INDEX(
      Donnees!$A:$Z,
      _xlpm.ligpartie + 3,
      MATCH(J$1, _xlpm.joueurs, 0) + 1
    )
  ), ""
)</f>
        <v>1</v>
      </c>
      <c r="K427" t="str" cm="1">
        <f t="array" ref="K427">IFERROR(
  _xlfn.LET(
    _xlpm.ligpartie, MATCH($B426, Donnees!$F:$F, 0),
    _xlpm.joueurs, INDEX(Donnees!$A:$Z, _xlpm.ligpartie+1, _xlfn.SEQUENCE(1, 4, 2)),
    INDEX(
      Donnees!$A:$Z,
      _xlpm.ligpartie + 3,
      MATCH(K$1, _xlpm.joueurs, 0) + 1
    )
  ), ""
)</f>
        <v/>
      </c>
      <c r="L427" t="str" cm="1">
        <f t="array" ref="L427">IFERROR(
  _xlfn.LET(
    _xlpm.ligpartie, MATCH($B426, Donnees!$F:$F, 0),
    _xlpm.joueurs, INDEX(Donnees!$A:$Z, _xlpm.ligpartie+1, _xlfn.SEQUENCE(1, 4, 2)),
    INDEX(
      Donnees!$A:$Z,
      _xlpm.ligpartie + 3,
      MATCH(L$1, _xlpm.joueurs, 0) + 1
    )
  ), ""
)</f>
        <v/>
      </c>
      <c r="M427" cm="1">
        <f t="array" ref="M427">IFERROR(
  _xlfn.LET(
    _xlpm.ligpartie, MATCH($B426, Donnees!$F:$F, 0),
    _xlpm.joueurs, INDEX(Donnees!$A:$Z, _xlpm.ligpartie+1, _xlfn.SEQUENCE(1, 4, 2)),
    INDEX(
      Donnees!$A:$Z,
      _xlpm.ligpartie + 3,
      MATCH(M$1, _xlpm.joueurs, 0) + 1
    )
  ), ""
)</f>
        <v>2</v>
      </c>
      <c r="N427" t="str" cm="1">
        <f t="array" ref="N427">IFERROR(
  _xlfn.LET(
    _xlpm.ligpartie, MATCH($B426, Donnees!$F:$F, 0),
    _xlpm.joueurs, INDEX(Donnees!$A:$Z, _xlpm.ligpartie+1, _xlfn.SEQUENCE(1, 4, 2)),
    INDEX(
      Donnees!$A:$Z,
      _xlpm.ligpartie + 3,
      MATCH(N$1, _xlpm.joueurs, 0) + 1
    )
  ), ""
)</f>
        <v/>
      </c>
      <c r="O427" t="str" cm="1">
        <f t="array" ref="O427">IFERROR(
  _xlfn.LET(
    _xlpm.ligpartie, MATCH($B426, Donnees!$F:$F, 0),
    _xlpm.joueurs, INDEX(Donnees!$A:$Z, _xlpm.ligpartie+1, _xlfn.SEQUENCE(1, 4, 2)),
    INDEX(
      Donnees!$A:$Z,
      _xlpm.ligpartie + 3,
      MATCH(O$1, _xlpm.joueurs, 0) + 1
    )
  ), ""
)</f>
        <v/>
      </c>
      <c r="P427" t="str" cm="1">
        <f t="array" ref="P427">IFERROR(
  _xlfn.LET(
    _xlpm.ligpartie, MATCH($B426, Donnees!$F:$F, 0),
    _xlpm.joueurs, INDEX(Donnees!$A:$Z, _xlpm.ligpartie+1, _xlfn.SEQUENCE(1, 4, 2)),
    INDEX(
      Donnees!$A:$Z,
      _xlpm.ligpartie + 3,
      MATCH(P$1, _xlpm.joueurs, 0) + 1
    )
  ), ""
)</f>
        <v/>
      </c>
      <c r="Q427" t="str" cm="1">
        <f t="array" ref="Q427">IFERROR(
  _xlfn.LET(
    _xlpm.ligpartie, MATCH($B426, Donnees!$F:$F, 0),
    _xlpm.joueurs, INDEX(Donnees!$A:$Z, _xlpm.ligpartie+1, _xlfn.SEQUENCE(1, 4, 2)),
    INDEX(
      Donnees!$A:$Z,
      _xlpm.ligpartie + 3,
      MATCH(Q$1, _xlpm.joueurs, 0) + 1
    )
  ), ""
)</f>
        <v/>
      </c>
      <c r="R427" t="str" cm="1">
        <f t="array" ref="R427">IFERROR(
  _xlfn.LET(
    _xlpm.ligpartie, MATCH($B426, Donnees!$F:$F, 0),
    _xlpm.joueurs, INDEX(Donnees!$A:$Z, _xlpm.ligpartie+1, _xlfn.SEQUENCE(1, 4, 2)),
    INDEX(
      Donnees!$A:$Z,
      _xlpm.ligpartie + 3,
      MATCH(R$1, _xlpm.joueurs, 0) + 1
    )
  ), ""
)</f>
        <v/>
      </c>
      <c r="S427" t="str" cm="1">
        <f t="array" ref="S427">IFERROR(
  _xlfn.LET(
    _xlpm.ligpartie, MATCH($B426, Donnees!$F:$F, 0),
    _xlpm.joueurs, INDEX(Donnees!$A:$Z, _xlpm.ligpartie+1, _xlfn.SEQUENCE(1, 4, 2)),
    INDEX(
      Donnees!$A:$Z,
      _xlpm.ligpartie + 3,
      MATCH(S$1, _xlpm.joueurs, 0) + 1
    )
  ), ""
)</f>
        <v/>
      </c>
      <c r="T427" t="str" cm="1">
        <f t="array" ref="T427">IFERROR(
  _xlfn.LET(
    _xlpm.ligpartie, MATCH($B426, Donnees!$F:$F, 0),
    _xlpm.joueurs, INDEX(Donnees!$A:$Z, _xlpm.ligpartie+1, _xlfn.SEQUENCE(1, 4, 2)),
    INDEX(
      Donnees!$A:$Z,
      _xlpm.ligpartie + 3,
      MATCH(T$1, _xlpm.joueurs, 0) + 1
    )
  ), ""
)</f>
        <v/>
      </c>
      <c r="U427" cm="1">
        <f t="array" ref="U427">IFERROR(
  _xlfn.LET(
    _xlpm.ligpartie, MATCH($B426, Donnees!$F:$F, 0),
    _xlpm.joueurs, INDEX(Donnees!$A:$Z, _xlpm.ligpartie+1, _xlfn.SEQUENCE(1, 4, 2)),
    INDEX(
      Donnees!$A:$Z,
      _xlpm.ligpartie + 3,
      MATCH(U$1, _xlpm.joueurs, 0) + 1
    )
  ), ""
)</f>
        <v>3</v>
      </c>
      <c r="V427" t="str" cm="1">
        <f t="array" ref="V427">IFERROR(
  _xlfn.LET(
    _xlpm.ligpartie, MATCH($B426, Donnees!$F:$F, 0),
    _xlpm.joueurs, INDEX(Donnees!$A:$Z, _xlpm.ligpartie+1, _xlfn.SEQUENCE(1, 4, 2)),
    INDEX(
      Donnees!$A:$Z,
      _xlpm.ligpartie + 3,
      MATCH(V$1, _xlpm.joueurs, 0) + 1
    )
  ), ""
)</f>
        <v/>
      </c>
      <c r="W427" t="str" cm="1">
        <f t="array" ref="W427">IFERROR(
  _xlfn.LET(
    _xlpm.ligpartie, MATCH($B426, Donnees!$F:$F, 0),
    _xlpm.joueurs, INDEX(Donnees!$A:$Z, _xlpm.ligpartie+1, _xlfn.SEQUENCE(1, 4, 2)),
    INDEX(
      Donnees!$A:$Z,
      _xlpm.ligpartie + 3,
      MATCH(W$1, _xlpm.joueurs, 0) + 1
    )
  ), ""
)</f>
        <v/>
      </c>
      <c r="X427" t="str" cm="1">
        <f t="array" ref="X427">IFERROR(
  _xlfn.LET(
    _xlpm.ligpartie, MATCH($B426, Donnees!$F:$F, 0),
    _xlpm.joueurs, INDEX(Donnees!$A:$Z, _xlpm.ligpartie+1, _xlfn.SEQUENCE(1, 4, 2)),
    INDEX(
      Donnees!$A:$Z,
      _xlpm.ligpartie + 3,
      MATCH(X$1, _xlpm.joueurs, 0) + 1
    )
  ), ""
)</f>
        <v/>
      </c>
      <c r="Y427" t="str" cm="1">
        <f t="array" ref="Y427">IFERROR(
  _xlfn.LET(
    _xlpm.ligpartie, MATCH($B426, Donnees!$F:$F, 0),
    _xlpm.joueurs, INDEX(Donnees!$A:$Z, _xlpm.ligpartie+1, _xlfn.SEQUENCE(1, 4, 2)),
    INDEX(
      Donnees!$A:$Z,
      _xlpm.ligpartie + 3,
      MATCH(Y$1, _xlpm.joueurs, 0) + 1
    )
  ), ""
)</f>
        <v/>
      </c>
      <c r="Z427" t="str" cm="1">
        <f t="array" ref="Z427">IFERROR(
  _xlfn.LET(
    _xlpm.ligpartie, MATCH($B426, Donnees!$F:$F, 0),
    _xlpm.joueurs, INDEX(Donnees!$A:$Z, _xlpm.ligpartie+1, _xlfn.SEQUENCE(1, 4, 2)),
    INDEX(
      Donnees!$A:$Z,
      _xlpm.ligpartie + 3,
      MATCH(Z$1, _xlpm.joueurs, 0) + 1
    )
  ), ""
)</f>
        <v/>
      </c>
      <c r="AA427" t="str" cm="1">
        <f t="array" ref="AA427">IFERROR(
  _xlfn.LET(
    _xlpm.ligpartie, MATCH($B426, Donnees!$F:$F, 0),
    _xlpm.joueurs, INDEX(Donnees!$A:$Z, _xlpm.ligpartie+1, _xlfn.SEQUENCE(1, 4, 2)),
    INDEX(
      Donnees!$A:$Z,
      _xlpm.ligpartie + 3,
      MATCH(AA$1, _xlpm.joueurs, 0) + 1
    )
  ), ""
)</f>
        <v/>
      </c>
      <c r="AB427" t="str" cm="1">
        <f t="array" ref="AB427">IFERROR(
  _xlfn.LET(
    _xlpm.ligpartie, MATCH($B426, Donnees!$F:$F, 0),
    _xlpm.joueurs, INDEX(Donnees!$A:$Z, _xlpm.ligpartie+1, _xlfn.SEQUENCE(1, 4, 2)),
    INDEX(
      Donnees!$A:$Z,
      _xlpm.ligpartie + 3,
      MATCH(AB$1, _xlpm.joueurs, 0) + 1
    )
  ), ""
)</f>
        <v/>
      </c>
      <c r="AC427" t="str" cm="1">
        <f t="array" ref="AC427">IFERROR(
  _xlfn.LET(
    _xlpm.ligpartie, MATCH($B426, Donnees!$F:$F, 0),
    _xlpm.joueurs, INDEX(Donnees!$A:$Z, _xlpm.ligpartie+1, _xlfn.SEQUENCE(1, 4, 2)),
    INDEX(
      Donnees!$A:$Z,
      _xlpm.ligpartie + 3,
      MATCH(AC$1, _xlpm.joueurs, 0) + 1
    )
  ), ""
)</f>
        <v/>
      </c>
      <c r="AD427" t="str" cm="1">
        <f t="array" ref="AD427">IFERROR(
  _xlfn.LET(
    _xlpm.ligpartie, MATCH($B426, Donnees!$F:$F, 0),
    _xlpm.joueurs, INDEX(Donnees!$A:$Z, _xlpm.ligpartie+1, _xlfn.SEQUENCE(1, 4, 2)),
    INDEX(
      Donnees!$A:$Z,
      _xlpm.ligpartie + 3,
      MATCH(AD$1, _xlpm.joueurs, 0) + 1
    )
  ), ""
)</f>
        <v/>
      </c>
      <c r="AE427" t="str" cm="1">
        <f t="array" ref="AE427">IFERROR(
  _xlfn.LET(
    _xlpm.ligpartie, MATCH($B426, Donnees!$F:$F, 0),
    _xlpm.joueurs, INDEX(Donnees!$A:$Z, _xlpm.ligpartie+1, _xlfn.SEQUENCE(1, 4, 2)),
    INDEX(
      Donnees!$A:$Z,
      _xlpm.ligpartie + 3,
      MATCH(AE$1, _xlpm.joueurs, 0) + 1
    )
  ), ""
)</f>
        <v/>
      </c>
      <c r="AF427" t="str" cm="1">
        <f t="array" ref="AF427">IFERROR(
  _xlfn.LET(
    _xlpm.ligpartie, MATCH($B426, Donnees!$F:$F, 0),
    _xlpm.joueurs, INDEX(Donnees!$A:$Z, _xlpm.ligpartie+1, _xlfn.SEQUENCE(1, 4, 2)),
    INDEX(
      Donnees!$A:$Z,
      _xlpm.ligpartie + 3,
      MATCH(AF$1, _xlpm.joueurs, 0) + 1
    )
  ), ""
)</f>
        <v/>
      </c>
      <c r="AG427" t="str" cm="1">
        <f t="array" ref="AG427">IFERROR(
  _xlfn.LET(
    _xlpm.ligpartie, MATCH($B426, Donnees!$F:$F, 0),
    _xlpm.joueurs, INDEX(Donnees!$A:$Z, _xlpm.ligpartie+1, _xlfn.SEQUENCE(1, 4, 2)),
    INDEX(
      Donnees!$A:$Z,
      _xlpm.ligpartie + 3,
      MATCH(AG$1, _xlpm.joueurs, 0) + 1
    )
  ), ""
)</f>
        <v/>
      </c>
      <c r="AH427" t="str" cm="1">
        <f t="array" ref="AH427">IFERROR(
  _xlfn.LET(
    _xlpm.ligpartie, MATCH($B426, Donnees!$F:$F, 0),
    _xlpm.joueurs, INDEX(Donnees!$A:$Z, _xlpm.ligpartie+1, _xlfn.SEQUENCE(1, 4, 2)),
    INDEX(
      Donnees!$A:$Z,
      _xlpm.ligpartie + 3,
      MATCH(AH$1, _xlpm.joueurs, 0) + 1
    )
  ), ""
)</f>
        <v/>
      </c>
      <c r="AI427" t="str" cm="1">
        <f t="array" ref="AI427">IFERROR(
  _xlfn.LET(
    _xlpm.ligpartie, MATCH($B426, Donnees!$F:$F, 0),
    _xlpm.joueurs, INDEX(Donnees!$A:$Z, _xlpm.ligpartie+1, _xlfn.SEQUENCE(1, 4, 2)),
    INDEX(
      Donnees!$A:$Z,
      _xlpm.ligpartie + 3,
      MATCH(AI$1, _xlpm.joueurs, 0) + 1
    )
  ), ""
)</f>
        <v/>
      </c>
      <c r="AJ427" t="str" cm="1">
        <f t="array" ref="AJ427">IFERROR(
  _xlfn.LET(
    _xlpm.ligpartie, MATCH($B426, Donnees!$F:$F, 0),
    _xlpm.joueurs, INDEX(Donnees!$A:$Z, _xlpm.ligpartie+1, _xlfn.SEQUENCE(1, 4, 2)),
    INDEX(
      Donnees!$A:$Z,
      _xlpm.ligpartie + 3,
      MATCH(AJ$1, _xlpm.joueurs, 0) + 1
    )
  ), ""
)</f>
        <v/>
      </c>
      <c r="AK427" t="str" cm="1">
        <f t="array" ref="AK427">IFERROR(
  _xlfn.LET(
    _xlpm.ligpartie, MATCH($B426, Donnees!$F:$F, 0),
    _xlpm.joueurs, INDEX(Donnees!$A:$Z, _xlpm.ligpartie+1, _xlfn.SEQUENCE(1, 4, 2)),
    INDEX(
      Donnees!$A:$Z,
      _xlpm.ligpartie + 3,
      MATCH(AK$1, _xlpm.joueurs, 0) + 1
    )
  ), ""
)</f>
        <v/>
      </c>
      <c r="AL427" t="str" cm="1">
        <f t="array" ref="AL427">IFERROR(
  _xlfn.LET(
    _xlpm.ligpartie, MATCH($B426, Donnees!$F:$F, 0),
    _xlpm.joueurs, INDEX(Donnees!$A:$Z, _xlpm.ligpartie+1, _xlfn.SEQUENCE(1, 4, 2)),
    INDEX(
      Donnees!$A:$Z,
      _xlpm.ligpartie + 3,
      MATCH(AL$1, _xlpm.joueurs, 0) + 1
    )
  ), ""
)</f>
        <v/>
      </c>
      <c r="AM427" t="str" cm="1">
        <f t="array" ref="AM427">IFERROR(
  _xlfn.LET(
    _xlpm.ligpartie, MATCH($B426, Donnees!$F:$F, 0),
    _xlpm.joueurs, INDEX(Donnees!$A:$Z, _xlpm.ligpartie+1, _xlfn.SEQUENCE(1, 4, 2)),
    INDEX(
      Donnees!$A:$Z,
      _xlpm.ligpartie + 3,
      MATCH(AM$1, _xlpm.joueurs, 0) + 1
    )
  ), ""
)</f>
        <v/>
      </c>
    </row>
    <row r="428" spans="1:39" x14ac:dyDescent="0.25">
      <c r="A428" t="s">
        <v>20</v>
      </c>
      <c r="D428" t="str" cm="1">
        <f t="array" ref="D428">_xlfn.LET(
  _xlpm.colj, _xlfn._xlws.FILTER(IF(ISNUMBER(427:427), COLUMN(427:427)), ISNUMBER(427:427)),
  _xlpm.elos, INDEX(426:426,1,_xlpm.colj),
  _xlpm.diffscale, Constantes!$B$2,
  IF(D427="",
    "",
    SUM(1/(1+POWER(10,-(D426-_xlpm.elos)/_xlpm.diffscale)))-0.5)
)</f>
        <v/>
      </c>
      <c r="E428" t="str" cm="1">
        <f t="array" ref="E428">_xlfn.LET(
  _xlpm.colj, _xlfn._xlws.FILTER(IF(ISNUMBER(427:427), COLUMN(427:427)), ISNUMBER(427:427)),
  _xlpm.elos, INDEX(426:426,1,_xlpm.colj),
  _xlpm.diffscale, Constantes!$B$2,
  IF(E427="",
    "",
    SUM(1/(1+POWER(10,-(E426-_xlpm.elos)/_xlpm.diffscale)))-0.5)
)</f>
        <v/>
      </c>
      <c r="F428" t="str" cm="1">
        <f t="array" ref="F428">_xlfn.LET(
  _xlpm.colj, _xlfn._xlws.FILTER(IF(ISNUMBER(427:427), COLUMN(427:427)), ISNUMBER(427:427)),
  _xlpm.elos, INDEX(426:426,1,_xlpm.colj),
  _xlpm.diffscale, Constantes!$B$2,
  IF(F427="",
    "",
    SUM(1/(1+POWER(10,-(F426-_xlpm.elos)/_xlpm.diffscale)))-0.5)
)</f>
        <v/>
      </c>
      <c r="G428" t="str" cm="1">
        <f t="array" ref="G428">_xlfn.LET(
  _xlpm.colj, _xlfn._xlws.FILTER(IF(ISNUMBER(427:427), COLUMN(427:427)), ISNUMBER(427:427)),
  _xlpm.elos, INDEX(426:426,1,_xlpm.colj),
  _xlpm.diffscale, Constantes!$B$2,
  IF(G427="",
    "",
    SUM(1/(1+POWER(10,-(G426-_xlpm.elos)/_xlpm.diffscale)))-0.5)
)</f>
        <v/>
      </c>
      <c r="H428" t="str" cm="1">
        <f t="array" ref="H428">_xlfn.LET(
  _xlpm.colj, _xlfn._xlws.FILTER(IF(ISNUMBER(427:427), COLUMN(427:427)), ISNUMBER(427:427)),
  _xlpm.elos, INDEX(426:426,1,_xlpm.colj),
  _xlpm.diffscale, Constantes!$B$2,
  IF(H427="",
    "",
    SUM(1/(1+POWER(10,-(H426-_xlpm.elos)/_xlpm.diffscale)))-0.5)
)</f>
        <v/>
      </c>
      <c r="I428" cm="1">
        <f t="array" ref="I428">_xlfn.LET(
  _xlpm.colj, _xlfn._xlws.FILTER(IF(ISNUMBER(427:427), COLUMN(427:427)), ISNUMBER(427:427)),
  _xlpm.elos, INDEX(426:426,1,_xlpm.colj),
  _xlpm.diffscale, Constantes!$B$2,
  IF(I427="",
    "",
    SUM(1/(1+POWER(10,-(I426-_xlpm.elos)/_xlpm.diffscale)))-0.5)
)</f>
        <v>1.0906456934924407</v>
      </c>
      <c r="J428" cm="1">
        <f t="array" ref="J428">_xlfn.LET(
  _xlpm.colj, _xlfn._xlws.FILTER(IF(ISNUMBER(427:427), COLUMN(427:427)), ISNUMBER(427:427)),
  _xlpm.elos, INDEX(426:426,1,_xlpm.colj),
  _xlpm.diffscale, Constantes!$B$2,
  IF(J427="",
    "",
    SUM(1/(1+POWER(10,-(J426-_xlpm.elos)/_xlpm.diffscale)))-0.5)
)</f>
        <v>1.6033702058179493</v>
      </c>
      <c r="K428" t="str" cm="1">
        <f t="array" ref="K428">_xlfn.LET(
  _xlpm.colj, _xlfn._xlws.FILTER(IF(ISNUMBER(427:427), COLUMN(427:427)), ISNUMBER(427:427)),
  _xlpm.elos, INDEX(426:426,1,_xlpm.colj),
  _xlpm.diffscale, Constantes!$B$2,
  IF(K427="",
    "",
    SUM(1/(1+POWER(10,-(K426-_xlpm.elos)/_xlpm.diffscale)))-0.5)
)</f>
        <v/>
      </c>
      <c r="L428" t="str" cm="1">
        <f t="array" ref="L428">_xlfn.LET(
  _xlpm.colj, _xlfn._xlws.FILTER(IF(ISNUMBER(427:427), COLUMN(427:427)), ISNUMBER(427:427)),
  _xlpm.elos, INDEX(426:426,1,_xlpm.colj),
  _xlpm.diffscale, Constantes!$B$2,
  IF(L427="",
    "",
    SUM(1/(1+POWER(10,-(L426-_xlpm.elos)/_xlpm.diffscale)))-0.5)
)</f>
        <v/>
      </c>
      <c r="M428" cm="1">
        <f t="array" ref="M428">_xlfn.LET(
  _xlpm.colj, _xlfn._xlws.FILTER(IF(ISNUMBER(427:427), COLUMN(427:427)), ISNUMBER(427:427)),
  _xlpm.elos, INDEX(426:426,1,_xlpm.colj),
  _xlpm.diffscale, Constantes!$B$2,
  IF(M427="",
    "",
    SUM(1/(1+POWER(10,-(M426-_xlpm.elos)/_xlpm.diffscale)))-0.5)
)</f>
        <v>0.91164905114175765</v>
      </c>
      <c r="N428" t="str" cm="1">
        <f t="array" ref="N428">_xlfn.LET(
  _xlpm.colj, _xlfn._xlws.FILTER(IF(ISNUMBER(427:427), COLUMN(427:427)), ISNUMBER(427:427)),
  _xlpm.elos, INDEX(426:426,1,_xlpm.colj),
  _xlpm.diffscale, Constantes!$B$2,
  IF(N427="",
    "",
    SUM(1/(1+POWER(10,-(N426-_xlpm.elos)/_xlpm.diffscale)))-0.5)
)</f>
        <v/>
      </c>
      <c r="O428" t="str" cm="1">
        <f t="array" ref="O428">_xlfn.LET(
  _xlpm.colj, _xlfn._xlws.FILTER(IF(ISNUMBER(427:427), COLUMN(427:427)), ISNUMBER(427:427)),
  _xlpm.elos, INDEX(426:426,1,_xlpm.colj),
  _xlpm.diffscale, Constantes!$B$2,
  IF(O427="",
    "",
    SUM(1/(1+POWER(10,-(O426-_xlpm.elos)/_xlpm.diffscale)))-0.5)
)</f>
        <v/>
      </c>
      <c r="P428" t="str" cm="1">
        <f t="array" ref="P428">_xlfn.LET(
  _xlpm.colj, _xlfn._xlws.FILTER(IF(ISNUMBER(427:427), COLUMN(427:427)), ISNUMBER(427:427)),
  _xlpm.elos, INDEX(426:426,1,_xlpm.colj),
  _xlpm.diffscale, Constantes!$B$2,
  IF(P427="",
    "",
    SUM(1/(1+POWER(10,-(P426-_xlpm.elos)/_xlpm.diffscale)))-0.5)
)</f>
        <v/>
      </c>
      <c r="Q428" t="str" cm="1">
        <f t="array" ref="Q428">_xlfn.LET(
  _xlpm.colj, _xlfn._xlws.FILTER(IF(ISNUMBER(427:427), COLUMN(427:427)), ISNUMBER(427:427)),
  _xlpm.elos, INDEX(426:426,1,_xlpm.colj),
  _xlpm.diffscale, Constantes!$B$2,
  IF(Q427="",
    "",
    SUM(1/(1+POWER(10,-(Q426-_xlpm.elos)/_xlpm.diffscale)))-0.5)
)</f>
        <v/>
      </c>
      <c r="R428" t="str" cm="1">
        <f t="array" ref="R428">_xlfn.LET(
  _xlpm.colj, _xlfn._xlws.FILTER(IF(ISNUMBER(427:427), COLUMN(427:427)), ISNUMBER(427:427)),
  _xlpm.elos, INDEX(426:426,1,_xlpm.colj),
  _xlpm.diffscale, Constantes!$B$2,
  IF(R427="",
    "",
    SUM(1/(1+POWER(10,-(R426-_xlpm.elos)/_xlpm.diffscale)))-0.5)
)</f>
        <v/>
      </c>
      <c r="S428" t="str" cm="1">
        <f t="array" ref="S428">_xlfn.LET(
  _xlpm.colj, _xlfn._xlws.FILTER(IF(ISNUMBER(427:427), COLUMN(427:427)), ISNUMBER(427:427)),
  _xlpm.elos, INDEX(426:426,1,_xlpm.colj),
  _xlpm.diffscale, Constantes!$B$2,
  IF(S427="",
    "",
    SUM(1/(1+POWER(10,-(S426-_xlpm.elos)/_xlpm.diffscale)))-0.5)
)</f>
        <v/>
      </c>
      <c r="T428" t="str" cm="1">
        <f t="array" ref="T428">_xlfn.LET(
  _xlpm.colj, _xlfn._xlws.FILTER(IF(ISNUMBER(427:427), COLUMN(427:427)), ISNUMBER(427:427)),
  _xlpm.elos, INDEX(426:426,1,_xlpm.colj),
  _xlpm.diffscale, Constantes!$B$2,
  IF(T427="",
    "",
    SUM(1/(1+POWER(10,-(T426-_xlpm.elos)/_xlpm.diffscale)))-0.5)
)</f>
        <v/>
      </c>
      <c r="U428" cm="1">
        <f t="array" ref="U428">_xlfn.LET(
  _xlpm.colj, _xlfn._xlws.FILTER(IF(ISNUMBER(427:427), COLUMN(427:427)), ISNUMBER(427:427)),
  _xlpm.elos, INDEX(426:426,1,_xlpm.colj),
  _xlpm.diffscale, Constantes!$B$2,
  IF(U427="",
    "",
    SUM(1/(1+POWER(10,-(U426-_xlpm.elos)/_xlpm.diffscale)))-0.5)
)</f>
        <v>2.3943350495478528</v>
      </c>
      <c r="V428" t="str" cm="1">
        <f t="array" ref="V428">_xlfn.LET(
  _xlpm.colj, _xlfn._xlws.FILTER(IF(ISNUMBER(427:427), COLUMN(427:427)), ISNUMBER(427:427)),
  _xlpm.elos, INDEX(426:426,1,_xlpm.colj),
  _xlpm.diffscale, Constantes!$B$2,
  IF(V427="",
    "",
    SUM(1/(1+POWER(10,-(V426-_xlpm.elos)/_xlpm.diffscale)))-0.5)
)</f>
        <v/>
      </c>
      <c r="W428" t="str" cm="1">
        <f t="array" ref="W428">_xlfn.LET(
  _xlpm.colj, _xlfn._xlws.FILTER(IF(ISNUMBER(427:427), COLUMN(427:427)), ISNUMBER(427:427)),
  _xlpm.elos, INDEX(426:426,1,_xlpm.colj),
  _xlpm.diffscale, Constantes!$B$2,
  IF(W427="",
    "",
    SUM(1/(1+POWER(10,-(W426-_xlpm.elos)/_xlpm.diffscale)))-0.5)
)</f>
        <v/>
      </c>
      <c r="X428" t="str" cm="1">
        <f t="array" ref="X428">_xlfn.LET(
  _xlpm.colj, _xlfn._xlws.FILTER(IF(ISNUMBER(427:427), COLUMN(427:427)), ISNUMBER(427:427)),
  _xlpm.elos, INDEX(426:426,1,_xlpm.colj),
  _xlpm.diffscale, Constantes!$B$2,
  IF(X427="",
    "",
    SUM(1/(1+POWER(10,-(X426-_xlpm.elos)/_xlpm.diffscale)))-0.5)
)</f>
        <v/>
      </c>
      <c r="Y428" t="str" cm="1">
        <f t="array" ref="Y428">_xlfn.LET(
  _xlpm.colj, _xlfn._xlws.FILTER(IF(ISNUMBER(427:427), COLUMN(427:427)), ISNUMBER(427:427)),
  _xlpm.elos, INDEX(426:426,1,_xlpm.colj),
  _xlpm.diffscale, Constantes!$B$2,
  IF(Y427="",
    "",
    SUM(1/(1+POWER(10,-(Y426-_xlpm.elos)/_xlpm.diffscale)))-0.5)
)</f>
        <v/>
      </c>
      <c r="Z428" t="str" cm="1">
        <f t="array" ref="Z428">_xlfn.LET(
  _xlpm.colj, _xlfn._xlws.FILTER(IF(ISNUMBER(427:427), COLUMN(427:427)), ISNUMBER(427:427)),
  _xlpm.elos, INDEX(426:426,1,_xlpm.colj),
  _xlpm.diffscale, Constantes!$B$2,
  IF(Z427="",
    "",
    SUM(1/(1+POWER(10,-(Z426-_xlpm.elos)/_xlpm.diffscale)))-0.5)
)</f>
        <v/>
      </c>
      <c r="AA428" t="str" cm="1">
        <f t="array" ref="AA428">_xlfn.LET(
  _xlpm.colj, _xlfn._xlws.FILTER(IF(ISNUMBER(427:427), COLUMN(427:427)), ISNUMBER(427:427)),
  _xlpm.elos, INDEX(426:426,1,_xlpm.colj),
  _xlpm.diffscale, Constantes!$B$2,
  IF(AA427="",
    "",
    SUM(1/(1+POWER(10,-(AA426-_xlpm.elos)/_xlpm.diffscale)))-0.5)
)</f>
        <v/>
      </c>
      <c r="AB428" t="str" cm="1">
        <f t="array" ref="AB428">_xlfn.LET(
  _xlpm.colj, _xlfn._xlws.FILTER(IF(ISNUMBER(427:427), COLUMN(427:427)), ISNUMBER(427:427)),
  _xlpm.elos, INDEX(426:426,1,_xlpm.colj),
  _xlpm.diffscale, Constantes!$B$2,
  IF(AB427="",
    "",
    SUM(1/(1+POWER(10,-(AB426-_xlpm.elos)/_xlpm.diffscale)))-0.5)
)</f>
        <v/>
      </c>
      <c r="AC428" t="str" cm="1">
        <f t="array" ref="AC428">_xlfn.LET(
  _xlpm.colj, _xlfn._xlws.FILTER(IF(ISNUMBER(427:427), COLUMN(427:427)), ISNUMBER(427:427)),
  _xlpm.elos, INDEX(426:426,1,_xlpm.colj),
  _xlpm.diffscale, Constantes!$B$2,
  IF(AC427="",
    "",
    SUM(1/(1+POWER(10,-(AC426-_xlpm.elos)/_xlpm.diffscale)))-0.5)
)</f>
        <v/>
      </c>
      <c r="AD428" t="str" cm="1">
        <f t="array" ref="AD428">_xlfn.LET(
  _xlpm.colj, _xlfn._xlws.FILTER(IF(ISNUMBER(427:427), COLUMN(427:427)), ISNUMBER(427:427)),
  _xlpm.elos, INDEX(426:426,1,_xlpm.colj),
  _xlpm.diffscale, Constantes!$B$2,
  IF(AD427="",
    "",
    SUM(1/(1+POWER(10,-(AD426-_xlpm.elos)/_xlpm.diffscale)))-0.5)
)</f>
        <v/>
      </c>
      <c r="AE428" t="str" cm="1">
        <f t="array" ref="AE428">_xlfn.LET(
  _xlpm.colj, _xlfn._xlws.FILTER(IF(ISNUMBER(427:427), COLUMN(427:427)), ISNUMBER(427:427)),
  _xlpm.elos, INDEX(426:426,1,_xlpm.colj),
  _xlpm.diffscale, Constantes!$B$2,
  IF(AE427="",
    "",
    SUM(1/(1+POWER(10,-(AE426-_xlpm.elos)/_xlpm.diffscale)))-0.5)
)</f>
        <v/>
      </c>
      <c r="AF428" t="str" cm="1">
        <f t="array" ref="AF428">_xlfn.LET(
  _xlpm.colj, _xlfn._xlws.FILTER(IF(ISNUMBER(427:427), COLUMN(427:427)), ISNUMBER(427:427)),
  _xlpm.elos, INDEX(426:426,1,_xlpm.colj),
  _xlpm.diffscale, Constantes!$B$2,
  IF(AF427="",
    "",
    SUM(1/(1+POWER(10,-(AF426-_xlpm.elos)/_xlpm.diffscale)))-0.5)
)</f>
        <v/>
      </c>
      <c r="AG428" t="str" cm="1">
        <f t="array" ref="AG428">_xlfn.LET(
  _xlpm.colj, _xlfn._xlws.FILTER(IF(ISNUMBER(427:427), COLUMN(427:427)), ISNUMBER(427:427)),
  _xlpm.elos, INDEX(426:426,1,_xlpm.colj),
  _xlpm.diffscale, Constantes!$B$2,
  IF(AG427="",
    "",
    SUM(1/(1+POWER(10,-(AG426-_xlpm.elos)/_xlpm.diffscale)))-0.5)
)</f>
        <v/>
      </c>
      <c r="AH428" t="str" cm="1">
        <f t="array" ref="AH428">_xlfn.LET(
  _xlpm.colj, _xlfn._xlws.FILTER(IF(ISNUMBER(427:427), COLUMN(427:427)), ISNUMBER(427:427)),
  _xlpm.elos, INDEX(426:426,1,_xlpm.colj),
  _xlpm.diffscale, Constantes!$B$2,
  IF(AH427="",
    "",
    SUM(1/(1+POWER(10,-(AH426-_xlpm.elos)/_xlpm.diffscale)))-0.5)
)</f>
        <v/>
      </c>
      <c r="AI428" t="str" cm="1">
        <f t="array" ref="AI428">_xlfn.LET(
  _xlpm.colj, _xlfn._xlws.FILTER(IF(ISNUMBER(427:427), COLUMN(427:427)), ISNUMBER(427:427)),
  _xlpm.elos, INDEX(426:426,1,_xlpm.colj),
  _xlpm.diffscale, Constantes!$B$2,
  IF(AI427="",
    "",
    SUM(1/(1+POWER(10,-(AI426-_xlpm.elos)/_xlpm.diffscale)))-0.5)
)</f>
        <v/>
      </c>
      <c r="AJ428" t="str" cm="1">
        <f t="array" ref="AJ428">_xlfn.LET(
  _xlpm.colj, _xlfn._xlws.FILTER(IF(ISNUMBER(427:427), COLUMN(427:427)), ISNUMBER(427:427)),
  _xlpm.elos, INDEX(426:426,1,_xlpm.colj),
  _xlpm.diffscale, Constantes!$B$2,
  IF(AJ427="",
    "",
    SUM(1/(1+POWER(10,-(AJ426-_xlpm.elos)/_xlpm.diffscale)))-0.5)
)</f>
        <v/>
      </c>
      <c r="AK428" t="str" cm="1">
        <f t="array" ref="AK428">_xlfn.LET(
  _xlpm.colj, _xlfn._xlws.FILTER(IF(ISNUMBER(427:427), COLUMN(427:427)), ISNUMBER(427:427)),
  _xlpm.elos, INDEX(426:426,1,_xlpm.colj),
  _xlpm.diffscale, Constantes!$B$2,
  IF(AK427="",
    "",
    SUM(1/(1+POWER(10,-(AK426-_xlpm.elos)/_xlpm.diffscale)))-0.5)
)</f>
        <v/>
      </c>
      <c r="AL428" t="str" cm="1">
        <f t="array" ref="AL428">_xlfn.LET(
  _xlpm.colj, _xlfn._xlws.FILTER(IF(ISNUMBER(427:427), COLUMN(427:427)), ISNUMBER(427:427)),
  _xlpm.elos, INDEX(426:426,1,_xlpm.colj),
  _xlpm.diffscale, Constantes!$B$2,
  IF(AL427="",
    "",
    SUM(1/(1+POWER(10,-(AL426-_xlpm.elos)/_xlpm.diffscale)))-0.5)
)</f>
        <v/>
      </c>
      <c r="AM428" t="str" cm="1">
        <f t="array" ref="AM428">_xlfn.LET(
  _xlpm.colj, _xlfn._xlws.FILTER(IF(ISNUMBER(427:427), COLUMN(427:427)), ISNUMBER(427:427)),
  _xlpm.elos, INDEX(426:426,1,_xlpm.colj),
  _xlpm.diffscale, Constantes!$B$2,
  IF(AM427="",
    "",
    SUM(1/(1+POWER(10,-(AM426-_xlpm.elos)/_xlpm.diffscale)))-0.5)
)</f>
        <v/>
      </c>
    </row>
    <row r="429" spans="1:39" x14ac:dyDescent="0.25">
      <c r="A429" t="s">
        <v>22</v>
      </c>
      <c r="D429" t="str" cm="1">
        <f t="array" ref="D429">_xlfn.LET(
  _xlpm.K, Constantes!$B$3,
  _xlpm.Knewgain, Constantes!$B$4,
  _xlpm.Knewscale, Constantes!$B$5,
  _xlpm.ptstables, INDEX(D:D, _xlfn.SEQUENCE(COUNTA($C$2:$C429), 1, 3, 4)),
  _xlpm.nbparties, COUNTA(_xlfn._xlws.FILTER(_xlpm.ptstables, _xlpm.ptstables &lt;&gt; "")),
  _xlpm.coef, _xlpm.K + _xlpm.Knewgain / (_xlpm.Knewscale + _xlpm.nbparties),
  IF(D427="",
    "",
    _xlpm.coef * (D427-D428))
)</f>
        <v/>
      </c>
      <c r="E429" t="str" cm="1">
        <f t="array" ref="E429">_xlfn.LET(
  _xlpm.K, Constantes!$B$3,
  _xlpm.Knewgain, Constantes!$B$4,
  _xlpm.Knewscale, Constantes!$B$5,
  _xlpm.ptstables, INDEX(E:E, _xlfn.SEQUENCE(COUNTA($C$2:$C429), 1, 3, 4)),
  _xlpm.nbparties, COUNTA(_xlfn._xlws.FILTER(_xlpm.ptstables, _xlpm.ptstables &lt;&gt; "")),
  _xlpm.coef, _xlpm.K + _xlpm.Knewgain / (_xlpm.Knewscale + _xlpm.nbparties),
  IF(E427="",
    "",
    _xlpm.coef * (E427-E428))
)</f>
        <v/>
      </c>
      <c r="F429" t="str" cm="1">
        <f t="array" ref="F429">_xlfn.LET(
  _xlpm.K, Constantes!$B$3,
  _xlpm.Knewgain, Constantes!$B$4,
  _xlpm.Knewscale, Constantes!$B$5,
  _xlpm.ptstables, INDEX(F:F, _xlfn.SEQUENCE(COUNTA($C$2:$C429), 1, 3, 4)),
  _xlpm.nbparties, COUNTA(_xlfn._xlws.FILTER(_xlpm.ptstables, _xlpm.ptstables &lt;&gt; "")),
  _xlpm.coef, _xlpm.K + _xlpm.Knewgain / (_xlpm.Knewscale + _xlpm.nbparties),
  IF(F427="",
    "",
    _xlpm.coef * (F427-F428))
)</f>
        <v/>
      </c>
      <c r="G429" t="str" cm="1">
        <f t="array" ref="G429">_xlfn.LET(
  _xlpm.K, Constantes!$B$3,
  _xlpm.Knewgain, Constantes!$B$4,
  _xlpm.Knewscale, Constantes!$B$5,
  _xlpm.ptstables, INDEX(G:G, _xlfn.SEQUENCE(COUNTA($C$2:$C429), 1, 3, 4)),
  _xlpm.nbparties, COUNTA(_xlfn._xlws.FILTER(_xlpm.ptstables, _xlpm.ptstables &lt;&gt; "")),
  _xlpm.coef, _xlpm.K + _xlpm.Knewgain / (_xlpm.Knewscale + _xlpm.nbparties),
  IF(G427="",
    "",
    _xlpm.coef * (G427-G428))
)</f>
        <v/>
      </c>
      <c r="H429" t="str" cm="1">
        <f t="array" ref="H429">_xlfn.LET(
  _xlpm.K, Constantes!$B$3,
  _xlpm.Knewgain, Constantes!$B$4,
  _xlpm.Knewscale, Constantes!$B$5,
  _xlpm.ptstables, INDEX(H:H, _xlfn.SEQUENCE(COUNTA($C$2:$C429), 1, 3, 4)),
  _xlpm.nbparties, COUNTA(_xlfn._xlws.FILTER(_xlpm.ptstables, _xlpm.ptstables &lt;&gt; "")),
  _xlpm.coef, _xlpm.K + _xlpm.Knewgain / (_xlpm.Knewscale + _xlpm.nbparties),
  IF(H427="",
    "",
    _xlpm.coef * (H427-H428))
)</f>
        <v/>
      </c>
      <c r="I429" cm="1">
        <f t="array" ref="I429">_xlfn.LET(
  _xlpm.K, Constantes!$B$3,
  _xlpm.Knewgain, Constantes!$B$4,
  _xlpm.Knewscale, Constantes!$B$5,
  _xlpm.ptstables, INDEX(I:I, _xlfn.SEQUENCE(COUNTA($C$2:$C429), 1, 3, 4)),
  _xlpm.nbparties, COUNTA(_xlfn._xlws.FILTER(_xlpm.ptstables, _xlpm.ptstables &lt;&gt; "")),
  _xlpm.coef, _xlpm.K + _xlpm.Knewgain / (_xlpm.Knewscale + _xlpm.nbparties),
  IF(I427="",
    "",
    _xlpm.coef * (I427-I428))
)</f>
        <v>-25.020695321297168</v>
      </c>
      <c r="J429" cm="1">
        <f t="array" ref="J429">_xlfn.LET(
  _xlpm.K, Constantes!$B$3,
  _xlpm.Knewgain, Constantes!$B$4,
  _xlpm.Knewscale, Constantes!$B$5,
  _xlpm.ptstables, INDEX(J:J, _xlfn.SEQUENCE(COUNTA($C$2:$C429), 1, 3, 4)),
  _xlpm.nbparties, COUNTA(_xlfn._xlws.FILTER(_xlpm.ptstables, _xlpm.ptstables &lt;&gt; "")),
  _xlpm.coef, _xlpm.K + _xlpm.Knewgain / (_xlpm.Knewscale + _xlpm.nbparties),
  IF(J427="",
    "",
    _xlpm.coef * (J427-J428))
)</f>
        <v>-15.084255145448733</v>
      </c>
      <c r="K429" t="str" cm="1">
        <f t="array" ref="K429">_xlfn.LET(
  _xlpm.K, Constantes!$B$3,
  _xlpm.Knewgain, Constantes!$B$4,
  _xlpm.Knewscale, Constantes!$B$5,
  _xlpm.ptstables, INDEX(K:K, _xlfn.SEQUENCE(COUNTA($C$2:$C429), 1, 3, 4)),
  _xlpm.nbparties, COUNTA(_xlfn._xlws.FILTER(_xlpm.ptstables, _xlpm.ptstables &lt;&gt; "")),
  _xlpm.coef, _xlpm.K + _xlpm.Knewgain / (_xlpm.Knewscale + _xlpm.nbparties),
  IF(K427="",
    "",
    _xlpm.coef * (K427-K428))
)</f>
        <v/>
      </c>
      <c r="L429" t="str" cm="1">
        <f t="array" ref="L429">_xlfn.LET(
  _xlpm.K, Constantes!$B$3,
  _xlpm.Knewgain, Constantes!$B$4,
  _xlpm.Knewscale, Constantes!$B$5,
  _xlpm.ptstables, INDEX(L:L, _xlfn.SEQUENCE(COUNTA($C$2:$C429), 1, 3, 4)),
  _xlpm.nbparties, COUNTA(_xlfn._xlws.FILTER(_xlpm.ptstables, _xlpm.ptstables &lt;&gt; "")),
  _xlpm.coef, _xlpm.K + _xlpm.Knewgain / (_xlpm.Knewscale + _xlpm.nbparties),
  IF(L427="",
    "",
    _xlpm.coef * (L427-L428))
)</f>
        <v/>
      </c>
      <c r="M429" cm="1">
        <f t="array" ref="M429">_xlfn.LET(
  _xlpm.K, Constantes!$B$3,
  _xlpm.Knewgain, Constantes!$B$4,
  _xlpm.Knewscale, Constantes!$B$5,
  _xlpm.ptstables, INDEX(M:M, _xlfn.SEQUENCE(COUNTA($C$2:$C429), 1, 3, 4)),
  _xlpm.nbparties, COUNTA(_xlfn._xlws.FILTER(_xlpm.ptstables, _xlpm.ptstables &lt;&gt; "")),
  _xlpm.coef, _xlpm.K + _xlpm.Knewgain / (_xlpm.Knewscale + _xlpm.nbparties),
  IF(M427="",
    "",
    _xlpm.coef * (M427-M428))
)</f>
        <v>30.836610217650204</v>
      </c>
      <c r="N429" t="str" cm="1">
        <f t="array" ref="N429">_xlfn.LET(
  _xlpm.K, Constantes!$B$3,
  _xlpm.Knewgain, Constantes!$B$4,
  _xlpm.Knewscale, Constantes!$B$5,
  _xlpm.ptstables, INDEX(N:N, _xlfn.SEQUENCE(COUNTA($C$2:$C429), 1, 3, 4)),
  _xlpm.nbparties, COUNTA(_xlfn._xlws.FILTER(_xlpm.ptstables, _xlpm.ptstables &lt;&gt; "")),
  _xlpm.coef, _xlpm.K + _xlpm.Knewgain / (_xlpm.Knewscale + _xlpm.nbparties),
  IF(N427="",
    "",
    _xlpm.coef * (N427-N428))
)</f>
        <v/>
      </c>
      <c r="O429" t="str" cm="1">
        <f t="array" ref="O429">_xlfn.LET(
  _xlpm.K, Constantes!$B$3,
  _xlpm.Knewgain, Constantes!$B$4,
  _xlpm.Knewscale, Constantes!$B$5,
  _xlpm.ptstables, INDEX(O:O, _xlfn.SEQUENCE(COUNTA($C$2:$C429), 1, 3, 4)),
  _xlpm.nbparties, COUNTA(_xlfn._xlws.FILTER(_xlpm.ptstables, _xlpm.ptstables &lt;&gt; "")),
  _xlpm.coef, _xlpm.K + _xlpm.Knewgain / (_xlpm.Knewscale + _xlpm.nbparties),
  IF(O427="",
    "",
    _xlpm.coef * (O427-O428))
)</f>
        <v/>
      </c>
      <c r="P429" t="str" cm="1">
        <f t="array" ref="P429">_xlfn.LET(
  _xlpm.K, Constantes!$B$3,
  _xlpm.Knewgain, Constantes!$B$4,
  _xlpm.Knewscale, Constantes!$B$5,
  _xlpm.ptstables, INDEX(P:P, _xlfn.SEQUENCE(COUNTA($C$2:$C429), 1, 3, 4)),
  _xlpm.nbparties, COUNTA(_xlfn._xlws.FILTER(_xlpm.ptstables, _xlpm.ptstables &lt;&gt; "")),
  _xlpm.coef, _xlpm.K + _xlpm.Knewgain / (_xlpm.Knewscale + _xlpm.nbparties),
  IF(P427="",
    "",
    _xlpm.coef * (P427-P428))
)</f>
        <v/>
      </c>
      <c r="Q429" t="str" cm="1">
        <f t="array" ref="Q429">_xlfn.LET(
  _xlpm.K, Constantes!$B$3,
  _xlpm.Knewgain, Constantes!$B$4,
  _xlpm.Knewscale, Constantes!$B$5,
  _xlpm.ptstables, INDEX(Q:Q, _xlfn.SEQUENCE(COUNTA($C$2:$C429), 1, 3, 4)),
  _xlpm.nbparties, COUNTA(_xlfn._xlws.FILTER(_xlpm.ptstables, _xlpm.ptstables &lt;&gt; "")),
  _xlpm.coef, _xlpm.K + _xlpm.Knewgain / (_xlpm.Knewscale + _xlpm.nbparties),
  IF(Q427="",
    "",
    _xlpm.coef * (Q427-Q428))
)</f>
        <v/>
      </c>
      <c r="R429" t="str" cm="1">
        <f t="array" ref="R429">_xlfn.LET(
  _xlpm.K, Constantes!$B$3,
  _xlpm.Knewgain, Constantes!$B$4,
  _xlpm.Knewscale, Constantes!$B$5,
  _xlpm.ptstables, INDEX(R:R, _xlfn.SEQUENCE(COUNTA($C$2:$C429), 1, 3, 4)),
  _xlpm.nbparties, COUNTA(_xlfn._xlws.FILTER(_xlpm.ptstables, _xlpm.ptstables &lt;&gt; "")),
  _xlpm.coef, _xlpm.K + _xlpm.Knewgain / (_xlpm.Knewscale + _xlpm.nbparties),
  IF(R427="",
    "",
    _xlpm.coef * (R427-R428))
)</f>
        <v/>
      </c>
      <c r="S429" t="str" cm="1">
        <f t="array" ref="S429">_xlfn.LET(
  _xlpm.K, Constantes!$B$3,
  _xlpm.Knewgain, Constantes!$B$4,
  _xlpm.Knewscale, Constantes!$B$5,
  _xlpm.ptstables, INDEX(S:S, _xlfn.SEQUENCE(COUNTA($C$2:$C429), 1, 3, 4)),
  _xlpm.nbparties, COUNTA(_xlfn._xlws.FILTER(_xlpm.ptstables, _xlpm.ptstables &lt;&gt; "")),
  _xlpm.coef, _xlpm.K + _xlpm.Knewgain / (_xlpm.Knewscale + _xlpm.nbparties),
  IF(S427="",
    "",
    _xlpm.coef * (S427-S428))
)</f>
        <v/>
      </c>
      <c r="T429" t="str" cm="1">
        <f t="array" ref="T429">_xlfn.LET(
  _xlpm.K, Constantes!$B$3,
  _xlpm.Knewgain, Constantes!$B$4,
  _xlpm.Knewscale, Constantes!$B$5,
  _xlpm.ptstables, INDEX(T:T, _xlfn.SEQUENCE(COUNTA($C$2:$C429), 1, 3, 4)),
  _xlpm.nbparties, COUNTA(_xlfn._xlws.FILTER(_xlpm.ptstables, _xlpm.ptstables &lt;&gt; "")),
  _xlpm.coef, _xlpm.K + _xlpm.Knewgain / (_xlpm.Knewscale + _xlpm.nbparties),
  IF(T427="",
    "",
    _xlpm.coef * (T427-T428))
)</f>
        <v/>
      </c>
      <c r="U429" cm="1">
        <f t="array" ref="U429">_xlfn.LET(
  _xlpm.K, Constantes!$B$3,
  _xlpm.Knewgain, Constantes!$B$4,
  _xlpm.Knewscale, Constantes!$B$5,
  _xlpm.ptstables, INDEX(U:U, _xlfn.SEQUENCE(COUNTA($C$2:$C429), 1, 3, 4)),
  _xlpm.nbparties, COUNTA(_xlfn._xlws.FILTER(_xlpm.ptstables, _xlpm.ptstables &lt;&gt; "")),
  _xlpm.coef, _xlpm.K + _xlpm.Knewgain / (_xlpm.Knewscale + _xlpm.nbparties),
  IF(U427="",
    "",
    _xlpm.coef * (U427-U428))
)</f>
        <v>13.003982759707865</v>
      </c>
      <c r="V429" t="str" cm="1">
        <f t="array" ref="V429">_xlfn.LET(
  _xlpm.K, Constantes!$B$3,
  _xlpm.Knewgain, Constantes!$B$4,
  _xlpm.Knewscale, Constantes!$B$5,
  _xlpm.ptstables, INDEX(V:V, _xlfn.SEQUENCE(COUNTA($C$2:$C429), 1, 3, 4)),
  _xlpm.nbparties, COUNTA(_xlfn._xlws.FILTER(_xlpm.ptstables, _xlpm.ptstables &lt;&gt; "")),
  _xlpm.coef, _xlpm.K + _xlpm.Knewgain / (_xlpm.Knewscale + _xlpm.nbparties),
  IF(V427="",
    "",
    _xlpm.coef * (V427-V428))
)</f>
        <v/>
      </c>
      <c r="W429" t="str" cm="1">
        <f t="array" ref="W429">_xlfn.LET(
  _xlpm.K, Constantes!$B$3,
  _xlpm.Knewgain, Constantes!$B$4,
  _xlpm.Knewscale, Constantes!$B$5,
  _xlpm.ptstables, INDEX(W:W, _xlfn.SEQUENCE(COUNTA($C$2:$C429), 1, 3, 4)),
  _xlpm.nbparties, COUNTA(_xlfn._xlws.FILTER(_xlpm.ptstables, _xlpm.ptstables &lt;&gt; "")),
  _xlpm.coef, _xlpm.K + _xlpm.Knewgain / (_xlpm.Knewscale + _xlpm.nbparties),
  IF(W427="",
    "",
    _xlpm.coef * (W427-W428))
)</f>
        <v/>
      </c>
      <c r="X429" t="str" cm="1">
        <f t="array" ref="X429">_xlfn.LET(
  _xlpm.K, Constantes!$B$3,
  _xlpm.Knewgain, Constantes!$B$4,
  _xlpm.Knewscale, Constantes!$B$5,
  _xlpm.ptstables, INDEX(X:X, _xlfn.SEQUENCE(COUNTA($C$2:$C429), 1, 3, 4)),
  _xlpm.nbparties, COUNTA(_xlfn._xlws.FILTER(_xlpm.ptstables, _xlpm.ptstables &lt;&gt; "")),
  _xlpm.coef, _xlpm.K + _xlpm.Knewgain / (_xlpm.Knewscale + _xlpm.nbparties),
  IF(X427="",
    "",
    _xlpm.coef * (X427-X428))
)</f>
        <v/>
      </c>
      <c r="Y429" t="str" cm="1">
        <f t="array" ref="Y429">_xlfn.LET(
  _xlpm.K, Constantes!$B$3,
  _xlpm.Knewgain, Constantes!$B$4,
  _xlpm.Knewscale, Constantes!$B$5,
  _xlpm.ptstables, INDEX(Y:Y, _xlfn.SEQUENCE(COUNTA($C$2:$C429), 1, 3, 4)),
  _xlpm.nbparties, COUNTA(_xlfn._xlws.FILTER(_xlpm.ptstables, _xlpm.ptstables &lt;&gt; "")),
  _xlpm.coef, _xlpm.K + _xlpm.Knewgain / (_xlpm.Knewscale + _xlpm.nbparties),
  IF(Y427="",
    "",
    _xlpm.coef * (Y427-Y428))
)</f>
        <v/>
      </c>
      <c r="Z429" t="str" cm="1">
        <f t="array" ref="Z429">_xlfn.LET(
  _xlpm.K, Constantes!$B$3,
  _xlpm.Knewgain, Constantes!$B$4,
  _xlpm.Knewscale, Constantes!$B$5,
  _xlpm.ptstables, INDEX(Z:Z, _xlfn.SEQUENCE(COUNTA($C$2:$C429), 1, 3, 4)),
  _xlpm.nbparties, COUNTA(_xlfn._xlws.FILTER(_xlpm.ptstables, _xlpm.ptstables &lt;&gt; "")),
  _xlpm.coef, _xlpm.K + _xlpm.Knewgain / (_xlpm.Knewscale + _xlpm.nbparties),
  IF(Z427="",
    "",
    _xlpm.coef * (Z427-Z428))
)</f>
        <v/>
      </c>
      <c r="AA429" t="str" cm="1">
        <f t="array" ref="AA429">_xlfn.LET(
  _xlpm.K, Constantes!$B$3,
  _xlpm.Knewgain, Constantes!$B$4,
  _xlpm.Knewscale, Constantes!$B$5,
  _xlpm.ptstables, INDEX(AA:AA, _xlfn.SEQUENCE(COUNTA($C$2:$C429), 1, 3, 4)),
  _xlpm.nbparties, COUNTA(_xlfn._xlws.FILTER(_xlpm.ptstables, _xlpm.ptstables &lt;&gt; "")),
  _xlpm.coef, _xlpm.K + _xlpm.Knewgain / (_xlpm.Knewscale + _xlpm.nbparties),
  IF(AA427="",
    "",
    _xlpm.coef * (AA427-AA428))
)</f>
        <v/>
      </c>
      <c r="AB429" t="str" cm="1">
        <f t="array" ref="AB429">_xlfn.LET(
  _xlpm.K, Constantes!$B$3,
  _xlpm.Knewgain, Constantes!$B$4,
  _xlpm.Knewscale, Constantes!$B$5,
  _xlpm.ptstables, INDEX(AB:AB, _xlfn.SEQUENCE(COUNTA($C$2:$C429), 1, 3, 4)),
  _xlpm.nbparties, COUNTA(_xlfn._xlws.FILTER(_xlpm.ptstables, _xlpm.ptstables &lt;&gt; "")),
  _xlpm.coef, _xlpm.K + _xlpm.Knewgain / (_xlpm.Knewscale + _xlpm.nbparties),
  IF(AB427="",
    "",
    _xlpm.coef * (AB427-AB428))
)</f>
        <v/>
      </c>
      <c r="AC429" t="str" cm="1">
        <f t="array" ref="AC429">_xlfn.LET(
  _xlpm.K, Constantes!$B$3,
  _xlpm.Knewgain, Constantes!$B$4,
  _xlpm.Knewscale, Constantes!$B$5,
  _xlpm.ptstables, INDEX(AC:AC, _xlfn.SEQUENCE(COUNTA($C$2:$C429), 1, 3, 4)),
  _xlpm.nbparties, COUNTA(_xlfn._xlws.FILTER(_xlpm.ptstables, _xlpm.ptstables &lt;&gt; "")),
  _xlpm.coef, _xlpm.K + _xlpm.Knewgain / (_xlpm.Knewscale + _xlpm.nbparties),
  IF(AC427="",
    "",
    _xlpm.coef * (AC427-AC428))
)</f>
        <v/>
      </c>
      <c r="AD429" t="str" cm="1">
        <f t="array" ref="AD429">_xlfn.LET(
  _xlpm.K, Constantes!$B$3,
  _xlpm.Knewgain, Constantes!$B$4,
  _xlpm.Knewscale, Constantes!$B$5,
  _xlpm.ptstables, INDEX(AD:AD, _xlfn.SEQUENCE(COUNTA($C$2:$C429), 1, 3, 4)),
  _xlpm.nbparties, COUNTA(_xlfn._xlws.FILTER(_xlpm.ptstables, _xlpm.ptstables &lt;&gt; "")),
  _xlpm.coef, _xlpm.K + _xlpm.Knewgain / (_xlpm.Knewscale + _xlpm.nbparties),
  IF(AD427="",
    "",
    _xlpm.coef * (AD427-AD428))
)</f>
        <v/>
      </c>
      <c r="AE429" t="str" cm="1">
        <f t="array" ref="AE429">_xlfn.LET(
  _xlpm.K, Constantes!$B$3,
  _xlpm.Knewgain, Constantes!$B$4,
  _xlpm.Knewscale, Constantes!$B$5,
  _xlpm.ptstables, INDEX(AE:AE, _xlfn.SEQUENCE(COUNTA($C$2:$C429), 1, 3, 4)),
  _xlpm.nbparties, COUNTA(_xlfn._xlws.FILTER(_xlpm.ptstables, _xlpm.ptstables &lt;&gt; "")),
  _xlpm.coef, _xlpm.K + _xlpm.Knewgain / (_xlpm.Knewscale + _xlpm.nbparties),
  IF(AE427="",
    "",
    _xlpm.coef * (AE427-AE428))
)</f>
        <v/>
      </c>
      <c r="AF429" t="str" cm="1">
        <f t="array" ref="AF429">_xlfn.LET(
  _xlpm.K, Constantes!$B$3,
  _xlpm.Knewgain, Constantes!$B$4,
  _xlpm.Knewscale, Constantes!$B$5,
  _xlpm.ptstables, INDEX(AF:AF, _xlfn.SEQUENCE(COUNTA($C$2:$C429), 1, 3, 4)),
  _xlpm.nbparties, COUNTA(_xlfn._xlws.FILTER(_xlpm.ptstables, _xlpm.ptstables &lt;&gt; "")),
  _xlpm.coef, _xlpm.K + _xlpm.Knewgain / (_xlpm.Knewscale + _xlpm.nbparties),
  IF(AF427="",
    "",
    _xlpm.coef * (AF427-AF428))
)</f>
        <v/>
      </c>
      <c r="AG429" t="str" cm="1">
        <f t="array" ref="AG429">_xlfn.LET(
  _xlpm.K, Constantes!$B$3,
  _xlpm.Knewgain, Constantes!$B$4,
  _xlpm.Knewscale, Constantes!$B$5,
  _xlpm.ptstables, INDEX(AG:AG, _xlfn.SEQUENCE(COUNTA($C$2:$C429), 1, 3, 4)),
  _xlpm.nbparties, COUNTA(_xlfn._xlws.FILTER(_xlpm.ptstables, _xlpm.ptstables &lt;&gt; "")),
  _xlpm.coef, _xlpm.K + _xlpm.Knewgain / (_xlpm.Knewscale + _xlpm.nbparties),
  IF(AG427="",
    "",
    _xlpm.coef * (AG427-AG428))
)</f>
        <v/>
      </c>
      <c r="AH429" t="str" cm="1">
        <f t="array" ref="AH429">_xlfn.LET(
  _xlpm.K, Constantes!$B$3,
  _xlpm.Knewgain, Constantes!$B$4,
  _xlpm.Knewscale, Constantes!$B$5,
  _xlpm.ptstables, INDEX(AH:AH, _xlfn.SEQUENCE(COUNTA($C$2:$C429), 1, 3, 4)),
  _xlpm.nbparties, COUNTA(_xlfn._xlws.FILTER(_xlpm.ptstables, _xlpm.ptstables &lt;&gt; "")),
  _xlpm.coef, _xlpm.K + _xlpm.Knewgain / (_xlpm.Knewscale + _xlpm.nbparties),
  IF(AH427="",
    "",
    _xlpm.coef * (AH427-AH428))
)</f>
        <v/>
      </c>
      <c r="AI429" t="str" cm="1">
        <f t="array" ref="AI429">_xlfn.LET(
  _xlpm.K, Constantes!$B$3,
  _xlpm.Knewgain, Constantes!$B$4,
  _xlpm.Knewscale, Constantes!$B$5,
  _xlpm.ptstables, INDEX(AI:AI, _xlfn.SEQUENCE(COUNTA($C$2:$C429), 1, 3, 4)),
  _xlpm.nbparties, COUNTA(_xlfn._xlws.FILTER(_xlpm.ptstables, _xlpm.ptstables &lt;&gt; "")),
  _xlpm.coef, _xlpm.K + _xlpm.Knewgain / (_xlpm.Knewscale + _xlpm.nbparties),
  IF(AI427="",
    "",
    _xlpm.coef * (AI427-AI428))
)</f>
        <v/>
      </c>
      <c r="AJ429" t="str" cm="1">
        <f t="array" ref="AJ429">_xlfn.LET(
  _xlpm.K, Constantes!$B$3,
  _xlpm.Knewgain, Constantes!$B$4,
  _xlpm.Knewscale, Constantes!$B$5,
  _xlpm.ptstables, INDEX(AJ:AJ, _xlfn.SEQUENCE(COUNTA($C$2:$C429), 1, 3, 4)),
  _xlpm.nbparties, COUNTA(_xlfn._xlws.FILTER(_xlpm.ptstables, _xlpm.ptstables &lt;&gt; "")),
  _xlpm.coef, _xlpm.K + _xlpm.Knewgain / (_xlpm.Knewscale + _xlpm.nbparties),
  IF(AJ427="",
    "",
    _xlpm.coef * (AJ427-AJ428))
)</f>
        <v/>
      </c>
      <c r="AK429" t="str" cm="1">
        <f t="array" ref="AK429">_xlfn.LET(
  _xlpm.K, Constantes!$B$3,
  _xlpm.Knewgain, Constantes!$B$4,
  _xlpm.Knewscale, Constantes!$B$5,
  _xlpm.ptstables, INDEX(AK:AK, _xlfn.SEQUENCE(COUNTA($C$2:$C429), 1, 3, 4)),
  _xlpm.nbparties, COUNTA(_xlfn._xlws.FILTER(_xlpm.ptstables, _xlpm.ptstables &lt;&gt; "")),
  _xlpm.coef, _xlpm.K + _xlpm.Knewgain / (_xlpm.Knewscale + _xlpm.nbparties),
  IF(AK427="",
    "",
    _xlpm.coef * (AK427-AK428))
)</f>
        <v/>
      </c>
      <c r="AL429" t="str" cm="1">
        <f t="array" ref="AL429">_xlfn.LET(
  _xlpm.K, Constantes!$B$3,
  _xlpm.Knewgain, Constantes!$B$4,
  _xlpm.Knewscale, Constantes!$B$5,
  _xlpm.ptstables, INDEX(AL:AL, _xlfn.SEQUENCE(COUNTA($C$2:$C429), 1, 3, 4)),
  _xlpm.nbparties, COUNTA(_xlfn._xlws.FILTER(_xlpm.ptstables, _xlpm.ptstables &lt;&gt; "")),
  _xlpm.coef, _xlpm.K + _xlpm.Knewgain / (_xlpm.Knewscale + _xlpm.nbparties),
  IF(AL427="",
    "",
    _xlpm.coef * (AL427-AL428))
)</f>
        <v/>
      </c>
      <c r="AM429" t="str" cm="1">
        <f t="array" ref="AM429">_xlfn.LET(
  _xlpm.K, Constantes!$B$3,
  _xlpm.Knewgain, Constantes!$B$4,
  _xlpm.Knewscale, Constantes!$B$5,
  _xlpm.ptstables, INDEX(AM:AM, _xlfn.SEQUENCE(COUNTA($C$2:$C429), 1, 3, 4)),
  _xlpm.nbparties, COUNTA(_xlfn._xlws.FILTER(_xlpm.ptstables, _xlpm.ptstables &lt;&gt; "")),
  _xlpm.coef, _xlpm.K + _xlpm.Knewgain / (_xlpm.Knewscale + _xlpm.nbparties),
  IF(AM427="",
    "",
    _xlpm.coef * (AM427-AM428))
)</f>
        <v/>
      </c>
    </row>
    <row r="430" spans="1:39" x14ac:dyDescent="0.25">
      <c r="A430" t="s">
        <v>14</v>
      </c>
      <c r="B430" t="str" cm="1">
        <f t="array" ref="B43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107</v>
      </c>
      <c r="C430" s="2" cm="1">
        <f t="array" ref="C430">IF(B430="","",
  INDEX(Donnees!F:F, MATCH(B430, Donnees!F:F, 0)+1))</f>
        <v>45962.686527777776</v>
      </c>
      <c r="D430">
        <f t="shared" ref="D430:AM430" si="115">D426+IF(D429="",0,D429)</f>
        <v>968.82938141395095</v>
      </c>
      <c r="E430">
        <f t="shared" si="115"/>
        <v>1196.4195973781996</v>
      </c>
      <c r="F430">
        <f t="shared" si="115"/>
        <v>911.8835833951041</v>
      </c>
      <c r="G430">
        <f t="shared" si="115"/>
        <v>1061.9525561512175</v>
      </c>
      <c r="H430">
        <f t="shared" si="115"/>
        <v>1121.8561093296914</v>
      </c>
      <c r="I430">
        <f t="shared" si="115"/>
        <v>907.83370609419069</v>
      </c>
      <c r="J430">
        <f t="shared" si="115"/>
        <v>1017.3480659469107</v>
      </c>
      <c r="K430">
        <f t="shared" si="115"/>
        <v>1076.8546837336262</v>
      </c>
      <c r="L430">
        <f t="shared" si="115"/>
        <v>762.99078552663389</v>
      </c>
      <c r="M430">
        <f t="shared" si="115"/>
        <v>927.4581540493366</v>
      </c>
      <c r="N430">
        <f t="shared" si="115"/>
        <v>899.98370646249032</v>
      </c>
      <c r="O430">
        <f t="shared" si="115"/>
        <v>997.04050320786712</v>
      </c>
      <c r="P430">
        <f t="shared" si="115"/>
        <v>987.86278180042575</v>
      </c>
      <c r="Q430">
        <f t="shared" si="115"/>
        <v>1051.0755127018197</v>
      </c>
      <c r="R430">
        <f t="shared" si="115"/>
        <v>1033.0869533375633</v>
      </c>
      <c r="S430">
        <f t="shared" si="115"/>
        <v>1026.8363504234503</v>
      </c>
      <c r="T430">
        <f t="shared" si="115"/>
        <v>1125.604709757928</v>
      </c>
      <c r="U430">
        <f t="shared" si="115"/>
        <v>1211.4068769134583</v>
      </c>
      <c r="V430">
        <f t="shared" si="115"/>
        <v>969.67171739286073</v>
      </c>
      <c r="W430">
        <f t="shared" si="115"/>
        <v>873.42626723356045</v>
      </c>
      <c r="X430">
        <f t="shared" si="115"/>
        <v>832.40508999649853</v>
      </c>
      <c r="Y430">
        <f t="shared" si="115"/>
        <v>944.44867950361879</v>
      </c>
      <c r="Z430">
        <f t="shared" si="115"/>
        <v>1008.6876849635962</v>
      </c>
      <c r="AA430">
        <f t="shared" si="115"/>
        <v>976.40065260504912</v>
      </c>
      <c r="AB430">
        <f t="shared" si="115"/>
        <v>988.35669729544747</v>
      </c>
      <c r="AC430">
        <f t="shared" si="115"/>
        <v>953.51130390294213</v>
      </c>
      <c r="AD430">
        <f t="shared" si="115"/>
        <v>1088.3730879167924</v>
      </c>
      <c r="AE430">
        <f t="shared" si="115"/>
        <v>963.23981965000235</v>
      </c>
      <c r="AF430">
        <f t="shared" si="115"/>
        <v>1094.8196847516158</v>
      </c>
      <c r="AG430">
        <f t="shared" si="115"/>
        <v>958.23078604304851</v>
      </c>
      <c r="AH430">
        <f t="shared" si="115"/>
        <v>920.4412636682855</v>
      </c>
      <c r="AI430">
        <f t="shared" si="115"/>
        <v>921.70040944956304</v>
      </c>
      <c r="AJ430">
        <f t="shared" si="115"/>
        <v>906.86354201913434</v>
      </c>
      <c r="AK430">
        <f t="shared" si="115"/>
        <v>1074.0069367206956</v>
      </c>
      <c r="AL430">
        <f t="shared" si="115"/>
        <v>1025.7817971572972</v>
      </c>
      <c r="AM430">
        <f t="shared" si="115"/>
        <v>930.08392160706046</v>
      </c>
    </row>
    <row r="431" spans="1:39" x14ac:dyDescent="0.25">
      <c r="A431" t="s">
        <v>21</v>
      </c>
      <c r="D431" t="str" cm="1">
        <f t="array" ref="D431">IFERROR(
  _xlfn.LET(
    _xlpm.ligpartie, MATCH($B430, Donnees!$F:$F, 0),
    _xlpm.joueurs, INDEX(Donnees!$A:$Z, _xlpm.ligpartie+1, _xlfn.SEQUENCE(1, 4, 2)),
    INDEX(
      Donnees!$A:$Z,
      _xlpm.ligpartie + 3,
      MATCH(D$1, _xlpm.joueurs, 0) + 1
    )
  ), ""
)</f>
        <v/>
      </c>
      <c r="E431" t="str" cm="1">
        <f t="array" ref="E431">IFERROR(
  _xlfn.LET(
    _xlpm.ligpartie, MATCH($B430, Donnees!$F:$F, 0),
    _xlpm.joueurs, INDEX(Donnees!$A:$Z, _xlpm.ligpartie+1, _xlfn.SEQUENCE(1, 4, 2)),
    INDEX(
      Donnees!$A:$Z,
      _xlpm.ligpartie + 3,
      MATCH(E$1, _xlpm.joueurs, 0) + 1
    )
  ), ""
)</f>
        <v/>
      </c>
      <c r="F431" t="str" cm="1">
        <f t="array" ref="F431">IFERROR(
  _xlfn.LET(
    _xlpm.ligpartie, MATCH($B430, Donnees!$F:$F, 0),
    _xlpm.joueurs, INDEX(Donnees!$A:$Z, _xlpm.ligpartie+1, _xlfn.SEQUENCE(1, 4, 2)),
    INDEX(
      Donnees!$A:$Z,
      _xlpm.ligpartie + 3,
      MATCH(F$1, _xlpm.joueurs, 0) + 1
    )
  ), ""
)</f>
        <v/>
      </c>
      <c r="G431" t="str" cm="1">
        <f t="array" ref="G431">IFERROR(
  _xlfn.LET(
    _xlpm.ligpartie, MATCH($B430, Donnees!$F:$F, 0),
    _xlpm.joueurs, INDEX(Donnees!$A:$Z, _xlpm.ligpartie+1, _xlfn.SEQUENCE(1, 4, 2)),
    INDEX(
      Donnees!$A:$Z,
      _xlpm.ligpartie + 3,
      MATCH(G$1, _xlpm.joueurs, 0) + 1
    )
  ), ""
)</f>
        <v/>
      </c>
      <c r="H431" t="str" cm="1">
        <f t="array" ref="H431">IFERROR(
  _xlfn.LET(
    _xlpm.ligpartie, MATCH($B430, Donnees!$F:$F, 0),
    _xlpm.joueurs, INDEX(Donnees!$A:$Z, _xlpm.ligpartie+1, _xlfn.SEQUENCE(1, 4, 2)),
    INDEX(
      Donnees!$A:$Z,
      _xlpm.ligpartie + 3,
      MATCH(H$1, _xlpm.joueurs, 0) + 1
    )
  ), ""
)</f>
        <v/>
      </c>
      <c r="I431" t="str" cm="1">
        <f t="array" ref="I431">IFERROR(
  _xlfn.LET(
    _xlpm.ligpartie, MATCH($B430, Donnees!$F:$F, 0),
    _xlpm.joueurs, INDEX(Donnees!$A:$Z, _xlpm.ligpartie+1, _xlfn.SEQUENCE(1, 4, 2)),
    INDEX(
      Donnees!$A:$Z,
      _xlpm.ligpartie + 3,
      MATCH(I$1, _xlpm.joueurs, 0) + 1
    )
  ), ""
)</f>
        <v/>
      </c>
      <c r="J431" t="str" cm="1">
        <f t="array" ref="J431">IFERROR(
  _xlfn.LET(
    _xlpm.ligpartie, MATCH($B430, Donnees!$F:$F, 0),
    _xlpm.joueurs, INDEX(Donnees!$A:$Z, _xlpm.ligpartie+1, _xlfn.SEQUENCE(1, 4, 2)),
    INDEX(
      Donnees!$A:$Z,
      _xlpm.ligpartie + 3,
      MATCH(J$1, _xlpm.joueurs, 0) + 1
    )
  ), ""
)</f>
        <v/>
      </c>
      <c r="K431" t="str" cm="1">
        <f t="array" ref="K431">IFERROR(
  _xlfn.LET(
    _xlpm.ligpartie, MATCH($B430, Donnees!$F:$F, 0),
    _xlpm.joueurs, INDEX(Donnees!$A:$Z, _xlpm.ligpartie+1, _xlfn.SEQUENCE(1, 4, 2)),
    INDEX(
      Donnees!$A:$Z,
      _xlpm.ligpartie + 3,
      MATCH(K$1, _xlpm.joueurs, 0) + 1
    )
  ), ""
)</f>
        <v/>
      </c>
      <c r="L431" t="str" cm="1">
        <f t="array" ref="L431">IFERROR(
  _xlfn.LET(
    _xlpm.ligpartie, MATCH($B430, Donnees!$F:$F, 0),
    _xlpm.joueurs, INDEX(Donnees!$A:$Z, _xlpm.ligpartie+1, _xlfn.SEQUENCE(1, 4, 2)),
    INDEX(
      Donnees!$A:$Z,
      _xlpm.ligpartie + 3,
      MATCH(L$1, _xlpm.joueurs, 0) + 1
    )
  ), ""
)</f>
        <v/>
      </c>
      <c r="M431" t="str" cm="1">
        <f t="array" ref="M431">IFERROR(
  _xlfn.LET(
    _xlpm.ligpartie, MATCH($B430, Donnees!$F:$F, 0),
    _xlpm.joueurs, INDEX(Donnees!$A:$Z, _xlpm.ligpartie+1, _xlfn.SEQUENCE(1, 4, 2)),
    INDEX(
      Donnees!$A:$Z,
      _xlpm.ligpartie + 3,
      MATCH(M$1, _xlpm.joueurs, 0) + 1
    )
  ), ""
)</f>
        <v/>
      </c>
      <c r="N431" t="str" cm="1">
        <f t="array" ref="N431">IFERROR(
  _xlfn.LET(
    _xlpm.ligpartie, MATCH($B430, Donnees!$F:$F, 0),
    _xlpm.joueurs, INDEX(Donnees!$A:$Z, _xlpm.ligpartie+1, _xlfn.SEQUENCE(1, 4, 2)),
    INDEX(
      Donnees!$A:$Z,
      _xlpm.ligpartie + 3,
      MATCH(N$1, _xlpm.joueurs, 0) + 1
    )
  ), ""
)</f>
        <v/>
      </c>
      <c r="O431" t="str" cm="1">
        <f t="array" ref="O431">IFERROR(
  _xlfn.LET(
    _xlpm.ligpartie, MATCH($B430, Donnees!$F:$F, 0),
    _xlpm.joueurs, INDEX(Donnees!$A:$Z, _xlpm.ligpartie+1, _xlfn.SEQUENCE(1, 4, 2)),
    INDEX(
      Donnees!$A:$Z,
      _xlpm.ligpartie + 3,
      MATCH(O$1, _xlpm.joueurs, 0) + 1
    )
  ), ""
)</f>
        <v/>
      </c>
      <c r="P431" t="str" cm="1">
        <f t="array" ref="P431">IFERROR(
  _xlfn.LET(
    _xlpm.ligpartie, MATCH($B430, Donnees!$F:$F, 0),
    _xlpm.joueurs, INDEX(Donnees!$A:$Z, _xlpm.ligpartie+1, _xlfn.SEQUENCE(1, 4, 2)),
    INDEX(
      Donnees!$A:$Z,
      _xlpm.ligpartie + 3,
      MATCH(P$1, _xlpm.joueurs, 0) + 1
    )
  ), ""
)</f>
        <v/>
      </c>
      <c r="Q431" t="str" cm="1">
        <f t="array" ref="Q431">IFERROR(
  _xlfn.LET(
    _xlpm.ligpartie, MATCH($B430, Donnees!$F:$F, 0),
    _xlpm.joueurs, INDEX(Donnees!$A:$Z, _xlpm.ligpartie+1, _xlfn.SEQUENCE(1, 4, 2)),
    INDEX(
      Donnees!$A:$Z,
      _xlpm.ligpartie + 3,
      MATCH(Q$1, _xlpm.joueurs, 0) + 1
    )
  ), ""
)</f>
        <v/>
      </c>
      <c r="R431" cm="1">
        <f t="array" ref="R431">IFERROR(
  _xlfn.LET(
    _xlpm.ligpartie, MATCH($B430, Donnees!$F:$F, 0),
    _xlpm.joueurs, INDEX(Donnees!$A:$Z, _xlpm.ligpartie+1, _xlfn.SEQUENCE(1, 4, 2)),
    INDEX(
      Donnees!$A:$Z,
      _xlpm.ligpartie + 3,
      MATCH(R$1, _xlpm.joueurs, 0) + 1
    )
  ), ""
)</f>
        <v>2</v>
      </c>
      <c r="S431" cm="1">
        <f t="array" ref="S431">IFERROR(
  _xlfn.LET(
    _xlpm.ligpartie, MATCH($B430, Donnees!$F:$F, 0),
    _xlpm.joueurs, INDEX(Donnees!$A:$Z, _xlpm.ligpartie+1, _xlfn.SEQUENCE(1, 4, 2)),
    INDEX(
      Donnees!$A:$Z,
      _xlpm.ligpartie + 3,
      MATCH(S$1, _xlpm.joueurs, 0) + 1
    )
  ), ""
)</f>
        <v>0</v>
      </c>
      <c r="T431" t="str" cm="1">
        <f t="array" ref="T431">IFERROR(
  _xlfn.LET(
    _xlpm.ligpartie, MATCH($B430, Donnees!$F:$F, 0),
    _xlpm.joueurs, INDEX(Donnees!$A:$Z, _xlpm.ligpartie+1, _xlfn.SEQUENCE(1, 4, 2)),
    INDEX(
      Donnees!$A:$Z,
      _xlpm.ligpartie + 3,
      MATCH(T$1, _xlpm.joueurs, 0) + 1
    )
  ), ""
)</f>
        <v/>
      </c>
      <c r="U431" t="str" cm="1">
        <f t="array" ref="U431">IFERROR(
  _xlfn.LET(
    _xlpm.ligpartie, MATCH($B430, Donnees!$F:$F, 0),
    _xlpm.joueurs, INDEX(Donnees!$A:$Z, _xlpm.ligpartie+1, _xlfn.SEQUENCE(1, 4, 2)),
    INDEX(
      Donnees!$A:$Z,
      _xlpm.ligpartie + 3,
      MATCH(U$1, _xlpm.joueurs, 0) + 1
    )
  ), ""
)</f>
        <v/>
      </c>
      <c r="V431" t="str" cm="1">
        <f t="array" ref="V431">IFERROR(
  _xlfn.LET(
    _xlpm.ligpartie, MATCH($B430, Donnees!$F:$F, 0),
    _xlpm.joueurs, INDEX(Donnees!$A:$Z, _xlpm.ligpartie+1, _xlfn.SEQUENCE(1, 4, 2)),
    INDEX(
      Donnees!$A:$Z,
      _xlpm.ligpartie + 3,
      MATCH(V$1, _xlpm.joueurs, 0) + 1
    )
  ), ""
)</f>
        <v/>
      </c>
      <c r="W431" t="str" cm="1">
        <f t="array" ref="W431">IFERROR(
  _xlfn.LET(
    _xlpm.ligpartie, MATCH($B430, Donnees!$F:$F, 0),
    _xlpm.joueurs, INDEX(Donnees!$A:$Z, _xlpm.ligpartie+1, _xlfn.SEQUENCE(1, 4, 2)),
    INDEX(
      Donnees!$A:$Z,
      _xlpm.ligpartie + 3,
      MATCH(W$1, _xlpm.joueurs, 0) + 1
    )
  ), ""
)</f>
        <v/>
      </c>
      <c r="X431" t="str" cm="1">
        <f t="array" ref="X431">IFERROR(
  _xlfn.LET(
    _xlpm.ligpartie, MATCH($B430, Donnees!$F:$F, 0),
    _xlpm.joueurs, INDEX(Donnees!$A:$Z, _xlpm.ligpartie+1, _xlfn.SEQUENCE(1, 4, 2)),
    INDEX(
      Donnees!$A:$Z,
      _xlpm.ligpartie + 3,
      MATCH(X$1, _xlpm.joueurs, 0) + 1
    )
  ), ""
)</f>
        <v/>
      </c>
      <c r="Y431" t="str" cm="1">
        <f t="array" ref="Y431">IFERROR(
  _xlfn.LET(
    _xlpm.ligpartie, MATCH($B430, Donnees!$F:$F, 0),
    _xlpm.joueurs, INDEX(Donnees!$A:$Z, _xlpm.ligpartie+1, _xlfn.SEQUENCE(1, 4, 2)),
    INDEX(
      Donnees!$A:$Z,
      _xlpm.ligpartie + 3,
      MATCH(Y$1, _xlpm.joueurs, 0) + 1
    )
  ), ""
)</f>
        <v/>
      </c>
      <c r="Z431" t="str" cm="1">
        <f t="array" ref="Z431">IFERROR(
  _xlfn.LET(
    _xlpm.ligpartie, MATCH($B430, Donnees!$F:$F, 0),
    _xlpm.joueurs, INDEX(Donnees!$A:$Z, _xlpm.ligpartie+1, _xlfn.SEQUENCE(1, 4, 2)),
    INDEX(
      Donnees!$A:$Z,
      _xlpm.ligpartie + 3,
      MATCH(Z$1, _xlpm.joueurs, 0) + 1
    )
  ), ""
)</f>
        <v/>
      </c>
      <c r="AA431" t="str" cm="1">
        <f t="array" ref="AA431">IFERROR(
  _xlfn.LET(
    _xlpm.ligpartie, MATCH($B430, Donnees!$F:$F, 0),
    _xlpm.joueurs, INDEX(Donnees!$A:$Z, _xlpm.ligpartie+1, _xlfn.SEQUENCE(1, 4, 2)),
    INDEX(
      Donnees!$A:$Z,
      _xlpm.ligpartie + 3,
      MATCH(AA$1, _xlpm.joueurs, 0) + 1
    )
  ), ""
)</f>
        <v/>
      </c>
      <c r="AB431" t="str" cm="1">
        <f t="array" ref="AB431">IFERROR(
  _xlfn.LET(
    _xlpm.ligpartie, MATCH($B430, Donnees!$F:$F, 0),
    _xlpm.joueurs, INDEX(Donnees!$A:$Z, _xlpm.ligpartie+1, _xlfn.SEQUENCE(1, 4, 2)),
    INDEX(
      Donnees!$A:$Z,
      _xlpm.ligpartie + 3,
      MATCH(AB$1, _xlpm.joueurs, 0) + 1
    )
  ), ""
)</f>
        <v/>
      </c>
      <c r="AC431" t="str" cm="1">
        <f t="array" ref="AC431">IFERROR(
  _xlfn.LET(
    _xlpm.ligpartie, MATCH($B430, Donnees!$F:$F, 0),
    _xlpm.joueurs, INDEX(Donnees!$A:$Z, _xlpm.ligpartie+1, _xlfn.SEQUENCE(1, 4, 2)),
    INDEX(
      Donnees!$A:$Z,
      _xlpm.ligpartie + 3,
      MATCH(AC$1, _xlpm.joueurs, 0) + 1
    )
  ), ""
)</f>
        <v/>
      </c>
      <c r="AD431" cm="1">
        <f t="array" ref="AD431">IFERROR(
  _xlfn.LET(
    _xlpm.ligpartie, MATCH($B430, Donnees!$F:$F, 0),
    _xlpm.joueurs, INDEX(Donnees!$A:$Z, _xlpm.ligpartie+1, _xlfn.SEQUENCE(1, 4, 2)),
    INDEX(
      Donnees!$A:$Z,
      _xlpm.ligpartie + 3,
      MATCH(AD$1, _xlpm.joueurs, 0) + 1
    )
  ), ""
)</f>
        <v>1</v>
      </c>
      <c r="AE431" t="str" cm="1">
        <f t="array" ref="AE431">IFERROR(
  _xlfn.LET(
    _xlpm.ligpartie, MATCH($B430, Donnees!$F:$F, 0),
    _xlpm.joueurs, INDEX(Donnees!$A:$Z, _xlpm.ligpartie+1, _xlfn.SEQUENCE(1, 4, 2)),
    INDEX(
      Donnees!$A:$Z,
      _xlpm.ligpartie + 3,
      MATCH(AE$1, _xlpm.joueurs, 0) + 1
    )
  ), ""
)</f>
        <v/>
      </c>
      <c r="AF431" t="str" cm="1">
        <f t="array" ref="AF431">IFERROR(
  _xlfn.LET(
    _xlpm.ligpartie, MATCH($B430, Donnees!$F:$F, 0),
    _xlpm.joueurs, INDEX(Donnees!$A:$Z, _xlpm.ligpartie+1, _xlfn.SEQUENCE(1, 4, 2)),
    INDEX(
      Donnees!$A:$Z,
      _xlpm.ligpartie + 3,
      MATCH(AF$1, _xlpm.joueurs, 0) + 1
    )
  ), ""
)</f>
        <v/>
      </c>
      <c r="AG431" t="str" cm="1">
        <f t="array" ref="AG431">IFERROR(
  _xlfn.LET(
    _xlpm.ligpartie, MATCH($B430, Donnees!$F:$F, 0),
    _xlpm.joueurs, INDEX(Donnees!$A:$Z, _xlpm.ligpartie+1, _xlfn.SEQUENCE(1, 4, 2)),
    INDEX(
      Donnees!$A:$Z,
      _xlpm.ligpartie + 3,
      MATCH(AG$1, _xlpm.joueurs, 0) + 1
    )
  ), ""
)</f>
        <v/>
      </c>
      <c r="AH431" t="str" cm="1">
        <f t="array" ref="AH431">IFERROR(
  _xlfn.LET(
    _xlpm.ligpartie, MATCH($B430, Donnees!$F:$F, 0),
    _xlpm.joueurs, INDEX(Donnees!$A:$Z, _xlpm.ligpartie+1, _xlfn.SEQUENCE(1, 4, 2)),
    INDEX(
      Donnees!$A:$Z,
      _xlpm.ligpartie + 3,
      MATCH(AH$1, _xlpm.joueurs, 0) + 1
    )
  ), ""
)</f>
        <v/>
      </c>
      <c r="AI431" cm="1">
        <f t="array" ref="AI431">IFERROR(
  _xlfn.LET(
    _xlpm.ligpartie, MATCH($B430, Donnees!$F:$F, 0),
    _xlpm.joueurs, INDEX(Donnees!$A:$Z, _xlpm.ligpartie+1, _xlfn.SEQUENCE(1, 4, 2)),
    INDEX(
      Donnees!$A:$Z,
      _xlpm.ligpartie + 3,
      MATCH(AI$1, _xlpm.joueurs, 0) + 1
    )
  ), ""
)</f>
        <v>3</v>
      </c>
      <c r="AJ431" t="str" cm="1">
        <f t="array" ref="AJ431">IFERROR(
  _xlfn.LET(
    _xlpm.ligpartie, MATCH($B430, Donnees!$F:$F, 0),
    _xlpm.joueurs, INDEX(Donnees!$A:$Z, _xlpm.ligpartie+1, _xlfn.SEQUENCE(1, 4, 2)),
    INDEX(
      Donnees!$A:$Z,
      _xlpm.ligpartie + 3,
      MATCH(AJ$1, _xlpm.joueurs, 0) + 1
    )
  ), ""
)</f>
        <v/>
      </c>
      <c r="AK431" t="str" cm="1">
        <f t="array" ref="AK431">IFERROR(
  _xlfn.LET(
    _xlpm.ligpartie, MATCH($B430, Donnees!$F:$F, 0),
    _xlpm.joueurs, INDEX(Donnees!$A:$Z, _xlpm.ligpartie+1, _xlfn.SEQUENCE(1, 4, 2)),
    INDEX(
      Donnees!$A:$Z,
      _xlpm.ligpartie + 3,
      MATCH(AK$1, _xlpm.joueurs, 0) + 1
    )
  ), ""
)</f>
        <v/>
      </c>
      <c r="AL431" t="str" cm="1">
        <f t="array" ref="AL431">IFERROR(
  _xlfn.LET(
    _xlpm.ligpartie, MATCH($B430, Donnees!$F:$F, 0),
    _xlpm.joueurs, INDEX(Donnees!$A:$Z, _xlpm.ligpartie+1, _xlfn.SEQUENCE(1, 4, 2)),
    INDEX(
      Donnees!$A:$Z,
      _xlpm.ligpartie + 3,
      MATCH(AL$1, _xlpm.joueurs, 0) + 1
    )
  ), ""
)</f>
        <v/>
      </c>
      <c r="AM431" t="str" cm="1">
        <f t="array" ref="AM431">IFERROR(
  _xlfn.LET(
    _xlpm.ligpartie, MATCH($B430, Donnees!$F:$F, 0),
    _xlpm.joueurs, INDEX(Donnees!$A:$Z, _xlpm.ligpartie+1, _xlfn.SEQUENCE(1, 4, 2)),
    INDEX(
      Donnees!$A:$Z,
      _xlpm.ligpartie + 3,
      MATCH(AM$1, _xlpm.joueurs, 0) + 1
    )
  ), ""
)</f>
        <v/>
      </c>
    </row>
    <row r="432" spans="1:39" x14ac:dyDescent="0.25">
      <c r="A432" t="s">
        <v>20</v>
      </c>
      <c r="D432" t="str" cm="1">
        <f t="array" ref="D432">_xlfn.LET(
  _xlpm.colj, _xlfn._xlws.FILTER(IF(ISNUMBER(431:431), COLUMN(431:431)), ISNUMBER(431:431)),
  _xlpm.elos, INDEX(430:430,1,_xlpm.colj),
  _xlpm.diffscale, Constantes!$B$2,
  IF(D431="",
    "",
    SUM(1/(1+POWER(10,-(D430-_xlpm.elos)/_xlpm.diffscale)))-0.5)
)</f>
        <v/>
      </c>
      <c r="E432" t="str" cm="1">
        <f t="array" ref="E432">_xlfn.LET(
  _xlpm.colj, _xlfn._xlws.FILTER(IF(ISNUMBER(431:431), COLUMN(431:431)), ISNUMBER(431:431)),
  _xlpm.elos, INDEX(430:430,1,_xlpm.colj),
  _xlpm.diffscale, Constantes!$B$2,
  IF(E431="",
    "",
    SUM(1/(1+POWER(10,-(E430-_xlpm.elos)/_xlpm.diffscale)))-0.5)
)</f>
        <v/>
      </c>
      <c r="F432" t="str" cm="1">
        <f t="array" ref="F432">_xlfn.LET(
  _xlpm.colj, _xlfn._xlws.FILTER(IF(ISNUMBER(431:431), COLUMN(431:431)), ISNUMBER(431:431)),
  _xlpm.elos, INDEX(430:430,1,_xlpm.colj),
  _xlpm.diffscale, Constantes!$B$2,
  IF(F431="",
    "",
    SUM(1/(1+POWER(10,-(F430-_xlpm.elos)/_xlpm.diffscale)))-0.5)
)</f>
        <v/>
      </c>
      <c r="G432" t="str" cm="1">
        <f t="array" ref="G432">_xlfn.LET(
  _xlpm.colj, _xlfn._xlws.FILTER(IF(ISNUMBER(431:431), COLUMN(431:431)), ISNUMBER(431:431)),
  _xlpm.elos, INDEX(430:430,1,_xlpm.colj),
  _xlpm.diffscale, Constantes!$B$2,
  IF(G431="",
    "",
    SUM(1/(1+POWER(10,-(G430-_xlpm.elos)/_xlpm.diffscale)))-0.5)
)</f>
        <v/>
      </c>
      <c r="H432" t="str" cm="1">
        <f t="array" ref="H432">_xlfn.LET(
  _xlpm.colj, _xlfn._xlws.FILTER(IF(ISNUMBER(431:431), COLUMN(431:431)), ISNUMBER(431:431)),
  _xlpm.elos, INDEX(430:430,1,_xlpm.colj),
  _xlpm.diffscale, Constantes!$B$2,
  IF(H431="",
    "",
    SUM(1/(1+POWER(10,-(H430-_xlpm.elos)/_xlpm.diffscale)))-0.5)
)</f>
        <v/>
      </c>
      <c r="I432" t="str" cm="1">
        <f t="array" ref="I432">_xlfn.LET(
  _xlpm.colj, _xlfn._xlws.FILTER(IF(ISNUMBER(431:431), COLUMN(431:431)), ISNUMBER(431:431)),
  _xlpm.elos, INDEX(430:430,1,_xlpm.colj),
  _xlpm.diffscale, Constantes!$B$2,
  IF(I431="",
    "",
    SUM(1/(1+POWER(10,-(I430-_xlpm.elos)/_xlpm.diffscale)))-0.5)
)</f>
        <v/>
      </c>
      <c r="J432" t="str" cm="1">
        <f t="array" ref="J432">_xlfn.LET(
  _xlpm.colj, _xlfn._xlws.FILTER(IF(ISNUMBER(431:431), COLUMN(431:431)), ISNUMBER(431:431)),
  _xlpm.elos, INDEX(430:430,1,_xlpm.colj),
  _xlpm.diffscale, Constantes!$B$2,
  IF(J431="",
    "",
    SUM(1/(1+POWER(10,-(J430-_xlpm.elos)/_xlpm.diffscale)))-0.5)
)</f>
        <v/>
      </c>
      <c r="K432" t="str" cm="1">
        <f t="array" ref="K432">_xlfn.LET(
  _xlpm.colj, _xlfn._xlws.FILTER(IF(ISNUMBER(431:431), COLUMN(431:431)), ISNUMBER(431:431)),
  _xlpm.elos, INDEX(430:430,1,_xlpm.colj),
  _xlpm.diffscale, Constantes!$B$2,
  IF(K431="",
    "",
    SUM(1/(1+POWER(10,-(K430-_xlpm.elos)/_xlpm.diffscale)))-0.5)
)</f>
        <v/>
      </c>
      <c r="L432" t="str" cm="1">
        <f t="array" ref="L432">_xlfn.LET(
  _xlpm.colj, _xlfn._xlws.FILTER(IF(ISNUMBER(431:431), COLUMN(431:431)), ISNUMBER(431:431)),
  _xlpm.elos, INDEX(430:430,1,_xlpm.colj),
  _xlpm.diffscale, Constantes!$B$2,
  IF(L431="",
    "",
    SUM(1/(1+POWER(10,-(L430-_xlpm.elos)/_xlpm.diffscale)))-0.5)
)</f>
        <v/>
      </c>
      <c r="M432" t="str" cm="1">
        <f t="array" ref="M432">_xlfn.LET(
  _xlpm.colj, _xlfn._xlws.FILTER(IF(ISNUMBER(431:431), COLUMN(431:431)), ISNUMBER(431:431)),
  _xlpm.elos, INDEX(430:430,1,_xlpm.colj),
  _xlpm.diffscale, Constantes!$B$2,
  IF(M431="",
    "",
    SUM(1/(1+POWER(10,-(M430-_xlpm.elos)/_xlpm.diffscale)))-0.5)
)</f>
        <v/>
      </c>
      <c r="N432" t="str" cm="1">
        <f t="array" ref="N432">_xlfn.LET(
  _xlpm.colj, _xlfn._xlws.FILTER(IF(ISNUMBER(431:431), COLUMN(431:431)), ISNUMBER(431:431)),
  _xlpm.elos, INDEX(430:430,1,_xlpm.colj),
  _xlpm.diffscale, Constantes!$B$2,
  IF(N431="",
    "",
    SUM(1/(1+POWER(10,-(N430-_xlpm.elos)/_xlpm.diffscale)))-0.5)
)</f>
        <v/>
      </c>
      <c r="O432" t="str" cm="1">
        <f t="array" ref="O432">_xlfn.LET(
  _xlpm.colj, _xlfn._xlws.FILTER(IF(ISNUMBER(431:431), COLUMN(431:431)), ISNUMBER(431:431)),
  _xlpm.elos, INDEX(430:430,1,_xlpm.colj),
  _xlpm.diffscale, Constantes!$B$2,
  IF(O431="",
    "",
    SUM(1/(1+POWER(10,-(O430-_xlpm.elos)/_xlpm.diffscale)))-0.5)
)</f>
        <v/>
      </c>
      <c r="P432" t="str" cm="1">
        <f t="array" ref="P432">_xlfn.LET(
  _xlpm.colj, _xlfn._xlws.FILTER(IF(ISNUMBER(431:431), COLUMN(431:431)), ISNUMBER(431:431)),
  _xlpm.elos, INDEX(430:430,1,_xlpm.colj),
  _xlpm.diffscale, Constantes!$B$2,
  IF(P431="",
    "",
    SUM(1/(1+POWER(10,-(P430-_xlpm.elos)/_xlpm.diffscale)))-0.5)
)</f>
        <v/>
      </c>
      <c r="Q432" t="str" cm="1">
        <f t="array" ref="Q432">_xlfn.LET(
  _xlpm.colj, _xlfn._xlws.FILTER(IF(ISNUMBER(431:431), COLUMN(431:431)), ISNUMBER(431:431)),
  _xlpm.elos, INDEX(430:430,1,_xlpm.colj),
  _xlpm.diffscale, Constantes!$B$2,
  IF(Q431="",
    "",
    SUM(1/(1+POWER(10,-(Q430-_xlpm.elos)/_xlpm.diffscale)))-0.5)
)</f>
        <v/>
      </c>
      <c r="R432" cm="1">
        <f t="array" ref="R432">_xlfn.LET(
  _xlpm.colj, _xlfn._xlws.FILTER(IF(ISNUMBER(431:431), COLUMN(431:431)), ISNUMBER(431:431)),
  _xlpm.elos, INDEX(430:430,1,_xlpm.colj),
  _xlpm.diffscale, Constantes!$B$2,
  IF(R431="",
    "",
    SUM(1/(1+POWER(10,-(R430-_xlpm.elos)/_xlpm.diffscale)))-0.5)
)</f>
        <v>1.5851190129272181</v>
      </c>
      <c r="S432" cm="1">
        <f t="array" ref="S432">_xlfn.LET(
  _xlpm.colj, _xlfn._xlws.FILTER(IF(ISNUMBER(431:431), COLUMN(431:431)), ISNUMBER(431:431)),
  _xlpm.elos, INDEX(430:430,1,_xlpm.colj),
  _xlpm.diffscale, Constantes!$B$2,
  IF(S431="",
    "",
    SUM(1/(1+POWER(10,-(S430-_xlpm.elos)/_xlpm.diffscale)))-0.5)
)</f>
        <v>1.5502093330255509</v>
      </c>
      <c r="T432" t="str" cm="1">
        <f t="array" ref="T432">_xlfn.LET(
  _xlpm.colj, _xlfn._xlws.FILTER(IF(ISNUMBER(431:431), COLUMN(431:431)), ISNUMBER(431:431)),
  _xlpm.elos, INDEX(430:430,1,_xlpm.colj),
  _xlpm.diffscale, Constantes!$B$2,
  IF(T431="",
    "",
    SUM(1/(1+POWER(10,-(T430-_xlpm.elos)/_xlpm.diffscale)))-0.5)
)</f>
        <v/>
      </c>
      <c r="U432" t="str" cm="1">
        <f t="array" ref="U432">_xlfn.LET(
  _xlpm.colj, _xlfn._xlws.FILTER(IF(ISNUMBER(431:431), COLUMN(431:431)), ISNUMBER(431:431)),
  _xlpm.elos, INDEX(430:430,1,_xlpm.colj),
  _xlpm.diffscale, Constantes!$B$2,
  IF(U431="",
    "",
    SUM(1/(1+POWER(10,-(U430-_xlpm.elos)/_xlpm.diffscale)))-0.5)
)</f>
        <v/>
      </c>
      <c r="V432" t="str" cm="1">
        <f t="array" ref="V432">_xlfn.LET(
  _xlpm.colj, _xlfn._xlws.FILTER(IF(ISNUMBER(431:431), COLUMN(431:431)), ISNUMBER(431:431)),
  _xlpm.elos, INDEX(430:430,1,_xlpm.colj),
  _xlpm.diffscale, Constantes!$B$2,
  IF(V431="",
    "",
    SUM(1/(1+POWER(10,-(V430-_xlpm.elos)/_xlpm.diffscale)))-0.5)
)</f>
        <v/>
      </c>
      <c r="W432" t="str" cm="1">
        <f t="array" ref="W432">_xlfn.LET(
  _xlpm.colj, _xlfn._xlws.FILTER(IF(ISNUMBER(431:431), COLUMN(431:431)), ISNUMBER(431:431)),
  _xlpm.elos, INDEX(430:430,1,_xlpm.colj),
  _xlpm.diffscale, Constantes!$B$2,
  IF(W431="",
    "",
    SUM(1/(1+POWER(10,-(W430-_xlpm.elos)/_xlpm.diffscale)))-0.5)
)</f>
        <v/>
      </c>
      <c r="X432" t="str" cm="1">
        <f t="array" ref="X432">_xlfn.LET(
  _xlpm.colj, _xlfn._xlws.FILTER(IF(ISNUMBER(431:431), COLUMN(431:431)), ISNUMBER(431:431)),
  _xlpm.elos, INDEX(430:430,1,_xlpm.colj),
  _xlpm.diffscale, Constantes!$B$2,
  IF(X431="",
    "",
    SUM(1/(1+POWER(10,-(X430-_xlpm.elos)/_xlpm.diffscale)))-0.5)
)</f>
        <v/>
      </c>
      <c r="Y432" t="str" cm="1">
        <f t="array" ref="Y432">_xlfn.LET(
  _xlpm.colj, _xlfn._xlws.FILTER(IF(ISNUMBER(431:431), COLUMN(431:431)), ISNUMBER(431:431)),
  _xlpm.elos, INDEX(430:430,1,_xlpm.colj),
  _xlpm.diffscale, Constantes!$B$2,
  IF(Y431="",
    "",
    SUM(1/(1+POWER(10,-(Y430-_xlpm.elos)/_xlpm.diffscale)))-0.5)
)</f>
        <v/>
      </c>
      <c r="Z432" t="str" cm="1">
        <f t="array" ref="Z432">_xlfn.LET(
  _xlpm.colj, _xlfn._xlws.FILTER(IF(ISNUMBER(431:431), COLUMN(431:431)), ISNUMBER(431:431)),
  _xlpm.elos, INDEX(430:430,1,_xlpm.colj),
  _xlpm.diffscale, Constantes!$B$2,
  IF(Z431="",
    "",
    SUM(1/(1+POWER(10,-(Z430-_xlpm.elos)/_xlpm.diffscale)))-0.5)
)</f>
        <v/>
      </c>
      <c r="AA432" t="str" cm="1">
        <f t="array" ref="AA432">_xlfn.LET(
  _xlpm.colj, _xlfn._xlws.FILTER(IF(ISNUMBER(431:431), COLUMN(431:431)), ISNUMBER(431:431)),
  _xlpm.elos, INDEX(430:430,1,_xlpm.colj),
  _xlpm.diffscale, Constantes!$B$2,
  IF(AA431="",
    "",
    SUM(1/(1+POWER(10,-(AA430-_xlpm.elos)/_xlpm.diffscale)))-0.5)
)</f>
        <v/>
      </c>
      <c r="AB432" t="str" cm="1">
        <f t="array" ref="AB432">_xlfn.LET(
  _xlpm.colj, _xlfn._xlws.FILTER(IF(ISNUMBER(431:431), COLUMN(431:431)), ISNUMBER(431:431)),
  _xlpm.elos, INDEX(430:430,1,_xlpm.colj),
  _xlpm.diffscale, Constantes!$B$2,
  IF(AB431="",
    "",
    SUM(1/(1+POWER(10,-(AB430-_xlpm.elos)/_xlpm.diffscale)))-0.5)
)</f>
        <v/>
      </c>
      <c r="AC432" t="str" cm="1">
        <f t="array" ref="AC432">_xlfn.LET(
  _xlpm.colj, _xlfn._xlws.FILTER(IF(ISNUMBER(431:431), COLUMN(431:431)), ISNUMBER(431:431)),
  _xlpm.elos, INDEX(430:430,1,_xlpm.colj),
  _xlpm.diffscale, Constantes!$B$2,
  IF(AC431="",
    "",
    SUM(1/(1+POWER(10,-(AC430-_xlpm.elos)/_xlpm.diffscale)))-0.5)
)</f>
        <v/>
      </c>
      <c r="AD432" cm="1">
        <f t="array" ref="AD432">_xlfn.LET(
  _xlpm.colj, _xlfn._xlws.FILTER(IF(ISNUMBER(431:431), COLUMN(431:431)), ISNUMBER(431:431)),
  _xlpm.elos, INDEX(430:430,1,_xlpm.colj),
  _xlpm.diffscale, Constantes!$B$2,
  IF(AD431="",
    "",
    SUM(1/(1+POWER(10,-(AD430-_xlpm.elos)/_xlpm.diffscale)))-0.5)
)</f>
        <v>1.8895529349638656</v>
      </c>
      <c r="AE432" t="str" cm="1">
        <f t="array" ref="AE432">_xlfn.LET(
  _xlpm.colj, _xlfn._xlws.FILTER(IF(ISNUMBER(431:431), COLUMN(431:431)), ISNUMBER(431:431)),
  _xlpm.elos, INDEX(430:430,1,_xlpm.colj),
  _xlpm.diffscale, Constantes!$B$2,
  IF(AE431="",
    "",
    SUM(1/(1+POWER(10,-(AE430-_xlpm.elos)/_xlpm.diffscale)))-0.5)
)</f>
        <v/>
      </c>
      <c r="AF432" t="str" cm="1">
        <f t="array" ref="AF432">_xlfn.LET(
  _xlpm.colj, _xlfn._xlws.FILTER(IF(ISNUMBER(431:431), COLUMN(431:431)), ISNUMBER(431:431)),
  _xlpm.elos, INDEX(430:430,1,_xlpm.colj),
  _xlpm.diffscale, Constantes!$B$2,
  IF(AF431="",
    "",
    SUM(1/(1+POWER(10,-(AF430-_xlpm.elos)/_xlpm.diffscale)))-0.5)
)</f>
        <v/>
      </c>
      <c r="AG432" t="str" cm="1">
        <f t="array" ref="AG432">_xlfn.LET(
  _xlpm.colj, _xlfn._xlws.FILTER(IF(ISNUMBER(431:431), COLUMN(431:431)), ISNUMBER(431:431)),
  _xlpm.elos, INDEX(430:430,1,_xlpm.colj),
  _xlpm.diffscale, Constantes!$B$2,
  IF(AG431="",
    "",
    SUM(1/(1+POWER(10,-(AG430-_xlpm.elos)/_xlpm.diffscale)))-0.5)
)</f>
        <v/>
      </c>
      <c r="AH432" t="str" cm="1">
        <f t="array" ref="AH432">_xlfn.LET(
  _xlpm.colj, _xlfn._xlws.FILTER(IF(ISNUMBER(431:431), COLUMN(431:431)), ISNUMBER(431:431)),
  _xlpm.elos, INDEX(430:430,1,_xlpm.colj),
  _xlpm.diffscale, Constantes!$B$2,
  IF(AH431="",
    "",
    SUM(1/(1+POWER(10,-(AH430-_xlpm.elos)/_xlpm.diffscale)))-0.5)
)</f>
        <v/>
      </c>
      <c r="AI432" cm="1">
        <f t="array" ref="AI432">_xlfn.LET(
  _xlpm.colj, _xlfn._xlws.FILTER(IF(ISNUMBER(431:431), COLUMN(431:431)), ISNUMBER(431:431)),
  _xlpm.elos, INDEX(430:430,1,_xlpm.colj),
  _xlpm.diffscale, Constantes!$B$2,
  IF(AI431="",
    "",
    SUM(1/(1+POWER(10,-(AI430-_xlpm.elos)/_xlpm.diffscale)))-0.5)
)</f>
        <v>0.97511871908336478</v>
      </c>
      <c r="AJ432" t="str" cm="1">
        <f t="array" ref="AJ432">_xlfn.LET(
  _xlpm.colj, _xlfn._xlws.FILTER(IF(ISNUMBER(431:431), COLUMN(431:431)), ISNUMBER(431:431)),
  _xlpm.elos, INDEX(430:430,1,_xlpm.colj),
  _xlpm.diffscale, Constantes!$B$2,
  IF(AJ431="",
    "",
    SUM(1/(1+POWER(10,-(AJ430-_xlpm.elos)/_xlpm.diffscale)))-0.5)
)</f>
        <v/>
      </c>
      <c r="AK432" t="str" cm="1">
        <f t="array" ref="AK432">_xlfn.LET(
  _xlpm.colj, _xlfn._xlws.FILTER(IF(ISNUMBER(431:431), COLUMN(431:431)), ISNUMBER(431:431)),
  _xlpm.elos, INDEX(430:430,1,_xlpm.colj),
  _xlpm.diffscale, Constantes!$B$2,
  IF(AK431="",
    "",
    SUM(1/(1+POWER(10,-(AK430-_xlpm.elos)/_xlpm.diffscale)))-0.5)
)</f>
        <v/>
      </c>
      <c r="AL432" t="str" cm="1">
        <f t="array" ref="AL432">_xlfn.LET(
  _xlpm.colj, _xlfn._xlws.FILTER(IF(ISNUMBER(431:431), COLUMN(431:431)), ISNUMBER(431:431)),
  _xlpm.elos, INDEX(430:430,1,_xlpm.colj),
  _xlpm.diffscale, Constantes!$B$2,
  IF(AL431="",
    "",
    SUM(1/(1+POWER(10,-(AL430-_xlpm.elos)/_xlpm.diffscale)))-0.5)
)</f>
        <v/>
      </c>
      <c r="AM432" t="str" cm="1">
        <f t="array" ref="AM432">_xlfn.LET(
  _xlpm.colj, _xlfn._xlws.FILTER(IF(ISNUMBER(431:431), COLUMN(431:431)), ISNUMBER(431:431)),
  _xlpm.elos, INDEX(430:430,1,_xlpm.colj),
  _xlpm.diffscale, Constantes!$B$2,
  IF(AM431="",
    "",
    SUM(1/(1+POWER(10,-(AM430-_xlpm.elos)/_xlpm.diffscale)))-0.5)
)</f>
        <v/>
      </c>
    </row>
    <row r="433" spans="1:39" x14ac:dyDescent="0.25">
      <c r="A433" t="s">
        <v>22</v>
      </c>
      <c r="D433" t="str" cm="1">
        <f t="array" ref="D433">_xlfn.LET(
  _xlpm.K, Constantes!$B$3,
  _xlpm.Knewgain, Constantes!$B$4,
  _xlpm.Knewscale, Constantes!$B$5,
  _xlpm.ptstables, INDEX(D:D, _xlfn.SEQUENCE(COUNTA($C$2:$C433), 1, 3, 4)),
  _xlpm.nbparties, COUNTA(_xlfn._xlws.FILTER(_xlpm.ptstables, _xlpm.ptstables &lt;&gt; "")),
  _xlpm.coef, _xlpm.K + _xlpm.Knewgain / (_xlpm.Knewscale + _xlpm.nbparties),
  IF(D431="",
    "",
    _xlpm.coef * (D431-D432))
)</f>
        <v/>
      </c>
      <c r="E433" t="str" cm="1">
        <f t="array" ref="E433">_xlfn.LET(
  _xlpm.K, Constantes!$B$3,
  _xlpm.Knewgain, Constantes!$B$4,
  _xlpm.Knewscale, Constantes!$B$5,
  _xlpm.ptstables, INDEX(E:E, _xlfn.SEQUENCE(COUNTA($C$2:$C433), 1, 3, 4)),
  _xlpm.nbparties, COUNTA(_xlfn._xlws.FILTER(_xlpm.ptstables, _xlpm.ptstables &lt;&gt; "")),
  _xlpm.coef, _xlpm.K + _xlpm.Knewgain / (_xlpm.Knewscale + _xlpm.nbparties),
  IF(E431="",
    "",
    _xlpm.coef * (E431-E432))
)</f>
        <v/>
      </c>
      <c r="F433" t="str" cm="1">
        <f t="array" ref="F433">_xlfn.LET(
  _xlpm.K, Constantes!$B$3,
  _xlpm.Knewgain, Constantes!$B$4,
  _xlpm.Knewscale, Constantes!$B$5,
  _xlpm.ptstables, INDEX(F:F, _xlfn.SEQUENCE(COUNTA($C$2:$C433), 1, 3, 4)),
  _xlpm.nbparties, COUNTA(_xlfn._xlws.FILTER(_xlpm.ptstables, _xlpm.ptstables &lt;&gt; "")),
  _xlpm.coef, _xlpm.K + _xlpm.Knewgain / (_xlpm.Knewscale + _xlpm.nbparties),
  IF(F431="",
    "",
    _xlpm.coef * (F431-F432))
)</f>
        <v/>
      </c>
      <c r="G433" t="str" cm="1">
        <f t="array" ref="G433">_xlfn.LET(
  _xlpm.K, Constantes!$B$3,
  _xlpm.Knewgain, Constantes!$B$4,
  _xlpm.Knewscale, Constantes!$B$5,
  _xlpm.ptstables, INDEX(G:G, _xlfn.SEQUENCE(COUNTA($C$2:$C433), 1, 3, 4)),
  _xlpm.nbparties, COUNTA(_xlfn._xlws.FILTER(_xlpm.ptstables, _xlpm.ptstables &lt;&gt; "")),
  _xlpm.coef, _xlpm.K + _xlpm.Knewgain / (_xlpm.Knewscale + _xlpm.nbparties),
  IF(G431="",
    "",
    _xlpm.coef * (G431-G432))
)</f>
        <v/>
      </c>
      <c r="H433" t="str" cm="1">
        <f t="array" ref="H433">_xlfn.LET(
  _xlpm.K, Constantes!$B$3,
  _xlpm.Knewgain, Constantes!$B$4,
  _xlpm.Knewscale, Constantes!$B$5,
  _xlpm.ptstables, INDEX(H:H, _xlfn.SEQUENCE(COUNTA($C$2:$C433), 1, 3, 4)),
  _xlpm.nbparties, COUNTA(_xlfn._xlws.FILTER(_xlpm.ptstables, _xlpm.ptstables &lt;&gt; "")),
  _xlpm.coef, _xlpm.K + _xlpm.Knewgain / (_xlpm.Knewscale + _xlpm.nbparties),
  IF(H431="",
    "",
    _xlpm.coef * (H431-H432))
)</f>
        <v/>
      </c>
      <c r="I433" t="str" cm="1">
        <f t="array" ref="I433">_xlfn.LET(
  _xlpm.K, Constantes!$B$3,
  _xlpm.Knewgain, Constantes!$B$4,
  _xlpm.Knewscale, Constantes!$B$5,
  _xlpm.ptstables, INDEX(I:I, _xlfn.SEQUENCE(COUNTA($C$2:$C433), 1, 3, 4)),
  _xlpm.nbparties, COUNTA(_xlfn._xlws.FILTER(_xlpm.ptstables, _xlpm.ptstables &lt;&gt; "")),
  _xlpm.coef, _xlpm.K + _xlpm.Knewgain / (_xlpm.Knewscale + _xlpm.nbparties),
  IF(I431="",
    "",
    _xlpm.coef * (I431-I432))
)</f>
        <v/>
      </c>
      <c r="J433" t="str" cm="1">
        <f t="array" ref="J433">_xlfn.LET(
  _xlpm.K, Constantes!$B$3,
  _xlpm.Knewgain, Constantes!$B$4,
  _xlpm.Knewscale, Constantes!$B$5,
  _xlpm.ptstables, INDEX(J:J, _xlfn.SEQUENCE(COUNTA($C$2:$C433), 1, 3, 4)),
  _xlpm.nbparties, COUNTA(_xlfn._xlws.FILTER(_xlpm.ptstables, _xlpm.ptstables &lt;&gt; "")),
  _xlpm.coef, _xlpm.K + _xlpm.Knewgain / (_xlpm.Knewscale + _xlpm.nbparties),
  IF(J431="",
    "",
    _xlpm.coef * (J431-J432))
)</f>
        <v/>
      </c>
      <c r="K433" t="str" cm="1">
        <f t="array" ref="K433">_xlfn.LET(
  _xlpm.K, Constantes!$B$3,
  _xlpm.Knewgain, Constantes!$B$4,
  _xlpm.Knewscale, Constantes!$B$5,
  _xlpm.ptstables, INDEX(K:K, _xlfn.SEQUENCE(COUNTA($C$2:$C433), 1, 3, 4)),
  _xlpm.nbparties, COUNTA(_xlfn._xlws.FILTER(_xlpm.ptstables, _xlpm.ptstables &lt;&gt; "")),
  _xlpm.coef, _xlpm.K + _xlpm.Knewgain / (_xlpm.Knewscale + _xlpm.nbparties),
  IF(K431="",
    "",
    _xlpm.coef * (K431-K432))
)</f>
        <v/>
      </c>
      <c r="L433" t="str" cm="1">
        <f t="array" ref="L433">_xlfn.LET(
  _xlpm.K, Constantes!$B$3,
  _xlpm.Knewgain, Constantes!$B$4,
  _xlpm.Knewscale, Constantes!$B$5,
  _xlpm.ptstables, INDEX(L:L, _xlfn.SEQUENCE(COUNTA($C$2:$C433), 1, 3, 4)),
  _xlpm.nbparties, COUNTA(_xlfn._xlws.FILTER(_xlpm.ptstables, _xlpm.ptstables &lt;&gt; "")),
  _xlpm.coef, _xlpm.K + _xlpm.Knewgain / (_xlpm.Knewscale + _xlpm.nbparties),
  IF(L431="",
    "",
    _xlpm.coef * (L431-L432))
)</f>
        <v/>
      </c>
      <c r="M433" t="str" cm="1">
        <f t="array" ref="M433">_xlfn.LET(
  _xlpm.K, Constantes!$B$3,
  _xlpm.Knewgain, Constantes!$B$4,
  _xlpm.Knewscale, Constantes!$B$5,
  _xlpm.ptstables, INDEX(M:M, _xlfn.SEQUENCE(COUNTA($C$2:$C433), 1, 3, 4)),
  _xlpm.nbparties, COUNTA(_xlfn._xlws.FILTER(_xlpm.ptstables, _xlpm.ptstables &lt;&gt; "")),
  _xlpm.coef, _xlpm.K + _xlpm.Knewgain / (_xlpm.Knewscale + _xlpm.nbparties),
  IF(M431="",
    "",
    _xlpm.coef * (M431-M432))
)</f>
        <v/>
      </c>
      <c r="N433" t="str" cm="1">
        <f t="array" ref="N433">_xlfn.LET(
  _xlpm.K, Constantes!$B$3,
  _xlpm.Knewgain, Constantes!$B$4,
  _xlpm.Knewscale, Constantes!$B$5,
  _xlpm.ptstables, INDEX(N:N, _xlfn.SEQUENCE(COUNTA($C$2:$C433), 1, 3, 4)),
  _xlpm.nbparties, COUNTA(_xlfn._xlws.FILTER(_xlpm.ptstables, _xlpm.ptstables &lt;&gt; "")),
  _xlpm.coef, _xlpm.K + _xlpm.Knewgain / (_xlpm.Knewscale + _xlpm.nbparties),
  IF(N431="",
    "",
    _xlpm.coef * (N431-N432))
)</f>
        <v/>
      </c>
      <c r="O433" t="str" cm="1">
        <f t="array" ref="O433">_xlfn.LET(
  _xlpm.K, Constantes!$B$3,
  _xlpm.Knewgain, Constantes!$B$4,
  _xlpm.Knewscale, Constantes!$B$5,
  _xlpm.ptstables, INDEX(O:O, _xlfn.SEQUENCE(COUNTA($C$2:$C433), 1, 3, 4)),
  _xlpm.nbparties, COUNTA(_xlfn._xlws.FILTER(_xlpm.ptstables, _xlpm.ptstables &lt;&gt; "")),
  _xlpm.coef, _xlpm.K + _xlpm.Knewgain / (_xlpm.Knewscale + _xlpm.nbparties),
  IF(O431="",
    "",
    _xlpm.coef * (O431-O432))
)</f>
        <v/>
      </c>
      <c r="P433" t="str" cm="1">
        <f t="array" ref="P433">_xlfn.LET(
  _xlpm.K, Constantes!$B$3,
  _xlpm.Knewgain, Constantes!$B$4,
  _xlpm.Knewscale, Constantes!$B$5,
  _xlpm.ptstables, INDEX(P:P, _xlfn.SEQUENCE(COUNTA($C$2:$C433), 1, 3, 4)),
  _xlpm.nbparties, COUNTA(_xlfn._xlws.FILTER(_xlpm.ptstables, _xlpm.ptstables &lt;&gt; "")),
  _xlpm.coef, _xlpm.K + _xlpm.Knewgain / (_xlpm.Knewscale + _xlpm.nbparties),
  IF(P431="",
    "",
    _xlpm.coef * (P431-P432))
)</f>
        <v/>
      </c>
      <c r="Q433" t="str" cm="1">
        <f t="array" ref="Q433">_xlfn.LET(
  _xlpm.K, Constantes!$B$3,
  _xlpm.Knewgain, Constantes!$B$4,
  _xlpm.Knewscale, Constantes!$B$5,
  _xlpm.ptstables, INDEX(Q:Q, _xlfn.SEQUENCE(COUNTA($C$2:$C433), 1, 3, 4)),
  _xlpm.nbparties, COUNTA(_xlfn._xlws.FILTER(_xlpm.ptstables, _xlpm.ptstables &lt;&gt; "")),
  _xlpm.coef, _xlpm.K + _xlpm.Knewgain / (_xlpm.Knewscale + _xlpm.nbparties),
  IF(Q431="",
    "",
    _xlpm.coef * (Q431-Q432))
)</f>
        <v/>
      </c>
      <c r="R433" cm="1">
        <f t="array" ref="R433">_xlfn.LET(
  _xlpm.K, Constantes!$B$3,
  _xlpm.Knewgain, Constantes!$B$4,
  _xlpm.Knewscale, Constantes!$B$5,
  _xlpm.ptstables, INDEX(R:R, _xlfn.SEQUENCE(COUNTA($C$2:$C433), 1, 3, 4)),
  _xlpm.nbparties, COUNTA(_xlfn._xlws.FILTER(_xlpm.ptstables, _xlpm.ptstables &lt;&gt; "")),
  _xlpm.coef, _xlpm.K + _xlpm.Knewgain / (_xlpm.Knewscale + _xlpm.nbparties),
  IF(R431="",
    "",
    _xlpm.coef * (R431-R432))
)</f>
        <v>9.0384786469427478</v>
      </c>
      <c r="S433" cm="1">
        <f t="array" ref="S433">_xlfn.LET(
  _xlpm.K, Constantes!$B$3,
  _xlpm.Knewgain, Constantes!$B$4,
  _xlpm.Knewscale, Constantes!$B$5,
  _xlpm.ptstables, INDEX(S:S, _xlfn.SEQUENCE(COUNTA($C$2:$C433), 1, 3, 4)),
  _xlpm.nbparties, COUNTA(_xlfn._xlws.FILTER(_xlpm.ptstables, _xlpm.ptstables &lt;&gt; "")),
  _xlpm.coef, _xlpm.K + _xlpm.Knewgain / (_xlpm.Knewscale + _xlpm.nbparties),
  IF(S431="",
    "",
    _xlpm.coef * (S431-S432))
)</f>
        <v>-33.772417612342359</v>
      </c>
      <c r="T433" t="str" cm="1">
        <f t="array" ref="T433">_xlfn.LET(
  _xlpm.K, Constantes!$B$3,
  _xlpm.Knewgain, Constantes!$B$4,
  _xlpm.Knewscale, Constantes!$B$5,
  _xlpm.ptstables, INDEX(T:T, _xlfn.SEQUENCE(COUNTA($C$2:$C433), 1, 3, 4)),
  _xlpm.nbparties, COUNTA(_xlfn._xlws.FILTER(_xlpm.ptstables, _xlpm.ptstables &lt;&gt; "")),
  _xlpm.coef, _xlpm.K + _xlpm.Knewgain / (_xlpm.Knewscale + _xlpm.nbparties),
  IF(T431="",
    "",
    _xlpm.coef * (T431-T432))
)</f>
        <v/>
      </c>
      <c r="U433" t="str" cm="1">
        <f t="array" ref="U433">_xlfn.LET(
  _xlpm.K, Constantes!$B$3,
  _xlpm.Knewgain, Constantes!$B$4,
  _xlpm.Knewscale, Constantes!$B$5,
  _xlpm.ptstables, INDEX(U:U, _xlfn.SEQUENCE(COUNTA($C$2:$C433), 1, 3, 4)),
  _xlpm.nbparties, COUNTA(_xlfn._xlws.FILTER(_xlpm.ptstables, _xlpm.ptstables &lt;&gt; "")),
  _xlpm.coef, _xlpm.K + _xlpm.Knewgain / (_xlpm.Knewscale + _xlpm.nbparties),
  IF(U431="",
    "",
    _xlpm.coef * (U431-U432))
)</f>
        <v/>
      </c>
      <c r="V433" t="str" cm="1">
        <f t="array" ref="V433">_xlfn.LET(
  _xlpm.K, Constantes!$B$3,
  _xlpm.Knewgain, Constantes!$B$4,
  _xlpm.Knewscale, Constantes!$B$5,
  _xlpm.ptstables, INDEX(V:V, _xlfn.SEQUENCE(COUNTA($C$2:$C433), 1, 3, 4)),
  _xlpm.nbparties, COUNTA(_xlfn._xlws.FILTER(_xlpm.ptstables, _xlpm.ptstables &lt;&gt; "")),
  _xlpm.coef, _xlpm.K + _xlpm.Knewgain / (_xlpm.Knewscale + _xlpm.nbparties),
  IF(V431="",
    "",
    _xlpm.coef * (V431-V432))
)</f>
        <v/>
      </c>
      <c r="W433" t="str" cm="1">
        <f t="array" ref="W433">_xlfn.LET(
  _xlpm.K, Constantes!$B$3,
  _xlpm.Knewgain, Constantes!$B$4,
  _xlpm.Knewscale, Constantes!$B$5,
  _xlpm.ptstables, INDEX(W:W, _xlfn.SEQUENCE(COUNTA($C$2:$C433), 1, 3, 4)),
  _xlpm.nbparties, COUNTA(_xlfn._xlws.FILTER(_xlpm.ptstables, _xlpm.ptstables &lt;&gt; "")),
  _xlpm.coef, _xlpm.K + _xlpm.Knewgain / (_xlpm.Knewscale + _xlpm.nbparties),
  IF(W431="",
    "",
    _xlpm.coef * (W431-W432))
)</f>
        <v/>
      </c>
      <c r="X433" t="str" cm="1">
        <f t="array" ref="X433">_xlfn.LET(
  _xlpm.K, Constantes!$B$3,
  _xlpm.Knewgain, Constantes!$B$4,
  _xlpm.Knewscale, Constantes!$B$5,
  _xlpm.ptstables, INDEX(X:X, _xlfn.SEQUENCE(COUNTA($C$2:$C433), 1, 3, 4)),
  _xlpm.nbparties, COUNTA(_xlfn._xlws.FILTER(_xlpm.ptstables, _xlpm.ptstables &lt;&gt; "")),
  _xlpm.coef, _xlpm.K + _xlpm.Knewgain / (_xlpm.Knewscale + _xlpm.nbparties),
  IF(X431="",
    "",
    _xlpm.coef * (X431-X432))
)</f>
        <v/>
      </c>
      <c r="Y433" t="str" cm="1">
        <f t="array" ref="Y433">_xlfn.LET(
  _xlpm.K, Constantes!$B$3,
  _xlpm.Knewgain, Constantes!$B$4,
  _xlpm.Knewscale, Constantes!$B$5,
  _xlpm.ptstables, INDEX(Y:Y, _xlfn.SEQUENCE(COUNTA($C$2:$C433), 1, 3, 4)),
  _xlpm.nbparties, COUNTA(_xlfn._xlws.FILTER(_xlpm.ptstables, _xlpm.ptstables &lt;&gt; "")),
  _xlpm.coef, _xlpm.K + _xlpm.Knewgain / (_xlpm.Knewscale + _xlpm.nbparties),
  IF(Y431="",
    "",
    _xlpm.coef * (Y431-Y432))
)</f>
        <v/>
      </c>
      <c r="Z433" t="str" cm="1">
        <f t="array" ref="Z433">_xlfn.LET(
  _xlpm.K, Constantes!$B$3,
  _xlpm.Knewgain, Constantes!$B$4,
  _xlpm.Knewscale, Constantes!$B$5,
  _xlpm.ptstables, INDEX(Z:Z, _xlfn.SEQUENCE(COUNTA($C$2:$C433), 1, 3, 4)),
  _xlpm.nbparties, COUNTA(_xlfn._xlws.FILTER(_xlpm.ptstables, _xlpm.ptstables &lt;&gt; "")),
  _xlpm.coef, _xlpm.K + _xlpm.Knewgain / (_xlpm.Knewscale + _xlpm.nbparties),
  IF(Z431="",
    "",
    _xlpm.coef * (Z431-Z432))
)</f>
        <v/>
      </c>
      <c r="AA433" t="str" cm="1">
        <f t="array" ref="AA433">_xlfn.LET(
  _xlpm.K, Constantes!$B$3,
  _xlpm.Knewgain, Constantes!$B$4,
  _xlpm.Knewscale, Constantes!$B$5,
  _xlpm.ptstables, INDEX(AA:AA, _xlfn.SEQUENCE(COUNTA($C$2:$C433), 1, 3, 4)),
  _xlpm.nbparties, COUNTA(_xlfn._xlws.FILTER(_xlpm.ptstables, _xlpm.ptstables &lt;&gt; "")),
  _xlpm.coef, _xlpm.K + _xlpm.Knewgain / (_xlpm.Knewscale + _xlpm.nbparties),
  IF(AA431="",
    "",
    _xlpm.coef * (AA431-AA432))
)</f>
        <v/>
      </c>
      <c r="AB433" t="str" cm="1">
        <f t="array" ref="AB433">_xlfn.LET(
  _xlpm.K, Constantes!$B$3,
  _xlpm.Knewgain, Constantes!$B$4,
  _xlpm.Knewscale, Constantes!$B$5,
  _xlpm.ptstables, INDEX(AB:AB, _xlfn.SEQUENCE(COUNTA($C$2:$C433), 1, 3, 4)),
  _xlpm.nbparties, COUNTA(_xlfn._xlws.FILTER(_xlpm.ptstables, _xlpm.ptstables &lt;&gt; "")),
  _xlpm.coef, _xlpm.K + _xlpm.Knewgain / (_xlpm.Knewscale + _xlpm.nbparties),
  IF(AB431="",
    "",
    _xlpm.coef * (AB431-AB432))
)</f>
        <v/>
      </c>
      <c r="AC433" t="str" cm="1">
        <f t="array" ref="AC433">_xlfn.LET(
  _xlpm.K, Constantes!$B$3,
  _xlpm.Knewgain, Constantes!$B$4,
  _xlpm.Knewscale, Constantes!$B$5,
  _xlpm.ptstables, INDEX(AC:AC, _xlfn.SEQUENCE(COUNTA($C$2:$C433), 1, 3, 4)),
  _xlpm.nbparties, COUNTA(_xlfn._xlws.FILTER(_xlpm.ptstables, _xlpm.ptstables &lt;&gt; "")),
  _xlpm.coef, _xlpm.K + _xlpm.Knewgain / (_xlpm.Knewscale + _xlpm.nbparties),
  IF(AC431="",
    "",
    _xlpm.coef * (AC431-AC432))
)</f>
        <v/>
      </c>
      <c r="AD433" cm="1">
        <f t="array" ref="AD433">_xlfn.LET(
  _xlpm.K, Constantes!$B$3,
  _xlpm.Knewgain, Constantes!$B$4,
  _xlpm.Knewscale, Constantes!$B$5,
  _xlpm.ptstables, INDEX(AD:AD, _xlfn.SEQUENCE(COUNTA($C$2:$C433), 1, 3, 4)),
  _xlpm.nbparties, COUNTA(_xlfn._xlws.FILTER(_xlpm.ptstables, _xlpm.ptstables &lt;&gt; "")),
  _xlpm.coef, _xlpm.K + _xlpm.Knewgain / (_xlpm.Knewscale + _xlpm.nbparties),
  IF(AD431="",
    "",
    _xlpm.coef * (AD431-AD432))
)</f>
        <v>-22.23882337409664</v>
      </c>
      <c r="AE433" t="str" cm="1">
        <f t="array" ref="AE433">_xlfn.LET(
  _xlpm.K, Constantes!$B$3,
  _xlpm.Knewgain, Constantes!$B$4,
  _xlpm.Knewscale, Constantes!$B$5,
  _xlpm.ptstables, INDEX(AE:AE, _xlfn.SEQUENCE(COUNTA($C$2:$C433), 1, 3, 4)),
  _xlpm.nbparties, COUNTA(_xlfn._xlws.FILTER(_xlpm.ptstables, _xlpm.ptstables &lt;&gt; "")),
  _xlpm.coef, _xlpm.K + _xlpm.Knewgain / (_xlpm.Knewscale + _xlpm.nbparties),
  IF(AE431="",
    "",
    _xlpm.coef * (AE431-AE432))
)</f>
        <v/>
      </c>
      <c r="AF433" t="str" cm="1">
        <f t="array" ref="AF433">_xlfn.LET(
  _xlpm.K, Constantes!$B$3,
  _xlpm.Knewgain, Constantes!$B$4,
  _xlpm.Knewscale, Constantes!$B$5,
  _xlpm.ptstables, INDEX(AF:AF, _xlfn.SEQUENCE(COUNTA($C$2:$C433), 1, 3, 4)),
  _xlpm.nbparties, COUNTA(_xlfn._xlws.FILTER(_xlpm.ptstables, _xlpm.ptstables &lt;&gt; "")),
  _xlpm.coef, _xlpm.K + _xlpm.Knewgain / (_xlpm.Knewscale + _xlpm.nbparties),
  IF(AF431="",
    "",
    _xlpm.coef * (AF431-AF432))
)</f>
        <v/>
      </c>
      <c r="AG433" t="str" cm="1">
        <f t="array" ref="AG433">_xlfn.LET(
  _xlpm.K, Constantes!$B$3,
  _xlpm.Knewgain, Constantes!$B$4,
  _xlpm.Knewscale, Constantes!$B$5,
  _xlpm.ptstables, INDEX(AG:AG, _xlfn.SEQUENCE(COUNTA($C$2:$C433), 1, 3, 4)),
  _xlpm.nbparties, COUNTA(_xlfn._xlws.FILTER(_xlpm.ptstables, _xlpm.ptstables &lt;&gt; "")),
  _xlpm.coef, _xlpm.K + _xlpm.Knewgain / (_xlpm.Knewscale + _xlpm.nbparties),
  IF(AG431="",
    "",
    _xlpm.coef * (AG431-AG432))
)</f>
        <v/>
      </c>
      <c r="AH433" t="str" cm="1">
        <f t="array" ref="AH433">_xlfn.LET(
  _xlpm.K, Constantes!$B$3,
  _xlpm.Knewgain, Constantes!$B$4,
  _xlpm.Knewscale, Constantes!$B$5,
  _xlpm.ptstables, INDEX(AH:AH, _xlfn.SEQUENCE(COUNTA($C$2:$C433), 1, 3, 4)),
  _xlpm.nbparties, COUNTA(_xlfn._xlws.FILTER(_xlpm.ptstables, _xlpm.ptstables &lt;&gt; "")),
  _xlpm.coef, _xlpm.K + _xlpm.Knewgain / (_xlpm.Knewscale + _xlpm.nbparties),
  IF(AH431="",
    "",
    _xlpm.coef * (AH431-AH432))
)</f>
        <v/>
      </c>
      <c r="AI433" cm="1">
        <f t="array" ref="AI433">_xlfn.LET(
  _xlpm.K, Constantes!$B$3,
  _xlpm.Knewgain, Constantes!$B$4,
  _xlpm.Knewscale, Constantes!$B$5,
  _xlpm.ptstables, INDEX(AI:AI, _xlfn.SEQUENCE(COUNTA($C$2:$C433), 1, 3, 4)),
  _xlpm.nbparties, COUNTA(_xlfn._xlws.FILTER(_xlpm.ptstables, _xlpm.ptstables &lt;&gt; "")),
  _xlpm.coef, _xlpm.K + _xlpm.Knewgain / (_xlpm.Knewscale + _xlpm.nbparties),
  IF(AI431="",
    "",
    _xlpm.coef * (AI431-AI432))
)</f>
        <v>46.122295843101142</v>
      </c>
      <c r="AJ433" t="str" cm="1">
        <f t="array" ref="AJ433">_xlfn.LET(
  _xlpm.K, Constantes!$B$3,
  _xlpm.Knewgain, Constantes!$B$4,
  _xlpm.Knewscale, Constantes!$B$5,
  _xlpm.ptstables, INDEX(AJ:AJ, _xlfn.SEQUENCE(COUNTA($C$2:$C433), 1, 3, 4)),
  _xlpm.nbparties, COUNTA(_xlfn._xlws.FILTER(_xlpm.ptstables, _xlpm.ptstables &lt;&gt; "")),
  _xlpm.coef, _xlpm.K + _xlpm.Knewgain / (_xlpm.Knewscale + _xlpm.nbparties),
  IF(AJ431="",
    "",
    _xlpm.coef * (AJ431-AJ432))
)</f>
        <v/>
      </c>
      <c r="AK433" t="str" cm="1">
        <f t="array" ref="AK433">_xlfn.LET(
  _xlpm.K, Constantes!$B$3,
  _xlpm.Knewgain, Constantes!$B$4,
  _xlpm.Knewscale, Constantes!$B$5,
  _xlpm.ptstables, INDEX(AK:AK, _xlfn.SEQUENCE(COUNTA($C$2:$C433), 1, 3, 4)),
  _xlpm.nbparties, COUNTA(_xlfn._xlws.FILTER(_xlpm.ptstables, _xlpm.ptstables &lt;&gt; "")),
  _xlpm.coef, _xlpm.K + _xlpm.Knewgain / (_xlpm.Knewscale + _xlpm.nbparties),
  IF(AK431="",
    "",
    _xlpm.coef * (AK431-AK432))
)</f>
        <v/>
      </c>
      <c r="AL433" t="str" cm="1">
        <f t="array" ref="AL433">_xlfn.LET(
  _xlpm.K, Constantes!$B$3,
  _xlpm.Knewgain, Constantes!$B$4,
  _xlpm.Knewscale, Constantes!$B$5,
  _xlpm.ptstables, INDEX(AL:AL, _xlfn.SEQUENCE(COUNTA($C$2:$C433), 1, 3, 4)),
  _xlpm.nbparties, COUNTA(_xlfn._xlws.FILTER(_xlpm.ptstables, _xlpm.ptstables &lt;&gt; "")),
  _xlpm.coef, _xlpm.K + _xlpm.Knewgain / (_xlpm.Knewscale + _xlpm.nbparties),
  IF(AL431="",
    "",
    _xlpm.coef * (AL431-AL432))
)</f>
        <v/>
      </c>
      <c r="AM433" t="str" cm="1">
        <f t="array" ref="AM433">_xlfn.LET(
  _xlpm.K, Constantes!$B$3,
  _xlpm.Knewgain, Constantes!$B$4,
  _xlpm.Knewscale, Constantes!$B$5,
  _xlpm.ptstables, INDEX(AM:AM, _xlfn.SEQUENCE(COUNTA($C$2:$C433), 1, 3, 4)),
  _xlpm.nbparties, COUNTA(_xlfn._xlws.FILTER(_xlpm.ptstables, _xlpm.ptstables &lt;&gt; "")),
  _xlpm.coef, _xlpm.K + _xlpm.Knewgain / (_xlpm.Knewscale + _xlpm.nbparties),
  IF(AM431="",
    "",
    _xlpm.coef * (AM431-AM432))
)</f>
        <v/>
      </c>
    </row>
    <row r="434" spans="1:39" x14ac:dyDescent="0.25">
      <c r="A434" t="s">
        <v>14</v>
      </c>
      <c r="B434" t="str" cm="1">
        <f t="array" ref="B43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109</v>
      </c>
      <c r="C434" s="2" cm="1">
        <f t="array" ref="C434">IF(B434="","",
  INDEX(Donnees!F:F, MATCH(B434, Donnees!F:F, 0)+1))</f>
        <v>45962.815601851849</v>
      </c>
      <c r="D434">
        <f t="shared" ref="D434:AM434" si="116">D430+IF(D433="",0,D433)</f>
        <v>968.82938141395095</v>
      </c>
      <c r="E434">
        <f t="shared" si="116"/>
        <v>1196.4195973781996</v>
      </c>
      <c r="F434">
        <f t="shared" si="116"/>
        <v>911.8835833951041</v>
      </c>
      <c r="G434">
        <f t="shared" si="116"/>
        <v>1061.9525561512175</v>
      </c>
      <c r="H434">
        <f t="shared" si="116"/>
        <v>1121.8561093296914</v>
      </c>
      <c r="I434">
        <f t="shared" si="116"/>
        <v>907.83370609419069</v>
      </c>
      <c r="J434">
        <f t="shared" si="116"/>
        <v>1017.3480659469107</v>
      </c>
      <c r="K434">
        <f t="shared" si="116"/>
        <v>1076.8546837336262</v>
      </c>
      <c r="L434">
        <f t="shared" si="116"/>
        <v>762.99078552663389</v>
      </c>
      <c r="M434">
        <f t="shared" si="116"/>
        <v>927.4581540493366</v>
      </c>
      <c r="N434">
        <f t="shared" si="116"/>
        <v>899.98370646249032</v>
      </c>
      <c r="O434">
        <f t="shared" si="116"/>
        <v>997.04050320786712</v>
      </c>
      <c r="P434">
        <f t="shared" si="116"/>
        <v>987.86278180042575</v>
      </c>
      <c r="Q434">
        <f t="shared" si="116"/>
        <v>1051.0755127018197</v>
      </c>
      <c r="R434">
        <f t="shared" si="116"/>
        <v>1042.1254319845061</v>
      </c>
      <c r="S434">
        <f t="shared" si="116"/>
        <v>993.06393281110797</v>
      </c>
      <c r="T434">
        <f t="shared" si="116"/>
        <v>1125.604709757928</v>
      </c>
      <c r="U434">
        <f t="shared" si="116"/>
        <v>1211.4068769134583</v>
      </c>
      <c r="V434">
        <f t="shared" si="116"/>
        <v>969.67171739286073</v>
      </c>
      <c r="W434">
        <f t="shared" si="116"/>
        <v>873.42626723356045</v>
      </c>
      <c r="X434">
        <f t="shared" si="116"/>
        <v>832.40508999649853</v>
      </c>
      <c r="Y434">
        <f t="shared" si="116"/>
        <v>944.44867950361879</v>
      </c>
      <c r="Z434">
        <f t="shared" si="116"/>
        <v>1008.6876849635962</v>
      </c>
      <c r="AA434">
        <f t="shared" si="116"/>
        <v>976.40065260504912</v>
      </c>
      <c r="AB434">
        <f t="shared" si="116"/>
        <v>988.35669729544747</v>
      </c>
      <c r="AC434">
        <f t="shared" si="116"/>
        <v>953.51130390294213</v>
      </c>
      <c r="AD434">
        <f t="shared" si="116"/>
        <v>1066.1342645426957</v>
      </c>
      <c r="AE434">
        <f t="shared" si="116"/>
        <v>963.23981965000235</v>
      </c>
      <c r="AF434">
        <f t="shared" si="116"/>
        <v>1094.8196847516158</v>
      </c>
      <c r="AG434">
        <f t="shared" si="116"/>
        <v>958.23078604304851</v>
      </c>
      <c r="AH434">
        <f t="shared" si="116"/>
        <v>920.4412636682855</v>
      </c>
      <c r="AI434">
        <f t="shared" si="116"/>
        <v>967.82270529266418</v>
      </c>
      <c r="AJ434">
        <f t="shared" si="116"/>
        <v>906.86354201913434</v>
      </c>
      <c r="AK434">
        <f t="shared" si="116"/>
        <v>1074.0069367206956</v>
      </c>
      <c r="AL434">
        <f t="shared" si="116"/>
        <v>1025.7817971572972</v>
      </c>
      <c r="AM434">
        <f t="shared" si="116"/>
        <v>930.08392160706046</v>
      </c>
    </row>
    <row r="435" spans="1:39" x14ac:dyDescent="0.25">
      <c r="A435" t="s">
        <v>21</v>
      </c>
      <c r="D435" t="str" cm="1">
        <f t="array" ref="D435">IFERROR(
  _xlfn.LET(
    _xlpm.ligpartie, MATCH($B434, Donnees!$F:$F, 0),
    _xlpm.joueurs, INDEX(Donnees!$A:$Z, _xlpm.ligpartie+1, _xlfn.SEQUENCE(1, 4, 2)),
    INDEX(
      Donnees!$A:$Z,
      _xlpm.ligpartie + 3,
      MATCH(D$1, _xlpm.joueurs, 0) + 1
    )
  ), ""
)</f>
        <v/>
      </c>
      <c r="E435" t="str" cm="1">
        <f t="array" ref="E435">IFERROR(
  _xlfn.LET(
    _xlpm.ligpartie, MATCH($B434, Donnees!$F:$F, 0),
    _xlpm.joueurs, INDEX(Donnees!$A:$Z, _xlpm.ligpartie+1, _xlfn.SEQUENCE(1, 4, 2)),
    INDEX(
      Donnees!$A:$Z,
      _xlpm.ligpartie + 3,
      MATCH(E$1, _xlpm.joueurs, 0) + 1
    )
  ), ""
)</f>
        <v/>
      </c>
      <c r="F435" t="str" cm="1">
        <f t="array" ref="F435">IFERROR(
  _xlfn.LET(
    _xlpm.ligpartie, MATCH($B434, Donnees!$F:$F, 0),
    _xlpm.joueurs, INDEX(Donnees!$A:$Z, _xlpm.ligpartie+1, _xlfn.SEQUENCE(1, 4, 2)),
    INDEX(
      Donnees!$A:$Z,
      _xlpm.ligpartie + 3,
      MATCH(F$1, _xlpm.joueurs, 0) + 1
    )
  ), ""
)</f>
        <v/>
      </c>
      <c r="G435" t="str" cm="1">
        <f t="array" ref="G435">IFERROR(
  _xlfn.LET(
    _xlpm.ligpartie, MATCH($B434, Donnees!$F:$F, 0),
    _xlpm.joueurs, INDEX(Donnees!$A:$Z, _xlpm.ligpartie+1, _xlfn.SEQUENCE(1, 4, 2)),
    INDEX(
      Donnees!$A:$Z,
      _xlpm.ligpartie + 3,
      MATCH(G$1, _xlpm.joueurs, 0) + 1
    )
  ), ""
)</f>
        <v/>
      </c>
      <c r="H435" t="str" cm="1">
        <f t="array" ref="H435">IFERROR(
  _xlfn.LET(
    _xlpm.ligpartie, MATCH($B434, Donnees!$F:$F, 0),
    _xlpm.joueurs, INDEX(Donnees!$A:$Z, _xlpm.ligpartie+1, _xlfn.SEQUENCE(1, 4, 2)),
    INDEX(
      Donnees!$A:$Z,
      _xlpm.ligpartie + 3,
      MATCH(H$1, _xlpm.joueurs, 0) + 1
    )
  ), ""
)</f>
        <v/>
      </c>
      <c r="I435" t="str" cm="1">
        <f t="array" ref="I435">IFERROR(
  _xlfn.LET(
    _xlpm.ligpartie, MATCH($B434, Donnees!$F:$F, 0),
    _xlpm.joueurs, INDEX(Donnees!$A:$Z, _xlpm.ligpartie+1, _xlfn.SEQUENCE(1, 4, 2)),
    INDEX(
      Donnees!$A:$Z,
      _xlpm.ligpartie + 3,
      MATCH(I$1, _xlpm.joueurs, 0) + 1
    )
  ), ""
)</f>
        <v/>
      </c>
      <c r="J435" cm="1">
        <f t="array" ref="J435">IFERROR(
  _xlfn.LET(
    _xlpm.ligpartie, MATCH($B434, Donnees!$F:$F, 0),
    _xlpm.joueurs, INDEX(Donnees!$A:$Z, _xlpm.ligpartie+1, _xlfn.SEQUENCE(1, 4, 2)),
    INDEX(
      Donnees!$A:$Z,
      _xlpm.ligpartie + 3,
      MATCH(J$1, _xlpm.joueurs, 0) + 1
    )
  ), ""
)</f>
        <v>1</v>
      </c>
      <c r="K435" t="str" cm="1">
        <f t="array" ref="K435">IFERROR(
  _xlfn.LET(
    _xlpm.ligpartie, MATCH($B434, Donnees!$F:$F, 0),
    _xlpm.joueurs, INDEX(Donnees!$A:$Z, _xlpm.ligpartie+1, _xlfn.SEQUENCE(1, 4, 2)),
    INDEX(
      Donnees!$A:$Z,
      _xlpm.ligpartie + 3,
      MATCH(K$1, _xlpm.joueurs, 0) + 1
    )
  ), ""
)</f>
        <v/>
      </c>
      <c r="L435" t="str" cm="1">
        <f t="array" ref="L435">IFERROR(
  _xlfn.LET(
    _xlpm.ligpartie, MATCH($B434, Donnees!$F:$F, 0),
    _xlpm.joueurs, INDEX(Donnees!$A:$Z, _xlpm.ligpartie+1, _xlfn.SEQUENCE(1, 4, 2)),
    INDEX(
      Donnees!$A:$Z,
      _xlpm.ligpartie + 3,
      MATCH(L$1, _xlpm.joueurs, 0) + 1
    )
  ), ""
)</f>
        <v/>
      </c>
      <c r="M435" t="str" cm="1">
        <f t="array" ref="M435">IFERROR(
  _xlfn.LET(
    _xlpm.ligpartie, MATCH($B434, Donnees!$F:$F, 0),
    _xlpm.joueurs, INDEX(Donnees!$A:$Z, _xlpm.ligpartie+1, _xlfn.SEQUENCE(1, 4, 2)),
    INDEX(
      Donnees!$A:$Z,
      _xlpm.ligpartie + 3,
      MATCH(M$1, _xlpm.joueurs, 0) + 1
    )
  ), ""
)</f>
        <v/>
      </c>
      <c r="N435" t="str" cm="1">
        <f t="array" ref="N435">IFERROR(
  _xlfn.LET(
    _xlpm.ligpartie, MATCH($B434, Donnees!$F:$F, 0),
    _xlpm.joueurs, INDEX(Donnees!$A:$Z, _xlpm.ligpartie+1, _xlfn.SEQUENCE(1, 4, 2)),
    INDEX(
      Donnees!$A:$Z,
      _xlpm.ligpartie + 3,
      MATCH(N$1, _xlpm.joueurs, 0) + 1
    )
  ), ""
)</f>
        <v/>
      </c>
      <c r="O435" t="str" cm="1">
        <f t="array" ref="O435">IFERROR(
  _xlfn.LET(
    _xlpm.ligpartie, MATCH($B434, Donnees!$F:$F, 0),
    _xlpm.joueurs, INDEX(Donnees!$A:$Z, _xlpm.ligpartie+1, _xlfn.SEQUENCE(1, 4, 2)),
    INDEX(
      Donnees!$A:$Z,
      _xlpm.ligpartie + 3,
      MATCH(O$1, _xlpm.joueurs, 0) + 1
    )
  ), ""
)</f>
        <v/>
      </c>
      <c r="P435" t="str" cm="1">
        <f t="array" ref="P435">IFERROR(
  _xlfn.LET(
    _xlpm.ligpartie, MATCH($B434, Donnees!$F:$F, 0),
    _xlpm.joueurs, INDEX(Donnees!$A:$Z, _xlpm.ligpartie+1, _xlfn.SEQUENCE(1, 4, 2)),
    INDEX(
      Donnees!$A:$Z,
      _xlpm.ligpartie + 3,
      MATCH(P$1, _xlpm.joueurs, 0) + 1
    )
  ), ""
)</f>
        <v/>
      </c>
      <c r="Q435" t="str" cm="1">
        <f t="array" ref="Q435">IFERROR(
  _xlfn.LET(
    _xlpm.ligpartie, MATCH($B434, Donnees!$F:$F, 0),
    _xlpm.joueurs, INDEX(Donnees!$A:$Z, _xlpm.ligpartie+1, _xlfn.SEQUENCE(1, 4, 2)),
    INDEX(
      Donnees!$A:$Z,
      _xlpm.ligpartie + 3,
      MATCH(Q$1, _xlpm.joueurs, 0) + 1
    )
  ), ""
)</f>
        <v/>
      </c>
      <c r="R435" t="str" cm="1">
        <f t="array" ref="R435">IFERROR(
  _xlfn.LET(
    _xlpm.ligpartie, MATCH($B434, Donnees!$F:$F, 0),
    _xlpm.joueurs, INDEX(Donnees!$A:$Z, _xlpm.ligpartie+1, _xlfn.SEQUENCE(1, 4, 2)),
    INDEX(
      Donnees!$A:$Z,
      _xlpm.ligpartie + 3,
      MATCH(R$1, _xlpm.joueurs, 0) + 1
    )
  ), ""
)</f>
        <v/>
      </c>
      <c r="S435" cm="1">
        <f t="array" ref="S435">IFERROR(
  _xlfn.LET(
    _xlpm.ligpartie, MATCH($B434, Donnees!$F:$F, 0),
    _xlpm.joueurs, INDEX(Donnees!$A:$Z, _xlpm.ligpartie+1, _xlfn.SEQUENCE(1, 4, 2)),
    INDEX(
      Donnees!$A:$Z,
      _xlpm.ligpartie + 3,
      MATCH(S$1, _xlpm.joueurs, 0) + 1
    )
  ), ""
)</f>
        <v>2</v>
      </c>
      <c r="T435" t="str" cm="1">
        <f t="array" ref="T435">IFERROR(
  _xlfn.LET(
    _xlpm.ligpartie, MATCH($B434, Donnees!$F:$F, 0),
    _xlpm.joueurs, INDEX(Donnees!$A:$Z, _xlpm.ligpartie+1, _xlfn.SEQUENCE(1, 4, 2)),
    INDEX(
      Donnees!$A:$Z,
      _xlpm.ligpartie + 3,
      MATCH(T$1, _xlpm.joueurs, 0) + 1
    )
  ), ""
)</f>
        <v/>
      </c>
      <c r="U435" t="str" cm="1">
        <f t="array" ref="U435">IFERROR(
  _xlfn.LET(
    _xlpm.ligpartie, MATCH($B434, Donnees!$F:$F, 0),
    _xlpm.joueurs, INDEX(Donnees!$A:$Z, _xlpm.ligpartie+1, _xlfn.SEQUENCE(1, 4, 2)),
    INDEX(
      Donnees!$A:$Z,
      _xlpm.ligpartie + 3,
      MATCH(U$1, _xlpm.joueurs, 0) + 1
    )
  ), ""
)</f>
        <v/>
      </c>
      <c r="V435" t="str" cm="1">
        <f t="array" ref="V435">IFERROR(
  _xlfn.LET(
    _xlpm.ligpartie, MATCH($B434, Donnees!$F:$F, 0),
    _xlpm.joueurs, INDEX(Donnees!$A:$Z, _xlpm.ligpartie+1, _xlfn.SEQUENCE(1, 4, 2)),
    INDEX(
      Donnees!$A:$Z,
      _xlpm.ligpartie + 3,
      MATCH(V$1, _xlpm.joueurs, 0) + 1
    )
  ), ""
)</f>
        <v/>
      </c>
      <c r="W435" t="str" cm="1">
        <f t="array" ref="W435">IFERROR(
  _xlfn.LET(
    _xlpm.ligpartie, MATCH($B434, Donnees!$F:$F, 0),
    _xlpm.joueurs, INDEX(Donnees!$A:$Z, _xlpm.ligpartie+1, _xlfn.SEQUENCE(1, 4, 2)),
    INDEX(
      Donnees!$A:$Z,
      _xlpm.ligpartie + 3,
      MATCH(W$1, _xlpm.joueurs, 0) + 1
    )
  ), ""
)</f>
        <v/>
      </c>
      <c r="X435" t="str" cm="1">
        <f t="array" ref="X435">IFERROR(
  _xlfn.LET(
    _xlpm.ligpartie, MATCH($B434, Donnees!$F:$F, 0),
    _xlpm.joueurs, INDEX(Donnees!$A:$Z, _xlpm.ligpartie+1, _xlfn.SEQUENCE(1, 4, 2)),
    INDEX(
      Donnees!$A:$Z,
      _xlpm.ligpartie + 3,
      MATCH(X$1, _xlpm.joueurs, 0) + 1
    )
  ), ""
)</f>
        <v/>
      </c>
      <c r="Y435" t="str" cm="1">
        <f t="array" ref="Y435">IFERROR(
  _xlfn.LET(
    _xlpm.ligpartie, MATCH($B434, Donnees!$F:$F, 0),
    _xlpm.joueurs, INDEX(Donnees!$A:$Z, _xlpm.ligpartie+1, _xlfn.SEQUENCE(1, 4, 2)),
    INDEX(
      Donnees!$A:$Z,
      _xlpm.ligpartie + 3,
      MATCH(Y$1, _xlpm.joueurs, 0) + 1
    )
  ), ""
)</f>
        <v/>
      </c>
      <c r="Z435" t="str" cm="1">
        <f t="array" ref="Z435">IFERROR(
  _xlfn.LET(
    _xlpm.ligpartie, MATCH($B434, Donnees!$F:$F, 0),
    _xlpm.joueurs, INDEX(Donnees!$A:$Z, _xlpm.ligpartie+1, _xlfn.SEQUENCE(1, 4, 2)),
    INDEX(
      Donnees!$A:$Z,
      _xlpm.ligpartie + 3,
      MATCH(Z$1, _xlpm.joueurs, 0) + 1
    )
  ), ""
)</f>
        <v/>
      </c>
      <c r="AA435" t="str" cm="1">
        <f t="array" ref="AA435">IFERROR(
  _xlfn.LET(
    _xlpm.ligpartie, MATCH($B434, Donnees!$F:$F, 0),
    _xlpm.joueurs, INDEX(Donnees!$A:$Z, _xlpm.ligpartie+1, _xlfn.SEQUENCE(1, 4, 2)),
    INDEX(
      Donnees!$A:$Z,
      _xlpm.ligpartie + 3,
      MATCH(AA$1, _xlpm.joueurs, 0) + 1
    )
  ), ""
)</f>
        <v/>
      </c>
      <c r="AB435" t="str" cm="1">
        <f t="array" ref="AB435">IFERROR(
  _xlfn.LET(
    _xlpm.ligpartie, MATCH($B434, Donnees!$F:$F, 0),
    _xlpm.joueurs, INDEX(Donnees!$A:$Z, _xlpm.ligpartie+1, _xlfn.SEQUENCE(1, 4, 2)),
    INDEX(
      Donnees!$A:$Z,
      _xlpm.ligpartie + 3,
      MATCH(AB$1, _xlpm.joueurs, 0) + 1
    )
  ), ""
)</f>
        <v/>
      </c>
      <c r="AC435" cm="1">
        <f t="array" ref="AC435">IFERROR(
  _xlfn.LET(
    _xlpm.ligpartie, MATCH($B434, Donnees!$F:$F, 0),
    _xlpm.joueurs, INDEX(Donnees!$A:$Z, _xlpm.ligpartie+1, _xlfn.SEQUENCE(1, 4, 2)),
    INDEX(
      Donnees!$A:$Z,
      _xlpm.ligpartie + 3,
      MATCH(AC$1, _xlpm.joueurs, 0) + 1
    )
  ), ""
)</f>
        <v>0</v>
      </c>
      <c r="AD435" t="str" cm="1">
        <f t="array" ref="AD435">IFERROR(
  _xlfn.LET(
    _xlpm.ligpartie, MATCH($B434, Donnees!$F:$F, 0),
    _xlpm.joueurs, INDEX(Donnees!$A:$Z, _xlpm.ligpartie+1, _xlfn.SEQUENCE(1, 4, 2)),
    INDEX(
      Donnees!$A:$Z,
      _xlpm.ligpartie + 3,
      MATCH(AD$1, _xlpm.joueurs, 0) + 1
    )
  ), ""
)</f>
        <v/>
      </c>
      <c r="AE435" t="str" cm="1">
        <f t="array" ref="AE435">IFERROR(
  _xlfn.LET(
    _xlpm.ligpartie, MATCH($B434, Donnees!$F:$F, 0),
    _xlpm.joueurs, INDEX(Donnees!$A:$Z, _xlpm.ligpartie+1, _xlfn.SEQUENCE(1, 4, 2)),
    INDEX(
      Donnees!$A:$Z,
      _xlpm.ligpartie + 3,
      MATCH(AE$1, _xlpm.joueurs, 0) + 1
    )
  ), ""
)</f>
        <v/>
      </c>
      <c r="AF435" t="str" cm="1">
        <f t="array" ref="AF435">IFERROR(
  _xlfn.LET(
    _xlpm.ligpartie, MATCH($B434, Donnees!$F:$F, 0),
    _xlpm.joueurs, INDEX(Donnees!$A:$Z, _xlpm.ligpartie+1, _xlfn.SEQUENCE(1, 4, 2)),
    INDEX(
      Donnees!$A:$Z,
      _xlpm.ligpartie + 3,
      MATCH(AF$1, _xlpm.joueurs, 0) + 1
    )
  ), ""
)</f>
        <v/>
      </c>
      <c r="AG435" t="str" cm="1">
        <f t="array" ref="AG435">IFERROR(
  _xlfn.LET(
    _xlpm.ligpartie, MATCH($B434, Donnees!$F:$F, 0),
    _xlpm.joueurs, INDEX(Donnees!$A:$Z, _xlpm.ligpartie+1, _xlfn.SEQUENCE(1, 4, 2)),
    INDEX(
      Donnees!$A:$Z,
      _xlpm.ligpartie + 3,
      MATCH(AG$1, _xlpm.joueurs, 0) + 1
    )
  ), ""
)</f>
        <v/>
      </c>
      <c r="AH435" t="str" cm="1">
        <f t="array" ref="AH435">IFERROR(
  _xlfn.LET(
    _xlpm.ligpartie, MATCH($B434, Donnees!$F:$F, 0),
    _xlpm.joueurs, INDEX(Donnees!$A:$Z, _xlpm.ligpartie+1, _xlfn.SEQUENCE(1, 4, 2)),
    INDEX(
      Donnees!$A:$Z,
      _xlpm.ligpartie + 3,
      MATCH(AH$1, _xlpm.joueurs, 0) + 1
    )
  ), ""
)</f>
        <v/>
      </c>
      <c r="AI435" cm="1">
        <f t="array" ref="AI435">IFERROR(
  _xlfn.LET(
    _xlpm.ligpartie, MATCH($B434, Donnees!$F:$F, 0),
    _xlpm.joueurs, INDEX(Donnees!$A:$Z, _xlpm.ligpartie+1, _xlfn.SEQUENCE(1, 4, 2)),
    INDEX(
      Donnees!$A:$Z,
      _xlpm.ligpartie + 3,
      MATCH(AI$1, _xlpm.joueurs, 0) + 1
    )
  ), ""
)</f>
        <v>3</v>
      </c>
      <c r="AJ435" t="str" cm="1">
        <f t="array" ref="AJ435">IFERROR(
  _xlfn.LET(
    _xlpm.ligpartie, MATCH($B434, Donnees!$F:$F, 0),
    _xlpm.joueurs, INDEX(Donnees!$A:$Z, _xlpm.ligpartie+1, _xlfn.SEQUENCE(1, 4, 2)),
    INDEX(
      Donnees!$A:$Z,
      _xlpm.ligpartie + 3,
      MATCH(AJ$1, _xlpm.joueurs, 0) + 1
    )
  ), ""
)</f>
        <v/>
      </c>
      <c r="AK435" t="str" cm="1">
        <f t="array" ref="AK435">IFERROR(
  _xlfn.LET(
    _xlpm.ligpartie, MATCH($B434, Donnees!$F:$F, 0),
    _xlpm.joueurs, INDEX(Donnees!$A:$Z, _xlpm.ligpartie+1, _xlfn.SEQUENCE(1, 4, 2)),
    INDEX(
      Donnees!$A:$Z,
      _xlpm.ligpartie + 3,
      MATCH(AK$1, _xlpm.joueurs, 0) + 1
    )
  ), ""
)</f>
        <v/>
      </c>
      <c r="AL435" t="str" cm="1">
        <f t="array" ref="AL435">IFERROR(
  _xlfn.LET(
    _xlpm.ligpartie, MATCH($B434, Donnees!$F:$F, 0),
    _xlpm.joueurs, INDEX(Donnees!$A:$Z, _xlpm.ligpartie+1, _xlfn.SEQUENCE(1, 4, 2)),
    INDEX(
      Donnees!$A:$Z,
      _xlpm.ligpartie + 3,
      MATCH(AL$1, _xlpm.joueurs, 0) + 1
    )
  ), ""
)</f>
        <v/>
      </c>
      <c r="AM435" t="str" cm="1">
        <f t="array" ref="AM435">IFERROR(
  _xlfn.LET(
    _xlpm.ligpartie, MATCH($B434, Donnees!$F:$F, 0),
    _xlpm.joueurs, INDEX(Donnees!$A:$Z, _xlpm.ligpartie+1, _xlfn.SEQUENCE(1, 4, 2)),
    INDEX(
      Donnees!$A:$Z,
      _xlpm.ligpartie + 3,
      MATCH(AM$1, _xlpm.joueurs, 0) + 1
    )
  ), ""
)</f>
        <v/>
      </c>
    </row>
    <row r="436" spans="1:39" x14ac:dyDescent="0.25">
      <c r="A436" t="s">
        <v>20</v>
      </c>
      <c r="D436" t="str" cm="1">
        <f t="array" ref="D436">_xlfn.LET(
  _xlpm.colj, _xlfn._xlws.FILTER(IF(ISNUMBER(435:435), COLUMN(435:435)), ISNUMBER(435:435)),
  _xlpm.elos, INDEX(434:434,1,_xlpm.colj),
  _xlpm.diffscale, Constantes!$B$2,
  IF(D435="",
    "",
    SUM(1/(1+POWER(10,-(D434-_xlpm.elos)/_xlpm.diffscale)))-0.5)
)</f>
        <v/>
      </c>
      <c r="E436" t="str" cm="1">
        <f t="array" ref="E436">_xlfn.LET(
  _xlpm.colj, _xlfn._xlws.FILTER(IF(ISNUMBER(435:435), COLUMN(435:435)), ISNUMBER(435:435)),
  _xlpm.elos, INDEX(434:434,1,_xlpm.colj),
  _xlpm.diffscale, Constantes!$B$2,
  IF(E435="",
    "",
    SUM(1/(1+POWER(10,-(E434-_xlpm.elos)/_xlpm.diffscale)))-0.5)
)</f>
        <v/>
      </c>
      <c r="F436" t="str" cm="1">
        <f t="array" ref="F436">_xlfn.LET(
  _xlpm.colj, _xlfn._xlws.FILTER(IF(ISNUMBER(435:435), COLUMN(435:435)), ISNUMBER(435:435)),
  _xlpm.elos, INDEX(434:434,1,_xlpm.colj),
  _xlpm.diffscale, Constantes!$B$2,
  IF(F435="",
    "",
    SUM(1/(1+POWER(10,-(F434-_xlpm.elos)/_xlpm.diffscale)))-0.5)
)</f>
        <v/>
      </c>
      <c r="G436" t="str" cm="1">
        <f t="array" ref="G436">_xlfn.LET(
  _xlpm.colj, _xlfn._xlws.FILTER(IF(ISNUMBER(435:435), COLUMN(435:435)), ISNUMBER(435:435)),
  _xlpm.elos, INDEX(434:434,1,_xlpm.colj),
  _xlpm.diffscale, Constantes!$B$2,
  IF(G435="",
    "",
    SUM(1/(1+POWER(10,-(G434-_xlpm.elos)/_xlpm.diffscale)))-0.5)
)</f>
        <v/>
      </c>
      <c r="H436" t="str" cm="1">
        <f t="array" ref="H436">_xlfn.LET(
  _xlpm.colj, _xlfn._xlws.FILTER(IF(ISNUMBER(435:435), COLUMN(435:435)), ISNUMBER(435:435)),
  _xlpm.elos, INDEX(434:434,1,_xlpm.colj),
  _xlpm.diffscale, Constantes!$B$2,
  IF(H435="",
    "",
    SUM(1/(1+POWER(10,-(H434-_xlpm.elos)/_xlpm.diffscale)))-0.5)
)</f>
        <v/>
      </c>
      <c r="I436" t="str" cm="1">
        <f t="array" ref="I436">_xlfn.LET(
  _xlpm.colj, _xlfn._xlws.FILTER(IF(ISNUMBER(435:435), COLUMN(435:435)), ISNUMBER(435:435)),
  _xlpm.elos, INDEX(434:434,1,_xlpm.colj),
  _xlpm.diffscale, Constantes!$B$2,
  IF(I435="",
    "",
    SUM(1/(1+POWER(10,-(I434-_xlpm.elos)/_xlpm.diffscale)))-0.5)
)</f>
        <v/>
      </c>
      <c r="J436" cm="1">
        <f t="array" ref="J436">_xlfn.LET(
  _xlpm.colj, _xlfn._xlws.FILTER(IF(ISNUMBER(435:435), COLUMN(435:435)), ISNUMBER(435:435)),
  _xlpm.elos, INDEX(434:434,1,_xlpm.colj),
  _xlpm.diffscale, Constantes!$B$2,
  IF(J435="",
    "",
    SUM(1/(1+POWER(10,-(J434-_xlpm.elos)/_xlpm.diffscale)))-0.5)
)</f>
        <v>1.6965332098629924</v>
      </c>
      <c r="K436" t="str" cm="1">
        <f t="array" ref="K436">_xlfn.LET(
  _xlpm.colj, _xlfn._xlws.FILTER(IF(ISNUMBER(435:435), COLUMN(435:435)), ISNUMBER(435:435)),
  _xlpm.elos, INDEX(434:434,1,_xlpm.colj),
  _xlpm.diffscale, Constantes!$B$2,
  IF(K435="",
    "",
    SUM(1/(1+POWER(10,-(K434-_xlpm.elos)/_xlpm.diffscale)))-0.5)
)</f>
        <v/>
      </c>
      <c r="L436" t="str" cm="1">
        <f t="array" ref="L436">_xlfn.LET(
  _xlpm.colj, _xlfn._xlws.FILTER(IF(ISNUMBER(435:435), COLUMN(435:435)), ISNUMBER(435:435)),
  _xlpm.elos, INDEX(434:434,1,_xlpm.colj),
  _xlpm.diffscale, Constantes!$B$2,
  IF(L435="",
    "",
    SUM(1/(1+POWER(10,-(L434-_xlpm.elos)/_xlpm.diffscale)))-0.5)
)</f>
        <v/>
      </c>
      <c r="M436" t="str" cm="1">
        <f t="array" ref="M436">_xlfn.LET(
  _xlpm.colj, _xlfn._xlws.FILTER(IF(ISNUMBER(435:435), COLUMN(435:435)), ISNUMBER(435:435)),
  _xlpm.elos, INDEX(434:434,1,_xlpm.colj),
  _xlpm.diffscale, Constantes!$B$2,
  IF(M435="",
    "",
    SUM(1/(1+POWER(10,-(M434-_xlpm.elos)/_xlpm.diffscale)))-0.5)
)</f>
        <v/>
      </c>
      <c r="N436" t="str" cm="1">
        <f t="array" ref="N436">_xlfn.LET(
  _xlpm.colj, _xlfn._xlws.FILTER(IF(ISNUMBER(435:435), COLUMN(435:435)), ISNUMBER(435:435)),
  _xlpm.elos, INDEX(434:434,1,_xlpm.colj),
  _xlpm.diffscale, Constantes!$B$2,
  IF(N435="",
    "",
    SUM(1/(1+POWER(10,-(N434-_xlpm.elos)/_xlpm.diffscale)))-0.5)
)</f>
        <v/>
      </c>
      <c r="O436" t="str" cm="1">
        <f t="array" ref="O436">_xlfn.LET(
  _xlpm.colj, _xlfn._xlws.FILTER(IF(ISNUMBER(435:435), COLUMN(435:435)), ISNUMBER(435:435)),
  _xlpm.elos, INDEX(434:434,1,_xlpm.colj),
  _xlpm.diffscale, Constantes!$B$2,
  IF(O435="",
    "",
    SUM(1/(1+POWER(10,-(O434-_xlpm.elos)/_xlpm.diffscale)))-0.5)
)</f>
        <v/>
      </c>
      <c r="P436" t="str" cm="1">
        <f t="array" ref="P436">_xlfn.LET(
  _xlpm.colj, _xlfn._xlws.FILTER(IF(ISNUMBER(435:435), COLUMN(435:435)), ISNUMBER(435:435)),
  _xlpm.elos, INDEX(434:434,1,_xlpm.colj),
  _xlpm.diffscale, Constantes!$B$2,
  IF(P435="",
    "",
    SUM(1/(1+POWER(10,-(P434-_xlpm.elos)/_xlpm.diffscale)))-0.5)
)</f>
        <v/>
      </c>
      <c r="Q436" t="str" cm="1">
        <f t="array" ref="Q436">_xlfn.LET(
  _xlpm.colj, _xlfn._xlws.FILTER(IF(ISNUMBER(435:435), COLUMN(435:435)), ISNUMBER(435:435)),
  _xlpm.elos, INDEX(434:434,1,_xlpm.colj),
  _xlpm.diffscale, Constantes!$B$2,
  IF(Q435="",
    "",
    SUM(1/(1+POWER(10,-(Q434-_xlpm.elos)/_xlpm.diffscale)))-0.5)
)</f>
        <v/>
      </c>
      <c r="R436" t="str" cm="1">
        <f t="array" ref="R436">_xlfn.LET(
  _xlpm.colj, _xlfn._xlws.FILTER(IF(ISNUMBER(435:435), COLUMN(435:435)), ISNUMBER(435:435)),
  _xlpm.elos, INDEX(434:434,1,_xlpm.colj),
  _xlpm.diffscale, Constantes!$B$2,
  IF(R435="",
    "",
    SUM(1/(1+POWER(10,-(R434-_xlpm.elos)/_xlpm.diffscale)))-0.5)
)</f>
        <v/>
      </c>
      <c r="S436" cm="1">
        <f t="array" ref="S436">_xlfn.LET(
  _xlpm.colj, _xlfn._xlws.FILTER(IF(ISNUMBER(435:435), COLUMN(435:435)), ISNUMBER(435:435)),
  _xlpm.elos, INDEX(434:434,1,_xlpm.colj),
  _xlpm.diffscale, Constantes!$B$2,
  IF(S435="",
    "",
    SUM(1/(1+POWER(10,-(S434-_xlpm.elos)/_xlpm.diffscale)))-0.5)
)</f>
        <v>1.5580465759252697</v>
      </c>
      <c r="T436" t="str" cm="1">
        <f t="array" ref="T436">_xlfn.LET(
  _xlpm.colj, _xlfn._xlws.FILTER(IF(ISNUMBER(435:435), COLUMN(435:435)), ISNUMBER(435:435)),
  _xlpm.elos, INDEX(434:434,1,_xlpm.colj),
  _xlpm.diffscale, Constantes!$B$2,
  IF(T435="",
    "",
    SUM(1/(1+POWER(10,-(T434-_xlpm.elos)/_xlpm.diffscale)))-0.5)
)</f>
        <v/>
      </c>
      <c r="U436" t="str" cm="1">
        <f t="array" ref="U436">_xlfn.LET(
  _xlpm.colj, _xlfn._xlws.FILTER(IF(ISNUMBER(435:435), COLUMN(435:435)), ISNUMBER(435:435)),
  _xlpm.elos, INDEX(434:434,1,_xlpm.colj),
  _xlpm.diffscale, Constantes!$B$2,
  IF(U435="",
    "",
    SUM(1/(1+POWER(10,-(U434-_xlpm.elos)/_xlpm.diffscale)))-0.5)
)</f>
        <v/>
      </c>
      <c r="V436" t="str" cm="1">
        <f t="array" ref="V436">_xlfn.LET(
  _xlpm.colj, _xlfn._xlws.FILTER(IF(ISNUMBER(435:435), COLUMN(435:435)), ISNUMBER(435:435)),
  _xlpm.elos, INDEX(434:434,1,_xlpm.colj),
  _xlpm.diffscale, Constantes!$B$2,
  IF(V435="",
    "",
    SUM(1/(1+POWER(10,-(V434-_xlpm.elos)/_xlpm.diffscale)))-0.5)
)</f>
        <v/>
      </c>
      <c r="W436" t="str" cm="1">
        <f t="array" ref="W436">_xlfn.LET(
  _xlpm.colj, _xlfn._xlws.FILTER(IF(ISNUMBER(435:435), COLUMN(435:435)), ISNUMBER(435:435)),
  _xlpm.elos, INDEX(434:434,1,_xlpm.colj),
  _xlpm.diffscale, Constantes!$B$2,
  IF(W435="",
    "",
    SUM(1/(1+POWER(10,-(W434-_xlpm.elos)/_xlpm.diffscale)))-0.5)
)</f>
        <v/>
      </c>
      <c r="X436" t="str" cm="1">
        <f t="array" ref="X436">_xlfn.LET(
  _xlpm.colj, _xlfn._xlws.FILTER(IF(ISNUMBER(435:435), COLUMN(435:435)), ISNUMBER(435:435)),
  _xlpm.elos, INDEX(434:434,1,_xlpm.colj),
  _xlpm.diffscale, Constantes!$B$2,
  IF(X435="",
    "",
    SUM(1/(1+POWER(10,-(X434-_xlpm.elos)/_xlpm.diffscale)))-0.5)
)</f>
        <v/>
      </c>
      <c r="Y436" t="str" cm="1">
        <f t="array" ref="Y436">_xlfn.LET(
  _xlpm.colj, _xlfn._xlws.FILTER(IF(ISNUMBER(435:435), COLUMN(435:435)), ISNUMBER(435:435)),
  _xlpm.elos, INDEX(434:434,1,_xlpm.colj),
  _xlpm.diffscale, Constantes!$B$2,
  IF(Y435="",
    "",
    SUM(1/(1+POWER(10,-(Y434-_xlpm.elos)/_xlpm.diffscale)))-0.5)
)</f>
        <v/>
      </c>
      <c r="Z436" t="str" cm="1">
        <f t="array" ref="Z436">_xlfn.LET(
  _xlpm.colj, _xlfn._xlws.FILTER(IF(ISNUMBER(435:435), COLUMN(435:435)), ISNUMBER(435:435)),
  _xlpm.elos, INDEX(434:434,1,_xlpm.colj),
  _xlpm.diffscale, Constantes!$B$2,
  IF(Z435="",
    "",
    SUM(1/(1+POWER(10,-(Z434-_xlpm.elos)/_xlpm.diffscale)))-0.5)
)</f>
        <v/>
      </c>
      <c r="AA436" t="str" cm="1">
        <f t="array" ref="AA436">_xlfn.LET(
  _xlpm.colj, _xlfn._xlws.FILTER(IF(ISNUMBER(435:435), COLUMN(435:435)), ISNUMBER(435:435)),
  _xlpm.elos, INDEX(434:434,1,_xlpm.colj),
  _xlpm.diffscale, Constantes!$B$2,
  IF(AA435="",
    "",
    SUM(1/(1+POWER(10,-(AA434-_xlpm.elos)/_xlpm.diffscale)))-0.5)
)</f>
        <v/>
      </c>
      <c r="AB436" t="str" cm="1">
        <f t="array" ref="AB436">_xlfn.LET(
  _xlpm.colj, _xlfn._xlws.FILTER(IF(ISNUMBER(435:435), COLUMN(435:435)), ISNUMBER(435:435)),
  _xlpm.elos, INDEX(434:434,1,_xlpm.colj),
  _xlpm.diffscale, Constantes!$B$2,
  IF(AB435="",
    "",
    SUM(1/(1+POWER(10,-(AB434-_xlpm.elos)/_xlpm.diffscale)))-0.5)
)</f>
        <v/>
      </c>
      <c r="AC436" cm="1">
        <f t="array" ref="AC436">_xlfn.LET(
  _xlpm.colj, _xlfn._xlws.FILTER(IF(ISNUMBER(435:435), COLUMN(435:435)), ISNUMBER(435:435)),
  _xlpm.elos, INDEX(434:434,1,_xlpm.colj),
  _xlpm.diffscale, Constantes!$B$2,
  IF(AC435="",
    "",
    SUM(1/(1+POWER(10,-(AC434-_xlpm.elos)/_xlpm.diffscale)))-0.5)
)</f>
        <v>1.3318912451383929</v>
      </c>
      <c r="AD436" t="str" cm="1">
        <f t="array" ref="AD436">_xlfn.LET(
  _xlpm.colj, _xlfn._xlws.FILTER(IF(ISNUMBER(435:435), COLUMN(435:435)), ISNUMBER(435:435)),
  _xlpm.elos, INDEX(434:434,1,_xlpm.colj),
  _xlpm.diffscale, Constantes!$B$2,
  IF(AD435="",
    "",
    SUM(1/(1+POWER(10,-(AD434-_xlpm.elos)/_xlpm.diffscale)))-0.5)
)</f>
        <v/>
      </c>
      <c r="AE436" t="str" cm="1">
        <f t="array" ref="AE436">_xlfn.LET(
  _xlpm.colj, _xlfn._xlws.FILTER(IF(ISNUMBER(435:435), COLUMN(435:435)), ISNUMBER(435:435)),
  _xlpm.elos, INDEX(434:434,1,_xlpm.colj),
  _xlpm.diffscale, Constantes!$B$2,
  IF(AE435="",
    "",
    SUM(1/(1+POWER(10,-(AE434-_xlpm.elos)/_xlpm.diffscale)))-0.5)
)</f>
        <v/>
      </c>
      <c r="AF436" t="str" cm="1">
        <f t="array" ref="AF436">_xlfn.LET(
  _xlpm.colj, _xlfn._xlws.FILTER(IF(ISNUMBER(435:435), COLUMN(435:435)), ISNUMBER(435:435)),
  _xlpm.elos, INDEX(434:434,1,_xlpm.colj),
  _xlpm.diffscale, Constantes!$B$2,
  IF(AF435="",
    "",
    SUM(1/(1+POWER(10,-(AF434-_xlpm.elos)/_xlpm.diffscale)))-0.5)
)</f>
        <v/>
      </c>
      <c r="AG436" t="str" cm="1">
        <f t="array" ref="AG436">_xlfn.LET(
  _xlpm.colj, _xlfn._xlws.FILTER(IF(ISNUMBER(435:435), COLUMN(435:435)), ISNUMBER(435:435)),
  _xlpm.elos, INDEX(434:434,1,_xlpm.colj),
  _xlpm.diffscale, Constantes!$B$2,
  IF(AG435="",
    "",
    SUM(1/(1+POWER(10,-(AG434-_xlpm.elos)/_xlpm.diffscale)))-0.5)
)</f>
        <v/>
      </c>
      <c r="AH436" t="str" cm="1">
        <f t="array" ref="AH436">_xlfn.LET(
  _xlpm.colj, _xlfn._xlws.FILTER(IF(ISNUMBER(435:435), COLUMN(435:435)), ISNUMBER(435:435)),
  _xlpm.elos, INDEX(434:434,1,_xlpm.colj),
  _xlpm.diffscale, Constantes!$B$2,
  IF(AH435="",
    "",
    SUM(1/(1+POWER(10,-(AH434-_xlpm.elos)/_xlpm.diffscale)))-0.5)
)</f>
        <v/>
      </c>
      <c r="AI436" cm="1">
        <f t="array" ref="AI436">_xlfn.LET(
  _xlpm.colj, _xlfn._xlws.FILTER(IF(ISNUMBER(435:435), COLUMN(435:435)), ISNUMBER(435:435)),
  _xlpm.elos, INDEX(434:434,1,_xlpm.colj),
  _xlpm.diffscale, Constantes!$B$2,
  IF(AI435="",
    "",
    SUM(1/(1+POWER(10,-(AI434-_xlpm.elos)/_xlpm.diffscale)))-0.5)
)</f>
        <v>1.413528969073345</v>
      </c>
      <c r="AJ436" t="str" cm="1">
        <f t="array" ref="AJ436">_xlfn.LET(
  _xlpm.colj, _xlfn._xlws.FILTER(IF(ISNUMBER(435:435), COLUMN(435:435)), ISNUMBER(435:435)),
  _xlpm.elos, INDEX(434:434,1,_xlpm.colj),
  _xlpm.diffscale, Constantes!$B$2,
  IF(AJ435="",
    "",
    SUM(1/(1+POWER(10,-(AJ434-_xlpm.elos)/_xlpm.diffscale)))-0.5)
)</f>
        <v/>
      </c>
      <c r="AK436" t="str" cm="1">
        <f t="array" ref="AK436">_xlfn.LET(
  _xlpm.colj, _xlfn._xlws.FILTER(IF(ISNUMBER(435:435), COLUMN(435:435)), ISNUMBER(435:435)),
  _xlpm.elos, INDEX(434:434,1,_xlpm.colj),
  _xlpm.diffscale, Constantes!$B$2,
  IF(AK435="",
    "",
    SUM(1/(1+POWER(10,-(AK434-_xlpm.elos)/_xlpm.diffscale)))-0.5)
)</f>
        <v/>
      </c>
      <c r="AL436" t="str" cm="1">
        <f t="array" ref="AL436">_xlfn.LET(
  _xlpm.colj, _xlfn._xlws.FILTER(IF(ISNUMBER(435:435), COLUMN(435:435)), ISNUMBER(435:435)),
  _xlpm.elos, INDEX(434:434,1,_xlpm.colj),
  _xlpm.diffscale, Constantes!$B$2,
  IF(AL435="",
    "",
    SUM(1/(1+POWER(10,-(AL434-_xlpm.elos)/_xlpm.diffscale)))-0.5)
)</f>
        <v/>
      </c>
      <c r="AM436" t="str" cm="1">
        <f t="array" ref="AM436">_xlfn.LET(
  _xlpm.colj, _xlfn._xlws.FILTER(IF(ISNUMBER(435:435), COLUMN(435:435)), ISNUMBER(435:435)),
  _xlpm.elos, INDEX(434:434,1,_xlpm.colj),
  _xlpm.diffscale, Constantes!$B$2,
  IF(AM435="",
    "",
    SUM(1/(1+POWER(10,-(AM434-_xlpm.elos)/_xlpm.diffscale)))-0.5)
)</f>
        <v/>
      </c>
    </row>
    <row r="437" spans="1:39" x14ac:dyDescent="0.25">
      <c r="A437" t="s">
        <v>22</v>
      </c>
      <c r="D437" t="str" cm="1">
        <f t="array" ref="D437">_xlfn.LET(
  _xlpm.K, Constantes!$B$3,
  _xlpm.Knewgain, Constantes!$B$4,
  _xlpm.Knewscale, Constantes!$B$5,
  _xlpm.ptstables, INDEX(D:D, _xlfn.SEQUENCE(COUNTA($C$2:$C437), 1, 3, 4)),
  _xlpm.nbparties, COUNTA(_xlfn._xlws.FILTER(_xlpm.ptstables, _xlpm.ptstables &lt;&gt; "")),
  _xlpm.coef, _xlpm.K + _xlpm.Knewgain / (_xlpm.Knewscale + _xlpm.nbparties),
  IF(D435="",
    "",
    _xlpm.coef * (D435-D436))
)</f>
        <v/>
      </c>
      <c r="E437" t="str" cm="1">
        <f t="array" ref="E437">_xlfn.LET(
  _xlpm.K, Constantes!$B$3,
  _xlpm.Knewgain, Constantes!$B$4,
  _xlpm.Knewscale, Constantes!$B$5,
  _xlpm.ptstables, INDEX(E:E, _xlfn.SEQUENCE(COUNTA($C$2:$C437), 1, 3, 4)),
  _xlpm.nbparties, COUNTA(_xlfn._xlws.FILTER(_xlpm.ptstables, _xlpm.ptstables &lt;&gt; "")),
  _xlpm.coef, _xlpm.K + _xlpm.Knewgain / (_xlpm.Knewscale + _xlpm.nbparties),
  IF(E435="",
    "",
    _xlpm.coef * (E435-E436))
)</f>
        <v/>
      </c>
      <c r="F437" t="str" cm="1">
        <f t="array" ref="F437">_xlfn.LET(
  _xlpm.K, Constantes!$B$3,
  _xlpm.Knewgain, Constantes!$B$4,
  _xlpm.Knewscale, Constantes!$B$5,
  _xlpm.ptstables, INDEX(F:F, _xlfn.SEQUENCE(COUNTA($C$2:$C437), 1, 3, 4)),
  _xlpm.nbparties, COUNTA(_xlfn._xlws.FILTER(_xlpm.ptstables, _xlpm.ptstables &lt;&gt; "")),
  _xlpm.coef, _xlpm.K + _xlpm.Knewgain / (_xlpm.Knewscale + _xlpm.nbparties),
  IF(F435="",
    "",
    _xlpm.coef * (F435-F436))
)</f>
        <v/>
      </c>
      <c r="G437" t="str" cm="1">
        <f t="array" ref="G437">_xlfn.LET(
  _xlpm.K, Constantes!$B$3,
  _xlpm.Knewgain, Constantes!$B$4,
  _xlpm.Knewscale, Constantes!$B$5,
  _xlpm.ptstables, INDEX(G:G, _xlfn.SEQUENCE(COUNTA($C$2:$C437), 1, 3, 4)),
  _xlpm.nbparties, COUNTA(_xlfn._xlws.FILTER(_xlpm.ptstables, _xlpm.ptstables &lt;&gt; "")),
  _xlpm.coef, _xlpm.K + _xlpm.Knewgain / (_xlpm.Knewscale + _xlpm.nbparties),
  IF(G435="",
    "",
    _xlpm.coef * (G435-G436))
)</f>
        <v/>
      </c>
      <c r="H437" t="str" cm="1">
        <f t="array" ref="H437">_xlfn.LET(
  _xlpm.K, Constantes!$B$3,
  _xlpm.Knewgain, Constantes!$B$4,
  _xlpm.Knewscale, Constantes!$B$5,
  _xlpm.ptstables, INDEX(H:H, _xlfn.SEQUENCE(COUNTA($C$2:$C437), 1, 3, 4)),
  _xlpm.nbparties, COUNTA(_xlfn._xlws.FILTER(_xlpm.ptstables, _xlpm.ptstables &lt;&gt; "")),
  _xlpm.coef, _xlpm.K + _xlpm.Knewgain / (_xlpm.Knewscale + _xlpm.nbparties),
  IF(H435="",
    "",
    _xlpm.coef * (H435-H436))
)</f>
        <v/>
      </c>
      <c r="I437" t="str" cm="1">
        <f t="array" ref="I437">_xlfn.LET(
  _xlpm.K, Constantes!$B$3,
  _xlpm.Knewgain, Constantes!$B$4,
  _xlpm.Knewscale, Constantes!$B$5,
  _xlpm.ptstables, INDEX(I:I, _xlfn.SEQUENCE(COUNTA($C$2:$C437), 1, 3, 4)),
  _xlpm.nbparties, COUNTA(_xlfn._xlws.FILTER(_xlpm.ptstables, _xlpm.ptstables &lt;&gt; "")),
  _xlpm.coef, _xlpm.K + _xlpm.Knewgain / (_xlpm.Knewscale + _xlpm.nbparties),
  IF(I435="",
    "",
    _xlpm.coef * (I435-I436))
)</f>
        <v/>
      </c>
      <c r="J437" cm="1">
        <f t="array" ref="J437">_xlfn.LET(
  _xlpm.K, Constantes!$B$3,
  _xlpm.Knewgain, Constantes!$B$4,
  _xlpm.Knewscale, Constantes!$B$5,
  _xlpm.ptstables, INDEX(J:J, _xlfn.SEQUENCE(COUNTA($C$2:$C437), 1, 3, 4)),
  _xlpm.nbparties, COUNTA(_xlfn._xlws.FILTER(_xlpm.ptstables, _xlpm.ptstables &lt;&gt; "")),
  _xlpm.coef, _xlpm.K + _xlpm.Knewgain / (_xlpm.Knewscale + _xlpm.nbparties),
  IF(J435="",
    "",
    _xlpm.coef * (J435-J436))
)</f>
        <v>-17.096724242091632</v>
      </c>
      <c r="K437" t="str" cm="1">
        <f t="array" ref="K437">_xlfn.LET(
  _xlpm.K, Constantes!$B$3,
  _xlpm.Knewgain, Constantes!$B$4,
  _xlpm.Knewscale, Constantes!$B$5,
  _xlpm.ptstables, INDEX(K:K, _xlfn.SEQUENCE(COUNTA($C$2:$C437), 1, 3, 4)),
  _xlpm.nbparties, COUNTA(_xlfn._xlws.FILTER(_xlpm.ptstables, _xlpm.ptstables &lt;&gt; "")),
  _xlpm.coef, _xlpm.K + _xlpm.Knewgain / (_xlpm.Knewscale + _xlpm.nbparties),
  IF(K435="",
    "",
    _xlpm.coef * (K435-K436))
)</f>
        <v/>
      </c>
      <c r="L437" t="str" cm="1">
        <f t="array" ref="L437">_xlfn.LET(
  _xlpm.K, Constantes!$B$3,
  _xlpm.Knewgain, Constantes!$B$4,
  _xlpm.Knewscale, Constantes!$B$5,
  _xlpm.ptstables, INDEX(L:L, _xlfn.SEQUENCE(COUNTA($C$2:$C437), 1, 3, 4)),
  _xlpm.nbparties, COUNTA(_xlfn._xlws.FILTER(_xlpm.ptstables, _xlpm.ptstables &lt;&gt; "")),
  _xlpm.coef, _xlpm.K + _xlpm.Knewgain / (_xlpm.Knewscale + _xlpm.nbparties),
  IF(L435="",
    "",
    _xlpm.coef * (L435-L436))
)</f>
        <v/>
      </c>
      <c r="M437" t="str" cm="1">
        <f t="array" ref="M437">_xlfn.LET(
  _xlpm.K, Constantes!$B$3,
  _xlpm.Knewgain, Constantes!$B$4,
  _xlpm.Knewscale, Constantes!$B$5,
  _xlpm.ptstables, INDEX(M:M, _xlfn.SEQUENCE(COUNTA($C$2:$C437), 1, 3, 4)),
  _xlpm.nbparties, COUNTA(_xlfn._xlws.FILTER(_xlpm.ptstables, _xlpm.ptstables &lt;&gt; "")),
  _xlpm.coef, _xlpm.K + _xlpm.Knewgain / (_xlpm.Knewscale + _xlpm.nbparties),
  IF(M435="",
    "",
    _xlpm.coef * (M435-M436))
)</f>
        <v/>
      </c>
      <c r="N437" t="str" cm="1">
        <f t="array" ref="N437">_xlfn.LET(
  _xlpm.K, Constantes!$B$3,
  _xlpm.Knewgain, Constantes!$B$4,
  _xlpm.Knewscale, Constantes!$B$5,
  _xlpm.ptstables, INDEX(N:N, _xlfn.SEQUENCE(COUNTA($C$2:$C437), 1, 3, 4)),
  _xlpm.nbparties, COUNTA(_xlfn._xlws.FILTER(_xlpm.ptstables, _xlpm.ptstables &lt;&gt; "")),
  _xlpm.coef, _xlpm.K + _xlpm.Knewgain / (_xlpm.Knewscale + _xlpm.nbparties),
  IF(N435="",
    "",
    _xlpm.coef * (N435-N436))
)</f>
        <v/>
      </c>
      <c r="O437" t="str" cm="1">
        <f t="array" ref="O437">_xlfn.LET(
  _xlpm.K, Constantes!$B$3,
  _xlpm.Knewgain, Constantes!$B$4,
  _xlpm.Knewscale, Constantes!$B$5,
  _xlpm.ptstables, INDEX(O:O, _xlfn.SEQUENCE(COUNTA($C$2:$C437), 1, 3, 4)),
  _xlpm.nbparties, COUNTA(_xlfn._xlws.FILTER(_xlpm.ptstables, _xlpm.ptstables &lt;&gt; "")),
  _xlpm.coef, _xlpm.K + _xlpm.Knewgain / (_xlpm.Knewscale + _xlpm.nbparties),
  IF(O435="",
    "",
    _xlpm.coef * (O435-O436))
)</f>
        <v/>
      </c>
      <c r="P437" t="str" cm="1">
        <f t="array" ref="P437">_xlfn.LET(
  _xlpm.K, Constantes!$B$3,
  _xlpm.Knewgain, Constantes!$B$4,
  _xlpm.Knewscale, Constantes!$B$5,
  _xlpm.ptstables, INDEX(P:P, _xlfn.SEQUENCE(COUNTA($C$2:$C437), 1, 3, 4)),
  _xlpm.nbparties, COUNTA(_xlfn._xlws.FILTER(_xlpm.ptstables, _xlpm.ptstables &lt;&gt; "")),
  _xlpm.coef, _xlpm.K + _xlpm.Knewgain / (_xlpm.Knewscale + _xlpm.nbparties),
  IF(P435="",
    "",
    _xlpm.coef * (P435-P436))
)</f>
        <v/>
      </c>
      <c r="Q437" t="str" cm="1">
        <f t="array" ref="Q437">_xlfn.LET(
  _xlpm.K, Constantes!$B$3,
  _xlpm.Knewgain, Constantes!$B$4,
  _xlpm.Knewscale, Constantes!$B$5,
  _xlpm.ptstables, INDEX(Q:Q, _xlfn.SEQUENCE(COUNTA($C$2:$C437), 1, 3, 4)),
  _xlpm.nbparties, COUNTA(_xlfn._xlws.FILTER(_xlpm.ptstables, _xlpm.ptstables &lt;&gt; "")),
  _xlpm.coef, _xlpm.K + _xlpm.Knewgain / (_xlpm.Knewscale + _xlpm.nbparties),
  IF(Q435="",
    "",
    _xlpm.coef * (Q435-Q436))
)</f>
        <v/>
      </c>
      <c r="R437" t="str" cm="1">
        <f t="array" ref="R437">_xlfn.LET(
  _xlpm.K, Constantes!$B$3,
  _xlpm.Knewgain, Constantes!$B$4,
  _xlpm.Knewscale, Constantes!$B$5,
  _xlpm.ptstables, INDEX(R:R, _xlfn.SEQUENCE(COUNTA($C$2:$C437), 1, 3, 4)),
  _xlpm.nbparties, COUNTA(_xlfn._xlws.FILTER(_xlpm.ptstables, _xlpm.ptstables &lt;&gt; "")),
  _xlpm.coef, _xlpm.K + _xlpm.Knewgain / (_xlpm.Knewscale + _xlpm.nbparties),
  IF(R435="",
    "",
    _xlpm.coef * (R435-R436))
)</f>
        <v/>
      </c>
      <c r="S437" cm="1">
        <f t="array" ref="S437">_xlfn.LET(
  _xlpm.K, Constantes!$B$3,
  _xlpm.Knewgain, Constantes!$B$4,
  _xlpm.Knewscale, Constantes!$B$5,
  _xlpm.ptstables, INDEX(S:S, _xlfn.SEQUENCE(COUNTA($C$2:$C437), 1, 3, 4)),
  _xlpm.nbparties, COUNTA(_xlfn._xlws.FILTER(_xlpm.ptstables, _xlpm.ptstables &lt;&gt; "")),
  _xlpm.coef, _xlpm.K + _xlpm.Knewgain / (_xlpm.Knewscale + _xlpm.nbparties),
  IF(S435="",
    "",
    _xlpm.coef * (S435-S436))
)</f>
        <v>9.601057143692417</v>
      </c>
      <c r="T437" t="str" cm="1">
        <f t="array" ref="T437">_xlfn.LET(
  _xlpm.K, Constantes!$B$3,
  _xlpm.Knewgain, Constantes!$B$4,
  _xlpm.Knewscale, Constantes!$B$5,
  _xlpm.ptstables, INDEX(T:T, _xlfn.SEQUENCE(COUNTA($C$2:$C437), 1, 3, 4)),
  _xlpm.nbparties, COUNTA(_xlfn._xlws.FILTER(_xlpm.ptstables, _xlpm.ptstables &lt;&gt; "")),
  _xlpm.coef, _xlpm.K + _xlpm.Knewgain / (_xlpm.Knewscale + _xlpm.nbparties),
  IF(T435="",
    "",
    _xlpm.coef * (T435-T436))
)</f>
        <v/>
      </c>
      <c r="U437" t="str" cm="1">
        <f t="array" ref="U437">_xlfn.LET(
  _xlpm.K, Constantes!$B$3,
  _xlpm.Knewgain, Constantes!$B$4,
  _xlpm.Knewscale, Constantes!$B$5,
  _xlpm.ptstables, INDEX(U:U, _xlfn.SEQUENCE(COUNTA($C$2:$C437), 1, 3, 4)),
  _xlpm.nbparties, COUNTA(_xlfn._xlws.FILTER(_xlpm.ptstables, _xlpm.ptstables &lt;&gt; "")),
  _xlpm.coef, _xlpm.K + _xlpm.Knewgain / (_xlpm.Knewscale + _xlpm.nbparties),
  IF(U435="",
    "",
    _xlpm.coef * (U435-U436))
)</f>
        <v/>
      </c>
      <c r="V437" t="str" cm="1">
        <f t="array" ref="V437">_xlfn.LET(
  _xlpm.K, Constantes!$B$3,
  _xlpm.Knewgain, Constantes!$B$4,
  _xlpm.Knewscale, Constantes!$B$5,
  _xlpm.ptstables, INDEX(V:V, _xlfn.SEQUENCE(COUNTA($C$2:$C437), 1, 3, 4)),
  _xlpm.nbparties, COUNTA(_xlfn._xlws.FILTER(_xlpm.ptstables, _xlpm.ptstables &lt;&gt; "")),
  _xlpm.coef, _xlpm.K + _xlpm.Knewgain / (_xlpm.Knewscale + _xlpm.nbparties),
  IF(V435="",
    "",
    _xlpm.coef * (V435-V436))
)</f>
        <v/>
      </c>
      <c r="W437" t="str" cm="1">
        <f t="array" ref="W437">_xlfn.LET(
  _xlpm.K, Constantes!$B$3,
  _xlpm.Knewgain, Constantes!$B$4,
  _xlpm.Knewscale, Constantes!$B$5,
  _xlpm.ptstables, INDEX(W:W, _xlfn.SEQUENCE(COUNTA($C$2:$C437), 1, 3, 4)),
  _xlpm.nbparties, COUNTA(_xlfn._xlws.FILTER(_xlpm.ptstables, _xlpm.ptstables &lt;&gt; "")),
  _xlpm.coef, _xlpm.K + _xlpm.Knewgain / (_xlpm.Knewscale + _xlpm.nbparties),
  IF(W435="",
    "",
    _xlpm.coef * (W435-W436))
)</f>
        <v/>
      </c>
      <c r="X437" t="str" cm="1">
        <f t="array" ref="X437">_xlfn.LET(
  _xlpm.K, Constantes!$B$3,
  _xlpm.Knewgain, Constantes!$B$4,
  _xlpm.Knewscale, Constantes!$B$5,
  _xlpm.ptstables, INDEX(X:X, _xlfn.SEQUENCE(COUNTA($C$2:$C437), 1, 3, 4)),
  _xlpm.nbparties, COUNTA(_xlfn._xlws.FILTER(_xlpm.ptstables, _xlpm.ptstables &lt;&gt; "")),
  _xlpm.coef, _xlpm.K + _xlpm.Knewgain / (_xlpm.Knewscale + _xlpm.nbparties),
  IF(X435="",
    "",
    _xlpm.coef * (X435-X436))
)</f>
        <v/>
      </c>
      <c r="Y437" t="str" cm="1">
        <f t="array" ref="Y437">_xlfn.LET(
  _xlpm.K, Constantes!$B$3,
  _xlpm.Knewgain, Constantes!$B$4,
  _xlpm.Knewscale, Constantes!$B$5,
  _xlpm.ptstables, INDEX(Y:Y, _xlfn.SEQUENCE(COUNTA($C$2:$C437), 1, 3, 4)),
  _xlpm.nbparties, COUNTA(_xlfn._xlws.FILTER(_xlpm.ptstables, _xlpm.ptstables &lt;&gt; "")),
  _xlpm.coef, _xlpm.K + _xlpm.Knewgain / (_xlpm.Knewscale + _xlpm.nbparties),
  IF(Y435="",
    "",
    _xlpm.coef * (Y435-Y436))
)</f>
        <v/>
      </c>
      <c r="Z437" t="str" cm="1">
        <f t="array" ref="Z437">_xlfn.LET(
  _xlpm.K, Constantes!$B$3,
  _xlpm.Knewgain, Constantes!$B$4,
  _xlpm.Knewscale, Constantes!$B$5,
  _xlpm.ptstables, INDEX(Z:Z, _xlfn.SEQUENCE(COUNTA($C$2:$C437), 1, 3, 4)),
  _xlpm.nbparties, COUNTA(_xlfn._xlws.FILTER(_xlpm.ptstables, _xlpm.ptstables &lt;&gt; "")),
  _xlpm.coef, _xlpm.K + _xlpm.Knewgain / (_xlpm.Knewscale + _xlpm.nbparties),
  IF(Z435="",
    "",
    _xlpm.coef * (Z435-Z436))
)</f>
        <v/>
      </c>
      <c r="AA437" t="str" cm="1">
        <f t="array" ref="AA437">_xlfn.LET(
  _xlpm.K, Constantes!$B$3,
  _xlpm.Knewgain, Constantes!$B$4,
  _xlpm.Knewscale, Constantes!$B$5,
  _xlpm.ptstables, INDEX(AA:AA, _xlfn.SEQUENCE(COUNTA($C$2:$C437), 1, 3, 4)),
  _xlpm.nbparties, COUNTA(_xlfn._xlws.FILTER(_xlpm.ptstables, _xlpm.ptstables &lt;&gt; "")),
  _xlpm.coef, _xlpm.K + _xlpm.Knewgain / (_xlpm.Knewscale + _xlpm.nbparties),
  IF(AA435="",
    "",
    _xlpm.coef * (AA435-AA436))
)</f>
        <v/>
      </c>
      <c r="AB437" t="str" cm="1">
        <f t="array" ref="AB437">_xlfn.LET(
  _xlpm.K, Constantes!$B$3,
  _xlpm.Knewgain, Constantes!$B$4,
  _xlpm.Knewscale, Constantes!$B$5,
  _xlpm.ptstables, INDEX(AB:AB, _xlfn.SEQUENCE(COUNTA($C$2:$C437), 1, 3, 4)),
  _xlpm.nbparties, COUNTA(_xlfn._xlws.FILTER(_xlpm.ptstables, _xlpm.ptstables &lt;&gt; "")),
  _xlpm.coef, _xlpm.K + _xlpm.Knewgain / (_xlpm.Knewscale + _xlpm.nbparties),
  IF(AB435="",
    "",
    _xlpm.coef * (AB435-AB436))
)</f>
        <v/>
      </c>
      <c r="AC437" cm="1">
        <f t="array" ref="AC437">_xlfn.LET(
  _xlpm.K, Constantes!$B$3,
  _xlpm.Knewgain, Constantes!$B$4,
  _xlpm.Knewscale, Constantes!$B$5,
  _xlpm.ptstables, INDEX(AC:AC, _xlfn.SEQUENCE(COUNTA($C$2:$C437), 1, 3, 4)),
  _xlpm.nbparties, COUNTA(_xlfn._xlws.FILTER(_xlpm.ptstables, _xlpm.ptstables &lt;&gt; "")),
  _xlpm.coef, _xlpm.K + _xlpm.Knewgain / (_xlpm.Knewscale + _xlpm.nbparties),
  IF(AC435="",
    "",
    _xlpm.coef * (AC435-AC436))
)</f>
        <v>-30.142801863658367</v>
      </c>
      <c r="AD437" t="str" cm="1">
        <f t="array" ref="AD437">_xlfn.LET(
  _xlpm.K, Constantes!$B$3,
  _xlpm.Knewgain, Constantes!$B$4,
  _xlpm.Knewscale, Constantes!$B$5,
  _xlpm.ptstables, INDEX(AD:AD, _xlfn.SEQUENCE(COUNTA($C$2:$C437), 1, 3, 4)),
  _xlpm.nbparties, COUNTA(_xlfn._xlws.FILTER(_xlpm.ptstables, _xlpm.ptstables &lt;&gt; "")),
  _xlpm.coef, _xlpm.K + _xlpm.Knewgain / (_xlpm.Knewscale + _xlpm.nbparties),
  IF(AD435="",
    "",
    _xlpm.coef * (AD435-AD436))
)</f>
        <v/>
      </c>
      <c r="AE437" t="str" cm="1">
        <f t="array" ref="AE437">_xlfn.LET(
  _xlpm.K, Constantes!$B$3,
  _xlpm.Knewgain, Constantes!$B$4,
  _xlpm.Knewscale, Constantes!$B$5,
  _xlpm.ptstables, INDEX(AE:AE, _xlfn.SEQUENCE(COUNTA($C$2:$C437), 1, 3, 4)),
  _xlpm.nbparties, COUNTA(_xlfn._xlws.FILTER(_xlpm.ptstables, _xlpm.ptstables &lt;&gt; "")),
  _xlpm.coef, _xlpm.K + _xlpm.Knewgain / (_xlpm.Knewscale + _xlpm.nbparties),
  IF(AE435="",
    "",
    _xlpm.coef * (AE435-AE436))
)</f>
        <v/>
      </c>
      <c r="AF437" t="str" cm="1">
        <f t="array" ref="AF437">_xlfn.LET(
  _xlpm.K, Constantes!$B$3,
  _xlpm.Knewgain, Constantes!$B$4,
  _xlpm.Knewscale, Constantes!$B$5,
  _xlpm.ptstables, INDEX(AF:AF, _xlfn.SEQUENCE(COUNTA($C$2:$C437), 1, 3, 4)),
  _xlpm.nbparties, COUNTA(_xlfn._xlws.FILTER(_xlpm.ptstables, _xlpm.ptstables &lt;&gt; "")),
  _xlpm.coef, _xlpm.K + _xlpm.Knewgain / (_xlpm.Knewscale + _xlpm.nbparties),
  IF(AF435="",
    "",
    _xlpm.coef * (AF435-AF436))
)</f>
        <v/>
      </c>
      <c r="AG437" t="str" cm="1">
        <f t="array" ref="AG437">_xlfn.LET(
  _xlpm.K, Constantes!$B$3,
  _xlpm.Knewgain, Constantes!$B$4,
  _xlpm.Knewscale, Constantes!$B$5,
  _xlpm.ptstables, INDEX(AG:AG, _xlfn.SEQUENCE(COUNTA($C$2:$C437), 1, 3, 4)),
  _xlpm.nbparties, COUNTA(_xlfn._xlws.FILTER(_xlpm.ptstables, _xlpm.ptstables &lt;&gt; "")),
  _xlpm.coef, _xlpm.K + _xlpm.Knewgain / (_xlpm.Knewscale + _xlpm.nbparties),
  IF(AG435="",
    "",
    _xlpm.coef * (AG435-AG436))
)</f>
        <v/>
      </c>
      <c r="AH437" t="str" cm="1">
        <f t="array" ref="AH437">_xlfn.LET(
  _xlpm.K, Constantes!$B$3,
  _xlpm.Knewgain, Constantes!$B$4,
  _xlpm.Knewscale, Constantes!$B$5,
  _xlpm.ptstables, INDEX(AH:AH, _xlfn.SEQUENCE(COUNTA($C$2:$C437), 1, 3, 4)),
  _xlpm.nbparties, COUNTA(_xlfn._xlws.FILTER(_xlpm.ptstables, _xlpm.ptstables &lt;&gt; "")),
  _xlpm.coef, _xlpm.K + _xlpm.Knewgain / (_xlpm.Knewscale + _xlpm.nbparties),
  IF(AH435="",
    "",
    _xlpm.coef * (AH435-AH436))
)</f>
        <v/>
      </c>
      <c r="AI437" cm="1">
        <f t="array" ref="AI437">_xlfn.LET(
  _xlpm.K, Constantes!$B$3,
  _xlpm.Knewgain, Constantes!$B$4,
  _xlpm.Knewscale, Constantes!$B$5,
  _xlpm.ptstables, INDEX(AI:AI, _xlfn.SEQUENCE(COUNTA($C$2:$C437), 1, 3, 4)),
  _xlpm.nbparties, COUNTA(_xlfn._xlws.FILTER(_xlpm.ptstables, _xlpm.ptstables &lt;&gt; "")),
  _xlpm.coef, _xlpm.K + _xlpm.Knewgain / (_xlpm.Knewscale + _xlpm.nbparties),
  IF(AI435="",
    "",
    _xlpm.coef * (AI435-AI436))
)</f>
        <v>35.904344384129558</v>
      </c>
      <c r="AJ437" t="str" cm="1">
        <f t="array" ref="AJ437">_xlfn.LET(
  _xlpm.K, Constantes!$B$3,
  _xlpm.Knewgain, Constantes!$B$4,
  _xlpm.Knewscale, Constantes!$B$5,
  _xlpm.ptstables, INDEX(AJ:AJ, _xlfn.SEQUENCE(COUNTA($C$2:$C437), 1, 3, 4)),
  _xlpm.nbparties, COUNTA(_xlfn._xlws.FILTER(_xlpm.ptstables, _xlpm.ptstables &lt;&gt; "")),
  _xlpm.coef, _xlpm.K + _xlpm.Knewgain / (_xlpm.Knewscale + _xlpm.nbparties),
  IF(AJ435="",
    "",
    _xlpm.coef * (AJ435-AJ436))
)</f>
        <v/>
      </c>
      <c r="AK437" t="str" cm="1">
        <f t="array" ref="AK437">_xlfn.LET(
  _xlpm.K, Constantes!$B$3,
  _xlpm.Knewgain, Constantes!$B$4,
  _xlpm.Knewscale, Constantes!$B$5,
  _xlpm.ptstables, INDEX(AK:AK, _xlfn.SEQUENCE(COUNTA($C$2:$C437), 1, 3, 4)),
  _xlpm.nbparties, COUNTA(_xlfn._xlws.FILTER(_xlpm.ptstables, _xlpm.ptstables &lt;&gt; "")),
  _xlpm.coef, _xlpm.K + _xlpm.Knewgain / (_xlpm.Knewscale + _xlpm.nbparties),
  IF(AK435="",
    "",
    _xlpm.coef * (AK435-AK436))
)</f>
        <v/>
      </c>
      <c r="AL437" t="str" cm="1">
        <f t="array" ref="AL437">_xlfn.LET(
  _xlpm.K, Constantes!$B$3,
  _xlpm.Knewgain, Constantes!$B$4,
  _xlpm.Knewscale, Constantes!$B$5,
  _xlpm.ptstables, INDEX(AL:AL, _xlfn.SEQUENCE(COUNTA($C$2:$C437), 1, 3, 4)),
  _xlpm.nbparties, COUNTA(_xlfn._xlws.FILTER(_xlpm.ptstables, _xlpm.ptstables &lt;&gt; "")),
  _xlpm.coef, _xlpm.K + _xlpm.Knewgain / (_xlpm.Knewscale + _xlpm.nbparties),
  IF(AL435="",
    "",
    _xlpm.coef * (AL435-AL436))
)</f>
        <v/>
      </c>
      <c r="AM437" t="str" cm="1">
        <f t="array" ref="AM437">_xlfn.LET(
  _xlpm.K, Constantes!$B$3,
  _xlpm.Knewgain, Constantes!$B$4,
  _xlpm.Knewscale, Constantes!$B$5,
  _xlpm.ptstables, INDEX(AM:AM, _xlfn.SEQUENCE(COUNTA($C$2:$C437), 1, 3, 4)),
  _xlpm.nbparties, COUNTA(_xlfn._xlws.FILTER(_xlpm.ptstables, _xlpm.ptstables &lt;&gt; "")),
  _xlpm.coef, _xlpm.K + _xlpm.Knewgain / (_xlpm.Knewscale + _xlpm.nbparties),
  IF(AM435="",
    "",
    _xlpm.coef * (AM435-AM436))
)</f>
        <v/>
      </c>
    </row>
    <row r="438" spans="1:39" x14ac:dyDescent="0.25">
      <c r="A438" t="s">
        <v>14</v>
      </c>
      <c r="B438" t="str" cm="1">
        <f t="array" ref="B43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110</v>
      </c>
      <c r="C438" s="2" cm="1">
        <f t="array" ref="C438">IF(B438="","",
  INDEX(Donnees!F:F, MATCH(B438, Donnees!F:F, 0)+1))</f>
        <v>45962.816608796296</v>
      </c>
      <c r="D438">
        <f t="shared" ref="D438:AM438" si="117">D434+IF(D437="",0,D437)</f>
        <v>968.82938141395095</v>
      </c>
      <c r="E438">
        <f t="shared" si="117"/>
        <v>1196.4195973781996</v>
      </c>
      <c r="F438">
        <f t="shared" si="117"/>
        <v>911.8835833951041</v>
      </c>
      <c r="G438">
        <f t="shared" si="117"/>
        <v>1061.9525561512175</v>
      </c>
      <c r="H438">
        <f t="shared" si="117"/>
        <v>1121.8561093296914</v>
      </c>
      <c r="I438">
        <f t="shared" si="117"/>
        <v>907.83370609419069</v>
      </c>
      <c r="J438">
        <f t="shared" si="117"/>
        <v>1000.251341704819</v>
      </c>
      <c r="K438">
        <f t="shared" si="117"/>
        <v>1076.8546837336262</v>
      </c>
      <c r="L438">
        <f t="shared" si="117"/>
        <v>762.99078552663389</v>
      </c>
      <c r="M438">
        <f t="shared" si="117"/>
        <v>927.4581540493366</v>
      </c>
      <c r="N438">
        <f t="shared" si="117"/>
        <v>899.98370646249032</v>
      </c>
      <c r="O438">
        <f t="shared" si="117"/>
        <v>997.04050320786712</v>
      </c>
      <c r="P438">
        <f t="shared" si="117"/>
        <v>987.86278180042575</v>
      </c>
      <c r="Q438">
        <f t="shared" si="117"/>
        <v>1051.0755127018197</v>
      </c>
      <c r="R438">
        <f t="shared" si="117"/>
        <v>1042.1254319845061</v>
      </c>
      <c r="S438">
        <f t="shared" si="117"/>
        <v>1002.6649899548004</v>
      </c>
      <c r="T438">
        <f t="shared" si="117"/>
        <v>1125.604709757928</v>
      </c>
      <c r="U438">
        <f t="shared" si="117"/>
        <v>1211.4068769134583</v>
      </c>
      <c r="V438">
        <f t="shared" si="117"/>
        <v>969.67171739286073</v>
      </c>
      <c r="W438">
        <f t="shared" si="117"/>
        <v>873.42626723356045</v>
      </c>
      <c r="X438">
        <f t="shared" si="117"/>
        <v>832.40508999649853</v>
      </c>
      <c r="Y438">
        <f t="shared" si="117"/>
        <v>944.44867950361879</v>
      </c>
      <c r="Z438">
        <f t="shared" si="117"/>
        <v>1008.6876849635962</v>
      </c>
      <c r="AA438">
        <f t="shared" si="117"/>
        <v>976.40065260504912</v>
      </c>
      <c r="AB438">
        <f t="shared" si="117"/>
        <v>988.35669729544747</v>
      </c>
      <c r="AC438">
        <f t="shared" si="117"/>
        <v>923.36850203928373</v>
      </c>
      <c r="AD438">
        <f t="shared" si="117"/>
        <v>1066.1342645426957</v>
      </c>
      <c r="AE438">
        <f t="shared" si="117"/>
        <v>963.23981965000235</v>
      </c>
      <c r="AF438">
        <f t="shared" si="117"/>
        <v>1094.8196847516158</v>
      </c>
      <c r="AG438">
        <f t="shared" si="117"/>
        <v>958.23078604304851</v>
      </c>
      <c r="AH438">
        <f t="shared" si="117"/>
        <v>920.4412636682855</v>
      </c>
      <c r="AI438">
        <f t="shared" si="117"/>
        <v>1003.7270496767937</v>
      </c>
      <c r="AJ438">
        <f t="shared" si="117"/>
        <v>906.86354201913434</v>
      </c>
      <c r="AK438">
        <f t="shared" si="117"/>
        <v>1074.0069367206956</v>
      </c>
      <c r="AL438">
        <f t="shared" si="117"/>
        <v>1025.7817971572972</v>
      </c>
      <c r="AM438">
        <f t="shared" si="117"/>
        <v>930.08392160706046</v>
      </c>
    </row>
    <row r="439" spans="1:39" x14ac:dyDescent="0.25">
      <c r="A439" t="s">
        <v>21</v>
      </c>
      <c r="D439" cm="1">
        <f t="array" ref="D439">IFERROR(
  _xlfn.LET(
    _xlpm.ligpartie, MATCH($B438, Donnees!$F:$F, 0),
    _xlpm.joueurs, INDEX(Donnees!$A:$Z, _xlpm.ligpartie+1, _xlfn.SEQUENCE(1, 4, 2)),
    INDEX(
      Donnees!$A:$Z,
      _xlpm.ligpartie + 3,
      MATCH(D$1, _xlpm.joueurs, 0) + 1
    )
  ), ""
)</f>
        <v>3</v>
      </c>
      <c r="E439" t="str" cm="1">
        <f t="array" ref="E439">IFERROR(
  _xlfn.LET(
    _xlpm.ligpartie, MATCH($B438, Donnees!$F:$F, 0),
    _xlpm.joueurs, INDEX(Donnees!$A:$Z, _xlpm.ligpartie+1, _xlfn.SEQUENCE(1, 4, 2)),
    INDEX(
      Donnees!$A:$Z,
      _xlpm.ligpartie + 3,
      MATCH(E$1, _xlpm.joueurs, 0) + 1
    )
  ), ""
)</f>
        <v/>
      </c>
      <c r="F439" t="str" cm="1">
        <f t="array" ref="F439">IFERROR(
  _xlfn.LET(
    _xlpm.ligpartie, MATCH($B438, Donnees!$F:$F, 0),
    _xlpm.joueurs, INDEX(Donnees!$A:$Z, _xlpm.ligpartie+1, _xlfn.SEQUENCE(1, 4, 2)),
    INDEX(
      Donnees!$A:$Z,
      _xlpm.ligpartie + 3,
      MATCH(F$1, _xlpm.joueurs, 0) + 1
    )
  ), ""
)</f>
        <v/>
      </c>
      <c r="G439" t="str" cm="1">
        <f t="array" ref="G439">IFERROR(
  _xlfn.LET(
    _xlpm.ligpartie, MATCH($B438, Donnees!$F:$F, 0),
    _xlpm.joueurs, INDEX(Donnees!$A:$Z, _xlpm.ligpartie+1, _xlfn.SEQUENCE(1, 4, 2)),
    INDEX(
      Donnees!$A:$Z,
      _xlpm.ligpartie + 3,
      MATCH(G$1, _xlpm.joueurs, 0) + 1
    )
  ), ""
)</f>
        <v/>
      </c>
      <c r="H439" t="str" cm="1">
        <f t="array" ref="H439">IFERROR(
  _xlfn.LET(
    _xlpm.ligpartie, MATCH($B438, Donnees!$F:$F, 0),
    _xlpm.joueurs, INDEX(Donnees!$A:$Z, _xlpm.ligpartie+1, _xlfn.SEQUENCE(1, 4, 2)),
    INDEX(
      Donnees!$A:$Z,
      _xlpm.ligpartie + 3,
      MATCH(H$1, _xlpm.joueurs, 0) + 1
    )
  ), ""
)</f>
        <v/>
      </c>
      <c r="I439" t="str" cm="1">
        <f t="array" ref="I439">IFERROR(
  _xlfn.LET(
    _xlpm.ligpartie, MATCH($B438, Donnees!$F:$F, 0),
    _xlpm.joueurs, INDEX(Donnees!$A:$Z, _xlpm.ligpartie+1, _xlfn.SEQUENCE(1, 4, 2)),
    INDEX(
      Donnees!$A:$Z,
      _xlpm.ligpartie + 3,
      MATCH(I$1, _xlpm.joueurs, 0) + 1
    )
  ), ""
)</f>
        <v/>
      </c>
      <c r="J439" t="str" cm="1">
        <f t="array" ref="J439">IFERROR(
  _xlfn.LET(
    _xlpm.ligpartie, MATCH($B438, Donnees!$F:$F, 0),
    _xlpm.joueurs, INDEX(Donnees!$A:$Z, _xlpm.ligpartie+1, _xlfn.SEQUENCE(1, 4, 2)),
    INDEX(
      Donnees!$A:$Z,
      _xlpm.ligpartie + 3,
      MATCH(J$1, _xlpm.joueurs, 0) + 1
    )
  ), ""
)</f>
        <v/>
      </c>
      <c r="K439" t="str" cm="1">
        <f t="array" ref="K439">IFERROR(
  _xlfn.LET(
    _xlpm.ligpartie, MATCH($B438, Donnees!$F:$F, 0),
    _xlpm.joueurs, INDEX(Donnees!$A:$Z, _xlpm.ligpartie+1, _xlfn.SEQUENCE(1, 4, 2)),
    INDEX(
      Donnees!$A:$Z,
      _xlpm.ligpartie + 3,
      MATCH(K$1, _xlpm.joueurs, 0) + 1
    )
  ), ""
)</f>
        <v/>
      </c>
      <c r="L439" t="str" cm="1">
        <f t="array" ref="L439">IFERROR(
  _xlfn.LET(
    _xlpm.ligpartie, MATCH($B438, Donnees!$F:$F, 0),
    _xlpm.joueurs, INDEX(Donnees!$A:$Z, _xlpm.ligpartie+1, _xlfn.SEQUENCE(1, 4, 2)),
    INDEX(
      Donnees!$A:$Z,
      _xlpm.ligpartie + 3,
      MATCH(L$1, _xlpm.joueurs, 0) + 1
    )
  ), ""
)</f>
        <v/>
      </c>
      <c r="M439" t="str" cm="1">
        <f t="array" ref="M439">IFERROR(
  _xlfn.LET(
    _xlpm.ligpartie, MATCH($B438, Donnees!$F:$F, 0),
    _xlpm.joueurs, INDEX(Donnees!$A:$Z, _xlpm.ligpartie+1, _xlfn.SEQUENCE(1, 4, 2)),
    INDEX(
      Donnees!$A:$Z,
      _xlpm.ligpartie + 3,
      MATCH(M$1, _xlpm.joueurs, 0) + 1
    )
  ), ""
)</f>
        <v/>
      </c>
      <c r="N439" t="str" cm="1">
        <f t="array" ref="N439">IFERROR(
  _xlfn.LET(
    _xlpm.ligpartie, MATCH($B438, Donnees!$F:$F, 0),
    _xlpm.joueurs, INDEX(Donnees!$A:$Z, _xlpm.ligpartie+1, _xlfn.SEQUENCE(1, 4, 2)),
    INDEX(
      Donnees!$A:$Z,
      _xlpm.ligpartie + 3,
      MATCH(N$1, _xlpm.joueurs, 0) + 1
    )
  ), ""
)</f>
        <v/>
      </c>
      <c r="O439" t="str" cm="1">
        <f t="array" ref="O439">IFERROR(
  _xlfn.LET(
    _xlpm.ligpartie, MATCH($B438, Donnees!$F:$F, 0),
    _xlpm.joueurs, INDEX(Donnees!$A:$Z, _xlpm.ligpartie+1, _xlfn.SEQUENCE(1, 4, 2)),
    INDEX(
      Donnees!$A:$Z,
      _xlpm.ligpartie + 3,
      MATCH(O$1, _xlpm.joueurs, 0) + 1
    )
  ), ""
)</f>
        <v/>
      </c>
      <c r="P439" t="str" cm="1">
        <f t="array" ref="P439">IFERROR(
  _xlfn.LET(
    _xlpm.ligpartie, MATCH($B438, Donnees!$F:$F, 0),
    _xlpm.joueurs, INDEX(Donnees!$A:$Z, _xlpm.ligpartie+1, _xlfn.SEQUENCE(1, 4, 2)),
    INDEX(
      Donnees!$A:$Z,
      _xlpm.ligpartie + 3,
      MATCH(P$1, _xlpm.joueurs, 0) + 1
    )
  ), ""
)</f>
        <v/>
      </c>
      <c r="Q439" t="str" cm="1">
        <f t="array" ref="Q439">IFERROR(
  _xlfn.LET(
    _xlpm.ligpartie, MATCH($B438, Donnees!$F:$F, 0),
    _xlpm.joueurs, INDEX(Donnees!$A:$Z, _xlpm.ligpartie+1, _xlfn.SEQUENCE(1, 4, 2)),
    INDEX(
      Donnees!$A:$Z,
      _xlpm.ligpartie + 3,
      MATCH(Q$1, _xlpm.joueurs, 0) + 1
    )
  ), ""
)</f>
        <v/>
      </c>
      <c r="R439" cm="1">
        <f t="array" ref="R439">IFERROR(
  _xlfn.LET(
    _xlpm.ligpartie, MATCH($B438, Donnees!$F:$F, 0),
    _xlpm.joueurs, INDEX(Donnees!$A:$Z, _xlpm.ligpartie+1, _xlfn.SEQUENCE(1, 4, 2)),
    INDEX(
      Donnees!$A:$Z,
      _xlpm.ligpartie + 3,
      MATCH(R$1, _xlpm.joueurs, 0) + 1
    )
  ), ""
)</f>
        <v>2</v>
      </c>
      <c r="S439" t="str" cm="1">
        <f t="array" ref="S439">IFERROR(
  _xlfn.LET(
    _xlpm.ligpartie, MATCH($B438, Donnees!$F:$F, 0),
    _xlpm.joueurs, INDEX(Donnees!$A:$Z, _xlpm.ligpartie+1, _xlfn.SEQUENCE(1, 4, 2)),
    INDEX(
      Donnees!$A:$Z,
      _xlpm.ligpartie + 3,
      MATCH(S$1, _xlpm.joueurs, 0) + 1
    )
  ), ""
)</f>
        <v/>
      </c>
      <c r="T439" t="str" cm="1">
        <f t="array" ref="T439">IFERROR(
  _xlfn.LET(
    _xlpm.ligpartie, MATCH($B438, Donnees!$F:$F, 0),
    _xlpm.joueurs, INDEX(Donnees!$A:$Z, _xlpm.ligpartie+1, _xlfn.SEQUENCE(1, 4, 2)),
    INDEX(
      Donnees!$A:$Z,
      _xlpm.ligpartie + 3,
      MATCH(T$1, _xlpm.joueurs, 0) + 1
    )
  ), ""
)</f>
        <v/>
      </c>
      <c r="U439" cm="1">
        <f t="array" ref="U439">IFERROR(
  _xlfn.LET(
    _xlpm.ligpartie, MATCH($B438, Donnees!$F:$F, 0),
    _xlpm.joueurs, INDEX(Donnees!$A:$Z, _xlpm.ligpartie+1, _xlfn.SEQUENCE(1, 4, 2)),
    INDEX(
      Donnees!$A:$Z,
      _xlpm.ligpartie + 3,
      MATCH(U$1, _xlpm.joueurs, 0) + 1
    )
  ), ""
)</f>
        <v>0</v>
      </c>
      <c r="V439" t="str" cm="1">
        <f t="array" ref="V439">IFERROR(
  _xlfn.LET(
    _xlpm.ligpartie, MATCH($B438, Donnees!$F:$F, 0),
    _xlpm.joueurs, INDEX(Donnees!$A:$Z, _xlpm.ligpartie+1, _xlfn.SEQUENCE(1, 4, 2)),
    INDEX(
      Donnees!$A:$Z,
      _xlpm.ligpartie + 3,
      MATCH(V$1, _xlpm.joueurs, 0) + 1
    )
  ), ""
)</f>
        <v/>
      </c>
      <c r="W439" t="str" cm="1">
        <f t="array" ref="W439">IFERROR(
  _xlfn.LET(
    _xlpm.ligpartie, MATCH($B438, Donnees!$F:$F, 0),
    _xlpm.joueurs, INDEX(Donnees!$A:$Z, _xlpm.ligpartie+1, _xlfn.SEQUENCE(1, 4, 2)),
    INDEX(
      Donnees!$A:$Z,
      _xlpm.ligpartie + 3,
      MATCH(W$1, _xlpm.joueurs, 0) + 1
    )
  ), ""
)</f>
        <v/>
      </c>
      <c r="X439" t="str" cm="1">
        <f t="array" ref="X439">IFERROR(
  _xlfn.LET(
    _xlpm.ligpartie, MATCH($B438, Donnees!$F:$F, 0),
    _xlpm.joueurs, INDEX(Donnees!$A:$Z, _xlpm.ligpartie+1, _xlfn.SEQUENCE(1, 4, 2)),
    INDEX(
      Donnees!$A:$Z,
      _xlpm.ligpartie + 3,
      MATCH(X$1, _xlpm.joueurs, 0) + 1
    )
  ), ""
)</f>
        <v/>
      </c>
      <c r="Y439" t="str" cm="1">
        <f t="array" ref="Y439">IFERROR(
  _xlfn.LET(
    _xlpm.ligpartie, MATCH($B438, Donnees!$F:$F, 0),
    _xlpm.joueurs, INDEX(Donnees!$A:$Z, _xlpm.ligpartie+1, _xlfn.SEQUENCE(1, 4, 2)),
    INDEX(
      Donnees!$A:$Z,
      _xlpm.ligpartie + 3,
      MATCH(Y$1, _xlpm.joueurs, 0) + 1
    )
  ), ""
)</f>
        <v/>
      </c>
      <c r="Z439" t="str" cm="1">
        <f t="array" ref="Z439">IFERROR(
  _xlfn.LET(
    _xlpm.ligpartie, MATCH($B438, Donnees!$F:$F, 0),
    _xlpm.joueurs, INDEX(Donnees!$A:$Z, _xlpm.ligpartie+1, _xlfn.SEQUENCE(1, 4, 2)),
    INDEX(
      Donnees!$A:$Z,
      _xlpm.ligpartie + 3,
      MATCH(Z$1, _xlpm.joueurs, 0) + 1
    )
  ), ""
)</f>
        <v/>
      </c>
      <c r="AA439" t="str" cm="1">
        <f t="array" ref="AA439">IFERROR(
  _xlfn.LET(
    _xlpm.ligpartie, MATCH($B438, Donnees!$F:$F, 0),
    _xlpm.joueurs, INDEX(Donnees!$A:$Z, _xlpm.ligpartie+1, _xlfn.SEQUENCE(1, 4, 2)),
    INDEX(
      Donnees!$A:$Z,
      _xlpm.ligpartie + 3,
      MATCH(AA$1, _xlpm.joueurs, 0) + 1
    )
  ), ""
)</f>
        <v/>
      </c>
      <c r="AB439" t="str" cm="1">
        <f t="array" ref="AB439">IFERROR(
  _xlfn.LET(
    _xlpm.ligpartie, MATCH($B438, Donnees!$F:$F, 0),
    _xlpm.joueurs, INDEX(Donnees!$A:$Z, _xlpm.ligpartie+1, _xlfn.SEQUENCE(1, 4, 2)),
    INDEX(
      Donnees!$A:$Z,
      _xlpm.ligpartie + 3,
      MATCH(AB$1, _xlpm.joueurs, 0) + 1
    )
  ), ""
)</f>
        <v/>
      </c>
      <c r="AC439" t="str" cm="1">
        <f t="array" ref="AC439">IFERROR(
  _xlfn.LET(
    _xlpm.ligpartie, MATCH($B438, Donnees!$F:$F, 0),
    _xlpm.joueurs, INDEX(Donnees!$A:$Z, _xlpm.ligpartie+1, _xlfn.SEQUENCE(1, 4, 2)),
    INDEX(
      Donnees!$A:$Z,
      _xlpm.ligpartie + 3,
      MATCH(AC$1, _xlpm.joueurs, 0) + 1
    )
  ), ""
)</f>
        <v/>
      </c>
      <c r="AD439" cm="1">
        <f t="array" ref="AD439">IFERROR(
  _xlfn.LET(
    _xlpm.ligpartie, MATCH($B438, Donnees!$F:$F, 0),
    _xlpm.joueurs, INDEX(Donnees!$A:$Z, _xlpm.ligpartie+1, _xlfn.SEQUENCE(1, 4, 2)),
    INDEX(
      Donnees!$A:$Z,
      _xlpm.ligpartie + 3,
      MATCH(AD$1, _xlpm.joueurs, 0) + 1
    )
  ), ""
)</f>
        <v>1</v>
      </c>
      <c r="AE439" t="str" cm="1">
        <f t="array" ref="AE439">IFERROR(
  _xlfn.LET(
    _xlpm.ligpartie, MATCH($B438, Donnees!$F:$F, 0),
    _xlpm.joueurs, INDEX(Donnees!$A:$Z, _xlpm.ligpartie+1, _xlfn.SEQUENCE(1, 4, 2)),
    INDEX(
      Donnees!$A:$Z,
      _xlpm.ligpartie + 3,
      MATCH(AE$1, _xlpm.joueurs, 0) + 1
    )
  ), ""
)</f>
        <v/>
      </c>
      <c r="AF439" t="str" cm="1">
        <f t="array" ref="AF439">IFERROR(
  _xlfn.LET(
    _xlpm.ligpartie, MATCH($B438, Donnees!$F:$F, 0),
    _xlpm.joueurs, INDEX(Donnees!$A:$Z, _xlpm.ligpartie+1, _xlfn.SEQUENCE(1, 4, 2)),
    INDEX(
      Donnees!$A:$Z,
      _xlpm.ligpartie + 3,
      MATCH(AF$1, _xlpm.joueurs, 0) + 1
    )
  ), ""
)</f>
        <v/>
      </c>
      <c r="AG439" t="str" cm="1">
        <f t="array" ref="AG439">IFERROR(
  _xlfn.LET(
    _xlpm.ligpartie, MATCH($B438, Donnees!$F:$F, 0),
    _xlpm.joueurs, INDEX(Donnees!$A:$Z, _xlpm.ligpartie+1, _xlfn.SEQUENCE(1, 4, 2)),
    INDEX(
      Donnees!$A:$Z,
      _xlpm.ligpartie + 3,
      MATCH(AG$1, _xlpm.joueurs, 0) + 1
    )
  ), ""
)</f>
        <v/>
      </c>
      <c r="AH439" t="str" cm="1">
        <f t="array" ref="AH439">IFERROR(
  _xlfn.LET(
    _xlpm.ligpartie, MATCH($B438, Donnees!$F:$F, 0),
    _xlpm.joueurs, INDEX(Donnees!$A:$Z, _xlpm.ligpartie+1, _xlfn.SEQUENCE(1, 4, 2)),
    INDEX(
      Donnees!$A:$Z,
      _xlpm.ligpartie + 3,
      MATCH(AH$1, _xlpm.joueurs, 0) + 1
    )
  ), ""
)</f>
        <v/>
      </c>
      <c r="AI439" t="str" cm="1">
        <f t="array" ref="AI439">IFERROR(
  _xlfn.LET(
    _xlpm.ligpartie, MATCH($B438, Donnees!$F:$F, 0),
    _xlpm.joueurs, INDEX(Donnees!$A:$Z, _xlpm.ligpartie+1, _xlfn.SEQUENCE(1, 4, 2)),
    INDEX(
      Donnees!$A:$Z,
      _xlpm.ligpartie + 3,
      MATCH(AI$1, _xlpm.joueurs, 0) + 1
    )
  ), ""
)</f>
        <v/>
      </c>
      <c r="AJ439" t="str" cm="1">
        <f t="array" ref="AJ439">IFERROR(
  _xlfn.LET(
    _xlpm.ligpartie, MATCH($B438, Donnees!$F:$F, 0),
    _xlpm.joueurs, INDEX(Donnees!$A:$Z, _xlpm.ligpartie+1, _xlfn.SEQUENCE(1, 4, 2)),
    INDEX(
      Donnees!$A:$Z,
      _xlpm.ligpartie + 3,
      MATCH(AJ$1, _xlpm.joueurs, 0) + 1
    )
  ), ""
)</f>
        <v/>
      </c>
      <c r="AK439" t="str" cm="1">
        <f t="array" ref="AK439">IFERROR(
  _xlfn.LET(
    _xlpm.ligpartie, MATCH($B438, Donnees!$F:$F, 0),
    _xlpm.joueurs, INDEX(Donnees!$A:$Z, _xlpm.ligpartie+1, _xlfn.SEQUENCE(1, 4, 2)),
    INDEX(
      Donnees!$A:$Z,
      _xlpm.ligpartie + 3,
      MATCH(AK$1, _xlpm.joueurs, 0) + 1
    )
  ), ""
)</f>
        <v/>
      </c>
      <c r="AL439" t="str" cm="1">
        <f t="array" ref="AL439">IFERROR(
  _xlfn.LET(
    _xlpm.ligpartie, MATCH($B438, Donnees!$F:$F, 0),
    _xlpm.joueurs, INDEX(Donnees!$A:$Z, _xlpm.ligpartie+1, _xlfn.SEQUENCE(1, 4, 2)),
    INDEX(
      Donnees!$A:$Z,
      _xlpm.ligpartie + 3,
      MATCH(AL$1, _xlpm.joueurs, 0) + 1
    )
  ), ""
)</f>
        <v/>
      </c>
      <c r="AM439" t="str" cm="1">
        <f t="array" ref="AM439">IFERROR(
  _xlfn.LET(
    _xlpm.ligpartie, MATCH($B438, Donnees!$F:$F, 0),
    _xlpm.joueurs, INDEX(Donnees!$A:$Z, _xlpm.ligpartie+1, _xlfn.SEQUENCE(1, 4, 2)),
    INDEX(
      Donnees!$A:$Z,
      _xlpm.ligpartie + 3,
      MATCH(AM$1, _xlpm.joueurs, 0) + 1
    )
  ), ""
)</f>
        <v/>
      </c>
    </row>
    <row r="440" spans="1:39" x14ac:dyDescent="0.25">
      <c r="A440" t="s">
        <v>20</v>
      </c>
      <c r="D440" cm="1">
        <f t="array" ref="D440">_xlfn.LET(
  _xlpm.colj, _xlfn._xlws.FILTER(IF(ISNUMBER(439:439), COLUMN(439:439)), ISNUMBER(439:439)),
  _xlpm.elos, INDEX(438:438,1,_xlpm.colj),
  _xlpm.diffscale, Constantes!$B$2,
  IF(D439="",
    "",
    SUM(1/(1+POWER(10,-(D438-_xlpm.elos)/_xlpm.diffscale)))-0.5)
)</f>
        <v>0.95796276183563367</v>
      </c>
      <c r="E440" t="str" cm="1">
        <f t="array" ref="E440">_xlfn.LET(
  _xlpm.colj, _xlfn._xlws.FILTER(IF(ISNUMBER(439:439), COLUMN(439:439)), ISNUMBER(439:439)),
  _xlpm.elos, INDEX(438:438,1,_xlpm.colj),
  _xlpm.diffscale, Constantes!$B$2,
  IF(E439="",
    "",
    SUM(1/(1+POWER(10,-(E438-_xlpm.elos)/_xlpm.diffscale)))-0.5)
)</f>
        <v/>
      </c>
      <c r="F440" t="str" cm="1">
        <f t="array" ref="F440">_xlfn.LET(
  _xlpm.colj, _xlfn._xlws.FILTER(IF(ISNUMBER(439:439), COLUMN(439:439)), ISNUMBER(439:439)),
  _xlpm.elos, INDEX(438:438,1,_xlpm.colj),
  _xlpm.diffscale, Constantes!$B$2,
  IF(F439="",
    "",
    SUM(1/(1+POWER(10,-(F438-_xlpm.elos)/_xlpm.diffscale)))-0.5)
)</f>
        <v/>
      </c>
      <c r="G440" t="str" cm="1">
        <f t="array" ref="G440">_xlfn.LET(
  _xlpm.colj, _xlfn._xlws.FILTER(IF(ISNUMBER(439:439), COLUMN(439:439)), ISNUMBER(439:439)),
  _xlpm.elos, INDEX(438:438,1,_xlpm.colj),
  _xlpm.diffscale, Constantes!$B$2,
  IF(G439="",
    "",
    SUM(1/(1+POWER(10,-(G438-_xlpm.elos)/_xlpm.diffscale)))-0.5)
)</f>
        <v/>
      </c>
      <c r="H440" t="str" cm="1">
        <f t="array" ref="H440">_xlfn.LET(
  _xlpm.colj, _xlfn._xlws.FILTER(IF(ISNUMBER(439:439), COLUMN(439:439)), ISNUMBER(439:439)),
  _xlpm.elos, INDEX(438:438,1,_xlpm.colj),
  _xlpm.diffscale, Constantes!$B$2,
  IF(H439="",
    "",
    SUM(1/(1+POWER(10,-(H438-_xlpm.elos)/_xlpm.diffscale)))-0.5)
)</f>
        <v/>
      </c>
      <c r="I440" t="str" cm="1">
        <f t="array" ref="I440">_xlfn.LET(
  _xlpm.colj, _xlfn._xlws.FILTER(IF(ISNUMBER(439:439), COLUMN(439:439)), ISNUMBER(439:439)),
  _xlpm.elos, INDEX(438:438,1,_xlpm.colj),
  _xlpm.diffscale, Constantes!$B$2,
  IF(I439="",
    "",
    SUM(1/(1+POWER(10,-(I438-_xlpm.elos)/_xlpm.diffscale)))-0.5)
)</f>
        <v/>
      </c>
      <c r="J440" t="str" cm="1">
        <f t="array" ref="J440">_xlfn.LET(
  _xlpm.colj, _xlfn._xlws.FILTER(IF(ISNUMBER(439:439), COLUMN(439:439)), ISNUMBER(439:439)),
  _xlpm.elos, INDEX(438:438,1,_xlpm.colj),
  _xlpm.diffscale, Constantes!$B$2,
  IF(J439="",
    "",
    SUM(1/(1+POWER(10,-(J438-_xlpm.elos)/_xlpm.diffscale)))-0.5)
)</f>
        <v/>
      </c>
      <c r="K440" t="str" cm="1">
        <f t="array" ref="K440">_xlfn.LET(
  _xlpm.colj, _xlfn._xlws.FILTER(IF(ISNUMBER(439:439), COLUMN(439:439)), ISNUMBER(439:439)),
  _xlpm.elos, INDEX(438:438,1,_xlpm.colj),
  _xlpm.diffscale, Constantes!$B$2,
  IF(K439="",
    "",
    SUM(1/(1+POWER(10,-(K438-_xlpm.elos)/_xlpm.diffscale)))-0.5)
)</f>
        <v/>
      </c>
      <c r="L440" t="str" cm="1">
        <f t="array" ref="L440">_xlfn.LET(
  _xlpm.colj, _xlfn._xlws.FILTER(IF(ISNUMBER(439:439), COLUMN(439:439)), ISNUMBER(439:439)),
  _xlpm.elos, INDEX(438:438,1,_xlpm.colj),
  _xlpm.diffscale, Constantes!$B$2,
  IF(L439="",
    "",
    SUM(1/(1+POWER(10,-(L438-_xlpm.elos)/_xlpm.diffscale)))-0.5)
)</f>
        <v/>
      </c>
      <c r="M440" t="str" cm="1">
        <f t="array" ref="M440">_xlfn.LET(
  _xlpm.colj, _xlfn._xlws.FILTER(IF(ISNUMBER(439:439), COLUMN(439:439)), ISNUMBER(439:439)),
  _xlpm.elos, INDEX(438:438,1,_xlpm.colj),
  _xlpm.diffscale, Constantes!$B$2,
  IF(M439="",
    "",
    SUM(1/(1+POWER(10,-(M438-_xlpm.elos)/_xlpm.diffscale)))-0.5)
)</f>
        <v/>
      </c>
      <c r="N440" t="str" cm="1">
        <f t="array" ref="N440">_xlfn.LET(
  _xlpm.colj, _xlfn._xlws.FILTER(IF(ISNUMBER(439:439), COLUMN(439:439)), ISNUMBER(439:439)),
  _xlpm.elos, INDEX(438:438,1,_xlpm.colj),
  _xlpm.diffscale, Constantes!$B$2,
  IF(N439="",
    "",
    SUM(1/(1+POWER(10,-(N438-_xlpm.elos)/_xlpm.diffscale)))-0.5)
)</f>
        <v/>
      </c>
      <c r="O440" t="str" cm="1">
        <f t="array" ref="O440">_xlfn.LET(
  _xlpm.colj, _xlfn._xlws.FILTER(IF(ISNUMBER(439:439), COLUMN(439:439)), ISNUMBER(439:439)),
  _xlpm.elos, INDEX(438:438,1,_xlpm.colj),
  _xlpm.diffscale, Constantes!$B$2,
  IF(O439="",
    "",
    SUM(1/(1+POWER(10,-(O438-_xlpm.elos)/_xlpm.diffscale)))-0.5)
)</f>
        <v/>
      </c>
      <c r="P440" t="str" cm="1">
        <f t="array" ref="P440">_xlfn.LET(
  _xlpm.colj, _xlfn._xlws.FILTER(IF(ISNUMBER(439:439), COLUMN(439:439)), ISNUMBER(439:439)),
  _xlpm.elos, INDEX(438:438,1,_xlpm.colj),
  _xlpm.diffscale, Constantes!$B$2,
  IF(P439="",
    "",
    SUM(1/(1+POWER(10,-(P438-_xlpm.elos)/_xlpm.diffscale)))-0.5)
)</f>
        <v/>
      </c>
      <c r="Q440" t="str" cm="1">
        <f t="array" ref="Q440">_xlfn.LET(
  _xlpm.colj, _xlfn._xlws.FILTER(IF(ISNUMBER(439:439), COLUMN(439:439)), ISNUMBER(439:439)),
  _xlpm.elos, INDEX(438:438,1,_xlpm.colj),
  _xlpm.diffscale, Constantes!$B$2,
  IF(Q439="",
    "",
    SUM(1/(1+POWER(10,-(Q438-_xlpm.elos)/_xlpm.diffscale)))-0.5)
)</f>
        <v/>
      </c>
      <c r="R440" cm="1">
        <f t="array" ref="R440">_xlfn.LET(
  _xlpm.colj, _xlfn._xlws.FILTER(IF(ISNUMBER(439:439), COLUMN(439:439)), ISNUMBER(439:439)),
  _xlpm.elos, INDEX(438:438,1,_xlpm.colj),
  _xlpm.diffscale, Constantes!$B$2,
  IF(R439="",
    "",
    SUM(1/(1+POWER(10,-(R438-_xlpm.elos)/_xlpm.diffscale)))-0.5)
)</f>
        <v>1.343439392962714</v>
      </c>
      <c r="S440" t="str" cm="1">
        <f t="array" ref="S440">_xlfn.LET(
  _xlpm.colj, _xlfn._xlws.FILTER(IF(ISNUMBER(439:439), COLUMN(439:439)), ISNUMBER(439:439)),
  _xlpm.elos, INDEX(438:438,1,_xlpm.colj),
  _xlpm.diffscale, Constantes!$B$2,
  IF(S439="",
    "",
    SUM(1/(1+POWER(10,-(S438-_xlpm.elos)/_xlpm.diffscale)))-0.5)
)</f>
        <v/>
      </c>
      <c r="T440" t="str" cm="1">
        <f t="array" ref="T440">_xlfn.LET(
  _xlpm.colj, _xlfn._xlws.FILTER(IF(ISNUMBER(439:439), COLUMN(439:439)), ISNUMBER(439:439)),
  _xlpm.elos, INDEX(438:438,1,_xlpm.colj),
  _xlpm.diffscale, Constantes!$B$2,
  IF(T439="",
    "",
    SUM(1/(1+POWER(10,-(T438-_xlpm.elos)/_xlpm.diffscale)))-0.5)
)</f>
        <v/>
      </c>
      <c r="U440" cm="1">
        <f t="array" ref="U440">_xlfn.LET(
  _xlpm.colj, _xlfn._xlws.FILTER(IF(ISNUMBER(439:439), COLUMN(439:439)), ISNUMBER(439:439)),
  _xlpm.elos, INDEX(438:438,1,_xlpm.colj),
  _xlpm.diffscale, Constantes!$B$2,
  IF(U439="",
    "",
    SUM(1/(1+POWER(10,-(U438-_xlpm.elos)/_xlpm.diffscale)))-0.5)
)</f>
        <v>2.2252943641763485</v>
      </c>
      <c r="V440" t="str" cm="1">
        <f t="array" ref="V440">_xlfn.LET(
  _xlpm.colj, _xlfn._xlws.FILTER(IF(ISNUMBER(439:439), COLUMN(439:439)), ISNUMBER(439:439)),
  _xlpm.elos, INDEX(438:438,1,_xlpm.colj),
  _xlpm.diffscale, Constantes!$B$2,
  IF(V439="",
    "",
    SUM(1/(1+POWER(10,-(V438-_xlpm.elos)/_xlpm.diffscale)))-0.5)
)</f>
        <v/>
      </c>
      <c r="W440" t="str" cm="1">
        <f t="array" ref="W440">_xlfn.LET(
  _xlpm.colj, _xlfn._xlws.FILTER(IF(ISNUMBER(439:439), COLUMN(439:439)), ISNUMBER(439:439)),
  _xlpm.elos, INDEX(438:438,1,_xlpm.colj),
  _xlpm.diffscale, Constantes!$B$2,
  IF(W439="",
    "",
    SUM(1/(1+POWER(10,-(W438-_xlpm.elos)/_xlpm.diffscale)))-0.5)
)</f>
        <v/>
      </c>
      <c r="X440" t="str" cm="1">
        <f t="array" ref="X440">_xlfn.LET(
  _xlpm.colj, _xlfn._xlws.FILTER(IF(ISNUMBER(439:439), COLUMN(439:439)), ISNUMBER(439:439)),
  _xlpm.elos, INDEX(438:438,1,_xlpm.colj),
  _xlpm.diffscale, Constantes!$B$2,
  IF(X439="",
    "",
    SUM(1/(1+POWER(10,-(X438-_xlpm.elos)/_xlpm.diffscale)))-0.5)
)</f>
        <v/>
      </c>
      <c r="Y440" t="str" cm="1">
        <f t="array" ref="Y440">_xlfn.LET(
  _xlpm.colj, _xlfn._xlws.FILTER(IF(ISNUMBER(439:439), COLUMN(439:439)), ISNUMBER(439:439)),
  _xlpm.elos, INDEX(438:438,1,_xlpm.colj),
  _xlpm.diffscale, Constantes!$B$2,
  IF(Y439="",
    "",
    SUM(1/(1+POWER(10,-(Y438-_xlpm.elos)/_xlpm.diffscale)))-0.5)
)</f>
        <v/>
      </c>
      <c r="Z440" t="str" cm="1">
        <f t="array" ref="Z440">_xlfn.LET(
  _xlpm.colj, _xlfn._xlws.FILTER(IF(ISNUMBER(439:439), COLUMN(439:439)), ISNUMBER(439:439)),
  _xlpm.elos, INDEX(438:438,1,_xlpm.colj),
  _xlpm.diffscale, Constantes!$B$2,
  IF(Z439="",
    "",
    SUM(1/(1+POWER(10,-(Z438-_xlpm.elos)/_xlpm.diffscale)))-0.5)
)</f>
        <v/>
      </c>
      <c r="AA440" t="str" cm="1">
        <f t="array" ref="AA440">_xlfn.LET(
  _xlpm.colj, _xlfn._xlws.FILTER(IF(ISNUMBER(439:439), COLUMN(439:439)), ISNUMBER(439:439)),
  _xlpm.elos, INDEX(438:438,1,_xlpm.colj),
  _xlpm.diffscale, Constantes!$B$2,
  IF(AA439="",
    "",
    SUM(1/(1+POWER(10,-(AA438-_xlpm.elos)/_xlpm.diffscale)))-0.5)
)</f>
        <v/>
      </c>
      <c r="AB440" t="str" cm="1">
        <f t="array" ref="AB440">_xlfn.LET(
  _xlpm.colj, _xlfn._xlws.FILTER(IF(ISNUMBER(439:439), COLUMN(439:439)), ISNUMBER(439:439)),
  _xlpm.elos, INDEX(438:438,1,_xlpm.colj),
  _xlpm.diffscale, Constantes!$B$2,
  IF(AB439="",
    "",
    SUM(1/(1+POWER(10,-(AB438-_xlpm.elos)/_xlpm.diffscale)))-0.5)
)</f>
        <v/>
      </c>
      <c r="AC440" t="str" cm="1">
        <f t="array" ref="AC440">_xlfn.LET(
  _xlpm.colj, _xlfn._xlws.FILTER(IF(ISNUMBER(439:439), COLUMN(439:439)), ISNUMBER(439:439)),
  _xlpm.elos, INDEX(438:438,1,_xlpm.colj),
  _xlpm.diffscale, Constantes!$B$2,
  IF(AC439="",
    "",
    SUM(1/(1+POWER(10,-(AC438-_xlpm.elos)/_xlpm.diffscale)))-0.5)
)</f>
        <v/>
      </c>
      <c r="AD440" cm="1">
        <f t="array" ref="AD440">_xlfn.LET(
  _xlpm.colj, _xlfn._xlws.FILTER(IF(ISNUMBER(439:439), COLUMN(439:439)), ISNUMBER(439:439)),
  _xlpm.elos, INDEX(438:438,1,_xlpm.colj),
  _xlpm.diffscale, Constantes!$B$2,
  IF(AD439="",
    "",
    SUM(1/(1+POWER(10,-(AD438-_xlpm.elos)/_xlpm.diffscale)))-0.5)
)</f>
        <v>1.4733034810253041</v>
      </c>
      <c r="AE440" t="str" cm="1">
        <f t="array" ref="AE440">_xlfn.LET(
  _xlpm.colj, _xlfn._xlws.FILTER(IF(ISNUMBER(439:439), COLUMN(439:439)), ISNUMBER(439:439)),
  _xlpm.elos, INDEX(438:438,1,_xlpm.colj),
  _xlpm.diffscale, Constantes!$B$2,
  IF(AE439="",
    "",
    SUM(1/(1+POWER(10,-(AE438-_xlpm.elos)/_xlpm.diffscale)))-0.5)
)</f>
        <v/>
      </c>
      <c r="AF440" t="str" cm="1">
        <f t="array" ref="AF440">_xlfn.LET(
  _xlpm.colj, _xlfn._xlws.FILTER(IF(ISNUMBER(439:439), COLUMN(439:439)), ISNUMBER(439:439)),
  _xlpm.elos, INDEX(438:438,1,_xlpm.colj),
  _xlpm.diffscale, Constantes!$B$2,
  IF(AF439="",
    "",
    SUM(1/(1+POWER(10,-(AF438-_xlpm.elos)/_xlpm.diffscale)))-0.5)
)</f>
        <v/>
      </c>
      <c r="AG440" t="str" cm="1">
        <f t="array" ref="AG440">_xlfn.LET(
  _xlpm.colj, _xlfn._xlws.FILTER(IF(ISNUMBER(439:439), COLUMN(439:439)), ISNUMBER(439:439)),
  _xlpm.elos, INDEX(438:438,1,_xlpm.colj),
  _xlpm.diffscale, Constantes!$B$2,
  IF(AG439="",
    "",
    SUM(1/(1+POWER(10,-(AG438-_xlpm.elos)/_xlpm.diffscale)))-0.5)
)</f>
        <v/>
      </c>
      <c r="AH440" t="str" cm="1">
        <f t="array" ref="AH440">_xlfn.LET(
  _xlpm.colj, _xlfn._xlws.FILTER(IF(ISNUMBER(439:439), COLUMN(439:439)), ISNUMBER(439:439)),
  _xlpm.elos, INDEX(438:438,1,_xlpm.colj),
  _xlpm.diffscale, Constantes!$B$2,
  IF(AH439="",
    "",
    SUM(1/(1+POWER(10,-(AH438-_xlpm.elos)/_xlpm.diffscale)))-0.5)
)</f>
        <v/>
      </c>
      <c r="AI440" t="str" cm="1">
        <f t="array" ref="AI440">_xlfn.LET(
  _xlpm.colj, _xlfn._xlws.FILTER(IF(ISNUMBER(439:439), COLUMN(439:439)), ISNUMBER(439:439)),
  _xlpm.elos, INDEX(438:438,1,_xlpm.colj),
  _xlpm.diffscale, Constantes!$B$2,
  IF(AI439="",
    "",
    SUM(1/(1+POWER(10,-(AI438-_xlpm.elos)/_xlpm.diffscale)))-0.5)
)</f>
        <v/>
      </c>
      <c r="AJ440" t="str" cm="1">
        <f t="array" ref="AJ440">_xlfn.LET(
  _xlpm.colj, _xlfn._xlws.FILTER(IF(ISNUMBER(439:439), COLUMN(439:439)), ISNUMBER(439:439)),
  _xlpm.elos, INDEX(438:438,1,_xlpm.colj),
  _xlpm.diffscale, Constantes!$B$2,
  IF(AJ439="",
    "",
    SUM(1/(1+POWER(10,-(AJ438-_xlpm.elos)/_xlpm.diffscale)))-0.5)
)</f>
        <v/>
      </c>
      <c r="AK440" t="str" cm="1">
        <f t="array" ref="AK440">_xlfn.LET(
  _xlpm.colj, _xlfn._xlws.FILTER(IF(ISNUMBER(439:439), COLUMN(439:439)), ISNUMBER(439:439)),
  _xlpm.elos, INDEX(438:438,1,_xlpm.colj),
  _xlpm.diffscale, Constantes!$B$2,
  IF(AK439="",
    "",
    SUM(1/(1+POWER(10,-(AK438-_xlpm.elos)/_xlpm.diffscale)))-0.5)
)</f>
        <v/>
      </c>
      <c r="AL440" t="str" cm="1">
        <f t="array" ref="AL440">_xlfn.LET(
  _xlpm.colj, _xlfn._xlws.FILTER(IF(ISNUMBER(439:439), COLUMN(439:439)), ISNUMBER(439:439)),
  _xlpm.elos, INDEX(438:438,1,_xlpm.colj),
  _xlpm.diffscale, Constantes!$B$2,
  IF(AL439="",
    "",
    SUM(1/(1+POWER(10,-(AL438-_xlpm.elos)/_xlpm.diffscale)))-0.5)
)</f>
        <v/>
      </c>
      <c r="AM440" t="str" cm="1">
        <f t="array" ref="AM440">_xlfn.LET(
  _xlpm.colj, _xlfn._xlws.FILTER(IF(ISNUMBER(439:439), COLUMN(439:439)), ISNUMBER(439:439)),
  _xlpm.elos, INDEX(438:438,1,_xlpm.colj),
  _xlpm.diffscale, Constantes!$B$2,
  IF(AM439="",
    "",
    SUM(1/(1+POWER(10,-(AM438-_xlpm.elos)/_xlpm.diffscale)))-0.5)
)</f>
        <v/>
      </c>
    </row>
    <row r="441" spans="1:39" x14ac:dyDescent="0.25">
      <c r="A441" t="s">
        <v>22</v>
      </c>
      <c r="D441" cm="1">
        <f t="array" ref="D441">_xlfn.LET(
  _xlpm.K, Constantes!$B$3,
  _xlpm.Knewgain, Constantes!$B$4,
  _xlpm.Knewscale, Constantes!$B$5,
  _xlpm.ptstables, INDEX(D:D, _xlfn.SEQUENCE(COUNTA($C$2:$C441), 1, 3, 4)),
  _xlpm.nbparties, COUNTA(_xlfn._xlws.FILTER(_xlpm.ptstables, _xlpm.ptstables &lt;&gt; "")),
  _xlpm.coef, _xlpm.K + _xlpm.Knewgain / (_xlpm.Knewscale + _xlpm.nbparties),
  IF(D439="",
    "",
    _xlpm.coef * (D439-D440))
)</f>
        <v>45.279956150601166</v>
      </c>
      <c r="E441" t="str" cm="1">
        <f t="array" ref="E441">_xlfn.LET(
  _xlpm.K, Constantes!$B$3,
  _xlpm.Knewgain, Constantes!$B$4,
  _xlpm.Knewscale, Constantes!$B$5,
  _xlpm.ptstables, INDEX(E:E, _xlfn.SEQUENCE(COUNTA($C$2:$C441), 1, 3, 4)),
  _xlpm.nbparties, COUNTA(_xlfn._xlws.FILTER(_xlpm.ptstables, _xlpm.ptstables &lt;&gt; "")),
  _xlpm.coef, _xlpm.K + _xlpm.Knewgain / (_xlpm.Knewscale + _xlpm.nbparties),
  IF(E439="",
    "",
    _xlpm.coef * (E439-E440))
)</f>
        <v/>
      </c>
      <c r="F441" t="str" cm="1">
        <f t="array" ref="F441">_xlfn.LET(
  _xlpm.K, Constantes!$B$3,
  _xlpm.Knewgain, Constantes!$B$4,
  _xlpm.Knewscale, Constantes!$B$5,
  _xlpm.ptstables, INDEX(F:F, _xlfn.SEQUENCE(COUNTA($C$2:$C441), 1, 3, 4)),
  _xlpm.nbparties, COUNTA(_xlfn._xlws.FILTER(_xlpm.ptstables, _xlpm.ptstables &lt;&gt; "")),
  _xlpm.coef, _xlpm.K + _xlpm.Knewgain / (_xlpm.Knewscale + _xlpm.nbparties),
  IF(F439="",
    "",
    _xlpm.coef * (F439-F440))
)</f>
        <v/>
      </c>
      <c r="G441" t="str" cm="1">
        <f t="array" ref="G441">_xlfn.LET(
  _xlpm.K, Constantes!$B$3,
  _xlpm.Knewgain, Constantes!$B$4,
  _xlpm.Knewscale, Constantes!$B$5,
  _xlpm.ptstables, INDEX(G:G, _xlfn.SEQUENCE(COUNTA($C$2:$C441), 1, 3, 4)),
  _xlpm.nbparties, COUNTA(_xlfn._xlws.FILTER(_xlpm.ptstables, _xlpm.ptstables &lt;&gt; "")),
  _xlpm.coef, _xlpm.K + _xlpm.Knewgain / (_xlpm.Knewscale + _xlpm.nbparties),
  IF(G439="",
    "",
    _xlpm.coef * (G439-G440))
)</f>
        <v/>
      </c>
      <c r="H441" t="str" cm="1">
        <f t="array" ref="H441">_xlfn.LET(
  _xlpm.K, Constantes!$B$3,
  _xlpm.Knewgain, Constantes!$B$4,
  _xlpm.Knewscale, Constantes!$B$5,
  _xlpm.ptstables, INDEX(H:H, _xlfn.SEQUENCE(COUNTA($C$2:$C441), 1, 3, 4)),
  _xlpm.nbparties, COUNTA(_xlfn._xlws.FILTER(_xlpm.ptstables, _xlpm.ptstables &lt;&gt; "")),
  _xlpm.coef, _xlpm.K + _xlpm.Knewgain / (_xlpm.Knewscale + _xlpm.nbparties),
  IF(H439="",
    "",
    _xlpm.coef * (H439-H440))
)</f>
        <v/>
      </c>
      <c r="I441" t="str" cm="1">
        <f t="array" ref="I441">_xlfn.LET(
  _xlpm.K, Constantes!$B$3,
  _xlpm.Knewgain, Constantes!$B$4,
  _xlpm.Knewscale, Constantes!$B$5,
  _xlpm.ptstables, INDEX(I:I, _xlfn.SEQUENCE(COUNTA($C$2:$C441), 1, 3, 4)),
  _xlpm.nbparties, COUNTA(_xlfn._xlws.FILTER(_xlpm.ptstables, _xlpm.ptstables &lt;&gt; "")),
  _xlpm.coef, _xlpm.K + _xlpm.Knewgain / (_xlpm.Knewscale + _xlpm.nbparties),
  IF(I439="",
    "",
    _xlpm.coef * (I439-I440))
)</f>
        <v/>
      </c>
      <c r="J441" t="str" cm="1">
        <f t="array" ref="J441">_xlfn.LET(
  _xlpm.K, Constantes!$B$3,
  _xlpm.Knewgain, Constantes!$B$4,
  _xlpm.Knewscale, Constantes!$B$5,
  _xlpm.ptstables, INDEX(J:J, _xlfn.SEQUENCE(COUNTA($C$2:$C441), 1, 3, 4)),
  _xlpm.nbparties, COUNTA(_xlfn._xlws.FILTER(_xlpm.ptstables, _xlpm.ptstables &lt;&gt; "")),
  _xlpm.coef, _xlpm.K + _xlpm.Knewgain / (_xlpm.Knewscale + _xlpm.nbparties),
  IF(J439="",
    "",
    _xlpm.coef * (J439-J440))
)</f>
        <v/>
      </c>
      <c r="K441" t="str" cm="1">
        <f t="array" ref="K441">_xlfn.LET(
  _xlpm.K, Constantes!$B$3,
  _xlpm.Knewgain, Constantes!$B$4,
  _xlpm.Knewscale, Constantes!$B$5,
  _xlpm.ptstables, INDEX(K:K, _xlfn.SEQUENCE(COUNTA($C$2:$C441), 1, 3, 4)),
  _xlpm.nbparties, COUNTA(_xlfn._xlws.FILTER(_xlpm.ptstables, _xlpm.ptstables &lt;&gt; "")),
  _xlpm.coef, _xlpm.K + _xlpm.Knewgain / (_xlpm.Knewscale + _xlpm.nbparties),
  IF(K439="",
    "",
    _xlpm.coef * (K439-K440))
)</f>
        <v/>
      </c>
      <c r="L441" t="str" cm="1">
        <f t="array" ref="L441">_xlfn.LET(
  _xlpm.K, Constantes!$B$3,
  _xlpm.Knewgain, Constantes!$B$4,
  _xlpm.Knewscale, Constantes!$B$5,
  _xlpm.ptstables, INDEX(L:L, _xlfn.SEQUENCE(COUNTA($C$2:$C441), 1, 3, 4)),
  _xlpm.nbparties, COUNTA(_xlfn._xlws.FILTER(_xlpm.ptstables, _xlpm.ptstables &lt;&gt; "")),
  _xlpm.coef, _xlpm.K + _xlpm.Knewgain / (_xlpm.Knewscale + _xlpm.nbparties),
  IF(L439="",
    "",
    _xlpm.coef * (L439-L440))
)</f>
        <v/>
      </c>
      <c r="M441" t="str" cm="1">
        <f t="array" ref="M441">_xlfn.LET(
  _xlpm.K, Constantes!$B$3,
  _xlpm.Knewgain, Constantes!$B$4,
  _xlpm.Knewscale, Constantes!$B$5,
  _xlpm.ptstables, INDEX(M:M, _xlfn.SEQUENCE(COUNTA($C$2:$C441), 1, 3, 4)),
  _xlpm.nbparties, COUNTA(_xlfn._xlws.FILTER(_xlpm.ptstables, _xlpm.ptstables &lt;&gt; "")),
  _xlpm.coef, _xlpm.K + _xlpm.Knewgain / (_xlpm.Knewscale + _xlpm.nbparties),
  IF(M439="",
    "",
    _xlpm.coef * (M439-M440))
)</f>
        <v/>
      </c>
      <c r="N441" t="str" cm="1">
        <f t="array" ref="N441">_xlfn.LET(
  _xlpm.K, Constantes!$B$3,
  _xlpm.Knewgain, Constantes!$B$4,
  _xlpm.Knewscale, Constantes!$B$5,
  _xlpm.ptstables, INDEX(N:N, _xlfn.SEQUENCE(COUNTA($C$2:$C441), 1, 3, 4)),
  _xlpm.nbparties, COUNTA(_xlfn._xlws.FILTER(_xlpm.ptstables, _xlpm.ptstables &lt;&gt; "")),
  _xlpm.coef, _xlpm.K + _xlpm.Knewgain / (_xlpm.Knewscale + _xlpm.nbparties),
  IF(N439="",
    "",
    _xlpm.coef * (N439-N440))
)</f>
        <v/>
      </c>
      <c r="O441" t="str" cm="1">
        <f t="array" ref="O441">_xlfn.LET(
  _xlpm.K, Constantes!$B$3,
  _xlpm.Knewgain, Constantes!$B$4,
  _xlpm.Knewscale, Constantes!$B$5,
  _xlpm.ptstables, INDEX(O:O, _xlfn.SEQUENCE(COUNTA($C$2:$C441), 1, 3, 4)),
  _xlpm.nbparties, COUNTA(_xlfn._xlws.FILTER(_xlpm.ptstables, _xlpm.ptstables &lt;&gt; "")),
  _xlpm.coef, _xlpm.K + _xlpm.Knewgain / (_xlpm.Knewscale + _xlpm.nbparties),
  IF(O439="",
    "",
    _xlpm.coef * (O439-O440))
)</f>
        <v/>
      </c>
      <c r="P441" t="str" cm="1">
        <f t="array" ref="P441">_xlfn.LET(
  _xlpm.K, Constantes!$B$3,
  _xlpm.Knewgain, Constantes!$B$4,
  _xlpm.Knewscale, Constantes!$B$5,
  _xlpm.ptstables, INDEX(P:P, _xlfn.SEQUENCE(COUNTA($C$2:$C441), 1, 3, 4)),
  _xlpm.nbparties, COUNTA(_xlfn._xlws.FILTER(_xlpm.ptstables, _xlpm.ptstables &lt;&gt; "")),
  _xlpm.coef, _xlpm.K + _xlpm.Knewgain / (_xlpm.Knewscale + _xlpm.nbparties),
  IF(P439="",
    "",
    _xlpm.coef * (P439-P440))
)</f>
        <v/>
      </c>
      <c r="Q441" t="str" cm="1">
        <f t="array" ref="Q441">_xlfn.LET(
  _xlpm.K, Constantes!$B$3,
  _xlpm.Knewgain, Constantes!$B$4,
  _xlpm.Knewscale, Constantes!$B$5,
  _xlpm.ptstables, INDEX(Q:Q, _xlfn.SEQUENCE(COUNTA($C$2:$C441), 1, 3, 4)),
  _xlpm.nbparties, COUNTA(_xlfn._xlws.FILTER(_xlpm.ptstables, _xlpm.ptstables &lt;&gt; "")),
  _xlpm.coef, _xlpm.K + _xlpm.Knewgain / (_xlpm.Knewscale + _xlpm.nbparties),
  IF(Q439="",
    "",
    _xlpm.coef * (Q439-Q440))
)</f>
        <v/>
      </c>
      <c r="R441" cm="1">
        <f t="array" ref="R441">_xlfn.LET(
  _xlpm.K, Constantes!$B$3,
  _xlpm.Knewgain, Constantes!$B$4,
  _xlpm.Knewscale, Constantes!$B$5,
  _xlpm.ptstables, INDEX(R:R, _xlfn.SEQUENCE(COUNTA($C$2:$C441), 1, 3, 4)),
  _xlpm.nbparties, COUNTA(_xlfn._xlws.FILTER(_xlpm.ptstables, _xlpm.ptstables &lt;&gt; "")),
  _xlpm.coef, _xlpm.K + _xlpm.Knewgain / (_xlpm.Knewscale + _xlpm.nbparties),
  IF(R439="",
    "",
    _xlpm.coef * (R439-R440))
)</f>
        <v>14.263213187361732</v>
      </c>
      <c r="S441" t="str" cm="1">
        <f t="array" ref="S441">_xlfn.LET(
  _xlpm.K, Constantes!$B$3,
  _xlpm.Knewgain, Constantes!$B$4,
  _xlpm.Knewscale, Constantes!$B$5,
  _xlpm.ptstables, INDEX(S:S, _xlfn.SEQUENCE(COUNTA($C$2:$C441), 1, 3, 4)),
  _xlpm.nbparties, COUNTA(_xlfn._xlws.FILTER(_xlpm.ptstables, _xlpm.ptstables &lt;&gt; "")),
  _xlpm.coef, _xlpm.K + _xlpm.Knewgain / (_xlpm.Knewscale + _xlpm.nbparties),
  IF(S439="",
    "",
    _xlpm.coef * (S439-S440))
)</f>
        <v/>
      </c>
      <c r="T441" t="str" cm="1">
        <f t="array" ref="T441">_xlfn.LET(
  _xlpm.K, Constantes!$B$3,
  _xlpm.Knewgain, Constantes!$B$4,
  _xlpm.Knewscale, Constantes!$B$5,
  _xlpm.ptstables, INDEX(T:T, _xlfn.SEQUENCE(COUNTA($C$2:$C441), 1, 3, 4)),
  _xlpm.nbparties, COUNTA(_xlfn._xlws.FILTER(_xlpm.ptstables, _xlpm.ptstables &lt;&gt; "")),
  _xlpm.coef, _xlpm.K + _xlpm.Knewgain / (_xlpm.Knewscale + _xlpm.nbparties),
  IF(T439="",
    "",
    _xlpm.coef * (T439-T440))
)</f>
        <v/>
      </c>
      <c r="U441" cm="1">
        <f t="array" ref="U441">_xlfn.LET(
  _xlpm.K, Constantes!$B$3,
  _xlpm.Knewgain, Constantes!$B$4,
  _xlpm.Knewscale, Constantes!$B$5,
  _xlpm.ptstables, INDEX(U:U, _xlfn.SEQUENCE(COUNTA($C$2:$C441), 1, 3, 4)),
  _xlpm.nbparties, COUNTA(_xlfn._xlws.FILTER(_xlpm.ptstables, _xlpm.ptstables &lt;&gt; "")),
  _xlpm.coef, _xlpm.K + _xlpm.Knewgain / (_xlpm.Knewscale + _xlpm.nbparties),
  IF(U439="",
    "",
    _xlpm.coef * (U439-U440))
)</f>
        <v>-47.684879232350319</v>
      </c>
      <c r="V441" t="str" cm="1">
        <f t="array" ref="V441">_xlfn.LET(
  _xlpm.K, Constantes!$B$3,
  _xlpm.Knewgain, Constantes!$B$4,
  _xlpm.Knewscale, Constantes!$B$5,
  _xlpm.ptstables, INDEX(V:V, _xlfn.SEQUENCE(COUNTA($C$2:$C441), 1, 3, 4)),
  _xlpm.nbparties, COUNTA(_xlfn._xlws.FILTER(_xlpm.ptstables, _xlpm.ptstables &lt;&gt; "")),
  _xlpm.coef, _xlpm.K + _xlpm.Knewgain / (_xlpm.Knewscale + _xlpm.nbparties),
  IF(V439="",
    "",
    _xlpm.coef * (V439-V440))
)</f>
        <v/>
      </c>
      <c r="W441" t="str" cm="1">
        <f t="array" ref="W441">_xlfn.LET(
  _xlpm.K, Constantes!$B$3,
  _xlpm.Knewgain, Constantes!$B$4,
  _xlpm.Knewscale, Constantes!$B$5,
  _xlpm.ptstables, INDEX(W:W, _xlfn.SEQUENCE(COUNTA($C$2:$C441), 1, 3, 4)),
  _xlpm.nbparties, COUNTA(_xlfn._xlws.FILTER(_xlpm.ptstables, _xlpm.ptstables &lt;&gt; "")),
  _xlpm.coef, _xlpm.K + _xlpm.Knewgain / (_xlpm.Knewscale + _xlpm.nbparties),
  IF(W439="",
    "",
    _xlpm.coef * (W439-W440))
)</f>
        <v/>
      </c>
      <c r="X441" t="str" cm="1">
        <f t="array" ref="X441">_xlfn.LET(
  _xlpm.K, Constantes!$B$3,
  _xlpm.Knewgain, Constantes!$B$4,
  _xlpm.Knewscale, Constantes!$B$5,
  _xlpm.ptstables, INDEX(X:X, _xlfn.SEQUENCE(COUNTA($C$2:$C441), 1, 3, 4)),
  _xlpm.nbparties, COUNTA(_xlfn._xlws.FILTER(_xlpm.ptstables, _xlpm.ptstables &lt;&gt; "")),
  _xlpm.coef, _xlpm.K + _xlpm.Knewgain / (_xlpm.Knewscale + _xlpm.nbparties),
  IF(X439="",
    "",
    _xlpm.coef * (X439-X440))
)</f>
        <v/>
      </c>
      <c r="Y441" t="str" cm="1">
        <f t="array" ref="Y441">_xlfn.LET(
  _xlpm.K, Constantes!$B$3,
  _xlpm.Knewgain, Constantes!$B$4,
  _xlpm.Knewscale, Constantes!$B$5,
  _xlpm.ptstables, INDEX(Y:Y, _xlfn.SEQUENCE(COUNTA($C$2:$C441), 1, 3, 4)),
  _xlpm.nbparties, COUNTA(_xlfn._xlws.FILTER(_xlpm.ptstables, _xlpm.ptstables &lt;&gt; "")),
  _xlpm.coef, _xlpm.K + _xlpm.Knewgain / (_xlpm.Knewscale + _xlpm.nbparties),
  IF(Y439="",
    "",
    _xlpm.coef * (Y439-Y440))
)</f>
        <v/>
      </c>
      <c r="Z441" t="str" cm="1">
        <f t="array" ref="Z441">_xlfn.LET(
  _xlpm.K, Constantes!$B$3,
  _xlpm.Knewgain, Constantes!$B$4,
  _xlpm.Knewscale, Constantes!$B$5,
  _xlpm.ptstables, INDEX(Z:Z, _xlfn.SEQUENCE(COUNTA($C$2:$C441), 1, 3, 4)),
  _xlpm.nbparties, COUNTA(_xlfn._xlws.FILTER(_xlpm.ptstables, _xlpm.ptstables &lt;&gt; "")),
  _xlpm.coef, _xlpm.K + _xlpm.Knewgain / (_xlpm.Knewscale + _xlpm.nbparties),
  IF(Z439="",
    "",
    _xlpm.coef * (Z439-Z440))
)</f>
        <v/>
      </c>
      <c r="AA441" t="str" cm="1">
        <f t="array" ref="AA441">_xlfn.LET(
  _xlpm.K, Constantes!$B$3,
  _xlpm.Knewgain, Constantes!$B$4,
  _xlpm.Knewscale, Constantes!$B$5,
  _xlpm.ptstables, INDEX(AA:AA, _xlfn.SEQUENCE(COUNTA($C$2:$C441), 1, 3, 4)),
  _xlpm.nbparties, COUNTA(_xlfn._xlws.FILTER(_xlpm.ptstables, _xlpm.ptstables &lt;&gt; "")),
  _xlpm.coef, _xlpm.K + _xlpm.Knewgain / (_xlpm.Knewscale + _xlpm.nbparties),
  IF(AA439="",
    "",
    _xlpm.coef * (AA439-AA440))
)</f>
        <v/>
      </c>
      <c r="AB441" t="str" cm="1">
        <f t="array" ref="AB441">_xlfn.LET(
  _xlpm.K, Constantes!$B$3,
  _xlpm.Knewgain, Constantes!$B$4,
  _xlpm.Knewscale, Constantes!$B$5,
  _xlpm.ptstables, INDEX(AB:AB, _xlfn.SEQUENCE(COUNTA($C$2:$C441), 1, 3, 4)),
  _xlpm.nbparties, COUNTA(_xlfn._xlws.FILTER(_xlpm.ptstables, _xlpm.ptstables &lt;&gt; "")),
  _xlpm.coef, _xlpm.K + _xlpm.Knewgain / (_xlpm.Knewscale + _xlpm.nbparties),
  IF(AB439="",
    "",
    _xlpm.coef * (AB439-AB440))
)</f>
        <v/>
      </c>
      <c r="AC441" t="str" cm="1">
        <f t="array" ref="AC441">_xlfn.LET(
  _xlpm.K, Constantes!$B$3,
  _xlpm.Knewgain, Constantes!$B$4,
  _xlpm.Knewscale, Constantes!$B$5,
  _xlpm.ptstables, INDEX(AC:AC, _xlfn.SEQUENCE(COUNTA($C$2:$C441), 1, 3, 4)),
  _xlpm.nbparties, COUNTA(_xlfn._xlws.FILTER(_xlpm.ptstables, _xlpm.ptstables &lt;&gt; "")),
  _xlpm.coef, _xlpm.K + _xlpm.Knewgain / (_xlpm.Knewscale + _xlpm.nbparties),
  IF(AC439="",
    "",
    _xlpm.coef * (AC439-AC440))
)</f>
        <v/>
      </c>
      <c r="AD441" cm="1">
        <f t="array" ref="AD441">_xlfn.LET(
  _xlpm.K, Constantes!$B$3,
  _xlpm.Knewgain, Constantes!$B$4,
  _xlpm.Knewscale, Constantes!$B$5,
  _xlpm.ptstables, INDEX(AD:AD, _xlfn.SEQUENCE(COUNTA($C$2:$C441), 1, 3, 4)),
  _xlpm.nbparties, COUNTA(_xlfn._xlws.FILTER(_xlpm.ptstables, _xlpm.ptstables &lt;&gt; "")),
  _xlpm.coef, _xlpm.K + _xlpm.Knewgain / (_xlpm.Knewscale + _xlpm.nbparties),
  IF(AD439="",
    "",
    _xlpm.coef * (AD439-AD440))
)</f>
        <v>-11.61744907971201</v>
      </c>
      <c r="AE441" t="str" cm="1">
        <f t="array" ref="AE441">_xlfn.LET(
  _xlpm.K, Constantes!$B$3,
  _xlpm.Knewgain, Constantes!$B$4,
  _xlpm.Knewscale, Constantes!$B$5,
  _xlpm.ptstables, INDEX(AE:AE, _xlfn.SEQUENCE(COUNTA($C$2:$C441), 1, 3, 4)),
  _xlpm.nbparties, COUNTA(_xlfn._xlws.FILTER(_xlpm.ptstables, _xlpm.ptstables &lt;&gt; "")),
  _xlpm.coef, _xlpm.K + _xlpm.Knewgain / (_xlpm.Knewscale + _xlpm.nbparties),
  IF(AE439="",
    "",
    _xlpm.coef * (AE439-AE440))
)</f>
        <v/>
      </c>
      <c r="AF441" t="str" cm="1">
        <f t="array" ref="AF441">_xlfn.LET(
  _xlpm.K, Constantes!$B$3,
  _xlpm.Knewgain, Constantes!$B$4,
  _xlpm.Knewscale, Constantes!$B$5,
  _xlpm.ptstables, INDEX(AF:AF, _xlfn.SEQUENCE(COUNTA($C$2:$C441), 1, 3, 4)),
  _xlpm.nbparties, COUNTA(_xlfn._xlws.FILTER(_xlpm.ptstables, _xlpm.ptstables &lt;&gt; "")),
  _xlpm.coef, _xlpm.K + _xlpm.Knewgain / (_xlpm.Knewscale + _xlpm.nbparties),
  IF(AF439="",
    "",
    _xlpm.coef * (AF439-AF440))
)</f>
        <v/>
      </c>
      <c r="AG441" t="str" cm="1">
        <f t="array" ref="AG441">_xlfn.LET(
  _xlpm.K, Constantes!$B$3,
  _xlpm.Knewgain, Constantes!$B$4,
  _xlpm.Knewscale, Constantes!$B$5,
  _xlpm.ptstables, INDEX(AG:AG, _xlfn.SEQUENCE(COUNTA($C$2:$C441), 1, 3, 4)),
  _xlpm.nbparties, COUNTA(_xlfn._xlws.FILTER(_xlpm.ptstables, _xlpm.ptstables &lt;&gt; "")),
  _xlpm.coef, _xlpm.K + _xlpm.Knewgain / (_xlpm.Knewscale + _xlpm.nbparties),
  IF(AG439="",
    "",
    _xlpm.coef * (AG439-AG440))
)</f>
        <v/>
      </c>
      <c r="AH441" t="str" cm="1">
        <f t="array" ref="AH441">_xlfn.LET(
  _xlpm.K, Constantes!$B$3,
  _xlpm.Knewgain, Constantes!$B$4,
  _xlpm.Knewscale, Constantes!$B$5,
  _xlpm.ptstables, INDEX(AH:AH, _xlfn.SEQUENCE(COUNTA($C$2:$C441), 1, 3, 4)),
  _xlpm.nbparties, COUNTA(_xlfn._xlws.FILTER(_xlpm.ptstables, _xlpm.ptstables &lt;&gt; "")),
  _xlpm.coef, _xlpm.K + _xlpm.Knewgain / (_xlpm.Knewscale + _xlpm.nbparties),
  IF(AH439="",
    "",
    _xlpm.coef * (AH439-AH440))
)</f>
        <v/>
      </c>
      <c r="AI441" t="str" cm="1">
        <f t="array" ref="AI441">_xlfn.LET(
  _xlpm.K, Constantes!$B$3,
  _xlpm.Knewgain, Constantes!$B$4,
  _xlpm.Knewscale, Constantes!$B$5,
  _xlpm.ptstables, INDEX(AI:AI, _xlfn.SEQUENCE(COUNTA($C$2:$C441), 1, 3, 4)),
  _xlpm.nbparties, COUNTA(_xlfn._xlws.FILTER(_xlpm.ptstables, _xlpm.ptstables &lt;&gt; "")),
  _xlpm.coef, _xlpm.K + _xlpm.Knewgain / (_xlpm.Knewscale + _xlpm.nbparties),
  IF(AI439="",
    "",
    _xlpm.coef * (AI439-AI440))
)</f>
        <v/>
      </c>
      <c r="AJ441" t="str" cm="1">
        <f t="array" ref="AJ441">_xlfn.LET(
  _xlpm.K, Constantes!$B$3,
  _xlpm.Knewgain, Constantes!$B$4,
  _xlpm.Knewscale, Constantes!$B$5,
  _xlpm.ptstables, INDEX(AJ:AJ, _xlfn.SEQUENCE(COUNTA($C$2:$C441), 1, 3, 4)),
  _xlpm.nbparties, COUNTA(_xlfn._xlws.FILTER(_xlpm.ptstables, _xlpm.ptstables &lt;&gt; "")),
  _xlpm.coef, _xlpm.K + _xlpm.Knewgain / (_xlpm.Knewscale + _xlpm.nbparties),
  IF(AJ439="",
    "",
    _xlpm.coef * (AJ439-AJ440))
)</f>
        <v/>
      </c>
      <c r="AK441" t="str" cm="1">
        <f t="array" ref="AK441">_xlfn.LET(
  _xlpm.K, Constantes!$B$3,
  _xlpm.Knewgain, Constantes!$B$4,
  _xlpm.Knewscale, Constantes!$B$5,
  _xlpm.ptstables, INDEX(AK:AK, _xlfn.SEQUENCE(COUNTA($C$2:$C441), 1, 3, 4)),
  _xlpm.nbparties, COUNTA(_xlfn._xlws.FILTER(_xlpm.ptstables, _xlpm.ptstables &lt;&gt; "")),
  _xlpm.coef, _xlpm.K + _xlpm.Knewgain / (_xlpm.Knewscale + _xlpm.nbparties),
  IF(AK439="",
    "",
    _xlpm.coef * (AK439-AK440))
)</f>
        <v/>
      </c>
      <c r="AL441" t="str" cm="1">
        <f t="array" ref="AL441">_xlfn.LET(
  _xlpm.K, Constantes!$B$3,
  _xlpm.Knewgain, Constantes!$B$4,
  _xlpm.Knewscale, Constantes!$B$5,
  _xlpm.ptstables, INDEX(AL:AL, _xlfn.SEQUENCE(COUNTA($C$2:$C441), 1, 3, 4)),
  _xlpm.nbparties, COUNTA(_xlfn._xlws.FILTER(_xlpm.ptstables, _xlpm.ptstables &lt;&gt; "")),
  _xlpm.coef, _xlpm.K + _xlpm.Knewgain / (_xlpm.Knewscale + _xlpm.nbparties),
  IF(AL439="",
    "",
    _xlpm.coef * (AL439-AL440))
)</f>
        <v/>
      </c>
      <c r="AM441" t="str" cm="1">
        <f t="array" ref="AM441">_xlfn.LET(
  _xlpm.K, Constantes!$B$3,
  _xlpm.Knewgain, Constantes!$B$4,
  _xlpm.Knewscale, Constantes!$B$5,
  _xlpm.ptstables, INDEX(AM:AM, _xlfn.SEQUENCE(COUNTA($C$2:$C441), 1, 3, 4)),
  _xlpm.nbparties, COUNTA(_xlfn._xlws.FILTER(_xlpm.ptstables, _xlpm.ptstables &lt;&gt; "")),
  _xlpm.coef, _xlpm.K + _xlpm.Knewgain / (_xlpm.Knewscale + _xlpm.nbparties),
  IF(AM439="",
    "",
    _xlpm.coef * (AM439-AM440))
)</f>
        <v/>
      </c>
    </row>
    <row r="442" spans="1:39" x14ac:dyDescent="0.25">
      <c r="A442" t="s">
        <v>14</v>
      </c>
      <c r="B442" t="str" cm="1">
        <f t="array" ref="B44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111</v>
      </c>
      <c r="C442" s="2" cm="1">
        <f t="array" ref="C442">IF(B442="","",
  INDEX(Donnees!F:F, MATCH(B442, Donnees!F:F, 0)+1))</f>
        <v>45967.708495370367</v>
      </c>
      <c r="D442">
        <f t="shared" ref="D442:AM442" si="118">D438+IF(D441="",0,D441)</f>
        <v>1014.1093375645521</v>
      </c>
      <c r="E442">
        <f t="shared" si="118"/>
        <v>1196.4195973781996</v>
      </c>
      <c r="F442">
        <f t="shared" si="118"/>
        <v>911.8835833951041</v>
      </c>
      <c r="G442">
        <f t="shared" si="118"/>
        <v>1061.9525561512175</v>
      </c>
      <c r="H442">
        <f t="shared" si="118"/>
        <v>1121.8561093296914</v>
      </c>
      <c r="I442">
        <f t="shared" si="118"/>
        <v>907.83370609419069</v>
      </c>
      <c r="J442">
        <f t="shared" si="118"/>
        <v>1000.251341704819</v>
      </c>
      <c r="K442">
        <f t="shared" si="118"/>
        <v>1076.8546837336262</v>
      </c>
      <c r="L442">
        <f t="shared" si="118"/>
        <v>762.99078552663389</v>
      </c>
      <c r="M442">
        <f t="shared" si="118"/>
        <v>927.4581540493366</v>
      </c>
      <c r="N442">
        <f t="shared" si="118"/>
        <v>899.98370646249032</v>
      </c>
      <c r="O442">
        <f t="shared" si="118"/>
        <v>997.04050320786712</v>
      </c>
      <c r="P442">
        <f t="shared" si="118"/>
        <v>987.86278180042575</v>
      </c>
      <c r="Q442">
        <f t="shared" si="118"/>
        <v>1051.0755127018197</v>
      </c>
      <c r="R442">
        <f t="shared" si="118"/>
        <v>1056.3886451718679</v>
      </c>
      <c r="S442">
        <f t="shared" si="118"/>
        <v>1002.6649899548004</v>
      </c>
      <c r="T442">
        <f t="shared" si="118"/>
        <v>1125.604709757928</v>
      </c>
      <c r="U442">
        <f t="shared" si="118"/>
        <v>1163.721997681108</v>
      </c>
      <c r="V442">
        <f t="shared" si="118"/>
        <v>969.67171739286073</v>
      </c>
      <c r="W442">
        <f t="shared" si="118"/>
        <v>873.42626723356045</v>
      </c>
      <c r="X442">
        <f t="shared" si="118"/>
        <v>832.40508999649853</v>
      </c>
      <c r="Y442">
        <f t="shared" si="118"/>
        <v>944.44867950361879</v>
      </c>
      <c r="Z442">
        <f t="shared" si="118"/>
        <v>1008.6876849635962</v>
      </c>
      <c r="AA442">
        <f t="shared" si="118"/>
        <v>976.40065260504912</v>
      </c>
      <c r="AB442">
        <f t="shared" si="118"/>
        <v>988.35669729544747</v>
      </c>
      <c r="AC442">
        <f t="shared" si="118"/>
        <v>923.36850203928373</v>
      </c>
      <c r="AD442">
        <f t="shared" si="118"/>
        <v>1054.5168154629837</v>
      </c>
      <c r="AE442">
        <f t="shared" si="118"/>
        <v>963.23981965000235</v>
      </c>
      <c r="AF442">
        <f t="shared" si="118"/>
        <v>1094.8196847516158</v>
      </c>
      <c r="AG442">
        <f t="shared" si="118"/>
        <v>958.23078604304851</v>
      </c>
      <c r="AH442">
        <f t="shared" si="118"/>
        <v>920.4412636682855</v>
      </c>
      <c r="AI442">
        <f t="shared" si="118"/>
        <v>1003.7270496767937</v>
      </c>
      <c r="AJ442">
        <f t="shared" si="118"/>
        <v>906.86354201913434</v>
      </c>
      <c r="AK442">
        <f t="shared" si="118"/>
        <v>1074.0069367206956</v>
      </c>
      <c r="AL442">
        <f t="shared" si="118"/>
        <v>1025.7817971572972</v>
      </c>
      <c r="AM442">
        <f t="shared" si="118"/>
        <v>930.08392160706046</v>
      </c>
    </row>
    <row r="443" spans="1:39" x14ac:dyDescent="0.25">
      <c r="A443" t="s">
        <v>21</v>
      </c>
      <c r="D443" t="str" cm="1">
        <f t="array" ref="D443">IFERROR(
  _xlfn.LET(
    _xlpm.ligpartie, MATCH($B442, Donnees!$F:$F, 0),
    _xlpm.joueurs, INDEX(Donnees!$A:$Z, _xlpm.ligpartie+1, _xlfn.SEQUENCE(1, 4, 2)),
    INDEX(
      Donnees!$A:$Z,
      _xlpm.ligpartie + 3,
      MATCH(D$1, _xlpm.joueurs, 0) + 1
    )
  ), ""
)</f>
        <v/>
      </c>
      <c r="E443" t="str" cm="1">
        <f t="array" ref="E443">IFERROR(
  _xlfn.LET(
    _xlpm.ligpartie, MATCH($B442, Donnees!$F:$F, 0),
    _xlpm.joueurs, INDEX(Donnees!$A:$Z, _xlpm.ligpartie+1, _xlfn.SEQUENCE(1, 4, 2)),
    INDEX(
      Donnees!$A:$Z,
      _xlpm.ligpartie + 3,
      MATCH(E$1, _xlpm.joueurs, 0) + 1
    )
  ), ""
)</f>
        <v/>
      </c>
      <c r="F443" t="str" cm="1">
        <f t="array" ref="F443">IFERROR(
  _xlfn.LET(
    _xlpm.ligpartie, MATCH($B442, Donnees!$F:$F, 0),
    _xlpm.joueurs, INDEX(Donnees!$A:$Z, _xlpm.ligpartie+1, _xlfn.SEQUENCE(1, 4, 2)),
    INDEX(
      Donnees!$A:$Z,
      _xlpm.ligpartie + 3,
      MATCH(F$1, _xlpm.joueurs, 0) + 1
    )
  ), ""
)</f>
        <v/>
      </c>
      <c r="G443" cm="1">
        <f t="array" ref="G443">IFERROR(
  _xlfn.LET(
    _xlpm.ligpartie, MATCH($B442, Donnees!$F:$F, 0),
    _xlpm.joueurs, INDEX(Donnees!$A:$Z, _xlpm.ligpartie+1, _xlfn.SEQUENCE(1, 4, 2)),
    INDEX(
      Donnees!$A:$Z,
      _xlpm.ligpartie + 3,
      MATCH(G$1, _xlpm.joueurs, 0) + 1
    )
  ), ""
)</f>
        <v>0</v>
      </c>
      <c r="H443" cm="1">
        <f t="array" ref="H443">IFERROR(
  _xlfn.LET(
    _xlpm.ligpartie, MATCH($B442, Donnees!$F:$F, 0),
    _xlpm.joueurs, INDEX(Donnees!$A:$Z, _xlpm.ligpartie+1, _xlfn.SEQUENCE(1, 4, 2)),
    INDEX(
      Donnees!$A:$Z,
      _xlpm.ligpartie + 3,
      MATCH(H$1, _xlpm.joueurs, 0) + 1
    )
  ), ""
)</f>
        <v>1</v>
      </c>
      <c r="I443" t="str" cm="1">
        <f t="array" ref="I443">IFERROR(
  _xlfn.LET(
    _xlpm.ligpartie, MATCH($B442, Donnees!$F:$F, 0),
    _xlpm.joueurs, INDEX(Donnees!$A:$Z, _xlpm.ligpartie+1, _xlfn.SEQUENCE(1, 4, 2)),
    INDEX(
      Donnees!$A:$Z,
      _xlpm.ligpartie + 3,
      MATCH(I$1, _xlpm.joueurs, 0) + 1
    )
  ), ""
)</f>
        <v/>
      </c>
      <c r="J443" t="str" cm="1">
        <f t="array" ref="J443">IFERROR(
  _xlfn.LET(
    _xlpm.ligpartie, MATCH($B442, Donnees!$F:$F, 0),
    _xlpm.joueurs, INDEX(Donnees!$A:$Z, _xlpm.ligpartie+1, _xlfn.SEQUENCE(1, 4, 2)),
    INDEX(
      Donnees!$A:$Z,
      _xlpm.ligpartie + 3,
      MATCH(J$1, _xlpm.joueurs, 0) + 1
    )
  ), ""
)</f>
        <v/>
      </c>
      <c r="K443" t="str" cm="1">
        <f t="array" ref="K443">IFERROR(
  _xlfn.LET(
    _xlpm.ligpartie, MATCH($B442, Donnees!$F:$F, 0),
    _xlpm.joueurs, INDEX(Donnees!$A:$Z, _xlpm.ligpartie+1, _xlfn.SEQUENCE(1, 4, 2)),
    INDEX(
      Donnees!$A:$Z,
      _xlpm.ligpartie + 3,
      MATCH(K$1, _xlpm.joueurs, 0) + 1
    )
  ), ""
)</f>
        <v/>
      </c>
      <c r="L443" t="str" cm="1">
        <f t="array" ref="L443">IFERROR(
  _xlfn.LET(
    _xlpm.ligpartie, MATCH($B442, Donnees!$F:$F, 0),
    _xlpm.joueurs, INDEX(Donnees!$A:$Z, _xlpm.ligpartie+1, _xlfn.SEQUENCE(1, 4, 2)),
    INDEX(
      Donnees!$A:$Z,
      _xlpm.ligpartie + 3,
      MATCH(L$1, _xlpm.joueurs, 0) + 1
    )
  ), ""
)</f>
        <v/>
      </c>
      <c r="M443" t="str" cm="1">
        <f t="array" ref="M443">IFERROR(
  _xlfn.LET(
    _xlpm.ligpartie, MATCH($B442, Donnees!$F:$F, 0),
    _xlpm.joueurs, INDEX(Donnees!$A:$Z, _xlpm.ligpartie+1, _xlfn.SEQUENCE(1, 4, 2)),
    INDEX(
      Donnees!$A:$Z,
      _xlpm.ligpartie + 3,
      MATCH(M$1, _xlpm.joueurs, 0) + 1
    )
  ), ""
)</f>
        <v/>
      </c>
      <c r="N443" t="str" cm="1">
        <f t="array" ref="N443">IFERROR(
  _xlfn.LET(
    _xlpm.ligpartie, MATCH($B442, Donnees!$F:$F, 0),
    _xlpm.joueurs, INDEX(Donnees!$A:$Z, _xlpm.ligpartie+1, _xlfn.SEQUENCE(1, 4, 2)),
    INDEX(
      Donnees!$A:$Z,
      _xlpm.ligpartie + 3,
      MATCH(N$1, _xlpm.joueurs, 0) + 1
    )
  ), ""
)</f>
        <v/>
      </c>
      <c r="O443" t="str" cm="1">
        <f t="array" ref="O443">IFERROR(
  _xlfn.LET(
    _xlpm.ligpartie, MATCH($B442, Donnees!$F:$F, 0),
    _xlpm.joueurs, INDEX(Donnees!$A:$Z, _xlpm.ligpartie+1, _xlfn.SEQUENCE(1, 4, 2)),
    INDEX(
      Donnees!$A:$Z,
      _xlpm.ligpartie + 3,
      MATCH(O$1, _xlpm.joueurs, 0) + 1
    )
  ), ""
)</f>
        <v/>
      </c>
      <c r="P443" t="str" cm="1">
        <f t="array" ref="P443">IFERROR(
  _xlfn.LET(
    _xlpm.ligpartie, MATCH($B442, Donnees!$F:$F, 0),
    _xlpm.joueurs, INDEX(Donnees!$A:$Z, _xlpm.ligpartie+1, _xlfn.SEQUENCE(1, 4, 2)),
    INDEX(
      Donnees!$A:$Z,
      _xlpm.ligpartie + 3,
      MATCH(P$1, _xlpm.joueurs, 0) + 1
    )
  ), ""
)</f>
        <v/>
      </c>
      <c r="Q443" cm="1">
        <f t="array" ref="Q443">IFERROR(
  _xlfn.LET(
    _xlpm.ligpartie, MATCH($B442, Donnees!$F:$F, 0),
    _xlpm.joueurs, INDEX(Donnees!$A:$Z, _xlpm.ligpartie+1, _xlfn.SEQUENCE(1, 4, 2)),
    INDEX(
      Donnees!$A:$Z,
      _xlpm.ligpartie + 3,
      MATCH(Q$1, _xlpm.joueurs, 0) + 1
    )
  ), ""
)</f>
        <v>2</v>
      </c>
      <c r="R443" t="str" cm="1">
        <f t="array" ref="R443">IFERROR(
  _xlfn.LET(
    _xlpm.ligpartie, MATCH($B442, Donnees!$F:$F, 0),
    _xlpm.joueurs, INDEX(Donnees!$A:$Z, _xlpm.ligpartie+1, _xlfn.SEQUENCE(1, 4, 2)),
    INDEX(
      Donnees!$A:$Z,
      _xlpm.ligpartie + 3,
      MATCH(R$1, _xlpm.joueurs, 0) + 1
    )
  ), ""
)</f>
        <v/>
      </c>
      <c r="S443" t="str" cm="1">
        <f t="array" ref="S443">IFERROR(
  _xlfn.LET(
    _xlpm.ligpartie, MATCH($B442, Donnees!$F:$F, 0),
    _xlpm.joueurs, INDEX(Donnees!$A:$Z, _xlpm.ligpartie+1, _xlfn.SEQUENCE(1, 4, 2)),
    INDEX(
      Donnees!$A:$Z,
      _xlpm.ligpartie + 3,
      MATCH(S$1, _xlpm.joueurs, 0) + 1
    )
  ), ""
)</f>
        <v/>
      </c>
      <c r="T443" t="str" cm="1">
        <f t="array" ref="T443">IFERROR(
  _xlfn.LET(
    _xlpm.ligpartie, MATCH($B442, Donnees!$F:$F, 0),
    _xlpm.joueurs, INDEX(Donnees!$A:$Z, _xlpm.ligpartie+1, _xlfn.SEQUENCE(1, 4, 2)),
    INDEX(
      Donnees!$A:$Z,
      _xlpm.ligpartie + 3,
      MATCH(T$1, _xlpm.joueurs, 0) + 1
    )
  ), ""
)</f>
        <v/>
      </c>
      <c r="U443" cm="1">
        <f t="array" ref="U443">IFERROR(
  _xlfn.LET(
    _xlpm.ligpartie, MATCH($B442, Donnees!$F:$F, 0),
    _xlpm.joueurs, INDEX(Donnees!$A:$Z, _xlpm.ligpartie+1, _xlfn.SEQUENCE(1, 4, 2)),
    INDEX(
      Donnees!$A:$Z,
      _xlpm.ligpartie + 3,
      MATCH(U$1, _xlpm.joueurs, 0) + 1
    )
  ), ""
)</f>
        <v>3</v>
      </c>
      <c r="V443" t="str" cm="1">
        <f t="array" ref="V443">IFERROR(
  _xlfn.LET(
    _xlpm.ligpartie, MATCH($B442, Donnees!$F:$F, 0),
    _xlpm.joueurs, INDEX(Donnees!$A:$Z, _xlpm.ligpartie+1, _xlfn.SEQUENCE(1, 4, 2)),
    INDEX(
      Donnees!$A:$Z,
      _xlpm.ligpartie + 3,
      MATCH(V$1, _xlpm.joueurs, 0) + 1
    )
  ), ""
)</f>
        <v/>
      </c>
      <c r="W443" t="str" cm="1">
        <f t="array" ref="W443">IFERROR(
  _xlfn.LET(
    _xlpm.ligpartie, MATCH($B442, Donnees!$F:$F, 0),
    _xlpm.joueurs, INDEX(Donnees!$A:$Z, _xlpm.ligpartie+1, _xlfn.SEQUENCE(1, 4, 2)),
    INDEX(
      Donnees!$A:$Z,
      _xlpm.ligpartie + 3,
      MATCH(W$1, _xlpm.joueurs, 0) + 1
    )
  ), ""
)</f>
        <v/>
      </c>
      <c r="X443" t="str" cm="1">
        <f t="array" ref="X443">IFERROR(
  _xlfn.LET(
    _xlpm.ligpartie, MATCH($B442, Donnees!$F:$F, 0),
    _xlpm.joueurs, INDEX(Donnees!$A:$Z, _xlpm.ligpartie+1, _xlfn.SEQUENCE(1, 4, 2)),
    INDEX(
      Donnees!$A:$Z,
      _xlpm.ligpartie + 3,
      MATCH(X$1, _xlpm.joueurs, 0) + 1
    )
  ), ""
)</f>
        <v/>
      </c>
      <c r="Y443" t="str" cm="1">
        <f t="array" ref="Y443">IFERROR(
  _xlfn.LET(
    _xlpm.ligpartie, MATCH($B442, Donnees!$F:$F, 0),
    _xlpm.joueurs, INDEX(Donnees!$A:$Z, _xlpm.ligpartie+1, _xlfn.SEQUENCE(1, 4, 2)),
    INDEX(
      Donnees!$A:$Z,
      _xlpm.ligpartie + 3,
      MATCH(Y$1, _xlpm.joueurs, 0) + 1
    )
  ), ""
)</f>
        <v/>
      </c>
      <c r="Z443" t="str" cm="1">
        <f t="array" ref="Z443">IFERROR(
  _xlfn.LET(
    _xlpm.ligpartie, MATCH($B442, Donnees!$F:$F, 0),
    _xlpm.joueurs, INDEX(Donnees!$A:$Z, _xlpm.ligpartie+1, _xlfn.SEQUENCE(1, 4, 2)),
    INDEX(
      Donnees!$A:$Z,
      _xlpm.ligpartie + 3,
      MATCH(Z$1, _xlpm.joueurs, 0) + 1
    )
  ), ""
)</f>
        <v/>
      </c>
      <c r="AA443" t="str" cm="1">
        <f t="array" ref="AA443">IFERROR(
  _xlfn.LET(
    _xlpm.ligpartie, MATCH($B442, Donnees!$F:$F, 0),
    _xlpm.joueurs, INDEX(Donnees!$A:$Z, _xlpm.ligpartie+1, _xlfn.SEQUENCE(1, 4, 2)),
    INDEX(
      Donnees!$A:$Z,
      _xlpm.ligpartie + 3,
      MATCH(AA$1, _xlpm.joueurs, 0) + 1
    )
  ), ""
)</f>
        <v/>
      </c>
      <c r="AB443" t="str" cm="1">
        <f t="array" ref="AB443">IFERROR(
  _xlfn.LET(
    _xlpm.ligpartie, MATCH($B442, Donnees!$F:$F, 0),
    _xlpm.joueurs, INDEX(Donnees!$A:$Z, _xlpm.ligpartie+1, _xlfn.SEQUENCE(1, 4, 2)),
    INDEX(
      Donnees!$A:$Z,
      _xlpm.ligpartie + 3,
      MATCH(AB$1, _xlpm.joueurs, 0) + 1
    )
  ), ""
)</f>
        <v/>
      </c>
      <c r="AC443" t="str" cm="1">
        <f t="array" ref="AC443">IFERROR(
  _xlfn.LET(
    _xlpm.ligpartie, MATCH($B442, Donnees!$F:$F, 0),
    _xlpm.joueurs, INDEX(Donnees!$A:$Z, _xlpm.ligpartie+1, _xlfn.SEQUENCE(1, 4, 2)),
    INDEX(
      Donnees!$A:$Z,
      _xlpm.ligpartie + 3,
      MATCH(AC$1, _xlpm.joueurs, 0) + 1
    )
  ), ""
)</f>
        <v/>
      </c>
      <c r="AD443" t="str" cm="1">
        <f t="array" ref="AD443">IFERROR(
  _xlfn.LET(
    _xlpm.ligpartie, MATCH($B442, Donnees!$F:$F, 0),
    _xlpm.joueurs, INDEX(Donnees!$A:$Z, _xlpm.ligpartie+1, _xlfn.SEQUENCE(1, 4, 2)),
    INDEX(
      Donnees!$A:$Z,
      _xlpm.ligpartie + 3,
      MATCH(AD$1, _xlpm.joueurs, 0) + 1
    )
  ), ""
)</f>
        <v/>
      </c>
      <c r="AE443" t="str" cm="1">
        <f t="array" ref="AE443">IFERROR(
  _xlfn.LET(
    _xlpm.ligpartie, MATCH($B442, Donnees!$F:$F, 0),
    _xlpm.joueurs, INDEX(Donnees!$A:$Z, _xlpm.ligpartie+1, _xlfn.SEQUENCE(1, 4, 2)),
    INDEX(
      Donnees!$A:$Z,
      _xlpm.ligpartie + 3,
      MATCH(AE$1, _xlpm.joueurs, 0) + 1
    )
  ), ""
)</f>
        <v/>
      </c>
      <c r="AF443" t="str" cm="1">
        <f t="array" ref="AF443">IFERROR(
  _xlfn.LET(
    _xlpm.ligpartie, MATCH($B442, Donnees!$F:$F, 0),
    _xlpm.joueurs, INDEX(Donnees!$A:$Z, _xlpm.ligpartie+1, _xlfn.SEQUENCE(1, 4, 2)),
    INDEX(
      Donnees!$A:$Z,
      _xlpm.ligpartie + 3,
      MATCH(AF$1, _xlpm.joueurs, 0) + 1
    )
  ), ""
)</f>
        <v/>
      </c>
      <c r="AG443" t="str" cm="1">
        <f t="array" ref="AG443">IFERROR(
  _xlfn.LET(
    _xlpm.ligpartie, MATCH($B442, Donnees!$F:$F, 0),
    _xlpm.joueurs, INDEX(Donnees!$A:$Z, _xlpm.ligpartie+1, _xlfn.SEQUENCE(1, 4, 2)),
    INDEX(
      Donnees!$A:$Z,
      _xlpm.ligpartie + 3,
      MATCH(AG$1, _xlpm.joueurs, 0) + 1
    )
  ), ""
)</f>
        <v/>
      </c>
      <c r="AH443" t="str" cm="1">
        <f t="array" ref="AH443">IFERROR(
  _xlfn.LET(
    _xlpm.ligpartie, MATCH($B442, Donnees!$F:$F, 0),
    _xlpm.joueurs, INDEX(Donnees!$A:$Z, _xlpm.ligpartie+1, _xlfn.SEQUENCE(1, 4, 2)),
    INDEX(
      Donnees!$A:$Z,
      _xlpm.ligpartie + 3,
      MATCH(AH$1, _xlpm.joueurs, 0) + 1
    )
  ), ""
)</f>
        <v/>
      </c>
      <c r="AI443" t="str" cm="1">
        <f t="array" ref="AI443">IFERROR(
  _xlfn.LET(
    _xlpm.ligpartie, MATCH($B442, Donnees!$F:$F, 0),
    _xlpm.joueurs, INDEX(Donnees!$A:$Z, _xlpm.ligpartie+1, _xlfn.SEQUENCE(1, 4, 2)),
    INDEX(
      Donnees!$A:$Z,
      _xlpm.ligpartie + 3,
      MATCH(AI$1, _xlpm.joueurs, 0) + 1
    )
  ), ""
)</f>
        <v/>
      </c>
      <c r="AJ443" t="str" cm="1">
        <f t="array" ref="AJ443">IFERROR(
  _xlfn.LET(
    _xlpm.ligpartie, MATCH($B442, Donnees!$F:$F, 0),
    _xlpm.joueurs, INDEX(Donnees!$A:$Z, _xlpm.ligpartie+1, _xlfn.SEQUENCE(1, 4, 2)),
    INDEX(
      Donnees!$A:$Z,
      _xlpm.ligpartie + 3,
      MATCH(AJ$1, _xlpm.joueurs, 0) + 1
    )
  ), ""
)</f>
        <v/>
      </c>
      <c r="AK443" t="str" cm="1">
        <f t="array" ref="AK443">IFERROR(
  _xlfn.LET(
    _xlpm.ligpartie, MATCH($B442, Donnees!$F:$F, 0),
    _xlpm.joueurs, INDEX(Donnees!$A:$Z, _xlpm.ligpartie+1, _xlfn.SEQUENCE(1, 4, 2)),
    INDEX(
      Donnees!$A:$Z,
      _xlpm.ligpartie + 3,
      MATCH(AK$1, _xlpm.joueurs, 0) + 1
    )
  ), ""
)</f>
        <v/>
      </c>
      <c r="AL443" t="str" cm="1">
        <f t="array" ref="AL443">IFERROR(
  _xlfn.LET(
    _xlpm.ligpartie, MATCH($B442, Donnees!$F:$F, 0),
    _xlpm.joueurs, INDEX(Donnees!$A:$Z, _xlpm.ligpartie+1, _xlfn.SEQUENCE(1, 4, 2)),
    INDEX(
      Donnees!$A:$Z,
      _xlpm.ligpartie + 3,
      MATCH(AL$1, _xlpm.joueurs, 0) + 1
    )
  ), ""
)</f>
        <v/>
      </c>
      <c r="AM443" t="str" cm="1">
        <f t="array" ref="AM443">IFERROR(
  _xlfn.LET(
    _xlpm.ligpartie, MATCH($B442, Donnees!$F:$F, 0),
    _xlpm.joueurs, INDEX(Donnees!$A:$Z, _xlpm.ligpartie+1, _xlfn.SEQUENCE(1, 4, 2)),
    INDEX(
      Donnees!$A:$Z,
      _xlpm.ligpartie + 3,
      MATCH(AM$1, _xlpm.joueurs, 0) + 1
    )
  ), ""
)</f>
        <v/>
      </c>
    </row>
    <row r="444" spans="1:39" x14ac:dyDescent="0.25">
      <c r="A444" t="s">
        <v>20</v>
      </c>
      <c r="D444" t="str" cm="1">
        <f t="array" ref="D444">_xlfn.LET(
  _xlpm.colj, _xlfn._xlws.FILTER(IF(ISNUMBER(443:443), COLUMN(443:443)), ISNUMBER(443:443)),
  _xlpm.elos, INDEX(442:442,1,_xlpm.colj),
  _xlpm.diffscale, Constantes!$B$2,
  IF(D443="",
    "",
    SUM(1/(1+POWER(10,-(D442-_xlpm.elos)/_xlpm.diffscale)))-0.5)
)</f>
        <v/>
      </c>
      <c r="E444" t="str" cm="1">
        <f t="array" ref="E444">_xlfn.LET(
  _xlpm.colj, _xlfn._xlws.FILTER(IF(ISNUMBER(443:443), COLUMN(443:443)), ISNUMBER(443:443)),
  _xlpm.elos, INDEX(442:442,1,_xlpm.colj),
  _xlpm.diffscale, Constantes!$B$2,
  IF(E443="",
    "",
    SUM(1/(1+POWER(10,-(E442-_xlpm.elos)/_xlpm.diffscale)))-0.5)
)</f>
        <v/>
      </c>
      <c r="F444" t="str" cm="1">
        <f t="array" ref="F444">_xlfn.LET(
  _xlpm.colj, _xlfn._xlws.FILTER(IF(ISNUMBER(443:443), COLUMN(443:443)), ISNUMBER(443:443)),
  _xlpm.elos, INDEX(442:442,1,_xlpm.colj),
  _xlpm.diffscale, Constantes!$B$2,
  IF(F443="",
    "",
    SUM(1/(1+POWER(10,-(F442-_xlpm.elos)/_xlpm.diffscale)))-0.5)
)</f>
        <v/>
      </c>
      <c r="G444" cm="1">
        <f t="array" ref="G444">_xlfn.LET(
  _xlpm.colj, _xlfn._xlws.FILTER(IF(ISNUMBER(443:443), COLUMN(443:443)), ISNUMBER(443:443)),
  _xlpm.elos, INDEX(442:442,1,_xlpm.colj),
  _xlpm.diffscale, Constantes!$B$2,
  IF(G443="",
    "",
    SUM(1/(1+POWER(10,-(G442-_xlpm.elos)/_xlpm.diffscale)))-0.5)
)</f>
        <v>1.2878760372640579</v>
      </c>
      <c r="H444" cm="1">
        <f t="array" ref="H444">_xlfn.LET(
  _xlpm.colj, _xlfn._xlws.FILTER(IF(ISNUMBER(443:443), COLUMN(443:443)), ISNUMBER(443:443)),
  _xlpm.elos, INDEX(442:442,1,_xlpm.colj),
  _xlpm.diffscale, Constantes!$B$2,
  IF(H443="",
    "",
    SUM(1/(1+POWER(10,-(H442-_xlpm.elos)/_xlpm.diffscale)))-0.5)
)</f>
        <v>1.6258792929832921</v>
      </c>
      <c r="I444" t="str" cm="1">
        <f t="array" ref="I444">_xlfn.LET(
  _xlpm.colj, _xlfn._xlws.FILTER(IF(ISNUMBER(443:443), COLUMN(443:443)), ISNUMBER(443:443)),
  _xlpm.elos, INDEX(442:442,1,_xlpm.colj),
  _xlpm.diffscale, Constantes!$B$2,
  IF(I443="",
    "",
    SUM(1/(1+POWER(10,-(I442-_xlpm.elos)/_xlpm.diffscale)))-0.5)
)</f>
        <v/>
      </c>
      <c r="J444" t="str" cm="1">
        <f t="array" ref="J444">_xlfn.LET(
  _xlpm.colj, _xlfn._xlws.FILTER(IF(ISNUMBER(443:443), COLUMN(443:443)), ISNUMBER(443:443)),
  _xlpm.elos, INDEX(442:442,1,_xlpm.colj),
  _xlpm.diffscale, Constantes!$B$2,
  IF(J443="",
    "",
    SUM(1/(1+POWER(10,-(J442-_xlpm.elos)/_xlpm.diffscale)))-0.5)
)</f>
        <v/>
      </c>
      <c r="K444" t="str" cm="1">
        <f t="array" ref="K444">_xlfn.LET(
  _xlpm.colj, _xlfn._xlws.FILTER(IF(ISNUMBER(443:443), COLUMN(443:443)), ISNUMBER(443:443)),
  _xlpm.elos, INDEX(442:442,1,_xlpm.colj),
  _xlpm.diffscale, Constantes!$B$2,
  IF(K443="",
    "",
    SUM(1/(1+POWER(10,-(K442-_xlpm.elos)/_xlpm.diffscale)))-0.5)
)</f>
        <v/>
      </c>
      <c r="L444" t="str" cm="1">
        <f t="array" ref="L444">_xlfn.LET(
  _xlpm.colj, _xlfn._xlws.FILTER(IF(ISNUMBER(443:443), COLUMN(443:443)), ISNUMBER(443:443)),
  _xlpm.elos, INDEX(442:442,1,_xlpm.colj),
  _xlpm.diffscale, Constantes!$B$2,
  IF(L443="",
    "",
    SUM(1/(1+POWER(10,-(L442-_xlpm.elos)/_xlpm.diffscale)))-0.5)
)</f>
        <v/>
      </c>
      <c r="M444" t="str" cm="1">
        <f t="array" ref="M444">_xlfn.LET(
  _xlpm.colj, _xlfn._xlws.FILTER(IF(ISNUMBER(443:443), COLUMN(443:443)), ISNUMBER(443:443)),
  _xlpm.elos, INDEX(442:442,1,_xlpm.colj),
  _xlpm.diffscale, Constantes!$B$2,
  IF(M443="",
    "",
    SUM(1/(1+POWER(10,-(M442-_xlpm.elos)/_xlpm.diffscale)))-0.5)
)</f>
        <v/>
      </c>
      <c r="N444" t="str" cm="1">
        <f t="array" ref="N444">_xlfn.LET(
  _xlpm.colj, _xlfn._xlws.FILTER(IF(ISNUMBER(443:443), COLUMN(443:443)), ISNUMBER(443:443)),
  _xlpm.elos, INDEX(442:442,1,_xlpm.colj),
  _xlpm.diffscale, Constantes!$B$2,
  IF(N443="",
    "",
    SUM(1/(1+POWER(10,-(N442-_xlpm.elos)/_xlpm.diffscale)))-0.5)
)</f>
        <v/>
      </c>
      <c r="O444" t="str" cm="1">
        <f t="array" ref="O444">_xlfn.LET(
  _xlpm.colj, _xlfn._xlws.FILTER(IF(ISNUMBER(443:443), COLUMN(443:443)), ISNUMBER(443:443)),
  _xlpm.elos, INDEX(442:442,1,_xlpm.colj),
  _xlpm.diffscale, Constantes!$B$2,
  IF(O443="",
    "",
    SUM(1/(1+POWER(10,-(O442-_xlpm.elos)/_xlpm.diffscale)))-0.5)
)</f>
        <v/>
      </c>
      <c r="P444" t="str" cm="1">
        <f t="array" ref="P444">_xlfn.LET(
  _xlpm.colj, _xlfn._xlws.FILTER(IF(ISNUMBER(443:443), COLUMN(443:443)), ISNUMBER(443:443)),
  _xlpm.elos, INDEX(442:442,1,_xlpm.colj),
  _xlpm.diffscale, Constantes!$B$2,
  IF(P443="",
    "",
    SUM(1/(1+POWER(10,-(P442-_xlpm.elos)/_xlpm.diffscale)))-0.5)
)</f>
        <v/>
      </c>
      <c r="Q444" cm="1">
        <f t="array" ref="Q444">_xlfn.LET(
  _xlpm.colj, _xlfn._xlws.FILTER(IF(ISNUMBER(443:443), COLUMN(443:443)), ISNUMBER(443:443)),
  _xlpm.elos, INDEX(442:442,1,_xlpm.colj),
  _xlpm.diffscale, Constantes!$B$2,
  IF(Q443="",
    "",
    SUM(1/(1+POWER(10,-(Q442-_xlpm.elos)/_xlpm.diffscale)))-0.5)
)</f>
        <v>1.2272164729277732</v>
      </c>
      <c r="R444" t="str" cm="1">
        <f t="array" ref="R444">_xlfn.LET(
  _xlpm.colj, _xlfn._xlws.FILTER(IF(ISNUMBER(443:443), COLUMN(443:443)), ISNUMBER(443:443)),
  _xlpm.elos, INDEX(442:442,1,_xlpm.colj),
  _xlpm.diffscale, Constantes!$B$2,
  IF(R443="",
    "",
    SUM(1/(1+POWER(10,-(R442-_xlpm.elos)/_xlpm.diffscale)))-0.5)
)</f>
        <v/>
      </c>
      <c r="S444" t="str" cm="1">
        <f t="array" ref="S444">_xlfn.LET(
  _xlpm.colj, _xlfn._xlws.FILTER(IF(ISNUMBER(443:443), COLUMN(443:443)), ISNUMBER(443:443)),
  _xlpm.elos, INDEX(442:442,1,_xlpm.colj),
  _xlpm.diffscale, Constantes!$B$2,
  IF(S443="",
    "",
    SUM(1/(1+POWER(10,-(S442-_xlpm.elos)/_xlpm.diffscale)))-0.5)
)</f>
        <v/>
      </c>
      <c r="T444" t="str" cm="1">
        <f t="array" ref="T444">_xlfn.LET(
  _xlpm.colj, _xlfn._xlws.FILTER(IF(ISNUMBER(443:443), COLUMN(443:443)), ISNUMBER(443:443)),
  _xlpm.elos, INDEX(442:442,1,_xlpm.colj),
  _xlpm.diffscale, Constantes!$B$2,
  IF(T443="",
    "",
    SUM(1/(1+POWER(10,-(T442-_xlpm.elos)/_xlpm.diffscale)))-0.5)
)</f>
        <v/>
      </c>
      <c r="U444" cm="1">
        <f t="array" ref="U444">_xlfn.LET(
  _xlpm.colj, _xlfn._xlws.FILTER(IF(ISNUMBER(443:443), COLUMN(443:443)), ISNUMBER(443:443)),
  _xlpm.elos, INDEX(442:442,1,_xlpm.colj),
  _xlpm.diffscale, Constantes!$B$2,
  IF(U443="",
    "",
    SUM(1/(1+POWER(10,-(U442-_xlpm.elos)/_xlpm.diffscale)))-0.5)
)</f>
        <v>1.8590281968248767</v>
      </c>
      <c r="V444" t="str" cm="1">
        <f t="array" ref="V444">_xlfn.LET(
  _xlpm.colj, _xlfn._xlws.FILTER(IF(ISNUMBER(443:443), COLUMN(443:443)), ISNUMBER(443:443)),
  _xlpm.elos, INDEX(442:442,1,_xlpm.colj),
  _xlpm.diffscale, Constantes!$B$2,
  IF(V443="",
    "",
    SUM(1/(1+POWER(10,-(V442-_xlpm.elos)/_xlpm.diffscale)))-0.5)
)</f>
        <v/>
      </c>
      <c r="W444" t="str" cm="1">
        <f t="array" ref="W444">_xlfn.LET(
  _xlpm.colj, _xlfn._xlws.FILTER(IF(ISNUMBER(443:443), COLUMN(443:443)), ISNUMBER(443:443)),
  _xlpm.elos, INDEX(442:442,1,_xlpm.colj),
  _xlpm.diffscale, Constantes!$B$2,
  IF(W443="",
    "",
    SUM(1/(1+POWER(10,-(W442-_xlpm.elos)/_xlpm.diffscale)))-0.5)
)</f>
        <v/>
      </c>
      <c r="X444" t="str" cm="1">
        <f t="array" ref="X444">_xlfn.LET(
  _xlpm.colj, _xlfn._xlws.FILTER(IF(ISNUMBER(443:443), COLUMN(443:443)), ISNUMBER(443:443)),
  _xlpm.elos, INDEX(442:442,1,_xlpm.colj),
  _xlpm.diffscale, Constantes!$B$2,
  IF(X443="",
    "",
    SUM(1/(1+POWER(10,-(X442-_xlpm.elos)/_xlpm.diffscale)))-0.5)
)</f>
        <v/>
      </c>
      <c r="Y444" t="str" cm="1">
        <f t="array" ref="Y444">_xlfn.LET(
  _xlpm.colj, _xlfn._xlws.FILTER(IF(ISNUMBER(443:443), COLUMN(443:443)), ISNUMBER(443:443)),
  _xlpm.elos, INDEX(442:442,1,_xlpm.colj),
  _xlpm.diffscale, Constantes!$B$2,
  IF(Y443="",
    "",
    SUM(1/(1+POWER(10,-(Y442-_xlpm.elos)/_xlpm.diffscale)))-0.5)
)</f>
        <v/>
      </c>
      <c r="Z444" t="str" cm="1">
        <f t="array" ref="Z444">_xlfn.LET(
  _xlpm.colj, _xlfn._xlws.FILTER(IF(ISNUMBER(443:443), COLUMN(443:443)), ISNUMBER(443:443)),
  _xlpm.elos, INDEX(442:442,1,_xlpm.colj),
  _xlpm.diffscale, Constantes!$B$2,
  IF(Z443="",
    "",
    SUM(1/(1+POWER(10,-(Z442-_xlpm.elos)/_xlpm.diffscale)))-0.5)
)</f>
        <v/>
      </c>
      <c r="AA444" t="str" cm="1">
        <f t="array" ref="AA444">_xlfn.LET(
  _xlpm.colj, _xlfn._xlws.FILTER(IF(ISNUMBER(443:443), COLUMN(443:443)), ISNUMBER(443:443)),
  _xlpm.elos, INDEX(442:442,1,_xlpm.colj),
  _xlpm.diffscale, Constantes!$B$2,
  IF(AA443="",
    "",
    SUM(1/(1+POWER(10,-(AA442-_xlpm.elos)/_xlpm.diffscale)))-0.5)
)</f>
        <v/>
      </c>
      <c r="AB444" t="str" cm="1">
        <f t="array" ref="AB444">_xlfn.LET(
  _xlpm.colj, _xlfn._xlws.FILTER(IF(ISNUMBER(443:443), COLUMN(443:443)), ISNUMBER(443:443)),
  _xlpm.elos, INDEX(442:442,1,_xlpm.colj),
  _xlpm.diffscale, Constantes!$B$2,
  IF(AB443="",
    "",
    SUM(1/(1+POWER(10,-(AB442-_xlpm.elos)/_xlpm.diffscale)))-0.5)
)</f>
        <v/>
      </c>
      <c r="AC444" t="str" cm="1">
        <f t="array" ref="AC444">_xlfn.LET(
  _xlpm.colj, _xlfn._xlws.FILTER(IF(ISNUMBER(443:443), COLUMN(443:443)), ISNUMBER(443:443)),
  _xlpm.elos, INDEX(442:442,1,_xlpm.colj),
  _xlpm.diffscale, Constantes!$B$2,
  IF(AC443="",
    "",
    SUM(1/(1+POWER(10,-(AC442-_xlpm.elos)/_xlpm.diffscale)))-0.5)
)</f>
        <v/>
      </c>
      <c r="AD444" t="str" cm="1">
        <f t="array" ref="AD444">_xlfn.LET(
  _xlpm.colj, _xlfn._xlws.FILTER(IF(ISNUMBER(443:443), COLUMN(443:443)), ISNUMBER(443:443)),
  _xlpm.elos, INDEX(442:442,1,_xlpm.colj),
  _xlpm.diffscale, Constantes!$B$2,
  IF(AD443="",
    "",
    SUM(1/(1+POWER(10,-(AD442-_xlpm.elos)/_xlpm.diffscale)))-0.5)
)</f>
        <v/>
      </c>
      <c r="AE444" t="str" cm="1">
        <f t="array" ref="AE444">_xlfn.LET(
  _xlpm.colj, _xlfn._xlws.FILTER(IF(ISNUMBER(443:443), COLUMN(443:443)), ISNUMBER(443:443)),
  _xlpm.elos, INDEX(442:442,1,_xlpm.colj),
  _xlpm.diffscale, Constantes!$B$2,
  IF(AE443="",
    "",
    SUM(1/(1+POWER(10,-(AE442-_xlpm.elos)/_xlpm.diffscale)))-0.5)
)</f>
        <v/>
      </c>
      <c r="AF444" t="str" cm="1">
        <f t="array" ref="AF444">_xlfn.LET(
  _xlpm.colj, _xlfn._xlws.FILTER(IF(ISNUMBER(443:443), COLUMN(443:443)), ISNUMBER(443:443)),
  _xlpm.elos, INDEX(442:442,1,_xlpm.colj),
  _xlpm.diffscale, Constantes!$B$2,
  IF(AF443="",
    "",
    SUM(1/(1+POWER(10,-(AF442-_xlpm.elos)/_xlpm.diffscale)))-0.5)
)</f>
        <v/>
      </c>
      <c r="AG444" t="str" cm="1">
        <f t="array" ref="AG444">_xlfn.LET(
  _xlpm.colj, _xlfn._xlws.FILTER(IF(ISNUMBER(443:443), COLUMN(443:443)), ISNUMBER(443:443)),
  _xlpm.elos, INDEX(442:442,1,_xlpm.colj),
  _xlpm.diffscale, Constantes!$B$2,
  IF(AG443="",
    "",
    SUM(1/(1+POWER(10,-(AG442-_xlpm.elos)/_xlpm.diffscale)))-0.5)
)</f>
        <v/>
      </c>
      <c r="AH444" t="str" cm="1">
        <f t="array" ref="AH444">_xlfn.LET(
  _xlpm.colj, _xlfn._xlws.FILTER(IF(ISNUMBER(443:443), COLUMN(443:443)), ISNUMBER(443:443)),
  _xlpm.elos, INDEX(442:442,1,_xlpm.colj),
  _xlpm.diffscale, Constantes!$B$2,
  IF(AH443="",
    "",
    SUM(1/(1+POWER(10,-(AH442-_xlpm.elos)/_xlpm.diffscale)))-0.5)
)</f>
        <v/>
      </c>
      <c r="AI444" t="str" cm="1">
        <f t="array" ref="AI444">_xlfn.LET(
  _xlpm.colj, _xlfn._xlws.FILTER(IF(ISNUMBER(443:443), COLUMN(443:443)), ISNUMBER(443:443)),
  _xlpm.elos, INDEX(442:442,1,_xlpm.colj),
  _xlpm.diffscale, Constantes!$B$2,
  IF(AI443="",
    "",
    SUM(1/(1+POWER(10,-(AI442-_xlpm.elos)/_xlpm.diffscale)))-0.5)
)</f>
        <v/>
      </c>
      <c r="AJ444" t="str" cm="1">
        <f t="array" ref="AJ444">_xlfn.LET(
  _xlpm.colj, _xlfn._xlws.FILTER(IF(ISNUMBER(443:443), COLUMN(443:443)), ISNUMBER(443:443)),
  _xlpm.elos, INDEX(442:442,1,_xlpm.colj),
  _xlpm.diffscale, Constantes!$B$2,
  IF(AJ443="",
    "",
    SUM(1/(1+POWER(10,-(AJ442-_xlpm.elos)/_xlpm.diffscale)))-0.5)
)</f>
        <v/>
      </c>
      <c r="AK444" t="str" cm="1">
        <f t="array" ref="AK444">_xlfn.LET(
  _xlpm.colj, _xlfn._xlws.FILTER(IF(ISNUMBER(443:443), COLUMN(443:443)), ISNUMBER(443:443)),
  _xlpm.elos, INDEX(442:442,1,_xlpm.colj),
  _xlpm.diffscale, Constantes!$B$2,
  IF(AK443="",
    "",
    SUM(1/(1+POWER(10,-(AK442-_xlpm.elos)/_xlpm.diffscale)))-0.5)
)</f>
        <v/>
      </c>
      <c r="AL444" t="str" cm="1">
        <f t="array" ref="AL444">_xlfn.LET(
  _xlpm.colj, _xlfn._xlws.FILTER(IF(ISNUMBER(443:443), COLUMN(443:443)), ISNUMBER(443:443)),
  _xlpm.elos, INDEX(442:442,1,_xlpm.colj),
  _xlpm.diffscale, Constantes!$B$2,
  IF(AL443="",
    "",
    SUM(1/(1+POWER(10,-(AL442-_xlpm.elos)/_xlpm.diffscale)))-0.5)
)</f>
        <v/>
      </c>
      <c r="AM444" t="str" cm="1">
        <f t="array" ref="AM444">_xlfn.LET(
  _xlpm.colj, _xlfn._xlws.FILTER(IF(ISNUMBER(443:443), COLUMN(443:443)), ISNUMBER(443:443)),
  _xlpm.elos, INDEX(442:442,1,_xlpm.colj),
  _xlpm.diffscale, Constantes!$B$2,
  IF(AM443="",
    "",
    SUM(1/(1+POWER(10,-(AM442-_xlpm.elos)/_xlpm.diffscale)))-0.5)
)</f>
        <v/>
      </c>
    </row>
    <row r="445" spans="1:39" x14ac:dyDescent="0.25">
      <c r="A445" t="s">
        <v>22</v>
      </c>
      <c r="D445" t="str" cm="1">
        <f t="array" ref="D445">_xlfn.LET(
  _xlpm.K, Constantes!$B$3,
  _xlpm.Knewgain, Constantes!$B$4,
  _xlpm.Knewscale, Constantes!$B$5,
  _xlpm.ptstables, INDEX(D:D, _xlfn.SEQUENCE(COUNTA($C$2:$C445), 1, 3, 4)),
  _xlpm.nbparties, COUNTA(_xlfn._xlws.FILTER(_xlpm.ptstables, _xlpm.ptstables &lt;&gt; "")),
  _xlpm.coef, _xlpm.K + _xlpm.Knewgain / (_xlpm.Knewscale + _xlpm.nbparties),
  IF(D443="",
    "",
    _xlpm.coef * (D443-D444))
)</f>
        <v/>
      </c>
      <c r="E445" t="str" cm="1">
        <f t="array" ref="E445">_xlfn.LET(
  _xlpm.K, Constantes!$B$3,
  _xlpm.Knewgain, Constantes!$B$4,
  _xlpm.Knewscale, Constantes!$B$5,
  _xlpm.ptstables, INDEX(E:E, _xlfn.SEQUENCE(COUNTA($C$2:$C445), 1, 3, 4)),
  _xlpm.nbparties, COUNTA(_xlfn._xlws.FILTER(_xlpm.ptstables, _xlpm.ptstables &lt;&gt; "")),
  _xlpm.coef, _xlpm.K + _xlpm.Knewgain / (_xlpm.Knewscale + _xlpm.nbparties),
  IF(E443="",
    "",
    _xlpm.coef * (E443-E444))
)</f>
        <v/>
      </c>
      <c r="F445" t="str" cm="1">
        <f t="array" ref="F445">_xlfn.LET(
  _xlpm.K, Constantes!$B$3,
  _xlpm.Knewgain, Constantes!$B$4,
  _xlpm.Knewscale, Constantes!$B$5,
  _xlpm.ptstables, INDEX(F:F, _xlfn.SEQUENCE(COUNTA($C$2:$C445), 1, 3, 4)),
  _xlpm.nbparties, COUNTA(_xlfn._xlws.FILTER(_xlpm.ptstables, _xlpm.ptstables &lt;&gt; "")),
  _xlpm.coef, _xlpm.K + _xlpm.Knewgain / (_xlpm.Knewscale + _xlpm.nbparties),
  IF(F443="",
    "",
    _xlpm.coef * (F443-F444))
)</f>
        <v/>
      </c>
      <c r="G445" cm="1">
        <f t="array" ref="G445">_xlfn.LET(
  _xlpm.K, Constantes!$B$3,
  _xlpm.Knewgain, Constantes!$B$4,
  _xlpm.Knewscale, Constantes!$B$5,
  _xlpm.ptstables, INDEX(G:G, _xlfn.SEQUENCE(COUNTA($C$2:$C445), 1, 3, 4)),
  _xlpm.nbparties, COUNTA(_xlfn._xlws.FILTER(_xlpm.ptstables, _xlpm.ptstables &lt;&gt; "")),
  _xlpm.coef, _xlpm.K + _xlpm.Knewgain / (_xlpm.Knewscale + _xlpm.nbparties),
  IF(G443="",
    "",
    _xlpm.coef * (G443-G444))
)</f>
        <v>-27.769827053506248</v>
      </c>
      <c r="H445" cm="1">
        <f t="array" ref="H445">_xlfn.LET(
  _xlpm.K, Constantes!$B$3,
  _xlpm.Knewgain, Constantes!$B$4,
  _xlpm.Knewscale, Constantes!$B$5,
  _xlpm.ptstables, INDEX(H:H, _xlfn.SEQUENCE(COUNTA($C$2:$C445), 1, 3, 4)),
  _xlpm.nbparties, COUNTA(_xlfn._xlws.FILTER(_xlpm.ptstables, _xlpm.ptstables &lt;&gt; "")),
  _xlpm.coef, _xlpm.K + _xlpm.Knewgain / (_xlpm.Knewscale + _xlpm.nbparties),
  IF(H443="",
    "",
    _xlpm.coef * (H443-H444))
)</f>
        <v>-14.603850169610149</v>
      </c>
      <c r="I445" t="str" cm="1">
        <f t="array" ref="I445">_xlfn.LET(
  _xlpm.K, Constantes!$B$3,
  _xlpm.Knewgain, Constantes!$B$4,
  _xlpm.Knewscale, Constantes!$B$5,
  _xlpm.ptstables, INDEX(I:I, _xlfn.SEQUENCE(COUNTA($C$2:$C445), 1, 3, 4)),
  _xlpm.nbparties, COUNTA(_xlfn._xlws.FILTER(_xlpm.ptstables, _xlpm.ptstables &lt;&gt; "")),
  _xlpm.coef, _xlpm.K + _xlpm.Knewgain / (_xlpm.Knewscale + _xlpm.nbparties),
  IF(I443="",
    "",
    _xlpm.coef * (I443-I444))
)</f>
        <v/>
      </c>
      <c r="J445" t="str" cm="1">
        <f t="array" ref="J445">_xlfn.LET(
  _xlpm.K, Constantes!$B$3,
  _xlpm.Knewgain, Constantes!$B$4,
  _xlpm.Knewscale, Constantes!$B$5,
  _xlpm.ptstables, INDEX(J:J, _xlfn.SEQUENCE(COUNTA($C$2:$C445), 1, 3, 4)),
  _xlpm.nbparties, COUNTA(_xlfn._xlws.FILTER(_xlpm.ptstables, _xlpm.ptstables &lt;&gt; "")),
  _xlpm.coef, _xlpm.K + _xlpm.Knewgain / (_xlpm.Knewscale + _xlpm.nbparties),
  IF(J443="",
    "",
    _xlpm.coef * (J443-J444))
)</f>
        <v/>
      </c>
      <c r="K445" t="str" cm="1">
        <f t="array" ref="K445">_xlfn.LET(
  _xlpm.K, Constantes!$B$3,
  _xlpm.Knewgain, Constantes!$B$4,
  _xlpm.Knewscale, Constantes!$B$5,
  _xlpm.ptstables, INDEX(K:K, _xlfn.SEQUENCE(COUNTA($C$2:$C445), 1, 3, 4)),
  _xlpm.nbparties, COUNTA(_xlfn._xlws.FILTER(_xlpm.ptstables, _xlpm.ptstables &lt;&gt; "")),
  _xlpm.coef, _xlpm.K + _xlpm.Knewgain / (_xlpm.Knewscale + _xlpm.nbparties),
  IF(K443="",
    "",
    _xlpm.coef * (K443-K444))
)</f>
        <v/>
      </c>
      <c r="L445" t="str" cm="1">
        <f t="array" ref="L445">_xlfn.LET(
  _xlpm.K, Constantes!$B$3,
  _xlpm.Knewgain, Constantes!$B$4,
  _xlpm.Knewscale, Constantes!$B$5,
  _xlpm.ptstables, INDEX(L:L, _xlfn.SEQUENCE(COUNTA($C$2:$C445), 1, 3, 4)),
  _xlpm.nbparties, COUNTA(_xlfn._xlws.FILTER(_xlpm.ptstables, _xlpm.ptstables &lt;&gt; "")),
  _xlpm.coef, _xlpm.K + _xlpm.Knewgain / (_xlpm.Knewscale + _xlpm.nbparties),
  IF(L443="",
    "",
    _xlpm.coef * (L443-L444))
)</f>
        <v/>
      </c>
      <c r="M445" t="str" cm="1">
        <f t="array" ref="M445">_xlfn.LET(
  _xlpm.K, Constantes!$B$3,
  _xlpm.Knewgain, Constantes!$B$4,
  _xlpm.Knewscale, Constantes!$B$5,
  _xlpm.ptstables, INDEX(M:M, _xlfn.SEQUENCE(COUNTA($C$2:$C445), 1, 3, 4)),
  _xlpm.nbparties, COUNTA(_xlfn._xlws.FILTER(_xlpm.ptstables, _xlpm.ptstables &lt;&gt; "")),
  _xlpm.coef, _xlpm.K + _xlpm.Knewgain / (_xlpm.Knewscale + _xlpm.nbparties),
  IF(M443="",
    "",
    _xlpm.coef * (M443-M444))
)</f>
        <v/>
      </c>
      <c r="N445" t="str" cm="1">
        <f t="array" ref="N445">_xlfn.LET(
  _xlpm.K, Constantes!$B$3,
  _xlpm.Knewgain, Constantes!$B$4,
  _xlpm.Knewscale, Constantes!$B$5,
  _xlpm.ptstables, INDEX(N:N, _xlfn.SEQUENCE(COUNTA($C$2:$C445), 1, 3, 4)),
  _xlpm.nbparties, COUNTA(_xlfn._xlws.FILTER(_xlpm.ptstables, _xlpm.ptstables &lt;&gt; "")),
  _xlpm.coef, _xlpm.K + _xlpm.Knewgain / (_xlpm.Knewscale + _xlpm.nbparties),
  IF(N443="",
    "",
    _xlpm.coef * (N443-N444))
)</f>
        <v/>
      </c>
      <c r="O445" t="str" cm="1">
        <f t="array" ref="O445">_xlfn.LET(
  _xlpm.K, Constantes!$B$3,
  _xlpm.Knewgain, Constantes!$B$4,
  _xlpm.Knewscale, Constantes!$B$5,
  _xlpm.ptstables, INDEX(O:O, _xlfn.SEQUENCE(COUNTA($C$2:$C445), 1, 3, 4)),
  _xlpm.nbparties, COUNTA(_xlfn._xlws.FILTER(_xlpm.ptstables, _xlpm.ptstables &lt;&gt; "")),
  _xlpm.coef, _xlpm.K + _xlpm.Knewgain / (_xlpm.Knewscale + _xlpm.nbparties),
  IF(O443="",
    "",
    _xlpm.coef * (O443-O444))
)</f>
        <v/>
      </c>
      <c r="P445" t="str" cm="1">
        <f t="array" ref="P445">_xlfn.LET(
  _xlpm.K, Constantes!$B$3,
  _xlpm.Knewgain, Constantes!$B$4,
  _xlpm.Knewscale, Constantes!$B$5,
  _xlpm.ptstables, INDEX(P:P, _xlfn.SEQUENCE(COUNTA($C$2:$C445), 1, 3, 4)),
  _xlpm.nbparties, COUNTA(_xlfn._xlws.FILTER(_xlpm.ptstables, _xlpm.ptstables &lt;&gt; "")),
  _xlpm.coef, _xlpm.K + _xlpm.Knewgain / (_xlpm.Knewscale + _xlpm.nbparties),
  IF(P443="",
    "",
    _xlpm.coef * (P443-P444))
)</f>
        <v/>
      </c>
      <c r="Q445" cm="1">
        <f t="array" ref="Q445">_xlfn.LET(
  _xlpm.K, Constantes!$B$3,
  _xlpm.Knewgain, Constantes!$B$4,
  _xlpm.Knewscale, Constantes!$B$5,
  _xlpm.ptstables, INDEX(Q:Q, _xlfn.SEQUENCE(COUNTA($C$2:$C445), 1, 3, 4)),
  _xlpm.nbparties, COUNTA(_xlfn._xlws.FILTER(_xlpm.ptstables, _xlpm.ptstables &lt;&gt; "")),
  _xlpm.coef, _xlpm.K + _xlpm.Knewgain / (_xlpm.Knewscale + _xlpm.nbparties),
  IF(Q443="",
    "",
    _xlpm.coef * (Q443-Q444))
)</f>
        <v>17.065636222845008</v>
      </c>
      <c r="R445" t="str" cm="1">
        <f t="array" ref="R445">_xlfn.LET(
  _xlpm.K, Constantes!$B$3,
  _xlpm.Knewgain, Constantes!$B$4,
  _xlpm.Knewscale, Constantes!$B$5,
  _xlpm.ptstables, INDEX(R:R, _xlfn.SEQUENCE(COUNTA($C$2:$C445), 1, 3, 4)),
  _xlpm.nbparties, COUNTA(_xlfn._xlws.FILTER(_xlpm.ptstables, _xlpm.ptstables &lt;&gt; "")),
  _xlpm.coef, _xlpm.K + _xlpm.Knewgain / (_xlpm.Knewscale + _xlpm.nbparties),
  IF(R443="",
    "",
    _xlpm.coef * (R443-R444))
)</f>
        <v/>
      </c>
      <c r="S445" t="str" cm="1">
        <f t="array" ref="S445">_xlfn.LET(
  _xlpm.K, Constantes!$B$3,
  _xlpm.Knewgain, Constantes!$B$4,
  _xlpm.Knewscale, Constantes!$B$5,
  _xlpm.ptstables, INDEX(S:S, _xlfn.SEQUENCE(COUNTA($C$2:$C445), 1, 3, 4)),
  _xlpm.nbparties, COUNTA(_xlfn._xlws.FILTER(_xlpm.ptstables, _xlpm.ptstables &lt;&gt; "")),
  _xlpm.coef, _xlpm.K + _xlpm.Knewgain / (_xlpm.Knewscale + _xlpm.nbparties),
  IF(S443="",
    "",
    _xlpm.coef * (S443-S444))
)</f>
        <v/>
      </c>
      <c r="T445" t="str" cm="1">
        <f t="array" ref="T445">_xlfn.LET(
  _xlpm.K, Constantes!$B$3,
  _xlpm.Knewgain, Constantes!$B$4,
  _xlpm.Knewscale, Constantes!$B$5,
  _xlpm.ptstables, INDEX(T:T, _xlfn.SEQUENCE(COUNTA($C$2:$C445), 1, 3, 4)),
  _xlpm.nbparties, COUNTA(_xlfn._xlws.FILTER(_xlpm.ptstables, _xlpm.ptstables &lt;&gt; "")),
  _xlpm.coef, _xlpm.K + _xlpm.Knewgain / (_xlpm.Knewscale + _xlpm.nbparties),
  IF(T443="",
    "",
    _xlpm.coef * (T443-T444))
)</f>
        <v/>
      </c>
      <c r="U445" cm="1">
        <f t="array" ref="U445">_xlfn.LET(
  _xlpm.K, Constantes!$B$3,
  _xlpm.Knewgain, Constantes!$B$4,
  _xlpm.Knewscale, Constantes!$B$5,
  _xlpm.ptstables, INDEX(U:U, _xlfn.SEQUENCE(COUNTA($C$2:$C445), 1, 3, 4)),
  _xlpm.nbparties, COUNTA(_xlfn._xlws.FILTER(_xlpm.ptstables, _xlpm.ptstables &lt;&gt; "")),
  _xlpm.coef, _xlpm.K + _xlpm.Knewgain / (_xlpm.Knewscale + _xlpm.nbparties),
  IF(U443="",
    "",
    _xlpm.coef * (U443-U444))
)</f>
        <v>24.404119123467915</v>
      </c>
      <c r="V445" t="str" cm="1">
        <f t="array" ref="V445">_xlfn.LET(
  _xlpm.K, Constantes!$B$3,
  _xlpm.Knewgain, Constantes!$B$4,
  _xlpm.Knewscale, Constantes!$B$5,
  _xlpm.ptstables, INDEX(V:V, _xlfn.SEQUENCE(COUNTA($C$2:$C445), 1, 3, 4)),
  _xlpm.nbparties, COUNTA(_xlfn._xlws.FILTER(_xlpm.ptstables, _xlpm.ptstables &lt;&gt; "")),
  _xlpm.coef, _xlpm.K + _xlpm.Knewgain / (_xlpm.Knewscale + _xlpm.nbparties),
  IF(V443="",
    "",
    _xlpm.coef * (V443-V444))
)</f>
        <v/>
      </c>
      <c r="W445" t="str" cm="1">
        <f t="array" ref="W445">_xlfn.LET(
  _xlpm.K, Constantes!$B$3,
  _xlpm.Knewgain, Constantes!$B$4,
  _xlpm.Knewscale, Constantes!$B$5,
  _xlpm.ptstables, INDEX(W:W, _xlfn.SEQUENCE(COUNTA($C$2:$C445), 1, 3, 4)),
  _xlpm.nbparties, COUNTA(_xlfn._xlws.FILTER(_xlpm.ptstables, _xlpm.ptstables &lt;&gt; "")),
  _xlpm.coef, _xlpm.K + _xlpm.Knewgain / (_xlpm.Knewscale + _xlpm.nbparties),
  IF(W443="",
    "",
    _xlpm.coef * (W443-W444))
)</f>
        <v/>
      </c>
      <c r="X445" t="str" cm="1">
        <f t="array" ref="X445">_xlfn.LET(
  _xlpm.K, Constantes!$B$3,
  _xlpm.Knewgain, Constantes!$B$4,
  _xlpm.Knewscale, Constantes!$B$5,
  _xlpm.ptstables, INDEX(X:X, _xlfn.SEQUENCE(COUNTA($C$2:$C445), 1, 3, 4)),
  _xlpm.nbparties, COUNTA(_xlfn._xlws.FILTER(_xlpm.ptstables, _xlpm.ptstables &lt;&gt; "")),
  _xlpm.coef, _xlpm.K + _xlpm.Knewgain / (_xlpm.Knewscale + _xlpm.nbparties),
  IF(X443="",
    "",
    _xlpm.coef * (X443-X444))
)</f>
        <v/>
      </c>
      <c r="Y445" t="str" cm="1">
        <f t="array" ref="Y445">_xlfn.LET(
  _xlpm.K, Constantes!$B$3,
  _xlpm.Knewgain, Constantes!$B$4,
  _xlpm.Knewscale, Constantes!$B$5,
  _xlpm.ptstables, INDEX(Y:Y, _xlfn.SEQUENCE(COUNTA($C$2:$C445), 1, 3, 4)),
  _xlpm.nbparties, COUNTA(_xlfn._xlws.FILTER(_xlpm.ptstables, _xlpm.ptstables &lt;&gt; "")),
  _xlpm.coef, _xlpm.K + _xlpm.Knewgain / (_xlpm.Knewscale + _xlpm.nbparties),
  IF(Y443="",
    "",
    _xlpm.coef * (Y443-Y444))
)</f>
        <v/>
      </c>
      <c r="Z445" t="str" cm="1">
        <f t="array" ref="Z445">_xlfn.LET(
  _xlpm.K, Constantes!$B$3,
  _xlpm.Knewgain, Constantes!$B$4,
  _xlpm.Knewscale, Constantes!$B$5,
  _xlpm.ptstables, INDEX(Z:Z, _xlfn.SEQUENCE(COUNTA($C$2:$C445), 1, 3, 4)),
  _xlpm.nbparties, COUNTA(_xlfn._xlws.FILTER(_xlpm.ptstables, _xlpm.ptstables &lt;&gt; "")),
  _xlpm.coef, _xlpm.K + _xlpm.Knewgain / (_xlpm.Knewscale + _xlpm.nbparties),
  IF(Z443="",
    "",
    _xlpm.coef * (Z443-Z444))
)</f>
        <v/>
      </c>
      <c r="AA445" t="str" cm="1">
        <f t="array" ref="AA445">_xlfn.LET(
  _xlpm.K, Constantes!$B$3,
  _xlpm.Knewgain, Constantes!$B$4,
  _xlpm.Knewscale, Constantes!$B$5,
  _xlpm.ptstables, INDEX(AA:AA, _xlfn.SEQUENCE(COUNTA($C$2:$C445), 1, 3, 4)),
  _xlpm.nbparties, COUNTA(_xlfn._xlws.FILTER(_xlpm.ptstables, _xlpm.ptstables &lt;&gt; "")),
  _xlpm.coef, _xlpm.K + _xlpm.Knewgain / (_xlpm.Knewscale + _xlpm.nbparties),
  IF(AA443="",
    "",
    _xlpm.coef * (AA443-AA444))
)</f>
        <v/>
      </c>
      <c r="AB445" t="str" cm="1">
        <f t="array" ref="AB445">_xlfn.LET(
  _xlpm.K, Constantes!$B$3,
  _xlpm.Knewgain, Constantes!$B$4,
  _xlpm.Knewscale, Constantes!$B$5,
  _xlpm.ptstables, INDEX(AB:AB, _xlfn.SEQUENCE(COUNTA($C$2:$C445), 1, 3, 4)),
  _xlpm.nbparties, COUNTA(_xlfn._xlws.FILTER(_xlpm.ptstables, _xlpm.ptstables &lt;&gt; "")),
  _xlpm.coef, _xlpm.K + _xlpm.Knewgain / (_xlpm.Knewscale + _xlpm.nbparties),
  IF(AB443="",
    "",
    _xlpm.coef * (AB443-AB444))
)</f>
        <v/>
      </c>
      <c r="AC445" t="str" cm="1">
        <f t="array" ref="AC445">_xlfn.LET(
  _xlpm.K, Constantes!$B$3,
  _xlpm.Knewgain, Constantes!$B$4,
  _xlpm.Knewscale, Constantes!$B$5,
  _xlpm.ptstables, INDEX(AC:AC, _xlfn.SEQUENCE(COUNTA($C$2:$C445), 1, 3, 4)),
  _xlpm.nbparties, COUNTA(_xlfn._xlws.FILTER(_xlpm.ptstables, _xlpm.ptstables &lt;&gt; "")),
  _xlpm.coef, _xlpm.K + _xlpm.Knewgain / (_xlpm.Knewscale + _xlpm.nbparties),
  IF(AC443="",
    "",
    _xlpm.coef * (AC443-AC444))
)</f>
        <v/>
      </c>
      <c r="AD445" t="str" cm="1">
        <f t="array" ref="AD445">_xlfn.LET(
  _xlpm.K, Constantes!$B$3,
  _xlpm.Knewgain, Constantes!$B$4,
  _xlpm.Knewscale, Constantes!$B$5,
  _xlpm.ptstables, INDEX(AD:AD, _xlfn.SEQUENCE(COUNTA($C$2:$C445), 1, 3, 4)),
  _xlpm.nbparties, COUNTA(_xlfn._xlws.FILTER(_xlpm.ptstables, _xlpm.ptstables &lt;&gt; "")),
  _xlpm.coef, _xlpm.K + _xlpm.Knewgain / (_xlpm.Knewscale + _xlpm.nbparties),
  IF(AD443="",
    "",
    _xlpm.coef * (AD443-AD444))
)</f>
        <v/>
      </c>
      <c r="AE445" t="str" cm="1">
        <f t="array" ref="AE445">_xlfn.LET(
  _xlpm.K, Constantes!$B$3,
  _xlpm.Knewgain, Constantes!$B$4,
  _xlpm.Knewscale, Constantes!$B$5,
  _xlpm.ptstables, INDEX(AE:AE, _xlfn.SEQUENCE(COUNTA($C$2:$C445), 1, 3, 4)),
  _xlpm.nbparties, COUNTA(_xlfn._xlws.FILTER(_xlpm.ptstables, _xlpm.ptstables &lt;&gt; "")),
  _xlpm.coef, _xlpm.K + _xlpm.Knewgain / (_xlpm.Knewscale + _xlpm.nbparties),
  IF(AE443="",
    "",
    _xlpm.coef * (AE443-AE444))
)</f>
        <v/>
      </c>
      <c r="AF445" t="str" cm="1">
        <f t="array" ref="AF445">_xlfn.LET(
  _xlpm.K, Constantes!$B$3,
  _xlpm.Knewgain, Constantes!$B$4,
  _xlpm.Knewscale, Constantes!$B$5,
  _xlpm.ptstables, INDEX(AF:AF, _xlfn.SEQUENCE(COUNTA($C$2:$C445), 1, 3, 4)),
  _xlpm.nbparties, COUNTA(_xlfn._xlws.FILTER(_xlpm.ptstables, _xlpm.ptstables &lt;&gt; "")),
  _xlpm.coef, _xlpm.K + _xlpm.Knewgain / (_xlpm.Knewscale + _xlpm.nbparties),
  IF(AF443="",
    "",
    _xlpm.coef * (AF443-AF444))
)</f>
        <v/>
      </c>
      <c r="AG445" t="str" cm="1">
        <f t="array" ref="AG445">_xlfn.LET(
  _xlpm.K, Constantes!$B$3,
  _xlpm.Knewgain, Constantes!$B$4,
  _xlpm.Knewscale, Constantes!$B$5,
  _xlpm.ptstables, INDEX(AG:AG, _xlfn.SEQUENCE(COUNTA($C$2:$C445), 1, 3, 4)),
  _xlpm.nbparties, COUNTA(_xlfn._xlws.FILTER(_xlpm.ptstables, _xlpm.ptstables &lt;&gt; "")),
  _xlpm.coef, _xlpm.K + _xlpm.Knewgain / (_xlpm.Knewscale + _xlpm.nbparties),
  IF(AG443="",
    "",
    _xlpm.coef * (AG443-AG444))
)</f>
        <v/>
      </c>
      <c r="AH445" t="str" cm="1">
        <f t="array" ref="AH445">_xlfn.LET(
  _xlpm.K, Constantes!$B$3,
  _xlpm.Knewgain, Constantes!$B$4,
  _xlpm.Knewscale, Constantes!$B$5,
  _xlpm.ptstables, INDEX(AH:AH, _xlfn.SEQUENCE(COUNTA($C$2:$C445), 1, 3, 4)),
  _xlpm.nbparties, COUNTA(_xlfn._xlws.FILTER(_xlpm.ptstables, _xlpm.ptstables &lt;&gt; "")),
  _xlpm.coef, _xlpm.K + _xlpm.Knewgain / (_xlpm.Knewscale + _xlpm.nbparties),
  IF(AH443="",
    "",
    _xlpm.coef * (AH443-AH444))
)</f>
        <v/>
      </c>
      <c r="AI445" t="str" cm="1">
        <f t="array" ref="AI445">_xlfn.LET(
  _xlpm.K, Constantes!$B$3,
  _xlpm.Knewgain, Constantes!$B$4,
  _xlpm.Knewscale, Constantes!$B$5,
  _xlpm.ptstables, INDEX(AI:AI, _xlfn.SEQUENCE(COUNTA($C$2:$C445), 1, 3, 4)),
  _xlpm.nbparties, COUNTA(_xlfn._xlws.FILTER(_xlpm.ptstables, _xlpm.ptstables &lt;&gt; "")),
  _xlpm.coef, _xlpm.K + _xlpm.Knewgain / (_xlpm.Knewscale + _xlpm.nbparties),
  IF(AI443="",
    "",
    _xlpm.coef * (AI443-AI444))
)</f>
        <v/>
      </c>
      <c r="AJ445" t="str" cm="1">
        <f t="array" ref="AJ445">_xlfn.LET(
  _xlpm.K, Constantes!$B$3,
  _xlpm.Knewgain, Constantes!$B$4,
  _xlpm.Knewscale, Constantes!$B$5,
  _xlpm.ptstables, INDEX(AJ:AJ, _xlfn.SEQUENCE(COUNTA($C$2:$C445), 1, 3, 4)),
  _xlpm.nbparties, COUNTA(_xlfn._xlws.FILTER(_xlpm.ptstables, _xlpm.ptstables &lt;&gt; "")),
  _xlpm.coef, _xlpm.K + _xlpm.Knewgain / (_xlpm.Knewscale + _xlpm.nbparties),
  IF(AJ443="",
    "",
    _xlpm.coef * (AJ443-AJ444))
)</f>
        <v/>
      </c>
      <c r="AK445" t="str" cm="1">
        <f t="array" ref="AK445">_xlfn.LET(
  _xlpm.K, Constantes!$B$3,
  _xlpm.Knewgain, Constantes!$B$4,
  _xlpm.Knewscale, Constantes!$B$5,
  _xlpm.ptstables, INDEX(AK:AK, _xlfn.SEQUENCE(COUNTA($C$2:$C445), 1, 3, 4)),
  _xlpm.nbparties, COUNTA(_xlfn._xlws.FILTER(_xlpm.ptstables, _xlpm.ptstables &lt;&gt; "")),
  _xlpm.coef, _xlpm.K + _xlpm.Knewgain / (_xlpm.Knewscale + _xlpm.nbparties),
  IF(AK443="",
    "",
    _xlpm.coef * (AK443-AK444))
)</f>
        <v/>
      </c>
      <c r="AL445" t="str" cm="1">
        <f t="array" ref="AL445">_xlfn.LET(
  _xlpm.K, Constantes!$B$3,
  _xlpm.Knewgain, Constantes!$B$4,
  _xlpm.Knewscale, Constantes!$B$5,
  _xlpm.ptstables, INDEX(AL:AL, _xlfn.SEQUENCE(COUNTA($C$2:$C445), 1, 3, 4)),
  _xlpm.nbparties, COUNTA(_xlfn._xlws.FILTER(_xlpm.ptstables, _xlpm.ptstables &lt;&gt; "")),
  _xlpm.coef, _xlpm.K + _xlpm.Knewgain / (_xlpm.Knewscale + _xlpm.nbparties),
  IF(AL443="",
    "",
    _xlpm.coef * (AL443-AL444))
)</f>
        <v/>
      </c>
      <c r="AM445" t="str" cm="1">
        <f t="array" ref="AM445">_xlfn.LET(
  _xlpm.K, Constantes!$B$3,
  _xlpm.Knewgain, Constantes!$B$4,
  _xlpm.Knewscale, Constantes!$B$5,
  _xlpm.ptstables, INDEX(AM:AM, _xlfn.SEQUENCE(COUNTA($C$2:$C445), 1, 3, 4)),
  _xlpm.nbparties, COUNTA(_xlfn._xlws.FILTER(_xlpm.ptstables, _xlpm.ptstables &lt;&gt; "")),
  _xlpm.coef, _xlpm.K + _xlpm.Knewgain / (_xlpm.Knewscale + _xlpm.nbparties),
  IF(AM443="",
    "",
    _xlpm.coef * (AM443-AM444))
)</f>
        <v/>
      </c>
    </row>
    <row r="446" spans="1:39" x14ac:dyDescent="0.25">
      <c r="A446" t="s">
        <v>14</v>
      </c>
      <c r="B446" t="str" cm="1">
        <f t="array" ref="B44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112</v>
      </c>
      <c r="C446" s="2" cm="1">
        <f t="array" ref="C446">IF(B446="","",
  INDEX(Donnees!F:F, MATCH(B446, Donnees!F:F, 0)+1))</f>
        <v>45967.777361111112</v>
      </c>
      <c r="D446">
        <f t="shared" ref="D446:AM446" si="119">D442+IF(D445="",0,D445)</f>
        <v>1014.1093375645521</v>
      </c>
      <c r="E446">
        <f t="shared" si="119"/>
        <v>1196.4195973781996</v>
      </c>
      <c r="F446">
        <f t="shared" si="119"/>
        <v>911.8835833951041</v>
      </c>
      <c r="G446">
        <f t="shared" si="119"/>
        <v>1034.1827290977112</v>
      </c>
      <c r="H446">
        <f t="shared" si="119"/>
        <v>1107.2522591600814</v>
      </c>
      <c r="I446">
        <f t="shared" si="119"/>
        <v>907.83370609419069</v>
      </c>
      <c r="J446">
        <f t="shared" si="119"/>
        <v>1000.251341704819</v>
      </c>
      <c r="K446">
        <f t="shared" si="119"/>
        <v>1076.8546837336262</v>
      </c>
      <c r="L446">
        <f t="shared" si="119"/>
        <v>762.99078552663389</v>
      </c>
      <c r="M446">
        <f t="shared" si="119"/>
        <v>927.4581540493366</v>
      </c>
      <c r="N446">
        <f t="shared" si="119"/>
        <v>899.98370646249032</v>
      </c>
      <c r="O446">
        <f t="shared" si="119"/>
        <v>997.04050320786712</v>
      </c>
      <c r="P446">
        <f t="shared" si="119"/>
        <v>987.86278180042575</v>
      </c>
      <c r="Q446">
        <f t="shared" si="119"/>
        <v>1068.1411489246648</v>
      </c>
      <c r="R446">
        <f t="shared" si="119"/>
        <v>1056.3886451718679</v>
      </c>
      <c r="S446">
        <f t="shared" si="119"/>
        <v>1002.6649899548004</v>
      </c>
      <c r="T446">
        <f t="shared" si="119"/>
        <v>1125.604709757928</v>
      </c>
      <c r="U446">
        <f t="shared" si="119"/>
        <v>1188.1261168045758</v>
      </c>
      <c r="V446">
        <f t="shared" si="119"/>
        <v>969.67171739286073</v>
      </c>
      <c r="W446">
        <f t="shared" si="119"/>
        <v>873.42626723356045</v>
      </c>
      <c r="X446">
        <f t="shared" si="119"/>
        <v>832.40508999649853</v>
      </c>
      <c r="Y446">
        <f t="shared" si="119"/>
        <v>944.44867950361879</v>
      </c>
      <c r="Z446">
        <f t="shared" si="119"/>
        <v>1008.6876849635962</v>
      </c>
      <c r="AA446">
        <f t="shared" si="119"/>
        <v>976.40065260504912</v>
      </c>
      <c r="AB446">
        <f t="shared" si="119"/>
        <v>988.35669729544747</v>
      </c>
      <c r="AC446">
        <f t="shared" si="119"/>
        <v>923.36850203928373</v>
      </c>
      <c r="AD446">
        <f t="shared" si="119"/>
        <v>1054.5168154629837</v>
      </c>
      <c r="AE446">
        <f t="shared" si="119"/>
        <v>963.23981965000235</v>
      </c>
      <c r="AF446">
        <f t="shared" si="119"/>
        <v>1094.8196847516158</v>
      </c>
      <c r="AG446">
        <f t="shared" si="119"/>
        <v>958.23078604304851</v>
      </c>
      <c r="AH446">
        <f t="shared" si="119"/>
        <v>920.4412636682855</v>
      </c>
      <c r="AI446">
        <f t="shared" si="119"/>
        <v>1003.7270496767937</v>
      </c>
      <c r="AJ446">
        <f t="shared" si="119"/>
        <v>906.86354201913434</v>
      </c>
      <c r="AK446">
        <f t="shared" si="119"/>
        <v>1074.0069367206956</v>
      </c>
      <c r="AL446">
        <f t="shared" si="119"/>
        <v>1025.7817971572972</v>
      </c>
      <c r="AM446">
        <f t="shared" si="119"/>
        <v>930.08392160706046</v>
      </c>
    </row>
    <row r="447" spans="1:39" x14ac:dyDescent="0.25">
      <c r="A447" t="s">
        <v>21</v>
      </c>
      <c r="D447" cm="1">
        <f t="array" ref="D447">IFERROR(
  _xlfn.LET(
    _xlpm.ligpartie, MATCH($B446, Donnees!$F:$F, 0),
    _xlpm.joueurs, INDEX(Donnees!$A:$Z, _xlpm.ligpartie+1, _xlfn.SEQUENCE(1, 4, 2)),
    INDEX(
      Donnees!$A:$Z,
      _xlpm.ligpartie + 3,
      MATCH(D$1, _xlpm.joueurs, 0) + 1
    )
  ), ""
)</f>
        <v>1</v>
      </c>
      <c r="E447" t="str" cm="1">
        <f t="array" ref="E447">IFERROR(
  _xlfn.LET(
    _xlpm.ligpartie, MATCH($B446, Donnees!$F:$F, 0),
    _xlpm.joueurs, INDEX(Donnees!$A:$Z, _xlpm.ligpartie+1, _xlfn.SEQUENCE(1, 4, 2)),
    INDEX(
      Donnees!$A:$Z,
      _xlpm.ligpartie + 3,
      MATCH(E$1, _xlpm.joueurs, 0) + 1
    )
  ), ""
)</f>
        <v/>
      </c>
      <c r="F447" t="str" cm="1">
        <f t="array" ref="F447">IFERROR(
  _xlfn.LET(
    _xlpm.ligpartie, MATCH($B446, Donnees!$F:$F, 0),
    _xlpm.joueurs, INDEX(Donnees!$A:$Z, _xlpm.ligpartie+1, _xlfn.SEQUENCE(1, 4, 2)),
    INDEX(
      Donnees!$A:$Z,
      _xlpm.ligpartie + 3,
      MATCH(F$1, _xlpm.joueurs, 0) + 1
    )
  ), ""
)</f>
        <v/>
      </c>
      <c r="G447" t="str" cm="1">
        <f t="array" ref="G447">IFERROR(
  _xlfn.LET(
    _xlpm.ligpartie, MATCH($B446, Donnees!$F:$F, 0),
    _xlpm.joueurs, INDEX(Donnees!$A:$Z, _xlpm.ligpartie+1, _xlfn.SEQUENCE(1, 4, 2)),
    INDEX(
      Donnees!$A:$Z,
      _xlpm.ligpartie + 3,
      MATCH(G$1, _xlpm.joueurs, 0) + 1
    )
  ), ""
)</f>
        <v/>
      </c>
      <c r="H447" t="str" cm="1">
        <f t="array" ref="H447">IFERROR(
  _xlfn.LET(
    _xlpm.ligpartie, MATCH($B446, Donnees!$F:$F, 0),
    _xlpm.joueurs, INDEX(Donnees!$A:$Z, _xlpm.ligpartie+1, _xlfn.SEQUENCE(1, 4, 2)),
    INDEX(
      Donnees!$A:$Z,
      _xlpm.ligpartie + 3,
      MATCH(H$1, _xlpm.joueurs, 0) + 1
    )
  ), ""
)</f>
        <v/>
      </c>
      <c r="I447" t="str" cm="1">
        <f t="array" ref="I447">IFERROR(
  _xlfn.LET(
    _xlpm.ligpartie, MATCH($B446, Donnees!$F:$F, 0),
    _xlpm.joueurs, INDEX(Donnees!$A:$Z, _xlpm.ligpartie+1, _xlfn.SEQUENCE(1, 4, 2)),
    INDEX(
      Donnees!$A:$Z,
      _xlpm.ligpartie + 3,
      MATCH(I$1, _xlpm.joueurs, 0) + 1
    )
  ), ""
)</f>
        <v/>
      </c>
      <c r="J447" t="str" cm="1">
        <f t="array" ref="J447">IFERROR(
  _xlfn.LET(
    _xlpm.ligpartie, MATCH($B446, Donnees!$F:$F, 0),
    _xlpm.joueurs, INDEX(Donnees!$A:$Z, _xlpm.ligpartie+1, _xlfn.SEQUENCE(1, 4, 2)),
    INDEX(
      Donnees!$A:$Z,
      _xlpm.ligpartie + 3,
      MATCH(J$1, _xlpm.joueurs, 0) + 1
    )
  ), ""
)</f>
        <v/>
      </c>
      <c r="K447" t="str" cm="1">
        <f t="array" ref="K447">IFERROR(
  _xlfn.LET(
    _xlpm.ligpartie, MATCH($B446, Donnees!$F:$F, 0),
    _xlpm.joueurs, INDEX(Donnees!$A:$Z, _xlpm.ligpartie+1, _xlfn.SEQUENCE(1, 4, 2)),
    INDEX(
      Donnees!$A:$Z,
      _xlpm.ligpartie + 3,
      MATCH(K$1, _xlpm.joueurs, 0) + 1
    )
  ), ""
)</f>
        <v/>
      </c>
      <c r="L447" t="str" cm="1">
        <f t="array" ref="L447">IFERROR(
  _xlfn.LET(
    _xlpm.ligpartie, MATCH($B446, Donnees!$F:$F, 0),
    _xlpm.joueurs, INDEX(Donnees!$A:$Z, _xlpm.ligpartie+1, _xlfn.SEQUENCE(1, 4, 2)),
    INDEX(
      Donnees!$A:$Z,
      _xlpm.ligpartie + 3,
      MATCH(L$1, _xlpm.joueurs, 0) + 1
    )
  ), ""
)</f>
        <v/>
      </c>
      <c r="M447" t="str" cm="1">
        <f t="array" ref="M447">IFERROR(
  _xlfn.LET(
    _xlpm.ligpartie, MATCH($B446, Donnees!$F:$F, 0),
    _xlpm.joueurs, INDEX(Donnees!$A:$Z, _xlpm.ligpartie+1, _xlfn.SEQUENCE(1, 4, 2)),
    INDEX(
      Donnees!$A:$Z,
      _xlpm.ligpartie + 3,
      MATCH(M$1, _xlpm.joueurs, 0) + 1
    )
  ), ""
)</f>
        <v/>
      </c>
      <c r="N447" t="str" cm="1">
        <f t="array" ref="N447">IFERROR(
  _xlfn.LET(
    _xlpm.ligpartie, MATCH($B446, Donnees!$F:$F, 0),
    _xlpm.joueurs, INDEX(Donnees!$A:$Z, _xlpm.ligpartie+1, _xlfn.SEQUENCE(1, 4, 2)),
    INDEX(
      Donnees!$A:$Z,
      _xlpm.ligpartie + 3,
      MATCH(N$1, _xlpm.joueurs, 0) + 1
    )
  ), ""
)</f>
        <v/>
      </c>
      <c r="O447" t="str" cm="1">
        <f t="array" ref="O447">IFERROR(
  _xlfn.LET(
    _xlpm.ligpartie, MATCH($B446, Donnees!$F:$F, 0),
    _xlpm.joueurs, INDEX(Donnees!$A:$Z, _xlpm.ligpartie+1, _xlfn.SEQUENCE(1, 4, 2)),
    INDEX(
      Donnees!$A:$Z,
      _xlpm.ligpartie + 3,
      MATCH(O$1, _xlpm.joueurs, 0) + 1
    )
  ), ""
)</f>
        <v/>
      </c>
      <c r="P447" cm="1">
        <f t="array" ref="P447">IFERROR(
  _xlfn.LET(
    _xlpm.ligpartie, MATCH($B446, Donnees!$F:$F, 0),
    _xlpm.joueurs, INDEX(Donnees!$A:$Z, _xlpm.ligpartie+1, _xlfn.SEQUENCE(1, 4, 2)),
    INDEX(
      Donnees!$A:$Z,
      _xlpm.ligpartie + 3,
      MATCH(P$1, _xlpm.joueurs, 0) + 1
    )
  ), ""
)</f>
        <v>2</v>
      </c>
      <c r="Q447" t="str" cm="1">
        <f t="array" ref="Q447">IFERROR(
  _xlfn.LET(
    _xlpm.ligpartie, MATCH($B446, Donnees!$F:$F, 0),
    _xlpm.joueurs, INDEX(Donnees!$A:$Z, _xlpm.ligpartie+1, _xlfn.SEQUENCE(1, 4, 2)),
    INDEX(
      Donnees!$A:$Z,
      _xlpm.ligpartie + 3,
      MATCH(Q$1, _xlpm.joueurs, 0) + 1
    )
  ), ""
)</f>
        <v/>
      </c>
      <c r="R447" t="str" cm="1">
        <f t="array" ref="R447">IFERROR(
  _xlfn.LET(
    _xlpm.ligpartie, MATCH($B446, Donnees!$F:$F, 0),
    _xlpm.joueurs, INDEX(Donnees!$A:$Z, _xlpm.ligpartie+1, _xlfn.SEQUENCE(1, 4, 2)),
    INDEX(
      Donnees!$A:$Z,
      _xlpm.ligpartie + 3,
      MATCH(R$1, _xlpm.joueurs, 0) + 1
    )
  ), ""
)</f>
        <v/>
      </c>
      <c r="S447" t="str" cm="1">
        <f t="array" ref="S447">IFERROR(
  _xlfn.LET(
    _xlpm.ligpartie, MATCH($B446, Donnees!$F:$F, 0),
    _xlpm.joueurs, INDEX(Donnees!$A:$Z, _xlpm.ligpartie+1, _xlfn.SEQUENCE(1, 4, 2)),
    INDEX(
      Donnees!$A:$Z,
      _xlpm.ligpartie + 3,
      MATCH(S$1, _xlpm.joueurs, 0) + 1
    )
  ), ""
)</f>
        <v/>
      </c>
      <c r="T447" t="str" cm="1">
        <f t="array" ref="T447">IFERROR(
  _xlfn.LET(
    _xlpm.ligpartie, MATCH($B446, Donnees!$F:$F, 0),
    _xlpm.joueurs, INDEX(Donnees!$A:$Z, _xlpm.ligpartie+1, _xlfn.SEQUENCE(1, 4, 2)),
    INDEX(
      Donnees!$A:$Z,
      _xlpm.ligpartie + 3,
      MATCH(T$1, _xlpm.joueurs, 0) + 1
    )
  ), ""
)</f>
        <v/>
      </c>
      <c r="U447" t="str" cm="1">
        <f t="array" ref="U447">IFERROR(
  _xlfn.LET(
    _xlpm.ligpartie, MATCH($B446, Donnees!$F:$F, 0),
    _xlpm.joueurs, INDEX(Donnees!$A:$Z, _xlpm.ligpartie+1, _xlfn.SEQUENCE(1, 4, 2)),
    INDEX(
      Donnees!$A:$Z,
      _xlpm.ligpartie + 3,
      MATCH(U$1, _xlpm.joueurs, 0) + 1
    )
  ), ""
)</f>
        <v/>
      </c>
      <c r="V447" t="str" cm="1">
        <f t="array" ref="V447">IFERROR(
  _xlfn.LET(
    _xlpm.ligpartie, MATCH($B446, Donnees!$F:$F, 0),
    _xlpm.joueurs, INDEX(Donnees!$A:$Z, _xlpm.ligpartie+1, _xlfn.SEQUENCE(1, 4, 2)),
    INDEX(
      Donnees!$A:$Z,
      _xlpm.ligpartie + 3,
      MATCH(V$1, _xlpm.joueurs, 0) + 1
    )
  ), ""
)</f>
        <v/>
      </c>
      <c r="W447" t="str" cm="1">
        <f t="array" ref="W447">IFERROR(
  _xlfn.LET(
    _xlpm.ligpartie, MATCH($B446, Donnees!$F:$F, 0),
    _xlpm.joueurs, INDEX(Donnees!$A:$Z, _xlpm.ligpartie+1, _xlfn.SEQUENCE(1, 4, 2)),
    INDEX(
      Donnees!$A:$Z,
      _xlpm.ligpartie + 3,
      MATCH(W$1, _xlpm.joueurs, 0) + 1
    )
  ), ""
)</f>
        <v/>
      </c>
      <c r="X447" t="str" cm="1">
        <f t="array" ref="X447">IFERROR(
  _xlfn.LET(
    _xlpm.ligpartie, MATCH($B446, Donnees!$F:$F, 0),
    _xlpm.joueurs, INDEX(Donnees!$A:$Z, _xlpm.ligpartie+1, _xlfn.SEQUENCE(1, 4, 2)),
    INDEX(
      Donnees!$A:$Z,
      _xlpm.ligpartie + 3,
      MATCH(X$1, _xlpm.joueurs, 0) + 1
    )
  ), ""
)</f>
        <v/>
      </c>
      <c r="Y447" t="str" cm="1">
        <f t="array" ref="Y447">IFERROR(
  _xlfn.LET(
    _xlpm.ligpartie, MATCH($B446, Donnees!$F:$F, 0),
    _xlpm.joueurs, INDEX(Donnees!$A:$Z, _xlpm.ligpartie+1, _xlfn.SEQUENCE(1, 4, 2)),
    INDEX(
      Donnees!$A:$Z,
      _xlpm.ligpartie + 3,
      MATCH(Y$1, _xlpm.joueurs, 0) + 1
    )
  ), ""
)</f>
        <v/>
      </c>
      <c r="Z447" t="str" cm="1">
        <f t="array" ref="Z447">IFERROR(
  _xlfn.LET(
    _xlpm.ligpartie, MATCH($B446, Donnees!$F:$F, 0),
    _xlpm.joueurs, INDEX(Donnees!$A:$Z, _xlpm.ligpartie+1, _xlfn.SEQUENCE(1, 4, 2)),
    INDEX(
      Donnees!$A:$Z,
      _xlpm.ligpartie + 3,
      MATCH(Z$1, _xlpm.joueurs, 0) + 1
    )
  ), ""
)</f>
        <v/>
      </c>
      <c r="AA447" cm="1">
        <f t="array" ref="AA447">IFERROR(
  _xlfn.LET(
    _xlpm.ligpartie, MATCH($B446, Donnees!$F:$F, 0),
    _xlpm.joueurs, INDEX(Donnees!$A:$Z, _xlpm.ligpartie+1, _xlfn.SEQUENCE(1, 4, 2)),
    INDEX(
      Donnees!$A:$Z,
      _xlpm.ligpartie + 3,
      MATCH(AA$1, _xlpm.joueurs, 0) + 1
    )
  ), ""
)</f>
        <v>0</v>
      </c>
      <c r="AB447" t="str" cm="1">
        <f t="array" ref="AB447">IFERROR(
  _xlfn.LET(
    _xlpm.ligpartie, MATCH($B446, Donnees!$F:$F, 0),
    _xlpm.joueurs, INDEX(Donnees!$A:$Z, _xlpm.ligpartie+1, _xlfn.SEQUENCE(1, 4, 2)),
    INDEX(
      Donnees!$A:$Z,
      _xlpm.ligpartie + 3,
      MATCH(AB$1, _xlpm.joueurs, 0) + 1
    )
  ), ""
)</f>
        <v/>
      </c>
      <c r="AC447" t="str" cm="1">
        <f t="array" ref="AC447">IFERROR(
  _xlfn.LET(
    _xlpm.ligpartie, MATCH($B446, Donnees!$F:$F, 0),
    _xlpm.joueurs, INDEX(Donnees!$A:$Z, _xlpm.ligpartie+1, _xlfn.SEQUENCE(1, 4, 2)),
    INDEX(
      Donnees!$A:$Z,
      _xlpm.ligpartie + 3,
      MATCH(AC$1, _xlpm.joueurs, 0) + 1
    )
  ), ""
)</f>
        <v/>
      </c>
      <c r="AD447" t="str" cm="1">
        <f t="array" ref="AD447">IFERROR(
  _xlfn.LET(
    _xlpm.ligpartie, MATCH($B446, Donnees!$F:$F, 0),
    _xlpm.joueurs, INDEX(Donnees!$A:$Z, _xlpm.ligpartie+1, _xlfn.SEQUENCE(1, 4, 2)),
    INDEX(
      Donnees!$A:$Z,
      _xlpm.ligpartie + 3,
      MATCH(AD$1, _xlpm.joueurs, 0) + 1
    )
  ), ""
)</f>
        <v/>
      </c>
      <c r="AE447" t="str" cm="1">
        <f t="array" ref="AE447">IFERROR(
  _xlfn.LET(
    _xlpm.ligpartie, MATCH($B446, Donnees!$F:$F, 0),
    _xlpm.joueurs, INDEX(Donnees!$A:$Z, _xlpm.ligpartie+1, _xlfn.SEQUENCE(1, 4, 2)),
    INDEX(
      Donnees!$A:$Z,
      _xlpm.ligpartie + 3,
      MATCH(AE$1, _xlpm.joueurs, 0) + 1
    )
  ), ""
)</f>
        <v/>
      </c>
      <c r="AF447" t="str" cm="1">
        <f t="array" ref="AF447">IFERROR(
  _xlfn.LET(
    _xlpm.ligpartie, MATCH($B446, Donnees!$F:$F, 0),
    _xlpm.joueurs, INDEX(Donnees!$A:$Z, _xlpm.ligpartie+1, _xlfn.SEQUENCE(1, 4, 2)),
    INDEX(
      Donnees!$A:$Z,
      _xlpm.ligpartie + 3,
      MATCH(AF$1, _xlpm.joueurs, 0) + 1
    )
  ), ""
)</f>
        <v/>
      </c>
      <c r="AG447" t="str" cm="1">
        <f t="array" ref="AG447">IFERROR(
  _xlfn.LET(
    _xlpm.ligpartie, MATCH($B446, Donnees!$F:$F, 0),
    _xlpm.joueurs, INDEX(Donnees!$A:$Z, _xlpm.ligpartie+1, _xlfn.SEQUENCE(1, 4, 2)),
    INDEX(
      Donnees!$A:$Z,
      _xlpm.ligpartie + 3,
      MATCH(AG$1, _xlpm.joueurs, 0) + 1
    )
  ), ""
)</f>
        <v/>
      </c>
      <c r="AH447" t="str" cm="1">
        <f t="array" ref="AH447">IFERROR(
  _xlfn.LET(
    _xlpm.ligpartie, MATCH($B446, Donnees!$F:$F, 0),
    _xlpm.joueurs, INDEX(Donnees!$A:$Z, _xlpm.ligpartie+1, _xlfn.SEQUENCE(1, 4, 2)),
    INDEX(
      Donnees!$A:$Z,
      _xlpm.ligpartie + 3,
      MATCH(AH$1, _xlpm.joueurs, 0) + 1
    )
  ), ""
)</f>
        <v/>
      </c>
      <c r="AI447" cm="1">
        <f t="array" ref="AI447">IFERROR(
  _xlfn.LET(
    _xlpm.ligpartie, MATCH($B446, Donnees!$F:$F, 0),
    _xlpm.joueurs, INDEX(Donnees!$A:$Z, _xlpm.ligpartie+1, _xlfn.SEQUENCE(1, 4, 2)),
    INDEX(
      Donnees!$A:$Z,
      _xlpm.ligpartie + 3,
      MATCH(AI$1, _xlpm.joueurs, 0) + 1
    )
  ), ""
)</f>
        <v>3</v>
      </c>
      <c r="AJ447" t="str" cm="1">
        <f t="array" ref="AJ447">IFERROR(
  _xlfn.LET(
    _xlpm.ligpartie, MATCH($B446, Donnees!$F:$F, 0),
    _xlpm.joueurs, INDEX(Donnees!$A:$Z, _xlpm.ligpartie+1, _xlfn.SEQUENCE(1, 4, 2)),
    INDEX(
      Donnees!$A:$Z,
      _xlpm.ligpartie + 3,
      MATCH(AJ$1, _xlpm.joueurs, 0) + 1
    )
  ), ""
)</f>
        <v/>
      </c>
      <c r="AK447" t="str" cm="1">
        <f t="array" ref="AK447">IFERROR(
  _xlfn.LET(
    _xlpm.ligpartie, MATCH($B446, Donnees!$F:$F, 0),
    _xlpm.joueurs, INDEX(Donnees!$A:$Z, _xlpm.ligpartie+1, _xlfn.SEQUENCE(1, 4, 2)),
    INDEX(
      Donnees!$A:$Z,
      _xlpm.ligpartie + 3,
      MATCH(AK$1, _xlpm.joueurs, 0) + 1
    )
  ), ""
)</f>
        <v/>
      </c>
      <c r="AL447" t="str" cm="1">
        <f t="array" ref="AL447">IFERROR(
  _xlfn.LET(
    _xlpm.ligpartie, MATCH($B446, Donnees!$F:$F, 0),
    _xlpm.joueurs, INDEX(Donnees!$A:$Z, _xlpm.ligpartie+1, _xlfn.SEQUENCE(1, 4, 2)),
    INDEX(
      Donnees!$A:$Z,
      _xlpm.ligpartie + 3,
      MATCH(AL$1, _xlpm.joueurs, 0) + 1
    )
  ), ""
)</f>
        <v/>
      </c>
      <c r="AM447" t="str" cm="1">
        <f t="array" ref="AM447">IFERROR(
  _xlfn.LET(
    _xlpm.ligpartie, MATCH($B446, Donnees!$F:$F, 0),
    _xlpm.joueurs, INDEX(Donnees!$A:$Z, _xlpm.ligpartie+1, _xlfn.SEQUENCE(1, 4, 2)),
    INDEX(
      Donnees!$A:$Z,
      _xlpm.ligpartie + 3,
      MATCH(AM$1, _xlpm.joueurs, 0) + 1
    )
  ), ""
)</f>
        <v/>
      </c>
    </row>
    <row r="448" spans="1:39" x14ac:dyDescent="0.25">
      <c r="A448" t="s">
        <v>20</v>
      </c>
      <c r="D448" cm="1">
        <f t="array" ref="D448">_xlfn.LET(
  _xlpm.colj, _xlfn._xlws.FILTER(IF(ISNUMBER(447:447), COLUMN(447:447)), ISNUMBER(447:447)),
  _xlpm.elos, INDEX(446:446,1,_xlpm.colj),
  _xlpm.diffscale, Constantes!$B$2,
  IF(D447="",
    "",
    SUM(1/(1+POWER(10,-(D446-_xlpm.elos)/_xlpm.diffscale)))-0.5)
)</f>
        <v>1.6066920841213292</v>
      </c>
      <c r="E448" t="str" cm="1">
        <f t="array" ref="E448">_xlfn.LET(
  _xlpm.colj, _xlfn._xlws.FILTER(IF(ISNUMBER(447:447), COLUMN(447:447)), ISNUMBER(447:447)),
  _xlpm.elos, INDEX(446:446,1,_xlpm.colj),
  _xlpm.diffscale, Constantes!$B$2,
  IF(E447="",
    "",
    SUM(1/(1+POWER(10,-(E446-_xlpm.elos)/_xlpm.diffscale)))-0.5)
)</f>
        <v/>
      </c>
      <c r="F448" t="str" cm="1">
        <f t="array" ref="F448">_xlfn.LET(
  _xlpm.colj, _xlfn._xlws.FILTER(IF(ISNUMBER(447:447), COLUMN(447:447)), ISNUMBER(447:447)),
  _xlpm.elos, INDEX(446:446,1,_xlpm.colj),
  _xlpm.diffscale, Constantes!$B$2,
  IF(F447="",
    "",
    SUM(1/(1+POWER(10,-(F446-_xlpm.elos)/_xlpm.diffscale)))-0.5)
)</f>
        <v/>
      </c>
      <c r="G448" t="str" cm="1">
        <f t="array" ref="G448">_xlfn.LET(
  _xlpm.colj, _xlfn._xlws.FILTER(IF(ISNUMBER(447:447), COLUMN(447:447)), ISNUMBER(447:447)),
  _xlpm.elos, INDEX(446:446,1,_xlpm.colj),
  _xlpm.diffscale, Constantes!$B$2,
  IF(G447="",
    "",
    SUM(1/(1+POWER(10,-(G446-_xlpm.elos)/_xlpm.diffscale)))-0.5)
)</f>
        <v/>
      </c>
      <c r="H448" t="str" cm="1">
        <f t="array" ref="H448">_xlfn.LET(
  _xlpm.colj, _xlfn._xlws.FILTER(IF(ISNUMBER(447:447), COLUMN(447:447)), ISNUMBER(447:447)),
  _xlpm.elos, INDEX(446:446,1,_xlpm.colj),
  _xlpm.diffscale, Constantes!$B$2,
  IF(H447="",
    "",
    SUM(1/(1+POWER(10,-(H446-_xlpm.elos)/_xlpm.diffscale)))-0.5)
)</f>
        <v/>
      </c>
      <c r="I448" t="str" cm="1">
        <f t="array" ref="I448">_xlfn.LET(
  _xlpm.colj, _xlfn._xlws.FILTER(IF(ISNUMBER(447:447), COLUMN(447:447)), ISNUMBER(447:447)),
  _xlpm.elos, INDEX(446:446,1,_xlpm.colj),
  _xlpm.diffscale, Constantes!$B$2,
  IF(I447="",
    "",
    SUM(1/(1+POWER(10,-(I446-_xlpm.elos)/_xlpm.diffscale)))-0.5)
)</f>
        <v/>
      </c>
      <c r="J448" t="str" cm="1">
        <f t="array" ref="J448">_xlfn.LET(
  _xlpm.colj, _xlfn._xlws.FILTER(IF(ISNUMBER(447:447), COLUMN(447:447)), ISNUMBER(447:447)),
  _xlpm.elos, INDEX(446:446,1,_xlpm.colj),
  _xlpm.diffscale, Constantes!$B$2,
  IF(J447="",
    "",
    SUM(1/(1+POWER(10,-(J446-_xlpm.elos)/_xlpm.diffscale)))-0.5)
)</f>
        <v/>
      </c>
      <c r="K448" t="str" cm="1">
        <f t="array" ref="K448">_xlfn.LET(
  _xlpm.colj, _xlfn._xlws.FILTER(IF(ISNUMBER(447:447), COLUMN(447:447)), ISNUMBER(447:447)),
  _xlpm.elos, INDEX(446:446,1,_xlpm.colj),
  _xlpm.diffscale, Constantes!$B$2,
  IF(K447="",
    "",
    SUM(1/(1+POWER(10,-(K446-_xlpm.elos)/_xlpm.diffscale)))-0.5)
)</f>
        <v/>
      </c>
      <c r="L448" t="str" cm="1">
        <f t="array" ref="L448">_xlfn.LET(
  _xlpm.colj, _xlfn._xlws.FILTER(IF(ISNUMBER(447:447), COLUMN(447:447)), ISNUMBER(447:447)),
  _xlpm.elos, INDEX(446:446,1,_xlpm.colj),
  _xlpm.diffscale, Constantes!$B$2,
  IF(L447="",
    "",
    SUM(1/(1+POWER(10,-(L446-_xlpm.elos)/_xlpm.diffscale)))-0.5)
)</f>
        <v/>
      </c>
      <c r="M448" t="str" cm="1">
        <f t="array" ref="M448">_xlfn.LET(
  _xlpm.colj, _xlfn._xlws.FILTER(IF(ISNUMBER(447:447), COLUMN(447:447)), ISNUMBER(447:447)),
  _xlpm.elos, INDEX(446:446,1,_xlpm.colj),
  _xlpm.diffscale, Constantes!$B$2,
  IF(M447="",
    "",
    SUM(1/(1+POWER(10,-(M446-_xlpm.elos)/_xlpm.diffscale)))-0.5)
)</f>
        <v/>
      </c>
      <c r="N448" t="str" cm="1">
        <f t="array" ref="N448">_xlfn.LET(
  _xlpm.colj, _xlfn._xlws.FILTER(IF(ISNUMBER(447:447), COLUMN(447:447)), ISNUMBER(447:447)),
  _xlpm.elos, INDEX(446:446,1,_xlpm.colj),
  _xlpm.diffscale, Constantes!$B$2,
  IF(N447="",
    "",
    SUM(1/(1+POWER(10,-(N446-_xlpm.elos)/_xlpm.diffscale)))-0.5)
)</f>
        <v/>
      </c>
      <c r="O448" t="str" cm="1">
        <f t="array" ref="O448">_xlfn.LET(
  _xlpm.colj, _xlfn._xlws.FILTER(IF(ISNUMBER(447:447), COLUMN(447:447)), ISNUMBER(447:447)),
  _xlpm.elos, INDEX(446:446,1,_xlpm.colj),
  _xlpm.diffscale, Constantes!$B$2,
  IF(O447="",
    "",
    SUM(1/(1+POWER(10,-(O446-_xlpm.elos)/_xlpm.diffscale)))-0.5)
)</f>
        <v/>
      </c>
      <c r="P448" cm="1">
        <f t="array" ref="P448">_xlfn.LET(
  _xlpm.colj, _xlfn._xlws.FILTER(IF(ISNUMBER(447:447), COLUMN(447:447)), ISNUMBER(447:447)),
  _xlpm.elos, INDEX(446:446,1,_xlpm.colj),
  _xlpm.diffscale, Constantes!$B$2,
  IF(P447="",
    "",
    SUM(1/(1+POWER(10,-(P446-_xlpm.elos)/_xlpm.diffscale)))-0.5)
)</f>
        <v>1.455974543811966</v>
      </c>
      <c r="Q448" t="str" cm="1">
        <f t="array" ref="Q448">_xlfn.LET(
  _xlpm.colj, _xlfn._xlws.FILTER(IF(ISNUMBER(447:447), COLUMN(447:447)), ISNUMBER(447:447)),
  _xlpm.elos, INDEX(446:446,1,_xlpm.colj),
  _xlpm.diffscale, Constantes!$B$2,
  IF(Q447="",
    "",
    SUM(1/(1+POWER(10,-(Q446-_xlpm.elos)/_xlpm.diffscale)))-0.5)
)</f>
        <v/>
      </c>
      <c r="R448" t="str" cm="1">
        <f t="array" ref="R448">_xlfn.LET(
  _xlpm.colj, _xlfn._xlws.FILTER(IF(ISNUMBER(447:447), COLUMN(447:447)), ISNUMBER(447:447)),
  _xlpm.elos, INDEX(446:446,1,_xlpm.colj),
  _xlpm.diffscale, Constantes!$B$2,
  IF(R447="",
    "",
    SUM(1/(1+POWER(10,-(R446-_xlpm.elos)/_xlpm.diffscale)))-0.5)
)</f>
        <v/>
      </c>
      <c r="S448" t="str" cm="1">
        <f t="array" ref="S448">_xlfn.LET(
  _xlpm.colj, _xlfn._xlws.FILTER(IF(ISNUMBER(447:447), COLUMN(447:447)), ISNUMBER(447:447)),
  _xlpm.elos, INDEX(446:446,1,_xlpm.colj),
  _xlpm.diffscale, Constantes!$B$2,
  IF(S447="",
    "",
    SUM(1/(1+POWER(10,-(S446-_xlpm.elos)/_xlpm.diffscale)))-0.5)
)</f>
        <v/>
      </c>
      <c r="T448" t="str" cm="1">
        <f t="array" ref="T448">_xlfn.LET(
  _xlpm.colj, _xlfn._xlws.FILTER(IF(ISNUMBER(447:447), COLUMN(447:447)), ISNUMBER(447:447)),
  _xlpm.elos, INDEX(446:446,1,_xlpm.colj),
  _xlpm.diffscale, Constantes!$B$2,
  IF(T447="",
    "",
    SUM(1/(1+POWER(10,-(T446-_xlpm.elos)/_xlpm.diffscale)))-0.5)
)</f>
        <v/>
      </c>
      <c r="U448" t="str" cm="1">
        <f t="array" ref="U448">_xlfn.LET(
  _xlpm.colj, _xlfn._xlws.FILTER(IF(ISNUMBER(447:447), COLUMN(447:447)), ISNUMBER(447:447)),
  _xlpm.elos, INDEX(446:446,1,_xlpm.colj),
  _xlpm.diffscale, Constantes!$B$2,
  IF(U447="",
    "",
    SUM(1/(1+POWER(10,-(U446-_xlpm.elos)/_xlpm.diffscale)))-0.5)
)</f>
        <v/>
      </c>
      <c r="V448" t="str" cm="1">
        <f t="array" ref="V448">_xlfn.LET(
  _xlpm.colj, _xlfn._xlws.FILTER(IF(ISNUMBER(447:447), COLUMN(447:447)), ISNUMBER(447:447)),
  _xlpm.elos, INDEX(446:446,1,_xlpm.colj),
  _xlpm.diffscale, Constantes!$B$2,
  IF(V447="",
    "",
    SUM(1/(1+POWER(10,-(V446-_xlpm.elos)/_xlpm.diffscale)))-0.5)
)</f>
        <v/>
      </c>
      <c r="W448" t="str" cm="1">
        <f t="array" ref="W448">_xlfn.LET(
  _xlpm.colj, _xlfn._xlws.FILTER(IF(ISNUMBER(447:447), COLUMN(447:447)), ISNUMBER(447:447)),
  _xlpm.elos, INDEX(446:446,1,_xlpm.colj),
  _xlpm.diffscale, Constantes!$B$2,
  IF(W447="",
    "",
    SUM(1/(1+POWER(10,-(W446-_xlpm.elos)/_xlpm.diffscale)))-0.5)
)</f>
        <v/>
      </c>
      <c r="X448" t="str" cm="1">
        <f t="array" ref="X448">_xlfn.LET(
  _xlpm.colj, _xlfn._xlws.FILTER(IF(ISNUMBER(447:447), COLUMN(447:447)), ISNUMBER(447:447)),
  _xlpm.elos, INDEX(446:446,1,_xlpm.colj),
  _xlpm.diffscale, Constantes!$B$2,
  IF(X447="",
    "",
    SUM(1/(1+POWER(10,-(X446-_xlpm.elos)/_xlpm.diffscale)))-0.5)
)</f>
        <v/>
      </c>
      <c r="Y448" t="str" cm="1">
        <f t="array" ref="Y448">_xlfn.LET(
  _xlpm.colj, _xlfn._xlws.FILTER(IF(ISNUMBER(447:447), COLUMN(447:447)), ISNUMBER(447:447)),
  _xlpm.elos, INDEX(446:446,1,_xlpm.colj),
  _xlpm.diffscale, Constantes!$B$2,
  IF(Y447="",
    "",
    SUM(1/(1+POWER(10,-(Y446-_xlpm.elos)/_xlpm.diffscale)))-0.5)
)</f>
        <v/>
      </c>
      <c r="Z448" t="str" cm="1">
        <f t="array" ref="Z448">_xlfn.LET(
  _xlpm.colj, _xlfn._xlws.FILTER(IF(ISNUMBER(447:447), COLUMN(447:447)), ISNUMBER(447:447)),
  _xlpm.elos, INDEX(446:446,1,_xlpm.colj),
  _xlpm.diffscale, Constantes!$B$2,
  IF(Z447="",
    "",
    SUM(1/(1+POWER(10,-(Z446-_xlpm.elos)/_xlpm.diffscale)))-0.5)
)</f>
        <v/>
      </c>
      <c r="AA448" cm="1">
        <f t="array" ref="AA448">_xlfn.LET(
  _xlpm.colj, _xlfn._xlws.FILTER(IF(ISNUMBER(447:447), COLUMN(447:447)), ISNUMBER(447:447)),
  _xlpm.elos, INDEX(446:446,1,_xlpm.colj),
  _xlpm.diffscale, Constantes!$B$2,
  IF(AA447="",
    "",
    SUM(1/(1+POWER(10,-(AA446-_xlpm.elos)/_xlpm.diffscale)))-0.5)
)</f>
        <v>1.3902106206627709</v>
      </c>
      <c r="AB448" t="str" cm="1">
        <f t="array" ref="AB448">_xlfn.LET(
  _xlpm.colj, _xlfn._xlws.FILTER(IF(ISNUMBER(447:447), COLUMN(447:447)), ISNUMBER(447:447)),
  _xlpm.elos, INDEX(446:446,1,_xlpm.colj),
  _xlpm.diffscale, Constantes!$B$2,
  IF(AB447="",
    "",
    SUM(1/(1+POWER(10,-(AB446-_xlpm.elos)/_xlpm.diffscale)))-0.5)
)</f>
        <v/>
      </c>
      <c r="AC448" t="str" cm="1">
        <f t="array" ref="AC448">_xlfn.LET(
  _xlpm.colj, _xlfn._xlws.FILTER(IF(ISNUMBER(447:447), COLUMN(447:447)), ISNUMBER(447:447)),
  _xlpm.elos, INDEX(446:446,1,_xlpm.colj),
  _xlpm.diffscale, Constantes!$B$2,
  IF(AC447="",
    "",
    SUM(1/(1+POWER(10,-(AC446-_xlpm.elos)/_xlpm.diffscale)))-0.5)
)</f>
        <v/>
      </c>
      <c r="AD448" t="str" cm="1">
        <f t="array" ref="AD448">_xlfn.LET(
  _xlpm.colj, _xlfn._xlws.FILTER(IF(ISNUMBER(447:447), COLUMN(447:447)), ISNUMBER(447:447)),
  _xlpm.elos, INDEX(446:446,1,_xlpm.colj),
  _xlpm.diffscale, Constantes!$B$2,
  IF(AD447="",
    "",
    SUM(1/(1+POWER(10,-(AD446-_xlpm.elos)/_xlpm.diffscale)))-0.5)
)</f>
        <v/>
      </c>
      <c r="AE448" t="str" cm="1">
        <f t="array" ref="AE448">_xlfn.LET(
  _xlpm.colj, _xlfn._xlws.FILTER(IF(ISNUMBER(447:447), COLUMN(447:447)), ISNUMBER(447:447)),
  _xlpm.elos, INDEX(446:446,1,_xlpm.colj),
  _xlpm.diffscale, Constantes!$B$2,
  IF(AE447="",
    "",
    SUM(1/(1+POWER(10,-(AE446-_xlpm.elos)/_xlpm.diffscale)))-0.5)
)</f>
        <v/>
      </c>
      <c r="AF448" t="str" cm="1">
        <f t="array" ref="AF448">_xlfn.LET(
  _xlpm.colj, _xlfn._xlws.FILTER(IF(ISNUMBER(447:447), COLUMN(447:447)), ISNUMBER(447:447)),
  _xlpm.elos, INDEX(446:446,1,_xlpm.colj),
  _xlpm.diffscale, Constantes!$B$2,
  IF(AF447="",
    "",
    SUM(1/(1+POWER(10,-(AF446-_xlpm.elos)/_xlpm.diffscale)))-0.5)
)</f>
        <v/>
      </c>
      <c r="AG448" t="str" cm="1">
        <f t="array" ref="AG448">_xlfn.LET(
  _xlpm.colj, _xlfn._xlws.FILTER(IF(ISNUMBER(447:447), COLUMN(447:447)), ISNUMBER(447:447)),
  _xlpm.elos, INDEX(446:446,1,_xlpm.colj),
  _xlpm.diffscale, Constantes!$B$2,
  IF(AG447="",
    "",
    SUM(1/(1+POWER(10,-(AG446-_xlpm.elos)/_xlpm.diffscale)))-0.5)
)</f>
        <v/>
      </c>
      <c r="AH448" t="str" cm="1">
        <f t="array" ref="AH448">_xlfn.LET(
  _xlpm.colj, _xlfn._xlws.FILTER(IF(ISNUMBER(447:447), COLUMN(447:447)), ISNUMBER(447:447)),
  _xlpm.elos, INDEX(446:446,1,_xlpm.colj),
  _xlpm.diffscale, Constantes!$B$2,
  IF(AH447="",
    "",
    SUM(1/(1+POWER(10,-(AH446-_xlpm.elos)/_xlpm.diffscale)))-0.5)
)</f>
        <v/>
      </c>
      <c r="AI448" cm="1">
        <f t="array" ref="AI448">_xlfn.LET(
  _xlpm.colj, _xlfn._xlws.FILTER(IF(ISNUMBER(447:447), COLUMN(447:447)), ISNUMBER(447:447)),
  _xlpm.elos, INDEX(446:446,1,_xlpm.colj),
  _xlpm.diffscale, Constantes!$B$2,
  IF(AI447="",
    "",
    SUM(1/(1+POWER(10,-(AI446-_xlpm.elos)/_xlpm.diffscale)))-0.5)
)</f>
        <v>1.5471227514039345</v>
      </c>
      <c r="AJ448" t="str" cm="1">
        <f t="array" ref="AJ448">_xlfn.LET(
  _xlpm.colj, _xlfn._xlws.FILTER(IF(ISNUMBER(447:447), COLUMN(447:447)), ISNUMBER(447:447)),
  _xlpm.elos, INDEX(446:446,1,_xlpm.colj),
  _xlpm.diffscale, Constantes!$B$2,
  IF(AJ447="",
    "",
    SUM(1/(1+POWER(10,-(AJ446-_xlpm.elos)/_xlpm.diffscale)))-0.5)
)</f>
        <v/>
      </c>
      <c r="AK448" t="str" cm="1">
        <f t="array" ref="AK448">_xlfn.LET(
  _xlpm.colj, _xlfn._xlws.FILTER(IF(ISNUMBER(447:447), COLUMN(447:447)), ISNUMBER(447:447)),
  _xlpm.elos, INDEX(446:446,1,_xlpm.colj),
  _xlpm.diffscale, Constantes!$B$2,
  IF(AK447="",
    "",
    SUM(1/(1+POWER(10,-(AK446-_xlpm.elos)/_xlpm.diffscale)))-0.5)
)</f>
        <v/>
      </c>
      <c r="AL448" t="str" cm="1">
        <f t="array" ref="AL448">_xlfn.LET(
  _xlpm.colj, _xlfn._xlws.FILTER(IF(ISNUMBER(447:447), COLUMN(447:447)), ISNUMBER(447:447)),
  _xlpm.elos, INDEX(446:446,1,_xlpm.colj),
  _xlpm.diffscale, Constantes!$B$2,
  IF(AL447="",
    "",
    SUM(1/(1+POWER(10,-(AL446-_xlpm.elos)/_xlpm.diffscale)))-0.5)
)</f>
        <v/>
      </c>
      <c r="AM448" t="str" cm="1">
        <f t="array" ref="AM448">_xlfn.LET(
  _xlpm.colj, _xlfn._xlws.FILTER(IF(ISNUMBER(447:447), COLUMN(447:447)), ISNUMBER(447:447)),
  _xlpm.elos, INDEX(446:446,1,_xlpm.colj),
  _xlpm.diffscale, Constantes!$B$2,
  IF(AM447="",
    "",
    SUM(1/(1+POWER(10,-(AM446-_xlpm.elos)/_xlpm.diffscale)))-0.5)
)</f>
        <v/>
      </c>
    </row>
    <row r="449" spans="1:39" x14ac:dyDescent="0.25">
      <c r="A449" t="s">
        <v>22</v>
      </c>
      <c r="D449" cm="1">
        <f t="array" ref="D449">_xlfn.LET(
  _xlpm.K, Constantes!$B$3,
  _xlpm.Knewgain, Constantes!$B$4,
  _xlpm.Knewscale, Constantes!$B$5,
  _xlpm.ptstables, INDEX(D:D, _xlfn.SEQUENCE(COUNTA($C$2:$C449), 1, 3, 4)),
  _xlpm.nbparties, COUNTA(_xlfn._xlws.FILTER(_xlpm.ptstables, _xlpm.ptstables &lt;&gt; "")),
  _xlpm.coef, _xlpm.K + _xlpm.Knewgain / (_xlpm.Knewscale + _xlpm.nbparties),
  IF(D447="",
    "",
    _xlpm.coef * (D447-D448))
)</f>
        <v>-13.397783524346019</v>
      </c>
      <c r="E449" t="str" cm="1">
        <f t="array" ref="E449">_xlfn.LET(
  _xlpm.K, Constantes!$B$3,
  _xlpm.Knewgain, Constantes!$B$4,
  _xlpm.Knewscale, Constantes!$B$5,
  _xlpm.ptstables, INDEX(E:E, _xlfn.SEQUENCE(COUNTA($C$2:$C449), 1, 3, 4)),
  _xlpm.nbparties, COUNTA(_xlfn._xlws.FILTER(_xlpm.ptstables, _xlpm.ptstables &lt;&gt; "")),
  _xlpm.coef, _xlpm.K + _xlpm.Knewgain / (_xlpm.Knewscale + _xlpm.nbparties),
  IF(E447="",
    "",
    _xlpm.coef * (E447-E448))
)</f>
        <v/>
      </c>
      <c r="F449" t="str" cm="1">
        <f t="array" ref="F449">_xlfn.LET(
  _xlpm.K, Constantes!$B$3,
  _xlpm.Knewgain, Constantes!$B$4,
  _xlpm.Knewscale, Constantes!$B$5,
  _xlpm.ptstables, INDEX(F:F, _xlfn.SEQUENCE(COUNTA($C$2:$C449), 1, 3, 4)),
  _xlpm.nbparties, COUNTA(_xlfn._xlws.FILTER(_xlpm.ptstables, _xlpm.ptstables &lt;&gt; "")),
  _xlpm.coef, _xlpm.K + _xlpm.Knewgain / (_xlpm.Knewscale + _xlpm.nbparties),
  IF(F447="",
    "",
    _xlpm.coef * (F447-F448))
)</f>
        <v/>
      </c>
      <c r="G449" t="str" cm="1">
        <f t="array" ref="G449">_xlfn.LET(
  _xlpm.K, Constantes!$B$3,
  _xlpm.Knewgain, Constantes!$B$4,
  _xlpm.Knewscale, Constantes!$B$5,
  _xlpm.ptstables, INDEX(G:G, _xlfn.SEQUENCE(COUNTA($C$2:$C449), 1, 3, 4)),
  _xlpm.nbparties, COUNTA(_xlfn._xlws.FILTER(_xlpm.ptstables, _xlpm.ptstables &lt;&gt; "")),
  _xlpm.coef, _xlpm.K + _xlpm.Knewgain / (_xlpm.Knewscale + _xlpm.nbparties),
  IF(G447="",
    "",
    _xlpm.coef * (G447-G448))
)</f>
        <v/>
      </c>
      <c r="H449" t="str" cm="1">
        <f t="array" ref="H449">_xlfn.LET(
  _xlpm.K, Constantes!$B$3,
  _xlpm.Knewgain, Constantes!$B$4,
  _xlpm.Knewscale, Constantes!$B$5,
  _xlpm.ptstables, INDEX(H:H, _xlfn.SEQUENCE(COUNTA($C$2:$C449), 1, 3, 4)),
  _xlpm.nbparties, COUNTA(_xlfn._xlws.FILTER(_xlpm.ptstables, _xlpm.ptstables &lt;&gt; "")),
  _xlpm.coef, _xlpm.K + _xlpm.Knewgain / (_xlpm.Knewscale + _xlpm.nbparties),
  IF(H447="",
    "",
    _xlpm.coef * (H447-H448))
)</f>
        <v/>
      </c>
      <c r="I449" t="str" cm="1">
        <f t="array" ref="I449">_xlfn.LET(
  _xlpm.K, Constantes!$B$3,
  _xlpm.Knewgain, Constantes!$B$4,
  _xlpm.Knewscale, Constantes!$B$5,
  _xlpm.ptstables, INDEX(I:I, _xlfn.SEQUENCE(COUNTA($C$2:$C449), 1, 3, 4)),
  _xlpm.nbparties, COUNTA(_xlfn._xlws.FILTER(_xlpm.ptstables, _xlpm.ptstables &lt;&gt; "")),
  _xlpm.coef, _xlpm.K + _xlpm.Knewgain / (_xlpm.Knewscale + _xlpm.nbparties),
  IF(I447="",
    "",
    _xlpm.coef * (I447-I448))
)</f>
        <v/>
      </c>
      <c r="J449" t="str" cm="1">
        <f t="array" ref="J449">_xlfn.LET(
  _xlpm.K, Constantes!$B$3,
  _xlpm.Knewgain, Constantes!$B$4,
  _xlpm.Knewscale, Constantes!$B$5,
  _xlpm.ptstables, INDEX(J:J, _xlfn.SEQUENCE(COUNTA($C$2:$C449), 1, 3, 4)),
  _xlpm.nbparties, COUNTA(_xlfn._xlws.FILTER(_xlpm.ptstables, _xlpm.ptstables &lt;&gt; "")),
  _xlpm.coef, _xlpm.K + _xlpm.Knewgain / (_xlpm.Knewscale + _xlpm.nbparties),
  IF(J447="",
    "",
    _xlpm.coef * (J447-J448))
)</f>
        <v/>
      </c>
      <c r="K449" t="str" cm="1">
        <f t="array" ref="K449">_xlfn.LET(
  _xlpm.K, Constantes!$B$3,
  _xlpm.Knewgain, Constantes!$B$4,
  _xlpm.Knewscale, Constantes!$B$5,
  _xlpm.ptstables, INDEX(K:K, _xlfn.SEQUENCE(COUNTA($C$2:$C449), 1, 3, 4)),
  _xlpm.nbparties, COUNTA(_xlfn._xlws.FILTER(_xlpm.ptstables, _xlpm.ptstables &lt;&gt; "")),
  _xlpm.coef, _xlpm.K + _xlpm.Knewgain / (_xlpm.Knewscale + _xlpm.nbparties),
  IF(K447="",
    "",
    _xlpm.coef * (K447-K448))
)</f>
        <v/>
      </c>
      <c r="L449" t="str" cm="1">
        <f t="array" ref="L449">_xlfn.LET(
  _xlpm.K, Constantes!$B$3,
  _xlpm.Knewgain, Constantes!$B$4,
  _xlpm.Knewscale, Constantes!$B$5,
  _xlpm.ptstables, INDEX(L:L, _xlfn.SEQUENCE(COUNTA($C$2:$C449), 1, 3, 4)),
  _xlpm.nbparties, COUNTA(_xlfn._xlws.FILTER(_xlpm.ptstables, _xlpm.ptstables &lt;&gt; "")),
  _xlpm.coef, _xlpm.K + _xlpm.Knewgain / (_xlpm.Knewscale + _xlpm.nbparties),
  IF(L447="",
    "",
    _xlpm.coef * (L447-L448))
)</f>
        <v/>
      </c>
      <c r="M449" t="str" cm="1">
        <f t="array" ref="M449">_xlfn.LET(
  _xlpm.K, Constantes!$B$3,
  _xlpm.Knewgain, Constantes!$B$4,
  _xlpm.Knewscale, Constantes!$B$5,
  _xlpm.ptstables, INDEX(M:M, _xlfn.SEQUENCE(COUNTA($C$2:$C449), 1, 3, 4)),
  _xlpm.nbparties, COUNTA(_xlfn._xlws.FILTER(_xlpm.ptstables, _xlpm.ptstables &lt;&gt; "")),
  _xlpm.coef, _xlpm.K + _xlpm.Knewgain / (_xlpm.Knewscale + _xlpm.nbparties),
  IF(M447="",
    "",
    _xlpm.coef * (M447-M448))
)</f>
        <v/>
      </c>
      <c r="N449" t="str" cm="1">
        <f t="array" ref="N449">_xlfn.LET(
  _xlpm.K, Constantes!$B$3,
  _xlpm.Knewgain, Constantes!$B$4,
  _xlpm.Knewscale, Constantes!$B$5,
  _xlpm.ptstables, INDEX(N:N, _xlfn.SEQUENCE(COUNTA($C$2:$C449), 1, 3, 4)),
  _xlpm.nbparties, COUNTA(_xlfn._xlws.FILTER(_xlpm.ptstables, _xlpm.ptstables &lt;&gt; "")),
  _xlpm.coef, _xlpm.K + _xlpm.Knewgain / (_xlpm.Knewscale + _xlpm.nbparties),
  IF(N447="",
    "",
    _xlpm.coef * (N447-N448))
)</f>
        <v/>
      </c>
      <c r="O449" t="str" cm="1">
        <f t="array" ref="O449">_xlfn.LET(
  _xlpm.K, Constantes!$B$3,
  _xlpm.Knewgain, Constantes!$B$4,
  _xlpm.Knewscale, Constantes!$B$5,
  _xlpm.ptstables, INDEX(O:O, _xlfn.SEQUENCE(COUNTA($C$2:$C449), 1, 3, 4)),
  _xlpm.nbparties, COUNTA(_xlfn._xlws.FILTER(_xlpm.ptstables, _xlpm.ptstables &lt;&gt; "")),
  _xlpm.coef, _xlpm.K + _xlpm.Knewgain / (_xlpm.Knewscale + _xlpm.nbparties),
  IF(O447="",
    "",
    _xlpm.coef * (O447-O448))
)</f>
        <v/>
      </c>
      <c r="P449" cm="1">
        <f t="array" ref="P449">_xlfn.LET(
  _xlpm.K, Constantes!$B$3,
  _xlpm.Knewgain, Constantes!$B$4,
  _xlpm.Knewscale, Constantes!$B$5,
  _xlpm.ptstables, INDEX(P:P, _xlfn.SEQUENCE(COUNTA($C$2:$C449), 1, 3, 4)),
  _xlpm.nbparties, COUNTA(_xlfn._xlws.FILTER(_xlpm.ptstables, _xlpm.ptstables &lt;&gt; "")),
  _xlpm.coef, _xlpm.K + _xlpm.Knewgain / (_xlpm.Knewscale + _xlpm.nbparties),
  IF(P447="",
    "",
    _xlpm.coef * (P447-P448))
)</f>
        <v>12.175807828970283</v>
      </c>
      <c r="Q449" t="str" cm="1">
        <f t="array" ref="Q449">_xlfn.LET(
  _xlpm.K, Constantes!$B$3,
  _xlpm.Knewgain, Constantes!$B$4,
  _xlpm.Knewscale, Constantes!$B$5,
  _xlpm.ptstables, INDEX(Q:Q, _xlfn.SEQUENCE(COUNTA($C$2:$C449), 1, 3, 4)),
  _xlpm.nbparties, COUNTA(_xlfn._xlws.FILTER(_xlpm.ptstables, _xlpm.ptstables &lt;&gt; "")),
  _xlpm.coef, _xlpm.K + _xlpm.Knewgain / (_xlpm.Knewscale + _xlpm.nbparties),
  IF(Q447="",
    "",
    _xlpm.coef * (Q447-Q448))
)</f>
        <v/>
      </c>
      <c r="R449" t="str" cm="1">
        <f t="array" ref="R449">_xlfn.LET(
  _xlpm.K, Constantes!$B$3,
  _xlpm.Knewgain, Constantes!$B$4,
  _xlpm.Knewscale, Constantes!$B$5,
  _xlpm.ptstables, INDEX(R:R, _xlfn.SEQUENCE(COUNTA($C$2:$C449), 1, 3, 4)),
  _xlpm.nbparties, COUNTA(_xlfn._xlws.FILTER(_xlpm.ptstables, _xlpm.ptstables &lt;&gt; "")),
  _xlpm.coef, _xlpm.K + _xlpm.Knewgain / (_xlpm.Knewscale + _xlpm.nbparties),
  IF(R447="",
    "",
    _xlpm.coef * (R447-R448))
)</f>
        <v/>
      </c>
      <c r="S449" t="str" cm="1">
        <f t="array" ref="S449">_xlfn.LET(
  _xlpm.K, Constantes!$B$3,
  _xlpm.Knewgain, Constantes!$B$4,
  _xlpm.Knewscale, Constantes!$B$5,
  _xlpm.ptstables, INDEX(S:S, _xlfn.SEQUENCE(COUNTA($C$2:$C449), 1, 3, 4)),
  _xlpm.nbparties, COUNTA(_xlfn._xlws.FILTER(_xlpm.ptstables, _xlpm.ptstables &lt;&gt; "")),
  _xlpm.coef, _xlpm.K + _xlpm.Knewgain / (_xlpm.Knewscale + _xlpm.nbparties),
  IF(S447="",
    "",
    _xlpm.coef * (S447-S448))
)</f>
        <v/>
      </c>
      <c r="T449" t="str" cm="1">
        <f t="array" ref="T449">_xlfn.LET(
  _xlpm.K, Constantes!$B$3,
  _xlpm.Knewgain, Constantes!$B$4,
  _xlpm.Knewscale, Constantes!$B$5,
  _xlpm.ptstables, INDEX(T:T, _xlfn.SEQUENCE(COUNTA($C$2:$C449), 1, 3, 4)),
  _xlpm.nbparties, COUNTA(_xlfn._xlws.FILTER(_xlpm.ptstables, _xlpm.ptstables &lt;&gt; "")),
  _xlpm.coef, _xlpm.K + _xlpm.Knewgain / (_xlpm.Knewscale + _xlpm.nbparties),
  IF(T447="",
    "",
    _xlpm.coef * (T447-T448))
)</f>
        <v/>
      </c>
      <c r="U449" t="str" cm="1">
        <f t="array" ref="U449">_xlfn.LET(
  _xlpm.K, Constantes!$B$3,
  _xlpm.Knewgain, Constantes!$B$4,
  _xlpm.Knewscale, Constantes!$B$5,
  _xlpm.ptstables, INDEX(U:U, _xlfn.SEQUENCE(COUNTA($C$2:$C449), 1, 3, 4)),
  _xlpm.nbparties, COUNTA(_xlfn._xlws.FILTER(_xlpm.ptstables, _xlpm.ptstables &lt;&gt; "")),
  _xlpm.coef, _xlpm.K + _xlpm.Knewgain / (_xlpm.Knewscale + _xlpm.nbparties),
  IF(U447="",
    "",
    _xlpm.coef * (U447-U448))
)</f>
        <v/>
      </c>
      <c r="V449" t="str" cm="1">
        <f t="array" ref="V449">_xlfn.LET(
  _xlpm.K, Constantes!$B$3,
  _xlpm.Knewgain, Constantes!$B$4,
  _xlpm.Knewscale, Constantes!$B$5,
  _xlpm.ptstables, INDEX(V:V, _xlfn.SEQUENCE(COUNTA($C$2:$C449), 1, 3, 4)),
  _xlpm.nbparties, COUNTA(_xlfn._xlws.FILTER(_xlpm.ptstables, _xlpm.ptstables &lt;&gt; "")),
  _xlpm.coef, _xlpm.K + _xlpm.Knewgain / (_xlpm.Knewscale + _xlpm.nbparties),
  IF(V447="",
    "",
    _xlpm.coef * (V447-V448))
)</f>
        <v/>
      </c>
      <c r="W449" t="str" cm="1">
        <f t="array" ref="W449">_xlfn.LET(
  _xlpm.K, Constantes!$B$3,
  _xlpm.Knewgain, Constantes!$B$4,
  _xlpm.Knewscale, Constantes!$B$5,
  _xlpm.ptstables, INDEX(W:W, _xlfn.SEQUENCE(COUNTA($C$2:$C449), 1, 3, 4)),
  _xlpm.nbparties, COUNTA(_xlfn._xlws.FILTER(_xlpm.ptstables, _xlpm.ptstables &lt;&gt; "")),
  _xlpm.coef, _xlpm.K + _xlpm.Knewgain / (_xlpm.Knewscale + _xlpm.nbparties),
  IF(W447="",
    "",
    _xlpm.coef * (W447-W448))
)</f>
        <v/>
      </c>
      <c r="X449" t="str" cm="1">
        <f t="array" ref="X449">_xlfn.LET(
  _xlpm.K, Constantes!$B$3,
  _xlpm.Knewgain, Constantes!$B$4,
  _xlpm.Knewscale, Constantes!$B$5,
  _xlpm.ptstables, INDEX(X:X, _xlfn.SEQUENCE(COUNTA($C$2:$C449), 1, 3, 4)),
  _xlpm.nbparties, COUNTA(_xlfn._xlws.FILTER(_xlpm.ptstables, _xlpm.ptstables &lt;&gt; "")),
  _xlpm.coef, _xlpm.K + _xlpm.Knewgain / (_xlpm.Knewscale + _xlpm.nbparties),
  IF(X447="",
    "",
    _xlpm.coef * (X447-X448))
)</f>
        <v/>
      </c>
      <c r="Y449" t="str" cm="1">
        <f t="array" ref="Y449">_xlfn.LET(
  _xlpm.K, Constantes!$B$3,
  _xlpm.Knewgain, Constantes!$B$4,
  _xlpm.Knewscale, Constantes!$B$5,
  _xlpm.ptstables, INDEX(Y:Y, _xlfn.SEQUENCE(COUNTA($C$2:$C449), 1, 3, 4)),
  _xlpm.nbparties, COUNTA(_xlfn._xlws.FILTER(_xlpm.ptstables, _xlpm.ptstables &lt;&gt; "")),
  _xlpm.coef, _xlpm.K + _xlpm.Knewgain / (_xlpm.Knewscale + _xlpm.nbparties),
  IF(Y447="",
    "",
    _xlpm.coef * (Y447-Y448))
)</f>
        <v/>
      </c>
      <c r="Z449" t="str" cm="1">
        <f t="array" ref="Z449">_xlfn.LET(
  _xlpm.K, Constantes!$B$3,
  _xlpm.Knewgain, Constantes!$B$4,
  _xlpm.Knewscale, Constantes!$B$5,
  _xlpm.ptstables, INDEX(Z:Z, _xlfn.SEQUENCE(COUNTA($C$2:$C449), 1, 3, 4)),
  _xlpm.nbparties, COUNTA(_xlfn._xlws.FILTER(_xlpm.ptstables, _xlpm.ptstables &lt;&gt; "")),
  _xlpm.coef, _xlpm.K + _xlpm.Knewgain / (_xlpm.Knewscale + _xlpm.nbparties),
  IF(Z447="",
    "",
    _xlpm.coef * (Z447-Z448))
)</f>
        <v/>
      </c>
      <c r="AA449" cm="1">
        <f t="array" ref="AA449">_xlfn.LET(
  _xlpm.K, Constantes!$B$3,
  _xlpm.Knewgain, Constantes!$B$4,
  _xlpm.Knewscale, Constantes!$B$5,
  _xlpm.ptstables, INDEX(AA:AA, _xlfn.SEQUENCE(COUNTA($C$2:$C449), 1, 3, 4)),
  _xlpm.nbparties, COUNTA(_xlfn._xlws.FILTER(_xlpm.ptstables, _xlpm.ptstables &lt;&gt; "")),
  _xlpm.coef, _xlpm.K + _xlpm.Knewgain / (_xlpm.Knewscale + _xlpm.nbparties),
  IF(AA447="",
    "",
    _xlpm.coef * (AA447-AA448))
)</f>
        <v>-34.123351598086195</v>
      </c>
      <c r="AB449" t="str" cm="1">
        <f t="array" ref="AB449">_xlfn.LET(
  _xlpm.K, Constantes!$B$3,
  _xlpm.Knewgain, Constantes!$B$4,
  _xlpm.Knewscale, Constantes!$B$5,
  _xlpm.ptstables, INDEX(AB:AB, _xlfn.SEQUENCE(COUNTA($C$2:$C449), 1, 3, 4)),
  _xlpm.nbparties, COUNTA(_xlfn._xlws.FILTER(_xlpm.ptstables, _xlpm.ptstables &lt;&gt; "")),
  _xlpm.coef, _xlpm.K + _xlpm.Knewgain / (_xlpm.Knewscale + _xlpm.nbparties),
  IF(AB447="",
    "",
    _xlpm.coef * (AB447-AB448))
)</f>
        <v/>
      </c>
      <c r="AC449" t="str" cm="1">
        <f t="array" ref="AC449">_xlfn.LET(
  _xlpm.K, Constantes!$B$3,
  _xlpm.Knewgain, Constantes!$B$4,
  _xlpm.Knewscale, Constantes!$B$5,
  _xlpm.ptstables, INDEX(AC:AC, _xlfn.SEQUENCE(COUNTA($C$2:$C449), 1, 3, 4)),
  _xlpm.nbparties, COUNTA(_xlfn._xlws.FILTER(_xlpm.ptstables, _xlpm.ptstables &lt;&gt; "")),
  _xlpm.coef, _xlpm.K + _xlpm.Knewgain / (_xlpm.Knewscale + _xlpm.nbparties),
  IF(AC447="",
    "",
    _xlpm.coef * (AC447-AC448))
)</f>
        <v/>
      </c>
      <c r="AD449" t="str" cm="1">
        <f t="array" ref="AD449">_xlfn.LET(
  _xlpm.K, Constantes!$B$3,
  _xlpm.Knewgain, Constantes!$B$4,
  _xlpm.Knewscale, Constantes!$B$5,
  _xlpm.ptstables, INDEX(AD:AD, _xlfn.SEQUENCE(COUNTA($C$2:$C449), 1, 3, 4)),
  _xlpm.nbparties, COUNTA(_xlfn._xlws.FILTER(_xlpm.ptstables, _xlpm.ptstables &lt;&gt; "")),
  _xlpm.coef, _xlpm.K + _xlpm.Knewgain / (_xlpm.Knewscale + _xlpm.nbparties),
  IF(AD447="",
    "",
    _xlpm.coef * (AD447-AD448))
)</f>
        <v/>
      </c>
      <c r="AE449" t="str" cm="1">
        <f t="array" ref="AE449">_xlfn.LET(
  _xlpm.K, Constantes!$B$3,
  _xlpm.Knewgain, Constantes!$B$4,
  _xlpm.Knewscale, Constantes!$B$5,
  _xlpm.ptstables, INDEX(AE:AE, _xlfn.SEQUENCE(COUNTA($C$2:$C449), 1, 3, 4)),
  _xlpm.nbparties, COUNTA(_xlfn._xlws.FILTER(_xlpm.ptstables, _xlpm.ptstables &lt;&gt; "")),
  _xlpm.coef, _xlpm.K + _xlpm.Knewgain / (_xlpm.Knewscale + _xlpm.nbparties),
  IF(AE447="",
    "",
    _xlpm.coef * (AE447-AE448))
)</f>
        <v/>
      </c>
      <c r="AF449" t="str" cm="1">
        <f t="array" ref="AF449">_xlfn.LET(
  _xlpm.K, Constantes!$B$3,
  _xlpm.Knewgain, Constantes!$B$4,
  _xlpm.Knewscale, Constantes!$B$5,
  _xlpm.ptstables, INDEX(AF:AF, _xlfn.SEQUENCE(COUNTA($C$2:$C449), 1, 3, 4)),
  _xlpm.nbparties, COUNTA(_xlfn._xlws.FILTER(_xlpm.ptstables, _xlpm.ptstables &lt;&gt; "")),
  _xlpm.coef, _xlpm.K + _xlpm.Knewgain / (_xlpm.Knewscale + _xlpm.nbparties),
  IF(AF447="",
    "",
    _xlpm.coef * (AF447-AF448))
)</f>
        <v/>
      </c>
      <c r="AG449" t="str" cm="1">
        <f t="array" ref="AG449">_xlfn.LET(
  _xlpm.K, Constantes!$B$3,
  _xlpm.Knewgain, Constantes!$B$4,
  _xlpm.Knewscale, Constantes!$B$5,
  _xlpm.ptstables, INDEX(AG:AG, _xlfn.SEQUENCE(COUNTA($C$2:$C449), 1, 3, 4)),
  _xlpm.nbparties, COUNTA(_xlfn._xlws.FILTER(_xlpm.ptstables, _xlpm.ptstables &lt;&gt; "")),
  _xlpm.coef, _xlpm.K + _xlpm.Knewgain / (_xlpm.Knewscale + _xlpm.nbparties),
  IF(AG447="",
    "",
    _xlpm.coef * (AG447-AG448))
)</f>
        <v/>
      </c>
      <c r="AH449" t="str" cm="1">
        <f t="array" ref="AH449">_xlfn.LET(
  _xlpm.K, Constantes!$B$3,
  _xlpm.Knewgain, Constantes!$B$4,
  _xlpm.Knewscale, Constantes!$B$5,
  _xlpm.ptstables, INDEX(AH:AH, _xlfn.SEQUENCE(COUNTA($C$2:$C449), 1, 3, 4)),
  _xlpm.nbparties, COUNTA(_xlfn._xlws.FILTER(_xlpm.ptstables, _xlpm.ptstables &lt;&gt; "")),
  _xlpm.coef, _xlpm.K + _xlpm.Knewgain / (_xlpm.Knewscale + _xlpm.nbparties),
  IF(AH447="",
    "",
    _xlpm.coef * (AH447-AH448))
)</f>
        <v/>
      </c>
      <c r="AI449" cm="1">
        <f t="array" ref="AI449">_xlfn.LET(
  _xlpm.K, Constantes!$B$3,
  _xlpm.Knewgain, Constantes!$B$4,
  _xlpm.Knewscale, Constantes!$B$5,
  _xlpm.ptstables, INDEX(AI:AI, _xlfn.SEQUENCE(COUNTA($C$2:$C449), 1, 3, 4)),
  _xlpm.nbparties, COUNTA(_xlfn._xlws.FILTER(_xlpm.ptstables, _xlpm.ptstables &lt;&gt; "")),
  _xlpm.coef, _xlpm.K + _xlpm.Knewgain / (_xlpm.Knewscale + _xlpm.nbparties),
  IF(AI447="",
    "",
    _xlpm.coef * (AI447-AI448))
)</f>
        <v>32.689738093411471</v>
      </c>
      <c r="AJ449" t="str" cm="1">
        <f t="array" ref="AJ449">_xlfn.LET(
  _xlpm.K, Constantes!$B$3,
  _xlpm.Knewgain, Constantes!$B$4,
  _xlpm.Knewscale, Constantes!$B$5,
  _xlpm.ptstables, INDEX(AJ:AJ, _xlfn.SEQUENCE(COUNTA($C$2:$C449), 1, 3, 4)),
  _xlpm.nbparties, COUNTA(_xlfn._xlws.FILTER(_xlpm.ptstables, _xlpm.ptstables &lt;&gt; "")),
  _xlpm.coef, _xlpm.K + _xlpm.Knewgain / (_xlpm.Knewscale + _xlpm.nbparties),
  IF(AJ447="",
    "",
    _xlpm.coef * (AJ447-AJ448))
)</f>
        <v/>
      </c>
      <c r="AK449" t="str" cm="1">
        <f t="array" ref="AK449">_xlfn.LET(
  _xlpm.K, Constantes!$B$3,
  _xlpm.Knewgain, Constantes!$B$4,
  _xlpm.Knewscale, Constantes!$B$5,
  _xlpm.ptstables, INDEX(AK:AK, _xlfn.SEQUENCE(COUNTA($C$2:$C449), 1, 3, 4)),
  _xlpm.nbparties, COUNTA(_xlfn._xlws.FILTER(_xlpm.ptstables, _xlpm.ptstables &lt;&gt; "")),
  _xlpm.coef, _xlpm.K + _xlpm.Knewgain / (_xlpm.Knewscale + _xlpm.nbparties),
  IF(AK447="",
    "",
    _xlpm.coef * (AK447-AK448))
)</f>
        <v/>
      </c>
      <c r="AL449" t="str" cm="1">
        <f t="array" ref="AL449">_xlfn.LET(
  _xlpm.K, Constantes!$B$3,
  _xlpm.Knewgain, Constantes!$B$4,
  _xlpm.Knewscale, Constantes!$B$5,
  _xlpm.ptstables, INDEX(AL:AL, _xlfn.SEQUENCE(COUNTA($C$2:$C449), 1, 3, 4)),
  _xlpm.nbparties, COUNTA(_xlfn._xlws.FILTER(_xlpm.ptstables, _xlpm.ptstables &lt;&gt; "")),
  _xlpm.coef, _xlpm.K + _xlpm.Knewgain / (_xlpm.Knewscale + _xlpm.nbparties),
  IF(AL447="",
    "",
    _xlpm.coef * (AL447-AL448))
)</f>
        <v/>
      </c>
      <c r="AM449" t="str" cm="1">
        <f t="array" ref="AM449">_xlfn.LET(
  _xlpm.K, Constantes!$B$3,
  _xlpm.Knewgain, Constantes!$B$4,
  _xlpm.Knewscale, Constantes!$B$5,
  _xlpm.ptstables, INDEX(AM:AM, _xlfn.SEQUENCE(COUNTA($C$2:$C449), 1, 3, 4)),
  _xlpm.nbparties, COUNTA(_xlfn._xlws.FILTER(_xlpm.ptstables, _xlpm.ptstables &lt;&gt; "")),
  _xlpm.coef, _xlpm.K + _xlpm.Knewgain / (_xlpm.Knewscale + _xlpm.nbparties),
  IF(AM447="",
    "",
    _xlpm.coef * (AM447-AM448))
)</f>
        <v/>
      </c>
    </row>
    <row r="450" spans="1:39" x14ac:dyDescent="0.25">
      <c r="A450" t="s">
        <v>14</v>
      </c>
      <c r="B450" t="str" cm="1">
        <f t="array" ref="B45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113</v>
      </c>
      <c r="C450" s="2" cm="1">
        <f t="array" ref="C450">IF(B450="","",
  INDEX(Donnees!F:F, MATCH(B450, Donnees!F:F, 0)+1))</f>
        <v>45967.820752314816</v>
      </c>
      <c r="D450">
        <f t="shared" ref="D450:AM450" si="120">D446+IF(D449="",0,D449)</f>
        <v>1000.7115540402061</v>
      </c>
      <c r="E450">
        <f t="shared" si="120"/>
        <v>1196.4195973781996</v>
      </c>
      <c r="F450">
        <f t="shared" si="120"/>
        <v>911.8835833951041</v>
      </c>
      <c r="G450">
        <f t="shared" si="120"/>
        <v>1034.1827290977112</v>
      </c>
      <c r="H450">
        <f t="shared" si="120"/>
        <v>1107.2522591600814</v>
      </c>
      <c r="I450">
        <f t="shared" si="120"/>
        <v>907.83370609419069</v>
      </c>
      <c r="J450">
        <f t="shared" si="120"/>
        <v>1000.251341704819</v>
      </c>
      <c r="K450">
        <f t="shared" si="120"/>
        <v>1076.8546837336262</v>
      </c>
      <c r="L450">
        <f t="shared" si="120"/>
        <v>762.99078552663389</v>
      </c>
      <c r="M450">
        <f t="shared" si="120"/>
        <v>927.4581540493366</v>
      </c>
      <c r="N450">
        <f t="shared" si="120"/>
        <v>899.98370646249032</v>
      </c>
      <c r="O450">
        <f t="shared" si="120"/>
        <v>997.04050320786712</v>
      </c>
      <c r="P450">
        <f t="shared" si="120"/>
        <v>1000.038589629396</v>
      </c>
      <c r="Q450">
        <f t="shared" si="120"/>
        <v>1068.1411489246648</v>
      </c>
      <c r="R450">
        <f t="shared" si="120"/>
        <v>1056.3886451718679</v>
      </c>
      <c r="S450">
        <f t="shared" si="120"/>
        <v>1002.6649899548004</v>
      </c>
      <c r="T450">
        <f t="shared" si="120"/>
        <v>1125.604709757928</v>
      </c>
      <c r="U450">
        <f t="shared" si="120"/>
        <v>1188.1261168045758</v>
      </c>
      <c r="V450">
        <f t="shared" si="120"/>
        <v>969.67171739286073</v>
      </c>
      <c r="W450">
        <f t="shared" si="120"/>
        <v>873.42626723356045</v>
      </c>
      <c r="X450">
        <f t="shared" si="120"/>
        <v>832.40508999649853</v>
      </c>
      <c r="Y450">
        <f t="shared" si="120"/>
        <v>944.44867950361879</v>
      </c>
      <c r="Z450">
        <f t="shared" si="120"/>
        <v>1008.6876849635962</v>
      </c>
      <c r="AA450">
        <f t="shared" si="120"/>
        <v>942.27730100696294</v>
      </c>
      <c r="AB450">
        <f t="shared" si="120"/>
        <v>988.35669729544747</v>
      </c>
      <c r="AC450">
        <f t="shared" si="120"/>
        <v>923.36850203928373</v>
      </c>
      <c r="AD450">
        <f t="shared" si="120"/>
        <v>1054.5168154629837</v>
      </c>
      <c r="AE450">
        <f t="shared" si="120"/>
        <v>963.23981965000235</v>
      </c>
      <c r="AF450">
        <f t="shared" si="120"/>
        <v>1094.8196847516158</v>
      </c>
      <c r="AG450">
        <f t="shared" si="120"/>
        <v>958.23078604304851</v>
      </c>
      <c r="AH450">
        <f t="shared" si="120"/>
        <v>920.4412636682855</v>
      </c>
      <c r="AI450">
        <f t="shared" si="120"/>
        <v>1036.4167877702052</v>
      </c>
      <c r="AJ450">
        <f t="shared" si="120"/>
        <v>906.86354201913434</v>
      </c>
      <c r="AK450">
        <f t="shared" si="120"/>
        <v>1074.0069367206956</v>
      </c>
      <c r="AL450">
        <f t="shared" si="120"/>
        <v>1025.7817971572972</v>
      </c>
      <c r="AM450">
        <f t="shared" si="120"/>
        <v>930.08392160706046</v>
      </c>
    </row>
    <row r="451" spans="1:39" x14ac:dyDescent="0.25">
      <c r="A451" t="s">
        <v>21</v>
      </c>
      <c r="D451" t="str" cm="1">
        <f t="array" ref="D451">IFERROR(
  _xlfn.LET(
    _xlpm.ligpartie, MATCH($B450, Donnees!$F:$F, 0),
    _xlpm.joueurs, INDEX(Donnees!$A:$Z, _xlpm.ligpartie+1, _xlfn.SEQUENCE(1, 4, 2)),
    INDEX(
      Donnees!$A:$Z,
      _xlpm.ligpartie + 3,
      MATCH(D$1, _xlpm.joueurs, 0) + 1
    )
  ), ""
)</f>
        <v/>
      </c>
      <c r="E451" t="str" cm="1">
        <f t="array" ref="E451">IFERROR(
  _xlfn.LET(
    _xlpm.ligpartie, MATCH($B450, Donnees!$F:$F, 0),
    _xlpm.joueurs, INDEX(Donnees!$A:$Z, _xlpm.ligpartie+1, _xlfn.SEQUENCE(1, 4, 2)),
    INDEX(
      Donnees!$A:$Z,
      _xlpm.ligpartie + 3,
      MATCH(E$1, _xlpm.joueurs, 0) + 1
    )
  ), ""
)</f>
        <v/>
      </c>
      <c r="F451" t="str" cm="1">
        <f t="array" ref="F451">IFERROR(
  _xlfn.LET(
    _xlpm.ligpartie, MATCH($B450, Donnees!$F:$F, 0),
    _xlpm.joueurs, INDEX(Donnees!$A:$Z, _xlpm.ligpartie+1, _xlfn.SEQUENCE(1, 4, 2)),
    INDEX(
      Donnees!$A:$Z,
      _xlpm.ligpartie + 3,
      MATCH(F$1, _xlpm.joueurs, 0) + 1
    )
  ), ""
)</f>
        <v/>
      </c>
      <c r="G451" cm="1">
        <f t="array" ref="G451">IFERROR(
  _xlfn.LET(
    _xlpm.ligpartie, MATCH($B450, Donnees!$F:$F, 0),
    _xlpm.joueurs, INDEX(Donnees!$A:$Z, _xlpm.ligpartie+1, _xlfn.SEQUENCE(1, 4, 2)),
    INDEX(
      Donnees!$A:$Z,
      _xlpm.ligpartie + 3,
      MATCH(G$1, _xlpm.joueurs, 0) + 1
    )
  ), ""
)</f>
        <v>0</v>
      </c>
      <c r="H451" cm="1">
        <f t="array" ref="H451">IFERROR(
  _xlfn.LET(
    _xlpm.ligpartie, MATCH($B450, Donnees!$F:$F, 0),
    _xlpm.joueurs, INDEX(Donnees!$A:$Z, _xlpm.ligpartie+1, _xlfn.SEQUENCE(1, 4, 2)),
    INDEX(
      Donnees!$A:$Z,
      _xlpm.ligpartie + 3,
      MATCH(H$1, _xlpm.joueurs, 0) + 1
    )
  ), ""
)</f>
        <v>1</v>
      </c>
      <c r="I451" t="str" cm="1">
        <f t="array" ref="I451">IFERROR(
  _xlfn.LET(
    _xlpm.ligpartie, MATCH($B450, Donnees!$F:$F, 0),
    _xlpm.joueurs, INDEX(Donnees!$A:$Z, _xlpm.ligpartie+1, _xlfn.SEQUENCE(1, 4, 2)),
    INDEX(
      Donnees!$A:$Z,
      _xlpm.ligpartie + 3,
      MATCH(I$1, _xlpm.joueurs, 0) + 1
    )
  ), ""
)</f>
        <v/>
      </c>
      <c r="J451" t="str" cm="1">
        <f t="array" ref="J451">IFERROR(
  _xlfn.LET(
    _xlpm.ligpartie, MATCH($B450, Donnees!$F:$F, 0),
    _xlpm.joueurs, INDEX(Donnees!$A:$Z, _xlpm.ligpartie+1, _xlfn.SEQUENCE(1, 4, 2)),
    INDEX(
      Donnees!$A:$Z,
      _xlpm.ligpartie + 3,
      MATCH(J$1, _xlpm.joueurs, 0) + 1
    )
  ), ""
)</f>
        <v/>
      </c>
      <c r="K451" t="str" cm="1">
        <f t="array" ref="K451">IFERROR(
  _xlfn.LET(
    _xlpm.ligpartie, MATCH($B450, Donnees!$F:$F, 0),
    _xlpm.joueurs, INDEX(Donnees!$A:$Z, _xlpm.ligpartie+1, _xlfn.SEQUENCE(1, 4, 2)),
    INDEX(
      Donnees!$A:$Z,
      _xlpm.ligpartie + 3,
      MATCH(K$1, _xlpm.joueurs, 0) + 1
    )
  ), ""
)</f>
        <v/>
      </c>
      <c r="L451" t="str" cm="1">
        <f t="array" ref="L451">IFERROR(
  _xlfn.LET(
    _xlpm.ligpartie, MATCH($B450, Donnees!$F:$F, 0),
    _xlpm.joueurs, INDEX(Donnees!$A:$Z, _xlpm.ligpartie+1, _xlfn.SEQUENCE(1, 4, 2)),
    INDEX(
      Donnees!$A:$Z,
      _xlpm.ligpartie + 3,
      MATCH(L$1, _xlpm.joueurs, 0) + 1
    )
  ), ""
)</f>
        <v/>
      </c>
      <c r="M451" t="str" cm="1">
        <f t="array" ref="M451">IFERROR(
  _xlfn.LET(
    _xlpm.ligpartie, MATCH($B450, Donnees!$F:$F, 0),
    _xlpm.joueurs, INDEX(Donnees!$A:$Z, _xlpm.ligpartie+1, _xlfn.SEQUENCE(1, 4, 2)),
    INDEX(
      Donnees!$A:$Z,
      _xlpm.ligpartie + 3,
      MATCH(M$1, _xlpm.joueurs, 0) + 1
    )
  ), ""
)</f>
        <v/>
      </c>
      <c r="N451" t="str" cm="1">
        <f t="array" ref="N451">IFERROR(
  _xlfn.LET(
    _xlpm.ligpartie, MATCH($B450, Donnees!$F:$F, 0),
    _xlpm.joueurs, INDEX(Donnees!$A:$Z, _xlpm.ligpartie+1, _xlfn.SEQUENCE(1, 4, 2)),
    INDEX(
      Donnees!$A:$Z,
      _xlpm.ligpartie + 3,
      MATCH(N$1, _xlpm.joueurs, 0) + 1
    )
  ), ""
)</f>
        <v/>
      </c>
      <c r="O451" t="str" cm="1">
        <f t="array" ref="O451">IFERROR(
  _xlfn.LET(
    _xlpm.ligpartie, MATCH($B450, Donnees!$F:$F, 0),
    _xlpm.joueurs, INDEX(Donnees!$A:$Z, _xlpm.ligpartie+1, _xlfn.SEQUENCE(1, 4, 2)),
    INDEX(
      Donnees!$A:$Z,
      _xlpm.ligpartie + 3,
      MATCH(O$1, _xlpm.joueurs, 0) + 1
    )
  ), ""
)</f>
        <v/>
      </c>
      <c r="P451" t="str" cm="1">
        <f t="array" ref="P451">IFERROR(
  _xlfn.LET(
    _xlpm.ligpartie, MATCH($B450, Donnees!$F:$F, 0),
    _xlpm.joueurs, INDEX(Donnees!$A:$Z, _xlpm.ligpartie+1, _xlfn.SEQUENCE(1, 4, 2)),
    INDEX(
      Donnees!$A:$Z,
      _xlpm.ligpartie + 3,
      MATCH(P$1, _xlpm.joueurs, 0) + 1
    )
  ), ""
)</f>
        <v/>
      </c>
      <c r="Q451" cm="1">
        <f t="array" ref="Q451">IFERROR(
  _xlfn.LET(
    _xlpm.ligpartie, MATCH($B450, Donnees!$F:$F, 0),
    _xlpm.joueurs, INDEX(Donnees!$A:$Z, _xlpm.ligpartie+1, _xlfn.SEQUENCE(1, 4, 2)),
    INDEX(
      Donnees!$A:$Z,
      _xlpm.ligpartie + 3,
      MATCH(Q$1, _xlpm.joueurs, 0) + 1
    )
  ), ""
)</f>
        <v>2</v>
      </c>
      <c r="R451" t="str" cm="1">
        <f t="array" ref="R451">IFERROR(
  _xlfn.LET(
    _xlpm.ligpartie, MATCH($B450, Donnees!$F:$F, 0),
    _xlpm.joueurs, INDEX(Donnees!$A:$Z, _xlpm.ligpartie+1, _xlfn.SEQUENCE(1, 4, 2)),
    INDEX(
      Donnees!$A:$Z,
      _xlpm.ligpartie + 3,
      MATCH(R$1, _xlpm.joueurs, 0) + 1
    )
  ), ""
)</f>
        <v/>
      </c>
      <c r="S451" t="str" cm="1">
        <f t="array" ref="S451">IFERROR(
  _xlfn.LET(
    _xlpm.ligpartie, MATCH($B450, Donnees!$F:$F, 0),
    _xlpm.joueurs, INDEX(Donnees!$A:$Z, _xlpm.ligpartie+1, _xlfn.SEQUENCE(1, 4, 2)),
    INDEX(
      Donnees!$A:$Z,
      _xlpm.ligpartie + 3,
      MATCH(S$1, _xlpm.joueurs, 0) + 1
    )
  ), ""
)</f>
        <v/>
      </c>
      <c r="T451" t="str" cm="1">
        <f t="array" ref="T451">IFERROR(
  _xlfn.LET(
    _xlpm.ligpartie, MATCH($B450, Donnees!$F:$F, 0),
    _xlpm.joueurs, INDEX(Donnees!$A:$Z, _xlpm.ligpartie+1, _xlfn.SEQUENCE(1, 4, 2)),
    INDEX(
      Donnees!$A:$Z,
      _xlpm.ligpartie + 3,
      MATCH(T$1, _xlpm.joueurs, 0) + 1
    )
  ), ""
)</f>
        <v/>
      </c>
      <c r="U451" cm="1">
        <f t="array" ref="U451">IFERROR(
  _xlfn.LET(
    _xlpm.ligpartie, MATCH($B450, Donnees!$F:$F, 0),
    _xlpm.joueurs, INDEX(Donnees!$A:$Z, _xlpm.ligpartie+1, _xlfn.SEQUENCE(1, 4, 2)),
    INDEX(
      Donnees!$A:$Z,
      _xlpm.ligpartie + 3,
      MATCH(U$1, _xlpm.joueurs, 0) + 1
    )
  ), ""
)</f>
        <v>3</v>
      </c>
      <c r="V451" t="str" cm="1">
        <f t="array" ref="V451">IFERROR(
  _xlfn.LET(
    _xlpm.ligpartie, MATCH($B450, Donnees!$F:$F, 0),
    _xlpm.joueurs, INDEX(Donnees!$A:$Z, _xlpm.ligpartie+1, _xlfn.SEQUENCE(1, 4, 2)),
    INDEX(
      Donnees!$A:$Z,
      _xlpm.ligpartie + 3,
      MATCH(V$1, _xlpm.joueurs, 0) + 1
    )
  ), ""
)</f>
        <v/>
      </c>
      <c r="W451" t="str" cm="1">
        <f t="array" ref="W451">IFERROR(
  _xlfn.LET(
    _xlpm.ligpartie, MATCH($B450, Donnees!$F:$F, 0),
    _xlpm.joueurs, INDEX(Donnees!$A:$Z, _xlpm.ligpartie+1, _xlfn.SEQUENCE(1, 4, 2)),
    INDEX(
      Donnees!$A:$Z,
      _xlpm.ligpartie + 3,
      MATCH(W$1, _xlpm.joueurs, 0) + 1
    )
  ), ""
)</f>
        <v/>
      </c>
      <c r="X451" t="str" cm="1">
        <f t="array" ref="X451">IFERROR(
  _xlfn.LET(
    _xlpm.ligpartie, MATCH($B450, Donnees!$F:$F, 0),
    _xlpm.joueurs, INDEX(Donnees!$A:$Z, _xlpm.ligpartie+1, _xlfn.SEQUENCE(1, 4, 2)),
    INDEX(
      Donnees!$A:$Z,
      _xlpm.ligpartie + 3,
      MATCH(X$1, _xlpm.joueurs, 0) + 1
    )
  ), ""
)</f>
        <v/>
      </c>
      <c r="Y451" t="str" cm="1">
        <f t="array" ref="Y451">IFERROR(
  _xlfn.LET(
    _xlpm.ligpartie, MATCH($B450, Donnees!$F:$F, 0),
    _xlpm.joueurs, INDEX(Donnees!$A:$Z, _xlpm.ligpartie+1, _xlfn.SEQUENCE(1, 4, 2)),
    INDEX(
      Donnees!$A:$Z,
      _xlpm.ligpartie + 3,
      MATCH(Y$1, _xlpm.joueurs, 0) + 1
    )
  ), ""
)</f>
        <v/>
      </c>
      <c r="Z451" t="str" cm="1">
        <f t="array" ref="Z451">IFERROR(
  _xlfn.LET(
    _xlpm.ligpartie, MATCH($B450, Donnees!$F:$F, 0),
    _xlpm.joueurs, INDEX(Donnees!$A:$Z, _xlpm.ligpartie+1, _xlfn.SEQUENCE(1, 4, 2)),
    INDEX(
      Donnees!$A:$Z,
      _xlpm.ligpartie + 3,
      MATCH(Z$1, _xlpm.joueurs, 0) + 1
    )
  ), ""
)</f>
        <v/>
      </c>
      <c r="AA451" t="str" cm="1">
        <f t="array" ref="AA451">IFERROR(
  _xlfn.LET(
    _xlpm.ligpartie, MATCH($B450, Donnees!$F:$F, 0),
    _xlpm.joueurs, INDEX(Donnees!$A:$Z, _xlpm.ligpartie+1, _xlfn.SEQUENCE(1, 4, 2)),
    INDEX(
      Donnees!$A:$Z,
      _xlpm.ligpartie + 3,
      MATCH(AA$1, _xlpm.joueurs, 0) + 1
    )
  ), ""
)</f>
        <v/>
      </c>
      <c r="AB451" t="str" cm="1">
        <f t="array" ref="AB451">IFERROR(
  _xlfn.LET(
    _xlpm.ligpartie, MATCH($B450, Donnees!$F:$F, 0),
    _xlpm.joueurs, INDEX(Donnees!$A:$Z, _xlpm.ligpartie+1, _xlfn.SEQUENCE(1, 4, 2)),
    INDEX(
      Donnees!$A:$Z,
      _xlpm.ligpartie + 3,
      MATCH(AB$1, _xlpm.joueurs, 0) + 1
    )
  ), ""
)</f>
        <v/>
      </c>
      <c r="AC451" t="str" cm="1">
        <f t="array" ref="AC451">IFERROR(
  _xlfn.LET(
    _xlpm.ligpartie, MATCH($B450, Donnees!$F:$F, 0),
    _xlpm.joueurs, INDEX(Donnees!$A:$Z, _xlpm.ligpartie+1, _xlfn.SEQUENCE(1, 4, 2)),
    INDEX(
      Donnees!$A:$Z,
      _xlpm.ligpartie + 3,
      MATCH(AC$1, _xlpm.joueurs, 0) + 1
    )
  ), ""
)</f>
        <v/>
      </c>
      <c r="AD451" t="str" cm="1">
        <f t="array" ref="AD451">IFERROR(
  _xlfn.LET(
    _xlpm.ligpartie, MATCH($B450, Donnees!$F:$F, 0),
    _xlpm.joueurs, INDEX(Donnees!$A:$Z, _xlpm.ligpartie+1, _xlfn.SEQUENCE(1, 4, 2)),
    INDEX(
      Donnees!$A:$Z,
      _xlpm.ligpartie + 3,
      MATCH(AD$1, _xlpm.joueurs, 0) + 1
    )
  ), ""
)</f>
        <v/>
      </c>
      <c r="AE451" t="str" cm="1">
        <f t="array" ref="AE451">IFERROR(
  _xlfn.LET(
    _xlpm.ligpartie, MATCH($B450, Donnees!$F:$F, 0),
    _xlpm.joueurs, INDEX(Donnees!$A:$Z, _xlpm.ligpartie+1, _xlfn.SEQUENCE(1, 4, 2)),
    INDEX(
      Donnees!$A:$Z,
      _xlpm.ligpartie + 3,
      MATCH(AE$1, _xlpm.joueurs, 0) + 1
    )
  ), ""
)</f>
        <v/>
      </c>
      <c r="AF451" t="str" cm="1">
        <f t="array" ref="AF451">IFERROR(
  _xlfn.LET(
    _xlpm.ligpartie, MATCH($B450, Donnees!$F:$F, 0),
    _xlpm.joueurs, INDEX(Donnees!$A:$Z, _xlpm.ligpartie+1, _xlfn.SEQUENCE(1, 4, 2)),
    INDEX(
      Donnees!$A:$Z,
      _xlpm.ligpartie + 3,
      MATCH(AF$1, _xlpm.joueurs, 0) + 1
    )
  ), ""
)</f>
        <v/>
      </c>
      <c r="AG451" t="str" cm="1">
        <f t="array" ref="AG451">IFERROR(
  _xlfn.LET(
    _xlpm.ligpartie, MATCH($B450, Donnees!$F:$F, 0),
    _xlpm.joueurs, INDEX(Donnees!$A:$Z, _xlpm.ligpartie+1, _xlfn.SEQUENCE(1, 4, 2)),
    INDEX(
      Donnees!$A:$Z,
      _xlpm.ligpartie + 3,
      MATCH(AG$1, _xlpm.joueurs, 0) + 1
    )
  ), ""
)</f>
        <v/>
      </c>
      <c r="AH451" t="str" cm="1">
        <f t="array" ref="AH451">IFERROR(
  _xlfn.LET(
    _xlpm.ligpartie, MATCH($B450, Donnees!$F:$F, 0),
    _xlpm.joueurs, INDEX(Donnees!$A:$Z, _xlpm.ligpartie+1, _xlfn.SEQUENCE(1, 4, 2)),
    INDEX(
      Donnees!$A:$Z,
      _xlpm.ligpartie + 3,
      MATCH(AH$1, _xlpm.joueurs, 0) + 1
    )
  ), ""
)</f>
        <v/>
      </c>
      <c r="AI451" t="str" cm="1">
        <f t="array" ref="AI451">IFERROR(
  _xlfn.LET(
    _xlpm.ligpartie, MATCH($B450, Donnees!$F:$F, 0),
    _xlpm.joueurs, INDEX(Donnees!$A:$Z, _xlpm.ligpartie+1, _xlfn.SEQUENCE(1, 4, 2)),
    INDEX(
      Donnees!$A:$Z,
      _xlpm.ligpartie + 3,
      MATCH(AI$1, _xlpm.joueurs, 0) + 1
    )
  ), ""
)</f>
        <v/>
      </c>
      <c r="AJ451" t="str" cm="1">
        <f t="array" ref="AJ451">IFERROR(
  _xlfn.LET(
    _xlpm.ligpartie, MATCH($B450, Donnees!$F:$F, 0),
    _xlpm.joueurs, INDEX(Donnees!$A:$Z, _xlpm.ligpartie+1, _xlfn.SEQUENCE(1, 4, 2)),
    INDEX(
      Donnees!$A:$Z,
      _xlpm.ligpartie + 3,
      MATCH(AJ$1, _xlpm.joueurs, 0) + 1
    )
  ), ""
)</f>
        <v/>
      </c>
      <c r="AK451" t="str" cm="1">
        <f t="array" ref="AK451">IFERROR(
  _xlfn.LET(
    _xlpm.ligpartie, MATCH($B450, Donnees!$F:$F, 0),
    _xlpm.joueurs, INDEX(Donnees!$A:$Z, _xlpm.ligpartie+1, _xlfn.SEQUENCE(1, 4, 2)),
    INDEX(
      Donnees!$A:$Z,
      _xlpm.ligpartie + 3,
      MATCH(AK$1, _xlpm.joueurs, 0) + 1
    )
  ), ""
)</f>
        <v/>
      </c>
      <c r="AL451" t="str" cm="1">
        <f t="array" ref="AL451">IFERROR(
  _xlfn.LET(
    _xlpm.ligpartie, MATCH($B450, Donnees!$F:$F, 0),
    _xlpm.joueurs, INDEX(Donnees!$A:$Z, _xlpm.ligpartie+1, _xlfn.SEQUENCE(1, 4, 2)),
    INDEX(
      Donnees!$A:$Z,
      _xlpm.ligpartie + 3,
      MATCH(AL$1, _xlpm.joueurs, 0) + 1
    )
  ), ""
)</f>
        <v/>
      </c>
      <c r="AM451" t="str" cm="1">
        <f t="array" ref="AM451">IFERROR(
  _xlfn.LET(
    _xlpm.ligpartie, MATCH($B450, Donnees!$F:$F, 0),
    _xlpm.joueurs, INDEX(Donnees!$A:$Z, _xlpm.ligpartie+1, _xlfn.SEQUENCE(1, 4, 2)),
    INDEX(
      Donnees!$A:$Z,
      _xlpm.ligpartie + 3,
      MATCH(AM$1, _xlpm.joueurs, 0) + 1
    )
  ), ""
)</f>
        <v/>
      </c>
    </row>
    <row r="452" spans="1:39" x14ac:dyDescent="0.25">
      <c r="A452" t="s">
        <v>20</v>
      </c>
      <c r="D452" t="str" cm="1">
        <f t="array" ref="D452">_xlfn.LET(
  _xlpm.colj, _xlfn._xlws.FILTER(IF(ISNUMBER(451:451), COLUMN(451:451)), ISNUMBER(451:451)),
  _xlpm.elos, INDEX(450:450,1,_xlpm.colj),
  _xlpm.diffscale, Constantes!$B$2,
  IF(D451="",
    "",
    SUM(1/(1+POWER(10,-(D450-_xlpm.elos)/_xlpm.diffscale)))-0.5)
)</f>
        <v/>
      </c>
      <c r="E452" t="str" cm="1">
        <f t="array" ref="E452">_xlfn.LET(
  _xlpm.colj, _xlfn._xlws.FILTER(IF(ISNUMBER(451:451), COLUMN(451:451)), ISNUMBER(451:451)),
  _xlpm.elos, INDEX(450:450,1,_xlpm.colj),
  _xlpm.diffscale, Constantes!$B$2,
  IF(E451="",
    "",
    SUM(1/(1+POWER(10,-(E450-_xlpm.elos)/_xlpm.diffscale)))-0.5)
)</f>
        <v/>
      </c>
      <c r="F452" t="str" cm="1">
        <f t="array" ref="F452">_xlfn.LET(
  _xlpm.colj, _xlfn._xlws.FILTER(IF(ISNUMBER(451:451), COLUMN(451:451)), ISNUMBER(451:451)),
  _xlpm.elos, INDEX(450:450,1,_xlpm.colj),
  _xlpm.diffscale, Constantes!$B$2,
  IF(F451="",
    "",
    SUM(1/(1+POWER(10,-(F450-_xlpm.elos)/_xlpm.diffscale)))-0.5)
)</f>
        <v/>
      </c>
      <c r="G452" cm="1">
        <f t="array" ref="G452">_xlfn.LET(
  _xlpm.colj, _xlfn._xlws.FILTER(IF(ISNUMBER(451:451), COLUMN(451:451)), ISNUMBER(451:451)),
  _xlpm.elos, INDEX(450:450,1,_xlpm.colj),
  _xlpm.diffscale, Constantes!$B$2,
  IF(G451="",
    "",
    SUM(1/(1+POWER(10,-(G450-_xlpm.elos)/_xlpm.diffscale)))-0.5)
)</f>
        <v>1.1395538145041297</v>
      </c>
      <c r="H452" cm="1">
        <f t="array" ref="H452">_xlfn.LET(
  _xlpm.colj, _xlfn._xlws.FILTER(IF(ISNUMBER(451:451), COLUMN(451:451)), ISNUMBER(451:451)),
  _xlpm.elos, INDEX(450:450,1,_xlpm.colj),
  _xlpm.diffscale, Constantes!$B$2,
  IF(H451="",
    "",
    SUM(1/(1+POWER(10,-(H450-_xlpm.elos)/_xlpm.diffscale)))-0.5)
)</f>
        <v>1.5453516104702407</v>
      </c>
      <c r="I452" t="str" cm="1">
        <f t="array" ref="I452">_xlfn.LET(
  _xlpm.colj, _xlfn._xlws.FILTER(IF(ISNUMBER(451:451), COLUMN(451:451)), ISNUMBER(451:451)),
  _xlpm.elos, INDEX(450:450,1,_xlpm.colj),
  _xlpm.diffscale, Constantes!$B$2,
  IF(I451="",
    "",
    SUM(1/(1+POWER(10,-(I450-_xlpm.elos)/_xlpm.diffscale)))-0.5)
)</f>
        <v/>
      </c>
      <c r="J452" t="str" cm="1">
        <f t="array" ref="J452">_xlfn.LET(
  _xlpm.colj, _xlfn._xlws.FILTER(IF(ISNUMBER(451:451), COLUMN(451:451)), ISNUMBER(451:451)),
  _xlpm.elos, INDEX(450:450,1,_xlpm.colj),
  _xlpm.diffscale, Constantes!$B$2,
  IF(J451="",
    "",
    SUM(1/(1+POWER(10,-(J450-_xlpm.elos)/_xlpm.diffscale)))-0.5)
)</f>
        <v/>
      </c>
      <c r="K452" t="str" cm="1">
        <f t="array" ref="K452">_xlfn.LET(
  _xlpm.colj, _xlfn._xlws.FILTER(IF(ISNUMBER(451:451), COLUMN(451:451)), ISNUMBER(451:451)),
  _xlpm.elos, INDEX(450:450,1,_xlpm.colj),
  _xlpm.diffscale, Constantes!$B$2,
  IF(K451="",
    "",
    SUM(1/(1+POWER(10,-(K450-_xlpm.elos)/_xlpm.diffscale)))-0.5)
)</f>
        <v/>
      </c>
      <c r="L452" t="str" cm="1">
        <f t="array" ref="L452">_xlfn.LET(
  _xlpm.colj, _xlfn._xlws.FILTER(IF(ISNUMBER(451:451), COLUMN(451:451)), ISNUMBER(451:451)),
  _xlpm.elos, INDEX(450:450,1,_xlpm.colj),
  _xlpm.diffscale, Constantes!$B$2,
  IF(L451="",
    "",
    SUM(1/(1+POWER(10,-(L450-_xlpm.elos)/_xlpm.diffscale)))-0.5)
)</f>
        <v/>
      </c>
      <c r="M452" t="str" cm="1">
        <f t="array" ref="M452">_xlfn.LET(
  _xlpm.colj, _xlfn._xlws.FILTER(IF(ISNUMBER(451:451), COLUMN(451:451)), ISNUMBER(451:451)),
  _xlpm.elos, INDEX(450:450,1,_xlpm.colj),
  _xlpm.diffscale, Constantes!$B$2,
  IF(M451="",
    "",
    SUM(1/(1+POWER(10,-(M450-_xlpm.elos)/_xlpm.diffscale)))-0.5)
)</f>
        <v/>
      </c>
      <c r="N452" t="str" cm="1">
        <f t="array" ref="N452">_xlfn.LET(
  _xlpm.colj, _xlfn._xlws.FILTER(IF(ISNUMBER(451:451), COLUMN(451:451)), ISNUMBER(451:451)),
  _xlpm.elos, INDEX(450:450,1,_xlpm.colj),
  _xlpm.diffscale, Constantes!$B$2,
  IF(N451="",
    "",
    SUM(1/(1+POWER(10,-(N450-_xlpm.elos)/_xlpm.diffscale)))-0.5)
)</f>
        <v/>
      </c>
      <c r="O452" t="str" cm="1">
        <f t="array" ref="O452">_xlfn.LET(
  _xlpm.colj, _xlfn._xlws.FILTER(IF(ISNUMBER(451:451), COLUMN(451:451)), ISNUMBER(451:451)),
  _xlpm.elos, INDEX(450:450,1,_xlpm.colj),
  _xlpm.diffscale, Constantes!$B$2,
  IF(O451="",
    "",
    SUM(1/(1+POWER(10,-(O450-_xlpm.elos)/_xlpm.diffscale)))-0.5)
)</f>
        <v/>
      </c>
      <c r="P452" t="str" cm="1">
        <f t="array" ref="P452">_xlfn.LET(
  _xlpm.colj, _xlfn._xlws.FILTER(IF(ISNUMBER(451:451), COLUMN(451:451)), ISNUMBER(451:451)),
  _xlpm.elos, INDEX(450:450,1,_xlpm.colj),
  _xlpm.diffscale, Constantes!$B$2,
  IF(P451="",
    "",
    SUM(1/(1+POWER(10,-(P450-_xlpm.elos)/_xlpm.diffscale)))-0.5)
)</f>
        <v/>
      </c>
      <c r="Q452" cm="1">
        <f t="array" ref="Q452">_xlfn.LET(
  _xlpm.colj, _xlfn._xlws.FILTER(IF(ISNUMBER(451:451), COLUMN(451:451)), ISNUMBER(451:451)),
  _xlpm.elos, INDEX(450:450,1,_xlpm.colj),
  _xlpm.diffscale, Constantes!$B$2,
  IF(Q451="",
    "",
    SUM(1/(1+POWER(10,-(Q450-_xlpm.elos)/_xlpm.diffscale)))-0.5)
)</f>
        <v>1.3265460281121446</v>
      </c>
      <c r="R452" t="str" cm="1">
        <f t="array" ref="R452">_xlfn.LET(
  _xlpm.colj, _xlfn._xlws.FILTER(IF(ISNUMBER(451:451), COLUMN(451:451)), ISNUMBER(451:451)),
  _xlpm.elos, INDEX(450:450,1,_xlpm.colj),
  _xlpm.diffscale, Constantes!$B$2,
  IF(R451="",
    "",
    SUM(1/(1+POWER(10,-(R450-_xlpm.elos)/_xlpm.diffscale)))-0.5)
)</f>
        <v/>
      </c>
      <c r="S452" t="str" cm="1">
        <f t="array" ref="S452">_xlfn.LET(
  _xlpm.colj, _xlfn._xlws.FILTER(IF(ISNUMBER(451:451), COLUMN(451:451)), ISNUMBER(451:451)),
  _xlpm.elos, INDEX(450:450,1,_xlpm.colj),
  _xlpm.diffscale, Constantes!$B$2,
  IF(S451="",
    "",
    SUM(1/(1+POWER(10,-(S450-_xlpm.elos)/_xlpm.diffscale)))-0.5)
)</f>
        <v/>
      </c>
      <c r="T452" t="str" cm="1">
        <f t="array" ref="T452">_xlfn.LET(
  _xlpm.colj, _xlfn._xlws.FILTER(IF(ISNUMBER(451:451), COLUMN(451:451)), ISNUMBER(451:451)),
  _xlpm.elos, INDEX(450:450,1,_xlpm.colj),
  _xlpm.diffscale, Constantes!$B$2,
  IF(T451="",
    "",
    SUM(1/(1+POWER(10,-(T450-_xlpm.elos)/_xlpm.diffscale)))-0.5)
)</f>
        <v/>
      </c>
      <c r="U452" cm="1">
        <f t="array" ref="U452">_xlfn.LET(
  _xlpm.colj, _xlfn._xlws.FILTER(IF(ISNUMBER(451:451), COLUMN(451:451)), ISNUMBER(451:451)),
  _xlpm.elos, INDEX(450:450,1,_xlpm.colj),
  _xlpm.diffscale, Constantes!$B$2,
  IF(U451="",
    "",
    SUM(1/(1+POWER(10,-(U450-_xlpm.elos)/_xlpm.diffscale)))-0.5)
)</f>
        <v>1.9885485469134849</v>
      </c>
      <c r="V452" t="str" cm="1">
        <f t="array" ref="V452">_xlfn.LET(
  _xlpm.colj, _xlfn._xlws.FILTER(IF(ISNUMBER(451:451), COLUMN(451:451)), ISNUMBER(451:451)),
  _xlpm.elos, INDEX(450:450,1,_xlpm.colj),
  _xlpm.diffscale, Constantes!$B$2,
  IF(V451="",
    "",
    SUM(1/(1+POWER(10,-(V450-_xlpm.elos)/_xlpm.diffscale)))-0.5)
)</f>
        <v/>
      </c>
      <c r="W452" t="str" cm="1">
        <f t="array" ref="W452">_xlfn.LET(
  _xlpm.colj, _xlfn._xlws.FILTER(IF(ISNUMBER(451:451), COLUMN(451:451)), ISNUMBER(451:451)),
  _xlpm.elos, INDEX(450:450,1,_xlpm.colj),
  _xlpm.diffscale, Constantes!$B$2,
  IF(W451="",
    "",
    SUM(1/(1+POWER(10,-(W450-_xlpm.elos)/_xlpm.diffscale)))-0.5)
)</f>
        <v/>
      </c>
      <c r="X452" t="str" cm="1">
        <f t="array" ref="X452">_xlfn.LET(
  _xlpm.colj, _xlfn._xlws.FILTER(IF(ISNUMBER(451:451), COLUMN(451:451)), ISNUMBER(451:451)),
  _xlpm.elos, INDEX(450:450,1,_xlpm.colj),
  _xlpm.diffscale, Constantes!$B$2,
  IF(X451="",
    "",
    SUM(1/(1+POWER(10,-(X450-_xlpm.elos)/_xlpm.diffscale)))-0.5)
)</f>
        <v/>
      </c>
      <c r="Y452" t="str" cm="1">
        <f t="array" ref="Y452">_xlfn.LET(
  _xlpm.colj, _xlfn._xlws.FILTER(IF(ISNUMBER(451:451), COLUMN(451:451)), ISNUMBER(451:451)),
  _xlpm.elos, INDEX(450:450,1,_xlpm.colj),
  _xlpm.diffscale, Constantes!$B$2,
  IF(Y451="",
    "",
    SUM(1/(1+POWER(10,-(Y450-_xlpm.elos)/_xlpm.diffscale)))-0.5)
)</f>
        <v/>
      </c>
      <c r="Z452" t="str" cm="1">
        <f t="array" ref="Z452">_xlfn.LET(
  _xlpm.colj, _xlfn._xlws.FILTER(IF(ISNUMBER(451:451), COLUMN(451:451)), ISNUMBER(451:451)),
  _xlpm.elos, INDEX(450:450,1,_xlpm.colj),
  _xlpm.diffscale, Constantes!$B$2,
  IF(Z451="",
    "",
    SUM(1/(1+POWER(10,-(Z450-_xlpm.elos)/_xlpm.diffscale)))-0.5)
)</f>
        <v/>
      </c>
      <c r="AA452" t="str" cm="1">
        <f t="array" ref="AA452">_xlfn.LET(
  _xlpm.colj, _xlfn._xlws.FILTER(IF(ISNUMBER(451:451), COLUMN(451:451)), ISNUMBER(451:451)),
  _xlpm.elos, INDEX(450:450,1,_xlpm.colj),
  _xlpm.diffscale, Constantes!$B$2,
  IF(AA451="",
    "",
    SUM(1/(1+POWER(10,-(AA450-_xlpm.elos)/_xlpm.diffscale)))-0.5)
)</f>
        <v/>
      </c>
      <c r="AB452" t="str" cm="1">
        <f t="array" ref="AB452">_xlfn.LET(
  _xlpm.colj, _xlfn._xlws.FILTER(IF(ISNUMBER(451:451), COLUMN(451:451)), ISNUMBER(451:451)),
  _xlpm.elos, INDEX(450:450,1,_xlpm.colj),
  _xlpm.diffscale, Constantes!$B$2,
  IF(AB451="",
    "",
    SUM(1/(1+POWER(10,-(AB450-_xlpm.elos)/_xlpm.diffscale)))-0.5)
)</f>
        <v/>
      </c>
      <c r="AC452" t="str" cm="1">
        <f t="array" ref="AC452">_xlfn.LET(
  _xlpm.colj, _xlfn._xlws.FILTER(IF(ISNUMBER(451:451), COLUMN(451:451)), ISNUMBER(451:451)),
  _xlpm.elos, INDEX(450:450,1,_xlpm.colj),
  _xlpm.diffscale, Constantes!$B$2,
  IF(AC451="",
    "",
    SUM(1/(1+POWER(10,-(AC450-_xlpm.elos)/_xlpm.diffscale)))-0.5)
)</f>
        <v/>
      </c>
      <c r="AD452" t="str" cm="1">
        <f t="array" ref="AD452">_xlfn.LET(
  _xlpm.colj, _xlfn._xlws.FILTER(IF(ISNUMBER(451:451), COLUMN(451:451)), ISNUMBER(451:451)),
  _xlpm.elos, INDEX(450:450,1,_xlpm.colj),
  _xlpm.diffscale, Constantes!$B$2,
  IF(AD451="",
    "",
    SUM(1/(1+POWER(10,-(AD450-_xlpm.elos)/_xlpm.diffscale)))-0.5)
)</f>
        <v/>
      </c>
      <c r="AE452" t="str" cm="1">
        <f t="array" ref="AE452">_xlfn.LET(
  _xlpm.colj, _xlfn._xlws.FILTER(IF(ISNUMBER(451:451), COLUMN(451:451)), ISNUMBER(451:451)),
  _xlpm.elos, INDEX(450:450,1,_xlpm.colj),
  _xlpm.diffscale, Constantes!$B$2,
  IF(AE451="",
    "",
    SUM(1/(1+POWER(10,-(AE450-_xlpm.elos)/_xlpm.diffscale)))-0.5)
)</f>
        <v/>
      </c>
      <c r="AF452" t="str" cm="1">
        <f t="array" ref="AF452">_xlfn.LET(
  _xlpm.colj, _xlfn._xlws.FILTER(IF(ISNUMBER(451:451), COLUMN(451:451)), ISNUMBER(451:451)),
  _xlpm.elos, INDEX(450:450,1,_xlpm.colj),
  _xlpm.diffscale, Constantes!$B$2,
  IF(AF451="",
    "",
    SUM(1/(1+POWER(10,-(AF450-_xlpm.elos)/_xlpm.diffscale)))-0.5)
)</f>
        <v/>
      </c>
      <c r="AG452" t="str" cm="1">
        <f t="array" ref="AG452">_xlfn.LET(
  _xlpm.colj, _xlfn._xlws.FILTER(IF(ISNUMBER(451:451), COLUMN(451:451)), ISNUMBER(451:451)),
  _xlpm.elos, INDEX(450:450,1,_xlpm.colj),
  _xlpm.diffscale, Constantes!$B$2,
  IF(AG451="",
    "",
    SUM(1/(1+POWER(10,-(AG450-_xlpm.elos)/_xlpm.diffscale)))-0.5)
)</f>
        <v/>
      </c>
      <c r="AH452" t="str" cm="1">
        <f t="array" ref="AH452">_xlfn.LET(
  _xlpm.colj, _xlfn._xlws.FILTER(IF(ISNUMBER(451:451), COLUMN(451:451)), ISNUMBER(451:451)),
  _xlpm.elos, INDEX(450:450,1,_xlpm.colj),
  _xlpm.diffscale, Constantes!$B$2,
  IF(AH451="",
    "",
    SUM(1/(1+POWER(10,-(AH450-_xlpm.elos)/_xlpm.diffscale)))-0.5)
)</f>
        <v/>
      </c>
      <c r="AI452" t="str" cm="1">
        <f t="array" ref="AI452">_xlfn.LET(
  _xlpm.colj, _xlfn._xlws.FILTER(IF(ISNUMBER(451:451), COLUMN(451:451)), ISNUMBER(451:451)),
  _xlpm.elos, INDEX(450:450,1,_xlpm.colj),
  _xlpm.diffscale, Constantes!$B$2,
  IF(AI451="",
    "",
    SUM(1/(1+POWER(10,-(AI450-_xlpm.elos)/_xlpm.diffscale)))-0.5)
)</f>
        <v/>
      </c>
      <c r="AJ452" t="str" cm="1">
        <f t="array" ref="AJ452">_xlfn.LET(
  _xlpm.colj, _xlfn._xlws.FILTER(IF(ISNUMBER(451:451), COLUMN(451:451)), ISNUMBER(451:451)),
  _xlpm.elos, INDEX(450:450,1,_xlpm.colj),
  _xlpm.diffscale, Constantes!$B$2,
  IF(AJ451="",
    "",
    SUM(1/(1+POWER(10,-(AJ450-_xlpm.elos)/_xlpm.diffscale)))-0.5)
)</f>
        <v/>
      </c>
      <c r="AK452" t="str" cm="1">
        <f t="array" ref="AK452">_xlfn.LET(
  _xlpm.colj, _xlfn._xlws.FILTER(IF(ISNUMBER(451:451), COLUMN(451:451)), ISNUMBER(451:451)),
  _xlpm.elos, INDEX(450:450,1,_xlpm.colj),
  _xlpm.diffscale, Constantes!$B$2,
  IF(AK451="",
    "",
    SUM(1/(1+POWER(10,-(AK450-_xlpm.elos)/_xlpm.diffscale)))-0.5)
)</f>
        <v/>
      </c>
      <c r="AL452" t="str" cm="1">
        <f t="array" ref="AL452">_xlfn.LET(
  _xlpm.colj, _xlfn._xlws.FILTER(IF(ISNUMBER(451:451), COLUMN(451:451)), ISNUMBER(451:451)),
  _xlpm.elos, INDEX(450:450,1,_xlpm.colj),
  _xlpm.diffscale, Constantes!$B$2,
  IF(AL451="",
    "",
    SUM(1/(1+POWER(10,-(AL450-_xlpm.elos)/_xlpm.diffscale)))-0.5)
)</f>
        <v/>
      </c>
      <c r="AM452" t="str" cm="1">
        <f t="array" ref="AM452">_xlfn.LET(
  _xlpm.colj, _xlfn._xlws.FILTER(IF(ISNUMBER(451:451), COLUMN(451:451)), ISNUMBER(451:451)),
  _xlpm.elos, INDEX(450:450,1,_xlpm.colj),
  _xlpm.diffscale, Constantes!$B$2,
  IF(AM451="",
    "",
    SUM(1/(1+POWER(10,-(AM450-_xlpm.elos)/_xlpm.diffscale)))-0.5)
)</f>
        <v/>
      </c>
    </row>
    <row r="453" spans="1:39" x14ac:dyDescent="0.25">
      <c r="A453" t="s">
        <v>22</v>
      </c>
      <c r="D453" t="str" cm="1">
        <f t="array" ref="D453">_xlfn.LET(
  _xlpm.K, Constantes!$B$3,
  _xlpm.Knewgain, Constantes!$B$4,
  _xlpm.Knewscale, Constantes!$B$5,
  _xlpm.ptstables, INDEX(D:D, _xlfn.SEQUENCE(COUNTA($C$2:$C453), 1, 3, 4)),
  _xlpm.nbparties, COUNTA(_xlfn._xlws.FILTER(_xlpm.ptstables, _xlpm.ptstables &lt;&gt; "")),
  _xlpm.coef, _xlpm.K + _xlpm.Knewgain / (_xlpm.Knewscale + _xlpm.nbparties),
  IF(D451="",
    "",
    _xlpm.coef * (D451-D452))
)</f>
        <v/>
      </c>
      <c r="E453" t="str" cm="1">
        <f t="array" ref="E453">_xlfn.LET(
  _xlpm.K, Constantes!$B$3,
  _xlpm.Knewgain, Constantes!$B$4,
  _xlpm.Knewscale, Constantes!$B$5,
  _xlpm.ptstables, INDEX(E:E, _xlfn.SEQUENCE(COUNTA($C$2:$C453), 1, 3, 4)),
  _xlpm.nbparties, COUNTA(_xlfn._xlws.FILTER(_xlpm.ptstables, _xlpm.ptstables &lt;&gt; "")),
  _xlpm.coef, _xlpm.K + _xlpm.Knewgain / (_xlpm.Knewscale + _xlpm.nbparties),
  IF(E451="",
    "",
    _xlpm.coef * (E451-E452))
)</f>
        <v/>
      </c>
      <c r="F453" t="str" cm="1">
        <f t="array" ref="F453">_xlfn.LET(
  _xlpm.K, Constantes!$B$3,
  _xlpm.Knewgain, Constantes!$B$4,
  _xlpm.Knewscale, Constantes!$B$5,
  _xlpm.ptstables, INDEX(F:F, _xlfn.SEQUENCE(COUNTA($C$2:$C453), 1, 3, 4)),
  _xlpm.nbparties, COUNTA(_xlfn._xlws.FILTER(_xlpm.ptstables, _xlpm.ptstables &lt;&gt; "")),
  _xlpm.coef, _xlpm.K + _xlpm.Knewgain / (_xlpm.Knewscale + _xlpm.nbparties),
  IF(F451="",
    "",
    _xlpm.coef * (F451-F452))
)</f>
        <v/>
      </c>
      <c r="G453" cm="1">
        <f t="array" ref="G453">_xlfn.LET(
  _xlpm.K, Constantes!$B$3,
  _xlpm.Knewgain, Constantes!$B$4,
  _xlpm.Knewscale, Constantes!$B$5,
  _xlpm.ptstables, INDEX(G:G, _xlfn.SEQUENCE(COUNTA($C$2:$C453), 1, 3, 4)),
  _xlpm.nbparties, COUNTA(_xlfn._xlws.FILTER(_xlpm.ptstables, _xlpm.ptstables &lt;&gt; "")),
  _xlpm.coef, _xlpm.K + _xlpm.Knewgain / (_xlpm.Knewscale + _xlpm.nbparties),
  IF(G451="",
    "",
    _xlpm.coef * (G451-G452))
)</f>
        <v>-24.517672978725216</v>
      </c>
      <c r="H453" cm="1">
        <f t="array" ref="H453">_xlfn.LET(
  _xlpm.K, Constantes!$B$3,
  _xlpm.Knewgain, Constantes!$B$4,
  _xlpm.Knewscale, Constantes!$B$5,
  _xlpm.ptstables, INDEX(H:H, _xlfn.SEQUENCE(COUNTA($C$2:$C453), 1, 3, 4)),
  _xlpm.nbparties, COUNTA(_xlfn._xlws.FILTER(_xlpm.ptstables, _xlpm.ptstables &lt;&gt; "")),
  _xlpm.coef, _xlpm.K + _xlpm.Knewgain / (_xlpm.Knewscale + _xlpm.nbparties),
  IF(H451="",
    "",
    _xlpm.coef * (H451-H452))
)</f>
        <v>-12.611255992124317</v>
      </c>
      <c r="I453" t="str" cm="1">
        <f t="array" ref="I453">_xlfn.LET(
  _xlpm.K, Constantes!$B$3,
  _xlpm.Knewgain, Constantes!$B$4,
  _xlpm.Knewscale, Constantes!$B$5,
  _xlpm.ptstables, INDEX(I:I, _xlfn.SEQUENCE(COUNTA($C$2:$C453), 1, 3, 4)),
  _xlpm.nbparties, COUNTA(_xlfn._xlws.FILTER(_xlpm.ptstables, _xlpm.ptstables &lt;&gt; "")),
  _xlpm.coef, _xlpm.K + _xlpm.Knewgain / (_xlpm.Knewscale + _xlpm.nbparties),
  IF(I451="",
    "",
    _xlpm.coef * (I451-I452))
)</f>
        <v/>
      </c>
      <c r="J453" t="str" cm="1">
        <f t="array" ref="J453">_xlfn.LET(
  _xlpm.K, Constantes!$B$3,
  _xlpm.Knewgain, Constantes!$B$4,
  _xlpm.Knewscale, Constantes!$B$5,
  _xlpm.ptstables, INDEX(J:J, _xlfn.SEQUENCE(COUNTA($C$2:$C453), 1, 3, 4)),
  _xlpm.nbparties, COUNTA(_xlfn._xlws.FILTER(_xlpm.ptstables, _xlpm.ptstables &lt;&gt; "")),
  _xlpm.coef, _xlpm.K + _xlpm.Knewgain / (_xlpm.Knewscale + _xlpm.nbparties),
  IF(J451="",
    "",
    _xlpm.coef * (J451-J452))
)</f>
        <v/>
      </c>
      <c r="K453" t="str" cm="1">
        <f t="array" ref="K453">_xlfn.LET(
  _xlpm.K, Constantes!$B$3,
  _xlpm.Knewgain, Constantes!$B$4,
  _xlpm.Knewscale, Constantes!$B$5,
  _xlpm.ptstables, INDEX(K:K, _xlfn.SEQUENCE(COUNTA($C$2:$C453), 1, 3, 4)),
  _xlpm.nbparties, COUNTA(_xlfn._xlws.FILTER(_xlpm.ptstables, _xlpm.ptstables &lt;&gt; "")),
  _xlpm.coef, _xlpm.K + _xlpm.Knewgain / (_xlpm.Knewscale + _xlpm.nbparties),
  IF(K451="",
    "",
    _xlpm.coef * (K451-K452))
)</f>
        <v/>
      </c>
      <c r="L453" t="str" cm="1">
        <f t="array" ref="L453">_xlfn.LET(
  _xlpm.K, Constantes!$B$3,
  _xlpm.Knewgain, Constantes!$B$4,
  _xlpm.Knewscale, Constantes!$B$5,
  _xlpm.ptstables, INDEX(L:L, _xlfn.SEQUENCE(COUNTA($C$2:$C453), 1, 3, 4)),
  _xlpm.nbparties, COUNTA(_xlfn._xlws.FILTER(_xlpm.ptstables, _xlpm.ptstables &lt;&gt; "")),
  _xlpm.coef, _xlpm.K + _xlpm.Knewgain / (_xlpm.Knewscale + _xlpm.nbparties),
  IF(L451="",
    "",
    _xlpm.coef * (L451-L452))
)</f>
        <v/>
      </c>
      <c r="M453" t="str" cm="1">
        <f t="array" ref="M453">_xlfn.LET(
  _xlpm.K, Constantes!$B$3,
  _xlpm.Knewgain, Constantes!$B$4,
  _xlpm.Knewscale, Constantes!$B$5,
  _xlpm.ptstables, INDEX(M:M, _xlfn.SEQUENCE(COUNTA($C$2:$C453), 1, 3, 4)),
  _xlpm.nbparties, COUNTA(_xlfn._xlws.FILTER(_xlpm.ptstables, _xlpm.ptstables &lt;&gt; "")),
  _xlpm.coef, _xlpm.K + _xlpm.Knewgain / (_xlpm.Knewscale + _xlpm.nbparties),
  IF(M451="",
    "",
    _xlpm.coef * (M451-M452))
)</f>
        <v/>
      </c>
      <c r="N453" t="str" cm="1">
        <f t="array" ref="N453">_xlfn.LET(
  _xlpm.K, Constantes!$B$3,
  _xlpm.Knewgain, Constantes!$B$4,
  _xlpm.Knewscale, Constantes!$B$5,
  _xlpm.ptstables, INDEX(N:N, _xlfn.SEQUENCE(COUNTA($C$2:$C453), 1, 3, 4)),
  _xlpm.nbparties, COUNTA(_xlfn._xlws.FILTER(_xlpm.ptstables, _xlpm.ptstables &lt;&gt; "")),
  _xlpm.coef, _xlpm.K + _xlpm.Knewgain / (_xlpm.Knewscale + _xlpm.nbparties),
  IF(N451="",
    "",
    _xlpm.coef * (N451-N452))
)</f>
        <v/>
      </c>
      <c r="O453" t="str" cm="1">
        <f t="array" ref="O453">_xlfn.LET(
  _xlpm.K, Constantes!$B$3,
  _xlpm.Knewgain, Constantes!$B$4,
  _xlpm.Knewscale, Constantes!$B$5,
  _xlpm.ptstables, INDEX(O:O, _xlfn.SEQUENCE(COUNTA($C$2:$C453), 1, 3, 4)),
  _xlpm.nbparties, COUNTA(_xlfn._xlws.FILTER(_xlpm.ptstables, _xlpm.ptstables &lt;&gt; "")),
  _xlpm.coef, _xlpm.K + _xlpm.Knewgain / (_xlpm.Knewscale + _xlpm.nbparties),
  IF(O451="",
    "",
    _xlpm.coef * (O451-O452))
)</f>
        <v/>
      </c>
      <c r="P453" t="str" cm="1">
        <f t="array" ref="P453">_xlfn.LET(
  _xlpm.K, Constantes!$B$3,
  _xlpm.Knewgain, Constantes!$B$4,
  _xlpm.Knewscale, Constantes!$B$5,
  _xlpm.ptstables, INDEX(P:P, _xlfn.SEQUENCE(COUNTA($C$2:$C453), 1, 3, 4)),
  _xlpm.nbparties, COUNTA(_xlfn._xlws.FILTER(_xlpm.ptstables, _xlpm.ptstables &lt;&gt; "")),
  _xlpm.coef, _xlpm.K + _xlpm.Knewgain / (_xlpm.Knewscale + _xlpm.nbparties),
  IF(P451="",
    "",
    _xlpm.coef * (P451-P452))
)</f>
        <v/>
      </c>
      <c r="Q453" cm="1">
        <f t="array" ref="Q453">_xlfn.LET(
  _xlpm.K, Constantes!$B$3,
  _xlpm.Knewgain, Constantes!$B$4,
  _xlpm.Knewscale, Constantes!$B$5,
  _xlpm.ptstables, INDEX(Q:Q, _xlfn.SEQUENCE(COUNTA($C$2:$C453), 1, 3, 4)),
  _xlpm.nbparties, COUNTA(_xlfn._xlws.FILTER(_xlpm.ptstables, _xlpm.ptstables &lt;&gt; "")),
  _xlpm.coef, _xlpm.K + _xlpm.Knewgain / (_xlpm.Knewscale + _xlpm.nbparties),
  IF(Q451="",
    "",
    _xlpm.coef * (Q451-Q452))
)</f>
        <v>14.815987381532818</v>
      </c>
      <c r="R453" t="str" cm="1">
        <f t="array" ref="R453">_xlfn.LET(
  _xlpm.K, Constantes!$B$3,
  _xlpm.Knewgain, Constantes!$B$4,
  _xlpm.Knewscale, Constantes!$B$5,
  _xlpm.ptstables, INDEX(R:R, _xlfn.SEQUENCE(COUNTA($C$2:$C453), 1, 3, 4)),
  _xlpm.nbparties, COUNTA(_xlfn._xlws.FILTER(_xlpm.ptstables, _xlpm.ptstables &lt;&gt; "")),
  _xlpm.coef, _xlpm.K + _xlpm.Knewgain / (_xlpm.Knewscale + _xlpm.nbparties),
  IF(R451="",
    "",
    _xlpm.coef * (R451-R452))
)</f>
        <v/>
      </c>
      <c r="S453" t="str" cm="1">
        <f t="array" ref="S453">_xlfn.LET(
  _xlpm.K, Constantes!$B$3,
  _xlpm.Knewgain, Constantes!$B$4,
  _xlpm.Knewscale, Constantes!$B$5,
  _xlpm.ptstables, INDEX(S:S, _xlfn.SEQUENCE(COUNTA($C$2:$C453), 1, 3, 4)),
  _xlpm.nbparties, COUNTA(_xlfn._xlws.FILTER(_xlpm.ptstables, _xlpm.ptstables &lt;&gt; "")),
  _xlpm.coef, _xlpm.K + _xlpm.Knewgain / (_xlpm.Knewscale + _xlpm.nbparties),
  IF(S451="",
    "",
    _xlpm.coef * (S451-S452))
)</f>
        <v/>
      </c>
      <c r="T453" t="str" cm="1">
        <f t="array" ref="T453">_xlfn.LET(
  _xlpm.K, Constantes!$B$3,
  _xlpm.Knewgain, Constantes!$B$4,
  _xlpm.Knewscale, Constantes!$B$5,
  _xlpm.ptstables, INDEX(T:T, _xlfn.SEQUENCE(COUNTA($C$2:$C453), 1, 3, 4)),
  _xlpm.nbparties, COUNTA(_xlfn._xlws.FILTER(_xlpm.ptstables, _xlpm.ptstables &lt;&gt; "")),
  _xlpm.coef, _xlpm.K + _xlpm.Knewgain / (_xlpm.Knewscale + _xlpm.nbparties),
  IF(T451="",
    "",
    _xlpm.coef * (T451-T452))
)</f>
        <v/>
      </c>
      <c r="U453" cm="1">
        <f t="array" ref="U453">_xlfn.LET(
  _xlpm.K, Constantes!$B$3,
  _xlpm.Knewgain, Constantes!$B$4,
  _xlpm.Knewscale, Constantes!$B$5,
  _xlpm.ptstables, INDEX(U:U, _xlfn.SEQUENCE(COUNTA($C$2:$C453), 1, 3, 4)),
  _xlpm.nbparties, COUNTA(_xlfn._xlws.FILTER(_xlpm.ptstables, _xlpm.ptstables &lt;&gt; "")),
  _xlpm.coef, _xlpm.K + _xlpm.Knewgain / (_xlpm.Knewscale + _xlpm.nbparties),
  IF(U451="",
    "",
    _xlpm.coef * (U451-U452))
)</f>
        <v>21.595855349685053</v>
      </c>
      <c r="V453" t="str" cm="1">
        <f t="array" ref="V453">_xlfn.LET(
  _xlpm.K, Constantes!$B$3,
  _xlpm.Knewgain, Constantes!$B$4,
  _xlpm.Knewscale, Constantes!$B$5,
  _xlpm.ptstables, INDEX(V:V, _xlfn.SEQUENCE(COUNTA($C$2:$C453), 1, 3, 4)),
  _xlpm.nbparties, COUNTA(_xlfn._xlws.FILTER(_xlpm.ptstables, _xlpm.ptstables &lt;&gt; "")),
  _xlpm.coef, _xlpm.K + _xlpm.Knewgain / (_xlpm.Knewscale + _xlpm.nbparties),
  IF(V451="",
    "",
    _xlpm.coef * (V451-V452))
)</f>
        <v/>
      </c>
      <c r="W453" t="str" cm="1">
        <f t="array" ref="W453">_xlfn.LET(
  _xlpm.K, Constantes!$B$3,
  _xlpm.Knewgain, Constantes!$B$4,
  _xlpm.Knewscale, Constantes!$B$5,
  _xlpm.ptstables, INDEX(W:W, _xlfn.SEQUENCE(COUNTA($C$2:$C453), 1, 3, 4)),
  _xlpm.nbparties, COUNTA(_xlfn._xlws.FILTER(_xlpm.ptstables, _xlpm.ptstables &lt;&gt; "")),
  _xlpm.coef, _xlpm.K + _xlpm.Knewgain / (_xlpm.Knewscale + _xlpm.nbparties),
  IF(W451="",
    "",
    _xlpm.coef * (W451-W452))
)</f>
        <v/>
      </c>
      <c r="X453" t="str" cm="1">
        <f t="array" ref="X453">_xlfn.LET(
  _xlpm.K, Constantes!$B$3,
  _xlpm.Knewgain, Constantes!$B$4,
  _xlpm.Knewscale, Constantes!$B$5,
  _xlpm.ptstables, INDEX(X:X, _xlfn.SEQUENCE(COUNTA($C$2:$C453), 1, 3, 4)),
  _xlpm.nbparties, COUNTA(_xlfn._xlws.FILTER(_xlpm.ptstables, _xlpm.ptstables &lt;&gt; "")),
  _xlpm.coef, _xlpm.K + _xlpm.Knewgain / (_xlpm.Knewscale + _xlpm.nbparties),
  IF(X451="",
    "",
    _xlpm.coef * (X451-X452))
)</f>
        <v/>
      </c>
      <c r="Y453" t="str" cm="1">
        <f t="array" ref="Y453">_xlfn.LET(
  _xlpm.K, Constantes!$B$3,
  _xlpm.Knewgain, Constantes!$B$4,
  _xlpm.Knewscale, Constantes!$B$5,
  _xlpm.ptstables, INDEX(Y:Y, _xlfn.SEQUENCE(COUNTA($C$2:$C453), 1, 3, 4)),
  _xlpm.nbparties, COUNTA(_xlfn._xlws.FILTER(_xlpm.ptstables, _xlpm.ptstables &lt;&gt; "")),
  _xlpm.coef, _xlpm.K + _xlpm.Knewgain / (_xlpm.Knewscale + _xlpm.nbparties),
  IF(Y451="",
    "",
    _xlpm.coef * (Y451-Y452))
)</f>
        <v/>
      </c>
      <c r="Z453" t="str" cm="1">
        <f t="array" ref="Z453">_xlfn.LET(
  _xlpm.K, Constantes!$B$3,
  _xlpm.Knewgain, Constantes!$B$4,
  _xlpm.Knewscale, Constantes!$B$5,
  _xlpm.ptstables, INDEX(Z:Z, _xlfn.SEQUENCE(COUNTA($C$2:$C453), 1, 3, 4)),
  _xlpm.nbparties, COUNTA(_xlfn._xlws.FILTER(_xlpm.ptstables, _xlpm.ptstables &lt;&gt; "")),
  _xlpm.coef, _xlpm.K + _xlpm.Knewgain / (_xlpm.Knewscale + _xlpm.nbparties),
  IF(Z451="",
    "",
    _xlpm.coef * (Z451-Z452))
)</f>
        <v/>
      </c>
      <c r="AA453" t="str" cm="1">
        <f t="array" ref="AA453">_xlfn.LET(
  _xlpm.K, Constantes!$B$3,
  _xlpm.Knewgain, Constantes!$B$4,
  _xlpm.Knewscale, Constantes!$B$5,
  _xlpm.ptstables, INDEX(AA:AA, _xlfn.SEQUENCE(COUNTA($C$2:$C453), 1, 3, 4)),
  _xlpm.nbparties, COUNTA(_xlfn._xlws.FILTER(_xlpm.ptstables, _xlpm.ptstables &lt;&gt; "")),
  _xlpm.coef, _xlpm.K + _xlpm.Knewgain / (_xlpm.Knewscale + _xlpm.nbparties),
  IF(AA451="",
    "",
    _xlpm.coef * (AA451-AA452))
)</f>
        <v/>
      </c>
      <c r="AB453" t="str" cm="1">
        <f t="array" ref="AB453">_xlfn.LET(
  _xlpm.K, Constantes!$B$3,
  _xlpm.Knewgain, Constantes!$B$4,
  _xlpm.Knewscale, Constantes!$B$5,
  _xlpm.ptstables, INDEX(AB:AB, _xlfn.SEQUENCE(COUNTA($C$2:$C453), 1, 3, 4)),
  _xlpm.nbparties, COUNTA(_xlfn._xlws.FILTER(_xlpm.ptstables, _xlpm.ptstables &lt;&gt; "")),
  _xlpm.coef, _xlpm.K + _xlpm.Knewgain / (_xlpm.Knewscale + _xlpm.nbparties),
  IF(AB451="",
    "",
    _xlpm.coef * (AB451-AB452))
)</f>
        <v/>
      </c>
      <c r="AC453" t="str" cm="1">
        <f t="array" ref="AC453">_xlfn.LET(
  _xlpm.K, Constantes!$B$3,
  _xlpm.Knewgain, Constantes!$B$4,
  _xlpm.Knewscale, Constantes!$B$5,
  _xlpm.ptstables, INDEX(AC:AC, _xlfn.SEQUENCE(COUNTA($C$2:$C453), 1, 3, 4)),
  _xlpm.nbparties, COUNTA(_xlfn._xlws.FILTER(_xlpm.ptstables, _xlpm.ptstables &lt;&gt; "")),
  _xlpm.coef, _xlpm.K + _xlpm.Knewgain / (_xlpm.Knewscale + _xlpm.nbparties),
  IF(AC451="",
    "",
    _xlpm.coef * (AC451-AC452))
)</f>
        <v/>
      </c>
      <c r="AD453" t="str" cm="1">
        <f t="array" ref="AD453">_xlfn.LET(
  _xlpm.K, Constantes!$B$3,
  _xlpm.Knewgain, Constantes!$B$4,
  _xlpm.Knewscale, Constantes!$B$5,
  _xlpm.ptstables, INDEX(AD:AD, _xlfn.SEQUENCE(COUNTA($C$2:$C453), 1, 3, 4)),
  _xlpm.nbparties, COUNTA(_xlfn._xlws.FILTER(_xlpm.ptstables, _xlpm.ptstables &lt;&gt; "")),
  _xlpm.coef, _xlpm.K + _xlpm.Knewgain / (_xlpm.Knewscale + _xlpm.nbparties),
  IF(AD451="",
    "",
    _xlpm.coef * (AD451-AD452))
)</f>
        <v/>
      </c>
      <c r="AE453" t="str" cm="1">
        <f t="array" ref="AE453">_xlfn.LET(
  _xlpm.K, Constantes!$B$3,
  _xlpm.Knewgain, Constantes!$B$4,
  _xlpm.Knewscale, Constantes!$B$5,
  _xlpm.ptstables, INDEX(AE:AE, _xlfn.SEQUENCE(COUNTA($C$2:$C453), 1, 3, 4)),
  _xlpm.nbparties, COUNTA(_xlfn._xlws.FILTER(_xlpm.ptstables, _xlpm.ptstables &lt;&gt; "")),
  _xlpm.coef, _xlpm.K + _xlpm.Knewgain / (_xlpm.Knewscale + _xlpm.nbparties),
  IF(AE451="",
    "",
    _xlpm.coef * (AE451-AE452))
)</f>
        <v/>
      </c>
      <c r="AF453" t="str" cm="1">
        <f t="array" ref="AF453">_xlfn.LET(
  _xlpm.K, Constantes!$B$3,
  _xlpm.Knewgain, Constantes!$B$4,
  _xlpm.Knewscale, Constantes!$B$5,
  _xlpm.ptstables, INDEX(AF:AF, _xlfn.SEQUENCE(COUNTA($C$2:$C453), 1, 3, 4)),
  _xlpm.nbparties, COUNTA(_xlfn._xlws.FILTER(_xlpm.ptstables, _xlpm.ptstables &lt;&gt; "")),
  _xlpm.coef, _xlpm.K + _xlpm.Knewgain / (_xlpm.Knewscale + _xlpm.nbparties),
  IF(AF451="",
    "",
    _xlpm.coef * (AF451-AF452))
)</f>
        <v/>
      </c>
      <c r="AG453" t="str" cm="1">
        <f t="array" ref="AG453">_xlfn.LET(
  _xlpm.K, Constantes!$B$3,
  _xlpm.Knewgain, Constantes!$B$4,
  _xlpm.Knewscale, Constantes!$B$5,
  _xlpm.ptstables, INDEX(AG:AG, _xlfn.SEQUENCE(COUNTA($C$2:$C453), 1, 3, 4)),
  _xlpm.nbparties, COUNTA(_xlfn._xlws.FILTER(_xlpm.ptstables, _xlpm.ptstables &lt;&gt; "")),
  _xlpm.coef, _xlpm.K + _xlpm.Knewgain / (_xlpm.Knewscale + _xlpm.nbparties),
  IF(AG451="",
    "",
    _xlpm.coef * (AG451-AG452))
)</f>
        <v/>
      </c>
      <c r="AH453" t="str" cm="1">
        <f t="array" ref="AH453">_xlfn.LET(
  _xlpm.K, Constantes!$B$3,
  _xlpm.Knewgain, Constantes!$B$4,
  _xlpm.Knewscale, Constantes!$B$5,
  _xlpm.ptstables, INDEX(AH:AH, _xlfn.SEQUENCE(COUNTA($C$2:$C453), 1, 3, 4)),
  _xlpm.nbparties, COUNTA(_xlfn._xlws.FILTER(_xlpm.ptstables, _xlpm.ptstables &lt;&gt; "")),
  _xlpm.coef, _xlpm.K + _xlpm.Knewgain / (_xlpm.Knewscale + _xlpm.nbparties),
  IF(AH451="",
    "",
    _xlpm.coef * (AH451-AH452))
)</f>
        <v/>
      </c>
      <c r="AI453" t="str" cm="1">
        <f t="array" ref="AI453">_xlfn.LET(
  _xlpm.K, Constantes!$B$3,
  _xlpm.Knewgain, Constantes!$B$4,
  _xlpm.Knewscale, Constantes!$B$5,
  _xlpm.ptstables, INDEX(AI:AI, _xlfn.SEQUENCE(COUNTA($C$2:$C453), 1, 3, 4)),
  _xlpm.nbparties, COUNTA(_xlfn._xlws.FILTER(_xlpm.ptstables, _xlpm.ptstables &lt;&gt; "")),
  _xlpm.coef, _xlpm.K + _xlpm.Knewgain / (_xlpm.Knewscale + _xlpm.nbparties),
  IF(AI451="",
    "",
    _xlpm.coef * (AI451-AI452))
)</f>
        <v/>
      </c>
      <c r="AJ453" t="str" cm="1">
        <f t="array" ref="AJ453">_xlfn.LET(
  _xlpm.K, Constantes!$B$3,
  _xlpm.Knewgain, Constantes!$B$4,
  _xlpm.Knewscale, Constantes!$B$5,
  _xlpm.ptstables, INDEX(AJ:AJ, _xlfn.SEQUENCE(COUNTA($C$2:$C453), 1, 3, 4)),
  _xlpm.nbparties, COUNTA(_xlfn._xlws.FILTER(_xlpm.ptstables, _xlpm.ptstables &lt;&gt; "")),
  _xlpm.coef, _xlpm.K + _xlpm.Knewgain / (_xlpm.Knewscale + _xlpm.nbparties),
  IF(AJ451="",
    "",
    _xlpm.coef * (AJ451-AJ452))
)</f>
        <v/>
      </c>
      <c r="AK453" t="str" cm="1">
        <f t="array" ref="AK453">_xlfn.LET(
  _xlpm.K, Constantes!$B$3,
  _xlpm.Knewgain, Constantes!$B$4,
  _xlpm.Knewscale, Constantes!$B$5,
  _xlpm.ptstables, INDEX(AK:AK, _xlfn.SEQUENCE(COUNTA($C$2:$C453), 1, 3, 4)),
  _xlpm.nbparties, COUNTA(_xlfn._xlws.FILTER(_xlpm.ptstables, _xlpm.ptstables &lt;&gt; "")),
  _xlpm.coef, _xlpm.K + _xlpm.Knewgain / (_xlpm.Knewscale + _xlpm.nbparties),
  IF(AK451="",
    "",
    _xlpm.coef * (AK451-AK452))
)</f>
        <v/>
      </c>
      <c r="AL453" t="str" cm="1">
        <f t="array" ref="AL453">_xlfn.LET(
  _xlpm.K, Constantes!$B$3,
  _xlpm.Knewgain, Constantes!$B$4,
  _xlpm.Knewscale, Constantes!$B$5,
  _xlpm.ptstables, INDEX(AL:AL, _xlfn.SEQUENCE(COUNTA($C$2:$C453), 1, 3, 4)),
  _xlpm.nbparties, COUNTA(_xlfn._xlws.FILTER(_xlpm.ptstables, _xlpm.ptstables &lt;&gt; "")),
  _xlpm.coef, _xlpm.K + _xlpm.Knewgain / (_xlpm.Knewscale + _xlpm.nbparties),
  IF(AL451="",
    "",
    _xlpm.coef * (AL451-AL452))
)</f>
        <v/>
      </c>
      <c r="AM453" t="str" cm="1">
        <f t="array" ref="AM453">_xlfn.LET(
  _xlpm.K, Constantes!$B$3,
  _xlpm.Knewgain, Constantes!$B$4,
  _xlpm.Knewscale, Constantes!$B$5,
  _xlpm.ptstables, INDEX(AM:AM, _xlfn.SEQUENCE(COUNTA($C$2:$C453), 1, 3, 4)),
  _xlpm.nbparties, COUNTA(_xlfn._xlws.FILTER(_xlpm.ptstables, _xlpm.ptstables &lt;&gt; "")),
  _xlpm.coef, _xlpm.K + _xlpm.Knewgain / (_xlpm.Knewscale + _xlpm.nbparties),
  IF(AM451="",
    "",
    _xlpm.coef * (AM451-AM452))
)</f>
        <v/>
      </c>
    </row>
    <row r="454" spans="1:39" x14ac:dyDescent="0.25">
      <c r="A454" t="s">
        <v>14</v>
      </c>
      <c r="B454" t="str" cm="1">
        <f t="array" ref="B45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115</v>
      </c>
      <c r="C454" s="2" cm="1">
        <f t="array" ref="C454">IF(B454="","",
  INDEX(Donnees!F:F, MATCH(B454, Donnees!F:F, 0)+1))</f>
        <v>45969.594907407409</v>
      </c>
      <c r="D454">
        <f t="shared" ref="D454:AM454" si="121">D450+IF(D453="",0,D453)</f>
        <v>1000.7115540402061</v>
      </c>
      <c r="E454">
        <f t="shared" si="121"/>
        <v>1196.4195973781996</v>
      </c>
      <c r="F454">
        <f t="shared" si="121"/>
        <v>911.8835833951041</v>
      </c>
      <c r="G454">
        <f t="shared" si="121"/>
        <v>1009.6650561189861</v>
      </c>
      <c r="H454">
        <f t="shared" si="121"/>
        <v>1094.641003167957</v>
      </c>
      <c r="I454">
        <f t="shared" si="121"/>
        <v>907.83370609419069</v>
      </c>
      <c r="J454">
        <f t="shared" si="121"/>
        <v>1000.251341704819</v>
      </c>
      <c r="K454">
        <f t="shared" si="121"/>
        <v>1076.8546837336262</v>
      </c>
      <c r="L454">
        <f t="shared" si="121"/>
        <v>762.99078552663389</v>
      </c>
      <c r="M454">
        <f t="shared" si="121"/>
        <v>927.4581540493366</v>
      </c>
      <c r="N454">
        <f t="shared" si="121"/>
        <v>899.98370646249032</v>
      </c>
      <c r="O454">
        <f t="shared" si="121"/>
        <v>997.04050320786712</v>
      </c>
      <c r="P454">
        <f t="shared" si="121"/>
        <v>1000.038589629396</v>
      </c>
      <c r="Q454">
        <f t="shared" si="121"/>
        <v>1082.9571363061975</v>
      </c>
      <c r="R454">
        <f t="shared" si="121"/>
        <v>1056.3886451718679</v>
      </c>
      <c r="S454">
        <f t="shared" si="121"/>
        <v>1002.6649899548004</v>
      </c>
      <c r="T454">
        <f t="shared" si="121"/>
        <v>1125.604709757928</v>
      </c>
      <c r="U454">
        <f t="shared" si="121"/>
        <v>1209.7219721542608</v>
      </c>
      <c r="V454">
        <f t="shared" si="121"/>
        <v>969.67171739286073</v>
      </c>
      <c r="W454">
        <f t="shared" si="121"/>
        <v>873.42626723356045</v>
      </c>
      <c r="X454">
        <f t="shared" si="121"/>
        <v>832.40508999649853</v>
      </c>
      <c r="Y454">
        <f t="shared" si="121"/>
        <v>944.44867950361879</v>
      </c>
      <c r="Z454">
        <f t="shared" si="121"/>
        <v>1008.6876849635962</v>
      </c>
      <c r="AA454">
        <f t="shared" si="121"/>
        <v>942.27730100696294</v>
      </c>
      <c r="AB454">
        <f t="shared" si="121"/>
        <v>988.35669729544747</v>
      </c>
      <c r="AC454">
        <f t="shared" si="121"/>
        <v>923.36850203928373</v>
      </c>
      <c r="AD454">
        <f t="shared" si="121"/>
        <v>1054.5168154629837</v>
      </c>
      <c r="AE454">
        <f t="shared" si="121"/>
        <v>963.23981965000235</v>
      </c>
      <c r="AF454">
        <f t="shared" si="121"/>
        <v>1094.8196847516158</v>
      </c>
      <c r="AG454">
        <f t="shared" si="121"/>
        <v>958.23078604304851</v>
      </c>
      <c r="AH454">
        <f t="shared" si="121"/>
        <v>920.4412636682855</v>
      </c>
      <c r="AI454">
        <f t="shared" si="121"/>
        <v>1036.4167877702052</v>
      </c>
      <c r="AJ454">
        <f t="shared" si="121"/>
        <v>906.86354201913434</v>
      </c>
      <c r="AK454">
        <f t="shared" si="121"/>
        <v>1074.0069367206956</v>
      </c>
      <c r="AL454">
        <f t="shared" si="121"/>
        <v>1025.7817971572972</v>
      </c>
      <c r="AM454">
        <f t="shared" si="121"/>
        <v>930.08392160706046</v>
      </c>
    </row>
    <row r="455" spans="1:39" x14ac:dyDescent="0.25">
      <c r="A455" t="s">
        <v>21</v>
      </c>
      <c r="D455" cm="1">
        <f t="array" ref="D455">IFERROR(
  _xlfn.LET(
    _xlpm.ligpartie, MATCH($B454, Donnees!$F:$F, 0),
    _xlpm.joueurs, INDEX(Donnees!$A:$Z, _xlpm.ligpartie+1, _xlfn.SEQUENCE(1, 4, 2)),
    INDEX(
      Donnees!$A:$Z,
      _xlpm.ligpartie + 3,
      MATCH(D$1, _xlpm.joueurs, 0) + 1
    )
  ), ""
)</f>
        <v>0</v>
      </c>
      <c r="E455" t="str" cm="1">
        <f t="array" ref="E455">IFERROR(
  _xlfn.LET(
    _xlpm.ligpartie, MATCH($B454, Donnees!$F:$F, 0),
    _xlpm.joueurs, INDEX(Donnees!$A:$Z, _xlpm.ligpartie+1, _xlfn.SEQUENCE(1, 4, 2)),
    INDEX(
      Donnees!$A:$Z,
      _xlpm.ligpartie + 3,
      MATCH(E$1, _xlpm.joueurs, 0) + 1
    )
  ), ""
)</f>
        <v/>
      </c>
      <c r="F455" t="str" cm="1">
        <f t="array" ref="F455">IFERROR(
  _xlfn.LET(
    _xlpm.ligpartie, MATCH($B454, Donnees!$F:$F, 0),
    _xlpm.joueurs, INDEX(Donnees!$A:$Z, _xlpm.ligpartie+1, _xlfn.SEQUENCE(1, 4, 2)),
    INDEX(
      Donnees!$A:$Z,
      _xlpm.ligpartie + 3,
      MATCH(F$1, _xlpm.joueurs, 0) + 1
    )
  ), ""
)</f>
        <v/>
      </c>
      <c r="G455" t="str" cm="1">
        <f t="array" ref="G455">IFERROR(
  _xlfn.LET(
    _xlpm.ligpartie, MATCH($B454, Donnees!$F:$F, 0),
    _xlpm.joueurs, INDEX(Donnees!$A:$Z, _xlpm.ligpartie+1, _xlfn.SEQUENCE(1, 4, 2)),
    INDEX(
      Donnees!$A:$Z,
      _xlpm.ligpartie + 3,
      MATCH(G$1, _xlpm.joueurs, 0) + 1
    )
  ), ""
)</f>
        <v/>
      </c>
      <c r="H455" t="str" cm="1">
        <f t="array" ref="H455">IFERROR(
  _xlfn.LET(
    _xlpm.ligpartie, MATCH($B454, Donnees!$F:$F, 0),
    _xlpm.joueurs, INDEX(Donnees!$A:$Z, _xlpm.ligpartie+1, _xlfn.SEQUENCE(1, 4, 2)),
    INDEX(
      Donnees!$A:$Z,
      _xlpm.ligpartie + 3,
      MATCH(H$1, _xlpm.joueurs, 0) + 1
    )
  ), ""
)</f>
        <v/>
      </c>
      <c r="I455" t="str" cm="1">
        <f t="array" ref="I455">IFERROR(
  _xlfn.LET(
    _xlpm.ligpartie, MATCH($B454, Donnees!$F:$F, 0),
    _xlpm.joueurs, INDEX(Donnees!$A:$Z, _xlpm.ligpartie+1, _xlfn.SEQUENCE(1, 4, 2)),
    INDEX(
      Donnees!$A:$Z,
      _xlpm.ligpartie + 3,
      MATCH(I$1, _xlpm.joueurs, 0) + 1
    )
  ), ""
)</f>
        <v/>
      </c>
      <c r="J455" t="str" cm="1">
        <f t="array" ref="J455">IFERROR(
  _xlfn.LET(
    _xlpm.ligpartie, MATCH($B454, Donnees!$F:$F, 0),
    _xlpm.joueurs, INDEX(Donnees!$A:$Z, _xlpm.ligpartie+1, _xlfn.SEQUENCE(1, 4, 2)),
    INDEX(
      Donnees!$A:$Z,
      _xlpm.ligpartie + 3,
      MATCH(J$1, _xlpm.joueurs, 0) + 1
    )
  ), ""
)</f>
        <v/>
      </c>
      <c r="K455" t="str" cm="1">
        <f t="array" ref="K455">IFERROR(
  _xlfn.LET(
    _xlpm.ligpartie, MATCH($B454, Donnees!$F:$F, 0),
    _xlpm.joueurs, INDEX(Donnees!$A:$Z, _xlpm.ligpartie+1, _xlfn.SEQUENCE(1, 4, 2)),
    INDEX(
      Donnees!$A:$Z,
      _xlpm.ligpartie + 3,
      MATCH(K$1, _xlpm.joueurs, 0) + 1
    )
  ), ""
)</f>
        <v/>
      </c>
      <c r="L455" t="str" cm="1">
        <f t="array" ref="L455">IFERROR(
  _xlfn.LET(
    _xlpm.ligpartie, MATCH($B454, Donnees!$F:$F, 0),
    _xlpm.joueurs, INDEX(Donnees!$A:$Z, _xlpm.ligpartie+1, _xlfn.SEQUENCE(1, 4, 2)),
    INDEX(
      Donnees!$A:$Z,
      _xlpm.ligpartie + 3,
      MATCH(L$1, _xlpm.joueurs, 0) + 1
    )
  ), ""
)</f>
        <v/>
      </c>
      <c r="M455" t="str" cm="1">
        <f t="array" ref="M455">IFERROR(
  _xlfn.LET(
    _xlpm.ligpartie, MATCH($B454, Donnees!$F:$F, 0),
    _xlpm.joueurs, INDEX(Donnees!$A:$Z, _xlpm.ligpartie+1, _xlfn.SEQUENCE(1, 4, 2)),
    INDEX(
      Donnees!$A:$Z,
      _xlpm.ligpartie + 3,
      MATCH(M$1, _xlpm.joueurs, 0) + 1
    )
  ), ""
)</f>
        <v/>
      </c>
      <c r="N455" t="str" cm="1">
        <f t="array" ref="N455">IFERROR(
  _xlfn.LET(
    _xlpm.ligpartie, MATCH($B454, Donnees!$F:$F, 0),
    _xlpm.joueurs, INDEX(Donnees!$A:$Z, _xlpm.ligpartie+1, _xlfn.SEQUENCE(1, 4, 2)),
    INDEX(
      Donnees!$A:$Z,
      _xlpm.ligpartie + 3,
      MATCH(N$1, _xlpm.joueurs, 0) + 1
    )
  ), ""
)</f>
        <v/>
      </c>
      <c r="O455" t="str" cm="1">
        <f t="array" ref="O455">IFERROR(
  _xlfn.LET(
    _xlpm.ligpartie, MATCH($B454, Donnees!$F:$F, 0),
    _xlpm.joueurs, INDEX(Donnees!$A:$Z, _xlpm.ligpartie+1, _xlfn.SEQUENCE(1, 4, 2)),
    INDEX(
      Donnees!$A:$Z,
      _xlpm.ligpartie + 3,
      MATCH(O$1, _xlpm.joueurs, 0) + 1
    )
  ), ""
)</f>
        <v/>
      </c>
      <c r="P455" t="str" cm="1">
        <f t="array" ref="P455">IFERROR(
  _xlfn.LET(
    _xlpm.ligpartie, MATCH($B454, Donnees!$F:$F, 0),
    _xlpm.joueurs, INDEX(Donnees!$A:$Z, _xlpm.ligpartie+1, _xlfn.SEQUENCE(1, 4, 2)),
    INDEX(
      Donnees!$A:$Z,
      _xlpm.ligpartie + 3,
      MATCH(P$1, _xlpm.joueurs, 0) + 1
    )
  ), ""
)</f>
        <v/>
      </c>
      <c r="Q455" t="str" cm="1">
        <f t="array" ref="Q455">IFERROR(
  _xlfn.LET(
    _xlpm.ligpartie, MATCH($B454, Donnees!$F:$F, 0),
    _xlpm.joueurs, INDEX(Donnees!$A:$Z, _xlpm.ligpartie+1, _xlfn.SEQUENCE(1, 4, 2)),
    INDEX(
      Donnees!$A:$Z,
      _xlpm.ligpartie + 3,
      MATCH(Q$1, _xlpm.joueurs, 0) + 1
    )
  ), ""
)</f>
        <v/>
      </c>
      <c r="R455" t="str" cm="1">
        <f t="array" ref="R455">IFERROR(
  _xlfn.LET(
    _xlpm.ligpartie, MATCH($B454, Donnees!$F:$F, 0),
    _xlpm.joueurs, INDEX(Donnees!$A:$Z, _xlpm.ligpartie+1, _xlfn.SEQUENCE(1, 4, 2)),
    INDEX(
      Donnees!$A:$Z,
      _xlpm.ligpartie + 3,
      MATCH(R$1, _xlpm.joueurs, 0) + 1
    )
  ), ""
)</f>
        <v/>
      </c>
      <c r="S455" t="str" cm="1">
        <f t="array" ref="S455">IFERROR(
  _xlfn.LET(
    _xlpm.ligpartie, MATCH($B454, Donnees!$F:$F, 0),
    _xlpm.joueurs, INDEX(Donnees!$A:$Z, _xlpm.ligpartie+1, _xlfn.SEQUENCE(1, 4, 2)),
    INDEX(
      Donnees!$A:$Z,
      _xlpm.ligpartie + 3,
      MATCH(S$1, _xlpm.joueurs, 0) + 1
    )
  ), ""
)</f>
        <v/>
      </c>
      <c r="T455" t="str" cm="1">
        <f t="array" ref="T455">IFERROR(
  _xlfn.LET(
    _xlpm.ligpartie, MATCH($B454, Donnees!$F:$F, 0),
    _xlpm.joueurs, INDEX(Donnees!$A:$Z, _xlpm.ligpartie+1, _xlfn.SEQUENCE(1, 4, 2)),
    INDEX(
      Donnees!$A:$Z,
      _xlpm.ligpartie + 3,
      MATCH(T$1, _xlpm.joueurs, 0) + 1
    )
  ), ""
)</f>
        <v/>
      </c>
      <c r="U455" cm="1">
        <f t="array" ref="U455">IFERROR(
  _xlfn.LET(
    _xlpm.ligpartie, MATCH($B454, Donnees!$F:$F, 0),
    _xlpm.joueurs, INDEX(Donnees!$A:$Z, _xlpm.ligpartie+1, _xlfn.SEQUENCE(1, 4, 2)),
    INDEX(
      Donnees!$A:$Z,
      _xlpm.ligpartie + 3,
      MATCH(U$1, _xlpm.joueurs, 0) + 1
    )
  ), ""
)</f>
        <v>3</v>
      </c>
      <c r="V455" cm="1">
        <f t="array" ref="V455">IFERROR(
  _xlfn.LET(
    _xlpm.ligpartie, MATCH($B454, Donnees!$F:$F, 0),
    _xlpm.joueurs, INDEX(Donnees!$A:$Z, _xlpm.ligpartie+1, _xlfn.SEQUENCE(1, 4, 2)),
    INDEX(
      Donnees!$A:$Z,
      _xlpm.ligpartie + 3,
      MATCH(V$1, _xlpm.joueurs, 0) + 1
    )
  ), ""
)</f>
        <v>1</v>
      </c>
      <c r="W455" t="str" cm="1">
        <f t="array" ref="W455">IFERROR(
  _xlfn.LET(
    _xlpm.ligpartie, MATCH($B454, Donnees!$F:$F, 0),
    _xlpm.joueurs, INDEX(Donnees!$A:$Z, _xlpm.ligpartie+1, _xlfn.SEQUENCE(1, 4, 2)),
    INDEX(
      Donnees!$A:$Z,
      _xlpm.ligpartie + 3,
      MATCH(W$1, _xlpm.joueurs, 0) + 1
    )
  ), ""
)</f>
        <v/>
      </c>
      <c r="X455" t="str" cm="1">
        <f t="array" ref="X455">IFERROR(
  _xlfn.LET(
    _xlpm.ligpartie, MATCH($B454, Donnees!$F:$F, 0),
    _xlpm.joueurs, INDEX(Donnees!$A:$Z, _xlpm.ligpartie+1, _xlfn.SEQUENCE(1, 4, 2)),
    INDEX(
      Donnees!$A:$Z,
      _xlpm.ligpartie + 3,
      MATCH(X$1, _xlpm.joueurs, 0) + 1
    )
  ), ""
)</f>
        <v/>
      </c>
      <c r="Y455" cm="1">
        <f t="array" ref="Y455">IFERROR(
  _xlfn.LET(
    _xlpm.ligpartie, MATCH($B454, Donnees!$F:$F, 0),
    _xlpm.joueurs, INDEX(Donnees!$A:$Z, _xlpm.ligpartie+1, _xlfn.SEQUENCE(1, 4, 2)),
    INDEX(
      Donnees!$A:$Z,
      _xlpm.ligpartie + 3,
      MATCH(Y$1, _xlpm.joueurs, 0) + 1
    )
  ), ""
)</f>
        <v>2</v>
      </c>
      <c r="Z455" t="str" cm="1">
        <f t="array" ref="Z455">IFERROR(
  _xlfn.LET(
    _xlpm.ligpartie, MATCH($B454, Donnees!$F:$F, 0),
    _xlpm.joueurs, INDEX(Donnees!$A:$Z, _xlpm.ligpartie+1, _xlfn.SEQUENCE(1, 4, 2)),
    INDEX(
      Donnees!$A:$Z,
      _xlpm.ligpartie + 3,
      MATCH(Z$1, _xlpm.joueurs, 0) + 1
    )
  ), ""
)</f>
        <v/>
      </c>
      <c r="AA455" t="str" cm="1">
        <f t="array" ref="AA455">IFERROR(
  _xlfn.LET(
    _xlpm.ligpartie, MATCH($B454, Donnees!$F:$F, 0),
    _xlpm.joueurs, INDEX(Donnees!$A:$Z, _xlpm.ligpartie+1, _xlfn.SEQUENCE(1, 4, 2)),
    INDEX(
      Donnees!$A:$Z,
      _xlpm.ligpartie + 3,
      MATCH(AA$1, _xlpm.joueurs, 0) + 1
    )
  ), ""
)</f>
        <v/>
      </c>
      <c r="AB455" t="str" cm="1">
        <f t="array" ref="AB455">IFERROR(
  _xlfn.LET(
    _xlpm.ligpartie, MATCH($B454, Donnees!$F:$F, 0),
    _xlpm.joueurs, INDEX(Donnees!$A:$Z, _xlpm.ligpartie+1, _xlfn.SEQUENCE(1, 4, 2)),
    INDEX(
      Donnees!$A:$Z,
      _xlpm.ligpartie + 3,
      MATCH(AB$1, _xlpm.joueurs, 0) + 1
    )
  ), ""
)</f>
        <v/>
      </c>
      <c r="AC455" t="str" cm="1">
        <f t="array" ref="AC455">IFERROR(
  _xlfn.LET(
    _xlpm.ligpartie, MATCH($B454, Donnees!$F:$F, 0),
    _xlpm.joueurs, INDEX(Donnees!$A:$Z, _xlpm.ligpartie+1, _xlfn.SEQUENCE(1, 4, 2)),
    INDEX(
      Donnees!$A:$Z,
      _xlpm.ligpartie + 3,
      MATCH(AC$1, _xlpm.joueurs, 0) + 1
    )
  ), ""
)</f>
        <v/>
      </c>
      <c r="AD455" t="str" cm="1">
        <f t="array" ref="AD455">IFERROR(
  _xlfn.LET(
    _xlpm.ligpartie, MATCH($B454, Donnees!$F:$F, 0),
    _xlpm.joueurs, INDEX(Donnees!$A:$Z, _xlpm.ligpartie+1, _xlfn.SEQUENCE(1, 4, 2)),
    INDEX(
      Donnees!$A:$Z,
      _xlpm.ligpartie + 3,
      MATCH(AD$1, _xlpm.joueurs, 0) + 1
    )
  ), ""
)</f>
        <v/>
      </c>
      <c r="AE455" t="str" cm="1">
        <f t="array" ref="AE455">IFERROR(
  _xlfn.LET(
    _xlpm.ligpartie, MATCH($B454, Donnees!$F:$F, 0),
    _xlpm.joueurs, INDEX(Donnees!$A:$Z, _xlpm.ligpartie+1, _xlfn.SEQUENCE(1, 4, 2)),
    INDEX(
      Donnees!$A:$Z,
      _xlpm.ligpartie + 3,
      MATCH(AE$1, _xlpm.joueurs, 0) + 1
    )
  ), ""
)</f>
        <v/>
      </c>
      <c r="AF455" t="str" cm="1">
        <f t="array" ref="AF455">IFERROR(
  _xlfn.LET(
    _xlpm.ligpartie, MATCH($B454, Donnees!$F:$F, 0),
    _xlpm.joueurs, INDEX(Donnees!$A:$Z, _xlpm.ligpartie+1, _xlfn.SEQUENCE(1, 4, 2)),
    INDEX(
      Donnees!$A:$Z,
      _xlpm.ligpartie + 3,
      MATCH(AF$1, _xlpm.joueurs, 0) + 1
    )
  ), ""
)</f>
        <v/>
      </c>
      <c r="AG455" t="str" cm="1">
        <f t="array" ref="AG455">IFERROR(
  _xlfn.LET(
    _xlpm.ligpartie, MATCH($B454, Donnees!$F:$F, 0),
    _xlpm.joueurs, INDEX(Donnees!$A:$Z, _xlpm.ligpartie+1, _xlfn.SEQUENCE(1, 4, 2)),
    INDEX(
      Donnees!$A:$Z,
      _xlpm.ligpartie + 3,
      MATCH(AG$1, _xlpm.joueurs, 0) + 1
    )
  ), ""
)</f>
        <v/>
      </c>
      <c r="AH455" t="str" cm="1">
        <f t="array" ref="AH455">IFERROR(
  _xlfn.LET(
    _xlpm.ligpartie, MATCH($B454, Donnees!$F:$F, 0),
    _xlpm.joueurs, INDEX(Donnees!$A:$Z, _xlpm.ligpartie+1, _xlfn.SEQUENCE(1, 4, 2)),
    INDEX(
      Donnees!$A:$Z,
      _xlpm.ligpartie + 3,
      MATCH(AH$1, _xlpm.joueurs, 0) + 1
    )
  ), ""
)</f>
        <v/>
      </c>
      <c r="AI455" t="str" cm="1">
        <f t="array" ref="AI455">IFERROR(
  _xlfn.LET(
    _xlpm.ligpartie, MATCH($B454, Donnees!$F:$F, 0),
    _xlpm.joueurs, INDEX(Donnees!$A:$Z, _xlpm.ligpartie+1, _xlfn.SEQUENCE(1, 4, 2)),
    INDEX(
      Donnees!$A:$Z,
      _xlpm.ligpartie + 3,
      MATCH(AI$1, _xlpm.joueurs, 0) + 1
    )
  ), ""
)</f>
        <v/>
      </c>
      <c r="AJ455" t="str" cm="1">
        <f t="array" ref="AJ455">IFERROR(
  _xlfn.LET(
    _xlpm.ligpartie, MATCH($B454, Donnees!$F:$F, 0),
    _xlpm.joueurs, INDEX(Donnees!$A:$Z, _xlpm.ligpartie+1, _xlfn.SEQUENCE(1, 4, 2)),
    INDEX(
      Donnees!$A:$Z,
      _xlpm.ligpartie + 3,
      MATCH(AJ$1, _xlpm.joueurs, 0) + 1
    )
  ), ""
)</f>
        <v/>
      </c>
      <c r="AK455" t="str" cm="1">
        <f t="array" ref="AK455">IFERROR(
  _xlfn.LET(
    _xlpm.ligpartie, MATCH($B454, Donnees!$F:$F, 0),
    _xlpm.joueurs, INDEX(Donnees!$A:$Z, _xlpm.ligpartie+1, _xlfn.SEQUENCE(1, 4, 2)),
    INDEX(
      Donnees!$A:$Z,
      _xlpm.ligpartie + 3,
      MATCH(AK$1, _xlpm.joueurs, 0) + 1
    )
  ), ""
)</f>
        <v/>
      </c>
      <c r="AL455" t="str" cm="1">
        <f t="array" ref="AL455">IFERROR(
  _xlfn.LET(
    _xlpm.ligpartie, MATCH($B454, Donnees!$F:$F, 0),
    _xlpm.joueurs, INDEX(Donnees!$A:$Z, _xlpm.ligpartie+1, _xlfn.SEQUENCE(1, 4, 2)),
    INDEX(
      Donnees!$A:$Z,
      _xlpm.ligpartie + 3,
      MATCH(AL$1, _xlpm.joueurs, 0) + 1
    )
  ), ""
)</f>
        <v/>
      </c>
      <c r="AM455" t="str" cm="1">
        <f t="array" ref="AM455">IFERROR(
  _xlfn.LET(
    _xlpm.ligpartie, MATCH($B454, Donnees!$F:$F, 0),
    _xlpm.joueurs, INDEX(Donnees!$A:$Z, _xlpm.ligpartie+1, _xlfn.SEQUENCE(1, 4, 2)),
    INDEX(
      Donnees!$A:$Z,
      _xlpm.ligpartie + 3,
      MATCH(AM$1, _xlpm.joueurs, 0) + 1
    )
  ), ""
)</f>
        <v/>
      </c>
    </row>
    <row r="456" spans="1:39" x14ac:dyDescent="0.25">
      <c r="A456" t="s">
        <v>20</v>
      </c>
      <c r="D456" cm="1">
        <f t="array" ref="D456">_xlfn.LET(
  _xlpm.colj, _xlfn._xlws.FILTER(IF(ISNUMBER(455:455), COLUMN(455:455)), ISNUMBER(455:455)),
  _xlpm.elos, INDEX(454:454,1,_xlpm.colj),
  _xlpm.diffscale, Constantes!$B$2,
  IF(D455="",
    "",
    SUM(1/(1+POWER(10,-(D454-_xlpm.elos)/_xlpm.diffscale)))-0.5)
)</f>
        <v>1.3557332361517302</v>
      </c>
      <c r="E456" t="str" cm="1">
        <f t="array" ref="E456">_xlfn.LET(
  _xlpm.colj, _xlfn._xlws.FILTER(IF(ISNUMBER(455:455), COLUMN(455:455)), ISNUMBER(455:455)),
  _xlpm.elos, INDEX(454:454,1,_xlpm.colj),
  _xlpm.diffscale, Constantes!$B$2,
  IF(E455="",
    "",
    SUM(1/(1+POWER(10,-(E454-_xlpm.elos)/_xlpm.diffscale)))-0.5)
)</f>
        <v/>
      </c>
      <c r="F456" t="str" cm="1">
        <f t="array" ref="F456">_xlfn.LET(
  _xlpm.colj, _xlfn._xlws.FILTER(IF(ISNUMBER(455:455), COLUMN(455:455)), ISNUMBER(455:455)),
  _xlpm.elos, INDEX(454:454,1,_xlpm.colj),
  _xlpm.diffscale, Constantes!$B$2,
  IF(F455="",
    "",
    SUM(1/(1+POWER(10,-(F454-_xlpm.elos)/_xlpm.diffscale)))-0.5)
)</f>
        <v/>
      </c>
      <c r="G456" t="str" cm="1">
        <f t="array" ref="G456">_xlfn.LET(
  _xlpm.colj, _xlfn._xlws.FILTER(IF(ISNUMBER(455:455), COLUMN(455:455)), ISNUMBER(455:455)),
  _xlpm.elos, INDEX(454:454,1,_xlpm.colj),
  _xlpm.diffscale, Constantes!$B$2,
  IF(G455="",
    "",
    SUM(1/(1+POWER(10,-(G454-_xlpm.elos)/_xlpm.diffscale)))-0.5)
)</f>
        <v/>
      </c>
      <c r="H456" t="str" cm="1">
        <f t="array" ref="H456">_xlfn.LET(
  _xlpm.colj, _xlfn._xlws.FILTER(IF(ISNUMBER(455:455), COLUMN(455:455)), ISNUMBER(455:455)),
  _xlpm.elos, INDEX(454:454,1,_xlpm.colj),
  _xlpm.diffscale, Constantes!$B$2,
  IF(H455="",
    "",
    SUM(1/(1+POWER(10,-(H454-_xlpm.elos)/_xlpm.diffscale)))-0.5)
)</f>
        <v/>
      </c>
      <c r="I456" t="str" cm="1">
        <f t="array" ref="I456">_xlfn.LET(
  _xlpm.colj, _xlfn._xlws.FILTER(IF(ISNUMBER(455:455), COLUMN(455:455)), ISNUMBER(455:455)),
  _xlpm.elos, INDEX(454:454,1,_xlpm.colj),
  _xlpm.diffscale, Constantes!$B$2,
  IF(I455="",
    "",
    SUM(1/(1+POWER(10,-(I454-_xlpm.elos)/_xlpm.diffscale)))-0.5)
)</f>
        <v/>
      </c>
      <c r="J456" t="str" cm="1">
        <f t="array" ref="J456">_xlfn.LET(
  _xlpm.colj, _xlfn._xlws.FILTER(IF(ISNUMBER(455:455), COLUMN(455:455)), ISNUMBER(455:455)),
  _xlpm.elos, INDEX(454:454,1,_xlpm.colj),
  _xlpm.diffscale, Constantes!$B$2,
  IF(J455="",
    "",
    SUM(1/(1+POWER(10,-(J454-_xlpm.elos)/_xlpm.diffscale)))-0.5)
)</f>
        <v/>
      </c>
      <c r="K456" t="str" cm="1">
        <f t="array" ref="K456">_xlfn.LET(
  _xlpm.colj, _xlfn._xlws.FILTER(IF(ISNUMBER(455:455), COLUMN(455:455)), ISNUMBER(455:455)),
  _xlpm.elos, INDEX(454:454,1,_xlpm.colj),
  _xlpm.diffscale, Constantes!$B$2,
  IF(K455="",
    "",
    SUM(1/(1+POWER(10,-(K454-_xlpm.elos)/_xlpm.diffscale)))-0.5)
)</f>
        <v/>
      </c>
      <c r="L456" t="str" cm="1">
        <f t="array" ref="L456">_xlfn.LET(
  _xlpm.colj, _xlfn._xlws.FILTER(IF(ISNUMBER(455:455), COLUMN(455:455)), ISNUMBER(455:455)),
  _xlpm.elos, INDEX(454:454,1,_xlpm.colj),
  _xlpm.diffscale, Constantes!$B$2,
  IF(L455="",
    "",
    SUM(1/(1+POWER(10,-(L454-_xlpm.elos)/_xlpm.diffscale)))-0.5)
)</f>
        <v/>
      </c>
      <c r="M456" t="str" cm="1">
        <f t="array" ref="M456">_xlfn.LET(
  _xlpm.colj, _xlfn._xlws.FILTER(IF(ISNUMBER(455:455), COLUMN(455:455)), ISNUMBER(455:455)),
  _xlpm.elos, INDEX(454:454,1,_xlpm.colj),
  _xlpm.diffscale, Constantes!$B$2,
  IF(M455="",
    "",
    SUM(1/(1+POWER(10,-(M454-_xlpm.elos)/_xlpm.diffscale)))-0.5)
)</f>
        <v/>
      </c>
      <c r="N456" t="str" cm="1">
        <f t="array" ref="N456">_xlfn.LET(
  _xlpm.colj, _xlfn._xlws.FILTER(IF(ISNUMBER(455:455), COLUMN(455:455)), ISNUMBER(455:455)),
  _xlpm.elos, INDEX(454:454,1,_xlpm.colj),
  _xlpm.diffscale, Constantes!$B$2,
  IF(N455="",
    "",
    SUM(1/(1+POWER(10,-(N454-_xlpm.elos)/_xlpm.diffscale)))-0.5)
)</f>
        <v/>
      </c>
      <c r="O456" t="str" cm="1">
        <f t="array" ref="O456">_xlfn.LET(
  _xlpm.colj, _xlfn._xlws.FILTER(IF(ISNUMBER(455:455), COLUMN(455:455)), ISNUMBER(455:455)),
  _xlpm.elos, INDEX(454:454,1,_xlpm.colj),
  _xlpm.diffscale, Constantes!$B$2,
  IF(O455="",
    "",
    SUM(1/(1+POWER(10,-(O454-_xlpm.elos)/_xlpm.diffscale)))-0.5)
)</f>
        <v/>
      </c>
      <c r="P456" t="str" cm="1">
        <f t="array" ref="P456">_xlfn.LET(
  _xlpm.colj, _xlfn._xlws.FILTER(IF(ISNUMBER(455:455), COLUMN(455:455)), ISNUMBER(455:455)),
  _xlpm.elos, INDEX(454:454,1,_xlpm.colj),
  _xlpm.diffscale, Constantes!$B$2,
  IF(P455="",
    "",
    SUM(1/(1+POWER(10,-(P454-_xlpm.elos)/_xlpm.diffscale)))-0.5)
)</f>
        <v/>
      </c>
      <c r="Q456" t="str" cm="1">
        <f t="array" ref="Q456">_xlfn.LET(
  _xlpm.colj, _xlfn._xlws.FILTER(IF(ISNUMBER(455:455), COLUMN(455:455)), ISNUMBER(455:455)),
  _xlpm.elos, INDEX(454:454,1,_xlpm.colj),
  _xlpm.diffscale, Constantes!$B$2,
  IF(Q455="",
    "",
    SUM(1/(1+POWER(10,-(Q454-_xlpm.elos)/_xlpm.diffscale)))-0.5)
)</f>
        <v/>
      </c>
      <c r="R456" t="str" cm="1">
        <f t="array" ref="R456">_xlfn.LET(
  _xlpm.colj, _xlfn._xlws.FILTER(IF(ISNUMBER(455:455), COLUMN(455:455)), ISNUMBER(455:455)),
  _xlpm.elos, INDEX(454:454,1,_xlpm.colj),
  _xlpm.diffscale, Constantes!$B$2,
  IF(R455="",
    "",
    SUM(1/(1+POWER(10,-(R454-_xlpm.elos)/_xlpm.diffscale)))-0.5)
)</f>
        <v/>
      </c>
      <c r="S456" t="str" cm="1">
        <f t="array" ref="S456">_xlfn.LET(
  _xlpm.colj, _xlfn._xlws.FILTER(IF(ISNUMBER(455:455), COLUMN(455:455)), ISNUMBER(455:455)),
  _xlpm.elos, INDEX(454:454,1,_xlpm.colj),
  _xlpm.diffscale, Constantes!$B$2,
  IF(S455="",
    "",
    SUM(1/(1+POWER(10,-(S454-_xlpm.elos)/_xlpm.diffscale)))-0.5)
)</f>
        <v/>
      </c>
      <c r="T456" t="str" cm="1">
        <f t="array" ref="T456">_xlfn.LET(
  _xlpm.colj, _xlfn._xlws.FILTER(IF(ISNUMBER(455:455), COLUMN(455:455)), ISNUMBER(455:455)),
  _xlpm.elos, INDEX(454:454,1,_xlpm.colj),
  _xlpm.diffscale, Constantes!$B$2,
  IF(T455="",
    "",
    SUM(1/(1+POWER(10,-(T454-_xlpm.elos)/_xlpm.diffscale)))-0.5)
)</f>
        <v/>
      </c>
      <c r="U456" cm="1">
        <f t="array" ref="U456">_xlfn.LET(
  _xlpm.colj, _xlfn._xlws.FILTER(IF(ISNUMBER(455:455), COLUMN(455:455)), ISNUMBER(455:455)),
  _xlpm.elos, INDEX(454:454,1,_xlpm.colj),
  _xlpm.diffscale, Constantes!$B$2,
  IF(U455="",
    "",
    SUM(1/(1+POWER(10,-(U454-_xlpm.elos)/_xlpm.diffscale)))-0.5)
)</f>
        <v>2.3899451849746893</v>
      </c>
      <c r="V456" cm="1">
        <f t="array" ref="V456">_xlfn.LET(
  _xlpm.colj, _xlfn._xlws.FILTER(IF(ISNUMBER(455:455), COLUMN(455:455)), ISNUMBER(455:455)),
  _xlpm.elos, INDEX(454:454,1,_xlpm.colj),
  _xlpm.diffscale, Constantes!$B$2,
  IF(V455="",
    "",
    SUM(1/(1+POWER(10,-(V454-_xlpm.elos)/_xlpm.diffscale)))-0.5)
)</f>
        <v>1.1923973801029879</v>
      </c>
      <c r="W456" t="str" cm="1">
        <f t="array" ref="W456">_xlfn.LET(
  _xlpm.colj, _xlfn._xlws.FILTER(IF(ISNUMBER(455:455), COLUMN(455:455)), ISNUMBER(455:455)),
  _xlpm.elos, INDEX(454:454,1,_xlpm.colj),
  _xlpm.diffscale, Constantes!$B$2,
  IF(W455="",
    "",
    SUM(1/(1+POWER(10,-(W454-_xlpm.elos)/_xlpm.diffscale)))-0.5)
)</f>
        <v/>
      </c>
      <c r="X456" t="str" cm="1">
        <f t="array" ref="X456">_xlfn.LET(
  _xlpm.colj, _xlfn._xlws.FILTER(IF(ISNUMBER(455:455), COLUMN(455:455)), ISNUMBER(455:455)),
  _xlpm.elos, INDEX(454:454,1,_xlpm.colj),
  _xlpm.diffscale, Constantes!$B$2,
  IF(X455="",
    "",
    SUM(1/(1+POWER(10,-(X454-_xlpm.elos)/_xlpm.diffscale)))-0.5)
)</f>
        <v/>
      </c>
      <c r="Y456" cm="1">
        <f t="array" ref="Y456">_xlfn.LET(
  _xlpm.colj, _xlfn._xlws.FILTER(IF(ISNUMBER(455:455), COLUMN(455:455)), ISNUMBER(455:455)),
  _xlpm.elos, INDEX(454:454,1,_xlpm.colj),
  _xlpm.diffscale, Constantes!$B$2,
  IF(Y455="",
    "",
    SUM(1/(1+POWER(10,-(Y454-_xlpm.elos)/_xlpm.diffscale)))-0.5)
)</f>
        <v>1.0619241987705927</v>
      </c>
      <c r="Z456" t="str" cm="1">
        <f t="array" ref="Z456">_xlfn.LET(
  _xlpm.colj, _xlfn._xlws.FILTER(IF(ISNUMBER(455:455), COLUMN(455:455)), ISNUMBER(455:455)),
  _xlpm.elos, INDEX(454:454,1,_xlpm.colj),
  _xlpm.diffscale, Constantes!$B$2,
  IF(Z455="",
    "",
    SUM(1/(1+POWER(10,-(Z454-_xlpm.elos)/_xlpm.diffscale)))-0.5)
)</f>
        <v/>
      </c>
      <c r="AA456" t="str" cm="1">
        <f t="array" ref="AA456">_xlfn.LET(
  _xlpm.colj, _xlfn._xlws.FILTER(IF(ISNUMBER(455:455), COLUMN(455:455)), ISNUMBER(455:455)),
  _xlpm.elos, INDEX(454:454,1,_xlpm.colj),
  _xlpm.diffscale, Constantes!$B$2,
  IF(AA455="",
    "",
    SUM(1/(1+POWER(10,-(AA454-_xlpm.elos)/_xlpm.diffscale)))-0.5)
)</f>
        <v/>
      </c>
      <c r="AB456" t="str" cm="1">
        <f t="array" ref="AB456">_xlfn.LET(
  _xlpm.colj, _xlfn._xlws.FILTER(IF(ISNUMBER(455:455), COLUMN(455:455)), ISNUMBER(455:455)),
  _xlpm.elos, INDEX(454:454,1,_xlpm.colj),
  _xlpm.diffscale, Constantes!$B$2,
  IF(AB455="",
    "",
    SUM(1/(1+POWER(10,-(AB454-_xlpm.elos)/_xlpm.diffscale)))-0.5)
)</f>
        <v/>
      </c>
      <c r="AC456" t="str" cm="1">
        <f t="array" ref="AC456">_xlfn.LET(
  _xlpm.colj, _xlfn._xlws.FILTER(IF(ISNUMBER(455:455), COLUMN(455:455)), ISNUMBER(455:455)),
  _xlpm.elos, INDEX(454:454,1,_xlpm.colj),
  _xlpm.diffscale, Constantes!$B$2,
  IF(AC455="",
    "",
    SUM(1/(1+POWER(10,-(AC454-_xlpm.elos)/_xlpm.diffscale)))-0.5)
)</f>
        <v/>
      </c>
      <c r="AD456" t="str" cm="1">
        <f t="array" ref="AD456">_xlfn.LET(
  _xlpm.colj, _xlfn._xlws.FILTER(IF(ISNUMBER(455:455), COLUMN(455:455)), ISNUMBER(455:455)),
  _xlpm.elos, INDEX(454:454,1,_xlpm.colj),
  _xlpm.diffscale, Constantes!$B$2,
  IF(AD455="",
    "",
    SUM(1/(1+POWER(10,-(AD454-_xlpm.elos)/_xlpm.diffscale)))-0.5)
)</f>
        <v/>
      </c>
      <c r="AE456" t="str" cm="1">
        <f t="array" ref="AE456">_xlfn.LET(
  _xlpm.colj, _xlfn._xlws.FILTER(IF(ISNUMBER(455:455), COLUMN(455:455)), ISNUMBER(455:455)),
  _xlpm.elos, INDEX(454:454,1,_xlpm.colj),
  _xlpm.diffscale, Constantes!$B$2,
  IF(AE455="",
    "",
    SUM(1/(1+POWER(10,-(AE454-_xlpm.elos)/_xlpm.diffscale)))-0.5)
)</f>
        <v/>
      </c>
      <c r="AF456" t="str" cm="1">
        <f t="array" ref="AF456">_xlfn.LET(
  _xlpm.colj, _xlfn._xlws.FILTER(IF(ISNUMBER(455:455), COLUMN(455:455)), ISNUMBER(455:455)),
  _xlpm.elos, INDEX(454:454,1,_xlpm.colj),
  _xlpm.diffscale, Constantes!$B$2,
  IF(AF455="",
    "",
    SUM(1/(1+POWER(10,-(AF454-_xlpm.elos)/_xlpm.diffscale)))-0.5)
)</f>
        <v/>
      </c>
      <c r="AG456" t="str" cm="1">
        <f t="array" ref="AG456">_xlfn.LET(
  _xlpm.colj, _xlfn._xlws.FILTER(IF(ISNUMBER(455:455), COLUMN(455:455)), ISNUMBER(455:455)),
  _xlpm.elos, INDEX(454:454,1,_xlpm.colj),
  _xlpm.diffscale, Constantes!$B$2,
  IF(AG455="",
    "",
    SUM(1/(1+POWER(10,-(AG454-_xlpm.elos)/_xlpm.diffscale)))-0.5)
)</f>
        <v/>
      </c>
      <c r="AH456" t="str" cm="1">
        <f t="array" ref="AH456">_xlfn.LET(
  _xlpm.colj, _xlfn._xlws.FILTER(IF(ISNUMBER(455:455), COLUMN(455:455)), ISNUMBER(455:455)),
  _xlpm.elos, INDEX(454:454,1,_xlpm.colj),
  _xlpm.diffscale, Constantes!$B$2,
  IF(AH455="",
    "",
    SUM(1/(1+POWER(10,-(AH454-_xlpm.elos)/_xlpm.diffscale)))-0.5)
)</f>
        <v/>
      </c>
      <c r="AI456" t="str" cm="1">
        <f t="array" ref="AI456">_xlfn.LET(
  _xlpm.colj, _xlfn._xlws.FILTER(IF(ISNUMBER(455:455), COLUMN(455:455)), ISNUMBER(455:455)),
  _xlpm.elos, INDEX(454:454,1,_xlpm.colj),
  _xlpm.diffscale, Constantes!$B$2,
  IF(AI455="",
    "",
    SUM(1/(1+POWER(10,-(AI454-_xlpm.elos)/_xlpm.diffscale)))-0.5)
)</f>
        <v/>
      </c>
      <c r="AJ456" t="str" cm="1">
        <f t="array" ref="AJ456">_xlfn.LET(
  _xlpm.colj, _xlfn._xlws.FILTER(IF(ISNUMBER(455:455), COLUMN(455:455)), ISNUMBER(455:455)),
  _xlpm.elos, INDEX(454:454,1,_xlpm.colj),
  _xlpm.diffscale, Constantes!$B$2,
  IF(AJ455="",
    "",
    SUM(1/(1+POWER(10,-(AJ454-_xlpm.elos)/_xlpm.diffscale)))-0.5)
)</f>
        <v/>
      </c>
      <c r="AK456" t="str" cm="1">
        <f t="array" ref="AK456">_xlfn.LET(
  _xlpm.colj, _xlfn._xlws.FILTER(IF(ISNUMBER(455:455), COLUMN(455:455)), ISNUMBER(455:455)),
  _xlpm.elos, INDEX(454:454,1,_xlpm.colj),
  _xlpm.diffscale, Constantes!$B$2,
  IF(AK455="",
    "",
    SUM(1/(1+POWER(10,-(AK454-_xlpm.elos)/_xlpm.diffscale)))-0.5)
)</f>
        <v/>
      </c>
      <c r="AL456" t="str" cm="1">
        <f t="array" ref="AL456">_xlfn.LET(
  _xlpm.colj, _xlfn._xlws.FILTER(IF(ISNUMBER(455:455), COLUMN(455:455)), ISNUMBER(455:455)),
  _xlpm.elos, INDEX(454:454,1,_xlpm.colj),
  _xlpm.diffscale, Constantes!$B$2,
  IF(AL455="",
    "",
    SUM(1/(1+POWER(10,-(AL454-_xlpm.elos)/_xlpm.diffscale)))-0.5)
)</f>
        <v/>
      </c>
      <c r="AM456" t="str" cm="1">
        <f t="array" ref="AM456">_xlfn.LET(
  _xlpm.colj, _xlfn._xlws.FILTER(IF(ISNUMBER(455:455), COLUMN(455:455)), ISNUMBER(455:455)),
  _xlpm.elos, INDEX(454:454,1,_xlpm.colj),
  _xlpm.diffscale, Constantes!$B$2,
  IF(AM455="",
    "",
    SUM(1/(1+POWER(10,-(AM454-_xlpm.elos)/_xlpm.diffscale)))-0.5)
)</f>
        <v/>
      </c>
    </row>
    <row r="457" spans="1:39" x14ac:dyDescent="0.25">
      <c r="A457" t="s">
        <v>22</v>
      </c>
      <c r="D457" cm="1">
        <f t="array" ref="D457">_xlfn.LET(
  _xlpm.K, Constantes!$B$3,
  _xlpm.Knewgain, Constantes!$B$4,
  _xlpm.Knewscale, Constantes!$B$5,
  _xlpm.ptstables, INDEX(D:D, _xlfn.SEQUENCE(COUNTA($C$2:$C457), 1, 3, 4)),
  _xlpm.nbparties, COUNTA(_xlfn._xlws.FILTER(_xlpm.ptstables, _xlpm.ptstables &lt;&gt; "")),
  _xlpm.coef, _xlpm.K + _xlpm.Knewgain / (_xlpm.Knewscale + _xlpm.nbparties),
  IF(D455="",
    "",
    _xlpm.coef * (D455-D456))
)</f>
        <v>-29.826131195338064</v>
      </c>
      <c r="E457" t="str" cm="1">
        <f t="array" ref="E457">_xlfn.LET(
  _xlpm.K, Constantes!$B$3,
  _xlpm.Knewgain, Constantes!$B$4,
  _xlpm.Knewscale, Constantes!$B$5,
  _xlpm.ptstables, INDEX(E:E, _xlfn.SEQUENCE(COUNTA($C$2:$C457), 1, 3, 4)),
  _xlpm.nbparties, COUNTA(_xlfn._xlws.FILTER(_xlpm.ptstables, _xlpm.ptstables &lt;&gt; "")),
  _xlpm.coef, _xlpm.K + _xlpm.Knewgain / (_xlpm.Knewscale + _xlpm.nbparties),
  IF(E455="",
    "",
    _xlpm.coef * (E455-E456))
)</f>
        <v/>
      </c>
      <c r="F457" t="str" cm="1">
        <f t="array" ref="F457">_xlfn.LET(
  _xlpm.K, Constantes!$B$3,
  _xlpm.Knewgain, Constantes!$B$4,
  _xlpm.Knewscale, Constantes!$B$5,
  _xlpm.ptstables, INDEX(F:F, _xlfn.SEQUENCE(COUNTA($C$2:$C457), 1, 3, 4)),
  _xlpm.nbparties, COUNTA(_xlfn._xlws.FILTER(_xlpm.ptstables, _xlpm.ptstables &lt;&gt; "")),
  _xlpm.coef, _xlpm.K + _xlpm.Knewgain / (_xlpm.Knewscale + _xlpm.nbparties),
  IF(F455="",
    "",
    _xlpm.coef * (F455-F456))
)</f>
        <v/>
      </c>
      <c r="G457" t="str" cm="1">
        <f t="array" ref="G457">_xlfn.LET(
  _xlpm.K, Constantes!$B$3,
  _xlpm.Knewgain, Constantes!$B$4,
  _xlpm.Knewscale, Constantes!$B$5,
  _xlpm.ptstables, INDEX(G:G, _xlfn.SEQUENCE(COUNTA($C$2:$C457), 1, 3, 4)),
  _xlpm.nbparties, COUNTA(_xlfn._xlws.FILTER(_xlpm.ptstables, _xlpm.ptstables &lt;&gt; "")),
  _xlpm.coef, _xlpm.K + _xlpm.Knewgain / (_xlpm.Knewscale + _xlpm.nbparties),
  IF(G455="",
    "",
    _xlpm.coef * (G455-G456))
)</f>
        <v/>
      </c>
      <c r="H457" t="str" cm="1">
        <f t="array" ref="H457">_xlfn.LET(
  _xlpm.K, Constantes!$B$3,
  _xlpm.Knewgain, Constantes!$B$4,
  _xlpm.Knewscale, Constantes!$B$5,
  _xlpm.ptstables, INDEX(H:H, _xlfn.SEQUENCE(COUNTA($C$2:$C457), 1, 3, 4)),
  _xlpm.nbparties, COUNTA(_xlfn._xlws.FILTER(_xlpm.ptstables, _xlpm.ptstables &lt;&gt; "")),
  _xlpm.coef, _xlpm.K + _xlpm.Knewgain / (_xlpm.Knewscale + _xlpm.nbparties),
  IF(H455="",
    "",
    _xlpm.coef * (H455-H456))
)</f>
        <v/>
      </c>
      <c r="I457" t="str" cm="1">
        <f t="array" ref="I457">_xlfn.LET(
  _xlpm.K, Constantes!$B$3,
  _xlpm.Knewgain, Constantes!$B$4,
  _xlpm.Knewscale, Constantes!$B$5,
  _xlpm.ptstables, INDEX(I:I, _xlfn.SEQUENCE(COUNTA($C$2:$C457), 1, 3, 4)),
  _xlpm.nbparties, COUNTA(_xlfn._xlws.FILTER(_xlpm.ptstables, _xlpm.ptstables &lt;&gt; "")),
  _xlpm.coef, _xlpm.K + _xlpm.Knewgain / (_xlpm.Knewscale + _xlpm.nbparties),
  IF(I455="",
    "",
    _xlpm.coef * (I455-I456))
)</f>
        <v/>
      </c>
      <c r="J457" t="str" cm="1">
        <f t="array" ref="J457">_xlfn.LET(
  _xlpm.K, Constantes!$B$3,
  _xlpm.Knewgain, Constantes!$B$4,
  _xlpm.Knewscale, Constantes!$B$5,
  _xlpm.ptstables, INDEX(J:J, _xlfn.SEQUENCE(COUNTA($C$2:$C457), 1, 3, 4)),
  _xlpm.nbparties, COUNTA(_xlfn._xlws.FILTER(_xlpm.ptstables, _xlpm.ptstables &lt;&gt; "")),
  _xlpm.coef, _xlpm.K + _xlpm.Knewgain / (_xlpm.Knewscale + _xlpm.nbparties),
  IF(J455="",
    "",
    _xlpm.coef * (J455-J456))
)</f>
        <v/>
      </c>
      <c r="K457" t="str" cm="1">
        <f t="array" ref="K457">_xlfn.LET(
  _xlpm.K, Constantes!$B$3,
  _xlpm.Knewgain, Constantes!$B$4,
  _xlpm.Knewscale, Constantes!$B$5,
  _xlpm.ptstables, INDEX(K:K, _xlfn.SEQUENCE(COUNTA($C$2:$C457), 1, 3, 4)),
  _xlpm.nbparties, COUNTA(_xlfn._xlws.FILTER(_xlpm.ptstables, _xlpm.ptstables &lt;&gt; "")),
  _xlpm.coef, _xlpm.K + _xlpm.Knewgain / (_xlpm.Knewscale + _xlpm.nbparties),
  IF(K455="",
    "",
    _xlpm.coef * (K455-K456))
)</f>
        <v/>
      </c>
      <c r="L457" t="str" cm="1">
        <f t="array" ref="L457">_xlfn.LET(
  _xlpm.K, Constantes!$B$3,
  _xlpm.Knewgain, Constantes!$B$4,
  _xlpm.Knewscale, Constantes!$B$5,
  _xlpm.ptstables, INDEX(L:L, _xlfn.SEQUENCE(COUNTA($C$2:$C457), 1, 3, 4)),
  _xlpm.nbparties, COUNTA(_xlfn._xlws.FILTER(_xlpm.ptstables, _xlpm.ptstables &lt;&gt; "")),
  _xlpm.coef, _xlpm.K + _xlpm.Knewgain / (_xlpm.Knewscale + _xlpm.nbparties),
  IF(L455="",
    "",
    _xlpm.coef * (L455-L456))
)</f>
        <v/>
      </c>
      <c r="M457" t="str" cm="1">
        <f t="array" ref="M457">_xlfn.LET(
  _xlpm.K, Constantes!$B$3,
  _xlpm.Knewgain, Constantes!$B$4,
  _xlpm.Knewscale, Constantes!$B$5,
  _xlpm.ptstables, INDEX(M:M, _xlfn.SEQUENCE(COUNTA($C$2:$C457), 1, 3, 4)),
  _xlpm.nbparties, COUNTA(_xlfn._xlws.FILTER(_xlpm.ptstables, _xlpm.ptstables &lt;&gt; "")),
  _xlpm.coef, _xlpm.K + _xlpm.Knewgain / (_xlpm.Knewscale + _xlpm.nbparties),
  IF(M455="",
    "",
    _xlpm.coef * (M455-M456))
)</f>
        <v/>
      </c>
      <c r="N457" t="str" cm="1">
        <f t="array" ref="N457">_xlfn.LET(
  _xlpm.K, Constantes!$B$3,
  _xlpm.Knewgain, Constantes!$B$4,
  _xlpm.Knewscale, Constantes!$B$5,
  _xlpm.ptstables, INDEX(N:N, _xlfn.SEQUENCE(COUNTA($C$2:$C457), 1, 3, 4)),
  _xlpm.nbparties, COUNTA(_xlfn._xlws.FILTER(_xlpm.ptstables, _xlpm.ptstables &lt;&gt; "")),
  _xlpm.coef, _xlpm.K + _xlpm.Knewgain / (_xlpm.Knewscale + _xlpm.nbparties),
  IF(N455="",
    "",
    _xlpm.coef * (N455-N456))
)</f>
        <v/>
      </c>
      <c r="O457" t="str" cm="1">
        <f t="array" ref="O457">_xlfn.LET(
  _xlpm.K, Constantes!$B$3,
  _xlpm.Knewgain, Constantes!$B$4,
  _xlpm.Knewscale, Constantes!$B$5,
  _xlpm.ptstables, INDEX(O:O, _xlfn.SEQUENCE(COUNTA($C$2:$C457), 1, 3, 4)),
  _xlpm.nbparties, COUNTA(_xlfn._xlws.FILTER(_xlpm.ptstables, _xlpm.ptstables &lt;&gt; "")),
  _xlpm.coef, _xlpm.K + _xlpm.Knewgain / (_xlpm.Knewscale + _xlpm.nbparties),
  IF(O455="",
    "",
    _xlpm.coef * (O455-O456))
)</f>
        <v/>
      </c>
      <c r="P457" t="str" cm="1">
        <f t="array" ref="P457">_xlfn.LET(
  _xlpm.K, Constantes!$B$3,
  _xlpm.Knewgain, Constantes!$B$4,
  _xlpm.Knewscale, Constantes!$B$5,
  _xlpm.ptstables, INDEX(P:P, _xlfn.SEQUENCE(COUNTA($C$2:$C457), 1, 3, 4)),
  _xlpm.nbparties, COUNTA(_xlfn._xlws.FILTER(_xlpm.ptstables, _xlpm.ptstables &lt;&gt; "")),
  _xlpm.coef, _xlpm.K + _xlpm.Knewgain / (_xlpm.Knewscale + _xlpm.nbparties),
  IF(P455="",
    "",
    _xlpm.coef * (P455-P456))
)</f>
        <v/>
      </c>
      <c r="Q457" t="str" cm="1">
        <f t="array" ref="Q457">_xlfn.LET(
  _xlpm.K, Constantes!$B$3,
  _xlpm.Knewgain, Constantes!$B$4,
  _xlpm.Knewscale, Constantes!$B$5,
  _xlpm.ptstables, INDEX(Q:Q, _xlfn.SEQUENCE(COUNTA($C$2:$C457), 1, 3, 4)),
  _xlpm.nbparties, COUNTA(_xlfn._xlws.FILTER(_xlpm.ptstables, _xlpm.ptstables &lt;&gt; "")),
  _xlpm.coef, _xlpm.K + _xlpm.Knewgain / (_xlpm.Knewscale + _xlpm.nbparties),
  IF(Q455="",
    "",
    _xlpm.coef * (Q455-Q456))
)</f>
        <v/>
      </c>
      <c r="R457" t="str" cm="1">
        <f t="array" ref="R457">_xlfn.LET(
  _xlpm.K, Constantes!$B$3,
  _xlpm.Knewgain, Constantes!$B$4,
  _xlpm.Knewscale, Constantes!$B$5,
  _xlpm.ptstables, INDEX(R:R, _xlfn.SEQUENCE(COUNTA($C$2:$C457), 1, 3, 4)),
  _xlpm.nbparties, COUNTA(_xlfn._xlws.FILTER(_xlpm.ptstables, _xlpm.ptstables &lt;&gt; "")),
  _xlpm.coef, _xlpm.K + _xlpm.Knewgain / (_xlpm.Knewscale + _xlpm.nbparties),
  IF(R455="",
    "",
    _xlpm.coef * (R455-R456))
)</f>
        <v/>
      </c>
      <c r="S457" t="str" cm="1">
        <f t="array" ref="S457">_xlfn.LET(
  _xlpm.K, Constantes!$B$3,
  _xlpm.Knewgain, Constantes!$B$4,
  _xlpm.Knewscale, Constantes!$B$5,
  _xlpm.ptstables, INDEX(S:S, _xlfn.SEQUENCE(COUNTA($C$2:$C457), 1, 3, 4)),
  _xlpm.nbparties, COUNTA(_xlfn._xlws.FILTER(_xlpm.ptstables, _xlpm.ptstables &lt;&gt; "")),
  _xlpm.coef, _xlpm.K + _xlpm.Knewgain / (_xlpm.Knewscale + _xlpm.nbparties),
  IF(S455="",
    "",
    _xlpm.coef * (S455-S456))
)</f>
        <v/>
      </c>
      <c r="T457" t="str" cm="1">
        <f t="array" ref="T457">_xlfn.LET(
  _xlpm.K, Constantes!$B$3,
  _xlpm.Knewgain, Constantes!$B$4,
  _xlpm.Knewscale, Constantes!$B$5,
  _xlpm.ptstables, INDEX(T:T, _xlfn.SEQUENCE(COUNTA($C$2:$C457), 1, 3, 4)),
  _xlpm.nbparties, COUNTA(_xlfn._xlws.FILTER(_xlpm.ptstables, _xlpm.ptstables &lt;&gt; "")),
  _xlpm.coef, _xlpm.K + _xlpm.Knewgain / (_xlpm.Knewscale + _xlpm.nbparties),
  IF(T455="",
    "",
    _xlpm.coef * (T455-T456))
)</f>
        <v/>
      </c>
      <c r="U457" cm="1">
        <f t="array" ref="U457">_xlfn.LET(
  _xlpm.K, Constantes!$B$3,
  _xlpm.Knewgain, Constantes!$B$4,
  _xlpm.Knewscale, Constantes!$B$5,
  _xlpm.ptstables, INDEX(U:U, _xlfn.SEQUENCE(COUNTA($C$2:$C457), 1, 3, 4)),
  _xlpm.nbparties, COUNTA(_xlfn._xlws.FILTER(_xlpm.ptstables, _xlpm.ptstables &lt;&gt; "")),
  _xlpm.coef, _xlpm.K + _xlpm.Knewgain / (_xlpm.Knewscale + _xlpm.nbparties),
  IF(U455="",
    "",
    _xlpm.coef * (U455-U456))
)</f>
        <v>13.003800004486887</v>
      </c>
      <c r="V457" cm="1">
        <f t="array" ref="V457">_xlfn.LET(
  _xlpm.K, Constantes!$B$3,
  _xlpm.Knewgain, Constantes!$B$4,
  _xlpm.Knewscale, Constantes!$B$5,
  _xlpm.ptstables, INDEX(V:V, _xlfn.SEQUENCE(COUNTA($C$2:$C457), 1, 3, 4)),
  _xlpm.nbparties, COUNTA(_xlfn._xlws.FILTER(_xlpm.ptstables, _xlpm.ptstables &lt;&gt; "")),
  _xlpm.coef, _xlpm.K + _xlpm.Knewgain / (_xlpm.Knewscale + _xlpm.nbparties),
  IF(V455="",
    "",
    _xlpm.coef * (V455-V456))
)</f>
        <v>-4.8099345025746976</v>
      </c>
      <c r="W457" t="str" cm="1">
        <f t="array" ref="W457">_xlfn.LET(
  _xlpm.K, Constantes!$B$3,
  _xlpm.Knewgain, Constantes!$B$4,
  _xlpm.Knewscale, Constantes!$B$5,
  _xlpm.ptstables, INDEX(W:W, _xlfn.SEQUENCE(COUNTA($C$2:$C457), 1, 3, 4)),
  _xlpm.nbparties, COUNTA(_xlfn._xlws.FILTER(_xlpm.ptstables, _xlpm.ptstables &lt;&gt; "")),
  _xlpm.coef, _xlpm.K + _xlpm.Knewgain / (_xlpm.Knewscale + _xlpm.nbparties),
  IF(W455="",
    "",
    _xlpm.coef * (W455-W456))
)</f>
        <v/>
      </c>
      <c r="X457" t="str" cm="1">
        <f t="array" ref="X457">_xlfn.LET(
  _xlpm.K, Constantes!$B$3,
  _xlpm.Knewgain, Constantes!$B$4,
  _xlpm.Knewscale, Constantes!$B$5,
  _xlpm.ptstables, INDEX(X:X, _xlfn.SEQUENCE(COUNTA($C$2:$C457), 1, 3, 4)),
  _xlpm.nbparties, COUNTA(_xlfn._xlws.FILTER(_xlpm.ptstables, _xlpm.ptstables &lt;&gt; "")),
  _xlpm.coef, _xlpm.K + _xlpm.Knewgain / (_xlpm.Knewscale + _xlpm.nbparties),
  IF(X455="",
    "",
    _xlpm.coef * (X455-X456))
)</f>
        <v/>
      </c>
      <c r="Y457" cm="1">
        <f t="array" ref="Y457">_xlfn.LET(
  _xlpm.K, Constantes!$B$3,
  _xlpm.Knewgain, Constantes!$B$4,
  _xlpm.Knewscale, Constantes!$B$5,
  _xlpm.ptstables, INDEX(Y:Y, _xlfn.SEQUENCE(COUNTA($C$2:$C457), 1, 3, 4)),
  _xlpm.nbparties, COUNTA(_xlfn._xlws.FILTER(_xlpm.ptstables, _xlpm.ptstables &lt;&gt; "")),
  _xlpm.coef, _xlpm.K + _xlpm.Knewgain / (_xlpm.Knewscale + _xlpm.nbparties),
  IF(Y455="",
    "",
    _xlpm.coef * (Y455-Y456))
)</f>
        <v>21.693002903430042</v>
      </c>
      <c r="Z457" t="str" cm="1">
        <f t="array" ref="Z457">_xlfn.LET(
  _xlpm.K, Constantes!$B$3,
  _xlpm.Knewgain, Constantes!$B$4,
  _xlpm.Knewscale, Constantes!$B$5,
  _xlpm.ptstables, INDEX(Z:Z, _xlfn.SEQUENCE(COUNTA($C$2:$C457), 1, 3, 4)),
  _xlpm.nbparties, COUNTA(_xlfn._xlws.FILTER(_xlpm.ptstables, _xlpm.ptstables &lt;&gt; "")),
  _xlpm.coef, _xlpm.K + _xlpm.Knewgain / (_xlpm.Knewscale + _xlpm.nbparties),
  IF(Z455="",
    "",
    _xlpm.coef * (Z455-Z456))
)</f>
        <v/>
      </c>
      <c r="AA457" t="str" cm="1">
        <f t="array" ref="AA457">_xlfn.LET(
  _xlpm.K, Constantes!$B$3,
  _xlpm.Knewgain, Constantes!$B$4,
  _xlpm.Knewscale, Constantes!$B$5,
  _xlpm.ptstables, INDEX(AA:AA, _xlfn.SEQUENCE(COUNTA($C$2:$C457), 1, 3, 4)),
  _xlpm.nbparties, COUNTA(_xlfn._xlws.FILTER(_xlpm.ptstables, _xlpm.ptstables &lt;&gt; "")),
  _xlpm.coef, _xlpm.K + _xlpm.Knewgain / (_xlpm.Knewscale + _xlpm.nbparties),
  IF(AA455="",
    "",
    _xlpm.coef * (AA455-AA456))
)</f>
        <v/>
      </c>
      <c r="AB457" t="str" cm="1">
        <f t="array" ref="AB457">_xlfn.LET(
  _xlpm.K, Constantes!$B$3,
  _xlpm.Knewgain, Constantes!$B$4,
  _xlpm.Knewscale, Constantes!$B$5,
  _xlpm.ptstables, INDEX(AB:AB, _xlfn.SEQUENCE(COUNTA($C$2:$C457), 1, 3, 4)),
  _xlpm.nbparties, COUNTA(_xlfn._xlws.FILTER(_xlpm.ptstables, _xlpm.ptstables &lt;&gt; "")),
  _xlpm.coef, _xlpm.K + _xlpm.Knewgain / (_xlpm.Knewscale + _xlpm.nbparties),
  IF(AB455="",
    "",
    _xlpm.coef * (AB455-AB456))
)</f>
        <v/>
      </c>
      <c r="AC457" t="str" cm="1">
        <f t="array" ref="AC457">_xlfn.LET(
  _xlpm.K, Constantes!$B$3,
  _xlpm.Knewgain, Constantes!$B$4,
  _xlpm.Knewscale, Constantes!$B$5,
  _xlpm.ptstables, INDEX(AC:AC, _xlfn.SEQUENCE(COUNTA($C$2:$C457), 1, 3, 4)),
  _xlpm.nbparties, COUNTA(_xlfn._xlws.FILTER(_xlpm.ptstables, _xlpm.ptstables &lt;&gt; "")),
  _xlpm.coef, _xlpm.K + _xlpm.Knewgain / (_xlpm.Knewscale + _xlpm.nbparties),
  IF(AC455="",
    "",
    _xlpm.coef * (AC455-AC456))
)</f>
        <v/>
      </c>
      <c r="AD457" t="str" cm="1">
        <f t="array" ref="AD457">_xlfn.LET(
  _xlpm.K, Constantes!$B$3,
  _xlpm.Knewgain, Constantes!$B$4,
  _xlpm.Knewscale, Constantes!$B$5,
  _xlpm.ptstables, INDEX(AD:AD, _xlfn.SEQUENCE(COUNTA($C$2:$C457), 1, 3, 4)),
  _xlpm.nbparties, COUNTA(_xlfn._xlws.FILTER(_xlpm.ptstables, _xlpm.ptstables &lt;&gt; "")),
  _xlpm.coef, _xlpm.K + _xlpm.Knewgain / (_xlpm.Knewscale + _xlpm.nbparties),
  IF(AD455="",
    "",
    _xlpm.coef * (AD455-AD456))
)</f>
        <v/>
      </c>
      <c r="AE457" t="str" cm="1">
        <f t="array" ref="AE457">_xlfn.LET(
  _xlpm.K, Constantes!$B$3,
  _xlpm.Knewgain, Constantes!$B$4,
  _xlpm.Knewscale, Constantes!$B$5,
  _xlpm.ptstables, INDEX(AE:AE, _xlfn.SEQUENCE(COUNTA($C$2:$C457), 1, 3, 4)),
  _xlpm.nbparties, COUNTA(_xlfn._xlws.FILTER(_xlpm.ptstables, _xlpm.ptstables &lt;&gt; "")),
  _xlpm.coef, _xlpm.K + _xlpm.Knewgain / (_xlpm.Knewscale + _xlpm.nbparties),
  IF(AE455="",
    "",
    _xlpm.coef * (AE455-AE456))
)</f>
        <v/>
      </c>
      <c r="AF457" t="str" cm="1">
        <f t="array" ref="AF457">_xlfn.LET(
  _xlpm.K, Constantes!$B$3,
  _xlpm.Knewgain, Constantes!$B$4,
  _xlpm.Knewscale, Constantes!$B$5,
  _xlpm.ptstables, INDEX(AF:AF, _xlfn.SEQUENCE(COUNTA($C$2:$C457), 1, 3, 4)),
  _xlpm.nbparties, COUNTA(_xlfn._xlws.FILTER(_xlpm.ptstables, _xlpm.ptstables &lt;&gt; "")),
  _xlpm.coef, _xlpm.K + _xlpm.Knewgain / (_xlpm.Knewscale + _xlpm.nbparties),
  IF(AF455="",
    "",
    _xlpm.coef * (AF455-AF456))
)</f>
        <v/>
      </c>
      <c r="AG457" t="str" cm="1">
        <f t="array" ref="AG457">_xlfn.LET(
  _xlpm.K, Constantes!$B$3,
  _xlpm.Knewgain, Constantes!$B$4,
  _xlpm.Knewscale, Constantes!$B$5,
  _xlpm.ptstables, INDEX(AG:AG, _xlfn.SEQUENCE(COUNTA($C$2:$C457), 1, 3, 4)),
  _xlpm.nbparties, COUNTA(_xlfn._xlws.FILTER(_xlpm.ptstables, _xlpm.ptstables &lt;&gt; "")),
  _xlpm.coef, _xlpm.K + _xlpm.Knewgain / (_xlpm.Knewscale + _xlpm.nbparties),
  IF(AG455="",
    "",
    _xlpm.coef * (AG455-AG456))
)</f>
        <v/>
      </c>
      <c r="AH457" t="str" cm="1">
        <f t="array" ref="AH457">_xlfn.LET(
  _xlpm.K, Constantes!$B$3,
  _xlpm.Knewgain, Constantes!$B$4,
  _xlpm.Knewscale, Constantes!$B$5,
  _xlpm.ptstables, INDEX(AH:AH, _xlfn.SEQUENCE(COUNTA($C$2:$C457), 1, 3, 4)),
  _xlpm.nbparties, COUNTA(_xlfn._xlws.FILTER(_xlpm.ptstables, _xlpm.ptstables &lt;&gt; "")),
  _xlpm.coef, _xlpm.K + _xlpm.Knewgain / (_xlpm.Knewscale + _xlpm.nbparties),
  IF(AH455="",
    "",
    _xlpm.coef * (AH455-AH456))
)</f>
        <v/>
      </c>
      <c r="AI457" t="str" cm="1">
        <f t="array" ref="AI457">_xlfn.LET(
  _xlpm.K, Constantes!$B$3,
  _xlpm.Knewgain, Constantes!$B$4,
  _xlpm.Knewscale, Constantes!$B$5,
  _xlpm.ptstables, INDEX(AI:AI, _xlfn.SEQUENCE(COUNTA($C$2:$C457), 1, 3, 4)),
  _xlpm.nbparties, COUNTA(_xlfn._xlws.FILTER(_xlpm.ptstables, _xlpm.ptstables &lt;&gt; "")),
  _xlpm.coef, _xlpm.K + _xlpm.Knewgain / (_xlpm.Knewscale + _xlpm.nbparties),
  IF(AI455="",
    "",
    _xlpm.coef * (AI455-AI456))
)</f>
        <v/>
      </c>
      <c r="AJ457" t="str" cm="1">
        <f t="array" ref="AJ457">_xlfn.LET(
  _xlpm.K, Constantes!$B$3,
  _xlpm.Knewgain, Constantes!$B$4,
  _xlpm.Knewscale, Constantes!$B$5,
  _xlpm.ptstables, INDEX(AJ:AJ, _xlfn.SEQUENCE(COUNTA($C$2:$C457), 1, 3, 4)),
  _xlpm.nbparties, COUNTA(_xlfn._xlws.FILTER(_xlpm.ptstables, _xlpm.ptstables &lt;&gt; "")),
  _xlpm.coef, _xlpm.K + _xlpm.Knewgain / (_xlpm.Knewscale + _xlpm.nbparties),
  IF(AJ455="",
    "",
    _xlpm.coef * (AJ455-AJ456))
)</f>
        <v/>
      </c>
      <c r="AK457" t="str" cm="1">
        <f t="array" ref="AK457">_xlfn.LET(
  _xlpm.K, Constantes!$B$3,
  _xlpm.Knewgain, Constantes!$B$4,
  _xlpm.Knewscale, Constantes!$B$5,
  _xlpm.ptstables, INDEX(AK:AK, _xlfn.SEQUENCE(COUNTA($C$2:$C457), 1, 3, 4)),
  _xlpm.nbparties, COUNTA(_xlfn._xlws.FILTER(_xlpm.ptstables, _xlpm.ptstables &lt;&gt; "")),
  _xlpm.coef, _xlpm.K + _xlpm.Knewgain / (_xlpm.Knewscale + _xlpm.nbparties),
  IF(AK455="",
    "",
    _xlpm.coef * (AK455-AK456))
)</f>
        <v/>
      </c>
      <c r="AL457" t="str" cm="1">
        <f t="array" ref="AL457">_xlfn.LET(
  _xlpm.K, Constantes!$B$3,
  _xlpm.Knewgain, Constantes!$B$4,
  _xlpm.Knewscale, Constantes!$B$5,
  _xlpm.ptstables, INDEX(AL:AL, _xlfn.SEQUENCE(COUNTA($C$2:$C457), 1, 3, 4)),
  _xlpm.nbparties, COUNTA(_xlfn._xlws.FILTER(_xlpm.ptstables, _xlpm.ptstables &lt;&gt; "")),
  _xlpm.coef, _xlpm.K + _xlpm.Knewgain / (_xlpm.Knewscale + _xlpm.nbparties),
  IF(AL455="",
    "",
    _xlpm.coef * (AL455-AL456))
)</f>
        <v/>
      </c>
      <c r="AM457" t="str" cm="1">
        <f t="array" ref="AM457">_xlfn.LET(
  _xlpm.K, Constantes!$B$3,
  _xlpm.Knewgain, Constantes!$B$4,
  _xlpm.Knewscale, Constantes!$B$5,
  _xlpm.ptstables, INDEX(AM:AM, _xlfn.SEQUENCE(COUNTA($C$2:$C457), 1, 3, 4)),
  _xlpm.nbparties, COUNTA(_xlfn._xlws.FILTER(_xlpm.ptstables, _xlpm.ptstables &lt;&gt; "")),
  _xlpm.coef, _xlpm.K + _xlpm.Knewgain / (_xlpm.Knewscale + _xlpm.nbparties),
  IF(AM455="",
    "",
    _xlpm.coef * (AM455-AM456))
)</f>
        <v/>
      </c>
    </row>
    <row r="458" spans="1:39" x14ac:dyDescent="0.25">
      <c r="A458" t="s">
        <v>14</v>
      </c>
      <c r="B458" t="str" cm="1">
        <f t="array" ref="B45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114</v>
      </c>
      <c r="C458" s="2" cm="1">
        <f t="array" ref="C458">IF(B458="","",
  INDEX(Donnees!F:F, MATCH(B458, Donnees!F:F, 0)+1))</f>
        <v>45969.597013888888</v>
      </c>
      <c r="D458">
        <f t="shared" ref="D458:AM458" si="122">D454+IF(D457="",0,D457)</f>
        <v>970.88542284486812</v>
      </c>
      <c r="E458">
        <f t="shared" si="122"/>
        <v>1196.4195973781996</v>
      </c>
      <c r="F458">
        <f t="shared" si="122"/>
        <v>911.8835833951041</v>
      </c>
      <c r="G458">
        <f t="shared" si="122"/>
        <v>1009.6650561189861</v>
      </c>
      <c r="H458">
        <f t="shared" si="122"/>
        <v>1094.641003167957</v>
      </c>
      <c r="I458">
        <f t="shared" si="122"/>
        <v>907.83370609419069</v>
      </c>
      <c r="J458">
        <f t="shared" si="122"/>
        <v>1000.251341704819</v>
      </c>
      <c r="K458">
        <f t="shared" si="122"/>
        <v>1076.8546837336262</v>
      </c>
      <c r="L458">
        <f t="shared" si="122"/>
        <v>762.99078552663389</v>
      </c>
      <c r="M458">
        <f t="shared" si="122"/>
        <v>927.4581540493366</v>
      </c>
      <c r="N458">
        <f t="shared" si="122"/>
        <v>899.98370646249032</v>
      </c>
      <c r="O458">
        <f t="shared" si="122"/>
        <v>997.04050320786712</v>
      </c>
      <c r="P458">
        <f t="shared" si="122"/>
        <v>1000.038589629396</v>
      </c>
      <c r="Q458">
        <f t="shared" si="122"/>
        <v>1082.9571363061975</v>
      </c>
      <c r="R458">
        <f t="shared" si="122"/>
        <v>1056.3886451718679</v>
      </c>
      <c r="S458">
        <f t="shared" si="122"/>
        <v>1002.6649899548004</v>
      </c>
      <c r="T458">
        <f t="shared" si="122"/>
        <v>1125.604709757928</v>
      </c>
      <c r="U458">
        <f t="shared" si="122"/>
        <v>1222.7257721587478</v>
      </c>
      <c r="V458">
        <f t="shared" si="122"/>
        <v>964.86178289028601</v>
      </c>
      <c r="W458">
        <f t="shared" si="122"/>
        <v>873.42626723356045</v>
      </c>
      <c r="X458">
        <f t="shared" si="122"/>
        <v>832.40508999649853</v>
      </c>
      <c r="Y458">
        <f t="shared" si="122"/>
        <v>966.14168240704885</v>
      </c>
      <c r="Z458">
        <f t="shared" si="122"/>
        <v>1008.6876849635962</v>
      </c>
      <c r="AA458">
        <f t="shared" si="122"/>
        <v>942.27730100696294</v>
      </c>
      <c r="AB458">
        <f t="shared" si="122"/>
        <v>988.35669729544747</v>
      </c>
      <c r="AC458">
        <f t="shared" si="122"/>
        <v>923.36850203928373</v>
      </c>
      <c r="AD458">
        <f t="shared" si="122"/>
        <v>1054.5168154629837</v>
      </c>
      <c r="AE458">
        <f t="shared" si="122"/>
        <v>963.23981965000235</v>
      </c>
      <c r="AF458">
        <f t="shared" si="122"/>
        <v>1094.8196847516158</v>
      </c>
      <c r="AG458">
        <f t="shared" si="122"/>
        <v>958.23078604304851</v>
      </c>
      <c r="AH458">
        <f t="shared" si="122"/>
        <v>920.4412636682855</v>
      </c>
      <c r="AI458">
        <f t="shared" si="122"/>
        <v>1036.4167877702052</v>
      </c>
      <c r="AJ458">
        <f t="shared" si="122"/>
        <v>906.86354201913434</v>
      </c>
      <c r="AK458">
        <f t="shared" si="122"/>
        <v>1074.0069367206956</v>
      </c>
      <c r="AL458">
        <f t="shared" si="122"/>
        <v>1025.7817971572972</v>
      </c>
      <c r="AM458">
        <f t="shared" si="122"/>
        <v>930.08392160706046</v>
      </c>
    </row>
    <row r="459" spans="1:39" x14ac:dyDescent="0.25">
      <c r="A459" t="s">
        <v>21</v>
      </c>
      <c r="D459" t="str" cm="1">
        <f t="array" ref="D459">IFERROR(
  _xlfn.LET(
    _xlpm.ligpartie, MATCH($B458, Donnees!$F:$F, 0),
    _xlpm.joueurs, INDEX(Donnees!$A:$Z, _xlpm.ligpartie+1, _xlfn.SEQUENCE(1, 4, 2)),
    INDEX(
      Donnees!$A:$Z,
      _xlpm.ligpartie + 3,
      MATCH(D$1, _xlpm.joueurs, 0) + 1
    )
  ), ""
)</f>
        <v/>
      </c>
      <c r="E459" t="str" cm="1">
        <f t="array" ref="E459">IFERROR(
  _xlfn.LET(
    _xlpm.ligpartie, MATCH($B458, Donnees!$F:$F, 0),
    _xlpm.joueurs, INDEX(Donnees!$A:$Z, _xlpm.ligpartie+1, _xlfn.SEQUENCE(1, 4, 2)),
    INDEX(
      Donnees!$A:$Z,
      _xlpm.ligpartie + 3,
      MATCH(E$1, _xlpm.joueurs, 0) + 1
    )
  ), ""
)</f>
        <v/>
      </c>
      <c r="F459" t="str" cm="1">
        <f t="array" ref="F459">IFERROR(
  _xlfn.LET(
    _xlpm.ligpartie, MATCH($B458, Donnees!$F:$F, 0),
    _xlpm.joueurs, INDEX(Donnees!$A:$Z, _xlpm.ligpartie+1, _xlfn.SEQUENCE(1, 4, 2)),
    INDEX(
      Donnees!$A:$Z,
      _xlpm.ligpartie + 3,
      MATCH(F$1, _xlpm.joueurs, 0) + 1
    )
  ), ""
)</f>
        <v/>
      </c>
      <c r="G459" t="str" cm="1">
        <f t="array" ref="G459">IFERROR(
  _xlfn.LET(
    _xlpm.ligpartie, MATCH($B458, Donnees!$F:$F, 0),
    _xlpm.joueurs, INDEX(Donnees!$A:$Z, _xlpm.ligpartie+1, _xlfn.SEQUENCE(1, 4, 2)),
    INDEX(
      Donnees!$A:$Z,
      _xlpm.ligpartie + 3,
      MATCH(G$1, _xlpm.joueurs, 0) + 1
    )
  ), ""
)</f>
        <v/>
      </c>
      <c r="H459" t="str" cm="1">
        <f t="array" ref="H459">IFERROR(
  _xlfn.LET(
    _xlpm.ligpartie, MATCH($B458, Donnees!$F:$F, 0),
    _xlpm.joueurs, INDEX(Donnees!$A:$Z, _xlpm.ligpartie+1, _xlfn.SEQUENCE(1, 4, 2)),
    INDEX(
      Donnees!$A:$Z,
      _xlpm.ligpartie + 3,
      MATCH(H$1, _xlpm.joueurs, 0) + 1
    )
  ), ""
)</f>
        <v/>
      </c>
      <c r="I459" t="str" cm="1">
        <f t="array" ref="I459">IFERROR(
  _xlfn.LET(
    _xlpm.ligpartie, MATCH($B458, Donnees!$F:$F, 0),
    _xlpm.joueurs, INDEX(Donnees!$A:$Z, _xlpm.ligpartie+1, _xlfn.SEQUENCE(1, 4, 2)),
    INDEX(
      Donnees!$A:$Z,
      _xlpm.ligpartie + 3,
      MATCH(I$1, _xlpm.joueurs, 0) + 1
    )
  ), ""
)</f>
        <v/>
      </c>
      <c r="J459" cm="1">
        <f t="array" ref="J459">IFERROR(
  _xlfn.LET(
    _xlpm.ligpartie, MATCH($B458, Donnees!$F:$F, 0),
    _xlpm.joueurs, INDEX(Donnees!$A:$Z, _xlpm.ligpartie+1, _xlfn.SEQUENCE(1, 4, 2)),
    INDEX(
      Donnees!$A:$Z,
      _xlpm.ligpartie + 3,
      MATCH(J$1, _xlpm.joueurs, 0) + 1
    )
  ), ""
)</f>
        <v>0</v>
      </c>
      <c r="K459" t="str" cm="1">
        <f t="array" ref="K459">IFERROR(
  _xlfn.LET(
    _xlpm.ligpartie, MATCH($B458, Donnees!$F:$F, 0),
    _xlpm.joueurs, INDEX(Donnees!$A:$Z, _xlpm.ligpartie+1, _xlfn.SEQUENCE(1, 4, 2)),
    INDEX(
      Donnees!$A:$Z,
      _xlpm.ligpartie + 3,
      MATCH(K$1, _xlpm.joueurs, 0) + 1
    )
  ), ""
)</f>
        <v/>
      </c>
      <c r="L459" t="str" cm="1">
        <f t="array" ref="L459">IFERROR(
  _xlfn.LET(
    _xlpm.ligpartie, MATCH($B458, Donnees!$F:$F, 0),
    _xlpm.joueurs, INDEX(Donnees!$A:$Z, _xlpm.ligpartie+1, _xlfn.SEQUENCE(1, 4, 2)),
    INDEX(
      Donnees!$A:$Z,
      _xlpm.ligpartie + 3,
      MATCH(L$1, _xlpm.joueurs, 0) + 1
    )
  ), ""
)</f>
        <v/>
      </c>
      <c r="M459" t="str" cm="1">
        <f t="array" ref="M459">IFERROR(
  _xlfn.LET(
    _xlpm.ligpartie, MATCH($B458, Donnees!$F:$F, 0),
    _xlpm.joueurs, INDEX(Donnees!$A:$Z, _xlpm.ligpartie+1, _xlfn.SEQUENCE(1, 4, 2)),
    INDEX(
      Donnees!$A:$Z,
      _xlpm.ligpartie + 3,
      MATCH(M$1, _xlpm.joueurs, 0) + 1
    )
  ), ""
)</f>
        <v/>
      </c>
      <c r="N459" t="str" cm="1">
        <f t="array" ref="N459">IFERROR(
  _xlfn.LET(
    _xlpm.ligpartie, MATCH($B458, Donnees!$F:$F, 0),
    _xlpm.joueurs, INDEX(Donnees!$A:$Z, _xlpm.ligpartie+1, _xlfn.SEQUENCE(1, 4, 2)),
    INDEX(
      Donnees!$A:$Z,
      _xlpm.ligpartie + 3,
      MATCH(N$1, _xlpm.joueurs, 0) + 1
    )
  ), ""
)</f>
        <v/>
      </c>
      <c r="O459" t="str" cm="1">
        <f t="array" ref="O459">IFERROR(
  _xlfn.LET(
    _xlpm.ligpartie, MATCH($B458, Donnees!$F:$F, 0),
    _xlpm.joueurs, INDEX(Donnees!$A:$Z, _xlpm.ligpartie+1, _xlfn.SEQUENCE(1, 4, 2)),
    INDEX(
      Donnees!$A:$Z,
      _xlpm.ligpartie + 3,
      MATCH(O$1, _xlpm.joueurs, 0) + 1
    )
  ), ""
)</f>
        <v/>
      </c>
      <c r="P459" t="str" cm="1">
        <f t="array" ref="P459">IFERROR(
  _xlfn.LET(
    _xlpm.ligpartie, MATCH($B458, Donnees!$F:$F, 0),
    _xlpm.joueurs, INDEX(Donnees!$A:$Z, _xlpm.ligpartie+1, _xlfn.SEQUENCE(1, 4, 2)),
    INDEX(
      Donnees!$A:$Z,
      _xlpm.ligpartie + 3,
      MATCH(P$1, _xlpm.joueurs, 0) + 1
    )
  ), ""
)</f>
        <v/>
      </c>
      <c r="Q459" t="str" cm="1">
        <f t="array" ref="Q459">IFERROR(
  _xlfn.LET(
    _xlpm.ligpartie, MATCH($B458, Donnees!$F:$F, 0),
    _xlpm.joueurs, INDEX(Donnees!$A:$Z, _xlpm.ligpartie+1, _xlfn.SEQUENCE(1, 4, 2)),
    INDEX(
      Donnees!$A:$Z,
      _xlpm.ligpartie + 3,
      MATCH(Q$1, _xlpm.joueurs, 0) + 1
    )
  ), ""
)</f>
        <v/>
      </c>
      <c r="R459" cm="1">
        <f t="array" ref="R459">IFERROR(
  _xlfn.LET(
    _xlpm.ligpartie, MATCH($B458, Donnees!$F:$F, 0),
    _xlpm.joueurs, INDEX(Donnees!$A:$Z, _xlpm.ligpartie+1, _xlfn.SEQUENCE(1, 4, 2)),
    INDEX(
      Donnees!$A:$Z,
      _xlpm.ligpartie + 3,
      MATCH(R$1, _xlpm.joueurs, 0) + 1
    )
  ), ""
)</f>
        <v>3</v>
      </c>
      <c r="S459" t="str" cm="1">
        <f t="array" ref="S459">IFERROR(
  _xlfn.LET(
    _xlpm.ligpartie, MATCH($B458, Donnees!$F:$F, 0),
    _xlpm.joueurs, INDEX(Donnees!$A:$Z, _xlpm.ligpartie+1, _xlfn.SEQUENCE(1, 4, 2)),
    INDEX(
      Donnees!$A:$Z,
      _xlpm.ligpartie + 3,
      MATCH(S$1, _xlpm.joueurs, 0) + 1
    )
  ), ""
)</f>
        <v/>
      </c>
      <c r="T459" t="str" cm="1">
        <f t="array" ref="T459">IFERROR(
  _xlfn.LET(
    _xlpm.ligpartie, MATCH($B458, Donnees!$F:$F, 0),
    _xlpm.joueurs, INDEX(Donnees!$A:$Z, _xlpm.ligpartie+1, _xlfn.SEQUENCE(1, 4, 2)),
    INDEX(
      Donnees!$A:$Z,
      _xlpm.ligpartie + 3,
      MATCH(T$1, _xlpm.joueurs, 0) + 1
    )
  ), ""
)</f>
        <v/>
      </c>
      <c r="U459" t="str" cm="1">
        <f t="array" ref="U459">IFERROR(
  _xlfn.LET(
    _xlpm.ligpartie, MATCH($B458, Donnees!$F:$F, 0),
    _xlpm.joueurs, INDEX(Donnees!$A:$Z, _xlpm.ligpartie+1, _xlfn.SEQUENCE(1, 4, 2)),
    INDEX(
      Donnees!$A:$Z,
      _xlpm.ligpartie + 3,
      MATCH(U$1, _xlpm.joueurs, 0) + 1
    )
  ), ""
)</f>
        <v/>
      </c>
      <c r="V459" t="str" cm="1">
        <f t="array" ref="V459">IFERROR(
  _xlfn.LET(
    _xlpm.ligpartie, MATCH($B458, Donnees!$F:$F, 0),
    _xlpm.joueurs, INDEX(Donnees!$A:$Z, _xlpm.ligpartie+1, _xlfn.SEQUENCE(1, 4, 2)),
    INDEX(
      Donnees!$A:$Z,
      _xlpm.ligpartie + 3,
      MATCH(V$1, _xlpm.joueurs, 0) + 1
    )
  ), ""
)</f>
        <v/>
      </c>
      <c r="W459" t="str" cm="1">
        <f t="array" ref="W459">IFERROR(
  _xlfn.LET(
    _xlpm.ligpartie, MATCH($B458, Donnees!$F:$F, 0),
    _xlpm.joueurs, INDEX(Donnees!$A:$Z, _xlpm.ligpartie+1, _xlfn.SEQUENCE(1, 4, 2)),
    INDEX(
      Donnees!$A:$Z,
      _xlpm.ligpartie + 3,
      MATCH(W$1, _xlpm.joueurs, 0) + 1
    )
  ), ""
)</f>
        <v/>
      </c>
      <c r="X459" cm="1">
        <f t="array" ref="X459">IFERROR(
  _xlfn.LET(
    _xlpm.ligpartie, MATCH($B458, Donnees!$F:$F, 0),
    _xlpm.joueurs, INDEX(Donnees!$A:$Z, _xlpm.ligpartie+1, _xlfn.SEQUENCE(1, 4, 2)),
    INDEX(
      Donnees!$A:$Z,
      _xlpm.ligpartie + 3,
      MATCH(X$1, _xlpm.joueurs, 0) + 1
    )
  ), ""
)</f>
        <v>2</v>
      </c>
      <c r="Y459" t="str" cm="1">
        <f t="array" ref="Y459">IFERROR(
  _xlfn.LET(
    _xlpm.ligpartie, MATCH($B458, Donnees!$F:$F, 0),
    _xlpm.joueurs, INDEX(Donnees!$A:$Z, _xlpm.ligpartie+1, _xlfn.SEQUENCE(1, 4, 2)),
    INDEX(
      Donnees!$A:$Z,
      _xlpm.ligpartie + 3,
      MATCH(Y$1, _xlpm.joueurs, 0) + 1
    )
  ), ""
)</f>
        <v/>
      </c>
      <c r="Z459" t="str" cm="1">
        <f t="array" ref="Z459">IFERROR(
  _xlfn.LET(
    _xlpm.ligpartie, MATCH($B458, Donnees!$F:$F, 0),
    _xlpm.joueurs, INDEX(Donnees!$A:$Z, _xlpm.ligpartie+1, _xlfn.SEQUENCE(1, 4, 2)),
    INDEX(
      Donnees!$A:$Z,
      _xlpm.ligpartie + 3,
      MATCH(Z$1, _xlpm.joueurs, 0) + 1
    )
  ), ""
)</f>
        <v/>
      </c>
      <c r="AA459" t="str" cm="1">
        <f t="array" ref="AA459">IFERROR(
  _xlfn.LET(
    _xlpm.ligpartie, MATCH($B458, Donnees!$F:$F, 0),
    _xlpm.joueurs, INDEX(Donnees!$A:$Z, _xlpm.ligpartie+1, _xlfn.SEQUENCE(1, 4, 2)),
    INDEX(
      Donnees!$A:$Z,
      _xlpm.ligpartie + 3,
      MATCH(AA$1, _xlpm.joueurs, 0) + 1
    )
  ), ""
)</f>
        <v/>
      </c>
      <c r="AB459" t="str" cm="1">
        <f t="array" ref="AB459">IFERROR(
  _xlfn.LET(
    _xlpm.ligpartie, MATCH($B458, Donnees!$F:$F, 0),
    _xlpm.joueurs, INDEX(Donnees!$A:$Z, _xlpm.ligpartie+1, _xlfn.SEQUENCE(1, 4, 2)),
    INDEX(
      Donnees!$A:$Z,
      _xlpm.ligpartie + 3,
      MATCH(AB$1, _xlpm.joueurs, 0) + 1
    )
  ), ""
)</f>
        <v/>
      </c>
      <c r="AC459" cm="1">
        <f t="array" ref="AC459">IFERROR(
  _xlfn.LET(
    _xlpm.ligpartie, MATCH($B458, Donnees!$F:$F, 0),
    _xlpm.joueurs, INDEX(Donnees!$A:$Z, _xlpm.ligpartie+1, _xlfn.SEQUENCE(1, 4, 2)),
    INDEX(
      Donnees!$A:$Z,
      _xlpm.ligpartie + 3,
      MATCH(AC$1, _xlpm.joueurs, 0) + 1
    )
  ), ""
)</f>
        <v>1</v>
      </c>
      <c r="AD459" t="str" cm="1">
        <f t="array" ref="AD459">IFERROR(
  _xlfn.LET(
    _xlpm.ligpartie, MATCH($B458, Donnees!$F:$F, 0),
    _xlpm.joueurs, INDEX(Donnees!$A:$Z, _xlpm.ligpartie+1, _xlfn.SEQUENCE(1, 4, 2)),
    INDEX(
      Donnees!$A:$Z,
      _xlpm.ligpartie + 3,
      MATCH(AD$1, _xlpm.joueurs, 0) + 1
    )
  ), ""
)</f>
        <v/>
      </c>
      <c r="AE459" t="str" cm="1">
        <f t="array" ref="AE459">IFERROR(
  _xlfn.LET(
    _xlpm.ligpartie, MATCH($B458, Donnees!$F:$F, 0),
    _xlpm.joueurs, INDEX(Donnees!$A:$Z, _xlpm.ligpartie+1, _xlfn.SEQUENCE(1, 4, 2)),
    INDEX(
      Donnees!$A:$Z,
      _xlpm.ligpartie + 3,
      MATCH(AE$1, _xlpm.joueurs, 0) + 1
    )
  ), ""
)</f>
        <v/>
      </c>
      <c r="AF459" t="str" cm="1">
        <f t="array" ref="AF459">IFERROR(
  _xlfn.LET(
    _xlpm.ligpartie, MATCH($B458, Donnees!$F:$F, 0),
    _xlpm.joueurs, INDEX(Donnees!$A:$Z, _xlpm.ligpartie+1, _xlfn.SEQUENCE(1, 4, 2)),
    INDEX(
      Donnees!$A:$Z,
      _xlpm.ligpartie + 3,
      MATCH(AF$1, _xlpm.joueurs, 0) + 1
    )
  ), ""
)</f>
        <v/>
      </c>
      <c r="AG459" t="str" cm="1">
        <f t="array" ref="AG459">IFERROR(
  _xlfn.LET(
    _xlpm.ligpartie, MATCH($B458, Donnees!$F:$F, 0),
    _xlpm.joueurs, INDEX(Donnees!$A:$Z, _xlpm.ligpartie+1, _xlfn.SEQUENCE(1, 4, 2)),
    INDEX(
      Donnees!$A:$Z,
      _xlpm.ligpartie + 3,
      MATCH(AG$1, _xlpm.joueurs, 0) + 1
    )
  ), ""
)</f>
        <v/>
      </c>
      <c r="AH459" t="str" cm="1">
        <f t="array" ref="AH459">IFERROR(
  _xlfn.LET(
    _xlpm.ligpartie, MATCH($B458, Donnees!$F:$F, 0),
    _xlpm.joueurs, INDEX(Donnees!$A:$Z, _xlpm.ligpartie+1, _xlfn.SEQUENCE(1, 4, 2)),
    INDEX(
      Donnees!$A:$Z,
      _xlpm.ligpartie + 3,
      MATCH(AH$1, _xlpm.joueurs, 0) + 1
    )
  ), ""
)</f>
        <v/>
      </c>
      <c r="AI459" t="str" cm="1">
        <f t="array" ref="AI459">IFERROR(
  _xlfn.LET(
    _xlpm.ligpartie, MATCH($B458, Donnees!$F:$F, 0),
    _xlpm.joueurs, INDEX(Donnees!$A:$Z, _xlpm.ligpartie+1, _xlfn.SEQUENCE(1, 4, 2)),
    INDEX(
      Donnees!$A:$Z,
      _xlpm.ligpartie + 3,
      MATCH(AI$1, _xlpm.joueurs, 0) + 1
    )
  ), ""
)</f>
        <v/>
      </c>
      <c r="AJ459" t="str" cm="1">
        <f t="array" ref="AJ459">IFERROR(
  _xlfn.LET(
    _xlpm.ligpartie, MATCH($B458, Donnees!$F:$F, 0),
    _xlpm.joueurs, INDEX(Donnees!$A:$Z, _xlpm.ligpartie+1, _xlfn.SEQUENCE(1, 4, 2)),
    INDEX(
      Donnees!$A:$Z,
      _xlpm.ligpartie + 3,
      MATCH(AJ$1, _xlpm.joueurs, 0) + 1
    )
  ), ""
)</f>
        <v/>
      </c>
      <c r="AK459" t="str" cm="1">
        <f t="array" ref="AK459">IFERROR(
  _xlfn.LET(
    _xlpm.ligpartie, MATCH($B458, Donnees!$F:$F, 0),
    _xlpm.joueurs, INDEX(Donnees!$A:$Z, _xlpm.ligpartie+1, _xlfn.SEQUENCE(1, 4, 2)),
    INDEX(
      Donnees!$A:$Z,
      _xlpm.ligpartie + 3,
      MATCH(AK$1, _xlpm.joueurs, 0) + 1
    )
  ), ""
)</f>
        <v/>
      </c>
      <c r="AL459" t="str" cm="1">
        <f t="array" ref="AL459">IFERROR(
  _xlfn.LET(
    _xlpm.ligpartie, MATCH($B458, Donnees!$F:$F, 0),
    _xlpm.joueurs, INDEX(Donnees!$A:$Z, _xlpm.ligpartie+1, _xlfn.SEQUENCE(1, 4, 2)),
    INDEX(
      Donnees!$A:$Z,
      _xlpm.ligpartie + 3,
      MATCH(AL$1, _xlpm.joueurs, 0) + 1
    )
  ), ""
)</f>
        <v/>
      </c>
      <c r="AM459" t="str" cm="1">
        <f t="array" ref="AM459">IFERROR(
  _xlfn.LET(
    _xlpm.ligpartie, MATCH($B458, Donnees!$F:$F, 0),
    _xlpm.joueurs, INDEX(Donnees!$A:$Z, _xlpm.ligpartie+1, _xlfn.SEQUENCE(1, 4, 2)),
    INDEX(
      Donnees!$A:$Z,
      _xlpm.ligpartie + 3,
      MATCH(AM$1, _xlpm.joueurs, 0) + 1
    )
  ), ""
)</f>
        <v/>
      </c>
    </row>
    <row r="460" spans="1:39" x14ac:dyDescent="0.25">
      <c r="A460" t="s">
        <v>20</v>
      </c>
      <c r="D460" t="str" cm="1">
        <f t="array" ref="D460">_xlfn.LET(
  _xlpm.colj, _xlfn._xlws.FILTER(IF(ISNUMBER(459:459), COLUMN(459:459)), ISNUMBER(459:459)),
  _xlpm.elos, INDEX(458:458,1,_xlpm.colj),
  _xlpm.diffscale, Constantes!$B$2,
  IF(D459="",
    "",
    SUM(1/(1+POWER(10,-(D458-_xlpm.elos)/_xlpm.diffscale)))-0.5)
)</f>
        <v/>
      </c>
      <c r="E460" t="str" cm="1">
        <f t="array" ref="E460">_xlfn.LET(
  _xlpm.colj, _xlfn._xlws.FILTER(IF(ISNUMBER(459:459), COLUMN(459:459)), ISNUMBER(459:459)),
  _xlpm.elos, INDEX(458:458,1,_xlpm.colj),
  _xlpm.diffscale, Constantes!$B$2,
  IF(E459="",
    "",
    SUM(1/(1+POWER(10,-(E458-_xlpm.elos)/_xlpm.diffscale)))-0.5)
)</f>
        <v/>
      </c>
      <c r="F460" t="str" cm="1">
        <f t="array" ref="F460">_xlfn.LET(
  _xlpm.colj, _xlfn._xlws.FILTER(IF(ISNUMBER(459:459), COLUMN(459:459)), ISNUMBER(459:459)),
  _xlpm.elos, INDEX(458:458,1,_xlpm.colj),
  _xlpm.diffscale, Constantes!$B$2,
  IF(F459="",
    "",
    SUM(1/(1+POWER(10,-(F458-_xlpm.elos)/_xlpm.diffscale)))-0.5)
)</f>
        <v/>
      </c>
      <c r="G460" t="str" cm="1">
        <f t="array" ref="G460">_xlfn.LET(
  _xlpm.colj, _xlfn._xlws.FILTER(IF(ISNUMBER(459:459), COLUMN(459:459)), ISNUMBER(459:459)),
  _xlpm.elos, INDEX(458:458,1,_xlpm.colj),
  _xlpm.diffscale, Constantes!$B$2,
  IF(G459="",
    "",
    SUM(1/(1+POWER(10,-(G458-_xlpm.elos)/_xlpm.diffscale)))-0.5)
)</f>
        <v/>
      </c>
      <c r="H460" t="str" cm="1">
        <f t="array" ref="H460">_xlfn.LET(
  _xlpm.colj, _xlfn._xlws.FILTER(IF(ISNUMBER(459:459), COLUMN(459:459)), ISNUMBER(459:459)),
  _xlpm.elos, INDEX(458:458,1,_xlpm.colj),
  _xlpm.diffscale, Constantes!$B$2,
  IF(H459="",
    "",
    SUM(1/(1+POWER(10,-(H458-_xlpm.elos)/_xlpm.diffscale)))-0.5)
)</f>
        <v/>
      </c>
      <c r="I460" t="str" cm="1">
        <f t="array" ref="I460">_xlfn.LET(
  _xlpm.colj, _xlfn._xlws.FILTER(IF(ISNUMBER(459:459), COLUMN(459:459)), ISNUMBER(459:459)),
  _xlpm.elos, INDEX(458:458,1,_xlpm.colj),
  _xlpm.diffscale, Constantes!$B$2,
  IF(I459="",
    "",
    SUM(1/(1+POWER(10,-(I458-_xlpm.elos)/_xlpm.diffscale)))-0.5)
)</f>
        <v/>
      </c>
      <c r="J460" cm="1">
        <f t="array" ref="J460">_xlfn.LET(
  _xlpm.colj, _xlfn._xlws.FILTER(IF(ISNUMBER(459:459), COLUMN(459:459)), ISNUMBER(459:459)),
  _xlpm.elos, INDEX(458:458,1,_xlpm.colj),
  _xlpm.diffscale, Constantes!$B$2,
  IF(J459="",
    "",
    SUM(1/(1+POWER(10,-(J458-_xlpm.elos)/_xlpm.diffscale)))-0.5)
)</f>
        <v>1.753141271948742</v>
      </c>
      <c r="K460" t="str" cm="1">
        <f t="array" ref="K460">_xlfn.LET(
  _xlpm.colj, _xlfn._xlws.FILTER(IF(ISNUMBER(459:459), COLUMN(459:459)), ISNUMBER(459:459)),
  _xlpm.elos, INDEX(458:458,1,_xlpm.colj),
  _xlpm.diffscale, Constantes!$B$2,
  IF(K459="",
    "",
    SUM(1/(1+POWER(10,-(K458-_xlpm.elos)/_xlpm.diffscale)))-0.5)
)</f>
        <v/>
      </c>
      <c r="L460" t="str" cm="1">
        <f t="array" ref="L460">_xlfn.LET(
  _xlpm.colj, _xlfn._xlws.FILTER(IF(ISNUMBER(459:459), COLUMN(459:459)), ISNUMBER(459:459)),
  _xlpm.elos, INDEX(458:458,1,_xlpm.colj),
  _xlpm.diffscale, Constantes!$B$2,
  IF(L459="",
    "",
    SUM(1/(1+POWER(10,-(L458-_xlpm.elos)/_xlpm.diffscale)))-0.5)
)</f>
        <v/>
      </c>
      <c r="M460" t="str" cm="1">
        <f t="array" ref="M460">_xlfn.LET(
  _xlpm.colj, _xlfn._xlws.FILTER(IF(ISNUMBER(459:459), COLUMN(459:459)), ISNUMBER(459:459)),
  _xlpm.elos, INDEX(458:458,1,_xlpm.colj),
  _xlpm.diffscale, Constantes!$B$2,
  IF(M459="",
    "",
    SUM(1/(1+POWER(10,-(M458-_xlpm.elos)/_xlpm.diffscale)))-0.5)
)</f>
        <v/>
      </c>
      <c r="N460" t="str" cm="1">
        <f t="array" ref="N460">_xlfn.LET(
  _xlpm.colj, _xlfn._xlws.FILTER(IF(ISNUMBER(459:459), COLUMN(459:459)), ISNUMBER(459:459)),
  _xlpm.elos, INDEX(458:458,1,_xlpm.colj),
  _xlpm.diffscale, Constantes!$B$2,
  IF(N459="",
    "",
    SUM(1/(1+POWER(10,-(N458-_xlpm.elos)/_xlpm.diffscale)))-0.5)
)</f>
        <v/>
      </c>
      <c r="O460" t="str" cm="1">
        <f t="array" ref="O460">_xlfn.LET(
  _xlpm.colj, _xlfn._xlws.FILTER(IF(ISNUMBER(459:459), COLUMN(459:459)), ISNUMBER(459:459)),
  _xlpm.elos, INDEX(458:458,1,_xlpm.colj),
  _xlpm.diffscale, Constantes!$B$2,
  IF(O459="",
    "",
    SUM(1/(1+POWER(10,-(O458-_xlpm.elos)/_xlpm.diffscale)))-0.5)
)</f>
        <v/>
      </c>
      <c r="P460" t="str" cm="1">
        <f t="array" ref="P460">_xlfn.LET(
  _xlpm.colj, _xlfn._xlws.FILTER(IF(ISNUMBER(459:459), COLUMN(459:459)), ISNUMBER(459:459)),
  _xlpm.elos, INDEX(458:458,1,_xlpm.colj),
  _xlpm.diffscale, Constantes!$B$2,
  IF(P459="",
    "",
    SUM(1/(1+POWER(10,-(P458-_xlpm.elos)/_xlpm.diffscale)))-0.5)
)</f>
        <v/>
      </c>
      <c r="Q460" t="str" cm="1">
        <f t="array" ref="Q460">_xlfn.LET(
  _xlpm.colj, _xlfn._xlws.FILTER(IF(ISNUMBER(459:459), COLUMN(459:459)), ISNUMBER(459:459)),
  _xlpm.elos, INDEX(458:458,1,_xlpm.colj),
  _xlpm.diffscale, Constantes!$B$2,
  IF(Q459="",
    "",
    SUM(1/(1+POWER(10,-(Q458-_xlpm.elos)/_xlpm.diffscale)))-0.5)
)</f>
        <v/>
      </c>
      <c r="R460" cm="1">
        <f t="array" ref="R460">_xlfn.LET(
  _xlpm.colj, _xlfn._xlws.FILTER(IF(ISNUMBER(459:459), COLUMN(459:459)), ISNUMBER(459:459)),
  _xlpm.elos, INDEX(458:458,1,_xlpm.colj),
  _xlpm.diffscale, Constantes!$B$2,
  IF(R459="",
    "",
    SUM(1/(1+POWER(10,-(R458-_xlpm.elos)/_xlpm.diffscale)))-0.5)
)</f>
        <v>2.0467254618386739</v>
      </c>
      <c r="S460" t="str" cm="1">
        <f t="array" ref="S460">_xlfn.LET(
  _xlpm.colj, _xlfn._xlws.FILTER(IF(ISNUMBER(459:459), COLUMN(459:459)), ISNUMBER(459:459)),
  _xlpm.elos, INDEX(458:458,1,_xlpm.colj),
  _xlpm.diffscale, Constantes!$B$2,
  IF(S459="",
    "",
    SUM(1/(1+POWER(10,-(S458-_xlpm.elos)/_xlpm.diffscale)))-0.5)
)</f>
        <v/>
      </c>
      <c r="T460" t="str" cm="1">
        <f t="array" ref="T460">_xlfn.LET(
  _xlpm.colj, _xlfn._xlws.FILTER(IF(ISNUMBER(459:459), COLUMN(459:459)), ISNUMBER(459:459)),
  _xlpm.elos, INDEX(458:458,1,_xlpm.colj),
  _xlpm.diffscale, Constantes!$B$2,
  IF(T459="",
    "",
    SUM(1/(1+POWER(10,-(T458-_xlpm.elos)/_xlpm.diffscale)))-0.5)
)</f>
        <v/>
      </c>
      <c r="U460" t="str" cm="1">
        <f t="array" ref="U460">_xlfn.LET(
  _xlpm.colj, _xlfn._xlws.FILTER(IF(ISNUMBER(459:459), COLUMN(459:459)), ISNUMBER(459:459)),
  _xlpm.elos, INDEX(458:458,1,_xlpm.colj),
  _xlpm.diffscale, Constantes!$B$2,
  IF(U459="",
    "",
    SUM(1/(1+POWER(10,-(U458-_xlpm.elos)/_xlpm.diffscale)))-0.5)
)</f>
        <v/>
      </c>
      <c r="V460" t="str" cm="1">
        <f t="array" ref="V460">_xlfn.LET(
  _xlpm.colj, _xlfn._xlws.FILTER(IF(ISNUMBER(459:459), COLUMN(459:459)), ISNUMBER(459:459)),
  _xlpm.elos, INDEX(458:458,1,_xlpm.colj),
  _xlpm.diffscale, Constantes!$B$2,
  IF(V459="",
    "",
    SUM(1/(1+POWER(10,-(V458-_xlpm.elos)/_xlpm.diffscale)))-0.5)
)</f>
        <v/>
      </c>
      <c r="W460" t="str" cm="1">
        <f t="array" ref="W460">_xlfn.LET(
  _xlpm.colj, _xlfn._xlws.FILTER(IF(ISNUMBER(459:459), COLUMN(459:459)), ISNUMBER(459:459)),
  _xlpm.elos, INDEX(458:458,1,_xlpm.colj),
  _xlpm.diffscale, Constantes!$B$2,
  IF(W459="",
    "",
    SUM(1/(1+POWER(10,-(W458-_xlpm.elos)/_xlpm.diffscale)))-0.5)
)</f>
        <v/>
      </c>
      <c r="X460" cm="1">
        <f t="array" ref="X460">_xlfn.LET(
  _xlpm.colj, _xlfn._xlws.FILTER(IF(ISNUMBER(459:459), COLUMN(459:459)), ISNUMBER(459:459)),
  _xlpm.elos, INDEX(458:458,1,_xlpm.colj),
  _xlpm.diffscale, Constantes!$B$2,
  IF(X459="",
    "",
    SUM(1/(1+POWER(10,-(X458-_xlpm.elos)/_xlpm.diffscale)))-0.5)
)</f>
        <v>0.86360517335932574</v>
      </c>
      <c r="Y460" t="str" cm="1">
        <f t="array" ref="Y460">_xlfn.LET(
  _xlpm.colj, _xlfn._xlws.FILTER(IF(ISNUMBER(459:459), COLUMN(459:459)), ISNUMBER(459:459)),
  _xlpm.elos, INDEX(458:458,1,_xlpm.colj),
  _xlpm.diffscale, Constantes!$B$2,
  IF(Y459="",
    "",
    SUM(1/(1+POWER(10,-(Y458-_xlpm.elos)/_xlpm.diffscale)))-0.5)
)</f>
        <v/>
      </c>
      <c r="Z460" t="str" cm="1">
        <f t="array" ref="Z460">_xlfn.LET(
  _xlpm.colj, _xlfn._xlws.FILTER(IF(ISNUMBER(459:459), COLUMN(459:459)), ISNUMBER(459:459)),
  _xlpm.elos, INDEX(458:458,1,_xlpm.colj),
  _xlpm.diffscale, Constantes!$B$2,
  IF(Z459="",
    "",
    SUM(1/(1+POWER(10,-(Z458-_xlpm.elos)/_xlpm.diffscale)))-0.5)
)</f>
        <v/>
      </c>
      <c r="AA460" t="str" cm="1">
        <f t="array" ref="AA460">_xlfn.LET(
  _xlpm.colj, _xlfn._xlws.FILTER(IF(ISNUMBER(459:459), COLUMN(459:459)), ISNUMBER(459:459)),
  _xlpm.elos, INDEX(458:458,1,_xlpm.colj),
  _xlpm.diffscale, Constantes!$B$2,
  IF(AA459="",
    "",
    SUM(1/(1+POWER(10,-(AA458-_xlpm.elos)/_xlpm.diffscale)))-0.5)
)</f>
        <v/>
      </c>
      <c r="AB460" t="str" cm="1">
        <f t="array" ref="AB460">_xlfn.LET(
  _xlpm.colj, _xlfn._xlws.FILTER(IF(ISNUMBER(459:459), COLUMN(459:459)), ISNUMBER(459:459)),
  _xlpm.elos, INDEX(458:458,1,_xlpm.colj),
  _xlpm.diffscale, Constantes!$B$2,
  IF(AB459="",
    "",
    SUM(1/(1+POWER(10,-(AB458-_xlpm.elos)/_xlpm.diffscale)))-0.5)
)</f>
        <v/>
      </c>
      <c r="AC460" cm="1">
        <f t="array" ref="AC460">_xlfn.LET(
  _xlpm.colj, _xlfn._xlws.FILTER(IF(ISNUMBER(459:459), COLUMN(459:459)), ISNUMBER(459:459)),
  _xlpm.elos, INDEX(458:458,1,_xlpm.colj),
  _xlpm.diffscale, Constantes!$B$2,
  IF(AC459="",
    "",
    SUM(1/(1+POWER(10,-(AC458-_xlpm.elos)/_xlpm.diffscale)))-0.5)
)</f>
        <v>1.3365280928532581</v>
      </c>
      <c r="AD460" t="str" cm="1">
        <f t="array" ref="AD460">_xlfn.LET(
  _xlpm.colj, _xlfn._xlws.FILTER(IF(ISNUMBER(459:459), COLUMN(459:459)), ISNUMBER(459:459)),
  _xlpm.elos, INDEX(458:458,1,_xlpm.colj),
  _xlpm.diffscale, Constantes!$B$2,
  IF(AD459="",
    "",
    SUM(1/(1+POWER(10,-(AD458-_xlpm.elos)/_xlpm.diffscale)))-0.5)
)</f>
        <v/>
      </c>
      <c r="AE460" t="str" cm="1">
        <f t="array" ref="AE460">_xlfn.LET(
  _xlpm.colj, _xlfn._xlws.FILTER(IF(ISNUMBER(459:459), COLUMN(459:459)), ISNUMBER(459:459)),
  _xlpm.elos, INDEX(458:458,1,_xlpm.colj),
  _xlpm.diffscale, Constantes!$B$2,
  IF(AE459="",
    "",
    SUM(1/(1+POWER(10,-(AE458-_xlpm.elos)/_xlpm.diffscale)))-0.5)
)</f>
        <v/>
      </c>
      <c r="AF460" t="str" cm="1">
        <f t="array" ref="AF460">_xlfn.LET(
  _xlpm.colj, _xlfn._xlws.FILTER(IF(ISNUMBER(459:459), COLUMN(459:459)), ISNUMBER(459:459)),
  _xlpm.elos, INDEX(458:458,1,_xlpm.colj),
  _xlpm.diffscale, Constantes!$B$2,
  IF(AF459="",
    "",
    SUM(1/(1+POWER(10,-(AF458-_xlpm.elos)/_xlpm.diffscale)))-0.5)
)</f>
        <v/>
      </c>
      <c r="AG460" t="str" cm="1">
        <f t="array" ref="AG460">_xlfn.LET(
  _xlpm.colj, _xlfn._xlws.FILTER(IF(ISNUMBER(459:459), COLUMN(459:459)), ISNUMBER(459:459)),
  _xlpm.elos, INDEX(458:458,1,_xlpm.colj),
  _xlpm.diffscale, Constantes!$B$2,
  IF(AG459="",
    "",
    SUM(1/(1+POWER(10,-(AG458-_xlpm.elos)/_xlpm.diffscale)))-0.5)
)</f>
        <v/>
      </c>
      <c r="AH460" t="str" cm="1">
        <f t="array" ref="AH460">_xlfn.LET(
  _xlpm.colj, _xlfn._xlws.FILTER(IF(ISNUMBER(459:459), COLUMN(459:459)), ISNUMBER(459:459)),
  _xlpm.elos, INDEX(458:458,1,_xlpm.colj),
  _xlpm.diffscale, Constantes!$B$2,
  IF(AH459="",
    "",
    SUM(1/(1+POWER(10,-(AH458-_xlpm.elos)/_xlpm.diffscale)))-0.5)
)</f>
        <v/>
      </c>
      <c r="AI460" t="str" cm="1">
        <f t="array" ref="AI460">_xlfn.LET(
  _xlpm.colj, _xlfn._xlws.FILTER(IF(ISNUMBER(459:459), COLUMN(459:459)), ISNUMBER(459:459)),
  _xlpm.elos, INDEX(458:458,1,_xlpm.colj),
  _xlpm.diffscale, Constantes!$B$2,
  IF(AI459="",
    "",
    SUM(1/(1+POWER(10,-(AI458-_xlpm.elos)/_xlpm.diffscale)))-0.5)
)</f>
        <v/>
      </c>
      <c r="AJ460" t="str" cm="1">
        <f t="array" ref="AJ460">_xlfn.LET(
  _xlpm.colj, _xlfn._xlws.FILTER(IF(ISNUMBER(459:459), COLUMN(459:459)), ISNUMBER(459:459)),
  _xlpm.elos, INDEX(458:458,1,_xlpm.colj),
  _xlpm.diffscale, Constantes!$B$2,
  IF(AJ459="",
    "",
    SUM(1/(1+POWER(10,-(AJ458-_xlpm.elos)/_xlpm.diffscale)))-0.5)
)</f>
        <v/>
      </c>
      <c r="AK460" t="str" cm="1">
        <f t="array" ref="AK460">_xlfn.LET(
  _xlpm.colj, _xlfn._xlws.FILTER(IF(ISNUMBER(459:459), COLUMN(459:459)), ISNUMBER(459:459)),
  _xlpm.elos, INDEX(458:458,1,_xlpm.colj),
  _xlpm.diffscale, Constantes!$B$2,
  IF(AK459="",
    "",
    SUM(1/(1+POWER(10,-(AK458-_xlpm.elos)/_xlpm.diffscale)))-0.5)
)</f>
        <v/>
      </c>
      <c r="AL460" t="str" cm="1">
        <f t="array" ref="AL460">_xlfn.LET(
  _xlpm.colj, _xlfn._xlws.FILTER(IF(ISNUMBER(459:459), COLUMN(459:459)), ISNUMBER(459:459)),
  _xlpm.elos, INDEX(458:458,1,_xlpm.colj),
  _xlpm.diffscale, Constantes!$B$2,
  IF(AL459="",
    "",
    SUM(1/(1+POWER(10,-(AL458-_xlpm.elos)/_xlpm.diffscale)))-0.5)
)</f>
        <v/>
      </c>
      <c r="AM460" t="str" cm="1">
        <f t="array" ref="AM460">_xlfn.LET(
  _xlpm.colj, _xlfn._xlws.FILTER(IF(ISNUMBER(459:459), COLUMN(459:459)), ISNUMBER(459:459)),
  _xlpm.elos, INDEX(458:458,1,_xlpm.colj),
  _xlpm.diffscale, Constantes!$B$2,
  IF(AM459="",
    "",
    SUM(1/(1+POWER(10,-(AM458-_xlpm.elos)/_xlpm.diffscale)))-0.5)
)</f>
        <v/>
      </c>
    </row>
    <row r="461" spans="1:39" x14ac:dyDescent="0.25">
      <c r="A461" t="s">
        <v>22</v>
      </c>
      <c r="D461" t="str" cm="1">
        <f t="array" ref="D461">_xlfn.LET(
  _xlpm.K, Constantes!$B$3,
  _xlpm.Knewgain, Constantes!$B$4,
  _xlpm.Knewscale, Constantes!$B$5,
  _xlpm.ptstables, INDEX(D:D, _xlfn.SEQUENCE(COUNTA($C$2:$C461), 1, 3, 4)),
  _xlpm.nbparties, COUNTA(_xlfn._xlws.FILTER(_xlpm.ptstables, _xlpm.ptstables &lt;&gt; "")),
  _xlpm.coef, _xlpm.K + _xlpm.Knewgain / (_xlpm.Knewscale + _xlpm.nbparties),
  IF(D459="",
    "",
    _xlpm.coef * (D459-D460))
)</f>
        <v/>
      </c>
      <c r="E461" t="str" cm="1">
        <f t="array" ref="E461">_xlfn.LET(
  _xlpm.K, Constantes!$B$3,
  _xlpm.Knewgain, Constantes!$B$4,
  _xlpm.Knewscale, Constantes!$B$5,
  _xlpm.ptstables, INDEX(E:E, _xlfn.SEQUENCE(COUNTA($C$2:$C461), 1, 3, 4)),
  _xlpm.nbparties, COUNTA(_xlfn._xlws.FILTER(_xlpm.ptstables, _xlpm.ptstables &lt;&gt; "")),
  _xlpm.coef, _xlpm.K + _xlpm.Knewgain / (_xlpm.Knewscale + _xlpm.nbparties),
  IF(E459="",
    "",
    _xlpm.coef * (E459-E460))
)</f>
        <v/>
      </c>
      <c r="F461" t="str" cm="1">
        <f t="array" ref="F461">_xlfn.LET(
  _xlpm.K, Constantes!$B$3,
  _xlpm.Knewgain, Constantes!$B$4,
  _xlpm.Knewscale, Constantes!$B$5,
  _xlpm.ptstables, INDEX(F:F, _xlfn.SEQUENCE(COUNTA($C$2:$C461), 1, 3, 4)),
  _xlpm.nbparties, COUNTA(_xlfn._xlws.FILTER(_xlpm.ptstables, _xlpm.ptstables &lt;&gt; "")),
  _xlpm.coef, _xlpm.K + _xlpm.Knewgain / (_xlpm.Knewscale + _xlpm.nbparties),
  IF(F459="",
    "",
    _xlpm.coef * (F459-F460))
)</f>
        <v/>
      </c>
      <c r="G461" t="str" cm="1">
        <f t="array" ref="G461">_xlfn.LET(
  _xlpm.K, Constantes!$B$3,
  _xlpm.Knewgain, Constantes!$B$4,
  _xlpm.Knewscale, Constantes!$B$5,
  _xlpm.ptstables, INDEX(G:G, _xlfn.SEQUENCE(COUNTA($C$2:$C461), 1, 3, 4)),
  _xlpm.nbparties, COUNTA(_xlfn._xlws.FILTER(_xlpm.ptstables, _xlpm.ptstables &lt;&gt; "")),
  _xlpm.coef, _xlpm.K + _xlpm.Knewgain / (_xlpm.Knewscale + _xlpm.nbparties),
  IF(G459="",
    "",
    _xlpm.coef * (G459-G460))
)</f>
        <v/>
      </c>
      <c r="H461" t="str" cm="1">
        <f t="array" ref="H461">_xlfn.LET(
  _xlpm.K, Constantes!$B$3,
  _xlpm.Knewgain, Constantes!$B$4,
  _xlpm.Knewscale, Constantes!$B$5,
  _xlpm.ptstables, INDEX(H:H, _xlfn.SEQUENCE(COUNTA($C$2:$C461), 1, 3, 4)),
  _xlpm.nbparties, COUNTA(_xlfn._xlws.FILTER(_xlpm.ptstables, _xlpm.ptstables &lt;&gt; "")),
  _xlpm.coef, _xlpm.K + _xlpm.Knewgain / (_xlpm.Knewscale + _xlpm.nbparties),
  IF(H459="",
    "",
    _xlpm.coef * (H459-H460))
)</f>
        <v/>
      </c>
      <c r="I461" t="str" cm="1">
        <f t="array" ref="I461">_xlfn.LET(
  _xlpm.K, Constantes!$B$3,
  _xlpm.Knewgain, Constantes!$B$4,
  _xlpm.Knewscale, Constantes!$B$5,
  _xlpm.ptstables, INDEX(I:I, _xlfn.SEQUENCE(COUNTA($C$2:$C461), 1, 3, 4)),
  _xlpm.nbparties, COUNTA(_xlfn._xlws.FILTER(_xlpm.ptstables, _xlpm.ptstables &lt;&gt; "")),
  _xlpm.coef, _xlpm.K + _xlpm.Knewgain / (_xlpm.Knewscale + _xlpm.nbparties),
  IF(I459="",
    "",
    _xlpm.coef * (I459-I460))
)</f>
        <v/>
      </c>
      <c r="J461" cm="1">
        <f t="array" ref="J461">_xlfn.LET(
  _xlpm.K, Constantes!$B$3,
  _xlpm.Knewgain, Constantes!$B$4,
  _xlpm.Knewscale, Constantes!$B$5,
  _xlpm.ptstables, INDEX(J:J, _xlfn.SEQUENCE(COUNTA($C$2:$C461), 1, 3, 4)),
  _xlpm.nbparties, COUNTA(_xlfn._xlws.FILTER(_xlpm.ptstables, _xlpm.ptstables &lt;&gt; "")),
  _xlpm.coef, _xlpm.K + _xlpm.Knewgain / (_xlpm.Knewscale + _xlpm.nbparties),
  IF(J459="",
    "",
    _xlpm.coef * (J459-J460))
)</f>
        <v>-42.367580738761269</v>
      </c>
      <c r="K461" t="str" cm="1">
        <f t="array" ref="K461">_xlfn.LET(
  _xlpm.K, Constantes!$B$3,
  _xlpm.Knewgain, Constantes!$B$4,
  _xlpm.Knewscale, Constantes!$B$5,
  _xlpm.ptstables, INDEX(K:K, _xlfn.SEQUENCE(COUNTA($C$2:$C461), 1, 3, 4)),
  _xlpm.nbparties, COUNTA(_xlfn._xlws.FILTER(_xlpm.ptstables, _xlpm.ptstables &lt;&gt; "")),
  _xlpm.coef, _xlpm.K + _xlpm.Knewgain / (_xlpm.Knewscale + _xlpm.nbparties),
  IF(K459="",
    "",
    _xlpm.coef * (K459-K460))
)</f>
        <v/>
      </c>
      <c r="L461" t="str" cm="1">
        <f t="array" ref="L461">_xlfn.LET(
  _xlpm.K, Constantes!$B$3,
  _xlpm.Knewgain, Constantes!$B$4,
  _xlpm.Knewscale, Constantes!$B$5,
  _xlpm.ptstables, INDEX(L:L, _xlfn.SEQUENCE(COUNTA($C$2:$C461), 1, 3, 4)),
  _xlpm.nbparties, COUNTA(_xlfn._xlws.FILTER(_xlpm.ptstables, _xlpm.ptstables &lt;&gt; "")),
  _xlpm.coef, _xlpm.K + _xlpm.Knewgain / (_xlpm.Knewscale + _xlpm.nbparties),
  IF(L459="",
    "",
    _xlpm.coef * (L459-L460))
)</f>
        <v/>
      </c>
      <c r="M461" t="str" cm="1">
        <f t="array" ref="M461">_xlfn.LET(
  _xlpm.K, Constantes!$B$3,
  _xlpm.Knewgain, Constantes!$B$4,
  _xlpm.Knewscale, Constantes!$B$5,
  _xlpm.ptstables, INDEX(M:M, _xlfn.SEQUENCE(COUNTA($C$2:$C461), 1, 3, 4)),
  _xlpm.nbparties, COUNTA(_xlfn._xlws.FILTER(_xlpm.ptstables, _xlpm.ptstables &lt;&gt; "")),
  _xlpm.coef, _xlpm.K + _xlpm.Knewgain / (_xlpm.Knewscale + _xlpm.nbparties),
  IF(M459="",
    "",
    _xlpm.coef * (M459-M460))
)</f>
        <v/>
      </c>
      <c r="N461" t="str" cm="1">
        <f t="array" ref="N461">_xlfn.LET(
  _xlpm.K, Constantes!$B$3,
  _xlpm.Knewgain, Constantes!$B$4,
  _xlpm.Knewscale, Constantes!$B$5,
  _xlpm.ptstables, INDEX(N:N, _xlfn.SEQUENCE(COUNTA($C$2:$C461), 1, 3, 4)),
  _xlpm.nbparties, COUNTA(_xlfn._xlws.FILTER(_xlpm.ptstables, _xlpm.ptstables &lt;&gt; "")),
  _xlpm.coef, _xlpm.K + _xlpm.Knewgain / (_xlpm.Knewscale + _xlpm.nbparties),
  IF(N459="",
    "",
    _xlpm.coef * (N459-N460))
)</f>
        <v/>
      </c>
      <c r="O461" t="str" cm="1">
        <f t="array" ref="O461">_xlfn.LET(
  _xlpm.K, Constantes!$B$3,
  _xlpm.Knewgain, Constantes!$B$4,
  _xlpm.Knewscale, Constantes!$B$5,
  _xlpm.ptstables, INDEX(O:O, _xlfn.SEQUENCE(COUNTA($C$2:$C461), 1, 3, 4)),
  _xlpm.nbparties, COUNTA(_xlfn._xlws.FILTER(_xlpm.ptstables, _xlpm.ptstables &lt;&gt; "")),
  _xlpm.coef, _xlpm.K + _xlpm.Knewgain / (_xlpm.Knewscale + _xlpm.nbparties),
  IF(O459="",
    "",
    _xlpm.coef * (O459-O460))
)</f>
        <v/>
      </c>
      <c r="P461" t="str" cm="1">
        <f t="array" ref="P461">_xlfn.LET(
  _xlpm.K, Constantes!$B$3,
  _xlpm.Knewgain, Constantes!$B$4,
  _xlpm.Knewscale, Constantes!$B$5,
  _xlpm.ptstables, INDEX(P:P, _xlfn.SEQUENCE(COUNTA($C$2:$C461), 1, 3, 4)),
  _xlpm.nbparties, COUNTA(_xlfn._xlws.FILTER(_xlpm.ptstables, _xlpm.ptstables &lt;&gt; "")),
  _xlpm.coef, _xlpm.K + _xlpm.Knewgain / (_xlpm.Knewscale + _xlpm.nbparties),
  IF(P459="",
    "",
    _xlpm.coef * (P459-P460))
)</f>
        <v/>
      </c>
      <c r="Q461" t="str" cm="1">
        <f t="array" ref="Q461">_xlfn.LET(
  _xlpm.K, Constantes!$B$3,
  _xlpm.Knewgain, Constantes!$B$4,
  _xlpm.Knewscale, Constantes!$B$5,
  _xlpm.ptstables, INDEX(Q:Q, _xlfn.SEQUENCE(COUNTA($C$2:$C461), 1, 3, 4)),
  _xlpm.nbparties, COUNTA(_xlfn._xlws.FILTER(_xlpm.ptstables, _xlpm.ptstables &lt;&gt; "")),
  _xlpm.coef, _xlpm.K + _xlpm.Knewgain / (_xlpm.Knewscale + _xlpm.nbparties),
  IF(Q459="",
    "",
    _xlpm.coef * (Q459-Q460))
)</f>
        <v/>
      </c>
      <c r="R461" cm="1">
        <f t="array" ref="R461">_xlfn.LET(
  _xlpm.K, Constantes!$B$3,
  _xlpm.Knewgain, Constantes!$B$4,
  _xlpm.Knewscale, Constantes!$B$5,
  _xlpm.ptstables, INDEX(R:R, _xlfn.SEQUENCE(COUNTA($C$2:$C461), 1, 3, 4)),
  _xlpm.nbparties, COUNTA(_xlfn._xlws.FILTER(_xlpm.ptstables, _xlpm.ptstables &lt;&gt; "")),
  _xlpm.coef, _xlpm.K + _xlpm.Knewgain / (_xlpm.Knewscale + _xlpm.nbparties),
  IF(R459="",
    "",
    _xlpm.coef * (R459-R460))
)</f>
        <v>20.654281660162066</v>
      </c>
      <c r="S461" t="str" cm="1">
        <f t="array" ref="S461">_xlfn.LET(
  _xlpm.K, Constantes!$B$3,
  _xlpm.Knewgain, Constantes!$B$4,
  _xlpm.Knewscale, Constantes!$B$5,
  _xlpm.ptstables, INDEX(S:S, _xlfn.SEQUENCE(COUNTA($C$2:$C461), 1, 3, 4)),
  _xlpm.nbparties, COUNTA(_xlfn._xlws.FILTER(_xlpm.ptstables, _xlpm.ptstables &lt;&gt; "")),
  _xlpm.coef, _xlpm.K + _xlpm.Knewgain / (_xlpm.Knewscale + _xlpm.nbparties),
  IF(S459="",
    "",
    _xlpm.coef * (S459-S460))
)</f>
        <v/>
      </c>
      <c r="T461" t="str" cm="1">
        <f t="array" ref="T461">_xlfn.LET(
  _xlpm.K, Constantes!$B$3,
  _xlpm.Knewgain, Constantes!$B$4,
  _xlpm.Knewscale, Constantes!$B$5,
  _xlpm.ptstables, INDEX(T:T, _xlfn.SEQUENCE(COUNTA($C$2:$C461), 1, 3, 4)),
  _xlpm.nbparties, COUNTA(_xlfn._xlws.FILTER(_xlpm.ptstables, _xlpm.ptstables &lt;&gt; "")),
  _xlpm.coef, _xlpm.K + _xlpm.Knewgain / (_xlpm.Knewscale + _xlpm.nbparties),
  IF(T459="",
    "",
    _xlpm.coef * (T459-T460))
)</f>
        <v/>
      </c>
      <c r="U461" t="str" cm="1">
        <f t="array" ref="U461">_xlfn.LET(
  _xlpm.K, Constantes!$B$3,
  _xlpm.Knewgain, Constantes!$B$4,
  _xlpm.Knewscale, Constantes!$B$5,
  _xlpm.ptstables, INDEX(U:U, _xlfn.SEQUENCE(COUNTA($C$2:$C461), 1, 3, 4)),
  _xlpm.nbparties, COUNTA(_xlfn._xlws.FILTER(_xlpm.ptstables, _xlpm.ptstables &lt;&gt; "")),
  _xlpm.coef, _xlpm.K + _xlpm.Knewgain / (_xlpm.Knewscale + _xlpm.nbparties),
  IF(U459="",
    "",
    _xlpm.coef * (U459-U460))
)</f>
        <v/>
      </c>
      <c r="V461" t="str" cm="1">
        <f t="array" ref="V461">_xlfn.LET(
  _xlpm.K, Constantes!$B$3,
  _xlpm.Knewgain, Constantes!$B$4,
  _xlpm.Knewscale, Constantes!$B$5,
  _xlpm.ptstables, INDEX(V:V, _xlfn.SEQUENCE(COUNTA($C$2:$C461), 1, 3, 4)),
  _xlpm.nbparties, COUNTA(_xlfn._xlws.FILTER(_xlpm.ptstables, _xlpm.ptstables &lt;&gt; "")),
  _xlpm.coef, _xlpm.K + _xlpm.Knewgain / (_xlpm.Knewscale + _xlpm.nbparties),
  IF(V459="",
    "",
    _xlpm.coef * (V459-V460))
)</f>
        <v/>
      </c>
      <c r="W461" t="str" cm="1">
        <f t="array" ref="W461">_xlfn.LET(
  _xlpm.K, Constantes!$B$3,
  _xlpm.Knewgain, Constantes!$B$4,
  _xlpm.Knewscale, Constantes!$B$5,
  _xlpm.ptstables, INDEX(W:W, _xlfn.SEQUENCE(COUNTA($C$2:$C461), 1, 3, 4)),
  _xlpm.nbparties, COUNTA(_xlfn._xlws.FILTER(_xlpm.ptstables, _xlpm.ptstables &lt;&gt; "")),
  _xlpm.coef, _xlpm.K + _xlpm.Knewgain / (_xlpm.Knewscale + _xlpm.nbparties),
  IF(W459="",
    "",
    _xlpm.coef * (W459-W460))
)</f>
        <v/>
      </c>
      <c r="X461" cm="1">
        <f t="array" ref="X461">_xlfn.LET(
  _xlpm.K, Constantes!$B$3,
  _xlpm.Knewgain, Constantes!$B$4,
  _xlpm.Knewscale, Constantes!$B$5,
  _xlpm.ptstables, INDEX(X:X, _xlfn.SEQUENCE(COUNTA($C$2:$C461), 1, 3, 4)),
  _xlpm.nbparties, COUNTA(_xlfn._xlws.FILTER(_xlpm.ptstables, _xlpm.ptstables &lt;&gt; "")),
  _xlpm.coef, _xlpm.K + _xlpm.Knewgain / (_xlpm.Knewscale + _xlpm.nbparties),
  IF(X459="",
    "",
    _xlpm.coef * (X459-X460))
)</f>
        <v>26.515879288282399</v>
      </c>
      <c r="Y461" t="str" cm="1">
        <f t="array" ref="Y461">_xlfn.LET(
  _xlpm.K, Constantes!$B$3,
  _xlpm.Knewgain, Constantes!$B$4,
  _xlpm.Knewscale, Constantes!$B$5,
  _xlpm.ptstables, INDEX(Y:Y, _xlfn.SEQUENCE(COUNTA($C$2:$C461), 1, 3, 4)),
  _xlpm.nbparties, COUNTA(_xlfn._xlws.FILTER(_xlpm.ptstables, _xlpm.ptstables &lt;&gt; "")),
  _xlpm.coef, _xlpm.K + _xlpm.Knewgain / (_xlpm.Knewscale + _xlpm.nbparties),
  IF(Y459="",
    "",
    _xlpm.coef * (Y459-Y460))
)</f>
        <v/>
      </c>
      <c r="Z461" t="str" cm="1">
        <f t="array" ref="Z461">_xlfn.LET(
  _xlpm.K, Constantes!$B$3,
  _xlpm.Knewgain, Constantes!$B$4,
  _xlpm.Knewscale, Constantes!$B$5,
  _xlpm.ptstables, INDEX(Z:Z, _xlfn.SEQUENCE(COUNTA($C$2:$C461), 1, 3, 4)),
  _xlpm.nbparties, COUNTA(_xlfn._xlws.FILTER(_xlpm.ptstables, _xlpm.ptstables &lt;&gt; "")),
  _xlpm.coef, _xlpm.K + _xlpm.Knewgain / (_xlpm.Knewscale + _xlpm.nbparties),
  IF(Z459="",
    "",
    _xlpm.coef * (Z459-Z460))
)</f>
        <v/>
      </c>
      <c r="AA461" t="str" cm="1">
        <f t="array" ref="AA461">_xlfn.LET(
  _xlpm.K, Constantes!$B$3,
  _xlpm.Knewgain, Constantes!$B$4,
  _xlpm.Knewscale, Constantes!$B$5,
  _xlpm.ptstables, INDEX(AA:AA, _xlfn.SEQUENCE(COUNTA($C$2:$C461), 1, 3, 4)),
  _xlpm.nbparties, COUNTA(_xlfn._xlws.FILTER(_xlpm.ptstables, _xlpm.ptstables &lt;&gt; "")),
  _xlpm.coef, _xlpm.K + _xlpm.Knewgain / (_xlpm.Knewscale + _xlpm.nbparties),
  IF(AA459="",
    "",
    _xlpm.coef * (AA459-AA460))
)</f>
        <v/>
      </c>
      <c r="AB461" t="str" cm="1">
        <f t="array" ref="AB461">_xlfn.LET(
  _xlpm.K, Constantes!$B$3,
  _xlpm.Knewgain, Constantes!$B$4,
  _xlpm.Knewscale, Constantes!$B$5,
  _xlpm.ptstables, INDEX(AB:AB, _xlfn.SEQUENCE(COUNTA($C$2:$C461), 1, 3, 4)),
  _xlpm.nbparties, COUNTA(_xlfn._xlws.FILTER(_xlpm.ptstables, _xlpm.ptstables &lt;&gt; "")),
  _xlpm.coef, _xlpm.K + _xlpm.Knewgain / (_xlpm.Knewscale + _xlpm.nbparties),
  IF(AB459="",
    "",
    _xlpm.coef * (AB459-AB460))
)</f>
        <v/>
      </c>
      <c r="AC461" cm="1">
        <f t="array" ref="AC461">_xlfn.LET(
  _xlpm.K, Constantes!$B$3,
  _xlpm.Knewgain, Constantes!$B$4,
  _xlpm.Knewscale, Constantes!$B$5,
  _xlpm.ptstables, INDEX(AC:AC, _xlfn.SEQUENCE(COUNTA($C$2:$C461), 1, 3, 4)),
  _xlpm.nbparties, COUNTA(_xlfn._xlws.FILTER(_xlpm.ptstables, _xlpm.ptstables &lt;&gt; "")),
  _xlpm.coef, _xlpm.K + _xlpm.Knewgain / (_xlpm.Knewscale + _xlpm.nbparties),
  IF(AC459="",
    "",
    _xlpm.coef * (AC459-AC460))
)</f>
        <v>-7.5718820891983079</v>
      </c>
      <c r="AD461" t="str" cm="1">
        <f t="array" ref="AD461">_xlfn.LET(
  _xlpm.K, Constantes!$B$3,
  _xlpm.Knewgain, Constantes!$B$4,
  _xlpm.Knewscale, Constantes!$B$5,
  _xlpm.ptstables, INDEX(AD:AD, _xlfn.SEQUENCE(COUNTA($C$2:$C461), 1, 3, 4)),
  _xlpm.nbparties, COUNTA(_xlfn._xlws.FILTER(_xlpm.ptstables, _xlpm.ptstables &lt;&gt; "")),
  _xlpm.coef, _xlpm.K + _xlpm.Knewgain / (_xlpm.Knewscale + _xlpm.nbparties),
  IF(AD459="",
    "",
    _xlpm.coef * (AD459-AD460))
)</f>
        <v/>
      </c>
      <c r="AE461" t="str" cm="1">
        <f t="array" ref="AE461">_xlfn.LET(
  _xlpm.K, Constantes!$B$3,
  _xlpm.Knewgain, Constantes!$B$4,
  _xlpm.Knewscale, Constantes!$B$5,
  _xlpm.ptstables, INDEX(AE:AE, _xlfn.SEQUENCE(COUNTA($C$2:$C461), 1, 3, 4)),
  _xlpm.nbparties, COUNTA(_xlfn._xlws.FILTER(_xlpm.ptstables, _xlpm.ptstables &lt;&gt; "")),
  _xlpm.coef, _xlpm.K + _xlpm.Knewgain / (_xlpm.Knewscale + _xlpm.nbparties),
  IF(AE459="",
    "",
    _xlpm.coef * (AE459-AE460))
)</f>
        <v/>
      </c>
      <c r="AF461" t="str" cm="1">
        <f t="array" ref="AF461">_xlfn.LET(
  _xlpm.K, Constantes!$B$3,
  _xlpm.Knewgain, Constantes!$B$4,
  _xlpm.Knewscale, Constantes!$B$5,
  _xlpm.ptstables, INDEX(AF:AF, _xlfn.SEQUENCE(COUNTA($C$2:$C461), 1, 3, 4)),
  _xlpm.nbparties, COUNTA(_xlfn._xlws.FILTER(_xlpm.ptstables, _xlpm.ptstables &lt;&gt; "")),
  _xlpm.coef, _xlpm.K + _xlpm.Knewgain / (_xlpm.Knewscale + _xlpm.nbparties),
  IF(AF459="",
    "",
    _xlpm.coef * (AF459-AF460))
)</f>
        <v/>
      </c>
      <c r="AG461" t="str" cm="1">
        <f t="array" ref="AG461">_xlfn.LET(
  _xlpm.K, Constantes!$B$3,
  _xlpm.Knewgain, Constantes!$B$4,
  _xlpm.Knewscale, Constantes!$B$5,
  _xlpm.ptstables, INDEX(AG:AG, _xlfn.SEQUENCE(COUNTA($C$2:$C461), 1, 3, 4)),
  _xlpm.nbparties, COUNTA(_xlfn._xlws.FILTER(_xlpm.ptstables, _xlpm.ptstables &lt;&gt; "")),
  _xlpm.coef, _xlpm.K + _xlpm.Knewgain / (_xlpm.Knewscale + _xlpm.nbparties),
  IF(AG459="",
    "",
    _xlpm.coef * (AG459-AG460))
)</f>
        <v/>
      </c>
      <c r="AH461" t="str" cm="1">
        <f t="array" ref="AH461">_xlfn.LET(
  _xlpm.K, Constantes!$B$3,
  _xlpm.Knewgain, Constantes!$B$4,
  _xlpm.Knewscale, Constantes!$B$5,
  _xlpm.ptstables, INDEX(AH:AH, _xlfn.SEQUENCE(COUNTA($C$2:$C461), 1, 3, 4)),
  _xlpm.nbparties, COUNTA(_xlfn._xlws.FILTER(_xlpm.ptstables, _xlpm.ptstables &lt;&gt; "")),
  _xlpm.coef, _xlpm.K + _xlpm.Knewgain / (_xlpm.Knewscale + _xlpm.nbparties),
  IF(AH459="",
    "",
    _xlpm.coef * (AH459-AH460))
)</f>
        <v/>
      </c>
      <c r="AI461" t="str" cm="1">
        <f t="array" ref="AI461">_xlfn.LET(
  _xlpm.K, Constantes!$B$3,
  _xlpm.Knewgain, Constantes!$B$4,
  _xlpm.Knewscale, Constantes!$B$5,
  _xlpm.ptstables, INDEX(AI:AI, _xlfn.SEQUENCE(COUNTA($C$2:$C461), 1, 3, 4)),
  _xlpm.nbparties, COUNTA(_xlfn._xlws.FILTER(_xlpm.ptstables, _xlpm.ptstables &lt;&gt; "")),
  _xlpm.coef, _xlpm.K + _xlpm.Knewgain / (_xlpm.Knewscale + _xlpm.nbparties),
  IF(AI459="",
    "",
    _xlpm.coef * (AI459-AI460))
)</f>
        <v/>
      </c>
      <c r="AJ461" t="str" cm="1">
        <f t="array" ref="AJ461">_xlfn.LET(
  _xlpm.K, Constantes!$B$3,
  _xlpm.Knewgain, Constantes!$B$4,
  _xlpm.Knewscale, Constantes!$B$5,
  _xlpm.ptstables, INDEX(AJ:AJ, _xlfn.SEQUENCE(COUNTA($C$2:$C461), 1, 3, 4)),
  _xlpm.nbparties, COUNTA(_xlfn._xlws.FILTER(_xlpm.ptstables, _xlpm.ptstables &lt;&gt; "")),
  _xlpm.coef, _xlpm.K + _xlpm.Knewgain / (_xlpm.Knewscale + _xlpm.nbparties),
  IF(AJ459="",
    "",
    _xlpm.coef * (AJ459-AJ460))
)</f>
        <v/>
      </c>
      <c r="AK461" t="str" cm="1">
        <f t="array" ref="AK461">_xlfn.LET(
  _xlpm.K, Constantes!$B$3,
  _xlpm.Knewgain, Constantes!$B$4,
  _xlpm.Knewscale, Constantes!$B$5,
  _xlpm.ptstables, INDEX(AK:AK, _xlfn.SEQUENCE(COUNTA($C$2:$C461), 1, 3, 4)),
  _xlpm.nbparties, COUNTA(_xlfn._xlws.FILTER(_xlpm.ptstables, _xlpm.ptstables &lt;&gt; "")),
  _xlpm.coef, _xlpm.K + _xlpm.Knewgain / (_xlpm.Knewscale + _xlpm.nbparties),
  IF(AK459="",
    "",
    _xlpm.coef * (AK459-AK460))
)</f>
        <v/>
      </c>
      <c r="AL461" t="str" cm="1">
        <f t="array" ref="AL461">_xlfn.LET(
  _xlpm.K, Constantes!$B$3,
  _xlpm.Knewgain, Constantes!$B$4,
  _xlpm.Knewscale, Constantes!$B$5,
  _xlpm.ptstables, INDEX(AL:AL, _xlfn.SEQUENCE(COUNTA($C$2:$C461), 1, 3, 4)),
  _xlpm.nbparties, COUNTA(_xlfn._xlws.FILTER(_xlpm.ptstables, _xlpm.ptstables &lt;&gt; "")),
  _xlpm.coef, _xlpm.K + _xlpm.Knewgain / (_xlpm.Knewscale + _xlpm.nbparties),
  IF(AL459="",
    "",
    _xlpm.coef * (AL459-AL460))
)</f>
        <v/>
      </c>
      <c r="AM461" t="str" cm="1">
        <f t="array" ref="AM461">_xlfn.LET(
  _xlpm.K, Constantes!$B$3,
  _xlpm.Knewgain, Constantes!$B$4,
  _xlpm.Knewscale, Constantes!$B$5,
  _xlpm.ptstables, INDEX(AM:AM, _xlfn.SEQUENCE(COUNTA($C$2:$C461), 1, 3, 4)),
  _xlpm.nbparties, COUNTA(_xlfn._xlws.FILTER(_xlpm.ptstables, _xlpm.ptstables &lt;&gt; "")),
  _xlpm.coef, _xlpm.K + _xlpm.Knewgain / (_xlpm.Knewscale + _xlpm.nbparties),
  IF(AM459="",
    "",
    _xlpm.coef * (AM459-AM460))
)</f>
        <v/>
      </c>
    </row>
    <row r="462" spans="1:39" x14ac:dyDescent="0.25">
      <c r="A462" t="s">
        <v>14</v>
      </c>
      <c r="B462" t="str" cm="1">
        <f t="array" ref="B46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119</v>
      </c>
      <c r="C462" s="2" cm="1">
        <f t="array" ref="C462">IF(B462="","",
  INDEX(Donnees!F:F, MATCH(B462, Donnees!F:F, 0)+1))</f>
        <v>45969.598865740743</v>
      </c>
      <c r="D462">
        <f t="shared" ref="D462:AM462" si="123">D458+IF(D461="",0,D461)</f>
        <v>970.88542284486812</v>
      </c>
      <c r="E462">
        <f t="shared" si="123"/>
        <v>1196.4195973781996</v>
      </c>
      <c r="F462">
        <f t="shared" si="123"/>
        <v>911.8835833951041</v>
      </c>
      <c r="G462">
        <f t="shared" si="123"/>
        <v>1009.6650561189861</v>
      </c>
      <c r="H462">
        <f t="shared" si="123"/>
        <v>1094.641003167957</v>
      </c>
      <c r="I462">
        <f t="shared" si="123"/>
        <v>907.83370609419069</v>
      </c>
      <c r="J462">
        <f t="shared" si="123"/>
        <v>957.88376096605771</v>
      </c>
      <c r="K462">
        <f t="shared" si="123"/>
        <v>1076.8546837336262</v>
      </c>
      <c r="L462">
        <f t="shared" si="123"/>
        <v>762.99078552663389</v>
      </c>
      <c r="M462">
        <f t="shared" si="123"/>
        <v>927.4581540493366</v>
      </c>
      <c r="N462">
        <f t="shared" si="123"/>
        <v>899.98370646249032</v>
      </c>
      <c r="O462">
        <f t="shared" si="123"/>
        <v>997.04050320786712</v>
      </c>
      <c r="P462">
        <f t="shared" si="123"/>
        <v>1000.038589629396</v>
      </c>
      <c r="Q462">
        <f t="shared" si="123"/>
        <v>1082.9571363061975</v>
      </c>
      <c r="R462">
        <f t="shared" si="123"/>
        <v>1077.0429268320299</v>
      </c>
      <c r="S462">
        <f t="shared" si="123"/>
        <v>1002.6649899548004</v>
      </c>
      <c r="T462">
        <f t="shared" si="123"/>
        <v>1125.604709757928</v>
      </c>
      <c r="U462">
        <f t="shared" si="123"/>
        <v>1222.7257721587478</v>
      </c>
      <c r="V462">
        <f t="shared" si="123"/>
        <v>964.86178289028601</v>
      </c>
      <c r="W462">
        <f t="shared" si="123"/>
        <v>873.42626723356045</v>
      </c>
      <c r="X462">
        <f t="shared" si="123"/>
        <v>858.92096928478088</v>
      </c>
      <c r="Y462">
        <f t="shared" si="123"/>
        <v>966.14168240704885</v>
      </c>
      <c r="Z462">
        <f t="shared" si="123"/>
        <v>1008.6876849635962</v>
      </c>
      <c r="AA462">
        <f t="shared" si="123"/>
        <v>942.27730100696294</v>
      </c>
      <c r="AB462">
        <f t="shared" si="123"/>
        <v>988.35669729544747</v>
      </c>
      <c r="AC462">
        <f t="shared" si="123"/>
        <v>915.79661995008541</v>
      </c>
      <c r="AD462">
        <f t="shared" si="123"/>
        <v>1054.5168154629837</v>
      </c>
      <c r="AE462">
        <f t="shared" si="123"/>
        <v>963.23981965000235</v>
      </c>
      <c r="AF462">
        <f t="shared" si="123"/>
        <v>1094.8196847516158</v>
      </c>
      <c r="AG462">
        <f t="shared" si="123"/>
        <v>958.23078604304851</v>
      </c>
      <c r="AH462">
        <f t="shared" si="123"/>
        <v>920.4412636682855</v>
      </c>
      <c r="AI462">
        <f t="shared" si="123"/>
        <v>1036.4167877702052</v>
      </c>
      <c r="AJ462">
        <f t="shared" si="123"/>
        <v>906.86354201913434</v>
      </c>
      <c r="AK462">
        <f t="shared" si="123"/>
        <v>1074.0069367206956</v>
      </c>
      <c r="AL462">
        <f t="shared" si="123"/>
        <v>1025.7817971572972</v>
      </c>
      <c r="AM462">
        <f t="shared" si="123"/>
        <v>930.08392160706046</v>
      </c>
    </row>
    <row r="463" spans="1:39" x14ac:dyDescent="0.25">
      <c r="A463" t="s">
        <v>21</v>
      </c>
      <c r="D463" t="str" cm="1">
        <f t="array" ref="D463">IFERROR(
  _xlfn.LET(
    _xlpm.ligpartie, MATCH($B462, Donnees!$F:$F, 0),
    _xlpm.joueurs, INDEX(Donnees!$A:$Z, _xlpm.ligpartie+1, _xlfn.SEQUENCE(1, 4, 2)),
    INDEX(
      Donnees!$A:$Z,
      _xlpm.ligpartie + 3,
      MATCH(D$1, _xlpm.joueurs, 0) + 1
    )
  ), ""
)</f>
        <v/>
      </c>
      <c r="E463" t="str" cm="1">
        <f t="array" ref="E463">IFERROR(
  _xlfn.LET(
    _xlpm.ligpartie, MATCH($B462, Donnees!$F:$F, 0),
    _xlpm.joueurs, INDEX(Donnees!$A:$Z, _xlpm.ligpartie+1, _xlfn.SEQUENCE(1, 4, 2)),
    INDEX(
      Donnees!$A:$Z,
      _xlpm.ligpartie + 3,
      MATCH(E$1, _xlpm.joueurs, 0) + 1
    )
  ), ""
)</f>
        <v/>
      </c>
      <c r="F463" t="str" cm="1">
        <f t="array" ref="F463">IFERROR(
  _xlfn.LET(
    _xlpm.ligpartie, MATCH($B462, Donnees!$F:$F, 0),
    _xlpm.joueurs, INDEX(Donnees!$A:$Z, _xlpm.ligpartie+1, _xlfn.SEQUENCE(1, 4, 2)),
    INDEX(
      Donnees!$A:$Z,
      _xlpm.ligpartie + 3,
      MATCH(F$1, _xlpm.joueurs, 0) + 1
    )
  ), ""
)</f>
        <v/>
      </c>
      <c r="G463" t="str" cm="1">
        <f t="array" ref="G463">IFERROR(
  _xlfn.LET(
    _xlpm.ligpartie, MATCH($B462, Donnees!$F:$F, 0),
    _xlpm.joueurs, INDEX(Donnees!$A:$Z, _xlpm.ligpartie+1, _xlfn.SEQUENCE(1, 4, 2)),
    INDEX(
      Donnees!$A:$Z,
      _xlpm.ligpartie + 3,
      MATCH(G$1, _xlpm.joueurs, 0) + 1
    )
  ), ""
)</f>
        <v/>
      </c>
      <c r="H463" t="str" cm="1">
        <f t="array" ref="H463">IFERROR(
  _xlfn.LET(
    _xlpm.ligpartie, MATCH($B462, Donnees!$F:$F, 0),
    _xlpm.joueurs, INDEX(Donnees!$A:$Z, _xlpm.ligpartie+1, _xlfn.SEQUENCE(1, 4, 2)),
    INDEX(
      Donnees!$A:$Z,
      _xlpm.ligpartie + 3,
      MATCH(H$1, _xlpm.joueurs, 0) + 1
    )
  ), ""
)</f>
        <v/>
      </c>
      <c r="I463" t="str" cm="1">
        <f t="array" ref="I463">IFERROR(
  _xlfn.LET(
    _xlpm.ligpartie, MATCH($B462, Donnees!$F:$F, 0),
    _xlpm.joueurs, INDEX(Donnees!$A:$Z, _xlpm.ligpartie+1, _xlfn.SEQUENCE(1, 4, 2)),
    INDEX(
      Donnees!$A:$Z,
      _xlpm.ligpartie + 3,
      MATCH(I$1, _xlpm.joueurs, 0) + 1
    )
  ), ""
)</f>
        <v/>
      </c>
      <c r="J463" t="str" cm="1">
        <f t="array" ref="J463">IFERROR(
  _xlfn.LET(
    _xlpm.ligpartie, MATCH($B462, Donnees!$F:$F, 0),
    _xlpm.joueurs, INDEX(Donnees!$A:$Z, _xlpm.ligpartie+1, _xlfn.SEQUENCE(1, 4, 2)),
    INDEX(
      Donnees!$A:$Z,
      _xlpm.ligpartie + 3,
      MATCH(J$1, _xlpm.joueurs, 0) + 1
    )
  ), ""
)</f>
        <v/>
      </c>
      <c r="K463" cm="1">
        <f t="array" ref="K463">IFERROR(
  _xlfn.LET(
    _xlpm.ligpartie, MATCH($B462, Donnees!$F:$F, 0),
    _xlpm.joueurs, INDEX(Donnees!$A:$Z, _xlpm.ligpartie+1, _xlfn.SEQUENCE(1, 4, 2)),
    INDEX(
      Donnees!$A:$Z,
      _xlpm.ligpartie + 3,
      MATCH(K$1, _xlpm.joueurs, 0) + 1
    )
  ), ""
)</f>
        <v>3</v>
      </c>
      <c r="L463" t="str" cm="1">
        <f t="array" ref="L463">IFERROR(
  _xlfn.LET(
    _xlpm.ligpartie, MATCH($B462, Donnees!$F:$F, 0),
    _xlpm.joueurs, INDEX(Donnees!$A:$Z, _xlpm.ligpartie+1, _xlfn.SEQUENCE(1, 4, 2)),
    INDEX(
      Donnees!$A:$Z,
      _xlpm.ligpartie + 3,
      MATCH(L$1, _xlpm.joueurs, 0) + 1
    )
  ), ""
)</f>
        <v/>
      </c>
      <c r="M463" t="str" cm="1">
        <f t="array" ref="M463">IFERROR(
  _xlfn.LET(
    _xlpm.ligpartie, MATCH($B462, Donnees!$F:$F, 0),
    _xlpm.joueurs, INDEX(Donnees!$A:$Z, _xlpm.ligpartie+1, _xlfn.SEQUENCE(1, 4, 2)),
    INDEX(
      Donnees!$A:$Z,
      _xlpm.ligpartie + 3,
      MATCH(M$1, _xlpm.joueurs, 0) + 1
    )
  ), ""
)</f>
        <v/>
      </c>
      <c r="N463" t="str" cm="1">
        <f t="array" ref="N463">IFERROR(
  _xlfn.LET(
    _xlpm.ligpartie, MATCH($B462, Donnees!$F:$F, 0),
    _xlpm.joueurs, INDEX(Donnees!$A:$Z, _xlpm.ligpartie+1, _xlfn.SEQUENCE(1, 4, 2)),
    INDEX(
      Donnees!$A:$Z,
      _xlpm.ligpartie + 3,
      MATCH(N$1, _xlpm.joueurs, 0) + 1
    )
  ), ""
)</f>
        <v/>
      </c>
      <c r="O463" t="str" cm="1">
        <f t="array" ref="O463">IFERROR(
  _xlfn.LET(
    _xlpm.ligpartie, MATCH($B462, Donnees!$F:$F, 0),
    _xlpm.joueurs, INDEX(Donnees!$A:$Z, _xlpm.ligpartie+1, _xlfn.SEQUENCE(1, 4, 2)),
    INDEX(
      Donnees!$A:$Z,
      _xlpm.ligpartie + 3,
      MATCH(O$1, _xlpm.joueurs, 0) + 1
    )
  ), ""
)</f>
        <v/>
      </c>
      <c r="P463" t="str" cm="1">
        <f t="array" ref="P463">IFERROR(
  _xlfn.LET(
    _xlpm.ligpartie, MATCH($B462, Donnees!$F:$F, 0),
    _xlpm.joueurs, INDEX(Donnees!$A:$Z, _xlpm.ligpartie+1, _xlfn.SEQUENCE(1, 4, 2)),
    INDEX(
      Donnees!$A:$Z,
      _xlpm.ligpartie + 3,
      MATCH(P$1, _xlpm.joueurs, 0) + 1
    )
  ), ""
)</f>
        <v/>
      </c>
      <c r="Q463" cm="1">
        <f t="array" ref="Q463">IFERROR(
  _xlfn.LET(
    _xlpm.ligpartie, MATCH($B462, Donnees!$F:$F, 0),
    _xlpm.joueurs, INDEX(Donnees!$A:$Z, _xlpm.ligpartie+1, _xlfn.SEQUENCE(1, 4, 2)),
    INDEX(
      Donnees!$A:$Z,
      _xlpm.ligpartie + 3,
      MATCH(Q$1, _xlpm.joueurs, 0) + 1
    )
  ), ""
)</f>
        <v>0</v>
      </c>
      <c r="R463" t="str" cm="1">
        <f t="array" ref="R463">IFERROR(
  _xlfn.LET(
    _xlpm.ligpartie, MATCH($B462, Donnees!$F:$F, 0),
    _xlpm.joueurs, INDEX(Donnees!$A:$Z, _xlpm.ligpartie+1, _xlfn.SEQUENCE(1, 4, 2)),
    INDEX(
      Donnees!$A:$Z,
      _xlpm.ligpartie + 3,
      MATCH(R$1, _xlpm.joueurs, 0) + 1
    )
  ), ""
)</f>
        <v/>
      </c>
      <c r="S463" cm="1">
        <f t="array" ref="S463">IFERROR(
  _xlfn.LET(
    _xlpm.ligpartie, MATCH($B462, Donnees!$F:$F, 0),
    _xlpm.joueurs, INDEX(Donnees!$A:$Z, _xlpm.ligpartie+1, _xlfn.SEQUENCE(1, 4, 2)),
    INDEX(
      Donnees!$A:$Z,
      _xlpm.ligpartie + 3,
      MATCH(S$1, _xlpm.joueurs, 0) + 1
    )
  ), ""
)</f>
        <v>1</v>
      </c>
      <c r="T463" cm="1">
        <f t="array" ref="T463">IFERROR(
  _xlfn.LET(
    _xlpm.ligpartie, MATCH($B462, Donnees!$F:$F, 0),
    _xlpm.joueurs, INDEX(Donnees!$A:$Z, _xlpm.ligpartie+1, _xlfn.SEQUENCE(1, 4, 2)),
    INDEX(
      Donnees!$A:$Z,
      _xlpm.ligpartie + 3,
      MATCH(T$1, _xlpm.joueurs, 0) + 1
    )
  ), ""
)</f>
        <v>2</v>
      </c>
      <c r="U463" t="str" cm="1">
        <f t="array" ref="U463">IFERROR(
  _xlfn.LET(
    _xlpm.ligpartie, MATCH($B462, Donnees!$F:$F, 0),
    _xlpm.joueurs, INDEX(Donnees!$A:$Z, _xlpm.ligpartie+1, _xlfn.SEQUENCE(1, 4, 2)),
    INDEX(
      Donnees!$A:$Z,
      _xlpm.ligpartie + 3,
      MATCH(U$1, _xlpm.joueurs, 0) + 1
    )
  ), ""
)</f>
        <v/>
      </c>
      <c r="V463" t="str" cm="1">
        <f t="array" ref="V463">IFERROR(
  _xlfn.LET(
    _xlpm.ligpartie, MATCH($B462, Donnees!$F:$F, 0),
    _xlpm.joueurs, INDEX(Donnees!$A:$Z, _xlpm.ligpartie+1, _xlfn.SEQUENCE(1, 4, 2)),
    INDEX(
      Donnees!$A:$Z,
      _xlpm.ligpartie + 3,
      MATCH(V$1, _xlpm.joueurs, 0) + 1
    )
  ), ""
)</f>
        <v/>
      </c>
      <c r="W463" t="str" cm="1">
        <f t="array" ref="W463">IFERROR(
  _xlfn.LET(
    _xlpm.ligpartie, MATCH($B462, Donnees!$F:$F, 0),
    _xlpm.joueurs, INDEX(Donnees!$A:$Z, _xlpm.ligpartie+1, _xlfn.SEQUENCE(1, 4, 2)),
    INDEX(
      Donnees!$A:$Z,
      _xlpm.ligpartie + 3,
      MATCH(W$1, _xlpm.joueurs, 0) + 1
    )
  ), ""
)</f>
        <v/>
      </c>
      <c r="X463" t="str" cm="1">
        <f t="array" ref="X463">IFERROR(
  _xlfn.LET(
    _xlpm.ligpartie, MATCH($B462, Donnees!$F:$F, 0),
    _xlpm.joueurs, INDEX(Donnees!$A:$Z, _xlpm.ligpartie+1, _xlfn.SEQUENCE(1, 4, 2)),
    INDEX(
      Donnees!$A:$Z,
      _xlpm.ligpartie + 3,
      MATCH(X$1, _xlpm.joueurs, 0) + 1
    )
  ), ""
)</f>
        <v/>
      </c>
      <c r="Y463" t="str" cm="1">
        <f t="array" ref="Y463">IFERROR(
  _xlfn.LET(
    _xlpm.ligpartie, MATCH($B462, Donnees!$F:$F, 0),
    _xlpm.joueurs, INDEX(Donnees!$A:$Z, _xlpm.ligpartie+1, _xlfn.SEQUENCE(1, 4, 2)),
    INDEX(
      Donnees!$A:$Z,
      _xlpm.ligpartie + 3,
      MATCH(Y$1, _xlpm.joueurs, 0) + 1
    )
  ), ""
)</f>
        <v/>
      </c>
      <c r="Z463" t="str" cm="1">
        <f t="array" ref="Z463">IFERROR(
  _xlfn.LET(
    _xlpm.ligpartie, MATCH($B462, Donnees!$F:$F, 0),
    _xlpm.joueurs, INDEX(Donnees!$A:$Z, _xlpm.ligpartie+1, _xlfn.SEQUENCE(1, 4, 2)),
    INDEX(
      Donnees!$A:$Z,
      _xlpm.ligpartie + 3,
      MATCH(Z$1, _xlpm.joueurs, 0) + 1
    )
  ), ""
)</f>
        <v/>
      </c>
      <c r="AA463" t="str" cm="1">
        <f t="array" ref="AA463">IFERROR(
  _xlfn.LET(
    _xlpm.ligpartie, MATCH($B462, Donnees!$F:$F, 0),
    _xlpm.joueurs, INDEX(Donnees!$A:$Z, _xlpm.ligpartie+1, _xlfn.SEQUENCE(1, 4, 2)),
    INDEX(
      Donnees!$A:$Z,
      _xlpm.ligpartie + 3,
      MATCH(AA$1, _xlpm.joueurs, 0) + 1
    )
  ), ""
)</f>
        <v/>
      </c>
      <c r="AB463" t="str" cm="1">
        <f t="array" ref="AB463">IFERROR(
  _xlfn.LET(
    _xlpm.ligpartie, MATCH($B462, Donnees!$F:$F, 0),
    _xlpm.joueurs, INDEX(Donnees!$A:$Z, _xlpm.ligpartie+1, _xlfn.SEQUENCE(1, 4, 2)),
    INDEX(
      Donnees!$A:$Z,
      _xlpm.ligpartie + 3,
      MATCH(AB$1, _xlpm.joueurs, 0) + 1
    )
  ), ""
)</f>
        <v/>
      </c>
      <c r="AC463" t="str" cm="1">
        <f t="array" ref="AC463">IFERROR(
  _xlfn.LET(
    _xlpm.ligpartie, MATCH($B462, Donnees!$F:$F, 0),
    _xlpm.joueurs, INDEX(Donnees!$A:$Z, _xlpm.ligpartie+1, _xlfn.SEQUENCE(1, 4, 2)),
    INDEX(
      Donnees!$A:$Z,
      _xlpm.ligpartie + 3,
      MATCH(AC$1, _xlpm.joueurs, 0) + 1
    )
  ), ""
)</f>
        <v/>
      </c>
      <c r="AD463" t="str" cm="1">
        <f t="array" ref="AD463">IFERROR(
  _xlfn.LET(
    _xlpm.ligpartie, MATCH($B462, Donnees!$F:$F, 0),
    _xlpm.joueurs, INDEX(Donnees!$A:$Z, _xlpm.ligpartie+1, _xlfn.SEQUENCE(1, 4, 2)),
    INDEX(
      Donnees!$A:$Z,
      _xlpm.ligpartie + 3,
      MATCH(AD$1, _xlpm.joueurs, 0) + 1
    )
  ), ""
)</f>
        <v/>
      </c>
      <c r="AE463" t="str" cm="1">
        <f t="array" ref="AE463">IFERROR(
  _xlfn.LET(
    _xlpm.ligpartie, MATCH($B462, Donnees!$F:$F, 0),
    _xlpm.joueurs, INDEX(Donnees!$A:$Z, _xlpm.ligpartie+1, _xlfn.SEQUENCE(1, 4, 2)),
    INDEX(
      Donnees!$A:$Z,
      _xlpm.ligpartie + 3,
      MATCH(AE$1, _xlpm.joueurs, 0) + 1
    )
  ), ""
)</f>
        <v/>
      </c>
      <c r="AF463" t="str" cm="1">
        <f t="array" ref="AF463">IFERROR(
  _xlfn.LET(
    _xlpm.ligpartie, MATCH($B462, Donnees!$F:$F, 0),
    _xlpm.joueurs, INDEX(Donnees!$A:$Z, _xlpm.ligpartie+1, _xlfn.SEQUENCE(1, 4, 2)),
    INDEX(
      Donnees!$A:$Z,
      _xlpm.ligpartie + 3,
      MATCH(AF$1, _xlpm.joueurs, 0) + 1
    )
  ), ""
)</f>
        <v/>
      </c>
      <c r="AG463" t="str" cm="1">
        <f t="array" ref="AG463">IFERROR(
  _xlfn.LET(
    _xlpm.ligpartie, MATCH($B462, Donnees!$F:$F, 0),
    _xlpm.joueurs, INDEX(Donnees!$A:$Z, _xlpm.ligpartie+1, _xlfn.SEQUENCE(1, 4, 2)),
    INDEX(
      Donnees!$A:$Z,
      _xlpm.ligpartie + 3,
      MATCH(AG$1, _xlpm.joueurs, 0) + 1
    )
  ), ""
)</f>
        <v/>
      </c>
      <c r="AH463" t="str" cm="1">
        <f t="array" ref="AH463">IFERROR(
  _xlfn.LET(
    _xlpm.ligpartie, MATCH($B462, Donnees!$F:$F, 0),
    _xlpm.joueurs, INDEX(Donnees!$A:$Z, _xlpm.ligpartie+1, _xlfn.SEQUENCE(1, 4, 2)),
    INDEX(
      Donnees!$A:$Z,
      _xlpm.ligpartie + 3,
      MATCH(AH$1, _xlpm.joueurs, 0) + 1
    )
  ), ""
)</f>
        <v/>
      </c>
      <c r="AI463" t="str" cm="1">
        <f t="array" ref="AI463">IFERROR(
  _xlfn.LET(
    _xlpm.ligpartie, MATCH($B462, Donnees!$F:$F, 0),
    _xlpm.joueurs, INDEX(Donnees!$A:$Z, _xlpm.ligpartie+1, _xlfn.SEQUENCE(1, 4, 2)),
    INDEX(
      Donnees!$A:$Z,
      _xlpm.ligpartie + 3,
      MATCH(AI$1, _xlpm.joueurs, 0) + 1
    )
  ), ""
)</f>
        <v/>
      </c>
      <c r="AJ463" t="str" cm="1">
        <f t="array" ref="AJ463">IFERROR(
  _xlfn.LET(
    _xlpm.ligpartie, MATCH($B462, Donnees!$F:$F, 0),
    _xlpm.joueurs, INDEX(Donnees!$A:$Z, _xlpm.ligpartie+1, _xlfn.SEQUENCE(1, 4, 2)),
    INDEX(
      Donnees!$A:$Z,
      _xlpm.ligpartie + 3,
      MATCH(AJ$1, _xlpm.joueurs, 0) + 1
    )
  ), ""
)</f>
        <v/>
      </c>
      <c r="AK463" t="str" cm="1">
        <f t="array" ref="AK463">IFERROR(
  _xlfn.LET(
    _xlpm.ligpartie, MATCH($B462, Donnees!$F:$F, 0),
    _xlpm.joueurs, INDEX(Donnees!$A:$Z, _xlpm.ligpartie+1, _xlfn.SEQUENCE(1, 4, 2)),
    INDEX(
      Donnees!$A:$Z,
      _xlpm.ligpartie + 3,
      MATCH(AK$1, _xlpm.joueurs, 0) + 1
    )
  ), ""
)</f>
        <v/>
      </c>
      <c r="AL463" t="str" cm="1">
        <f t="array" ref="AL463">IFERROR(
  _xlfn.LET(
    _xlpm.ligpartie, MATCH($B462, Donnees!$F:$F, 0),
    _xlpm.joueurs, INDEX(Donnees!$A:$Z, _xlpm.ligpartie+1, _xlfn.SEQUENCE(1, 4, 2)),
    INDEX(
      Donnees!$A:$Z,
      _xlpm.ligpartie + 3,
      MATCH(AL$1, _xlpm.joueurs, 0) + 1
    )
  ), ""
)</f>
        <v/>
      </c>
      <c r="AM463" t="str" cm="1">
        <f t="array" ref="AM463">IFERROR(
  _xlfn.LET(
    _xlpm.ligpartie, MATCH($B462, Donnees!$F:$F, 0),
    _xlpm.joueurs, INDEX(Donnees!$A:$Z, _xlpm.ligpartie+1, _xlfn.SEQUENCE(1, 4, 2)),
    INDEX(
      Donnees!$A:$Z,
      _xlpm.ligpartie + 3,
      MATCH(AM$1, _xlpm.joueurs, 0) + 1
    )
  ), ""
)</f>
        <v/>
      </c>
    </row>
    <row r="464" spans="1:39" x14ac:dyDescent="0.25">
      <c r="A464" t="s">
        <v>20</v>
      </c>
      <c r="D464" t="str" cm="1">
        <f t="array" ref="D464">_xlfn.LET(
  _xlpm.colj, _xlfn._xlws.FILTER(IF(ISNUMBER(463:463), COLUMN(463:463)), ISNUMBER(463:463)),
  _xlpm.elos, INDEX(462:462,1,_xlpm.colj),
  _xlpm.diffscale, Constantes!$B$2,
  IF(D463="",
    "",
    SUM(1/(1+POWER(10,-(D462-_xlpm.elos)/_xlpm.diffscale)))-0.5)
)</f>
        <v/>
      </c>
      <c r="E464" t="str" cm="1">
        <f t="array" ref="E464">_xlfn.LET(
  _xlpm.colj, _xlfn._xlws.FILTER(IF(ISNUMBER(463:463), COLUMN(463:463)), ISNUMBER(463:463)),
  _xlpm.elos, INDEX(462:462,1,_xlpm.colj),
  _xlpm.diffscale, Constantes!$B$2,
  IF(E463="",
    "",
    SUM(1/(1+POWER(10,-(E462-_xlpm.elos)/_xlpm.diffscale)))-0.5)
)</f>
        <v/>
      </c>
      <c r="F464" t="str" cm="1">
        <f t="array" ref="F464">_xlfn.LET(
  _xlpm.colj, _xlfn._xlws.FILTER(IF(ISNUMBER(463:463), COLUMN(463:463)), ISNUMBER(463:463)),
  _xlpm.elos, INDEX(462:462,1,_xlpm.colj),
  _xlpm.diffscale, Constantes!$B$2,
  IF(F463="",
    "",
    SUM(1/(1+POWER(10,-(F462-_xlpm.elos)/_xlpm.diffscale)))-0.5)
)</f>
        <v/>
      </c>
      <c r="G464" t="str" cm="1">
        <f t="array" ref="G464">_xlfn.LET(
  _xlpm.colj, _xlfn._xlws.FILTER(IF(ISNUMBER(463:463), COLUMN(463:463)), ISNUMBER(463:463)),
  _xlpm.elos, INDEX(462:462,1,_xlpm.colj),
  _xlpm.diffscale, Constantes!$B$2,
  IF(G463="",
    "",
    SUM(1/(1+POWER(10,-(G462-_xlpm.elos)/_xlpm.diffscale)))-0.5)
)</f>
        <v/>
      </c>
      <c r="H464" t="str" cm="1">
        <f t="array" ref="H464">_xlfn.LET(
  _xlpm.colj, _xlfn._xlws.FILTER(IF(ISNUMBER(463:463), COLUMN(463:463)), ISNUMBER(463:463)),
  _xlpm.elos, INDEX(462:462,1,_xlpm.colj),
  _xlpm.diffscale, Constantes!$B$2,
  IF(H463="",
    "",
    SUM(1/(1+POWER(10,-(H462-_xlpm.elos)/_xlpm.diffscale)))-0.5)
)</f>
        <v/>
      </c>
      <c r="I464" t="str" cm="1">
        <f t="array" ref="I464">_xlfn.LET(
  _xlpm.colj, _xlfn._xlws.FILTER(IF(ISNUMBER(463:463), COLUMN(463:463)), ISNUMBER(463:463)),
  _xlpm.elos, INDEX(462:462,1,_xlpm.colj),
  _xlpm.diffscale, Constantes!$B$2,
  IF(I463="",
    "",
    SUM(1/(1+POWER(10,-(I462-_xlpm.elos)/_xlpm.diffscale)))-0.5)
)</f>
        <v/>
      </c>
      <c r="J464" t="str" cm="1">
        <f t="array" ref="J464">_xlfn.LET(
  _xlpm.colj, _xlfn._xlws.FILTER(IF(ISNUMBER(463:463), COLUMN(463:463)), ISNUMBER(463:463)),
  _xlpm.elos, INDEX(462:462,1,_xlpm.colj),
  _xlpm.diffscale, Constantes!$B$2,
  IF(J463="",
    "",
    SUM(1/(1+POWER(10,-(J462-_xlpm.elos)/_xlpm.diffscale)))-0.5)
)</f>
        <v/>
      </c>
      <c r="K464" cm="1">
        <f t="array" ref="K464">_xlfn.LET(
  _xlpm.colj, _xlfn._xlws.FILTER(IF(ISNUMBER(463:463), COLUMN(463:463)), ISNUMBER(463:463)),
  _xlpm.elos, INDEX(462:462,1,_xlpm.colj),
  _xlpm.diffscale, Constantes!$B$2,
  IF(K463="",
    "",
    SUM(1/(1+POWER(10,-(K462-_xlpm.elos)/_xlpm.diffscale)))-0.5)
)</f>
        <v>1.526692504021836</v>
      </c>
      <c r="L464" t="str" cm="1">
        <f t="array" ref="L464">_xlfn.LET(
  _xlpm.colj, _xlfn._xlws.FILTER(IF(ISNUMBER(463:463), COLUMN(463:463)), ISNUMBER(463:463)),
  _xlpm.elos, INDEX(462:462,1,_xlpm.colj),
  _xlpm.diffscale, Constantes!$B$2,
  IF(L463="",
    "",
    SUM(1/(1+POWER(10,-(L462-_xlpm.elos)/_xlpm.diffscale)))-0.5)
)</f>
        <v/>
      </c>
      <c r="M464" t="str" cm="1">
        <f t="array" ref="M464">_xlfn.LET(
  _xlpm.colj, _xlfn._xlws.FILTER(IF(ISNUMBER(463:463), COLUMN(463:463)), ISNUMBER(463:463)),
  _xlpm.elos, INDEX(462:462,1,_xlpm.colj),
  _xlpm.diffscale, Constantes!$B$2,
  IF(M463="",
    "",
    SUM(1/(1+POWER(10,-(M462-_xlpm.elos)/_xlpm.diffscale)))-0.5)
)</f>
        <v/>
      </c>
      <c r="N464" t="str" cm="1">
        <f t="array" ref="N464">_xlfn.LET(
  _xlpm.colj, _xlfn._xlws.FILTER(IF(ISNUMBER(463:463), COLUMN(463:463)), ISNUMBER(463:463)),
  _xlpm.elos, INDEX(462:462,1,_xlpm.colj),
  _xlpm.diffscale, Constantes!$B$2,
  IF(N463="",
    "",
    SUM(1/(1+POWER(10,-(N462-_xlpm.elos)/_xlpm.diffscale)))-0.5)
)</f>
        <v/>
      </c>
      <c r="O464" t="str" cm="1">
        <f t="array" ref="O464">_xlfn.LET(
  _xlpm.colj, _xlfn._xlws.FILTER(IF(ISNUMBER(463:463), COLUMN(463:463)), ISNUMBER(463:463)),
  _xlpm.elos, INDEX(462:462,1,_xlpm.colj),
  _xlpm.diffscale, Constantes!$B$2,
  IF(O463="",
    "",
    SUM(1/(1+POWER(10,-(O462-_xlpm.elos)/_xlpm.diffscale)))-0.5)
)</f>
        <v/>
      </c>
      <c r="P464" t="str" cm="1">
        <f t="array" ref="P464">_xlfn.LET(
  _xlpm.colj, _xlfn._xlws.FILTER(IF(ISNUMBER(463:463), COLUMN(463:463)), ISNUMBER(463:463)),
  _xlpm.elos, INDEX(462:462,1,_xlpm.colj),
  _xlpm.diffscale, Constantes!$B$2,
  IF(P463="",
    "",
    SUM(1/(1+POWER(10,-(P462-_xlpm.elos)/_xlpm.diffscale)))-0.5)
)</f>
        <v/>
      </c>
      <c r="Q464" cm="1">
        <f t="array" ref="Q464">_xlfn.LET(
  _xlpm.colj, _xlfn._xlws.FILTER(IF(ISNUMBER(463:463), COLUMN(463:463)), ISNUMBER(463:463)),
  _xlpm.elos, INDEX(462:462,1,_xlpm.colj),
  _xlpm.diffscale, Constantes!$B$2,
  IF(Q463="",
    "",
    SUM(1/(1+POWER(10,-(Q462-_xlpm.elos)/_xlpm.diffscale)))-0.5)
)</f>
        <v>1.5612484984379407</v>
      </c>
      <c r="R464" t="str" cm="1">
        <f t="array" ref="R464">_xlfn.LET(
  _xlpm.colj, _xlfn._xlws.FILTER(IF(ISNUMBER(463:463), COLUMN(463:463)), ISNUMBER(463:463)),
  _xlpm.elos, INDEX(462:462,1,_xlpm.colj),
  _xlpm.diffscale, Constantes!$B$2,
  IF(R463="",
    "",
    SUM(1/(1+POWER(10,-(R462-_xlpm.elos)/_xlpm.diffscale)))-0.5)
)</f>
        <v/>
      </c>
      <c r="S464" cm="1">
        <f t="array" ref="S464">_xlfn.LET(
  _xlpm.colj, _xlfn._xlws.FILTER(IF(ISNUMBER(463:463), COLUMN(463:463)), ISNUMBER(463:463)),
  _xlpm.elos, INDEX(462:462,1,_xlpm.colj),
  _xlpm.diffscale, Constantes!$B$2,
  IF(S463="",
    "",
    SUM(1/(1+POWER(10,-(S462-_xlpm.elos)/_xlpm.diffscale)))-0.5)
)</f>
        <v>1.111398221170643</v>
      </c>
      <c r="T464" cm="1">
        <f t="array" ref="T464">_xlfn.LET(
  _xlpm.colj, _xlfn._xlws.FILTER(IF(ISNUMBER(463:463), COLUMN(463:463)), ISNUMBER(463:463)),
  _xlpm.elos, INDEX(462:462,1,_xlpm.colj),
  _xlpm.diffscale, Constantes!$B$2,
  IF(T463="",
    "",
    SUM(1/(1+POWER(10,-(T462-_xlpm.elos)/_xlpm.diffscale)))-0.5)
)</f>
        <v>1.8006607763695803</v>
      </c>
      <c r="U464" t="str" cm="1">
        <f t="array" ref="U464">_xlfn.LET(
  _xlpm.colj, _xlfn._xlws.FILTER(IF(ISNUMBER(463:463), COLUMN(463:463)), ISNUMBER(463:463)),
  _xlpm.elos, INDEX(462:462,1,_xlpm.colj),
  _xlpm.diffscale, Constantes!$B$2,
  IF(U463="",
    "",
    SUM(1/(1+POWER(10,-(U462-_xlpm.elos)/_xlpm.diffscale)))-0.5)
)</f>
        <v/>
      </c>
      <c r="V464" t="str" cm="1">
        <f t="array" ref="V464">_xlfn.LET(
  _xlpm.colj, _xlfn._xlws.FILTER(IF(ISNUMBER(463:463), COLUMN(463:463)), ISNUMBER(463:463)),
  _xlpm.elos, INDEX(462:462,1,_xlpm.colj),
  _xlpm.diffscale, Constantes!$B$2,
  IF(V463="",
    "",
    SUM(1/(1+POWER(10,-(V462-_xlpm.elos)/_xlpm.diffscale)))-0.5)
)</f>
        <v/>
      </c>
      <c r="W464" t="str" cm="1">
        <f t="array" ref="W464">_xlfn.LET(
  _xlpm.colj, _xlfn._xlws.FILTER(IF(ISNUMBER(463:463), COLUMN(463:463)), ISNUMBER(463:463)),
  _xlpm.elos, INDEX(462:462,1,_xlpm.colj),
  _xlpm.diffscale, Constantes!$B$2,
  IF(W463="",
    "",
    SUM(1/(1+POWER(10,-(W462-_xlpm.elos)/_xlpm.diffscale)))-0.5)
)</f>
        <v/>
      </c>
      <c r="X464" t="str" cm="1">
        <f t="array" ref="X464">_xlfn.LET(
  _xlpm.colj, _xlfn._xlws.FILTER(IF(ISNUMBER(463:463), COLUMN(463:463)), ISNUMBER(463:463)),
  _xlpm.elos, INDEX(462:462,1,_xlpm.colj),
  _xlpm.diffscale, Constantes!$B$2,
  IF(X463="",
    "",
    SUM(1/(1+POWER(10,-(X462-_xlpm.elos)/_xlpm.diffscale)))-0.5)
)</f>
        <v/>
      </c>
      <c r="Y464" t="str" cm="1">
        <f t="array" ref="Y464">_xlfn.LET(
  _xlpm.colj, _xlfn._xlws.FILTER(IF(ISNUMBER(463:463), COLUMN(463:463)), ISNUMBER(463:463)),
  _xlpm.elos, INDEX(462:462,1,_xlpm.colj),
  _xlpm.diffscale, Constantes!$B$2,
  IF(Y463="",
    "",
    SUM(1/(1+POWER(10,-(Y462-_xlpm.elos)/_xlpm.diffscale)))-0.5)
)</f>
        <v/>
      </c>
      <c r="Z464" t="str" cm="1">
        <f t="array" ref="Z464">_xlfn.LET(
  _xlpm.colj, _xlfn._xlws.FILTER(IF(ISNUMBER(463:463), COLUMN(463:463)), ISNUMBER(463:463)),
  _xlpm.elos, INDEX(462:462,1,_xlpm.colj),
  _xlpm.diffscale, Constantes!$B$2,
  IF(Z463="",
    "",
    SUM(1/(1+POWER(10,-(Z462-_xlpm.elos)/_xlpm.diffscale)))-0.5)
)</f>
        <v/>
      </c>
      <c r="AA464" t="str" cm="1">
        <f t="array" ref="AA464">_xlfn.LET(
  _xlpm.colj, _xlfn._xlws.FILTER(IF(ISNUMBER(463:463), COLUMN(463:463)), ISNUMBER(463:463)),
  _xlpm.elos, INDEX(462:462,1,_xlpm.colj),
  _xlpm.diffscale, Constantes!$B$2,
  IF(AA463="",
    "",
    SUM(1/(1+POWER(10,-(AA462-_xlpm.elos)/_xlpm.diffscale)))-0.5)
)</f>
        <v/>
      </c>
      <c r="AB464" t="str" cm="1">
        <f t="array" ref="AB464">_xlfn.LET(
  _xlpm.colj, _xlfn._xlws.FILTER(IF(ISNUMBER(463:463), COLUMN(463:463)), ISNUMBER(463:463)),
  _xlpm.elos, INDEX(462:462,1,_xlpm.colj),
  _xlpm.diffscale, Constantes!$B$2,
  IF(AB463="",
    "",
    SUM(1/(1+POWER(10,-(AB462-_xlpm.elos)/_xlpm.diffscale)))-0.5)
)</f>
        <v/>
      </c>
      <c r="AC464" t="str" cm="1">
        <f t="array" ref="AC464">_xlfn.LET(
  _xlpm.colj, _xlfn._xlws.FILTER(IF(ISNUMBER(463:463), COLUMN(463:463)), ISNUMBER(463:463)),
  _xlpm.elos, INDEX(462:462,1,_xlpm.colj),
  _xlpm.diffscale, Constantes!$B$2,
  IF(AC463="",
    "",
    SUM(1/(1+POWER(10,-(AC462-_xlpm.elos)/_xlpm.diffscale)))-0.5)
)</f>
        <v/>
      </c>
      <c r="AD464" t="str" cm="1">
        <f t="array" ref="AD464">_xlfn.LET(
  _xlpm.colj, _xlfn._xlws.FILTER(IF(ISNUMBER(463:463), COLUMN(463:463)), ISNUMBER(463:463)),
  _xlpm.elos, INDEX(462:462,1,_xlpm.colj),
  _xlpm.diffscale, Constantes!$B$2,
  IF(AD463="",
    "",
    SUM(1/(1+POWER(10,-(AD462-_xlpm.elos)/_xlpm.diffscale)))-0.5)
)</f>
        <v/>
      </c>
      <c r="AE464" t="str" cm="1">
        <f t="array" ref="AE464">_xlfn.LET(
  _xlpm.colj, _xlfn._xlws.FILTER(IF(ISNUMBER(463:463), COLUMN(463:463)), ISNUMBER(463:463)),
  _xlpm.elos, INDEX(462:462,1,_xlpm.colj),
  _xlpm.diffscale, Constantes!$B$2,
  IF(AE463="",
    "",
    SUM(1/(1+POWER(10,-(AE462-_xlpm.elos)/_xlpm.diffscale)))-0.5)
)</f>
        <v/>
      </c>
      <c r="AF464" t="str" cm="1">
        <f t="array" ref="AF464">_xlfn.LET(
  _xlpm.colj, _xlfn._xlws.FILTER(IF(ISNUMBER(463:463), COLUMN(463:463)), ISNUMBER(463:463)),
  _xlpm.elos, INDEX(462:462,1,_xlpm.colj),
  _xlpm.diffscale, Constantes!$B$2,
  IF(AF463="",
    "",
    SUM(1/(1+POWER(10,-(AF462-_xlpm.elos)/_xlpm.diffscale)))-0.5)
)</f>
        <v/>
      </c>
      <c r="AG464" t="str" cm="1">
        <f t="array" ref="AG464">_xlfn.LET(
  _xlpm.colj, _xlfn._xlws.FILTER(IF(ISNUMBER(463:463), COLUMN(463:463)), ISNUMBER(463:463)),
  _xlpm.elos, INDEX(462:462,1,_xlpm.colj),
  _xlpm.diffscale, Constantes!$B$2,
  IF(AG463="",
    "",
    SUM(1/(1+POWER(10,-(AG462-_xlpm.elos)/_xlpm.diffscale)))-0.5)
)</f>
        <v/>
      </c>
      <c r="AH464" t="str" cm="1">
        <f t="array" ref="AH464">_xlfn.LET(
  _xlpm.colj, _xlfn._xlws.FILTER(IF(ISNUMBER(463:463), COLUMN(463:463)), ISNUMBER(463:463)),
  _xlpm.elos, INDEX(462:462,1,_xlpm.colj),
  _xlpm.diffscale, Constantes!$B$2,
  IF(AH463="",
    "",
    SUM(1/(1+POWER(10,-(AH462-_xlpm.elos)/_xlpm.diffscale)))-0.5)
)</f>
        <v/>
      </c>
      <c r="AI464" t="str" cm="1">
        <f t="array" ref="AI464">_xlfn.LET(
  _xlpm.colj, _xlfn._xlws.FILTER(IF(ISNUMBER(463:463), COLUMN(463:463)), ISNUMBER(463:463)),
  _xlpm.elos, INDEX(462:462,1,_xlpm.colj),
  _xlpm.diffscale, Constantes!$B$2,
  IF(AI463="",
    "",
    SUM(1/(1+POWER(10,-(AI462-_xlpm.elos)/_xlpm.diffscale)))-0.5)
)</f>
        <v/>
      </c>
      <c r="AJ464" t="str" cm="1">
        <f t="array" ref="AJ464">_xlfn.LET(
  _xlpm.colj, _xlfn._xlws.FILTER(IF(ISNUMBER(463:463), COLUMN(463:463)), ISNUMBER(463:463)),
  _xlpm.elos, INDEX(462:462,1,_xlpm.colj),
  _xlpm.diffscale, Constantes!$B$2,
  IF(AJ463="",
    "",
    SUM(1/(1+POWER(10,-(AJ462-_xlpm.elos)/_xlpm.diffscale)))-0.5)
)</f>
        <v/>
      </c>
      <c r="AK464" t="str" cm="1">
        <f t="array" ref="AK464">_xlfn.LET(
  _xlpm.colj, _xlfn._xlws.FILTER(IF(ISNUMBER(463:463), COLUMN(463:463)), ISNUMBER(463:463)),
  _xlpm.elos, INDEX(462:462,1,_xlpm.colj),
  _xlpm.diffscale, Constantes!$B$2,
  IF(AK463="",
    "",
    SUM(1/(1+POWER(10,-(AK462-_xlpm.elos)/_xlpm.diffscale)))-0.5)
)</f>
        <v/>
      </c>
      <c r="AL464" t="str" cm="1">
        <f t="array" ref="AL464">_xlfn.LET(
  _xlpm.colj, _xlfn._xlws.FILTER(IF(ISNUMBER(463:463), COLUMN(463:463)), ISNUMBER(463:463)),
  _xlpm.elos, INDEX(462:462,1,_xlpm.colj),
  _xlpm.diffscale, Constantes!$B$2,
  IF(AL463="",
    "",
    SUM(1/(1+POWER(10,-(AL462-_xlpm.elos)/_xlpm.diffscale)))-0.5)
)</f>
        <v/>
      </c>
      <c r="AM464" t="str" cm="1">
        <f t="array" ref="AM464">_xlfn.LET(
  _xlpm.colj, _xlfn._xlws.FILTER(IF(ISNUMBER(463:463), COLUMN(463:463)), ISNUMBER(463:463)),
  _xlpm.elos, INDEX(462:462,1,_xlpm.colj),
  _xlpm.diffscale, Constantes!$B$2,
  IF(AM463="",
    "",
    SUM(1/(1+POWER(10,-(AM462-_xlpm.elos)/_xlpm.diffscale)))-0.5)
)</f>
        <v/>
      </c>
    </row>
    <row r="465" spans="1:39" x14ac:dyDescent="0.25">
      <c r="A465" t="s">
        <v>22</v>
      </c>
      <c r="D465" t="str" cm="1">
        <f t="array" ref="D465">_xlfn.LET(
  _xlpm.K, Constantes!$B$3,
  _xlpm.Knewgain, Constantes!$B$4,
  _xlpm.Knewscale, Constantes!$B$5,
  _xlpm.ptstables, INDEX(D:D, _xlfn.SEQUENCE(COUNTA($C$2:$C465), 1, 3, 4)),
  _xlpm.nbparties, COUNTA(_xlfn._xlws.FILTER(_xlpm.ptstables, _xlpm.ptstables &lt;&gt; "")),
  _xlpm.coef, _xlpm.K + _xlpm.Knewgain / (_xlpm.Knewscale + _xlpm.nbparties),
  IF(D463="",
    "",
    _xlpm.coef * (D463-D464))
)</f>
        <v/>
      </c>
      <c r="E465" t="str" cm="1">
        <f t="array" ref="E465">_xlfn.LET(
  _xlpm.K, Constantes!$B$3,
  _xlpm.Knewgain, Constantes!$B$4,
  _xlpm.Knewscale, Constantes!$B$5,
  _xlpm.ptstables, INDEX(E:E, _xlfn.SEQUENCE(COUNTA($C$2:$C465), 1, 3, 4)),
  _xlpm.nbparties, COUNTA(_xlfn._xlws.FILTER(_xlpm.ptstables, _xlpm.ptstables &lt;&gt; "")),
  _xlpm.coef, _xlpm.K + _xlpm.Knewgain / (_xlpm.Knewscale + _xlpm.nbparties),
  IF(E463="",
    "",
    _xlpm.coef * (E463-E464))
)</f>
        <v/>
      </c>
      <c r="F465" t="str" cm="1">
        <f t="array" ref="F465">_xlfn.LET(
  _xlpm.K, Constantes!$B$3,
  _xlpm.Knewgain, Constantes!$B$4,
  _xlpm.Knewscale, Constantes!$B$5,
  _xlpm.ptstables, INDEX(F:F, _xlfn.SEQUENCE(COUNTA($C$2:$C465), 1, 3, 4)),
  _xlpm.nbparties, COUNTA(_xlfn._xlws.FILTER(_xlpm.ptstables, _xlpm.ptstables &lt;&gt; "")),
  _xlpm.coef, _xlpm.K + _xlpm.Knewgain / (_xlpm.Knewscale + _xlpm.nbparties),
  IF(F463="",
    "",
    _xlpm.coef * (F463-F464))
)</f>
        <v/>
      </c>
      <c r="G465" t="str" cm="1">
        <f t="array" ref="G465">_xlfn.LET(
  _xlpm.K, Constantes!$B$3,
  _xlpm.Knewgain, Constantes!$B$4,
  _xlpm.Knewscale, Constantes!$B$5,
  _xlpm.ptstables, INDEX(G:G, _xlfn.SEQUENCE(COUNTA($C$2:$C465), 1, 3, 4)),
  _xlpm.nbparties, COUNTA(_xlfn._xlws.FILTER(_xlpm.ptstables, _xlpm.ptstables &lt;&gt; "")),
  _xlpm.coef, _xlpm.K + _xlpm.Knewgain / (_xlpm.Knewscale + _xlpm.nbparties),
  IF(G463="",
    "",
    _xlpm.coef * (G463-G464))
)</f>
        <v/>
      </c>
      <c r="H465" t="str" cm="1">
        <f t="array" ref="H465">_xlfn.LET(
  _xlpm.K, Constantes!$B$3,
  _xlpm.Knewgain, Constantes!$B$4,
  _xlpm.Knewscale, Constantes!$B$5,
  _xlpm.ptstables, INDEX(H:H, _xlfn.SEQUENCE(COUNTA($C$2:$C465), 1, 3, 4)),
  _xlpm.nbparties, COUNTA(_xlfn._xlws.FILTER(_xlpm.ptstables, _xlpm.ptstables &lt;&gt; "")),
  _xlpm.coef, _xlpm.K + _xlpm.Knewgain / (_xlpm.Knewscale + _xlpm.nbparties),
  IF(H463="",
    "",
    _xlpm.coef * (H463-H464))
)</f>
        <v/>
      </c>
      <c r="I465" t="str" cm="1">
        <f t="array" ref="I465">_xlfn.LET(
  _xlpm.K, Constantes!$B$3,
  _xlpm.Knewgain, Constantes!$B$4,
  _xlpm.Knewscale, Constantes!$B$5,
  _xlpm.ptstables, INDEX(I:I, _xlfn.SEQUENCE(COUNTA($C$2:$C465), 1, 3, 4)),
  _xlpm.nbparties, COUNTA(_xlfn._xlws.FILTER(_xlpm.ptstables, _xlpm.ptstables &lt;&gt; "")),
  _xlpm.coef, _xlpm.K + _xlpm.Knewgain / (_xlpm.Knewscale + _xlpm.nbparties),
  IF(I463="",
    "",
    _xlpm.coef * (I463-I464))
)</f>
        <v/>
      </c>
      <c r="J465" t="str" cm="1">
        <f t="array" ref="J465">_xlfn.LET(
  _xlpm.K, Constantes!$B$3,
  _xlpm.Knewgain, Constantes!$B$4,
  _xlpm.Knewscale, Constantes!$B$5,
  _xlpm.ptstables, INDEX(J:J, _xlfn.SEQUENCE(COUNTA($C$2:$C465), 1, 3, 4)),
  _xlpm.nbparties, COUNTA(_xlfn._xlws.FILTER(_xlpm.ptstables, _xlpm.ptstables &lt;&gt; "")),
  _xlpm.coef, _xlpm.K + _xlpm.Knewgain / (_xlpm.Knewscale + _xlpm.nbparties),
  IF(J463="",
    "",
    _xlpm.coef * (J463-J464))
)</f>
        <v/>
      </c>
      <c r="K465" cm="1">
        <f t="array" ref="K465">_xlfn.LET(
  _xlpm.K, Constantes!$B$3,
  _xlpm.Knewgain, Constantes!$B$4,
  _xlpm.Knewscale, Constantes!$B$5,
  _xlpm.ptstables, INDEX(K:K, _xlfn.SEQUENCE(COUNTA($C$2:$C465), 1, 3, 4)),
  _xlpm.nbparties, COUNTA(_xlfn._xlws.FILTER(_xlpm.ptstables, _xlpm.ptstables &lt;&gt; "")),
  _xlpm.coef, _xlpm.K + _xlpm.Knewgain / (_xlpm.Knewscale + _xlpm.nbparties),
  IF(K463="",
    "",
    _xlpm.coef * (K463-K464))
)</f>
        <v>35.604931152805634</v>
      </c>
      <c r="L465" t="str" cm="1">
        <f t="array" ref="L465">_xlfn.LET(
  _xlpm.K, Constantes!$B$3,
  _xlpm.Knewgain, Constantes!$B$4,
  _xlpm.Knewscale, Constantes!$B$5,
  _xlpm.ptstables, INDEX(L:L, _xlfn.SEQUENCE(COUNTA($C$2:$C465), 1, 3, 4)),
  _xlpm.nbparties, COUNTA(_xlfn._xlws.FILTER(_xlpm.ptstables, _xlpm.ptstables &lt;&gt; "")),
  _xlpm.coef, _xlpm.K + _xlpm.Knewgain / (_xlpm.Knewscale + _xlpm.nbparties),
  IF(L463="",
    "",
    _xlpm.coef * (L463-L464))
)</f>
        <v/>
      </c>
      <c r="M465" t="str" cm="1">
        <f t="array" ref="M465">_xlfn.LET(
  _xlpm.K, Constantes!$B$3,
  _xlpm.Knewgain, Constantes!$B$4,
  _xlpm.Knewscale, Constantes!$B$5,
  _xlpm.ptstables, INDEX(M:M, _xlfn.SEQUENCE(COUNTA($C$2:$C465), 1, 3, 4)),
  _xlpm.nbparties, COUNTA(_xlfn._xlws.FILTER(_xlpm.ptstables, _xlpm.ptstables &lt;&gt; "")),
  _xlpm.coef, _xlpm.K + _xlpm.Knewgain / (_xlpm.Knewscale + _xlpm.nbparties),
  IF(M463="",
    "",
    _xlpm.coef * (M463-M464))
)</f>
        <v/>
      </c>
      <c r="N465" t="str" cm="1">
        <f t="array" ref="N465">_xlfn.LET(
  _xlpm.K, Constantes!$B$3,
  _xlpm.Knewgain, Constantes!$B$4,
  _xlpm.Knewscale, Constantes!$B$5,
  _xlpm.ptstables, INDEX(N:N, _xlfn.SEQUENCE(COUNTA($C$2:$C465), 1, 3, 4)),
  _xlpm.nbparties, COUNTA(_xlfn._xlws.FILTER(_xlpm.ptstables, _xlpm.ptstables &lt;&gt; "")),
  _xlpm.coef, _xlpm.K + _xlpm.Knewgain / (_xlpm.Knewscale + _xlpm.nbparties),
  IF(N463="",
    "",
    _xlpm.coef * (N463-N464))
)</f>
        <v/>
      </c>
      <c r="O465" t="str" cm="1">
        <f t="array" ref="O465">_xlfn.LET(
  _xlpm.K, Constantes!$B$3,
  _xlpm.Knewgain, Constantes!$B$4,
  _xlpm.Knewscale, Constantes!$B$5,
  _xlpm.ptstables, INDEX(O:O, _xlfn.SEQUENCE(COUNTA($C$2:$C465), 1, 3, 4)),
  _xlpm.nbparties, COUNTA(_xlfn._xlws.FILTER(_xlpm.ptstables, _xlpm.ptstables &lt;&gt; "")),
  _xlpm.coef, _xlpm.K + _xlpm.Knewgain / (_xlpm.Knewscale + _xlpm.nbparties),
  IF(O463="",
    "",
    _xlpm.coef * (O463-O464))
)</f>
        <v/>
      </c>
      <c r="P465" t="str" cm="1">
        <f t="array" ref="P465">_xlfn.LET(
  _xlpm.K, Constantes!$B$3,
  _xlpm.Knewgain, Constantes!$B$4,
  _xlpm.Knewscale, Constantes!$B$5,
  _xlpm.ptstables, INDEX(P:P, _xlfn.SEQUENCE(COUNTA($C$2:$C465), 1, 3, 4)),
  _xlpm.nbparties, COUNTA(_xlfn._xlws.FILTER(_xlpm.ptstables, _xlpm.ptstables &lt;&gt; "")),
  _xlpm.coef, _xlpm.K + _xlpm.Knewgain / (_xlpm.Knewscale + _xlpm.nbparties),
  IF(P463="",
    "",
    _xlpm.coef * (P463-P464))
)</f>
        <v/>
      </c>
      <c r="Q465" cm="1">
        <f t="array" ref="Q465">_xlfn.LET(
  _xlpm.K, Constantes!$B$3,
  _xlpm.Knewgain, Constantes!$B$4,
  _xlpm.Knewscale, Constantes!$B$5,
  _xlpm.ptstables, INDEX(Q:Q, _xlfn.SEQUENCE(COUNTA($C$2:$C465), 1, 3, 4)),
  _xlpm.nbparties, COUNTA(_xlfn._xlws.FILTER(_xlpm.ptstables, _xlpm.ptstables &lt;&gt; "")),
  _xlpm.coef, _xlpm.K + _xlpm.Knewgain / (_xlpm.Knewscale + _xlpm.nbparties),
  IF(Q463="",
    "",
    _xlpm.coef * (Q463-Q464))
)</f>
        <v>-34.227370927293315</v>
      </c>
      <c r="R465" t="str" cm="1">
        <f t="array" ref="R465">_xlfn.LET(
  _xlpm.K, Constantes!$B$3,
  _xlpm.Knewgain, Constantes!$B$4,
  _xlpm.Knewscale, Constantes!$B$5,
  _xlpm.ptstables, INDEX(R:R, _xlfn.SEQUENCE(COUNTA($C$2:$C465), 1, 3, 4)),
  _xlpm.nbparties, COUNTA(_xlfn._xlws.FILTER(_xlpm.ptstables, _xlpm.ptstables &lt;&gt; "")),
  _xlpm.coef, _xlpm.K + _xlpm.Knewgain / (_xlpm.Knewscale + _xlpm.nbparties),
  IF(R463="",
    "",
    _xlpm.coef * (R463-R464))
)</f>
        <v/>
      </c>
      <c r="S465" cm="1">
        <f t="array" ref="S465">_xlfn.LET(
  _xlpm.K, Constantes!$B$3,
  _xlpm.Knewgain, Constantes!$B$4,
  _xlpm.Knewscale, Constantes!$B$5,
  _xlpm.ptstables, INDEX(S:S, _xlfn.SEQUENCE(COUNTA($C$2:$C465), 1, 3, 4)),
  _xlpm.nbparties, COUNTA(_xlfn._xlws.FILTER(_xlpm.ptstables, _xlpm.ptstables &lt;&gt; "")),
  _xlpm.coef, _xlpm.K + _xlpm.Knewgain / (_xlpm.Knewscale + _xlpm.nbparties),
  IF(S463="",
    "",
    _xlpm.coef * (S463-S464))
)</f>
        <v>-2.4136281253639322</v>
      </c>
      <c r="T465" cm="1">
        <f t="array" ref="T465">_xlfn.LET(
  _xlpm.K, Constantes!$B$3,
  _xlpm.Knewgain, Constantes!$B$4,
  _xlpm.Knewscale, Constantes!$B$5,
  _xlpm.ptstables, INDEX(T:T, _xlfn.SEQUENCE(COUNTA($C$2:$C465), 1, 3, 4)),
  _xlpm.nbparties, COUNTA(_xlfn._xlws.FILTER(_xlpm.ptstables, _xlpm.ptstables &lt;&gt; "")),
  _xlpm.coef, _xlpm.K + _xlpm.Knewgain / (_xlpm.Knewscale + _xlpm.nbparties),
  IF(T463="",
    "",
    _xlpm.coef * (T463-T464))
)</f>
        <v>4.9834805907604913</v>
      </c>
      <c r="U465" t="str" cm="1">
        <f t="array" ref="U465">_xlfn.LET(
  _xlpm.K, Constantes!$B$3,
  _xlpm.Knewgain, Constantes!$B$4,
  _xlpm.Knewscale, Constantes!$B$5,
  _xlpm.ptstables, INDEX(U:U, _xlfn.SEQUENCE(COUNTA($C$2:$C465), 1, 3, 4)),
  _xlpm.nbparties, COUNTA(_xlfn._xlws.FILTER(_xlpm.ptstables, _xlpm.ptstables &lt;&gt; "")),
  _xlpm.coef, _xlpm.K + _xlpm.Knewgain / (_xlpm.Knewscale + _xlpm.nbparties),
  IF(U463="",
    "",
    _xlpm.coef * (U463-U464))
)</f>
        <v/>
      </c>
      <c r="V465" t="str" cm="1">
        <f t="array" ref="V465">_xlfn.LET(
  _xlpm.K, Constantes!$B$3,
  _xlpm.Knewgain, Constantes!$B$4,
  _xlpm.Knewscale, Constantes!$B$5,
  _xlpm.ptstables, INDEX(V:V, _xlfn.SEQUENCE(COUNTA($C$2:$C465), 1, 3, 4)),
  _xlpm.nbparties, COUNTA(_xlfn._xlws.FILTER(_xlpm.ptstables, _xlpm.ptstables &lt;&gt; "")),
  _xlpm.coef, _xlpm.K + _xlpm.Knewgain / (_xlpm.Knewscale + _xlpm.nbparties),
  IF(V463="",
    "",
    _xlpm.coef * (V463-V464))
)</f>
        <v/>
      </c>
      <c r="W465" t="str" cm="1">
        <f t="array" ref="W465">_xlfn.LET(
  _xlpm.K, Constantes!$B$3,
  _xlpm.Knewgain, Constantes!$B$4,
  _xlpm.Knewscale, Constantes!$B$5,
  _xlpm.ptstables, INDEX(W:W, _xlfn.SEQUENCE(COUNTA($C$2:$C465), 1, 3, 4)),
  _xlpm.nbparties, COUNTA(_xlfn._xlws.FILTER(_xlpm.ptstables, _xlpm.ptstables &lt;&gt; "")),
  _xlpm.coef, _xlpm.K + _xlpm.Knewgain / (_xlpm.Knewscale + _xlpm.nbparties),
  IF(W463="",
    "",
    _xlpm.coef * (W463-W464))
)</f>
        <v/>
      </c>
      <c r="X465" t="str" cm="1">
        <f t="array" ref="X465">_xlfn.LET(
  _xlpm.K, Constantes!$B$3,
  _xlpm.Knewgain, Constantes!$B$4,
  _xlpm.Knewscale, Constantes!$B$5,
  _xlpm.ptstables, INDEX(X:X, _xlfn.SEQUENCE(COUNTA($C$2:$C465), 1, 3, 4)),
  _xlpm.nbparties, COUNTA(_xlfn._xlws.FILTER(_xlpm.ptstables, _xlpm.ptstables &lt;&gt; "")),
  _xlpm.coef, _xlpm.K + _xlpm.Knewgain / (_xlpm.Knewscale + _xlpm.nbparties),
  IF(X463="",
    "",
    _xlpm.coef * (X463-X464))
)</f>
        <v/>
      </c>
      <c r="Y465" t="str" cm="1">
        <f t="array" ref="Y465">_xlfn.LET(
  _xlpm.K, Constantes!$B$3,
  _xlpm.Knewgain, Constantes!$B$4,
  _xlpm.Knewscale, Constantes!$B$5,
  _xlpm.ptstables, INDEX(Y:Y, _xlfn.SEQUENCE(COUNTA($C$2:$C465), 1, 3, 4)),
  _xlpm.nbparties, COUNTA(_xlfn._xlws.FILTER(_xlpm.ptstables, _xlpm.ptstables &lt;&gt; "")),
  _xlpm.coef, _xlpm.K + _xlpm.Knewgain / (_xlpm.Knewscale + _xlpm.nbparties),
  IF(Y463="",
    "",
    _xlpm.coef * (Y463-Y464))
)</f>
        <v/>
      </c>
      <c r="Z465" t="str" cm="1">
        <f t="array" ref="Z465">_xlfn.LET(
  _xlpm.K, Constantes!$B$3,
  _xlpm.Knewgain, Constantes!$B$4,
  _xlpm.Knewscale, Constantes!$B$5,
  _xlpm.ptstables, INDEX(Z:Z, _xlfn.SEQUENCE(COUNTA($C$2:$C465), 1, 3, 4)),
  _xlpm.nbparties, COUNTA(_xlfn._xlws.FILTER(_xlpm.ptstables, _xlpm.ptstables &lt;&gt; "")),
  _xlpm.coef, _xlpm.K + _xlpm.Knewgain / (_xlpm.Knewscale + _xlpm.nbparties),
  IF(Z463="",
    "",
    _xlpm.coef * (Z463-Z464))
)</f>
        <v/>
      </c>
      <c r="AA465" t="str" cm="1">
        <f t="array" ref="AA465">_xlfn.LET(
  _xlpm.K, Constantes!$B$3,
  _xlpm.Knewgain, Constantes!$B$4,
  _xlpm.Knewscale, Constantes!$B$5,
  _xlpm.ptstables, INDEX(AA:AA, _xlfn.SEQUENCE(COUNTA($C$2:$C465), 1, 3, 4)),
  _xlpm.nbparties, COUNTA(_xlfn._xlws.FILTER(_xlpm.ptstables, _xlpm.ptstables &lt;&gt; "")),
  _xlpm.coef, _xlpm.K + _xlpm.Knewgain / (_xlpm.Knewscale + _xlpm.nbparties),
  IF(AA463="",
    "",
    _xlpm.coef * (AA463-AA464))
)</f>
        <v/>
      </c>
      <c r="AB465" t="str" cm="1">
        <f t="array" ref="AB465">_xlfn.LET(
  _xlpm.K, Constantes!$B$3,
  _xlpm.Knewgain, Constantes!$B$4,
  _xlpm.Knewscale, Constantes!$B$5,
  _xlpm.ptstables, INDEX(AB:AB, _xlfn.SEQUENCE(COUNTA($C$2:$C465), 1, 3, 4)),
  _xlpm.nbparties, COUNTA(_xlfn._xlws.FILTER(_xlpm.ptstables, _xlpm.ptstables &lt;&gt; "")),
  _xlpm.coef, _xlpm.K + _xlpm.Knewgain / (_xlpm.Knewscale + _xlpm.nbparties),
  IF(AB463="",
    "",
    _xlpm.coef * (AB463-AB464))
)</f>
        <v/>
      </c>
      <c r="AC465" t="str" cm="1">
        <f t="array" ref="AC465">_xlfn.LET(
  _xlpm.K, Constantes!$B$3,
  _xlpm.Knewgain, Constantes!$B$4,
  _xlpm.Knewscale, Constantes!$B$5,
  _xlpm.ptstables, INDEX(AC:AC, _xlfn.SEQUENCE(COUNTA($C$2:$C465), 1, 3, 4)),
  _xlpm.nbparties, COUNTA(_xlfn._xlws.FILTER(_xlpm.ptstables, _xlpm.ptstables &lt;&gt; "")),
  _xlpm.coef, _xlpm.K + _xlpm.Knewgain / (_xlpm.Knewscale + _xlpm.nbparties),
  IF(AC463="",
    "",
    _xlpm.coef * (AC463-AC464))
)</f>
        <v/>
      </c>
      <c r="AD465" t="str" cm="1">
        <f t="array" ref="AD465">_xlfn.LET(
  _xlpm.K, Constantes!$B$3,
  _xlpm.Knewgain, Constantes!$B$4,
  _xlpm.Knewscale, Constantes!$B$5,
  _xlpm.ptstables, INDEX(AD:AD, _xlfn.SEQUENCE(COUNTA($C$2:$C465), 1, 3, 4)),
  _xlpm.nbparties, COUNTA(_xlfn._xlws.FILTER(_xlpm.ptstables, _xlpm.ptstables &lt;&gt; "")),
  _xlpm.coef, _xlpm.K + _xlpm.Knewgain / (_xlpm.Knewscale + _xlpm.nbparties),
  IF(AD463="",
    "",
    _xlpm.coef * (AD463-AD464))
)</f>
        <v/>
      </c>
      <c r="AE465" t="str" cm="1">
        <f t="array" ref="AE465">_xlfn.LET(
  _xlpm.K, Constantes!$B$3,
  _xlpm.Knewgain, Constantes!$B$4,
  _xlpm.Knewscale, Constantes!$B$5,
  _xlpm.ptstables, INDEX(AE:AE, _xlfn.SEQUENCE(COUNTA($C$2:$C465), 1, 3, 4)),
  _xlpm.nbparties, COUNTA(_xlfn._xlws.FILTER(_xlpm.ptstables, _xlpm.ptstables &lt;&gt; "")),
  _xlpm.coef, _xlpm.K + _xlpm.Knewgain / (_xlpm.Knewscale + _xlpm.nbparties),
  IF(AE463="",
    "",
    _xlpm.coef * (AE463-AE464))
)</f>
        <v/>
      </c>
      <c r="AF465" t="str" cm="1">
        <f t="array" ref="AF465">_xlfn.LET(
  _xlpm.K, Constantes!$B$3,
  _xlpm.Knewgain, Constantes!$B$4,
  _xlpm.Knewscale, Constantes!$B$5,
  _xlpm.ptstables, INDEX(AF:AF, _xlfn.SEQUENCE(COUNTA($C$2:$C465), 1, 3, 4)),
  _xlpm.nbparties, COUNTA(_xlfn._xlws.FILTER(_xlpm.ptstables, _xlpm.ptstables &lt;&gt; "")),
  _xlpm.coef, _xlpm.K + _xlpm.Knewgain / (_xlpm.Knewscale + _xlpm.nbparties),
  IF(AF463="",
    "",
    _xlpm.coef * (AF463-AF464))
)</f>
        <v/>
      </c>
      <c r="AG465" t="str" cm="1">
        <f t="array" ref="AG465">_xlfn.LET(
  _xlpm.K, Constantes!$B$3,
  _xlpm.Knewgain, Constantes!$B$4,
  _xlpm.Knewscale, Constantes!$B$5,
  _xlpm.ptstables, INDEX(AG:AG, _xlfn.SEQUENCE(COUNTA($C$2:$C465), 1, 3, 4)),
  _xlpm.nbparties, COUNTA(_xlfn._xlws.FILTER(_xlpm.ptstables, _xlpm.ptstables &lt;&gt; "")),
  _xlpm.coef, _xlpm.K + _xlpm.Knewgain / (_xlpm.Knewscale + _xlpm.nbparties),
  IF(AG463="",
    "",
    _xlpm.coef * (AG463-AG464))
)</f>
        <v/>
      </c>
      <c r="AH465" t="str" cm="1">
        <f t="array" ref="AH465">_xlfn.LET(
  _xlpm.K, Constantes!$B$3,
  _xlpm.Knewgain, Constantes!$B$4,
  _xlpm.Knewscale, Constantes!$B$5,
  _xlpm.ptstables, INDEX(AH:AH, _xlfn.SEQUENCE(COUNTA($C$2:$C465), 1, 3, 4)),
  _xlpm.nbparties, COUNTA(_xlfn._xlws.FILTER(_xlpm.ptstables, _xlpm.ptstables &lt;&gt; "")),
  _xlpm.coef, _xlpm.K + _xlpm.Knewgain / (_xlpm.Knewscale + _xlpm.nbparties),
  IF(AH463="",
    "",
    _xlpm.coef * (AH463-AH464))
)</f>
        <v/>
      </c>
      <c r="AI465" t="str" cm="1">
        <f t="array" ref="AI465">_xlfn.LET(
  _xlpm.K, Constantes!$B$3,
  _xlpm.Knewgain, Constantes!$B$4,
  _xlpm.Knewscale, Constantes!$B$5,
  _xlpm.ptstables, INDEX(AI:AI, _xlfn.SEQUENCE(COUNTA($C$2:$C465), 1, 3, 4)),
  _xlpm.nbparties, COUNTA(_xlfn._xlws.FILTER(_xlpm.ptstables, _xlpm.ptstables &lt;&gt; "")),
  _xlpm.coef, _xlpm.K + _xlpm.Knewgain / (_xlpm.Knewscale + _xlpm.nbparties),
  IF(AI463="",
    "",
    _xlpm.coef * (AI463-AI464))
)</f>
        <v/>
      </c>
      <c r="AJ465" t="str" cm="1">
        <f t="array" ref="AJ465">_xlfn.LET(
  _xlpm.K, Constantes!$B$3,
  _xlpm.Knewgain, Constantes!$B$4,
  _xlpm.Knewscale, Constantes!$B$5,
  _xlpm.ptstables, INDEX(AJ:AJ, _xlfn.SEQUENCE(COUNTA($C$2:$C465), 1, 3, 4)),
  _xlpm.nbparties, COUNTA(_xlfn._xlws.FILTER(_xlpm.ptstables, _xlpm.ptstables &lt;&gt; "")),
  _xlpm.coef, _xlpm.K + _xlpm.Knewgain / (_xlpm.Knewscale + _xlpm.nbparties),
  IF(AJ463="",
    "",
    _xlpm.coef * (AJ463-AJ464))
)</f>
        <v/>
      </c>
      <c r="AK465" t="str" cm="1">
        <f t="array" ref="AK465">_xlfn.LET(
  _xlpm.K, Constantes!$B$3,
  _xlpm.Knewgain, Constantes!$B$4,
  _xlpm.Knewscale, Constantes!$B$5,
  _xlpm.ptstables, INDEX(AK:AK, _xlfn.SEQUENCE(COUNTA($C$2:$C465), 1, 3, 4)),
  _xlpm.nbparties, COUNTA(_xlfn._xlws.FILTER(_xlpm.ptstables, _xlpm.ptstables &lt;&gt; "")),
  _xlpm.coef, _xlpm.K + _xlpm.Knewgain / (_xlpm.Knewscale + _xlpm.nbparties),
  IF(AK463="",
    "",
    _xlpm.coef * (AK463-AK464))
)</f>
        <v/>
      </c>
      <c r="AL465" t="str" cm="1">
        <f t="array" ref="AL465">_xlfn.LET(
  _xlpm.K, Constantes!$B$3,
  _xlpm.Knewgain, Constantes!$B$4,
  _xlpm.Knewscale, Constantes!$B$5,
  _xlpm.ptstables, INDEX(AL:AL, _xlfn.SEQUENCE(COUNTA($C$2:$C465), 1, 3, 4)),
  _xlpm.nbparties, COUNTA(_xlfn._xlws.FILTER(_xlpm.ptstables, _xlpm.ptstables &lt;&gt; "")),
  _xlpm.coef, _xlpm.K + _xlpm.Knewgain / (_xlpm.Knewscale + _xlpm.nbparties),
  IF(AL463="",
    "",
    _xlpm.coef * (AL463-AL464))
)</f>
        <v/>
      </c>
      <c r="AM465" t="str" cm="1">
        <f t="array" ref="AM465">_xlfn.LET(
  _xlpm.K, Constantes!$B$3,
  _xlpm.Knewgain, Constantes!$B$4,
  _xlpm.Knewscale, Constantes!$B$5,
  _xlpm.ptstables, INDEX(AM:AM, _xlfn.SEQUENCE(COUNTA($C$2:$C465), 1, 3, 4)),
  _xlpm.nbparties, COUNTA(_xlfn._xlws.FILTER(_xlpm.ptstables, _xlpm.ptstables &lt;&gt; "")),
  _xlpm.coef, _xlpm.K + _xlpm.Knewgain / (_xlpm.Knewscale + _xlpm.nbparties),
  IF(AM463="",
    "",
    _xlpm.coef * (AM463-AM464))
)</f>
        <v/>
      </c>
    </row>
    <row r="466" spans="1:39" x14ac:dyDescent="0.25">
      <c r="A466" t="s">
        <v>14</v>
      </c>
      <c r="B466" t="str" cm="1">
        <f t="array" ref="B46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117</v>
      </c>
      <c r="C466" s="2" cm="1">
        <f t="array" ref="C466">IF(B466="","",
  INDEX(Donnees!F:F, MATCH(B466, Donnees!F:F, 0)+1))</f>
        <v>45969.695451388892</v>
      </c>
      <c r="D466">
        <f t="shared" ref="D466:AM466" si="124">D462+IF(D465="",0,D465)</f>
        <v>970.88542284486812</v>
      </c>
      <c r="E466">
        <f t="shared" si="124"/>
        <v>1196.4195973781996</v>
      </c>
      <c r="F466">
        <f t="shared" si="124"/>
        <v>911.8835833951041</v>
      </c>
      <c r="G466">
        <f t="shared" si="124"/>
        <v>1009.6650561189861</v>
      </c>
      <c r="H466">
        <f t="shared" si="124"/>
        <v>1094.641003167957</v>
      </c>
      <c r="I466">
        <f t="shared" si="124"/>
        <v>907.83370609419069</v>
      </c>
      <c r="J466">
        <f t="shared" si="124"/>
        <v>957.88376096605771</v>
      </c>
      <c r="K466">
        <f t="shared" si="124"/>
        <v>1112.4596148864318</v>
      </c>
      <c r="L466">
        <f t="shared" si="124"/>
        <v>762.99078552663389</v>
      </c>
      <c r="M466">
        <f t="shared" si="124"/>
        <v>927.4581540493366</v>
      </c>
      <c r="N466">
        <f t="shared" si="124"/>
        <v>899.98370646249032</v>
      </c>
      <c r="O466">
        <f t="shared" si="124"/>
        <v>997.04050320786712</v>
      </c>
      <c r="P466">
        <f t="shared" si="124"/>
        <v>1000.038589629396</v>
      </c>
      <c r="Q466">
        <f t="shared" si="124"/>
        <v>1048.7297653789042</v>
      </c>
      <c r="R466">
        <f t="shared" si="124"/>
        <v>1077.0429268320299</v>
      </c>
      <c r="S466">
        <f t="shared" si="124"/>
        <v>1000.2513618294364</v>
      </c>
      <c r="T466">
        <f t="shared" si="124"/>
        <v>1130.5881903486886</v>
      </c>
      <c r="U466">
        <f t="shared" si="124"/>
        <v>1222.7257721587478</v>
      </c>
      <c r="V466">
        <f t="shared" si="124"/>
        <v>964.86178289028601</v>
      </c>
      <c r="W466">
        <f t="shared" si="124"/>
        <v>873.42626723356045</v>
      </c>
      <c r="X466">
        <f t="shared" si="124"/>
        <v>858.92096928478088</v>
      </c>
      <c r="Y466">
        <f t="shared" si="124"/>
        <v>966.14168240704885</v>
      </c>
      <c r="Z466">
        <f t="shared" si="124"/>
        <v>1008.6876849635962</v>
      </c>
      <c r="AA466">
        <f t="shared" si="124"/>
        <v>942.27730100696294</v>
      </c>
      <c r="AB466">
        <f t="shared" si="124"/>
        <v>988.35669729544747</v>
      </c>
      <c r="AC466">
        <f t="shared" si="124"/>
        <v>915.79661995008541</v>
      </c>
      <c r="AD466">
        <f t="shared" si="124"/>
        <v>1054.5168154629837</v>
      </c>
      <c r="AE466">
        <f t="shared" si="124"/>
        <v>963.23981965000235</v>
      </c>
      <c r="AF466">
        <f t="shared" si="124"/>
        <v>1094.8196847516158</v>
      </c>
      <c r="AG466">
        <f t="shared" si="124"/>
        <v>958.23078604304851</v>
      </c>
      <c r="AH466">
        <f t="shared" si="124"/>
        <v>920.4412636682855</v>
      </c>
      <c r="AI466">
        <f t="shared" si="124"/>
        <v>1036.4167877702052</v>
      </c>
      <c r="AJ466">
        <f t="shared" si="124"/>
        <v>906.86354201913434</v>
      </c>
      <c r="AK466">
        <f t="shared" si="124"/>
        <v>1074.0069367206956</v>
      </c>
      <c r="AL466">
        <f t="shared" si="124"/>
        <v>1025.7817971572972</v>
      </c>
      <c r="AM466">
        <f t="shared" si="124"/>
        <v>930.08392160706046</v>
      </c>
    </row>
    <row r="467" spans="1:39" x14ac:dyDescent="0.25">
      <c r="A467" t="s">
        <v>21</v>
      </c>
      <c r="D467" t="str" cm="1">
        <f t="array" ref="D467">IFERROR(
  _xlfn.LET(
    _xlpm.ligpartie, MATCH($B466, Donnees!$F:$F, 0),
    _xlpm.joueurs, INDEX(Donnees!$A:$Z, _xlpm.ligpartie+1, _xlfn.SEQUENCE(1, 4, 2)),
    INDEX(
      Donnees!$A:$Z,
      _xlpm.ligpartie + 3,
      MATCH(D$1, _xlpm.joueurs, 0) + 1
    )
  ), ""
)</f>
        <v/>
      </c>
      <c r="E467" t="str" cm="1">
        <f t="array" ref="E467">IFERROR(
  _xlfn.LET(
    _xlpm.ligpartie, MATCH($B466, Donnees!$F:$F, 0),
    _xlpm.joueurs, INDEX(Donnees!$A:$Z, _xlpm.ligpartie+1, _xlfn.SEQUENCE(1, 4, 2)),
    INDEX(
      Donnees!$A:$Z,
      _xlpm.ligpartie + 3,
      MATCH(E$1, _xlpm.joueurs, 0) + 1
    )
  ), ""
)</f>
        <v/>
      </c>
      <c r="F467" t="str" cm="1">
        <f t="array" ref="F467">IFERROR(
  _xlfn.LET(
    _xlpm.ligpartie, MATCH($B466, Donnees!$F:$F, 0),
    _xlpm.joueurs, INDEX(Donnees!$A:$Z, _xlpm.ligpartie+1, _xlfn.SEQUENCE(1, 4, 2)),
    INDEX(
      Donnees!$A:$Z,
      _xlpm.ligpartie + 3,
      MATCH(F$1, _xlpm.joueurs, 0) + 1
    )
  ), ""
)</f>
        <v/>
      </c>
      <c r="G467" t="str" cm="1">
        <f t="array" ref="G467">IFERROR(
  _xlfn.LET(
    _xlpm.ligpartie, MATCH($B466, Donnees!$F:$F, 0),
    _xlpm.joueurs, INDEX(Donnees!$A:$Z, _xlpm.ligpartie+1, _xlfn.SEQUENCE(1, 4, 2)),
    INDEX(
      Donnees!$A:$Z,
      _xlpm.ligpartie + 3,
      MATCH(G$1, _xlpm.joueurs, 0) + 1
    )
  ), ""
)</f>
        <v/>
      </c>
      <c r="H467" cm="1">
        <f t="array" ref="H467">IFERROR(
  _xlfn.LET(
    _xlpm.ligpartie, MATCH($B466, Donnees!$F:$F, 0),
    _xlpm.joueurs, INDEX(Donnees!$A:$Z, _xlpm.ligpartie+1, _xlfn.SEQUENCE(1, 4, 2)),
    INDEX(
      Donnees!$A:$Z,
      _xlpm.ligpartie + 3,
      MATCH(H$1, _xlpm.joueurs, 0) + 1
    )
  ), ""
)</f>
        <v>2</v>
      </c>
      <c r="I467" t="str" cm="1">
        <f t="array" ref="I467">IFERROR(
  _xlfn.LET(
    _xlpm.ligpartie, MATCH($B466, Donnees!$F:$F, 0),
    _xlpm.joueurs, INDEX(Donnees!$A:$Z, _xlpm.ligpartie+1, _xlfn.SEQUENCE(1, 4, 2)),
    INDEX(
      Donnees!$A:$Z,
      _xlpm.ligpartie + 3,
      MATCH(I$1, _xlpm.joueurs, 0) + 1
    )
  ), ""
)</f>
        <v/>
      </c>
      <c r="J467" cm="1">
        <f t="array" ref="J467">IFERROR(
  _xlfn.LET(
    _xlpm.ligpartie, MATCH($B466, Donnees!$F:$F, 0),
    _xlpm.joueurs, INDEX(Donnees!$A:$Z, _xlpm.ligpartie+1, _xlfn.SEQUENCE(1, 4, 2)),
    INDEX(
      Donnees!$A:$Z,
      _xlpm.ligpartie + 3,
      MATCH(J$1, _xlpm.joueurs, 0) + 1
    )
  ), ""
)</f>
        <v>1</v>
      </c>
      <c r="K467" t="str" cm="1">
        <f t="array" ref="K467">IFERROR(
  _xlfn.LET(
    _xlpm.ligpartie, MATCH($B466, Donnees!$F:$F, 0),
    _xlpm.joueurs, INDEX(Donnees!$A:$Z, _xlpm.ligpartie+1, _xlfn.SEQUENCE(1, 4, 2)),
    INDEX(
      Donnees!$A:$Z,
      _xlpm.ligpartie + 3,
      MATCH(K$1, _xlpm.joueurs, 0) + 1
    )
  ), ""
)</f>
        <v/>
      </c>
      <c r="L467" t="str" cm="1">
        <f t="array" ref="L467">IFERROR(
  _xlfn.LET(
    _xlpm.ligpartie, MATCH($B466, Donnees!$F:$F, 0),
    _xlpm.joueurs, INDEX(Donnees!$A:$Z, _xlpm.ligpartie+1, _xlfn.SEQUENCE(1, 4, 2)),
    INDEX(
      Donnees!$A:$Z,
      _xlpm.ligpartie + 3,
      MATCH(L$1, _xlpm.joueurs, 0) + 1
    )
  ), ""
)</f>
        <v/>
      </c>
      <c r="M467" t="str" cm="1">
        <f t="array" ref="M467">IFERROR(
  _xlfn.LET(
    _xlpm.ligpartie, MATCH($B466, Donnees!$F:$F, 0),
    _xlpm.joueurs, INDEX(Donnees!$A:$Z, _xlpm.ligpartie+1, _xlfn.SEQUENCE(1, 4, 2)),
    INDEX(
      Donnees!$A:$Z,
      _xlpm.ligpartie + 3,
      MATCH(M$1, _xlpm.joueurs, 0) + 1
    )
  ), ""
)</f>
        <v/>
      </c>
      <c r="N467" t="str" cm="1">
        <f t="array" ref="N467">IFERROR(
  _xlfn.LET(
    _xlpm.ligpartie, MATCH($B466, Donnees!$F:$F, 0),
    _xlpm.joueurs, INDEX(Donnees!$A:$Z, _xlpm.ligpartie+1, _xlfn.SEQUENCE(1, 4, 2)),
    INDEX(
      Donnees!$A:$Z,
      _xlpm.ligpartie + 3,
      MATCH(N$1, _xlpm.joueurs, 0) + 1
    )
  ), ""
)</f>
        <v/>
      </c>
      <c r="O467" t="str" cm="1">
        <f t="array" ref="O467">IFERROR(
  _xlfn.LET(
    _xlpm.ligpartie, MATCH($B466, Donnees!$F:$F, 0),
    _xlpm.joueurs, INDEX(Donnees!$A:$Z, _xlpm.ligpartie+1, _xlfn.SEQUENCE(1, 4, 2)),
    INDEX(
      Donnees!$A:$Z,
      _xlpm.ligpartie + 3,
      MATCH(O$1, _xlpm.joueurs, 0) + 1
    )
  ), ""
)</f>
        <v/>
      </c>
      <c r="P467" t="str" cm="1">
        <f t="array" ref="P467">IFERROR(
  _xlfn.LET(
    _xlpm.ligpartie, MATCH($B466, Donnees!$F:$F, 0),
    _xlpm.joueurs, INDEX(Donnees!$A:$Z, _xlpm.ligpartie+1, _xlfn.SEQUENCE(1, 4, 2)),
    INDEX(
      Donnees!$A:$Z,
      _xlpm.ligpartie + 3,
      MATCH(P$1, _xlpm.joueurs, 0) + 1
    )
  ), ""
)</f>
        <v/>
      </c>
      <c r="Q467" t="str" cm="1">
        <f t="array" ref="Q467">IFERROR(
  _xlfn.LET(
    _xlpm.ligpartie, MATCH($B466, Donnees!$F:$F, 0),
    _xlpm.joueurs, INDEX(Donnees!$A:$Z, _xlpm.ligpartie+1, _xlfn.SEQUENCE(1, 4, 2)),
    INDEX(
      Donnees!$A:$Z,
      _xlpm.ligpartie + 3,
      MATCH(Q$1, _xlpm.joueurs, 0) + 1
    )
  ), ""
)</f>
        <v/>
      </c>
      <c r="R467" t="str" cm="1">
        <f t="array" ref="R467">IFERROR(
  _xlfn.LET(
    _xlpm.ligpartie, MATCH($B466, Donnees!$F:$F, 0),
    _xlpm.joueurs, INDEX(Donnees!$A:$Z, _xlpm.ligpartie+1, _xlfn.SEQUENCE(1, 4, 2)),
    INDEX(
      Donnees!$A:$Z,
      _xlpm.ligpartie + 3,
      MATCH(R$1, _xlpm.joueurs, 0) + 1
    )
  ), ""
)</f>
        <v/>
      </c>
      <c r="S467" cm="1">
        <f t="array" ref="S467">IFERROR(
  _xlfn.LET(
    _xlpm.ligpartie, MATCH($B466, Donnees!$F:$F, 0),
    _xlpm.joueurs, INDEX(Donnees!$A:$Z, _xlpm.ligpartie+1, _xlfn.SEQUENCE(1, 4, 2)),
    INDEX(
      Donnees!$A:$Z,
      _xlpm.ligpartie + 3,
      MATCH(S$1, _xlpm.joueurs, 0) + 1
    )
  ), ""
)</f>
        <v>0</v>
      </c>
      <c r="T467" t="str" cm="1">
        <f t="array" ref="T467">IFERROR(
  _xlfn.LET(
    _xlpm.ligpartie, MATCH($B466, Donnees!$F:$F, 0),
    _xlpm.joueurs, INDEX(Donnees!$A:$Z, _xlpm.ligpartie+1, _xlfn.SEQUENCE(1, 4, 2)),
    INDEX(
      Donnees!$A:$Z,
      _xlpm.ligpartie + 3,
      MATCH(T$1, _xlpm.joueurs, 0) + 1
    )
  ), ""
)</f>
        <v/>
      </c>
      <c r="U467" t="str" cm="1">
        <f t="array" ref="U467">IFERROR(
  _xlfn.LET(
    _xlpm.ligpartie, MATCH($B466, Donnees!$F:$F, 0),
    _xlpm.joueurs, INDEX(Donnees!$A:$Z, _xlpm.ligpartie+1, _xlfn.SEQUENCE(1, 4, 2)),
    INDEX(
      Donnees!$A:$Z,
      _xlpm.ligpartie + 3,
      MATCH(U$1, _xlpm.joueurs, 0) + 1
    )
  ), ""
)</f>
        <v/>
      </c>
      <c r="V467" t="str" cm="1">
        <f t="array" ref="V467">IFERROR(
  _xlfn.LET(
    _xlpm.ligpartie, MATCH($B466, Donnees!$F:$F, 0),
    _xlpm.joueurs, INDEX(Donnees!$A:$Z, _xlpm.ligpartie+1, _xlfn.SEQUENCE(1, 4, 2)),
    INDEX(
      Donnees!$A:$Z,
      _xlpm.ligpartie + 3,
      MATCH(V$1, _xlpm.joueurs, 0) + 1
    )
  ), ""
)</f>
        <v/>
      </c>
      <c r="W467" t="str" cm="1">
        <f t="array" ref="W467">IFERROR(
  _xlfn.LET(
    _xlpm.ligpartie, MATCH($B466, Donnees!$F:$F, 0),
    _xlpm.joueurs, INDEX(Donnees!$A:$Z, _xlpm.ligpartie+1, _xlfn.SEQUENCE(1, 4, 2)),
    INDEX(
      Donnees!$A:$Z,
      _xlpm.ligpartie + 3,
      MATCH(W$1, _xlpm.joueurs, 0) + 1
    )
  ), ""
)</f>
        <v/>
      </c>
      <c r="X467" t="str" cm="1">
        <f t="array" ref="X467">IFERROR(
  _xlfn.LET(
    _xlpm.ligpartie, MATCH($B466, Donnees!$F:$F, 0),
    _xlpm.joueurs, INDEX(Donnees!$A:$Z, _xlpm.ligpartie+1, _xlfn.SEQUENCE(1, 4, 2)),
    INDEX(
      Donnees!$A:$Z,
      _xlpm.ligpartie + 3,
      MATCH(X$1, _xlpm.joueurs, 0) + 1
    )
  ), ""
)</f>
        <v/>
      </c>
      <c r="Y467" cm="1">
        <f t="array" ref="Y467">IFERROR(
  _xlfn.LET(
    _xlpm.ligpartie, MATCH($B466, Donnees!$F:$F, 0),
    _xlpm.joueurs, INDEX(Donnees!$A:$Z, _xlpm.ligpartie+1, _xlfn.SEQUENCE(1, 4, 2)),
    INDEX(
      Donnees!$A:$Z,
      _xlpm.ligpartie + 3,
      MATCH(Y$1, _xlpm.joueurs, 0) + 1
    )
  ), ""
)</f>
        <v>3</v>
      </c>
      <c r="Z467" t="str" cm="1">
        <f t="array" ref="Z467">IFERROR(
  _xlfn.LET(
    _xlpm.ligpartie, MATCH($B466, Donnees!$F:$F, 0),
    _xlpm.joueurs, INDEX(Donnees!$A:$Z, _xlpm.ligpartie+1, _xlfn.SEQUENCE(1, 4, 2)),
    INDEX(
      Donnees!$A:$Z,
      _xlpm.ligpartie + 3,
      MATCH(Z$1, _xlpm.joueurs, 0) + 1
    )
  ), ""
)</f>
        <v/>
      </c>
      <c r="AA467" t="str" cm="1">
        <f t="array" ref="AA467">IFERROR(
  _xlfn.LET(
    _xlpm.ligpartie, MATCH($B466, Donnees!$F:$F, 0),
    _xlpm.joueurs, INDEX(Donnees!$A:$Z, _xlpm.ligpartie+1, _xlfn.SEQUENCE(1, 4, 2)),
    INDEX(
      Donnees!$A:$Z,
      _xlpm.ligpartie + 3,
      MATCH(AA$1, _xlpm.joueurs, 0) + 1
    )
  ), ""
)</f>
        <v/>
      </c>
      <c r="AB467" t="str" cm="1">
        <f t="array" ref="AB467">IFERROR(
  _xlfn.LET(
    _xlpm.ligpartie, MATCH($B466, Donnees!$F:$F, 0),
    _xlpm.joueurs, INDEX(Donnees!$A:$Z, _xlpm.ligpartie+1, _xlfn.SEQUENCE(1, 4, 2)),
    INDEX(
      Donnees!$A:$Z,
      _xlpm.ligpartie + 3,
      MATCH(AB$1, _xlpm.joueurs, 0) + 1
    )
  ), ""
)</f>
        <v/>
      </c>
      <c r="AC467" t="str" cm="1">
        <f t="array" ref="AC467">IFERROR(
  _xlfn.LET(
    _xlpm.ligpartie, MATCH($B466, Donnees!$F:$F, 0),
    _xlpm.joueurs, INDEX(Donnees!$A:$Z, _xlpm.ligpartie+1, _xlfn.SEQUENCE(1, 4, 2)),
    INDEX(
      Donnees!$A:$Z,
      _xlpm.ligpartie + 3,
      MATCH(AC$1, _xlpm.joueurs, 0) + 1
    )
  ), ""
)</f>
        <v/>
      </c>
      <c r="AD467" t="str" cm="1">
        <f t="array" ref="AD467">IFERROR(
  _xlfn.LET(
    _xlpm.ligpartie, MATCH($B466, Donnees!$F:$F, 0),
    _xlpm.joueurs, INDEX(Donnees!$A:$Z, _xlpm.ligpartie+1, _xlfn.SEQUENCE(1, 4, 2)),
    INDEX(
      Donnees!$A:$Z,
      _xlpm.ligpartie + 3,
      MATCH(AD$1, _xlpm.joueurs, 0) + 1
    )
  ), ""
)</f>
        <v/>
      </c>
      <c r="AE467" t="str" cm="1">
        <f t="array" ref="AE467">IFERROR(
  _xlfn.LET(
    _xlpm.ligpartie, MATCH($B466, Donnees!$F:$F, 0),
    _xlpm.joueurs, INDEX(Donnees!$A:$Z, _xlpm.ligpartie+1, _xlfn.SEQUENCE(1, 4, 2)),
    INDEX(
      Donnees!$A:$Z,
      _xlpm.ligpartie + 3,
      MATCH(AE$1, _xlpm.joueurs, 0) + 1
    )
  ), ""
)</f>
        <v/>
      </c>
      <c r="AF467" t="str" cm="1">
        <f t="array" ref="AF467">IFERROR(
  _xlfn.LET(
    _xlpm.ligpartie, MATCH($B466, Donnees!$F:$F, 0),
    _xlpm.joueurs, INDEX(Donnees!$A:$Z, _xlpm.ligpartie+1, _xlfn.SEQUENCE(1, 4, 2)),
    INDEX(
      Donnees!$A:$Z,
      _xlpm.ligpartie + 3,
      MATCH(AF$1, _xlpm.joueurs, 0) + 1
    )
  ), ""
)</f>
        <v/>
      </c>
      <c r="AG467" t="str" cm="1">
        <f t="array" ref="AG467">IFERROR(
  _xlfn.LET(
    _xlpm.ligpartie, MATCH($B466, Donnees!$F:$F, 0),
    _xlpm.joueurs, INDEX(Donnees!$A:$Z, _xlpm.ligpartie+1, _xlfn.SEQUENCE(1, 4, 2)),
    INDEX(
      Donnees!$A:$Z,
      _xlpm.ligpartie + 3,
      MATCH(AG$1, _xlpm.joueurs, 0) + 1
    )
  ), ""
)</f>
        <v/>
      </c>
      <c r="AH467" t="str" cm="1">
        <f t="array" ref="AH467">IFERROR(
  _xlfn.LET(
    _xlpm.ligpartie, MATCH($B466, Donnees!$F:$F, 0),
    _xlpm.joueurs, INDEX(Donnees!$A:$Z, _xlpm.ligpartie+1, _xlfn.SEQUENCE(1, 4, 2)),
    INDEX(
      Donnees!$A:$Z,
      _xlpm.ligpartie + 3,
      MATCH(AH$1, _xlpm.joueurs, 0) + 1
    )
  ), ""
)</f>
        <v/>
      </c>
      <c r="AI467" t="str" cm="1">
        <f t="array" ref="AI467">IFERROR(
  _xlfn.LET(
    _xlpm.ligpartie, MATCH($B466, Donnees!$F:$F, 0),
    _xlpm.joueurs, INDEX(Donnees!$A:$Z, _xlpm.ligpartie+1, _xlfn.SEQUENCE(1, 4, 2)),
    INDEX(
      Donnees!$A:$Z,
      _xlpm.ligpartie + 3,
      MATCH(AI$1, _xlpm.joueurs, 0) + 1
    )
  ), ""
)</f>
        <v/>
      </c>
      <c r="AJ467" t="str" cm="1">
        <f t="array" ref="AJ467">IFERROR(
  _xlfn.LET(
    _xlpm.ligpartie, MATCH($B466, Donnees!$F:$F, 0),
    _xlpm.joueurs, INDEX(Donnees!$A:$Z, _xlpm.ligpartie+1, _xlfn.SEQUENCE(1, 4, 2)),
    INDEX(
      Donnees!$A:$Z,
      _xlpm.ligpartie + 3,
      MATCH(AJ$1, _xlpm.joueurs, 0) + 1
    )
  ), ""
)</f>
        <v/>
      </c>
      <c r="AK467" t="str" cm="1">
        <f t="array" ref="AK467">IFERROR(
  _xlfn.LET(
    _xlpm.ligpartie, MATCH($B466, Donnees!$F:$F, 0),
    _xlpm.joueurs, INDEX(Donnees!$A:$Z, _xlpm.ligpartie+1, _xlfn.SEQUENCE(1, 4, 2)),
    INDEX(
      Donnees!$A:$Z,
      _xlpm.ligpartie + 3,
      MATCH(AK$1, _xlpm.joueurs, 0) + 1
    )
  ), ""
)</f>
        <v/>
      </c>
      <c r="AL467" t="str" cm="1">
        <f t="array" ref="AL467">IFERROR(
  _xlfn.LET(
    _xlpm.ligpartie, MATCH($B466, Donnees!$F:$F, 0),
    _xlpm.joueurs, INDEX(Donnees!$A:$Z, _xlpm.ligpartie+1, _xlfn.SEQUENCE(1, 4, 2)),
    INDEX(
      Donnees!$A:$Z,
      _xlpm.ligpartie + 3,
      MATCH(AL$1, _xlpm.joueurs, 0) + 1
    )
  ), ""
)</f>
        <v/>
      </c>
      <c r="AM467" t="str" cm="1">
        <f t="array" ref="AM467">IFERROR(
  _xlfn.LET(
    _xlpm.ligpartie, MATCH($B466, Donnees!$F:$F, 0),
    _xlpm.joueurs, INDEX(Donnees!$A:$Z, _xlpm.ligpartie+1, _xlfn.SEQUENCE(1, 4, 2)),
    INDEX(
      Donnees!$A:$Z,
      _xlpm.ligpartie + 3,
      MATCH(AM$1, _xlpm.joueurs, 0) + 1
    )
  ), ""
)</f>
        <v/>
      </c>
    </row>
    <row r="468" spans="1:39" x14ac:dyDescent="0.25">
      <c r="A468" t="s">
        <v>20</v>
      </c>
      <c r="D468" t="str" cm="1">
        <f t="array" ref="D468">_xlfn.LET(
  _xlpm.colj, _xlfn._xlws.FILTER(IF(ISNUMBER(467:467), COLUMN(467:467)), ISNUMBER(467:467)),
  _xlpm.elos, INDEX(466:466,1,_xlpm.colj),
  _xlpm.diffscale, Constantes!$B$2,
  IF(D467="",
    "",
    SUM(1/(1+POWER(10,-(D466-_xlpm.elos)/_xlpm.diffscale)))-0.5)
)</f>
        <v/>
      </c>
      <c r="E468" t="str" cm="1">
        <f t="array" ref="E468">_xlfn.LET(
  _xlpm.colj, _xlfn._xlws.FILTER(IF(ISNUMBER(467:467), COLUMN(467:467)), ISNUMBER(467:467)),
  _xlpm.elos, INDEX(466:466,1,_xlpm.colj),
  _xlpm.diffscale, Constantes!$B$2,
  IF(E467="",
    "",
    SUM(1/(1+POWER(10,-(E466-_xlpm.elos)/_xlpm.diffscale)))-0.5)
)</f>
        <v/>
      </c>
      <c r="F468" t="str" cm="1">
        <f t="array" ref="F468">_xlfn.LET(
  _xlpm.colj, _xlfn._xlws.FILTER(IF(ISNUMBER(467:467), COLUMN(467:467)), ISNUMBER(467:467)),
  _xlpm.elos, INDEX(466:466,1,_xlpm.colj),
  _xlpm.diffscale, Constantes!$B$2,
  IF(F467="",
    "",
    SUM(1/(1+POWER(10,-(F466-_xlpm.elos)/_xlpm.diffscale)))-0.5)
)</f>
        <v/>
      </c>
      <c r="G468" t="str" cm="1">
        <f t="array" ref="G468">_xlfn.LET(
  _xlpm.colj, _xlfn._xlws.FILTER(IF(ISNUMBER(467:467), COLUMN(467:467)), ISNUMBER(467:467)),
  _xlpm.elos, INDEX(466:466,1,_xlpm.colj),
  _xlpm.diffscale, Constantes!$B$2,
  IF(G467="",
    "",
    SUM(1/(1+POWER(10,-(G466-_xlpm.elos)/_xlpm.diffscale)))-0.5)
)</f>
        <v/>
      </c>
      <c r="H468" cm="1">
        <f t="array" ref="H468">_xlfn.LET(
  _xlpm.colj, _xlfn._xlws.FILTER(IF(ISNUMBER(467:467), COLUMN(467:467)), ISNUMBER(467:467)),
  _xlpm.elos, INDEX(466:466,1,_xlpm.colj),
  _xlpm.diffscale, Constantes!$B$2,
  IF(H467="",
    "",
    SUM(1/(1+POWER(10,-(H466-_xlpm.elos)/_xlpm.diffscale)))-0.5)
)</f>
        <v>1.9967600251983622</v>
      </c>
      <c r="I468" t="str" cm="1">
        <f t="array" ref="I468">_xlfn.LET(
  _xlpm.colj, _xlfn._xlws.FILTER(IF(ISNUMBER(467:467), COLUMN(467:467)), ISNUMBER(467:467)),
  _xlpm.elos, INDEX(466:466,1,_xlpm.colj),
  _xlpm.diffscale, Constantes!$B$2,
  IF(I467="",
    "",
    SUM(1/(1+POWER(10,-(I466-_xlpm.elos)/_xlpm.diffscale)))-0.5)
)</f>
        <v/>
      </c>
      <c r="J468" cm="1">
        <f t="array" ref="J468">_xlfn.LET(
  _xlpm.colj, _xlfn._xlws.FILTER(IF(ISNUMBER(467:467), COLUMN(467:467)), ISNUMBER(467:467)),
  _xlpm.elos, INDEX(466:466,1,_xlpm.colj),
  _xlpm.diffscale, Constantes!$B$2,
  IF(J467="",
    "",
    SUM(1/(1+POWER(10,-(J466-_xlpm.elos)/_xlpm.diffscale)))-0.5)
)</f>
        <v>1.2402087290157198</v>
      </c>
      <c r="K468" t="str" cm="1">
        <f t="array" ref="K468">_xlfn.LET(
  _xlpm.colj, _xlfn._xlws.FILTER(IF(ISNUMBER(467:467), COLUMN(467:467)), ISNUMBER(467:467)),
  _xlpm.elos, INDEX(466:466,1,_xlpm.colj),
  _xlpm.diffscale, Constantes!$B$2,
  IF(K467="",
    "",
    SUM(1/(1+POWER(10,-(K466-_xlpm.elos)/_xlpm.diffscale)))-0.5)
)</f>
        <v/>
      </c>
      <c r="L468" t="str" cm="1">
        <f t="array" ref="L468">_xlfn.LET(
  _xlpm.colj, _xlfn._xlws.FILTER(IF(ISNUMBER(467:467), COLUMN(467:467)), ISNUMBER(467:467)),
  _xlpm.elos, INDEX(466:466,1,_xlpm.colj),
  _xlpm.diffscale, Constantes!$B$2,
  IF(L467="",
    "",
    SUM(1/(1+POWER(10,-(L466-_xlpm.elos)/_xlpm.diffscale)))-0.5)
)</f>
        <v/>
      </c>
      <c r="M468" t="str" cm="1">
        <f t="array" ref="M468">_xlfn.LET(
  _xlpm.colj, _xlfn._xlws.FILTER(IF(ISNUMBER(467:467), COLUMN(467:467)), ISNUMBER(467:467)),
  _xlpm.elos, INDEX(466:466,1,_xlpm.colj),
  _xlpm.diffscale, Constantes!$B$2,
  IF(M467="",
    "",
    SUM(1/(1+POWER(10,-(M466-_xlpm.elos)/_xlpm.diffscale)))-0.5)
)</f>
        <v/>
      </c>
      <c r="N468" t="str" cm="1">
        <f t="array" ref="N468">_xlfn.LET(
  _xlpm.colj, _xlfn._xlws.FILTER(IF(ISNUMBER(467:467), COLUMN(467:467)), ISNUMBER(467:467)),
  _xlpm.elos, INDEX(466:466,1,_xlpm.colj),
  _xlpm.diffscale, Constantes!$B$2,
  IF(N467="",
    "",
    SUM(1/(1+POWER(10,-(N466-_xlpm.elos)/_xlpm.diffscale)))-0.5)
)</f>
        <v/>
      </c>
      <c r="O468" t="str" cm="1">
        <f t="array" ref="O468">_xlfn.LET(
  _xlpm.colj, _xlfn._xlws.FILTER(IF(ISNUMBER(467:467), COLUMN(467:467)), ISNUMBER(467:467)),
  _xlpm.elos, INDEX(466:466,1,_xlpm.colj),
  _xlpm.diffscale, Constantes!$B$2,
  IF(O467="",
    "",
    SUM(1/(1+POWER(10,-(O466-_xlpm.elos)/_xlpm.diffscale)))-0.5)
)</f>
        <v/>
      </c>
      <c r="P468" t="str" cm="1">
        <f t="array" ref="P468">_xlfn.LET(
  _xlpm.colj, _xlfn._xlws.FILTER(IF(ISNUMBER(467:467), COLUMN(467:467)), ISNUMBER(467:467)),
  _xlpm.elos, INDEX(466:466,1,_xlpm.colj),
  _xlpm.diffscale, Constantes!$B$2,
  IF(P467="",
    "",
    SUM(1/(1+POWER(10,-(P466-_xlpm.elos)/_xlpm.diffscale)))-0.5)
)</f>
        <v/>
      </c>
      <c r="Q468" t="str" cm="1">
        <f t="array" ref="Q468">_xlfn.LET(
  _xlpm.colj, _xlfn._xlws.FILTER(IF(ISNUMBER(467:467), COLUMN(467:467)), ISNUMBER(467:467)),
  _xlpm.elos, INDEX(466:466,1,_xlpm.colj),
  _xlpm.diffscale, Constantes!$B$2,
  IF(Q467="",
    "",
    SUM(1/(1+POWER(10,-(Q466-_xlpm.elos)/_xlpm.diffscale)))-0.5)
)</f>
        <v/>
      </c>
      <c r="R468" t="str" cm="1">
        <f t="array" ref="R468">_xlfn.LET(
  _xlpm.colj, _xlfn._xlws.FILTER(IF(ISNUMBER(467:467), COLUMN(467:467)), ISNUMBER(467:467)),
  _xlpm.elos, INDEX(466:466,1,_xlpm.colj),
  _xlpm.diffscale, Constantes!$B$2,
  IF(R467="",
    "",
    SUM(1/(1+POWER(10,-(R466-_xlpm.elos)/_xlpm.diffscale)))-0.5)
)</f>
        <v/>
      </c>
      <c r="S468" cm="1">
        <f t="array" ref="S468">_xlfn.LET(
  _xlpm.colj, _xlfn._xlws.FILTER(IF(ISNUMBER(467:467), COLUMN(467:467)), ISNUMBER(467:467)),
  _xlpm.elos, INDEX(466:466,1,_xlpm.colj),
  _xlpm.diffscale, Constantes!$B$2,
  IF(S467="",
    "",
    SUM(1/(1+POWER(10,-(S466-_xlpm.elos)/_xlpm.diffscale)))-0.5)
)</f>
        <v>1.4770106395868101</v>
      </c>
      <c r="T468" t="str" cm="1">
        <f t="array" ref="T468">_xlfn.LET(
  _xlpm.colj, _xlfn._xlws.FILTER(IF(ISNUMBER(467:467), COLUMN(467:467)), ISNUMBER(467:467)),
  _xlpm.elos, INDEX(466:466,1,_xlpm.colj),
  _xlpm.diffscale, Constantes!$B$2,
  IF(T467="",
    "",
    SUM(1/(1+POWER(10,-(T466-_xlpm.elos)/_xlpm.diffscale)))-0.5)
)</f>
        <v/>
      </c>
      <c r="U468" t="str" cm="1">
        <f t="array" ref="U468">_xlfn.LET(
  _xlpm.colj, _xlfn._xlws.FILTER(IF(ISNUMBER(467:467), COLUMN(467:467)), ISNUMBER(467:467)),
  _xlpm.elos, INDEX(466:466,1,_xlpm.colj),
  _xlpm.diffscale, Constantes!$B$2,
  IF(U467="",
    "",
    SUM(1/(1+POWER(10,-(U466-_xlpm.elos)/_xlpm.diffscale)))-0.5)
)</f>
        <v/>
      </c>
      <c r="V468" t="str" cm="1">
        <f t="array" ref="V468">_xlfn.LET(
  _xlpm.colj, _xlfn._xlws.FILTER(IF(ISNUMBER(467:467), COLUMN(467:467)), ISNUMBER(467:467)),
  _xlpm.elos, INDEX(466:466,1,_xlpm.colj),
  _xlpm.diffscale, Constantes!$B$2,
  IF(V467="",
    "",
    SUM(1/(1+POWER(10,-(V466-_xlpm.elos)/_xlpm.diffscale)))-0.5)
)</f>
        <v/>
      </c>
      <c r="W468" t="str" cm="1">
        <f t="array" ref="W468">_xlfn.LET(
  _xlpm.colj, _xlfn._xlws.FILTER(IF(ISNUMBER(467:467), COLUMN(467:467)), ISNUMBER(467:467)),
  _xlpm.elos, INDEX(466:466,1,_xlpm.colj),
  _xlpm.diffscale, Constantes!$B$2,
  IF(W467="",
    "",
    SUM(1/(1+POWER(10,-(W466-_xlpm.elos)/_xlpm.diffscale)))-0.5)
)</f>
        <v/>
      </c>
      <c r="X468" t="str" cm="1">
        <f t="array" ref="X468">_xlfn.LET(
  _xlpm.colj, _xlfn._xlws.FILTER(IF(ISNUMBER(467:467), COLUMN(467:467)), ISNUMBER(467:467)),
  _xlpm.elos, INDEX(466:466,1,_xlpm.colj),
  _xlpm.diffscale, Constantes!$B$2,
  IF(X467="",
    "",
    SUM(1/(1+POWER(10,-(X466-_xlpm.elos)/_xlpm.diffscale)))-0.5)
)</f>
        <v/>
      </c>
      <c r="Y468" cm="1">
        <f t="array" ref="Y468">_xlfn.LET(
  _xlpm.colj, _xlfn._xlws.FILTER(IF(ISNUMBER(467:467), COLUMN(467:467)), ISNUMBER(467:467)),
  _xlpm.elos, INDEX(466:466,1,_xlpm.colj),
  _xlpm.diffscale, Constantes!$B$2,
  IF(Y467="",
    "",
    SUM(1/(1+POWER(10,-(Y466-_xlpm.elos)/_xlpm.diffscale)))-0.5)
)</f>
        <v>1.286020606199108</v>
      </c>
      <c r="Z468" t="str" cm="1">
        <f t="array" ref="Z468">_xlfn.LET(
  _xlpm.colj, _xlfn._xlws.FILTER(IF(ISNUMBER(467:467), COLUMN(467:467)), ISNUMBER(467:467)),
  _xlpm.elos, INDEX(466:466,1,_xlpm.colj),
  _xlpm.diffscale, Constantes!$B$2,
  IF(Z467="",
    "",
    SUM(1/(1+POWER(10,-(Z466-_xlpm.elos)/_xlpm.diffscale)))-0.5)
)</f>
        <v/>
      </c>
      <c r="AA468" t="str" cm="1">
        <f t="array" ref="AA468">_xlfn.LET(
  _xlpm.colj, _xlfn._xlws.FILTER(IF(ISNUMBER(467:467), COLUMN(467:467)), ISNUMBER(467:467)),
  _xlpm.elos, INDEX(466:466,1,_xlpm.colj),
  _xlpm.diffscale, Constantes!$B$2,
  IF(AA467="",
    "",
    SUM(1/(1+POWER(10,-(AA466-_xlpm.elos)/_xlpm.diffscale)))-0.5)
)</f>
        <v/>
      </c>
      <c r="AB468" t="str" cm="1">
        <f t="array" ref="AB468">_xlfn.LET(
  _xlpm.colj, _xlfn._xlws.FILTER(IF(ISNUMBER(467:467), COLUMN(467:467)), ISNUMBER(467:467)),
  _xlpm.elos, INDEX(466:466,1,_xlpm.colj),
  _xlpm.diffscale, Constantes!$B$2,
  IF(AB467="",
    "",
    SUM(1/(1+POWER(10,-(AB466-_xlpm.elos)/_xlpm.diffscale)))-0.5)
)</f>
        <v/>
      </c>
      <c r="AC468" t="str" cm="1">
        <f t="array" ref="AC468">_xlfn.LET(
  _xlpm.colj, _xlfn._xlws.FILTER(IF(ISNUMBER(467:467), COLUMN(467:467)), ISNUMBER(467:467)),
  _xlpm.elos, INDEX(466:466,1,_xlpm.colj),
  _xlpm.diffscale, Constantes!$B$2,
  IF(AC467="",
    "",
    SUM(1/(1+POWER(10,-(AC466-_xlpm.elos)/_xlpm.diffscale)))-0.5)
)</f>
        <v/>
      </c>
      <c r="AD468" t="str" cm="1">
        <f t="array" ref="AD468">_xlfn.LET(
  _xlpm.colj, _xlfn._xlws.FILTER(IF(ISNUMBER(467:467), COLUMN(467:467)), ISNUMBER(467:467)),
  _xlpm.elos, INDEX(466:466,1,_xlpm.colj),
  _xlpm.diffscale, Constantes!$B$2,
  IF(AD467="",
    "",
    SUM(1/(1+POWER(10,-(AD466-_xlpm.elos)/_xlpm.diffscale)))-0.5)
)</f>
        <v/>
      </c>
      <c r="AE468" t="str" cm="1">
        <f t="array" ref="AE468">_xlfn.LET(
  _xlpm.colj, _xlfn._xlws.FILTER(IF(ISNUMBER(467:467), COLUMN(467:467)), ISNUMBER(467:467)),
  _xlpm.elos, INDEX(466:466,1,_xlpm.colj),
  _xlpm.diffscale, Constantes!$B$2,
  IF(AE467="",
    "",
    SUM(1/(1+POWER(10,-(AE466-_xlpm.elos)/_xlpm.diffscale)))-0.5)
)</f>
        <v/>
      </c>
      <c r="AF468" t="str" cm="1">
        <f t="array" ref="AF468">_xlfn.LET(
  _xlpm.colj, _xlfn._xlws.FILTER(IF(ISNUMBER(467:467), COLUMN(467:467)), ISNUMBER(467:467)),
  _xlpm.elos, INDEX(466:466,1,_xlpm.colj),
  _xlpm.diffscale, Constantes!$B$2,
  IF(AF467="",
    "",
    SUM(1/(1+POWER(10,-(AF466-_xlpm.elos)/_xlpm.diffscale)))-0.5)
)</f>
        <v/>
      </c>
      <c r="AG468" t="str" cm="1">
        <f t="array" ref="AG468">_xlfn.LET(
  _xlpm.colj, _xlfn._xlws.FILTER(IF(ISNUMBER(467:467), COLUMN(467:467)), ISNUMBER(467:467)),
  _xlpm.elos, INDEX(466:466,1,_xlpm.colj),
  _xlpm.diffscale, Constantes!$B$2,
  IF(AG467="",
    "",
    SUM(1/(1+POWER(10,-(AG466-_xlpm.elos)/_xlpm.diffscale)))-0.5)
)</f>
        <v/>
      </c>
      <c r="AH468" t="str" cm="1">
        <f t="array" ref="AH468">_xlfn.LET(
  _xlpm.colj, _xlfn._xlws.FILTER(IF(ISNUMBER(467:467), COLUMN(467:467)), ISNUMBER(467:467)),
  _xlpm.elos, INDEX(466:466,1,_xlpm.colj),
  _xlpm.diffscale, Constantes!$B$2,
  IF(AH467="",
    "",
    SUM(1/(1+POWER(10,-(AH466-_xlpm.elos)/_xlpm.diffscale)))-0.5)
)</f>
        <v/>
      </c>
      <c r="AI468" t="str" cm="1">
        <f t="array" ref="AI468">_xlfn.LET(
  _xlpm.colj, _xlfn._xlws.FILTER(IF(ISNUMBER(467:467), COLUMN(467:467)), ISNUMBER(467:467)),
  _xlpm.elos, INDEX(466:466,1,_xlpm.colj),
  _xlpm.diffscale, Constantes!$B$2,
  IF(AI467="",
    "",
    SUM(1/(1+POWER(10,-(AI466-_xlpm.elos)/_xlpm.diffscale)))-0.5)
)</f>
        <v/>
      </c>
      <c r="AJ468" t="str" cm="1">
        <f t="array" ref="AJ468">_xlfn.LET(
  _xlpm.colj, _xlfn._xlws.FILTER(IF(ISNUMBER(467:467), COLUMN(467:467)), ISNUMBER(467:467)),
  _xlpm.elos, INDEX(466:466,1,_xlpm.colj),
  _xlpm.diffscale, Constantes!$B$2,
  IF(AJ467="",
    "",
    SUM(1/(1+POWER(10,-(AJ466-_xlpm.elos)/_xlpm.diffscale)))-0.5)
)</f>
        <v/>
      </c>
      <c r="AK468" t="str" cm="1">
        <f t="array" ref="AK468">_xlfn.LET(
  _xlpm.colj, _xlfn._xlws.FILTER(IF(ISNUMBER(467:467), COLUMN(467:467)), ISNUMBER(467:467)),
  _xlpm.elos, INDEX(466:466,1,_xlpm.colj),
  _xlpm.diffscale, Constantes!$B$2,
  IF(AK467="",
    "",
    SUM(1/(1+POWER(10,-(AK466-_xlpm.elos)/_xlpm.diffscale)))-0.5)
)</f>
        <v/>
      </c>
      <c r="AL468" t="str" cm="1">
        <f t="array" ref="AL468">_xlfn.LET(
  _xlpm.colj, _xlfn._xlws.FILTER(IF(ISNUMBER(467:467), COLUMN(467:467)), ISNUMBER(467:467)),
  _xlpm.elos, INDEX(466:466,1,_xlpm.colj),
  _xlpm.diffscale, Constantes!$B$2,
  IF(AL467="",
    "",
    SUM(1/(1+POWER(10,-(AL466-_xlpm.elos)/_xlpm.diffscale)))-0.5)
)</f>
        <v/>
      </c>
      <c r="AM468" t="str" cm="1">
        <f t="array" ref="AM468">_xlfn.LET(
  _xlpm.colj, _xlfn._xlws.FILTER(IF(ISNUMBER(467:467), COLUMN(467:467)), ISNUMBER(467:467)),
  _xlpm.elos, INDEX(466:466,1,_xlpm.colj),
  _xlpm.diffscale, Constantes!$B$2,
  IF(AM467="",
    "",
    SUM(1/(1+POWER(10,-(AM466-_xlpm.elos)/_xlpm.diffscale)))-0.5)
)</f>
        <v/>
      </c>
    </row>
    <row r="469" spans="1:39" x14ac:dyDescent="0.25">
      <c r="A469" t="s">
        <v>22</v>
      </c>
      <c r="D469" t="str" cm="1">
        <f t="array" ref="D469">_xlfn.LET(
  _xlpm.K, Constantes!$B$3,
  _xlpm.Knewgain, Constantes!$B$4,
  _xlpm.Knewscale, Constantes!$B$5,
  _xlpm.ptstables, INDEX(D:D, _xlfn.SEQUENCE(COUNTA($C$2:$C469), 1, 3, 4)),
  _xlpm.nbparties, COUNTA(_xlfn._xlws.FILTER(_xlpm.ptstables, _xlpm.ptstables &lt;&gt; "")),
  _xlpm.coef, _xlpm.K + _xlpm.Knewgain / (_xlpm.Knewscale + _xlpm.nbparties),
  IF(D467="",
    "",
    _xlpm.coef * (D467-D468))
)</f>
        <v/>
      </c>
      <c r="E469" t="str" cm="1">
        <f t="array" ref="E469">_xlfn.LET(
  _xlpm.K, Constantes!$B$3,
  _xlpm.Knewgain, Constantes!$B$4,
  _xlpm.Knewscale, Constantes!$B$5,
  _xlpm.ptstables, INDEX(E:E, _xlfn.SEQUENCE(COUNTA($C$2:$C469), 1, 3, 4)),
  _xlpm.nbparties, COUNTA(_xlfn._xlws.FILTER(_xlpm.ptstables, _xlpm.ptstables &lt;&gt; "")),
  _xlpm.coef, _xlpm.K + _xlpm.Knewgain / (_xlpm.Knewscale + _xlpm.nbparties),
  IF(E467="",
    "",
    _xlpm.coef * (E467-E468))
)</f>
        <v/>
      </c>
      <c r="F469" t="str" cm="1">
        <f t="array" ref="F469">_xlfn.LET(
  _xlpm.K, Constantes!$B$3,
  _xlpm.Knewgain, Constantes!$B$4,
  _xlpm.Knewscale, Constantes!$B$5,
  _xlpm.ptstables, INDEX(F:F, _xlfn.SEQUENCE(COUNTA($C$2:$C469), 1, 3, 4)),
  _xlpm.nbparties, COUNTA(_xlfn._xlws.FILTER(_xlpm.ptstables, _xlpm.ptstables &lt;&gt; "")),
  _xlpm.coef, _xlpm.K + _xlpm.Knewgain / (_xlpm.Knewscale + _xlpm.nbparties),
  IF(F467="",
    "",
    _xlpm.coef * (F467-F468))
)</f>
        <v/>
      </c>
      <c r="G469" t="str" cm="1">
        <f t="array" ref="G469">_xlfn.LET(
  _xlpm.K, Constantes!$B$3,
  _xlpm.Knewgain, Constantes!$B$4,
  _xlpm.Knewscale, Constantes!$B$5,
  _xlpm.ptstables, INDEX(G:G, _xlfn.SEQUENCE(COUNTA($C$2:$C469), 1, 3, 4)),
  _xlpm.nbparties, COUNTA(_xlfn._xlws.FILTER(_xlpm.ptstables, _xlpm.ptstables &lt;&gt; "")),
  _xlpm.coef, _xlpm.K + _xlpm.Knewgain / (_xlpm.Knewscale + _xlpm.nbparties),
  IF(G467="",
    "",
    _xlpm.coef * (G467-G468))
)</f>
        <v/>
      </c>
      <c r="H469" cm="1">
        <f t="array" ref="H469">_xlfn.LET(
  _xlpm.K, Constantes!$B$3,
  _xlpm.Knewgain, Constantes!$B$4,
  _xlpm.Knewscale, Constantes!$B$5,
  _xlpm.ptstables, INDEX(H:H, _xlfn.SEQUENCE(COUNTA($C$2:$C469), 1, 3, 4)),
  _xlpm.nbparties, COUNTA(_xlfn._xlws.FILTER(_xlpm.ptstables, _xlpm.ptstables &lt;&gt; "")),
  _xlpm.coef, _xlpm.K + _xlpm.Knewgain / (_xlpm.Knewscale + _xlpm.nbparties),
  IF(H467="",
    "",
    _xlpm.coef * (H467-H468))
)</f>
        <v>7.4328833684632944E-2</v>
      </c>
      <c r="I469" t="str" cm="1">
        <f t="array" ref="I469">_xlfn.LET(
  _xlpm.K, Constantes!$B$3,
  _xlpm.Knewgain, Constantes!$B$4,
  _xlpm.Knewscale, Constantes!$B$5,
  _xlpm.ptstables, INDEX(I:I, _xlfn.SEQUENCE(COUNTA($C$2:$C469), 1, 3, 4)),
  _xlpm.nbparties, COUNTA(_xlfn._xlws.FILTER(_xlpm.ptstables, _xlpm.ptstables &lt;&gt; "")),
  _xlpm.coef, _xlpm.K + _xlpm.Knewgain / (_xlpm.Knewscale + _xlpm.nbparties),
  IF(I467="",
    "",
    _xlpm.coef * (I467-I468))
)</f>
        <v/>
      </c>
      <c r="J469" cm="1">
        <f t="array" ref="J469">_xlfn.LET(
  _xlpm.K, Constantes!$B$3,
  _xlpm.Knewgain, Constantes!$B$4,
  _xlpm.Knewscale, Constantes!$B$5,
  _xlpm.ptstables, INDEX(J:J, _xlfn.SEQUENCE(COUNTA($C$2:$C469), 1, 3, 4)),
  _xlpm.nbparties, COUNTA(_xlfn._xlws.FILTER(_xlpm.ptstables, _xlpm.ptstables &lt;&gt; "")),
  _xlpm.coef, _xlpm.K + _xlpm.Knewgain / (_xlpm.Knewscale + _xlpm.nbparties),
  IF(J467="",
    "",
    _xlpm.coef * (J467-J468))
)</f>
        <v>-5.7280543072979331</v>
      </c>
      <c r="K469" t="str" cm="1">
        <f t="array" ref="K469">_xlfn.LET(
  _xlpm.K, Constantes!$B$3,
  _xlpm.Knewgain, Constantes!$B$4,
  _xlpm.Knewscale, Constantes!$B$5,
  _xlpm.ptstables, INDEX(K:K, _xlfn.SEQUENCE(COUNTA($C$2:$C469), 1, 3, 4)),
  _xlpm.nbparties, COUNTA(_xlfn._xlws.FILTER(_xlpm.ptstables, _xlpm.ptstables &lt;&gt; "")),
  _xlpm.coef, _xlpm.K + _xlpm.Knewgain / (_xlpm.Knewscale + _xlpm.nbparties),
  IF(K467="",
    "",
    _xlpm.coef * (K467-K468))
)</f>
        <v/>
      </c>
      <c r="L469" t="str" cm="1">
        <f t="array" ref="L469">_xlfn.LET(
  _xlpm.K, Constantes!$B$3,
  _xlpm.Knewgain, Constantes!$B$4,
  _xlpm.Knewscale, Constantes!$B$5,
  _xlpm.ptstables, INDEX(L:L, _xlfn.SEQUENCE(COUNTA($C$2:$C469), 1, 3, 4)),
  _xlpm.nbparties, COUNTA(_xlfn._xlws.FILTER(_xlpm.ptstables, _xlpm.ptstables &lt;&gt; "")),
  _xlpm.coef, _xlpm.K + _xlpm.Knewgain / (_xlpm.Knewscale + _xlpm.nbparties),
  IF(L467="",
    "",
    _xlpm.coef * (L467-L468))
)</f>
        <v/>
      </c>
      <c r="M469" t="str" cm="1">
        <f t="array" ref="M469">_xlfn.LET(
  _xlpm.K, Constantes!$B$3,
  _xlpm.Knewgain, Constantes!$B$4,
  _xlpm.Knewscale, Constantes!$B$5,
  _xlpm.ptstables, INDEX(M:M, _xlfn.SEQUENCE(COUNTA($C$2:$C469), 1, 3, 4)),
  _xlpm.nbparties, COUNTA(_xlfn._xlws.FILTER(_xlpm.ptstables, _xlpm.ptstables &lt;&gt; "")),
  _xlpm.coef, _xlpm.K + _xlpm.Knewgain / (_xlpm.Knewscale + _xlpm.nbparties),
  IF(M467="",
    "",
    _xlpm.coef * (M467-M468))
)</f>
        <v/>
      </c>
      <c r="N469" t="str" cm="1">
        <f t="array" ref="N469">_xlfn.LET(
  _xlpm.K, Constantes!$B$3,
  _xlpm.Knewgain, Constantes!$B$4,
  _xlpm.Knewscale, Constantes!$B$5,
  _xlpm.ptstables, INDEX(N:N, _xlfn.SEQUENCE(COUNTA($C$2:$C469), 1, 3, 4)),
  _xlpm.nbparties, COUNTA(_xlfn._xlws.FILTER(_xlpm.ptstables, _xlpm.ptstables &lt;&gt; "")),
  _xlpm.coef, _xlpm.K + _xlpm.Knewgain / (_xlpm.Knewscale + _xlpm.nbparties),
  IF(N467="",
    "",
    _xlpm.coef * (N467-N468))
)</f>
        <v/>
      </c>
      <c r="O469" t="str" cm="1">
        <f t="array" ref="O469">_xlfn.LET(
  _xlpm.K, Constantes!$B$3,
  _xlpm.Knewgain, Constantes!$B$4,
  _xlpm.Knewscale, Constantes!$B$5,
  _xlpm.ptstables, INDEX(O:O, _xlfn.SEQUENCE(COUNTA($C$2:$C469), 1, 3, 4)),
  _xlpm.nbparties, COUNTA(_xlfn._xlws.FILTER(_xlpm.ptstables, _xlpm.ptstables &lt;&gt; "")),
  _xlpm.coef, _xlpm.K + _xlpm.Knewgain / (_xlpm.Knewscale + _xlpm.nbparties),
  IF(O467="",
    "",
    _xlpm.coef * (O467-O468))
)</f>
        <v/>
      </c>
      <c r="P469" t="str" cm="1">
        <f t="array" ref="P469">_xlfn.LET(
  _xlpm.K, Constantes!$B$3,
  _xlpm.Knewgain, Constantes!$B$4,
  _xlpm.Knewscale, Constantes!$B$5,
  _xlpm.ptstables, INDEX(P:P, _xlfn.SEQUENCE(COUNTA($C$2:$C469), 1, 3, 4)),
  _xlpm.nbparties, COUNTA(_xlfn._xlws.FILTER(_xlpm.ptstables, _xlpm.ptstables &lt;&gt; "")),
  _xlpm.coef, _xlpm.K + _xlpm.Knewgain / (_xlpm.Knewscale + _xlpm.nbparties),
  IF(P467="",
    "",
    _xlpm.coef * (P467-P468))
)</f>
        <v/>
      </c>
      <c r="Q469" t="str" cm="1">
        <f t="array" ref="Q469">_xlfn.LET(
  _xlpm.K, Constantes!$B$3,
  _xlpm.Knewgain, Constantes!$B$4,
  _xlpm.Knewscale, Constantes!$B$5,
  _xlpm.ptstables, INDEX(Q:Q, _xlfn.SEQUENCE(COUNTA($C$2:$C469), 1, 3, 4)),
  _xlpm.nbparties, COUNTA(_xlfn._xlws.FILTER(_xlpm.ptstables, _xlpm.ptstables &lt;&gt; "")),
  _xlpm.coef, _xlpm.K + _xlpm.Knewgain / (_xlpm.Knewscale + _xlpm.nbparties),
  IF(Q467="",
    "",
    _xlpm.coef * (Q467-Q468))
)</f>
        <v/>
      </c>
      <c r="R469" t="str" cm="1">
        <f t="array" ref="R469">_xlfn.LET(
  _xlpm.K, Constantes!$B$3,
  _xlpm.Knewgain, Constantes!$B$4,
  _xlpm.Knewscale, Constantes!$B$5,
  _xlpm.ptstables, INDEX(R:R, _xlfn.SEQUENCE(COUNTA($C$2:$C469), 1, 3, 4)),
  _xlpm.nbparties, COUNTA(_xlfn._xlws.FILTER(_xlpm.ptstables, _xlpm.ptstables &lt;&gt; "")),
  _xlpm.coef, _xlpm.K + _xlpm.Knewgain / (_xlpm.Knewscale + _xlpm.nbparties),
  IF(R467="",
    "",
    _xlpm.coef * (R467-R468))
)</f>
        <v/>
      </c>
      <c r="S469" cm="1">
        <f t="array" ref="S469">_xlfn.LET(
  _xlpm.K, Constantes!$B$3,
  _xlpm.Knewgain, Constantes!$B$4,
  _xlpm.Knewscale, Constantes!$B$5,
  _xlpm.ptstables, INDEX(S:S, _xlfn.SEQUENCE(COUNTA($C$2:$C469), 1, 3, 4)),
  _xlpm.nbparties, COUNTA(_xlfn._xlws.FILTER(_xlpm.ptstables, _xlpm.ptstables &lt;&gt; "")),
  _xlpm.coef, _xlpm.K + _xlpm.Knewgain / (_xlpm.Knewscale + _xlpm.nbparties),
  IF(S467="",
    "",
    _xlpm.coef * (S467-S468))
)</f>
        <v>-31.922488016876219</v>
      </c>
      <c r="T469" t="str" cm="1">
        <f t="array" ref="T469">_xlfn.LET(
  _xlpm.K, Constantes!$B$3,
  _xlpm.Knewgain, Constantes!$B$4,
  _xlpm.Knewscale, Constantes!$B$5,
  _xlpm.ptstables, INDEX(T:T, _xlfn.SEQUENCE(COUNTA($C$2:$C469), 1, 3, 4)),
  _xlpm.nbparties, COUNTA(_xlfn._xlws.FILTER(_xlpm.ptstables, _xlpm.ptstables &lt;&gt; "")),
  _xlpm.coef, _xlpm.K + _xlpm.Knewgain / (_xlpm.Knewscale + _xlpm.nbparties),
  IF(T467="",
    "",
    _xlpm.coef * (T467-T468))
)</f>
        <v/>
      </c>
      <c r="U469" t="str" cm="1">
        <f t="array" ref="U469">_xlfn.LET(
  _xlpm.K, Constantes!$B$3,
  _xlpm.Knewgain, Constantes!$B$4,
  _xlpm.Knewscale, Constantes!$B$5,
  _xlpm.ptstables, INDEX(U:U, _xlfn.SEQUENCE(COUNTA($C$2:$C469), 1, 3, 4)),
  _xlpm.nbparties, COUNTA(_xlfn._xlws.FILTER(_xlpm.ptstables, _xlpm.ptstables &lt;&gt; "")),
  _xlpm.coef, _xlpm.K + _xlpm.Knewgain / (_xlpm.Knewscale + _xlpm.nbparties),
  IF(U467="",
    "",
    _xlpm.coef * (U467-U468))
)</f>
        <v/>
      </c>
      <c r="V469" t="str" cm="1">
        <f t="array" ref="V469">_xlfn.LET(
  _xlpm.K, Constantes!$B$3,
  _xlpm.Knewgain, Constantes!$B$4,
  _xlpm.Knewscale, Constantes!$B$5,
  _xlpm.ptstables, INDEX(V:V, _xlfn.SEQUENCE(COUNTA($C$2:$C469), 1, 3, 4)),
  _xlpm.nbparties, COUNTA(_xlfn._xlws.FILTER(_xlpm.ptstables, _xlpm.ptstables &lt;&gt; "")),
  _xlpm.coef, _xlpm.K + _xlpm.Knewgain / (_xlpm.Knewscale + _xlpm.nbparties),
  IF(V467="",
    "",
    _xlpm.coef * (V467-V468))
)</f>
        <v/>
      </c>
      <c r="W469" t="str" cm="1">
        <f t="array" ref="W469">_xlfn.LET(
  _xlpm.K, Constantes!$B$3,
  _xlpm.Knewgain, Constantes!$B$4,
  _xlpm.Knewscale, Constantes!$B$5,
  _xlpm.ptstables, INDEX(W:W, _xlfn.SEQUENCE(COUNTA($C$2:$C469), 1, 3, 4)),
  _xlpm.nbparties, COUNTA(_xlfn._xlws.FILTER(_xlpm.ptstables, _xlpm.ptstables &lt;&gt; "")),
  _xlpm.coef, _xlpm.K + _xlpm.Knewgain / (_xlpm.Knewscale + _xlpm.nbparties),
  IF(W467="",
    "",
    _xlpm.coef * (W467-W468))
)</f>
        <v/>
      </c>
      <c r="X469" t="str" cm="1">
        <f t="array" ref="X469">_xlfn.LET(
  _xlpm.K, Constantes!$B$3,
  _xlpm.Knewgain, Constantes!$B$4,
  _xlpm.Knewscale, Constantes!$B$5,
  _xlpm.ptstables, INDEX(X:X, _xlfn.SEQUENCE(COUNTA($C$2:$C469), 1, 3, 4)),
  _xlpm.nbparties, COUNTA(_xlfn._xlws.FILTER(_xlpm.ptstables, _xlpm.ptstables &lt;&gt; "")),
  _xlpm.coef, _xlpm.K + _xlpm.Knewgain / (_xlpm.Knewscale + _xlpm.nbparties),
  IF(X467="",
    "",
    _xlpm.coef * (X467-X468))
)</f>
        <v/>
      </c>
      <c r="Y469" cm="1">
        <f t="array" ref="Y469">_xlfn.LET(
  _xlpm.K, Constantes!$B$3,
  _xlpm.Knewgain, Constantes!$B$4,
  _xlpm.Knewscale, Constantes!$B$5,
  _xlpm.ptstables, INDEX(Y:Y, _xlfn.SEQUENCE(COUNTA($C$2:$C469), 1, 3, 4)),
  _xlpm.nbparties, COUNTA(_xlfn._xlws.FILTER(_xlpm.ptstables, _xlpm.ptstables &lt;&gt; "")),
  _xlpm.coef, _xlpm.K + _xlpm.Knewgain / (_xlpm.Knewscale + _xlpm.nbparties),
  IF(Y467="",
    "",
    _xlpm.coef * (Y467-Y468))
)</f>
        <v>39.320703740138114</v>
      </c>
      <c r="Z469" t="str" cm="1">
        <f t="array" ref="Z469">_xlfn.LET(
  _xlpm.K, Constantes!$B$3,
  _xlpm.Knewgain, Constantes!$B$4,
  _xlpm.Knewscale, Constantes!$B$5,
  _xlpm.ptstables, INDEX(Z:Z, _xlfn.SEQUENCE(COUNTA($C$2:$C469), 1, 3, 4)),
  _xlpm.nbparties, COUNTA(_xlfn._xlws.FILTER(_xlpm.ptstables, _xlpm.ptstables &lt;&gt; "")),
  _xlpm.coef, _xlpm.K + _xlpm.Knewgain / (_xlpm.Knewscale + _xlpm.nbparties),
  IF(Z467="",
    "",
    _xlpm.coef * (Z467-Z468))
)</f>
        <v/>
      </c>
      <c r="AA469" t="str" cm="1">
        <f t="array" ref="AA469">_xlfn.LET(
  _xlpm.K, Constantes!$B$3,
  _xlpm.Knewgain, Constantes!$B$4,
  _xlpm.Knewscale, Constantes!$B$5,
  _xlpm.ptstables, INDEX(AA:AA, _xlfn.SEQUENCE(COUNTA($C$2:$C469), 1, 3, 4)),
  _xlpm.nbparties, COUNTA(_xlfn._xlws.FILTER(_xlpm.ptstables, _xlpm.ptstables &lt;&gt; "")),
  _xlpm.coef, _xlpm.K + _xlpm.Knewgain / (_xlpm.Knewscale + _xlpm.nbparties),
  IF(AA467="",
    "",
    _xlpm.coef * (AA467-AA468))
)</f>
        <v/>
      </c>
      <c r="AB469" t="str" cm="1">
        <f t="array" ref="AB469">_xlfn.LET(
  _xlpm.K, Constantes!$B$3,
  _xlpm.Knewgain, Constantes!$B$4,
  _xlpm.Knewscale, Constantes!$B$5,
  _xlpm.ptstables, INDEX(AB:AB, _xlfn.SEQUENCE(COUNTA($C$2:$C469), 1, 3, 4)),
  _xlpm.nbparties, COUNTA(_xlfn._xlws.FILTER(_xlpm.ptstables, _xlpm.ptstables &lt;&gt; "")),
  _xlpm.coef, _xlpm.K + _xlpm.Knewgain / (_xlpm.Knewscale + _xlpm.nbparties),
  IF(AB467="",
    "",
    _xlpm.coef * (AB467-AB468))
)</f>
        <v/>
      </c>
      <c r="AC469" t="str" cm="1">
        <f t="array" ref="AC469">_xlfn.LET(
  _xlpm.K, Constantes!$B$3,
  _xlpm.Knewgain, Constantes!$B$4,
  _xlpm.Knewscale, Constantes!$B$5,
  _xlpm.ptstables, INDEX(AC:AC, _xlfn.SEQUENCE(COUNTA($C$2:$C469), 1, 3, 4)),
  _xlpm.nbparties, COUNTA(_xlfn._xlws.FILTER(_xlpm.ptstables, _xlpm.ptstables &lt;&gt; "")),
  _xlpm.coef, _xlpm.K + _xlpm.Knewgain / (_xlpm.Knewscale + _xlpm.nbparties),
  IF(AC467="",
    "",
    _xlpm.coef * (AC467-AC468))
)</f>
        <v/>
      </c>
      <c r="AD469" t="str" cm="1">
        <f t="array" ref="AD469">_xlfn.LET(
  _xlpm.K, Constantes!$B$3,
  _xlpm.Knewgain, Constantes!$B$4,
  _xlpm.Knewscale, Constantes!$B$5,
  _xlpm.ptstables, INDEX(AD:AD, _xlfn.SEQUENCE(COUNTA($C$2:$C469), 1, 3, 4)),
  _xlpm.nbparties, COUNTA(_xlfn._xlws.FILTER(_xlpm.ptstables, _xlpm.ptstables &lt;&gt; "")),
  _xlpm.coef, _xlpm.K + _xlpm.Knewgain / (_xlpm.Knewscale + _xlpm.nbparties),
  IF(AD467="",
    "",
    _xlpm.coef * (AD467-AD468))
)</f>
        <v/>
      </c>
      <c r="AE469" t="str" cm="1">
        <f t="array" ref="AE469">_xlfn.LET(
  _xlpm.K, Constantes!$B$3,
  _xlpm.Knewgain, Constantes!$B$4,
  _xlpm.Knewscale, Constantes!$B$5,
  _xlpm.ptstables, INDEX(AE:AE, _xlfn.SEQUENCE(COUNTA($C$2:$C469), 1, 3, 4)),
  _xlpm.nbparties, COUNTA(_xlfn._xlws.FILTER(_xlpm.ptstables, _xlpm.ptstables &lt;&gt; "")),
  _xlpm.coef, _xlpm.K + _xlpm.Knewgain / (_xlpm.Knewscale + _xlpm.nbparties),
  IF(AE467="",
    "",
    _xlpm.coef * (AE467-AE468))
)</f>
        <v/>
      </c>
      <c r="AF469" t="str" cm="1">
        <f t="array" ref="AF469">_xlfn.LET(
  _xlpm.K, Constantes!$B$3,
  _xlpm.Knewgain, Constantes!$B$4,
  _xlpm.Knewscale, Constantes!$B$5,
  _xlpm.ptstables, INDEX(AF:AF, _xlfn.SEQUENCE(COUNTA($C$2:$C469), 1, 3, 4)),
  _xlpm.nbparties, COUNTA(_xlfn._xlws.FILTER(_xlpm.ptstables, _xlpm.ptstables &lt;&gt; "")),
  _xlpm.coef, _xlpm.K + _xlpm.Knewgain / (_xlpm.Knewscale + _xlpm.nbparties),
  IF(AF467="",
    "",
    _xlpm.coef * (AF467-AF468))
)</f>
        <v/>
      </c>
      <c r="AG469" t="str" cm="1">
        <f t="array" ref="AG469">_xlfn.LET(
  _xlpm.K, Constantes!$B$3,
  _xlpm.Knewgain, Constantes!$B$4,
  _xlpm.Knewscale, Constantes!$B$5,
  _xlpm.ptstables, INDEX(AG:AG, _xlfn.SEQUENCE(COUNTA($C$2:$C469), 1, 3, 4)),
  _xlpm.nbparties, COUNTA(_xlfn._xlws.FILTER(_xlpm.ptstables, _xlpm.ptstables &lt;&gt; "")),
  _xlpm.coef, _xlpm.K + _xlpm.Knewgain / (_xlpm.Knewscale + _xlpm.nbparties),
  IF(AG467="",
    "",
    _xlpm.coef * (AG467-AG468))
)</f>
        <v/>
      </c>
      <c r="AH469" t="str" cm="1">
        <f t="array" ref="AH469">_xlfn.LET(
  _xlpm.K, Constantes!$B$3,
  _xlpm.Knewgain, Constantes!$B$4,
  _xlpm.Knewscale, Constantes!$B$5,
  _xlpm.ptstables, INDEX(AH:AH, _xlfn.SEQUENCE(COUNTA($C$2:$C469), 1, 3, 4)),
  _xlpm.nbparties, COUNTA(_xlfn._xlws.FILTER(_xlpm.ptstables, _xlpm.ptstables &lt;&gt; "")),
  _xlpm.coef, _xlpm.K + _xlpm.Knewgain / (_xlpm.Knewscale + _xlpm.nbparties),
  IF(AH467="",
    "",
    _xlpm.coef * (AH467-AH468))
)</f>
        <v/>
      </c>
      <c r="AI469" t="str" cm="1">
        <f t="array" ref="AI469">_xlfn.LET(
  _xlpm.K, Constantes!$B$3,
  _xlpm.Knewgain, Constantes!$B$4,
  _xlpm.Knewscale, Constantes!$B$5,
  _xlpm.ptstables, INDEX(AI:AI, _xlfn.SEQUENCE(COUNTA($C$2:$C469), 1, 3, 4)),
  _xlpm.nbparties, COUNTA(_xlfn._xlws.FILTER(_xlpm.ptstables, _xlpm.ptstables &lt;&gt; "")),
  _xlpm.coef, _xlpm.K + _xlpm.Knewgain / (_xlpm.Knewscale + _xlpm.nbparties),
  IF(AI467="",
    "",
    _xlpm.coef * (AI467-AI468))
)</f>
        <v/>
      </c>
      <c r="AJ469" t="str" cm="1">
        <f t="array" ref="AJ469">_xlfn.LET(
  _xlpm.K, Constantes!$B$3,
  _xlpm.Knewgain, Constantes!$B$4,
  _xlpm.Knewscale, Constantes!$B$5,
  _xlpm.ptstables, INDEX(AJ:AJ, _xlfn.SEQUENCE(COUNTA($C$2:$C469), 1, 3, 4)),
  _xlpm.nbparties, COUNTA(_xlfn._xlws.FILTER(_xlpm.ptstables, _xlpm.ptstables &lt;&gt; "")),
  _xlpm.coef, _xlpm.K + _xlpm.Knewgain / (_xlpm.Knewscale + _xlpm.nbparties),
  IF(AJ467="",
    "",
    _xlpm.coef * (AJ467-AJ468))
)</f>
        <v/>
      </c>
      <c r="AK469" t="str" cm="1">
        <f t="array" ref="AK469">_xlfn.LET(
  _xlpm.K, Constantes!$B$3,
  _xlpm.Knewgain, Constantes!$B$4,
  _xlpm.Knewscale, Constantes!$B$5,
  _xlpm.ptstables, INDEX(AK:AK, _xlfn.SEQUENCE(COUNTA($C$2:$C469), 1, 3, 4)),
  _xlpm.nbparties, COUNTA(_xlfn._xlws.FILTER(_xlpm.ptstables, _xlpm.ptstables &lt;&gt; "")),
  _xlpm.coef, _xlpm.K + _xlpm.Knewgain / (_xlpm.Knewscale + _xlpm.nbparties),
  IF(AK467="",
    "",
    _xlpm.coef * (AK467-AK468))
)</f>
        <v/>
      </c>
      <c r="AL469" t="str" cm="1">
        <f t="array" ref="AL469">_xlfn.LET(
  _xlpm.K, Constantes!$B$3,
  _xlpm.Knewgain, Constantes!$B$4,
  _xlpm.Knewscale, Constantes!$B$5,
  _xlpm.ptstables, INDEX(AL:AL, _xlfn.SEQUENCE(COUNTA($C$2:$C469), 1, 3, 4)),
  _xlpm.nbparties, COUNTA(_xlfn._xlws.FILTER(_xlpm.ptstables, _xlpm.ptstables &lt;&gt; "")),
  _xlpm.coef, _xlpm.K + _xlpm.Knewgain / (_xlpm.Knewscale + _xlpm.nbparties),
  IF(AL467="",
    "",
    _xlpm.coef * (AL467-AL468))
)</f>
        <v/>
      </c>
      <c r="AM469" t="str" cm="1">
        <f t="array" ref="AM469">_xlfn.LET(
  _xlpm.K, Constantes!$B$3,
  _xlpm.Knewgain, Constantes!$B$4,
  _xlpm.Knewscale, Constantes!$B$5,
  _xlpm.ptstables, INDEX(AM:AM, _xlfn.SEQUENCE(COUNTA($C$2:$C469), 1, 3, 4)),
  _xlpm.nbparties, COUNTA(_xlfn._xlws.FILTER(_xlpm.ptstables, _xlpm.ptstables &lt;&gt; "")),
  _xlpm.coef, _xlpm.K + _xlpm.Knewgain / (_xlpm.Knewscale + _xlpm.nbparties),
  IF(AM467="",
    "",
    _xlpm.coef * (AM467-AM468))
)</f>
        <v/>
      </c>
    </row>
    <row r="470" spans="1:39" x14ac:dyDescent="0.25">
      <c r="A470" t="s">
        <v>14</v>
      </c>
      <c r="B470" t="str" cm="1">
        <f t="array" ref="B47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118</v>
      </c>
      <c r="C470" s="2" cm="1">
        <f t="array" ref="C470">IF(B470="","",
  INDEX(Donnees!F:F, MATCH(B470, Donnees!F:F, 0)+1))</f>
        <v>45969.698298611111</v>
      </c>
      <c r="D470">
        <f t="shared" ref="D470:AM470" si="125">D466+IF(D469="",0,D469)</f>
        <v>970.88542284486812</v>
      </c>
      <c r="E470">
        <f t="shared" si="125"/>
        <v>1196.4195973781996</v>
      </c>
      <c r="F470">
        <f t="shared" si="125"/>
        <v>911.8835833951041</v>
      </c>
      <c r="G470">
        <f t="shared" si="125"/>
        <v>1009.6650561189861</v>
      </c>
      <c r="H470">
        <f t="shared" si="125"/>
        <v>1094.7153320016416</v>
      </c>
      <c r="I470">
        <f t="shared" si="125"/>
        <v>907.83370609419069</v>
      </c>
      <c r="J470">
        <f t="shared" si="125"/>
        <v>952.15570665875975</v>
      </c>
      <c r="K470">
        <f t="shared" si="125"/>
        <v>1112.4596148864318</v>
      </c>
      <c r="L470">
        <f t="shared" si="125"/>
        <v>762.99078552663389</v>
      </c>
      <c r="M470">
        <f t="shared" si="125"/>
        <v>927.4581540493366</v>
      </c>
      <c r="N470">
        <f t="shared" si="125"/>
        <v>899.98370646249032</v>
      </c>
      <c r="O470">
        <f t="shared" si="125"/>
        <v>997.04050320786712</v>
      </c>
      <c r="P470">
        <f t="shared" si="125"/>
        <v>1000.038589629396</v>
      </c>
      <c r="Q470">
        <f t="shared" si="125"/>
        <v>1048.7297653789042</v>
      </c>
      <c r="R470">
        <f t="shared" si="125"/>
        <v>1077.0429268320299</v>
      </c>
      <c r="S470">
        <f t="shared" si="125"/>
        <v>968.32887381256023</v>
      </c>
      <c r="T470">
        <f t="shared" si="125"/>
        <v>1130.5881903486886</v>
      </c>
      <c r="U470">
        <f t="shared" si="125"/>
        <v>1222.7257721587478</v>
      </c>
      <c r="V470">
        <f t="shared" si="125"/>
        <v>964.86178289028601</v>
      </c>
      <c r="W470">
        <f t="shared" si="125"/>
        <v>873.42626723356045</v>
      </c>
      <c r="X470">
        <f t="shared" si="125"/>
        <v>858.92096928478088</v>
      </c>
      <c r="Y470">
        <f t="shared" si="125"/>
        <v>1005.462386147187</v>
      </c>
      <c r="Z470">
        <f t="shared" si="125"/>
        <v>1008.6876849635962</v>
      </c>
      <c r="AA470">
        <f t="shared" si="125"/>
        <v>942.27730100696294</v>
      </c>
      <c r="AB470">
        <f t="shared" si="125"/>
        <v>988.35669729544747</v>
      </c>
      <c r="AC470">
        <f t="shared" si="125"/>
        <v>915.79661995008541</v>
      </c>
      <c r="AD470">
        <f t="shared" si="125"/>
        <v>1054.5168154629837</v>
      </c>
      <c r="AE470">
        <f t="shared" si="125"/>
        <v>963.23981965000235</v>
      </c>
      <c r="AF470">
        <f t="shared" si="125"/>
        <v>1094.8196847516158</v>
      </c>
      <c r="AG470">
        <f t="shared" si="125"/>
        <v>958.23078604304851</v>
      </c>
      <c r="AH470">
        <f t="shared" si="125"/>
        <v>920.4412636682855</v>
      </c>
      <c r="AI470">
        <f t="shared" si="125"/>
        <v>1036.4167877702052</v>
      </c>
      <c r="AJ470">
        <f t="shared" si="125"/>
        <v>906.86354201913434</v>
      </c>
      <c r="AK470">
        <f t="shared" si="125"/>
        <v>1074.0069367206956</v>
      </c>
      <c r="AL470">
        <f t="shared" si="125"/>
        <v>1025.7817971572972</v>
      </c>
      <c r="AM470">
        <f t="shared" si="125"/>
        <v>930.08392160706046</v>
      </c>
    </row>
    <row r="471" spans="1:39" x14ac:dyDescent="0.25">
      <c r="A471" t="s">
        <v>21</v>
      </c>
      <c r="D471" t="str" cm="1">
        <f t="array" ref="D471">IFERROR(
  _xlfn.LET(
    _xlpm.ligpartie, MATCH($B470, Donnees!$F:$F, 0),
    _xlpm.joueurs, INDEX(Donnees!$A:$Z, _xlpm.ligpartie+1, _xlfn.SEQUENCE(1, 4, 2)),
    INDEX(
      Donnees!$A:$Z,
      _xlpm.ligpartie + 3,
      MATCH(D$1, _xlpm.joueurs, 0) + 1
    )
  ), ""
)</f>
        <v/>
      </c>
      <c r="E471" t="str" cm="1">
        <f t="array" ref="E471">IFERROR(
  _xlfn.LET(
    _xlpm.ligpartie, MATCH($B470, Donnees!$F:$F, 0),
    _xlpm.joueurs, INDEX(Donnees!$A:$Z, _xlpm.ligpartie+1, _xlfn.SEQUENCE(1, 4, 2)),
    INDEX(
      Donnees!$A:$Z,
      _xlpm.ligpartie + 3,
      MATCH(E$1, _xlpm.joueurs, 0) + 1
    )
  ), ""
)</f>
        <v/>
      </c>
      <c r="F471" t="str" cm="1">
        <f t="array" ref="F471">IFERROR(
  _xlfn.LET(
    _xlpm.ligpartie, MATCH($B470, Donnees!$F:$F, 0),
    _xlpm.joueurs, INDEX(Donnees!$A:$Z, _xlpm.ligpartie+1, _xlfn.SEQUENCE(1, 4, 2)),
    INDEX(
      Donnees!$A:$Z,
      _xlpm.ligpartie + 3,
      MATCH(F$1, _xlpm.joueurs, 0) + 1
    )
  ), ""
)</f>
        <v/>
      </c>
      <c r="G471" t="str" cm="1">
        <f t="array" ref="G471">IFERROR(
  _xlfn.LET(
    _xlpm.ligpartie, MATCH($B470, Donnees!$F:$F, 0),
    _xlpm.joueurs, INDEX(Donnees!$A:$Z, _xlpm.ligpartie+1, _xlfn.SEQUENCE(1, 4, 2)),
    INDEX(
      Donnees!$A:$Z,
      _xlpm.ligpartie + 3,
      MATCH(G$1, _xlpm.joueurs, 0) + 1
    )
  ), ""
)</f>
        <v/>
      </c>
      <c r="H471" t="str" cm="1">
        <f t="array" ref="H471">IFERROR(
  _xlfn.LET(
    _xlpm.ligpartie, MATCH($B470, Donnees!$F:$F, 0),
    _xlpm.joueurs, INDEX(Donnees!$A:$Z, _xlpm.ligpartie+1, _xlfn.SEQUENCE(1, 4, 2)),
    INDEX(
      Donnees!$A:$Z,
      _xlpm.ligpartie + 3,
      MATCH(H$1, _xlpm.joueurs, 0) + 1
    )
  ), ""
)</f>
        <v/>
      </c>
      <c r="I471" t="str" cm="1">
        <f t="array" ref="I471">IFERROR(
  _xlfn.LET(
    _xlpm.ligpartie, MATCH($B470, Donnees!$F:$F, 0),
    _xlpm.joueurs, INDEX(Donnees!$A:$Z, _xlpm.ligpartie+1, _xlfn.SEQUENCE(1, 4, 2)),
    INDEX(
      Donnees!$A:$Z,
      _xlpm.ligpartie + 3,
      MATCH(I$1, _xlpm.joueurs, 0) + 1
    )
  ), ""
)</f>
        <v/>
      </c>
      <c r="J471" t="str" cm="1">
        <f t="array" ref="J471">IFERROR(
  _xlfn.LET(
    _xlpm.ligpartie, MATCH($B470, Donnees!$F:$F, 0),
    _xlpm.joueurs, INDEX(Donnees!$A:$Z, _xlpm.ligpartie+1, _xlfn.SEQUENCE(1, 4, 2)),
    INDEX(
      Donnees!$A:$Z,
      _xlpm.ligpartie + 3,
      MATCH(J$1, _xlpm.joueurs, 0) + 1
    )
  ), ""
)</f>
        <v/>
      </c>
      <c r="K471" cm="1">
        <f t="array" ref="K471">IFERROR(
  _xlfn.LET(
    _xlpm.ligpartie, MATCH($B470, Donnees!$F:$F, 0),
    _xlpm.joueurs, INDEX(Donnees!$A:$Z, _xlpm.ligpartie+1, _xlfn.SEQUENCE(1, 4, 2)),
    INDEX(
      Donnees!$A:$Z,
      _xlpm.ligpartie + 3,
      MATCH(K$1, _xlpm.joueurs, 0) + 1
    )
  ), ""
)</f>
        <v>0</v>
      </c>
      <c r="L471" t="str" cm="1">
        <f t="array" ref="L471">IFERROR(
  _xlfn.LET(
    _xlpm.ligpartie, MATCH($B470, Donnees!$F:$F, 0),
    _xlpm.joueurs, INDEX(Donnees!$A:$Z, _xlpm.ligpartie+1, _xlfn.SEQUENCE(1, 4, 2)),
    INDEX(
      Donnees!$A:$Z,
      _xlpm.ligpartie + 3,
      MATCH(L$1, _xlpm.joueurs, 0) + 1
    )
  ), ""
)</f>
        <v/>
      </c>
      <c r="M471" t="str" cm="1">
        <f t="array" ref="M471">IFERROR(
  _xlfn.LET(
    _xlpm.ligpartie, MATCH($B470, Donnees!$F:$F, 0),
    _xlpm.joueurs, INDEX(Donnees!$A:$Z, _xlpm.ligpartie+1, _xlfn.SEQUENCE(1, 4, 2)),
    INDEX(
      Donnees!$A:$Z,
      _xlpm.ligpartie + 3,
      MATCH(M$1, _xlpm.joueurs, 0) + 1
    )
  ), ""
)</f>
        <v/>
      </c>
      <c r="N471" t="str" cm="1">
        <f t="array" ref="N471">IFERROR(
  _xlfn.LET(
    _xlpm.ligpartie, MATCH($B470, Donnees!$F:$F, 0),
    _xlpm.joueurs, INDEX(Donnees!$A:$Z, _xlpm.ligpartie+1, _xlfn.SEQUENCE(1, 4, 2)),
    INDEX(
      Donnees!$A:$Z,
      _xlpm.ligpartie + 3,
      MATCH(N$1, _xlpm.joueurs, 0) + 1
    )
  ), ""
)</f>
        <v/>
      </c>
      <c r="O471" t="str" cm="1">
        <f t="array" ref="O471">IFERROR(
  _xlfn.LET(
    _xlpm.ligpartie, MATCH($B470, Donnees!$F:$F, 0),
    _xlpm.joueurs, INDEX(Donnees!$A:$Z, _xlpm.ligpartie+1, _xlfn.SEQUENCE(1, 4, 2)),
    INDEX(
      Donnees!$A:$Z,
      _xlpm.ligpartie + 3,
      MATCH(O$1, _xlpm.joueurs, 0) + 1
    )
  ), ""
)</f>
        <v/>
      </c>
      <c r="P471" t="str" cm="1">
        <f t="array" ref="P471">IFERROR(
  _xlfn.LET(
    _xlpm.ligpartie, MATCH($B470, Donnees!$F:$F, 0),
    _xlpm.joueurs, INDEX(Donnees!$A:$Z, _xlpm.ligpartie+1, _xlfn.SEQUENCE(1, 4, 2)),
    INDEX(
      Donnees!$A:$Z,
      _xlpm.ligpartie + 3,
      MATCH(P$1, _xlpm.joueurs, 0) + 1
    )
  ), ""
)</f>
        <v/>
      </c>
      <c r="Q471" t="str" cm="1">
        <f t="array" ref="Q471">IFERROR(
  _xlfn.LET(
    _xlpm.ligpartie, MATCH($B470, Donnees!$F:$F, 0),
    _xlpm.joueurs, INDEX(Donnees!$A:$Z, _xlpm.ligpartie+1, _xlfn.SEQUENCE(1, 4, 2)),
    INDEX(
      Donnees!$A:$Z,
      _xlpm.ligpartie + 3,
      MATCH(Q$1, _xlpm.joueurs, 0) + 1
    )
  ), ""
)</f>
        <v/>
      </c>
      <c r="R471" cm="1">
        <f t="array" ref="R471">IFERROR(
  _xlfn.LET(
    _xlpm.ligpartie, MATCH($B470, Donnees!$F:$F, 0),
    _xlpm.joueurs, INDEX(Donnees!$A:$Z, _xlpm.ligpartie+1, _xlfn.SEQUENCE(1, 4, 2)),
    INDEX(
      Donnees!$A:$Z,
      _xlpm.ligpartie + 3,
      MATCH(R$1, _xlpm.joueurs, 0) + 1
    )
  ), ""
)</f>
        <v>3</v>
      </c>
      <c r="S471" t="str" cm="1">
        <f t="array" ref="S471">IFERROR(
  _xlfn.LET(
    _xlpm.ligpartie, MATCH($B470, Donnees!$F:$F, 0),
    _xlpm.joueurs, INDEX(Donnees!$A:$Z, _xlpm.ligpartie+1, _xlfn.SEQUENCE(1, 4, 2)),
    INDEX(
      Donnees!$A:$Z,
      _xlpm.ligpartie + 3,
      MATCH(S$1, _xlpm.joueurs, 0) + 1
    )
  ), ""
)</f>
        <v/>
      </c>
      <c r="T471" t="str" cm="1">
        <f t="array" ref="T471">IFERROR(
  _xlfn.LET(
    _xlpm.ligpartie, MATCH($B470, Donnees!$F:$F, 0),
    _xlpm.joueurs, INDEX(Donnees!$A:$Z, _xlpm.ligpartie+1, _xlfn.SEQUENCE(1, 4, 2)),
    INDEX(
      Donnees!$A:$Z,
      _xlpm.ligpartie + 3,
      MATCH(T$1, _xlpm.joueurs, 0) + 1
    )
  ), ""
)</f>
        <v/>
      </c>
      <c r="U471" t="str" cm="1">
        <f t="array" ref="U471">IFERROR(
  _xlfn.LET(
    _xlpm.ligpartie, MATCH($B470, Donnees!$F:$F, 0),
    _xlpm.joueurs, INDEX(Donnees!$A:$Z, _xlpm.ligpartie+1, _xlfn.SEQUENCE(1, 4, 2)),
    INDEX(
      Donnees!$A:$Z,
      _xlpm.ligpartie + 3,
      MATCH(U$1, _xlpm.joueurs, 0) + 1
    )
  ), ""
)</f>
        <v/>
      </c>
      <c r="V471" t="str" cm="1">
        <f t="array" ref="V471">IFERROR(
  _xlfn.LET(
    _xlpm.ligpartie, MATCH($B470, Donnees!$F:$F, 0),
    _xlpm.joueurs, INDEX(Donnees!$A:$Z, _xlpm.ligpartie+1, _xlfn.SEQUENCE(1, 4, 2)),
    INDEX(
      Donnees!$A:$Z,
      _xlpm.ligpartie + 3,
      MATCH(V$1, _xlpm.joueurs, 0) + 1
    )
  ), ""
)</f>
        <v/>
      </c>
      <c r="W471" cm="1">
        <f t="array" ref="W471">IFERROR(
  _xlfn.LET(
    _xlpm.ligpartie, MATCH($B470, Donnees!$F:$F, 0),
    _xlpm.joueurs, INDEX(Donnees!$A:$Z, _xlpm.ligpartie+1, _xlfn.SEQUENCE(1, 4, 2)),
    INDEX(
      Donnees!$A:$Z,
      _xlpm.ligpartie + 3,
      MATCH(W$1, _xlpm.joueurs, 0) + 1
    )
  ), ""
)</f>
        <v>2</v>
      </c>
      <c r="X471" t="str" cm="1">
        <f t="array" ref="X471">IFERROR(
  _xlfn.LET(
    _xlpm.ligpartie, MATCH($B470, Donnees!$F:$F, 0),
    _xlpm.joueurs, INDEX(Donnees!$A:$Z, _xlpm.ligpartie+1, _xlfn.SEQUENCE(1, 4, 2)),
    INDEX(
      Donnees!$A:$Z,
      _xlpm.ligpartie + 3,
      MATCH(X$1, _xlpm.joueurs, 0) + 1
    )
  ), ""
)</f>
        <v/>
      </c>
      <c r="Y471" t="str" cm="1">
        <f t="array" ref="Y471">IFERROR(
  _xlfn.LET(
    _xlpm.ligpartie, MATCH($B470, Donnees!$F:$F, 0),
    _xlpm.joueurs, INDEX(Donnees!$A:$Z, _xlpm.ligpartie+1, _xlfn.SEQUENCE(1, 4, 2)),
    INDEX(
      Donnees!$A:$Z,
      _xlpm.ligpartie + 3,
      MATCH(Y$1, _xlpm.joueurs, 0) + 1
    )
  ), ""
)</f>
        <v/>
      </c>
      <c r="Z471" t="str" cm="1">
        <f t="array" ref="Z471">IFERROR(
  _xlfn.LET(
    _xlpm.ligpartie, MATCH($B470, Donnees!$F:$F, 0),
    _xlpm.joueurs, INDEX(Donnees!$A:$Z, _xlpm.ligpartie+1, _xlfn.SEQUENCE(1, 4, 2)),
    INDEX(
      Donnees!$A:$Z,
      _xlpm.ligpartie + 3,
      MATCH(Z$1, _xlpm.joueurs, 0) + 1
    )
  ), ""
)</f>
        <v/>
      </c>
      <c r="AA471" t="str" cm="1">
        <f t="array" ref="AA471">IFERROR(
  _xlfn.LET(
    _xlpm.ligpartie, MATCH($B470, Donnees!$F:$F, 0),
    _xlpm.joueurs, INDEX(Donnees!$A:$Z, _xlpm.ligpartie+1, _xlfn.SEQUENCE(1, 4, 2)),
    INDEX(
      Donnees!$A:$Z,
      _xlpm.ligpartie + 3,
      MATCH(AA$1, _xlpm.joueurs, 0) + 1
    )
  ), ""
)</f>
        <v/>
      </c>
      <c r="AB471" t="str" cm="1">
        <f t="array" ref="AB471">IFERROR(
  _xlfn.LET(
    _xlpm.ligpartie, MATCH($B470, Donnees!$F:$F, 0),
    _xlpm.joueurs, INDEX(Donnees!$A:$Z, _xlpm.ligpartie+1, _xlfn.SEQUENCE(1, 4, 2)),
    INDEX(
      Donnees!$A:$Z,
      _xlpm.ligpartie + 3,
      MATCH(AB$1, _xlpm.joueurs, 0) + 1
    )
  ), ""
)</f>
        <v/>
      </c>
      <c r="AC471" cm="1">
        <f t="array" ref="AC471">IFERROR(
  _xlfn.LET(
    _xlpm.ligpartie, MATCH($B470, Donnees!$F:$F, 0),
    _xlpm.joueurs, INDEX(Donnees!$A:$Z, _xlpm.ligpartie+1, _xlfn.SEQUENCE(1, 4, 2)),
    INDEX(
      Donnees!$A:$Z,
      _xlpm.ligpartie + 3,
      MATCH(AC$1, _xlpm.joueurs, 0) + 1
    )
  ), ""
)</f>
        <v>1</v>
      </c>
      <c r="AD471" t="str" cm="1">
        <f t="array" ref="AD471">IFERROR(
  _xlfn.LET(
    _xlpm.ligpartie, MATCH($B470, Donnees!$F:$F, 0),
    _xlpm.joueurs, INDEX(Donnees!$A:$Z, _xlpm.ligpartie+1, _xlfn.SEQUENCE(1, 4, 2)),
    INDEX(
      Donnees!$A:$Z,
      _xlpm.ligpartie + 3,
      MATCH(AD$1, _xlpm.joueurs, 0) + 1
    )
  ), ""
)</f>
        <v/>
      </c>
      <c r="AE471" t="str" cm="1">
        <f t="array" ref="AE471">IFERROR(
  _xlfn.LET(
    _xlpm.ligpartie, MATCH($B470, Donnees!$F:$F, 0),
    _xlpm.joueurs, INDEX(Donnees!$A:$Z, _xlpm.ligpartie+1, _xlfn.SEQUENCE(1, 4, 2)),
    INDEX(
      Donnees!$A:$Z,
      _xlpm.ligpartie + 3,
      MATCH(AE$1, _xlpm.joueurs, 0) + 1
    )
  ), ""
)</f>
        <v/>
      </c>
      <c r="AF471" t="str" cm="1">
        <f t="array" ref="AF471">IFERROR(
  _xlfn.LET(
    _xlpm.ligpartie, MATCH($B470, Donnees!$F:$F, 0),
    _xlpm.joueurs, INDEX(Donnees!$A:$Z, _xlpm.ligpartie+1, _xlfn.SEQUENCE(1, 4, 2)),
    INDEX(
      Donnees!$A:$Z,
      _xlpm.ligpartie + 3,
      MATCH(AF$1, _xlpm.joueurs, 0) + 1
    )
  ), ""
)</f>
        <v/>
      </c>
      <c r="AG471" t="str" cm="1">
        <f t="array" ref="AG471">IFERROR(
  _xlfn.LET(
    _xlpm.ligpartie, MATCH($B470, Donnees!$F:$F, 0),
    _xlpm.joueurs, INDEX(Donnees!$A:$Z, _xlpm.ligpartie+1, _xlfn.SEQUENCE(1, 4, 2)),
    INDEX(
      Donnees!$A:$Z,
      _xlpm.ligpartie + 3,
      MATCH(AG$1, _xlpm.joueurs, 0) + 1
    )
  ), ""
)</f>
        <v/>
      </c>
      <c r="AH471" t="str" cm="1">
        <f t="array" ref="AH471">IFERROR(
  _xlfn.LET(
    _xlpm.ligpartie, MATCH($B470, Donnees!$F:$F, 0),
    _xlpm.joueurs, INDEX(Donnees!$A:$Z, _xlpm.ligpartie+1, _xlfn.SEQUENCE(1, 4, 2)),
    INDEX(
      Donnees!$A:$Z,
      _xlpm.ligpartie + 3,
      MATCH(AH$1, _xlpm.joueurs, 0) + 1
    )
  ), ""
)</f>
        <v/>
      </c>
      <c r="AI471" t="str" cm="1">
        <f t="array" ref="AI471">IFERROR(
  _xlfn.LET(
    _xlpm.ligpartie, MATCH($B470, Donnees!$F:$F, 0),
    _xlpm.joueurs, INDEX(Donnees!$A:$Z, _xlpm.ligpartie+1, _xlfn.SEQUENCE(1, 4, 2)),
    INDEX(
      Donnees!$A:$Z,
      _xlpm.ligpartie + 3,
      MATCH(AI$1, _xlpm.joueurs, 0) + 1
    )
  ), ""
)</f>
        <v/>
      </c>
      <c r="AJ471" t="str" cm="1">
        <f t="array" ref="AJ471">IFERROR(
  _xlfn.LET(
    _xlpm.ligpartie, MATCH($B470, Donnees!$F:$F, 0),
    _xlpm.joueurs, INDEX(Donnees!$A:$Z, _xlpm.ligpartie+1, _xlfn.SEQUENCE(1, 4, 2)),
    INDEX(
      Donnees!$A:$Z,
      _xlpm.ligpartie + 3,
      MATCH(AJ$1, _xlpm.joueurs, 0) + 1
    )
  ), ""
)</f>
        <v/>
      </c>
      <c r="AK471" t="str" cm="1">
        <f t="array" ref="AK471">IFERROR(
  _xlfn.LET(
    _xlpm.ligpartie, MATCH($B470, Donnees!$F:$F, 0),
    _xlpm.joueurs, INDEX(Donnees!$A:$Z, _xlpm.ligpartie+1, _xlfn.SEQUENCE(1, 4, 2)),
    INDEX(
      Donnees!$A:$Z,
      _xlpm.ligpartie + 3,
      MATCH(AK$1, _xlpm.joueurs, 0) + 1
    )
  ), ""
)</f>
        <v/>
      </c>
      <c r="AL471" t="str" cm="1">
        <f t="array" ref="AL471">IFERROR(
  _xlfn.LET(
    _xlpm.ligpartie, MATCH($B470, Donnees!$F:$F, 0),
    _xlpm.joueurs, INDEX(Donnees!$A:$Z, _xlpm.ligpartie+1, _xlfn.SEQUENCE(1, 4, 2)),
    INDEX(
      Donnees!$A:$Z,
      _xlpm.ligpartie + 3,
      MATCH(AL$1, _xlpm.joueurs, 0) + 1
    )
  ), ""
)</f>
        <v/>
      </c>
      <c r="AM471" t="str" cm="1">
        <f t="array" ref="AM471">IFERROR(
  _xlfn.LET(
    _xlpm.ligpartie, MATCH($B470, Donnees!$F:$F, 0),
    _xlpm.joueurs, INDEX(Donnees!$A:$Z, _xlpm.ligpartie+1, _xlfn.SEQUENCE(1, 4, 2)),
    INDEX(
      Donnees!$A:$Z,
      _xlpm.ligpartie + 3,
      MATCH(AM$1, _xlpm.joueurs, 0) + 1
    )
  ), ""
)</f>
        <v/>
      </c>
    </row>
    <row r="472" spans="1:39" x14ac:dyDescent="0.25">
      <c r="A472" t="s">
        <v>20</v>
      </c>
      <c r="D472" t="str" cm="1">
        <f t="array" ref="D472">_xlfn.LET(
  _xlpm.colj, _xlfn._xlws.FILTER(IF(ISNUMBER(471:471), COLUMN(471:471)), ISNUMBER(471:471)),
  _xlpm.elos, INDEX(470:470,1,_xlpm.colj),
  _xlpm.diffscale, Constantes!$B$2,
  IF(D471="",
    "",
    SUM(1/(1+POWER(10,-(D470-_xlpm.elos)/_xlpm.diffscale)))-0.5)
)</f>
        <v/>
      </c>
      <c r="E472" t="str" cm="1">
        <f t="array" ref="E472">_xlfn.LET(
  _xlpm.colj, _xlfn._xlws.FILTER(IF(ISNUMBER(471:471), COLUMN(471:471)), ISNUMBER(471:471)),
  _xlpm.elos, INDEX(470:470,1,_xlpm.colj),
  _xlpm.diffscale, Constantes!$B$2,
  IF(E471="",
    "",
    SUM(1/(1+POWER(10,-(E470-_xlpm.elos)/_xlpm.diffscale)))-0.5)
)</f>
        <v/>
      </c>
      <c r="F472" t="str" cm="1">
        <f t="array" ref="F472">_xlfn.LET(
  _xlpm.colj, _xlfn._xlws.FILTER(IF(ISNUMBER(471:471), COLUMN(471:471)), ISNUMBER(471:471)),
  _xlpm.elos, INDEX(470:470,1,_xlpm.colj),
  _xlpm.diffscale, Constantes!$B$2,
  IF(F471="",
    "",
    SUM(1/(1+POWER(10,-(F470-_xlpm.elos)/_xlpm.diffscale)))-0.5)
)</f>
        <v/>
      </c>
      <c r="G472" t="str" cm="1">
        <f t="array" ref="G472">_xlfn.LET(
  _xlpm.colj, _xlfn._xlws.FILTER(IF(ISNUMBER(471:471), COLUMN(471:471)), ISNUMBER(471:471)),
  _xlpm.elos, INDEX(470:470,1,_xlpm.colj),
  _xlpm.diffscale, Constantes!$B$2,
  IF(G471="",
    "",
    SUM(1/(1+POWER(10,-(G470-_xlpm.elos)/_xlpm.diffscale)))-0.5)
)</f>
        <v/>
      </c>
      <c r="H472" t="str" cm="1">
        <f t="array" ref="H472">_xlfn.LET(
  _xlpm.colj, _xlfn._xlws.FILTER(IF(ISNUMBER(471:471), COLUMN(471:471)), ISNUMBER(471:471)),
  _xlpm.elos, INDEX(470:470,1,_xlpm.colj),
  _xlpm.diffscale, Constantes!$B$2,
  IF(H471="",
    "",
    SUM(1/(1+POWER(10,-(H470-_xlpm.elos)/_xlpm.diffscale)))-0.5)
)</f>
        <v/>
      </c>
      <c r="I472" t="str" cm="1">
        <f t="array" ref="I472">_xlfn.LET(
  _xlpm.colj, _xlfn._xlws.FILTER(IF(ISNUMBER(471:471), COLUMN(471:471)), ISNUMBER(471:471)),
  _xlpm.elos, INDEX(470:470,1,_xlpm.colj),
  _xlpm.diffscale, Constantes!$B$2,
  IF(I471="",
    "",
    SUM(1/(1+POWER(10,-(I470-_xlpm.elos)/_xlpm.diffscale)))-0.5)
)</f>
        <v/>
      </c>
      <c r="J472" t="str" cm="1">
        <f t="array" ref="J472">_xlfn.LET(
  _xlpm.colj, _xlfn._xlws.FILTER(IF(ISNUMBER(471:471), COLUMN(471:471)), ISNUMBER(471:471)),
  _xlpm.elos, INDEX(470:470,1,_xlpm.colj),
  _xlpm.diffscale, Constantes!$B$2,
  IF(J471="",
    "",
    SUM(1/(1+POWER(10,-(J470-_xlpm.elos)/_xlpm.diffscale)))-0.5)
)</f>
        <v/>
      </c>
      <c r="K472" cm="1">
        <f t="array" ref="K472">_xlfn.LET(
  _xlpm.colj, _xlfn._xlws.FILTER(IF(ISNUMBER(471:471), COLUMN(471:471)), ISNUMBER(471:471)),
  _xlpm.elos, INDEX(470:470,1,_xlpm.colj),
  _xlpm.diffscale, Constantes!$B$2,
  IF(K471="",
    "",
    SUM(1/(1+POWER(10,-(K470-_xlpm.elos)/_xlpm.diffscale)))-0.5)
)</f>
        <v>2.1053616911186799</v>
      </c>
      <c r="L472" t="str" cm="1">
        <f t="array" ref="L472">_xlfn.LET(
  _xlpm.colj, _xlfn._xlws.FILTER(IF(ISNUMBER(471:471), COLUMN(471:471)), ISNUMBER(471:471)),
  _xlpm.elos, INDEX(470:470,1,_xlpm.colj),
  _xlpm.diffscale, Constantes!$B$2,
  IF(L471="",
    "",
    SUM(1/(1+POWER(10,-(L470-_xlpm.elos)/_xlpm.diffscale)))-0.5)
)</f>
        <v/>
      </c>
      <c r="M472" t="str" cm="1">
        <f t="array" ref="M472">_xlfn.LET(
  _xlpm.colj, _xlfn._xlws.FILTER(IF(ISNUMBER(471:471), COLUMN(471:471)), ISNUMBER(471:471)),
  _xlpm.elos, INDEX(470:470,1,_xlpm.colj),
  _xlpm.diffscale, Constantes!$B$2,
  IF(M471="",
    "",
    SUM(1/(1+POWER(10,-(M470-_xlpm.elos)/_xlpm.diffscale)))-0.5)
)</f>
        <v/>
      </c>
      <c r="N472" t="str" cm="1">
        <f t="array" ref="N472">_xlfn.LET(
  _xlpm.colj, _xlfn._xlws.FILTER(IF(ISNUMBER(471:471), COLUMN(471:471)), ISNUMBER(471:471)),
  _xlpm.elos, INDEX(470:470,1,_xlpm.colj),
  _xlpm.diffscale, Constantes!$B$2,
  IF(N471="",
    "",
    SUM(1/(1+POWER(10,-(N470-_xlpm.elos)/_xlpm.diffscale)))-0.5)
)</f>
        <v/>
      </c>
      <c r="O472" t="str" cm="1">
        <f t="array" ref="O472">_xlfn.LET(
  _xlpm.colj, _xlfn._xlws.FILTER(IF(ISNUMBER(471:471), COLUMN(471:471)), ISNUMBER(471:471)),
  _xlpm.elos, INDEX(470:470,1,_xlpm.colj),
  _xlpm.diffscale, Constantes!$B$2,
  IF(O471="",
    "",
    SUM(1/(1+POWER(10,-(O470-_xlpm.elos)/_xlpm.diffscale)))-0.5)
)</f>
        <v/>
      </c>
      <c r="P472" t="str" cm="1">
        <f t="array" ref="P472">_xlfn.LET(
  _xlpm.colj, _xlfn._xlws.FILTER(IF(ISNUMBER(471:471), COLUMN(471:471)), ISNUMBER(471:471)),
  _xlpm.elos, INDEX(470:470,1,_xlpm.colj),
  _xlpm.diffscale, Constantes!$B$2,
  IF(P471="",
    "",
    SUM(1/(1+POWER(10,-(P470-_xlpm.elos)/_xlpm.diffscale)))-0.5)
)</f>
        <v/>
      </c>
      <c r="Q472" t="str" cm="1">
        <f t="array" ref="Q472">_xlfn.LET(
  _xlpm.colj, _xlfn._xlws.FILTER(IF(ISNUMBER(471:471), COLUMN(471:471)), ISNUMBER(471:471)),
  _xlpm.elos, INDEX(470:470,1,_xlpm.colj),
  _xlpm.diffscale, Constantes!$B$2,
  IF(Q471="",
    "",
    SUM(1/(1+POWER(10,-(Q470-_xlpm.elos)/_xlpm.diffscale)))-0.5)
)</f>
        <v/>
      </c>
      <c r="R472" cm="1">
        <f t="array" ref="R472">_xlfn.LET(
  _xlpm.colj, _xlfn._xlws.FILTER(IF(ISNUMBER(471:471), COLUMN(471:471)), ISNUMBER(471:471)),
  _xlpm.elos, INDEX(470:470,1,_xlpm.colj),
  _xlpm.diffscale, Constantes!$B$2,
  IF(R471="",
    "",
    SUM(1/(1+POWER(10,-(R470-_xlpm.elos)/_xlpm.diffscale)))-0.5)
)</f>
        <v>1.9294452648209752</v>
      </c>
      <c r="S472" t="str" cm="1">
        <f t="array" ref="S472">_xlfn.LET(
  _xlpm.colj, _xlfn._xlws.FILTER(IF(ISNUMBER(471:471), COLUMN(471:471)), ISNUMBER(471:471)),
  _xlpm.elos, INDEX(470:470,1,_xlpm.colj),
  _xlpm.diffscale, Constantes!$B$2,
  IF(S471="",
    "",
    SUM(1/(1+POWER(10,-(S470-_xlpm.elos)/_xlpm.diffscale)))-0.5)
)</f>
        <v/>
      </c>
      <c r="T472" t="str" cm="1">
        <f t="array" ref="T472">_xlfn.LET(
  _xlpm.colj, _xlfn._xlws.FILTER(IF(ISNUMBER(471:471), COLUMN(471:471)), ISNUMBER(471:471)),
  _xlpm.elos, INDEX(470:470,1,_xlpm.colj),
  _xlpm.diffscale, Constantes!$B$2,
  IF(T471="",
    "",
    SUM(1/(1+POWER(10,-(T470-_xlpm.elos)/_xlpm.diffscale)))-0.5)
)</f>
        <v/>
      </c>
      <c r="U472" t="str" cm="1">
        <f t="array" ref="U472">_xlfn.LET(
  _xlpm.colj, _xlfn._xlws.FILTER(IF(ISNUMBER(471:471), COLUMN(471:471)), ISNUMBER(471:471)),
  _xlpm.elos, INDEX(470:470,1,_xlpm.colj),
  _xlpm.diffscale, Constantes!$B$2,
  IF(U471="",
    "",
    SUM(1/(1+POWER(10,-(U470-_xlpm.elos)/_xlpm.diffscale)))-0.5)
)</f>
        <v/>
      </c>
      <c r="V472" t="str" cm="1">
        <f t="array" ref="V472">_xlfn.LET(
  _xlpm.colj, _xlfn._xlws.FILTER(IF(ISNUMBER(471:471), COLUMN(471:471)), ISNUMBER(471:471)),
  _xlpm.elos, INDEX(470:470,1,_xlpm.colj),
  _xlpm.diffscale, Constantes!$B$2,
  IF(V471="",
    "",
    SUM(1/(1+POWER(10,-(V470-_xlpm.elos)/_xlpm.diffscale)))-0.5)
)</f>
        <v/>
      </c>
      <c r="W472" cm="1">
        <f t="array" ref="W472">_xlfn.LET(
  _xlpm.colj, _xlfn._xlws.FILTER(IF(ISNUMBER(471:471), COLUMN(471:471)), ISNUMBER(471:471)),
  _xlpm.elos, INDEX(470:470,1,_xlpm.colj),
  _xlpm.diffscale, Constantes!$B$2,
  IF(W471="",
    "",
    SUM(1/(1+POWER(10,-(W470-_xlpm.elos)/_xlpm.diffscale)))-0.5)
)</f>
        <v>0.87745249943056658</v>
      </c>
      <c r="X472" t="str" cm="1">
        <f t="array" ref="X472">_xlfn.LET(
  _xlpm.colj, _xlfn._xlws.FILTER(IF(ISNUMBER(471:471), COLUMN(471:471)), ISNUMBER(471:471)),
  _xlpm.elos, INDEX(470:470,1,_xlpm.colj),
  _xlpm.diffscale, Constantes!$B$2,
  IF(X471="",
    "",
    SUM(1/(1+POWER(10,-(X470-_xlpm.elos)/_xlpm.diffscale)))-0.5)
)</f>
        <v/>
      </c>
      <c r="Y472" t="str" cm="1">
        <f t="array" ref="Y472">_xlfn.LET(
  _xlpm.colj, _xlfn._xlws.FILTER(IF(ISNUMBER(471:471), COLUMN(471:471)), ISNUMBER(471:471)),
  _xlpm.elos, INDEX(470:470,1,_xlpm.colj),
  _xlpm.diffscale, Constantes!$B$2,
  IF(Y471="",
    "",
    SUM(1/(1+POWER(10,-(Y470-_xlpm.elos)/_xlpm.diffscale)))-0.5)
)</f>
        <v/>
      </c>
      <c r="Z472" t="str" cm="1">
        <f t="array" ref="Z472">_xlfn.LET(
  _xlpm.colj, _xlfn._xlws.FILTER(IF(ISNUMBER(471:471), COLUMN(471:471)), ISNUMBER(471:471)),
  _xlpm.elos, INDEX(470:470,1,_xlpm.colj),
  _xlpm.diffscale, Constantes!$B$2,
  IF(Z471="",
    "",
    SUM(1/(1+POWER(10,-(Z470-_xlpm.elos)/_xlpm.diffscale)))-0.5)
)</f>
        <v/>
      </c>
      <c r="AA472" t="str" cm="1">
        <f t="array" ref="AA472">_xlfn.LET(
  _xlpm.colj, _xlfn._xlws.FILTER(IF(ISNUMBER(471:471), COLUMN(471:471)), ISNUMBER(471:471)),
  _xlpm.elos, INDEX(470:470,1,_xlpm.colj),
  _xlpm.diffscale, Constantes!$B$2,
  IF(AA471="",
    "",
    SUM(1/(1+POWER(10,-(AA470-_xlpm.elos)/_xlpm.diffscale)))-0.5)
)</f>
        <v/>
      </c>
      <c r="AB472" t="str" cm="1">
        <f t="array" ref="AB472">_xlfn.LET(
  _xlpm.colj, _xlfn._xlws.FILTER(IF(ISNUMBER(471:471), COLUMN(471:471)), ISNUMBER(471:471)),
  _xlpm.elos, INDEX(470:470,1,_xlpm.colj),
  _xlpm.diffscale, Constantes!$B$2,
  IF(AB471="",
    "",
    SUM(1/(1+POWER(10,-(AB470-_xlpm.elos)/_xlpm.diffscale)))-0.5)
)</f>
        <v/>
      </c>
      <c r="AC472" cm="1">
        <f t="array" ref="AC472">_xlfn.LET(
  _xlpm.colj, _xlfn._xlws.FILTER(IF(ISNUMBER(471:471), COLUMN(471:471)), ISNUMBER(471:471)),
  _xlpm.elos, INDEX(470:470,1,_xlpm.colj),
  _xlpm.diffscale, Constantes!$B$2,
  IF(AC471="",
    "",
    SUM(1/(1+POWER(10,-(AC470-_xlpm.elos)/_xlpm.diffscale)))-0.5)
)</f>
        <v>1.0877405446297779</v>
      </c>
      <c r="AD472" t="str" cm="1">
        <f t="array" ref="AD472">_xlfn.LET(
  _xlpm.colj, _xlfn._xlws.FILTER(IF(ISNUMBER(471:471), COLUMN(471:471)), ISNUMBER(471:471)),
  _xlpm.elos, INDEX(470:470,1,_xlpm.colj),
  _xlpm.diffscale, Constantes!$B$2,
  IF(AD471="",
    "",
    SUM(1/(1+POWER(10,-(AD470-_xlpm.elos)/_xlpm.diffscale)))-0.5)
)</f>
        <v/>
      </c>
      <c r="AE472" t="str" cm="1">
        <f t="array" ref="AE472">_xlfn.LET(
  _xlpm.colj, _xlfn._xlws.FILTER(IF(ISNUMBER(471:471), COLUMN(471:471)), ISNUMBER(471:471)),
  _xlpm.elos, INDEX(470:470,1,_xlpm.colj),
  _xlpm.diffscale, Constantes!$B$2,
  IF(AE471="",
    "",
    SUM(1/(1+POWER(10,-(AE470-_xlpm.elos)/_xlpm.diffscale)))-0.5)
)</f>
        <v/>
      </c>
      <c r="AF472" t="str" cm="1">
        <f t="array" ref="AF472">_xlfn.LET(
  _xlpm.colj, _xlfn._xlws.FILTER(IF(ISNUMBER(471:471), COLUMN(471:471)), ISNUMBER(471:471)),
  _xlpm.elos, INDEX(470:470,1,_xlpm.colj),
  _xlpm.diffscale, Constantes!$B$2,
  IF(AF471="",
    "",
    SUM(1/(1+POWER(10,-(AF470-_xlpm.elos)/_xlpm.diffscale)))-0.5)
)</f>
        <v/>
      </c>
      <c r="AG472" t="str" cm="1">
        <f t="array" ref="AG472">_xlfn.LET(
  _xlpm.colj, _xlfn._xlws.FILTER(IF(ISNUMBER(471:471), COLUMN(471:471)), ISNUMBER(471:471)),
  _xlpm.elos, INDEX(470:470,1,_xlpm.colj),
  _xlpm.diffscale, Constantes!$B$2,
  IF(AG471="",
    "",
    SUM(1/(1+POWER(10,-(AG470-_xlpm.elos)/_xlpm.diffscale)))-0.5)
)</f>
        <v/>
      </c>
      <c r="AH472" t="str" cm="1">
        <f t="array" ref="AH472">_xlfn.LET(
  _xlpm.colj, _xlfn._xlws.FILTER(IF(ISNUMBER(471:471), COLUMN(471:471)), ISNUMBER(471:471)),
  _xlpm.elos, INDEX(470:470,1,_xlpm.colj),
  _xlpm.diffscale, Constantes!$B$2,
  IF(AH471="",
    "",
    SUM(1/(1+POWER(10,-(AH470-_xlpm.elos)/_xlpm.diffscale)))-0.5)
)</f>
        <v/>
      </c>
      <c r="AI472" t="str" cm="1">
        <f t="array" ref="AI472">_xlfn.LET(
  _xlpm.colj, _xlfn._xlws.FILTER(IF(ISNUMBER(471:471), COLUMN(471:471)), ISNUMBER(471:471)),
  _xlpm.elos, INDEX(470:470,1,_xlpm.colj),
  _xlpm.diffscale, Constantes!$B$2,
  IF(AI471="",
    "",
    SUM(1/(1+POWER(10,-(AI470-_xlpm.elos)/_xlpm.diffscale)))-0.5)
)</f>
        <v/>
      </c>
      <c r="AJ472" t="str" cm="1">
        <f t="array" ref="AJ472">_xlfn.LET(
  _xlpm.colj, _xlfn._xlws.FILTER(IF(ISNUMBER(471:471), COLUMN(471:471)), ISNUMBER(471:471)),
  _xlpm.elos, INDEX(470:470,1,_xlpm.colj),
  _xlpm.diffscale, Constantes!$B$2,
  IF(AJ471="",
    "",
    SUM(1/(1+POWER(10,-(AJ470-_xlpm.elos)/_xlpm.diffscale)))-0.5)
)</f>
        <v/>
      </c>
      <c r="AK472" t="str" cm="1">
        <f t="array" ref="AK472">_xlfn.LET(
  _xlpm.colj, _xlfn._xlws.FILTER(IF(ISNUMBER(471:471), COLUMN(471:471)), ISNUMBER(471:471)),
  _xlpm.elos, INDEX(470:470,1,_xlpm.colj),
  _xlpm.diffscale, Constantes!$B$2,
  IF(AK471="",
    "",
    SUM(1/(1+POWER(10,-(AK470-_xlpm.elos)/_xlpm.diffscale)))-0.5)
)</f>
        <v/>
      </c>
      <c r="AL472" t="str" cm="1">
        <f t="array" ref="AL472">_xlfn.LET(
  _xlpm.colj, _xlfn._xlws.FILTER(IF(ISNUMBER(471:471), COLUMN(471:471)), ISNUMBER(471:471)),
  _xlpm.elos, INDEX(470:470,1,_xlpm.colj),
  _xlpm.diffscale, Constantes!$B$2,
  IF(AL471="",
    "",
    SUM(1/(1+POWER(10,-(AL470-_xlpm.elos)/_xlpm.diffscale)))-0.5)
)</f>
        <v/>
      </c>
      <c r="AM472" t="str" cm="1">
        <f t="array" ref="AM472">_xlfn.LET(
  _xlpm.colj, _xlfn._xlws.FILTER(IF(ISNUMBER(471:471), COLUMN(471:471)), ISNUMBER(471:471)),
  _xlpm.elos, INDEX(470:470,1,_xlpm.colj),
  _xlpm.diffscale, Constantes!$B$2,
  IF(AM471="",
    "",
    SUM(1/(1+POWER(10,-(AM470-_xlpm.elos)/_xlpm.diffscale)))-0.5)
)</f>
        <v/>
      </c>
    </row>
    <row r="473" spans="1:39" x14ac:dyDescent="0.25">
      <c r="A473" t="s">
        <v>22</v>
      </c>
      <c r="D473" t="str" cm="1">
        <f t="array" ref="D473">_xlfn.LET(
  _xlpm.K, Constantes!$B$3,
  _xlpm.Knewgain, Constantes!$B$4,
  _xlpm.Knewscale, Constantes!$B$5,
  _xlpm.ptstables, INDEX(D:D, _xlfn.SEQUENCE(COUNTA($C$2:$C473), 1, 3, 4)),
  _xlpm.nbparties, COUNTA(_xlfn._xlws.FILTER(_xlpm.ptstables, _xlpm.ptstables &lt;&gt; "")),
  _xlpm.coef, _xlpm.K + _xlpm.Knewgain / (_xlpm.Knewscale + _xlpm.nbparties),
  IF(D471="",
    "",
    _xlpm.coef * (D471-D472))
)</f>
        <v/>
      </c>
      <c r="E473" t="str" cm="1">
        <f t="array" ref="E473">_xlfn.LET(
  _xlpm.K, Constantes!$B$3,
  _xlpm.Knewgain, Constantes!$B$4,
  _xlpm.Knewscale, Constantes!$B$5,
  _xlpm.ptstables, INDEX(E:E, _xlfn.SEQUENCE(COUNTA($C$2:$C473), 1, 3, 4)),
  _xlpm.nbparties, COUNTA(_xlfn._xlws.FILTER(_xlpm.ptstables, _xlpm.ptstables &lt;&gt; "")),
  _xlpm.coef, _xlpm.K + _xlpm.Knewgain / (_xlpm.Knewscale + _xlpm.nbparties),
  IF(E471="",
    "",
    _xlpm.coef * (E471-E472))
)</f>
        <v/>
      </c>
      <c r="F473" t="str" cm="1">
        <f t="array" ref="F473">_xlfn.LET(
  _xlpm.K, Constantes!$B$3,
  _xlpm.Knewgain, Constantes!$B$4,
  _xlpm.Knewscale, Constantes!$B$5,
  _xlpm.ptstables, INDEX(F:F, _xlfn.SEQUENCE(COUNTA($C$2:$C473), 1, 3, 4)),
  _xlpm.nbparties, COUNTA(_xlfn._xlws.FILTER(_xlpm.ptstables, _xlpm.ptstables &lt;&gt; "")),
  _xlpm.coef, _xlpm.K + _xlpm.Knewgain / (_xlpm.Knewscale + _xlpm.nbparties),
  IF(F471="",
    "",
    _xlpm.coef * (F471-F472))
)</f>
        <v/>
      </c>
      <c r="G473" t="str" cm="1">
        <f t="array" ref="G473">_xlfn.LET(
  _xlpm.K, Constantes!$B$3,
  _xlpm.Knewgain, Constantes!$B$4,
  _xlpm.Knewscale, Constantes!$B$5,
  _xlpm.ptstables, INDEX(G:G, _xlfn.SEQUENCE(COUNTA($C$2:$C473), 1, 3, 4)),
  _xlpm.nbparties, COUNTA(_xlfn._xlws.FILTER(_xlpm.ptstables, _xlpm.ptstables &lt;&gt; "")),
  _xlpm.coef, _xlpm.K + _xlpm.Knewgain / (_xlpm.Knewscale + _xlpm.nbparties),
  IF(G471="",
    "",
    _xlpm.coef * (G471-G472))
)</f>
        <v/>
      </c>
      <c r="H473" t="str" cm="1">
        <f t="array" ref="H473">_xlfn.LET(
  _xlpm.K, Constantes!$B$3,
  _xlpm.Knewgain, Constantes!$B$4,
  _xlpm.Knewscale, Constantes!$B$5,
  _xlpm.ptstables, INDEX(H:H, _xlfn.SEQUENCE(COUNTA($C$2:$C473), 1, 3, 4)),
  _xlpm.nbparties, COUNTA(_xlfn._xlws.FILTER(_xlpm.ptstables, _xlpm.ptstables &lt;&gt; "")),
  _xlpm.coef, _xlpm.K + _xlpm.Knewgain / (_xlpm.Knewscale + _xlpm.nbparties),
  IF(H471="",
    "",
    _xlpm.coef * (H471-H472))
)</f>
        <v/>
      </c>
      <c r="I473" t="str" cm="1">
        <f t="array" ref="I473">_xlfn.LET(
  _xlpm.K, Constantes!$B$3,
  _xlpm.Knewgain, Constantes!$B$4,
  _xlpm.Knewscale, Constantes!$B$5,
  _xlpm.ptstables, INDEX(I:I, _xlfn.SEQUENCE(COUNTA($C$2:$C473), 1, 3, 4)),
  _xlpm.nbparties, COUNTA(_xlfn._xlws.FILTER(_xlpm.ptstables, _xlpm.ptstables &lt;&gt; "")),
  _xlpm.coef, _xlpm.K + _xlpm.Knewgain / (_xlpm.Knewscale + _xlpm.nbparties),
  IF(I471="",
    "",
    _xlpm.coef * (I471-I472))
)</f>
        <v/>
      </c>
      <c r="J473" t="str" cm="1">
        <f t="array" ref="J473">_xlfn.LET(
  _xlpm.K, Constantes!$B$3,
  _xlpm.Knewgain, Constantes!$B$4,
  _xlpm.Knewscale, Constantes!$B$5,
  _xlpm.ptstables, INDEX(J:J, _xlfn.SEQUENCE(COUNTA($C$2:$C473), 1, 3, 4)),
  _xlpm.nbparties, COUNTA(_xlfn._xlws.FILTER(_xlpm.ptstables, _xlpm.ptstables &lt;&gt; "")),
  _xlpm.coef, _xlpm.K + _xlpm.Knewgain / (_xlpm.Knewscale + _xlpm.nbparties),
  IF(J471="",
    "",
    _xlpm.coef * (J471-J472))
)</f>
        <v/>
      </c>
      <c r="K473" cm="1">
        <f t="array" ref="K473">_xlfn.LET(
  _xlpm.K, Constantes!$B$3,
  _xlpm.Knewgain, Constantes!$B$4,
  _xlpm.Knewscale, Constantes!$B$5,
  _xlpm.ptstables, INDEX(K:K, _xlfn.SEQUENCE(COUNTA($C$2:$C473), 1, 3, 4)),
  _xlpm.nbparties, COUNTA(_xlfn._xlws.FILTER(_xlpm.ptstables, _xlpm.ptstables &lt;&gt; "")),
  _xlpm.coef, _xlpm.K + _xlpm.Knewgain / (_xlpm.Knewscale + _xlpm.nbparties),
  IF(K471="",
    "",
    _xlpm.coef * (K471-K472))
)</f>
        <v>-50.204778788214675</v>
      </c>
      <c r="L473" t="str" cm="1">
        <f t="array" ref="L473">_xlfn.LET(
  _xlpm.K, Constantes!$B$3,
  _xlpm.Knewgain, Constantes!$B$4,
  _xlpm.Knewscale, Constantes!$B$5,
  _xlpm.ptstables, INDEX(L:L, _xlfn.SEQUENCE(COUNTA($C$2:$C473), 1, 3, 4)),
  _xlpm.nbparties, COUNTA(_xlfn._xlws.FILTER(_xlpm.ptstables, _xlpm.ptstables &lt;&gt; "")),
  _xlpm.coef, _xlpm.K + _xlpm.Knewgain / (_xlpm.Knewscale + _xlpm.nbparties),
  IF(L471="",
    "",
    _xlpm.coef * (L471-L472))
)</f>
        <v/>
      </c>
      <c r="M473" t="str" cm="1">
        <f t="array" ref="M473">_xlfn.LET(
  _xlpm.K, Constantes!$B$3,
  _xlpm.Knewgain, Constantes!$B$4,
  _xlpm.Knewscale, Constantes!$B$5,
  _xlpm.ptstables, INDEX(M:M, _xlfn.SEQUENCE(COUNTA($C$2:$C473), 1, 3, 4)),
  _xlpm.nbparties, COUNTA(_xlfn._xlws.FILTER(_xlpm.ptstables, _xlpm.ptstables &lt;&gt; "")),
  _xlpm.coef, _xlpm.K + _xlpm.Knewgain / (_xlpm.Knewscale + _xlpm.nbparties),
  IF(M471="",
    "",
    _xlpm.coef * (M471-M472))
)</f>
        <v/>
      </c>
      <c r="N473" t="str" cm="1">
        <f t="array" ref="N473">_xlfn.LET(
  _xlpm.K, Constantes!$B$3,
  _xlpm.Knewgain, Constantes!$B$4,
  _xlpm.Knewscale, Constantes!$B$5,
  _xlpm.ptstables, INDEX(N:N, _xlfn.SEQUENCE(COUNTA($C$2:$C473), 1, 3, 4)),
  _xlpm.nbparties, COUNTA(_xlfn._xlws.FILTER(_xlpm.ptstables, _xlpm.ptstables &lt;&gt; "")),
  _xlpm.coef, _xlpm.K + _xlpm.Knewgain / (_xlpm.Knewscale + _xlpm.nbparties),
  IF(N471="",
    "",
    _xlpm.coef * (N471-N472))
)</f>
        <v/>
      </c>
      <c r="O473" t="str" cm="1">
        <f t="array" ref="O473">_xlfn.LET(
  _xlpm.K, Constantes!$B$3,
  _xlpm.Knewgain, Constantes!$B$4,
  _xlpm.Knewscale, Constantes!$B$5,
  _xlpm.ptstables, INDEX(O:O, _xlfn.SEQUENCE(COUNTA($C$2:$C473), 1, 3, 4)),
  _xlpm.nbparties, COUNTA(_xlfn._xlws.FILTER(_xlpm.ptstables, _xlpm.ptstables &lt;&gt; "")),
  _xlpm.coef, _xlpm.K + _xlpm.Knewgain / (_xlpm.Knewscale + _xlpm.nbparties),
  IF(O471="",
    "",
    _xlpm.coef * (O471-O472))
)</f>
        <v/>
      </c>
      <c r="P473" t="str" cm="1">
        <f t="array" ref="P473">_xlfn.LET(
  _xlpm.K, Constantes!$B$3,
  _xlpm.Knewgain, Constantes!$B$4,
  _xlpm.Knewscale, Constantes!$B$5,
  _xlpm.ptstables, INDEX(P:P, _xlfn.SEQUENCE(COUNTA($C$2:$C473), 1, 3, 4)),
  _xlpm.nbparties, COUNTA(_xlfn._xlws.FILTER(_xlpm.ptstables, _xlpm.ptstables &lt;&gt; "")),
  _xlpm.coef, _xlpm.K + _xlpm.Knewgain / (_xlpm.Knewscale + _xlpm.nbparties),
  IF(P471="",
    "",
    _xlpm.coef * (P471-P472))
)</f>
        <v/>
      </c>
      <c r="Q473" t="str" cm="1">
        <f t="array" ref="Q473">_xlfn.LET(
  _xlpm.K, Constantes!$B$3,
  _xlpm.Knewgain, Constantes!$B$4,
  _xlpm.Knewscale, Constantes!$B$5,
  _xlpm.ptstables, INDEX(Q:Q, _xlfn.SEQUENCE(COUNTA($C$2:$C473), 1, 3, 4)),
  _xlpm.nbparties, COUNTA(_xlfn._xlws.FILTER(_xlpm.ptstables, _xlpm.ptstables &lt;&gt; "")),
  _xlpm.coef, _xlpm.K + _xlpm.Knewgain / (_xlpm.Knewscale + _xlpm.nbparties),
  IF(Q471="",
    "",
    _xlpm.coef * (Q471-Q472))
)</f>
        <v/>
      </c>
      <c r="R473" cm="1">
        <f t="array" ref="R473">_xlfn.LET(
  _xlpm.K, Constantes!$B$3,
  _xlpm.Knewgain, Constantes!$B$4,
  _xlpm.Knewscale, Constantes!$B$5,
  _xlpm.ptstables, INDEX(R:R, _xlfn.SEQUENCE(COUNTA($C$2:$C473), 1, 3, 4)),
  _xlpm.nbparties, COUNTA(_xlfn._xlws.FILTER(_xlpm.ptstables, _xlpm.ptstables &lt;&gt; "")),
  _xlpm.coef, _xlpm.K + _xlpm.Knewgain / (_xlpm.Knewscale + _xlpm.nbparties),
  IF(R471="",
    "",
    _xlpm.coef * (R471-R472))
)</f>
        <v>23.137795889353118</v>
      </c>
      <c r="S473" t="str" cm="1">
        <f t="array" ref="S473">_xlfn.LET(
  _xlpm.K, Constantes!$B$3,
  _xlpm.Knewgain, Constantes!$B$4,
  _xlpm.Knewscale, Constantes!$B$5,
  _xlpm.ptstables, INDEX(S:S, _xlfn.SEQUENCE(COUNTA($C$2:$C473), 1, 3, 4)),
  _xlpm.nbparties, COUNTA(_xlfn._xlws.FILTER(_xlpm.ptstables, _xlpm.ptstables &lt;&gt; "")),
  _xlpm.coef, _xlpm.K + _xlpm.Knewgain / (_xlpm.Knewscale + _xlpm.nbparties),
  IF(S471="",
    "",
    _xlpm.coef * (S471-S472))
)</f>
        <v/>
      </c>
      <c r="T473" t="str" cm="1">
        <f t="array" ref="T473">_xlfn.LET(
  _xlpm.K, Constantes!$B$3,
  _xlpm.Knewgain, Constantes!$B$4,
  _xlpm.Knewscale, Constantes!$B$5,
  _xlpm.ptstables, INDEX(T:T, _xlfn.SEQUENCE(COUNTA($C$2:$C473), 1, 3, 4)),
  _xlpm.nbparties, COUNTA(_xlfn._xlws.FILTER(_xlpm.ptstables, _xlpm.ptstables &lt;&gt; "")),
  _xlpm.coef, _xlpm.K + _xlpm.Knewgain / (_xlpm.Knewscale + _xlpm.nbparties),
  IF(T471="",
    "",
    _xlpm.coef * (T471-T472))
)</f>
        <v/>
      </c>
      <c r="U473" t="str" cm="1">
        <f t="array" ref="U473">_xlfn.LET(
  _xlpm.K, Constantes!$B$3,
  _xlpm.Knewgain, Constantes!$B$4,
  _xlpm.Knewscale, Constantes!$B$5,
  _xlpm.ptstables, INDEX(U:U, _xlfn.SEQUENCE(COUNTA($C$2:$C473), 1, 3, 4)),
  _xlpm.nbparties, COUNTA(_xlfn._xlws.FILTER(_xlpm.ptstables, _xlpm.ptstables &lt;&gt; "")),
  _xlpm.coef, _xlpm.K + _xlpm.Knewgain / (_xlpm.Knewscale + _xlpm.nbparties),
  IF(U471="",
    "",
    _xlpm.coef * (U471-U472))
)</f>
        <v/>
      </c>
      <c r="V473" t="str" cm="1">
        <f t="array" ref="V473">_xlfn.LET(
  _xlpm.K, Constantes!$B$3,
  _xlpm.Knewgain, Constantes!$B$4,
  _xlpm.Knewscale, Constantes!$B$5,
  _xlpm.ptstables, INDEX(V:V, _xlfn.SEQUENCE(COUNTA($C$2:$C473), 1, 3, 4)),
  _xlpm.nbparties, COUNTA(_xlfn._xlws.FILTER(_xlpm.ptstables, _xlpm.ptstables &lt;&gt; "")),
  _xlpm.coef, _xlpm.K + _xlpm.Knewgain / (_xlpm.Knewscale + _xlpm.nbparties),
  IF(V471="",
    "",
    _xlpm.coef * (V471-V472))
)</f>
        <v/>
      </c>
      <c r="W473" cm="1">
        <f t="array" ref="W473">_xlfn.LET(
  _xlpm.K, Constantes!$B$3,
  _xlpm.Knewgain, Constantes!$B$4,
  _xlpm.Knewscale, Constantes!$B$5,
  _xlpm.ptstables, INDEX(W:W, _xlfn.SEQUENCE(COUNTA($C$2:$C473), 1, 3, 4)),
  _xlpm.nbparties, COUNTA(_xlfn._xlws.FILTER(_xlpm.ptstables, _xlpm.ptstables &lt;&gt; "")),
  _xlpm.coef, _xlpm.K + _xlpm.Knewgain / (_xlpm.Knewscale + _xlpm.nbparties),
  IF(W471="",
    "",
    _xlpm.coef * (W471-W472))
)</f>
        <v>31.805512516133948</v>
      </c>
      <c r="X473" t="str" cm="1">
        <f t="array" ref="X473">_xlfn.LET(
  _xlpm.K, Constantes!$B$3,
  _xlpm.Knewgain, Constantes!$B$4,
  _xlpm.Knewscale, Constantes!$B$5,
  _xlpm.ptstables, INDEX(X:X, _xlfn.SEQUENCE(COUNTA($C$2:$C473), 1, 3, 4)),
  _xlpm.nbparties, COUNTA(_xlfn._xlws.FILTER(_xlpm.ptstables, _xlpm.ptstables &lt;&gt; "")),
  _xlpm.coef, _xlpm.K + _xlpm.Knewgain / (_xlpm.Knewscale + _xlpm.nbparties),
  IF(X471="",
    "",
    _xlpm.coef * (X471-X472))
)</f>
        <v/>
      </c>
      <c r="Y473" t="str" cm="1">
        <f t="array" ref="Y473">_xlfn.LET(
  _xlpm.K, Constantes!$B$3,
  _xlpm.Knewgain, Constantes!$B$4,
  _xlpm.Knewscale, Constantes!$B$5,
  _xlpm.ptstables, INDEX(Y:Y, _xlfn.SEQUENCE(COUNTA($C$2:$C473), 1, 3, 4)),
  _xlpm.nbparties, COUNTA(_xlfn._xlws.FILTER(_xlpm.ptstables, _xlpm.ptstables &lt;&gt; "")),
  _xlpm.coef, _xlpm.K + _xlpm.Knewgain / (_xlpm.Knewscale + _xlpm.nbparties),
  IF(Y471="",
    "",
    _xlpm.coef * (Y471-Y472))
)</f>
        <v/>
      </c>
      <c r="Z473" t="str" cm="1">
        <f t="array" ref="Z473">_xlfn.LET(
  _xlpm.K, Constantes!$B$3,
  _xlpm.Knewgain, Constantes!$B$4,
  _xlpm.Knewscale, Constantes!$B$5,
  _xlpm.ptstables, INDEX(Z:Z, _xlfn.SEQUENCE(COUNTA($C$2:$C473), 1, 3, 4)),
  _xlpm.nbparties, COUNTA(_xlfn._xlws.FILTER(_xlpm.ptstables, _xlpm.ptstables &lt;&gt; "")),
  _xlpm.coef, _xlpm.K + _xlpm.Knewgain / (_xlpm.Knewscale + _xlpm.nbparties),
  IF(Z471="",
    "",
    _xlpm.coef * (Z471-Z472))
)</f>
        <v/>
      </c>
      <c r="AA473" t="str" cm="1">
        <f t="array" ref="AA473">_xlfn.LET(
  _xlpm.K, Constantes!$B$3,
  _xlpm.Knewgain, Constantes!$B$4,
  _xlpm.Knewscale, Constantes!$B$5,
  _xlpm.ptstables, INDEX(AA:AA, _xlfn.SEQUENCE(COUNTA($C$2:$C473), 1, 3, 4)),
  _xlpm.nbparties, COUNTA(_xlfn._xlws.FILTER(_xlpm.ptstables, _xlpm.ptstables &lt;&gt; "")),
  _xlpm.coef, _xlpm.K + _xlpm.Knewgain / (_xlpm.Knewscale + _xlpm.nbparties),
  IF(AA471="",
    "",
    _xlpm.coef * (AA471-AA472))
)</f>
        <v/>
      </c>
      <c r="AB473" t="str" cm="1">
        <f t="array" ref="AB473">_xlfn.LET(
  _xlpm.K, Constantes!$B$3,
  _xlpm.Knewgain, Constantes!$B$4,
  _xlpm.Knewscale, Constantes!$B$5,
  _xlpm.ptstables, INDEX(AB:AB, _xlfn.SEQUENCE(COUNTA($C$2:$C473), 1, 3, 4)),
  _xlpm.nbparties, COUNTA(_xlfn._xlws.FILTER(_xlpm.ptstables, _xlpm.ptstables &lt;&gt; "")),
  _xlpm.coef, _xlpm.K + _xlpm.Knewgain / (_xlpm.Knewscale + _xlpm.nbparties),
  IF(AB471="",
    "",
    _xlpm.coef * (AB471-AB472))
)</f>
        <v/>
      </c>
      <c r="AC473" cm="1">
        <f t="array" ref="AC473">_xlfn.LET(
  _xlpm.K, Constantes!$B$3,
  _xlpm.Knewgain, Constantes!$B$4,
  _xlpm.Knewscale, Constantes!$B$5,
  _xlpm.ptstables, INDEX(AC:AC, _xlfn.SEQUENCE(COUNTA($C$2:$C473), 1, 3, 4)),
  _xlpm.nbparties, COUNTA(_xlfn._xlws.FILTER(_xlpm.ptstables, _xlpm.ptstables &lt;&gt; "")),
  _xlpm.coef, _xlpm.K + _xlpm.Knewgain / (_xlpm.Knewscale + _xlpm.nbparties),
  IF(AC471="",
    "",
    _xlpm.coef * (AC471-AC472))
)</f>
        <v>-1.9637169512378856</v>
      </c>
      <c r="AD473" t="str" cm="1">
        <f t="array" ref="AD473">_xlfn.LET(
  _xlpm.K, Constantes!$B$3,
  _xlpm.Knewgain, Constantes!$B$4,
  _xlpm.Knewscale, Constantes!$B$5,
  _xlpm.ptstables, INDEX(AD:AD, _xlfn.SEQUENCE(COUNTA($C$2:$C473), 1, 3, 4)),
  _xlpm.nbparties, COUNTA(_xlfn._xlws.FILTER(_xlpm.ptstables, _xlpm.ptstables &lt;&gt; "")),
  _xlpm.coef, _xlpm.K + _xlpm.Knewgain / (_xlpm.Knewscale + _xlpm.nbparties),
  IF(AD471="",
    "",
    _xlpm.coef * (AD471-AD472))
)</f>
        <v/>
      </c>
      <c r="AE473" t="str" cm="1">
        <f t="array" ref="AE473">_xlfn.LET(
  _xlpm.K, Constantes!$B$3,
  _xlpm.Knewgain, Constantes!$B$4,
  _xlpm.Knewscale, Constantes!$B$5,
  _xlpm.ptstables, INDEX(AE:AE, _xlfn.SEQUENCE(COUNTA($C$2:$C473), 1, 3, 4)),
  _xlpm.nbparties, COUNTA(_xlfn._xlws.FILTER(_xlpm.ptstables, _xlpm.ptstables &lt;&gt; "")),
  _xlpm.coef, _xlpm.K + _xlpm.Knewgain / (_xlpm.Knewscale + _xlpm.nbparties),
  IF(AE471="",
    "",
    _xlpm.coef * (AE471-AE472))
)</f>
        <v/>
      </c>
      <c r="AF473" t="str" cm="1">
        <f t="array" ref="AF473">_xlfn.LET(
  _xlpm.K, Constantes!$B$3,
  _xlpm.Knewgain, Constantes!$B$4,
  _xlpm.Knewscale, Constantes!$B$5,
  _xlpm.ptstables, INDEX(AF:AF, _xlfn.SEQUENCE(COUNTA($C$2:$C473), 1, 3, 4)),
  _xlpm.nbparties, COUNTA(_xlfn._xlws.FILTER(_xlpm.ptstables, _xlpm.ptstables &lt;&gt; "")),
  _xlpm.coef, _xlpm.K + _xlpm.Knewgain / (_xlpm.Knewscale + _xlpm.nbparties),
  IF(AF471="",
    "",
    _xlpm.coef * (AF471-AF472))
)</f>
        <v/>
      </c>
      <c r="AG473" t="str" cm="1">
        <f t="array" ref="AG473">_xlfn.LET(
  _xlpm.K, Constantes!$B$3,
  _xlpm.Knewgain, Constantes!$B$4,
  _xlpm.Knewscale, Constantes!$B$5,
  _xlpm.ptstables, INDEX(AG:AG, _xlfn.SEQUENCE(COUNTA($C$2:$C473), 1, 3, 4)),
  _xlpm.nbparties, COUNTA(_xlfn._xlws.FILTER(_xlpm.ptstables, _xlpm.ptstables &lt;&gt; "")),
  _xlpm.coef, _xlpm.K + _xlpm.Knewgain / (_xlpm.Knewscale + _xlpm.nbparties),
  IF(AG471="",
    "",
    _xlpm.coef * (AG471-AG472))
)</f>
        <v/>
      </c>
      <c r="AH473" t="str" cm="1">
        <f t="array" ref="AH473">_xlfn.LET(
  _xlpm.K, Constantes!$B$3,
  _xlpm.Knewgain, Constantes!$B$4,
  _xlpm.Knewscale, Constantes!$B$5,
  _xlpm.ptstables, INDEX(AH:AH, _xlfn.SEQUENCE(COUNTA($C$2:$C473), 1, 3, 4)),
  _xlpm.nbparties, COUNTA(_xlfn._xlws.FILTER(_xlpm.ptstables, _xlpm.ptstables &lt;&gt; "")),
  _xlpm.coef, _xlpm.K + _xlpm.Knewgain / (_xlpm.Knewscale + _xlpm.nbparties),
  IF(AH471="",
    "",
    _xlpm.coef * (AH471-AH472))
)</f>
        <v/>
      </c>
      <c r="AI473" t="str" cm="1">
        <f t="array" ref="AI473">_xlfn.LET(
  _xlpm.K, Constantes!$B$3,
  _xlpm.Knewgain, Constantes!$B$4,
  _xlpm.Knewscale, Constantes!$B$5,
  _xlpm.ptstables, INDEX(AI:AI, _xlfn.SEQUENCE(COUNTA($C$2:$C473), 1, 3, 4)),
  _xlpm.nbparties, COUNTA(_xlfn._xlws.FILTER(_xlpm.ptstables, _xlpm.ptstables &lt;&gt; "")),
  _xlpm.coef, _xlpm.K + _xlpm.Knewgain / (_xlpm.Knewscale + _xlpm.nbparties),
  IF(AI471="",
    "",
    _xlpm.coef * (AI471-AI472))
)</f>
        <v/>
      </c>
      <c r="AJ473" t="str" cm="1">
        <f t="array" ref="AJ473">_xlfn.LET(
  _xlpm.K, Constantes!$B$3,
  _xlpm.Knewgain, Constantes!$B$4,
  _xlpm.Knewscale, Constantes!$B$5,
  _xlpm.ptstables, INDEX(AJ:AJ, _xlfn.SEQUENCE(COUNTA($C$2:$C473), 1, 3, 4)),
  _xlpm.nbparties, COUNTA(_xlfn._xlws.FILTER(_xlpm.ptstables, _xlpm.ptstables &lt;&gt; "")),
  _xlpm.coef, _xlpm.K + _xlpm.Knewgain / (_xlpm.Knewscale + _xlpm.nbparties),
  IF(AJ471="",
    "",
    _xlpm.coef * (AJ471-AJ472))
)</f>
        <v/>
      </c>
      <c r="AK473" t="str" cm="1">
        <f t="array" ref="AK473">_xlfn.LET(
  _xlpm.K, Constantes!$B$3,
  _xlpm.Knewgain, Constantes!$B$4,
  _xlpm.Knewscale, Constantes!$B$5,
  _xlpm.ptstables, INDEX(AK:AK, _xlfn.SEQUENCE(COUNTA($C$2:$C473), 1, 3, 4)),
  _xlpm.nbparties, COUNTA(_xlfn._xlws.FILTER(_xlpm.ptstables, _xlpm.ptstables &lt;&gt; "")),
  _xlpm.coef, _xlpm.K + _xlpm.Knewgain / (_xlpm.Knewscale + _xlpm.nbparties),
  IF(AK471="",
    "",
    _xlpm.coef * (AK471-AK472))
)</f>
        <v/>
      </c>
      <c r="AL473" t="str" cm="1">
        <f t="array" ref="AL473">_xlfn.LET(
  _xlpm.K, Constantes!$B$3,
  _xlpm.Knewgain, Constantes!$B$4,
  _xlpm.Knewscale, Constantes!$B$5,
  _xlpm.ptstables, INDEX(AL:AL, _xlfn.SEQUENCE(COUNTA($C$2:$C473), 1, 3, 4)),
  _xlpm.nbparties, COUNTA(_xlfn._xlws.FILTER(_xlpm.ptstables, _xlpm.ptstables &lt;&gt; "")),
  _xlpm.coef, _xlpm.K + _xlpm.Knewgain / (_xlpm.Knewscale + _xlpm.nbparties),
  IF(AL471="",
    "",
    _xlpm.coef * (AL471-AL472))
)</f>
        <v/>
      </c>
      <c r="AM473" t="str" cm="1">
        <f t="array" ref="AM473">_xlfn.LET(
  _xlpm.K, Constantes!$B$3,
  _xlpm.Knewgain, Constantes!$B$4,
  _xlpm.Knewscale, Constantes!$B$5,
  _xlpm.ptstables, INDEX(AM:AM, _xlfn.SEQUENCE(COUNTA($C$2:$C473), 1, 3, 4)),
  _xlpm.nbparties, COUNTA(_xlfn._xlws.FILTER(_xlpm.ptstables, _xlpm.ptstables &lt;&gt; "")),
  _xlpm.coef, _xlpm.K + _xlpm.Knewgain / (_xlpm.Knewscale + _xlpm.nbparties),
  IF(AM471="",
    "",
    _xlpm.coef * (AM471-AM472))
)</f>
        <v/>
      </c>
    </row>
    <row r="474" spans="1:39" x14ac:dyDescent="0.25">
      <c r="A474" t="s">
        <v>14</v>
      </c>
      <c r="B474" t="str" cm="1">
        <f t="array" ref="B47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122</v>
      </c>
      <c r="C474" s="2" cm="1">
        <f t="array" ref="C474">IF(B474="","",
  INDEX(Donnees!F:F, MATCH(B474, Donnees!F:F, 0)+1))</f>
        <v>45969.698599537034</v>
      </c>
      <c r="D474">
        <f t="shared" ref="D474:AM474" si="126">D470+IF(D473="",0,D473)</f>
        <v>970.88542284486812</v>
      </c>
      <c r="E474">
        <f t="shared" si="126"/>
        <v>1196.4195973781996</v>
      </c>
      <c r="F474">
        <f t="shared" si="126"/>
        <v>911.8835833951041</v>
      </c>
      <c r="G474">
        <f t="shared" si="126"/>
        <v>1009.6650561189861</v>
      </c>
      <c r="H474">
        <f t="shared" si="126"/>
        <v>1094.7153320016416</v>
      </c>
      <c r="I474">
        <f t="shared" si="126"/>
        <v>907.83370609419069</v>
      </c>
      <c r="J474">
        <f t="shared" si="126"/>
        <v>952.15570665875975</v>
      </c>
      <c r="K474">
        <f t="shared" si="126"/>
        <v>1062.2548360982171</v>
      </c>
      <c r="L474">
        <f t="shared" si="126"/>
        <v>762.99078552663389</v>
      </c>
      <c r="M474">
        <f t="shared" si="126"/>
        <v>927.4581540493366</v>
      </c>
      <c r="N474">
        <f t="shared" si="126"/>
        <v>899.98370646249032</v>
      </c>
      <c r="O474">
        <f t="shared" si="126"/>
        <v>997.04050320786712</v>
      </c>
      <c r="P474">
        <f t="shared" si="126"/>
        <v>1000.038589629396</v>
      </c>
      <c r="Q474">
        <f t="shared" si="126"/>
        <v>1048.7297653789042</v>
      </c>
      <c r="R474">
        <f t="shared" si="126"/>
        <v>1100.1807227213831</v>
      </c>
      <c r="S474">
        <f t="shared" si="126"/>
        <v>968.32887381256023</v>
      </c>
      <c r="T474">
        <f t="shared" si="126"/>
        <v>1130.5881903486886</v>
      </c>
      <c r="U474">
        <f t="shared" si="126"/>
        <v>1222.7257721587478</v>
      </c>
      <c r="V474">
        <f t="shared" si="126"/>
        <v>964.86178289028601</v>
      </c>
      <c r="W474">
        <f t="shared" si="126"/>
        <v>905.2317797496944</v>
      </c>
      <c r="X474">
        <f t="shared" si="126"/>
        <v>858.92096928478088</v>
      </c>
      <c r="Y474">
        <f t="shared" si="126"/>
        <v>1005.462386147187</v>
      </c>
      <c r="Z474">
        <f t="shared" si="126"/>
        <v>1008.6876849635962</v>
      </c>
      <c r="AA474">
        <f t="shared" si="126"/>
        <v>942.27730100696294</v>
      </c>
      <c r="AB474">
        <f t="shared" si="126"/>
        <v>988.35669729544747</v>
      </c>
      <c r="AC474">
        <f t="shared" si="126"/>
        <v>913.83290299884754</v>
      </c>
      <c r="AD474">
        <f t="shared" si="126"/>
        <v>1054.5168154629837</v>
      </c>
      <c r="AE474">
        <f t="shared" si="126"/>
        <v>963.23981965000235</v>
      </c>
      <c r="AF474">
        <f t="shared" si="126"/>
        <v>1094.8196847516158</v>
      </c>
      <c r="AG474">
        <f t="shared" si="126"/>
        <v>958.23078604304851</v>
      </c>
      <c r="AH474">
        <f t="shared" si="126"/>
        <v>920.4412636682855</v>
      </c>
      <c r="AI474">
        <f t="shared" si="126"/>
        <v>1036.4167877702052</v>
      </c>
      <c r="AJ474">
        <f t="shared" si="126"/>
        <v>906.86354201913434</v>
      </c>
      <c r="AK474">
        <f t="shared" si="126"/>
        <v>1074.0069367206956</v>
      </c>
      <c r="AL474">
        <f t="shared" si="126"/>
        <v>1025.7817971572972</v>
      </c>
      <c r="AM474">
        <f t="shared" si="126"/>
        <v>930.08392160706046</v>
      </c>
    </row>
    <row r="475" spans="1:39" x14ac:dyDescent="0.25">
      <c r="A475" t="s">
        <v>21</v>
      </c>
      <c r="D475" t="str" cm="1">
        <f t="array" ref="D475">IFERROR(
  _xlfn.LET(
    _xlpm.ligpartie, MATCH($B474, Donnees!$F:$F, 0),
    _xlpm.joueurs, INDEX(Donnees!$A:$Z, _xlpm.ligpartie+1, _xlfn.SEQUENCE(1, 4, 2)),
    INDEX(
      Donnees!$A:$Z,
      _xlpm.ligpartie + 3,
      MATCH(D$1, _xlpm.joueurs, 0) + 1
    )
  ), ""
)</f>
        <v/>
      </c>
      <c r="E475" cm="1">
        <f t="array" ref="E475">IFERROR(
  _xlfn.LET(
    _xlpm.ligpartie, MATCH($B474, Donnees!$F:$F, 0),
    _xlpm.joueurs, INDEX(Donnees!$A:$Z, _xlpm.ligpartie+1, _xlfn.SEQUENCE(1, 4, 2)),
    INDEX(
      Donnees!$A:$Z,
      _xlpm.ligpartie + 3,
      MATCH(E$1, _xlpm.joueurs, 0) + 1
    )
  ), ""
)</f>
        <v>3</v>
      </c>
      <c r="F475" t="str" cm="1">
        <f t="array" ref="F475">IFERROR(
  _xlfn.LET(
    _xlpm.ligpartie, MATCH($B474, Donnees!$F:$F, 0),
    _xlpm.joueurs, INDEX(Donnees!$A:$Z, _xlpm.ligpartie+1, _xlfn.SEQUENCE(1, 4, 2)),
    INDEX(
      Donnees!$A:$Z,
      _xlpm.ligpartie + 3,
      MATCH(F$1, _xlpm.joueurs, 0) + 1
    )
  ), ""
)</f>
        <v/>
      </c>
      <c r="G475" t="str" cm="1">
        <f t="array" ref="G475">IFERROR(
  _xlfn.LET(
    _xlpm.ligpartie, MATCH($B474, Donnees!$F:$F, 0),
    _xlpm.joueurs, INDEX(Donnees!$A:$Z, _xlpm.ligpartie+1, _xlfn.SEQUENCE(1, 4, 2)),
    INDEX(
      Donnees!$A:$Z,
      _xlpm.ligpartie + 3,
      MATCH(G$1, _xlpm.joueurs, 0) + 1
    )
  ), ""
)</f>
        <v/>
      </c>
      <c r="H475" t="str" cm="1">
        <f t="array" ref="H475">IFERROR(
  _xlfn.LET(
    _xlpm.ligpartie, MATCH($B474, Donnees!$F:$F, 0),
    _xlpm.joueurs, INDEX(Donnees!$A:$Z, _xlpm.ligpartie+1, _xlfn.SEQUENCE(1, 4, 2)),
    INDEX(
      Donnees!$A:$Z,
      _xlpm.ligpartie + 3,
      MATCH(H$1, _xlpm.joueurs, 0) + 1
    )
  ), ""
)</f>
        <v/>
      </c>
      <c r="I475" cm="1">
        <f t="array" ref="I475">IFERROR(
  _xlfn.LET(
    _xlpm.ligpartie, MATCH($B474, Donnees!$F:$F, 0),
    _xlpm.joueurs, INDEX(Donnees!$A:$Z, _xlpm.ligpartie+1, _xlfn.SEQUENCE(1, 4, 2)),
    INDEX(
      Donnees!$A:$Z,
      _xlpm.ligpartie + 3,
      MATCH(I$1, _xlpm.joueurs, 0) + 1
    )
  ), ""
)</f>
        <v>0</v>
      </c>
      <c r="J475" t="str" cm="1">
        <f t="array" ref="J475">IFERROR(
  _xlfn.LET(
    _xlpm.ligpartie, MATCH($B474, Donnees!$F:$F, 0),
    _xlpm.joueurs, INDEX(Donnees!$A:$Z, _xlpm.ligpartie+1, _xlfn.SEQUENCE(1, 4, 2)),
    INDEX(
      Donnees!$A:$Z,
      _xlpm.ligpartie + 3,
      MATCH(J$1, _xlpm.joueurs, 0) + 1
    )
  ), ""
)</f>
        <v/>
      </c>
      <c r="K475" t="str" cm="1">
        <f t="array" ref="K475">IFERROR(
  _xlfn.LET(
    _xlpm.ligpartie, MATCH($B474, Donnees!$F:$F, 0),
    _xlpm.joueurs, INDEX(Donnees!$A:$Z, _xlpm.ligpartie+1, _xlfn.SEQUENCE(1, 4, 2)),
    INDEX(
      Donnees!$A:$Z,
      _xlpm.ligpartie + 3,
      MATCH(K$1, _xlpm.joueurs, 0) + 1
    )
  ), ""
)</f>
        <v/>
      </c>
      <c r="L475" cm="1">
        <f t="array" ref="L475">IFERROR(
  _xlfn.LET(
    _xlpm.ligpartie, MATCH($B474, Donnees!$F:$F, 0),
    _xlpm.joueurs, INDEX(Donnees!$A:$Z, _xlpm.ligpartie+1, _xlfn.SEQUENCE(1, 4, 2)),
    INDEX(
      Donnees!$A:$Z,
      _xlpm.ligpartie + 3,
      MATCH(L$1, _xlpm.joueurs, 0) + 1
    )
  ), ""
)</f>
        <v>1</v>
      </c>
      <c r="M475" t="str" cm="1">
        <f t="array" ref="M475">IFERROR(
  _xlfn.LET(
    _xlpm.ligpartie, MATCH($B474, Donnees!$F:$F, 0),
    _xlpm.joueurs, INDEX(Donnees!$A:$Z, _xlpm.ligpartie+1, _xlfn.SEQUENCE(1, 4, 2)),
    INDEX(
      Donnees!$A:$Z,
      _xlpm.ligpartie + 3,
      MATCH(M$1, _xlpm.joueurs, 0) + 1
    )
  ), ""
)</f>
        <v/>
      </c>
      <c r="N475" t="str" cm="1">
        <f t="array" ref="N475">IFERROR(
  _xlfn.LET(
    _xlpm.ligpartie, MATCH($B474, Donnees!$F:$F, 0),
    _xlpm.joueurs, INDEX(Donnees!$A:$Z, _xlpm.ligpartie+1, _xlfn.SEQUENCE(1, 4, 2)),
    INDEX(
      Donnees!$A:$Z,
      _xlpm.ligpartie + 3,
      MATCH(N$1, _xlpm.joueurs, 0) + 1
    )
  ), ""
)</f>
        <v/>
      </c>
      <c r="O475" t="str" cm="1">
        <f t="array" ref="O475">IFERROR(
  _xlfn.LET(
    _xlpm.ligpartie, MATCH($B474, Donnees!$F:$F, 0),
    _xlpm.joueurs, INDEX(Donnees!$A:$Z, _xlpm.ligpartie+1, _xlfn.SEQUENCE(1, 4, 2)),
    INDEX(
      Donnees!$A:$Z,
      _xlpm.ligpartie + 3,
      MATCH(O$1, _xlpm.joueurs, 0) + 1
    )
  ), ""
)</f>
        <v/>
      </c>
      <c r="P475" t="str" cm="1">
        <f t="array" ref="P475">IFERROR(
  _xlfn.LET(
    _xlpm.ligpartie, MATCH($B474, Donnees!$F:$F, 0),
    _xlpm.joueurs, INDEX(Donnees!$A:$Z, _xlpm.ligpartie+1, _xlfn.SEQUENCE(1, 4, 2)),
    INDEX(
      Donnees!$A:$Z,
      _xlpm.ligpartie + 3,
      MATCH(P$1, _xlpm.joueurs, 0) + 1
    )
  ), ""
)</f>
        <v/>
      </c>
      <c r="Q475" t="str" cm="1">
        <f t="array" ref="Q475">IFERROR(
  _xlfn.LET(
    _xlpm.ligpartie, MATCH($B474, Donnees!$F:$F, 0),
    _xlpm.joueurs, INDEX(Donnees!$A:$Z, _xlpm.ligpartie+1, _xlfn.SEQUENCE(1, 4, 2)),
    INDEX(
      Donnees!$A:$Z,
      _xlpm.ligpartie + 3,
      MATCH(Q$1, _xlpm.joueurs, 0) + 1
    )
  ), ""
)</f>
        <v/>
      </c>
      <c r="R475" t="str" cm="1">
        <f t="array" ref="R475">IFERROR(
  _xlfn.LET(
    _xlpm.ligpartie, MATCH($B474, Donnees!$F:$F, 0),
    _xlpm.joueurs, INDEX(Donnees!$A:$Z, _xlpm.ligpartie+1, _xlfn.SEQUENCE(1, 4, 2)),
    INDEX(
      Donnees!$A:$Z,
      _xlpm.ligpartie + 3,
      MATCH(R$1, _xlpm.joueurs, 0) + 1
    )
  ), ""
)</f>
        <v/>
      </c>
      <c r="S475" t="str" cm="1">
        <f t="array" ref="S475">IFERROR(
  _xlfn.LET(
    _xlpm.ligpartie, MATCH($B474, Donnees!$F:$F, 0),
    _xlpm.joueurs, INDEX(Donnees!$A:$Z, _xlpm.ligpartie+1, _xlfn.SEQUENCE(1, 4, 2)),
    INDEX(
      Donnees!$A:$Z,
      _xlpm.ligpartie + 3,
      MATCH(S$1, _xlpm.joueurs, 0) + 1
    )
  ), ""
)</f>
        <v/>
      </c>
      <c r="T475" cm="1">
        <f t="array" ref="T475">IFERROR(
  _xlfn.LET(
    _xlpm.ligpartie, MATCH($B474, Donnees!$F:$F, 0),
    _xlpm.joueurs, INDEX(Donnees!$A:$Z, _xlpm.ligpartie+1, _xlfn.SEQUENCE(1, 4, 2)),
    INDEX(
      Donnees!$A:$Z,
      _xlpm.ligpartie + 3,
      MATCH(T$1, _xlpm.joueurs, 0) + 1
    )
  ), ""
)</f>
        <v>2</v>
      </c>
      <c r="U475" t="str" cm="1">
        <f t="array" ref="U475">IFERROR(
  _xlfn.LET(
    _xlpm.ligpartie, MATCH($B474, Donnees!$F:$F, 0),
    _xlpm.joueurs, INDEX(Donnees!$A:$Z, _xlpm.ligpartie+1, _xlfn.SEQUENCE(1, 4, 2)),
    INDEX(
      Donnees!$A:$Z,
      _xlpm.ligpartie + 3,
      MATCH(U$1, _xlpm.joueurs, 0) + 1
    )
  ), ""
)</f>
        <v/>
      </c>
      <c r="V475" t="str" cm="1">
        <f t="array" ref="V475">IFERROR(
  _xlfn.LET(
    _xlpm.ligpartie, MATCH($B474, Donnees!$F:$F, 0),
    _xlpm.joueurs, INDEX(Donnees!$A:$Z, _xlpm.ligpartie+1, _xlfn.SEQUENCE(1, 4, 2)),
    INDEX(
      Donnees!$A:$Z,
      _xlpm.ligpartie + 3,
      MATCH(V$1, _xlpm.joueurs, 0) + 1
    )
  ), ""
)</f>
        <v/>
      </c>
      <c r="W475" t="str" cm="1">
        <f t="array" ref="W475">IFERROR(
  _xlfn.LET(
    _xlpm.ligpartie, MATCH($B474, Donnees!$F:$F, 0),
    _xlpm.joueurs, INDEX(Donnees!$A:$Z, _xlpm.ligpartie+1, _xlfn.SEQUENCE(1, 4, 2)),
    INDEX(
      Donnees!$A:$Z,
      _xlpm.ligpartie + 3,
      MATCH(W$1, _xlpm.joueurs, 0) + 1
    )
  ), ""
)</f>
        <v/>
      </c>
      <c r="X475" t="str" cm="1">
        <f t="array" ref="X475">IFERROR(
  _xlfn.LET(
    _xlpm.ligpartie, MATCH($B474, Donnees!$F:$F, 0),
    _xlpm.joueurs, INDEX(Donnees!$A:$Z, _xlpm.ligpartie+1, _xlfn.SEQUENCE(1, 4, 2)),
    INDEX(
      Donnees!$A:$Z,
      _xlpm.ligpartie + 3,
      MATCH(X$1, _xlpm.joueurs, 0) + 1
    )
  ), ""
)</f>
        <v/>
      </c>
      <c r="Y475" t="str" cm="1">
        <f t="array" ref="Y475">IFERROR(
  _xlfn.LET(
    _xlpm.ligpartie, MATCH($B474, Donnees!$F:$F, 0),
    _xlpm.joueurs, INDEX(Donnees!$A:$Z, _xlpm.ligpartie+1, _xlfn.SEQUENCE(1, 4, 2)),
    INDEX(
      Donnees!$A:$Z,
      _xlpm.ligpartie + 3,
      MATCH(Y$1, _xlpm.joueurs, 0) + 1
    )
  ), ""
)</f>
        <v/>
      </c>
      <c r="Z475" t="str" cm="1">
        <f t="array" ref="Z475">IFERROR(
  _xlfn.LET(
    _xlpm.ligpartie, MATCH($B474, Donnees!$F:$F, 0),
    _xlpm.joueurs, INDEX(Donnees!$A:$Z, _xlpm.ligpartie+1, _xlfn.SEQUENCE(1, 4, 2)),
    INDEX(
      Donnees!$A:$Z,
      _xlpm.ligpartie + 3,
      MATCH(Z$1, _xlpm.joueurs, 0) + 1
    )
  ), ""
)</f>
        <v/>
      </c>
      <c r="AA475" t="str" cm="1">
        <f t="array" ref="AA475">IFERROR(
  _xlfn.LET(
    _xlpm.ligpartie, MATCH($B474, Donnees!$F:$F, 0),
    _xlpm.joueurs, INDEX(Donnees!$A:$Z, _xlpm.ligpartie+1, _xlfn.SEQUENCE(1, 4, 2)),
    INDEX(
      Donnees!$A:$Z,
      _xlpm.ligpartie + 3,
      MATCH(AA$1, _xlpm.joueurs, 0) + 1
    )
  ), ""
)</f>
        <v/>
      </c>
      <c r="AB475" t="str" cm="1">
        <f t="array" ref="AB475">IFERROR(
  _xlfn.LET(
    _xlpm.ligpartie, MATCH($B474, Donnees!$F:$F, 0),
    _xlpm.joueurs, INDEX(Donnees!$A:$Z, _xlpm.ligpartie+1, _xlfn.SEQUENCE(1, 4, 2)),
    INDEX(
      Donnees!$A:$Z,
      _xlpm.ligpartie + 3,
      MATCH(AB$1, _xlpm.joueurs, 0) + 1
    )
  ), ""
)</f>
        <v/>
      </c>
      <c r="AC475" t="str" cm="1">
        <f t="array" ref="AC475">IFERROR(
  _xlfn.LET(
    _xlpm.ligpartie, MATCH($B474, Donnees!$F:$F, 0),
    _xlpm.joueurs, INDEX(Donnees!$A:$Z, _xlpm.ligpartie+1, _xlfn.SEQUENCE(1, 4, 2)),
    INDEX(
      Donnees!$A:$Z,
      _xlpm.ligpartie + 3,
      MATCH(AC$1, _xlpm.joueurs, 0) + 1
    )
  ), ""
)</f>
        <v/>
      </c>
      <c r="AD475" t="str" cm="1">
        <f t="array" ref="AD475">IFERROR(
  _xlfn.LET(
    _xlpm.ligpartie, MATCH($B474, Donnees!$F:$F, 0),
    _xlpm.joueurs, INDEX(Donnees!$A:$Z, _xlpm.ligpartie+1, _xlfn.SEQUENCE(1, 4, 2)),
    INDEX(
      Donnees!$A:$Z,
      _xlpm.ligpartie + 3,
      MATCH(AD$1, _xlpm.joueurs, 0) + 1
    )
  ), ""
)</f>
        <v/>
      </c>
      <c r="AE475" t="str" cm="1">
        <f t="array" ref="AE475">IFERROR(
  _xlfn.LET(
    _xlpm.ligpartie, MATCH($B474, Donnees!$F:$F, 0),
    _xlpm.joueurs, INDEX(Donnees!$A:$Z, _xlpm.ligpartie+1, _xlfn.SEQUENCE(1, 4, 2)),
    INDEX(
      Donnees!$A:$Z,
      _xlpm.ligpartie + 3,
      MATCH(AE$1, _xlpm.joueurs, 0) + 1
    )
  ), ""
)</f>
        <v/>
      </c>
      <c r="AF475" t="str" cm="1">
        <f t="array" ref="AF475">IFERROR(
  _xlfn.LET(
    _xlpm.ligpartie, MATCH($B474, Donnees!$F:$F, 0),
    _xlpm.joueurs, INDEX(Donnees!$A:$Z, _xlpm.ligpartie+1, _xlfn.SEQUENCE(1, 4, 2)),
    INDEX(
      Donnees!$A:$Z,
      _xlpm.ligpartie + 3,
      MATCH(AF$1, _xlpm.joueurs, 0) + 1
    )
  ), ""
)</f>
        <v/>
      </c>
      <c r="AG475" t="str" cm="1">
        <f t="array" ref="AG475">IFERROR(
  _xlfn.LET(
    _xlpm.ligpartie, MATCH($B474, Donnees!$F:$F, 0),
    _xlpm.joueurs, INDEX(Donnees!$A:$Z, _xlpm.ligpartie+1, _xlfn.SEQUENCE(1, 4, 2)),
    INDEX(
      Donnees!$A:$Z,
      _xlpm.ligpartie + 3,
      MATCH(AG$1, _xlpm.joueurs, 0) + 1
    )
  ), ""
)</f>
        <v/>
      </c>
      <c r="AH475" t="str" cm="1">
        <f t="array" ref="AH475">IFERROR(
  _xlfn.LET(
    _xlpm.ligpartie, MATCH($B474, Donnees!$F:$F, 0),
    _xlpm.joueurs, INDEX(Donnees!$A:$Z, _xlpm.ligpartie+1, _xlfn.SEQUENCE(1, 4, 2)),
    INDEX(
      Donnees!$A:$Z,
      _xlpm.ligpartie + 3,
      MATCH(AH$1, _xlpm.joueurs, 0) + 1
    )
  ), ""
)</f>
        <v/>
      </c>
      <c r="AI475" t="str" cm="1">
        <f t="array" ref="AI475">IFERROR(
  _xlfn.LET(
    _xlpm.ligpartie, MATCH($B474, Donnees!$F:$F, 0),
    _xlpm.joueurs, INDEX(Donnees!$A:$Z, _xlpm.ligpartie+1, _xlfn.SEQUENCE(1, 4, 2)),
    INDEX(
      Donnees!$A:$Z,
      _xlpm.ligpartie + 3,
      MATCH(AI$1, _xlpm.joueurs, 0) + 1
    )
  ), ""
)</f>
        <v/>
      </c>
      <c r="AJ475" t="str" cm="1">
        <f t="array" ref="AJ475">IFERROR(
  _xlfn.LET(
    _xlpm.ligpartie, MATCH($B474, Donnees!$F:$F, 0),
    _xlpm.joueurs, INDEX(Donnees!$A:$Z, _xlpm.ligpartie+1, _xlfn.SEQUENCE(1, 4, 2)),
    INDEX(
      Donnees!$A:$Z,
      _xlpm.ligpartie + 3,
      MATCH(AJ$1, _xlpm.joueurs, 0) + 1
    )
  ), ""
)</f>
        <v/>
      </c>
      <c r="AK475" t="str" cm="1">
        <f t="array" ref="AK475">IFERROR(
  _xlfn.LET(
    _xlpm.ligpartie, MATCH($B474, Donnees!$F:$F, 0),
    _xlpm.joueurs, INDEX(Donnees!$A:$Z, _xlpm.ligpartie+1, _xlfn.SEQUENCE(1, 4, 2)),
    INDEX(
      Donnees!$A:$Z,
      _xlpm.ligpartie + 3,
      MATCH(AK$1, _xlpm.joueurs, 0) + 1
    )
  ), ""
)</f>
        <v/>
      </c>
      <c r="AL475" t="str" cm="1">
        <f t="array" ref="AL475">IFERROR(
  _xlfn.LET(
    _xlpm.ligpartie, MATCH($B474, Donnees!$F:$F, 0),
    _xlpm.joueurs, INDEX(Donnees!$A:$Z, _xlpm.ligpartie+1, _xlfn.SEQUENCE(1, 4, 2)),
    INDEX(
      Donnees!$A:$Z,
      _xlpm.ligpartie + 3,
      MATCH(AL$1, _xlpm.joueurs, 0) + 1
    )
  ), ""
)</f>
        <v/>
      </c>
      <c r="AM475" t="str" cm="1">
        <f t="array" ref="AM475">IFERROR(
  _xlfn.LET(
    _xlpm.ligpartie, MATCH($B474, Donnees!$F:$F, 0),
    _xlpm.joueurs, INDEX(Donnees!$A:$Z, _xlpm.ligpartie+1, _xlfn.SEQUENCE(1, 4, 2)),
    INDEX(
      Donnees!$A:$Z,
      _xlpm.ligpartie + 3,
      MATCH(AM$1, _xlpm.joueurs, 0) + 1
    )
  ), ""
)</f>
        <v/>
      </c>
    </row>
    <row r="476" spans="1:39" x14ac:dyDescent="0.25">
      <c r="A476" t="s">
        <v>20</v>
      </c>
      <c r="D476" t="str" cm="1">
        <f t="array" ref="D476">_xlfn.LET(
  _xlpm.colj, _xlfn._xlws.FILTER(IF(ISNUMBER(475:475), COLUMN(475:475)), ISNUMBER(475:475)),
  _xlpm.elos, INDEX(474:474,1,_xlpm.colj),
  _xlpm.diffscale, Constantes!$B$2,
  IF(D475="",
    "",
    SUM(1/(1+POWER(10,-(D474-_xlpm.elos)/_xlpm.diffscale)))-0.5)
)</f>
        <v/>
      </c>
      <c r="E476" cm="1">
        <f t="array" ref="E476">_xlfn.LET(
  _xlpm.colj, _xlfn._xlws.FILTER(IF(ISNUMBER(475:475), COLUMN(475:475)), ISNUMBER(475:475)),
  _xlpm.elos, INDEX(474:474,1,_xlpm.colj),
  _xlpm.diffscale, Constantes!$B$2,
  IF(E475="",
    "",
    SUM(1/(1+POWER(10,-(E474-_xlpm.elos)/_xlpm.diffscale)))-0.5)
)</f>
        <v>2.3578166019476678</v>
      </c>
      <c r="F476" t="str" cm="1">
        <f t="array" ref="F476">_xlfn.LET(
  _xlpm.colj, _xlfn._xlws.FILTER(IF(ISNUMBER(475:475), COLUMN(475:475)), ISNUMBER(475:475)),
  _xlpm.elos, INDEX(474:474,1,_xlpm.colj),
  _xlpm.diffscale, Constantes!$B$2,
  IF(F475="",
    "",
    SUM(1/(1+POWER(10,-(F474-_xlpm.elos)/_xlpm.diffscale)))-0.5)
)</f>
        <v/>
      </c>
      <c r="G476" t="str" cm="1">
        <f t="array" ref="G476">_xlfn.LET(
  _xlpm.colj, _xlfn._xlws.FILTER(IF(ISNUMBER(475:475), COLUMN(475:475)), ISNUMBER(475:475)),
  _xlpm.elos, INDEX(474:474,1,_xlpm.colj),
  _xlpm.diffscale, Constantes!$B$2,
  IF(G475="",
    "",
    SUM(1/(1+POWER(10,-(G474-_xlpm.elos)/_xlpm.diffscale)))-0.5)
)</f>
        <v/>
      </c>
      <c r="H476" t="str" cm="1">
        <f t="array" ref="H476">_xlfn.LET(
  _xlpm.colj, _xlfn._xlws.FILTER(IF(ISNUMBER(475:475), COLUMN(475:475)), ISNUMBER(475:475)),
  _xlpm.elos, INDEX(474:474,1,_xlpm.colj),
  _xlpm.diffscale, Constantes!$B$2,
  IF(H475="",
    "",
    SUM(1/(1+POWER(10,-(H474-_xlpm.elos)/_xlpm.diffscale)))-0.5)
)</f>
        <v/>
      </c>
      <c r="I476" cm="1">
        <f t="array" ref="I476">_xlfn.LET(
  _xlpm.colj, _xlfn._xlws.FILTER(IF(ISNUMBER(475:475), COLUMN(475:475)), ISNUMBER(475:475)),
  _xlpm.elos, INDEX(474:474,1,_xlpm.colj),
  _xlpm.diffscale, Constantes!$B$2,
  IF(I475="",
    "",
    SUM(1/(1+POWER(10,-(I474-_xlpm.elos)/_xlpm.diffscale)))-0.5)
)</f>
        <v>1.073913356621383</v>
      </c>
      <c r="J476" t="str" cm="1">
        <f t="array" ref="J476">_xlfn.LET(
  _xlpm.colj, _xlfn._xlws.FILTER(IF(ISNUMBER(475:475), COLUMN(475:475)), ISNUMBER(475:475)),
  _xlpm.elos, INDEX(474:474,1,_xlpm.colj),
  _xlpm.diffscale, Constantes!$B$2,
  IF(J475="",
    "",
    SUM(1/(1+POWER(10,-(J474-_xlpm.elos)/_xlpm.diffscale)))-0.5)
)</f>
        <v/>
      </c>
      <c r="K476" t="str" cm="1">
        <f t="array" ref="K476">_xlfn.LET(
  _xlpm.colj, _xlfn._xlws.FILTER(IF(ISNUMBER(475:475), COLUMN(475:475)), ISNUMBER(475:475)),
  _xlpm.elos, INDEX(474:474,1,_xlpm.colj),
  _xlpm.diffscale, Constantes!$B$2,
  IF(K475="",
    "",
    SUM(1/(1+POWER(10,-(K474-_xlpm.elos)/_xlpm.diffscale)))-0.5)
)</f>
        <v/>
      </c>
      <c r="L476" cm="1">
        <f t="array" ref="L476">_xlfn.LET(
  _xlpm.colj, _xlfn._xlws.FILTER(IF(ISNUMBER(475:475), COLUMN(475:475)), ISNUMBER(475:475)),
  _xlpm.elos, INDEX(474:474,1,_xlpm.colj),
  _xlpm.diffscale, Constantes!$B$2,
  IF(L475="",
    "",
    SUM(1/(1+POWER(10,-(L474-_xlpm.elos)/_xlpm.diffscale)))-0.5)
)</f>
        <v>0.48659962844361559</v>
      </c>
      <c r="M476" t="str" cm="1">
        <f t="array" ref="M476">_xlfn.LET(
  _xlpm.colj, _xlfn._xlws.FILTER(IF(ISNUMBER(475:475), COLUMN(475:475)), ISNUMBER(475:475)),
  _xlpm.elos, INDEX(474:474,1,_xlpm.colj),
  _xlpm.diffscale, Constantes!$B$2,
  IF(M475="",
    "",
    SUM(1/(1+POWER(10,-(M474-_xlpm.elos)/_xlpm.diffscale)))-0.5)
)</f>
        <v/>
      </c>
      <c r="N476" t="str" cm="1">
        <f t="array" ref="N476">_xlfn.LET(
  _xlpm.colj, _xlfn._xlws.FILTER(IF(ISNUMBER(475:475), COLUMN(475:475)), ISNUMBER(475:475)),
  _xlpm.elos, INDEX(474:474,1,_xlpm.colj),
  _xlpm.diffscale, Constantes!$B$2,
  IF(N475="",
    "",
    SUM(1/(1+POWER(10,-(N474-_xlpm.elos)/_xlpm.diffscale)))-0.5)
)</f>
        <v/>
      </c>
      <c r="O476" t="str" cm="1">
        <f t="array" ref="O476">_xlfn.LET(
  _xlpm.colj, _xlfn._xlws.FILTER(IF(ISNUMBER(475:475), COLUMN(475:475)), ISNUMBER(475:475)),
  _xlpm.elos, INDEX(474:474,1,_xlpm.colj),
  _xlpm.diffscale, Constantes!$B$2,
  IF(O475="",
    "",
    SUM(1/(1+POWER(10,-(O474-_xlpm.elos)/_xlpm.diffscale)))-0.5)
)</f>
        <v/>
      </c>
      <c r="P476" t="str" cm="1">
        <f t="array" ref="P476">_xlfn.LET(
  _xlpm.colj, _xlfn._xlws.FILTER(IF(ISNUMBER(475:475), COLUMN(475:475)), ISNUMBER(475:475)),
  _xlpm.elos, INDEX(474:474,1,_xlpm.colj),
  _xlpm.diffscale, Constantes!$B$2,
  IF(P475="",
    "",
    SUM(1/(1+POWER(10,-(P474-_xlpm.elos)/_xlpm.diffscale)))-0.5)
)</f>
        <v/>
      </c>
      <c r="Q476" t="str" cm="1">
        <f t="array" ref="Q476">_xlfn.LET(
  _xlpm.colj, _xlfn._xlws.FILTER(IF(ISNUMBER(475:475), COLUMN(475:475)), ISNUMBER(475:475)),
  _xlpm.elos, INDEX(474:474,1,_xlpm.colj),
  _xlpm.diffscale, Constantes!$B$2,
  IF(Q475="",
    "",
    SUM(1/(1+POWER(10,-(Q474-_xlpm.elos)/_xlpm.diffscale)))-0.5)
)</f>
        <v/>
      </c>
      <c r="R476" t="str" cm="1">
        <f t="array" ref="R476">_xlfn.LET(
  _xlpm.colj, _xlfn._xlws.FILTER(IF(ISNUMBER(475:475), COLUMN(475:475)), ISNUMBER(475:475)),
  _xlpm.elos, INDEX(474:474,1,_xlpm.colj),
  _xlpm.diffscale, Constantes!$B$2,
  IF(R475="",
    "",
    SUM(1/(1+POWER(10,-(R474-_xlpm.elos)/_xlpm.diffscale)))-0.5)
)</f>
        <v/>
      </c>
      <c r="S476" t="str" cm="1">
        <f t="array" ref="S476">_xlfn.LET(
  _xlpm.colj, _xlfn._xlws.FILTER(IF(ISNUMBER(475:475), COLUMN(475:475)), ISNUMBER(475:475)),
  _xlpm.elos, INDEX(474:474,1,_xlpm.colj),
  _xlpm.diffscale, Constantes!$B$2,
  IF(S475="",
    "",
    SUM(1/(1+POWER(10,-(S474-_xlpm.elos)/_xlpm.diffscale)))-0.5)
)</f>
        <v/>
      </c>
      <c r="T476" cm="1">
        <f t="array" ref="T476">_xlfn.LET(
  _xlpm.colj, _xlfn._xlws.FILTER(IF(ISNUMBER(475:475), COLUMN(475:475)), ISNUMBER(475:475)),
  _xlpm.elos, INDEX(474:474,1,_xlpm.colj),
  _xlpm.diffscale, Constantes!$B$2,
  IF(T475="",
    "",
    SUM(1/(1+POWER(10,-(T474-_xlpm.elos)/_xlpm.diffscale)))-0.5)
)</f>
        <v>2.0816704129873331</v>
      </c>
      <c r="U476" t="str" cm="1">
        <f t="array" ref="U476">_xlfn.LET(
  _xlpm.colj, _xlfn._xlws.FILTER(IF(ISNUMBER(475:475), COLUMN(475:475)), ISNUMBER(475:475)),
  _xlpm.elos, INDEX(474:474,1,_xlpm.colj),
  _xlpm.diffscale, Constantes!$B$2,
  IF(U475="",
    "",
    SUM(1/(1+POWER(10,-(U474-_xlpm.elos)/_xlpm.diffscale)))-0.5)
)</f>
        <v/>
      </c>
      <c r="V476" t="str" cm="1">
        <f t="array" ref="V476">_xlfn.LET(
  _xlpm.colj, _xlfn._xlws.FILTER(IF(ISNUMBER(475:475), COLUMN(475:475)), ISNUMBER(475:475)),
  _xlpm.elos, INDEX(474:474,1,_xlpm.colj),
  _xlpm.diffscale, Constantes!$B$2,
  IF(V475="",
    "",
    SUM(1/(1+POWER(10,-(V474-_xlpm.elos)/_xlpm.diffscale)))-0.5)
)</f>
        <v/>
      </c>
      <c r="W476" t="str" cm="1">
        <f t="array" ref="W476">_xlfn.LET(
  _xlpm.colj, _xlfn._xlws.FILTER(IF(ISNUMBER(475:475), COLUMN(475:475)), ISNUMBER(475:475)),
  _xlpm.elos, INDEX(474:474,1,_xlpm.colj),
  _xlpm.diffscale, Constantes!$B$2,
  IF(W475="",
    "",
    SUM(1/(1+POWER(10,-(W474-_xlpm.elos)/_xlpm.diffscale)))-0.5)
)</f>
        <v/>
      </c>
      <c r="X476" t="str" cm="1">
        <f t="array" ref="X476">_xlfn.LET(
  _xlpm.colj, _xlfn._xlws.FILTER(IF(ISNUMBER(475:475), COLUMN(475:475)), ISNUMBER(475:475)),
  _xlpm.elos, INDEX(474:474,1,_xlpm.colj),
  _xlpm.diffscale, Constantes!$B$2,
  IF(X475="",
    "",
    SUM(1/(1+POWER(10,-(X474-_xlpm.elos)/_xlpm.diffscale)))-0.5)
)</f>
        <v/>
      </c>
      <c r="Y476" t="str" cm="1">
        <f t="array" ref="Y476">_xlfn.LET(
  _xlpm.colj, _xlfn._xlws.FILTER(IF(ISNUMBER(475:475), COLUMN(475:475)), ISNUMBER(475:475)),
  _xlpm.elos, INDEX(474:474,1,_xlpm.colj),
  _xlpm.diffscale, Constantes!$B$2,
  IF(Y475="",
    "",
    SUM(1/(1+POWER(10,-(Y474-_xlpm.elos)/_xlpm.diffscale)))-0.5)
)</f>
        <v/>
      </c>
      <c r="Z476" t="str" cm="1">
        <f t="array" ref="Z476">_xlfn.LET(
  _xlpm.colj, _xlfn._xlws.FILTER(IF(ISNUMBER(475:475), COLUMN(475:475)), ISNUMBER(475:475)),
  _xlpm.elos, INDEX(474:474,1,_xlpm.colj),
  _xlpm.diffscale, Constantes!$B$2,
  IF(Z475="",
    "",
    SUM(1/(1+POWER(10,-(Z474-_xlpm.elos)/_xlpm.diffscale)))-0.5)
)</f>
        <v/>
      </c>
      <c r="AA476" t="str" cm="1">
        <f t="array" ref="AA476">_xlfn.LET(
  _xlpm.colj, _xlfn._xlws.FILTER(IF(ISNUMBER(475:475), COLUMN(475:475)), ISNUMBER(475:475)),
  _xlpm.elos, INDEX(474:474,1,_xlpm.colj),
  _xlpm.diffscale, Constantes!$B$2,
  IF(AA475="",
    "",
    SUM(1/(1+POWER(10,-(AA474-_xlpm.elos)/_xlpm.diffscale)))-0.5)
)</f>
        <v/>
      </c>
      <c r="AB476" t="str" cm="1">
        <f t="array" ref="AB476">_xlfn.LET(
  _xlpm.colj, _xlfn._xlws.FILTER(IF(ISNUMBER(475:475), COLUMN(475:475)), ISNUMBER(475:475)),
  _xlpm.elos, INDEX(474:474,1,_xlpm.colj),
  _xlpm.diffscale, Constantes!$B$2,
  IF(AB475="",
    "",
    SUM(1/(1+POWER(10,-(AB474-_xlpm.elos)/_xlpm.diffscale)))-0.5)
)</f>
        <v/>
      </c>
      <c r="AC476" t="str" cm="1">
        <f t="array" ref="AC476">_xlfn.LET(
  _xlpm.colj, _xlfn._xlws.FILTER(IF(ISNUMBER(475:475), COLUMN(475:475)), ISNUMBER(475:475)),
  _xlpm.elos, INDEX(474:474,1,_xlpm.colj),
  _xlpm.diffscale, Constantes!$B$2,
  IF(AC475="",
    "",
    SUM(1/(1+POWER(10,-(AC474-_xlpm.elos)/_xlpm.diffscale)))-0.5)
)</f>
        <v/>
      </c>
      <c r="AD476" t="str" cm="1">
        <f t="array" ref="AD476">_xlfn.LET(
  _xlpm.colj, _xlfn._xlws.FILTER(IF(ISNUMBER(475:475), COLUMN(475:475)), ISNUMBER(475:475)),
  _xlpm.elos, INDEX(474:474,1,_xlpm.colj),
  _xlpm.diffscale, Constantes!$B$2,
  IF(AD475="",
    "",
    SUM(1/(1+POWER(10,-(AD474-_xlpm.elos)/_xlpm.diffscale)))-0.5)
)</f>
        <v/>
      </c>
      <c r="AE476" t="str" cm="1">
        <f t="array" ref="AE476">_xlfn.LET(
  _xlpm.colj, _xlfn._xlws.FILTER(IF(ISNUMBER(475:475), COLUMN(475:475)), ISNUMBER(475:475)),
  _xlpm.elos, INDEX(474:474,1,_xlpm.colj),
  _xlpm.diffscale, Constantes!$B$2,
  IF(AE475="",
    "",
    SUM(1/(1+POWER(10,-(AE474-_xlpm.elos)/_xlpm.diffscale)))-0.5)
)</f>
        <v/>
      </c>
      <c r="AF476" t="str" cm="1">
        <f t="array" ref="AF476">_xlfn.LET(
  _xlpm.colj, _xlfn._xlws.FILTER(IF(ISNUMBER(475:475), COLUMN(475:475)), ISNUMBER(475:475)),
  _xlpm.elos, INDEX(474:474,1,_xlpm.colj),
  _xlpm.diffscale, Constantes!$B$2,
  IF(AF475="",
    "",
    SUM(1/(1+POWER(10,-(AF474-_xlpm.elos)/_xlpm.diffscale)))-0.5)
)</f>
        <v/>
      </c>
      <c r="AG476" t="str" cm="1">
        <f t="array" ref="AG476">_xlfn.LET(
  _xlpm.colj, _xlfn._xlws.FILTER(IF(ISNUMBER(475:475), COLUMN(475:475)), ISNUMBER(475:475)),
  _xlpm.elos, INDEX(474:474,1,_xlpm.colj),
  _xlpm.diffscale, Constantes!$B$2,
  IF(AG475="",
    "",
    SUM(1/(1+POWER(10,-(AG474-_xlpm.elos)/_xlpm.diffscale)))-0.5)
)</f>
        <v/>
      </c>
      <c r="AH476" t="str" cm="1">
        <f t="array" ref="AH476">_xlfn.LET(
  _xlpm.colj, _xlfn._xlws.FILTER(IF(ISNUMBER(475:475), COLUMN(475:475)), ISNUMBER(475:475)),
  _xlpm.elos, INDEX(474:474,1,_xlpm.colj),
  _xlpm.diffscale, Constantes!$B$2,
  IF(AH475="",
    "",
    SUM(1/(1+POWER(10,-(AH474-_xlpm.elos)/_xlpm.diffscale)))-0.5)
)</f>
        <v/>
      </c>
      <c r="AI476" t="str" cm="1">
        <f t="array" ref="AI476">_xlfn.LET(
  _xlpm.colj, _xlfn._xlws.FILTER(IF(ISNUMBER(475:475), COLUMN(475:475)), ISNUMBER(475:475)),
  _xlpm.elos, INDEX(474:474,1,_xlpm.colj),
  _xlpm.diffscale, Constantes!$B$2,
  IF(AI475="",
    "",
    SUM(1/(1+POWER(10,-(AI474-_xlpm.elos)/_xlpm.diffscale)))-0.5)
)</f>
        <v/>
      </c>
      <c r="AJ476" t="str" cm="1">
        <f t="array" ref="AJ476">_xlfn.LET(
  _xlpm.colj, _xlfn._xlws.FILTER(IF(ISNUMBER(475:475), COLUMN(475:475)), ISNUMBER(475:475)),
  _xlpm.elos, INDEX(474:474,1,_xlpm.colj),
  _xlpm.diffscale, Constantes!$B$2,
  IF(AJ475="",
    "",
    SUM(1/(1+POWER(10,-(AJ474-_xlpm.elos)/_xlpm.diffscale)))-0.5)
)</f>
        <v/>
      </c>
      <c r="AK476" t="str" cm="1">
        <f t="array" ref="AK476">_xlfn.LET(
  _xlpm.colj, _xlfn._xlws.FILTER(IF(ISNUMBER(475:475), COLUMN(475:475)), ISNUMBER(475:475)),
  _xlpm.elos, INDEX(474:474,1,_xlpm.colj),
  _xlpm.diffscale, Constantes!$B$2,
  IF(AK475="",
    "",
    SUM(1/(1+POWER(10,-(AK474-_xlpm.elos)/_xlpm.diffscale)))-0.5)
)</f>
        <v/>
      </c>
      <c r="AL476" t="str" cm="1">
        <f t="array" ref="AL476">_xlfn.LET(
  _xlpm.colj, _xlfn._xlws.FILTER(IF(ISNUMBER(475:475), COLUMN(475:475)), ISNUMBER(475:475)),
  _xlpm.elos, INDEX(474:474,1,_xlpm.colj),
  _xlpm.diffscale, Constantes!$B$2,
  IF(AL475="",
    "",
    SUM(1/(1+POWER(10,-(AL474-_xlpm.elos)/_xlpm.diffscale)))-0.5)
)</f>
        <v/>
      </c>
      <c r="AM476" t="str" cm="1">
        <f t="array" ref="AM476">_xlfn.LET(
  _xlpm.colj, _xlfn._xlws.FILTER(IF(ISNUMBER(475:475), COLUMN(475:475)), ISNUMBER(475:475)),
  _xlpm.elos, INDEX(474:474,1,_xlpm.colj),
  _xlpm.diffscale, Constantes!$B$2,
  IF(AM475="",
    "",
    SUM(1/(1+POWER(10,-(AM474-_xlpm.elos)/_xlpm.diffscale)))-0.5)
)</f>
        <v/>
      </c>
    </row>
    <row r="477" spans="1:39" x14ac:dyDescent="0.25">
      <c r="A477" t="s">
        <v>22</v>
      </c>
      <c r="D477" t="str" cm="1">
        <f t="array" ref="D477">_xlfn.LET(
  _xlpm.K, Constantes!$B$3,
  _xlpm.Knewgain, Constantes!$B$4,
  _xlpm.Knewscale, Constantes!$B$5,
  _xlpm.ptstables, INDEX(D:D, _xlfn.SEQUENCE(COUNTA($C$2:$C477), 1, 3, 4)),
  _xlpm.nbparties, COUNTA(_xlfn._xlws.FILTER(_xlpm.ptstables, _xlpm.ptstables &lt;&gt; "")),
  _xlpm.coef, _xlpm.K + _xlpm.Knewgain / (_xlpm.Knewscale + _xlpm.nbparties),
  IF(D475="",
    "",
    _xlpm.coef * (D475-D476))
)</f>
        <v/>
      </c>
      <c r="E477" cm="1">
        <f t="array" ref="E477">_xlfn.LET(
  _xlpm.K, Constantes!$B$3,
  _xlpm.Knewgain, Constantes!$B$4,
  _xlpm.Knewscale, Constantes!$B$5,
  _xlpm.ptstables, INDEX(E:E, _xlfn.SEQUENCE(COUNTA($C$2:$C477), 1, 3, 4)),
  _xlpm.nbparties, COUNTA(_xlfn._xlws.FILTER(_xlpm.ptstables, _xlpm.ptstables &lt;&gt; "")),
  _xlpm.coef, _xlpm.K + _xlpm.Knewgain / (_xlpm.Knewscale + _xlpm.nbparties),
  IF(E475="",
    "",
    _xlpm.coef * (E475-E476))
)</f>
        <v>14.078636034224205</v>
      </c>
      <c r="F477" t="str" cm="1">
        <f t="array" ref="F477">_xlfn.LET(
  _xlpm.K, Constantes!$B$3,
  _xlpm.Knewgain, Constantes!$B$4,
  _xlpm.Knewscale, Constantes!$B$5,
  _xlpm.ptstables, INDEX(F:F, _xlfn.SEQUENCE(COUNTA($C$2:$C477), 1, 3, 4)),
  _xlpm.nbparties, COUNTA(_xlfn._xlws.FILTER(_xlpm.ptstables, _xlpm.ptstables &lt;&gt; "")),
  _xlpm.coef, _xlpm.K + _xlpm.Knewgain / (_xlpm.Knewscale + _xlpm.nbparties),
  IF(F475="",
    "",
    _xlpm.coef * (F475-F476))
)</f>
        <v/>
      </c>
      <c r="G477" t="str" cm="1">
        <f t="array" ref="G477">_xlfn.LET(
  _xlpm.K, Constantes!$B$3,
  _xlpm.Knewgain, Constantes!$B$4,
  _xlpm.Knewscale, Constantes!$B$5,
  _xlpm.ptstables, INDEX(G:G, _xlfn.SEQUENCE(COUNTA($C$2:$C477), 1, 3, 4)),
  _xlpm.nbparties, COUNTA(_xlfn._xlws.FILTER(_xlpm.ptstables, _xlpm.ptstables &lt;&gt; "")),
  _xlpm.coef, _xlpm.K + _xlpm.Knewgain / (_xlpm.Knewscale + _xlpm.nbparties),
  IF(G475="",
    "",
    _xlpm.coef * (G475-G476))
)</f>
        <v/>
      </c>
      <c r="H477" t="str" cm="1">
        <f t="array" ref="H477">_xlfn.LET(
  _xlpm.K, Constantes!$B$3,
  _xlpm.Knewgain, Constantes!$B$4,
  _xlpm.Knewscale, Constantes!$B$5,
  _xlpm.ptstables, INDEX(H:H, _xlfn.SEQUENCE(COUNTA($C$2:$C477), 1, 3, 4)),
  _xlpm.nbparties, COUNTA(_xlfn._xlws.FILTER(_xlpm.ptstables, _xlpm.ptstables &lt;&gt; "")),
  _xlpm.coef, _xlpm.K + _xlpm.Knewgain / (_xlpm.Knewscale + _xlpm.nbparties),
  IF(H475="",
    "",
    _xlpm.coef * (H475-H476))
)</f>
        <v/>
      </c>
      <c r="I477" cm="1">
        <f t="array" ref="I477">_xlfn.LET(
  _xlpm.K, Constantes!$B$3,
  _xlpm.Knewgain, Constantes!$B$4,
  _xlpm.Knewscale, Constantes!$B$5,
  _xlpm.ptstables, INDEX(I:I, _xlfn.SEQUENCE(COUNTA($C$2:$C477), 1, 3, 4)),
  _xlpm.nbparties, COUNTA(_xlfn._xlws.FILTER(_xlpm.ptstables, _xlpm.ptstables &lt;&gt; "")),
  _xlpm.coef, _xlpm.K + _xlpm.Knewgain / (_xlpm.Knewscale + _xlpm.nbparties),
  IF(I475="",
    "",
    _xlpm.coef * (I475-I476))
)</f>
        <v>-24.461359789709281</v>
      </c>
      <c r="J477" t="str" cm="1">
        <f t="array" ref="J477">_xlfn.LET(
  _xlpm.K, Constantes!$B$3,
  _xlpm.Knewgain, Constantes!$B$4,
  _xlpm.Knewscale, Constantes!$B$5,
  _xlpm.ptstables, INDEX(J:J, _xlfn.SEQUENCE(COUNTA($C$2:$C477), 1, 3, 4)),
  _xlpm.nbparties, COUNTA(_xlfn._xlws.FILTER(_xlpm.ptstables, _xlpm.ptstables &lt;&gt; "")),
  _xlpm.coef, _xlpm.K + _xlpm.Knewgain / (_xlpm.Knewscale + _xlpm.nbparties),
  IF(J475="",
    "",
    _xlpm.coef * (J475-J476))
)</f>
        <v/>
      </c>
      <c r="K477" t="str" cm="1">
        <f t="array" ref="K477">_xlfn.LET(
  _xlpm.K, Constantes!$B$3,
  _xlpm.Knewgain, Constantes!$B$4,
  _xlpm.Knewscale, Constantes!$B$5,
  _xlpm.ptstables, INDEX(K:K, _xlfn.SEQUENCE(COUNTA($C$2:$C477), 1, 3, 4)),
  _xlpm.nbparties, COUNTA(_xlfn._xlws.FILTER(_xlpm.ptstables, _xlpm.ptstables &lt;&gt; "")),
  _xlpm.coef, _xlpm.K + _xlpm.Knewgain / (_xlpm.Knewscale + _xlpm.nbparties),
  IF(K475="",
    "",
    _xlpm.coef * (K475-K476))
)</f>
        <v/>
      </c>
      <c r="L477" cm="1">
        <f t="array" ref="L477">_xlfn.LET(
  _xlpm.K, Constantes!$B$3,
  _xlpm.Knewgain, Constantes!$B$4,
  _xlpm.Knewscale, Constantes!$B$5,
  _xlpm.ptstables, INDEX(L:L, _xlfn.SEQUENCE(COUNTA($C$2:$C477), 1, 3, 4)),
  _xlpm.nbparties, COUNTA(_xlfn._xlws.FILTER(_xlpm.ptstables, _xlpm.ptstables &lt;&gt; "")),
  _xlpm.coef, _xlpm.K + _xlpm.Knewgain / (_xlpm.Knewscale + _xlpm.nbparties),
  IF(L475="",
    "",
    _xlpm.coef * (L475-L476))
)</f>
        <v>12.407175645945957</v>
      </c>
      <c r="M477" t="str" cm="1">
        <f t="array" ref="M477">_xlfn.LET(
  _xlpm.K, Constantes!$B$3,
  _xlpm.Knewgain, Constantes!$B$4,
  _xlpm.Knewscale, Constantes!$B$5,
  _xlpm.ptstables, INDEX(M:M, _xlfn.SEQUENCE(COUNTA($C$2:$C477), 1, 3, 4)),
  _xlpm.nbparties, COUNTA(_xlfn._xlws.FILTER(_xlpm.ptstables, _xlpm.ptstables &lt;&gt; "")),
  _xlpm.coef, _xlpm.K + _xlpm.Knewgain / (_xlpm.Knewscale + _xlpm.nbparties),
  IF(M475="",
    "",
    _xlpm.coef * (M475-M476))
)</f>
        <v/>
      </c>
      <c r="N477" t="str" cm="1">
        <f t="array" ref="N477">_xlfn.LET(
  _xlpm.K, Constantes!$B$3,
  _xlpm.Knewgain, Constantes!$B$4,
  _xlpm.Knewscale, Constantes!$B$5,
  _xlpm.ptstables, INDEX(N:N, _xlfn.SEQUENCE(COUNTA($C$2:$C477), 1, 3, 4)),
  _xlpm.nbparties, COUNTA(_xlfn._xlws.FILTER(_xlpm.ptstables, _xlpm.ptstables &lt;&gt; "")),
  _xlpm.coef, _xlpm.K + _xlpm.Knewgain / (_xlpm.Knewscale + _xlpm.nbparties),
  IF(N475="",
    "",
    _xlpm.coef * (N475-N476))
)</f>
        <v/>
      </c>
      <c r="O477" t="str" cm="1">
        <f t="array" ref="O477">_xlfn.LET(
  _xlpm.K, Constantes!$B$3,
  _xlpm.Knewgain, Constantes!$B$4,
  _xlpm.Knewscale, Constantes!$B$5,
  _xlpm.ptstables, INDEX(O:O, _xlfn.SEQUENCE(COUNTA($C$2:$C477), 1, 3, 4)),
  _xlpm.nbparties, COUNTA(_xlfn._xlws.FILTER(_xlpm.ptstables, _xlpm.ptstables &lt;&gt; "")),
  _xlpm.coef, _xlpm.K + _xlpm.Knewgain / (_xlpm.Knewscale + _xlpm.nbparties),
  IF(O475="",
    "",
    _xlpm.coef * (O475-O476))
)</f>
        <v/>
      </c>
      <c r="P477" t="str" cm="1">
        <f t="array" ref="P477">_xlfn.LET(
  _xlpm.K, Constantes!$B$3,
  _xlpm.Knewgain, Constantes!$B$4,
  _xlpm.Knewscale, Constantes!$B$5,
  _xlpm.ptstables, INDEX(P:P, _xlfn.SEQUENCE(COUNTA($C$2:$C477), 1, 3, 4)),
  _xlpm.nbparties, COUNTA(_xlfn._xlws.FILTER(_xlpm.ptstables, _xlpm.ptstables &lt;&gt; "")),
  _xlpm.coef, _xlpm.K + _xlpm.Knewgain / (_xlpm.Knewscale + _xlpm.nbparties),
  IF(P475="",
    "",
    _xlpm.coef * (P475-P476))
)</f>
        <v/>
      </c>
      <c r="Q477" t="str" cm="1">
        <f t="array" ref="Q477">_xlfn.LET(
  _xlpm.K, Constantes!$B$3,
  _xlpm.Knewgain, Constantes!$B$4,
  _xlpm.Knewscale, Constantes!$B$5,
  _xlpm.ptstables, INDEX(Q:Q, _xlfn.SEQUENCE(COUNTA($C$2:$C477), 1, 3, 4)),
  _xlpm.nbparties, COUNTA(_xlfn._xlws.FILTER(_xlpm.ptstables, _xlpm.ptstables &lt;&gt; "")),
  _xlpm.coef, _xlpm.K + _xlpm.Knewgain / (_xlpm.Knewscale + _xlpm.nbparties),
  IF(Q475="",
    "",
    _xlpm.coef * (Q475-Q476))
)</f>
        <v/>
      </c>
      <c r="R477" t="str" cm="1">
        <f t="array" ref="R477">_xlfn.LET(
  _xlpm.K, Constantes!$B$3,
  _xlpm.Knewgain, Constantes!$B$4,
  _xlpm.Knewscale, Constantes!$B$5,
  _xlpm.ptstables, INDEX(R:R, _xlfn.SEQUENCE(COUNTA($C$2:$C477), 1, 3, 4)),
  _xlpm.nbparties, COUNTA(_xlfn._xlws.FILTER(_xlpm.ptstables, _xlpm.ptstables &lt;&gt; "")),
  _xlpm.coef, _xlpm.K + _xlpm.Knewgain / (_xlpm.Knewscale + _xlpm.nbparties),
  IF(R475="",
    "",
    _xlpm.coef * (R475-R476))
)</f>
        <v/>
      </c>
      <c r="S477" t="str" cm="1">
        <f t="array" ref="S477">_xlfn.LET(
  _xlpm.K, Constantes!$B$3,
  _xlpm.Knewgain, Constantes!$B$4,
  _xlpm.Knewscale, Constantes!$B$5,
  _xlpm.ptstables, INDEX(S:S, _xlfn.SEQUENCE(COUNTA($C$2:$C477), 1, 3, 4)),
  _xlpm.nbparties, COUNTA(_xlfn._xlws.FILTER(_xlpm.ptstables, _xlpm.ptstables &lt;&gt; "")),
  _xlpm.coef, _xlpm.K + _xlpm.Knewgain / (_xlpm.Knewscale + _xlpm.nbparties),
  IF(S475="",
    "",
    _xlpm.coef * (S475-S476))
)</f>
        <v/>
      </c>
      <c r="T477" cm="1">
        <f t="array" ref="T477">_xlfn.LET(
  _xlpm.K, Constantes!$B$3,
  _xlpm.Knewgain, Constantes!$B$4,
  _xlpm.Knewscale, Constantes!$B$5,
  _xlpm.ptstables, INDEX(T:T, _xlfn.SEQUENCE(COUNTA($C$2:$C477), 1, 3, 4)),
  _xlpm.nbparties, COUNTA(_xlfn._xlws.FILTER(_xlpm.ptstables, _xlpm.ptstables &lt;&gt; "")),
  _xlpm.coef, _xlpm.K + _xlpm.Knewgain / (_xlpm.Knewscale + _xlpm.nbparties),
  IF(T475="",
    "",
    _xlpm.coef * (T475-T476))
)</f>
        <v>-2.004637409689086</v>
      </c>
      <c r="U477" t="str" cm="1">
        <f t="array" ref="U477">_xlfn.LET(
  _xlpm.K, Constantes!$B$3,
  _xlpm.Knewgain, Constantes!$B$4,
  _xlpm.Knewscale, Constantes!$B$5,
  _xlpm.ptstables, INDEX(U:U, _xlfn.SEQUENCE(COUNTA($C$2:$C477), 1, 3, 4)),
  _xlpm.nbparties, COUNTA(_xlfn._xlws.FILTER(_xlpm.ptstables, _xlpm.ptstables &lt;&gt; "")),
  _xlpm.coef, _xlpm.K + _xlpm.Knewgain / (_xlpm.Knewscale + _xlpm.nbparties),
  IF(U475="",
    "",
    _xlpm.coef * (U475-U476))
)</f>
        <v/>
      </c>
      <c r="V477" t="str" cm="1">
        <f t="array" ref="V477">_xlfn.LET(
  _xlpm.K, Constantes!$B$3,
  _xlpm.Knewgain, Constantes!$B$4,
  _xlpm.Knewscale, Constantes!$B$5,
  _xlpm.ptstables, INDEX(V:V, _xlfn.SEQUENCE(COUNTA($C$2:$C477), 1, 3, 4)),
  _xlpm.nbparties, COUNTA(_xlfn._xlws.FILTER(_xlpm.ptstables, _xlpm.ptstables &lt;&gt; "")),
  _xlpm.coef, _xlpm.K + _xlpm.Knewgain / (_xlpm.Knewscale + _xlpm.nbparties),
  IF(V475="",
    "",
    _xlpm.coef * (V475-V476))
)</f>
        <v/>
      </c>
      <c r="W477" t="str" cm="1">
        <f t="array" ref="W477">_xlfn.LET(
  _xlpm.K, Constantes!$B$3,
  _xlpm.Knewgain, Constantes!$B$4,
  _xlpm.Knewscale, Constantes!$B$5,
  _xlpm.ptstables, INDEX(W:W, _xlfn.SEQUENCE(COUNTA($C$2:$C477), 1, 3, 4)),
  _xlpm.nbparties, COUNTA(_xlfn._xlws.FILTER(_xlpm.ptstables, _xlpm.ptstables &lt;&gt; "")),
  _xlpm.coef, _xlpm.K + _xlpm.Knewgain / (_xlpm.Knewscale + _xlpm.nbparties),
  IF(W475="",
    "",
    _xlpm.coef * (W475-W476))
)</f>
        <v/>
      </c>
      <c r="X477" t="str" cm="1">
        <f t="array" ref="X477">_xlfn.LET(
  _xlpm.K, Constantes!$B$3,
  _xlpm.Knewgain, Constantes!$B$4,
  _xlpm.Knewscale, Constantes!$B$5,
  _xlpm.ptstables, INDEX(X:X, _xlfn.SEQUENCE(COUNTA($C$2:$C477), 1, 3, 4)),
  _xlpm.nbparties, COUNTA(_xlfn._xlws.FILTER(_xlpm.ptstables, _xlpm.ptstables &lt;&gt; "")),
  _xlpm.coef, _xlpm.K + _xlpm.Knewgain / (_xlpm.Knewscale + _xlpm.nbparties),
  IF(X475="",
    "",
    _xlpm.coef * (X475-X476))
)</f>
        <v/>
      </c>
      <c r="Y477" t="str" cm="1">
        <f t="array" ref="Y477">_xlfn.LET(
  _xlpm.K, Constantes!$B$3,
  _xlpm.Knewgain, Constantes!$B$4,
  _xlpm.Knewscale, Constantes!$B$5,
  _xlpm.ptstables, INDEX(Y:Y, _xlfn.SEQUENCE(COUNTA($C$2:$C477), 1, 3, 4)),
  _xlpm.nbparties, COUNTA(_xlfn._xlws.FILTER(_xlpm.ptstables, _xlpm.ptstables &lt;&gt; "")),
  _xlpm.coef, _xlpm.K + _xlpm.Knewgain / (_xlpm.Knewscale + _xlpm.nbparties),
  IF(Y475="",
    "",
    _xlpm.coef * (Y475-Y476))
)</f>
        <v/>
      </c>
      <c r="Z477" t="str" cm="1">
        <f t="array" ref="Z477">_xlfn.LET(
  _xlpm.K, Constantes!$B$3,
  _xlpm.Knewgain, Constantes!$B$4,
  _xlpm.Knewscale, Constantes!$B$5,
  _xlpm.ptstables, INDEX(Z:Z, _xlfn.SEQUENCE(COUNTA($C$2:$C477), 1, 3, 4)),
  _xlpm.nbparties, COUNTA(_xlfn._xlws.FILTER(_xlpm.ptstables, _xlpm.ptstables &lt;&gt; "")),
  _xlpm.coef, _xlpm.K + _xlpm.Knewgain / (_xlpm.Knewscale + _xlpm.nbparties),
  IF(Z475="",
    "",
    _xlpm.coef * (Z475-Z476))
)</f>
        <v/>
      </c>
      <c r="AA477" t="str" cm="1">
        <f t="array" ref="AA477">_xlfn.LET(
  _xlpm.K, Constantes!$B$3,
  _xlpm.Knewgain, Constantes!$B$4,
  _xlpm.Knewscale, Constantes!$B$5,
  _xlpm.ptstables, INDEX(AA:AA, _xlfn.SEQUENCE(COUNTA($C$2:$C477), 1, 3, 4)),
  _xlpm.nbparties, COUNTA(_xlfn._xlws.FILTER(_xlpm.ptstables, _xlpm.ptstables &lt;&gt; "")),
  _xlpm.coef, _xlpm.K + _xlpm.Knewgain / (_xlpm.Knewscale + _xlpm.nbparties),
  IF(AA475="",
    "",
    _xlpm.coef * (AA475-AA476))
)</f>
        <v/>
      </c>
      <c r="AB477" t="str" cm="1">
        <f t="array" ref="AB477">_xlfn.LET(
  _xlpm.K, Constantes!$B$3,
  _xlpm.Knewgain, Constantes!$B$4,
  _xlpm.Knewscale, Constantes!$B$5,
  _xlpm.ptstables, INDEX(AB:AB, _xlfn.SEQUENCE(COUNTA($C$2:$C477), 1, 3, 4)),
  _xlpm.nbparties, COUNTA(_xlfn._xlws.FILTER(_xlpm.ptstables, _xlpm.ptstables &lt;&gt; "")),
  _xlpm.coef, _xlpm.K + _xlpm.Knewgain / (_xlpm.Knewscale + _xlpm.nbparties),
  IF(AB475="",
    "",
    _xlpm.coef * (AB475-AB476))
)</f>
        <v/>
      </c>
      <c r="AC477" t="str" cm="1">
        <f t="array" ref="AC477">_xlfn.LET(
  _xlpm.K, Constantes!$B$3,
  _xlpm.Knewgain, Constantes!$B$4,
  _xlpm.Knewscale, Constantes!$B$5,
  _xlpm.ptstables, INDEX(AC:AC, _xlfn.SEQUENCE(COUNTA($C$2:$C477), 1, 3, 4)),
  _xlpm.nbparties, COUNTA(_xlfn._xlws.FILTER(_xlpm.ptstables, _xlpm.ptstables &lt;&gt; "")),
  _xlpm.coef, _xlpm.K + _xlpm.Knewgain / (_xlpm.Knewscale + _xlpm.nbparties),
  IF(AC475="",
    "",
    _xlpm.coef * (AC475-AC476))
)</f>
        <v/>
      </c>
      <c r="AD477" t="str" cm="1">
        <f t="array" ref="AD477">_xlfn.LET(
  _xlpm.K, Constantes!$B$3,
  _xlpm.Knewgain, Constantes!$B$4,
  _xlpm.Knewscale, Constantes!$B$5,
  _xlpm.ptstables, INDEX(AD:AD, _xlfn.SEQUENCE(COUNTA($C$2:$C477), 1, 3, 4)),
  _xlpm.nbparties, COUNTA(_xlfn._xlws.FILTER(_xlpm.ptstables, _xlpm.ptstables &lt;&gt; "")),
  _xlpm.coef, _xlpm.K + _xlpm.Knewgain / (_xlpm.Knewscale + _xlpm.nbparties),
  IF(AD475="",
    "",
    _xlpm.coef * (AD475-AD476))
)</f>
        <v/>
      </c>
      <c r="AE477" t="str" cm="1">
        <f t="array" ref="AE477">_xlfn.LET(
  _xlpm.K, Constantes!$B$3,
  _xlpm.Knewgain, Constantes!$B$4,
  _xlpm.Knewscale, Constantes!$B$5,
  _xlpm.ptstables, INDEX(AE:AE, _xlfn.SEQUENCE(COUNTA($C$2:$C477), 1, 3, 4)),
  _xlpm.nbparties, COUNTA(_xlfn._xlws.FILTER(_xlpm.ptstables, _xlpm.ptstables &lt;&gt; "")),
  _xlpm.coef, _xlpm.K + _xlpm.Knewgain / (_xlpm.Knewscale + _xlpm.nbparties),
  IF(AE475="",
    "",
    _xlpm.coef * (AE475-AE476))
)</f>
        <v/>
      </c>
      <c r="AF477" t="str" cm="1">
        <f t="array" ref="AF477">_xlfn.LET(
  _xlpm.K, Constantes!$B$3,
  _xlpm.Knewgain, Constantes!$B$4,
  _xlpm.Knewscale, Constantes!$B$5,
  _xlpm.ptstables, INDEX(AF:AF, _xlfn.SEQUENCE(COUNTA($C$2:$C477), 1, 3, 4)),
  _xlpm.nbparties, COUNTA(_xlfn._xlws.FILTER(_xlpm.ptstables, _xlpm.ptstables &lt;&gt; "")),
  _xlpm.coef, _xlpm.K + _xlpm.Knewgain / (_xlpm.Knewscale + _xlpm.nbparties),
  IF(AF475="",
    "",
    _xlpm.coef * (AF475-AF476))
)</f>
        <v/>
      </c>
      <c r="AG477" t="str" cm="1">
        <f t="array" ref="AG477">_xlfn.LET(
  _xlpm.K, Constantes!$B$3,
  _xlpm.Knewgain, Constantes!$B$4,
  _xlpm.Knewscale, Constantes!$B$5,
  _xlpm.ptstables, INDEX(AG:AG, _xlfn.SEQUENCE(COUNTA($C$2:$C477), 1, 3, 4)),
  _xlpm.nbparties, COUNTA(_xlfn._xlws.FILTER(_xlpm.ptstables, _xlpm.ptstables &lt;&gt; "")),
  _xlpm.coef, _xlpm.K + _xlpm.Knewgain / (_xlpm.Knewscale + _xlpm.nbparties),
  IF(AG475="",
    "",
    _xlpm.coef * (AG475-AG476))
)</f>
        <v/>
      </c>
      <c r="AH477" t="str" cm="1">
        <f t="array" ref="AH477">_xlfn.LET(
  _xlpm.K, Constantes!$B$3,
  _xlpm.Knewgain, Constantes!$B$4,
  _xlpm.Knewscale, Constantes!$B$5,
  _xlpm.ptstables, INDEX(AH:AH, _xlfn.SEQUENCE(COUNTA($C$2:$C477), 1, 3, 4)),
  _xlpm.nbparties, COUNTA(_xlfn._xlws.FILTER(_xlpm.ptstables, _xlpm.ptstables &lt;&gt; "")),
  _xlpm.coef, _xlpm.K + _xlpm.Knewgain / (_xlpm.Knewscale + _xlpm.nbparties),
  IF(AH475="",
    "",
    _xlpm.coef * (AH475-AH476))
)</f>
        <v/>
      </c>
      <c r="AI477" t="str" cm="1">
        <f t="array" ref="AI477">_xlfn.LET(
  _xlpm.K, Constantes!$B$3,
  _xlpm.Knewgain, Constantes!$B$4,
  _xlpm.Knewscale, Constantes!$B$5,
  _xlpm.ptstables, INDEX(AI:AI, _xlfn.SEQUENCE(COUNTA($C$2:$C477), 1, 3, 4)),
  _xlpm.nbparties, COUNTA(_xlfn._xlws.FILTER(_xlpm.ptstables, _xlpm.ptstables &lt;&gt; "")),
  _xlpm.coef, _xlpm.K + _xlpm.Knewgain / (_xlpm.Knewscale + _xlpm.nbparties),
  IF(AI475="",
    "",
    _xlpm.coef * (AI475-AI476))
)</f>
        <v/>
      </c>
      <c r="AJ477" t="str" cm="1">
        <f t="array" ref="AJ477">_xlfn.LET(
  _xlpm.K, Constantes!$B$3,
  _xlpm.Knewgain, Constantes!$B$4,
  _xlpm.Knewscale, Constantes!$B$5,
  _xlpm.ptstables, INDEX(AJ:AJ, _xlfn.SEQUENCE(COUNTA($C$2:$C477), 1, 3, 4)),
  _xlpm.nbparties, COUNTA(_xlfn._xlws.FILTER(_xlpm.ptstables, _xlpm.ptstables &lt;&gt; "")),
  _xlpm.coef, _xlpm.K + _xlpm.Knewgain / (_xlpm.Knewscale + _xlpm.nbparties),
  IF(AJ475="",
    "",
    _xlpm.coef * (AJ475-AJ476))
)</f>
        <v/>
      </c>
      <c r="AK477" t="str" cm="1">
        <f t="array" ref="AK477">_xlfn.LET(
  _xlpm.K, Constantes!$B$3,
  _xlpm.Knewgain, Constantes!$B$4,
  _xlpm.Knewscale, Constantes!$B$5,
  _xlpm.ptstables, INDEX(AK:AK, _xlfn.SEQUENCE(COUNTA($C$2:$C477), 1, 3, 4)),
  _xlpm.nbparties, COUNTA(_xlfn._xlws.FILTER(_xlpm.ptstables, _xlpm.ptstables &lt;&gt; "")),
  _xlpm.coef, _xlpm.K + _xlpm.Knewgain / (_xlpm.Knewscale + _xlpm.nbparties),
  IF(AK475="",
    "",
    _xlpm.coef * (AK475-AK476))
)</f>
        <v/>
      </c>
      <c r="AL477" t="str" cm="1">
        <f t="array" ref="AL477">_xlfn.LET(
  _xlpm.K, Constantes!$B$3,
  _xlpm.Knewgain, Constantes!$B$4,
  _xlpm.Knewscale, Constantes!$B$5,
  _xlpm.ptstables, INDEX(AL:AL, _xlfn.SEQUENCE(COUNTA($C$2:$C477), 1, 3, 4)),
  _xlpm.nbparties, COUNTA(_xlfn._xlws.FILTER(_xlpm.ptstables, _xlpm.ptstables &lt;&gt; "")),
  _xlpm.coef, _xlpm.K + _xlpm.Knewgain / (_xlpm.Knewscale + _xlpm.nbparties),
  IF(AL475="",
    "",
    _xlpm.coef * (AL475-AL476))
)</f>
        <v/>
      </c>
      <c r="AM477" t="str" cm="1">
        <f t="array" ref="AM477">_xlfn.LET(
  _xlpm.K, Constantes!$B$3,
  _xlpm.Knewgain, Constantes!$B$4,
  _xlpm.Knewscale, Constantes!$B$5,
  _xlpm.ptstables, INDEX(AM:AM, _xlfn.SEQUENCE(COUNTA($C$2:$C477), 1, 3, 4)),
  _xlpm.nbparties, COUNTA(_xlfn._xlws.FILTER(_xlpm.ptstables, _xlpm.ptstables &lt;&gt; "")),
  _xlpm.coef, _xlpm.K + _xlpm.Knewgain / (_xlpm.Knewscale + _xlpm.nbparties),
  IF(AM475="",
    "",
    _xlpm.coef * (AM475-AM476))
)</f>
        <v/>
      </c>
    </row>
    <row r="478" spans="1:39" x14ac:dyDescent="0.25">
      <c r="A478" t="s">
        <v>14</v>
      </c>
      <c r="B478" t="str" cm="1">
        <f t="array" ref="B47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116</v>
      </c>
      <c r="C478" s="2" cm="1">
        <f t="array" ref="C478">IF(B478="","",
  INDEX(Donnees!F:F, MATCH(B478, Donnees!F:F, 0)+1))</f>
        <v>45969.698761574073</v>
      </c>
      <c r="D478">
        <f t="shared" ref="D478:AM478" si="127">D474+IF(D477="",0,D477)</f>
        <v>970.88542284486812</v>
      </c>
      <c r="E478">
        <f t="shared" si="127"/>
        <v>1210.4982334124238</v>
      </c>
      <c r="F478">
        <f t="shared" si="127"/>
        <v>911.8835833951041</v>
      </c>
      <c r="G478">
        <f t="shared" si="127"/>
        <v>1009.6650561189861</v>
      </c>
      <c r="H478">
        <f t="shared" si="127"/>
        <v>1094.7153320016416</v>
      </c>
      <c r="I478">
        <f t="shared" si="127"/>
        <v>883.37234630448143</v>
      </c>
      <c r="J478">
        <f t="shared" si="127"/>
        <v>952.15570665875975</v>
      </c>
      <c r="K478">
        <f t="shared" si="127"/>
        <v>1062.2548360982171</v>
      </c>
      <c r="L478">
        <f t="shared" si="127"/>
        <v>775.39796117257981</v>
      </c>
      <c r="M478">
        <f t="shared" si="127"/>
        <v>927.4581540493366</v>
      </c>
      <c r="N478">
        <f t="shared" si="127"/>
        <v>899.98370646249032</v>
      </c>
      <c r="O478">
        <f t="shared" si="127"/>
        <v>997.04050320786712</v>
      </c>
      <c r="P478">
        <f t="shared" si="127"/>
        <v>1000.038589629396</v>
      </c>
      <c r="Q478">
        <f t="shared" si="127"/>
        <v>1048.7297653789042</v>
      </c>
      <c r="R478">
        <f t="shared" si="127"/>
        <v>1100.1807227213831</v>
      </c>
      <c r="S478">
        <f t="shared" si="127"/>
        <v>968.32887381256023</v>
      </c>
      <c r="T478">
        <f t="shared" si="127"/>
        <v>1128.5835529389994</v>
      </c>
      <c r="U478">
        <f t="shared" si="127"/>
        <v>1222.7257721587478</v>
      </c>
      <c r="V478">
        <f t="shared" si="127"/>
        <v>964.86178289028601</v>
      </c>
      <c r="W478">
        <f t="shared" si="127"/>
        <v>905.2317797496944</v>
      </c>
      <c r="X478">
        <f t="shared" si="127"/>
        <v>858.92096928478088</v>
      </c>
      <c r="Y478">
        <f t="shared" si="127"/>
        <v>1005.462386147187</v>
      </c>
      <c r="Z478">
        <f t="shared" si="127"/>
        <v>1008.6876849635962</v>
      </c>
      <c r="AA478">
        <f t="shared" si="127"/>
        <v>942.27730100696294</v>
      </c>
      <c r="AB478">
        <f t="shared" si="127"/>
        <v>988.35669729544747</v>
      </c>
      <c r="AC478">
        <f t="shared" si="127"/>
        <v>913.83290299884754</v>
      </c>
      <c r="AD478">
        <f t="shared" si="127"/>
        <v>1054.5168154629837</v>
      </c>
      <c r="AE478">
        <f t="shared" si="127"/>
        <v>963.23981965000235</v>
      </c>
      <c r="AF478">
        <f t="shared" si="127"/>
        <v>1094.8196847516158</v>
      </c>
      <c r="AG478">
        <f t="shared" si="127"/>
        <v>958.23078604304851</v>
      </c>
      <c r="AH478">
        <f t="shared" si="127"/>
        <v>920.4412636682855</v>
      </c>
      <c r="AI478">
        <f t="shared" si="127"/>
        <v>1036.4167877702052</v>
      </c>
      <c r="AJ478">
        <f t="shared" si="127"/>
        <v>906.86354201913434</v>
      </c>
      <c r="AK478">
        <f t="shared" si="127"/>
        <v>1074.0069367206956</v>
      </c>
      <c r="AL478">
        <f t="shared" si="127"/>
        <v>1025.7817971572972</v>
      </c>
      <c r="AM478">
        <f t="shared" si="127"/>
        <v>930.08392160706046</v>
      </c>
    </row>
    <row r="479" spans="1:39" x14ac:dyDescent="0.25">
      <c r="A479" t="s">
        <v>21</v>
      </c>
      <c r="D479" t="str" cm="1">
        <f t="array" ref="D479">IFERROR(
  _xlfn.LET(
    _xlpm.ligpartie, MATCH($B478, Donnees!$F:$F, 0),
    _xlpm.joueurs, INDEX(Donnees!$A:$Z, _xlpm.ligpartie+1, _xlfn.SEQUENCE(1, 4, 2)),
    INDEX(
      Donnees!$A:$Z,
      _xlpm.ligpartie + 3,
      MATCH(D$1, _xlpm.joueurs, 0) + 1
    )
  ), ""
)</f>
        <v/>
      </c>
      <c r="E479" t="str" cm="1">
        <f t="array" ref="E479">IFERROR(
  _xlfn.LET(
    _xlpm.ligpartie, MATCH($B478, Donnees!$F:$F, 0),
    _xlpm.joueurs, INDEX(Donnees!$A:$Z, _xlpm.ligpartie+1, _xlfn.SEQUENCE(1, 4, 2)),
    INDEX(
      Donnees!$A:$Z,
      _xlpm.ligpartie + 3,
      MATCH(E$1, _xlpm.joueurs, 0) + 1
    )
  ), ""
)</f>
        <v/>
      </c>
      <c r="F479" t="str" cm="1">
        <f t="array" ref="F479">IFERROR(
  _xlfn.LET(
    _xlpm.ligpartie, MATCH($B478, Donnees!$F:$F, 0),
    _xlpm.joueurs, INDEX(Donnees!$A:$Z, _xlpm.ligpartie+1, _xlfn.SEQUENCE(1, 4, 2)),
    INDEX(
      Donnees!$A:$Z,
      _xlpm.ligpartie + 3,
      MATCH(F$1, _xlpm.joueurs, 0) + 1
    )
  ), ""
)</f>
        <v/>
      </c>
      <c r="G479" t="str" cm="1">
        <f t="array" ref="G479">IFERROR(
  _xlfn.LET(
    _xlpm.ligpartie, MATCH($B478, Donnees!$F:$F, 0),
    _xlpm.joueurs, INDEX(Donnees!$A:$Z, _xlpm.ligpartie+1, _xlfn.SEQUENCE(1, 4, 2)),
    INDEX(
      Donnees!$A:$Z,
      _xlpm.ligpartie + 3,
      MATCH(G$1, _xlpm.joueurs, 0) + 1
    )
  ), ""
)</f>
        <v/>
      </c>
      <c r="H479" cm="1">
        <f t="array" ref="H479">IFERROR(
  _xlfn.LET(
    _xlpm.ligpartie, MATCH($B478, Donnees!$F:$F, 0),
    _xlpm.joueurs, INDEX(Donnees!$A:$Z, _xlpm.ligpartie+1, _xlfn.SEQUENCE(1, 4, 2)),
    INDEX(
      Donnees!$A:$Z,
      _xlpm.ligpartie + 3,
      MATCH(H$1, _xlpm.joueurs, 0) + 1
    )
  ), ""
)</f>
        <v>3</v>
      </c>
      <c r="I479" t="str" cm="1">
        <f t="array" ref="I479">IFERROR(
  _xlfn.LET(
    _xlpm.ligpartie, MATCH($B478, Donnees!$F:$F, 0),
    _xlpm.joueurs, INDEX(Donnees!$A:$Z, _xlpm.ligpartie+1, _xlfn.SEQUENCE(1, 4, 2)),
    INDEX(
      Donnees!$A:$Z,
      _xlpm.ligpartie + 3,
      MATCH(I$1, _xlpm.joueurs, 0) + 1
    )
  ), ""
)</f>
        <v/>
      </c>
      <c r="J479" t="str" cm="1">
        <f t="array" ref="J479">IFERROR(
  _xlfn.LET(
    _xlpm.ligpartie, MATCH($B478, Donnees!$F:$F, 0),
    _xlpm.joueurs, INDEX(Donnees!$A:$Z, _xlpm.ligpartie+1, _xlfn.SEQUENCE(1, 4, 2)),
    INDEX(
      Donnees!$A:$Z,
      _xlpm.ligpartie + 3,
      MATCH(J$1, _xlpm.joueurs, 0) + 1
    )
  ), ""
)</f>
        <v/>
      </c>
      <c r="K479" t="str" cm="1">
        <f t="array" ref="K479">IFERROR(
  _xlfn.LET(
    _xlpm.ligpartie, MATCH($B478, Donnees!$F:$F, 0),
    _xlpm.joueurs, INDEX(Donnees!$A:$Z, _xlpm.ligpartie+1, _xlfn.SEQUENCE(1, 4, 2)),
    INDEX(
      Donnees!$A:$Z,
      _xlpm.ligpartie + 3,
      MATCH(K$1, _xlpm.joueurs, 0) + 1
    )
  ), ""
)</f>
        <v/>
      </c>
      <c r="L479" t="str" cm="1">
        <f t="array" ref="L479">IFERROR(
  _xlfn.LET(
    _xlpm.ligpartie, MATCH($B478, Donnees!$F:$F, 0),
    _xlpm.joueurs, INDEX(Donnees!$A:$Z, _xlpm.ligpartie+1, _xlfn.SEQUENCE(1, 4, 2)),
    INDEX(
      Donnees!$A:$Z,
      _xlpm.ligpartie + 3,
      MATCH(L$1, _xlpm.joueurs, 0) + 1
    )
  ), ""
)</f>
        <v/>
      </c>
      <c r="M479" t="str" cm="1">
        <f t="array" ref="M479">IFERROR(
  _xlfn.LET(
    _xlpm.ligpartie, MATCH($B478, Donnees!$F:$F, 0),
    _xlpm.joueurs, INDEX(Donnees!$A:$Z, _xlpm.ligpartie+1, _xlfn.SEQUENCE(1, 4, 2)),
    INDEX(
      Donnees!$A:$Z,
      _xlpm.ligpartie + 3,
      MATCH(M$1, _xlpm.joueurs, 0) + 1
    )
  ), ""
)</f>
        <v/>
      </c>
      <c r="N479" cm="1">
        <f t="array" ref="N479">IFERROR(
  _xlfn.LET(
    _xlpm.ligpartie, MATCH($B478, Donnees!$F:$F, 0),
    _xlpm.joueurs, INDEX(Donnees!$A:$Z, _xlpm.ligpartie+1, _xlfn.SEQUENCE(1, 4, 2)),
    INDEX(
      Donnees!$A:$Z,
      _xlpm.ligpartie + 3,
      MATCH(N$1, _xlpm.joueurs, 0) + 1
    )
  ), ""
)</f>
        <v>0</v>
      </c>
      <c r="O479" t="str" cm="1">
        <f t="array" ref="O479">IFERROR(
  _xlfn.LET(
    _xlpm.ligpartie, MATCH($B478, Donnees!$F:$F, 0),
    _xlpm.joueurs, INDEX(Donnees!$A:$Z, _xlpm.ligpartie+1, _xlfn.SEQUENCE(1, 4, 2)),
    INDEX(
      Donnees!$A:$Z,
      _xlpm.ligpartie + 3,
      MATCH(O$1, _xlpm.joueurs, 0) + 1
    )
  ), ""
)</f>
        <v/>
      </c>
      <c r="P479" t="str" cm="1">
        <f t="array" ref="P479">IFERROR(
  _xlfn.LET(
    _xlpm.ligpartie, MATCH($B478, Donnees!$F:$F, 0),
    _xlpm.joueurs, INDEX(Donnees!$A:$Z, _xlpm.ligpartie+1, _xlfn.SEQUENCE(1, 4, 2)),
    INDEX(
      Donnees!$A:$Z,
      _xlpm.ligpartie + 3,
      MATCH(P$1, _xlpm.joueurs, 0) + 1
    )
  ), ""
)</f>
        <v/>
      </c>
      <c r="Q479" cm="1">
        <f t="array" ref="Q479">IFERROR(
  _xlfn.LET(
    _xlpm.ligpartie, MATCH($B478, Donnees!$F:$F, 0),
    _xlpm.joueurs, INDEX(Donnees!$A:$Z, _xlpm.ligpartie+1, _xlfn.SEQUENCE(1, 4, 2)),
    INDEX(
      Donnees!$A:$Z,
      _xlpm.ligpartie + 3,
      MATCH(Q$1, _xlpm.joueurs, 0) + 1
    )
  ), ""
)</f>
        <v>2</v>
      </c>
      <c r="R479" t="str" cm="1">
        <f t="array" ref="R479">IFERROR(
  _xlfn.LET(
    _xlpm.ligpartie, MATCH($B478, Donnees!$F:$F, 0),
    _xlpm.joueurs, INDEX(Donnees!$A:$Z, _xlpm.ligpartie+1, _xlfn.SEQUENCE(1, 4, 2)),
    INDEX(
      Donnees!$A:$Z,
      _xlpm.ligpartie + 3,
      MATCH(R$1, _xlpm.joueurs, 0) + 1
    )
  ), ""
)</f>
        <v/>
      </c>
      <c r="S479" t="str" cm="1">
        <f t="array" ref="S479">IFERROR(
  _xlfn.LET(
    _xlpm.ligpartie, MATCH($B478, Donnees!$F:$F, 0),
    _xlpm.joueurs, INDEX(Donnees!$A:$Z, _xlpm.ligpartie+1, _xlfn.SEQUENCE(1, 4, 2)),
    INDEX(
      Donnees!$A:$Z,
      _xlpm.ligpartie + 3,
      MATCH(S$1, _xlpm.joueurs, 0) + 1
    )
  ), ""
)</f>
        <v/>
      </c>
      <c r="T479" t="str" cm="1">
        <f t="array" ref="T479">IFERROR(
  _xlfn.LET(
    _xlpm.ligpartie, MATCH($B478, Donnees!$F:$F, 0),
    _xlpm.joueurs, INDEX(Donnees!$A:$Z, _xlpm.ligpartie+1, _xlfn.SEQUENCE(1, 4, 2)),
    INDEX(
      Donnees!$A:$Z,
      _xlpm.ligpartie + 3,
      MATCH(T$1, _xlpm.joueurs, 0) + 1
    )
  ), ""
)</f>
        <v/>
      </c>
      <c r="U479" t="str" cm="1">
        <f t="array" ref="U479">IFERROR(
  _xlfn.LET(
    _xlpm.ligpartie, MATCH($B478, Donnees!$F:$F, 0),
    _xlpm.joueurs, INDEX(Donnees!$A:$Z, _xlpm.ligpartie+1, _xlfn.SEQUENCE(1, 4, 2)),
    INDEX(
      Donnees!$A:$Z,
      _xlpm.ligpartie + 3,
      MATCH(U$1, _xlpm.joueurs, 0) + 1
    )
  ), ""
)</f>
        <v/>
      </c>
      <c r="V479" cm="1">
        <f t="array" ref="V479">IFERROR(
  _xlfn.LET(
    _xlpm.ligpartie, MATCH($B478, Donnees!$F:$F, 0),
    _xlpm.joueurs, INDEX(Donnees!$A:$Z, _xlpm.ligpartie+1, _xlfn.SEQUENCE(1, 4, 2)),
    INDEX(
      Donnees!$A:$Z,
      _xlpm.ligpartie + 3,
      MATCH(V$1, _xlpm.joueurs, 0) + 1
    )
  ), ""
)</f>
        <v>1</v>
      </c>
      <c r="W479" t="str" cm="1">
        <f t="array" ref="W479">IFERROR(
  _xlfn.LET(
    _xlpm.ligpartie, MATCH($B478, Donnees!$F:$F, 0),
    _xlpm.joueurs, INDEX(Donnees!$A:$Z, _xlpm.ligpartie+1, _xlfn.SEQUENCE(1, 4, 2)),
    INDEX(
      Donnees!$A:$Z,
      _xlpm.ligpartie + 3,
      MATCH(W$1, _xlpm.joueurs, 0) + 1
    )
  ), ""
)</f>
        <v/>
      </c>
      <c r="X479" t="str" cm="1">
        <f t="array" ref="X479">IFERROR(
  _xlfn.LET(
    _xlpm.ligpartie, MATCH($B478, Donnees!$F:$F, 0),
    _xlpm.joueurs, INDEX(Donnees!$A:$Z, _xlpm.ligpartie+1, _xlfn.SEQUENCE(1, 4, 2)),
    INDEX(
      Donnees!$A:$Z,
      _xlpm.ligpartie + 3,
      MATCH(X$1, _xlpm.joueurs, 0) + 1
    )
  ), ""
)</f>
        <v/>
      </c>
      <c r="Y479" t="str" cm="1">
        <f t="array" ref="Y479">IFERROR(
  _xlfn.LET(
    _xlpm.ligpartie, MATCH($B478, Donnees!$F:$F, 0),
    _xlpm.joueurs, INDEX(Donnees!$A:$Z, _xlpm.ligpartie+1, _xlfn.SEQUENCE(1, 4, 2)),
    INDEX(
      Donnees!$A:$Z,
      _xlpm.ligpartie + 3,
      MATCH(Y$1, _xlpm.joueurs, 0) + 1
    )
  ), ""
)</f>
        <v/>
      </c>
      <c r="Z479" t="str" cm="1">
        <f t="array" ref="Z479">IFERROR(
  _xlfn.LET(
    _xlpm.ligpartie, MATCH($B478, Donnees!$F:$F, 0),
    _xlpm.joueurs, INDEX(Donnees!$A:$Z, _xlpm.ligpartie+1, _xlfn.SEQUENCE(1, 4, 2)),
    INDEX(
      Donnees!$A:$Z,
      _xlpm.ligpartie + 3,
      MATCH(Z$1, _xlpm.joueurs, 0) + 1
    )
  ), ""
)</f>
        <v/>
      </c>
      <c r="AA479" t="str" cm="1">
        <f t="array" ref="AA479">IFERROR(
  _xlfn.LET(
    _xlpm.ligpartie, MATCH($B478, Donnees!$F:$F, 0),
    _xlpm.joueurs, INDEX(Donnees!$A:$Z, _xlpm.ligpartie+1, _xlfn.SEQUENCE(1, 4, 2)),
    INDEX(
      Donnees!$A:$Z,
      _xlpm.ligpartie + 3,
      MATCH(AA$1, _xlpm.joueurs, 0) + 1
    )
  ), ""
)</f>
        <v/>
      </c>
      <c r="AB479" t="str" cm="1">
        <f t="array" ref="AB479">IFERROR(
  _xlfn.LET(
    _xlpm.ligpartie, MATCH($B478, Donnees!$F:$F, 0),
    _xlpm.joueurs, INDEX(Donnees!$A:$Z, _xlpm.ligpartie+1, _xlfn.SEQUENCE(1, 4, 2)),
    INDEX(
      Donnees!$A:$Z,
      _xlpm.ligpartie + 3,
      MATCH(AB$1, _xlpm.joueurs, 0) + 1
    )
  ), ""
)</f>
        <v/>
      </c>
      <c r="AC479" t="str" cm="1">
        <f t="array" ref="AC479">IFERROR(
  _xlfn.LET(
    _xlpm.ligpartie, MATCH($B478, Donnees!$F:$F, 0),
    _xlpm.joueurs, INDEX(Donnees!$A:$Z, _xlpm.ligpartie+1, _xlfn.SEQUENCE(1, 4, 2)),
    INDEX(
      Donnees!$A:$Z,
      _xlpm.ligpartie + 3,
      MATCH(AC$1, _xlpm.joueurs, 0) + 1
    )
  ), ""
)</f>
        <v/>
      </c>
      <c r="AD479" t="str" cm="1">
        <f t="array" ref="AD479">IFERROR(
  _xlfn.LET(
    _xlpm.ligpartie, MATCH($B478, Donnees!$F:$F, 0),
    _xlpm.joueurs, INDEX(Donnees!$A:$Z, _xlpm.ligpartie+1, _xlfn.SEQUENCE(1, 4, 2)),
    INDEX(
      Donnees!$A:$Z,
      _xlpm.ligpartie + 3,
      MATCH(AD$1, _xlpm.joueurs, 0) + 1
    )
  ), ""
)</f>
        <v/>
      </c>
      <c r="AE479" t="str" cm="1">
        <f t="array" ref="AE479">IFERROR(
  _xlfn.LET(
    _xlpm.ligpartie, MATCH($B478, Donnees!$F:$F, 0),
    _xlpm.joueurs, INDEX(Donnees!$A:$Z, _xlpm.ligpartie+1, _xlfn.SEQUENCE(1, 4, 2)),
    INDEX(
      Donnees!$A:$Z,
      _xlpm.ligpartie + 3,
      MATCH(AE$1, _xlpm.joueurs, 0) + 1
    )
  ), ""
)</f>
        <v/>
      </c>
      <c r="AF479" t="str" cm="1">
        <f t="array" ref="AF479">IFERROR(
  _xlfn.LET(
    _xlpm.ligpartie, MATCH($B478, Donnees!$F:$F, 0),
    _xlpm.joueurs, INDEX(Donnees!$A:$Z, _xlpm.ligpartie+1, _xlfn.SEQUENCE(1, 4, 2)),
    INDEX(
      Donnees!$A:$Z,
      _xlpm.ligpartie + 3,
      MATCH(AF$1, _xlpm.joueurs, 0) + 1
    )
  ), ""
)</f>
        <v/>
      </c>
      <c r="AG479" t="str" cm="1">
        <f t="array" ref="AG479">IFERROR(
  _xlfn.LET(
    _xlpm.ligpartie, MATCH($B478, Donnees!$F:$F, 0),
    _xlpm.joueurs, INDEX(Donnees!$A:$Z, _xlpm.ligpartie+1, _xlfn.SEQUENCE(1, 4, 2)),
    INDEX(
      Donnees!$A:$Z,
      _xlpm.ligpartie + 3,
      MATCH(AG$1, _xlpm.joueurs, 0) + 1
    )
  ), ""
)</f>
        <v/>
      </c>
      <c r="AH479" t="str" cm="1">
        <f t="array" ref="AH479">IFERROR(
  _xlfn.LET(
    _xlpm.ligpartie, MATCH($B478, Donnees!$F:$F, 0),
    _xlpm.joueurs, INDEX(Donnees!$A:$Z, _xlpm.ligpartie+1, _xlfn.SEQUENCE(1, 4, 2)),
    INDEX(
      Donnees!$A:$Z,
      _xlpm.ligpartie + 3,
      MATCH(AH$1, _xlpm.joueurs, 0) + 1
    )
  ), ""
)</f>
        <v/>
      </c>
      <c r="AI479" t="str" cm="1">
        <f t="array" ref="AI479">IFERROR(
  _xlfn.LET(
    _xlpm.ligpartie, MATCH($B478, Donnees!$F:$F, 0),
    _xlpm.joueurs, INDEX(Donnees!$A:$Z, _xlpm.ligpartie+1, _xlfn.SEQUENCE(1, 4, 2)),
    INDEX(
      Donnees!$A:$Z,
      _xlpm.ligpartie + 3,
      MATCH(AI$1, _xlpm.joueurs, 0) + 1
    )
  ), ""
)</f>
        <v/>
      </c>
      <c r="AJ479" t="str" cm="1">
        <f t="array" ref="AJ479">IFERROR(
  _xlfn.LET(
    _xlpm.ligpartie, MATCH($B478, Donnees!$F:$F, 0),
    _xlpm.joueurs, INDEX(Donnees!$A:$Z, _xlpm.ligpartie+1, _xlfn.SEQUENCE(1, 4, 2)),
    INDEX(
      Donnees!$A:$Z,
      _xlpm.ligpartie + 3,
      MATCH(AJ$1, _xlpm.joueurs, 0) + 1
    )
  ), ""
)</f>
        <v/>
      </c>
      <c r="AK479" t="str" cm="1">
        <f t="array" ref="AK479">IFERROR(
  _xlfn.LET(
    _xlpm.ligpartie, MATCH($B478, Donnees!$F:$F, 0),
    _xlpm.joueurs, INDEX(Donnees!$A:$Z, _xlpm.ligpartie+1, _xlfn.SEQUENCE(1, 4, 2)),
    INDEX(
      Donnees!$A:$Z,
      _xlpm.ligpartie + 3,
      MATCH(AK$1, _xlpm.joueurs, 0) + 1
    )
  ), ""
)</f>
        <v/>
      </c>
      <c r="AL479" t="str" cm="1">
        <f t="array" ref="AL479">IFERROR(
  _xlfn.LET(
    _xlpm.ligpartie, MATCH($B478, Donnees!$F:$F, 0),
    _xlpm.joueurs, INDEX(Donnees!$A:$Z, _xlpm.ligpartie+1, _xlfn.SEQUENCE(1, 4, 2)),
    INDEX(
      Donnees!$A:$Z,
      _xlpm.ligpartie + 3,
      MATCH(AL$1, _xlpm.joueurs, 0) + 1
    )
  ), ""
)</f>
        <v/>
      </c>
      <c r="AM479" t="str" cm="1">
        <f t="array" ref="AM479">IFERROR(
  _xlfn.LET(
    _xlpm.ligpartie, MATCH($B478, Donnees!$F:$F, 0),
    _xlpm.joueurs, INDEX(Donnees!$A:$Z, _xlpm.ligpartie+1, _xlfn.SEQUENCE(1, 4, 2)),
    INDEX(
      Donnees!$A:$Z,
      _xlpm.ligpartie + 3,
      MATCH(AM$1, _xlpm.joueurs, 0) + 1
    )
  ), ""
)</f>
        <v/>
      </c>
    </row>
    <row r="480" spans="1:39" x14ac:dyDescent="0.25">
      <c r="A480" t="s">
        <v>20</v>
      </c>
      <c r="D480" t="str" cm="1">
        <f t="array" ref="D480">_xlfn.LET(
  _xlpm.colj, _xlfn._xlws.FILTER(IF(ISNUMBER(479:479), COLUMN(479:479)), ISNUMBER(479:479)),
  _xlpm.elos, INDEX(478:478,1,_xlpm.colj),
  _xlpm.diffscale, Constantes!$B$2,
  IF(D479="",
    "",
    SUM(1/(1+POWER(10,-(D478-_xlpm.elos)/_xlpm.diffscale)))-0.5)
)</f>
        <v/>
      </c>
      <c r="E480" t="str" cm="1">
        <f t="array" ref="E480">_xlfn.LET(
  _xlpm.colj, _xlfn._xlws.FILTER(IF(ISNUMBER(479:479), COLUMN(479:479)), ISNUMBER(479:479)),
  _xlpm.elos, INDEX(478:478,1,_xlpm.colj),
  _xlpm.diffscale, Constantes!$B$2,
  IF(E479="",
    "",
    SUM(1/(1+POWER(10,-(E478-_xlpm.elos)/_xlpm.diffscale)))-0.5)
)</f>
        <v/>
      </c>
      <c r="F480" t="str" cm="1">
        <f t="array" ref="F480">_xlfn.LET(
  _xlpm.colj, _xlfn._xlws.FILTER(IF(ISNUMBER(479:479), COLUMN(479:479)), ISNUMBER(479:479)),
  _xlpm.elos, INDEX(478:478,1,_xlpm.colj),
  _xlpm.diffscale, Constantes!$B$2,
  IF(F479="",
    "",
    SUM(1/(1+POWER(10,-(F478-_xlpm.elos)/_xlpm.diffscale)))-0.5)
)</f>
        <v/>
      </c>
      <c r="G480" t="str" cm="1">
        <f t="array" ref="G480">_xlfn.LET(
  _xlpm.colj, _xlfn._xlws.FILTER(IF(ISNUMBER(479:479), COLUMN(479:479)), ISNUMBER(479:479)),
  _xlpm.elos, INDEX(478:478,1,_xlpm.colj),
  _xlpm.diffscale, Constantes!$B$2,
  IF(G479="",
    "",
    SUM(1/(1+POWER(10,-(G478-_xlpm.elos)/_xlpm.diffscale)))-0.5)
)</f>
        <v/>
      </c>
      <c r="H480" cm="1">
        <f t="array" ref="H480">_xlfn.LET(
  _xlpm.colj, _xlfn._xlws.FILTER(IF(ISNUMBER(479:479), COLUMN(479:479)), ISNUMBER(479:479)),
  _xlpm.elos, INDEX(478:478,1,_xlpm.colj),
  _xlpm.diffscale, Constantes!$B$2,
  IF(H479="",
    "",
    SUM(1/(1+POWER(10,-(H478-_xlpm.elos)/_xlpm.diffscale)))-0.5)
)</f>
        <v>1.9985956146386119</v>
      </c>
      <c r="I480" t="str" cm="1">
        <f t="array" ref="I480">_xlfn.LET(
  _xlpm.colj, _xlfn._xlws.FILTER(IF(ISNUMBER(479:479), COLUMN(479:479)), ISNUMBER(479:479)),
  _xlpm.elos, INDEX(478:478,1,_xlpm.colj),
  _xlpm.diffscale, Constantes!$B$2,
  IF(I479="",
    "",
    SUM(1/(1+POWER(10,-(I478-_xlpm.elos)/_xlpm.diffscale)))-0.5)
)</f>
        <v/>
      </c>
      <c r="J480" t="str" cm="1">
        <f t="array" ref="J480">_xlfn.LET(
  _xlpm.colj, _xlfn._xlws.FILTER(IF(ISNUMBER(479:479), COLUMN(479:479)), ISNUMBER(479:479)),
  _xlpm.elos, INDEX(478:478,1,_xlpm.colj),
  _xlpm.diffscale, Constantes!$B$2,
  IF(J479="",
    "",
    SUM(1/(1+POWER(10,-(J478-_xlpm.elos)/_xlpm.diffscale)))-0.5)
)</f>
        <v/>
      </c>
      <c r="K480" t="str" cm="1">
        <f t="array" ref="K480">_xlfn.LET(
  _xlpm.colj, _xlfn._xlws.FILTER(IF(ISNUMBER(479:479), COLUMN(479:479)), ISNUMBER(479:479)),
  _xlpm.elos, INDEX(478:478,1,_xlpm.colj),
  _xlpm.diffscale, Constantes!$B$2,
  IF(K479="",
    "",
    SUM(1/(1+POWER(10,-(K478-_xlpm.elos)/_xlpm.diffscale)))-0.5)
)</f>
        <v/>
      </c>
      <c r="L480" t="str" cm="1">
        <f t="array" ref="L480">_xlfn.LET(
  _xlpm.colj, _xlfn._xlws.FILTER(IF(ISNUMBER(479:479), COLUMN(479:479)), ISNUMBER(479:479)),
  _xlpm.elos, INDEX(478:478,1,_xlpm.colj),
  _xlpm.diffscale, Constantes!$B$2,
  IF(L479="",
    "",
    SUM(1/(1+POWER(10,-(L478-_xlpm.elos)/_xlpm.diffscale)))-0.5)
)</f>
        <v/>
      </c>
      <c r="M480" t="str" cm="1">
        <f t="array" ref="M480">_xlfn.LET(
  _xlpm.colj, _xlfn._xlws.FILTER(IF(ISNUMBER(479:479), COLUMN(479:479)), ISNUMBER(479:479)),
  _xlpm.elos, INDEX(478:478,1,_xlpm.colj),
  _xlpm.diffscale, Constantes!$B$2,
  IF(M479="",
    "",
    SUM(1/(1+POWER(10,-(M478-_xlpm.elos)/_xlpm.diffscale)))-0.5)
)</f>
        <v/>
      </c>
      <c r="N480" cm="1">
        <f t="array" ref="N480">_xlfn.LET(
  _xlpm.colj, _xlfn._xlws.FILTER(IF(ISNUMBER(479:479), COLUMN(479:479)), ISNUMBER(479:479)),
  _xlpm.elos, INDEX(478:478,1,_xlpm.colj),
  _xlpm.diffscale, Constantes!$B$2,
  IF(N479="",
    "",
    SUM(1/(1+POWER(10,-(N478-_xlpm.elos)/_xlpm.diffscale)))-0.5)
)</f>
        <v>0.95165869110430146</v>
      </c>
      <c r="O480" t="str" cm="1">
        <f t="array" ref="O480">_xlfn.LET(
  _xlpm.colj, _xlfn._xlws.FILTER(IF(ISNUMBER(479:479), COLUMN(479:479)), ISNUMBER(479:479)),
  _xlpm.elos, INDEX(478:478,1,_xlpm.colj),
  _xlpm.diffscale, Constantes!$B$2,
  IF(O479="",
    "",
    SUM(1/(1+POWER(10,-(O478-_xlpm.elos)/_xlpm.diffscale)))-0.5)
)</f>
        <v/>
      </c>
      <c r="P480" t="str" cm="1">
        <f t="array" ref="P480">_xlfn.LET(
  _xlpm.colj, _xlfn._xlws.FILTER(IF(ISNUMBER(479:479), COLUMN(479:479)), ISNUMBER(479:479)),
  _xlpm.elos, INDEX(478:478,1,_xlpm.colj),
  _xlpm.diffscale, Constantes!$B$2,
  IF(P479="",
    "",
    SUM(1/(1+POWER(10,-(P478-_xlpm.elos)/_xlpm.diffscale)))-0.5)
)</f>
        <v/>
      </c>
      <c r="Q480" cm="1">
        <f t="array" ref="Q480">_xlfn.LET(
  _xlpm.colj, _xlfn._xlws.FILTER(IF(ISNUMBER(479:479), COLUMN(479:479)), ISNUMBER(479:479)),
  _xlpm.elos, INDEX(478:478,1,_xlpm.colj),
  _xlpm.diffscale, Constantes!$B$2,
  IF(Q479="",
    "",
    SUM(1/(1+POWER(10,-(Q478-_xlpm.elos)/_xlpm.diffscale)))-0.5)
)</f>
        <v>1.7544868289783193</v>
      </c>
      <c r="R480" t="str" cm="1">
        <f t="array" ref="R480">_xlfn.LET(
  _xlpm.colj, _xlfn._xlws.FILTER(IF(ISNUMBER(479:479), COLUMN(479:479)), ISNUMBER(479:479)),
  _xlpm.elos, INDEX(478:478,1,_xlpm.colj),
  _xlpm.diffscale, Constantes!$B$2,
  IF(R479="",
    "",
    SUM(1/(1+POWER(10,-(R478-_xlpm.elos)/_xlpm.diffscale)))-0.5)
)</f>
        <v/>
      </c>
      <c r="S480" t="str" cm="1">
        <f t="array" ref="S480">_xlfn.LET(
  _xlpm.colj, _xlfn._xlws.FILTER(IF(ISNUMBER(479:479), COLUMN(479:479)), ISNUMBER(479:479)),
  _xlpm.elos, INDEX(478:478,1,_xlpm.colj),
  _xlpm.diffscale, Constantes!$B$2,
  IF(S479="",
    "",
    SUM(1/(1+POWER(10,-(S478-_xlpm.elos)/_xlpm.diffscale)))-0.5)
)</f>
        <v/>
      </c>
      <c r="T480" t="str" cm="1">
        <f t="array" ref="T480">_xlfn.LET(
  _xlpm.colj, _xlfn._xlws.FILTER(IF(ISNUMBER(479:479), COLUMN(479:479)), ISNUMBER(479:479)),
  _xlpm.elos, INDEX(478:478,1,_xlpm.colj),
  _xlpm.diffscale, Constantes!$B$2,
  IF(T479="",
    "",
    SUM(1/(1+POWER(10,-(T478-_xlpm.elos)/_xlpm.diffscale)))-0.5)
)</f>
        <v/>
      </c>
      <c r="U480" t="str" cm="1">
        <f t="array" ref="U480">_xlfn.LET(
  _xlpm.colj, _xlfn._xlws.FILTER(IF(ISNUMBER(479:479), COLUMN(479:479)), ISNUMBER(479:479)),
  _xlpm.elos, INDEX(478:478,1,_xlpm.colj),
  _xlpm.diffscale, Constantes!$B$2,
  IF(U479="",
    "",
    SUM(1/(1+POWER(10,-(U478-_xlpm.elos)/_xlpm.diffscale)))-0.5)
)</f>
        <v/>
      </c>
      <c r="V480" cm="1">
        <f t="array" ref="V480">_xlfn.LET(
  _xlpm.colj, _xlfn._xlws.FILTER(IF(ISNUMBER(479:479), COLUMN(479:479)), ISNUMBER(479:479)),
  _xlpm.elos, INDEX(478:478,1,_xlpm.colj),
  _xlpm.diffscale, Constantes!$B$2,
  IF(V479="",
    "",
    SUM(1/(1+POWER(10,-(V478-_xlpm.elos)/_xlpm.diffscale)))-0.5)
)</f>
        <v>1.2952588652787675</v>
      </c>
      <c r="W480" t="str" cm="1">
        <f t="array" ref="W480">_xlfn.LET(
  _xlpm.colj, _xlfn._xlws.FILTER(IF(ISNUMBER(479:479), COLUMN(479:479)), ISNUMBER(479:479)),
  _xlpm.elos, INDEX(478:478,1,_xlpm.colj),
  _xlpm.diffscale, Constantes!$B$2,
  IF(W479="",
    "",
    SUM(1/(1+POWER(10,-(W478-_xlpm.elos)/_xlpm.diffscale)))-0.5)
)</f>
        <v/>
      </c>
      <c r="X480" t="str" cm="1">
        <f t="array" ref="X480">_xlfn.LET(
  _xlpm.colj, _xlfn._xlws.FILTER(IF(ISNUMBER(479:479), COLUMN(479:479)), ISNUMBER(479:479)),
  _xlpm.elos, INDEX(478:478,1,_xlpm.colj),
  _xlpm.diffscale, Constantes!$B$2,
  IF(X479="",
    "",
    SUM(1/(1+POWER(10,-(X478-_xlpm.elos)/_xlpm.diffscale)))-0.5)
)</f>
        <v/>
      </c>
      <c r="Y480" t="str" cm="1">
        <f t="array" ref="Y480">_xlfn.LET(
  _xlpm.colj, _xlfn._xlws.FILTER(IF(ISNUMBER(479:479), COLUMN(479:479)), ISNUMBER(479:479)),
  _xlpm.elos, INDEX(478:478,1,_xlpm.colj),
  _xlpm.diffscale, Constantes!$B$2,
  IF(Y479="",
    "",
    SUM(1/(1+POWER(10,-(Y478-_xlpm.elos)/_xlpm.diffscale)))-0.5)
)</f>
        <v/>
      </c>
      <c r="Z480" t="str" cm="1">
        <f t="array" ref="Z480">_xlfn.LET(
  _xlpm.colj, _xlfn._xlws.FILTER(IF(ISNUMBER(479:479), COLUMN(479:479)), ISNUMBER(479:479)),
  _xlpm.elos, INDEX(478:478,1,_xlpm.colj),
  _xlpm.diffscale, Constantes!$B$2,
  IF(Z479="",
    "",
    SUM(1/(1+POWER(10,-(Z478-_xlpm.elos)/_xlpm.diffscale)))-0.5)
)</f>
        <v/>
      </c>
      <c r="AA480" t="str" cm="1">
        <f t="array" ref="AA480">_xlfn.LET(
  _xlpm.colj, _xlfn._xlws.FILTER(IF(ISNUMBER(479:479), COLUMN(479:479)), ISNUMBER(479:479)),
  _xlpm.elos, INDEX(478:478,1,_xlpm.colj),
  _xlpm.diffscale, Constantes!$B$2,
  IF(AA479="",
    "",
    SUM(1/(1+POWER(10,-(AA478-_xlpm.elos)/_xlpm.diffscale)))-0.5)
)</f>
        <v/>
      </c>
      <c r="AB480" t="str" cm="1">
        <f t="array" ref="AB480">_xlfn.LET(
  _xlpm.colj, _xlfn._xlws.FILTER(IF(ISNUMBER(479:479), COLUMN(479:479)), ISNUMBER(479:479)),
  _xlpm.elos, INDEX(478:478,1,_xlpm.colj),
  _xlpm.diffscale, Constantes!$B$2,
  IF(AB479="",
    "",
    SUM(1/(1+POWER(10,-(AB478-_xlpm.elos)/_xlpm.diffscale)))-0.5)
)</f>
        <v/>
      </c>
      <c r="AC480" t="str" cm="1">
        <f t="array" ref="AC480">_xlfn.LET(
  _xlpm.colj, _xlfn._xlws.FILTER(IF(ISNUMBER(479:479), COLUMN(479:479)), ISNUMBER(479:479)),
  _xlpm.elos, INDEX(478:478,1,_xlpm.colj),
  _xlpm.diffscale, Constantes!$B$2,
  IF(AC479="",
    "",
    SUM(1/(1+POWER(10,-(AC478-_xlpm.elos)/_xlpm.diffscale)))-0.5)
)</f>
        <v/>
      </c>
      <c r="AD480" t="str" cm="1">
        <f t="array" ref="AD480">_xlfn.LET(
  _xlpm.colj, _xlfn._xlws.FILTER(IF(ISNUMBER(479:479), COLUMN(479:479)), ISNUMBER(479:479)),
  _xlpm.elos, INDEX(478:478,1,_xlpm.colj),
  _xlpm.diffscale, Constantes!$B$2,
  IF(AD479="",
    "",
    SUM(1/(1+POWER(10,-(AD478-_xlpm.elos)/_xlpm.diffscale)))-0.5)
)</f>
        <v/>
      </c>
      <c r="AE480" t="str" cm="1">
        <f t="array" ref="AE480">_xlfn.LET(
  _xlpm.colj, _xlfn._xlws.FILTER(IF(ISNUMBER(479:479), COLUMN(479:479)), ISNUMBER(479:479)),
  _xlpm.elos, INDEX(478:478,1,_xlpm.colj),
  _xlpm.diffscale, Constantes!$B$2,
  IF(AE479="",
    "",
    SUM(1/(1+POWER(10,-(AE478-_xlpm.elos)/_xlpm.diffscale)))-0.5)
)</f>
        <v/>
      </c>
      <c r="AF480" t="str" cm="1">
        <f t="array" ref="AF480">_xlfn.LET(
  _xlpm.colj, _xlfn._xlws.FILTER(IF(ISNUMBER(479:479), COLUMN(479:479)), ISNUMBER(479:479)),
  _xlpm.elos, INDEX(478:478,1,_xlpm.colj),
  _xlpm.diffscale, Constantes!$B$2,
  IF(AF479="",
    "",
    SUM(1/(1+POWER(10,-(AF478-_xlpm.elos)/_xlpm.diffscale)))-0.5)
)</f>
        <v/>
      </c>
      <c r="AG480" t="str" cm="1">
        <f t="array" ref="AG480">_xlfn.LET(
  _xlpm.colj, _xlfn._xlws.FILTER(IF(ISNUMBER(479:479), COLUMN(479:479)), ISNUMBER(479:479)),
  _xlpm.elos, INDEX(478:478,1,_xlpm.colj),
  _xlpm.diffscale, Constantes!$B$2,
  IF(AG479="",
    "",
    SUM(1/(1+POWER(10,-(AG478-_xlpm.elos)/_xlpm.diffscale)))-0.5)
)</f>
        <v/>
      </c>
      <c r="AH480" t="str" cm="1">
        <f t="array" ref="AH480">_xlfn.LET(
  _xlpm.colj, _xlfn._xlws.FILTER(IF(ISNUMBER(479:479), COLUMN(479:479)), ISNUMBER(479:479)),
  _xlpm.elos, INDEX(478:478,1,_xlpm.colj),
  _xlpm.diffscale, Constantes!$B$2,
  IF(AH479="",
    "",
    SUM(1/(1+POWER(10,-(AH478-_xlpm.elos)/_xlpm.diffscale)))-0.5)
)</f>
        <v/>
      </c>
      <c r="AI480" t="str" cm="1">
        <f t="array" ref="AI480">_xlfn.LET(
  _xlpm.colj, _xlfn._xlws.FILTER(IF(ISNUMBER(479:479), COLUMN(479:479)), ISNUMBER(479:479)),
  _xlpm.elos, INDEX(478:478,1,_xlpm.colj),
  _xlpm.diffscale, Constantes!$B$2,
  IF(AI479="",
    "",
    SUM(1/(1+POWER(10,-(AI478-_xlpm.elos)/_xlpm.diffscale)))-0.5)
)</f>
        <v/>
      </c>
      <c r="AJ480" t="str" cm="1">
        <f t="array" ref="AJ480">_xlfn.LET(
  _xlpm.colj, _xlfn._xlws.FILTER(IF(ISNUMBER(479:479), COLUMN(479:479)), ISNUMBER(479:479)),
  _xlpm.elos, INDEX(478:478,1,_xlpm.colj),
  _xlpm.diffscale, Constantes!$B$2,
  IF(AJ479="",
    "",
    SUM(1/(1+POWER(10,-(AJ478-_xlpm.elos)/_xlpm.diffscale)))-0.5)
)</f>
        <v/>
      </c>
      <c r="AK480" t="str" cm="1">
        <f t="array" ref="AK480">_xlfn.LET(
  _xlpm.colj, _xlfn._xlws.FILTER(IF(ISNUMBER(479:479), COLUMN(479:479)), ISNUMBER(479:479)),
  _xlpm.elos, INDEX(478:478,1,_xlpm.colj),
  _xlpm.diffscale, Constantes!$B$2,
  IF(AK479="",
    "",
    SUM(1/(1+POWER(10,-(AK478-_xlpm.elos)/_xlpm.diffscale)))-0.5)
)</f>
        <v/>
      </c>
      <c r="AL480" t="str" cm="1">
        <f t="array" ref="AL480">_xlfn.LET(
  _xlpm.colj, _xlfn._xlws.FILTER(IF(ISNUMBER(479:479), COLUMN(479:479)), ISNUMBER(479:479)),
  _xlpm.elos, INDEX(478:478,1,_xlpm.colj),
  _xlpm.diffscale, Constantes!$B$2,
  IF(AL479="",
    "",
    SUM(1/(1+POWER(10,-(AL478-_xlpm.elos)/_xlpm.diffscale)))-0.5)
)</f>
        <v/>
      </c>
      <c r="AM480" t="str" cm="1">
        <f t="array" ref="AM480">_xlfn.LET(
  _xlpm.colj, _xlfn._xlws.FILTER(IF(ISNUMBER(479:479), COLUMN(479:479)), ISNUMBER(479:479)),
  _xlpm.elos, INDEX(478:478,1,_xlpm.colj),
  _xlpm.diffscale, Constantes!$B$2,
  IF(AM479="",
    "",
    SUM(1/(1+POWER(10,-(AM478-_xlpm.elos)/_xlpm.diffscale)))-0.5)
)</f>
        <v/>
      </c>
    </row>
    <row r="481" spans="1:39" x14ac:dyDescent="0.25">
      <c r="A481" t="s">
        <v>22</v>
      </c>
      <c r="D481" t="str" cm="1">
        <f t="array" ref="D481">_xlfn.LET(
  _xlpm.K, Constantes!$B$3,
  _xlpm.Knewgain, Constantes!$B$4,
  _xlpm.Knewscale, Constantes!$B$5,
  _xlpm.ptstables, INDEX(D:D, _xlfn.SEQUENCE(COUNTA($C$2:$C481), 1, 3, 4)),
  _xlpm.nbparties, COUNTA(_xlfn._xlws.FILTER(_xlpm.ptstables, _xlpm.ptstables &lt;&gt; "")),
  _xlpm.coef, _xlpm.K + _xlpm.Knewgain / (_xlpm.Knewscale + _xlpm.nbparties),
  IF(D479="",
    "",
    _xlpm.coef * (D479-D480))
)</f>
        <v/>
      </c>
      <c r="E481" t="str" cm="1">
        <f t="array" ref="E481">_xlfn.LET(
  _xlpm.K, Constantes!$B$3,
  _xlpm.Knewgain, Constantes!$B$4,
  _xlpm.Knewscale, Constantes!$B$5,
  _xlpm.ptstables, INDEX(E:E, _xlfn.SEQUENCE(COUNTA($C$2:$C481), 1, 3, 4)),
  _xlpm.nbparties, COUNTA(_xlfn._xlws.FILTER(_xlpm.ptstables, _xlpm.ptstables &lt;&gt; "")),
  _xlpm.coef, _xlpm.K + _xlpm.Knewgain / (_xlpm.Knewscale + _xlpm.nbparties),
  IF(E479="",
    "",
    _xlpm.coef * (E479-E480))
)</f>
        <v/>
      </c>
      <c r="F481" t="str" cm="1">
        <f t="array" ref="F481">_xlfn.LET(
  _xlpm.K, Constantes!$B$3,
  _xlpm.Knewgain, Constantes!$B$4,
  _xlpm.Knewscale, Constantes!$B$5,
  _xlpm.ptstables, INDEX(F:F, _xlfn.SEQUENCE(COUNTA($C$2:$C481), 1, 3, 4)),
  _xlpm.nbparties, COUNTA(_xlfn._xlws.FILTER(_xlpm.ptstables, _xlpm.ptstables &lt;&gt; "")),
  _xlpm.coef, _xlpm.K + _xlpm.Knewgain / (_xlpm.Knewscale + _xlpm.nbparties),
  IF(F479="",
    "",
    _xlpm.coef * (F479-F480))
)</f>
        <v/>
      </c>
      <c r="G481" t="str" cm="1">
        <f t="array" ref="G481">_xlfn.LET(
  _xlpm.K, Constantes!$B$3,
  _xlpm.Knewgain, Constantes!$B$4,
  _xlpm.Knewscale, Constantes!$B$5,
  _xlpm.ptstables, INDEX(G:G, _xlfn.SEQUENCE(COUNTA($C$2:$C481), 1, 3, 4)),
  _xlpm.nbparties, COUNTA(_xlfn._xlws.FILTER(_xlpm.ptstables, _xlpm.ptstables &lt;&gt; "")),
  _xlpm.coef, _xlpm.K + _xlpm.Knewgain / (_xlpm.Knewscale + _xlpm.nbparties),
  IF(G479="",
    "",
    _xlpm.coef * (G479-G480))
)</f>
        <v/>
      </c>
      <c r="H481" cm="1">
        <f t="array" ref="H481">_xlfn.LET(
  _xlpm.K, Constantes!$B$3,
  _xlpm.Knewgain, Constantes!$B$4,
  _xlpm.Knewscale, Constantes!$B$5,
  _xlpm.ptstables, INDEX(H:H, _xlfn.SEQUENCE(COUNTA($C$2:$C481), 1, 3, 4)),
  _xlpm.nbparties, COUNTA(_xlfn._xlws.FILTER(_xlpm.ptstables, _xlpm.ptstables &lt;&gt; "")),
  _xlpm.coef, _xlpm.K + _xlpm.Knewgain / (_xlpm.Knewscale + _xlpm.nbparties),
  IF(H479="",
    "",
    _xlpm.coef * (H479-H480))
)</f>
        <v>22.809766555453841</v>
      </c>
      <c r="I481" t="str" cm="1">
        <f t="array" ref="I481">_xlfn.LET(
  _xlpm.K, Constantes!$B$3,
  _xlpm.Knewgain, Constantes!$B$4,
  _xlpm.Knewscale, Constantes!$B$5,
  _xlpm.ptstables, INDEX(I:I, _xlfn.SEQUENCE(COUNTA($C$2:$C481), 1, 3, 4)),
  _xlpm.nbparties, COUNTA(_xlfn._xlws.FILTER(_xlpm.ptstables, _xlpm.ptstables &lt;&gt; "")),
  _xlpm.coef, _xlpm.K + _xlpm.Knewgain / (_xlpm.Knewscale + _xlpm.nbparties),
  IF(I479="",
    "",
    _xlpm.coef * (I479-I480))
)</f>
        <v/>
      </c>
      <c r="J481" t="str" cm="1">
        <f t="array" ref="J481">_xlfn.LET(
  _xlpm.K, Constantes!$B$3,
  _xlpm.Knewgain, Constantes!$B$4,
  _xlpm.Knewscale, Constantes!$B$5,
  _xlpm.ptstables, INDEX(J:J, _xlfn.SEQUENCE(COUNTA($C$2:$C481), 1, 3, 4)),
  _xlpm.nbparties, COUNTA(_xlfn._xlws.FILTER(_xlpm.ptstables, _xlpm.ptstables &lt;&gt; "")),
  _xlpm.coef, _xlpm.K + _xlpm.Knewgain / (_xlpm.Knewscale + _xlpm.nbparties),
  IF(J479="",
    "",
    _xlpm.coef * (J479-J480))
)</f>
        <v/>
      </c>
      <c r="K481" t="str" cm="1">
        <f t="array" ref="K481">_xlfn.LET(
  _xlpm.K, Constantes!$B$3,
  _xlpm.Knewgain, Constantes!$B$4,
  _xlpm.Knewscale, Constantes!$B$5,
  _xlpm.ptstables, INDEX(K:K, _xlfn.SEQUENCE(COUNTA($C$2:$C481), 1, 3, 4)),
  _xlpm.nbparties, COUNTA(_xlfn._xlws.FILTER(_xlpm.ptstables, _xlpm.ptstables &lt;&gt; "")),
  _xlpm.coef, _xlpm.K + _xlpm.Knewgain / (_xlpm.Knewscale + _xlpm.nbparties),
  IF(K479="",
    "",
    _xlpm.coef * (K479-K480))
)</f>
        <v/>
      </c>
      <c r="L481" t="str" cm="1">
        <f t="array" ref="L481">_xlfn.LET(
  _xlpm.K, Constantes!$B$3,
  _xlpm.Knewgain, Constantes!$B$4,
  _xlpm.Knewscale, Constantes!$B$5,
  _xlpm.ptstables, INDEX(L:L, _xlfn.SEQUENCE(COUNTA($C$2:$C481), 1, 3, 4)),
  _xlpm.nbparties, COUNTA(_xlfn._xlws.FILTER(_xlpm.ptstables, _xlpm.ptstables &lt;&gt; "")),
  _xlpm.coef, _xlpm.K + _xlpm.Knewgain / (_xlpm.Knewscale + _xlpm.nbparties),
  IF(L479="",
    "",
    _xlpm.coef * (L479-L480))
)</f>
        <v/>
      </c>
      <c r="M481" t="str" cm="1">
        <f t="array" ref="M481">_xlfn.LET(
  _xlpm.K, Constantes!$B$3,
  _xlpm.Knewgain, Constantes!$B$4,
  _xlpm.Knewscale, Constantes!$B$5,
  _xlpm.ptstables, INDEX(M:M, _xlfn.SEQUENCE(COUNTA($C$2:$C481), 1, 3, 4)),
  _xlpm.nbparties, COUNTA(_xlfn._xlws.FILTER(_xlpm.ptstables, _xlpm.ptstables &lt;&gt; "")),
  _xlpm.coef, _xlpm.K + _xlpm.Knewgain / (_xlpm.Knewscale + _xlpm.nbparties),
  IF(M479="",
    "",
    _xlpm.coef * (M479-M480))
)</f>
        <v/>
      </c>
      <c r="N481" cm="1">
        <f t="array" ref="N481">_xlfn.LET(
  _xlpm.K, Constantes!$B$3,
  _xlpm.Knewgain, Constantes!$B$4,
  _xlpm.Knewscale, Constantes!$B$5,
  _xlpm.ptstables, INDEX(N:N, _xlfn.SEQUENCE(COUNTA($C$2:$C481), 1, 3, 4)),
  _xlpm.nbparties, COUNTA(_xlfn._xlws.FILTER(_xlpm.ptstables, _xlpm.ptstables &lt;&gt; "")),
  _xlpm.coef, _xlpm.K + _xlpm.Knewgain / (_xlpm.Knewscale + _xlpm.nbparties),
  IF(N479="",
    "",
    _xlpm.coef * (N479-N480))
)</f>
        <v>-21.832169972392798</v>
      </c>
      <c r="O481" t="str" cm="1">
        <f t="array" ref="O481">_xlfn.LET(
  _xlpm.K, Constantes!$B$3,
  _xlpm.Knewgain, Constantes!$B$4,
  _xlpm.Knewscale, Constantes!$B$5,
  _xlpm.ptstables, INDEX(O:O, _xlfn.SEQUENCE(COUNTA($C$2:$C481), 1, 3, 4)),
  _xlpm.nbparties, COUNTA(_xlfn._xlws.FILTER(_xlpm.ptstables, _xlpm.ptstables &lt;&gt; "")),
  _xlpm.coef, _xlpm.K + _xlpm.Knewgain / (_xlpm.Knewscale + _xlpm.nbparties),
  IF(O479="",
    "",
    _xlpm.coef * (O479-O480))
)</f>
        <v/>
      </c>
      <c r="P481" t="str" cm="1">
        <f t="array" ref="P481">_xlfn.LET(
  _xlpm.K, Constantes!$B$3,
  _xlpm.Knewgain, Constantes!$B$4,
  _xlpm.Knewscale, Constantes!$B$5,
  _xlpm.ptstables, INDEX(P:P, _xlfn.SEQUENCE(COUNTA($C$2:$C481), 1, 3, 4)),
  _xlpm.nbparties, COUNTA(_xlfn._xlws.FILTER(_xlpm.ptstables, _xlpm.ptstables &lt;&gt; "")),
  _xlpm.coef, _xlpm.K + _xlpm.Knewgain / (_xlpm.Knewscale + _xlpm.nbparties),
  IF(P479="",
    "",
    _xlpm.coef * (P479-P480))
)</f>
        <v/>
      </c>
      <c r="Q481" cm="1">
        <f t="array" ref="Q481">_xlfn.LET(
  _xlpm.K, Constantes!$B$3,
  _xlpm.Knewgain, Constantes!$B$4,
  _xlpm.Knewscale, Constantes!$B$5,
  _xlpm.ptstables, INDEX(Q:Q, _xlfn.SEQUENCE(COUNTA($C$2:$C481), 1, 3, 4)),
  _xlpm.nbparties, COUNTA(_xlfn._xlws.FILTER(_xlpm.ptstables, _xlpm.ptstables &lt;&gt; "")),
  _xlpm.coef, _xlpm.K + _xlpm.Knewgain / (_xlpm.Knewscale + _xlpm.nbparties),
  IF(Q479="",
    "",
    _xlpm.coef * (Q479-Q480))
)</f>
        <v>5.3649174408441338</v>
      </c>
      <c r="R481" t="str" cm="1">
        <f t="array" ref="R481">_xlfn.LET(
  _xlpm.K, Constantes!$B$3,
  _xlpm.Knewgain, Constantes!$B$4,
  _xlpm.Knewscale, Constantes!$B$5,
  _xlpm.ptstables, INDEX(R:R, _xlfn.SEQUENCE(COUNTA($C$2:$C481), 1, 3, 4)),
  _xlpm.nbparties, COUNTA(_xlfn._xlws.FILTER(_xlpm.ptstables, _xlpm.ptstables &lt;&gt; "")),
  _xlpm.coef, _xlpm.K + _xlpm.Knewgain / (_xlpm.Knewscale + _xlpm.nbparties),
  IF(R479="",
    "",
    _xlpm.coef * (R479-R480))
)</f>
        <v/>
      </c>
      <c r="S481" t="str" cm="1">
        <f t="array" ref="S481">_xlfn.LET(
  _xlpm.K, Constantes!$B$3,
  _xlpm.Knewgain, Constantes!$B$4,
  _xlpm.Knewscale, Constantes!$B$5,
  _xlpm.ptstables, INDEX(S:S, _xlfn.SEQUENCE(COUNTA($C$2:$C481), 1, 3, 4)),
  _xlpm.nbparties, COUNTA(_xlfn._xlws.FILTER(_xlpm.ptstables, _xlpm.ptstables &lt;&gt; "")),
  _xlpm.coef, _xlpm.K + _xlpm.Knewgain / (_xlpm.Knewscale + _xlpm.nbparties),
  IF(S479="",
    "",
    _xlpm.coef * (S479-S480))
)</f>
        <v/>
      </c>
      <c r="T481" t="str" cm="1">
        <f t="array" ref="T481">_xlfn.LET(
  _xlpm.K, Constantes!$B$3,
  _xlpm.Knewgain, Constantes!$B$4,
  _xlpm.Knewscale, Constantes!$B$5,
  _xlpm.ptstables, INDEX(T:T, _xlfn.SEQUENCE(COUNTA($C$2:$C481), 1, 3, 4)),
  _xlpm.nbparties, COUNTA(_xlfn._xlws.FILTER(_xlpm.ptstables, _xlpm.ptstables &lt;&gt; "")),
  _xlpm.coef, _xlpm.K + _xlpm.Knewgain / (_xlpm.Knewscale + _xlpm.nbparties),
  IF(T479="",
    "",
    _xlpm.coef * (T479-T480))
)</f>
        <v/>
      </c>
      <c r="U481" t="str" cm="1">
        <f t="array" ref="U481">_xlfn.LET(
  _xlpm.K, Constantes!$B$3,
  _xlpm.Knewgain, Constantes!$B$4,
  _xlpm.Knewscale, Constantes!$B$5,
  _xlpm.ptstables, INDEX(U:U, _xlfn.SEQUENCE(COUNTA($C$2:$C481), 1, 3, 4)),
  _xlpm.nbparties, COUNTA(_xlfn._xlws.FILTER(_xlpm.ptstables, _xlpm.ptstables &lt;&gt; "")),
  _xlpm.coef, _xlpm.K + _xlpm.Knewgain / (_xlpm.Knewscale + _xlpm.nbparties),
  IF(U479="",
    "",
    _xlpm.coef * (U479-U480))
)</f>
        <v/>
      </c>
      <c r="V481" cm="1">
        <f t="array" ref="V481">_xlfn.LET(
  _xlpm.K, Constantes!$B$3,
  _xlpm.Knewgain, Constantes!$B$4,
  _xlpm.Knewscale, Constantes!$B$5,
  _xlpm.ptstables, INDEX(V:V, _xlfn.SEQUENCE(COUNTA($C$2:$C481), 1, 3, 4)),
  _xlpm.nbparties, COUNTA(_xlfn._xlws.FILTER(_xlpm.ptstables, _xlpm.ptstables &lt;&gt; "")),
  _xlpm.coef, _xlpm.K + _xlpm.Knewgain / (_xlpm.Knewscale + _xlpm.nbparties),
  IF(V479="",
    "",
    _xlpm.coef * (V479-V480))
)</f>
        <v>-7.2472630568424767</v>
      </c>
      <c r="W481" t="str" cm="1">
        <f t="array" ref="W481">_xlfn.LET(
  _xlpm.K, Constantes!$B$3,
  _xlpm.Knewgain, Constantes!$B$4,
  _xlpm.Knewscale, Constantes!$B$5,
  _xlpm.ptstables, INDEX(W:W, _xlfn.SEQUENCE(COUNTA($C$2:$C481), 1, 3, 4)),
  _xlpm.nbparties, COUNTA(_xlfn._xlws.FILTER(_xlpm.ptstables, _xlpm.ptstables &lt;&gt; "")),
  _xlpm.coef, _xlpm.K + _xlpm.Knewgain / (_xlpm.Knewscale + _xlpm.nbparties),
  IF(W479="",
    "",
    _xlpm.coef * (W479-W480))
)</f>
        <v/>
      </c>
      <c r="X481" t="str" cm="1">
        <f t="array" ref="X481">_xlfn.LET(
  _xlpm.K, Constantes!$B$3,
  _xlpm.Knewgain, Constantes!$B$4,
  _xlpm.Knewscale, Constantes!$B$5,
  _xlpm.ptstables, INDEX(X:X, _xlfn.SEQUENCE(COUNTA($C$2:$C481), 1, 3, 4)),
  _xlpm.nbparties, COUNTA(_xlfn._xlws.FILTER(_xlpm.ptstables, _xlpm.ptstables &lt;&gt; "")),
  _xlpm.coef, _xlpm.K + _xlpm.Knewgain / (_xlpm.Knewscale + _xlpm.nbparties),
  IF(X479="",
    "",
    _xlpm.coef * (X479-X480))
)</f>
        <v/>
      </c>
      <c r="Y481" t="str" cm="1">
        <f t="array" ref="Y481">_xlfn.LET(
  _xlpm.K, Constantes!$B$3,
  _xlpm.Knewgain, Constantes!$B$4,
  _xlpm.Knewscale, Constantes!$B$5,
  _xlpm.ptstables, INDEX(Y:Y, _xlfn.SEQUENCE(COUNTA($C$2:$C481), 1, 3, 4)),
  _xlpm.nbparties, COUNTA(_xlfn._xlws.FILTER(_xlpm.ptstables, _xlpm.ptstables &lt;&gt; "")),
  _xlpm.coef, _xlpm.K + _xlpm.Knewgain / (_xlpm.Knewscale + _xlpm.nbparties),
  IF(Y479="",
    "",
    _xlpm.coef * (Y479-Y480))
)</f>
        <v/>
      </c>
      <c r="Z481" t="str" cm="1">
        <f t="array" ref="Z481">_xlfn.LET(
  _xlpm.K, Constantes!$B$3,
  _xlpm.Knewgain, Constantes!$B$4,
  _xlpm.Knewscale, Constantes!$B$5,
  _xlpm.ptstables, INDEX(Z:Z, _xlfn.SEQUENCE(COUNTA($C$2:$C481), 1, 3, 4)),
  _xlpm.nbparties, COUNTA(_xlfn._xlws.FILTER(_xlpm.ptstables, _xlpm.ptstables &lt;&gt; "")),
  _xlpm.coef, _xlpm.K + _xlpm.Knewgain / (_xlpm.Knewscale + _xlpm.nbparties),
  IF(Z479="",
    "",
    _xlpm.coef * (Z479-Z480))
)</f>
        <v/>
      </c>
      <c r="AA481" t="str" cm="1">
        <f t="array" ref="AA481">_xlfn.LET(
  _xlpm.K, Constantes!$B$3,
  _xlpm.Knewgain, Constantes!$B$4,
  _xlpm.Knewscale, Constantes!$B$5,
  _xlpm.ptstables, INDEX(AA:AA, _xlfn.SEQUENCE(COUNTA($C$2:$C481), 1, 3, 4)),
  _xlpm.nbparties, COUNTA(_xlfn._xlws.FILTER(_xlpm.ptstables, _xlpm.ptstables &lt;&gt; "")),
  _xlpm.coef, _xlpm.K + _xlpm.Knewgain / (_xlpm.Knewscale + _xlpm.nbparties),
  IF(AA479="",
    "",
    _xlpm.coef * (AA479-AA480))
)</f>
        <v/>
      </c>
      <c r="AB481" t="str" cm="1">
        <f t="array" ref="AB481">_xlfn.LET(
  _xlpm.K, Constantes!$B$3,
  _xlpm.Knewgain, Constantes!$B$4,
  _xlpm.Knewscale, Constantes!$B$5,
  _xlpm.ptstables, INDEX(AB:AB, _xlfn.SEQUENCE(COUNTA($C$2:$C481), 1, 3, 4)),
  _xlpm.nbparties, COUNTA(_xlfn._xlws.FILTER(_xlpm.ptstables, _xlpm.ptstables &lt;&gt; "")),
  _xlpm.coef, _xlpm.K + _xlpm.Knewgain / (_xlpm.Knewscale + _xlpm.nbparties),
  IF(AB479="",
    "",
    _xlpm.coef * (AB479-AB480))
)</f>
        <v/>
      </c>
      <c r="AC481" t="str" cm="1">
        <f t="array" ref="AC481">_xlfn.LET(
  _xlpm.K, Constantes!$B$3,
  _xlpm.Knewgain, Constantes!$B$4,
  _xlpm.Knewscale, Constantes!$B$5,
  _xlpm.ptstables, INDEX(AC:AC, _xlfn.SEQUENCE(COUNTA($C$2:$C481), 1, 3, 4)),
  _xlpm.nbparties, COUNTA(_xlfn._xlws.FILTER(_xlpm.ptstables, _xlpm.ptstables &lt;&gt; "")),
  _xlpm.coef, _xlpm.K + _xlpm.Knewgain / (_xlpm.Knewscale + _xlpm.nbparties),
  IF(AC479="",
    "",
    _xlpm.coef * (AC479-AC480))
)</f>
        <v/>
      </c>
      <c r="AD481" t="str" cm="1">
        <f t="array" ref="AD481">_xlfn.LET(
  _xlpm.K, Constantes!$B$3,
  _xlpm.Knewgain, Constantes!$B$4,
  _xlpm.Knewscale, Constantes!$B$5,
  _xlpm.ptstables, INDEX(AD:AD, _xlfn.SEQUENCE(COUNTA($C$2:$C481), 1, 3, 4)),
  _xlpm.nbparties, COUNTA(_xlfn._xlws.FILTER(_xlpm.ptstables, _xlpm.ptstables &lt;&gt; "")),
  _xlpm.coef, _xlpm.K + _xlpm.Knewgain / (_xlpm.Knewscale + _xlpm.nbparties),
  IF(AD479="",
    "",
    _xlpm.coef * (AD479-AD480))
)</f>
        <v/>
      </c>
      <c r="AE481" t="str" cm="1">
        <f t="array" ref="AE481">_xlfn.LET(
  _xlpm.K, Constantes!$B$3,
  _xlpm.Knewgain, Constantes!$B$4,
  _xlpm.Knewscale, Constantes!$B$5,
  _xlpm.ptstables, INDEX(AE:AE, _xlfn.SEQUENCE(COUNTA($C$2:$C481), 1, 3, 4)),
  _xlpm.nbparties, COUNTA(_xlfn._xlws.FILTER(_xlpm.ptstables, _xlpm.ptstables &lt;&gt; "")),
  _xlpm.coef, _xlpm.K + _xlpm.Knewgain / (_xlpm.Knewscale + _xlpm.nbparties),
  IF(AE479="",
    "",
    _xlpm.coef * (AE479-AE480))
)</f>
        <v/>
      </c>
      <c r="AF481" t="str" cm="1">
        <f t="array" ref="AF481">_xlfn.LET(
  _xlpm.K, Constantes!$B$3,
  _xlpm.Knewgain, Constantes!$B$4,
  _xlpm.Knewscale, Constantes!$B$5,
  _xlpm.ptstables, INDEX(AF:AF, _xlfn.SEQUENCE(COUNTA($C$2:$C481), 1, 3, 4)),
  _xlpm.nbparties, COUNTA(_xlfn._xlws.FILTER(_xlpm.ptstables, _xlpm.ptstables &lt;&gt; "")),
  _xlpm.coef, _xlpm.K + _xlpm.Knewgain / (_xlpm.Knewscale + _xlpm.nbparties),
  IF(AF479="",
    "",
    _xlpm.coef * (AF479-AF480))
)</f>
        <v/>
      </c>
      <c r="AG481" t="str" cm="1">
        <f t="array" ref="AG481">_xlfn.LET(
  _xlpm.K, Constantes!$B$3,
  _xlpm.Knewgain, Constantes!$B$4,
  _xlpm.Knewscale, Constantes!$B$5,
  _xlpm.ptstables, INDEX(AG:AG, _xlfn.SEQUENCE(COUNTA($C$2:$C481), 1, 3, 4)),
  _xlpm.nbparties, COUNTA(_xlfn._xlws.FILTER(_xlpm.ptstables, _xlpm.ptstables &lt;&gt; "")),
  _xlpm.coef, _xlpm.K + _xlpm.Knewgain / (_xlpm.Knewscale + _xlpm.nbparties),
  IF(AG479="",
    "",
    _xlpm.coef * (AG479-AG480))
)</f>
        <v/>
      </c>
      <c r="AH481" t="str" cm="1">
        <f t="array" ref="AH481">_xlfn.LET(
  _xlpm.K, Constantes!$B$3,
  _xlpm.Knewgain, Constantes!$B$4,
  _xlpm.Knewscale, Constantes!$B$5,
  _xlpm.ptstables, INDEX(AH:AH, _xlfn.SEQUENCE(COUNTA($C$2:$C481), 1, 3, 4)),
  _xlpm.nbparties, COUNTA(_xlfn._xlws.FILTER(_xlpm.ptstables, _xlpm.ptstables &lt;&gt; "")),
  _xlpm.coef, _xlpm.K + _xlpm.Knewgain / (_xlpm.Knewscale + _xlpm.nbparties),
  IF(AH479="",
    "",
    _xlpm.coef * (AH479-AH480))
)</f>
        <v/>
      </c>
      <c r="AI481" t="str" cm="1">
        <f t="array" ref="AI481">_xlfn.LET(
  _xlpm.K, Constantes!$B$3,
  _xlpm.Knewgain, Constantes!$B$4,
  _xlpm.Knewscale, Constantes!$B$5,
  _xlpm.ptstables, INDEX(AI:AI, _xlfn.SEQUENCE(COUNTA($C$2:$C481), 1, 3, 4)),
  _xlpm.nbparties, COUNTA(_xlfn._xlws.FILTER(_xlpm.ptstables, _xlpm.ptstables &lt;&gt; "")),
  _xlpm.coef, _xlpm.K + _xlpm.Knewgain / (_xlpm.Knewscale + _xlpm.nbparties),
  IF(AI479="",
    "",
    _xlpm.coef * (AI479-AI480))
)</f>
        <v/>
      </c>
      <c r="AJ481" t="str" cm="1">
        <f t="array" ref="AJ481">_xlfn.LET(
  _xlpm.K, Constantes!$B$3,
  _xlpm.Knewgain, Constantes!$B$4,
  _xlpm.Knewscale, Constantes!$B$5,
  _xlpm.ptstables, INDEX(AJ:AJ, _xlfn.SEQUENCE(COUNTA($C$2:$C481), 1, 3, 4)),
  _xlpm.nbparties, COUNTA(_xlfn._xlws.FILTER(_xlpm.ptstables, _xlpm.ptstables &lt;&gt; "")),
  _xlpm.coef, _xlpm.K + _xlpm.Knewgain / (_xlpm.Knewscale + _xlpm.nbparties),
  IF(AJ479="",
    "",
    _xlpm.coef * (AJ479-AJ480))
)</f>
        <v/>
      </c>
      <c r="AK481" t="str" cm="1">
        <f t="array" ref="AK481">_xlfn.LET(
  _xlpm.K, Constantes!$B$3,
  _xlpm.Knewgain, Constantes!$B$4,
  _xlpm.Knewscale, Constantes!$B$5,
  _xlpm.ptstables, INDEX(AK:AK, _xlfn.SEQUENCE(COUNTA($C$2:$C481), 1, 3, 4)),
  _xlpm.nbparties, COUNTA(_xlfn._xlws.FILTER(_xlpm.ptstables, _xlpm.ptstables &lt;&gt; "")),
  _xlpm.coef, _xlpm.K + _xlpm.Knewgain / (_xlpm.Knewscale + _xlpm.nbparties),
  IF(AK479="",
    "",
    _xlpm.coef * (AK479-AK480))
)</f>
        <v/>
      </c>
      <c r="AL481" t="str" cm="1">
        <f t="array" ref="AL481">_xlfn.LET(
  _xlpm.K, Constantes!$B$3,
  _xlpm.Knewgain, Constantes!$B$4,
  _xlpm.Knewscale, Constantes!$B$5,
  _xlpm.ptstables, INDEX(AL:AL, _xlfn.SEQUENCE(COUNTA($C$2:$C481), 1, 3, 4)),
  _xlpm.nbparties, COUNTA(_xlfn._xlws.FILTER(_xlpm.ptstables, _xlpm.ptstables &lt;&gt; "")),
  _xlpm.coef, _xlpm.K + _xlpm.Knewgain / (_xlpm.Knewscale + _xlpm.nbparties),
  IF(AL479="",
    "",
    _xlpm.coef * (AL479-AL480))
)</f>
        <v/>
      </c>
      <c r="AM481" t="str" cm="1">
        <f t="array" ref="AM481">_xlfn.LET(
  _xlpm.K, Constantes!$B$3,
  _xlpm.Knewgain, Constantes!$B$4,
  _xlpm.Knewscale, Constantes!$B$5,
  _xlpm.ptstables, INDEX(AM:AM, _xlfn.SEQUENCE(COUNTA($C$2:$C481), 1, 3, 4)),
  _xlpm.nbparties, COUNTA(_xlfn._xlws.FILTER(_xlpm.ptstables, _xlpm.ptstables &lt;&gt; "")),
  _xlpm.coef, _xlpm.K + _xlpm.Knewgain / (_xlpm.Knewscale + _xlpm.nbparties),
  IF(AM479="",
    "",
    _xlpm.coef * (AM479-AM480))
)</f>
        <v/>
      </c>
    </row>
    <row r="482" spans="1:39" x14ac:dyDescent="0.25">
      <c r="A482" t="s">
        <v>14</v>
      </c>
      <c r="B482" t="str" cm="1">
        <f t="array" ref="B48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120</v>
      </c>
      <c r="C482" s="2" cm="1">
        <f t="array" ref="C482">IF(B482="","",
  INDEX(Donnees!F:F, MATCH(B482, Donnees!F:F, 0)+1))</f>
        <v>45969.827604166669</v>
      </c>
      <c r="D482">
        <f t="shared" ref="D482:AM482" si="128">D478+IF(D481="",0,D481)</f>
        <v>970.88542284486812</v>
      </c>
      <c r="E482">
        <f t="shared" si="128"/>
        <v>1210.4982334124238</v>
      </c>
      <c r="F482">
        <f t="shared" si="128"/>
        <v>911.8835833951041</v>
      </c>
      <c r="G482">
        <f t="shared" si="128"/>
        <v>1009.6650561189861</v>
      </c>
      <c r="H482">
        <f t="shared" si="128"/>
        <v>1117.5250985570954</v>
      </c>
      <c r="I482">
        <f t="shared" si="128"/>
        <v>883.37234630448143</v>
      </c>
      <c r="J482">
        <f t="shared" si="128"/>
        <v>952.15570665875975</v>
      </c>
      <c r="K482">
        <f t="shared" si="128"/>
        <v>1062.2548360982171</v>
      </c>
      <c r="L482">
        <f t="shared" si="128"/>
        <v>775.39796117257981</v>
      </c>
      <c r="M482">
        <f t="shared" si="128"/>
        <v>927.4581540493366</v>
      </c>
      <c r="N482">
        <f t="shared" si="128"/>
        <v>878.15153649009756</v>
      </c>
      <c r="O482">
        <f t="shared" si="128"/>
        <v>997.04050320786712</v>
      </c>
      <c r="P482">
        <f t="shared" si="128"/>
        <v>1000.038589629396</v>
      </c>
      <c r="Q482">
        <f t="shared" si="128"/>
        <v>1054.0946828197484</v>
      </c>
      <c r="R482">
        <f t="shared" si="128"/>
        <v>1100.1807227213831</v>
      </c>
      <c r="S482">
        <f t="shared" si="128"/>
        <v>968.32887381256023</v>
      </c>
      <c r="T482">
        <f t="shared" si="128"/>
        <v>1128.5835529389994</v>
      </c>
      <c r="U482">
        <f t="shared" si="128"/>
        <v>1222.7257721587478</v>
      </c>
      <c r="V482">
        <f t="shared" si="128"/>
        <v>957.61451983344352</v>
      </c>
      <c r="W482">
        <f t="shared" si="128"/>
        <v>905.2317797496944</v>
      </c>
      <c r="X482">
        <f t="shared" si="128"/>
        <v>858.92096928478088</v>
      </c>
      <c r="Y482">
        <f t="shared" si="128"/>
        <v>1005.462386147187</v>
      </c>
      <c r="Z482">
        <f t="shared" si="128"/>
        <v>1008.6876849635962</v>
      </c>
      <c r="AA482">
        <f t="shared" si="128"/>
        <v>942.27730100696294</v>
      </c>
      <c r="AB482">
        <f t="shared" si="128"/>
        <v>988.35669729544747</v>
      </c>
      <c r="AC482">
        <f t="shared" si="128"/>
        <v>913.83290299884754</v>
      </c>
      <c r="AD482">
        <f t="shared" si="128"/>
        <v>1054.5168154629837</v>
      </c>
      <c r="AE482">
        <f t="shared" si="128"/>
        <v>963.23981965000235</v>
      </c>
      <c r="AF482">
        <f t="shared" si="128"/>
        <v>1094.8196847516158</v>
      </c>
      <c r="AG482">
        <f t="shared" si="128"/>
        <v>958.23078604304851</v>
      </c>
      <c r="AH482">
        <f t="shared" si="128"/>
        <v>920.4412636682855</v>
      </c>
      <c r="AI482">
        <f t="shared" si="128"/>
        <v>1036.4167877702052</v>
      </c>
      <c r="AJ482">
        <f t="shared" si="128"/>
        <v>906.86354201913434</v>
      </c>
      <c r="AK482">
        <f t="shared" si="128"/>
        <v>1074.0069367206956</v>
      </c>
      <c r="AL482">
        <f t="shared" si="128"/>
        <v>1025.7817971572972</v>
      </c>
      <c r="AM482">
        <f t="shared" si="128"/>
        <v>930.08392160706046</v>
      </c>
    </row>
    <row r="483" spans="1:39" x14ac:dyDescent="0.25">
      <c r="A483" t="s">
        <v>21</v>
      </c>
      <c r="D483" t="str" cm="1">
        <f t="array" ref="D483">IFERROR(
  _xlfn.LET(
    _xlpm.ligpartie, MATCH($B482, Donnees!$F:$F, 0),
    _xlpm.joueurs, INDEX(Donnees!$A:$Z, _xlpm.ligpartie+1, _xlfn.SEQUENCE(1, 4, 2)),
    INDEX(
      Donnees!$A:$Z,
      _xlpm.ligpartie + 3,
      MATCH(D$1, _xlpm.joueurs, 0) + 1
    )
  ), ""
)</f>
        <v/>
      </c>
      <c r="E483" t="str" cm="1">
        <f t="array" ref="E483">IFERROR(
  _xlfn.LET(
    _xlpm.ligpartie, MATCH($B482, Donnees!$F:$F, 0),
    _xlpm.joueurs, INDEX(Donnees!$A:$Z, _xlpm.ligpartie+1, _xlfn.SEQUENCE(1, 4, 2)),
    INDEX(
      Donnees!$A:$Z,
      _xlpm.ligpartie + 3,
      MATCH(E$1, _xlpm.joueurs, 0) + 1
    )
  ), ""
)</f>
        <v/>
      </c>
      <c r="F483" t="str" cm="1">
        <f t="array" ref="F483">IFERROR(
  _xlfn.LET(
    _xlpm.ligpartie, MATCH($B482, Donnees!$F:$F, 0),
    _xlpm.joueurs, INDEX(Donnees!$A:$Z, _xlpm.ligpartie+1, _xlfn.SEQUENCE(1, 4, 2)),
    INDEX(
      Donnees!$A:$Z,
      _xlpm.ligpartie + 3,
      MATCH(F$1, _xlpm.joueurs, 0) + 1
    )
  ), ""
)</f>
        <v/>
      </c>
      <c r="G483" cm="1">
        <f t="array" ref="G483">IFERROR(
  _xlfn.LET(
    _xlpm.ligpartie, MATCH($B482, Donnees!$F:$F, 0),
    _xlpm.joueurs, INDEX(Donnees!$A:$Z, _xlpm.ligpartie+1, _xlfn.SEQUENCE(1, 4, 2)),
    INDEX(
      Donnees!$A:$Z,
      _xlpm.ligpartie + 3,
      MATCH(G$1, _xlpm.joueurs, 0) + 1
    )
  ), ""
)</f>
        <v>2</v>
      </c>
      <c r="H483" t="str" cm="1">
        <f t="array" ref="H483">IFERROR(
  _xlfn.LET(
    _xlpm.ligpartie, MATCH($B482, Donnees!$F:$F, 0),
    _xlpm.joueurs, INDEX(Donnees!$A:$Z, _xlpm.ligpartie+1, _xlfn.SEQUENCE(1, 4, 2)),
    INDEX(
      Donnees!$A:$Z,
      _xlpm.ligpartie + 3,
      MATCH(H$1, _xlpm.joueurs, 0) + 1
    )
  ), ""
)</f>
        <v/>
      </c>
      <c r="I483" t="str" cm="1">
        <f t="array" ref="I483">IFERROR(
  _xlfn.LET(
    _xlpm.ligpartie, MATCH($B482, Donnees!$F:$F, 0),
    _xlpm.joueurs, INDEX(Donnees!$A:$Z, _xlpm.ligpartie+1, _xlfn.SEQUENCE(1, 4, 2)),
    INDEX(
      Donnees!$A:$Z,
      _xlpm.ligpartie + 3,
      MATCH(I$1, _xlpm.joueurs, 0) + 1
    )
  ), ""
)</f>
        <v/>
      </c>
      <c r="J483" t="str" cm="1">
        <f t="array" ref="J483">IFERROR(
  _xlfn.LET(
    _xlpm.ligpartie, MATCH($B482, Donnees!$F:$F, 0),
    _xlpm.joueurs, INDEX(Donnees!$A:$Z, _xlpm.ligpartie+1, _xlfn.SEQUENCE(1, 4, 2)),
    INDEX(
      Donnees!$A:$Z,
      _xlpm.ligpartie + 3,
      MATCH(J$1, _xlpm.joueurs, 0) + 1
    )
  ), ""
)</f>
        <v/>
      </c>
      <c r="K483" t="str" cm="1">
        <f t="array" ref="K483">IFERROR(
  _xlfn.LET(
    _xlpm.ligpartie, MATCH($B482, Donnees!$F:$F, 0),
    _xlpm.joueurs, INDEX(Donnees!$A:$Z, _xlpm.ligpartie+1, _xlfn.SEQUENCE(1, 4, 2)),
    INDEX(
      Donnees!$A:$Z,
      _xlpm.ligpartie + 3,
      MATCH(K$1, _xlpm.joueurs, 0) + 1
    )
  ), ""
)</f>
        <v/>
      </c>
      <c r="L483" t="str" cm="1">
        <f t="array" ref="L483">IFERROR(
  _xlfn.LET(
    _xlpm.ligpartie, MATCH($B482, Donnees!$F:$F, 0),
    _xlpm.joueurs, INDEX(Donnees!$A:$Z, _xlpm.ligpartie+1, _xlfn.SEQUENCE(1, 4, 2)),
    INDEX(
      Donnees!$A:$Z,
      _xlpm.ligpartie + 3,
      MATCH(L$1, _xlpm.joueurs, 0) + 1
    )
  ), ""
)</f>
        <v/>
      </c>
      <c r="M483" t="str" cm="1">
        <f t="array" ref="M483">IFERROR(
  _xlfn.LET(
    _xlpm.ligpartie, MATCH($B482, Donnees!$F:$F, 0),
    _xlpm.joueurs, INDEX(Donnees!$A:$Z, _xlpm.ligpartie+1, _xlfn.SEQUENCE(1, 4, 2)),
    INDEX(
      Donnees!$A:$Z,
      _xlpm.ligpartie + 3,
      MATCH(M$1, _xlpm.joueurs, 0) + 1
    )
  ), ""
)</f>
        <v/>
      </c>
      <c r="N483" t="str" cm="1">
        <f t="array" ref="N483">IFERROR(
  _xlfn.LET(
    _xlpm.ligpartie, MATCH($B482, Donnees!$F:$F, 0),
    _xlpm.joueurs, INDEX(Donnees!$A:$Z, _xlpm.ligpartie+1, _xlfn.SEQUENCE(1, 4, 2)),
    INDEX(
      Donnees!$A:$Z,
      _xlpm.ligpartie + 3,
      MATCH(N$1, _xlpm.joueurs, 0) + 1
    )
  ), ""
)</f>
        <v/>
      </c>
      <c r="O483" t="str" cm="1">
        <f t="array" ref="O483">IFERROR(
  _xlfn.LET(
    _xlpm.ligpartie, MATCH($B482, Donnees!$F:$F, 0),
    _xlpm.joueurs, INDEX(Donnees!$A:$Z, _xlpm.ligpartie+1, _xlfn.SEQUENCE(1, 4, 2)),
    INDEX(
      Donnees!$A:$Z,
      _xlpm.ligpartie + 3,
      MATCH(O$1, _xlpm.joueurs, 0) + 1
    )
  ), ""
)</f>
        <v/>
      </c>
      <c r="P483" cm="1">
        <f t="array" ref="P483">IFERROR(
  _xlfn.LET(
    _xlpm.ligpartie, MATCH($B482, Donnees!$F:$F, 0),
    _xlpm.joueurs, INDEX(Donnees!$A:$Z, _xlpm.ligpartie+1, _xlfn.SEQUENCE(1, 4, 2)),
    INDEX(
      Donnees!$A:$Z,
      _xlpm.ligpartie + 3,
      MATCH(P$1, _xlpm.joueurs, 0) + 1
    )
  ), ""
)</f>
        <v>1</v>
      </c>
      <c r="Q483" t="str" cm="1">
        <f t="array" ref="Q483">IFERROR(
  _xlfn.LET(
    _xlpm.ligpartie, MATCH($B482, Donnees!$F:$F, 0),
    _xlpm.joueurs, INDEX(Donnees!$A:$Z, _xlpm.ligpartie+1, _xlfn.SEQUENCE(1, 4, 2)),
    INDEX(
      Donnees!$A:$Z,
      _xlpm.ligpartie + 3,
      MATCH(Q$1, _xlpm.joueurs, 0) + 1
    )
  ), ""
)</f>
        <v/>
      </c>
      <c r="R483" cm="1">
        <f t="array" ref="R483">IFERROR(
  _xlfn.LET(
    _xlpm.ligpartie, MATCH($B482, Donnees!$F:$F, 0),
    _xlpm.joueurs, INDEX(Donnees!$A:$Z, _xlpm.ligpartie+1, _xlfn.SEQUENCE(1, 4, 2)),
    INDEX(
      Donnees!$A:$Z,
      _xlpm.ligpartie + 3,
      MATCH(R$1, _xlpm.joueurs, 0) + 1
    )
  ), ""
)</f>
        <v>3</v>
      </c>
      <c r="S483" cm="1">
        <f t="array" ref="S483">IFERROR(
  _xlfn.LET(
    _xlpm.ligpartie, MATCH($B482, Donnees!$F:$F, 0),
    _xlpm.joueurs, INDEX(Donnees!$A:$Z, _xlpm.ligpartie+1, _xlfn.SEQUENCE(1, 4, 2)),
    INDEX(
      Donnees!$A:$Z,
      _xlpm.ligpartie + 3,
      MATCH(S$1, _xlpm.joueurs, 0) + 1
    )
  ), ""
)</f>
        <v>0</v>
      </c>
      <c r="T483" t="str" cm="1">
        <f t="array" ref="T483">IFERROR(
  _xlfn.LET(
    _xlpm.ligpartie, MATCH($B482, Donnees!$F:$F, 0),
    _xlpm.joueurs, INDEX(Donnees!$A:$Z, _xlpm.ligpartie+1, _xlfn.SEQUENCE(1, 4, 2)),
    INDEX(
      Donnees!$A:$Z,
      _xlpm.ligpartie + 3,
      MATCH(T$1, _xlpm.joueurs, 0) + 1
    )
  ), ""
)</f>
        <v/>
      </c>
      <c r="U483" t="str" cm="1">
        <f t="array" ref="U483">IFERROR(
  _xlfn.LET(
    _xlpm.ligpartie, MATCH($B482, Donnees!$F:$F, 0),
    _xlpm.joueurs, INDEX(Donnees!$A:$Z, _xlpm.ligpartie+1, _xlfn.SEQUENCE(1, 4, 2)),
    INDEX(
      Donnees!$A:$Z,
      _xlpm.ligpartie + 3,
      MATCH(U$1, _xlpm.joueurs, 0) + 1
    )
  ), ""
)</f>
        <v/>
      </c>
      <c r="V483" t="str" cm="1">
        <f t="array" ref="V483">IFERROR(
  _xlfn.LET(
    _xlpm.ligpartie, MATCH($B482, Donnees!$F:$F, 0),
    _xlpm.joueurs, INDEX(Donnees!$A:$Z, _xlpm.ligpartie+1, _xlfn.SEQUENCE(1, 4, 2)),
    INDEX(
      Donnees!$A:$Z,
      _xlpm.ligpartie + 3,
      MATCH(V$1, _xlpm.joueurs, 0) + 1
    )
  ), ""
)</f>
        <v/>
      </c>
      <c r="W483" t="str" cm="1">
        <f t="array" ref="W483">IFERROR(
  _xlfn.LET(
    _xlpm.ligpartie, MATCH($B482, Donnees!$F:$F, 0),
    _xlpm.joueurs, INDEX(Donnees!$A:$Z, _xlpm.ligpartie+1, _xlfn.SEQUENCE(1, 4, 2)),
    INDEX(
      Donnees!$A:$Z,
      _xlpm.ligpartie + 3,
      MATCH(W$1, _xlpm.joueurs, 0) + 1
    )
  ), ""
)</f>
        <v/>
      </c>
      <c r="X483" t="str" cm="1">
        <f t="array" ref="X483">IFERROR(
  _xlfn.LET(
    _xlpm.ligpartie, MATCH($B482, Donnees!$F:$F, 0),
    _xlpm.joueurs, INDEX(Donnees!$A:$Z, _xlpm.ligpartie+1, _xlfn.SEQUENCE(1, 4, 2)),
    INDEX(
      Donnees!$A:$Z,
      _xlpm.ligpartie + 3,
      MATCH(X$1, _xlpm.joueurs, 0) + 1
    )
  ), ""
)</f>
        <v/>
      </c>
      <c r="Y483" t="str" cm="1">
        <f t="array" ref="Y483">IFERROR(
  _xlfn.LET(
    _xlpm.ligpartie, MATCH($B482, Donnees!$F:$F, 0),
    _xlpm.joueurs, INDEX(Donnees!$A:$Z, _xlpm.ligpartie+1, _xlfn.SEQUENCE(1, 4, 2)),
    INDEX(
      Donnees!$A:$Z,
      _xlpm.ligpartie + 3,
      MATCH(Y$1, _xlpm.joueurs, 0) + 1
    )
  ), ""
)</f>
        <v/>
      </c>
      <c r="Z483" t="str" cm="1">
        <f t="array" ref="Z483">IFERROR(
  _xlfn.LET(
    _xlpm.ligpartie, MATCH($B482, Donnees!$F:$F, 0),
    _xlpm.joueurs, INDEX(Donnees!$A:$Z, _xlpm.ligpartie+1, _xlfn.SEQUENCE(1, 4, 2)),
    INDEX(
      Donnees!$A:$Z,
      _xlpm.ligpartie + 3,
      MATCH(Z$1, _xlpm.joueurs, 0) + 1
    )
  ), ""
)</f>
        <v/>
      </c>
      <c r="AA483" t="str" cm="1">
        <f t="array" ref="AA483">IFERROR(
  _xlfn.LET(
    _xlpm.ligpartie, MATCH($B482, Donnees!$F:$F, 0),
    _xlpm.joueurs, INDEX(Donnees!$A:$Z, _xlpm.ligpartie+1, _xlfn.SEQUENCE(1, 4, 2)),
    INDEX(
      Donnees!$A:$Z,
      _xlpm.ligpartie + 3,
      MATCH(AA$1, _xlpm.joueurs, 0) + 1
    )
  ), ""
)</f>
        <v/>
      </c>
      <c r="AB483" t="str" cm="1">
        <f t="array" ref="AB483">IFERROR(
  _xlfn.LET(
    _xlpm.ligpartie, MATCH($B482, Donnees!$F:$F, 0),
    _xlpm.joueurs, INDEX(Donnees!$A:$Z, _xlpm.ligpartie+1, _xlfn.SEQUENCE(1, 4, 2)),
    INDEX(
      Donnees!$A:$Z,
      _xlpm.ligpartie + 3,
      MATCH(AB$1, _xlpm.joueurs, 0) + 1
    )
  ), ""
)</f>
        <v/>
      </c>
      <c r="AC483" t="str" cm="1">
        <f t="array" ref="AC483">IFERROR(
  _xlfn.LET(
    _xlpm.ligpartie, MATCH($B482, Donnees!$F:$F, 0),
    _xlpm.joueurs, INDEX(Donnees!$A:$Z, _xlpm.ligpartie+1, _xlfn.SEQUENCE(1, 4, 2)),
    INDEX(
      Donnees!$A:$Z,
      _xlpm.ligpartie + 3,
      MATCH(AC$1, _xlpm.joueurs, 0) + 1
    )
  ), ""
)</f>
        <v/>
      </c>
      <c r="AD483" t="str" cm="1">
        <f t="array" ref="AD483">IFERROR(
  _xlfn.LET(
    _xlpm.ligpartie, MATCH($B482, Donnees!$F:$F, 0),
    _xlpm.joueurs, INDEX(Donnees!$A:$Z, _xlpm.ligpartie+1, _xlfn.SEQUENCE(1, 4, 2)),
    INDEX(
      Donnees!$A:$Z,
      _xlpm.ligpartie + 3,
      MATCH(AD$1, _xlpm.joueurs, 0) + 1
    )
  ), ""
)</f>
        <v/>
      </c>
      <c r="AE483" t="str" cm="1">
        <f t="array" ref="AE483">IFERROR(
  _xlfn.LET(
    _xlpm.ligpartie, MATCH($B482, Donnees!$F:$F, 0),
    _xlpm.joueurs, INDEX(Donnees!$A:$Z, _xlpm.ligpartie+1, _xlfn.SEQUENCE(1, 4, 2)),
    INDEX(
      Donnees!$A:$Z,
      _xlpm.ligpartie + 3,
      MATCH(AE$1, _xlpm.joueurs, 0) + 1
    )
  ), ""
)</f>
        <v/>
      </c>
      <c r="AF483" t="str" cm="1">
        <f t="array" ref="AF483">IFERROR(
  _xlfn.LET(
    _xlpm.ligpartie, MATCH($B482, Donnees!$F:$F, 0),
    _xlpm.joueurs, INDEX(Donnees!$A:$Z, _xlpm.ligpartie+1, _xlfn.SEQUENCE(1, 4, 2)),
    INDEX(
      Donnees!$A:$Z,
      _xlpm.ligpartie + 3,
      MATCH(AF$1, _xlpm.joueurs, 0) + 1
    )
  ), ""
)</f>
        <v/>
      </c>
      <c r="AG483" t="str" cm="1">
        <f t="array" ref="AG483">IFERROR(
  _xlfn.LET(
    _xlpm.ligpartie, MATCH($B482, Donnees!$F:$F, 0),
    _xlpm.joueurs, INDEX(Donnees!$A:$Z, _xlpm.ligpartie+1, _xlfn.SEQUENCE(1, 4, 2)),
    INDEX(
      Donnees!$A:$Z,
      _xlpm.ligpartie + 3,
      MATCH(AG$1, _xlpm.joueurs, 0) + 1
    )
  ), ""
)</f>
        <v/>
      </c>
      <c r="AH483" t="str" cm="1">
        <f t="array" ref="AH483">IFERROR(
  _xlfn.LET(
    _xlpm.ligpartie, MATCH($B482, Donnees!$F:$F, 0),
    _xlpm.joueurs, INDEX(Donnees!$A:$Z, _xlpm.ligpartie+1, _xlfn.SEQUENCE(1, 4, 2)),
    INDEX(
      Donnees!$A:$Z,
      _xlpm.ligpartie + 3,
      MATCH(AH$1, _xlpm.joueurs, 0) + 1
    )
  ), ""
)</f>
        <v/>
      </c>
      <c r="AI483" t="str" cm="1">
        <f t="array" ref="AI483">IFERROR(
  _xlfn.LET(
    _xlpm.ligpartie, MATCH($B482, Donnees!$F:$F, 0),
    _xlpm.joueurs, INDEX(Donnees!$A:$Z, _xlpm.ligpartie+1, _xlfn.SEQUENCE(1, 4, 2)),
    INDEX(
      Donnees!$A:$Z,
      _xlpm.ligpartie + 3,
      MATCH(AI$1, _xlpm.joueurs, 0) + 1
    )
  ), ""
)</f>
        <v/>
      </c>
      <c r="AJ483" t="str" cm="1">
        <f t="array" ref="AJ483">IFERROR(
  _xlfn.LET(
    _xlpm.ligpartie, MATCH($B482, Donnees!$F:$F, 0),
    _xlpm.joueurs, INDEX(Donnees!$A:$Z, _xlpm.ligpartie+1, _xlfn.SEQUENCE(1, 4, 2)),
    INDEX(
      Donnees!$A:$Z,
      _xlpm.ligpartie + 3,
      MATCH(AJ$1, _xlpm.joueurs, 0) + 1
    )
  ), ""
)</f>
        <v/>
      </c>
      <c r="AK483" t="str" cm="1">
        <f t="array" ref="AK483">IFERROR(
  _xlfn.LET(
    _xlpm.ligpartie, MATCH($B482, Donnees!$F:$F, 0),
    _xlpm.joueurs, INDEX(Donnees!$A:$Z, _xlpm.ligpartie+1, _xlfn.SEQUENCE(1, 4, 2)),
    INDEX(
      Donnees!$A:$Z,
      _xlpm.ligpartie + 3,
      MATCH(AK$1, _xlpm.joueurs, 0) + 1
    )
  ), ""
)</f>
        <v/>
      </c>
      <c r="AL483" t="str" cm="1">
        <f t="array" ref="AL483">IFERROR(
  _xlfn.LET(
    _xlpm.ligpartie, MATCH($B482, Donnees!$F:$F, 0),
    _xlpm.joueurs, INDEX(Donnees!$A:$Z, _xlpm.ligpartie+1, _xlfn.SEQUENCE(1, 4, 2)),
    INDEX(
      Donnees!$A:$Z,
      _xlpm.ligpartie + 3,
      MATCH(AL$1, _xlpm.joueurs, 0) + 1
    )
  ), ""
)</f>
        <v/>
      </c>
      <c r="AM483" t="str" cm="1">
        <f t="array" ref="AM483">IFERROR(
  _xlfn.LET(
    _xlpm.ligpartie, MATCH($B482, Donnees!$F:$F, 0),
    _xlpm.joueurs, INDEX(Donnees!$A:$Z, _xlpm.ligpartie+1, _xlfn.SEQUENCE(1, 4, 2)),
    INDEX(
      Donnees!$A:$Z,
      _xlpm.ligpartie + 3,
      MATCH(AM$1, _xlpm.joueurs, 0) + 1
    )
  ), ""
)</f>
        <v/>
      </c>
    </row>
    <row r="484" spans="1:39" x14ac:dyDescent="0.25">
      <c r="A484" t="s">
        <v>20</v>
      </c>
      <c r="D484" t="str" cm="1">
        <f t="array" ref="D484">_xlfn.LET(
  _xlpm.colj, _xlfn._xlws.FILTER(IF(ISNUMBER(483:483), COLUMN(483:483)), ISNUMBER(483:483)),
  _xlpm.elos, INDEX(482:482,1,_xlpm.colj),
  _xlpm.diffscale, Constantes!$B$2,
  IF(D483="",
    "",
    SUM(1/(1+POWER(10,-(D482-_xlpm.elos)/_xlpm.diffscale)))-0.5)
)</f>
        <v/>
      </c>
      <c r="E484" t="str" cm="1">
        <f t="array" ref="E484">_xlfn.LET(
  _xlpm.colj, _xlfn._xlws.FILTER(IF(ISNUMBER(483:483), COLUMN(483:483)), ISNUMBER(483:483)),
  _xlpm.elos, INDEX(482:482,1,_xlpm.colj),
  _xlpm.diffscale, Constantes!$B$2,
  IF(E483="",
    "",
    SUM(1/(1+POWER(10,-(E482-_xlpm.elos)/_xlpm.diffscale)))-0.5)
)</f>
        <v/>
      </c>
      <c r="F484" t="str" cm="1">
        <f t="array" ref="F484">_xlfn.LET(
  _xlpm.colj, _xlfn._xlws.FILTER(IF(ISNUMBER(483:483), COLUMN(483:483)), ISNUMBER(483:483)),
  _xlpm.elos, INDEX(482:482,1,_xlpm.colj),
  _xlpm.diffscale, Constantes!$B$2,
  IF(F483="",
    "",
    SUM(1/(1+POWER(10,-(F482-_xlpm.elos)/_xlpm.diffscale)))-0.5)
)</f>
        <v/>
      </c>
      <c r="G484" cm="1">
        <f t="array" ref="G484">_xlfn.LET(
  _xlpm.colj, _xlfn._xlws.FILTER(IF(ISNUMBER(483:483), COLUMN(483:483)), ISNUMBER(483:483)),
  _xlpm.elos, INDEX(482:482,1,_xlpm.colj),
  _xlpm.diffscale, Constantes!$B$2,
  IF(G483="",
    "",
    SUM(1/(1+POWER(10,-(G482-_xlpm.elos)/_xlpm.diffscale)))-0.5)
)</f>
        <v>1.4456652267723709</v>
      </c>
      <c r="H484" t="str" cm="1">
        <f t="array" ref="H484">_xlfn.LET(
  _xlpm.colj, _xlfn._xlws.FILTER(IF(ISNUMBER(483:483), COLUMN(483:483)), ISNUMBER(483:483)),
  _xlpm.elos, INDEX(482:482,1,_xlpm.colj),
  _xlpm.diffscale, Constantes!$B$2,
  IF(H483="",
    "",
    SUM(1/(1+POWER(10,-(H482-_xlpm.elos)/_xlpm.diffscale)))-0.5)
)</f>
        <v/>
      </c>
      <c r="I484" t="str" cm="1">
        <f t="array" ref="I484">_xlfn.LET(
  _xlpm.colj, _xlfn._xlws.FILTER(IF(ISNUMBER(483:483), COLUMN(483:483)), ISNUMBER(483:483)),
  _xlpm.elos, INDEX(482:482,1,_xlpm.colj),
  _xlpm.diffscale, Constantes!$B$2,
  IF(I483="",
    "",
    SUM(1/(1+POWER(10,-(I482-_xlpm.elos)/_xlpm.diffscale)))-0.5)
)</f>
        <v/>
      </c>
      <c r="J484" t="str" cm="1">
        <f t="array" ref="J484">_xlfn.LET(
  _xlpm.colj, _xlfn._xlws.FILTER(IF(ISNUMBER(483:483), COLUMN(483:483)), ISNUMBER(483:483)),
  _xlpm.elos, INDEX(482:482,1,_xlpm.colj),
  _xlpm.diffscale, Constantes!$B$2,
  IF(J483="",
    "",
    SUM(1/(1+POWER(10,-(J482-_xlpm.elos)/_xlpm.diffscale)))-0.5)
)</f>
        <v/>
      </c>
      <c r="K484" t="str" cm="1">
        <f t="array" ref="K484">_xlfn.LET(
  _xlpm.colj, _xlfn._xlws.FILTER(IF(ISNUMBER(483:483), COLUMN(483:483)), ISNUMBER(483:483)),
  _xlpm.elos, INDEX(482:482,1,_xlpm.colj),
  _xlpm.diffscale, Constantes!$B$2,
  IF(K483="",
    "",
    SUM(1/(1+POWER(10,-(K482-_xlpm.elos)/_xlpm.diffscale)))-0.5)
)</f>
        <v/>
      </c>
      <c r="L484" t="str" cm="1">
        <f t="array" ref="L484">_xlfn.LET(
  _xlpm.colj, _xlfn._xlws.FILTER(IF(ISNUMBER(483:483), COLUMN(483:483)), ISNUMBER(483:483)),
  _xlpm.elos, INDEX(482:482,1,_xlpm.colj),
  _xlpm.diffscale, Constantes!$B$2,
  IF(L483="",
    "",
    SUM(1/(1+POWER(10,-(L482-_xlpm.elos)/_xlpm.diffscale)))-0.5)
)</f>
        <v/>
      </c>
      <c r="M484" t="str" cm="1">
        <f t="array" ref="M484">_xlfn.LET(
  _xlpm.colj, _xlfn._xlws.FILTER(IF(ISNUMBER(483:483), COLUMN(483:483)), ISNUMBER(483:483)),
  _xlpm.elos, INDEX(482:482,1,_xlpm.colj),
  _xlpm.diffscale, Constantes!$B$2,
  IF(M483="",
    "",
    SUM(1/(1+POWER(10,-(M482-_xlpm.elos)/_xlpm.diffscale)))-0.5)
)</f>
        <v/>
      </c>
      <c r="N484" t="str" cm="1">
        <f t="array" ref="N484">_xlfn.LET(
  _xlpm.colj, _xlfn._xlws.FILTER(IF(ISNUMBER(483:483), COLUMN(483:483)), ISNUMBER(483:483)),
  _xlpm.elos, INDEX(482:482,1,_xlpm.colj),
  _xlpm.diffscale, Constantes!$B$2,
  IF(N483="",
    "",
    SUM(1/(1+POWER(10,-(N482-_xlpm.elos)/_xlpm.diffscale)))-0.5)
)</f>
        <v/>
      </c>
      <c r="O484" t="str" cm="1">
        <f t="array" ref="O484">_xlfn.LET(
  _xlpm.colj, _xlfn._xlws.FILTER(IF(ISNUMBER(483:483), COLUMN(483:483)), ISNUMBER(483:483)),
  _xlpm.elos, INDEX(482:482,1,_xlpm.colj),
  _xlpm.diffscale, Constantes!$B$2,
  IF(O483="",
    "",
    SUM(1/(1+POWER(10,-(O482-_xlpm.elos)/_xlpm.diffscale)))-0.5)
)</f>
        <v/>
      </c>
      <c r="P484" cm="1">
        <f t="array" ref="P484">_xlfn.LET(
  _xlpm.colj, _xlfn._xlws.FILTER(IF(ISNUMBER(483:483), COLUMN(483:483)), ISNUMBER(483:483)),
  _xlpm.elos, INDEX(482:482,1,_xlpm.colj),
  _xlpm.diffscale, Constantes!$B$2,
  IF(P483="",
    "",
    SUM(1/(1+POWER(10,-(P482-_xlpm.elos)/_xlpm.diffscale)))-0.5)
)</f>
        <v>1.3914041346723556</v>
      </c>
      <c r="Q484" t="str" cm="1">
        <f t="array" ref="Q484">_xlfn.LET(
  _xlpm.colj, _xlfn._xlws.FILTER(IF(ISNUMBER(483:483), COLUMN(483:483)), ISNUMBER(483:483)),
  _xlpm.elos, INDEX(482:482,1,_xlpm.colj),
  _xlpm.diffscale, Constantes!$B$2,
  IF(Q483="",
    "",
    SUM(1/(1+POWER(10,-(Q482-_xlpm.elos)/_xlpm.diffscale)))-0.5)
)</f>
        <v/>
      </c>
      <c r="R484" cm="1">
        <f t="array" ref="R484">_xlfn.LET(
  _xlpm.colj, _xlfn._xlws.FILTER(IF(ISNUMBER(483:483), COLUMN(483:483)), ISNUMBER(483:483)),
  _xlpm.elos, INDEX(482:482,1,_xlpm.colj),
  _xlpm.diffscale, Constantes!$B$2,
  IF(R483="",
    "",
    SUM(1/(1+POWER(10,-(R482-_xlpm.elos)/_xlpm.diffscale)))-0.5)
)</f>
        <v>1.9487833847364633</v>
      </c>
      <c r="S484" cm="1">
        <f t="array" ref="S484">_xlfn.LET(
  _xlpm.colj, _xlfn._xlws.FILTER(IF(ISNUMBER(483:483), COLUMN(483:483)), ISNUMBER(483:483)),
  _xlpm.elos, INDEX(482:482,1,_xlpm.colj),
  _xlpm.diffscale, Constantes!$B$2,
  IF(S483="",
    "",
    SUM(1/(1+POWER(10,-(S482-_xlpm.elos)/_xlpm.diffscale)))-0.5)
)</f>
        <v>1.2141472538188103</v>
      </c>
      <c r="T484" t="str" cm="1">
        <f t="array" ref="T484">_xlfn.LET(
  _xlpm.colj, _xlfn._xlws.FILTER(IF(ISNUMBER(483:483), COLUMN(483:483)), ISNUMBER(483:483)),
  _xlpm.elos, INDEX(482:482,1,_xlpm.colj),
  _xlpm.diffscale, Constantes!$B$2,
  IF(T483="",
    "",
    SUM(1/(1+POWER(10,-(T482-_xlpm.elos)/_xlpm.diffscale)))-0.5)
)</f>
        <v/>
      </c>
      <c r="U484" t="str" cm="1">
        <f t="array" ref="U484">_xlfn.LET(
  _xlpm.colj, _xlfn._xlws.FILTER(IF(ISNUMBER(483:483), COLUMN(483:483)), ISNUMBER(483:483)),
  _xlpm.elos, INDEX(482:482,1,_xlpm.colj),
  _xlpm.diffscale, Constantes!$B$2,
  IF(U483="",
    "",
    SUM(1/(1+POWER(10,-(U482-_xlpm.elos)/_xlpm.diffscale)))-0.5)
)</f>
        <v/>
      </c>
      <c r="V484" t="str" cm="1">
        <f t="array" ref="V484">_xlfn.LET(
  _xlpm.colj, _xlfn._xlws.FILTER(IF(ISNUMBER(483:483), COLUMN(483:483)), ISNUMBER(483:483)),
  _xlpm.elos, INDEX(482:482,1,_xlpm.colj),
  _xlpm.diffscale, Constantes!$B$2,
  IF(V483="",
    "",
    SUM(1/(1+POWER(10,-(V482-_xlpm.elos)/_xlpm.diffscale)))-0.5)
)</f>
        <v/>
      </c>
      <c r="W484" t="str" cm="1">
        <f t="array" ref="W484">_xlfn.LET(
  _xlpm.colj, _xlfn._xlws.FILTER(IF(ISNUMBER(483:483), COLUMN(483:483)), ISNUMBER(483:483)),
  _xlpm.elos, INDEX(482:482,1,_xlpm.colj),
  _xlpm.diffscale, Constantes!$B$2,
  IF(W483="",
    "",
    SUM(1/(1+POWER(10,-(W482-_xlpm.elos)/_xlpm.diffscale)))-0.5)
)</f>
        <v/>
      </c>
      <c r="X484" t="str" cm="1">
        <f t="array" ref="X484">_xlfn.LET(
  _xlpm.colj, _xlfn._xlws.FILTER(IF(ISNUMBER(483:483), COLUMN(483:483)), ISNUMBER(483:483)),
  _xlpm.elos, INDEX(482:482,1,_xlpm.colj),
  _xlpm.diffscale, Constantes!$B$2,
  IF(X483="",
    "",
    SUM(1/(1+POWER(10,-(X482-_xlpm.elos)/_xlpm.diffscale)))-0.5)
)</f>
        <v/>
      </c>
      <c r="Y484" t="str" cm="1">
        <f t="array" ref="Y484">_xlfn.LET(
  _xlpm.colj, _xlfn._xlws.FILTER(IF(ISNUMBER(483:483), COLUMN(483:483)), ISNUMBER(483:483)),
  _xlpm.elos, INDEX(482:482,1,_xlpm.colj),
  _xlpm.diffscale, Constantes!$B$2,
  IF(Y483="",
    "",
    SUM(1/(1+POWER(10,-(Y482-_xlpm.elos)/_xlpm.diffscale)))-0.5)
)</f>
        <v/>
      </c>
      <c r="Z484" t="str" cm="1">
        <f t="array" ref="Z484">_xlfn.LET(
  _xlpm.colj, _xlfn._xlws.FILTER(IF(ISNUMBER(483:483), COLUMN(483:483)), ISNUMBER(483:483)),
  _xlpm.elos, INDEX(482:482,1,_xlpm.colj),
  _xlpm.diffscale, Constantes!$B$2,
  IF(Z483="",
    "",
    SUM(1/(1+POWER(10,-(Z482-_xlpm.elos)/_xlpm.diffscale)))-0.5)
)</f>
        <v/>
      </c>
      <c r="AA484" t="str" cm="1">
        <f t="array" ref="AA484">_xlfn.LET(
  _xlpm.colj, _xlfn._xlws.FILTER(IF(ISNUMBER(483:483), COLUMN(483:483)), ISNUMBER(483:483)),
  _xlpm.elos, INDEX(482:482,1,_xlpm.colj),
  _xlpm.diffscale, Constantes!$B$2,
  IF(AA483="",
    "",
    SUM(1/(1+POWER(10,-(AA482-_xlpm.elos)/_xlpm.diffscale)))-0.5)
)</f>
        <v/>
      </c>
      <c r="AB484" t="str" cm="1">
        <f t="array" ref="AB484">_xlfn.LET(
  _xlpm.colj, _xlfn._xlws.FILTER(IF(ISNUMBER(483:483), COLUMN(483:483)), ISNUMBER(483:483)),
  _xlpm.elos, INDEX(482:482,1,_xlpm.colj),
  _xlpm.diffscale, Constantes!$B$2,
  IF(AB483="",
    "",
    SUM(1/(1+POWER(10,-(AB482-_xlpm.elos)/_xlpm.diffscale)))-0.5)
)</f>
        <v/>
      </c>
      <c r="AC484" t="str" cm="1">
        <f t="array" ref="AC484">_xlfn.LET(
  _xlpm.colj, _xlfn._xlws.FILTER(IF(ISNUMBER(483:483), COLUMN(483:483)), ISNUMBER(483:483)),
  _xlpm.elos, INDEX(482:482,1,_xlpm.colj),
  _xlpm.diffscale, Constantes!$B$2,
  IF(AC483="",
    "",
    SUM(1/(1+POWER(10,-(AC482-_xlpm.elos)/_xlpm.diffscale)))-0.5)
)</f>
        <v/>
      </c>
      <c r="AD484" t="str" cm="1">
        <f t="array" ref="AD484">_xlfn.LET(
  _xlpm.colj, _xlfn._xlws.FILTER(IF(ISNUMBER(483:483), COLUMN(483:483)), ISNUMBER(483:483)),
  _xlpm.elos, INDEX(482:482,1,_xlpm.colj),
  _xlpm.diffscale, Constantes!$B$2,
  IF(AD483="",
    "",
    SUM(1/(1+POWER(10,-(AD482-_xlpm.elos)/_xlpm.diffscale)))-0.5)
)</f>
        <v/>
      </c>
      <c r="AE484" t="str" cm="1">
        <f t="array" ref="AE484">_xlfn.LET(
  _xlpm.colj, _xlfn._xlws.FILTER(IF(ISNUMBER(483:483), COLUMN(483:483)), ISNUMBER(483:483)),
  _xlpm.elos, INDEX(482:482,1,_xlpm.colj),
  _xlpm.diffscale, Constantes!$B$2,
  IF(AE483="",
    "",
    SUM(1/(1+POWER(10,-(AE482-_xlpm.elos)/_xlpm.diffscale)))-0.5)
)</f>
        <v/>
      </c>
      <c r="AF484" t="str" cm="1">
        <f t="array" ref="AF484">_xlfn.LET(
  _xlpm.colj, _xlfn._xlws.FILTER(IF(ISNUMBER(483:483), COLUMN(483:483)), ISNUMBER(483:483)),
  _xlpm.elos, INDEX(482:482,1,_xlpm.colj),
  _xlpm.diffscale, Constantes!$B$2,
  IF(AF483="",
    "",
    SUM(1/(1+POWER(10,-(AF482-_xlpm.elos)/_xlpm.diffscale)))-0.5)
)</f>
        <v/>
      </c>
      <c r="AG484" t="str" cm="1">
        <f t="array" ref="AG484">_xlfn.LET(
  _xlpm.colj, _xlfn._xlws.FILTER(IF(ISNUMBER(483:483), COLUMN(483:483)), ISNUMBER(483:483)),
  _xlpm.elos, INDEX(482:482,1,_xlpm.colj),
  _xlpm.diffscale, Constantes!$B$2,
  IF(AG483="",
    "",
    SUM(1/(1+POWER(10,-(AG482-_xlpm.elos)/_xlpm.diffscale)))-0.5)
)</f>
        <v/>
      </c>
      <c r="AH484" t="str" cm="1">
        <f t="array" ref="AH484">_xlfn.LET(
  _xlpm.colj, _xlfn._xlws.FILTER(IF(ISNUMBER(483:483), COLUMN(483:483)), ISNUMBER(483:483)),
  _xlpm.elos, INDEX(482:482,1,_xlpm.colj),
  _xlpm.diffscale, Constantes!$B$2,
  IF(AH483="",
    "",
    SUM(1/(1+POWER(10,-(AH482-_xlpm.elos)/_xlpm.diffscale)))-0.5)
)</f>
        <v/>
      </c>
      <c r="AI484" t="str" cm="1">
        <f t="array" ref="AI484">_xlfn.LET(
  _xlpm.colj, _xlfn._xlws.FILTER(IF(ISNUMBER(483:483), COLUMN(483:483)), ISNUMBER(483:483)),
  _xlpm.elos, INDEX(482:482,1,_xlpm.colj),
  _xlpm.diffscale, Constantes!$B$2,
  IF(AI483="",
    "",
    SUM(1/(1+POWER(10,-(AI482-_xlpm.elos)/_xlpm.diffscale)))-0.5)
)</f>
        <v/>
      </c>
      <c r="AJ484" t="str" cm="1">
        <f t="array" ref="AJ484">_xlfn.LET(
  _xlpm.colj, _xlfn._xlws.FILTER(IF(ISNUMBER(483:483), COLUMN(483:483)), ISNUMBER(483:483)),
  _xlpm.elos, INDEX(482:482,1,_xlpm.colj),
  _xlpm.diffscale, Constantes!$B$2,
  IF(AJ483="",
    "",
    SUM(1/(1+POWER(10,-(AJ482-_xlpm.elos)/_xlpm.diffscale)))-0.5)
)</f>
        <v/>
      </c>
      <c r="AK484" t="str" cm="1">
        <f t="array" ref="AK484">_xlfn.LET(
  _xlpm.colj, _xlfn._xlws.FILTER(IF(ISNUMBER(483:483), COLUMN(483:483)), ISNUMBER(483:483)),
  _xlpm.elos, INDEX(482:482,1,_xlpm.colj),
  _xlpm.diffscale, Constantes!$B$2,
  IF(AK483="",
    "",
    SUM(1/(1+POWER(10,-(AK482-_xlpm.elos)/_xlpm.diffscale)))-0.5)
)</f>
        <v/>
      </c>
      <c r="AL484" t="str" cm="1">
        <f t="array" ref="AL484">_xlfn.LET(
  _xlpm.colj, _xlfn._xlws.FILTER(IF(ISNUMBER(483:483), COLUMN(483:483)), ISNUMBER(483:483)),
  _xlpm.elos, INDEX(482:482,1,_xlpm.colj),
  _xlpm.diffscale, Constantes!$B$2,
  IF(AL483="",
    "",
    SUM(1/(1+POWER(10,-(AL482-_xlpm.elos)/_xlpm.diffscale)))-0.5)
)</f>
        <v/>
      </c>
      <c r="AM484" t="str" cm="1">
        <f t="array" ref="AM484">_xlfn.LET(
  _xlpm.colj, _xlfn._xlws.FILTER(IF(ISNUMBER(483:483), COLUMN(483:483)), ISNUMBER(483:483)),
  _xlpm.elos, INDEX(482:482,1,_xlpm.colj),
  _xlpm.diffscale, Constantes!$B$2,
  IF(AM483="",
    "",
    SUM(1/(1+POWER(10,-(AM482-_xlpm.elos)/_xlpm.diffscale)))-0.5)
)</f>
        <v/>
      </c>
    </row>
    <row r="485" spans="1:39" x14ac:dyDescent="0.25">
      <c r="A485" t="s">
        <v>22</v>
      </c>
      <c r="D485" t="str" cm="1">
        <f t="array" ref="D485">_xlfn.LET(
  _xlpm.K, Constantes!$B$3,
  _xlpm.Knewgain, Constantes!$B$4,
  _xlpm.Knewscale, Constantes!$B$5,
  _xlpm.ptstables, INDEX(D:D, _xlfn.SEQUENCE(COUNTA($C$2:$C485), 1, 3, 4)),
  _xlpm.nbparties, COUNTA(_xlfn._xlws.FILTER(_xlpm.ptstables, _xlpm.ptstables &lt;&gt; "")),
  _xlpm.coef, _xlpm.K + _xlpm.Knewgain / (_xlpm.Knewscale + _xlpm.nbparties),
  IF(D483="",
    "",
    _xlpm.coef * (D483-D484))
)</f>
        <v/>
      </c>
      <c r="E485" t="str" cm="1">
        <f t="array" ref="E485">_xlfn.LET(
  _xlpm.K, Constantes!$B$3,
  _xlpm.Knewgain, Constantes!$B$4,
  _xlpm.Knewscale, Constantes!$B$5,
  _xlpm.ptstables, INDEX(E:E, _xlfn.SEQUENCE(COUNTA($C$2:$C485), 1, 3, 4)),
  _xlpm.nbparties, COUNTA(_xlfn._xlws.FILTER(_xlpm.ptstables, _xlpm.ptstables &lt;&gt; "")),
  _xlpm.coef, _xlpm.K + _xlpm.Knewgain / (_xlpm.Knewscale + _xlpm.nbparties),
  IF(E483="",
    "",
    _xlpm.coef * (E483-E484))
)</f>
        <v/>
      </c>
      <c r="F485" t="str" cm="1">
        <f t="array" ref="F485">_xlfn.LET(
  _xlpm.K, Constantes!$B$3,
  _xlpm.Knewgain, Constantes!$B$4,
  _xlpm.Knewscale, Constantes!$B$5,
  _xlpm.ptstables, INDEX(F:F, _xlfn.SEQUENCE(COUNTA($C$2:$C485), 1, 3, 4)),
  _xlpm.nbparties, COUNTA(_xlfn._xlws.FILTER(_xlpm.ptstables, _xlpm.ptstables &lt;&gt; "")),
  _xlpm.coef, _xlpm.K + _xlpm.Knewgain / (_xlpm.Knewscale + _xlpm.nbparties),
  IF(F483="",
    "",
    _xlpm.coef * (F483-F484))
)</f>
        <v/>
      </c>
      <c r="G485" cm="1">
        <f t="array" ref="G485">_xlfn.LET(
  _xlpm.K, Constantes!$B$3,
  _xlpm.Knewgain, Constantes!$B$4,
  _xlpm.Knewscale, Constantes!$B$5,
  _xlpm.ptstables, INDEX(G:G, _xlfn.SEQUENCE(COUNTA($C$2:$C485), 1, 3, 4)),
  _xlpm.nbparties, COUNTA(_xlfn._xlws.FILTER(_xlpm.ptstables, _xlpm.ptstables &lt;&gt; "")),
  _xlpm.coef, _xlpm.K + _xlpm.Knewgain / (_xlpm.Knewscale + _xlpm.nbparties),
  IF(G483="",
    "",
    _xlpm.coef * (G483-G484))
)</f>
        <v>11.901893660475565</v>
      </c>
      <c r="H485" t="str" cm="1">
        <f t="array" ref="H485">_xlfn.LET(
  _xlpm.K, Constantes!$B$3,
  _xlpm.Knewgain, Constantes!$B$4,
  _xlpm.Knewscale, Constantes!$B$5,
  _xlpm.ptstables, INDEX(H:H, _xlfn.SEQUENCE(COUNTA($C$2:$C485), 1, 3, 4)),
  _xlpm.nbparties, COUNTA(_xlfn._xlws.FILTER(_xlpm.ptstables, _xlpm.ptstables &lt;&gt; "")),
  _xlpm.coef, _xlpm.K + _xlpm.Knewgain / (_xlpm.Knewscale + _xlpm.nbparties),
  IF(H483="",
    "",
    _xlpm.coef * (H483-H484))
)</f>
        <v/>
      </c>
      <c r="I485" t="str" cm="1">
        <f t="array" ref="I485">_xlfn.LET(
  _xlpm.K, Constantes!$B$3,
  _xlpm.Knewgain, Constantes!$B$4,
  _xlpm.Knewscale, Constantes!$B$5,
  _xlpm.ptstables, INDEX(I:I, _xlfn.SEQUENCE(COUNTA($C$2:$C485), 1, 3, 4)),
  _xlpm.nbparties, COUNTA(_xlfn._xlws.FILTER(_xlpm.ptstables, _xlpm.ptstables &lt;&gt; "")),
  _xlpm.coef, _xlpm.K + _xlpm.Knewgain / (_xlpm.Knewscale + _xlpm.nbparties),
  IF(I483="",
    "",
    _xlpm.coef * (I483-I484))
)</f>
        <v/>
      </c>
      <c r="J485" t="str" cm="1">
        <f t="array" ref="J485">_xlfn.LET(
  _xlpm.K, Constantes!$B$3,
  _xlpm.Knewgain, Constantes!$B$4,
  _xlpm.Knewscale, Constantes!$B$5,
  _xlpm.ptstables, INDEX(J:J, _xlfn.SEQUENCE(COUNTA($C$2:$C485), 1, 3, 4)),
  _xlpm.nbparties, COUNTA(_xlfn._xlws.FILTER(_xlpm.ptstables, _xlpm.ptstables &lt;&gt; "")),
  _xlpm.coef, _xlpm.K + _xlpm.Knewgain / (_xlpm.Knewscale + _xlpm.nbparties),
  IF(J483="",
    "",
    _xlpm.coef * (J483-J484))
)</f>
        <v/>
      </c>
      <c r="K485" t="str" cm="1">
        <f t="array" ref="K485">_xlfn.LET(
  _xlpm.K, Constantes!$B$3,
  _xlpm.Knewgain, Constantes!$B$4,
  _xlpm.Knewscale, Constantes!$B$5,
  _xlpm.ptstables, INDEX(K:K, _xlfn.SEQUENCE(COUNTA($C$2:$C485), 1, 3, 4)),
  _xlpm.nbparties, COUNTA(_xlfn._xlws.FILTER(_xlpm.ptstables, _xlpm.ptstables &lt;&gt; "")),
  _xlpm.coef, _xlpm.K + _xlpm.Knewgain / (_xlpm.Knewscale + _xlpm.nbparties),
  IF(K483="",
    "",
    _xlpm.coef * (K483-K484))
)</f>
        <v/>
      </c>
      <c r="L485" t="str" cm="1">
        <f t="array" ref="L485">_xlfn.LET(
  _xlpm.K, Constantes!$B$3,
  _xlpm.Knewgain, Constantes!$B$4,
  _xlpm.Knewscale, Constantes!$B$5,
  _xlpm.ptstables, INDEX(L:L, _xlfn.SEQUENCE(COUNTA($C$2:$C485), 1, 3, 4)),
  _xlpm.nbparties, COUNTA(_xlfn._xlws.FILTER(_xlpm.ptstables, _xlpm.ptstables &lt;&gt; "")),
  _xlpm.coef, _xlpm.K + _xlpm.Knewgain / (_xlpm.Knewscale + _xlpm.nbparties),
  IF(L483="",
    "",
    _xlpm.coef * (L483-L484))
)</f>
        <v/>
      </c>
      <c r="M485" t="str" cm="1">
        <f t="array" ref="M485">_xlfn.LET(
  _xlpm.K, Constantes!$B$3,
  _xlpm.Knewgain, Constantes!$B$4,
  _xlpm.Knewscale, Constantes!$B$5,
  _xlpm.ptstables, INDEX(M:M, _xlfn.SEQUENCE(COUNTA($C$2:$C485), 1, 3, 4)),
  _xlpm.nbparties, COUNTA(_xlfn._xlws.FILTER(_xlpm.ptstables, _xlpm.ptstables &lt;&gt; "")),
  _xlpm.coef, _xlpm.K + _xlpm.Knewgain / (_xlpm.Knewscale + _xlpm.nbparties),
  IF(M483="",
    "",
    _xlpm.coef * (M483-M484))
)</f>
        <v/>
      </c>
      <c r="N485" t="str" cm="1">
        <f t="array" ref="N485">_xlfn.LET(
  _xlpm.K, Constantes!$B$3,
  _xlpm.Knewgain, Constantes!$B$4,
  _xlpm.Knewscale, Constantes!$B$5,
  _xlpm.ptstables, INDEX(N:N, _xlfn.SEQUENCE(COUNTA($C$2:$C485), 1, 3, 4)),
  _xlpm.nbparties, COUNTA(_xlfn._xlws.FILTER(_xlpm.ptstables, _xlpm.ptstables &lt;&gt; "")),
  _xlpm.coef, _xlpm.K + _xlpm.Knewgain / (_xlpm.Knewscale + _xlpm.nbparties),
  IF(N483="",
    "",
    _xlpm.coef * (N483-N484))
)</f>
        <v/>
      </c>
      <c r="O485" t="str" cm="1">
        <f t="array" ref="O485">_xlfn.LET(
  _xlpm.K, Constantes!$B$3,
  _xlpm.Knewgain, Constantes!$B$4,
  _xlpm.Knewscale, Constantes!$B$5,
  _xlpm.ptstables, INDEX(O:O, _xlfn.SEQUENCE(COUNTA($C$2:$C485), 1, 3, 4)),
  _xlpm.nbparties, COUNTA(_xlfn._xlws.FILTER(_xlpm.ptstables, _xlpm.ptstables &lt;&gt; "")),
  _xlpm.coef, _xlpm.K + _xlpm.Knewgain / (_xlpm.Knewscale + _xlpm.nbparties),
  IF(O483="",
    "",
    _xlpm.coef * (O483-O484))
)</f>
        <v/>
      </c>
      <c r="P485" cm="1">
        <f t="array" ref="P485">_xlfn.LET(
  _xlpm.K, Constantes!$B$3,
  _xlpm.Knewgain, Constantes!$B$4,
  _xlpm.Knewscale, Constantes!$B$5,
  _xlpm.ptstables, INDEX(P:P, _xlfn.SEQUENCE(COUNTA($C$2:$C485), 1, 3, 4)),
  _xlpm.nbparties, COUNTA(_xlfn._xlws.FILTER(_xlpm.ptstables, _xlpm.ptstables &lt;&gt; "")),
  _xlpm.coef, _xlpm.K + _xlpm.Knewgain / (_xlpm.Knewscale + _xlpm.nbparties),
  IF(P483="",
    "",
    _xlpm.coef * (P483-P484))
)</f>
        <v>-8.7176375449751919</v>
      </c>
      <c r="Q485" t="str" cm="1">
        <f t="array" ref="Q485">_xlfn.LET(
  _xlpm.K, Constantes!$B$3,
  _xlpm.Knewgain, Constantes!$B$4,
  _xlpm.Knewscale, Constantes!$B$5,
  _xlpm.ptstables, INDEX(Q:Q, _xlfn.SEQUENCE(COUNTA($C$2:$C485), 1, 3, 4)),
  _xlpm.nbparties, COUNTA(_xlfn._xlws.FILTER(_xlpm.ptstables, _xlpm.ptstables &lt;&gt; "")),
  _xlpm.coef, _xlpm.K + _xlpm.Knewgain / (_xlpm.Knewscale + _xlpm.nbparties),
  IF(Q483="",
    "",
    _xlpm.coef * (Q483-Q484))
)</f>
        <v/>
      </c>
      <c r="R485" cm="1">
        <f t="array" ref="R485">_xlfn.LET(
  _xlpm.K, Constantes!$B$3,
  _xlpm.Knewgain, Constantes!$B$4,
  _xlpm.Knewscale, Constantes!$B$5,
  _xlpm.ptstables, INDEX(R:R, _xlfn.SEQUENCE(COUNTA($C$2:$C485), 1, 3, 4)),
  _xlpm.nbparties, COUNTA(_xlfn._xlws.FILTER(_xlpm.ptstables, _xlpm.ptstables &lt;&gt; "")),
  _xlpm.coef, _xlpm.K + _xlpm.Knewgain / (_xlpm.Knewscale + _xlpm.nbparties),
  IF(R483="",
    "",
    _xlpm.coef * (R483-R484))
)</f>
        <v>22.666858266620011</v>
      </c>
      <c r="S485" cm="1">
        <f t="array" ref="S485">_xlfn.LET(
  _xlpm.K, Constantes!$B$3,
  _xlpm.Knewgain, Constantes!$B$4,
  _xlpm.Knewscale, Constantes!$B$5,
  _xlpm.ptstables, INDEX(S:S, _xlfn.SEQUENCE(COUNTA($C$2:$C485), 1, 3, 4)),
  _xlpm.nbparties, COUNTA(_xlfn._xlws.FILTER(_xlpm.ptstables, _xlpm.ptstables &lt;&gt; "")),
  _xlpm.coef, _xlpm.K + _xlpm.Knewgain / (_xlpm.Knewscale + _xlpm.nbparties),
  IF(S483="",
    "",
    _xlpm.coef * (S483-S484))
)</f>
        <v>-26.180050160468095</v>
      </c>
      <c r="T485" t="str" cm="1">
        <f t="array" ref="T485">_xlfn.LET(
  _xlpm.K, Constantes!$B$3,
  _xlpm.Knewgain, Constantes!$B$4,
  _xlpm.Knewscale, Constantes!$B$5,
  _xlpm.ptstables, INDEX(T:T, _xlfn.SEQUENCE(COUNTA($C$2:$C485), 1, 3, 4)),
  _xlpm.nbparties, COUNTA(_xlfn._xlws.FILTER(_xlpm.ptstables, _xlpm.ptstables &lt;&gt; "")),
  _xlpm.coef, _xlpm.K + _xlpm.Knewgain / (_xlpm.Knewscale + _xlpm.nbparties),
  IF(T483="",
    "",
    _xlpm.coef * (T483-T484))
)</f>
        <v/>
      </c>
      <c r="U485" t="str" cm="1">
        <f t="array" ref="U485">_xlfn.LET(
  _xlpm.K, Constantes!$B$3,
  _xlpm.Knewgain, Constantes!$B$4,
  _xlpm.Knewscale, Constantes!$B$5,
  _xlpm.ptstables, INDEX(U:U, _xlfn.SEQUENCE(COUNTA($C$2:$C485), 1, 3, 4)),
  _xlpm.nbparties, COUNTA(_xlfn._xlws.FILTER(_xlpm.ptstables, _xlpm.ptstables &lt;&gt; "")),
  _xlpm.coef, _xlpm.K + _xlpm.Knewgain / (_xlpm.Knewscale + _xlpm.nbparties),
  IF(U483="",
    "",
    _xlpm.coef * (U483-U484))
)</f>
        <v/>
      </c>
      <c r="V485" t="str" cm="1">
        <f t="array" ref="V485">_xlfn.LET(
  _xlpm.K, Constantes!$B$3,
  _xlpm.Knewgain, Constantes!$B$4,
  _xlpm.Knewscale, Constantes!$B$5,
  _xlpm.ptstables, INDEX(V:V, _xlfn.SEQUENCE(COUNTA($C$2:$C485), 1, 3, 4)),
  _xlpm.nbparties, COUNTA(_xlfn._xlws.FILTER(_xlpm.ptstables, _xlpm.ptstables &lt;&gt; "")),
  _xlpm.coef, _xlpm.K + _xlpm.Knewgain / (_xlpm.Knewscale + _xlpm.nbparties),
  IF(V483="",
    "",
    _xlpm.coef * (V483-V484))
)</f>
        <v/>
      </c>
      <c r="W485" t="str" cm="1">
        <f t="array" ref="W485">_xlfn.LET(
  _xlpm.K, Constantes!$B$3,
  _xlpm.Knewgain, Constantes!$B$4,
  _xlpm.Knewscale, Constantes!$B$5,
  _xlpm.ptstables, INDEX(W:W, _xlfn.SEQUENCE(COUNTA($C$2:$C485), 1, 3, 4)),
  _xlpm.nbparties, COUNTA(_xlfn._xlws.FILTER(_xlpm.ptstables, _xlpm.ptstables &lt;&gt; "")),
  _xlpm.coef, _xlpm.K + _xlpm.Knewgain / (_xlpm.Knewscale + _xlpm.nbparties),
  IF(W483="",
    "",
    _xlpm.coef * (W483-W484))
)</f>
        <v/>
      </c>
      <c r="X485" t="str" cm="1">
        <f t="array" ref="X485">_xlfn.LET(
  _xlpm.K, Constantes!$B$3,
  _xlpm.Knewgain, Constantes!$B$4,
  _xlpm.Knewscale, Constantes!$B$5,
  _xlpm.ptstables, INDEX(X:X, _xlfn.SEQUENCE(COUNTA($C$2:$C485), 1, 3, 4)),
  _xlpm.nbparties, COUNTA(_xlfn._xlws.FILTER(_xlpm.ptstables, _xlpm.ptstables &lt;&gt; "")),
  _xlpm.coef, _xlpm.K + _xlpm.Knewgain / (_xlpm.Knewscale + _xlpm.nbparties),
  IF(X483="",
    "",
    _xlpm.coef * (X483-X484))
)</f>
        <v/>
      </c>
      <c r="Y485" t="str" cm="1">
        <f t="array" ref="Y485">_xlfn.LET(
  _xlpm.K, Constantes!$B$3,
  _xlpm.Knewgain, Constantes!$B$4,
  _xlpm.Knewscale, Constantes!$B$5,
  _xlpm.ptstables, INDEX(Y:Y, _xlfn.SEQUENCE(COUNTA($C$2:$C485), 1, 3, 4)),
  _xlpm.nbparties, COUNTA(_xlfn._xlws.FILTER(_xlpm.ptstables, _xlpm.ptstables &lt;&gt; "")),
  _xlpm.coef, _xlpm.K + _xlpm.Knewgain / (_xlpm.Knewscale + _xlpm.nbparties),
  IF(Y483="",
    "",
    _xlpm.coef * (Y483-Y484))
)</f>
        <v/>
      </c>
      <c r="Z485" t="str" cm="1">
        <f t="array" ref="Z485">_xlfn.LET(
  _xlpm.K, Constantes!$B$3,
  _xlpm.Knewgain, Constantes!$B$4,
  _xlpm.Knewscale, Constantes!$B$5,
  _xlpm.ptstables, INDEX(Z:Z, _xlfn.SEQUENCE(COUNTA($C$2:$C485), 1, 3, 4)),
  _xlpm.nbparties, COUNTA(_xlfn._xlws.FILTER(_xlpm.ptstables, _xlpm.ptstables &lt;&gt; "")),
  _xlpm.coef, _xlpm.K + _xlpm.Knewgain / (_xlpm.Knewscale + _xlpm.nbparties),
  IF(Z483="",
    "",
    _xlpm.coef * (Z483-Z484))
)</f>
        <v/>
      </c>
      <c r="AA485" t="str" cm="1">
        <f t="array" ref="AA485">_xlfn.LET(
  _xlpm.K, Constantes!$B$3,
  _xlpm.Knewgain, Constantes!$B$4,
  _xlpm.Knewscale, Constantes!$B$5,
  _xlpm.ptstables, INDEX(AA:AA, _xlfn.SEQUENCE(COUNTA($C$2:$C485), 1, 3, 4)),
  _xlpm.nbparties, COUNTA(_xlfn._xlws.FILTER(_xlpm.ptstables, _xlpm.ptstables &lt;&gt; "")),
  _xlpm.coef, _xlpm.K + _xlpm.Knewgain / (_xlpm.Knewscale + _xlpm.nbparties),
  IF(AA483="",
    "",
    _xlpm.coef * (AA483-AA484))
)</f>
        <v/>
      </c>
      <c r="AB485" t="str" cm="1">
        <f t="array" ref="AB485">_xlfn.LET(
  _xlpm.K, Constantes!$B$3,
  _xlpm.Knewgain, Constantes!$B$4,
  _xlpm.Knewscale, Constantes!$B$5,
  _xlpm.ptstables, INDEX(AB:AB, _xlfn.SEQUENCE(COUNTA($C$2:$C485), 1, 3, 4)),
  _xlpm.nbparties, COUNTA(_xlfn._xlws.FILTER(_xlpm.ptstables, _xlpm.ptstables &lt;&gt; "")),
  _xlpm.coef, _xlpm.K + _xlpm.Knewgain / (_xlpm.Knewscale + _xlpm.nbparties),
  IF(AB483="",
    "",
    _xlpm.coef * (AB483-AB484))
)</f>
        <v/>
      </c>
      <c r="AC485" t="str" cm="1">
        <f t="array" ref="AC485">_xlfn.LET(
  _xlpm.K, Constantes!$B$3,
  _xlpm.Knewgain, Constantes!$B$4,
  _xlpm.Knewscale, Constantes!$B$5,
  _xlpm.ptstables, INDEX(AC:AC, _xlfn.SEQUENCE(COUNTA($C$2:$C485), 1, 3, 4)),
  _xlpm.nbparties, COUNTA(_xlfn._xlws.FILTER(_xlpm.ptstables, _xlpm.ptstables &lt;&gt; "")),
  _xlpm.coef, _xlpm.K + _xlpm.Knewgain / (_xlpm.Knewscale + _xlpm.nbparties),
  IF(AC483="",
    "",
    _xlpm.coef * (AC483-AC484))
)</f>
        <v/>
      </c>
      <c r="AD485" t="str" cm="1">
        <f t="array" ref="AD485">_xlfn.LET(
  _xlpm.K, Constantes!$B$3,
  _xlpm.Knewgain, Constantes!$B$4,
  _xlpm.Knewscale, Constantes!$B$5,
  _xlpm.ptstables, INDEX(AD:AD, _xlfn.SEQUENCE(COUNTA($C$2:$C485), 1, 3, 4)),
  _xlpm.nbparties, COUNTA(_xlfn._xlws.FILTER(_xlpm.ptstables, _xlpm.ptstables &lt;&gt; "")),
  _xlpm.coef, _xlpm.K + _xlpm.Knewgain / (_xlpm.Knewscale + _xlpm.nbparties),
  IF(AD483="",
    "",
    _xlpm.coef * (AD483-AD484))
)</f>
        <v/>
      </c>
      <c r="AE485" t="str" cm="1">
        <f t="array" ref="AE485">_xlfn.LET(
  _xlpm.K, Constantes!$B$3,
  _xlpm.Knewgain, Constantes!$B$4,
  _xlpm.Knewscale, Constantes!$B$5,
  _xlpm.ptstables, INDEX(AE:AE, _xlfn.SEQUENCE(COUNTA($C$2:$C485), 1, 3, 4)),
  _xlpm.nbparties, COUNTA(_xlfn._xlws.FILTER(_xlpm.ptstables, _xlpm.ptstables &lt;&gt; "")),
  _xlpm.coef, _xlpm.K + _xlpm.Knewgain / (_xlpm.Knewscale + _xlpm.nbparties),
  IF(AE483="",
    "",
    _xlpm.coef * (AE483-AE484))
)</f>
        <v/>
      </c>
      <c r="AF485" t="str" cm="1">
        <f t="array" ref="AF485">_xlfn.LET(
  _xlpm.K, Constantes!$B$3,
  _xlpm.Knewgain, Constantes!$B$4,
  _xlpm.Knewscale, Constantes!$B$5,
  _xlpm.ptstables, INDEX(AF:AF, _xlfn.SEQUENCE(COUNTA($C$2:$C485), 1, 3, 4)),
  _xlpm.nbparties, COUNTA(_xlfn._xlws.FILTER(_xlpm.ptstables, _xlpm.ptstables &lt;&gt; "")),
  _xlpm.coef, _xlpm.K + _xlpm.Knewgain / (_xlpm.Knewscale + _xlpm.nbparties),
  IF(AF483="",
    "",
    _xlpm.coef * (AF483-AF484))
)</f>
        <v/>
      </c>
      <c r="AG485" t="str" cm="1">
        <f t="array" ref="AG485">_xlfn.LET(
  _xlpm.K, Constantes!$B$3,
  _xlpm.Knewgain, Constantes!$B$4,
  _xlpm.Knewscale, Constantes!$B$5,
  _xlpm.ptstables, INDEX(AG:AG, _xlfn.SEQUENCE(COUNTA($C$2:$C485), 1, 3, 4)),
  _xlpm.nbparties, COUNTA(_xlfn._xlws.FILTER(_xlpm.ptstables, _xlpm.ptstables &lt;&gt; "")),
  _xlpm.coef, _xlpm.K + _xlpm.Knewgain / (_xlpm.Knewscale + _xlpm.nbparties),
  IF(AG483="",
    "",
    _xlpm.coef * (AG483-AG484))
)</f>
        <v/>
      </c>
      <c r="AH485" t="str" cm="1">
        <f t="array" ref="AH485">_xlfn.LET(
  _xlpm.K, Constantes!$B$3,
  _xlpm.Knewgain, Constantes!$B$4,
  _xlpm.Knewscale, Constantes!$B$5,
  _xlpm.ptstables, INDEX(AH:AH, _xlfn.SEQUENCE(COUNTA($C$2:$C485), 1, 3, 4)),
  _xlpm.nbparties, COUNTA(_xlfn._xlws.FILTER(_xlpm.ptstables, _xlpm.ptstables &lt;&gt; "")),
  _xlpm.coef, _xlpm.K + _xlpm.Knewgain / (_xlpm.Knewscale + _xlpm.nbparties),
  IF(AH483="",
    "",
    _xlpm.coef * (AH483-AH484))
)</f>
        <v/>
      </c>
      <c r="AI485" t="str" cm="1">
        <f t="array" ref="AI485">_xlfn.LET(
  _xlpm.K, Constantes!$B$3,
  _xlpm.Knewgain, Constantes!$B$4,
  _xlpm.Knewscale, Constantes!$B$5,
  _xlpm.ptstables, INDEX(AI:AI, _xlfn.SEQUENCE(COUNTA($C$2:$C485), 1, 3, 4)),
  _xlpm.nbparties, COUNTA(_xlfn._xlws.FILTER(_xlpm.ptstables, _xlpm.ptstables &lt;&gt; "")),
  _xlpm.coef, _xlpm.K + _xlpm.Knewgain / (_xlpm.Knewscale + _xlpm.nbparties),
  IF(AI483="",
    "",
    _xlpm.coef * (AI483-AI484))
)</f>
        <v/>
      </c>
      <c r="AJ485" t="str" cm="1">
        <f t="array" ref="AJ485">_xlfn.LET(
  _xlpm.K, Constantes!$B$3,
  _xlpm.Knewgain, Constantes!$B$4,
  _xlpm.Knewscale, Constantes!$B$5,
  _xlpm.ptstables, INDEX(AJ:AJ, _xlfn.SEQUENCE(COUNTA($C$2:$C485), 1, 3, 4)),
  _xlpm.nbparties, COUNTA(_xlfn._xlws.FILTER(_xlpm.ptstables, _xlpm.ptstables &lt;&gt; "")),
  _xlpm.coef, _xlpm.K + _xlpm.Knewgain / (_xlpm.Knewscale + _xlpm.nbparties),
  IF(AJ483="",
    "",
    _xlpm.coef * (AJ483-AJ484))
)</f>
        <v/>
      </c>
      <c r="AK485" t="str" cm="1">
        <f t="array" ref="AK485">_xlfn.LET(
  _xlpm.K, Constantes!$B$3,
  _xlpm.Knewgain, Constantes!$B$4,
  _xlpm.Knewscale, Constantes!$B$5,
  _xlpm.ptstables, INDEX(AK:AK, _xlfn.SEQUENCE(COUNTA($C$2:$C485), 1, 3, 4)),
  _xlpm.nbparties, COUNTA(_xlfn._xlws.FILTER(_xlpm.ptstables, _xlpm.ptstables &lt;&gt; "")),
  _xlpm.coef, _xlpm.K + _xlpm.Knewgain / (_xlpm.Knewscale + _xlpm.nbparties),
  IF(AK483="",
    "",
    _xlpm.coef * (AK483-AK484))
)</f>
        <v/>
      </c>
      <c r="AL485" t="str" cm="1">
        <f t="array" ref="AL485">_xlfn.LET(
  _xlpm.K, Constantes!$B$3,
  _xlpm.Knewgain, Constantes!$B$4,
  _xlpm.Knewscale, Constantes!$B$5,
  _xlpm.ptstables, INDEX(AL:AL, _xlfn.SEQUENCE(COUNTA($C$2:$C485), 1, 3, 4)),
  _xlpm.nbparties, COUNTA(_xlfn._xlws.FILTER(_xlpm.ptstables, _xlpm.ptstables &lt;&gt; "")),
  _xlpm.coef, _xlpm.K + _xlpm.Knewgain / (_xlpm.Knewscale + _xlpm.nbparties),
  IF(AL483="",
    "",
    _xlpm.coef * (AL483-AL484))
)</f>
        <v/>
      </c>
      <c r="AM485" t="str" cm="1">
        <f t="array" ref="AM485">_xlfn.LET(
  _xlpm.K, Constantes!$B$3,
  _xlpm.Knewgain, Constantes!$B$4,
  _xlpm.Knewscale, Constantes!$B$5,
  _xlpm.ptstables, INDEX(AM:AM, _xlfn.SEQUENCE(COUNTA($C$2:$C485), 1, 3, 4)),
  _xlpm.nbparties, COUNTA(_xlfn._xlws.FILTER(_xlpm.ptstables, _xlpm.ptstables &lt;&gt; "")),
  _xlpm.coef, _xlpm.K + _xlpm.Knewgain / (_xlpm.Knewscale + _xlpm.nbparties),
  IF(AM483="",
    "",
    _xlpm.coef * (AM483-AM484))
)</f>
        <v/>
      </c>
    </row>
    <row r="486" spans="1:39" x14ac:dyDescent="0.25">
      <c r="A486" t="s">
        <v>14</v>
      </c>
      <c r="B486" t="str" cm="1">
        <f t="array" ref="B486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>Partie 121</v>
      </c>
      <c r="C486" s="2" cm="1">
        <f t="array" ref="C486">IF(B486="","",
  INDEX(Donnees!F:F, MATCH(B486, Donnees!F:F, 0)+1))</f>
        <v>45969.827615740738</v>
      </c>
      <c r="D486">
        <f t="shared" ref="D486:AM486" si="129">D482+IF(D485="",0,D485)</f>
        <v>970.88542284486812</v>
      </c>
      <c r="E486">
        <f t="shared" si="129"/>
        <v>1210.4982334124238</v>
      </c>
      <c r="F486">
        <f t="shared" si="129"/>
        <v>911.8835833951041</v>
      </c>
      <c r="G486">
        <f t="shared" si="129"/>
        <v>1021.5669497794617</v>
      </c>
      <c r="H486">
        <f t="shared" si="129"/>
        <v>1117.5250985570954</v>
      </c>
      <c r="I486">
        <f t="shared" si="129"/>
        <v>883.37234630448143</v>
      </c>
      <c r="J486">
        <f t="shared" si="129"/>
        <v>952.15570665875975</v>
      </c>
      <c r="K486">
        <f t="shared" si="129"/>
        <v>1062.2548360982171</v>
      </c>
      <c r="L486">
        <f t="shared" si="129"/>
        <v>775.39796117257981</v>
      </c>
      <c r="M486">
        <f t="shared" si="129"/>
        <v>927.4581540493366</v>
      </c>
      <c r="N486">
        <f t="shared" si="129"/>
        <v>878.15153649009756</v>
      </c>
      <c r="O486">
        <f t="shared" si="129"/>
        <v>997.04050320786712</v>
      </c>
      <c r="P486">
        <f t="shared" si="129"/>
        <v>991.32095208442081</v>
      </c>
      <c r="Q486">
        <f t="shared" si="129"/>
        <v>1054.0946828197484</v>
      </c>
      <c r="R486">
        <f t="shared" si="129"/>
        <v>1122.8475809880031</v>
      </c>
      <c r="S486">
        <f t="shared" si="129"/>
        <v>942.14882365209212</v>
      </c>
      <c r="T486">
        <f t="shared" si="129"/>
        <v>1128.5835529389994</v>
      </c>
      <c r="U486">
        <f t="shared" si="129"/>
        <v>1222.7257721587478</v>
      </c>
      <c r="V486">
        <f t="shared" si="129"/>
        <v>957.61451983344352</v>
      </c>
      <c r="W486">
        <f t="shared" si="129"/>
        <v>905.2317797496944</v>
      </c>
      <c r="X486">
        <f t="shared" si="129"/>
        <v>858.92096928478088</v>
      </c>
      <c r="Y486">
        <f t="shared" si="129"/>
        <v>1005.462386147187</v>
      </c>
      <c r="Z486">
        <f t="shared" si="129"/>
        <v>1008.6876849635962</v>
      </c>
      <c r="AA486">
        <f t="shared" si="129"/>
        <v>942.27730100696294</v>
      </c>
      <c r="AB486">
        <f t="shared" si="129"/>
        <v>988.35669729544747</v>
      </c>
      <c r="AC486">
        <f t="shared" si="129"/>
        <v>913.83290299884754</v>
      </c>
      <c r="AD486">
        <f t="shared" si="129"/>
        <v>1054.5168154629837</v>
      </c>
      <c r="AE486">
        <f t="shared" si="129"/>
        <v>963.23981965000235</v>
      </c>
      <c r="AF486">
        <f t="shared" si="129"/>
        <v>1094.8196847516158</v>
      </c>
      <c r="AG486">
        <f t="shared" si="129"/>
        <v>958.23078604304851</v>
      </c>
      <c r="AH486">
        <f t="shared" si="129"/>
        <v>920.4412636682855</v>
      </c>
      <c r="AI486">
        <f t="shared" si="129"/>
        <v>1036.4167877702052</v>
      </c>
      <c r="AJ486">
        <f t="shared" si="129"/>
        <v>906.86354201913434</v>
      </c>
      <c r="AK486">
        <f t="shared" si="129"/>
        <v>1074.0069367206956</v>
      </c>
      <c r="AL486">
        <f t="shared" si="129"/>
        <v>1025.7817971572972</v>
      </c>
      <c r="AM486">
        <f t="shared" si="129"/>
        <v>930.08392160706046</v>
      </c>
    </row>
    <row r="487" spans="1:39" x14ac:dyDescent="0.25">
      <c r="A487" t="s">
        <v>21</v>
      </c>
      <c r="D487" t="str" cm="1">
        <f t="array" ref="D487">IFERROR(
  _xlfn.LET(
    _xlpm.ligpartie, MATCH($B486, Donnees!$F:$F, 0),
    _xlpm.joueurs, INDEX(Donnees!$A:$Z, _xlpm.ligpartie+1, _xlfn.SEQUENCE(1, 4, 2)),
    INDEX(
      Donnees!$A:$Z,
      _xlpm.ligpartie + 3,
      MATCH(D$1, _xlpm.joueurs, 0) + 1
    )
  ), ""
)</f>
        <v/>
      </c>
      <c r="E487" cm="1">
        <f t="array" ref="E487">IFERROR(
  _xlfn.LET(
    _xlpm.ligpartie, MATCH($B486, Donnees!$F:$F, 0),
    _xlpm.joueurs, INDEX(Donnees!$A:$Z, _xlpm.ligpartie+1, _xlfn.SEQUENCE(1, 4, 2)),
    INDEX(
      Donnees!$A:$Z,
      _xlpm.ligpartie + 3,
      MATCH(E$1, _xlpm.joueurs, 0) + 1
    )
  ), ""
)</f>
        <v>3</v>
      </c>
      <c r="F487" t="str" cm="1">
        <f t="array" ref="F487">IFERROR(
  _xlfn.LET(
    _xlpm.ligpartie, MATCH($B486, Donnees!$F:$F, 0),
    _xlpm.joueurs, INDEX(Donnees!$A:$Z, _xlpm.ligpartie+1, _xlfn.SEQUENCE(1, 4, 2)),
    INDEX(
      Donnees!$A:$Z,
      _xlpm.ligpartie + 3,
      MATCH(F$1, _xlpm.joueurs, 0) + 1
    )
  ), ""
)</f>
        <v/>
      </c>
      <c r="G487" t="str" cm="1">
        <f t="array" ref="G487">IFERROR(
  _xlfn.LET(
    _xlpm.ligpartie, MATCH($B486, Donnees!$F:$F, 0),
    _xlpm.joueurs, INDEX(Donnees!$A:$Z, _xlpm.ligpartie+1, _xlfn.SEQUENCE(1, 4, 2)),
    INDEX(
      Donnees!$A:$Z,
      _xlpm.ligpartie + 3,
      MATCH(G$1, _xlpm.joueurs, 0) + 1
    )
  ), ""
)</f>
        <v/>
      </c>
      <c r="H487" t="str" cm="1">
        <f t="array" ref="H487">IFERROR(
  _xlfn.LET(
    _xlpm.ligpartie, MATCH($B486, Donnees!$F:$F, 0),
    _xlpm.joueurs, INDEX(Donnees!$A:$Z, _xlpm.ligpartie+1, _xlfn.SEQUENCE(1, 4, 2)),
    INDEX(
      Donnees!$A:$Z,
      _xlpm.ligpartie + 3,
      MATCH(H$1, _xlpm.joueurs, 0) + 1
    )
  ), ""
)</f>
        <v/>
      </c>
      <c r="I487" t="str" cm="1">
        <f t="array" ref="I487">IFERROR(
  _xlfn.LET(
    _xlpm.ligpartie, MATCH($B486, Donnees!$F:$F, 0),
    _xlpm.joueurs, INDEX(Donnees!$A:$Z, _xlpm.ligpartie+1, _xlfn.SEQUENCE(1, 4, 2)),
    INDEX(
      Donnees!$A:$Z,
      _xlpm.ligpartie + 3,
      MATCH(I$1, _xlpm.joueurs, 0) + 1
    )
  ), ""
)</f>
        <v/>
      </c>
      <c r="J487" cm="1">
        <f t="array" ref="J487">IFERROR(
  _xlfn.LET(
    _xlpm.ligpartie, MATCH($B486, Donnees!$F:$F, 0),
    _xlpm.joueurs, INDEX(Donnees!$A:$Z, _xlpm.ligpartie+1, _xlfn.SEQUENCE(1, 4, 2)),
    INDEX(
      Donnees!$A:$Z,
      _xlpm.ligpartie + 3,
      MATCH(J$1, _xlpm.joueurs, 0) + 1
    )
  ), ""
)</f>
        <v>2</v>
      </c>
      <c r="K487" t="str" cm="1">
        <f t="array" ref="K487">IFERROR(
  _xlfn.LET(
    _xlpm.ligpartie, MATCH($B486, Donnees!$F:$F, 0),
    _xlpm.joueurs, INDEX(Donnees!$A:$Z, _xlpm.ligpartie+1, _xlfn.SEQUENCE(1, 4, 2)),
    INDEX(
      Donnees!$A:$Z,
      _xlpm.ligpartie + 3,
      MATCH(K$1, _xlpm.joueurs, 0) + 1
    )
  ), ""
)</f>
        <v/>
      </c>
      <c r="L487" t="str" cm="1">
        <f t="array" ref="L487">IFERROR(
  _xlfn.LET(
    _xlpm.ligpartie, MATCH($B486, Donnees!$F:$F, 0),
    _xlpm.joueurs, INDEX(Donnees!$A:$Z, _xlpm.ligpartie+1, _xlfn.SEQUENCE(1, 4, 2)),
    INDEX(
      Donnees!$A:$Z,
      _xlpm.ligpartie + 3,
      MATCH(L$1, _xlpm.joueurs, 0) + 1
    )
  ), ""
)</f>
        <v/>
      </c>
      <c r="M487" t="str" cm="1">
        <f t="array" ref="M487">IFERROR(
  _xlfn.LET(
    _xlpm.ligpartie, MATCH($B486, Donnees!$F:$F, 0),
    _xlpm.joueurs, INDEX(Donnees!$A:$Z, _xlpm.ligpartie+1, _xlfn.SEQUENCE(1, 4, 2)),
    INDEX(
      Donnees!$A:$Z,
      _xlpm.ligpartie + 3,
      MATCH(M$1, _xlpm.joueurs, 0) + 1
    )
  ), ""
)</f>
        <v/>
      </c>
      <c r="N487" t="str" cm="1">
        <f t="array" ref="N487">IFERROR(
  _xlfn.LET(
    _xlpm.ligpartie, MATCH($B486, Donnees!$F:$F, 0),
    _xlpm.joueurs, INDEX(Donnees!$A:$Z, _xlpm.ligpartie+1, _xlfn.SEQUENCE(1, 4, 2)),
    INDEX(
      Donnees!$A:$Z,
      _xlpm.ligpartie + 3,
      MATCH(N$1, _xlpm.joueurs, 0) + 1
    )
  ), ""
)</f>
        <v/>
      </c>
      <c r="O487" t="str" cm="1">
        <f t="array" ref="O487">IFERROR(
  _xlfn.LET(
    _xlpm.ligpartie, MATCH($B486, Donnees!$F:$F, 0),
    _xlpm.joueurs, INDEX(Donnees!$A:$Z, _xlpm.ligpartie+1, _xlfn.SEQUENCE(1, 4, 2)),
    INDEX(
      Donnees!$A:$Z,
      _xlpm.ligpartie + 3,
      MATCH(O$1, _xlpm.joueurs, 0) + 1
    )
  ), ""
)</f>
        <v/>
      </c>
      <c r="P487" t="str" cm="1">
        <f t="array" ref="P487">IFERROR(
  _xlfn.LET(
    _xlpm.ligpartie, MATCH($B486, Donnees!$F:$F, 0),
    _xlpm.joueurs, INDEX(Donnees!$A:$Z, _xlpm.ligpartie+1, _xlfn.SEQUENCE(1, 4, 2)),
    INDEX(
      Donnees!$A:$Z,
      _xlpm.ligpartie + 3,
      MATCH(P$1, _xlpm.joueurs, 0) + 1
    )
  ), ""
)</f>
        <v/>
      </c>
      <c r="Q487" t="str" cm="1">
        <f t="array" ref="Q487">IFERROR(
  _xlfn.LET(
    _xlpm.ligpartie, MATCH($B486, Donnees!$F:$F, 0),
    _xlpm.joueurs, INDEX(Donnees!$A:$Z, _xlpm.ligpartie+1, _xlfn.SEQUENCE(1, 4, 2)),
    INDEX(
      Donnees!$A:$Z,
      _xlpm.ligpartie + 3,
      MATCH(Q$1, _xlpm.joueurs, 0) + 1
    )
  ), ""
)</f>
        <v/>
      </c>
      <c r="R487" t="str" cm="1">
        <f t="array" ref="R487">IFERROR(
  _xlfn.LET(
    _xlpm.ligpartie, MATCH($B486, Donnees!$F:$F, 0),
    _xlpm.joueurs, INDEX(Donnees!$A:$Z, _xlpm.ligpartie+1, _xlfn.SEQUENCE(1, 4, 2)),
    INDEX(
      Donnees!$A:$Z,
      _xlpm.ligpartie + 3,
      MATCH(R$1, _xlpm.joueurs, 0) + 1
    )
  ), ""
)</f>
        <v/>
      </c>
      <c r="S487" t="str" cm="1">
        <f t="array" ref="S487">IFERROR(
  _xlfn.LET(
    _xlpm.ligpartie, MATCH($B486, Donnees!$F:$F, 0),
    _xlpm.joueurs, INDEX(Donnees!$A:$Z, _xlpm.ligpartie+1, _xlfn.SEQUENCE(1, 4, 2)),
    INDEX(
      Donnees!$A:$Z,
      _xlpm.ligpartie + 3,
      MATCH(S$1, _xlpm.joueurs, 0) + 1
    )
  ), ""
)</f>
        <v/>
      </c>
      <c r="T487" t="str" cm="1">
        <f t="array" ref="T487">IFERROR(
  _xlfn.LET(
    _xlpm.ligpartie, MATCH($B486, Donnees!$F:$F, 0),
    _xlpm.joueurs, INDEX(Donnees!$A:$Z, _xlpm.ligpartie+1, _xlfn.SEQUENCE(1, 4, 2)),
    INDEX(
      Donnees!$A:$Z,
      _xlpm.ligpartie + 3,
      MATCH(T$1, _xlpm.joueurs, 0) + 1
    )
  ), ""
)</f>
        <v/>
      </c>
      <c r="U487" cm="1">
        <f t="array" ref="U487">IFERROR(
  _xlfn.LET(
    _xlpm.ligpartie, MATCH($B486, Donnees!$F:$F, 0),
    _xlpm.joueurs, INDEX(Donnees!$A:$Z, _xlpm.ligpartie+1, _xlfn.SEQUENCE(1, 4, 2)),
    INDEX(
      Donnees!$A:$Z,
      _xlpm.ligpartie + 3,
      MATCH(U$1, _xlpm.joueurs, 0) + 1
    )
  ), ""
)</f>
        <v>1</v>
      </c>
      <c r="V487" t="str" cm="1">
        <f t="array" ref="V487">IFERROR(
  _xlfn.LET(
    _xlpm.ligpartie, MATCH($B486, Donnees!$F:$F, 0),
    _xlpm.joueurs, INDEX(Donnees!$A:$Z, _xlpm.ligpartie+1, _xlfn.SEQUENCE(1, 4, 2)),
    INDEX(
      Donnees!$A:$Z,
      _xlpm.ligpartie + 3,
      MATCH(V$1, _xlpm.joueurs, 0) + 1
    )
  ), ""
)</f>
        <v/>
      </c>
      <c r="W487" cm="1">
        <f t="array" ref="W487">IFERROR(
  _xlfn.LET(
    _xlpm.ligpartie, MATCH($B486, Donnees!$F:$F, 0),
    _xlpm.joueurs, INDEX(Donnees!$A:$Z, _xlpm.ligpartie+1, _xlfn.SEQUENCE(1, 4, 2)),
    INDEX(
      Donnees!$A:$Z,
      _xlpm.ligpartie + 3,
      MATCH(W$1, _xlpm.joueurs, 0) + 1
    )
  ), ""
)</f>
        <v>0</v>
      </c>
      <c r="X487" t="str" cm="1">
        <f t="array" ref="X487">IFERROR(
  _xlfn.LET(
    _xlpm.ligpartie, MATCH($B486, Donnees!$F:$F, 0),
    _xlpm.joueurs, INDEX(Donnees!$A:$Z, _xlpm.ligpartie+1, _xlfn.SEQUENCE(1, 4, 2)),
    INDEX(
      Donnees!$A:$Z,
      _xlpm.ligpartie + 3,
      MATCH(X$1, _xlpm.joueurs, 0) + 1
    )
  ), ""
)</f>
        <v/>
      </c>
      <c r="Y487" t="str" cm="1">
        <f t="array" ref="Y487">IFERROR(
  _xlfn.LET(
    _xlpm.ligpartie, MATCH($B486, Donnees!$F:$F, 0),
    _xlpm.joueurs, INDEX(Donnees!$A:$Z, _xlpm.ligpartie+1, _xlfn.SEQUENCE(1, 4, 2)),
    INDEX(
      Donnees!$A:$Z,
      _xlpm.ligpartie + 3,
      MATCH(Y$1, _xlpm.joueurs, 0) + 1
    )
  ), ""
)</f>
        <v/>
      </c>
      <c r="Z487" t="str" cm="1">
        <f t="array" ref="Z487">IFERROR(
  _xlfn.LET(
    _xlpm.ligpartie, MATCH($B486, Donnees!$F:$F, 0),
    _xlpm.joueurs, INDEX(Donnees!$A:$Z, _xlpm.ligpartie+1, _xlfn.SEQUENCE(1, 4, 2)),
    INDEX(
      Donnees!$A:$Z,
      _xlpm.ligpartie + 3,
      MATCH(Z$1, _xlpm.joueurs, 0) + 1
    )
  ), ""
)</f>
        <v/>
      </c>
      <c r="AA487" t="str" cm="1">
        <f t="array" ref="AA487">IFERROR(
  _xlfn.LET(
    _xlpm.ligpartie, MATCH($B486, Donnees!$F:$F, 0),
    _xlpm.joueurs, INDEX(Donnees!$A:$Z, _xlpm.ligpartie+1, _xlfn.SEQUENCE(1, 4, 2)),
    INDEX(
      Donnees!$A:$Z,
      _xlpm.ligpartie + 3,
      MATCH(AA$1, _xlpm.joueurs, 0) + 1
    )
  ), ""
)</f>
        <v/>
      </c>
      <c r="AB487" t="str" cm="1">
        <f t="array" ref="AB487">IFERROR(
  _xlfn.LET(
    _xlpm.ligpartie, MATCH($B486, Donnees!$F:$F, 0),
    _xlpm.joueurs, INDEX(Donnees!$A:$Z, _xlpm.ligpartie+1, _xlfn.SEQUENCE(1, 4, 2)),
    INDEX(
      Donnees!$A:$Z,
      _xlpm.ligpartie + 3,
      MATCH(AB$1, _xlpm.joueurs, 0) + 1
    )
  ), ""
)</f>
        <v/>
      </c>
      <c r="AC487" t="str" cm="1">
        <f t="array" ref="AC487">IFERROR(
  _xlfn.LET(
    _xlpm.ligpartie, MATCH($B486, Donnees!$F:$F, 0),
    _xlpm.joueurs, INDEX(Donnees!$A:$Z, _xlpm.ligpartie+1, _xlfn.SEQUENCE(1, 4, 2)),
    INDEX(
      Donnees!$A:$Z,
      _xlpm.ligpartie + 3,
      MATCH(AC$1, _xlpm.joueurs, 0) + 1
    )
  ), ""
)</f>
        <v/>
      </c>
      <c r="AD487" t="str" cm="1">
        <f t="array" ref="AD487">IFERROR(
  _xlfn.LET(
    _xlpm.ligpartie, MATCH($B486, Donnees!$F:$F, 0),
    _xlpm.joueurs, INDEX(Donnees!$A:$Z, _xlpm.ligpartie+1, _xlfn.SEQUENCE(1, 4, 2)),
    INDEX(
      Donnees!$A:$Z,
      _xlpm.ligpartie + 3,
      MATCH(AD$1, _xlpm.joueurs, 0) + 1
    )
  ), ""
)</f>
        <v/>
      </c>
      <c r="AE487" t="str" cm="1">
        <f t="array" ref="AE487">IFERROR(
  _xlfn.LET(
    _xlpm.ligpartie, MATCH($B486, Donnees!$F:$F, 0),
    _xlpm.joueurs, INDEX(Donnees!$A:$Z, _xlpm.ligpartie+1, _xlfn.SEQUENCE(1, 4, 2)),
    INDEX(
      Donnees!$A:$Z,
      _xlpm.ligpartie + 3,
      MATCH(AE$1, _xlpm.joueurs, 0) + 1
    )
  ), ""
)</f>
        <v/>
      </c>
      <c r="AF487" t="str" cm="1">
        <f t="array" ref="AF487">IFERROR(
  _xlfn.LET(
    _xlpm.ligpartie, MATCH($B486, Donnees!$F:$F, 0),
    _xlpm.joueurs, INDEX(Donnees!$A:$Z, _xlpm.ligpartie+1, _xlfn.SEQUENCE(1, 4, 2)),
    INDEX(
      Donnees!$A:$Z,
      _xlpm.ligpartie + 3,
      MATCH(AF$1, _xlpm.joueurs, 0) + 1
    )
  ), ""
)</f>
        <v/>
      </c>
      <c r="AG487" t="str" cm="1">
        <f t="array" ref="AG487">IFERROR(
  _xlfn.LET(
    _xlpm.ligpartie, MATCH($B486, Donnees!$F:$F, 0),
    _xlpm.joueurs, INDEX(Donnees!$A:$Z, _xlpm.ligpartie+1, _xlfn.SEQUENCE(1, 4, 2)),
    INDEX(
      Donnees!$A:$Z,
      _xlpm.ligpartie + 3,
      MATCH(AG$1, _xlpm.joueurs, 0) + 1
    )
  ), ""
)</f>
        <v/>
      </c>
      <c r="AH487" t="str" cm="1">
        <f t="array" ref="AH487">IFERROR(
  _xlfn.LET(
    _xlpm.ligpartie, MATCH($B486, Donnees!$F:$F, 0),
    _xlpm.joueurs, INDEX(Donnees!$A:$Z, _xlpm.ligpartie+1, _xlfn.SEQUENCE(1, 4, 2)),
    INDEX(
      Donnees!$A:$Z,
      _xlpm.ligpartie + 3,
      MATCH(AH$1, _xlpm.joueurs, 0) + 1
    )
  ), ""
)</f>
        <v/>
      </c>
      <c r="AI487" t="str" cm="1">
        <f t="array" ref="AI487">IFERROR(
  _xlfn.LET(
    _xlpm.ligpartie, MATCH($B486, Donnees!$F:$F, 0),
    _xlpm.joueurs, INDEX(Donnees!$A:$Z, _xlpm.ligpartie+1, _xlfn.SEQUENCE(1, 4, 2)),
    INDEX(
      Donnees!$A:$Z,
      _xlpm.ligpartie + 3,
      MATCH(AI$1, _xlpm.joueurs, 0) + 1
    )
  ), ""
)</f>
        <v/>
      </c>
      <c r="AJ487" t="str" cm="1">
        <f t="array" ref="AJ487">IFERROR(
  _xlfn.LET(
    _xlpm.ligpartie, MATCH($B486, Donnees!$F:$F, 0),
    _xlpm.joueurs, INDEX(Donnees!$A:$Z, _xlpm.ligpartie+1, _xlfn.SEQUENCE(1, 4, 2)),
    INDEX(
      Donnees!$A:$Z,
      _xlpm.ligpartie + 3,
      MATCH(AJ$1, _xlpm.joueurs, 0) + 1
    )
  ), ""
)</f>
        <v/>
      </c>
      <c r="AK487" t="str" cm="1">
        <f t="array" ref="AK487">IFERROR(
  _xlfn.LET(
    _xlpm.ligpartie, MATCH($B486, Donnees!$F:$F, 0),
    _xlpm.joueurs, INDEX(Donnees!$A:$Z, _xlpm.ligpartie+1, _xlfn.SEQUENCE(1, 4, 2)),
    INDEX(
      Donnees!$A:$Z,
      _xlpm.ligpartie + 3,
      MATCH(AK$1, _xlpm.joueurs, 0) + 1
    )
  ), ""
)</f>
        <v/>
      </c>
      <c r="AL487" t="str" cm="1">
        <f t="array" ref="AL487">IFERROR(
  _xlfn.LET(
    _xlpm.ligpartie, MATCH($B486, Donnees!$F:$F, 0),
    _xlpm.joueurs, INDEX(Donnees!$A:$Z, _xlpm.ligpartie+1, _xlfn.SEQUENCE(1, 4, 2)),
    INDEX(
      Donnees!$A:$Z,
      _xlpm.ligpartie + 3,
      MATCH(AL$1, _xlpm.joueurs, 0) + 1
    )
  ), ""
)</f>
        <v/>
      </c>
      <c r="AM487" t="str" cm="1">
        <f t="array" ref="AM487">IFERROR(
  _xlfn.LET(
    _xlpm.ligpartie, MATCH($B486, Donnees!$F:$F, 0),
    _xlpm.joueurs, INDEX(Donnees!$A:$Z, _xlpm.ligpartie+1, _xlfn.SEQUENCE(1, 4, 2)),
    INDEX(
      Donnees!$A:$Z,
      _xlpm.ligpartie + 3,
      MATCH(AM$1, _xlpm.joueurs, 0) + 1
    )
  ), ""
)</f>
        <v/>
      </c>
    </row>
    <row r="488" spans="1:39" x14ac:dyDescent="0.25">
      <c r="A488" t="s">
        <v>20</v>
      </c>
      <c r="D488" t="str" cm="1">
        <f t="array" ref="D488">_xlfn.LET(
  _xlpm.colj, _xlfn._xlws.FILTER(IF(ISNUMBER(487:487), COLUMN(487:487)), ISNUMBER(487:487)),
  _xlpm.elos, INDEX(486:486,1,_xlpm.colj),
  _xlpm.diffscale, Constantes!$B$2,
  IF(D487="",
    "",
    SUM(1/(1+POWER(10,-(D486-_xlpm.elos)/_xlpm.diffscale)))-0.5)
)</f>
        <v/>
      </c>
      <c r="E488" cm="1">
        <f t="array" ref="E488">_xlfn.LET(
  _xlpm.colj, _xlfn._xlws.FILTER(IF(ISNUMBER(487:487), COLUMN(487:487)), ISNUMBER(487:487)),
  _xlpm.elos, INDEX(486:486,1,_xlpm.colj),
  _xlpm.diffscale, Constantes!$B$2,
  IF(E487="",
    "",
    SUM(1/(1+POWER(10,-(E486-_xlpm.elos)/_xlpm.diffscale)))-0.5)
)</f>
        <v>2.1509244320637042</v>
      </c>
      <c r="F488" t="str" cm="1">
        <f t="array" ref="F488">_xlfn.LET(
  _xlpm.colj, _xlfn._xlws.FILTER(IF(ISNUMBER(487:487), COLUMN(487:487)), ISNUMBER(487:487)),
  _xlpm.elos, INDEX(486:486,1,_xlpm.colj),
  _xlpm.diffscale, Constantes!$B$2,
  IF(F487="",
    "",
    SUM(1/(1+POWER(10,-(F486-_xlpm.elos)/_xlpm.diffscale)))-0.5)
)</f>
        <v/>
      </c>
      <c r="G488" t="str" cm="1">
        <f t="array" ref="G488">_xlfn.LET(
  _xlpm.colj, _xlfn._xlws.FILTER(IF(ISNUMBER(487:487), COLUMN(487:487)), ISNUMBER(487:487)),
  _xlpm.elos, INDEX(486:486,1,_xlpm.colj),
  _xlpm.diffscale, Constantes!$B$2,
  IF(G487="",
    "",
    SUM(1/(1+POWER(10,-(G486-_xlpm.elos)/_xlpm.diffscale)))-0.5)
)</f>
        <v/>
      </c>
      <c r="H488" t="str" cm="1">
        <f t="array" ref="H488">_xlfn.LET(
  _xlpm.colj, _xlfn._xlws.FILTER(IF(ISNUMBER(487:487), COLUMN(487:487)), ISNUMBER(487:487)),
  _xlpm.elos, INDEX(486:486,1,_xlpm.colj),
  _xlpm.diffscale, Constantes!$B$2,
  IF(H487="",
    "",
    SUM(1/(1+POWER(10,-(H486-_xlpm.elos)/_xlpm.diffscale)))-0.5)
)</f>
        <v/>
      </c>
      <c r="I488" t="str" cm="1">
        <f t="array" ref="I488">_xlfn.LET(
  _xlpm.colj, _xlfn._xlws.FILTER(IF(ISNUMBER(487:487), COLUMN(487:487)), ISNUMBER(487:487)),
  _xlpm.elos, INDEX(486:486,1,_xlpm.colj),
  _xlpm.diffscale, Constantes!$B$2,
  IF(I487="",
    "",
    SUM(1/(1+POWER(10,-(I486-_xlpm.elos)/_xlpm.diffscale)))-0.5)
)</f>
        <v/>
      </c>
      <c r="J488" cm="1">
        <f t="array" ref="J488">_xlfn.LET(
  _xlpm.colj, _xlfn._xlws.FILTER(IF(ISNUMBER(487:487), COLUMN(487:487)), ISNUMBER(487:487)),
  _xlpm.elos, INDEX(486:486,1,_xlpm.colj),
  _xlpm.diffscale, Constantes!$B$2,
  IF(J487="",
    "",
    SUM(1/(1+POWER(10,-(J486-_xlpm.elos)/_xlpm.diffscale)))-0.5)
)</f>
        <v>0.92547472444383949</v>
      </c>
      <c r="K488" t="str" cm="1">
        <f t="array" ref="K488">_xlfn.LET(
  _xlpm.colj, _xlfn._xlws.FILTER(IF(ISNUMBER(487:487), COLUMN(487:487)), ISNUMBER(487:487)),
  _xlpm.elos, INDEX(486:486,1,_xlpm.colj),
  _xlpm.diffscale, Constantes!$B$2,
  IF(K487="",
    "",
    SUM(1/(1+POWER(10,-(K486-_xlpm.elos)/_xlpm.diffscale)))-0.5)
)</f>
        <v/>
      </c>
      <c r="L488" t="str" cm="1">
        <f t="array" ref="L488">_xlfn.LET(
  _xlpm.colj, _xlfn._xlws.FILTER(IF(ISNUMBER(487:487), COLUMN(487:487)), ISNUMBER(487:487)),
  _xlpm.elos, INDEX(486:486,1,_xlpm.colj),
  _xlpm.diffscale, Constantes!$B$2,
  IF(L487="",
    "",
    SUM(1/(1+POWER(10,-(L486-_xlpm.elos)/_xlpm.diffscale)))-0.5)
)</f>
        <v/>
      </c>
      <c r="M488" t="str" cm="1">
        <f t="array" ref="M488">_xlfn.LET(
  _xlpm.colj, _xlfn._xlws.FILTER(IF(ISNUMBER(487:487), COLUMN(487:487)), ISNUMBER(487:487)),
  _xlpm.elos, INDEX(486:486,1,_xlpm.colj),
  _xlpm.diffscale, Constantes!$B$2,
  IF(M487="",
    "",
    SUM(1/(1+POWER(10,-(M486-_xlpm.elos)/_xlpm.diffscale)))-0.5)
)</f>
        <v/>
      </c>
      <c r="N488" t="str" cm="1">
        <f t="array" ref="N488">_xlfn.LET(
  _xlpm.colj, _xlfn._xlws.FILTER(IF(ISNUMBER(487:487), COLUMN(487:487)), ISNUMBER(487:487)),
  _xlpm.elos, INDEX(486:486,1,_xlpm.colj),
  _xlpm.diffscale, Constantes!$B$2,
  IF(N487="",
    "",
    SUM(1/(1+POWER(10,-(N486-_xlpm.elos)/_xlpm.diffscale)))-0.5)
)</f>
        <v/>
      </c>
      <c r="O488" t="str" cm="1">
        <f t="array" ref="O488">_xlfn.LET(
  _xlpm.colj, _xlfn._xlws.FILTER(IF(ISNUMBER(487:487), COLUMN(487:487)), ISNUMBER(487:487)),
  _xlpm.elos, INDEX(486:486,1,_xlpm.colj),
  _xlpm.diffscale, Constantes!$B$2,
  IF(O487="",
    "",
    SUM(1/(1+POWER(10,-(O486-_xlpm.elos)/_xlpm.diffscale)))-0.5)
)</f>
        <v/>
      </c>
      <c r="P488" t="str" cm="1">
        <f t="array" ref="P488">_xlfn.LET(
  _xlpm.colj, _xlfn._xlws.FILTER(IF(ISNUMBER(487:487), COLUMN(487:487)), ISNUMBER(487:487)),
  _xlpm.elos, INDEX(486:486,1,_xlpm.colj),
  _xlpm.diffscale, Constantes!$B$2,
  IF(P487="",
    "",
    SUM(1/(1+POWER(10,-(P486-_xlpm.elos)/_xlpm.diffscale)))-0.5)
)</f>
        <v/>
      </c>
      <c r="Q488" t="str" cm="1">
        <f t="array" ref="Q488">_xlfn.LET(
  _xlpm.colj, _xlfn._xlws.FILTER(IF(ISNUMBER(487:487), COLUMN(487:487)), ISNUMBER(487:487)),
  _xlpm.elos, INDEX(486:486,1,_xlpm.colj),
  _xlpm.diffscale, Constantes!$B$2,
  IF(Q487="",
    "",
    SUM(1/(1+POWER(10,-(Q486-_xlpm.elos)/_xlpm.diffscale)))-0.5)
)</f>
        <v/>
      </c>
      <c r="R488" t="str" cm="1">
        <f t="array" ref="R488">_xlfn.LET(
  _xlpm.colj, _xlfn._xlws.FILTER(IF(ISNUMBER(487:487), COLUMN(487:487)), ISNUMBER(487:487)),
  _xlpm.elos, INDEX(486:486,1,_xlpm.colj),
  _xlpm.diffscale, Constantes!$B$2,
  IF(R487="",
    "",
    SUM(1/(1+POWER(10,-(R486-_xlpm.elos)/_xlpm.diffscale)))-0.5)
)</f>
        <v/>
      </c>
      <c r="S488" t="str" cm="1">
        <f t="array" ref="S488">_xlfn.LET(
  _xlpm.colj, _xlfn._xlws.FILTER(IF(ISNUMBER(487:487), COLUMN(487:487)), ISNUMBER(487:487)),
  _xlpm.elos, INDEX(486:486,1,_xlpm.colj),
  _xlpm.diffscale, Constantes!$B$2,
  IF(S487="",
    "",
    SUM(1/(1+POWER(10,-(S486-_xlpm.elos)/_xlpm.diffscale)))-0.5)
)</f>
        <v/>
      </c>
      <c r="T488" t="str" cm="1">
        <f t="array" ref="T488">_xlfn.LET(
  _xlpm.colj, _xlfn._xlws.FILTER(IF(ISNUMBER(487:487), COLUMN(487:487)), ISNUMBER(487:487)),
  _xlpm.elos, INDEX(486:486,1,_xlpm.colj),
  _xlpm.diffscale, Constantes!$B$2,
  IF(T487="",
    "",
    SUM(1/(1+POWER(10,-(T486-_xlpm.elos)/_xlpm.diffscale)))-0.5)
)</f>
        <v/>
      </c>
      <c r="U488" cm="1">
        <f t="array" ref="U488">_xlfn.LET(
  _xlpm.colj, _xlfn._xlws.FILTER(IF(ISNUMBER(487:487), COLUMN(487:487)), ISNUMBER(487:487)),
  _xlpm.elos, INDEX(486:486,1,_xlpm.colj),
  _xlpm.diffscale, Constantes!$B$2,
  IF(U487="",
    "",
    SUM(1/(1+POWER(10,-(U486-_xlpm.elos)/_xlpm.diffscale)))-0.5)
)</f>
        <v>2.2050683385449341</v>
      </c>
      <c r="V488" t="str" cm="1">
        <f t="array" ref="V488">_xlfn.LET(
  _xlpm.colj, _xlfn._xlws.FILTER(IF(ISNUMBER(487:487), COLUMN(487:487)), ISNUMBER(487:487)),
  _xlpm.elos, INDEX(486:486,1,_xlpm.colj),
  _xlpm.diffscale, Constantes!$B$2,
  IF(V487="",
    "",
    SUM(1/(1+POWER(10,-(V486-_xlpm.elos)/_xlpm.diffscale)))-0.5)
)</f>
        <v/>
      </c>
      <c r="W488" cm="1">
        <f t="array" ref="W488">_xlfn.LET(
  _xlpm.colj, _xlfn._xlws.FILTER(IF(ISNUMBER(487:487), COLUMN(487:487)), ISNUMBER(487:487)),
  _xlpm.elos, INDEX(486:486,1,_xlpm.colj),
  _xlpm.diffscale, Constantes!$B$2,
  IF(W487="",
    "",
    SUM(1/(1+POWER(10,-(W486-_xlpm.elos)/_xlpm.diffscale)))-0.5)
)</f>
        <v>0.71853250494752219</v>
      </c>
      <c r="X488" t="str" cm="1">
        <f t="array" ref="X488">_xlfn.LET(
  _xlpm.colj, _xlfn._xlws.FILTER(IF(ISNUMBER(487:487), COLUMN(487:487)), ISNUMBER(487:487)),
  _xlpm.elos, INDEX(486:486,1,_xlpm.colj),
  _xlpm.diffscale, Constantes!$B$2,
  IF(X487="",
    "",
    SUM(1/(1+POWER(10,-(X486-_xlpm.elos)/_xlpm.diffscale)))-0.5)
)</f>
        <v/>
      </c>
      <c r="Y488" t="str" cm="1">
        <f t="array" ref="Y488">_xlfn.LET(
  _xlpm.colj, _xlfn._xlws.FILTER(IF(ISNUMBER(487:487), COLUMN(487:487)), ISNUMBER(487:487)),
  _xlpm.elos, INDEX(486:486,1,_xlpm.colj),
  _xlpm.diffscale, Constantes!$B$2,
  IF(Y487="",
    "",
    SUM(1/(1+POWER(10,-(Y486-_xlpm.elos)/_xlpm.diffscale)))-0.5)
)</f>
        <v/>
      </c>
      <c r="Z488" t="str" cm="1">
        <f t="array" ref="Z488">_xlfn.LET(
  _xlpm.colj, _xlfn._xlws.FILTER(IF(ISNUMBER(487:487), COLUMN(487:487)), ISNUMBER(487:487)),
  _xlpm.elos, INDEX(486:486,1,_xlpm.colj),
  _xlpm.diffscale, Constantes!$B$2,
  IF(Z487="",
    "",
    SUM(1/(1+POWER(10,-(Z486-_xlpm.elos)/_xlpm.diffscale)))-0.5)
)</f>
        <v/>
      </c>
      <c r="AA488" t="str" cm="1">
        <f t="array" ref="AA488">_xlfn.LET(
  _xlpm.colj, _xlfn._xlws.FILTER(IF(ISNUMBER(487:487), COLUMN(487:487)), ISNUMBER(487:487)),
  _xlpm.elos, INDEX(486:486,1,_xlpm.colj),
  _xlpm.diffscale, Constantes!$B$2,
  IF(AA487="",
    "",
    SUM(1/(1+POWER(10,-(AA486-_xlpm.elos)/_xlpm.diffscale)))-0.5)
)</f>
        <v/>
      </c>
      <c r="AB488" t="str" cm="1">
        <f t="array" ref="AB488">_xlfn.LET(
  _xlpm.colj, _xlfn._xlws.FILTER(IF(ISNUMBER(487:487), COLUMN(487:487)), ISNUMBER(487:487)),
  _xlpm.elos, INDEX(486:486,1,_xlpm.colj),
  _xlpm.diffscale, Constantes!$B$2,
  IF(AB487="",
    "",
    SUM(1/(1+POWER(10,-(AB486-_xlpm.elos)/_xlpm.diffscale)))-0.5)
)</f>
        <v/>
      </c>
      <c r="AC488" t="str" cm="1">
        <f t="array" ref="AC488">_xlfn.LET(
  _xlpm.colj, _xlfn._xlws.FILTER(IF(ISNUMBER(487:487), COLUMN(487:487)), ISNUMBER(487:487)),
  _xlpm.elos, INDEX(486:486,1,_xlpm.colj),
  _xlpm.diffscale, Constantes!$B$2,
  IF(AC487="",
    "",
    SUM(1/(1+POWER(10,-(AC486-_xlpm.elos)/_xlpm.diffscale)))-0.5)
)</f>
        <v/>
      </c>
      <c r="AD488" t="str" cm="1">
        <f t="array" ref="AD488">_xlfn.LET(
  _xlpm.colj, _xlfn._xlws.FILTER(IF(ISNUMBER(487:487), COLUMN(487:487)), ISNUMBER(487:487)),
  _xlpm.elos, INDEX(486:486,1,_xlpm.colj),
  _xlpm.diffscale, Constantes!$B$2,
  IF(AD487="",
    "",
    SUM(1/(1+POWER(10,-(AD486-_xlpm.elos)/_xlpm.diffscale)))-0.5)
)</f>
        <v/>
      </c>
      <c r="AE488" t="str" cm="1">
        <f t="array" ref="AE488">_xlfn.LET(
  _xlpm.colj, _xlfn._xlws.FILTER(IF(ISNUMBER(487:487), COLUMN(487:487)), ISNUMBER(487:487)),
  _xlpm.elos, INDEX(486:486,1,_xlpm.colj),
  _xlpm.diffscale, Constantes!$B$2,
  IF(AE487="",
    "",
    SUM(1/(1+POWER(10,-(AE486-_xlpm.elos)/_xlpm.diffscale)))-0.5)
)</f>
        <v/>
      </c>
      <c r="AF488" t="str" cm="1">
        <f t="array" ref="AF488">_xlfn.LET(
  _xlpm.colj, _xlfn._xlws.FILTER(IF(ISNUMBER(487:487), COLUMN(487:487)), ISNUMBER(487:487)),
  _xlpm.elos, INDEX(486:486,1,_xlpm.colj),
  _xlpm.diffscale, Constantes!$B$2,
  IF(AF487="",
    "",
    SUM(1/(1+POWER(10,-(AF486-_xlpm.elos)/_xlpm.diffscale)))-0.5)
)</f>
        <v/>
      </c>
      <c r="AG488" t="str" cm="1">
        <f t="array" ref="AG488">_xlfn.LET(
  _xlpm.colj, _xlfn._xlws.FILTER(IF(ISNUMBER(487:487), COLUMN(487:487)), ISNUMBER(487:487)),
  _xlpm.elos, INDEX(486:486,1,_xlpm.colj),
  _xlpm.diffscale, Constantes!$B$2,
  IF(AG487="",
    "",
    SUM(1/(1+POWER(10,-(AG486-_xlpm.elos)/_xlpm.diffscale)))-0.5)
)</f>
        <v/>
      </c>
      <c r="AH488" t="str" cm="1">
        <f t="array" ref="AH488">_xlfn.LET(
  _xlpm.colj, _xlfn._xlws.FILTER(IF(ISNUMBER(487:487), COLUMN(487:487)), ISNUMBER(487:487)),
  _xlpm.elos, INDEX(486:486,1,_xlpm.colj),
  _xlpm.diffscale, Constantes!$B$2,
  IF(AH487="",
    "",
    SUM(1/(1+POWER(10,-(AH486-_xlpm.elos)/_xlpm.diffscale)))-0.5)
)</f>
        <v/>
      </c>
      <c r="AI488" t="str" cm="1">
        <f t="array" ref="AI488">_xlfn.LET(
  _xlpm.colj, _xlfn._xlws.FILTER(IF(ISNUMBER(487:487), COLUMN(487:487)), ISNUMBER(487:487)),
  _xlpm.elos, INDEX(486:486,1,_xlpm.colj),
  _xlpm.diffscale, Constantes!$B$2,
  IF(AI487="",
    "",
    SUM(1/(1+POWER(10,-(AI486-_xlpm.elos)/_xlpm.diffscale)))-0.5)
)</f>
        <v/>
      </c>
      <c r="AJ488" t="str" cm="1">
        <f t="array" ref="AJ488">_xlfn.LET(
  _xlpm.colj, _xlfn._xlws.FILTER(IF(ISNUMBER(487:487), COLUMN(487:487)), ISNUMBER(487:487)),
  _xlpm.elos, INDEX(486:486,1,_xlpm.colj),
  _xlpm.diffscale, Constantes!$B$2,
  IF(AJ487="",
    "",
    SUM(1/(1+POWER(10,-(AJ486-_xlpm.elos)/_xlpm.diffscale)))-0.5)
)</f>
        <v/>
      </c>
      <c r="AK488" t="str" cm="1">
        <f t="array" ref="AK488">_xlfn.LET(
  _xlpm.colj, _xlfn._xlws.FILTER(IF(ISNUMBER(487:487), COLUMN(487:487)), ISNUMBER(487:487)),
  _xlpm.elos, INDEX(486:486,1,_xlpm.colj),
  _xlpm.diffscale, Constantes!$B$2,
  IF(AK487="",
    "",
    SUM(1/(1+POWER(10,-(AK486-_xlpm.elos)/_xlpm.diffscale)))-0.5)
)</f>
        <v/>
      </c>
      <c r="AL488" t="str" cm="1">
        <f t="array" ref="AL488">_xlfn.LET(
  _xlpm.colj, _xlfn._xlws.FILTER(IF(ISNUMBER(487:487), COLUMN(487:487)), ISNUMBER(487:487)),
  _xlpm.elos, INDEX(486:486,1,_xlpm.colj),
  _xlpm.diffscale, Constantes!$B$2,
  IF(AL487="",
    "",
    SUM(1/(1+POWER(10,-(AL486-_xlpm.elos)/_xlpm.diffscale)))-0.5)
)</f>
        <v/>
      </c>
      <c r="AM488" t="str" cm="1">
        <f t="array" ref="AM488">_xlfn.LET(
  _xlpm.colj, _xlfn._xlws.FILTER(IF(ISNUMBER(487:487), COLUMN(487:487)), ISNUMBER(487:487)),
  _xlpm.elos, INDEX(486:486,1,_xlpm.colj),
  _xlpm.diffscale, Constantes!$B$2,
  IF(AM487="",
    "",
    SUM(1/(1+POWER(10,-(AM486-_xlpm.elos)/_xlpm.diffscale)))-0.5)
)</f>
        <v/>
      </c>
    </row>
    <row r="489" spans="1:39" x14ac:dyDescent="0.25">
      <c r="A489" t="s">
        <v>22</v>
      </c>
      <c r="D489" t="str" cm="1">
        <f t="array" ref="D489">_xlfn.LET(
  _xlpm.K, Constantes!$B$3,
  _xlpm.Knewgain, Constantes!$B$4,
  _xlpm.Knewscale, Constantes!$B$5,
  _xlpm.ptstables, INDEX(D:D, _xlfn.SEQUENCE(COUNTA($C$2:$C489), 1, 3, 4)),
  _xlpm.nbparties, COUNTA(_xlfn._xlws.FILTER(_xlpm.ptstables, _xlpm.ptstables &lt;&gt; "")),
  _xlpm.coef, _xlpm.K + _xlpm.Knewgain / (_xlpm.Knewscale + _xlpm.nbparties),
  IF(D487="",
    "",
    _xlpm.coef * (D487-D488))
)</f>
        <v/>
      </c>
      <c r="E489" cm="1">
        <f t="array" ref="E489">_xlfn.LET(
  _xlpm.K, Constantes!$B$3,
  _xlpm.Knewgain, Constantes!$B$4,
  _xlpm.Knewscale, Constantes!$B$5,
  _xlpm.ptstables, INDEX(E:E, _xlfn.SEQUENCE(COUNTA($C$2:$C489), 1, 3, 4)),
  _xlpm.nbparties, COUNTA(_xlfn._xlws.FILTER(_xlpm.ptstables, _xlpm.ptstables &lt;&gt; "")),
  _xlpm.coef, _xlpm.K + _xlpm.Knewgain / (_xlpm.Knewscale + _xlpm.nbparties),
  IF(E487="",
    "",
    _xlpm.coef * (E487-E488))
)</f>
        <v>18.553873521570907</v>
      </c>
      <c r="F489" t="str" cm="1">
        <f t="array" ref="F489">_xlfn.LET(
  _xlpm.K, Constantes!$B$3,
  _xlpm.Knewgain, Constantes!$B$4,
  _xlpm.Knewscale, Constantes!$B$5,
  _xlpm.ptstables, INDEX(F:F, _xlfn.SEQUENCE(COUNTA($C$2:$C489), 1, 3, 4)),
  _xlpm.nbparties, COUNTA(_xlfn._xlws.FILTER(_xlpm.ptstables, _xlpm.ptstables &lt;&gt; "")),
  _xlpm.coef, _xlpm.K + _xlpm.Knewgain / (_xlpm.Knewscale + _xlpm.nbparties),
  IF(F487="",
    "",
    _xlpm.coef * (F487-F488))
)</f>
        <v/>
      </c>
      <c r="G489" t="str" cm="1">
        <f t="array" ref="G489">_xlfn.LET(
  _xlpm.K, Constantes!$B$3,
  _xlpm.Knewgain, Constantes!$B$4,
  _xlpm.Knewscale, Constantes!$B$5,
  _xlpm.ptstables, INDEX(G:G, _xlfn.SEQUENCE(COUNTA($C$2:$C489), 1, 3, 4)),
  _xlpm.nbparties, COUNTA(_xlfn._xlws.FILTER(_xlpm.ptstables, _xlpm.ptstables &lt;&gt; "")),
  _xlpm.coef, _xlpm.K + _xlpm.Knewgain / (_xlpm.Knewscale + _xlpm.nbparties),
  IF(G487="",
    "",
    _xlpm.coef * (G487-G488))
)</f>
        <v/>
      </c>
      <c r="H489" t="str" cm="1">
        <f t="array" ref="H489">_xlfn.LET(
  _xlpm.K, Constantes!$B$3,
  _xlpm.Knewgain, Constantes!$B$4,
  _xlpm.Knewscale, Constantes!$B$5,
  _xlpm.ptstables, INDEX(H:H, _xlfn.SEQUENCE(COUNTA($C$2:$C489), 1, 3, 4)),
  _xlpm.nbparties, COUNTA(_xlfn._xlws.FILTER(_xlpm.ptstables, _xlpm.ptstables &lt;&gt; "")),
  _xlpm.coef, _xlpm.K + _xlpm.Knewgain / (_xlpm.Knewscale + _xlpm.nbparties),
  IF(H487="",
    "",
    _xlpm.coef * (H487-H488))
)</f>
        <v/>
      </c>
      <c r="I489" t="str" cm="1">
        <f t="array" ref="I489">_xlfn.LET(
  _xlpm.K, Constantes!$B$3,
  _xlpm.Knewgain, Constantes!$B$4,
  _xlpm.Knewscale, Constantes!$B$5,
  _xlpm.ptstables, INDEX(I:I, _xlfn.SEQUENCE(COUNTA($C$2:$C489), 1, 3, 4)),
  _xlpm.nbparties, COUNTA(_xlfn._xlws.FILTER(_xlpm.ptstables, _xlpm.ptstables &lt;&gt; "")),
  _xlpm.coef, _xlpm.K + _xlpm.Knewgain / (_xlpm.Knewscale + _xlpm.nbparties),
  IF(I487="",
    "",
    _xlpm.coef * (I487-I488))
)</f>
        <v/>
      </c>
      <c r="J489" cm="1">
        <f t="array" ref="J489">_xlfn.LET(
  _xlpm.K, Constantes!$B$3,
  _xlpm.Knewgain, Constantes!$B$4,
  _xlpm.Knewscale, Constantes!$B$5,
  _xlpm.ptstables, INDEX(J:J, _xlfn.SEQUENCE(COUNTA($C$2:$C489), 1, 3, 4)),
  _xlpm.nbparties, COUNTA(_xlfn._xlws.FILTER(_xlpm.ptstables, _xlpm.ptstables &lt;&gt; "")),
  _xlpm.coef, _xlpm.K + _xlpm.Knewgain / (_xlpm.Knewscale + _xlpm.nbparties),
  IF(J487="",
    "",
    _xlpm.coef * (J487-J488))
)</f>
        <v>25.328095780966642</v>
      </c>
      <c r="K489" t="str" cm="1">
        <f t="array" ref="K489">_xlfn.LET(
  _xlpm.K, Constantes!$B$3,
  _xlpm.Knewgain, Constantes!$B$4,
  _xlpm.Knewscale, Constantes!$B$5,
  _xlpm.ptstables, INDEX(K:K, _xlfn.SEQUENCE(COUNTA($C$2:$C489), 1, 3, 4)),
  _xlpm.nbparties, COUNTA(_xlfn._xlws.FILTER(_xlpm.ptstables, _xlpm.ptstables &lt;&gt; "")),
  _xlpm.coef, _xlpm.K + _xlpm.Knewgain / (_xlpm.Knewscale + _xlpm.nbparties),
  IF(K487="",
    "",
    _xlpm.coef * (K487-K488))
)</f>
        <v/>
      </c>
      <c r="L489" t="str" cm="1">
        <f t="array" ref="L489">_xlfn.LET(
  _xlpm.K, Constantes!$B$3,
  _xlpm.Knewgain, Constantes!$B$4,
  _xlpm.Knewscale, Constantes!$B$5,
  _xlpm.ptstables, INDEX(L:L, _xlfn.SEQUENCE(COUNTA($C$2:$C489), 1, 3, 4)),
  _xlpm.nbparties, COUNTA(_xlfn._xlws.FILTER(_xlpm.ptstables, _xlpm.ptstables &lt;&gt; "")),
  _xlpm.coef, _xlpm.K + _xlpm.Knewgain / (_xlpm.Knewscale + _xlpm.nbparties),
  IF(L487="",
    "",
    _xlpm.coef * (L487-L488))
)</f>
        <v/>
      </c>
      <c r="M489" t="str" cm="1">
        <f t="array" ref="M489">_xlfn.LET(
  _xlpm.K, Constantes!$B$3,
  _xlpm.Knewgain, Constantes!$B$4,
  _xlpm.Knewscale, Constantes!$B$5,
  _xlpm.ptstables, INDEX(M:M, _xlfn.SEQUENCE(COUNTA($C$2:$C489), 1, 3, 4)),
  _xlpm.nbparties, COUNTA(_xlfn._xlws.FILTER(_xlpm.ptstables, _xlpm.ptstables &lt;&gt; "")),
  _xlpm.coef, _xlpm.K + _xlpm.Knewgain / (_xlpm.Knewscale + _xlpm.nbparties),
  IF(M487="",
    "",
    _xlpm.coef * (M487-M488))
)</f>
        <v/>
      </c>
      <c r="N489" t="str" cm="1">
        <f t="array" ref="N489">_xlfn.LET(
  _xlpm.K, Constantes!$B$3,
  _xlpm.Knewgain, Constantes!$B$4,
  _xlpm.Knewscale, Constantes!$B$5,
  _xlpm.ptstables, INDEX(N:N, _xlfn.SEQUENCE(COUNTA($C$2:$C489), 1, 3, 4)),
  _xlpm.nbparties, COUNTA(_xlfn._xlws.FILTER(_xlpm.ptstables, _xlpm.ptstables &lt;&gt; "")),
  _xlpm.coef, _xlpm.K + _xlpm.Knewgain / (_xlpm.Knewscale + _xlpm.nbparties),
  IF(N487="",
    "",
    _xlpm.coef * (N487-N488))
)</f>
        <v/>
      </c>
      <c r="O489" t="str" cm="1">
        <f t="array" ref="O489">_xlfn.LET(
  _xlpm.K, Constantes!$B$3,
  _xlpm.Knewgain, Constantes!$B$4,
  _xlpm.Knewscale, Constantes!$B$5,
  _xlpm.ptstables, INDEX(O:O, _xlfn.SEQUENCE(COUNTA($C$2:$C489), 1, 3, 4)),
  _xlpm.nbparties, COUNTA(_xlfn._xlws.FILTER(_xlpm.ptstables, _xlpm.ptstables &lt;&gt; "")),
  _xlpm.coef, _xlpm.K + _xlpm.Knewgain / (_xlpm.Knewscale + _xlpm.nbparties),
  IF(O487="",
    "",
    _xlpm.coef * (O487-O488))
)</f>
        <v/>
      </c>
      <c r="P489" t="str" cm="1">
        <f t="array" ref="P489">_xlfn.LET(
  _xlpm.K, Constantes!$B$3,
  _xlpm.Knewgain, Constantes!$B$4,
  _xlpm.Knewscale, Constantes!$B$5,
  _xlpm.ptstables, INDEX(P:P, _xlfn.SEQUENCE(COUNTA($C$2:$C489), 1, 3, 4)),
  _xlpm.nbparties, COUNTA(_xlfn._xlws.FILTER(_xlpm.ptstables, _xlpm.ptstables &lt;&gt; "")),
  _xlpm.coef, _xlpm.K + _xlpm.Knewgain / (_xlpm.Knewscale + _xlpm.nbparties),
  IF(P487="",
    "",
    _xlpm.coef * (P487-P488))
)</f>
        <v/>
      </c>
      <c r="Q489" t="str" cm="1">
        <f t="array" ref="Q489">_xlfn.LET(
  _xlpm.K, Constantes!$B$3,
  _xlpm.Knewgain, Constantes!$B$4,
  _xlpm.Knewscale, Constantes!$B$5,
  _xlpm.ptstables, INDEX(Q:Q, _xlfn.SEQUENCE(COUNTA($C$2:$C489), 1, 3, 4)),
  _xlpm.nbparties, COUNTA(_xlfn._xlws.FILTER(_xlpm.ptstables, _xlpm.ptstables &lt;&gt; "")),
  _xlpm.coef, _xlpm.K + _xlpm.Knewgain / (_xlpm.Knewscale + _xlpm.nbparties),
  IF(Q487="",
    "",
    _xlpm.coef * (Q487-Q488))
)</f>
        <v/>
      </c>
      <c r="R489" t="str" cm="1">
        <f t="array" ref="R489">_xlfn.LET(
  _xlpm.K, Constantes!$B$3,
  _xlpm.Knewgain, Constantes!$B$4,
  _xlpm.Knewscale, Constantes!$B$5,
  _xlpm.ptstables, INDEX(R:R, _xlfn.SEQUENCE(COUNTA($C$2:$C489), 1, 3, 4)),
  _xlpm.nbparties, COUNTA(_xlfn._xlws.FILTER(_xlpm.ptstables, _xlpm.ptstables &lt;&gt; "")),
  _xlpm.coef, _xlpm.K + _xlpm.Knewgain / (_xlpm.Knewscale + _xlpm.nbparties),
  IF(R487="",
    "",
    _xlpm.coef * (R487-R488))
)</f>
        <v/>
      </c>
      <c r="S489" t="str" cm="1">
        <f t="array" ref="S489">_xlfn.LET(
  _xlpm.K, Constantes!$B$3,
  _xlpm.Knewgain, Constantes!$B$4,
  _xlpm.Knewscale, Constantes!$B$5,
  _xlpm.ptstables, INDEX(S:S, _xlfn.SEQUENCE(COUNTA($C$2:$C489), 1, 3, 4)),
  _xlpm.nbparties, COUNTA(_xlfn._xlws.FILTER(_xlpm.ptstables, _xlpm.ptstables &lt;&gt; "")),
  _xlpm.coef, _xlpm.K + _xlpm.Knewgain / (_xlpm.Knewscale + _xlpm.nbparties),
  IF(S487="",
    "",
    _xlpm.coef * (S487-S488))
)</f>
        <v/>
      </c>
      <c r="T489" t="str" cm="1">
        <f t="array" ref="T489">_xlfn.LET(
  _xlpm.K, Constantes!$B$3,
  _xlpm.Knewgain, Constantes!$B$4,
  _xlpm.Knewscale, Constantes!$B$5,
  _xlpm.ptstables, INDEX(T:T, _xlfn.SEQUENCE(COUNTA($C$2:$C489), 1, 3, 4)),
  _xlpm.nbparties, COUNTA(_xlfn._xlws.FILTER(_xlpm.ptstables, _xlpm.ptstables &lt;&gt; "")),
  _xlpm.coef, _xlpm.K + _xlpm.Knewgain / (_xlpm.Knewscale + _xlpm.nbparties),
  IF(T487="",
    "",
    _xlpm.coef * (T487-T488))
)</f>
        <v/>
      </c>
      <c r="U489" cm="1">
        <f t="array" ref="U489">_xlfn.LET(
  _xlpm.K, Constantes!$B$3,
  _xlpm.Knewgain, Constantes!$B$4,
  _xlpm.Knewscale, Constantes!$B$5,
  _xlpm.ptstables, INDEX(U:U, _xlfn.SEQUENCE(COUNTA($C$2:$C489), 1, 3, 4)),
  _xlpm.nbparties, COUNTA(_xlfn._xlws.FILTER(_xlpm.ptstables, _xlpm.ptstables &lt;&gt; "")),
  _xlpm.coef, _xlpm.K + _xlpm.Knewgain / (_xlpm.Knewscale + _xlpm.nbparties),
  IF(U487="",
    "",
    _xlpm.coef * (U487-U488))
)</f>
        <v>-25.646326179289623</v>
      </c>
      <c r="V489" t="str" cm="1">
        <f t="array" ref="V489">_xlfn.LET(
  _xlpm.K, Constantes!$B$3,
  _xlpm.Knewgain, Constantes!$B$4,
  _xlpm.Knewscale, Constantes!$B$5,
  _xlpm.ptstables, INDEX(V:V, _xlfn.SEQUENCE(COUNTA($C$2:$C489), 1, 3, 4)),
  _xlpm.nbparties, COUNTA(_xlfn._xlws.FILTER(_xlpm.ptstables, _xlpm.ptstables &lt;&gt; "")),
  _xlpm.coef, _xlpm.K + _xlpm.Knewgain / (_xlpm.Knewscale + _xlpm.nbparties),
  IF(V487="",
    "",
    _xlpm.coef * (V487-V488))
)</f>
        <v/>
      </c>
      <c r="W489" cm="1">
        <f t="array" ref="W489">_xlfn.LET(
  _xlpm.K, Constantes!$B$3,
  _xlpm.Knewgain, Constantes!$B$4,
  _xlpm.Knewscale, Constantes!$B$5,
  _xlpm.ptstables, INDEX(W:W, _xlfn.SEQUENCE(COUNTA($C$2:$C489), 1, 3, 4)),
  _xlpm.nbparties, COUNTA(_xlfn._xlws.FILTER(_xlpm.ptstables, _xlpm.ptstables &lt;&gt; "")),
  _xlpm.coef, _xlpm.K + _xlpm.Knewgain / (_xlpm.Knewscale + _xlpm.nbparties),
  IF(W487="",
    "",
    _xlpm.coef * (W487-W488))
)</f>
        <v>-19.503025134289889</v>
      </c>
      <c r="X489" t="str" cm="1">
        <f t="array" ref="X489">_xlfn.LET(
  _xlpm.K, Constantes!$B$3,
  _xlpm.Knewgain, Constantes!$B$4,
  _xlpm.Knewscale, Constantes!$B$5,
  _xlpm.ptstables, INDEX(X:X, _xlfn.SEQUENCE(COUNTA($C$2:$C489), 1, 3, 4)),
  _xlpm.nbparties, COUNTA(_xlfn._xlws.FILTER(_xlpm.ptstables, _xlpm.ptstables &lt;&gt; "")),
  _xlpm.coef, _xlpm.K + _xlpm.Knewgain / (_xlpm.Knewscale + _xlpm.nbparties),
  IF(X487="",
    "",
    _xlpm.coef * (X487-X488))
)</f>
        <v/>
      </c>
      <c r="Y489" t="str" cm="1">
        <f t="array" ref="Y489">_xlfn.LET(
  _xlpm.K, Constantes!$B$3,
  _xlpm.Knewgain, Constantes!$B$4,
  _xlpm.Knewscale, Constantes!$B$5,
  _xlpm.ptstables, INDEX(Y:Y, _xlfn.SEQUENCE(COUNTA($C$2:$C489), 1, 3, 4)),
  _xlpm.nbparties, COUNTA(_xlfn._xlws.FILTER(_xlpm.ptstables, _xlpm.ptstables &lt;&gt; "")),
  _xlpm.coef, _xlpm.K + _xlpm.Knewgain / (_xlpm.Knewscale + _xlpm.nbparties),
  IF(Y487="",
    "",
    _xlpm.coef * (Y487-Y488))
)</f>
        <v/>
      </c>
      <c r="Z489" t="str" cm="1">
        <f t="array" ref="Z489">_xlfn.LET(
  _xlpm.K, Constantes!$B$3,
  _xlpm.Knewgain, Constantes!$B$4,
  _xlpm.Knewscale, Constantes!$B$5,
  _xlpm.ptstables, INDEX(Z:Z, _xlfn.SEQUENCE(COUNTA($C$2:$C489), 1, 3, 4)),
  _xlpm.nbparties, COUNTA(_xlfn._xlws.FILTER(_xlpm.ptstables, _xlpm.ptstables &lt;&gt; "")),
  _xlpm.coef, _xlpm.K + _xlpm.Knewgain / (_xlpm.Knewscale + _xlpm.nbparties),
  IF(Z487="",
    "",
    _xlpm.coef * (Z487-Z488))
)</f>
        <v/>
      </c>
      <c r="AA489" t="str" cm="1">
        <f t="array" ref="AA489">_xlfn.LET(
  _xlpm.K, Constantes!$B$3,
  _xlpm.Knewgain, Constantes!$B$4,
  _xlpm.Knewscale, Constantes!$B$5,
  _xlpm.ptstables, INDEX(AA:AA, _xlfn.SEQUENCE(COUNTA($C$2:$C489), 1, 3, 4)),
  _xlpm.nbparties, COUNTA(_xlfn._xlws.FILTER(_xlpm.ptstables, _xlpm.ptstables &lt;&gt; "")),
  _xlpm.coef, _xlpm.K + _xlpm.Knewgain / (_xlpm.Knewscale + _xlpm.nbparties),
  IF(AA487="",
    "",
    _xlpm.coef * (AA487-AA488))
)</f>
        <v/>
      </c>
      <c r="AB489" t="str" cm="1">
        <f t="array" ref="AB489">_xlfn.LET(
  _xlpm.K, Constantes!$B$3,
  _xlpm.Knewgain, Constantes!$B$4,
  _xlpm.Knewscale, Constantes!$B$5,
  _xlpm.ptstables, INDEX(AB:AB, _xlfn.SEQUENCE(COUNTA($C$2:$C489), 1, 3, 4)),
  _xlpm.nbparties, COUNTA(_xlfn._xlws.FILTER(_xlpm.ptstables, _xlpm.ptstables &lt;&gt; "")),
  _xlpm.coef, _xlpm.K + _xlpm.Knewgain / (_xlpm.Knewscale + _xlpm.nbparties),
  IF(AB487="",
    "",
    _xlpm.coef * (AB487-AB488))
)</f>
        <v/>
      </c>
      <c r="AC489" t="str" cm="1">
        <f t="array" ref="AC489">_xlfn.LET(
  _xlpm.K, Constantes!$B$3,
  _xlpm.Knewgain, Constantes!$B$4,
  _xlpm.Knewscale, Constantes!$B$5,
  _xlpm.ptstables, INDEX(AC:AC, _xlfn.SEQUENCE(COUNTA($C$2:$C489), 1, 3, 4)),
  _xlpm.nbparties, COUNTA(_xlfn._xlws.FILTER(_xlpm.ptstables, _xlpm.ptstables &lt;&gt; "")),
  _xlpm.coef, _xlpm.K + _xlpm.Knewgain / (_xlpm.Knewscale + _xlpm.nbparties),
  IF(AC487="",
    "",
    _xlpm.coef * (AC487-AC488))
)</f>
        <v/>
      </c>
      <c r="AD489" t="str" cm="1">
        <f t="array" ref="AD489">_xlfn.LET(
  _xlpm.K, Constantes!$B$3,
  _xlpm.Knewgain, Constantes!$B$4,
  _xlpm.Knewscale, Constantes!$B$5,
  _xlpm.ptstables, INDEX(AD:AD, _xlfn.SEQUENCE(COUNTA($C$2:$C489), 1, 3, 4)),
  _xlpm.nbparties, COUNTA(_xlfn._xlws.FILTER(_xlpm.ptstables, _xlpm.ptstables &lt;&gt; "")),
  _xlpm.coef, _xlpm.K + _xlpm.Knewgain / (_xlpm.Knewscale + _xlpm.nbparties),
  IF(AD487="",
    "",
    _xlpm.coef * (AD487-AD488))
)</f>
        <v/>
      </c>
      <c r="AE489" t="str" cm="1">
        <f t="array" ref="AE489">_xlfn.LET(
  _xlpm.K, Constantes!$B$3,
  _xlpm.Knewgain, Constantes!$B$4,
  _xlpm.Knewscale, Constantes!$B$5,
  _xlpm.ptstables, INDEX(AE:AE, _xlfn.SEQUENCE(COUNTA($C$2:$C489), 1, 3, 4)),
  _xlpm.nbparties, COUNTA(_xlfn._xlws.FILTER(_xlpm.ptstables, _xlpm.ptstables &lt;&gt; "")),
  _xlpm.coef, _xlpm.K + _xlpm.Knewgain / (_xlpm.Knewscale + _xlpm.nbparties),
  IF(AE487="",
    "",
    _xlpm.coef * (AE487-AE488))
)</f>
        <v/>
      </c>
      <c r="AF489" t="str" cm="1">
        <f t="array" ref="AF489">_xlfn.LET(
  _xlpm.K, Constantes!$B$3,
  _xlpm.Knewgain, Constantes!$B$4,
  _xlpm.Knewscale, Constantes!$B$5,
  _xlpm.ptstables, INDEX(AF:AF, _xlfn.SEQUENCE(COUNTA($C$2:$C489), 1, 3, 4)),
  _xlpm.nbparties, COUNTA(_xlfn._xlws.FILTER(_xlpm.ptstables, _xlpm.ptstables &lt;&gt; "")),
  _xlpm.coef, _xlpm.K + _xlpm.Knewgain / (_xlpm.Knewscale + _xlpm.nbparties),
  IF(AF487="",
    "",
    _xlpm.coef * (AF487-AF488))
)</f>
        <v/>
      </c>
      <c r="AG489" t="str" cm="1">
        <f t="array" ref="AG489">_xlfn.LET(
  _xlpm.K, Constantes!$B$3,
  _xlpm.Knewgain, Constantes!$B$4,
  _xlpm.Knewscale, Constantes!$B$5,
  _xlpm.ptstables, INDEX(AG:AG, _xlfn.SEQUENCE(COUNTA($C$2:$C489), 1, 3, 4)),
  _xlpm.nbparties, COUNTA(_xlfn._xlws.FILTER(_xlpm.ptstables, _xlpm.ptstables &lt;&gt; "")),
  _xlpm.coef, _xlpm.K + _xlpm.Knewgain / (_xlpm.Knewscale + _xlpm.nbparties),
  IF(AG487="",
    "",
    _xlpm.coef * (AG487-AG488))
)</f>
        <v/>
      </c>
      <c r="AH489" t="str" cm="1">
        <f t="array" ref="AH489">_xlfn.LET(
  _xlpm.K, Constantes!$B$3,
  _xlpm.Knewgain, Constantes!$B$4,
  _xlpm.Knewscale, Constantes!$B$5,
  _xlpm.ptstables, INDEX(AH:AH, _xlfn.SEQUENCE(COUNTA($C$2:$C489), 1, 3, 4)),
  _xlpm.nbparties, COUNTA(_xlfn._xlws.FILTER(_xlpm.ptstables, _xlpm.ptstables &lt;&gt; "")),
  _xlpm.coef, _xlpm.K + _xlpm.Knewgain / (_xlpm.Knewscale + _xlpm.nbparties),
  IF(AH487="",
    "",
    _xlpm.coef * (AH487-AH488))
)</f>
        <v/>
      </c>
      <c r="AI489" t="str" cm="1">
        <f t="array" ref="AI489">_xlfn.LET(
  _xlpm.K, Constantes!$B$3,
  _xlpm.Knewgain, Constantes!$B$4,
  _xlpm.Knewscale, Constantes!$B$5,
  _xlpm.ptstables, INDEX(AI:AI, _xlfn.SEQUENCE(COUNTA($C$2:$C489), 1, 3, 4)),
  _xlpm.nbparties, COUNTA(_xlfn._xlws.FILTER(_xlpm.ptstables, _xlpm.ptstables &lt;&gt; "")),
  _xlpm.coef, _xlpm.K + _xlpm.Knewgain / (_xlpm.Knewscale + _xlpm.nbparties),
  IF(AI487="",
    "",
    _xlpm.coef * (AI487-AI488))
)</f>
        <v/>
      </c>
      <c r="AJ489" t="str" cm="1">
        <f t="array" ref="AJ489">_xlfn.LET(
  _xlpm.K, Constantes!$B$3,
  _xlpm.Knewgain, Constantes!$B$4,
  _xlpm.Knewscale, Constantes!$B$5,
  _xlpm.ptstables, INDEX(AJ:AJ, _xlfn.SEQUENCE(COUNTA($C$2:$C489), 1, 3, 4)),
  _xlpm.nbparties, COUNTA(_xlfn._xlws.FILTER(_xlpm.ptstables, _xlpm.ptstables &lt;&gt; "")),
  _xlpm.coef, _xlpm.K + _xlpm.Knewgain / (_xlpm.Knewscale + _xlpm.nbparties),
  IF(AJ487="",
    "",
    _xlpm.coef * (AJ487-AJ488))
)</f>
        <v/>
      </c>
      <c r="AK489" t="str" cm="1">
        <f t="array" ref="AK489">_xlfn.LET(
  _xlpm.K, Constantes!$B$3,
  _xlpm.Knewgain, Constantes!$B$4,
  _xlpm.Knewscale, Constantes!$B$5,
  _xlpm.ptstables, INDEX(AK:AK, _xlfn.SEQUENCE(COUNTA($C$2:$C489), 1, 3, 4)),
  _xlpm.nbparties, COUNTA(_xlfn._xlws.FILTER(_xlpm.ptstables, _xlpm.ptstables &lt;&gt; "")),
  _xlpm.coef, _xlpm.K + _xlpm.Knewgain / (_xlpm.Knewscale + _xlpm.nbparties),
  IF(AK487="",
    "",
    _xlpm.coef * (AK487-AK488))
)</f>
        <v/>
      </c>
      <c r="AL489" t="str" cm="1">
        <f t="array" ref="AL489">_xlfn.LET(
  _xlpm.K, Constantes!$B$3,
  _xlpm.Knewgain, Constantes!$B$4,
  _xlpm.Knewscale, Constantes!$B$5,
  _xlpm.ptstables, INDEX(AL:AL, _xlfn.SEQUENCE(COUNTA($C$2:$C489), 1, 3, 4)),
  _xlpm.nbparties, COUNTA(_xlfn._xlws.FILTER(_xlpm.ptstables, _xlpm.ptstables &lt;&gt; "")),
  _xlpm.coef, _xlpm.K + _xlpm.Knewgain / (_xlpm.Knewscale + _xlpm.nbparties),
  IF(AL487="",
    "",
    _xlpm.coef * (AL487-AL488))
)</f>
        <v/>
      </c>
      <c r="AM489" t="str" cm="1">
        <f t="array" ref="AM489">_xlfn.LET(
  _xlpm.K, Constantes!$B$3,
  _xlpm.Knewgain, Constantes!$B$4,
  _xlpm.Knewscale, Constantes!$B$5,
  _xlpm.ptstables, INDEX(AM:AM, _xlfn.SEQUENCE(COUNTA($C$2:$C489), 1, 3, 4)),
  _xlpm.nbparties, COUNTA(_xlfn._xlws.FILTER(_xlpm.ptstables, _xlpm.ptstables &lt;&gt; "")),
  _xlpm.coef, _xlpm.K + _xlpm.Knewgain / (_xlpm.Knewscale + _xlpm.nbparties),
  IF(AM487="",
    "",
    _xlpm.coef * (AM487-AM488))
)</f>
        <v/>
      </c>
    </row>
    <row r="490" spans="1:39" x14ac:dyDescent="0.25">
      <c r="A490" t="s">
        <v>14</v>
      </c>
      <c r="B490" t="str" cm="1">
        <f t="array" ref="B490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/>
      </c>
      <c r="C490" s="2" t="str" cm="1">
        <f t="array" ref="C490">IF(B490="","",
  INDEX(Donnees!F:F, MATCH(B490, Donnees!F:F, 0)+1))</f>
        <v/>
      </c>
      <c r="D490">
        <f t="shared" ref="D490:AM490" si="130">D486+IF(D489="",0,D489)</f>
        <v>970.88542284486812</v>
      </c>
      <c r="E490">
        <f t="shared" si="130"/>
        <v>1229.0521069339948</v>
      </c>
      <c r="F490">
        <f t="shared" si="130"/>
        <v>911.8835833951041</v>
      </c>
      <c r="G490">
        <f t="shared" si="130"/>
        <v>1021.5669497794617</v>
      </c>
      <c r="H490">
        <f t="shared" si="130"/>
        <v>1117.5250985570954</v>
      </c>
      <c r="I490">
        <f t="shared" si="130"/>
        <v>883.37234630448143</v>
      </c>
      <c r="J490">
        <f t="shared" si="130"/>
        <v>977.48380243972645</v>
      </c>
      <c r="K490">
        <f t="shared" si="130"/>
        <v>1062.2548360982171</v>
      </c>
      <c r="L490">
        <f t="shared" si="130"/>
        <v>775.39796117257981</v>
      </c>
      <c r="M490">
        <f t="shared" si="130"/>
        <v>927.4581540493366</v>
      </c>
      <c r="N490">
        <f t="shared" si="130"/>
        <v>878.15153649009756</v>
      </c>
      <c r="O490">
        <f t="shared" si="130"/>
        <v>997.04050320786712</v>
      </c>
      <c r="P490">
        <f t="shared" si="130"/>
        <v>991.32095208442081</v>
      </c>
      <c r="Q490">
        <f t="shared" si="130"/>
        <v>1054.0946828197484</v>
      </c>
      <c r="R490">
        <f t="shared" si="130"/>
        <v>1122.8475809880031</v>
      </c>
      <c r="S490">
        <f t="shared" si="130"/>
        <v>942.14882365209212</v>
      </c>
      <c r="T490">
        <f t="shared" si="130"/>
        <v>1128.5835529389994</v>
      </c>
      <c r="U490">
        <f t="shared" si="130"/>
        <v>1197.0794459794581</v>
      </c>
      <c r="V490">
        <f t="shared" si="130"/>
        <v>957.61451983344352</v>
      </c>
      <c r="W490">
        <f t="shared" si="130"/>
        <v>885.72875461540445</v>
      </c>
      <c r="X490">
        <f t="shared" si="130"/>
        <v>858.92096928478088</v>
      </c>
      <c r="Y490">
        <f t="shared" si="130"/>
        <v>1005.462386147187</v>
      </c>
      <c r="Z490">
        <f t="shared" si="130"/>
        <v>1008.6876849635962</v>
      </c>
      <c r="AA490">
        <f t="shared" si="130"/>
        <v>942.27730100696294</v>
      </c>
      <c r="AB490">
        <f t="shared" si="130"/>
        <v>988.35669729544747</v>
      </c>
      <c r="AC490">
        <f t="shared" si="130"/>
        <v>913.83290299884754</v>
      </c>
      <c r="AD490">
        <f t="shared" si="130"/>
        <v>1054.5168154629837</v>
      </c>
      <c r="AE490">
        <f t="shared" si="130"/>
        <v>963.23981965000235</v>
      </c>
      <c r="AF490">
        <f t="shared" si="130"/>
        <v>1094.8196847516158</v>
      </c>
      <c r="AG490">
        <f t="shared" si="130"/>
        <v>958.23078604304851</v>
      </c>
      <c r="AH490">
        <f t="shared" si="130"/>
        <v>920.4412636682855</v>
      </c>
      <c r="AI490">
        <f t="shared" si="130"/>
        <v>1036.4167877702052</v>
      </c>
      <c r="AJ490">
        <f t="shared" si="130"/>
        <v>906.86354201913434</v>
      </c>
      <c r="AK490">
        <f t="shared" si="130"/>
        <v>1074.0069367206956</v>
      </c>
      <c r="AL490">
        <f t="shared" si="130"/>
        <v>1025.7817971572972</v>
      </c>
      <c r="AM490">
        <f t="shared" si="130"/>
        <v>930.08392160706046</v>
      </c>
    </row>
    <row r="491" spans="1:39" x14ac:dyDescent="0.25">
      <c r="A491" t="s">
        <v>21</v>
      </c>
      <c r="D491" t="str" cm="1">
        <f t="array" ref="D491">IFERROR(
  _xlfn.LET(
    _xlpm.ligpartie, MATCH($B490, Donnees!$F:$F, 0),
    _xlpm.joueurs, INDEX(Donnees!$A:$Z, _xlpm.ligpartie+1, _xlfn.SEQUENCE(1, 4, 2)),
    INDEX(
      Donnees!$A:$Z,
      _xlpm.ligpartie + 3,
      MATCH(D$1, _xlpm.joueurs, 0) + 1
    )
  ), ""
)</f>
        <v/>
      </c>
      <c r="E491" t="str" cm="1">
        <f t="array" ref="E491">IFERROR(
  _xlfn.LET(
    _xlpm.ligpartie, MATCH($B490, Donnees!$F:$F, 0),
    _xlpm.joueurs, INDEX(Donnees!$A:$Z, _xlpm.ligpartie+1, _xlfn.SEQUENCE(1, 4, 2)),
    INDEX(
      Donnees!$A:$Z,
      _xlpm.ligpartie + 3,
      MATCH(E$1, _xlpm.joueurs, 0) + 1
    )
  ), ""
)</f>
        <v/>
      </c>
      <c r="F491" t="str" cm="1">
        <f t="array" ref="F491">IFERROR(
  _xlfn.LET(
    _xlpm.ligpartie, MATCH($B490, Donnees!$F:$F, 0),
    _xlpm.joueurs, INDEX(Donnees!$A:$Z, _xlpm.ligpartie+1, _xlfn.SEQUENCE(1, 4, 2)),
    INDEX(
      Donnees!$A:$Z,
      _xlpm.ligpartie + 3,
      MATCH(F$1, _xlpm.joueurs, 0) + 1
    )
  ), ""
)</f>
        <v/>
      </c>
      <c r="G491" t="str" cm="1">
        <f t="array" ref="G491">IFERROR(
  _xlfn.LET(
    _xlpm.ligpartie, MATCH($B490, Donnees!$F:$F, 0),
    _xlpm.joueurs, INDEX(Donnees!$A:$Z, _xlpm.ligpartie+1, _xlfn.SEQUENCE(1, 4, 2)),
    INDEX(
      Donnees!$A:$Z,
      _xlpm.ligpartie + 3,
      MATCH(G$1, _xlpm.joueurs, 0) + 1
    )
  ), ""
)</f>
        <v/>
      </c>
      <c r="H491" t="str" cm="1">
        <f t="array" ref="H491">IFERROR(
  _xlfn.LET(
    _xlpm.ligpartie, MATCH($B490, Donnees!$F:$F, 0),
    _xlpm.joueurs, INDEX(Donnees!$A:$Z, _xlpm.ligpartie+1, _xlfn.SEQUENCE(1, 4, 2)),
    INDEX(
      Donnees!$A:$Z,
      _xlpm.ligpartie + 3,
      MATCH(H$1, _xlpm.joueurs, 0) + 1
    )
  ), ""
)</f>
        <v/>
      </c>
      <c r="I491" t="str" cm="1">
        <f t="array" ref="I491">IFERROR(
  _xlfn.LET(
    _xlpm.ligpartie, MATCH($B490, Donnees!$F:$F, 0),
    _xlpm.joueurs, INDEX(Donnees!$A:$Z, _xlpm.ligpartie+1, _xlfn.SEQUENCE(1, 4, 2)),
    INDEX(
      Donnees!$A:$Z,
      _xlpm.ligpartie + 3,
      MATCH(I$1, _xlpm.joueurs, 0) + 1
    )
  ), ""
)</f>
        <v/>
      </c>
      <c r="J491" t="str" cm="1">
        <f t="array" ref="J491">IFERROR(
  _xlfn.LET(
    _xlpm.ligpartie, MATCH($B490, Donnees!$F:$F, 0),
    _xlpm.joueurs, INDEX(Donnees!$A:$Z, _xlpm.ligpartie+1, _xlfn.SEQUENCE(1, 4, 2)),
    INDEX(
      Donnees!$A:$Z,
      _xlpm.ligpartie + 3,
      MATCH(J$1, _xlpm.joueurs, 0) + 1
    )
  ), ""
)</f>
        <v/>
      </c>
      <c r="K491" t="str" cm="1">
        <f t="array" ref="K491">IFERROR(
  _xlfn.LET(
    _xlpm.ligpartie, MATCH($B490, Donnees!$F:$F, 0),
    _xlpm.joueurs, INDEX(Donnees!$A:$Z, _xlpm.ligpartie+1, _xlfn.SEQUENCE(1, 4, 2)),
    INDEX(
      Donnees!$A:$Z,
      _xlpm.ligpartie + 3,
      MATCH(K$1, _xlpm.joueurs, 0) + 1
    )
  ), ""
)</f>
        <v/>
      </c>
      <c r="L491" t="str" cm="1">
        <f t="array" ref="L491">IFERROR(
  _xlfn.LET(
    _xlpm.ligpartie, MATCH($B490, Donnees!$F:$F, 0),
    _xlpm.joueurs, INDEX(Donnees!$A:$Z, _xlpm.ligpartie+1, _xlfn.SEQUENCE(1, 4, 2)),
    INDEX(
      Donnees!$A:$Z,
      _xlpm.ligpartie + 3,
      MATCH(L$1, _xlpm.joueurs, 0) + 1
    )
  ), ""
)</f>
        <v/>
      </c>
      <c r="M491" t="str" cm="1">
        <f t="array" ref="M491">IFERROR(
  _xlfn.LET(
    _xlpm.ligpartie, MATCH($B490, Donnees!$F:$F, 0),
    _xlpm.joueurs, INDEX(Donnees!$A:$Z, _xlpm.ligpartie+1, _xlfn.SEQUENCE(1, 4, 2)),
    INDEX(
      Donnees!$A:$Z,
      _xlpm.ligpartie + 3,
      MATCH(M$1, _xlpm.joueurs, 0) + 1
    )
  ), ""
)</f>
        <v/>
      </c>
      <c r="N491" t="str" cm="1">
        <f t="array" ref="N491">IFERROR(
  _xlfn.LET(
    _xlpm.ligpartie, MATCH($B490, Donnees!$F:$F, 0),
    _xlpm.joueurs, INDEX(Donnees!$A:$Z, _xlpm.ligpartie+1, _xlfn.SEQUENCE(1, 4, 2)),
    INDEX(
      Donnees!$A:$Z,
      _xlpm.ligpartie + 3,
      MATCH(N$1, _xlpm.joueurs, 0) + 1
    )
  ), ""
)</f>
        <v/>
      </c>
      <c r="O491" t="str" cm="1">
        <f t="array" ref="O491">IFERROR(
  _xlfn.LET(
    _xlpm.ligpartie, MATCH($B490, Donnees!$F:$F, 0),
    _xlpm.joueurs, INDEX(Donnees!$A:$Z, _xlpm.ligpartie+1, _xlfn.SEQUENCE(1, 4, 2)),
    INDEX(
      Donnees!$A:$Z,
      _xlpm.ligpartie + 3,
      MATCH(O$1, _xlpm.joueurs, 0) + 1
    )
  ), ""
)</f>
        <v/>
      </c>
      <c r="P491" t="str" cm="1">
        <f t="array" ref="P491">IFERROR(
  _xlfn.LET(
    _xlpm.ligpartie, MATCH($B490, Donnees!$F:$F, 0),
    _xlpm.joueurs, INDEX(Donnees!$A:$Z, _xlpm.ligpartie+1, _xlfn.SEQUENCE(1, 4, 2)),
    INDEX(
      Donnees!$A:$Z,
      _xlpm.ligpartie + 3,
      MATCH(P$1, _xlpm.joueurs, 0) + 1
    )
  ), ""
)</f>
        <v/>
      </c>
      <c r="Q491" t="str" cm="1">
        <f t="array" ref="Q491">IFERROR(
  _xlfn.LET(
    _xlpm.ligpartie, MATCH($B490, Donnees!$F:$F, 0),
    _xlpm.joueurs, INDEX(Donnees!$A:$Z, _xlpm.ligpartie+1, _xlfn.SEQUENCE(1, 4, 2)),
    INDEX(
      Donnees!$A:$Z,
      _xlpm.ligpartie + 3,
      MATCH(Q$1, _xlpm.joueurs, 0) + 1
    )
  ), ""
)</f>
        <v/>
      </c>
      <c r="R491" t="str" cm="1">
        <f t="array" ref="R491">IFERROR(
  _xlfn.LET(
    _xlpm.ligpartie, MATCH($B490, Donnees!$F:$F, 0),
    _xlpm.joueurs, INDEX(Donnees!$A:$Z, _xlpm.ligpartie+1, _xlfn.SEQUENCE(1, 4, 2)),
    INDEX(
      Donnees!$A:$Z,
      _xlpm.ligpartie + 3,
      MATCH(R$1, _xlpm.joueurs, 0) + 1
    )
  ), ""
)</f>
        <v/>
      </c>
      <c r="S491" t="str" cm="1">
        <f t="array" ref="S491">IFERROR(
  _xlfn.LET(
    _xlpm.ligpartie, MATCH($B490, Donnees!$F:$F, 0),
    _xlpm.joueurs, INDEX(Donnees!$A:$Z, _xlpm.ligpartie+1, _xlfn.SEQUENCE(1, 4, 2)),
    INDEX(
      Donnees!$A:$Z,
      _xlpm.ligpartie + 3,
      MATCH(S$1, _xlpm.joueurs, 0) + 1
    )
  ), ""
)</f>
        <v/>
      </c>
      <c r="T491" t="str" cm="1">
        <f t="array" ref="T491">IFERROR(
  _xlfn.LET(
    _xlpm.ligpartie, MATCH($B490, Donnees!$F:$F, 0),
    _xlpm.joueurs, INDEX(Donnees!$A:$Z, _xlpm.ligpartie+1, _xlfn.SEQUENCE(1, 4, 2)),
    INDEX(
      Donnees!$A:$Z,
      _xlpm.ligpartie + 3,
      MATCH(T$1, _xlpm.joueurs, 0) + 1
    )
  ), ""
)</f>
        <v/>
      </c>
      <c r="U491" t="str" cm="1">
        <f t="array" ref="U491">IFERROR(
  _xlfn.LET(
    _xlpm.ligpartie, MATCH($B490, Donnees!$F:$F, 0),
    _xlpm.joueurs, INDEX(Donnees!$A:$Z, _xlpm.ligpartie+1, _xlfn.SEQUENCE(1, 4, 2)),
    INDEX(
      Donnees!$A:$Z,
      _xlpm.ligpartie + 3,
      MATCH(U$1, _xlpm.joueurs, 0) + 1
    )
  ), ""
)</f>
        <v/>
      </c>
      <c r="V491" t="str" cm="1">
        <f t="array" ref="V491">IFERROR(
  _xlfn.LET(
    _xlpm.ligpartie, MATCH($B490, Donnees!$F:$F, 0),
    _xlpm.joueurs, INDEX(Donnees!$A:$Z, _xlpm.ligpartie+1, _xlfn.SEQUENCE(1, 4, 2)),
    INDEX(
      Donnees!$A:$Z,
      _xlpm.ligpartie + 3,
      MATCH(V$1, _xlpm.joueurs, 0) + 1
    )
  ), ""
)</f>
        <v/>
      </c>
      <c r="W491" t="str" cm="1">
        <f t="array" ref="W491">IFERROR(
  _xlfn.LET(
    _xlpm.ligpartie, MATCH($B490, Donnees!$F:$F, 0),
    _xlpm.joueurs, INDEX(Donnees!$A:$Z, _xlpm.ligpartie+1, _xlfn.SEQUENCE(1, 4, 2)),
    INDEX(
      Donnees!$A:$Z,
      _xlpm.ligpartie + 3,
      MATCH(W$1, _xlpm.joueurs, 0) + 1
    )
  ), ""
)</f>
        <v/>
      </c>
      <c r="X491" t="str" cm="1">
        <f t="array" ref="X491">IFERROR(
  _xlfn.LET(
    _xlpm.ligpartie, MATCH($B490, Donnees!$F:$F, 0),
    _xlpm.joueurs, INDEX(Donnees!$A:$Z, _xlpm.ligpartie+1, _xlfn.SEQUENCE(1, 4, 2)),
    INDEX(
      Donnees!$A:$Z,
      _xlpm.ligpartie + 3,
      MATCH(X$1, _xlpm.joueurs, 0) + 1
    )
  ), ""
)</f>
        <v/>
      </c>
      <c r="Y491" t="str" cm="1">
        <f t="array" ref="Y491">IFERROR(
  _xlfn.LET(
    _xlpm.ligpartie, MATCH($B490, Donnees!$F:$F, 0),
    _xlpm.joueurs, INDEX(Donnees!$A:$Z, _xlpm.ligpartie+1, _xlfn.SEQUENCE(1, 4, 2)),
    INDEX(
      Donnees!$A:$Z,
      _xlpm.ligpartie + 3,
      MATCH(Y$1, _xlpm.joueurs, 0) + 1
    )
  ), ""
)</f>
        <v/>
      </c>
      <c r="Z491" t="str" cm="1">
        <f t="array" ref="Z491">IFERROR(
  _xlfn.LET(
    _xlpm.ligpartie, MATCH($B490, Donnees!$F:$F, 0),
    _xlpm.joueurs, INDEX(Donnees!$A:$Z, _xlpm.ligpartie+1, _xlfn.SEQUENCE(1, 4, 2)),
    INDEX(
      Donnees!$A:$Z,
      _xlpm.ligpartie + 3,
      MATCH(Z$1, _xlpm.joueurs, 0) + 1
    )
  ), ""
)</f>
        <v/>
      </c>
      <c r="AA491" t="str" cm="1">
        <f t="array" ref="AA491">IFERROR(
  _xlfn.LET(
    _xlpm.ligpartie, MATCH($B490, Donnees!$F:$F, 0),
    _xlpm.joueurs, INDEX(Donnees!$A:$Z, _xlpm.ligpartie+1, _xlfn.SEQUENCE(1, 4, 2)),
    INDEX(
      Donnees!$A:$Z,
      _xlpm.ligpartie + 3,
      MATCH(AA$1, _xlpm.joueurs, 0) + 1
    )
  ), ""
)</f>
        <v/>
      </c>
      <c r="AB491" t="str" cm="1">
        <f t="array" ref="AB491">IFERROR(
  _xlfn.LET(
    _xlpm.ligpartie, MATCH($B490, Donnees!$F:$F, 0),
    _xlpm.joueurs, INDEX(Donnees!$A:$Z, _xlpm.ligpartie+1, _xlfn.SEQUENCE(1, 4, 2)),
    INDEX(
      Donnees!$A:$Z,
      _xlpm.ligpartie + 3,
      MATCH(AB$1, _xlpm.joueurs, 0) + 1
    )
  ), ""
)</f>
        <v/>
      </c>
      <c r="AC491" t="str" cm="1">
        <f t="array" ref="AC491">IFERROR(
  _xlfn.LET(
    _xlpm.ligpartie, MATCH($B490, Donnees!$F:$F, 0),
    _xlpm.joueurs, INDEX(Donnees!$A:$Z, _xlpm.ligpartie+1, _xlfn.SEQUENCE(1, 4, 2)),
    INDEX(
      Donnees!$A:$Z,
      _xlpm.ligpartie + 3,
      MATCH(AC$1, _xlpm.joueurs, 0) + 1
    )
  ), ""
)</f>
        <v/>
      </c>
      <c r="AD491" t="str" cm="1">
        <f t="array" ref="AD491">IFERROR(
  _xlfn.LET(
    _xlpm.ligpartie, MATCH($B490, Donnees!$F:$F, 0),
    _xlpm.joueurs, INDEX(Donnees!$A:$Z, _xlpm.ligpartie+1, _xlfn.SEQUENCE(1, 4, 2)),
    INDEX(
      Donnees!$A:$Z,
      _xlpm.ligpartie + 3,
      MATCH(AD$1, _xlpm.joueurs, 0) + 1
    )
  ), ""
)</f>
        <v/>
      </c>
      <c r="AE491" t="str" cm="1">
        <f t="array" ref="AE491">IFERROR(
  _xlfn.LET(
    _xlpm.ligpartie, MATCH($B490, Donnees!$F:$F, 0),
    _xlpm.joueurs, INDEX(Donnees!$A:$Z, _xlpm.ligpartie+1, _xlfn.SEQUENCE(1, 4, 2)),
    INDEX(
      Donnees!$A:$Z,
      _xlpm.ligpartie + 3,
      MATCH(AE$1, _xlpm.joueurs, 0) + 1
    )
  ), ""
)</f>
        <v/>
      </c>
      <c r="AF491" t="str" cm="1">
        <f t="array" ref="AF491">IFERROR(
  _xlfn.LET(
    _xlpm.ligpartie, MATCH($B490, Donnees!$F:$F, 0),
    _xlpm.joueurs, INDEX(Donnees!$A:$Z, _xlpm.ligpartie+1, _xlfn.SEQUENCE(1, 4, 2)),
    INDEX(
      Donnees!$A:$Z,
      _xlpm.ligpartie + 3,
      MATCH(AF$1, _xlpm.joueurs, 0) + 1
    )
  ), ""
)</f>
        <v/>
      </c>
      <c r="AG491" t="str" cm="1">
        <f t="array" ref="AG491">IFERROR(
  _xlfn.LET(
    _xlpm.ligpartie, MATCH($B490, Donnees!$F:$F, 0),
    _xlpm.joueurs, INDEX(Donnees!$A:$Z, _xlpm.ligpartie+1, _xlfn.SEQUENCE(1, 4, 2)),
    INDEX(
      Donnees!$A:$Z,
      _xlpm.ligpartie + 3,
      MATCH(AG$1, _xlpm.joueurs, 0) + 1
    )
  ), ""
)</f>
        <v/>
      </c>
      <c r="AH491" t="str" cm="1">
        <f t="array" ref="AH491">IFERROR(
  _xlfn.LET(
    _xlpm.ligpartie, MATCH($B490, Donnees!$F:$F, 0),
    _xlpm.joueurs, INDEX(Donnees!$A:$Z, _xlpm.ligpartie+1, _xlfn.SEQUENCE(1, 4, 2)),
    INDEX(
      Donnees!$A:$Z,
      _xlpm.ligpartie + 3,
      MATCH(AH$1, _xlpm.joueurs, 0) + 1
    )
  ), ""
)</f>
        <v/>
      </c>
      <c r="AI491" t="str" cm="1">
        <f t="array" ref="AI491">IFERROR(
  _xlfn.LET(
    _xlpm.ligpartie, MATCH($B490, Donnees!$F:$F, 0),
    _xlpm.joueurs, INDEX(Donnees!$A:$Z, _xlpm.ligpartie+1, _xlfn.SEQUENCE(1, 4, 2)),
    INDEX(
      Donnees!$A:$Z,
      _xlpm.ligpartie + 3,
      MATCH(AI$1, _xlpm.joueurs, 0) + 1
    )
  ), ""
)</f>
        <v/>
      </c>
      <c r="AJ491" t="str" cm="1">
        <f t="array" ref="AJ491">IFERROR(
  _xlfn.LET(
    _xlpm.ligpartie, MATCH($B490, Donnees!$F:$F, 0),
    _xlpm.joueurs, INDEX(Donnees!$A:$Z, _xlpm.ligpartie+1, _xlfn.SEQUENCE(1, 4, 2)),
    INDEX(
      Donnees!$A:$Z,
      _xlpm.ligpartie + 3,
      MATCH(AJ$1, _xlpm.joueurs, 0) + 1
    )
  ), ""
)</f>
        <v/>
      </c>
      <c r="AK491" t="str" cm="1">
        <f t="array" ref="AK491">IFERROR(
  _xlfn.LET(
    _xlpm.ligpartie, MATCH($B490, Donnees!$F:$F, 0),
    _xlpm.joueurs, INDEX(Donnees!$A:$Z, _xlpm.ligpartie+1, _xlfn.SEQUENCE(1, 4, 2)),
    INDEX(
      Donnees!$A:$Z,
      _xlpm.ligpartie + 3,
      MATCH(AK$1, _xlpm.joueurs, 0) + 1
    )
  ), ""
)</f>
        <v/>
      </c>
      <c r="AL491" t="str" cm="1">
        <f t="array" ref="AL491">IFERROR(
  _xlfn.LET(
    _xlpm.ligpartie, MATCH($B490, Donnees!$F:$F, 0),
    _xlpm.joueurs, INDEX(Donnees!$A:$Z, _xlpm.ligpartie+1, _xlfn.SEQUENCE(1, 4, 2)),
    INDEX(
      Donnees!$A:$Z,
      _xlpm.ligpartie + 3,
      MATCH(AL$1, _xlpm.joueurs, 0) + 1
    )
  ), ""
)</f>
        <v/>
      </c>
      <c r="AM491" t="str" cm="1">
        <f t="array" ref="AM491">IFERROR(
  _xlfn.LET(
    _xlpm.ligpartie, MATCH($B490, Donnees!$F:$F, 0),
    _xlpm.joueurs, INDEX(Donnees!$A:$Z, _xlpm.ligpartie+1, _xlfn.SEQUENCE(1, 4, 2)),
    INDEX(
      Donnees!$A:$Z,
      _xlpm.ligpartie + 3,
      MATCH(AM$1, _xlpm.joueurs, 0) + 1
    )
  ), ""
)</f>
        <v/>
      </c>
    </row>
    <row r="492" spans="1:39" x14ac:dyDescent="0.25">
      <c r="A492" t="s">
        <v>20</v>
      </c>
      <c r="D492" t="str" cm="1">
        <f t="array" ref="D492">_xlfn.LET(
  _xlpm.colj, _xlfn._xlws.FILTER(IF(ISNUMBER(491:491), COLUMN(491:491)), ISNUMBER(491:491)),
  _xlpm.elos, INDEX(490:490,1,_xlpm.colj),
  _xlpm.diffscale, Constantes!$B$2,
  IF(D491="",
    "",
    SUM(1/(1+POWER(10,-(D490-_xlpm.elos)/_xlpm.diffscale)))-0.5)
)</f>
        <v/>
      </c>
      <c r="E492" t="str" cm="1">
        <f t="array" ref="E492">_xlfn.LET(
  _xlpm.colj, _xlfn._xlws.FILTER(IF(ISNUMBER(491:491), COLUMN(491:491)), ISNUMBER(491:491)),
  _xlpm.elos, INDEX(490:490,1,_xlpm.colj),
  _xlpm.diffscale, Constantes!$B$2,
  IF(E491="",
    "",
    SUM(1/(1+POWER(10,-(E490-_xlpm.elos)/_xlpm.diffscale)))-0.5)
)</f>
        <v/>
      </c>
      <c r="F492" t="str" cm="1">
        <f t="array" ref="F492">_xlfn.LET(
  _xlpm.colj, _xlfn._xlws.FILTER(IF(ISNUMBER(491:491), COLUMN(491:491)), ISNUMBER(491:491)),
  _xlpm.elos, INDEX(490:490,1,_xlpm.colj),
  _xlpm.diffscale, Constantes!$B$2,
  IF(F491="",
    "",
    SUM(1/(1+POWER(10,-(F490-_xlpm.elos)/_xlpm.diffscale)))-0.5)
)</f>
        <v/>
      </c>
      <c r="G492" t="str" cm="1">
        <f t="array" ref="G492">_xlfn.LET(
  _xlpm.colj, _xlfn._xlws.FILTER(IF(ISNUMBER(491:491), COLUMN(491:491)), ISNUMBER(491:491)),
  _xlpm.elos, INDEX(490:490,1,_xlpm.colj),
  _xlpm.diffscale, Constantes!$B$2,
  IF(G491="",
    "",
    SUM(1/(1+POWER(10,-(G490-_xlpm.elos)/_xlpm.diffscale)))-0.5)
)</f>
        <v/>
      </c>
      <c r="H492" t="str" cm="1">
        <f t="array" ref="H492">_xlfn.LET(
  _xlpm.colj, _xlfn._xlws.FILTER(IF(ISNUMBER(491:491), COLUMN(491:491)), ISNUMBER(491:491)),
  _xlpm.elos, INDEX(490:490,1,_xlpm.colj),
  _xlpm.diffscale, Constantes!$B$2,
  IF(H491="",
    "",
    SUM(1/(1+POWER(10,-(H490-_xlpm.elos)/_xlpm.diffscale)))-0.5)
)</f>
        <v/>
      </c>
      <c r="I492" t="str" cm="1">
        <f t="array" ref="I492">_xlfn.LET(
  _xlpm.colj, _xlfn._xlws.FILTER(IF(ISNUMBER(491:491), COLUMN(491:491)), ISNUMBER(491:491)),
  _xlpm.elos, INDEX(490:490,1,_xlpm.colj),
  _xlpm.diffscale, Constantes!$B$2,
  IF(I491="",
    "",
    SUM(1/(1+POWER(10,-(I490-_xlpm.elos)/_xlpm.diffscale)))-0.5)
)</f>
        <v/>
      </c>
      <c r="J492" t="str" cm="1">
        <f t="array" ref="J492">_xlfn.LET(
  _xlpm.colj, _xlfn._xlws.FILTER(IF(ISNUMBER(491:491), COLUMN(491:491)), ISNUMBER(491:491)),
  _xlpm.elos, INDEX(490:490,1,_xlpm.colj),
  _xlpm.diffscale, Constantes!$B$2,
  IF(J491="",
    "",
    SUM(1/(1+POWER(10,-(J490-_xlpm.elos)/_xlpm.diffscale)))-0.5)
)</f>
        <v/>
      </c>
      <c r="K492" t="str" cm="1">
        <f t="array" ref="K492">_xlfn.LET(
  _xlpm.colj, _xlfn._xlws.FILTER(IF(ISNUMBER(491:491), COLUMN(491:491)), ISNUMBER(491:491)),
  _xlpm.elos, INDEX(490:490,1,_xlpm.colj),
  _xlpm.diffscale, Constantes!$B$2,
  IF(K491="",
    "",
    SUM(1/(1+POWER(10,-(K490-_xlpm.elos)/_xlpm.diffscale)))-0.5)
)</f>
        <v/>
      </c>
      <c r="L492" t="str" cm="1">
        <f t="array" ref="L492">_xlfn.LET(
  _xlpm.colj, _xlfn._xlws.FILTER(IF(ISNUMBER(491:491), COLUMN(491:491)), ISNUMBER(491:491)),
  _xlpm.elos, INDEX(490:490,1,_xlpm.colj),
  _xlpm.diffscale, Constantes!$B$2,
  IF(L491="",
    "",
    SUM(1/(1+POWER(10,-(L490-_xlpm.elos)/_xlpm.diffscale)))-0.5)
)</f>
        <v/>
      </c>
      <c r="M492" t="str" cm="1">
        <f t="array" ref="M492">_xlfn.LET(
  _xlpm.colj, _xlfn._xlws.FILTER(IF(ISNUMBER(491:491), COLUMN(491:491)), ISNUMBER(491:491)),
  _xlpm.elos, INDEX(490:490,1,_xlpm.colj),
  _xlpm.diffscale, Constantes!$B$2,
  IF(M491="",
    "",
    SUM(1/(1+POWER(10,-(M490-_xlpm.elos)/_xlpm.diffscale)))-0.5)
)</f>
        <v/>
      </c>
      <c r="N492" t="str" cm="1">
        <f t="array" ref="N492">_xlfn.LET(
  _xlpm.colj, _xlfn._xlws.FILTER(IF(ISNUMBER(491:491), COLUMN(491:491)), ISNUMBER(491:491)),
  _xlpm.elos, INDEX(490:490,1,_xlpm.colj),
  _xlpm.diffscale, Constantes!$B$2,
  IF(N491="",
    "",
    SUM(1/(1+POWER(10,-(N490-_xlpm.elos)/_xlpm.diffscale)))-0.5)
)</f>
        <v/>
      </c>
      <c r="O492" t="str" cm="1">
        <f t="array" ref="O492">_xlfn.LET(
  _xlpm.colj, _xlfn._xlws.FILTER(IF(ISNUMBER(491:491), COLUMN(491:491)), ISNUMBER(491:491)),
  _xlpm.elos, INDEX(490:490,1,_xlpm.colj),
  _xlpm.diffscale, Constantes!$B$2,
  IF(O491="",
    "",
    SUM(1/(1+POWER(10,-(O490-_xlpm.elos)/_xlpm.diffscale)))-0.5)
)</f>
        <v/>
      </c>
      <c r="P492" t="str" cm="1">
        <f t="array" ref="P492">_xlfn.LET(
  _xlpm.colj, _xlfn._xlws.FILTER(IF(ISNUMBER(491:491), COLUMN(491:491)), ISNUMBER(491:491)),
  _xlpm.elos, INDEX(490:490,1,_xlpm.colj),
  _xlpm.diffscale, Constantes!$B$2,
  IF(P491="",
    "",
    SUM(1/(1+POWER(10,-(P490-_xlpm.elos)/_xlpm.diffscale)))-0.5)
)</f>
        <v/>
      </c>
      <c r="Q492" t="str" cm="1">
        <f t="array" ref="Q492">_xlfn.LET(
  _xlpm.colj, _xlfn._xlws.FILTER(IF(ISNUMBER(491:491), COLUMN(491:491)), ISNUMBER(491:491)),
  _xlpm.elos, INDEX(490:490,1,_xlpm.colj),
  _xlpm.diffscale, Constantes!$B$2,
  IF(Q491="",
    "",
    SUM(1/(1+POWER(10,-(Q490-_xlpm.elos)/_xlpm.diffscale)))-0.5)
)</f>
        <v/>
      </c>
      <c r="R492" t="str" cm="1">
        <f t="array" ref="R492">_xlfn.LET(
  _xlpm.colj, _xlfn._xlws.FILTER(IF(ISNUMBER(491:491), COLUMN(491:491)), ISNUMBER(491:491)),
  _xlpm.elos, INDEX(490:490,1,_xlpm.colj),
  _xlpm.diffscale, Constantes!$B$2,
  IF(R491="",
    "",
    SUM(1/(1+POWER(10,-(R490-_xlpm.elos)/_xlpm.diffscale)))-0.5)
)</f>
        <v/>
      </c>
      <c r="S492" t="str" cm="1">
        <f t="array" ref="S492">_xlfn.LET(
  _xlpm.colj, _xlfn._xlws.FILTER(IF(ISNUMBER(491:491), COLUMN(491:491)), ISNUMBER(491:491)),
  _xlpm.elos, INDEX(490:490,1,_xlpm.colj),
  _xlpm.diffscale, Constantes!$B$2,
  IF(S491="",
    "",
    SUM(1/(1+POWER(10,-(S490-_xlpm.elos)/_xlpm.diffscale)))-0.5)
)</f>
        <v/>
      </c>
      <c r="T492" t="str" cm="1">
        <f t="array" ref="T492">_xlfn.LET(
  _xlpm.colj, _xlfn._xlws.FILTER(IF(ISNUMBER(491:491), COLUMN(491:491)), ISNUMBER(491:491)),
  _xlpm.elos, INDEX(490:490,1,_xlpm.colj),
  _xlpm.diffscale, Constantes!$B$2,
  IF(T491="",
    "",
    SUM(1/(1+POWER(10,-(T490-_xlpm.elos)/_xlpm.diffscale)))-0.5)
)</f>
        <v/>
      </c>
      <c r="U492" t="str" cm="1">
        <f t="array" ref="U492">_xlfn.LET(
  _xlpm.colj, _xlfn._xlws.FILTER(IF(ISNUMBER(491:491), COLUMN(491:491)), ISNUMBER(491:491)),
  _xlpm.elos, INDEX(490:490,1,_xlpm.colj),
  _xlpm.diffscale, Constantes!$B$2,
  IF(U491="",
    "",
    SUM(1/(1+POWER(10,-(U490-_xlpm.elos)/_xlpm.diffscale)))-0.5)
)</f>
        <v/>
      </c>
      <c r="V492" t="str" cm="1">
        <f t="array" ref="V492">_xlfn.LET(
  _xlpm.colj, _xlfn._xlws.FILTER(IF(ISNUMBER(491:491), COLUMN(491:491)), ISNUMBER(491:491)),
  _xlpm.elos, INDEX(490:490,1,_xlpm.colj),
  _xlpm.diffscale, Constantes!$B$2,
  IF(V491="",
    "",
    SUM(1/(1+POWER(10,-(V490-_xlpm.elos)/_xlpm.diffscale)))-0.5)
)</f>
        <v/>
      </c>
      <c r="W492" t="str" cm="1">
        <f t="array" ref="W492">_xlfn.LET(
  _xlpm.colj, _xlfn._xlws.FILTER(IF(ISNUMBER(491:491), COLUMN(491:491)), ISNUMBER(491:491)),
  _xlpm.elos, INDEX(490:490,1,_xlpm.colj),
  _xlpm.diffscale, Constantes!$B$2,
  IF(W491="",
    "",
    SUM(1/(1+POWER(10,-(W490-_xlpm.elos)/_xlpm.diffscale)))-0.5)
)</f>
        <v/>
      </c>
      <c r="X492" t="str" cm="1">
        <f t="array" ref="X492">_xlfn.LET(
  _xlpm.colj, _xlfn._xlws.FILTER(IF(ISNUMBER(491:491), COLUMN(491:491)), ISNUMBER(491:491)),
  _xlpm.elos, INDEX(490:490,1,_xlpm.colj),
  _xlpm.diffscale, Constantes!$B$2,
  IF(X491="",
    "",
    SUM(1/(1+POWER(10,-(X490-_xlpm.elos)/_xlpm.diffscale)))-0.5)
)</f>
        <v/>
      </c>
      <c r="Y492" t="str" cm="1">
        <f t="array" ref="Y492">_xlfn.LET(
  _xlpm.colj, _xlfn._xlws.FILTER(IF(ISNUMBER(491:491), COLUMN(491:491)), ISNUMBER(491:491)),
  _xlpm.elos, INDEX(490:490,1,_xlpm.colj),
  _xlpm.diffscale, Constantes!$B$2,
  IF(Y491="",
    "",
    SUM(1/(1+POWER(10,-(Y490-_xlpm.elos)/_xlpm.diffscale)))-0.5)
)</f>
        <v/>
      </c>
      <c r="Z492" t="str" cm="1">
        <f t="array" ref="Z492">_xlfn.LET(
  _xlpm.colj, _xlfn._xlws.FILTER(IF(ISNUMBER(491:491), COLUMN(491:491)), ISNUMBER(491:491)),
  _xlpm.elos, INDEX(490:490,1,_xlpm.colj),
  _xlpm.diffscale, Constantes!$B$2,
  IF(Z491="",
    "",
    SUM(1/(1+POWER(10,-(Z490-_xlpm.elos)/_xlpm.diffscale)))-0.5)
)</f>
        <v/>
      </c>
      <c r="AA492" t="str" cm="1">
        <f t="array" ref="AA492">_xlfn.LET(
  _xlpm.colj, _xlfn._xlws.FILTER(IF(ISNUMBER(491:491), COLUMN(491:491)), ISNUMBER(491:491)),
  _xlpm.elos, INDEX(490:490,1,_xlpm.colj),
  _xlpm.diffscale, Constantes!$B$2,
  IF(AA491="",
    "",
    SUM(1/(1+POWER(10,-(AA490-_xlpm.elos)/_xlpm.diffscale)))-0.5)
)</f>
        <v/>
      </c>
      <c r="AB492" t="str" cm="1">
        <f t="array" ref="AB492">_xlfn.LET(
  _xlpm.colj, _xlfn._xlws.FILTER(IF(ISNUMBER(491:491), COLUMN(491:491)), ISNUMBER(491:491)),
  _xlpm.elos, INDEX(490:490,1,_xlpm.colj),
  _xlpm.diffscale, Constantes!$B$2,
  IF(AB491="",
    "",
    SUM(1/(1+POWER(10,-(AB490-_xlpm.elos)/_xlpm.diffscale)))-0.5)
)</f>
        <v/>
      </c>
      <c r="AC492" t="str" cm="1">
        <f t="array" ref="AC492">_xlfn.LET(
  _xlpm.colj, _xlfn._xlws.FILTER(IF(ISNUMBER(491:491), COLUMN(491:491)), ISNUMBER(491:491)),
  _xlpm.elos, INDEX(490:490,1,_xlpm.colj),
  _xlpm.diffscale, Constantes!$B$2,
  IF(AC491="",
    "",
    SUM(1/(1+POWER(10,-(AC490-_xlpm.elos)/_xlpm.diffscale)))-0.5)
)</f>
        <v/>
      </c>
      <c r="AD492" t="str" cm="1">
        <f t="array" ref="AD492">_xlfn.LET(
  _xlpm.colj, _xlfn._xlws.FILTER(IF(ISNUMBER(491:491), COLUMN(491:491)), ISNUMBER(491:491)),
  _xlpm.elos, INDEX(490:490,1,_xlpm.colj),
  _xlpm.diffscale, Constantes!$B$2,
  IF(AD491="",
    "",
    SUM(1/(1+POWER(10,-(AD490-_xlpm.elos)/_xlpm.diffscale)))-0.5)
)</f>
        <v/>
      </c>
      <c r="AE492" t="str" cm="1">
        <f t="array" ref="AE492">_xlfn.LET(
  _xlpm.colj, _xlfn._xlws.FILTER(IF(ISNUMBER(491:491), COLUMN(491:491)), ISNUMBER(491:491)),
  _xlpm.elos, INDEX(490:490,1,_xlpm.colj),
  _xlpm.diffscale, Constantes!$B$2,
  IF(AE491="",
    "",
    SUM(1/(1+POWER(10,-(AE490-_xlpm.elos)/_xlpm.diffscale)))-0.5)
)</f>
        <v/>
      </c>
      <c r="AF492" t="str" cm="1">
        <f t="array" ref="AF492">_xlfn.LET(
  _xlpm.colj, _xlfn._xlws.FILTER(IF(ISNUMBER(491:491), COLUMN(491:491)), ISNUMBER(491:491)),
  _xlpm.elos, INDEX(490:490,1,_xlpm.colj),
  _xlpm.diffscale, Constantes!$B$2,
  IF(AF491="",
    "",
    SUM(1/(1+POWER(10,-(AF490-_xlpm.elos)/_xlpm.diffscale)))-0.5)
)</f>
        <v/>
      </c>
      <c r="AG492" t="str" cm="1">
        <f t="array" ref="AG492">_xlfn.LET(
  _xlpm.colj, _xlfn._xlws.FILTER(IF(ISNUMBER(491:491), COLUMN(491:491)), ISNUMBER(491:491)),
  _xlpm.elos, INDEX(490:490,1,_xlpm.colj),
  _xlpm.diffscale, Constantes!$B$2,
  IF(AG491="",
    "",
    SUM(1/(1+POWER(10,-(AG490-_xlpm.elos)/_xlpm.diffscale)))-0.5)
)</f>
        <v/>
      </c>
      <c r="AH492" t="str" cm="1">
        <f t="array" ref="AH492">_xlfn.LET(
  _xlpm.colj, _xlfn._xlws.FILTER(IF(ISNUMBER(491:491), COLUMN(491:491)), ISNUMBER(491:491)),
  _xlpm.elos, INDEX(490:490,1,_xlpm.colj),
  _xlpm.diffscale, Constantes!$B$2,
  IF(AH491="",
    "",
    SUM(1/(1+POWER(10,-(AH490-_xlpm.elos)/_xlpm.diffscale)))-0.5)
)</f>
        <v/>
      </c>
      <c r="AI492" t="str" cm="1">
        <f t="array" ref="AI492">_xlfn.LET(
  _xlpm.colj, _xlfn._xlws.FILTER(IF(ISNUMBER(491:491), COLUMN(491:491)), ISNUMBER(491:491)),
  _xlpm.elos, INDEX(490:490,1,_xlpm.colj),
  _xlpm.diffscale, Constantes!$B$2,
  IF(AI491="",
    "",
    SUM(1/(1+POWER(10,-(AI490-_xlpm.elos)/_xlpm.diffscale)))-0.5)
)</f>
        <v/>
      </c>
      <c r="AJ492" t="str" cm="1">
        <f t="array" ref="AJ492">_xlfn.LET(
  _xlpm.colj, _xlfn._xlws.FILTER(IF(ISNUMBER(491:491), COLUMN(491:491)), ISNUMBER(491:491)),
  _xlpm.elos, INDEX(490:490,1,_xlpm.colj),
  _xlpm.diffscale, Constantes!$B$2,
  IF(AJ491="",
    "",
    SUM(1/(1+POWER(10,-(AJ490-_xlpm.elos)/_xlpm.diffscale)))-0.5)
)</f>
        <v/>
      </c>
      <c r="AK492" t="str" cm="1">
        <f t="array" ref="AK492">_xlfn.LET(
  _xlpm.colj, _xlfn._xlws.FILTER(IF(ISNUMBER(491:491), COLUMN(491:491)), ISNUMBER(491:491)),
  _xlpm.elos, INDEX(490:490,1,_xlpm.colj),
  _xlpm.diffscale, Constantes!$B$2,
  IF(AK491="",
    "",
    SUM(1/(1+POWER(10,-(AK490-_xlpm.elos)/_xlpm.diffscale)))-0.5)
)</f>
        <v/>
      </c>
      <c r="AL492" t="str" cm="1">
        <f t="array" ref="AL492">_xlfn.LET(
  _xlpm.colj, _xlfn._xlws.FILTER(IF(ISNUMBER(491:491), COLUMN(491:491)), ISNUMBER(491:491)),
  _xlpm.elos, INDEX(490:490,1,_xlpm.colj),
  _xlpm.diffscale, Constantes!$B$2,
  IF(AL491="",
    "",
    SUM(1/(1+POWER(10,-(AL490-_xlpm.elos)/_xlpm.diffscale)))-0.5)
)</f>
        <v/>
      </c>
      <c r="AM492" t="str" cm="1">
        <f t="array" ref="AM492">_xlfn.LET(
  _xlpm.colj, _xlfn._xlws.FILTER(IF(ISNUMBER(491:491), COLUMN(491:491)), ISNUMBER(491:491)),
  _xlpm.elos, INDEX(490:490,1,_xlpm.colj),
  _xlpm.diffscale, Constantes!$B$2,
  IF(AM491="",
    "",
    SUM(1/(1+POWER(10,-(AM490-_xlpm.elos)/_xlpm.diffscale)))-0.5)
)</f>
        <v/>
      </c>
    </row>
    <row r="493" spans="1:39" x14ac:dyDescent="0.25">
      <c r="A493" t="s">
        <v>22</v>
      </c>
      <c r="D493" t="str" cm="1">
        <f t="array" ref="D493">_xlfn.LET(
  _xlpm.K, Constantes!$B$3,
  _xlpm.Knewgain, Constantes!$B$4,
  _xlpm.Knewscale, Constantes!$B$5,
  _xlpm.ptstables, INDEX(D:D, _xlfn.SEQUENCE(COUNTA($C$2:$C493), 1, 3, 4)),
  _xlpm.nbparties, COUNTA(_xlfn._xlws.FILTER(_xlpm.ptstables, _xlpm.ptstables &lt;&gt; "")),
  _xlpm.coef, _xlpm.K + _xlpm.Knewgain / (_xlpm.Knewscale + _xlpm.nbparties),
  IF(D491="",
    "",
    _xlpm.coef * (D491-D492))
)</f>
        <v/>
      </c>
      <c r="E493" t="str" cm="1">
        <f t="array" ref="E493">_xlfn.LET(
  _xlpm.K, Constantes!$B$3,
  _xlpm.Knewgain, Constantes!$B$4,
  _xlpm.Knewscale, Constantes!$B$5,
  _xlpm.ptstables, INDEX(E:E, _xlfn.SEQUENCE(COUNTA($C$2:$C493), 1, 3, 4)),
  _xlpm.nbparties, COUNTA(_xlfn._xlws.FILTER(_xlpm.ptstables, _xlpm.ptstables &lt;&gt; "")),
  _xlpm.coef, _xlpm.K + _xlpm.Knewgain / (_xlpm.Knewscale + _xlpm.nbparties),
  IF(E491="",
    "",
    _xlpm.coef * (E491-E492))
)</f>
        <v/>
      </c>
      <c r="F493" t="str" cm="1">
        <f t="array" ref="F493">_xlfn.LET(
  _xlpm.K, Constantes!$B$3,
  _xlpm.Knewgain, Constantes!$B$4,
  _xlpm.Knewscale, Constantes!$B$5,
  _xlpm.ptstables, INDEX(F:F, _xlfn.SEQUENCE(COUNTA($C$2:$C493), 1, 3, 4)),
  _xlpm.nbparties, COUNTA(_xlfn._xlws.FILTER(_xlpm.ptstables, _xlpm.ptstables &lt;&gt; "")),
  _xlpm.coef, _xlpm.K + _xlpm.Knewgain / (_xlpm.Knewscale + _xlpm.nbparties),
  IF(F491="",
    "",
    _xlpm.coef * (F491-F492))
)</f>
        <v/>
      </c>
      <c r="G493" t="str" cm="1">
        <f t="array" ref="G493">_xlfn.LET(
  _xlpm.K, Constantes!$B$3,
  _xlpm.Knewgain, Constantes!$B$4,
  _xlpm.Knewscale, Constantes!$B$5,
  _xlpm.ptstables, INDEX(G:G, _xlfn.SEQUENCE(COUNTA($C$2:$C493), 1, 3, 4)),
  _xlpm.nbparties, COUNTA(_xlfn._xlws.FILTER(_xlpm.ptstables, _xlpm.ptstables &lt;&gt; "")),
  _xlpm.coef, _xlpm.K + _xlpm.Knewgain / (_xlpm.Knewscale + _xlpm.nbparties),
  IF(G491="",
    "",
    _xlpm.coef * (G491-G492))
)</f>
        <v/>
      </c>
      <c r="H493" t="str" cm="1">
        <f t="array" ref="H493">_xlfn.LET(
  _xlpm.K, Constantes!$B$3,
  _xlpm.Knewgain, Constantes!$B$4,
  _xlpm.Knewscale, Constantes!$B$5,
  _xlpm.ptstables, INDEX(H:H, _xlfn.SEQUENCE(COUNTA($C$2:$C493), 1, 3, 4)),
  _xlpm.nbparties, COUNTA(_xlfn._xlws.FILTER(_xlpm.ptstables, _xlpm.ptstables &lt;&gt; "")),
  _xlpm.coef, _xlpm.K + _xlpm.Knewgain / (_xlpm.Knewscale + _xlpm.nbparties),
  IF(H491="",
    "",
    _xlpm.coef * (H491-H492))
)</f>
        <v/>
      </c>
      <c r="I493" t="str" cm="1">
        <f t="array" ref="I493">_xlfn.LET(
  _xlpm.K, Constantes!$B$3,
  _xlpm.Knewgain, Constantes!$B$4,
  _xlpm.Knewscale, Constantes!$B$5,
  _xlpm.ptstables, INDEX(I:I, _xlfn.SEQUENCE(COUNTA($C$2:$C493), 1, 3, 4)),
  _xlpm.nbparties, COUNTA(_xlfn._xlws.FILTER(_xlpm.ptstables, _xlpm.ptstables &lt;&gt; "")),
  _xlpm.coef, _xlpm.K + _xlpm.Knewgain / (_xlpm.Knewscale + _xlpm.nbparties),
  IF(I491="",
    "",
    _xlpm.coef * (I491-I492))
)</f>
        <v/>
      </c>
      <c r="J493" t="str" cm="1">
        <f t="array" ref="J493">_xlfn.LET(
  _xlpm.K, Constantes!$B$3,
  _xlpm.Knewgain, Constantes!$B$4,
  _xlpm.Knewscale, Constantes!$B$5,
  _xlpm.ptstables, INDEX(J:J, _xlfn.SEQUENCE(COUNTA($C$2:$C493), 1, 3, 4)),
  _xlpm.nbparties, COUNTA(_xlfn._xlws.FILTER(_xlpm.ptstables, _xlpm.ptstables &lt;&gt; "")),
  _xlpm.coef, _xlpm.K + _xlpm.Knewgain / (_xlpm.Knewscale + _xlpm.nbparties),
  IF(J491="",
    "",
    _xlpm.coef * (J491-J492))
)</f>
        <v/>
      </c>
      <c r="K493" t="str" cm="1">
        <f t="array" ref="K493">_xlfn.LET(
  _xlpm.K, Constantes!$B$3,
  _xlpm.Knewgain, Constantes!$B$4,
  _xlpm.Knewscale, Constantes!$B$5,
  _xlpm.ptstables, INDEX(K:K, _xlfn.SEQUENCE(COUNTA($C$2:$C493), 1, 3, 4)),
  _xlpm.nbparties, COUNTA(_xlfn._xlws.FILTER(_xlpm.ptstables, _xlpm.ptstables &lt;&gt; "")),
  _xlpm.coef, _xlpm.K + _xlpm.Knewgain / (_xlpm.Knewscale + _xlpm.nbparties),
  IF(K491="",
    "",
    _xlpm.coef * (K491-K492))
)</f>
        <v/>
      </c>
      <c r="L493" t="str" cm="1">
        <f t="array" ref="L493">_xlfn.LET(
  _xlpm.K, Constantes!$B$3,
  _xlpm.Knewgain, Constantes!$B$4,
  _xlpm.Knewscale, Constantes!$B$5,
  _xlpm.ptstables, INDEX(L:L, _xlfn.SEQUENCE(COUNTA($C$2:$C493), 1, 3, 4)),
  _xlpm.nbparties, COUNTA(_xlfn._xlws.FILTER(_xlpm.ptstables, _xlpm.ptstables &lt;&gt; "")),
  _xlpm.coef, _xlpm.K + _xlpm.Knewgain / (_xlpm.Knewscale + _xlpm.nbparties),
  IF(L491="",
    "",
    _xlpm.coef * (L491-L492))
)</f>
        <v/>
      </c>
      <c r="M493" t="str" cm="1">
        <f t="array" ref="M493">_xlfn.LET(
  _xlpm.K, Constantes!$B$3,
  _xlpm.Knewgain, Constantes!$B$4,
  _xlpm.Knewscale, Constantes!$B$5,
  _xlpm.ptstables, INDEX(M:M, _xlfn.SEQUENCE(COUNTA($C$2:$C493), 1, 3, 4)),
  _xlpm.nbparties, COUNTA(_xlfn._xlws.FILTER(_xlpm.ptstables, _xlpm.ptstables &lt;&gt; "")),
  _xlpm.coef, _xlpm.K + _xlpm.Knewgain / (_xlpm.Knewscale + _xlpm.nbparties),
  IF(M491="",
    "",
    _xlpm.coef * (M491-M492))
)</f>
        <v/>
      </c>
      <c r="N493" t="str" cm="1">
        <f t="array" ref="N493">_xlfn.LET(
  _xlpm.K, Constantes!$B$3,
  _xlpm.Knewgain, Constantes!$B$4,
  _xlpm.Knewscale, Constantes!$B$5,
  _xlpm.ptstables, INDEX(N:N, _xlfn.SEQUENCE(COUNTA($C$2:$C493), 1, 3, 4)),
  _xlpm.nbparties, COUNTA(_xlfn._xlws.FILTER(_xlpm.ptstables, _xlpm.ptstables &lt;&gt; "")),
  _xlpm.coef, _xlpm.K + _xlpm.Knewgain / (_xlpm.Knewscale + _xlpm.nbparties),
  IF(N491="",
    "",
    _xlpm.coef * (N491-N492))
)</f>
        <v/>
      </c>
      <c r="O493" t="str" cm="1">
        <f t="array" ref="O493">_xlfn.LET(
  _xlpm.K, Constantes!$B$3,
  _xlpm.Knewgain, Constantes!$B$4,
  _xlpm.Knewscale, Constantes!$B$5,
  _xlpm.ptstables, INDEX(O:O, _xlfn.SEQUENCE(COUNTA($C$2:$C493), 1, 3, 4)),
  _xlpm.nbparties, COUNTA(_xlfn._xlws.FILTER(_xlpm.ptstables, _xlpm.ptstables &lt;&gt; "")),
  _xlpm.coef, _xlpm.K + _xlpm.Knewgain / (_xlpm.Knewscale + _xlpm.nbparties),
  IF(O491="",
    "",
    _xlpm.coef * (O491-O492))
)</f>
        <v/>
      </c>
      <c r="P493" t="str" cm="1">
        <f t="array" ref="P493">_xlfn.LET(
  _xlpm.K, Constantes!$B$3,
  _xlpm.Knewgain, Constantes!$B$4,
  _xlpm.Knewscale, Constantes!$B$5,
  _xlpm.ptstables, INDEX(P:P, _xlfn.SEQUENCE(COUNTA($C$2:$C493), 1, 3, 4)),
  _xlpm.nbparties, COUNTA(_xlfn._xlws.FILTER(_xlpm.ptstables, _xlpm.ptstables &lt;&gt; "")),
  _xlpm.coef, _xlpm.K + _xlpm.Knewgain / (_xlpm.Knewscale + _xlpm.nbparties),
  IF(P491="",
    "",
    _xlpm.coef * (P491-P492))
)</f>
        <v/>
      </c>
      <c r="Q493" t="str" cm="1">
        <f t="array" ref="Q493">_xlfn.LET(
  _xlpm.K, Constantes!$B$3,
  _xlpm.Knewgain, Constantes!$B$4,
  _xlpm.Knewscale, Constantes!$B$5,
  _xlpm.ptstables, INDEX(Q:Q, _xlfn.SEQUENCE(COUNTA($C$2:$C493), 1, 3, 4)),
  _xlpm.nbparties, COUNTA(_xlfn._xlws.FILTER(_xlpm.ptstables, _xlpm.ptstables &lt;&gt; "")),
  _xlpm.coef, _xlpm.K + _xlpm.Knewgain / (_xlpm.Knewscale + _xlpm.nbparties),
  IF(Q491="",
    "",
    _xlpm.coef * (Q491-Q492))
)</f>
        <v/>
      </c>
      <c r="R493" t="str" cm="1">
        <f t="array" ref="R493">_xlfn.LET(
  _xlpm.K, Constantes!$B$3,
  _xlpm.Knewgain, Constantes!$B$4,
  _xlpm.Knewscale, Constantes!$B$5,
  _xlpm.ptstables, INDEX(R:R, _xlfn.SEQUENCE(COUNTA($C$2:$C493), 1, 3, 4)),
  _xlpm.nbparties, COUNTA(_xlfn._xlws.FILTER(_xlpm.ptstables, _xlpm.ptstables &lt;&gt; "")),
  _xlpm.coef, _xlpm.K + _xlpm.Knewgain / (_xlpm.Knewscale + _xlpm.nbparties),
  IF(R491="",
    "",
    _xlpm.coef * (R491-R492))
)</f>
        <v/>
      </c>
      <c r="S493" t="str" cm="1">
        <f t="array" ref="S493">_xlfn.LET(
  _xlpm.K, Constantes!$B$3,
  _xlpm.Knewgain, Constantes!$B$4,
  _xlpm.Knewscale, Constantes!$B$5,
  _xlpm.ptstables, INDEX(S:S, _xlfn.SEQUENCE(COUNTA($C$2:$C493), 1, 3, 4)),
  _xlpm.nbparties, COUNTA(_xlfn._xlws.FILTER(_xlpm.ptstables, _xlpm.ptstables &lt;&gt; "")),
  _xlpm.coef, _xlpm.K + _xlpm.Knewgain / (_xlpm.Knewscale + _xlpm.nbparties),
  IF(S491="",
    "",
    _xlpm.coef * (S491-S492))
)</f>
        <v/>
      </c>
      <c r="T493" t="str" cm="1">
        <f t="array" ref="T493">_xlfn.LET(
  _xlpm.K, Constantes!$B$3,
  _xlpm.Knewgain, Constantes!$B$4,
  _xlpm.Knewscale, Constantes!$B$5,
  _xlpm.ptstables, INDEX(T:T, _xlfn.SEQUENCE(COUNTA($C$2:$C493), 1, 3, 4)),
  _xlpm.nbparties, COUNTA(_xlfn._xlws.FILTER(_xlpm.ptstables, _xlpm.ptstables &lt;&gt; "")),
  _xlpm.coef, _xlpm.K + _xlpm.Knewgain / (_xlpm.Knewscale + _xlpm.nbparties),
  IF(T491="",
    "",
    _xlpm.coef * (T491-T492))
)</f>
        <v/>
      </c>
      <c r="U493" t="str" cm="1">
        <f t="array" ref="U493">_xlfn.LET(
  _xlpm.K, Constantes!$B$3,
  _xlpm.Knewgain, Constantes!$B$4,
  _xlpm.Knewscale, Constantes!$B$5,
  _xlpm.ptstables, INDEX(U:U, _xlfn.SEQUENCE(COUNTA($C$2:$C493), 1, 3, 4)),
  _xlpm.nbparties, COUNTA(_xlfn._xlws.FILTER(_xlpm.ptstables, _xlpm.ptstables &lt;&gt; "")),
  _xlpm.coef, _xlpm.K + _xlpm.Knewgain / (_xlpm.Knewscale + _xlpm.nbparties),
  IF(U491="",
    "",
    _xlpm.coef * (U491-U492))
)</f>
        <v/>
      </c>
      <c r="V493" t="str" cm="1">
        <f t="array" ref="V493">_xlfn.LET(
  _xlpm.K, Constantes!$B$3,
  _xlpm.Knewgain, Constantes!$B$4,
  _xlpm.Knewscale, Constantes!$B$5,
  _xlpm.ptstables, INDEX(V:V, _xlfn.SEQUENCE(COUNTA($C$2:$C493), 1, 3, 4)),
  _xlpm.nbparties, COUNTA(_xlfn._xlws.FILTER(_xlpm.ptstables, _xlpm.ptstables &lt;&gt; "")),
  _xlpm.coef, _xlpm.K + _xlpm.Knewgain / (_xlpm.Knewscale + _xlpm.nbparties),
  IF(V491="",
    "",
    _xlpm.coef * (V491-V492))
)</f>
        <v/>
      </c>
      <c r="W493" t="str" cm="1">
        <f t="array" ref="W493">_xlfn.LET(
  _xlpm.K, Constantes!$B$3,
  _xlpm.Knewgain, Constantes!$B$4,
  _xlpm.Knewscale, Constantes!$B$5,
  _xlpm.ptstables, INDEX(W:W, _xlfn.SEQUENCE(COUNTA($C$2:$C493), 1, 3, 4)),
  _xlpm.nbparties, COUNTA(_xlfn._xlws.FILTER(_xlpm.ptstables, _xlpm.ptstables &lt;&gt; "")),
  _xlpm.coef, _xlpm.K + _xlpm.Knewgain / (_xlpm.Knewscale + _xlpm.nbparties),
  IF(W491="",
    "",
    _xlpm.coef * (W491-W492))
)</f>
        <v/>
      </c>
      <c r="X493" t="str" cm="1">
        <f t="array" ref="X493">_xlfn.LET(
  _xlpm.K, Constantes!$B$3,
  _xlpm.Knewgain, Constantes!$B$4,
  _xlpm.Knewscale, Constantes!$B$5,
  _xlpm.ptstables, INDEX(X:X, _xlfn.SEQUENCE(COUNTA($C$2:$C493), 1, 3, 4)),
  _xlpm.nbparties, COUNTA(_xlfn._xlws.FILTER(_xlpm.ptstables, _xlpm.ptstables &lt;&gt; "")),
  _xlpm.coef, _xlpm.K + _xlpm.Knewgain / (_xlpm.Knewscale + _xlpm.nbparties),
  IF(X491="",
    "",
    _xlpm.coef * (X491-X492))
)</f>
        <v/>
      </c>
      <c r="Y493" t="str" cm="1">
        <f t="array" ref="Y493">_xlfn.LET(
  _xlpm.K, Constantes!$B$3,
  _xlpm.Knewgain, Constantes!$B$4,
  _xlpm.Knewscale, Constantes!$B$5,
  _xlpm.ptstables, INDEX(Y:Y, _xlfn.SEQUENCE(COUNTA($C$2:$C493), 1, 3, 4)),
  _xlpm.nbparties, COUNTA(_xlfn._xlws.FILTER(_xlpm.ptstables, _xlpm.ptstables &lt;&gt; "")),
  _xlpm.coef, _xlpm.K + _xlpm.Knewgain / (_xlpm.Knewscale + _xlpm.nbparties),
  IF(Y491="",
    "",
    _xlpm.coef * (Y491-Y492))
)</f>
        <v/>
      </c>
      <c r="Z493" t="str" cm="1">
        <f t="array" ref="Z493">_xlfn.LET(
  _xlpm.K, Constantes!$B$3,
  _xlpm.Knewgain, Constantes!$B$4,
  _xlpm.Knewscale, Constantes!$B$5,
  _xlpm.ptstables, INDEX(Z:Z, _xlfn.SEQUENCE(COUNTA($C$2:$C493), 1, 3, 4)),
  _xlpm.nbparties, COUNTA(_xlfn._xlws.FILTER(_xlpm.ptstables, _xlpm.ptstables &lt;&gt; "")),
  _xlpm.coef, _xlpm.K + _xlpm.Knewgain / (_xlpm.Knewscale + _xlpm.nbparties),
  IF(Z491="",
    "",
    _xlpm.coef * (Z491-Z492))
)</f>
        <v/>
      </c>
      <c r="AA493" t="str" cm="1">
        <f t="array" ref="AA493">_xlfn.LET(
  _xlpm.K, Constantes!$B$3,
  _xlpm.Knewgain, Constantes!$B$4,
  _xlpm.Knewscale, Constantes!$B$5,
  _xlpm.ptstables, INDEX(AA:AA, _xlfn.SEQUENCE(COUNTA($C$2:$C493), 1, 3, 4)),
  _xlpm.nbparties, COUNTA(_xlfn._xlws.FILTER(_xlpm.ptstables, _xlpm.ptstables &lt;&gt; "")),
  _xlpm.coef, _xlpm.K + _xlpm.Knewgain / (_xlpm.Knewscale + _xlpm.nbparties),
  IF(AA491="",
    "",
    _xlpm.coef * (AA491-AA492))
)</f>
        <v/>
      </c>
      <c r="AB493" t="str" cm="1">
        <f t="array" ref="AB493">_xlfn.LET(
  _xlpm.K, Constantes!$B$3,
  _xlpm.Knewgain, Constantes!$B$4,
  _xlpm.Knewscale, Constantes!$B$5,
  _xlpm.ptstables, INDEX(AB:AB, _xlfn.SEQUENCE(COUNTA($C$2:$C493), 1, 3, 4)),
  _xlpm.nbparties, COUNTA(_xlfn._xlws.FILTER(_xlpm.ptstables, _xlpm.ptstables &lt;&gt; "")),
  _xlpm.coef, _xlpm.K + _xlpm.Knewgain / (_xlpm.Knewscale + _xlpm.nbparties),
  IF(AB491="",
    "",
    _xlpm.coef * (AB491-AB492))
)</f>
        <v/>
      </c>
      <c r="AC493" t="str" cm="1">
        <f t="array" ref="AC493">_xlfn.LET(
  _xlpm.K, Constantes!$B$3,
  _xlpm.Knewgain, Constantes!$B$4,
  _xlpm.Knewscale, Constantes!$B$5,
  _xlpm.ptstables, INDEX(AC:AC, _xlfn.SEQUENCE(COUNTA($C$2:$C493), 1, 3, 4)),
  _xlpm.nbparties, COUNTA(_xlfn._xlws.FILTER(_xlpm.ptstables, _xlpm.ptstables &lt;&gt; "")),
  _xlpm.coef, _xlpm.K + _xlpm.Knewgain / (_xlpm.Knewscale + _xlpm.nbparties),
  IF(AC491="",
    "",
    _xlpm.coef * (AC491-AC492))
)</f>
        <v/>
      </c>
      <c r="AD493" t="str" cm="1">
        <f t="array" ref="AD493">_xlfn.LET(
  _xlpm.K, Constantes!$B$3,
  _xlpm.Knewgain, Constantes!$B$4,
  _xlpm.Knewscale, Constantes!$B$5,
  _xlpm.ptstables, INDEX(AD:AD, _xlfn.SEQUENCE(COUNTA($C$2:$C493), 1, 3, 4)),
  _xlpm.nbparties, COUNTA(_xlfn._xlws.FILTER(_xlpm.ptstables, _xlpm.ptstables &lt;&gt; "")),
  _xlpm.coef, _xlpm.K + _xlpm.Knewgain / (_xlpm.Knewscale + _xlpm.nbparties),
  IF(AD491="",
    "",
    _xlpm.coef * (AD491-AD492))
)</f>
        <v/>
      </c>
      <c r="AE493" t="str" cm="1">
        <f t="array" ref="AE493">_xlfn.LET(
  _xlpm.K, Constantes!$B$3,
  _xlpm.Knewgain, Constantes!$B$4,
  _xlpm.Knewscale, Constantes!$B$5,
  _xlpm.ptstables, INDEX(AE:AE, _xlfn.SEQUENCE(COUNTA($C$2:$C493), 1, 3, 4)),
  _xlpm.nbparties, COUNTA(_xlfn._xlws.FILTER(_xlpm.ptstables, _xlpm.ptstables &lt;&gt; "")),
  _xlpm.coef, _xlpm.K + _xlpm.Knewgain / (_xlpm.Knewscale + _xlpm.nbparties),
  IF(AE491="",
    "",
    _xlpm.coef * (AE491-AE492))
)</f>
        <v/>
      </c>
      <c r="AF493" t="str" cm="1">
        <f t="array" ref="AF493">_xlfn.LET(
  _xlpm.K, Constantes!$B$3,
  _xlpm.Knewgain, Constantes!$B$4,
  _xlpm.Knewscale, Constantes!$B$5,
  _xlpm.ptstables, INDEX(AF:AF, _xlfn.SEQUENCE(COUNTA($C$2:$C493), 1, 3, 4)),
  _xlpm.nbparties, COUNTA(_xlfn._xlws.FILTER(_xlpm.ptstables, _xlpm.ptstables &lt;&gt; "")),
  _xlpm.coef, _xlpm.K + _xlpm.Knewgain / (_xlpm.Knewscale + _xlpm.nbparties),
  IF(AF491="",
    "",
    _xlpm.coef * (AF491-AF492))
)</f>
        <v/>
      </c>
      <c r="AG493" t="str" cm="1">
        <f t="array" ref="AG493">_xlfn.LET(
  _xlpm.K, Constantes!$B$3,
  _xlpm.Knewgain, Constantes!$B$4,
  _xlpm.Knewscale, Constantes!$B$5,
  _xlpm.ptstables, INDEX(AG:AG, _xlfn.SEQUENCE(COUNTA($C$2:$C493), 1, 3, 4)),
  _xlpm.nbparties, COUNTA(_xlfn._xlws.FILTER(_xlpm.ptstables, _xlpm.ptstables &lt;&gt; "")),
  _xlpm.coef, _xlpm.K + _xlpm.Knewgain / (_xlpm.Knewscale + _xlpm.nbparties),
  IF(AG491="",
    "",
    _xlpm.coef * (AG491-AG492))
)</f>
        <v/>
      </c>
      <c r="AH493" t="str" cm="1">
        <f t="array" ref="AH493">_xlfn.LET(
  _xlpm.K, Constantes!$B$3,
  _xlpm.Knewgain, Constantes!$B$4,
  _xlpm.Knewscale, Constantes!$B$5,
  _xlpm.ptstables, INDEX(AH:AH, _xlfn.SEQUENCE(COUNTA($C$2:$C493), 1, 3, 4)),
  _xlpm.nbparties, COUNTA(_xlfn._xlws.FILTER(_xlpm.ptstables, _xlpm.ptstables &lt;&gt; "")),
  _xlpm.coef, _xlpm.K + _xlpm.Knewgain / (_xlpm.Knewscale + _xlpm.nbparties),
  IF(AH491="",
    "",
    _xlpm.coef * (AH491-AH492))
)</f>
        <v/>
      </c>
      <c r="AI493" t="str" cm="1">
        <f t="array" ref="AI493">_xlfn.LET(
  _xlpm.K, Constantes!$B$3,
  _xlpm.Knewgain, Constantes!$B$4,
  _xlpm.Knewscale, Constantes!$B$5,
  _xlpm.ptstables, INDEX(AI:AI, _xlfn.SEQUENCE(COUNTA($C$2:$C493), 1, 3, 4)),
  _xlpm.nbparties, COUNTA(_xlfn._xlws.FILTER(_xlpm.ptstables, _xlpm.ptstables &lt;&gt; "")),
  _xlpm.coef, _xlpm.K + _xlpm.Knewgain / (_xlpm.Knewscale + _xlpm.nbparties),
  IF(AI491="",
    "",
    _xlpm.coef * (AI491-AI492))
)</f>
        <v/>
      </c>
      <c r="AJ493" t="str" cm="1">
        <f t="array" ref="AJ493">_xlfn.LET(
  _xlpm.K, Constantes!$B$3,
  _xlpm.Knewgain, Constantes!$B$4,
  _xlpm.Knewscale, Constantes!$B$5,
  _xlpm.ptstables, INDEX(AJ:AJ, _xlfn.SEQUENCE(COUNTA($C$2:$C493), 1, 3, 4)),
  _xlpm.nbparties, COUNTA(_xlfn._xlws.FILTER(_xlpm.ptstables, _xlpm.ptstables &lt;&gt; "")),
  _xlpm.coef, _xlpm.K + _xlpm.Knewgain / (_xlpm.Knewscale + _xlpm.nbparties),
  IF(AJ491="",
    "",
    _xlpm.coef * (AJ491-AJ492))
)</f>
        <v/>
      </c>
      <c r="AK493" t="str" cm="1">
        <f t="array" ref="AK493">_xlfn.LET(
  _xlpm.K, Constantes!$B$3,
  _xlpm.Knewgain, Constantes!$B$4,
  _xlpm.Knewscale, Constantes!$B$5,
  _xlpm.ptstables, INDEX(AK:AK, _xlfn.SEQUENCE(COUNTA($C$2:$C493), 1, 3, 4)),
  _xlpm.nbparties, COUNTA(_xlfn._xlws.FILTER(_xlpm.ptstables, _xlpm.ptstables &lt;&gt; "")),
  _xlpm.coef, _xlpm.K + _xlpm.Knewgain / (_xlpm.Knewscale + _xlpm.nbparties),
  IF(AK491="",
    "",
    _xlpm.coef * (AK491-AK492))
)</f>
        <v/>
      </c>
      <c r="AL493" t="str" cm="1">
        <f t="array" ref="AL493">_xlfn.LET(
  _xlpm.K, Constantes!$B$3,
  _xlpm.Knewgain, Constantes!$B$4,
  _xlpm.Knewscale, Constantes!$B$5,
  _xlpm.ptstables, INDEX(AL:AL, _xlfn.SEQUENCE(COUNTA($C$2:$C493), 1, 3, 4)),
  _xlpm.nbparties, COUNTA(_xlfn._xlws.FILTER(_xlpm.ptstables, _xlpm.ptstables &lt;&gt; "")),
  _xlpm.coef, _xlpm.K + _xlpm.Knewgain / (_xlpm.Knewscale + _xlpm.nbparties),
  IF(AL491="",
    "",
    _xlpm.coef * (AL491-AL492))
)</f>
        <v/>
      </c>
      <c r="AM493" t="str" cm="1">
        <f t="array" ref="AM493">_xlfn.LET(
  _xlpm.K, Constantes!$B$3,
  _xlpm.Knewgain, Constantes!$B$4,
  _xlpm.Knewscale, Constantes!$B$5,
  _xlpm.ptstables, INDEX(AM:AM, _xlfn.SEQUENCE(COUNTA($C$2:$C493), 1, 3, 4)),
  _xlpm.nbparties, COUNTA(_xlfn._xlws.FILTER(_xlpm.ptstables, _xlpm.ptstables &lt;&gt; "")),
  _xlpm.coef, _xlpm.K + _xlpm.Knewgain / (_xlpm.Knewscale + _xlpm.nbparties),
  IF(AM491="",
    "",
    _xlpm.coef * (AM491-AM492))
)</f>
        <v/>
      </c>
    </row>
    <row r="494" spans="1:39" x14ac:dyDescent="0.25">
      <c r="A494" t="s">
        <v>14</v>
      </c>
      <c r="B494" t="str" cm="1">
        <f t="array" ref="B494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/>
      </c>
      <c r="C494" s="2" t="str" cm="1">
        <f t="array" ref="C494">IF(B494="","",
  INDEX(Donnees!F:F, MATCH(B494, Donnees!F:F, 0)+1))</f>
        <v/>
      </c>
      <c r="D494">
        <f t="shared" ref="D494:AM494" si="131">D490+IF(D493="",0,D493)</f>
        <v>970.88542284486812</v>
      </c>
      <c r="E494">
        <f t="shared" si="131"/>
        <v>1229.0521069339948</v>
      </c>
      <c r="F494">
        <f t="shared" si="131"/>
        <v>911.8835833951041</v>
      </c>
      <c r="G494">
        <f t="shared" si="131"/>
        <v>1021.5669497794617</v>
      </c>
      <c r="H494">
        <f t="shared" si="131"/>
        <v>1117.5250985570954</v>
      </c>
      <c r="I494">
        <f t="shared" si="131"/>
        <v>883.37234630448143</v>
      </c>
      <c r="J494">
        <f t="shared" si="131"/>
        <v>977.48380243972645</v>
      </c>
      <c r="K494">
        <f t="shared" si="131"/>
        <v>1062.2548360982171</v>
      </c>
      <c r="L494">
        <f t="shared" si="131"/>
        <v>775.39796117257981</v>
      </c>
      <c r="M494">
        <f t="shared" si="131"/>
        <v>927.4581540493366</v>
      </c>
      <c r="N494">
        <f t="shared" si="131"/>
        <v>878.15153649009756</v>
      </c>
      <c r="O494">
        <f t="shared" si="131"/>
        <v>997.04050320786712</v>
      </c>
      <c r="P494">
        <f t="shared" si="131"/>
        <v>991.32095208442081</v>
      </c>
      <c r="Q494">
        <f t="shared" si="131"/>
        <v>1054.0946828197484</v>
      </c>
      <c r="R494">
        <f t="shared" si="131"/>
        <v>1122.8475809880031</v>
      </c>
      <c r="S494">
        <f t="shared" si="131"/>
        <v>942.14882365209212</v>
      </c>
      <c r="T494">
        <f t="shared" si="131"/>
        <v>1128.5835529389994</v>
      </c>
      <c r="U494">
        <f t="shared" si="131"/>
        <v>1197.0794459794581</v>
      </c>
      <c r="V494">
        <f t="shared" si="131"/>
        <v>957.61451983344352</v>
      </c>
      <c r="W494">
        <f t="shared" si="131"/>
        <v>885.72875461540445</v>
      </c>
      <c r="X494">
        <f t="shared" si="131"/>
        <v>858.92096928478088</v>
      </c>
      <c r="Y494">
        <f t="shared" si="131"/>
        <v>1005.462386147187</v>
      </c>
      <c r="Z494">
        <f t="shared" si="131"/>
        <v>1008.6876849635962</v>
      </c>
      <c r="AA494">
        <f t="shared" si="131"/>
        <v>942.27730100696294</v>
      </c>
      <c r="AB494">
        <f t="shared" si="131"/>
        <v>988.35669729544747</v>
      </c>
      <c r="AC494">
        <f t="shared" si="131"/>
        <v>913.83290299884754</v>
      </c>
      <c r="AD494">
        <f t="shared" si="131"/>
        <v>1054.5168154629837</v>
      </c>
      <c r="AE494">
        <f t="shared" si="131"/>
        <v>963.23981965000235</v>
      </c>
      <c r="AF494">
        <f t="shared" si="131"/>
        <v>1094.8196847516158</v>
      </c>
      <c r="AG494">
        <f t="shared" si="131"/>
        <v>958.23078604304851</v>
      </c>
      <c r="AH494">
        <f t="shared" si="131"/>
        <v>920.4412636682855</v>
      </c>
      <c r="AI494">
        <f t="shared" si="131"/>
        <v>1036.4167877702052</v>
      </c>
      <c r="AJ494">
        <f t="shared" si="131"/>
        <v>906.86354201913434</v>
      </c>
      <c r="AK494">
        <f t="shared" si="131"/>
        <v>1074.0069367206956</v>
      </c>
      <c r="AL494">
        <f t="shared" si="131"/>
        <v>1025.7817971572972</v>
      </c>
      <c r="AM494">
        <f t="shared" si="131"/>
        <v>930.08392160706046</v>
      </c>
    </row>
    <row r="495" spans="1:39" x14ac:dyDescent="0.25">
      <c r="A495" t="s">
        <v>21</v>
      </c>
      <c r="D495" t="str" cm="1">
        <f t="array" ref="D495">IFERROR(
  _xlfn.LET(
    _xlpm.ligpartie, MATCH($B494, Donnees!$F:$F, 0),
    _xlpm.joueurs, INDEX(Donnees!$A:$Z, _xlpm.ligpartie+1, _xlfn.SEQUENCE(1, 4, 2)),
    INDEX(
      Donnees!$A:$Z,
      _xlpm.ligpartie + 3,
      MATCH(D$1, _xlpm.joueurs, 0) + 1
    )
  ), ""
)</f>
        <v/>
      </c>
      <c r="E495" t="str" cm="1">
        <f t="array" ref="E495">IFERROR(
  _xlfn.LET(
    _xlpm.ligpartie, MATCH($B494, Donnees!$F:$F, 0),
    _xlpm.joueurs, INDEX(Donnees!$A:$Z, _xlpm.ligpartie+1, _xlfn.SEQUENCE(1, 4, 2)),
    INDEX(
      Donnees!$A:$Z,
      _xlpm.ligpartie + 3,
      MATCH(E$1, _xlpm.joueurs, 0) + 1
    )
  ), ""
)</f>
        <v/>
      </c>
      <c r="F495" t="str" cm="1">
        <f t="array" ref="F495">IFERROR(
  _xlfn.LET(
    _xlpm.ligpartie, MATCH($B494, Donnees!$F:$F, 0),
    _xlpm.joueurs, INDEX(Donnees!$A:$Z, _xlpm.ligpartie+1, _xlfn.SEQUENCE(1, 4, 2)),
    INDEX(
      Donnees!$A:$Z,
      _xlpm.ligpartie + 3,
      MATCH(F$1, _xlpm.joueurs, 0) + 1
    )
  ), ""
)</f>
        <v/>
      </c>
      <c r="G495" t="str" cm="1">
        <f t="array" ref="G495">IFERROR(
  _xlfn.LET(
    _xlpm.ligpartie, MATCH($B494, Donnees!$F:$F, 0),
    _xlpm.joueurs, INDEX(Donnees!$A:$Z, _xlpm.ligpartie+1, _xlfn.SEQUENCE(1, 4, 2)),
    INDEX(
      Donnees!$A:$Z,
      _xlpm.ligpartie + 3,
      MATCH(G$1, _xlpm.joueurs, 0) + 1
    )
  ), ""
)</f>
        <v/>
      </c>
      <c r="H495" t="str" cm="1">
        <f t="array" ref="H495">IFERROR(
  _xlfn.LET(
    _xlpm.ligpartie, MATCH($B494, Donnees!$F:$F, 0),
    _xlpm.joueurs, INDEX(Donnees!$A:$Z, _xlpm.ligpartie+1, _xlfn.SEQUENCE(1, 4, 2)),
    INDEX(
      Donnees!$A:$Z,
      _xlpm.ligpartie + 3,
      MATCH(H$1, _xlpm.joueurs, 0) + 1
    )
  ), ""
)</f>
        <v/>
      </c>
      <c r="I495" t="str" cm="1">
        <f t="array" ref="I495">IFERROR(
  _xlfn.LET(
    _xlpm.ligpartie, MATCH($B494, Donnees!$F:$F, 0),
    _xlpm.joueurs, INDEX(Donnees!$A:$Z, _xlpm.ligpartie+1, _xlfn.SEQUENCE(1, 4, 2)),
    INDEX(
      Donnees!$A:$Z,
      _xlpm.ligpartie + 3,
      MATCH(I$1, _xlpm.joueurs, 0) + 1
    )
  ), ""
)</f>
        <v/>
      </c>
      <c r="J495" t="str" cm="1">
        <f t="array" ref="J495">IFERROR(
  _xlfn.LET(
    _xlpm.ligpartie, MATCH($B494, Donnees!$F:$F, 0),
    _xlpm.joueurs, INDEX(Donnees!$A:$Z, _xlpm.ligpartie+1, _xlfn.SEQUENCE(1, 4, 2)),
    INDEX(
      Donnees!$A:$Z,
      _xlpm.ligpartie + 3,
      MATCH(J$1, _xlpm.joueurs, 0) + 1
    )
  ), ""
)</f>
        <v/>
      </c>
      <c r="K495" t="str" cm="1">
        <f t="array" ref="K495">IFERROR(
  _xlfn.LET(
    _xlpm.ligpartie, MATCH($B494, Donnees!$F:$F, 0),
    _xlpm.joueurs, INDEX(Donnees!$A:$Z, _xlpm.ligpartie+1, _xlfn.SEQUENCE(1, 4, 2)),
    INDEX(
      Donnees!$A:$Z,
      _xlpm.ligpartie + 3,
      MATCH(K$1, _xlpm.joueurs, 0) + 1
    )
  ), ""
)</f>
        <v/>
      </c>
      <c r="L495" t="str" cm="1">
        <f t="array" ref="L495">IFERROR(
  _xlfn.LET(
    _xlpm.ligpartie, MATCH($B494, Donnees!$F:$F, 0),
    _xlpm.joueurs, INDEX(Donnees!$A:$Z, _xlpm.ligpartie+1, _xlfn.SEQUENCE(1, 4, 2)),
    INDEX(
      Donnees!$A:$Z,
      _xlpm.ligpartie + 3,
      MATCH(L$1, _xlpm.joueurs, 0) + 1
    )
  ), ""
)</f>
        <v/>
      </c>
      <c r="M495" t="str" cm="1">
        <f t="array" ref="M495">IFERROR(
  _xlfn.LET(
    _xlpm.ligpartie, MATCH($B494, Donnees!$F:$F, 0),
    _xlpm.joueurs, INDEX(Donnees!$A:$Z, _xlpm.ligpartie+1, _xlfn.SEQUENCE(1, 4, 2)),
    INDEX(
      Donnees!$A:$Z,
      _xlpm.ligpartie + 3,
      MATCH(M$1, _xlpm.joueurs, 0) + 1
    )
  ), ""
)</f>
        <v/>
      </c>
      <c r="N495" t="str" cm="1">
        <f t="array" ref="N495">IFERROR(
  _xlfn.LET(
    _xlpm.ligpartie, MATCH($B494, Donnees!$F:$F, 0),
    _xlpm.joueurs, INDEX(Donnees!$A:$Z, _xlpm.ligpartie+1, _xlfn.SEQUENCE(1, 4, 2)),
    INDEX(
      Donnees!$A:$Z,
      _xlpm.ligpartie + 3,
      MATCH(N$1, _xlpm.joueurs, 0) + 1
    )
  ), ""
)</f>
        <v/>
      </c>
      <c r="O495" t="str" cm="1">
        <f t="array" ref="O495">IFERROR(
  _xlfn.LET(
    _xlpm.ligpartie, MATCH($B494, Donnees!$F:$F, 0),
    _xlpm.joueurs, INDEX(Donnees!$A:$Z, _xlpm.ligpartie+1, _xlfn.SEQUENCE(1, 4, 2)),
    INDEX(
      Donnees!$A:$Z,
      _xlpm.ligpartie + 3,
      MATCH(O$1, _xlpm.joueurs, 0) + 1
    )
  ), ""
)</f>
        <v/>
      </c>
      <c r="P495" t="str" cm="1">
        <f t="array" ref="P495">IFERROR(
  _xlfn.LET(
    _xlpm.ligpartie, MATCH($B494, Donnees!$F:$F, 0),
    _xlpm.joueurs, INDEX(Donnees!$A:$Z, _xlpm.ligpartie+1, _xlfn.SEQUENCE(1, 4, 2)),
    INDEX(
      Donnees!$A:$Z,
      _xlpm.ligpartie + 3,
      MATCH(P$1, _xlpm.joueurs, 0) + 1
    )
  ), ""
)</f>
        <v/>
      </c>
      <c r="Q495" t="str" cm="1">
        <f t="array" ref="Q495">IFERROR(
  _xlfn.LET(
    _xlpm.ligpartie, MATCH($B494, Donnees!$F:$F, 0),
    _xlpm.joueurs, INDEX(Donnees!$A:$Z, _xlpm.ligpartie+1, _xlfn.SEQUENCE(1, 4, 2)),
    INDEX(
      Donnees!$A:$Z,
      _xlpm.ligpartie + 3,
      MATCH(Q$1, _xlpm.joueurs, 0) + 1
    )
  ), ""
)</f>
        <v/>
      </c>
      <c r="R495" t="str" cm="1">
        <f t="array" ref="R495">IFERROR(
  _xlfn.LET(
    _xlpm.ligpartie, MATCH($B494, Donnees!$F:$F, 0),
    _xlpm.joueurs, INDEX(Donnees!$A:$Z, _xlpm.ligpartie+1, _xlfn.SEQUENCE(1, 4, 2)),
    INDEX(
      Donnees!$A:$Z,
      _xlpm.ligpartie + 3,
      MATCH(R$1, _xlpm.joueurs, 0) + 1
    )
  ), ""
)</f>
        <v/>
      </c>
      <c r="S495" t="str" cm="1">
        <f t="array" ref="S495">IFERROR(
  _xlfn.LET(
    _xlpm.ligpartie, MATCH($B494, Donnees!$F:$F, 0),
    _xlpm.joueurs, INDEX(Donnees!$A:$Z, _xlpm.ligpartie+1, _xlfn.SEQUENCE(1, 4, 2)),
    INDEX(
      Donnees!$A:$Z,
      _xlpm.ligpartie + 3,
      MATCH(S$1, _xlpm.joueurs, 0) + 1
    )
  ), ""
)</f>
        <v/>
      </c>
      <c r="T495" t="str" cm="1">
        <f t="array" ref="T495">IFERROR(
  _xlfn.LET(
    _xlpm.ligpartie, MATCH($B494, Donnees!$F:$F, 0),
    _xlpm.joueurs, INDEX(Donnees!$A:$Z, _xlpm.ligpartie+1, _xlfn.SEQUENCE(1, 4, 2)),
    INDEX(
      Donnees!$A:$Z,
      _xlpm.ligpartie + 3,
      MATCH(T$1, _xlpm.joueurs, 0) + 1
    )
  ), ""
)</f>
        <v/>
      </c>
      <c r="U495" t="str" cm="1">
        <f t="array" ref="U495">IFERROR(
  _xlfn.LET(
    _xlpm.ligpartie, MATCH($B494, Donnees!$F:$F, 0),
    _xlpm.joueurs, INDEX(Donnees!$A:$Z, _xlpm.ligpartie+1, _xlfn.SEQUENCE(1, 4, 2)),
    INDEX(
      Donnees!$A:$Z,
      _xlpm.ligpartie + 3,
      MATCH(U$1, _xlpm.joueurs, 0) + 1
    )
  ), ""
)</f>
        <v/>
      </c>
      <c r="V495" t="str" cm="1">
        <f t="array" ref="V495">IFERROR(
  _xlfn.LET(
    _xlpm.ligpartie, MATCH($B494, Donnees!$F:$F, 0),
    _xlpm.joueurs, INDEX(Donnees!$A:$Z, _xlpm.ligpartie+1, _xlfn.SEQUENCE(1, 4, 2)),
    INDEX(
      Donnees!$A:$Z,
      _xlpm.ligpartie + 3,
      MATCH(V$1, _xlpm.joueurs, 0) + 1
    )
  ), ""
)</f>
        <v/>
      </c>
      <c r="W495" t="str" cm="1">
        <f t="array" ref="W495">IFERROR(
  _xlfn.LET(
    _xlpm.ligpartie, MATCH($B494, Donnees!$F:$F, 0),
    _xlpm.joueurs, INDEX(Donnees!$A:$Z, _xlpm.ligpartie+1, _xlfn.SEQUENCE(1, 4, 2)),
    INDEX(
      Donnees!$A:$Z,
      _xlpm.ligpartie + 3,
      MATCH(W$1, _xlpm.joueurs, 0) + 1
    )
  ), ""
)</f>
        <v/>
      </c>
      <c r="X495" t="str" cm="1">
        <f t="array" ref="X495">IFERROR(
  _xlfn.LET(
    _xlpm.ligpartie, MATCH($B494, Donnees!$F:$F, 0),
    _xlpm.joueurs, INDEX(Donnees!$A:$Z, _xlpm.ligpartie+1, _xlfn.SEQUENCE(1, 4, 2)),
    INDEX(
      Donnees!$A:$Z,
      _xlpm.ligpartie + 3,
      MATCH(X$1, _xlpm.joueurs, 0) + 1
    )
  ), ""
)</f>
        <v/>
      </c>
      <c r="Y495" t="str" cm="1">
        <f t="array" ref="Y495">IFERROR(
  _xlfn.LET(
    _xlpm.ligpartie, MATCH($B494, Donnees!$F:$F, 0),
    _xlpm.joueurs, INDEX(Donnees!$A:$Z, _xlpm.ligpartie+1, _xlfn.SEQUENCE(1, 4, 2)),
    INDEX(
      Donnees!$A:$Z,
      _xlpm.ligpartie + 3,
      MATCH(Y$1, _xlpm.joueurs, 0) + 1
    )
  ), ""
)</f>
        <v/>
      </c>
      <c r="Z495" t="str" cm="1">
        <f t="array" ref="Z495">IFERROR(
  _xlfn.LET(
    _xlpm.ligpartie, MATCH($B494, Donnees!$F:$F, 0),
    _xlpm.joueurs, INDEX(Donnees!$A:$Z, _xlpm.ligpartie+1, _xlfn.SEQUENCE(1, 4, 2)),
    INDEX(
      Donnees!$A:$Z,
      _xlpm.ligpartie + 3,
      MATCH(Z$1, _xlpm.joueurs, 0) + 1
    )
  ), ""
)</f>
        <v/>
      </c>
      <c r="AA495" t="str" cm="1">
        <f t="array" ref="AA495">IFERROR(
  _xlfn.LET(
    _xlpm.ligpartie, MATCH($B494, Donnees!$F:$F, 0),
    _xlpm.joueurs, INDEX(Donnees!$A:$Z, _xlpm.ligpartie+1, _xlfn.SEQUENCE(1, 4, 2)),
    INDEX(
      Donnees!$A:$Z,
      _xlpm.ligpartie + 3,
      MATCH(AA$1, _xlpm.joueurs, 0) + 1
    )
  ), ""
)</f>
        <v/>
      </c>
      <c r="AB495" t="str" cm="1">
        <f t="array" ref="AB495">IFERROR(
  _xlfn.LET(
    _xlpm.ligpartie, MATCH($B494, Donnees!$F:$F, 0),
    _xlpm.joueurs, INDEX(Donnees!$A:$Z, _xlpm.ligpartie+1, _xlfn.SEQUENCE(1, 4, 2)),
    INDEX(
      Donnees!$A:$Z,
      _xlpm.ligpartie + 3,
      MATCH(AB$1, _xlpm.joueurs, 0) + 1
    )
  ), ""
)</f>
        <v/>
      </c>
      <c r="AC495" t="str" cm="1">
        <f t="array" ref="AC495">IFERROR(
  _xlfn.LET(
    _xlpm.ligpartie, MATCH($B494, Donnees!$F:$F, 0),
    _xlpm.joueurs, INDEX(Donnees!$A:$Z, _xlpm.ligpartie+1, _xlfn.SEQUENCE(1, 4, 2)),
    INDEX(
      Donnees!$A:$Z,
      _xlpm.ligpartie + 3,
      MATCH(AC$1, _xlpm.joueurs, 0) + 1
    )
  ), ""
)</f>
        <v/>
      </c>
      <c r="AD495" t="str" cm="1">
        <f t="array" ref="AD495">IFERROR(
  _xlfn.LET(
    _xlpm.ligpartie, MATCH($B494, Donnees!$F:$F, 0),
    _xlpm.joueurs, INDEX(Donnees!$A:$Z, _xlpm.ligpartie+1, _xlfn.SEQUENCE(1, 4, 2)),
    INDEX(
      Donnees!$A:$Z,
      _xlpm.ligpartie + 3,
      MATCH(AD$1, _xlpm.joueurs, 0) + 1
    )
  ), ""
)</f>
        <v/>
      </c>
      <c r="AE495" t="str" cm="1">
        <f t="array" ref="AE495">IFERROR(
  _xlfn.LET(
    _xlpm.ligpartie, MATCH($B494, Donnees!$F:$F, 0),
    _xlpm.joueurs, INDEX(Donnees!$A:$Z, _xlpm.ligpartie+1, _xlfn.SEQUENCE(1, 4, 2)),
    INDEX(
      Donnees!$A:$Z,
      _xlpm.ligpartie + 3,
      MATCH(AE$1, _xlpm.joueurs, 0) + 1
    )
  ), ""
)</f>
        <v/>
      </c>
      <c r="AF495" t="str" cm="1">
        <f t="array" ref="AF495">IFERROR(
  _xlfn.LET(
    _xlpm.ligpartie, MATCH($B494, Donnees!$F:$F, 0),
    _xlpm.joueurs, INDEX(Donnees!$A:$Z, _xlpm.ligpartie+1, _xlfn.SEQUENCE(1, 4, 2)),
    INDEX(
      Donnees!$A:$Z,
      _xlpm.ligpartie + 3,
      MATCH(AF$1, _xlpm.joueurs, 0) + 1
    )
  ), ""
)</f>
        <v/>
      </c>
      <c r="AG495" t="str" cm="1">
        <f t="array" ref="AG495">IFERROR(
  _xlfn.LET(
    _xlpm.ligpartie, MATCH($B494, Donnees!$F:$F, 0),
    _xlpm.joueurs, INDEX(Donnees!$A:$Z, _xlpm.ligpartie+1, _xlfn.SEQUENCE(1, 4, 2)),
    INDEX(
      Donnees!$A:$Z,
      _xlpm.ligpartie + 3,
      MATCH(AG$1, _xlpm.joueurs, 0) + 1
    )
  ), ""
)</f>
        <v/>
      </c>
      <c r="AH495" t="str" cm="1">
        <f t="array" ref="AH495">IFERROR(
  _xlfn.LET(
    _xlpm.ligpartie, MATCH($B494, Donnees!$F:$F, 0),
    _xlpm.joueurs, INDEX(Donnees!$A:$Z, _xlpm.ligpartie+1, _xlfn.SEQUENCE(1, 4, 2)),
    INDEX(
      Donnees!$A:$Z,
      _xlpm.ligpartie + 3,
      MATCH(AH$1, _xlpm.joueurs, 0) + 1
    )
  ), ""
)</f>
        <v/>
      </c>
      <c r="AI495" t="str" cm="1">
        <f t="array" ref="AI495">IFERROR(
  _xlfn.LET(
    _xlpm.ligpartie, MATCH($B494, Donnees!$F:$F, 0),
    _xlpm.joueurs, INDEX(Donnees!$A:$Z, _xlpm.ligpartie+1, _xlfn.SEQUENCE(1, 4, 2)),
    INDEX(
      Donnees!$A:$Z,
      _xlpm.ligpartie + 3,
      MATCH(AI$1, _xlpm.joueurs, 0) + 1
    )
  ), ""
)</f>
        <v/>
      </c>
      <c r="AJ495" t="str" cm="1">
        <f t="array" ref="AJ495">IFERROR(
  _xlfn.LET(
    _xlpm.ligpartie, MATCH($B494, Donnees!$F:$F, 0),
    _xlpm.joueurs, INDEX(Donnees!$A:$Z, _xlpm.ligpartie+1, _xlfn.SEQUENCE(1, 4, 2)),
    INDEX(
      Donnees!$A:$Z,
      _xlpm.ligpartie + 3,
      MATCH(AJ$1, _xlpm.joueurs, 0) + 1
    )
  ), ""
)</f>
        <v/>
      </c>
      <c r="AK495" t="str" cm="1">
        <f t="array" ref="AK495">IFERROR(
  _xlfn.LET(
    _xlpm.ligpartie, MATCH($B494, Donnees!$F:$F, 0),
    _xlpm.joueurs, INDEX(Donnees!$A:$Z, _xlpm.ligpartie+1, _xlfn.SEQUENCE(1, 4, 2)),
    INDEX(
      Donnees!$A:$Z,
      _xlpm.ligpartie + 3,
      MATCH(AK$1, _xlpm.joueurs, 0) + 1
    )
  ), ""
)</f>
        <v/>
      </c>
      <c r="AL495" t="str" cm="1">
        <f t="array" ref="AL495">IFERROR(
  _xlfn.LET(
    _xlpm.ligpartie, MATCH($B494, Donnees!$F:$F, 0),
    _xlpm.joueurs, INDEX(Donnees!$A:$Z, _xlpm.ligpartie+1, _xlfn.SEQUENCE(1, 4, 2)),
    INDEX(
      Donnees!$A:$Z,
      _xlpm.ligpartie + 3,
      MATCH(AL$1, _xlpm.joueurs, 0) + 1
    )
  ), ""
)</f>
        <v/>
      </c>
      <c r="AM495" t="str" cm="1">
        <f t="array" ref="AM495">IFERROR(
  _xlfn.LET(
    _xlpm.ligpartie, MATCH($B494, Donnees!$F:$F, 0),
    _xlpm.joueurs, INDEX(Donnees!$A:$Z, _xlpm.ligpartie+1, _xlfn.SEQUENCE(1, 4, 2)),
    INDEX(
      Donnees!$A:$Z,
      _xlpm.ligpartie + 3,
      MATCH(AM$1, _xlpm.joueurs, 0) + 1
    )
  ), ""
)</f>
        <v/>
      </c>
    </row>
    <row r="496" spans="1:39" x14ac:dyDescent="0.25">
      <c r="A496" t="s">
        <v>20</v>
      </c>
      <c r="D496" t="str" cm="1">
        <f t="array" ref="D496">_xlfn.LET(
  _xlpm.colj, _xlfn._xlws.FILTER(IF(ISNUMBER(495:495), COLUMN(495:495)), ISNUMBER(495:495)),
  _xlpm.elos, INDEX(494:494,1,_xlpm.colj),
  _xlpm.diffscale, Constantes!$B$2,
  IF(D495="",
    "",
    SUM(1/(1+POWER(10,-(D494-_xlpm.elos)/_xlpm.diffscale)))-0.5)
)</f>
        <v/>
      </c>
      <c r="E496" t="str" cm="1">
        <f t="array" ref="E496">_xlfn.LET(
  _xlpm.colj, _xlfn._xlws.FILTER(IF(ISNUMBER(495:495), COLUMN(495:495)), ISNUMBER(495:495)),
  _xlpm.elos, INDEX(494:494,1,_xlpm.colj),
  _xlpm.diffscale, Constantes!$B$2,
  IF(E495="",
    "",
    SUM(1/(1+POWER(10,-(E494-_xlpm.elos)/_xlpm.diffscale)))-0.5)
)</f>
        <v/>
      </c>
      <c r="F496" t="str" cm="1">
        <f t="array" ref="F496">_xlfn.LET(
  _xlpm.colj, _xlfn._xlws.FILTER(IF(ISNUMBER(495:495), COLUMN(495:495)), ISNUMBER(495:495)),
  _xlpm.elos, INDEX(494:494,1,_xlpm.colj),
  _xlpm.diffscale, Constantes!$B$2,
  IF(F495="",
    "",
    SUM(1/(1+POWER(10,-(F494-_xlpm.elos)/_xlpm.diffscale)))-0.5)
)</f>
        <v/>
      </c>
      <c r="G496" t="str" cm="1">
        <f t="array" ref="G496">_xlfn.LET(
  _xlpm.colj, _xlfn._xlws.FILTER(IF(ISNUMBER(495:495), COLUMN(495:495)), ISNUMBER(495:495)),
  _xlpm.elos, INDEX(494:494,1,_xlpm.colj),
  _xlpm.diffscale, Constantes!$B$2,
  IF(G495="",
    "",
    SUM(1/(1+POWER(10,-(G494-_xlpm.elos)/_xlpm.diffscale)))-0.5)
)</f>
        <v/>
      </c>
      <c r="H496" t="str" cm="1">
        <f t="array" ref="H496">_xlfn.LET(
  _xlpm.colj, _xlfn._xlws.FILTER(IF(ISNUMBER(495:495), COLUMN(495:495)), ISNUMBER(495:495)),
  _xlpm.elos, INDEX(494:494,1,_xlpm.colj),
  _xlpm.diffscale, Constantes!$B$2,
  IF(H495="",
    "",
    SUM(1/(1+POWER(10,-(H494-_xlpm.elos)/_xlpm.diffscale)))-0.5)
)</f>
        <v/>
      </c>
      <c r="I496" t="str" cm="1">
        <f t="array" ref="I496">_xlfn.LET(
  _xlpm.colj, _xlfn._xlws.FILTER(IF(ISNUMBER(495:495), COLUMN(495:495)), ISNUMBER(495:495)),
  _xlpm.elos, INDEX(494:494,1,_xlpm.colj),
  _xlpm.diffscale, Constantes!$B$2,
  IF(I495="",
    "",
    SUM(1/(1+POWER(10,-(I494-_xlpm.elos)/_xlpm.diffscale)))-0.5)
)</f>
        <v/>
      </c>
      <c r="J496" t="str" cm="1">
        <f t="array" ref="J496">_xlfn.LET(
  _xlpm.colj, _xlfn._xlws.FILTER(IF(ISNUMBER(495:495), COLUMN(495:495)), ISNUMBER(495:495)),
  _xlpm.elos, INDEX(494:494,1,_xlpm.colj),
  _xlpm.diffscale, Constantes!$B$2,
  IF(J495="",
    "",
    SUM(1/(1+POWER(10,-(J494-_xlpm.elos)/_xlpm.diffscale)))-0.5)
)</f>
        <v/>
      </c>
      <c r="K496" t="str" cm="1">
        <f t="array" ref="K496">_xlfn.LET(
  _xlpm.colj, _xlfn._xlws.FILTER(IF(ISNUMBER(495:495), COLUMN(495:495)), ISNUMBER(495:495)),
  _xlpm.elos, INDEX(494:494,1,_xlpm.colj),
  _xlpm.diffscale, Constantes!$B$2,
  IF(K495="",
    "",
    SUM(1/(1+POWER(10,-(K494-_xlpm.elos)/_xlpm.diffscale)))-0.5)
)</f>
        <v/>
      </c>
      <c r="L496" t="str" cm="1">
        <f t="array" ref="L496">_xlfn.LET(
  _xlpm.colj, _xlfn._xlws.FILTER(IF(ISNUMBER(495:495), COLUMN(495:495)), ISNUMBER(495:495)),
  _xlpm.elos, INDEX(494:494,1,_xlpm.colj),
  _xlpm.diffscale, Constantes!$B$2,
  IF(L495="",
    "",
    SUM(1/(1+POWER(10,-(L494-_xlpm.elos)/_xlpm.diffscale)))-0.5)
)</f>
        <v/>
      </c>
      <c r="M496" t="str" cm="1">
        <f t="array" ref="M496">_xlfn.LET(
  _xlpm.colj, _xlfn._xlws.FILTER(IF(ISNUMBER(495:495), COLUMN(495:495)), ISNUMBER(495:495)),
  _xlpm.elos, INDEX(494:494,1,_xlpm.colj),
  _xlpm.diffscale, Constantes!$B$2,
  IF(M495="",
    "",
    SUM(1/(1+POWER(10,-(M494-_xlpm.elos)/_xlpm.diffscale)))-0.5)
)</f>
        <v/>
      </c>
      <c r="N496" t="str" cm="1">
        <f t="array" ref="N496">_xlfn.LET(
  _xlpm.colj, _xlfn._xlws.FILTER(IF(ISNUMBER(495:495), COLUMN(495:495)), ISNUMBER(495:495)),
  _xlpm.elos, INDEX(494:494,1,_xlpm.colj),
  _xlpm.diffscale, Constantes!$B$2,
  IF(N495="",
    "",
    SUM(1/(1+POWER(10,-(N494-_xlpm.elos)/_xlpm.diffscale)))-0.5)
)</f>
        <v/>
      </c>
      <c r="O496" t="str" cm="1">
        <f t="array" ref="O496">_xlfn.LET(
  _xlpm.colj, _xlfn._xlws.FILTER(IF(ISNUMBER(495:495), COLUMN(495:495)), ISNUMBER(495:495)),
  _xlpm.elos, INDEX(494:494,1,_xlpm.colj),
  _xlpm.diffscale, Constantes!$B$2,
  IF(O495="",
    "",
    SUM(1/(1+POWER(10,-(O494-_xlpm.elos)/_xlpm.diffscale)))-0.5)
)</f>
        <v/>
      </c>
      <c r="P496" t="str" cm="1">
        <f t="array" ref="P496">_xlfn.LET(
  _xlpm.colj, _xlfn._xlws.FILTER(IF(ISNUMBER(495:495), COLUMN(495:495)), ISNUMBER(495:495)),
  _xlpm.elos, INDEX(494:494,1,_xlpm.colj),
  _xlpm.diffscale, Constantes!$B$2,
  IF(P495="",
    "",
    SUM(1/(1+POWER(10,-(P494-_xlpm.elos)/_xlpm.diffscale)))-0.5)
)</f>
        <v/>
      </c>
      <c r="Q496" t="str" cm="1">
        <f t="array" ref="Q496">_xlfn.LET(
  _xlpm.colj, _xlfn._xlws.FILTER(IF(ISNUMBER(495:495), COLUMN(495:495)), ISNUMBER(495:495)),
  _xlpm.elos, INDEX(494:494,1,_xlpm.colj),
  _xlpm.diffscale, Constantes!$B$2,
  IF(Q495="",
    "",
    SUM(1/(1+POWER(10,-(Q494-_xlpm.elos)/_xlpm.diffscale)))-0.5)
)</f>
        <v/>
      </c>
      <c r="R496" t="str" cm="1">
        <f t="array" ref="R496">_xlfn.LET(
  _xlpm.colj, _xlfn._xlws.FILTER(IF(ISNUMBER(495:495), COLUMN(495:495)), ISNUMBER(495:495)),
  _xlpm.elos, INDEX(494:494,1,_xlpm.colj),
  _xlpm.diffscale, Constantes!$B$2,
  IF(R495="",
    "",
    SUM(1/(1+POWER(10,-(R494-_xlpm.elos)/_xlpm.diffscale)))-0.5)
)</f>
        <v/>
      </c>
      <c r="S496" t="str" cm="1">
        <f t="array" ref="S496">_xlfn.LET(
  _xlpm.colj, _xlfn._xlws.FILTER(IF(ISNUMBER(495:495), COLUMN(495:495)), ISNUMBER(495:495)),
  _xlpm.elos, INDEX(494:494,1,_xlpm.colj),
  _xlpm.diffscale, Constantes!$B$2,
  IF(S495="",
    "",
    SUM(1/(1+POWER(10,-(S494-_xlpm.elos)/_xlpm.diffscale)))-0.5)
)</f>
        <v/>
      </c>
      <c r="T496" t="str" cm="1">
        <f t="array" ref="T496">_xlfn.LET(
  _xlpm.colj, _xlfn._xlws.FILTER(IF(ISNUMBER(495:495), COLUMN(495:495)), ISNUMBER(495:495)),
  _xlpm.elos, INDEX(494:494,1,_xlpm.colj),
  _xlpm.diffscale, Constantes!$B$2,
  IF(T495="",
    "",
    SUM(1/(1+POWER(10,-(T494-_xlpm.elos)/_xlpm.diffscale)))-0.5)
)</f>
        <v/>
      </c>
      <c r="U496" t="str" cm="1">
        <f t="array" ref="U496">_xlfn.LET(
  _xlpm.colj, _xlfn._xlws.FILTER(IF(ISNUMBER(495:495), COLUMN(495:495)), ISNUMBER(495:495)),
  _xlpm.elos, INDEX(494:494,1,_xlpm.colj),
  _xlpm.diffscale, Constantes!$B$2,
  IF(U495="",
    "",
    SUM(1/(1+POWER(10,-(U494-_xlpm.elos)/_xlpm.diffscale)))-0.5)
)</f>
        <v/>
      </c>
      <c r="V496" t="str" cm="1">
        <f t="array" ref="V496">_xlfn.LET(
  _xlpm.colj, _xlfn._xlws.FILTER(IF(ISNUMBER(495:495), COLUMN(495:495)), ISNUMBER(495:495)),
  _xlpm.elos, INDEX(494:494,1,_xlpm.colj),
  _xlpm.diffscale, Constantes!$B$2,
  IF(V495="",
    "",
    SUM(1/(1+POWER(10,-(V494-_xlpm.elos)/_xlpm.diffscale)))-0.5)
)</f>
        <v/>
      </c>
      <c r="W496" t="str" cm="1">
        <f t="array" ref="W496">_xlfn.LET(
  _xlpm.colj, _xlfn._xlws.FILTER(IF(ISNUMBER(495:495), COLUMN(495:495)), ISNUMBER(495:495)),
  _xlpm.elos, INDEX(494:494,1,_xlpm.colj),
  _xlpm.diffscale, Constantes!$B$2,
  IF(W495="",
    "",
    SUM(1/(1+POWER(10,-(W494-_xlpm.elos)/_xlpm.diffscale)))-0.5)
)</f>
        <v/>
      </c>
      <c r="X496" t="str" cm="1">
        <f t="array" ref="X496">_xlfn.LET(
  _xlpm.colj, _xlfn._xlws.FILTER(IF(ISNUMBER(495:495), COLUMN(495:495)), ISNUMBER(495:495)),
  _xlpm.elos, INDEX(494:494,1,_xlpm.colj),
  _xlpm.diffscale, Constantes!$B$2,
  IF(X495="",
    "",
    SUM(1/(1+POWER(10,-(X494-_xlpm.elos)/_xlpm.diffscale)))-0.5)
)</f>
        <v/>
      </c>
      <c r="Y496" t="str" cm="1">
        <f t="array" ref="Y496">_xlfn.LET(
  _xlpm.colj, _xlfn._xlws.FILTER(IF(ISNUMBER(495:495), COLUMN(495:495)), ISNUMBER(495:495)),
  _xlpm.elos, INDEX(494:494,1,_xlpm.colj),
  _xlpm.diffscale, Constantes!$B$2,
  IF(Y495="",
    "",
    SUM(1/(1+POWER(10,-(Y494-_xlpm.elos)/_xlpm.diffscale)))-0.5)
)</f>
        <v/>
      </c>
      <c r="Z496" t="str" cm="1">
        <f t="array" ref="Z496">_xlfn.LET(
  _xlpm.colj, _xlfn._xlws.FILTER(IF(ISNUMBER(495:495), COLUMN(495:495)), ISNUMBER(495:495)),
  _xlpm.elos, INDEX(494:494,1,_xlpm.colj),
  _xlpm.diffscale, Constantes!$B$2,
  IF(Z495="",
    "",
    SUM(1/(1+POWER(10,-(Z494-_xlpm.elos)/_xlpm.diffscale)))-0.5)
)</f>
        <v/>
      </c>
      <c r="AA496" t="str" cm="1">
        <f t="array" ref="AA496">_xlfn.LET(
  _xlpm.colj, _xlfn._xlws.FILTER(IF(ISNUMBER(495:495), COLUMN(495:495)), ISNUMBER(495:495)),
  _xlpm.elos, INDEX(494:494,1,_xlpm.colj),
  _xlpm.diffscale, Constantes!$B$2,
  IF(AA495="",
    "",
    SUM(1/(1+POWER(10,-(AA494-_xlpm.elos)/_xlpm.diffscale)))-0.5)
)</f>
        <v/>
      </c>
      <c r="AB496" t="str" cm="1">
        <f t="array" ref="AB496">_xlfn.LET(
  _xlpm.colj, _xlfn._xlws.FILTER(IF(ISNUMBER(495:495), COLUMN(495:495)), ISNUMBER(495:495)),
  _xlpm.elos, INDEX(494:494,1,_xlpm.colj),
  _xlpm.diffscale, Constantes!$B$2,
  IF(AB495="",
    "",
    SUM(1/(1+POWER(10,-(AB494-_xlpm.elos)/_xlpm.diffscale)))-0.5)
)</f>
        <v/>
      </c>
      <c r="AC496" t="str" cm="1">
        <f t="array" ref="AC496">_xlfn.LET(
  _xlpm.colj, _xlfn._xlws.FILTER(IF(ISNUMBER(495:495), COLUMN(495:495)), ISNUMBER(495:495)),
  _xlpm.elos, INDEX(494:494,1,_xlpm.colj),
  _xlpm.diffscale, Constantes!$B$2,
  IF(AC495="",
    "",
    SUM(1/(1+POWER(10,-(AC494-_xlpm.elos)/_xlpm.diffscale)))-0.5)
)</f>
        <v/>
      </c>
      <c r="AD496" t="str" cm="1">
        <f t="array" ref="AD496">_xlfn.LET(
  _xlpm.colj, _xlfn._xlws.FILTER(IF(ISNUMBER(495:495), COLUMN(495:495)), ISNUMBER(495:495)),
  _xlpm.elos, INDEX(494:494,1,_xlpm.colj),
  _xlpm.diffscale, Constantes!$B$2,
  IF(AD495="",
    "",
    SUM(1/(1+POWER(10,-(AD494-_xlpm.elos)/_xlpm.diffscale)))-0.5)
)</f>
        <v/>
      </c>
      <c r="AE496" t="str" cm="1">
        <f t="array" ref="AE496">_xlfn.LET(
  _xlpm.colj, _xlfn._xlws.FILTER(IF(ISNUMBER(495:495), COLUMN(495:495)), ISNUMBER(495:495)),
  _xlpm.elos, INDEX(494:494,1,_xlpm.colj),
  _xlpm.diffscale, Constantes!$B$2,
  IF(AE495="",
    "",
    SUM(1/(1+POWER(10,-(AE494-_xlpm.elos)/_xlpm.diffscale)))-0.5)
)</f>
        <v/>
      </c>
      <c r="AF496" t="str" cm="1">
        <f t="array" ref="AF496">_xlfn.LET(
  _xlpm.colj, _xlfn._xlws.FILTER(IF(ISNUMBER(495:495), COLUMN(495:495)), ISNUMBER(495:495)),
  _xlpm.elos, INDEX(494:494,1,_xlpm.colj),
  _xlpm.diffscale, Constantes!$B$2,
  IF(AF495="",
    "",
    SUM(1/(1+POWER(10,-(AF494-_xlpm.elos)/_xlpm.diffscale)))-0.5)
)</f>
        <v/>
      </c>
      <c r="AG496" t="str" cm="1">
        <f t="array" ref="AG496">_xlfn.LET(
  _xlpm.colj, _xlfn._xlws.FILTER(IF(ISNUMBER(495:495), COLUMN(495:495)), ISNUMBER(495:495)),
  _xlpm.elos, INDEX(494:494,1,_xlpm.colj),
  _xlpm.diffscale, Constantes!$B$2,
  IF(AG495="",
    "",
    SUM(1/(1+POWER(10,-(AG494-_xlpm.elos)/_xlpm.diffscale)))-0.5)
)</f>
        <v/>
      </c>
      <c r="AH496" t="str" cm="1">
        <f t="array" ref="AH496">_xlfn.LET(
  _xlpm.colj, _xlfn._xlws.FILTER(IF(ISNUMBER(495:495), COLUMN(495:495)), ISNUMBER(495:495)),
  _xlpm.elos, INDEX(494:494,1,_xlpm.colj),
  _xlpm.diffscale, Constantes!$B$2,
  IF(AH495="",
    "",
    SUM(1/(1+POWER(10,-(AH494-_xlpm.elos)/_xlpm.diffscale)))-0.5)
)</f>
        <v/>
      </c>
      <c r="AI496" t="str" cm="1">
        <f t="array" ref="AI496">_xlfn.LET(
  _xlpm.colj, _xlfn._xlws.FILTER(IF(ISNUMBER(495:495), COLUMN(495:495)), ISNUMBER(495:495)),
  _xlpm.elos, INDEX(494:494,1,_xlpm.colj),
  _xlpm.diffscale, Constantes!$B$2,
  IF(AI495="",
    "",
    SUM(1/(1+POWER(10,-(AI494-_xlpm.elos)/_xlpm.diffscale)))-0.5)
)</f>
        <v/>
      </c>
      <c r="AJ496" t="str" cm="1">
        <f t="array" ref="AJ496">_xlfn.LET(
  _xlpm.colj, _xlfn._xlws.FILTER(IF(ISNUMBER(495:495), COLUMN(495:495)), ISNUMBER(495:495)),
  _xlpm.elos, INDEX(494:494,1,_xlpm.colj),
  _xlpm.diffscale, Constantes!$B$2,
  IF(AJ495="",
    "",
    SUM(1/(1+POWER(10,-(AJ494-_xlpm.elos)/_xlpm.diffscale)))-0.5)
)</f>
        <v/>
      </c>
      <c r="AK496" t="str" cm="1">
        <f t="array" ref="AK496">_xlfn.LET(
  _xlpm.colj, _xlfn._xlws.FILTER(IF(ISNUMBER(495:495), COLUMN(495:495)), ISNUMBER(495:495)),
  _xlpm.elos, INDEX(494:494,1,_xlpm.colj),
  _xlpm.diffscale, Constantes!$B$2,
  IF(AK495="",
    "",
    SUM(1/(1+POWER(10,-(AK494-_xlpm.elos)/_xlpm.diffscale)))-0.5)
)</f>
        <v/>
      </c>
      <c r="AL496" t="str" cm="1">
        <f t="array" ref="AL496">_xlfn.LET(
  _xlpm.colj, _xlfn._xlws.FILTER(IF(ISNUMBER(495:495), COLUMN(495:495)), ISNUMBER(495:495)),
  _xlpm.elos, INDEX(494:494,1,_xlpm.colj),
  _xlpm.diffscale, Constantes!$B$2,
  IF(AL495="",
    "",
    SUM(1/(1+POWER(10,-(AL494-_xlpm.elos)/_xlpm.diffscale)))-0.5)
)</f>
        <v/>
      </c>
      <c r="AM496" t="str" cm="1">
        <f t="array" ref="AM496">_xlfn.LET(
  _xlpm.colj, _xlfn._xlws.FILTER(IF(ISNUMBER(495:495), COLUMN(495:495)), ISNUMBER(495:495)),
  _xlpm.elos, INDEX(494:494,1,_xlpm.colj),
  _xlpm.diffscale, Constantes!$B$2,
  IF(AM495="",
    "",
    SUM(1/(1+POWER(10,-(AM494-_xlpm.elos)/_xlpm.diffscale)))-0.5)
)</f>
        <v/>
      </c>
    </row>
    <row r="497" spans="1:39" x14ac:dyDescent="0.25">
      <c r="A497" t="s">
        <v>22</v>
      </c>
      <c r="D497" t="str" cm="1">
        <f t="array" ref="D497">_xlfn.LET(
  _xlpm.K, Constantes!$B$3,
  _xlpm.Knewgain, Constantes!$B$4,
  _xlpm.Knewscale, Constantes!$B$5,
  _xlpm.ptstables, INDEX(D:D, _xlfn.SEQUENCE(COUNTA($C$2:$C497), 1, 3, 4)),
  _xlpm.nbparties, COUNTA(_xlfn._xlws.FILTER(_xlpm.ptstables, _xlpm.ptstables &lt;&gt; "")),
  _xlpm.coef, _xlpm.K + _xlpm.Knewgain / (_xlpm.Knewscale + _xlpm.nbparties),
  IF(D495="",
    "",
    _xlpm.coef * (D495-D496))
)</f>
        <v/>
      </c>
      <c r="E497" t="str" cm="1">
        <f t="array" ref="E497">_xlfn.LET(
  _xlpm.K, Constantes!$B$3,
  _xlpm.Knewgain, Constantes!$B$4,
  _xlpm.Knewscale, Constantes!$B$5,
  _xlpm.ptstables, INDEX(E:E, _xlfn.SEQUENCE(COUNTA($C$2:$C497), 1, 3, 4)),
  _xlpm.nbparties, COUNTA(_xlfn._xlws.FILTER(_xlpm.ptstables, _xlpm.ptstables &lt;&gt; "")),
  _xlpm.coef, _xlpm.K + _xlpm.Knewgain / (_xlpm.Knewscale + _xlpm.nbparties),
  IF(E495="",
    "",
    _xlpm.coef * (E495-E496))
)</f>
        <v/>
      </c>
      <c r="F497" t="str" cm="1">
        <f t="array" ref="F497">_xlfn.LET(
  _xlpm.K, Constantes!$B$3,
  _xlpm.Knewgain, Constantes!$B$4,
  _xlpm.Knewscale, Constantes!$B$5,
  _xlpm.ptstables, INDEX(F:F, _xlfn.SEQUENCE(COUNTA($C$2:$C497), 1, 3, 4)),
  _xlpm.nbparties, COUNTA(_xlfn._xlws.FILTER(_xlpm.ptstables, _xlpm.ptstables &lt;&gt; "")),
  _xlpm.coef, _xlpm.K + _xlpm.Knewgain / (_xlpm.Knewscale + _xlpm.nbparties),
  IF(F495="",
    "",
    _xlpm.coef * (F495-F496))
)</f>
        <v/>
      </c>
      <c r="G497" t="str" cm="1">
        <f t="array" ref="G497">_xlfn.LET(
  _xlpm.K, Constantes!$B$3,
  _xlpm.Knewgain, Constantes!$B$4,
  _xlpm.Knewscale, Constantes!$B$5,
  _xlpm.ptstables, INDEX(G:G, _xlfn.SEQUENCE(COUNTA($C$2:$C497), 1, 3, 4)),
  _xlpm.nbparties, COUNTA(_xlfn._xlws.FILTER(_xlpm.ptstables, _xlpm.ptstables &lt;&gt; "")),
  _xlpm.coef, _xlpm.K + _xlpm.Knewgain / (_xlpm.Knewscale + _xlpm.nbparties),
  IF(G495="",
    "",
    _xlpm.coef * (G495-G496))
)</f>
        <v/>
      </c>
      <c r="H497" t="str" cm="1">
        <f t="array" ref="H497">_xlfn.LET(
  _xlpm.K, Constantes!$B$3,
  _xlpm.Knewgain, Constantes!$B$4,
  _xlpm.Knewscale, Constantes!$B$5,
  _xlpm.ptstables, INDEX(H:H, _xlfn.SEQUENCE(COUNTA($C$2:$C497), 1, 3, 4)),
  _xlpm.nbparties, COUNTA(_xlfn._xlws.FILTER(_xlpm.ptstables, _xlpm.ptstables &lt;&gt; "")),
  _xlpm.coef, _xlpm.K + _xlpm.Knewgain / (_xlpm.Knewscale + _xlpm.nbparties),
  IF(H495="",
    "",
    _xlpm.coef * (H495-H496))
)</f>
        <v/>
      </c>
      <c r="I497" t="str" cm="1">
        <f t="array" ref="I497">_xlfn.LET(
  _xlpm.K, Constantes!$B$3,
  _xlpm.Knewgain, Constantes!$B$4,
  _xlpm.Knewscale, Constantes!$B$5,
  _xlpm.ptstables, INDEX(I:I, _xlfn.SEQUENCE(COUNTA($C$2:$C497), 1, 3, 4)),
  _xlpm.nbparties, COUNTA(_xlfn._xlws.FILTER(_xlpm.ptstables, _xlpm.ptstables &lt;&gt; "")),
  _xlpm.coef, _xlpm.K + _xlpm.Knewgain / (_xlpm.Knewscale + _xlpm.nbparties),
  IF(I495="",
    "",
    _xlpm.coef * (I495-I496))
)</f>
        <v/>
      </c>
      <c r="J497" t="str" cm="1">
        <f t="array" ref="J497">_xlfn.LET(
  _xlpm.K, Constantes!$B$3,
  _xlpm.Knewgain, Constantes!$B$4,
  _xlpm.Knewscale, Constantes!$B$5,
  _xlpm.ptstables, INDEX(J:J, _xlfn.SEQUENCE(COUNTA($C$2:$C497), 1, 3, 4)),
  _xlpm.nbparties, COUNTA(_xlfn._xlws.FILTER(_xlpm.ptstables, _xlpm.ptstables &lt;&gt; "")),
  _xlpm.coef, _xlpm.K + _xlpm.Knewgain / (_xlpm.Knewscale + _xlpm.nbparties),
  IF(J495="",
    "",
    _xlpm.coef * (J495-J496))
)</f>
        <v/>
      </c>
      <c r="K497" t="str" cm="1">
        <f t="array" ref="K497">_xlfn.LET(
  _xlpm.K, Constantes!$B$3,
  _xlpm.Knewgain, Constantes!$B$4,
  _xlpm.Knewscale, Constantes!$B$5,
  _xlpm.ptstables, INDEX(K:K, _xlfn.SEQUENCE(COUNTA($C$2:$C497), 1, 3, 4)),
  _xlpm.nbparties, COUNTA(_xlfn._xlws.FILTER(_xlpm.ptstables, _xlpm.ptstables &lt;&gt; "")),
  _xlpm.coef, _xlpm.K + _xlpm.Knewgain / (_xlpm.Knewscale + _xlpm.nbparties),
  IF(K495="",
    "",
    _xlpm.coef * (K495-K496))
)</f>
        <v/>
      </c>
      <c r="L497" t="str" cm="1">
        <f t="array" ref="L497">_xlfn.LET(
  _xlpm.K, Constantes!$B$3,
  _xlpm.Knewgain, Constantes!$B$4,
  _xlpm.Knewscale, Constantes!$B$5,
  _xlpm.ptstables, INDEX(L:L, _xlfn.SEQUENCE(COUNTA($C$2:$C497), 1, 3, 4)),
  _xlpm.nbparties, COUNTA(_xlfn._xlws.FILTER(_xlpm.ptstables, _xlpm.ptstables &lt;&gt; "")),
  _xlpm.coef, _xlpm.K + _xlpm.Knewgain / (_xlpm.Knewscale + _xlpm.nbparties),
  IF(L495="",
    "",
    _xlpm.coef * (L495-L496))
)</f>
        <v/>
      </c>
      <c r="M497" t="str" cm="1">
        <f t="array" ref="M497">_xlfn.LET(
  _xlpm.K, Constantes!$B$3,
  _xlpm.Knewgain, Constantes!$B$4,
  _xlpm.Knewscale, Constantes!$B$5,
  _xlpm.ptstables, INDEX(M:M, _xlfn.SEQUENCE(COUNTA($C$2:$C497), 1, 3, 4)),
  _xlpm.nbparties, COUNTA(_xlfn._xlws.FILTER(_xlpm.ptstables, _xlpm.ptstables &lt;&gt; "")),
  _xlpm.coef, _xlpm.K + _xlpm.Knewgain / (_xlpm.Knewscale + _xlpm.nbparties),
  IF(M495="",
    "",
    _xlpm.coef * (M495-M496))
)</f>
        <v/>
      </c>
      <c r="N497" t="str" cm="1">
        <f t="array" ref="N497">_xlfn.LET(
  _xlpm.K, Constantes!$B$3,
  _xlpm.Knewgain, Constantes!$B$4,
  _xlpm.Knewscale, Constantes!$B$5,
  _xlpm.ptstables, INDEX(N:N, _xlfn.SEQUENCE(COUNTA($C$2:$C497), 1, 3, 4)),
  _xlpm.nbparties, COUNTA(_xlfn._xlws.FILTER(_xlpm.ptstables, _xlpm.ptstables &lt;&gt; "")),
  _xlpm.coef, _xlpm.K + _xlpm.Knewgain / (_xlpm.Knewscale + _xlpm.nbparties),
  IF(N495="",
    "",
    _xlpm.coef * (N495-N496))
)</f>
        <v/>
      </c>
      <c r="O497" t="str" cm="1">
        <f t="array" ref="O497">_xlfn.LET(
  _xlpm.K, Constantes!$B$3,
  _xlpm.Knewgain, Constantes!$B$4,
  _xlpm.Knewscale, Constantes!$B$5,
  _xlpm.ptstables, INDEX(O:O, _xlfn.SEQUENCE(COUNTA($C$2:$C497), 1, 3, 4)),
  _xlpm.nbparties, COUNTA(_xlfn._xlws.FILTER(_xlpm.ptstables, _xlpm.ptstables &lt;&gt; "")),
  _xlpm.coef, _xlpm.K + _xlpm.Knewgain / (_xlpm.Knewscale + _xlpm.nbparties),
  IF(O495="",
    "",
    _xlpm.coef * (O495-O496))
)</f>
        <v/>
      </c>
      <c r="P497" t="str" cm="1">
        <f t="array" ref="P497">_xlfn.LET(
  _xlpm.K, Constantes!$B$3,
  _xlpm.Knewgain, Constantes!$B$4,
  _xlpm.Knewscale, Constantes!$B$5,
  _xlpm.ptstables, INDEX(P:P, _xlfn.SEQUENCE(COUNTA($C$2:$C497), 1, 3, 4)),
  _xlpm.nbparties, COUNTA(_xlfn._xlws.FILTER(_xlpm.ptstables, _xlpm.ptstables &lt;&gt; "")),
  _xlpm.coef, _xlpm.K + _xlpm.Knewgain / (_xlpm.Knewscale + _xlpm.nbparties),
  IF(P495="",
    "",
    _xlpm.coef * (P495-P496))
)</f>
        <v/>
      </c>
      <c r="Q497" t="str" cm="1">
        <f t="array" ref="Q497">_xlfn.LET(
  _xlpm.K, Constantes!$B$3,
  _xlpm.Knewgain, Constantes!$B$4,
  _xlpm.Knewscale, Constantes!$B$5,
  _xlpm.ptstables, INDEX(Q:Q, _xlfn.SEQUENCE(COUNTA($C$2:$C497), 1, 3, 4)),
  _xlpm.nbparties, COUNTA(_xlfn._xlws.FILTER(_xlpm.ptstables, _xlpm.ptstables &lt;&gt; "")),
  _xlpm.coef, _xlpm.K + _xlpm.Knewgain / (_xlpm.Knewscale + _xlpm.nbparties),
  IF(Q495="",
    "",
    _xlpm.coef * (Q495-Q496))
)</f>
        <v/>
      </c>
      <c r="R497" t="str" cm="1">
        <f t="array" ref="R497">_xlfn.LET(
  _xlpm.K, Constantes!$B$3,
  _xlpm.Knewgain, Constantes!$B$4,
  _xlpm.Knewscale, Constantes!$B$5,
  _xlpm.ptstables, INDEX(R:R, _xlfn.SEQUENCE(COUNTA($C$2:$C497), 1, 3, 4)),
  _xlpm.nbparties, COUNTA(_xlfn._xlws.FILTER(_xlpm.ptstables, _xlpm.ptstables &lt;&gt; "")),
  _xlpm.coef, _xlpm.K + _xlpm.Knewgain / (_xlpm.Knewscale + _xlpm.nbparties),
  IF(R495="",
    "",
    _xlpm.coef * (R495-R496))
)</f>
        <v/>
      </c>
      <c r="S497" t="str" cm="1">
        <f t="array" ref="S497">_xlfn.LET(
  _xlpm.K, Constantes!$B$3,
  _xlpm.Knewgain, Constantes!$B$4,
  _xlpm.Knewscale, Constantes!$B$5,
  _xlpm.ptstables, INDEX(S:S, _xlfn.SEQUENCE(COUNTA($C$2:$C497), 1, 3, 4)),
  _xlpm.nbparties, COUNTA(_xlfn._xlws.FILTER(_xlpm.ptstables, _xlpm.ptstables &lt;&gt; "")),
  _xlpm.coef, _xlpm.K + _xlpm.Knewgain / (_xlpm.Knewscale + _xlpm.nbparties),
  IF(S495="",
    "",
    _xlpm.coef * (S495-S496))
)</f>
        <v/>
      </c>
      <c r="T497" t="str" cm="1">
        <f t="array" ref="T497">_xlfn.LET(
  _xlpm.K, Constantes!$B$3,
  _xlpm.Knewgain, Constantes!$B$4,
  _xlpm.Knewscale, Constantes!$B$5,
  _xlpm.ptstables, INDEX(T:T, _xlfn.SEQUENCE(COUNTA($C$2:$C497), 1, 3, 4)),
  _xlpm.nbparties, COUNTA(_xlfn._xlws.FILTER(_xlpm.ptstables, _xlpm.ptstables &lt;&gt; "")),
  _xlpm.coef, _xlpm.K + _xlpm.Knewgain / (_xlpm.Knewscale + _xlpm.nbparties),
  IF(T495="",
    "",
    _xlpm.coef * (T495-T496))
)</f>
        <v/>
      </c>
      <c r="U497" t="str" cm="1">
        <f t="array" ref="U497">_xlfn.LET(
  _xlpm.K, Constantes!$B$3,
  _xlpm.Knewgain, Constantes!$B$4,
  _xlpm.Knewscale, Constantes!$B$5,
  _xlpm.ptstables, INDEX(U:U, _xlfn.SEQUENCE(COUNTA($C$2:$C497), 1, 3, 4)),
  _xlpm.nbparties, COUNTA(_xlfn._xlws.FILTER(_xlpm.ptstables, _xlpm.ptstables &lt;&gt; "")),
  _xlpm.coef, _xlpm.K + _xlpm.Knewgain / (_xlpm.Knewscale + _xlpm.nbparties),
  IF(U495="",
    "",
    _xlpm.coef * (U495-U496))
)</f>
        <v/>
      </c>
      <c r="V497" t="str" cm="1">
        <f t="array" ref="V497">_xlfn.LET(
  _xlpm.K, Constantes!$B$3,
  _xlpm.Knewgain, Constantes!$B$4,
  _xlpm.Knewscale, Constantes!$B$5,
  _xlpm.ptstables, INDEX(V:V, _xlfn.SEQUENCE(COUNTA($C$2:$C497), 1, 3, 4)),
  _xlpm.nbparties, COUNTA(_xlfn._xlws.FILTER(_xlpm.ptstables, _xlpm.ptstables &lt;&gt; "")),
  _xlpm.coef, _xlpm.K + _xlpm.Knewgain / (_xlpm.Knewscale + _xlpm.nbparties),
  IF(V495="",
    "",
    _xlpm.coef * (V495-V496))
)</f>
        <v/>
      </c>
      <c r="W497" t="str" cm="1">
        <f t="array" ref="W497">_xlfn.LET(
  _xlpm.K, Constantes!$B$3,
  _xlpm.Knewgain, Constantes!$B$4,
  _xlpm.Knewscale, Constantes!$B$5,
  _xlpm.ptstables, INDEX(W:W, _xlfn.SEQUENCE(COUNTA($C$2:$C497), 1, 3, 4)),
  _xlpm.nbparties, COUNTA(_xlfn._xlws.FILTER(_xlpm.ptstables, _xlpm.ptstables &lt;&gt; "")),
  _xlpm.coef, _xlpm.K + _xlpm.Knewgain / (_xlpm.Knewscale + _xlpm.nbparties),
  IF(W495="",
    "",
    _xlpm.coef * (W495-W496))
)</f>
        <v/>
      </c>
      <c r="X497" t="str" cm="1">
        <f t="array" ref="X497">_xlfn.LET(
  _xlpm.K, Constantes!$B$3,
  _xlpm.Knewgain, Constantes!$B$4,
  _xlpm.Knewscale, Constantes!$B$5,
  _xlpm.ptstables, INDEX(X:X, _xlfn.SEQUENCE(COUNTA($C$2:$C497), 1, 3, 4)),
  _xlpm.nbparties, COUNTA(_xlfn._xlws.FILTER(_xlpm.ptstables, _xlpm.ptstables &lt;&gt; "")),
  _xlpm.coef, _xlpm.K + _xlpm.Knewgain / (_xlpm.Knewscale + _xlpm.nbparties),
  IF(X495="",
    "",
    _xlpm.coef * (X495-X496))
)</f>
        <v/>
      </c>
      <c r="Y497" t="str" cm="1">
        <f t="array" ref="Y497">_xlfn.LET(
  _xlpm.K, Constantes!$B$3,
  _xlpm.Knewgain, Constantes!$B$4,
  _xlpm.Knewscale, Constantes!$B$5,
  _xlpm.ptstables, INDEX(Y:Y, _xlfn.SEQUENCE(COUNTA($C$2:$C497), 1, 3, 4)),
  _xlpm.nbparties, COUNTA(_xlfn._xlws.FILTER(_xlpm.ptstables, _xlpm.ptstables &lt;&gt; "")),
  _xlpm.coef, _xlpm.K + _xlpm.Knewgain / (_xlpm.Knewscale + _xlpm.nbparties),
  IF(Y495="",
    "",
    _xlpm.coef * (Y495-Y496))
)</f>
        <v/>
      </c>
      <c r="Z497" t="str" cm="1">
        <f t="array" ref="Z497">_xlfn.LET(
  _xlpm.K, Constantes!$B$3,
  _xlpm.Knewgain, Constantes!$B$4,
  _xlpm.Knewscale, Constantes!$B$5,
  _xlpm.ptstables, INDEX(Z:Z, _xlfn.SEQUENCE(COUNTA($C$2:$C497), 1, 3, 4)),
  _xlpm.nbparties, COUNTA(_xlfn._xlws.FILTER(_xlpm.ptstables, _xlpm.ptstables &lt;&gt; "")),
  _xlpm.coef, _xlpm.K + _xlpm.Knewgain / (_xlpm.Knewscale + _xlpm.nbparties),
  IF(Z495="",
    "",
    _xlpm.coef * (Z495-Z496))
)</f>
        <v/>
      </c>
      <c r="AA497" t="str" cm="1">
        <f t="array" ref="AA497">_xlfn.LET(
  _xlpm.K, Constantes!$B$3,
  _xlpm.Knewgain, Constantes!$B$4,
  _xlpm.Knewscale, Constantes!$B$5,
  _xlpm.ptstables, INDEX(AA:AA, _xlfn.SEQUENCE(COUNTA($C$2:$C497), 1, 3, 4)),
  _xlpm.nbparties, COUNTA(_xlfn._xlws.FILTER(_xlpm.ptstables, _xlpm.ptstables &lt;&gt; "")),
  _xlpm.coef, _xlpm.K + _xlpm.Knewgain / (_xlpm.Knewscale + _xlpm.nbparties),
  IF(AA495="",
    "",
    _xlpm.coef * (AA495-AA496))
)</f>
        <v/>
      </c>
      <c r="AB497" t="str" cm="1">
        <f t="array" ref="AB497">_xlfn.LET(
  _xlpm.K, Constantes!$B$3,
  _xlpm.Knewgain, Constantes!$B$4,
  _xlpm.Knewscale, Constantes!$B$5,
  _xlpm.ptstables, INDEX(AB:AB, _xlfn.SEQUENCE(COUNTA($C$2:$C497), 1, 3, 4)),
  _xlpm.nbparties, COUNTA(_xlfn._xlws.FILTER(_xlpm.ptstables, _xlpm.ptstables &lt;&gt; "")),
  _xlpm.coef, _xlpm.K + _xlpm.Knewgain / (_xlpm.Knewscale + _xlpm.nbparties),
  IF(AB495="",
    "",
    _xlpm.coef * (AB495-AB496))
)</f>
        <v/>
      </c>
      <c r="AC497" t="str" cm="1">
        <f t="array" ref="AC497">_xlfn.LET(
  _xlpm.K, Constantes!$B$3,
  _xlpm.Knewgain, Constantes!$B$4,
  _xlpm.Knewscale, Constantes!$B$5,
  _xlpm.ptstables, INDEX(AC:AC, _xlfn.SEQUENCE(COUNTA($C$2:$C497), 1, 3, 4)),
  _xlpm.nbparties, COUNTA(_xlfn._xlws.FILTER(_xlpm.ptstables, _xlpm.ptstables &lt;&gt; "")),
  _xlpm.coef, _xlpm.K + _xlpm.Knewgain / (_xlpm.Knewscale + _xlpm.nbparties),
  IF(AC495="",
    "",
    _xlpm.coef * (AC495-AC496))
)</f>
        <v/>
      </c>
      <c r="AD497" t="str" cm="1">
        <f t="array" ref="AD497">_xlfn.LET(
  _xlpm.K, Constantes!$B$3,
  _xlpm.Knewgain, Constantes!$B$4,
  _xlpm.Knewscale, Constantes!$B$5,
  _xlpm.ptstables, INDEX(AD:AD, _xlfn.SEQUENCE(COUNTA($C$2:$C497), 1, 3, 4)),
  _xlpm.nbparties, COUNTA(_xlfn._xlws.FILTER(_xlpm.ptstables, _xlpm.ptstables &lt;&gt; "")),
  _xlpm.coef, _xlpm.K + _xlpm.Knewgain / (_xlpm.Knewscale + _xlpm.nbparties),
  IF(AD495="",
    "",
    _xlpm.coef * (AD495-AD496))
)</f>
        <v/>
      </c>
      <c r="AE497" t="str" cm="1">
        <f t="array" ref="AE497">_xlfn.LET(
  _xlpm.K, Constantes!$B$3,
  _xlpm.Knewgain, Constantes!$B$4,
  _xlpm.Knewscale, Constantes!$B$5,
  _xlpm.ptstables, INDEX(AE:AE, _xlfn.SEQUENCE(COUNTA($C$2:$C497), 1, 3, 4)),
  _xlpm.nbparties, COUNTA(_xlfn._xlws.FILTER(_xlpm.ptstables, _xlpm.ptstables &lt;&gt; "")),
  _xlpm.coef, _xlpm.K + _xlpm.Knewgain / (_xlpm.Knewscale + _xlpm.nbparties),
  IF(AE495="",
    "",
    _xlpm.coef * (AE495-AE496))
)</f>
        <v/>
      </c>
      <c r="AF497" t="str" cm="1">
        <f t="array" ref="AF497">_xlfn.LET(
  _xlpm.K, Constantes!$B$3,
  _xlpm.Knewgain, Constantes!$B$4,
  _xlpm.Knewscale, Constantes!$B$5,
  _xlpm.ptstables, INDEX(AF:AF, _xlfn.SEQUENCE(COUNTA($C$2:$C497), 1, 3, 4)),
  _xlpm.nbparties, COUNTA(_xlfn._xlws.FILTER(_xlpm.ptstables, _xlpm.ptstables &lt;&gt; "")),
  _xlpm.coef, _xlpm.K + _xlpm.Knewgain / (_xlpm.Knewscale + _xlpm.nbparties),
  IF(AF495="",
    "",
    _xlpm.coef * (AF495-AF496))
)</f>
        <v/>
      </c>
      <c r="AG497" t="str" cm="1">
        <f t="array" ref="AG497">_xlfn.LET(
  _xlpm.K, Constantes!$B$3,
  _xlpm.Knewgain, Constantes!$B$4,
  _xlpm.Knewscale, Constantes!$B$5,
  _xlpm.ptstables, INDEX(AG:AG, _xlfn.SEQUENCE(COUNTA($C$2:$C497), 1, 3, 4)),
  _xlpm.nbparties, COUNTA(_xlfn._xlws.FILTER(_xlpm.ptstables, _xlpm.ptstables &lt;&gt; "")),
  _xlpm.coef, _xlpm.K + _xlpm.Knewgain / (_xlpm.Knewscale + _xlpm.nbparties),
  IF(AG495="",
    "",
    _xlpm.coef * (AG495-AG496))
)</f>
        <v/>
      </c>
      <c r="AH497" t="str" cm="1">
        <f t="array" ref="AH497">_xlfn.LET(
  _xlpm.K, Constantes!$B$3,
  _xlpm.Knewgain, Constantes!$B$4,
  _xlpm.Knewscale, Constantes!$B$5,
  _xlpm.ptstables, INDEX(AH:AH, _xlfn.SEQUENCE(COUNTA($C$2:$C497), 1, 3, 4)),
  _xlpm.nbparties, COUNTA(_xlfn._xlws.FILTER(_xlpm.ptstables, _xlpm.ptstables &lt;&gt; "")),
  _xlpm.coef, _xlpm.K + _xlpm.Knewgain / (_xlpm.Knewscale + _xlpm.nbparties),
  IF(AH495="",
    "",
    _xlpm.coef * (AH495-AH496))
)</f>
        <v/>
      </c>
      <c r="AI497" t="str" cm="1">
        <f t="array" ref="AI497">_xlfn.LET(
  _xlpm.K, Constantes!$B$3,
  _xlpm.Knewgain, Constantes!$B$4,
  _xlpm.Knewscale, Constantes!$B$5,
  _xlpm.ptstables, INDEX(AI:AI, _xlfn.SEQUENCE(COUNTA($C$2:$C497), 1, 3, 4)),
  _xlpm.nbparties, COUNTA(_xlfn._xlws.FILTER(_xlpm.ptstables, _xlpm.ptstables &lt;&gt; "")),
  _xlpm.coef, _xlpm.K + _xlpm.Knewgain / (_xlpm.Knewscale + _xlpm.nbparties),
  IF(AI495="",
    "",
    _xlpm.coef * (AI495-AI496))
)</f>
        <v/>
      </c>
      <c r="AJ497" t="str" cm="1">
        <f t="array" ref="AJ497">_xlfn.LET(
  _xlpm.K, Constantes!$B$3,
  _xlpm.Knewgain, Constantes!$B$4,
  _xlpm.Knewscale, Constantes!$B$5,
  _xlpm.ptstables, INDEX(AJ:AJ, _xlfn.SEQUENCE(COUNTA($C$2:$C497), 1, 3, 4)),
  _xlpm.nbparties, COUNTA(_xlfn._xlws.FILTER(_xlpm.ptstables, _xlpm.ptstables &lt;&gt; "")),
  _xlpm.coef, _xlpm.K + _xlpm.Knewgain / (_xlpm.Knewscale + _xlpm.nbparties),
  IF(AJ495="",
    "",
    _xlpm.coef * (AJ495-AJ496))
)</f>
        <v/>
      </c>
      <c r="AK497" t="str" cm="1">
        <f t="array" ref="AK497">_xlfn.LET(
  _xlpm.K, Constantes!$B$3,
  _xlpm.Knewgain, Constantes!$B$4,
  _xlpm.Knewscale, Constantes!$B$5,
  _xlpm.ptstables, INDEX(AK:AK, _xlfn.SEQUENCE(COUNTA($C$2:$C497), 1, 3, 4)),
  _xlpm.nbparties, COUNTA(_xlfn._xlws.FILTER(_xlpm.ptstables, _xlpm.ptstables &lt;&gt; "")),
  _xlpm.coef, _xlpm.K + _xlpm.Knewgain / (_xlpm.Knewscale + _xlpm.nbparties),
  IF(AK495="",
    "",
    _xlpm.coef * (AK495-AK496))
)</f>
        <v/>
      </c>
      <c r="AL497" t="str" cm="1">
        <f t="array" ref="AL497">_xlfn.LET(
  _xlpm.K, Constantes!$B$3,
  _xlpm.Knewgain, Constantes!$B$4,
  _xlpm.Knewscale, Constantes!$B$5,
  _xlpm.ptstables, INDEX(AL:AL, _xlfn.SEQUENCE(COUNTA($C$2:$C497), 1, 3, 4)),
  _xlpm.nbparties, COUNTA(_xlfn._xlws.FILTER(_xlpm.ptstables, _xlpm.ptstables &lt;&gt; "")),
  _xlpm.coef, _xlpm.K + _xlpm.Knewgain / (_xlpm.Knewscale + _xlpm.nbparties),
  IF(AL495="",
    "",
    _xlpm.coef * (AL495-AL496))
)</f>
        <v/>
      </c>
      <c r="AM497" t="str" cm="1">
        <f t="array" ref="AM497">_xlfn.LET(
  _xlpm.K, Constantes!$B$3,
  _xlpm.Knewgain, Constantes!$B$4,
  _xlpm.Knewscale, Constantes!$B$5,
  _xlpm.ptstables, INDEX(AM:AM, _xlfn.SEQUENCE(COUNTA($C$2:$C497), 1, 3, 4)),
  _xlpm.nbparties, COUNTA(_xlfn._xlws.FILTER(_xlpm.ptstables, _xlpm.ptstables &lt;&gt; "")),
  _xlpm.coef, _xlpm.K + _xlpm.Knewgain / (_xlpm.Knewscale + _xlpm.nbparties),
  IF(AM495="",
    "",
    _xlpm.coef * (AM495-AM496))
)</f>
        <v/>
      </c>
    </row>
    <row r="498" spans="1:39" x14ac:dyDescent="0.25">
      <c r="A498" t="s">
        <v>14</v>
      </c>
      <c r="B498" t="str" cm="1">
        <f t="array" ref="B498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/>
      </c>
      <c r="C498" s="2" t="str" cm="1">
        <f t="array" ref="C498">IF(B498="","",
  INDEX(Donnees!F:F, MATCH(B498, Donnees!F:F, 0)+1))</f>
        <v/>
      </c>
      <c r="D498">
        <f t="shared" ref="D498:AM498" si="132">D494+IF(D497="",0,D497)</f>
        <v>970.88542284486812</v>
      </c>
      <c r="E498">
        <f t="shared" si="132"/>
        <v>1229.0521069339948</v>
      </c>
      <c r="F498">
        <f t="shared" si="132"/>
        <v>911.8835833951041</v>
      </c>
      <c r="G498">
        <f t="shared" si="132"/>
        <v>1021.5669497794617</v>
      </c>
      <c r="H498">
        <f t="shared" si="132"/>
        <v>1117.5250985570954</v>
      </c>
      <c r="I498">
        <f t="shared" si="132"/>
        <v>883.37234630448143</v>
      </c>
      <c r="J498">
        <f t="shared" si="132"/>
        <v>977.48380243972645</v>
      </c>
      <c r="K498">
        <f t="shared" si="132"/>
        <v>1062.2548360982171</v>
      </c>
      <c r="L498">
        <f t="shared" si="132"/>
        <v>775.39796117257981</v>
      </c>
      <c r="M498">
        <f t="shared" si="132"/>
        <v>927.4581540493366</v>
      </c>
      <c r="N498">
        <f t="shared" si="132"/>
        <v>878.15153649009756</v>
      </c>
      <c r="O498">
        <f t="shared" si="132"/>
        <v>997.04050320786712</v>
      </c>
      <c r="P498">
        <f t="shared" si="132"/>
        <v>991.32095208442081</v>
      </c>
      <c r="Q498">
        <f t="shared" si="132"/>
        <v>1054.0946828197484</v>
      </c>
      <c r="R498">
        <f t="shared" si="132"/>
        <v>1122.8475809880031</v>
      </c>
      <c r="S498">
        <f t="shared" si="132"/>
        <v>942.14882365209212</v>
      </c>
      <c r="T498">
        <f t="shared" si="132"/>
        <v>1128.5835529389994</v>
      </c>
      <c r="U498">
        <f t="shared" si="132"/>
        <v>1197.0794459794581</v>
      </c>
      <c r="V498">
        <f t="shared" si="132"/>
        <v>957.61451983344352</v>
      </c>
      <c r="W498">
        <f t="shared" si="132"/>
        <v>885.72875461540445</v>
      </c>
      <c r="X498">
        <f t="shared" si="132"/>
        <v>858.92096928478088</v>
      </c>
      <c r="Y498">
        <f t="shared" si="132"/>
        <v>1005.462386147187</v>
      </c>
      <c r="Z498">
        <f t="shared" si="132"/>
        <v>1008.6876849635962</v>
      </c>
      <c r="AA498">
        <f t="shared" si="132"/>
        <v>942.27730100696294</v>
      </c>
      <c r="AB498">
        <f t="shared" si="132"/>
        <v>988.35669729544747</v>
      </c>
      <c r="AC498">
        <f t="shared" si="132"/>
        <v>913.83290299884754</v>
      </c>
      <c r="AD498">
        <f t="shared" si="132"/>
        <v>1054.5168154629837</v>
      </c>
      <c r="AE498">
        <f t="shared" si="132"/>
        <v>963.23981965000235</v>
      </c>
      <c r="AF498">
        <f t="shared" si="132"/>
        <v>1094.8196847516158</v>
      </c>
      <c r="AG498">
        <f t="shared" si="132"/>
        <v>958.23078604304851</v>
      </c>
      <c r="AH498">
        <f t="shared" si="132"/>
        <v>920.4412636682855</v>
      </c>
      <c r="AI498">
        <f t="shared" si="132"/>
        <v>1036.4167877702052</v>
      </c>
      <c r="AJ498">
        <f t="shared" si="132"/>
        <v>906.86354201913434</v>
      </c>
      <c r="AK498">
        <f t="shared" si="132"/>
        <v>1074.0069367206956</v>
      </c>
      <c r="AL498">
        <f t="shared" si="132"/>
        <v>1025.7817971572972</v>
      </c>
      <c r="AM498">
        <f t="shared" si="132"/>
        <v>930.08392160706046</v>
      </c>
    </row>
    <row r="499" spans="1:39" x14ac:dyDescent="0.25">
      <c r="A499" t="s">
        <v>21</v>
      </c>
      <c r="D499" t="str" cm="1">
        <f t="array" ref="D499">IFERROR(
  _xlfn.LET(
    _xlpm.ligpartie, MATCH($B498, Donnees!$F:$F, 0),
    _xlpm.joueurs, INDEX(Donnees!$A:$Z, _xlpm.ligpartie+1, _xlfn.SEQUENCE(1, 4, 2)),
    INDEX(
      Donnees!$A:$Z,
      _xlpm.ligpartie + 3,
      MATCH(D$1, _xlpm.joueurs, 0) + 1
    )
  ), ""
)</f>
        <v/>
      </c>
      <c r="E499" t="str" cm="1">
        <f t="array" ref="E499">IFERROR(
  _xlfn.LET(
    _xlpm.ligpartie, MATCH($B498, Donnees!$F:$F, 0),
    _xlpm.joueurs, INDEX(Donnees!$A:$Z, _xlpm.ligpartie+1, _xlfn.SEQUENCE(1, 4, 2)),
    INDEX(
      Donnees!$A:$Z,
      _xlpm.ligpartie + 3,
      MATCH(E$1, _xlpm.joueurs, 0) + 1
    )
  ), ""
)</f>
        <v/>
      </c>
      <c r="F499" t="str" cm="1">
        <f t="array" ref="F499">IFERROR(
  _xlfn.LET(
    _xlpm.ligpartie, MATCH($B498, Donnees!$F:$F, 0),
    _xlpm.joueurs, INDEX(Donnees!$A:$Z, _xlpm.ligpartie+1, _xlfn.SEQUENCE(1, 4, 2)),
    INDEX(
      Donnees!$A:$Z,
      _xlpm.ligpartie + 3,
      MATCH(F$1, _xlpm.joueurs, 0) + 1
    )
  ), ""
)</f>
        <v/>
      </c>
      <c r="G499" t="str" cm="1">
        <f t="array" ref="G499">IFERROR(
  _xlfn.LET(
    _xlpm.ligpartie, MATCH($B498, Donnees!$F:$F, 0),
    _xlpm.joueurs, INDEX(Donnees!$A:$Z, _xlpm.ligpartie+1, _xlfn.SEQUENCE(1, 4, 2)),
    INDEX(
      Donnees!$A:$Z,
      _xlpm.ligpartie + 3,
      MATCH(G$1, _xlpm.joueurs, 0) + 1
    )
  ), ""
)</f>
        <v/>
      </c>
      <c r="H499" t="str" cm="1">
        <f t="array" ref="H499">IFERROR(
  _xlfn.LET(
    _xlpm.ligpartie, MATCH($B498, Donnees!$F:$F, 0),
    _xlpm.joueurs, INDEX(Donnees!$A:$Z, _xlpm.ligpartie+1, _xlfn.SEQUENCE(1, 4, 2)),
    INDEX(
      Donnees!$A:$Z,
      _xlpm.ligpartie + 3,
      MATCH(H$1, _xlpm.joueurs, 0) + 1
    )
  ), ""
)</f>
        <v/>
      </c>
      <c r="I499" t="str" cm="1">
        <f t="array" ref="I499">IFERROR(
  _xlfn.LET(
    _xlpm.ligpartie, MATCH($B498, Donnees!$F:$F, 0),
    _xlpm.joueurs, INDEX(Donnees!$A:$Z, _xlpm.ligpartie+1, _xlfn.SEQUENCE(1, 4, 2)),
    INDEX(
      Donnees!$A:$Z,
      _xlpm.ligpartie + 3,
      MATCH(I$1, _xlpm.joueurs, 0) + 1
    )
  ), ""
)</f>
        <v/>
      </c>
      <c r="J499" t="str" cm="1">
        <f t="array" ref="J499">IFERROR(
  _xlfn.LET(
    _xlpm.ligpartie, MATCH($B498, Donnees!$F:$F, 0),
    _xlpm.joueurs, INDEX(Donnees!$A:$Z, _xlpm.ligpartie+1, _xlfn.SEQUENCE(1, 4, 2)),
    INDEX(
      Donnees!$A:$Z,
      _xlpm.ligpartie + 3,
      MATCH(J$1, _xlpm.joueurs, 0) + 1
    )
  ), ""
)</f>
        <v/>
      </c>
      <c r="K499" t="str" cm="1">
        <f t="array" ref="K499">IFERROR(
  _xlfn.LET(
    _xlpm.ligpartie, MATCH($B498, Donnees!$F:$F, 0),
    _xlpm.joueurs, INDEX(Donnees!$A:$Z, _xlpm.ligpartie+1, _xlfn.SEQUENCE(1, 4, 2)),
    INDEX(
      Donnees!$A:$Z,
      _xlpm.ligpartie + 3,
      MATCH(K$1, _xlpm.joueurs, 0) + 1
    )
  ), ""
)</f>
        <v/>
      </c>
      <c r="L499" t="str" cm="1">
        <f t="array" ref="L499">IFERROR(
  _xlfn.LET(
    _xlpm.ligpartie, MATCH($B498, Donnees!$F:$F, 0),
    _xlpm.joueurs, INDEX(Donnees!$A:$Z, _xlpm.ligpartie+1, _xlfn.SEQUENCE(1, 4, 2)),
    INDEX(
      Donnees!$A:$Z,
      _xlpm.ligpartie + 3,
      MATCH(L$1, _xlpm.joueurs, 0) + 1
    )
  ), ""
)</f>
        <v/>
      </c>
      <c r="M499" t="str" cm="1">
        <f t="array" ref="M499">IFERROR(
  _xlfn.LET(
    _xlpm.ligpartie, MATCH($B498, Donnees!$F:$F, 0),
    _xlpm.joueurs, INDEX(Donnees!$A:$Z, _xlpm.ligpartie+1, _xlfn.SEQUENCE(1, 4, 2)),
    INDEX(
      Donnees!$A:$Z,
      _xlpm.ligpartie + 3,
      MATCH(M$1, _xlpm.joueurs, 0) + 1
    )
  ), ""
)</f>
        <v/>
      </c>
      <c r="N499" t="str" cm="1">
        <f t="array" ref="N499">IFERROR(
  _xlfn.LET(
    _xlpm.ligpartie, MATCH($B498, Donnees!$F:$F, 0),
    _xlpm.joueurs, INDEX(Donnees!$A:$Z, _xlpm.ligpartie+1, _xlfn.SEQUENCE(1, 4, 2)),
    INDEX(
      Donnees!$A:$Z,
      _xlpm.ligpartie + 3,
      MATCH(N$1, _xlpm.joueurs, 0) + 1
    )
  ), ""
)</f>
        <v/>
      </c>
      <c r="O499" t="str" cm="1">
        <f t="array" ref="O499">IFERROR(
  _xlfn.LET(
    _xlpm.ligpartie, MATCH($B498, Donnees!$F:$F, 0),
    _xlpm.joueurs, INDEX(Donnees!$A:$Z, _xlpm.ligpartie+1, _xlfn.SEQUENCE(1, 4, 2)),
    INDEX(
      Donnees!$A:$Z,
      _xlpm.ligpartie + 3,
      MATCH(O$1, _xlpm.joueurs, 0) + 1
    )
  ), ""
)</f>
        <v/>
      </c>
      <c r="P499" t="str" cm="1">
        <f t="array" ref="P499">IFERROR(
  _xlfn.LET(
    _xlpm.ligpartie, MATCH($B498, Donnees!$F:$F, 0),
    _xlpm.joueurs, INDEX(Donnees!$A:$Z, _xlpm.ligpartie+1, _xlfn.SEQUENCE(1, 4, 2)),
    INDEX(
      Donnees!$A:$Z,
      _xlpm.ligpartie + 3,
      MATCH(P$1, _xlpm.joueurs, 0) + 1
    )
  ), ""
)</f>
        <v/>
      </c>
      <c r="Q499" t="str" cm="1">
        <f t="array" ref="Q499">IFERROR(
  _xlfn.LET(
    _xlpm.ligpartie, MATCH($B498, Donnees!$F:$F, 0),
    _xlpm.joueurs, INDEX(Donnees!$A:$Z, _xlpm.ligpartie+1, _xlfn.SEQUENCE(1, 4, 2)),
    INDEX(
      Donnees!$A:$Z,
      _xlpm.ligpartie + 3,
      MATCH(Q$1, _xlpm.joueurs, 0) + 1
    )
  ), ""
)</f>
        <v/>
      </c>
      <c r="R499" t="str" cm="1">
        <f t="array" ref="R499">IFERROR(
  _xlfn.LET(
    _xlpm.ligpartie, MATCH($B498, Donnees!$F:$F, 0),
    _xlpm.joueurs, INDEX(Donnees!$A:$Z, _xlpm.ligpartie+1, _xlfn.SEQUENCE(1, 4, 2)),
    INDEX(
      Donnees!$A:$Z,
      _xlpm.ligpartie + 3,
      MATCH(R$1, _xlpm.joueurs, 0) + 1
    )
  ), ""
)</f>
        <v/>
      </c>
      <c r="S499" t="str" cm="1">
        <f t="array" ref="S499">IFERROR(
  _xlfn.LET(
    _xlpm.ligpartie, MATCH($B498, Donnees!$F:$F, 0),
    _xlpm.joueurs, INDEX(Donnees!$A:$Z, _xlpm.ligpartie+1, _xlfn.SEQUENCE(1, 4, 2)),
    INDEX(
      Donnees!$A:$Z,
      _xlpm.ligpartie + 3,
      MATCH(S$1, _xlpm.joueurs, 0) + 1
    )
  ), ""
)</f>
        <v/>
      </c>
      <c r="T499" t="str" cm="1">
        <f t="array" ref="T499">IFERROR(
  _xlfn.LET(
    _xlpm.ligpartie, MATCH($B498, Donnees!$F:$F, 0),
    _xlpm.joueurs, INDEX(Donnees!$A:$Z, _xlpm.ligpartie+1, _xlfn.SEQUENCE(1, 4, 2)),
    INDEX(
      Donnees!$A:$Z,
      _xlpm.ligpartie + 3,
      MATCH(T$1, _xlpm.joueurs, 0) + 1
    )
  ), ""
)</f>
        <v/>
      </c>
      <c r="U499" t="str" cm="1">
        <f t="array" ref="U499">IFERROR(
  _xlfn.LET(
    _xlpm.ligpartie, MATCH($B498, Donnees!$F:$F, 0),
    _xlpm.joueurs, INDEX(Donnees!$A:$Z, _xlpm.ligpartie+1, _xlfn.SEQUENCE(1, 4, 2)),
    INDEX(
      Donnees!$A:$Z,
      _xlpm.ligpartie + 3,
      MATCH(U$1, _xlpm.joueurs, 0) + 1
    )
  ), ""
)</f>
        <v/>
      </c>
      <c r="V499" t="str" cm="1">
        <f t="array" ref="V499">IFERROR(
  _xlfn.LET(
    _xlpm.ligpartie, MATCH($B498, Donnees!$F:$F, 0),
    _xlpm.joueurs, INDEX(Donnees!$A:$Z, _xlpm.ligpartie+1, _xlfn.SEQUENCE(1, 4, 2)),
    INDEX(
      Donnees!$A:$Z,
      _xlpm.ligpartie + 3,
      MATCH(V$1, _xlpm.joueurs, 0) + 1
    )
  ), ""
)</f>
        <v/>
      </c>
      <c r="W499" t="str" cm="1">
        <f t="array" ref="W499">IFERROR(
  _xlfn.LET(
    _xlpm.ligpartie, MATCH($B498, Donnees!$F:$F, 0),
    _xlpm.joueurs, INDEX(Donnees!$A:$Z, _xlpm.ligpartie+1, _xlfn.SEQUENCE(1, 4, 2)),
    INDEX(
      Donnees!$A:$Z,
      _xlpm.ligpartie + 3,
      MATCH(W$1, _xlpm.joueurs, 0) + 1
    )
  ), ""
)</f>
        <v/>
      </c>
      <c r="X499" t="str" cm="1">
        <f t="array" ref="X499">IFERROR(
  _xlfn.LET(
    _xlpm.ligpartie, MATCH($B498, Donnees!$F:$F, 0),
    _xlpm.joueurs, INDEX(Donnees!$A:$Z, _xlpm.ligpartie+1, _xlfn.SEQUENCE(1, 4, 2)),
    INDEX(
      Donnees!$A:$Z,
      _xlpm.ligpartie + 3,
      MATCH(X$1, _xlpm.joueurs, 0) + 1
    )
  ), ""
)</f>
        <v/>
      </c>
      <c r="Y499" t="str" cm="1">
        <f t="array" ref="Y499">IFERROR(
  _xlfn.LET(
    _xlpm.ligpartie, MATCH($B498, Donnees!$F:$F, 0),
    _xlpm.joueurs, INDEX(Donnees!$A:$Z, _xlpm.ligpartie+1, _xlfn.SEQUENCE(1, 4, 2)),
    INDEX(
      Donnees!$A:$Z,
      _xlpm.ligpartie + 3,
      MATCH(Y$1, _xlpm.joueurs, 0) + 1
    )
  ), ""
)</f>
        <v/>
      </c>
      <c r="Z499" t="str" cm="1">
        <f t="array" ref="Z499">IFERROR(
  _xlfn.LET(
    _xlpm.ligpartie, MATCH($B498, Donnees!$F:$F, 0),
    _xlpm.joueurs, INDEX(Donnees!$A:$Z, _xlpm.ligpartie+1, _xlfn.SEQUENCE(1, 4, 2)),
    INDEX(
      Donnees!$A:$Z,
      _xlpm.ligpartie + 3,
      MATCH(Z$1, _xlpm.joueurs, 0) + 1
    )
  ), ""
)</f>
        <v/>
      </c>
      <c r="AA499" t="str" cm="1">
        <f t="array" ref="AA499">IFERROR(
  _xlfn.LET(
    _xlpm.ligpartie, MATCH($B498, Donnees!$F:$F, 0),
    _xlpm.joueurs, INDEX(Donnees!$A:$Z, _xlpm.ligpartie+1, _xlfn.SEQUENCE(1, 4, 2)),
    INDEX(
      Donnees!$A:$Z,
      _xlpm.ligpartie + 3,
      MATCH(AA$1, _xlpm.joueurs, 0) + 1
    )
  ), ""
)</f>
        <v/>
      </c>
      <c r="AB499" t="str" cm="1">
        <f t="array" ref="AB499">IFERROR(
  _xlfn.LET(
    _xlpm.ligpartie, MATCH($B498, Donnees!$F:$F, 0),
    _xlpm.joueurs, INDEX(Donnees!$A:$Z, _xlpm.ligpartie+1, _xlfn.SEQUENCE(1, 4, 2)),
    INDEX(
      Donnees!$A:$Z,
      _xlpm.ligpartie + 3,
      MATCH(AB$1, _xlpm.joueurs, 0) + 1
    )
  ), ""
)</f>
        <v/>
      </c>
      <c r="AC499" t="str" cm="1">
        <f t="array" ref="AC499">IFERROR(
  _xlfn.LET(
    _xlpm.ligpartie, MATCH($B498, Donnees!$F:$F, 0),
    _xlpm.joueurs, INDEX(Donnees!$A:$Z, _xlpm.ligpartie+1, _xlfn.SEQUENCE(1, 4, 2)),
    INDEX(
      Donnees!$A:$Z,
      _xlpm.ligpartie + 3,
      MATCH(AC$1, _xlpm.joueurs, 0) + 1
    )
  ), ""
)</f>
        <v/>
      </c>
      <c r="AD499" t="str" cm="1">
        <f t="array" ref="AD499">IFERROR(
  _xlfn.LET(
    _xlpm.ligpartie, MATCH($B498, Donnees!$F:$F, 0),
    _xlpm.joueurs, INDEX(Donnees!$A:$Z, _xlpm.ligpartie+1, _xlfn.SEQUENCE(1, 4, 2)),
    INDEX(
      Donnees!$A:$Z,
      _xlpm.ligpartie + 3,
      MATCH(AD$1, _xlpm.joueurs, 0) + 1
    )
  ), ""
)</f>
        <v/>
      </c>
      <c r="AE499" t="str" cm="1">
        <f t="array" ref="AE499">IFERROR(
  _xlfn.LET(
    _xlpm.ligpartie, MATCH($B498, Donnees!$F:$F, 0),
    _xlpm.joueurs, INDEX(Donnees!$A:$Z, _xlpm.ligpartie+1, _xlfn.SEQUENCE(1, 4, 2)),
    INDEX(
      Donnees!$A:$Z,
      _xlpm.ligpartie + 3,
      MATCH(AE$1, _xlpm.joueurs, 0) + 1
    )
  ), ""
)</f>
        <v/>
      </c>
      <c r="AF499" t="str" cm="1">
        <f t="array" ref="AF499">IFERROR(
  _xlfn.LET(
    _xlpm.ligpartie, MATCH($B498, Donnees!$F:$F, 0),
    _xlpm.joueurs, INDEX(Donnees!$A:$Z, _xlpm.ligpartie+1, _xlfn.SEQUENCE(1, 4, 2)),
    INDEX(
      Donnees!$A:$Z,
      _xlpm.ligpartie + 3,
      MATCH(AF$1, _xlpm.joueurs, 0) + 1
    )
  ), ""
)</f>
        <v/>
      </c>
      <c r="AG499" t="str" cm="1">
        <f t="array" ref="AG499">IFERROR(
  _xlfn.LET(
    _xlpm.ligpartie, MATCH($B498, Donnees!$F:$F, 0),
    _xlpm.joueurs, INDEX(Donnees!$A:$Z, _xlpm.ligpartie+1, _xlfn.SEQUENCE(1, 4, 2)),
    INDEX(
      Donnees!$A:$Z,
      _xlpm.ligpartie + 3,
      MATCH(AG$1, _xlpm.joueurs, 0) + 1
    )
  ), ""
)</f>
        <v/>
      </c>
      <c r="AH499" t="str" cm="1">
        <f t="array" ref="AH499">IFERROR(
  _xlfn.LET(
    _xlpm.ligpartie, MATCH($B498, Donnees!$F:$F, 0),
    _xlpm.joueurs, INDEX(Donnees!$A:$Z, _xlpm.ligpartie+1, _xlfn.SEQUENCE(1, 4, 2)),
    INDEX(
      Donnees!$A:$Z,
      _xlpm.ligpartie + 3,
      MATCH(AH$1, _xlpm.joueurs, 0) + 1
    )
  ), ""
)</f>
        <v/>
      </c>
      <c r="AI499" t="str" cm="1">
        <f t="array" ref="AI499">IFERROR(
  _xlfn.LET(
    _xlpm.ligpartie, MATCH($B498, Donnees!$F:$F, 0),
    _xlpm.joueurs, INDEX(Donnees!$A:$Z, _xlpm.ligpartie+1, _xlfn.SEQUENCE(1, 4, 2)),
    INDEX(
      Donnees!$A:$Z,
      _xlpm.ligpartie + 3,
      MATCH(AI$1, _xlpm.joueurs, 0) + 1
    )
  ), ""
)</f>
        <v/>
      </c>
      <c r="AJ499" t="str" cm="1">
        <f t="array" ref="AJ499">IFERROR(
  _xlfn.LET(
    _xlpm.ligpartie, MATCH($B498, Donnees!$F:$F, 0),
    _xlpm.joueurs, INDEX(Donnees!$A:$Z, _xlpm.ligpartie+1, _xlfn.SEQUENCE(1, 4, 2)),
    INDEX(
      Donnees!$A:$Z,
      _xlpm.ligpartie + 3,
      MATCH(AJ$1, _xlpm.joueurs, 0) + 1
    )
  ), ""
)</f>
        <v/>
      </c>
      <c r="AK499" t="str" cm="1">
        <f t="array" ref="AK499">IFERROR(
  _xlfn.LET(
    _xlpm.ligpartie, MATCH($B498, Donnees!$F:$F, 0),
    _xlpm.joueurs, INDEX(Donnees!$A:$Z, _xlpm.ligpartie+1, _xlfn.SEQUENCE(1, 4, 2)),
    INDEX(
      Donnees!$A:$Z,
      _xlpm.ligpartie + 3,
      MATCH(AK$1, _xlpm.joueurs, 0) + 1
    )
  ), ""
)</f>
        <v/>
      </c>
      <c r="AL499" t="str" cm="1">
        <f t="array" ref="AL499">IFERROR(
  _xlfn.LET(
    _xlpm.ligpartie, MATCH($B498, Donnees!$F:$F, 0),
    _xlpm.joueurs, INDEX(Donnees!$A:$Z, _xlpm.ligpartie+1, _xlfn.SEQUENCE(1, 4, 2)),
    INDEX(
      Donnees!$A:$Z,
      _xlpm.ligpartie + 3,
      MATCH(AL$1, _xlpm.joueurs, 0) + 1
    )
  ), ""
)</f>
        <v/>
      </c>
      <c r="AM499" t="str" cm="1">
        <f t="array" ref="AM499">IFERROR(
  _xlfn.LET(
    _xlpm.ligpartie, MATCH($B498, Donnees!$F:$F, 0),
    _xlpm.joueurs, INDEX(Donnees!$A:$Z, _xlpm.ligpartie+1, _xlfn.SEQUENCE(1, 4, 2)),
    INDEX(
      Donnees!$A:$Z,
      _xlpm.ligpartie + 3,
      MATCH(AM$1, _xlpm.joueurs, 0) + 1
    )
  ), ""
)</f>
        <v/>
      </c>
    </row>
    <row r="500" spans="1:39" x14ac:dyDescent="0.25">
      <c r="A500" t="s">
        <v>20</v>
      </c>
      <c r="D500" t="str" cm="1">
        <f t="array" ref="D500">_xlfn.LET(
  _xlpm.colj, _xlfn._xlws.FILTER(IF(ISNUMBER(499:499), COLUMN(499:499)), ISNUMBER(499:499)),
  _xlpm.elos, INDEX(498:498,1,_xlpm.colj),
  _xlpm.diffscale, Constantes!$B$2,
  IF(D499="",
    "",
    SUM(1/(1+POWER(10,-(D498-_xlpm.elos)/_xlpm.diffscale)))-0.5)
)</f>
        <v/>
      </c>
      <c r="E500" t="str" cm="1">
        <f t="array" ref="E500">_xlfn.LET(
  _xlpm.colj, _xlfn._xlws.FILTER(IF(ISNUMBER(499:499), COLUMN(499:499)), ISNUMBER(499:499)),
  _xlpm.elos, INDEX(498:498,1,_xlpm.colj),
  _xlpm.diffscale, Constantes!$B$2,
  IF(E499="",
    "",
    SUM(1/(1+POWER(10,-(E498-_xlpm.elos)/_xlpm.diffscale)))-0.5)
)</f>
        <v/>
      </c>
      <c r="F500" t="str" cm="1">
        <f t="array" ref="F500">_xlfn.LET(
  _xlpm.colj, _xlfn._xlws.FILTER(IF(ISNUMBER(499:499), COLUMN(499:499)), ISNUMBER(499:499)),
  _xlpm.elos, INDEX(498:498,1,_xlpm.colj),
  _xlpm.diffscale, Constantes!$B$2,
  IF(F499="",
    "",
    SUM(1/(1+POWER(10,-(F498-_xlpm.elos)/_xlpm.diffscale)))-0.5)
)</f>
        <v/>
      </c>
      <c r="G500" t="str" cm="1">
        <f t="array" ref="G500">_xlfn.LET(
  _xlpm.colj, _xlfn._xlws.FILTER(IF(ISNUMBER(499:499), COLUMN(499:499)), ISNUMBER(499:499)),
  _xlpm.elos, INDEX(498:498,1,_xlpm.colj),
  _xlpm.diffscale, Constantes!$B$2,
  IF(G499="",
    "",
    SUM(1/(1+POWER(10,-(G498-_xlpm.elos)/_xlpm.diffscale)))-0.5)
)</f>
        <v/>
      </c>
      <c r="H500" t="str" cm="1">
        <f t="array" ref="H500">_xlfn.LET(
  _xlpm.colj, _xlfn._xlws.FILTER(IF(ISNUMBER(499:499), COLUMN(499:499)), ISNUMBER(499:499)),
  _xlpm.elos, INDEX(498:498,1,_xlpm.colj),
  _xlpm.diffscale, Constantes!$B$2,
  IF(H499="",
    "",
    SUM(1/(1+POWER(10,-(H498-_xlpm.elos)/_xlpm.diffscale)))-0.5)
)</f>
        <v/>
      </c>
      <c r="I500" t="str" cm="1">
        <f t="array" ref="I500">_xlfn.LET(
  _xlpm.colj, _xlfn._xlws.FILTER(IF(ISNUMBER(499:499), COLUMN(499:499)), ISNUMBER(499:499)),
  _xlpm.elos, INDEX(498:498,1,_xlpm.colj),
  _xlpm.diffscale, Constantes!$B$2,
  IF(I499="",
    "",
    SUM(1/(1+POWER(10,-(I498-_xlpm.elos)/_xlpm.diffscale)))-0.5)
)</f>
        <v/>
      </c>
      <c r="J500" t="str" cm="1">
        <f t="array" ref="J500">_xlfn.LET(
  _xlpm.colj, _xlfn._xlws.FILTER(IF(ISNUMBER(499:499), COLUMN(499:499)), ISNUMBER(499:499)),
  _xlpm.elos, INDEX(498:498,1,_xlpm.colj),
  _xlpm.diffscale, Constantes!$B$2,
  IF(J499="",
    "",
    SUM(1/(1+POWER(10,-(J498-_xlpm.elos)/_xlpm.diffscale)))-0.5)
)</f>
        <v/>
      </c>
      <c r="K500" t="str" cm="1">
        <f t="array" ref="K500">_xlfn.LET(
  _xlpm.colj, _xlfn._xlws.FILTER(IF(ISNUMBER(499:499), COLUMN(499:499)), ISNUMBER(499:499)),
  _xlpm.elos, INDEX(498:498,1,_xlpm.colj),
  _xlpm.diffscale, Constantes!$B$2,
  IF(K499="",
    "",
    SUM(1/(1+POWER(10,-(K498-_xlpm.elos)/_xlpm.diffscale)))-0.5)
)</f>
        <v/>
      </c>
      <c r="L500" t="str" cm="1">
        <f t="array" ref="L500">_xlfn.LET(
  _xlpm.colj, _xlfn._xlws.FILTER(IF(ISNUMBER(499:499), COLUMN(499:499)), ISNUMBER(499:499)),
  _xlpm.elos, INDEX(498:498,1,_xlpm.colj),
  _xlpm.diffscale, Constantes!$B$2,
  IF(L499="",
    "",
    SUM(1/(1+POWER(10,-(L498-_xlpm.elos)/_xlpm.diffscale)))-0.5)
)</f>
        <v/>
      </c>
      <c r="M500" t="str" cm="1">
        <f t="array" ref="M500">_xlfn.LET(
  _xlpm.colj, _xlfn._xlws.FILTER(IF(ISNUMBER(499:499), COLUMN(499:499)), ISNUMBER(499:499)),
  _xlpm.elos, INDEX(498:498,1,_xlpm.colj),
  _xlpm.diffscale, Constantes!$B$2,
  IF(M499="",
    "",
    SUM(1/(1+POWER(10,-(M498-_xlpm.elos)/_xlpm.diffscale)))-0.5)
)</f>
        <v/>
      </c>
      <c r="N500" t="str" cm="1">
        <f t="array" ref="N500">_xlfn.LET(
  _xlpm.colj, _xlfn._xlws.FILTER(IF(ISNUMBER(499:499), COLUMN(499:499)), ISNUMBER(499:499)),
  _xlpm.elos, INDEX(498:498,1,_xlpm.colj),
  _xlpm.diffscale, Constantes!$B$2,
  IF(N499="",
    "",
    SUM(1/(1+POWER(10,-(N498-_xlpm.elos)/_xlpm.diffscale)))-0.5)
)</f>
        <v/>
      </c>
      <c r="O500" t="str" cm="1">
        <f t="array" ref="O500">_xlfn.LET(
  _xlpm.colj, _xlfn._xlws.FILTER(IF(ISNUMBER(499:499), COLUMN(499:499)), ISNUMBER(499:499)),
  _xlpm.elos, INDEX(498:498,1,_xlpm.colj),
  _xlpm.diffscale, Constantes!$B$2,
  IF(O499="",
    "",
    SUM(1/(1+POWER(10,-(O498-_xlpm.elos)/_xlpm.diffscale)))-0.5)
)</f>
        <v/>
      </c>
      <c r="P500" t="str" cm="1">
        <f t="array" ref="P500">_xlfn.LET(
  _xlpm.colj, _xlfn._xlws.FILTER(IF(ISNUMBER(499:499), COLUMN(499:499)), ISNUMBER(499:499)),
  _xlpm.elos, INDEX(498:498,1,_xlpm.colj),
  _xlpm.diffscale, Constantes!$B$2,
  IF(P499="",
    "",
    SUM(1/(1+POWER(10,-(P498-_xlpm.elos)/_xlpm.diffscale)))-0.5)
)</f>
        <v/>
      </c>
      <c r="Q500" t="str" cm="1">
        <f t="array" ref="Q500">_xlfn.LET(
  _xlpm.colj, _xlfn._xlws.FILTER(IF(ISNUMBER(499:499), COLUMN(499:499)), ISNUMBER(499:499)),
  _xlpm.elos, INDEX(498:498,1,_xlpm.colj),
  _xlpm.diffscale, Constantes!$B$2,
  IF(Q499="",
    "",
    SUM(1/(1+POWER(10,-(Q498-_xlpm.elos)/_xlpm.diffscale)))-0.5)
)</f>
        <v/>
      </c>
      <c r="R500" t="str" cm="1">
        <f t="array" ref="R500">_xlfn.LET(
  _xlpm.colj, _xlfn._xlws.FILTER(IF(ISNUMBER(499:499), COLUMN(499:499)), ISNUMBER(499:499)),
  _xlpm.elos, INDEX(498:498,1,_xlpm.colj),
  _xlpm.diffscale, Constantes!$B$2,
  IF(R499="",
    "",
    SUM(1/(1+POWER(10,-(R498-_xlpm.elos)/_xlpm.diffscale)))-0.5)
)</f>
        <v/>
      </c>
      <c r="S500" t="str" cm="1">
        <f t="array" ref="S500">_xlfn.LET(
  _xlpm.colj, _xlfn._xlws.FILTER(IF(ISNUMBER(499:499), COLUMN(499:499)), ISNUMBER(499:499)),
  _xlpm.elos, INDEX(498:498,1,_xlpm.colj),
  _xlpm.diffscale, Constantes!$B$2,
  IF(S499="",
    "",
    SUM(1/(1+POWER(10,-(S498-_xlpm.elos)/_xlpm.diffscale)))-0.5)
)</f>
        <v/>
      </c>
      <c r="T500" t="str" cm="1">
        <f t="array" ref="T500">_xlfn.LET(
  _xlpm.colj, _xlfn._xlws.FILTER(IF(ISNUMBER(499:499), COLUMN(499:499)), ISNUMBER(499:499)),
  _xlpm.elos, INDEX(498:498,1,_xlpm.colj),
  _xlpm.diffscale, Constantes!$B$2,
  IF(T499="",
    "",
    SUM(1/(1+POWER(10,-(T498-_xlpm.elos)/_xlpm.diffscale)))-0.5)
)</f>
        <v/>
      </c>
      <c r="U500" t="str" cm="1">
        <f t="array" ref="U500">_xlfn.LET(
  _xlpm.colj, _xlfn._xlws.FILTER(IF(ISNUMBER(499:499), COLUMN(499:499)), ISNUMBER(499:499)),
  _xlpm.elos, INDEX(498:498,1,_xlpm.colj),
  _xlpm.diffscale, Constantes!$B$2,
  IF(U499="",
    "",
    SUM(1/(1+POWER(10,-(U498-_xlpm.elos)/_xlpm.diffscale)))-0.5)
)</f>
        <v/>
      </c>
      <c r="V500" t="str" cm="1">
        <f t="array" ref="V500">_xlfn.LET(
  _xlpm.colj, _xlfn._xlws.FILTER(IF(ISNUMBER(499:499), COLUMN(499:499)), ISNUMBER(499:499)),
  _xlpm.elos, INDEX(498:498,1,_xlpm.colj),
  _xlpm.diffscale, Constantes!$B$2,
  IF(V499="",
    "",
    SUM(1/(1+POWER(10,-(V498-_xlpm.elos)/_xlpm.diffscale)))-0.5)
)</f>
        <v/>
      </c>
      <c r="W500" t="str" cm="1">
        <f t="array" ref="W500">_xlfn.LET(
  _xlpm.colj, _xlfn._xlws.FILTER(IF(ISNUMBER(499:499), COLUMN(499:499)), ISNUMBER(499:499)),
  _xlpm.elos, INDEX(498:498,1,_xlpm.colj),
  _xlpm.diffscale, Constantes!$B$2,
  IF(W499="",
    "",
    SUM(1/(1+POWER(10,-(W498-_xlpm.elos)/_xlpm.diffscale)))-0.5)
)</f>
        <v/>
      </c>
      <c r="X500" t="str" cm="1">
        <f t="array" ref="X500">_xlfn.LET(
  _xlpm.colj, _xlfn._xlws.FILTER(IF(ISNUMBER(499:499), COLUMN(499:499)), ISNUMBER(499:499)),
  _xlpm.elos, INDEX(498:498,1,_xlpm.colj),
  _xlpm.diffscale, Constantes!$B$2,
  IF(X499="",
    "",
    SUM(1/(1+POWER(10,-(X498-_xlpm.elos)/_xlpm.diffscale)))-0.5)
)</f>
        <v/>
      </c>
      <c r="Y500" t="str" cm="1">
        <f t="array" ref="Y500">_xlfn.LET(
  _xlpm.colj, _xlfn._xlws.FILTER(IF(ISNUMBER(499:499), COLUMN(499:499)), ISNUMBER(499:499)),
  _xlpm.elos, INDEX(498:498,1,_xlpm.colj),
  _xlpm.diffscale, Constantes!$B$2,
  IF(Y499="",
    "",
    SUM(1/(1+POWER(10,-(Y498-_xlpm.elos)/_xlpm.diffscale)))-0.5)
)</f>
        <v/>
      </c>
      <c r="Z500" t="str" cm="1">
        <f t="array" ref="Z500">_xlfn.LET(
  _xlpm.colj, _xlfn._xlws.FILTER(IF(ISNUMBER(499:499), COLUMN(499:499)), ISNUMBER(499:499)),
  _xlpm.elos, INDEX(498:498,1,_xlpm.colj),
  _xlpm.diffscale, Constantes!$B$2,
  IF(Z499="",
    "",
    SUM(1/(1+POWER(10,-(Z498-_xlpm.elos)/_xlpm.diffscale)))-0.5)
)</f>
        <v/>
      </c>
      <c r="AA500" t="str" cm="1">
        <f t="array" ref="AA500">_xlfn.LET(
  _xlpm.colj, _xlfn._xlws.FILTER(IF(ISNUMBER(499:499), COLUMN(499:499)), ISNUMBER(499:499)),
  _xlpm.elos, INDEX(498:498,1,_xlpm.colj),
  _xlpm.diffscale, Constantes!$B$2,
  IF(AA499="",
    "",
    SUM(1/(1+POWER(10,-(AA498-_xlpm.elos)/_xlpm.diffscale)))-0.5)
)</f>
        <v/>
      </c>
      <c r="AB500" t="str" cm="1">
        <f t="array" ref="AB500">_xlfn.LET(
  _xlpm.colj, _xlfn._xlws.FILTER(IF(ISNUMBER(499:499), COLUMN(499:499)), ISNUMBER(499:499)),
  _xlpm.elos, INDEX(498:498,1,_xlpm.colj),
  _xlpm.diffscale, Constantes!$B$2,
  IF(AB499="",
    "",
    SUM(1/(1+POWER(10,-(AB498-_xlpm.elos)/_xlpm.diffscale)))-0.5)
)</f>
        <v/>
      </c>
      <c r="AC500" t="str" cm="1">
        <f t="array" ref="AC500">_xlfn.LET(
  _xlpm.colj, _xlfn._xlws.FILTER(IF(ISNUMBER(499:499), COLUMN(499:499)), ISNUMBER(499:499)),
  _xlpm.elos, INDEX(498:498,1,_xlpm.colj),
  _xlpm.diffscale, Constantes!$B$2,
  IF(AC499="",
    "",
    SUM(1/(1+POWER(10,-(AC498-_xlpm.elos)/_xlpm.diffscale)))-0.5)
)</f>
        <v/>
      </c>
      <c r="AD500" t="str" cm="1">
        <f t="array" ref="AD500">_xlfn.LET(
  _xlpm.colj, _xlfn._xlws.FILTER(IF(ISNUMBER(499:499), COLUMN(499:499)), ISNUMBER(499:499)),
  _xlpm.elos, INDEX(498:498,1,_xlpm.colj),
  _xlpm.diffscale, Constantes!$B$2,
  IF(AD499="",
    "",
    SUM(1/(1+POWER(10,-(AD498-_xlpm.elos)/_xlpm.diffscale)))-0.5)
)</f>
        <v/>
      </c>
      <c r="AE500" t="str" cm="1">
        <f t="array" ref="AE500">_xlfn.LET(
  _xlpm.colj, _xlfn._xlws.FILTER(IF(ISNUMBER(499:499), COLUMN(499:499)), ISNUMBER(499:499)),
  _xlpm.elos, INDEX(498:498,1,_xlpm.colj),
  _xlpm.diffscale, Constantes!$B$2,
  IF(AE499="",
    "",
    SUM(1/(1+POWER(10,-(AE498-_xlpm.elos)/_xlpm.diffscale)))-0.5)
)</f>
        <v/>
      </c>
      <c r="AF500" t="str" cm="1">
        <f t="array" ref="AF500">_xlfn.LET(
  _xlpm.colj, _xlfn._xlws.FILTER(IF(ISNUMBER(499:499), COLUMN(499:499)), ISNUMBER(499:499)),
  _xlpm.elos, INDEX(498:498,1,_xlpm.colj),
  _xlpm.diffscale, Constantes!$B$2,
  IF(AF499="",
    "",
    SUM(1/(1+POWER(10,-(AF498-_xlpm.elos)/_xlpm.diffscale)))-0.5)
)</f>
        <v/>
      </c>
      <c r="AG500" t="str" cm="1">
        <f t="array" ref="AG500">_xlfn.LET(
  _xlpm.colj, _xlfn._xlws.FILTER(IF(ISNUMBER(499:499), COLUMN(499:499)), ISNUMBER(499:499)),
  _xlpm.elos, INDEX(498:498,1,_xlpm.colj),
  _xlpm.diffscale, Constantes!$B$2,
  IF(AG499="",
    "",
    SUM(1/(1+POWER(10,-(AG498-_xlpm.elos)/_xlpm.diffscale)))-0.5)
)</f>
        <v/>
      </c>
      <c r="AH500" t="str" cm="1">
        <f t="array" ref="AH500">_xlfn.LET(
  _xlpm.colj, _xlfn._xlws.FILTER(IF(ISNUMBER(499:499), COLUMN(499:499)), ISNUMBER(499:499)),
  _xlpm.elos, INDEX(498:498,1,_xlpm.colj),
  _xlpm.diffscale, Constantes!$B$2,
  IF(AH499="",
    "",
    SUM(1/(1+POWER(10,-(AH498-_xlpm.elos)/_xlpm.diffscale)))-0.5)
)</f>
        <v/>
      </c>
      <c r="AI500" t="str" cm="1">
        <f t="array" ref="AI500">_xlfn.LET(
  _xlpm.colj, _xlfn._xlws.FILTER(IF(ISNUMBER(499:499), COLUMN(499:499)), ISNUMBER(499:499)),
  _xlpm.elos, INDEX(498:498,1,_xlpm.colj),
  _xlpm.diffscale, Constantes!$B$2,
  IF(AI499="",
    "",
    SUM(1/(1+POWER(10,-(AI498-_xlpm.elos)/_xlpm.diffscale)))-0.5)
)</f>
        <v/>
      </c>
      <c r="AJ500" t="str" cm="1">
        <f t="array" ref="AJ500">_xlfn.LET(
  _xlpm.colj, _xlfn._xlws.FILTER(IF(ISNUMBER(499:499), COLUMN(499:499)), ISNUMBER(499:499)),
  _xlpm.elos, INDEX(498:498,1,_xlpm.colj),
  _xlpm.diffscale, Constantes!$B$2,
  IF(AJ499="",
    "",
    SUM(1/(1+POWER(10,-(AJ498-_xlpm.elos)/_xlpm.diffscale)))-0.5)
)</f>
        <v/>
      </c>
      <c r="AK500" t="str" cm="1">
        <f t="array" ref="AK500">_xlfn.LET(
  _xlpm.colj, _xlfn._xlws.FILTER(IF(ISNUMBER(499:499), COLUMN(499:499)), ISNUMBER(499:499)),
  _xlpm.elos, INDEX(498:498,1,_xlpm.colj),
  _xlpm.diffscale, Constantes!$B$2,
  IF(AK499="",
    "",
    SUM(1/(1+POWER(10,-(AK498-_xlpm.elos)/_xlpm.diffscale)))-0.5)
)</f>
        <v/>
      </c>
      <c r="AL500" t="str" cm="1">
        <f t="array" ref="AL500">_xlfn.LET(
  _xlpm.colj, _xlfn._xlws.FILTER(IF(ISNUMBER(499:499), COLUMN(499:499)), ISNUMBER(499:499)),
  _xlpm.elos, INDEX(498:498,1,_xlpm.colj),
  _xlpm.diffscale, Constantes!$B$2,
  IF(AL499="",
    "",
    SUM(1/(1+POWER(10,-(AL498-_xlpm.elos)/_xlpm.diffscale)))-0.5)
)</f>
        <v/>
      </c>
      <c r="AM500" t="str" cm="1">
        <f t="array" ref="AM500">_xlfn.LET(
  _xlpm.colj, _xlfn._xlws.FILTER(IF(ISNUMBER(499:499), COLUMN(499:499)), ISNUMBER(499:499)),
  _xlpm.elos, INDEX(498:498,1,_xlpm.colj),
  _xlpm.diffscale, Constantes!$B$2,
  IF(AM499="",
    "",
    SUM(1/(1+POWER(10,-(AM498-_xlpm.elos)/_xlpm.diffscale)))-0.5)
)</f>
        <v/>
      </c>
    </row>
    <row r="501" spans="1:39" x14ac:dyDescent="0.25">
      <c r="A501" t="s">
        <v>22</v>
      </c>
      <c r="D501" t="str" cm="1">
        <f t="array" ref="D501">_xlfn.LET(
  _xlpm.K, Constantes!$B$3,
  _xlpm.Knewgain, Constantes!$B$4,
  _xlpm.Knewscale, Constantes!$B$5,
  _xlpm.ptstables, INDEX(D:D, _xlfn.SEQUENCE(COUNTA($C$2:$C501), 1, 3, 4)),
  _xlpm.nbparties, COUNTA(_xlfn._xlws.FILTER(_xlpm.ptstables, _xlpm.ptstables &lt;&gt; "")),
  _xlpm.coef, _xlpm.K + _xlpm.Knewgain / (_xlpm.Knewscale + _xlpm.nbparties),
  IF(D499="",
    "",
    _xlpm.coef * (D499-D500))
)</f>
        <v/>
      </c>
      <c r="E501" t="str" cm="1">
        <f t="array" ref="E501">_xlfn.LET(
  _xlpm.K, Constantes!$B$3,
  _xlpm.Knewgain, Constantes!$B$4,
  _xlpm.Knewscale, Constantes!$B$5,
  _xlpm.ptstables, INDEX(E:E, _xlfn.SEQUENCE(COUNTA($C$2:$C501), 1, 3, 4)),
  _xlpm.nbparties, COUNTA(_xlfn._xlws.FILTER(_xlpm.ptstables, _xlpm.ptstables &lt;&gt; "")),
  _xlpm.coef, _xlpm.K + _xlpm.Knewgain / (_xlpm.Knewscale + _xlpm.nbparties),
  IF(E499="",
    "",
    _xlpm.coef * (E499-E500))
)</f>
        <v/>
      </c>
      <c r="F501" t="str" cm="1">
        <f t="array" ref="F501">_xlfn.LET(
  _xlpm.K, Constantes!$B$3,
  _xlpm.Knewgain, Constantes!$B$4,
  _xlpm.Knewscale, Constantes!$B$5,
  _xlpm.ptstables, INDEX(F:F, _xlfn.SEQUENCE(COUNTA($C$2:$C501), 1, 3, 4)),
  _xlpm.nbparties, COUNTA(_xlfn._xlws.FILTER(_xlpm.ptstables, _xlpm.ptstables &lt;&gt; "")),
  _xlpm.coef, _xlpm.K + _xlpm.Knewgain / (_xlpm.Knewscale + _xlpm.nbparties),
  IF(F499="",
    "",
    _xlpm.coef * (F499-F500))
)</f>
        <v/>
      </c>
      <c r="G501" t="str" cm="1">
        <f t="array" ref="G501">_xlfn.LET(
  _xlpm.K, Constantes!$B$3,
  _xlpm.Knewgain, Constantes!$B$4,
  _xlpm.Knewscale, Constantes!$B$5,
  _xlpm.ptstables, INDEX(G:G, _xlfn.SEQUENCE(COUNTA($C$2:$C501), 1, 3, 4)),
  _xlpm.nbparties, COUNTA(_xlfn._xlws.FILTER(_xlpm.ptstables, _xlpm.ptstables &lt;&gt; "")),
  _xlpm.coef, _xlpm.K + _xlpm.Knewgain / (_xlpm.Knewscale + _xlpm.nbparties),
  IF(G499="",
    "",
    _xlpm.coef * (G499-G500))
)</f>
        <v/>
      </c>
      <c r="H501" t="str" cm="1">
        <f t="array" ref="H501">_xlfn.LET(
  _xlpm.K, Constantes!$B$3,
  _xlpm.Knewgain, Constantes!$B$4,
  _xlpm.Knewscale, Constantes!$B$5,
  _xlpm.ptstables, INDEX(H:H, _xlfn.SEQUENCE(COUNTA($C$2:$C501), 1, 3, 4)),
  _xlpm.nbparties, COUNTA(_xlfn._xlws.FILTER(_xlpm.ptstables, _xlpm.ptstables &lt;&gt; "")),
  _xlpm.coef, _xlpm.K + _xlpm.Knewgain / (_xlpm.Knewscale + _xlpm.nbparties),
  IF(H499="",
    "",
    _xlpm.coef * (H499-H500))
)</f>
        <v/>
      </c>
      <c r="I501" t="str" cm="1">
        <f t="array" ref="I501">_xlfn.LET(
  _xlpm.K, Constantes!$B$3,
  _xlpm.Knewgain, Constantes!$B$4,
  _xlpm.Knewscale, Constantes!$B$5,
  _xlpm.ptstables, INDEX(I:I, _xlfn.SEQUENCE(COUNTA($C$2:$C501), 1, 3, 4)),
  _xlpm.nbparties, COUNTA(_xlfn._xlws.FILTER(_xlpm.ptstables, _xlpm.ptstables &lt;&gt; "")),
  _xlpm.coef, _xlpm.K + _xlpm.Knewgain / (_xlpm.Knewscale + _xlpm.nbparties),
  IF(I499="",
    "",
    _xlpm.coef * (I499-I500))
)</f>
        <v/>
      </c>
      <c r="J501" t="str" cm="1">
        <f t="array" ref="J501">_xlfn.LET(
  _xlpm.K, Constantes!$B$3,
  _xlpm.Knewgain, Constantes!$B$4,
  _xlpm.Knewscale, Constantes!$B$5,
  _xlpm.ptstables, INDEX(J:J, _xlfn.SEQUENCE(COUNTA($C$2:$C501), 1, 3, 4)),
  _xlpm.nbparties, COUNTA(_xlfn._xlws.FILTER(_xlpm.ptstables, _xlpm.ptstables &lt;&gt; "")),
  _xlpm.coef, _xlpm.K + _xlpm.Knewgain / (_xlpm.Knewscale + _xlpm.nbparties),
  IF(J499="",
    "",
    _xlpm.coef * (J499-J500))
)</f>
        <v/>
      </c>
      <c r="K501" t="str" cm="1">
        <f t="array" ref="K501">_xlfn.LET(
  _xlpm.K, Constantes!$B$3,
  _xlpm.Knewgain, Constantes!$B$4,
  _xlpm.Knewscale, Constantes!$B$5,
  _xlpm.ptstables, INDEX(K:K, _xlfn.SEQUENCE(COUNTA($C$2:$C501), 1, 3, 4)),
  _xlpm.nbparties, COUNTA(_xlfn._xlws.FILTER(_xlpm.ptstables, _xlpm.ptstables &lt;&gt; "")),
  _xlpm.coef, _xlpm.K + _xlpm.Knewgain / (_xlpm.Knewscale + _xlpm.nbparties),
  IF(K499="",
    "",
    _xlpm.coef * (K499-K500))
)</f>
        <v/>
      </c>
      <c r="L501" t="str" cm="1">
        <f t="array" ref="L501">_xlfn.LET(
  _xlpm.K, Constantes!$B$3,
  _xlpm.Knewgain, Constantes!$B$4,
  _xlpm.Knewscale, Constantes!$B$5,
  _xlpm.ptstables, INDEX(L:L, _xlfn.SEQUENCE(COUNTA($C$2:$C501), 1, 3, 4)),
  _xlpm.nbparties, COUNTA(_xlfn._xlws.FILTER(_xlpm.ptstables, _xlpm.ptstables &lt;&gt; "")),
  _xlpm.coef, _xlpm.K + _xlpm.Knewgain / (_xlpm.Knewscale + _xlpm.nbparties),
  IF(L499="",
    "",
    _xlpm.coef * (L499-L500))
)</f>
        <v/>
      </c>
      <c r="M501" t="str" cm="1">
        <f t="array" ref="M501">_xlfn.LET(
  _xlpm.K, Constantes!$B$3,
  _xlpm.Knewgain, Constantes!$B$4,
  _xlpm.Knewscale, Constantes!$B$5,
  _xlpm.ptstables, INDEX(M:M, _xlfn.SEQUENCE(COUNTA($C$2:$C501), 1, 3, 4)),
  _xlpm.nbparties, COUNTA(_xlfn._xlws.FILTER(_xlpm.ptstables, _xlpm.ptstables &lt;&gt; "")),
  _xlpm.coef, _xlpm.K + _xlpm.Knewgain / (_xlpm.Knewscale + _xlpm.nbparties),
  IF(M499="",
    "",
    _xlpm.coef * (M499-M500))
)</f>
        <v/>
      </c>
      <c r="N501" t="str" cm="1">
        <f t="array" ref="N501">_xlfn.LET(
  _xlpm.K, Constantes!$B$3,
  _xlpm.Knewgain, Constantes!$B$4,
  _xlpm.Knewscale, Constantes!$B$5,
  _xlpm.ptstables, INDEX(N:N, _xlfn.SEQUENCE(COUNTA($C$2:$C501), 1, 3, 4)),
  _xlpm.nbparties, COUNTA(_xlfn._xlws.FILTER(_xlpm.ptstables, _xlpm.ptstables &lt;&gt; "")),
  _xlpm.coef, _xlpm.K + _xlpm.Knewgain / (_xlpm.Knewscale + _xlpm.nbparties),
  IF(N499="",
    "",
    _xlpm.coef * (N499-N500))
)</f>
        <v/>
      </c>
      <c r="O501" t="str" cm="1">
        <f t="array" ref="O501">_xlfn.LET(
  _xlpm.K, Constantes!$B$3,
  _xlpm.Knewgain, Constantes!$B$4,
  _xlpm.Knewscale, Constantes!$B$5,
  _xlpm.ptstables, INDEX(O:O, _xlfn.SEQUENCE(COUNTA($C$2:$C501), 1, 3, 4)),
  _xlpm.nbparties, COUNTA(_xlfn._xlws.FILTER(_xlpm.ptstables, _xlpm.ptstables &lt;&gt; "")),
  _xlpm.coef, _xlpm.K + _xlpm.Knewgain / (_xlpm.Knewscale + _xlpm.nbparties),
  IF(O499="",
    "",
    _xlpm.coef * (O499-O500))
)</f>
        <v/>
      </c>
      <c r="P501" t="str" cm="1">
        <f t="array" ref="P501">_xlfn.LET(
  _xlpm.K, Constantes!$B$3,
  _xlpm.Knewgain, Constantes!$B$4,
  _xlpm.Knewscale, Constantes!$B$5,
  _xlpm.ptstables, INDEX(P:P, _xlfn.SEQUENCE(COUNTA($C$2:$C501), 1, 3, 4)),
  _xlpm.nbparties, COUNTA(_xlfn._xlws.FILTER(_xlpm.ptstables, _xlpm.ptstables &lt;&gt; "")),
  _xlpm.coef, _xlpm.K + _xlpm.Knewgain / (_xlpm.Knewscale + _xlpm.nbparties),
  IF(P499="",
    "",
    _xlpm.coef * (P499-P500))
)</f>
        <v/>
      </c>
      <c r="Q501" t="str" cm="1">
        <f t="array" ref="Q501">_xlfn.LET(
  _xlpm.K, Constantes!$B$3,
  _xlpm.Knewgain, Constantes!$B$4,
  _xlpm.Knewscale, Constantes!$B$5,
  _xlpm.ptstables, INDEX(Q:Q, _xlfn.SEQUENCE(COUNTA($C$2:$C501), 1, 3, 4)),
  _xlpm.nbparties, COUNTA(_xlfn._xlws.FILTER(_xlpm.ptstables, _xlpm.ptstables &lt;&gt; "")),
  _xlpm.coef, _xlpm.K + _xlpm.Knewgain / (_xlpm.Knewscale + _xlpm.nbparties),
  IF(Q499="",
    "",
    _xlpm.coef * (Q499-Q500))
)</f>
        <v/>
      </c>
      <c r="R501" t="str" cm="1">
        <f t="array" ref="R501">_xlfn.LET(
  _xlpm.K, Constantes!$B$3,
  _xlpm.Knewgain, Constantes!$B$4,
  _xlpm.Knewscale, Constantes!$B$5,
  _xlpm.ptstables, INDEX(R:R, _xlfn.SEQUENCE(COUNTA($C$2:$C501), 1, 3, 4)),
  _xlpm.nbparties, COUNTA(_xlfn._xlws.FILTER(_xlpm.ptstables, _xlpm.ptstables &lt;&gt; "")),
  _xlpm.coef, _xlpm.K + _xlpm.Knewgain / (_xlpm.Knewscale + _xlpm.nbparties),
  IF(R499="",
    "",
    _xlpm.coef * (R499-R500))
)</f>
        <v/>
      </c>
      <c r="S501" t="str" cm="1">
        <f t="array" ref="S501">_xlfn.LET(
  _xlpm.K, Constantes!$B$3,
  _xlpm.Knewgain, Constantes!$B$4,
  _xlpm.Knewscale, Constantes!$B$5,
  _xlpm.ptstables, INDEX(S:S, _xlfn.SEQUENCE(COUNTA($C$2:$C501), 1, 3, 4)),
  _xlpm.nbparties, COUNTA(_xlfn._xlws.FILTER(_xlpm.ptstables, _xlpm.ptstables &lt;&gt; "")),
  _xlpm.coef, _xlpm.K + _xlpm.Knewgain / (_xlpm.Knewscale + _xlpm.nbparties),
  IF(S499="",
    "",
    _xlpm.coef * (S499-S500))
)</f>
        <v/>
      </c>
      <c r="T501" t="str" cm="1">
        <f t="array" ref="T501">_xlfn.LET(
  _xlpm.K, Constantes!$B$3,
  _xlpm.Knewgain, Constantes!$B$4,
  _xlpm.Knewscale, Constantes!$B$5,
  _xlpm.ptstables, INDEX(T:T, _xlfn.SEQUENCE(COUNTA($C$2:$C501), 1, 3, 4)),
  _xlpm.nbparties, COUNTA(_xlfn._xlws.FILTER(_xlpm.ptstables, _xlpm.ptstables &lt;&gt; "")),
  _xlpm.coef, _xlpm.K + _xlpm.Knewgain / (_xlpm.Knewscale + _xlpm.nbparties),
  IF(T499="",
    "",
    _xlpm.coef * (T499-T500))
)</f>
        <v/>
      </c>
      <c r="U501" t="str" cm="1">
        <f t="array" ref="U501">_xlfn.LET(
  _xlpm.K, Constantes!$B$3,
  _xlpm.Knewgain, Constantes!$B$4,
  _xlpm.Knewscale, Constantes!$B$5,
  _xlpm.ptstables, INDEX(U:U, _xlfn.SEQUENCE(COUNTA($C$2:$C501), 1, 3, 4)),
  _xlpm.nbparties, COUNTA(_xlfn._xlws.FILTER(_xlpm.ptstables, _xlpm.ptstables &lt;&gt; "")),
  _xlpm.coef, _xlpm.K + _xlpm.Knewgain / (_xlpm.Knewscale + _xlpm.nbparties),
  IF(U499="",
    "",
    _xlpm.coef * (U499-U500))
)</f>
        <v/>
      </c>
      <c r="V501" t="str" cm="1">
        <f t="array" ref="V501">_xlfn.LET(
  _xlpm.K, Constantes!$B$3,
  _xlpm.Knewgain, Constantes!$B$4,
  _xlpm.Knewscale, Constantes!$B$5,
  _xlpm.ptstables, INDEX(V:V, _xlfn.SEQUENCE(COUNTA($C$2:$C501), 1, 3, 4)),
  _xlpm.nbparties, COUNTA(_xlfn._xlws.FILTER(_xlpm.ptstables, _xlpm.ptstables &lt;&gt; "")),
  _xlpm.coef, _xlpm.K + _xlpm.Knewgain / (_xlpm.Knewscale + _xlpm.nbparties),
  IF(V499="",
    "",
    _xlpm.coef * (V499-V500))
)</f>
        <v/>
      </c>
      <c r="W501" t="str" cm="1">
        <f t="array" ref="W501">_xlfn.LET(
  _xlpm.K, Constantes!$B$3,
  _xlpm.Knewgain, Constantes!$B$4,
  _xlpm.Knewscale, Constantes!$B$5,
  _xlpm.ptstables, INDEX(W:W, _xlfn.SEQUENCE(COUNTA($C$2:$C501), 1, 3, 4)),
  _xlpm.nbparties, COUNTA(_xlfn._xlws.FILTER(_xlpm.ptstables, _xlpm.ptstables &lt;&gt; "")),
  _xlpm.coef, _xlpm.K + _xlpm.Knewgain / (_xlpm.Knewscale + _xlpm.nbparties),
  IF(W499="",
    "",
    _xlpm.coef * (W499-W500))
)</f>
        <v/>
      </c>
      <c r="X501" t="str" cm="1">
        <f t="array" ref="X501">_xlfn.LET(
  _xlpm.K, Constantes!$B$3,
  _xlpm.Knewgain, Constantes!$B$4,
  _xlpm.Knewscale, Constantes!$B$5,
  _xlpm.ptstables, INDEX(X:X, _xlfn.SEQUENCE(COUNTA($C$2:$C501), 1, 3, 4)),
  _xlpm.nbparties, COUNTA(_xlfn._xlws.FILTER(_xlpm.ptstables, _xlpm.ptstables &lt;&gt; "")),
  _xlpm.coef, _xlpm.K + _xlpm.Knewgain / (_xlpm.Knewscale + _xlpm.nbparties),
  IF(X499="",
    "",
    _xlpm.coef * (X499-X500))
)</f>
        <v/>
      </c>
      <c r="Y501" t="str" cm="1">
        <f t="array" ref="Y501">_xlfn.LET(
  _xlpm.K, Constantes!$B$3,
  _xlpm.Knewgain, Constantes!$B$4,
  _xlpm.Knewscale, Constantes!$B$5,
  _xlpm.ptstables, INDEX(Y:Y, _xlfn.SEQUENCE(COUNTA($C$2:$C501), 1, 3, 4)),
  _xlpm.nbparties, COUNTA(_xlfn._xlws.FILTER(_xlpm.ptstables, _xlpm.ptstables &lt;&gt; "")),
  _xlpm.coef, _xlpm.K + _xlpm.Knewgain / (_xlpm.Knewscale + _xlpm.nbparties),
  IF(Y499="",
    "",
    _xlpm.coef * (Y499-Y500))
)</f>
        <v/>
      </c>
      <c r="Z501" t="str" cm="1">
        <f t="array" ref="Z501">_xlfn.LET(
  _xlpm.K, Constantes!$B$3,
  _xlpm.Knewgain, Constantes!$B$4,
  _xlpm.Knewscale, Constantes!$B$5,
  _xlpm.ptstables, INDEX(Z:Z, _xlfn.SEQUENCE(COUNTA($C$2:$C501), 1, 3, 4)),
  _xlpm.nbparties, COUNTA(_xlfn._xlws.FILTER(_xlpm.ptstables, _xlpm.ptstables &lt;&gt; "")),
  _xlpm.coef, _xlpm.K + _xlpm.Knewgain / (_xlpm.Knewscale + _xlpm.nbparties),
  IF(Z499="",
    "",
    _xlpm.coef * (Z499-Z500))
)</f>
        <v/>
      </c>
      <c r="AA501" t="str" cm="1">
        <f t="array" ref="AA501">_xlfn.LET(
  _xlpm.K, Constantes!$B$3,
  _xlpm.Knewgain, Constantes!$B$4,
  _xlpm.Knewscale, Constantes!$B$5,
  _xlpm.ptstables, INDEX(AA:AA, _xlfn.SEQUENCE(COUNTA($C$2:$C501), 1, 3, 4)),
  _xlpm.nbparties, COUNTA(_xlfn._xlws.FILTER(_xlpm.ptstables, _xlpm.ptstables &lt;&gt; "")),
  _xlpm.coef, _xlpm.K + _xlpm.Knewgain / (_xlpm.Knewscale + _xlpm.nbparties),
  IF(AA499="",
    "",
    _xlpm.coef * (AA499-AA500))
)</f>
        <v/>
      </c>
      <c r="AB501" t="str" cm="1">
        <f t="array" ref="AB501">_xlfn.LET(
  _xlpm.K, Constantes!$B$3,
  _xlpm.Knewgain, Constantes!$B$4,
  _xlpm.Knewscale, Constantes!$B$5,
  _xlpm.ptstables, INDEX(AB:AB, _xlfn.SEQUENCE(COUNTA($C$2:$C501), 1, 3, 4)),
  _xlpm.nbparties, COUNTA(_xlfn._xlws.FILTER(_xlpm.ptstables, _xlpm.ptstables &lt;&gt; "")),
  _xlpm.coef, _xlpm.K + _xlpm.Knewgain / (_xlpm.Knewscale + _xlpm.nbparties),
  IF(AB499="",
    "",
    _xlpm.coef * (AB499-AB500))
)</f>
        <v/>
      </c>
      <c r="AC501" t="str" cm="1">
        <f t="array" ref="AC501">_xlfn.LET(
  _xlpm.K, Constantes!$B$3,
  _xlpm.Knewgain, Constantes!$B$4,
  _xlpm.Knewscale, Constantes!$B$5,
  _xlpm.ptstables, INDEX(AC:AC, _xlfn.SEQUENCE(COUNTA($C$2:$C501), 1, 3, 4)),
  _xlpm.nbparties, COUNTA(_xlfn._xlws.FILTER(_xlpm.ptstables, _xlpm.ptstables &lt;&gt; "")),
  _xlpm.coef, _xlpm.K + _xlpm.Knewgain / (_xlpm.Knewscale + _xlpm.nbparties),
  IF(AC499="",
    "",
    _xlpm.coef * (AC499-AC500))
)</f>
        <v/>
      </c>
      <c r="AD501" t="str" cm="1">
        <f t="array" ref="AD501">_xlfn.LET(
  _xlpm.K, Constantes!$B$3,
  _xlpm.Knewgain, Constantes!$B$4,
  _xlpm.Knewscale, Constantes!$B$5,
  _xlpm.ptstables, INDEX(AD:AD, _xlfn.SEQUENCE(COUNTA($C$2:$C501), 1, 3, 4)),
  _xlpm.nbparties, COUNTA(_xlfn._xlws.FILTER(_xlpm.ptstables, _xlpm.ptstables &lt;&gt; "")),
  _xlpm.coef, _xlpm.K + _xlpm.Knewgain / (_xlpm.Knewscale + _xlpm.nbparties),
  IF(AD499="",
    "",
    _xlpm.coef * (AD499-AD500))
)</f>
        <v/>
      </c>
      <c r="AE501" t="str" cm="1">
        <f t="array" ref="AE501">_xlfn.LET(
  _xlpm.K, Constantes!$B$3,
  _xlpm.Knewgain, Constantes!$B$4,
  _xlpm.Knewscale, Constantes!$B$5,
  _xlpm.ptstables, INDEX(AE:AE, _xlfn.SEQUENCE(COUNTA($C$2:$C501), 1, 3, 4)),
  _xlpm.nbparties, COUNTA(_xlfn._xlws.FILTER(_xlpm.ptstables, _xlpm.ptstables &lt;&gt; "")),
  _xlpm.coef, _xlpm.K + _xlpm.Knewgain / (_xlpm.Knewscale + _xlpm.nbparties),
  IF(AE499="",
    "",
    _xlpm.coef * (AE499-AE500))
)</f>
        <v/>
      </c>
      <c r="AF501" t="str" cm="1">
        <f t="array" ref="AF501">_xlfn.LET(
  _xlpm.K, Constantes!$B$3,
  _xlpm.Knewgain, Constantes!$B$4,
  _xlpm.Knewscale, Constantes!$B$5,
  _xlpm.ptstables, INDEX(AF:AF, _xlfn.SEQUENCE(COUNTA($C$2:$C501), 1, 3, 4)),
  _xlpm.nbparties, COUNTA(_xlfn._xlws.FILTER(_xlpm.ptstables, _xlpm.ptstables &lt;&gt; "")),
  _xlpm.coef, _xlpm.K + _xlpm.Knewgain / (_xlpm.Knewscale + _xlpm.nbparties),
  IF(AF499="",
    "",
    _xlpm.coef * (AF499-AF500))
)</f>
        <v/>
      </c>
      <c r="AG501" t="str" cm="1">
        <f t="array" ref="AG501">_xlfn.LET(
  _xlpm.K, Constantes!$B$3,
  _xlpm.Knewgain, Constantes!$B$4,
  _xlpm.Knewscale, Constantes!$B$5,
  _xlpm.ptstables, INDEX(AG:AG, _xlfn.SEQUENCE(COUNTA($C$2:$C501), 1, 3, 4)),
  _xlpm.nbparties, COUNTA(_xlfn._xlws.FILTER(_xlpm.ptstables, _xlpm.ptstables &lt;&gt; "")),
  _xlpm.coef, _xlpm.K + _xlpm.Knewgain / (_xlpm.Knewscale + _xlpm.nbparties),
  IF(AG499="",
    "",
    _xlpm.coef * (AG499-AG500))
)</f>
        <v/>
      </c>
      <c r="AH501" t="str" cm="1">
        <f t="array" ref="AH501">_xlfn.LET(
  _xlpm.K, Constantes!$B$3,
  _xlpm.Knewgain, Constantes!$B$4,
  _xlpm.Knewscale, Constantes!$B$5,
  _xlpm.ptstables, INDEX(AH:AH, _xlfn.SEQUENCE(COUNTA($C$2:$C501), 1, 3, 4)),
  _xlpm.nbparties, COUNTA(_xlfn._xlws.FILTER(_xlpm.ptstables, _xlpm.ptstables &lt;&gt; "")),
  _xlpm.coef, _xlpm.K + _xlpm.Knewgain / (_xlpm.Knewscale + _xlpm.nbparties),
  IF(AH499="",
    "",
    _xlpm.coef * (AH499-AH500))
)</f>
        <v/>
      </c>
      <c r="AI501" t="str" cm="1">
        <f t="array" ref="AI501">_xlfn.LET(
  _xlpm.K, Constantes!$B$3,
  _xlpm.Knewgain, Constantes!$B$4,
  _xlpm.Knewscale, Constantes!$B$5,
  _xlpm.ptstables, INDEX(AI:AI, _xlfn.SEQUENCE(COUNTA($C$2:$C501), 1, 3, 4)),
  _xlpm.nbparties, COUNTA(_xlfn._xlws.FILTER(_xlpm.ptstables, _xlpm.ptstables &lt;&gt; "")),
  _xlpm.coef, _xlpm.K + _xlpm.Knewgain / (_xlpm.Knewscale + _xlpm.nbparties),
  IF(AI499="",
    "",
    _xlpm.coef * (AI499-AI500))
)</f>
        <v/>
      </c>
      <c r="AJ501" t="str" cm="1">
        <f t="array" ref="AJ501">_xlfn.LET(
  _xlpm.K, Constantes!$B$3,
  _xlpm.Knewgain, Constantes!$B$4,
  _xlpm.Knewscale, Constantes!$B$5,
  _xlpm.ptstables, INDEX(AJ:AJ, _xlfn.SEQUENCE(COUNTA($C$2:$C501), 1, 3, 4)),
  _xlpm.nbparties, COUNTA(_xlfn._xlws.FILTER(_xlpm.ptstables, _xlpm.ptstables &lt;&gt; "")),
  _xlpm.coef, _xlpm.K + _xlpm.Knewgain / (_xlpm.Knewscale + _xlpm.nbparties),
  IF(AJ499="",
    "",
    _xlpm.coef * (AJ499-AJ500))
)</f>
        <v/>
      </c>
      <c r="AK501" t="str" cm="1">
        <f t="array" ref="AK501">_xlfn.LET(
  _xlpm.K, Constantes!$B$3,
  _xlpm.Knewgain, Constantes!$B$4,
  _xlpm.Knewscale, Constantes!$B$5,
  _xlpm.ptstables, INDEX(AK:AK, _xlfn.SEQUENCE(COUNTA($C$2:$C501), 1, 3, 4)),
  _xlpm.nbparties, COUNTA(_xlfn._xlws.FILTER(_xlpm.ptstables, _xlpm.ptstables &lt;&gt; "")),
  _xlpm.coef, _xlpm.K + _xlpm.Knewgain / (_xlpm.Knewscale + _xlpm.nbparties),
  IF(AK499="",
    "",
    _xlpm.coef * (AK499-AK500))
)</f>
        <v/>
      </c>
      <c r="AL501" t="str" cm="1">
        <f t="array" ref="AL501">_xlfn.LET(
  _xlpm.K, Constantes!$B$3,
  _xlpm.Knewgain, Constantes!$B$4,
  _xlpm.Knewscale, Constantes!$B$5,
  _xlpm.ptstables, INDEX(AL:AL, _xlfn.SEQUENCE(COUNTA($C$2:$C501), 1, 3, 4)),
  _xlpm.nbparties, COUNTA(_xlfn._xlws.FILTER(_xlpm.ptstables, _xlpm.ptstables &lt;&gt; "")),
  _xlpm.coef, _xlpm.K + _xlpm.Knewgain / (_xlpm.Knewscale + _xlpm.nbparties),
  IF(AL499="",
    "",
    _xlpm.coef * (AL499-AL500))
)</f>
        <v/>
      </c>
      <c r="AM501" t="str" cm="1">
        <f t="array" ref="AM501">_xlfn.LET(
  _xlpm.K, Constantes!$B$3,
  _xlpm.Knewgain, Constantes!$B$4,
  _xlpm.Knewscale, Constantes!$B$5,
  _xlpm.ptstables, INDEX(AM:AM, _xlfn.SEQUENCE(COUNTA($C$2:$C501), 1, 3, 4)),
  _xlpm.nbparties, COUNTA(_xlfn._xlws.FILTER(_xlpm.ptstables, _xlpm.ptstables &lt;&gt; "")),
  _xlpm.coef, _xlpm.K + _xlpm.Knewgain / (_xlpm.Knewscale + _xlpm.nbparties),
  IF(AM499="",
    "",
    _xlpm.coef * (AM499-AM500))
)</f>
        <v/>
      </c>
    </row>
    <row r="502" spans="1:39" x14ac:dyDescent="0.25">
      <c r="A502" t="s">
        <v>14</v>
      </c>
      <c r="B502" t="str" cm="1">
        <f t="array" ref="B502">IFERROR(_xlfn.LET(
    _xlpm.cola, INDEX(Donnees!F:F, _xlfn.SEQUENCE(COUNTA(Donnees!F:F), 1, 2, 4)),
    _xlpm.colb, INDEX(Donnees!F:F, _xlfn.SEQUENCE(COUNTA(Donnees!F:F), 1, 1, 4)),
    _xlpm.tab,  _xlfn._xlws.FILTER(CHOOSE({1,2}, _xlpm.cola, _xlpm.colb), (_xlpm.cola&lt;&gt;"")*(_xlpm.colb&lt;&gt;"")),
    _xlpm.tri,  _xlfn._xlws.SORT(_xlpm.tab),
    INDEX(_xlpm.tri, (ROW()+2)/4, 2)
), "")</f>
        <v/>
      </c>
      <c r="C502" s="2" t="str" cm="1">
        <f t="array" ref="C502">IF(B502="","",
  INDEX(Donnees!F:F, MATCH(B502, Donnees!F:F, 0)+1))</f>
        <v/>
      </c>
      <c r="D502">
        <f t="shared" ref="D502:AM502" si="133">D498+IF(D501="",0,D501)</f>
        <v>970.88542284486812</v>
      </c>
      <c r="E502">
        <f t="shared" si="133"/>
        <v>1229.0521069339948</v>
      </c>
      <c r="F502">
        <f t="shared" si="133"/>
        <v>911.8835833951041</v>
      </c>
      <c r="G502">
        <f t="shared" si="133"/>
        <v>1021.5669497794617</v>
      </c>
      <c r="H502">
        <f t="shared" si="133"/>
        <v>1117.5250985570954</v>
      </c>
      <c r="I502">
        <f t="shared" si="133"/>
        <v>883.37234630448143</v>
      </c>
      <c r="J502">
        <f t="shared" si="133"/>
        <v>977.48380243972645</v>
      </c>
      <c r="K502">
        <f t="shared" si="133"/>
        <v>1062.2548360982171</v>
      </c>
      <c r="L502">
        <f t="shared" si="133"/>
        <v>775.39796117257981</v>
      </c>
      <c r="M502">
        <f t="shared" si="133"/>
        <v>927.4581540493366</v>
      </c>
      <c r="N502">
        <f t="shared" si="133"/>
        <v>878.15153649009756</v>
      </c>
      <c r="O502">
        <f t="shared" si="133"/>
        <v>997.04050320786712</v>
      </c>
      <c r="P502">
        <f t="shared" si="133"/>
        <v>991.32095208442081</v>
      </c>
      <c r="Q502">
        <f t="shared" si="133"/>
        <v>1054.0946828197484</v>
      </c>
      <c r="R502">
        <f t="shared" si="133"/>
        <v>1122.8475809880031</v>
      </c>
      <c r="S502">
        <f t="shared" si="133"/>
        <v>942.14882365209212</v>
      </c>
      <c r="T502">
        <f t="shared" si="133"/>
        <v>1128.5835529389994</v>
      </c>
      <c r="U502">
        <f t="shared" si="133"/>
        <v>1197.0794459794581</v>
      </c>
      <c r="V502">
        <f t="shared" si="133"/>
        <v>957.61451983344352</v>
      </c>
      <c r="W502">
        <f t="shared" si="133"/>
        <v>885.72875461540445</v>
      </c>
      <c r="X502">
        <f t="shared" si="133"/>
        <v>858.92096928478088</v>
      </c>
      <c r="Y502">
        <f t="shared" si="133"/>
        <v>1005.462386147187</v>
      </c>
      <c r="Z502">
        <f t="shared" si="133"/>
        <v>1008.6876849635962</v>
      </c>
      <c r="AA502">
        <f t="shared" si="133"/>
        <v>942.27730100696294</v>
      </c>
      <c r="AB502">
        <f t="shared" si="133"/>
        <v>988.35669729544747</v>
      </c>
      <c r="AC502">
        <f t="shared" si="133"/>
        <v>913.83290299884754</v>
      </c>
      <c r="AD502">
        <f t="shared" si="133"/>
        <v>1054.5168154629837</v>
      </c>
      <c r="AE502">
        <f t="shared" si="133"/>
        <v>963.23981965000235</v>
      </c>
      <c r="AF502">
        <f t="shared" si="133"/>
        <v>1094.8196847516158</v>
      </c>
      <c r="AG502">
        <f t="shared" si="133"/>
        <v>958.23078604304851</v>
      </c>
      <c r="AH502">
        <f t="shared" si="133"/>
        <v>920.4412636682855</v>
      </c>
      <c r="AI502">
        <f t="shared" si="133"/>
        <v>1036.4167877702052</v>
      </c>
      <c r="AJ502">
        <f t="shared" si="133"/>
        <v>906.86354201913434</v>
      </c>
      <c r="AK502">
        <f t="shared" si="133"/>
        <v>1074.0069367206956</v>
      </c>
      <c r="AL502">
        <f t="shared" si="133"/>
        <v>1025.7817971572972</v>
      </c>
      <c r="AM502">
        <f t="shared" si="133"/>
        <v>930.08392160706046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F0F9-1447-4AFB-AA6A-701212CA183F}">
  <dimension ref="A1:H37"/>
  <sheetViews>
    <sheetView workbookViewId="0">
      <selection activeCell="H2" sqref="H2"/>
    </sheetView>
  </sheetViews>
  <sheetFormatPr baseColWidth="10" defaultRowHeight="15" x14ac:dyDescent="0.25"/>
  <cols>
    <col min="1" max="1" width="20.140625" bestFit="1" customWidth="1"/>
    <col min="6" max="6" width="21" bestFit="1" customWidth="1"/>
  </cols>
  <sheetData>
    <row r="1" spans="1:8" x14ac:dyDescent="0.25">
      <c r="A1" t="s">
        <v>17</v>
      </c>
      <c r="B1" t="s">
        <v>16</v>
      </c>
      <c r="F1" t="s">
        <v>73</v>
      </c>
      <c r="G1" t="s">
        <v>74</v>
      </c>
      <c r="H1" t="s">
        <v>75</v>
      </c>
    </row>
    <row r="2" spans="1:8" x14ac:dyDescent="0.25">
      <c r="A2" t="s">
        <v>18</v>
      </c>
      <c r="B2" s="1">
        <v>400</v>
      </c>
      <c r="F2" s="1" t="s">
        <v>37</v>
      </c>
      <c r="G2" s="1">
        <v>960.69</v>
      </c>
      <c r="H2">
        <f>(1000+G2)/2</f>
        <v>980.34500000000003</v>
      </c>
    </row>
    <row r="3" spans="1:8" x14ac:dyDescent="0.25">
      <c r="A3" t="s">
        <v>19</v>
      </c>
      <c r="B3" s="1">
        <v>20</v>
      </c>
      <c r="F3" s="1" t="s">
        <v>39</v>
      </c>
      <c r="G3" s="1">
        <v>1167.08</v>
      </c>
      <c r="H3">
        <f t="shared" ref="H3:H37" si="0">(1000+G3)/2</f>
        <v>1083.54</v>
      </c>
    </row>
    <row r="4" spans="1:8" x14ac:dyDescent="0.25">
      <c r="A4" t="s">
        <v>35</v>
      </c>
      <c r="B4" s="1">
        <v>50</v>
      </c>
      <c r="F4" s="1" t="s">
        <v>38</v>
      </c>
      <c r="G4" s="1">
        <v>807.94</v>
      </c>
      <c r="H4">
        <f t="shared" si="0"/>
        <v>903.97</v>
      </c>
    </row>
    <row r="5" spans="1:8" x14ac:dyDescent="0.25">
      <c r="A5" t="s">
        <v>36</v>
      </c>
      <c r="B5" s="1">
        <v>1</v>
      </c>
      <c r="F5" s="1" t="s">
        <v>40</v>
      </c>
      <c r="G5" s="1">
        <v>1136.68</v>
      </c>
      <c r="H5">
        <f t="shared" si="0"/>
        <v>1068.3400000000001</v>
      </c>
    </row>
    <row r="6" spans="1:8" x14ac:dyDescent="0.25">
      <c r="A6" t="s">
        <v>26</v>
      </c>
      <c r="B6" s="1">
        <v>500</v>
      </c>
      <c r="F6" s="1" t="s">
        <v>41</v>
      </c>
      <c r="G6" s="1">
        <v>1151.58</v>
      </c>
      <c r="H6">
        <f t="shared" si="0"/>
        <v>1075.79</v>
      </c>
    </row>
    <row r="7" spans="1:8" x14ac:dyDescent="0.25">
      <c r="A7" t="s">
        <v>27</v>
      </c>
      <c r="B7" s="1">
        <v>50</v>
      </c>
      <c r="F7" s="1" t="s">
        <v>42</v>
      </c>
      <c r="G7" s="1">
        <v>1000</v>
      </c>
      <c r="H7">
        <f t="shared" si="0"/>
        <v>1000</v>
      </c>
    </row>
    <row r="8" spans="1:8" x14ac:dyDescent="0.25">
      <c r="A8" t="s">
        <v>28</v>
      </c>
      <c r="B8" s="1">
        <v>4</v>
      </c>
      <c r="F8" s="1" t="s">
        <v>62</v>
      </c>
      <c r="G8" s="1">
        <v>1060.27</v>
      </c>
      <c r="H8">
        <f t="shared" si="0"/>
        <v>1030.135</v>
      </c>
    </row>
    <row r="9" spans="1:8" x14ac:dyDescent="0.25">
      <c r="F9" s="1" t="s">
        <v>43</v>
      </c>
      <c r="G9" s="1">
        <v>846.72</v>
      </c>
      <c r="H9">
        <f t="shared" si="0"/>
        <v>923.36</v>
      </c>
    </row>
    <row r="10" spans="1:8" x14ac:dyDescent="0.25">
      <c r="F10" s="1" t="s">
        <v>44</v>
      </c>
      <c r="G10" s="1">
        <v>1000</v>
      </c>
      <c r="H10">
        <f t="shared" si="0"/>
        <v>1000</v>
      </c>
    </row>
    <row r="11" spans="1:8" x14ac:dyDescent="0.25">
      <c r="F11" s="1" t="s">
        <v>45</v>
      </c>
      <c r="G11" s="1">
        <v>1000</v>
      </c>
      <c r="H11">
        <f t="shared" si="0"/>
        <v>1000</v>
      </c>
    </row>
    <row r="12" spans="1:8" x14ac:dyDescent="0.25">
      <c r="F12" s="1" t="s">
        <v>46</v>
      </c>
      <c r="G12" s="1">
        <v>768.42</v>
      </c>
      <c r="H12">
        <f t="shared" si="0"/>
        <v>884.21</v>
      </c>
    </row>
    <row r="13" spans="1:8" x14ac:dyDescent="0.25">
      <c r="F13" s="1" t="s">
        <v>47</v>
      </c>
      <c r="G13" s="1">
        <v>1000</v>
      </c>
      <c r="H13">
        <f t="shared" si="0"/>
        <v>1000</v>
      </c>
    </row>
    <row r="14" spans="1:8" x14ac:dyDescent="0.25">
      <c r="F14" s="1" t="s">
        <v>48</v>
      </c>
      <c r="G14" s="1">
        <v>986.27</v>
      </c>
      <c r="H14">
        <f t="shared" si="0"/>
        <v>993.13499999999999</v>
      </c>
    </row>
    <row r="15" spans="1:8" x14ac:dyDescent="0.25">
      <c r="F15" s="1" t="s">
        <v>71</v>
      </c>
      <c r="G15" s="1">
        <v>898.81</v>
      </c>
      <c r="H15">
        <f t="shared" si="0"/>
        <v>949.40499999999997</v>
      </c>
    </row>
    <row r="16" spans="1:8" x14ac:dyDescent="0.25">
      <c r="F16" s="1" t="s">
        <v>49</v>
      </c>
      <c r="G16" s="1">
        <v>995.6</v>
      </c>
      <c r="H16">
        <f t="shared" si="0"/>
        <v>997.8</v>
      </c>
    </row>
    <row r="17" spans="6:8" x14ac:dyDescent="0.25">
      <c r="F17" s="1" t="s">
        <v>51</v>
      </c>
      <c r="G17" s="1">
        <v>969.01</v>
      </c>
      <c r="H17">
        <f t="shared" si="0"/>
        <v>984.505</v>
      </c>
    </row>
    <row r="18" spans="6:8" x14ac:dyDescent="0.25">
      <c r="F18" s="1" t="s">
        <v>50</v>
      </c>
      <c r="G18" s="1">
        <v>1059.81</v>
      </c>
      <c r="H18">
        <f t="shared" si="0"/>
        <v>1029.905</v>
      </c>
    </row>
    <row r="19" spans="6:8" x14ac:dyDescent="0.25">
      <c r="F19" s="1" t="s">
        <v>52</v>
      </c>
      <c r="G19" s="1">
        <v>1185.57</v>
      </c>
      <c r="H19">
        <f t="shared" si="0"/>
        <v>1092.7849999999999</v>
      </c>
    </row>
    <row r="20" spans="6:8" x14ac:dyDescent="0.25">
      <c r="F20" s="1" t="s">
        <v>53</v>
      </c>
      <c r="G20" s="1">
        <v>999.19</v>
      </c>
      <c r="H20">
        <f t="shared" si="0"/>
        <v>999.59500000000003</v>
      </c>
    </row>
    <row r="21" spans="6:8" x14ac:dyDescent="0.25">
      <c r="F21" s="1" t="s">
        <v>54</v>
      </c>
      <c r="G21" s="1">
        <v>1000</v>
      </c>
      <c r="H21">
        <f t="shared" si="0"/>
        <v>1000</v>
      </c>
    </row>
    <row r="22" spans="6:8" x14ac:dyDescent="0.25">
      <c r="F22" s="1" t="s">
        <v>55</v>
      </c>
      <c r="G22" s="1">
        <v>799.06</v>
      </c>
      <c r="H22">
        <f t="shared" si="0"/>
        <v>899.53</v>
      </c>
    </row>
    <row r="23" spans="6:8" x14ac:dyDescent="0.25">
      <c r="F23" s="1" t="s">
        <v>56</v>
      </c>
      <c r="G23" s="1">
        <v>883.04</v>
      </c>
      <c r="H23">
        <f t="shared" si="0"/>
        <v>941.52</v>
      </c>
    </row>
    <row r="24" spans="6:8" x14ac:dyDescent="0.25">
      <c r="F24" s="1" t="s">
        <v>57</v>
      </c>
      <c r="G24" s="1">
        <v>1000</v>
      </c>
      <c r="H24">
        <f t="shared" si="0"/>
        <v>1000</v>
      </c>
    </row>
    <row r="25" spans="6:8" x14ac:dyDescent="0.25">
      <c r="F25" s="1" t="s">
        <v>58</v>
      </c>
      <c r="G25" s="1">
        <v>1000</v>
      </c>
      <c r="H25">
        <f t="shared" si="0"/>
        <v>1000</v>
      </c>
    </row>
    <row r="26" spans="6:8" x14ac:dyDescent="0.25">
      <c r="F26" s="1" t="s">
        <v>59</v>
      </c>
      <c r="G26" s="1">
        <v>959.13</v>
      </c>
      <c r="H26">
        <f t="shared" si="0"/>
        <v>979.56500000000005</v>
      </c>
    </row>
    <row r="27" spans="6:8" x14ac:dyDescent="0.25">
      <c r="F27" s="1" t="s">
        <v>60</v>
      </c>
      <c r="G27" s="1">
        <v>1065.02</v>
      </c>
      <c r="H27">
        <f t="shared" si="0"/>
        <v>1032.51</v>
      </c>
    </row>
    <row r="28" spans="6:8" x14ac:dyDescent="0.25">
      <c r="F28" s="1" t="s">
        <v>61</v>
      </c>
      <c r="G28" s="1">
        <v>948.03</v>
      </c>
      <c r="H28">
        <f t="shared" si="0"/>
        <v>974.01499999999999</v>
      </c>
    </row>
    <row r="29" spans="6:8" x14ac:dyDescent="0.25">
      <c r="F29" s="1" t="s">
        <v>63</v>
      </c>
      <c r="G29" s="1">
        <v>1022.83</v>
      </c>
      <c r="H29">
        <f t="shared" si="0"/>
        <v>1011.415</v>
      </c>
    </row>
    <row r="30" spans="6:8" x14ac:dyDescent="0.25">
      <c r="F30" s="1" t="s">
        <v>64</v>
      </c>
      <c r="G30" s="1">
        <v>1062.24</v>
      </c>
      <c r="H30">
        <f t="shared" si="0"/>
        <v>1031.1199999999999</v>
      </c>
    </row>
    <row r="31" spans="6:8" x14ac:dyDescent="0.25">
      <c r="F31" s="1" t="s">
        <v>65</v>
      </c>
      <c r="G31" s="1">
        <v>1002.07</v>
      </c>
      <c r="H31">
        <f t="shared" si="0"/>
        <v>1001.0350000000001</v>
      </c>
    </row>
    <row r="32" spans="6:8" x14ac:dyDescent="0.25">
      <c r="F32" s="1" t="s">
        <v>66</v>
      </c>
      <c r="G32" s="1">
        <v>988.88</v>
      </c>
      <c r="H32">
        <f t="shared" si="0"/>
        <v>994.44</v>
      </c>
    </row>
    <row r="33" spans="6:8" x14ac:dyDescent="0.25">
      <c r="F33" s="1" t="s">
        <v>67</v>
      </c>
      <c r="G33" s="1">
        <v>1000</v>
      </c>
      <c r="H33">
        <f t="shared" si="0"/>
        <v>1000</v>
      </c>
    </row>
    <row r="34" spans="6:8" x14ac:dyDescent="0.25">
      <c r="F34" s="1" t="s">
        <v>70</v>
      </c>
      <c r="G34" s="1">
        <v>914.4</v>
      </c>
      <c r="H34">
        <f t="shared" si="0"/>
        <v>957.2</v>
      </c>
    </row>
    <row r="35" spans="6:8" x14ac:dyDescent="0.25">
      <c r="F35" s="1" t="s">
        <v>69</v>
      </c>
      <c r="G35" s="1">
        <v>1000</v>
      </c>
      <c r="H35">
        <f t="shared" si="0"/>
        <v>1000</v>
      </c>
    </row>
    <row r="36" spans="6:8" x14ac:dyDescent="0.25">
      <c r="F36" s="1" t="s">
        <v>68</v>
      </c>
      <c r="G36" s="1">
        <v>1111.8599999999999</v>
      </c>
      <c r="H36">
        <f t="shared" si="0"/>
        <v>1055.9299999999998</v>
      </c>
    </row>
    <row r="37" spans="6:8" x14ac:dyDescent="0.25">
      <c r="F37" s="1" t="s">
        <v>72</v>
      </c>
      <c r="G37" s="1">
        <v>1000</v>
      </c>
      <c r="H37">
        <f t="shared" si="0"/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Donnees</vt:lpstr>
      <vt:lpstr>Check</vt:lpstr>
      <vt:lpstr>EMA points</vt:lpstr>
      <vt:lpstr>Elo calculation</vt:lpstr>
      <vt:lpstr>Constantes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Guilhem Gerouille</dc:creator>
  <cp:lastModifiedBy>Guilhem Gerouille</cp:lastModifiedBy>
  <dcterms:created xsi:type="dcterms:W3CDTF">2025-10-10T18:22:01Z</dcterms:created>
  <dcterms:modified xsi:type="dcterms:W3CDTF">2025-12-01T00:30:56Z</dcterms:modified>
</cp:coreProperties>
</file>